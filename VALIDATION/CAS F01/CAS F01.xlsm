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1\"/>
    </mc:Choice>
  </mc:AlternateContent>
  <bookViews>
    <workbookView xWindow="0" yWindow="0" windowWidth="21570" windowHeight="9405" activeTab="1"/>
  </bookViews>
  <sheets>
    <sheet name="Calculs" sheetId="1" r:id="rId1"/>
    <sheet name="Echauffements" sheetId="2" r:id="rId2"/>
    <sheet name="Poutre" sheetId="3" r:id="rId3"/>
  </sheets>
  <functionGroups builtInGroupCount="18"/>
  <definedNames>
    <definedName name="Aa">Calculs!$M$7</definedName>
    <definedName name="AlphaC">Calculs!$D$8</definedName>
    <definedName name="AlphaLT">Poutre!$I$7</definedName>
    <definedName name="Av">Poutre!$D$9</definedName>
    <definedName name="b">Calculs!$I$6</definedName>
    <definedName name="Botzman">Calculs!$D$7</definedName>
    <definedName name="DeltaT">Calculs!$D$4</definedName>
    <definedName name="EpsilonF">Calculs!$D$6</definedName>
    <definedName name="EpsilonFi">Poutre!$E$27</definedName>
    <definedName name="Eta">Poutre!$D$14</definedName>
    <definedName name="Expo">Calculs!$M$5</definedName>
    <definedName name="Fy">Poutre!$D$12</definedName>
    <definedName name="Galva">Calculs!$I$11</definedName>
    <definedName name="GammaM">Poutre!$D$11</definedName>
    <definedName name="h">Calculs!$I$5</definedName>
    <definedName name="hw">Calculs!$I$10</definedName>
    <definedName name="ksh">Calculs!$M$11</definedName>
    <definedName name="kTau">Poutre!$D$15</definedName>
    <definedName name="LambdaLT">Poutre!$I$6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cr">Poutre!$I$4</definedName>
    <definedName name="MEd">Poutre!$D$6</definedName>
    <definedName name="MRk">Poutre!$I$5</definedName>
    <definedName name="Oui">Calculs!$N$2</definedName>
    <definedName name="p">Calculs!$M$6</definedName>
    <definedName name="pb">Calculs!$M$9</definedName>
    <definedName name="Phi">Calculs!$D$10</definedName>
    <definedName name="q">Poutre!$D$4</definedName>
    <definedName name="RhoA">Calculs!$D$9</definedName>
    <definedName name="rr">Calculs!$I$9</definedName>
    <definedName name="tf">Calculs!$I$7</definedName>
    <definedName name="Theta0">Calculs!$D$5</definedName>
    <definedName name="tw">Calculs!$I$8</definedName>
    <definedName name="VEd">Poutre!$D$7</definedName>
    <definedName name="Wpl">Poutre!$D$10</definedName>
    <definedName name="_xlnm.Print_Area" localSheetId="1">Echauffements!$C$2:$Q$11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6" i="2" l="1"/>
  <c r="Q7" i="2"/>
  <c r="Q8" i="2"/>
  <c r="Q9" i="2"/>
  <c r="Q10" i="2"/>
  <c r="Q5" i="2"/>
  <c r="D27" i="3"/>
  <c r="D34" i="3" s="1"/>
  <c r="D23" i="3"/>
  <c r="I7" i="3"/>
  <c r="F6" i="2"/>
  <c r="F7" i="2"/>
  <c r="F9" i="2"/>
  <c r="F10" i="2"/>
  <c r="F8" i="2"/>
  <c r="D29" i="3" l="1"/>
  <c r="E27" i="3"/>
  <c r="D28" i="3"/>
  <c r="I8" i="3"/>
  <c r="I5" i="3"/>
  <c r="I6" i="3" s="1"/>
  <c r="O10" i="2" l="1"/>
  <c r="P10" i="2" s="1"/>
  <c r="L10" i="2" s="1"/>
  <c r="O6" i="2"/>
  <c r="O7" i="2"/>
  <c r="O5" i="2"/>
  <c r="P5" i="2" s="1"/>
  <c r="L5" i="2" s="1"/>
  <c r="O8" i="2"/>
  <c r="P8" i="2" s="1"/>
  <c r="L8" i="2" s="1"/>
  <c r="O9" i="2"/>
  <c r="E29" i="3"/>
  <c r="E28" i="3"/>
  <c r="D37" i="3"/>
  <c r="E34" i="3"/>
  <c r="P7" i="2"/>
  <c r="L7" i="2" s="1"/>
  <c r="P6" i="2"/>
  <c r="L6" i="2" s="1"/>
  <c r="P9" i="2"/>
  <c r="L9" i="2" s="1"/>
  <c r="D7" i="3"/>
  <c r="G8" i="2"/>
  <c r="G9" i="2"/>
  <c r="G7" i="2"/>
  <c r="G10" i="2"/>
  <c r="G6" i="2"/>
  <c r="G5" i="2"/>
  <c r="D6" i="3" l="1"/>
  <c r="M8" i="2" s="1"/>
  <c r="D6" i="2"/>
  <c r="D7" i="2"/>
  <c r="D8" i="2"/>
  <c r="D9" i="2"/>
  <c r="D10" i="2"/>
  <c r="D5" i="2"/>
  <c r="B2815" i="1"/>
  <c r="C2815" i="1"/>
  <c r="D2815" i="1" s="1"/>
  <c r="B2816" i="1"/>
  <c r="C2816" i="1" s="1"/>
  <c r="D2816" i="1" s="1"/>
  <c r="B2798" i="1"/>
  <c r="C2798" i="1" s="1"/>
  <c r="D2798" i="1" s="1"/>
  <c r="B2780" i="1"/>
  <c r="C2780" i="1"/>
  <c r="D2780" i="1" s="1"/>
  <c r="B2781" i="1"/>
  <c r="C2781" i="1" s="1"/>
  <c r="D2781" i="1" s="1"/>
  <c r="B2687" i="1"/>
  <c r="C2687" i="1" s="1"/>
  <c r="D2687" i="1" s="1"/>
  <c r="B2407" i="1"/>
  <c r="C2407" i="1"/>
  <c r="D2407" i="1" s="1"/>
  <c r="B2408" i="1"/>
  <c r="C2408" i="1" s="1"/>
  <c r="D2408" i="1" s="1"/>
  <c r="B1233" i="1"/>
  <c r="C1233" i="1"/>
  <c r="D1233" i="1" s="1"/>
  <c r="B1234" i="1"/>
  <c r="C1234" i="1" s="1"/>
  <c r="D1234" i="1" s="1"/>
  <c r="B755" i="1"/>
  <c r="B756" i="1" s="1"/>
  <c r="C755" i="1"/>
  <c r="D755" i="1" s="1"/>
  <c r="G17" i="1"/>
  <c r="M9" i="1"/>
  <c r="I10" i="1"/>
  <c r="M7" i="1" s="1"/>
  <c r="M6" i="1"/>
  <c r="E17" i="1"/>
  <c r="H17" i="1" s="1"/>
  <c r="C17" i="1"/>
  <c r="D17" i="1" s="1"/>
  <c r="B18" i="1"/>
  <c r="B19" i="1" s="1"/>
  <c r="M7" i="2" l="1"/>
  <c r="M10" i="2"/>
  <c r="M5" i="2"/>
  <c r="M6" i="2"/>
  <c r="M9" i="2"/>
  <c r="B2817" i="1"/>
  <c r="B2799" i="1"/>
  <c r="B2782" i="1"/>
  <c r="B2688" i="1"/>
  <c r="B2409" i="1"/>
  <c r="B1235" i="1"/>
  <c r="B757" i="1"/>
  <c r="C756" i="1"/>
  <c r="D756" i="1" s="1"/>
  <c r="J17" i="1"/>
  <c r="M8" i="1"/>
  <c r="M10" i="1"/>
  <c r="M11" i="1" s="1"/>
  <c r="B20" i="1"/>
  <c r="C20" i="1" s="1"/>
  <c r="D20" i="1" s="1"/>
  <c r="C19" i="1"/>
  <c r="D19" i="1" s="1"/>
  <c r="C18" i="1"/>
  <c r="D18" i="1" s="1"/>
  <c r="F17" i="1"/>
  <c r="B21" i="1"/>
  <c r="C21" i="1" s="1"/>
  <c r="D21" i="1" s="1"/>
  <c r="C2817" i="1" l="1"/>
  <c r="D2817" i="1" s="1"/>
  <c r="B2818" i="1"/>
  <c r="C2799" i="1"/>
  <c r="D2799" i="1" s="1"/>
  <c r="B2800" i="1"/>
  <c r="C2782" i="1"/>
  <c r="D2782" i="1" s="1"/>
  <c r="B2783" i="1"/>
  <c r="C2688" i="1"/>
  <c r="D2688" i="1" s="1"/>
  <c r="B2689" i="1"/>
  <c r="C2409" i="1"/>
  <c r="D2409" i="1" s="1"/>
  <c r="B2410" i="1"/>
  <c r="C1235" i="1"/>
  <c r="D1235" i="1" s="1"/>
  <c r="B1236" i="1"/>
  <c r="B758" i="1"/>
  <c r="C757" i="1"/>
  <c r="D757" i="1" s="1"/>
  <c r="I17" i="1"/>
  <c r="E18" i="1" s="1"/>
  <c r="B22" i="1"/>
  <c r="C22" i="1" s="1"/>
  <c r="D22" i="1" s="1"/>
  <c r="C2818" i="1" l="1"/>
  <c r="D2818" i="1" s="1"/>
  <c r="B2819" i="1"/>
  <c r="C2800" i="1"/>
  <c r="D2800" i="1" s="1"/>
  <c r="B2801" i="1"/>
  <c r="C2783" i="1"/>
  <c r="D2783" i="1" s="1"/>
  <c r="B2784" i="1"/>
  <c r="C2689" i="1"/>
  <c r="D2689" i="1" s="1"/>
  <c r="B2690" i="1"/>
  <c r="C2410" i="1"/>
  <c r="D2410" i="1" s="1"/>
  <c r="B2411" i="1"/>
  <c r="C1236" i="1"/>
  <c r="D1236" i="1" s="1"/>
  <c r="B1237" i="1"/>
  <c r="B759" i="1"/>
  <c r="C758" i="1"/>
  <c r="D758" i="1" s="1"/>
  <c r="J18" i="1"/>
  <c r="G18" i="1" s="1"/>
  <c r="H18" i="1"/>
  <c r="F18" i="1"/>
  <c r="B23" i="1"/>
  <c r="C23" i="1" s="1"/>
  <c r="D23" i="1" s="1"/>
  <c r="C2819" i="1" l="1"/>
  <c r="D2819" i="1" s="1"/>
  <c r="B2820" i="1"/>
  <c r="C2801" i="1"/>
  <c r="D2801" i="1" s="1"/>
  <c r="B2802" i="1"/>
  <c r="C2784" i="1"/>
  <c r="D2784" i="1" s="1"/>
  <c r="B2785" i="1"/>
  <c r="C2690" i="1"/>
  <c r="D2690" i="1" s="1"/>
  <c r="B2691" i="1"/>
  <c r="C2411" i="1"/>
  <c r="D2411" i="1" s="1"/>
  <c r="B2412" i="1"/>
  <c r="C1237" i="1"/>
  <c r="D1237" i="1" s="1"/>
  <c r="B1238" i="1"/>
  <c r="C759" i="1"/>
  <c r="D759" i="1" s="1"/>
  <c r="B760" i="1"/>
  <c r="I18" i="1"/>
  <c r="E19" i="1" s="1"/>
  <c r="J19" i="1" s="1"/>
  <c r="G19" i="1" s="1"/>
  <c r="B24" i="1"/>
  <c r="C24" i="1" s="1"/>
  <c r="D24" i="1" s="1"/>
  <c r="C2820" i="1" l="1"/>
  <c r="D2820" i="1" s="1"/>
  <c r="B2821" i="1"/>
  <c r="C2802" i="1"/>
  <c r="D2802" i="1" s="1"/>
  <c r="B2803" i="1"/>
  <c r="C2785" i="1"/>
  <c r="D2785" i="1" s="1"/>
  <c r="B2786" i="1"/>
  <c r="B2692" i="1"/>
  <c r="C2691" i="1"/>
  <c r="D2691" i="1" s="1"/>
  <c r="C2412" i="1"/>
  <c r="D2412" i="1" s="1"/>
  <c r="B2413" i="1"/>
  <c r="C1238" i="1"/>
  <c r="D1238" i="1" s="1"/>
  <c r="B1239" i="1"/>
  <c r="C760" i="1"/>
  <c r="D760" i="1" s="1"/>
  <c r="B761" i="1"/>
  <c r="H19" i="1"/>
  <c r="F19" i="1"/>
  <c r="B25" i="1"/>
  <c r="C25" i="1" s="1"/>
  <c r="D25" i="1" s="1"/>
  <c r="C2821" i="1" l="1"/>
  <c r="D2821" i="1" s="1"/>
  <c r="B2822" i="1"/>
  <c r="B2804" i="1"/>
  <c r="C2803" i="1"/>
  <c r="D2803" i="1" s="1"/>
  <c r="C2786" i="1"/>
  <c r="D2786" i="1" s="1"/>
  <c r="B2787" i="1"/>
  <c r="C2692" i="1"/>
  <c r="D2692" i="1" s="1"/>
  <c r="B2693" i="1"/>
  <c r="C2413" i="1"/>
  <c r="D2413" i="1" s="1"/>
  <c r="B2414" i="1"/>
  <c r="C1239" i="1"/>
  <c r="D1239" i="1" s="1"/>
  <c r="B1240" i="1"/>
  <c r="C761" i="1"/>
  <c r="D761" i="1" s="1"/>
  <c r="B762" i="1"/>
  <c r="I19" i="1"/>
  <c r="E20" i="1" s="1"/>
  <c r="H20" i="1" s="1"/>
  <c r="B26" i="1"/>
  <c r="C26" i="1" s="1"/>
  <c r="D26" i="1" s="1"/>
  <c r="C2822" i="1" l="1"/>
  <c r="D2822" i="1" s="1"/>
  <c r="B2823" i="1"/>
  <c r="C2804" i="1"/>
  <c r="D2804" i="1" s="1"/>
  <c r="B2805" i="1"/>
  <c r="C2787" i="1"/>
  <c r="D2787" i="1" s="1"/>
  <c r="B2788" i="1"/>
  <c r="B2694" i="1"/>
  <c r="C2693" i="1"/>
  <c r="D2693" i="1" s="1"/>
  <c r="C2414" i="1"/>
  <c r="D2414" i="1" s="1"/>
  <c r="B2415" i="1"/>
  <c r="C1240" i="1"/>
  <c r="D1240" i="1" s="1"/>
  <c r="B1241" i="1"/>
  <c r="B763" i="1"/>
  <c r="C762" i="1"/>
  <c r="D762" i="1" s="1"/>
  <c r="J20" i="1"/>
  <c r="G20" i="1" s="1"/>
  <c r="F20" i="1"/>
  <c r="B27" i="1"/>
  <c r="C27" i="1" s="1"/>
  <c r="D27" i="1" s="1"/>
  <c r="C2823" i="1" l="1"/>
  <c r="D2823" i="1" s="1"/>
  <c r="B2824" i="1"/>
  <c r="C2805" i="1"/>
  <c r="D2805" i="1" s="1"/>
  <c r="B2806" i="1"/>
  <c r="C2788" i="1"/>
  <c r="D2788" i="1" s="1"/>
  <c r="B2789" i="1"/>
  <c r="C2694" i="1"/>
  <c r="D2694" i="1" s="1"/>
  <c r="B2695" i="1"/>
  <c r="C2415" i="1"/>
  <c r="D2415" i="1" s="1"/>
  <c r="B2416" i="1"/>
  <c r="C1241" i="1"/>
  <c r="D1241" i="1" s="1"/>
  <c r="B1242" i="1"/>
  <c r="C763" i="1"/>
  <c r="D763" i="1" s="1"/>
  <c r="B764" i="1"/>
  <c r="I20" i="1"/>
  <c r="E21" i="1" s="1"/>
  <c r="B28" i="1"/>
  <c r="C28" i="1" s="1"/>
  <c r="D28" i="1" s="1"/>
  <c r="C2824" i="1" l="1"/>
  <c r="D2824" i="1" s="1"/>
  <c r="B2825" i="1"/>
  <c r="C2806" i="1"/>
  <c r="D2806" i="1" s="1"/>
  <c r="B2807" i="1"/>
  <c r="C2789" i="1"/>
  <c r="D2789" i="1" s="1"/>
  <c r="B2790" i="1"/>
  <c r="C2695" i="1"/>
  <c r="D2695" i="1" s="1"/>
  <c r="B2696" i="1"/>
  <c r="C2416" i="1"/>
  <c r="D2416" i="1" s="1"/>
  <c r="B2417" i="1"/>
  <c r="C1242" i="1"/>
  <c r="D1242" i="1" s="1"/>
  <c r="B1243" i="1"/>
  <c r="C764" i="1"/>
  <c r="D764" i="1" s="1"/>
  <c r="B765" i="1"/>
  <c r="F21" i="1"/>
  <c r="J21" i="1"/>
  <c r="G21" i="1" s="1"/>
  <c r="H21" i="1"/>
  <c r="B29" i="1"/>
  <c r="C29" i="1" s="1"/>
  <c r="D29" i="1" s="1"/>
  <c r="C2825" i="1" l="1"/>
  <c r="D2825" i="1" s="1"/>
  <c r="B2826" i="1"/>
  <c r="C2807" i="1"/>
  <c r="D2807" i="1" s="1"/>
  <c r="B2808" i="1"/>
  <c r="C2790" i="1"/>
  <c r="D2790" i="1" s="1"/>
  <c r="B2791" i="1"/>
  <c r="C2696" i="1"/>
  <c r="D2696" i="1" s="1"/>
  <c r="B2697" i="1"/>
  <c r="C2417" i="1"/>
  <c r="D2417" i="1" s="1"/>
  <c r="B2418" i="1"/>
  <c r="C1243" i="1"/>
  <c r="D1243" i="1" s="1"/>
  <c r="B1244" i="1"/>
  <c r="C765" i="1"/>
  <c r="D765" i="1" s="1"/>
  <c r="B766" i="1"/>
  <c r="I21" i="1"/>
  <c r="E22" i="1" s="1"/>
  <c r="F22" i="1" s="1"/>
  <c r="B30" i="1"/>
  <c r="C30" i="1" s="1"/>
  <c r="D30" i="1" s="1"/>
  <c r="C2826" i="1" l="1"/>
  <c r="D2826" i="1" s="1"/>
  <c r="B2827" i="1"/>
  <c r="C2808" i="1"/>
  <c r="D2808" i="1" s="1"/>
  <c r="B2809" i="1"/>
  <c r="C2791" i="1"/>
  <c r="D2791" i="1" s="1"/>
  <c r="B2792" i="1"/>
  <c r="C2697" i="1"/>
  <c r="D2697" i="1" s="1"/>
  <c r="B2698" i="1"/>
  <c r="C2418" i="1"/>
  <c r="D2418" i="1" s="1"/>
  <c r="B2419" i="1"/>
  <c r="C1244" i="1"/>
  <c r="D1244" i="1" s="1"/>
  <c r="B1245" i="1"/>
  <c r="B767" i="1"/>
  <c r="C766" i="1"/>
  <c r="D766" i="1" s="1"/>
  <c r="J22" i="1"/>
  <c r="H22" i="1"/>
  <c r="B31" i="1"/>
  <c r="C31" i="1" s="1"/>
  <c r="D31" i="1" s="1"/>
  <c r="C2827" i="1" l="1"/>
  <c r="D2827" i="1" s="1"/>
  <c r="B2828" i="1"/>
  <c r="B2810" i="1"/>
  <c r="C2809" i="1"/>
  <c r="D2809" i="1" s="1"/>
  <c r="C2792" i="1"/>
  <c r="D2792" i="1" s="1"/>
  <c r="B2793" i="1"/>
  <c r="C2698" i="1"/>
  <c r="D2698" i="1" s="1"/>
  <c r="B2699" i="1"/>
  <c r="C2419" i="1"/>
  <c r="D2419" i="1" s="1"/>
  <c r="B2420" i="1"/>
  <c r="C1245" i="1"/>
  <c r="D1245" i="1" s="1"/>
  <c r="B1246" i="1"/>
  <c r="C767" i="1"/>
  <c r="D767" i="1" s="1"/>
  <c r="B768" i="1"/>
  <c r="G22" i="1"/>
  <c r="I22" i="1" s="1"/>
  <c r="E23" i="1" s="1"/>
  <c r="B32" i="1"/>
  <c r="C32" i="1" s="1"/>
  <c r="D32" i="1" s="1"/>
  <c r="C2828" i="1" l="1"/>
  <c r="D2828" i="1" s="1"/>
  <c r="B2829" i="1"/>
  <c r="B2811" i="1"/>
  <c r="C2810" i="1"/>
  <c r="D2810" i="1" s="1"/>
  <c r="C2793" i="1"/>
  <c r="D2793" i="1" s="1"/>
  <c r="B2794" i="1"/>
  <c r="C2699" i="1"/>
  <c r="D2699" i="1" s="1"/>
  <c r="B2700" i="1"/>
  <c r="C2420" i="1"/>
  <c r="D2420" i="1" s="1"/>
  <c r="B2421" i="1"/>
  <c r="C1246" i="1"/>
  <c r="D1246" i="1" s="1"/>
  <c r="B1247" i="1"/>
  <c r="C768" i="1"/>
  <c r="D768" i="1" s="1"/>
  <c r="B769" i="1"/>
  <c r="J23" i="1"/>
  <c r="G23" i="1" s="1"/>
  <c r="H23" i="1"/>
  <c r="F23" i="1"/>
  <c r="B33" i="1"/>
  <c r="C33" i="1" s="1"/>
  <c r="D33" i="1" s="1"/>
  <c r="C2829" i="1" l="1"/>
  <c r="D2829" i="1" s="1"/>
  <c r="B2830" i="1"/>
  <c r="B2812" i="1"/>
  <c r="C2811" i="1"/>
  <c r="D2811" i="1" s="1"/>
  <c r="C2794" i="1"/>
  <c r="D2794" i="1" s="1"/>
  <c r="B2795" i="1"/>
  <c r="B2701" i="1"/>
  <c r="C2700" i="1"/>
  <c r="D2700" i="1" s="1"/>
  <c r="C2421" i="1"/>
  <c r="D2421" i="1" s="1"/>
  <c r="B2422" i="1"/>
  <c r="C1247" i="1"/>
  <c r="D1247" i="1" s="1"/>
  <c r="B1248" i="1"/>
  <c r="C769" i="1"/>
  <c r="D769" i="1" s="1"/>
  <c r="B770" i="1"/>
  <c r="I23" i="1"/>
  <c r="E24" i="1" s="1"/>
  <c r="B34" i="1"/>
  <c r="C34" i="1" s="1"/>
  <c r="D34" i="1" s="1"/>
  <c r="C2830" i="1" l="1"/>
  <c r="D2830" i="1" s="1"/>
  <c r="B2831" i="1"/>
  <c r="B2813" i="1"/>
  <c r="C2812" i="1"/>
  <c r="D2812" i="1" s="1"/>
  <c r="B2796" i="1"/>
  <c r="C2795" i="1"/>
  <c r="D2795" i="1" s="1"/>
  <c r="C2701" i="1"/>
  <c r="D2701" i="1" s="1"/>
  <c r="B2702" i="1"/>
  <c r="C2422" i="1"/>
  <c r="D2422" i="1" s="1"/>
  <c r="B2423" i="1"/>
  <c r="C1248" i="1"/>
  <c r="D1248" i="1" s="1"/>
  <c r="B1249" i="1"/>
  <c r="C770" i="1"/>
  <c r="D770" i="1" s="1"/>
  <c r="B771" i="1"/>
  <c r="F24" i="1"/>
  <c r="J24" i="1"/>
  <c r="G24" i="1" s="1"/>
  <c r="H24" i="1"/>
  <c r="B35" i="1"/>
  <c r="C35" i="1" s="1"/>
  <c r="D35" i="1" s="1"/>
  <c r="C2831" i="1" l="1"/>
  <c r="D2831" i="1" s="1"/>
  <c r="B2832" i="1"/>
  <c r="C2813" i="1"/>
  <c r="D2813" i="1" s="1"/>
  <c r="B2814" i="1"/>
  <c r="C2814" i="1" s="1"/>
  <c r="D2814" i="1" s="1"/>
  <c r="B2797" i="1"/>
  <c r="C2797" i="1" s="1"/>
  <c r="D2797" i="1" s="1"/>
  <c r="C2796" i="1"/>
  <c r="D2796" i="1" s="1"/>
  <c r="C2702" i="1"/>
  <c r="D2702" i="1" s="1"/>
  <c r="B2703" i="1"/>
  <c r="C2423" i="1"/>
  <c r="D2423" i="1" s="1"/>
  <c r="B2424" i="1"/>
  <c r="C1249" i="1"/>
  <c r="D1249" i="1" s="1"/>
  <c r="B1250" i="1"/>
  <c r="B772" i="1"/>
  <c r="C771" i="1"/>
  <c r="D771" i="1" s="1"/>
  <c r="I24" i="1"/>
  <c r="E25" i="1" s="1"/>
  <c r="B36" i="1"/>
  <c r="C36" i="1" s="1"/>
  <c r="D36" i="1" s="1"/>
  <c r="C2832" i="1" l="1"/>
  <c r="D2832" i="1" s="1"/>
  <c r="B2833" i="1"/>
  <c r="C2703" i="1"/>
  <c r="D2703" i="1" s="1"/>
  <c r="B2704" i="1"/>
  <c r="C2424" i="1"/>
  <c r="D2424" i="1" s="1"/>
  <c r="B2425" i="1"/>
  <c r="C1250" i="1"/>
  <c r="D1250" i="1" s="1"/>
  <c r="B1251" i="1"/>
  <c r="B773" i="1"/>
  <c r="C772" i="1"/>
  <c r="D772" i="1" s="1"/>
  <c r="H25" i="1"/>
  <c r="F25" i="1"/>
  <c r="J25" i="1"/>
  <c r="G25" i="1" s="1"/>
  <c r="B37" i="1"/>
  <c r="C37" i="1" s="1"/>
  <c r="D37" i="1" s="1"/>
  <c r="C2833" i="1" l="1"/>
  <c r="D2833" i="1" s="1"/>
  <c r="B2834" i="1"/>
  <c r="C2704" i="1"/>
  <c r="D2704" i="1" s="1"/>
  <c r="B2705" i="1"/>
  <c r="C2425" i="1"/>
  <c r="D2425" i="1" s="1"/>
  <c r="B2426" i="1"/>
  <c r="C1251" i="1"/>
  <c r="D1251" i="1" s="1"/>
  <c r="B1252" i="1"/>
  <c r="C773" i="1"/>
  <c r="D773" i="1" s="1"/>
  <c r="B774" i="1"/>
  <c r="I25" i="1"/>
  <c r="E26" i="1" s="1"/>
  <c r="B38" i="1"/>
  <c r="C38" i="1" s="1"/>
  <c r="D38" i="1" s="1"/>
  <c r="C2834" i="1" l="1"/>
  <c r="D2834" i="1" s="1"/>
  <c r="B2835" i="1"/>
  <c r="C2705" i="1"/>
  <c r="D2705" i="1" s="1"/>
  <c r="B2706" i="1"/>
  <c r="C2426" i="1"/>
  <c r="D2426" i="1" s="1"/>
  <c r="B2427" i="1"/>
  <c r="C1252" i="1"/>
  <c r="D1252" i="1" s="1"/>
  <c r="B1253" i="1"/>
  <c r="C774" i="1"/>
  <c r="D774" i="1" s="1"/>
  <c r="B775" i="1"/>
  <c r="J26" i="1"/>
  <c r="G26" i="1" s="1"/>
  <c r="F26" i="1"/>
  <c r="H26" i="1"/>
  <c r="B39" i="1"/>
  <c r="C2835" i="1" l="1"/>
  <c r="D2835" i="1" s="1"/>
  <c r="B2836" i="1"/>
  <c r="C2706" i="1"/>
  <c r="D2706" i="1" s="1"/>
  <c r="B2707" i="1"/>
  <c r="C2427" i="1"/>
  <c r="D2427" i="1" s="1"/>
  <c r="B2428" i="1"/>
  <c r="C1253" i="1"/>
  <c r="D1253" i="1" s="1"/>
  <c r="B1254" i="1"/>
  <c r="C775" i="1"/>
  <c r="D775" i="1" s="1"/>
  <c r="B776" i="1"/>
  <c r="I26" i="1"/>
  <c r="E27" i="1" s="1"/>
  <c r="C39" i="1"/>
  <c r="D39" i="1" s="1"/>
  <c r="B40" i="1"/>
  <c r="C2836" i="1" l="1"/>
  <c r="D2836" i="1" s="1"/>
  <c r="B2837" i="1"/>
  <c r="B2708" i="1"/>
  <c r="C2707" i="1"/>
  <c r="D2707" i="1" s="1"/>
  <c r="C2428" i="1"/>
  <c r="D2428" i="1" s="1"/>
  <c r="B2429" i="1"/>
  <c r="C1254" i="1"/>
  <c r="D1254" i="1" s="1"/>
  <c r="B1255" i="1"/>
  <c r="C776" i="1"/>
  <c r="D776" i="1" s="1"/>
  <c r="B777" i="1"/>
  <c r="H27" i="1"/>
  <c r="J27" i="1"/>
  <c r="G27" i="1" s="1"/>
  <c r="F27" i="1"/>
  <c r="C40" i="1"/>
  <c r="D40" i="1" s="1"/>
  <c r="B41" i="1"/>
  <c r="C2837" i="1" l="1"/>
  <c r="D2837" i="1" s="1"/>
  <c r="B2838" i="1"/>
  <c r="C2708" i="1"/>
  <c r="D2708" i="1" s="1"/>
  <c r="B2709" i="1"/>
  <c r="C2429" i="1"/>
  <c r="D2429" i="1" s="1"/>
  <c r="B2430" i="1"/>
  <c r="C1255" i="1"/>
  <c r="D1255" i="1" s="1"/>
  <c r="B1256" i="1"/>
  <c r="C777" i="1"/>
  <c r="D777" i="1" s="1"/>
  <c r="B778" i="1"/>
  <c r="I27" i="1"/>
  <c r="E28" i="1" s="1"/>
  <c r="C41" i="1"/>
  <c r="D41" i="1" s="1"/>
  <c r="B42" i="1"/>
  <c r="C2838" i="1" l="1"/>
  <c r="D2838" i="1" s="1"/>
  <c r="B2839" i="1"/>
  <c r="B2710" i="1"/>
  <c r="C2709" i="1"/>
  <c r="D2709" i="1" s="1"/>
  <c r="C2430" i="1"/>
  <c r="D2430" i="1" s="1"/>
  <c r="B2431" i="1"/>
  <c r="C1256" i="1"/>
  <c r="D1256" i="1" s="1"/>
  <c r="B1257" i="1"/>
  <c r="B779" i="1"/>
  <c r="C778" i="1"/>
  <c r="D778" i="1" s="1"/>
  <c r="J28" i="1"/>
  <c r="G28" i="1" s="1"/>
  <c r="H28" i="1"/>
  <c r="F28" i="1"/>
  <c r="C42" i="1"/>
  <c r="D42" i="1" s="1"/>
  <c r="B43" i="1"/>
  <c r="C2839" i="1" l="1"/>
  <c r="D2839" i="1" s="1"/>
  <c r="B2840" i="1"/>
  <c r="C2710" i="1"/>
  <c r="D2710" i="1" s="1"/>
  <c r="B2711" i="1"/>
  <c r="C2431" i="1"/>
  <c r="D2431" i="1" s="1"/>
  <c r="B2432" i="1"/>
  <c r="C1257" i="1"/>
  <c r="D1257" i="1" s="1"/>
  <c r="B1258" i="1"/>
  <c r="B780" i="1"/>
  <c r="C779" i="1"/>
  <c r="D779" i="1" s="1"/>
  <c r="I28" i="1"/>
  <c r="E29" i="1" s="1"/>
  <c r="C43" i="1"/>
  <c r="D43" i="1" s="1"/>
  <c r="B44" i="1"/>
  <c r="C2840" i="1" l="1"/>
  <c r="D2840" i="1" s="1"/>
  <c r="B2841" i="1"/>
  <c r="C2711" i="1"/>
  <c r="D2711" i="1" s="1"/>
  <c r="B2712" i="1"/>
  <c r="C2432" i="1"/>
  <c r="D2432" i="1" s="1"/>
  <c r="B2433" i="1"/>
  <c r="C1258" i="1"/>
  <c r="D1258" i="1" s="1"/>
  <c r="B1259" i="1"/>
  <c r="B781" i="1"/>
  <c r="C780" i="1"/>
  <c r="D780" i="1" s="1"/>
  <c r="J29" i="1"/>
  <c r="G29" i="1" s="1"/>
  <c r="F29" i="1"/>
  <c r="H29" i="1"/>
  <c r="C44" i="1"/>
  <c r="D44" i="1" s="1"/>
  <c r="B45" i="1"/>
  <c r="C2841" i="1" l="1"/>
  <c r="D2841" i="1" s="1"/>
  <c r="B2842" i="1"/>
  <c r="C2712" i="1"/>
  <c r="D2712" i="1" s="1"/>
  <c r="B2713" i="1"/>
  <c r="C2433" i="1"/>
  <c r="D2433" i="1" s="1"/>
  <c r="B2434" i="1"/>
  <c r="C1259" i="1"/>
  <c r="D1259" i="1" s="1"/>
  <c r="B1260" i="1"/>
  <c r="C781" i="1"/>
  <c r="D781" i="1" s="1"/>
  <c r="B782" i="1"/>
  <c r="I29" i="1"/>
  <c r="E30" i="1" s="1"/>
  <c r="C45" i="1"/>
  <c r="D45" i="1" s="1"/>
  <c r="B46" i="1"/>
  <c r="C2842" i="1" l="1"/>
  <c r="D2842" i="1" s="1"/>
  <c r="B2843" i="1"/>
  <c r="C2713" i="1"/>
  <c r="D2713" i="1" s="1"/>
  <c r="B2714" i="1"/>
  <c r="C2434" i="1"/>
  <c r="D2434" i="1" s="1"/>
  <c r="B2435" i="1"/>
  <c r="C1260" i="1"/>
  <c r="D1260" i="1" s="1"/>
  <c r="B1261" i="1"/>
  <c r="C782" i="1"/>
  <c r="D782" i="1" s="1"/>
  <c r="B783" i="1"/>
  <c r="H30" i="1"/>
  <c r="J30" i="1"/>
  <c r="G30" i="1" s="1"/>
  <c r="F30" i="1"/>
  <c r="B47" i="1"/>
  <c r="C46" i="1"/>
  <c r="D46" i="1" s="1"/>
  <c r="C2843" i="1" l="1"/>
  <c r="D2843" i="1" s="1"/>
  <c r="B2844" i="1"/>
  <c r="C2714" i="1"/>
  <c r="D2714" i="1" s="1"/>
  <c r="B2715" i="1"/>
  <c r="C2435" i="1"/>
  <c r="D2435" i="1" s="1"/>
  <c r="B2436" i="1"/>
  <c r="C1261" i="1"/>
  <c r="D1261" i="1" s="1"/>
  <c r="B1262" i="1"/>
  <c r="B784" i="1"/>
  <c r="C783" i="1"/>
  <c r="D783" i="1" s="1"/>
  <c r="I30" i="1"/>
  <c r="E31" i="1" s="1"/>
  <c r="B48" i="1"/>
  <c r="C47" i="1"/>
  <c r="D47" i="1" s="1"/>
  <c r="C2844" i="1" l="1"/>
  <c r="D2844" i="1" s="1"/>
  <c r="B2845" i="1"/>
  <c r="C2715" i="1"/>
  <c r="D2715" i="1" s="1"/>
  <c r="B2716" i="1"/>
  <c r="C2436" i="1"/>
  <c r="D2436" i="1" s="1"/>
  <c r="B2437" i="1"/>
  <c r="C1262" i="1"/>
  <c r="D1262" i="1" s="1"/>
  <c r="B1263" i="1"/>
  <c r="C784" i="1"/>
  <c r="D784" i="1" s="1"/>
  <c r="B785" i="1"/>
  <c r="F31" i="1"/>
  <c r="J31" i="1"/>
  <c r="G31" i="1" s="1"/>
  <c r="H31" i="1"/>
  <c r="C48" i="1"/>
  <c r="D48" i="1" s="1"/>
  <c r="B49" i="1"/>
  <c r="B2846" i="1" l="1"/>
  <c r="C2845" i="1"/>
  <c r="D2845" i="1" s="1"/>
  <c r="C2716" i="1"/>
  <c r="D2716" i="1" s="1"/>
  <c r="B2717" i="1"/>
  <c r="C2437" i="1"/>
  <c r="D2437" i="1" s="1"/>
  <c r="B2438" i="1"/>
  <c r="C1263" i="1"/>
  <c r="D1263" i="1" s="1"/>
  <c r="B1264" i="1"/>
  <c r="C785" i="1"/>
  <c r="D785" i="1" s="1"/>
  <c r="B786" i="1"/>
  <c r="I31" i="1"/>
  <c r="E32" i="1" s="1"/>
  <c r="B50" i="1"/>
  <c r="C49" i="1"/>
  <c r="D49" i="1" s="1"/>
  <c r="C2846" i="1" l="1"/>
  <c r="D2846" i="1" s="1"/>
  <c r="B2847" i="1"/>
  <c r="C2717" i="1"/>
  <c r="D2717" i="1" s="1"/>
  <c r="B2718" i="1"/>
  <c r="C2438" i="1"/>
  <c r="D2438" i="1" s="1"/>
  <c r="B2439" i="1"/>
  <c r="C1264" i="1"/>
  <c r="D1264" i="1" s="1"/>
  <c r="B1265" i="1"/>
  <c r="B787" i="1"/>
  <c r="C786" i="1"/>
  <c r="D786" i="1" s="1"/>
  <c r="J32" i="1"/>
  <c r="G32" i="1" s="1"/>
  <c r="H32" i="1"/>
  <c r="F32" i="1"/>
  <c r="B51" i="1"/>
  <c r="C50" i="1"/>
  <c r="D50" i="1" s="1"/>
  <c r="C2847" i="1" l="1"/>
  <c r="D2847" i="1" s="1"/>
  <c r="B2848" i="1"/>
  <c r="C2718" i="1"/>
  <c r="D2718" i="1" s="1"/>
  <c r="B2719" i="1"/>
  <c r="C2439" i="1"/>
  <c r="D2439" i="1" s="1"/>
  <c r="B2440" i="1"/>
  <c r="C1265" i="1"/>
  <c r="D1265" i="1" s="1"/>
  <c r="B1266" i="1"/>
  <c r="C787" i="1"/>
  <c r="D787" i="1" s="1"/>
  <c r="B788" i="1"/>
  <c r="I32" i="1"/>
  <c r="E33" i="1" s="1"/>
  <c r="C51" i="1"/>
  <c r="D51" i="1" s="1"/>
  <c r="B52" i="1"/>
  <c r="C2848" i="1" l="1"/>
  <c r="D2848" i="1" s="1"/>
  <c r="B2849" i="1"/>
  <c r="C2719" i="1"/>
  <c r="D2719" i="1" s="1"/>
  <c r="B2720" i="1"/>
  <c r="C2440" i="1"/>
  <c r="D2440" i="1" s="1"/>
  <c r="B2441" i="1"/>
  <c r="C1266" i="1"/>
  <c r="D1266" i="1" s="1"/>
  <c r="B1267" i="1"/>
  <c r="C788" i="1"/>
  <c r="D788" i="1" s="1"/>
  <c r="B789" i="1"/>
  <c r="F33" i="1"/>
  <c r="J33" i="1"/>
  <c r="G33" i="1" s="1"/>
  <c r="H33" i="1"/>
  <c r="C52" i="1"/>
  <c r="D52" i="1" s="1"/>
  <c r="B53" i="1"/>
  <c r="C2849" i="1" l="1"/>
  <c r="D2849" i="1" s="1"/>
  <c r="B2850" i="1"/>
  <c r="C2720" i="1"/>
  <c r="D2720" i="1" s="1"/>
  <c r="B2721" i="1"/>
  <c r="C2441" i="1"/>
  <c r="D2441" i="1" s="1"/>
  <c r="B2442" i="1"/>
  <c r="C1267" i="1"/>
  <c r="D1267" i="1" s="1"/>
  <c r="B1268" i="1"/>
  <c r="C789" i="1"/>
  <c r="D789" i="1" s="1"/>
  <c r="B790" i="1"/>
  <c r="I33" i="1"/>
  <c r="E34" i="1" s="1"/>
  <c r="C53" i="1"/>
  <c r="D53" i="1" s="1"/>
  <c r="B54" i="1"/>
  <c r="C2850" i="1" l="1"/>
  <c r="D2850" i="1" s="1"/>
  <c r="B2851" i="1"/>
  <c r="C2721" i="1"/>
  <c r="D2721" i="1" s="1"/>
  <c r="B2722" i="1"/>
  <c r="C2442" i="1"/>
  <c r="D2442" i="1" s="1"/>
  <c r="B2443" i="1"/>
  <c r="C1268" i="1"/>
  <c r="D1268" i="1" s="1"/>
  <c r="B1269" i="1"/>
  <c r="C790" i="1"/>
  <c r="D790" i="1" s="1"/>
  <c r="B791" i="1"/>
  <c r="J34" i="1"/>
  <c r="G34" i="1" s="1"/>
  <c r="F34" i="1"/>
  <c r="H34" i="1"/>
  <c r="C54" i="1"/>
  <c r="D54" i="1" s="1"/>
  <c r="B55" i="1"/>
  <c r="C2851" i="1" l="1"/>
  <c r="D2851" i="1" s="1"/>
  <c r="B2852" i="1"/>
  <c r="C2722" i="1"/>
  <c r="D2722" i="1" s="1"/>
  <c r="B2723" i="1"/>
  <c r="C2443" i="1"/>
  <c r="D2443" i="1" s="1"/>
  <c r="B2444" i="1"/>
  <c r="C1269" i="1"/>
  <c r="D1269" i="1" s="1"/>
  <c r="B1270" i="1"/>
  <c r="C791" i="1"/>
  <c r="D791" i="1" s="1"/>
  <c r="B792" i="1"/>
  <c r="I34" i="1"/>
  <c r="E35" i="1" s="1"/>
  <c r="B56" i="1"/>
  <c r="C55" i="1"/>
  <c r="D55" i="1" s="1"/>
  <c r="C2852" i="1" l="1"/>
  <c r="D2852" i="1" s="1"/>
  <c r="B2853" i="1"/>
  <c r="C2723" i="1"/>
  <c r="D2723" i="1" s="1"/>
  <c r="B2724" i="1"/>
  <c r="C2444" i="1"/>
  <c r="D2444" i="1" s="1"/>
  <c r="B2445" i="1"/>
  <c r="C1270" i="1"/>
  <c r="D1270" i="1" s="1"/>
  <c r="B1271" i="1"/>
  <c r="C792" i="1"/>
  <c r="D792" i="1" s="1"/>
  <c r="B793" i="1"/>
  <c r="F35" i="1"/>
  <c r="H35" i="1"/>
  <c r="J35" i="1"/>
  <c r="G35" i="1" s="1"/>
  <c r="C56" i="1"/>
  <c r="D56" i="1" s="1"/>
  <c r="B57" i="1"/>
  <c r="C2853" i="1" l="1"/>
  <c r="D2853" i="1" s="1"/>
  <c r="B2854" i="1"/>
  <c r="B2725" i="1"/>
  <c r="C2724" i="1"/>
  <c r="D2724" i="1" s="1"/>
  <c r="C2445" i="1"/>
  <c r="D2445" i="1" s="1"/>
  <c r="B2446" i="1"/>
  <c r="C1271" i="1"/>
  <c r="D1271" i="1" s="1"/>
  <c r="B1272" i="1"/>
  <c r="C793" i="1"/>
  <c r="D793" i="1" s="1"/>
  <c r="B794" i="1"/>
  <c r="I35" i="1"/>
  <c r="E36" i="1" s="1"/>
  <c r="C57" i="1"/>
  <c r="D57" i="1" s="1"/>
  <c r="B58" i="1"/>
  <c r="C2854" i="1" l="1"/>
  <c r="D2854" i="1" s="1"/>
  <c r="B2855" i="1"/>
  <c r="C2725" i="1"/>
  <c r="D2725" i="1" s="1"/>
  <c r="B2726" i="1"/>
  <c r="C2446" i="1"/>
  <c r="D2446" i="1" s="1"/>
  <c r="B2447" i="1"/>
  <c r="C1272" i="1"/>
  <c r="D1272" i="1" s="1"/>
  <c r="B1273" i="1"/>
  <c r="C794" i="1"/>
  <c r="D794" i="1" s="1"/>
  <c r="B795" i="1"/>
  <c r="J36" i="1"/>
  <c r="G36" i="1" s="1"/>
  <c r="H36" i="1"/>
  <c r="F36" i="1"/>
  <c r="C58" i="1"/>
  <c r="D58" i="1" s="1"/>
  <c r="B59" i="1"/>
  <c r="B2856" i="1" l="1"/>
  <c r="C2855" i="1"/>
  <c r="D2855" i="1" s="1"/>
  <c r="C2726" i="1"/>
  <c r="D2726" i="1" s="1"/>
  <c r="B2727" i="1"/>
  <c r="C2447" i="1"/>
  <c r="D2447" i="1" s="1"/>
  <c r="B2448" i="1"/>
  <c r="B1274" i="1"/>
  <c r="C1273" i="1"/>
  <c r="D1273" i="1" s="1"/>
  <c r="B796" i="1"/>
  <c r="C795" i="1"/>
  <c r="D795" i="1" s="1"/>
  <c r="I36" i="1"/>
  <c r="E37" i="1" s="1"/>
  <c r="C59" i="1"/>
  <c r="D59" i="1" s="1"/>
  <c r="B60" i="1"/>
  <c r="C2856" i="1" l="1"/>
  <c r="D2856" i="1" s="1"/>
  <c r="B2857" i="1"/>
  <c r="C2727" i="1"/>
  <c r="D2727" i="1" s="1"/>
  <c r="B2728" i="1"/>
  <c r="C2448" i="1"/>
  <c r="D2448" i="1" s="1"/>
  <c r="B2449" i="1"/>
  <c r="C1274" i="1"/>
  <c r="D1274" i="1" s="1"/>
  <c r="B1275" i="1"/>
  <c r="B797" i="1"/>
  <c r="C796" i="1"/>
  <c r="D796" i="1" s="1"/>
  <c r="H37" i="1"/>
  <c r="F37" i="1"/>
  <c r="J37" i="1"/>
  <c r="G37" i="1" s="1"/>
  <c r="C60" i="1"/>
  <c r="D60" i="1" s="1"/>
  <c r="B61" i="1"/>
  <c r="C2857" i="1" l="1"/>
  <c r="D2857" i="1" s="1"/>
  <c r="B2858" i="1"/>
  <c r="C2728" i="1"/>
  <c r="D2728" i="1" s="1"/>
  <c r="B2729" i="1"/>
  <c r="C2449" i="1"/>
  <c r="D2449" i="1" s="1"/>
  <c r="B2450" i="1"/>
  <c r="C1275" i="1"/>
  <c r="D1275" i="1" s="1"/>
  <c r="B1276" i="1"/>
  <c r="B798" i="1"/>
  <c r="C797" i="1"/>
  <c r="D797" i="1" s="1"/>
  <c r="I37" i="1"/>
  <c r="E38" i="1" s="1"/>
  <c r="C61" i="1"/>
  <c r="D61" i="1" s="1"/>
  <c r="B62" i="1"/>
  <c r="C2858" i="1" l="1"/>
  <c r="D2858" i="1" s="1"/>
  <c r="B2859" i="1"/>
  <c r="C2729" i="1"/>
  <c r="D2729" i="1" s="1"/>
  <c r="B2730" i="1"/>
  <c r="C2450" i="1"/>
  <c r="D2450" i="1" s="1"/>
  <c r="B2451" i="1"/>
  <c r="C1276" i="1"/>
  <c r="D1276" i="1" s="1"/>
  <c r="B1277" i="1"/>
  <c r="B799" i="1"/>
  <c r="C798" i="1"/>
  <c r="D798" i="1" s="1"/>
  <c r="H38" i="1"/>
  <c r="F38" i="1"/>
  <c r="J38" i="1"/>
  <c r="G38" i="1" s="1"/>
  <c r="C62" i="1"/>
  <c r="D62" i="1" s="1"/>
  <c r="B63" i="1"/>
  <c r="C2859" i="1" l="1"/>
  <c r="D2859" i="1" s="1"/>
  <c r="B2860" i="1"/>
  <c r="C2730" i="1"/>
  <c r="D2730" i="1" s="1"/>
  <c r="B2731" i="1"/>
  <c r="C2451" i="1"/>
  <c r="D2451" i="1" s="1"/>
  <c r="B2452" i="1"/>
  <c r="C1277" i="1"/>
  <c r="D1277" i="1" s="1"/>
  <c r="B1278" i="1"/>
  <c r="B800" i="1"/>
  <c r="C799" i="1"/>
  <c r="D799" i="1" s="1"/>
  <c r="I38" i="1"/>
  <c r="E39" i="1" s="1"/>
  <c r="C63" i="1"/>
  <c r="D63" i="1" s="1"/>
  <c r="B64" i="1"/>
  <c r="C2860" i="1" l="1"/>
  <c r="D2860" i="1" s="1"/>
  <c r="B2861" i="1"/>
  <c r="B2732" i="1"/>
  <c r="C2731" i="1"/>
  <c r="D2731" i="1" s="1"/>
  <c r="C2452" i="1"/>
  <c r="D2452" i="1" s="1"/>
  <c r="B2453" i="1"/>
  <c r="C1278" i="1"/>
  <c r="D1278" i="1" s="1"/>
  <c r="B1279" i="1"/>
  <c r="C800" i="1"/>
  <c r="D800" i="1" s="1"/>
  <c r="B801" i="1"/>
  <c r="H39" i="1"/>
  <c r="J39" i="1"/>
  <c r="G39" i="1" s="1"/>
  <c r="F39" i="1"/>
  <c r="C64" i="1"/>
  <c r="D64" i="1" s="1"/>
  <c r="B65" i="1"/>
  <c r="C2861" i="1" l="1"/>
  <c r="D2861" i="1" s="1"/>
  <c r="B2862" i="1"/>
  <c r="C2732" i="1"/>
  <c r="D2732" i="1" s="1"/>
  <c r="B2733" i="1"/>
  <c r="B2454" i="1"/>
  <c r="C2453" i="1"/>
  <c r="D2453" i="1" s="1"/>
  <c r="C1279" i="1"/>
  <c r="D1279" i="1" s="1"/>
  <c r="B1280" i="1"/>
  <c r="C801" i="1"/>
  <c r="D801" i="1" s="1"/>
  <c r="B802" i="1"/>
  <c r="I39" i="1"/>
  <c r="E40" i="1" s="1"/>
  <c r="C65" i="1"/>
  <c r="D65" i="1" s="1"/>
  <c r="B66" i="1"/>
  <c r="C2862" i="1" l="1"/>
  <c r="D2862" i="1" s="1"/>
  <c r="B2863" i="1"/>
  <c r="B2734" i="1"/>
  <c r="C2733" i="1"/>
  <c r="D2733" i="1" s="1"/>
  <c r="C2454" i="1"/>
  <c r="D2454" i="1" s="1"/>
  <c r="B2455" i="1"/>
  <c r="C1280" i="1"/>
  <c r="D1280" i="1" s="1"/>
  <c r="B1281" i="1"/>
  <c r="C802" i="1"/>
  <c r="D802" i="1" s="1"/>
  <c r="B803" i="1"/>
  <c r="F40" i="1"/>
  <c r="J40" i="1"/>
  <c r="G40" i="1" s="1"/>
  <c r="H40" i="1"/>
  <c r="C66" i="1"/>
  <c r="D66" i="1" s="1"/>
  <c r="B67" i="1"/>
  <c r="C2863" i="1" l="1"/>
  <c r="D2863" i="1" s="1"/>
  <c r="B2864" i="1"/>
  <c r="C2734" i="1"/>
  <c r="D2734" i="1" s="1"/>
  <c r="B2735" i="1"/>
  <c r="C2455" i="1"/>
  <c r="D2455" i="1" s="1"/>
  <c r="B2456" i="1"/>
  <c r="C1281" i="1"/>
  <c r="D1281" i="1" s="1"/>
  <c r="B1282" i="1"/>
  <c r="B804" i="1"/>
  <c r="C803" i="1"/>
  <c r="D803" i="1" s="1"/>
  <c r="I40" i="1"/>
  <c r="E41" i="1" s="1"/>
  <c r="C67" i="1"/>
  <c r="D67" i="1" s="1"/>
  <c r="B68" i="1"/>
  <c r="C2864" i="1" l="1"/>
  <c r="D2864" i="1" s="1"/>
  <c r="B2865" i="1"/>
  <c r="C2735" i="1"/>
  <c r="D2735" i="1" s="1"/>
  <c r="B2736" i="1"/>
  <c r="C2456" i="1"/>
  <c r="D2456" i="1" s="1"/>
  <c r="B2457" i="1"/>
  <c r="C1282" i="1"/>
  <c r="D1282" i="1" s="1"/>
  <c r="B1283" i="1"/>
  <c r="B805" i="1"/>
  <c r="C804" i="1"/>
  <c r="D804" i="1" s="1"/>
  <c r="H41" i="1"/>
  <c r="F41" i="1"/>
  <c r="J41" i="1"/>
  <c r="G41" i="1" s="1"/>
  <c r="B69" i="1"/>
  <c r="C68" i="1"/>
  <c r="D68" i="1" s="1"/>
  <c r="B2866" i="1" l="1"/>
  <c r="C2865" i="1"/>
  <c r="D2865" i="1" s="1"/>
  <c r="C2736" i="1"/>
  <c r="D2736" i="1" s="1"/>
  <c r="B2737" i="1"/>
  <c r="C2457" i="1"/>
  <c r="D2457" i="1" s="1"/>
  <c r="B2458" i="1"/>
  <c r="B1284" i="1"/>
  <c r="C1283" i="1"/>
  <c r="D1283" i="1" s="1"/>
  <c r="B806" i="1"/>
  <c r="C805" i="1"/>
  <c r="D805" i="1" s="1"/>
  <c r="I41" i="1"/>
  <c r="E42" i="1" s="1"/>
  <c r="C69" i="1"/>
  <c r="D69" i="1" s="1"/>
  <c r="B70" i="1"/>
  <c r="C2866" i="1" l="1"/>
  <c r="D2866" i="1" s="1"/>
  <c r="B2867" i="1"/>
  <c r="C2737" i="1"/>
  <c r="D2737" i="1" s="1"/>
  <c r="B2738" i="1"/>
  <c r="C2458" i="1"/>
  <c r="D2458" i="1" s="1"/>
  <c r="B2459" i="1"/>
  <c r="C1284" i="1"/>
  <c r="D1284" i="1" s="1"/>
  <c r="B1285" i="1"/>
  <c r="B807" i="1"/>
  <c r="C806" i="1"/>
  <c r="D806" i="1" s="1"/>
  <c r="H42" i="1"/>
  <c r="J42" i="1"/>
  <c r="F42" i="1"/>
  <c r="C70" i="1"/>
  <c r="D70" i="1" s="1"/>
  <c r="B71" i="1"/>
  <c r="C2867" i="1" l="1"/>
  <c r="D2867" i="1" s="1"/>
  <c r="B2868" i="1"/>
  <c r="C2738" i="1"/>
  <c r="D2738" i="1" s="1"/>
  <c r="B2739" i="1"/>
  <c r="C2459" i="1"/>
  <c r="D2459" i="1" s="1"/>
  <c r="B2460" i="1"/>
  <c r="C1285" i="1"/>
  <c r="D1285" i="1" s="1"/>
  <c r="B1286" i="1"/>
  <c r="C807" i="1"/>
  <c r="D807" i="1" s="1"/>
  <c r="B808" i="1"/>
  <c r="G42" i="1"/>
  <c r="I42" i="1" s="1"/>
  <c r="E43" i="1" s="1"/>
  <c r="C71" i="1"/>
  <c r="D71" i="1" s="1"/>
  <c r="B72" i="1"/>
  <c r="C2868" i="1" l="1"/>
  <c r="D2868" i="1" s="1"/>
  <c r="B2869" i="1"/>
  <c r="C2739" i="1"/>
  <c r="D2739" i="1" s="1"/>
  <c r="B2740" i="1"/>
  <c r="C2460" i="1"/>
  <c r="D2460" i="1" s="1"/>
  <c r="B2461" i="1"/>
  <c r="C1286" i="1"/>
  <c r="D1286" i="1" s="1"/>
  <c r="B1287" i="1"/>
  <c r="C808" i="1"/>
  <c r="D808" i="1" s="1"/>
  <c r="B809" i="1"/>
  <c r="H43" i="1"/>
  <c r="J43" i="1"/>
  <c r="G43" i="1" s="1"/>
  <c r="F43" i="1"/>
  <c r="C72" i="1"/>
  <c r="D72" i="1" s="1"/>
  <c r="B73" i="1"/>
  <c r="B2870" i="1" l="1"/>
  <c r="C2869" i="1"/>
  <c r="D2869" i="1" s="1"/>
  <c r="B2741" i="1"/>
  <c r="C2740" i="1"/>
  <c r="D2740" i="1" s="1"/>
  <c r="C2461" i="1"/>
  <c r="D2461" i="1" s="1"/>
  <c r="B2462" i="1"/>
  <c r="C1287" i="1"/>
  <c r="D1287" i="1" s="1"/>
  <c r="B1288" i="1"/>
  <c r="C809" i="1"/>
  <c r="D809" i="1" s="1"/>
  <c r="B810" i="1"/>
  <c r="I43" i="1"/>
  <c r="E44" i="1" s="1"/>
  <c r="C73" i="1"/>
  <c r="D73" i="1" s="1"/>
  <c r="B74" i="1"/>
  <c r="C2870" i="1" l="1"/>
  <c r="D2870" i="1" s="1"/>
  <c r="B2871" i="1"/>
  <c r="C2741" i="1"/>
  <c r="D2741" i="1" s="1"/>
  <c r="B2742" i="1"/>
  <c r="C2462" i="1"/>
  <c r="D2462" i="1" s="1"/>
  <c r="B2463" i="1"/>
  <c r="C1288" i="1"/>
  <c r="D1288" i="1" s="1"/>
  <c r="B1289" i="1"/>
  <c r="B811" i="1"/>
  <c r="C810" i="1"/>
  <c r="D810" i="1" s="1"/>
  <c r="J44" i="1"/>
  <c r="G44" i="1" s="1"/>
  <c r="H44" i="1"/>
  <c r="F44" i="1"/>
  <c r="C74" i="1"/>
  <c r="D74" i="1" s="1"/>
  <c r="B75" i="1"/>
  <c r="C2871" i="1" l="1"/>
  <c r="D2871" i="1" s="1"/>
  <c r="B2872" i="1"/>
  <c r="C2742" i="1"/>
  <c r="D2742" i="1" s="1"/>
  <c r="B2743" i="1"/>
  <c r="C2463" i="1"/>
  <c r="D2463" i="1" s="1"/>
  <c r="B2464" i="1"/>
  <c r="B1290" i="1"/>
  <c r="C1289" i="1"/>
  <c r="D1289" i="1" s="1"/>
  <c r="B812" i="1"/>
  <c r="C811" i="1"/>
  <c r="D811" i="1" s="1"/>
  <c r="I44" i="1"/>
  <c r="E45" i="1" s="1"/>
  <c r="C75" i="1"/>
  <c r="D75" i="1" s="1"/>
  <c r="B76" i="1"/>
  <c r="C2872" i="1" l="1"/>
  <c r="D2872" i="1" s="1"/>
  <c r="B2873" i="1"/>
  <c r="C2743" i="1"/>
  <c r="D2743" i="1" s="1"/>
  <c r="B2744" i="1"/>
  <c r="C2464" i="1"/>
  <c r="D2464" i="1" s="1"/>
  <c r="B2465" i="1"/>
  <c r="C1290" i="1"/>
  <c r="D1290" i="1" s="1"/>
  <c r="B1291" i="1"/>
  <c r="B813" i="1"/>
  <c r="C812" i="1"/>
  <c r="D812" i="1" s="1"/>
  <c r="J45" i="1"/>
  <c r="G45" i="1" s="1"/>
  <c r="H45" i="1"/>
  <c r="F45" i="1"/>
  <c r="B77" i="1"/>
  <c r="C76" i="1"/>
  <c r="D76" i="1" s="1"/>
  <c r="C2873" i="1" l="1"/>
  <c r="D2873" i="1" s="1"/>
  <c r="B2874" i="1"/>
  <c r="C2744" i="1"/>
  <c r="D2744" i="1" s="1"/>
  <c r="B2745" i="1"/>
  <c r="B2466" i="1"/>
  <c r="C2465" i="1"/>
  <c r="D2465" i="1" s="1"/>
  <c r="B1292" i="1"/>
  <c r="C1291" i="1"/>
  <c r="D1291" i="1" s="1"/>
  <c r="C813" i="1"/>
  <c r="D813" i="1" s="1"/>
  <c r="B814" i="1"/>
  <c r="I45" i="1"/>
  <c r="E46" i="1" s="1"/>
  <c r="C77" i="1"/>
  <c r="D77" i="1" s="1"/>
  <c r="B78" i="1"/>
  <c r="C2874" i="1" l="1"/>
  <c r="D2874" i="1" s="1"/>
  <c r="B2875" i="1"/>
  <c r="C2745" i="1"/>
  <c r="D2745" i="1" s="1"/>
  <c r="B2746" i="1"/>
  <c r="C2466" i="1"/>
  <c r="D2466" i="1" s="1"/>
  <c r="B2467" i="1"/>
  <c r="C1292" i="1"/>
  <c r="D1292" i="1" s="1"/>
  <c r="B1293" i="1"/>
  <c r="C814" i="1"/>
  <c r="D814" i="1" s="1"/>
  <c r="B815" i="1"/>
  <c r="J46" i="1"/>
  <c r="G46" i="1" s="1"/>
  <c r="H46" i="1"/>
  <c r="F46" i="1"/>
  <c r="C78" i="1"/>
  <c r="D78" i="1" s="1"/>
  <c r="B79" i="1"/>
  <c r="C2875" i="1" l="1"/>
  <c r="D2875" i="1" s="1"/>
  <c r="B2876" i="1"/>
  <c r="C2746" i="1"/>
  <c r="D2746" i="1" s="1"/>
  <c r="B2747" i="1"/>
  <c r="C2467" i="1"/>
  <c r="D2467" i="1" s="1"/>
  <c r="B2468" i="1"/>
  <c r="C1293" i="1"/>
  <c r="D1293" i="1" s="1"/>
  <c r="B1294" i="1"/>
  <c r="C815" i="1"/>
  <c r="D815" i="1" s="1"/>
  <c r="B816" i="1"/>
  <c r="I46" i="1"/>
  <c r="E47" i="1" s="1"/>
  <c r="C79" i="1"/>
  <c r="D79" i="1" s="1"/>
  <c r="B80" i="1"/>
  <c r="C2876" i="1" l="1"/>
  <c r="D2876" i="1" s="1"/>
  <c r="B2877" i="1"/>
  <c r="C2747" i="1"/>
  <c r="D2747" i="1" s="1"/>
  <c r="B2748" i="1"/>
  <c r="C2468" i="1"/>
  <c r="D2468" i="1" s="1"/>
  <c r="B2469" i="1"/>
  <c r="C1294" i="1"/>
  <c r="D1294" i="1" s="1"/>
  <c r="B1295" i="1"/>
  <c r="C816" i="1"/>
  <c r="D816" i="1" s="1"/>
  <c r="B817" i="1"/>
  <c r="J47" i="1"/>
  <c r="G47" i="1" s="1"/>
  <c r="H47" i="1"/>
  <c r="F47" i="1"/>
  <c r="B81" i="1"/>
  <c r="C80" i="1"/>
  <c r="D80" i="1" s="1"/>
  <c r="C2877" i="1" l="1"/>
  <c r="D2877" i="1" s="1"/>
  <c r="B2878" i="1"/>
  <c r="C2748" i="1"/>
  <c r="D2748" i="1" s="1"/>
  <c r="B2749" i="1"/>
  <c r="B2470" i="1"/>
  <c r="C2469" i="1"/>
  <c r="D2469" i="1" s="1"/>
  <c r="B1296" i="1"/>
  <c r="C1295" i="1"/>
  <c r="D1295" i="1" s="1"/>
  <c r="C817" i="1"/>
  <c r="D817" i="1" s="1"/>
  <c r="B818" i="1"/>
  <c r="I47" i="1"/>
  <c r="E48" i="1" s="1"/>
  <c r="C81" i="1"/>
  <c r="D81" i="1" s="1"/>
  <c r="B82" i="1"/>
  <c r="B2879" i="1" l="1"/>
  <c r="C2878" i="1"/>
  <c r="D2878" i="1" s="1"/>
  <c r="C2749" i="1"/>
  <c r="D2749" i="1" s="1"/>
  <c r="B2750" i="1"/>
  <c r="B2471" i="1"/>
  <c r="C2470" i="1"/>
  <c r="D2470" i="1" s="1"/>
  <c r="B1297" i="1"/>
  <c r="C1296" i="1"/>
  <c r="D1296" i="1" s="1"/>
  <c r="B819" i="1"/>
  <c r="C818" i="1"/>
  <c r="D818" i="1" s="1"/>
  <c r="F48" i="1"/>
  <c r="H48" i="1"/>
  <c r="J48" i="1"/>
  <c r="G48" i="1" s="1"/>
  <c r="C82" i="1"/>
  <c r="D82" i="1" s="1"/>
  <c r="B83" i="1"/>
  <c r="B2880" i="1" l="1"/>
  <c r="C2879" i="1"/>
  <c r="D2879" i="1" s="1"/>
  <c r="C2750" i="1"/>
  <c r="D2750" i="1" s="1"/>
  <c r="B2751" i="1"/>
  <c r="B2472" i="1"/>
  <c r="C2471" i="1"/>
  <c r="D2471" i="1" s="1"/>
  <c r="B1298" i="1"/>
  <c r="C1297" i="1"/>
  <c r="D1297" i="1" s="1"/>
  <c r="C819" i="1"/>
  <c r="D819" i="1" s="1"/>
  <c r="B820" i="1"/>
  <c r="I48" i="1"/>
  <c r="E49" i="1" s="1"/>
  <c r="C83" i="1"/>
  <c r="D83" i="1" s="1"/>
  <c r="B84" i="1"/>
  <c r="C2880" i="1" l="1"/>
  <c r="D2880" i="1" s="1"/>
  <c r="B2881" i="1"/>
  <c r="C2751" i="1"/>
  <c r="D2751" i="1" s="1"/>
  <c r="B2752" i="1"/>
  <c r="C2472" i="1"/>
  <c r="D2472" i="1" s="1"/>
  <c r="B2473" i="1"/>
  <c r="C1298" i="1"/>
  <c r="D1298" i="1" s="1"/>
  <c r="B1299" i="1"/>
  <c r="C820" i="1"/>
  <c r="D820" i="1" s="1"/>
  <c r="B821" i="1"/>
  <c r="H49" i="1"/>
  <c r="F49" i="1"/>
  <c r="J49" i="1"/>
  <c r="G49" i="1" s="1"/>
  <c r="C84" i="1"/>
  <c r="D84" i="1" s="1"/>
  <c r="B85" i="1"/>
  <c r="C2881" i="1" l="1"/>
  <c r="D2881" i="1" s="1"/>
  <c r="B2882" i="1"/>
  <c r="C2752" i="1"/>
  <c r="D2752" i="1" s="1"/>
  <c r="B2753" i="1"/>
  <c r="B2474" i="1"/>
  <c r="C2473" i="1"/>
  <c r="D2473" i="1" s="1"/>
  <c r="C1299" i="1"/>
  <c r="D1299" i="1" s="1"/>
  <c r="B1300" i="1"/>
  <c r="C821" i="1"/>
  <c r="D821" i="1" s="1"/>
  <c r="B822" i="1"/>
  <c r="I49" i="1"/>
  <c r="E50" i="1" s="1"/>
  <c r="C85" i="1"/>
  <c r="D85" i="1" s="1"/>
  <c r="B86" i="1"/>
  <c r="C2882" i="1" l="1"/>
  <c r="D2882" i="1" s="1"/>
  <c r="B2883" i="1"/>
  <c r="C2753" i="1"/>
  <c r="D2753" i="1" s="1"/>
  <c r="B2754" i="1"/>
  <c r="B2475" i="1"/>
  <c r="C2474" i="1"/>
  <c r="D2474" i="1" s="1"/>
  <c r="C1300" i="1"/>
  <c r="D1300" i="1" s="1"/>
  <c r="B1301" i="1"/>
  <c r="C822" i="1"/>
  <c r="D822" i="1" s="1"/>
  <c r="B823" i="1"/>
  <c r="J50" i="1"/>
  <c r="G50" i="1" s="1"/>
  <c r="H50" i="1"/>
  <c r="F50" i="1"/>
  <c r="C86" i="1"/>
  <c r="D86" i="1" s="1"/>
  <c r="B87" i="1"/>
  <c r="C2883" i="1" l="1"/>
  <c r="D2883" i="1" s="1"/>
  <c r="B2884" i="1"/>
  <c r="C2754" i="1"/>
  <c r="D2754" i="1" s="1"/>
  <c r="B2755" i="1"/>
  <c r="C2475" i="1"/>
  <c r="D2475" i="1" s="1"/>
  <c r="B2476" i="1"/>
  <c r="C1301" i="1"/>
  <c r="D1301" i="1" s="1"/>
  <c r="B1302" i="1"/>
  <c r="B824" i="1"/>
  <c r="C823" i="1"/>
  <c r="D823" i="1" s="1"/>
  <c r="I50" i="1"/>
  <c r="E51" i="1" s="1"/>
  <c r="C87" i="1"/>
  <c r="D87" i="1" s="1"/>
  <c r="B88" i="1"/>
  <c r="C2884" i="1" l="1"/>
  <c r="D2884" i="1" s="1"/>
  <c r="B2885" i="1"/>
  <c r="B2756" i="1"/>
  <c r="C2755" i="1"/>
  <c r="D2755" i="1" s="1"/>
  <c r="B2477" i="1"/>
  <c r="C2476" i="1"/>
  <c r="D2476" i="1" s="1"/>
  <c r="C1302" i="1"/>
  <c r="D1302" i="1" s="1"/>
  <c r="B1303" i="1"/>
  <c r="C824" i="1"/>
  <c r="D824" i="1" s="1"/>
  <c r="B825" i="1"/>
  <c r="J51" i="1"/>
  <c r="G51" i="1" s="1"/>
  <c r="H51" i="1"/>
  <c r="F51" i="1"/>
  <c r="B89" i="1"/>
  <c r="C88" i="1"/>
  <c r="D88" i="1" s="1"/>
  <c r="C2885" i="1" l="1"/>
  <c r="D2885" i="1" s="1"/>
  <c r="B2886" i="1"/>
  <c r="C2756" i="1"/>
  <c r="D2756" i="1" s="1"/>
  <c r="B2757" i="1"/>
  <c r="B2478" i="1"/>
  <c r="C2477" i="1"/>
  <c r="D2477" i="1" s="1"/>
  <c r="C1303" i="1"/>
  <c r="D1303" i="1" s="1"/>
  <c r="B1304" i="1"/>
  <c r="C825" i="1"/>
  <c r="D825" i="1" s="1"/>
  <c r="B826" i="1"/>
  <c r="I51" i="1"/>
  <c r="E52" i="1" s="1"/>
  <c r="C89" i="1"/>
  <c r="D89" i="1" s="1"/>
  <c r="B90" i="1"/>
  <c r="C2886" i="1" l="1"/>
  <c r="D2886" i="1" s="1"/>
  <c r="B2887" i="1"/>
  <c r="C2757" i="1"/>
  <c r="D2757" i="1" s="1"/>
  <c r="B2758" i="1"/>
  <c r="C2478" i="1"/>
  <c r="D2478" i="1" s="1"/>
  <c r="B2479" i="1"/>
  <c r="C1304" i="1"/>
  <c r="D1304" i="1" s="1"/>
  <c r="B1305" i="1"/>
  <c r="B827" i="1"/>
  <c r="C826" i="1"/>
  <c r="D826" i="1" s="1"/>
  <c r="J52" i="1"/>
  <c r="G52" i="1" s="1"/>
  <c r="F52" i="1"/>
  <c r="H52" i="1"/>
  <c r="B91" i="1"/>
  <c r="C90" i="1"/>
  <c r="D90" i="1" s="1"/>
  <c r="C2887" i="1" l="1"/>
  <c r="D2887" i="1" s="1"/>
  <c r="B2888" i="1"/>
  <c r="C2758" i="1"/>
  <c r="D2758" i="1" s="1"/>
  <c r="B2759" i="1"/>
  <c r="C2479" i="1"/>
  <c r="D2479" i="1" s="1"/>
  <c r="B2480" i="1"/>
  <c r="B1306" i="1"/>
  <c r="C1305" i="1"/>
  <c r="D1305" i="1" s="1"/>
  <c r="B828" i="1"/>
  <c r="C827" i="1"/>
  <c r="D827" i="1" s="1"/>
  <c r="I52" i="1"/>
  <c r="E53" i="1" s="1"/>
  <c r="C91" i="1"/>
  <c r="D91" i="1" s="1"/>
  <c r="B92" i="1"/>
  <c r="C2888" i="1" l="1"/>
  <c r="D2888" i="1" s="1"/>
  <c r="B2889" i="1"/>
  <c r="C2759" i="1"/>
  <c r="D2759" i="1" s="1"/>
  <c r="B2760" i="1"/>
  <c r="C2480" i="1"/>
  <c r="D2480" i="1" s="1"/>
  <c r="B2481" i="1"/>
  <c r="C1306" i="1"/>
  <c r="D1306" i="1" s="1"/>
  <c r="B1307" i="1"/>
  <c r="B829" i="1"/>
  <c r="C828" i="1"/>
  <c r="D828" i="1" s="1"/>
  <c r="J53" i="1"/>
  <c r="G53" i="1" s="1"/>
  <c r="H53" i="1"/>
  <c r="F53" i="1"/>
  <c r="B93" i="1"/>
  <c r="C92" i="1"/>
  <c r="D92" i="1" s="1"/>
  <c r="B2890" i="1" l="1"/>
  <c r="C2889" i="1"/>
  <c r="D2889" i="1" s="1"/>
  <c r="C2760" i="1"/>
  <c r="D2760" i="1" s="1"/>
  <c r="B2761" i="1"/>
  <c r="B2482" i="1"/>
  <c r="C2481" i="1"/>
  <c r="D2481" i="1" s="1"/>
  <c r="C1307" i="1"/>
  <c r="D1307" i="1" s="1"/>
  <c r="B1308" i="1"/>
  <c r="B830" i="1"/>
  <c r="C829" i="1"/>
  <c r="D829" i="1" s="1"/>
  <c r="I53" i="1"/>
  <c r="E54" i="1" s="1"/>
  <c r="C93" i="1"/>
  <c r="D93" i="1" s="1"/>
  <c r="B94" i="1"/>
  <c r="C2890" i="1" l="1"/>
  <c r="D2890" i="1" s="1"/>
  <c r="B2891" i="1"/>
  <c r="B2762" i="1"/>
  <c r="C2761" i="1"/>
  <c r="D2761" i="1" s="1"/>
  <c r="B2483" i="1"/>
  <c r="C2482" i="1"/>
  <c r="D2482" i="1" s="1"/>
  <c r="C1308" i="1"/>
  <c r="D1308" i="1" s="1"/>
  <c r="B1309" i="1"/>
  <c r="B831" i="1"/>
  <c r="C830" i="1"/>
  <c r="D830" i="1" s="1"/>
  <c r="H54" i="1"/>
  <c r="J54" i="1"/>
  <c r="G54" i="1" s="1"/>
  <c r="F54" i="1"/>
  <c r="C94" i="1"/>
  <c r="D94" i="1" s="1"/>
  <c r="B95" i="1"/>
  <c r="C2891" i="1" l="1"/>
  <c r="D2891" i="1" s="1"/>
  <c r="B2892" i="1"/>
  <c r="C2762" i="1"/>
  <c r="D2762" i="1" s="1"/>
  <c r="B2763" i="1"/>
  <c r="C2483" i="1"/>
  <c r="D2483" i="1" s="1"/>
  <c r="B2484" i="1"/>
  <c r="C1309" i="1"/>
  <c r="D1309" i="1" s="1"/>
  <c r="B1310" i="1"/>
  <c r="C831" i="1"/>
  <c r="D831" i="1" s="1"/>
  <c r="B832" i="1"/>
  <c r="I54" i="1"/>
  <c r="E55" i="1" s="1"/>
  <c r="C95" i="1"/>
  <c r="D95" i="1" s="1"/>
  <c r="B96" i="1"/>
  <c r="C2892" i="1" l="1"/>
  <c r="D2892" i="1" s="1"/>
  <c r="B2893" i="1"/>
  <c r="C2763" i="1"/>
  <c r="D2763" i="1" s="1"/>
  <c r="B2764" i="1"/>
  <c r="C2484" i="1"/>
  <c r="D2484" i="1" s="1"/>
  <c r="B2485" i="1"/>
  <c r="C1310" i="1"/>
  <c r="D1310" i="1" s="1"/>
  <c r="B1311" i="1"/>
  <c r="C832" i="1"/>
  <c r="D832" i="1" s="1"/>
  <c r="B833" i="1"/>
  <c r="H55" i="1"/>
  <c r="F55" i="1"/>
  <c r="J55" i="1"/>
  <c r="G55" i="1" s="1"/>
  <c r="B97" i="1"/>
  <c r="C96" i="1"/>
  <c r="D96" i="1" s="1"/>
  <c r="C2893" i="1" l="1"/>
  <c r="D2893" i="1" s="1"/>
  <c r="B2894" i="1"/>
  <c r="C2764" i="1"/>
  <c r="D2764" i="1" s="1"/>
  <c r="B2765" i="1"/>
  <c r="C2485" i="1"/>
  <c r="D2485" i="1" s="1"/>
  <c r="B2486" i="1"/>
  <c r="C1311" i="1"/>
  <c r="D1311" i="1" s="1"/>
  <c r="B1312" i="1"/>
  <c r="B834" i="1"/>
  <c r="C833" i="1"/>
  <c r="D833" i="1" s="1"/>
  <c r="I55" i="1"/>
  <c r="E56" i="1" s="1"/>
  <c r="B98" i="1"/>
  <c r="C97" i="1"/>
  <c r="D97" i="1" s="1"/>
  <c r="B2895" i="1" l="1"/>
  <c r="C2894" i="1"/>
  <c r="D2894" i="1" s="1"/>
  <c r="C2765" i="1"/>
  <c r="D2765" i="1" s="1"/>
  <c r="B2766" i="1"/>
  <c r="C2486" i="1"/>
  <c r="D2486" i="1" s="1"/>
  <c r="B2487" i="1"/>
  <c r="C1312" i="1"/>
  <c r="D1312" i="1" s="1"/>
  <c r="B1313" i="1"/>
  <c r="C834" i="1"/>
  <c r="D834" i="1" s="1"/>
  <c r="B835" i="1"/>
  <c r="H56" i="1"/>
  <c r="J56" i="1"/>
  <c r="G56" i="1" s="1"/>
  <c r="F56" i="1"/>
  <c r="B99" i="1"/>
  <c r="C98" i="1"/>
  <c r="D98" i="1" s="1"/>
  <c r="C2895" i="1" l="1"/>
  <c r="D2895" i="1" s="1"/>
  <c r="B2896" i="1"/>
  <c r="C2766" i="1"/>
  <c r="D2766" i="1" s="1"/>
  <c r="B2767" i="1"/>
  <c r="C2487" i="1"/>
  <c r="D2487" i="1" s="1"/>
  <c r="B2488" i="1"/>
  <c r="C1313" i="1"/>
  <c r="D1313" i="1" s="1"/>
  <c r="B1314" i="1"/>
  <c r="C835" i="1"/>
  <c r="D835" i="1" s="1"/>
  <c r="B836" i="1"/>
  <c r="I56" i="1"/>
  <c r="E57" i="1" s="1"/>
  <c r="C99" i="1"/>
  <c r="D99" i="1" s="1"/>
  <c r="B100" i="1"/>
  <c r="B2897" i="1" l="1"/>
  <c r="C2896" i="1"/>
  <c r="D2896" i="1" s="1"/>
  <c r="C2767" i="1"/>
  <c r="D2767" i="1" s="1"/>
  <c r="B2768" i="1"/>
  <c r="C2488" i="1"/>
  <c r="D2488" i="1" s="1"/>
  <c r="B2489" i="1"/>
  <c r="B1315" i="1"/>
  <c r="C1314" i="1"/>
  <c r="D1314" i="1" s="1"/>
  <c r="B837" i="1"/>
  <c r="C836" i="1"/>
  <c r="D836" i="1" s="1"/>
  <c r="H57" i="1"/>
  <c r="F57" i="1"/>
  <c r="J57" i="1"/>
  <c r="G57" i="1" s="1"/>
  <c r="C100" i="1"/>
  <c r="D100" i="1" s="1"/>
  <c r="B101" i="1"/>
  <c r="C2897" i="1" l="1"/>
  <c r="D2897" i="1" s="1"/>
  <c r="B2898" i="1"/>
  <c r="C2768" i="1"/>
  <c r="D2768" i="1" s="1"/>
  <c r="B2769" i="1"/>
  <c r="C2489" i="1"/>
  <c r="D2489" i="1" s="1"/>
  <c r="B2490" i="1"/>
  <c r="C1315" i="1"/>
  <c r="D1315" i="1" s="1"/>
  <c r="B1316" i="1"/>
  <c r="C837" i="1"/>
  <c r="D837" i="1" s="1"/>
  <c r="B838" i="1"/>
  <c r="I57" i="1"/>
  <c r="E58" i="1" s="1"/>
  <c r="C101" i="1"/>
  <c r="D101" i="1" s="1"/>
  <c r="B102" i="1"/>
  <c r="C2898" i="1" l="1"/>
  <c r="D2898" i="1" s="1"/>
  <c r="B2899" i="1"/>
  <c r="C2769" i="1"/>
  <c r="D2769" i="1" s="1"/>
  <c r="B2770" i="1"/>
  <c r="C2490" i="1"/>
  <c r="D2490" i="1" s="1"/>
  <c r="B2491" i="1"/>
  <c r="B1317" i="1"/>
  <c r="C1316" i="1"/>
  <c r="D1316" i="1" s="1"/>
  <c r="C838" i="1"/>
  <c r="D838" i="1" s="1"/>
  <c r="B839" i="1"/>
  <c r="H58" i="1"/>
  <c r="F58" i="1"/>
  <c r="J58" i="1"/>
  <c r="G58" i="1" s="1"/>
  <c r="B103" i="1"/>
  <c r="C102" i="1"/>
  <c r="D102" i="1" s="1"/>
  <c r="C2899" i="1" l="1"/>
  <c r="D2899" i="1" s="1"/>
  <c r="B2900" i="1"/>
  <c r="C2770" i="1"/>
  <c r="D2770" i="1" s="1"/>
  <c r="B2771" i="1"/>
  <c r="C2491" i="1"/>
  <c r="D2491" i="1" s="1"/>
  <c r="B2492" i="1"/>
  <c r="C1317" i="1"/>
  <c r="D1317" i="1" s="1"/>
  <c r="B1318" i="1"/>
  <c r="C839" i="1"/>
  <c r="D839" i="1" s="1"/>
  <c r="B840" i="1"/>
  <c r="I58" i="1"/>
  <c r="E59" i="1" s="1"/>
  <c r="C103" i="1"/>
  <c r="D103" i="1" s="1"/>
  <c r="B104" i="1"/>
  <c r="C2900" i="1" l="1"/>
  <c r="D2900" i="1" s="1"/>
  <c r="B2901" i="1"/>
  <c r="C2771" i="1"/>
  <c r="D2771" i="1" s="1"/>
  <c r="B2772" i="1"/>
  <c r="C2492" i="1"/>
  <c r="D2492" i="1" s="1"/>
  <c r="B2493" i="1"/>
  <c r="C1318" i="1"/>
  <c r="D1318" i="1" s="1"/>
  <c r="B1319" i="1"/>
  <c r="B841" i="1"/>
  <c r="C840" i="1"/>
  <c r="D840" i="1" s="1"/>
  <c r="J59" i="1"/>
  <c r="G59" i="1" s="1"/>
  <c r="H59" i="1"/>
  <c r="F59" i="1"/>
  <c r="B105" i="1"/>
  <c r="C104" i="1"/>
  <c r="D104" i="1" s="1"/>
  <c r="I59" i="1" l="1"/>
  <c r="E60" i="1" s="1"/>
  <c r="C2901" i="1"/>
  <c r="D2901" i="1" s="1"/>
  <c r="B2902" i="1"/>
  <c r="C2772" i="1"/>
  <c r="D2772" i="1" s="1"/>
  <c r="B2773" i="1"/>
  <c r="C2493" i="1"/>
  <c r="D2493" i="1" s="1"/>
  <c r="B2494" i="1"/>
  <c r="C1319" i="1"/>
  <c r="D1319" i="1" s="1"/>
  <c r="B1320" i="1"/>
  <c r="B842" i="1"/>
  <c r="C841" i="1"/>
  <c r="D841" i="1" s="1"/>
  <c r="H60" i="1"/>
  <c r="J60" i="1"/>
  <c r="G60" i="1" s="1"/>
  <c r="F60" i="1"/>
  <c r="B106" i="1"/>
  <c r="C105" i="1"/>
  <c r="D105" i="1" s="1"/>
  <c r="C2902" i="1" l="1"/>
  <c r="D2902" i="1" s="1"/>
  <c r="B2903" i="1"/>
  <c r="C2773" i="1"/>
  <c r="D2773" i="1" s="1"/>
  <c r="B2774" i="1"/>
  <c r="C2494" i="1"/>
  <c r="D2494" i="1" s="1"/>
  <c r="B2495" i="1"/>
  <c r="C1320" i="1"/>
  <c r="D1320" i="1" s="1"/>
  <c r="B1321" i="1"/>
  <c r="C842" i="1"/>
  <c r="D842" i="1" s="1"/>
  <c r="B843" i="1"/>
  <c r="I60" i="1"/>
  <c r="E61" i="1" s="1"/>
  <c r="B107" i="1"/>
  <c r="C106" i="1"/>
  <c r="D106" i="1" s="1"/>
  <c r="C2903" i="1" l="1"/>
  <c r="D2903" i="1" s="1"/>
  <c r="B2904" i="1"/>
  <c r="C2774" i="1"/>
  <c r="D2774" i="1" s="1"/>
  <c r="B2775" i="1"/>
  <c r="C2495" i="1"/>
  <c r="D2495" i="1" s="1"/>
  <c r="B2496" i="1"/>
  <c r="C1321" i="1"/>
  <c r="D1321" i="1" s="1"/>
  <c r="B1322" i="1"/>
  <c r="B844" i="1"/>
  <c r="C843" i="1"/>
  <c r="D843" i="1" s="1"/>
  <c r="H61" i="1"/>
  <c r="J61" i="1"/>
  <c r="G61" i="1" s="1"/>
  <c r="F61" i="1"/>
  <c r="C107" i="1"/>
  <c r="D107" i="1" s="1"/>
  <c r="B108" i="1"/>
  <c r="C2904" i="1" l="1"/>
  <c r="D2904" i="1" s="1"/>
  <c r="B2905" i="1"/>
  <c r="C2775" i="1"/>
  <c r="D2775" i="1" s="1"/>
  <c r="B2776" i="1"/>
  <c r="B2497" i="1"/>
  <c r="C2496" i="1"/>
  <c r="D2496" i="1" s="1"/>
  <c r="C1322" i="1"/>
  <c r="D1322" i="1" s="1"/>
  <c r="B1323" i="1"/>
  <c r="C844" i="1"/>
  <c r="D844" i="1" s="1"/>
  <c r="B845" i="1"/>
  <c r="I61" i="1"/>
  <c r="E62" i="1" s="1"/>
  <c r="B109" i="1"/>
  <c r="C108" i="1"/>
  <c r="D108" i="1" s="1"/>
  <c r="C2905" i="1" l="1"/>
  <c r="D2905" i="1" s="1"/>
  <c r="B2906" i="1"/>
  <c r="B2777" i="1"/>
  <c r="C2776" i="1"/>
  <c r="D2776" i="1" s="1"/>
  <c r="C2497" i="1"/>
  <c r="D2497" i="1" s="1"/>
  <c r="B2498" i="1"/>
  <c r="C1323" i="1"/>
  <c r="D1323" i="1" s="1"/>
  <c r="B1324" i="1"/>
  <c r="C845" i="1"/>
  <c r="D845" i="1" s="1"/>
  <c r="B846" i="1"/>
  <c r="F62" i="1"/>
  <c r="H62" i="1"/>
  <c r="J62" i="1"/>
  <c r="G62" i="1" s="1"/>
  <c r="C109" i="1"/>
  <c r="D109" i="1" s="1"/>
  <c r="B110" i="1"/>
  <c r="C2906" i="1" l="1"/>
  <c r="D2906" i="1" s="1"/>
  <c r="B2907" i="1"/>
  <c r="C2777" i="1"/>
  <c r="D2777" i="1" s="1"/>
  <c r="B2778" i="1"/>
  <c r="C2498" i="1"/>
  <c r="D2498" i="1" s="1"/>
  <c r="B2499" i="1"/>
  <c r="B1325" i="1"/>
  <c r="C1324" i="1"/>
  <c r="D1324" i="1" s="1"/>
  <c r="C846" i="1"/>
  <c r="D846" i="1" s="1"/>
  <c r="B847" i="1"/>
  <c r="I62" i="1"/>
  <c r="E63" i="1" s="1"/>
  <c r="C110" i="1"/>
  <c r="D110" i="1" s="1"/>
  <c r="B111" i="1"/>
  <c r="C2907" i="1" l="1"/>
  <c r="D2907" i="1" s="1"/>
  <c r="B2908" i="1"/>
  <c r="B2779" i="1"/>
  <c r="C2779" i="1" s="1"/>
  <c r="D2779" i="1" s="1"/>
  <c r="C2778" i="1"/>
  <c r="D2778" i="1" s="1"/>
  <c r="C2499" i="1"/>
  <c r="D2499" i="1" s="1"/>
  <c r="B2500" i="1"/>
  <c r="C1325" i="1"/>
  <c r="D1325" i="1" s="1"/>
  <c r="B1326" i="1"/>
  <c r="B848" i="1"/>
  <c r="C847" i="1"/>
  <c r="D847" i="1" s="1"/>
  <c r="H63" i="1"/>
  <c r="J63" i="1"/>
  <c r="G63" i="1" s="1"/>
  <c r="F63" i="1"/>
  <c r="B112" i="1"/>
  <c r="C111" i="1"/>
  <c r="D111" i="1" s="1"/>
  <c r="B2909" i="1" l="1"/>
  <c r="C2908" i="1"/>
  <c r="D2908" i="1" s="1"/>
  <c r="C2500" i="1"/>
  <c r="D2500" i="1" s="1"/>
  <c r="B2501" i="1"/>
  <c r="C1326" i="1"/>
  <c r="D1326" i="1" s="1"/>
  <c r="B1327" i="1"/>
  <c r="B849" i="1"/>
  <c r="C848" i="1"/>
  <c r="D848" i="1" s="1"/>
  <c r="I63" i="1"/>
  <c r="E64" i="1" s="1"/>
  <c r="C112" i="1"/>
  <c r="D112" i="1" s="1"/>
  <c r="B113" i="1"/>
  <c r="C2909" i="1" l="1"/>
  <c r="D2909" i="1" s="1"/>
  <c r="B2910" i="1"/>
  <c r="C2501" i="1"/>
  <c r="D2501" i="1" s="1"/>
  <c r="B2502" i="1"/>
  <c r="B1328" i="1"/>
  <c r="C1327" i="1"/>
  <c r="D1327" i="1" s="1"/>
  <c r="B850" i="1"/>
  <c r="C849" i="1"/>
  <c r="D849" i="1" s="1"/>
  <c r="H64" i="1"/>
  <c r="J64" i="1"/>
  <c r="G64" i="1" s="1"/>
  <c r="F64" i="1"/>
  <c r="C113" i="1"/>
  <c r="D113" i="1" s="1"/>
  <c r="B114" i="1"/>
  <c r="B2911" i="1" l="1"/>
  <c r="C2910" i="1"/>
  <c r="D2910" i="1" s="1"/>
  <c r="C2502" i="1"/>
  <c r="D2502" i="1" s="1"/>
  <c r="B2503" i="1"/>
  <c r="C1328" i="1"/>
  <c r="D1328" i="1" s="1"/>
  <c r="B1329" i="1"/>
  <c r="B851" i="1"/>
  <c r="C850" i="1"/>
  <c r="D850" i="1" s="1"/>
  <c r="I64" i="1"/>
  <c r="E65" i="1" s="1"/>
  <c r="C114" i="1"/>
  <c r="D114" i="1" s="1"/>
  <c r="B115" i="1"/>
  <c r="C2911" i="1" l="1"/>
  <c r="D2911" i="1" s="1"/>
  <c r="B2912" i="1"/>
  <c r="C2503" i="1"/>
  <c r="D2503" i="1" s="1"/>
  <c r="B2504" i="1"/>
  <c r="C1329" i="1"/>
  <c r="D1329" i="1" s="1"/>
  <c r="B1330" i="1"/>
  <c r="B852" i="1"/>
  <c r="C851" i="1"/>
  <c r="D851" i="1" s="1"/>
  <c r="J65" i="1"/>
  <c r="G65" i="1" s="1"/>
  <c r="H65" i="1"/>
  <c r="F65" i="1"/>
  <c r="B116" i="1"/>
  <c r="C115" i="1"/>
  <c r="D115" i="1" s="1"/>
  <c r="C2912" i="1" l="1"/>
  <c r="D2912" i="1" s="1"/>
  <c r="B2913" i="1"/>
  <c r="C2504" i="1"/>
  <c r="D2504" i="1" s="1"/>
  <c r="B2505" i="1"/>
  <c r="B1331" i="1"/>
  <c r="C1330" i="1"/>
  <c r="D1330" i="1" s="1"/>
  <c r="C852" i="1"/>
  <c r="D852" i="1" s="1"/>
  <c r="B853" i="1"/>
  <c r="I65" i="1"/>
  <c r="E66" i="1" s="1"/>
  <c r="C116" i="1"/>
  <c r="D116" i="1" s="1"/>
  <c r="B117" i="1"/>
  <c r="C2913" i="1" l="1"/>
  <c r="D2913" i="1" s="1"/>
  <c r="B2914" i="1"/>
  <c r="C2505" i="1"/>
  <c r="D2505" i="1" s="1"/>
  <c r="B2506" i="1"/>
  <c r="B1332" i="1"/>
  <c r="C1331" i="1"/>
  <c r="D1331" i="1" s="1"/>
  <c r="B854" i="1"/>
  <c r="C853" i="1"/>
  <c r="D853" i="1" s="1"/>
  <c r="F66" i="1"/>
  <c r="H66" i="1"/>
  <c r="J66" i="1"/>
  <c r="G66" i="1" s="1"/>
  <c r="B118" i="1"/>
  <c r="C117" i="1"/>
  <c r="D117" i="1" s="1"/>
  <c r="B2915" i="1" l="1"/>
  <c r="C2914" i="1"/>
  <c r="D2914" i="1" s="1"/>
  <c r="C2506" i="1"/>
  <c r="D2506" i="1" s="1"/>
  <c r="B2507" i="1"/>
  <c r="C1332" i="1"/>
  <c r="D1332" i="1" s="1"/>
  <c r="B1333" i="1"/>
  <c r="C854" i="1"/>
  <c r="D854" i="1" s="1"/>
  <c r="B855" i="1"/>
  <c r="I66" i="1"/>
  <c r="E67" i="1" s="1"/>
  <c r="C118" i="1"/>
  <c r="D118" i="1" s="1"/>
  <c r="B119" i="1"/>
  <c r="C2915" i="1" l="1"/>
  <c r="D2915" i="1" s="1"/>
  <c r="B2916" i="1"/>
  <c r="B2508" i="1"/>
  <c r="C2507" i="1"/>
  <c r="D2507" i="1" s="1"/>
  <c r="C1333" i="1"/>
  <c r="D1333" i="1" s="1"/>
  <c r="B1334" i="1"/>
  <c r="C855" i="1"/>
  <c r="D855" i="1" s="1"/>
  <c r="B856" i="1"/>
  <c r="H67" i="1"/>
  <c r="F67" i="1"/>
  <c r="J67" i="1"/>
  <c r="G67" i="1" s="1"/>
  <c r="B120" i="1"/>
  <c r="C119" i="1"/>
  <c r="D119" i="1" s="1"/>
  <c r="B2917" i="1" l="1"/>
  <c r="C2916" i="1"/>
  <c r="D2916" i="1" s="1"/>
  <c r="C2508" i="1"/>
  <c r="D2508" i="1" s="1"/>
  <c r="B2509" i="1"/>
  <c r="C1334" i="1"/>
  <c r="D1334" i="1" s="1"/>
  <c r="B1335" i="1"/>
  <c r="C856" i="1"/>
  <c r="D856" i="1" s="1"/>
  <c r="B857" i="1"/>
  <c r="I67" i="1"/>
  <c r="E68" i="1" s="1"/>
  <c r="C120" i="1"/>
  <c r="D120" i="1" s="1"/>
  <c r="B121" i="1"/>
  <c r="C2917" i="1" l="1"/>
  <c r="D2917" i="1" s="1"/>
  <c r="B2918" i="1"/>
  <c r="C2509" i="1"/>
  <c r="D2509" i="1" s="1"/>
  <c r="B2510" i="1"/>
  <c r="C1335" i="1"/>
  <c r="D1335" i="1" s="1"/>
  <c r="B1336" i="1"/>
  <c r="B858" i="1"/>
  <c r="C857" i="1"/>
  <c r="D857" i="1" s="1"/>
  <c r="F68" i="1"/>
  <c r="J68" i="1"/>
  <c r="G68" i="1" s="1"/>
  <c r="H68" i="1"/>
  <c r="C121" i="1"/>
  <c r="D121" i="1" s="1"/>
  <c r="B122" i="1"/>
  <c r="C2918" i="1" l="1"/>
  <c r="D2918" i="1" s="1"/>
  <c r="B2919" i="1"/>
  <c r="B2511" i="1"/>
  <c r="C2510" i="1"/>
  <c r="D2510" i="1" s="1"/>
  <c r="B1337" i="1"/>
  <c r="C1336" i="1"/>
  <c r="D1336" i="1" s="1"/>
  <c r="C858" i="1"/>
  <c r="D858" i="1" s="1"/>
  <c r="B859" i="1"/>
  <c r="I68" i="1"/>
  <c r="E69" i="1" s="1"/>
  <c r="B123" i="1"/>
  <c r="C122" i="1"/>
  <c r="D122" i="1" s="1"/>
  <c r="C2919" i="1" l="1"/>
  <c r="D2919" i="1" s="1"/>
  <c r="B2920" i="1"/>
  <c r="C2511" i="1"/>
  <c r="D2511" i="1" s="1"/>
  <c r="B2512" i="1"/>
  <c r="C1337" i="1"/>
  <c r="D1337" i="1" s="1"/>
  <c r="B1338" i="1"/>
  <c r="C859" i="1"/>
  <c r="D859" i="1" s="1"/>
  <c r="B860" i="1"/>
  <c r="J69" i="1"/>
  <c r="G69" i="1" s="1"/>
  <c r="H69" i="1"/>
  <c r="F69" i="1"/>
  <c r="C123" i="1"/>
  <c r="D123" i="1" s="1"/>
  <c r="B124" i="1"/>
  <c r="B2921" i="1" l="1"/>
  <c r="C2920" i="1"/>
  <c r="D2920" i="1" s="1"/>
  <c r="C2512" i="1"/>
  <c r="D2512" i="1" s="1"/>
  <c r="B2513" i="1"/>
  <c r="C1338" i="1"/>
  <c r="D1338" i="1" s="1"/>
  <c r="B1339" i="1"/>
  <c r="B861" i="1"/>
  <c r="C860" i="1"/>
  <c r="D860" i="1" s="1"/>
  <c r="I69" i="1"/>
  <c r="E70" i="1" s="1"/>
  <c r="B125" i="1"/>
  <c r="C124" i="1"/>
  <c r="D124" i="1" s="1"/>
  <c r="C2921" i="1" l="1"/>
  <c r="D2921" i="1" s="1"/>
  <c r="B2922" i="1"/>
  <c r="C2513" i="1"/>
  <c r="D2513" i="1" s="1"/>
  <c r="B2514" i="1"/>
  <c r="C1339" i="1"/>
  <c r="D1339" i="1" s="1"/>
  <c r="B1340" i="1"/>
  <c r="C861" i="1"/>
  <c r="D861" i="1" s="1"/>
  <c r="B862" i="1"/>
  <c r="F70" i="1"/>
  <c r="J70" i="1"/>
  <c r="G70" i="1" s="1"/>
  <c r="H70" i="1"/>
  <c r="C125" i="1"/>
  <c r="D125" i="1" s="1"/>
  <c r="B126" i="1"/>
  <c r="B2923" i="1" l="1"/>
  <c r="C2922" i="1"/>
  <c r="D2922" i="1" s="1"/>
  <c r="C2514" i="1"/>
  <c r="D2514" i="1" s="1"/>
  <c r="B2515" i="1"/>
  <c r="B1341" i="1"/>
  <c r="C1340" i="1"/>
  <c r="D1340" i="1" s="1"/>
  <c r="B863" i="1"/>
  <c r="C862" i="1"/>
  <c r="D862" i="1" s="1"/>
  <c r="I70" i="1"/>
  <c r="E71" i="1" s="1"/>
  <c r="B127" i="1"/>
  <c r="C126" i="1"/>
  <c r="D126" i="1" s="1"/>
  <c r="B2924" i="1" l="1"/>
  <c r="C2923" i="1"/>
  <c r="D2923" i="1" s="1"/>
  <c r="C2515" i="1"/>
  <c r="D2515" i="1" s="1"/>
  <c r="B2516" i="1"/>
  <c r="C1341" i="1"/>
  <c r="D1341" i="1" s="1"/>
  <c r="B1342" i="1"/>
  <c r="C863" i="1"/>
  <c r="D863" i="1" s="1"/>
  <c r="B864" i="1"/>
  <c r="F71" i="1"/>
  <c r="H71" i="1"/>
  <c r="J71" i="1"/>
  <c r="G71" i="1" s="1"/>
  <c r="B128" i="1"/>
  <c r="C127" i="1"/>
  <c r="D127" i="1" s="1"/>
  <c r="C2924" i="1" l="1"/>
  <c r="D2924" i="1" s="1"/>
  <c r="B2925" i="1"/>
  <c r="B2517" i="1"/>
  <c r="C2516" i="1"/>
  <c r="D2516" i="1" s="1"/>
  <c r="C1342" i="1"/>
  <c r="D1342" i="1" s="1"/>
  <c r="B1343" i="1"/>
  <c r="C864" i="1"/>
  <c r="D864" i="1" s="1"/>
  <c r="B865" i="1"/>
  <c r="I71" i="1"/>
  <c r="E72" i="1" s="1"/>
  <c r="C128" i="1"/>
  <c r="D128" i="1" s="1"/>
  <c r="B129" i="1"/>
  <c r="C2925" i="1" l="1"/>
  <c r="D2925" i="1" s="1"/>
  <c r="B2926" i="1"/>
  <c r="C2517" i="1"/>
  <c r="D2517" i="1" s="1"/>
  <c r="B2518" i="1"/>
  <c r="B1344" i="1"/>
  <c r="C1343" i="1"/>
  <c r="D1343" i="1" s="1"/>
  <c r="B866" i="1"/>
  <c r="C865" i="1"/>
  <c r="D865" i="1" s="1"/>
  <c r="J72" i="1"/>
  <c r="G72" i="1" s="1"/>
  <c r="H72" i="1"/>
  <c r="F72" i="1"/>
  <c r="C129" i="1"/>
  <c r="D129" i="1" s="1"/>
  <c r="B130" i="1"/>
  <c r="B2927" i="1" l="1"/>
  <c r="C2926" i="1"/>
  <c r="D2926" i="1" s="1"/>
  <c r="C2518" i="1"/>
  <c r="D2518" i="1" s="1"/>
  <c r="B2519" i="1"/>
  <c r="B1345" i="1"/>
  <c r="C1344" i="1"/>
  <c r="D1344" i="1" s="1"/>
  <c r="C866" i="1"/>
  <c r="D866" i="1" s="1"/>
  <c r="B867" i="1"/>
  <c r="I72" i="1"/>
  <c r="E73" i="1" s="1"/>
  <c r="C130" i="1"/>
  <c r="D130" i="1" s="1"/>
  <c r="B131" i="1"/>
  <c r="B2928" i="1" l="1"/>
  <c r="C2927" i="1"/>
  <c r="D2927" i="1" s="1"/>
  <c r="B2520" i="1"/>
  <c r="C2519" i="1"/>
  <c r="D2519" i="1" s="1"/>
  <c r="C1345" i="1"/>
  <c r="D1345" i="1" s="1"/>
  <c r="B1346" i="1"/>
  <c r="C867" i="1"/>
  <c r="D867" i="1" s="1"/>
  <c r="B868" i="1"/>
  <c r="H73" i="1"/>
  <c r="J73" i="1"/>
  <c r="G73" i="1" s="1"/>
  <c r="F73" i="1"/>
  <c r="C131" i="1"/>
  <c r="D131" i="1" s="1"/>
  <c r="B132" i="1"/>
  <c r="B2929" i="1" l="1"/>
  <c r="C2928" i="1"/>
  <c r="D2928" i="1" s="1"/>
  <c r="B2521" i="1"/>
  <c r="C2520" i="1"/>
  <c r="D2520" i="1" s="1"/>
  <c r="B1347" i="1"/>
  <c r="C1346" i="1"/>
  <c r="D1346" i="1" s="1"/>
  <c r="B869" i="1"/>
  <c r="C868" i="1"/>
  <c r="D868" i="1" s="1"/>
  <c r="I73" i="1"/>
  <c r="E74" i="1" s="1"/>
  <c r="C132" i="1"/>
  <c r="D132" i="1" s="1"/>
  <c r="B133" i="1"/>
  <c r="C2929" i="1" l="1"/>
  <c r="D2929" i="1" s="1"/>
  <c r="B2930" i="1"/>
  <c r="C2521" i="1"/>
  <c r="D2521" i="1" s="1"/>
  <c r="B2522" i="1"/>
  <c r="B1348" i="1"/>
  <c r="C1347" i="1"/>
  <c r="D1347" i="1" s="1"/>
  <c r="C869" i="1"/>
  <c r="D869" i="1" s="1"/>
  <c r="B870" i="1"/>
  <c r="J74" i="1"/>
  <c r="G74" i="1" s="1"/>
  <c r="H74" i="1"/>
  <c r="I74" i="1" s="1"/>
  <c r="E75" i="1" s="1"/>
  <c r="J75" i="1" s="1"/>
  <c r="G75" i="1" s="1"/>
  <c r="F74" i="1"/>
  <c r="C133" i="1"/>
  <c r="D133" i="1" s="1"/>
  <c r="B134" i="1"/>
  <c r="C2930" i="1" l="1"/>
  <c r="D2930" i="1" s="1"/>
  <c r="B2931" i="1"/>
  <c r="C2522" i="1"/>
  <c r="D2522" i="1" s="1"/>
  <c r="B2523" i="1"/>
  <c r="B1349" i="1"/>
  <c r="C1348" i="1"/>
  <c r="D1348" i="1" s="1"/>
  <c r="B871" i="1"/>
  <c r="C870" i="1"/>
  <c r="D870" i="1" s="1"/>
  <c r="F75" i="1"/>
  <c r="H75" i="1"/>
  <c r="I75" i="1" s="1"/>
  <c r="E76" i="1" s="1"/>
  <c r="C134" i="1"/>
  <c r="D134" i="1" s="1"/>
  <c r="B135" i="1"/>
  <c r="C2931" i="1" l="1"/>
  <c r="D2931" i="1" s="1"/>
  <c r="B2932" i="1"/>
  <c r="B2524" i="1"/>
  <c r="C2523" i="1"/>
  <c r="D2523" i="1" s="1"/>
  <c r="C1349" i="1"/>
  <c r="D1349" i="1" s="1"/>
  <c r="B1350" i="1"/>
  <c r="B872" i="1"/>
  <c r="C871" i="1"/>
  <c r="D871" i="1" s="1"/>
  <c r="J76" i="1"/>
  <c r="G76" i="1" s="1"/>
  <c r="H76" i="1"/>
  <c r="F76" i="1"/>
  <c r="C135" i="1"/>
  <c r="D135" i="1" s="1"/>
  <c r="B136" i="1"/>
  <c r="B2933" i="1" l="1"/>
  <c r="C2932" i="1"/>
  <c r="D2932" i="1" s="1"/>
  <c r="B2525" i="1"/>
  <c r="C2524" i="1"/>
  <c r="D2524" i="1" s="1"/>
  <c r="C1350" i="1"/>
  <c r="D1350" i="1" s="1"/>
  <c r="B1351" i="1"/>
  <c r="C872" i="1"/>
  <c r="D872" i="1" s="1"/>
  <c r="B873" i="1"/>
  <c r="C136" i="1"/>
  <c r="D136" i="1" s="1"/>
  <c r="B137" i="1"/>
  <c r="I76" i="1"/>
  <c r="E77" i="1" s="1"/>
  <c r="C2933" i="1" l="1"/>
  <c r="D2933" i="1" s="1"/>
  <c r="B2934" i="1"/>
  <c r="C2525" i="1"/>
  <c r="D2525" i="1" s="1"/>
  <c r="B2526" i="1"/>
  <c r="C1351" i="1"/>
  <c r="D1351" i="1" s="1"/>
  <c r="B1352" i="1"/>
  <c r="C873" i="1"/>
  <c r="D873" i="1" s="1"/>
  <c r="B874" i="1"/>
  <c r="H77" i="1"/>
  <c r="J77" i="1"/>
  <c r="G77" i="1" s="1"/>
  <c r="F77" i="1"/>
  <c r="B138" i="1"/>
  <c r="C137" i="1"/>
  <c r="D137" i="1" s="1"/>
  <c r="B2935" i="1" l="1"/>
  <c r="C2934" i="1"/>
  <c r="D2934" i="1" s="1"/>
  <c r="B2527" i="1"/>
  <c r="C2526" i="1"/>
  <c r="D2526" i="1" s="1"/>
  <c r="C1352" i="1"/>
  <c r="D1352" i="1" s="1"/>
  <c r="B1353" i="1"/>
  <c r="C874" i="1"/>
  <c r="D874" i="1" s="1"/>
  <c r="B875" i="1"/>
  <c r="B139" i="1"/>
  <c r="C138" i="1"/>
  <c r="D138" i="1" s="1"/>
  <c r="I77" i="1"/>
  <c r="E78" i="1" s="1"/>
  <c r="B2936" i="1" l="1"/>
  <c r="C2935" i="1"/>
  <c r="D2935" i="1" s="1"/>
  <c r="B2528" i="1"/>
  <c r="C2527" i="1"/>
  <c r="D2527" i="1" s="1"/>
  <c r="C1353" i="1"/>
  <c r="D1353" i="1" s="1"/>
  <c r="B1354" i="1"/>
  <c r="C875" i="1"/>
  <c r="D875" i="1" s="1"/>
  <c r="B876" i="1"/>
  <c r="F78" i="1"/>
  <c r="H78" i="1"/>
  <c r="J78" i="1"/>
  <c r="G78" i="1" s="1"/>
  <c r="C139" i="1"/>
  <c r="D139" i="1" s="1"/>
  <c r="B140" i="1"/>
  <c r="B2937" i="1" l="1"/>
  <c r="C2936" i="1"/>
  <c r="D2936" i="1" s="1"/>
  <c r="C2528" i="1"/>
  <c r="D2528" i="1" s="1"/>
  <c r="B2529" i="1"/>
  <c r="C1354" i="1"/>
  <c r="D1354" i="1" s="1"/>
  <c r="B1355" i="1"/>
  <c r="B877" i="1"/>
  <c r="C876" i="1"/>
  <c r="D876" i="1" s="1"/>
  <c r="C140" i="1"/>
  <c r="D140" i="1" s="1"/>
  <c r="B141" i="1"/>
  <c r="I78" i="1"/>
  <c r="E79" i="1" s="1"/>
  <c r="C2937" i="1" l="1"/>
  <c r="D2937" i="1" s="1"/>
  <c r="B2938" i="1"/>
  <c r="C2529" i="1"/>
  <c r="D2529" i="1" s="1"/>
  <c r="B2530" i="1"/>
  <c r="C1355" i="1"/>
  <c r="D1355" i="1" s="1"/>
  <c r="B1356" i="1"/>
  <c r="B878" i="1"/>
  <c r="C877" i="1"/>
  <c r="D877" i="1" s="1"/>
  <c r="H79" i="1"/>
  <c r="F79" i="1"/>
  <c r="J79" i="1"/>
  <c r="G79" i="1" s="1"/>
  <c r="C141" i="1"/>
  <c r="D141" i="1" s="1"/>
  <c r="B142" i="1"/>
  <c r="B2939" i="1" l="1"/>
  <c r="C2938" i="1"/>
  <c r="D2938" i="1" s="1"/>
  <c r="C2530" i="1"/>
  <c r="D2530" i="1" s="1"/>
  <c r="B2531" i="1"/>
  <c r="C1356" i="1"/>
  <c r="D1356" i="1" s="1"/>
  <c r="B1357" i="1"/>
  <c r="B879" i="1"/>
  <c r="C878" i="1"/>
  <c r="D878" i="1" s="1"/>
  <c r="C142" i="1"/>
  <c r="D142" i="1" s="1"/>
  <c r="B143" i="1"/>
  <c r="I79" i="1"/>
  <c r="E80" i="1" s="1"/>
  <c r="B2940" i="1" l="1"/>
  <c r="C2939" i="1"/>
  <c r="D2939" i="1" s="1"/>
  <c r="C2531" i="1"/>
  <c r="D2531" i="1" s="1"/>
  <c r="B2532" i="1"/>
  <c r="C1357" i="1"/>
  <c r="D1357" i="1" s="1"/>
  <c r="B1358" i="1"/>
  <c r="B880" i="1"/>
  <c r="C879" i="1"/>
  <c r="D879" i="1" s="1"/>
  <c r="F80" i="1"/>
  <c r="J80" i="1"/>
  <c r="G80" i="1" s="1"/>
  <c r="H80" i="1"/>
  <c r="C143" i="1"/>
  <c r="D143" i="1" s="1"/>
  <c r="B144" i="1"/>
  <c r="B2941" i="1" l="1"/>
  <c r="C2940" i="1"/>
  <c r="D2940" i="1" s="1"/>
  <c r="C2532" i="1"/>
  <c r="D2532" i="1" s="1"/>
  <c r="B2533" i="1"/>
  <c r="C1358" i="1"/>
  <c r="D1358" i="1" s="1"/>
  <c r="B1359" i="1"/>
  <c r="C880" i="1"/>
  <c r="D880" i="1" s="1"/>
  <c r="B881" i="1"/>
  <c r="C144" i="1"/>
  <c r="D144" i="1" s="1"/>
  <c r="B145" i="1"/>
  <c r="I80" i="1"/>
  <c r="E81" i="1" s="1"/>
  <c r="C2941" i="1" l="1"/>
  <c r="D2941" i="1" s="1"/>
  <c r="B2942" i="1"/>
  <c r="C2533" i="1"/>
  <c r="D2533" i="1" s="1"/>
  <c r="B2534" i="1"/>
  <c r="C1359" i="1"/>
  <c r="D1359" i="1" s="1"/>
  <c r="B1360" i="1"/>
  <c r="C881" i="1"/>
  <c r="D881" i="1" s="1"/>
  <c r="B882" i="1"/>
  <c r="J81" i="1"/>
  <c r="G81" i="1" s="1"/>
  <c r="F81" i="1"/>
  <c r="H81" i="1"/>
  <c r="B146" i="1"/>
  <c r="C145" i="1"/>
  <c r="D145" i="1" s="1"/>
  <c r="C2942" i="1" l="1"/>
  <c r="D2942" i="1" s="1"/>
  <c r="B2943" i="1"/>
  <c r="B2535" i="1"/>
  <c r="C2534" i="1"/>
  <c r="D2534" i="1" s="1"/>
  <c r="C1360" i="1"/>
  <c r="D1360" i="1" s="1"/>
  <c r="B1361" i="1"/>
  <c r="C882" i="1"/>
  <c r="D882" i="1" s="1"/>
  <c r="B883" i="1"/>
  <c r="I81" i="1"/>
  <c r="E82" i="1" s="1"/>
  <c r="C146" i="1"/>
  <c r="D146" i="1" s="1"/>
  <c r="B147" i="1"/>
  <c r="C2943" i="1" l="1"/>
  <c r="D2943" i="1" s="1"/>
  <c r="B2944" i="1"/>
  <c r="B2536" i="1"/>
  <c r="C2535" i="1"/>
  <c r="D2535" i="1" s="1"/>
  <c r="C1361" i="1"/>
  <c r="D1361" i="1" s="1"/>
  <c r="B1362" i="1"/>
  <c r="B884" i="1"/>
  <c r="C883" i="1"/>
  <c r="D883" i="1" s="1"/>
  <c r="C147" i="1"/>
  <c r="D147" i="1" s="1"/>
  <c r="B148" i="1"/>
  <c r="H82" i="1"/>
  <c r="F82" i="1"/>
  <c r="J82" i="1"/>
  <c r="G82" i="1" s="1"/>
  <c r="B2945" i="1" l="1"/>
  <c r="C2944" i="1"/>
  <c r="D2944" i="1" s="1"/>
  <c r="B2537" i="1"/>
  <c r="C2536" i="1"/>
  <c r="D2536" i="1" s="1"/>
  <c r="C1362" i="1"/>
  <c r="D1362" i="1" s="1"/>
  <c r="B1363" i="1"/>
  <c r="C884" i="1"/>
  <c r="D884" i="1" s="1"/>
  <c r="B885" i="1"/>
  <c r="I82" i="1"/>
  <c r="E83" i="1" s="1"/>
  <c r="C148" i="1"/>
  <c r="D148" i="1" s="1"/>
  <c r="B149" i="1"/>
  <c r="C2945" i="1" l="1"/>
  <c r="D2945" i="1" s="1"/>
  <c r="B2946" i="1"/>
  <c r="C2537" i="1"/>
  <c r="D2537" i="1" s="1"/>
  <c r="B2538" i="1"/>
  <c r="C1363" i="1"/>
  <c r="D1363" i="1" s="1"/>
  <c r="B1364" i="1"/>
  <c r="C885" i="1"/>
  <c r="D885" i="1" s="1"/>
  <c r="B886" i="1"/>
  <c r="C149" i="1"/>
  <c r="D149" i="1" s="1"/>
  <c r="B150" i="1"/>
  <c r="F83" i="1"/>
  <c r="J83" i="1"/>
  <c r="G83" i="1" s="1"/>
  <c r="H83" i="1"/>
  <c r="C2946" i="1" l="1"/>
  <c r="D2946" i="1" s="1"/>
  <c r="B2947" i="1"/>
  <c r="C2538" i="1"/>
  <c r="D2538" i="1" s="1"/>
  <c r="B2539" i="1"/>
  <c r="B1365" i="1"/>
  <c r="C1364" i="1"/>
  <c r="D1364" i="1" s="1"/>
  <c r="C886" i="1"/>
  <c r="D886" i="1" s="1"/>
  <c r="B887" i="1"/>
  <c r="C150" i="1"/>
  <c r="D150" i="1" s="1"/>
  <c r="B151" i="1"/>
  <c r="I83" i="1"/>
  <c r="E84" i="1" s="1"/>
  <c r="C2947" i="1" l="1"/>
  <c r="D2947" i="1" s="1"/>
  <c r="B2948" i="1"/>
  <c r="C2539" i="1"/>
  <c r="D2539" i="1" s="1"/>
  <c r="B2540" i="1"/>
  <c r="C1365" i="1"/>
  <c r="D1365" i="1" s="1"/>
  <c r="B1366" i="1"/>
  <c r="B888" i="1"/>
  <c r="C887" i="1"/>
  <c r="D887" i="1" s="1"/>
  <c r="H84" i="1"/>
  <c r="F84" i="1"/>
  <c r="J84" i="1"/>
  <c r="G84" i="1" s="1"/>
  <c r="C151" i="1"/>
  <c r="D151" i="1" s="1"/>
  <c r="B152" i="1"/>
  <c r="C2948" i="1" l="1"/>
  <c r="D2948" i="1" s="1"/>
  <c r="B2949" i="1"/>
  <c r="C2540" i="1"/>
  <c r="D2540" i="1" s="1"/>
  <c r="B2541" i="1"/>
  <c r="C1366" i="1"/>
  <c r="D1366" i="1" s="1"/>
  <c r="B1367" i="1"/>
  <c r="B889" i="1"/>
  <c r="C888" i="1"/>
  <c r="D888" i="1" s="1"/>
  <c r="C152" i="1"/>
  <c r="D152" i="1" s="1"/>
  <c r="B153" i="1"/>
  <c r="I84" i="1"/>
  <c r="E85" i="1" s="1"/>
  <c r="C2949" i="1" l="1"/>
  <c r="D2949" i="1" s="1"/>
  <c r="B2950" i="1"/>
  <c r="C2541" i="1"/>
  <c r="D2541" i="1" s="1"/>
  <c r="B2542" i="1"/>
  <c r="C1367" i="1"/>
  <c r="D1367" i="1" s="1"/>
  <c r="B1368" i="1"/>
  <c r="B890" i="1"/>
  <c r="C889" i="1"/>
  <c r="D889" i="1" s="1"/>
  <c r="H85" i="1"/>
  <c r="F85" i="1"/>
  <c r="J85" i="1"/>
  <c r="G85" i="1" s="1"/>
  <c r="B154" i="1"/>
  <c r="C153" i="1"/>
  <c r="D153" i="1" s="1"/>
  <c r="C2950" i="1" l="1"/>
  <c r="D2950" i="1" s="1"/>
  <c r="B2951" i="1"/>
  <c r="C2542" i="1"/>
  <c r="D2542" i="1" s="1"/>
  <c r="B2543" i="1"/>
  <c r="B1369" i="1"/>
  <c r="C1368" i="1"/>
  <c r="D1368" i="1" s="1"/>
  <c r="B891" i="1"/>
  <c r="C890" i="1"/>
  <c r="D890" i="1" s="1"/>
  <c r="C154" i="1"/>
  <c r="D154" i="1" s="1"/>
  <c r="B155" i="1"/>
  <c r="I85" i="1"/>
  <c r="E86" i="1" s="1"/>
  <c r="C2951" i="1" l="1"/>
  <c r="D2951" i="1" s="1"/>
  <c r="B2952" i="1"/>
  <c r="C2543" i="1"/>
  <c r="D2543" i="1" s="1"/>
  <c r="B2544" i="1"/>
  <c r="C1369" i="1"/>
  <c r="D1369" i="1" s="1"/>
  <c r="B1370" i="1"/>
  <c r="C891" i="1"/>
  <c r="D891" i="1" s="1"/>
  <c r="B892" i="1"/>
  <c r="J86" i="1"/>
  <c r="G86" i="1" s="1"/>
  <c r="F86" i="1"/>
  <c r="H86" i="1"/>
  <c r="C155" i="1"/>
  <c r="D155" i="1" s="1"/>
  <c r="B156" i="1"/>
  <c r="B2953" i="1" l="1"/>
  <c r="C2952" i="1"/>
  <c r="D2952" i="1" s="1"/>
  <c r="C2544" i="1"/>
  <c r="D2544" i="1" s="1"/>
  <c r="B2545" i="1"/>
  <c r="B1371" i="1"/>
  <c r="C1370" i="1"/>
  <c r="D1370" i="1" s="1"/>
  <c r="C892" i="1"/>
  <c r="D892" i="1" s="1"/>
  <c r="B893" i="1"/>
  <c r="C156" i="1"/>
  <c r="D156" i="1" s="1"/>
  <c r="B157" i="1"/>
  <c r="I86" i="1"/>
  <c r="E87" i="1" s="1"/>
  <c r="C2953" i="1" l="1"/>
  <c r="D2953" i="1" s="1"/>
  <c r="B2954" i="1"/>
  <c r="C2545" i="1"/>
  <c r="D2545" i="1" s="1"/>
  <c r="B2546" i="1"/>
  <c r="B1372" i="1"/>
  <c r="C1371" i="1"/>
  <c r="D1371" i="1" s="1"/>
  <c r="C893" i="1"/>
  <c r="D893" i="1" s="1"/>
  <c r="B894" i="1"/>
  <c r="J87" i="1"/>
  <c r="G87" i="1" s="1"/>
  <c r="H87" i="1"/>
  <c r="F87" i="1"/>
  <c r="C157" i="1"/>
  <c r="D157" i="1" s="1"/>
  <c r="B158" i="1"/>
  <c r="C2954" i="1" l="1"/>
  <c r="D2954" i="1" s="1"/>
  <c r="B2955" i="1"/>
  <c r="C2546" i="1"/>
  <c r="D2546" i="1" s="1"/>
  <c r="B2547" i="1"/>
  <c r="B1373" i="1"/>
  <c r="C1372" i="1"/>
  <c r="D1372" i="1" s="1"/>
  <c r="C894" i="1"/>
  <c r="D894" i="1" s="1"/>
  <c r="B895" i="1"/>
  <c r="C158" i="1"/>
  <c r="D158" i="1" s="1"/>
  <c r="B159" i="1"/>
  <c r="I87" i="1"/>
  <c r="E88" i="1" s="1"/>
  <c r="C2955" i="1" l="1"/>
  <c r="D2955" i="1" s="1"/>
  <c r="B2956" i="1"/>
  <c r="C2547" i="1"/>
  <c r="D2547" i="1" s="1"/>
  <c r="B2548" i="1"/>
  <c r="C1373" i="1"/>
  <c r="D1373" i="1" s="1"/>
  <c r="B1374" i="1"/>
  <c r="C895" i="1"/>
  <c r="D895" i="1" s="1"/>
  <c r="B896" i="1"/>
  <c r="H88" i="1"/>
  <c r="J88" i="1"/>
  <c r="G88" i="1" s="1"/>
  <c r="F88" i="1"/>
  <c r="B160" i="1"/>
  <c r="C159" i="1"/>
  <c r="D159" i="1" s="1"/>
  <c r="C2956" i="1" l="1"/>
  <c r="D2956" i="1" s="1"/>
  <c r="B2957" i="1"/>
  <c r="C2548" i="1"/>
  <c r="D2548" i="1" s="1"/>
  <c r="B2549" i="1"/>
  <c r="B1375" i="1"/>
  <c r="C1374" i="1"/>
  <c r="D1374" i="1" s="1"/>
  <c r="C896" i="1"/>
  <c r="D896" i="1" s="1"/>
  <c r="B897" i="1"/>
  <c r="C160" i="1"/>
  <c r="D160" i="1" s="1"/>
  <c r="B161" i="1"/>
  <c r="I88" i="1"/>
  <c r="E89" i="1" s="1"/>
  <c r="C2957" i="1" l="1"/>
  <c r="D2957" i="1" s="1"/>
  <c r="B2958" i="1"/>
  <c r="C2549" i="1"/>
  <c r="D2549" i="1" s="1"/>
  <c r="B2550" i="1"/>
  <c r="C1375" i="1"/>
  <c r="D1375" i="1" s="1"/>
  <c r="B1376" i="1"/>
  <c r="B898" i="1"/>
  <c r="C897" i="1"/>
  <c r="D897" i="1" s="1"/>
  <c r="H89" i="1"/>
  <c r="F89" i="1"/>
  <c r="J89" i="1"/>
  <c r="G89" i="1" s="1"/>
  <c r="C161" i="1"/>
  <c r="D161" i="1" s="1"/>
  <c r="B162" i="1"/>
  <c r="B2959" i="1" l="1"/>
  <c r="C2958" i="1"/>
  <c r="D2958" i="1" s="1"/>
  <c r="C2550" i="1"/>
  <c r="D2550" i="1" s="1"/>
  <c r="B2551" i="1"/>
  <c r="C1376" i="1"/>
  <c r="D1376" i="1" s="1"/>
  <c r="B1377" i="1"/>
  <c r="B899" i="1"/>
  <c r="C898" i="1"/>
  <c r="D898" i="1" s="1"/>
  <c r="C162" i="1"/>
  <c r="D162" i="1" s="1"/>
  <c r="B163" i="1"/>
  <c r="I89" i="1"/>
  <c r="E90" i="1" s="1"/>
  <c r="C2959" i="1" l="1"/>
  <c r="D2959" i="1" s="1"/>
  <c r="B2960" i="1"/>
  <c r="C2551" i="1"/>
  <c r="D2551" i="1" s="1"/>
  <c r="B2552" i="1"/>
  <c r="C1377" i="1"/>
  <c r="D1377" i="1" s="1"/>
  <c r="B1378" i="1"/>
  <c r="C899" i="1"/>
  <c r="D899" i="1" s="1"/>
  <c r="B900" i="1"/>
  <c r="J90" i="1"/>
  <c r="G90" i="1" s="1"/>
  <c r="H90" i="1"/>
  <c r="F90" i="1"/>
  <c r="C163" i="1"/>
  <c r="D163" i="1" s="1"/>
  <c r="B164" i="1"/>
  <c r="C2960" i="1" l="1"/>
  <c r="D2960" i="1" s="1"/>
  <c r="B2961" i="1"/>
  <c r="C2552" i="1"/>
  <c r="D2552" i="1" s="1"/>
  <c r="B2553" i="1"/>
  <c r="B1379" i="1"/>
  <c r="C1378" i="1"/>
  <c r="D1378" i="1" s="1"/>
  <c r="C900" i="1"/>
  <c r="D900" i="1" s="1"/>
  <c r="B901" i="1"/>
  <c r="C164" i="1"/>
  <c r="D164" i="1" s="1"/>
  <c r="B165" i="1"/>
  <c r="I90" i="1"/>
  <c r="E91" i="1" s="1"/>
  <c r="C2961" i="1" l="1"/>
  <c r="D2961" i="1" s="1"/>
  <c r="B2962" i="1"/>
  <c r="B2554" i="1"/>
  <c r="C2553" i="1"/>
  <c r="D2553" i="1" s="1"/>
  <c r="C1379" i="1"/>
  <c r="D1379" i="1" s="1"/>
  <c r="B1380" i="1"/>
  <c r="C901" i="1"/>
  <c r="D901" i="1" s="1"/>
  <c r="B902" i="1"/>
  <c r="F91" i="1"/>
  <c r="H91" i="1"/>
  <c r="J91" i="1"/>
  <c r="G91" i="1" s="1"/>
  <c r="C165" i="1"/>
  <c r="D165" i="1" s="1"/>
  <c r="B166" i="1"/>
  <c r="B2963" i="1" l="1"/>
  <c r="C2962" i="1"/>
  <c r="D2962" i="1" s="1"/>
  <c r="C2554" i="1"/>
  <c r="D2554" i="1" s="1"/>
  <c r="B2555" i="1"/>
  <c r="C1380" i="1"/>
  <c r="D1380" i="1" s="1"/>
  <c r="B1381" i="1"/>
  <c r="C902" i="1"/>
  <c r="D902" i="1" s="1"/>
  <c r="B903" i="1"/>
  <c r="C166" i="1"/>
  <c r="D166" i="1" s="1"/>
  <c r="B167" i="1"/>
  <c r="I91" i="1"/>
  <c r="E92" i="1" s="1"/>
  <c r="B2964" i="1" l="1"/>
  <c r="C2963" i="1"/>
  <c r="D2963" i="1" s="1"/>
  <c r="C2555" i="1"/>
  <c r="D2555" i="1" s="1"/>
  <c r="B2556" i="1"/>
  <c r="C1381" i="1"/>
  <c r="D1381" i="1" s="1"/>
  <c r="B1382" i="1"/>
  <c r="B904" i="1"/>
  <c r="C903" i="1"/>
  <c r="D903" i="1" s="1"/>
  <c r="J92" i="1"/>
  <c r="G92" i="1" s="1"/>
  <c r="F92" i="1"/>
  <c r="H92" i="1"/>
  <c r="C167" i="1"/>
  <c r="D167" i="1" s="1"/>
  <c r="B168" i="1"/>
  <c r="C2964" i="1" l="1"/>
  <c r="D2964" i="1" s="1"/>
  <c r="B2965" i="1"/>
  <c r="C2556" i="1"/>
  <c r="D2556" i="1" s="1"/>
  <c r="B2557" i="1"/>
  <c r="B1383" i="1"/>
  <c r="C1382" i="1"/>
  <c r="D1382" i="1" s="1"/>
  <c r="B905" i="1"/>
  <c r="C904" i="1"/>
  <c r="D904" i="1" s="1"/>
  <c r="C168" i="1"/>
  <c r="D168" i="1" s="1"/>
  <c r="B169" i="1"/>
  <c r="I92" i="1"/>
  <c r="E93" i="1" s="1"/>
  <c r="B2966" i="1" l="1"/>
  <c r="C2965" i="1"/>
  <c r="D2965" i="1" s="1"/>
  <c r="C2557" i="1"/>
  <c r="D2557" i="1" s="1"/>
  <c r="B2558" i="1"/>
  <c r="C1383" i="1"/>
  <c r="D1383" i="1" s="1"/>
  <c r="B1384" i="1"/>
  <c r="C905" i="1"/>
  <c r="D905" i="1" s="1"/>
  <c r="B906" i="1"/>
  <c r="H93" i="1"/>
  <c r="J93" i="1"/>
  <c r="G93" i="1" s="1"/>
  <c r="F93" i="1"/>
  <c r="C169" i="1"/>
  <c r="D169" i="1" s="1"/>
  <c r="B170" i="1"/>
  <c r="B2967" i="1" l="1"/>
  <c r="C2966" i="1"/>
  <c r="D2966" i="1" s="1"/>
  <c r="C2558" i="1"/>
  <c r="D2558" i="1" s="1"/>
  <c r="B2559" i="1"/>
  <c r="B1385" i="1"/>
  <c r="C1384" i="1"/>
  <c r="D1384" i="1" s="1"/>
  <c r="B907" i="1"/>
  <c r="C906" i="1"/>
  <c r="D906" i="1" s="1"/>
  <c r="C170" i="1"/>
  <c r="D170" i="1" s="1"/>
  <c r="B171" i="1"/>
  <c r="I93" i="1"/>
  <c r="E94" i="1" s="1"/>
  <c r="C2967" i="1" l="1"/>
  <c r="D2967" i="1" s="1"/>
  <c r="B2968" i="1"/>
  <c r="C2559" i="1"/>
  <c r="D2559" i="1" s="1"/>
  <c r="B2560" i="1"/>
  <c r="C1385" i="1"/>
  <c r="D1385" i="1" s="1"/>
  <c r="B1386" i="1"/>
  <c r="B908" i="1"/>
  <c r="C907" i="1"/>
  <c r="D907" i="1" s="1"/>
  <c r="J94" i="1"/>
  <c r="G94" i="1" s="1"/>
  <c r="F94" i="1"/>
  <c r="H94" i="1"/>
  <c r="C171" i="1"/>
  <c r="D171" i="1" s="1"/>
  <c r="B172" i="1"/>
  <c r="C2968" i="1" l="1"/>
  <c r="D2968" i="1" s="1"/>
  <c r="B2969" i="1"/>
  <c r="C2969" i="1" s="1"/>
  <c r="D2969" i="1" s="1"/>
  <c r="C2560" i="1"/>
  <c r="D2560" i="1" s="1"/>
  <c r="B2561" i="1"/>
  <c r="C1386" i="1"/>
  <c r="D1386" i="1" s="1"/>
  <c r="B1387" i="1"/>
  <c r="C908" i="1"/>
  <c r="D908" i="1" s="1"/>
  <c r="B909" i="1"/>
  <c r="C172" i="1"/>
  <c r="D172" i="1" s="1"/>
  <c r="B173" i="1"/>
  <c r="I94" i="1"/>
  <c r="E95" i="1" s="1"/>
  <c r="B2562" i="1" l="1"/>
  <c r="C2561" i="1"/>
  <c r="D2561" i="1" s="1"/>
  <c r="B1388" i="1"/>
  <c r="C1387" i="1"/>
  <c r="D1387" i="1" s="1"/>
  <c r="C909" i="1"/>
  <c r="D909" i="1" s="1"/>
  <c r="B910" i="1"/>
  <c r="J95" i="1"/>
  <c r="G95" i="1" s="1"/>
  <c r="H95" i="1"/>
  <c r="F95" i="1"/>
  <c r="B174" i="1"/>
  <c r="C173" i="1"/>
  <c r="D173" i="1" s="1"/>
  <c r="C2562" i="1" l="1"/>
  <c r="D2562" i="1" s="1"/>
  <c r="B2563" i="1"/>
  <c r="B1389" i="1"/>
  <c r="C1388" i="1"/>
  <c r="D1388" i="1" s="1"/>
  <c r="C910" i="1"/>
  <c r="D910" i="1" s="1"/>
  <c r="B911" i="1"/>
  <c r="C174" i="1"/>
  <c r="D174" i="1" s="1"/>
  <c r="B175" i="1"/>
  <c r="I95" i="1"/>
  <c r="E96" i="1" s="1"/>
  <c r="B2564" i="1" l="1"/>
  <c r="C2563" i="1"/>
  <c r="D2563" i="1" s="1"/>
  <c r="C1389" i="1"/>
  <c r="D1389" i="1" s="1"/>
  <c r="B1390" i="1"/>
  <c r="C911" i="1"/>
  <c r="D911" i="1" s="1"/>
  <c r="B912" i="1"/>
  <c r="F96" i="1"/>
  <c r="J96" i="1"/>
  <c r="G96" i="1" s="1"/>
  <c r="H96" i="1"/>
  <c r="C175" i="1"/>
  <c r="D175" i="1" s="1"/>
  <c r="B176" i="1"/>
  <c r="C2564" i="1" l="1"/>
  <c r="D2564" i="1" s="1"/>
  <c r="B2565" i="1"/>
  <c r="C1390" i="1"/>
  <c r="D1390" i="1" s="1"/>
  <c r="B1391" i="1"/>
  <c r="C912" i="1"/>
  <c r="D912" i="1" s="1"/>
  <c r="B913" i="1"/>
  <c r="C176" i="1"/>
  <c r="D176" i="1" s="1"/>
  <c r="B177" i="1"/>
  <c r="I96" i="1"/>
  <c r="E97" i="1" s="1"/>
  <c r="C2565" i="1" l="1"/>
  <c r="D2565" i="1" s="1"/>
  <c r="B2566" i="1"/>
  <c r="C1391" i="1"/>
  <c r="D1391" i="1" s="1"/>
  <c r="B1392" i="1"/>
  <c r="B914" i="1"/>
  <c r="C913" i="1"/>
  <c r="D913" i="1" s="1"/>
  <c r="H97" i="1"/>
  <c r="J97" i="1"/>
  <c r="G97" i="1" s="1"/>
  <c r="F97" i="1"/>
  <c r="C177" i="1"/>
  <c r="D177" i="1" s="1"/>
  <c r="B178" i="1"/>
  <c r="B2567" i="1" l="1"/>
  <c r="C2566" i="1"/>
  <c r="D2566" i="1" s="1"/>
  <c r="B1393" i="1"/>
  <c r="C1392" i="1"/>
  <c r="D1392" i="1" s="1"/>
  <c r="C914" i="1"/>
  <c r="D914" i="1" s="1"/>
  <c r="B915" i="1"/>
  <c r="C178" i="1"/>
  <c r="D178" i="1" s="1"/>
  <c r="B179" i="1"/>
  <c r="I97" i="1"/>
  <c r="E98" i="1" s="1"/>
  <c r="B2568" i="1" l="1"/>
  <c r="C2567" i="1"/>
  <c r="D2567" i="1" s="1"/>
  <c r="C1393" i="1"/>
  <c r="D1393" i="1" s="1"/>
  <c r="B1394" i="1"/>
  <c r="B916" i="1"/>
  <c r="C915" i="1"/>
  <c r="D915" i="1" s="1"/>
  <c r="J98" i="1"/>
  <c r="G98" i="1" s="1"/>
  <c r="H98" i="1"/>
  <c r="F98" i="1"/>
  <c r="C179" i="1"/>
  <c r="D179" i="1" s="1"/>
  <c r="B180" i="1"/>
  <c r="C2568" i="1" l="1"/>
  <c r="D2568" i="1" s="1"/>
  <c r="B2569" i="1"/>
  <c r="B1395" i="1"/>
  <c r="C1394" i="1"/>
  <c r="D1394" i="1" s="1"/>
  <c r="B917" i="1"/>
  <c r="C916" i="1"/>
  <c r="D916" i="1" s="1"/>
  <c r="C180" i="1"/>
  <c r="D180" i="1" s="1"/>
  <c r="B181" i="1"/>
  <c r="I98" i="1"/>
  <c r="E99" i="1" s="1"/>
  <c r="C2569" i="1" l="1"/>
  <c r="D2569" i="1" s="1"/>
  <c r="B2570" i="1"/>
  <c r="C1395" i="1"/>
  <c r="D1395" i="1" s="1"/>
  <c r="B1396" i="1"/>
  <c r="C917" i="1"/>
  <c r="D917" i="1" s="1"/>
  <c r="B918" i="1"/>
  <c r="F99" i="1"/>
  <c r="H99" i="1"/>
  <c r="J99" i="1"/>
  <c r="G99" i="1" s="1"/>
  <c r="C181" i="1"/>
  <c r="D181" i="1" s="1"/>
  <c r="B182" i="1"/>
  <c r="C2570" i="1" l="1"/>
  <c r="D2570" i="1" s="1"/>
  <c r="B2571" i="1"/>
  <c r="C1396" i="1"/>
  <c r="D1396" i="1" s="1"/>
  <c r="B1397" i="1"/>
  <c r="B919" i="1"/>
  <c r="C918" i="1"/>
  <c r="D918" i="1" s="1"/>
  <c r="C182" i="1"/>
  <c r="D182" i="1" s="1"/>
  <c r="B183" i="1"/>
  <c r="I99" i="1"/>
  <c r="E100" i="1" s="1"/>
  <c r="B2572" i="1" l="1"/>
  <c r="C2571" i="1"/>
  <c r="D2571" i="1" s="1"/>
  <c r="C1397" i="1"/>
  <c r="D1397" i="1" s="1"/>
  <c r="B1398" i="1"/>
  <c r="C919" i="1"/>
  <c r="D919" i="1" s="1"/>
  <c r="B920" i="1"/>
  <c r="F100" i="1"/>
  <c r="H100" i="1"/>
  <c r="J100" i="1"/>
  <c r="G100" i="1" s="1"/>
  <c r="C183" i="1"/>
  <c r="D183" i="1" s="1"/>
  <c r="B184" i="1"/>
  <c r="C2572" i="1" l="1"/>
  <c r="D2572" i="1" s="1"/>
  <c r="B2573" i="1"/>
  <c r="B1399" i="1"/>
  <c r="C1398" i="1"/>
  <c r="D1398" i="1" s="1"/>
  <c r="C920" i="1"/>
  <c r="D920" i="1" s="1"/>
  <c r="B921" i="1"/>
  <c r="C184" i="1"/>
  <c r="D184" i="1" s="1"/>
  <c r="B185" i="1"/>
  <c r="I100" i="1"/>
  <c r="E101" i="1" s="1"/>
  <c r="B2574" i="1" l="1"/>
  <c r="C2573" i="1"/>
  <c r="D2573" i="1" s="1"/>
  <c r="C1399" i="1"/>
  <c r="D1399" i="1" s="1"/>
  <c r="B1400" i="1"/>
  <c r="C921" i="1"/>
  <c r="D921" i="1" s="1"/>
  <c r="B922" i="1"/>
  <c r="F101" i="1"/>
  <c r="H101" i="1"/>
  <c r="J101" i="1"/>
  <c r="G101" i="1" s="1"/>
  <c r="C185" i="1"/>
  <c r="D185" i="1" s="1"/>
  <c r="B186" i="1"/>
  <c r="B2575" i="1" l="1"/>
  <c r="C2574" i="1"/>
  <c r="D2574" i="1" s="1"/>
  <c r="B1401" i="1"/>
  <c r="C1400" i="1"/>
  <c r="D1400" i="1" s="1"/>
  <c r="B923" i="1"/>
  <c r="C922" i="1"/>
  <c r="D922" i="1" s="1"/>
  <c r="C186" i="1"/>
  <c r="D186" i="1" s="1"/>
  <c r="B187" i="1"/>
  <c r="I101" i="1"/>
  <c r="E102" i="1" s="1"/>
  <c r="C2575" i="1" l="1"/>
  <c r="D2575" i="1" s="1"/>
  <c r="B2576" i="1"/>
  <c r="C1401" i="1"/>
  <c r="D1401" i="1" s="1"/>
  <c r="B1402" i="1"/>
  <c r="B924" i="1"/>
  <c r="C923" i="1"/>
  <c r="D923" i="1" s="1"/>
  <c r="H102" i="1"/>
  <c r="J102" i="1"/>
  <c r="G102" i="1" s="1"/>
  <c r="F102" i="1"/>
  <c r="C187" i="1"/>
  <c r="D187" i="1" s="1"/>
  <c r="B188" i="1"/>
  <c r="C2576" i="1" l="1"/>
  <c r="D2576" i="1" s="1"/>
  <c r="B2577" i="1"/>
  <c r="C1402" i="1"/>
  <c r="D1402" i="1" s="1"/>
  <c r="B1403" i="1"/>
  <c r="C924" i="1"/>
  <c r="D924" i="1" s="1"/>
  <c r="B925" i="1"/>
  <c r="B189" i="1"/>
  <c r="C188" i="1"/>
  <c r="D188" i="1" s="1"/>
  <c r="I102" i="1"/>
  <c r="E103" i="1" s="1"/>
  <c r="B2578" i="1" l="1"/>
  <c r="C2577" i="1"/>
  <c r="D2577" i="1" s="1"/>
  <c r="B1404" i="1"/>
  <c r="C1403" i="1"/>
  <c r="D1403" i="1" s="1"/>
  <c r="C925" i="1"/>
  <c r="D925" i="1" s="1"/>
  <c r="B926" i="1"/>
  <c r="J103" i="1"/>
  <c r="G103" i="1" s="1"/>
  <c r="H103" i="1"/>
  <c r="F103" i="1"/>
  <c r="B190" i="1"/>
  <c r="C189" i="1"/>
  <c r="D189" i="1" s="1"/>
  <c r="C2578" i="1" l="1"/>
  <c r="D2578" i="1" s="1"/>
  <c r="B2579" i="1"/>
  <c r="C1404" i="1"/>
  <c r="D1404" i="1" s="1"/>
  <c r="B1405" i="1"/>
  <c r="B927" i="1"/>
  <c r="C926" i="1"/>
  <c r="D926" i="1" s="1"/>
  <c r="C190" i="1"/>
  <c r="D190" i="1" s="1"/>
  <c r="B191" i="1"/>
  <c r="I103" i="1"/>
  <c r="E104" i="1" s="1"/>
  <c r="C2579" i="1" l="1"/>
  <c r="D2579" i="1" s="1"/>
  <c r="B2580" i="1"/>
  <c r="B1406" i="1"/>
  <c r="C1405" i="1"/>
  <c r="D1405" i="1" s="1"/>
  <c r="C927" i="1"/>
  <c r="D927" i="1" s="1"/>
  <c r="B928" i="1"/>
  <c r="H104" i="1"/>
  <c r="J104" i="1"/>
  <c r="G104" i="1" s="1"/>
  <c r="F104" i="1"/>
  <c r="B192" i="1"/>
  <c r="C191" i="1"/>
  <c r="D191" i="1" s="1"/>
  <c r="C2580" i="1" l="1"/>
  <c r="D2580" i="1" s="1"/>
  <c r="B2581" i="1"/>
  <c r="C1406" i="1"/>
  <c r="D1406" i="1" s="1"/>
  <c r="B1407" i="1"/>
  <c r="B929" i="1"/>
  <c r="C928" i="1"/>
  <c r="D928" i="1" s="1"/>
  <c r="C192" i="1"/>
  <c r="D192" i="1" s="1"/>
  <c r="B193" i="1"/>
  <c r="I104" i="1"/>
  <c r="E105" i="1" s="1"/>
  <c r="B2582" i="1" l="1"/>
  <c r="C2581" i="1"/>
  <c r="D2581" i="1" s="1"/>
  <c r="C1407" i="1"/>
  <c r="D1407" i="1" s="1"/>
  <c r="B1408" i="1"/>
  <c r="C929" i="1"/>
  <c r="D929" i="1" s="1"/>
  <c r="B930" i="1"/>
  <c r="H105" i="1"/>
  <c r="J105" i="1"/>
  <c r="G105" i="1" s="1"/>
  <c r="F105" i="1"/>
  <c r="C193" i="1"/>
  <c r="D193" i="1" s="1"/>
  <c r="B194" i="1"/>
  <c r="C2582" i="1" l="1"/>
  <c r="D2582" i="1" s="1"/>
  <c r="B2583" i="1"/>
  <c r="B1409" i="1"/>
  <c r="C1408" i="1"/>
  <c r="D1408" i="1" s="1"/>
  <c r="C930" i="1"/>
  <c r="D930" i="1" s="1"/>
  <c r="B931" i="1"/>
  <c r="C194" i="1"/>
  <c r="D194" i="1" s="1"/>
  <c r="B195" i="1"/>
  <c r="I105" i="1"/>
  <c r="E106" i="1" s="1"/>
  <c r="B2584" i="1" l="1"/>
  <c r="C2583" i="1"/>
  <c r="D2583" i="1" s="1"/>
  <c r="B1410" i="1"/>
  <c r="C1409" i="1"/>
  <c r="D1409" i="1" s="1"/>
  <c r="C931" i="1"/>
  <c r="D931" i="1" s="1"/>
  <c r="B932" i="1"/>
  <c r="H106" i="1"/>
  <c r="J106" i="1"/>
  <c r="G106" i="1" s="1"/>
  <c r="F106" i="1"/>
  <c r="C195" i="1"/>
  <c r="D195" i="1" s="1"/>
  <c r="B196" i="1"/>
  <c r="C2584" i="1" l="1"/>
  <c r="D2584" i="1" s="1"/>
  <c r="B2585" i="1"/>
  <c r="C1410" i="1"/>
  <c r="D1410" i="1" s="1"/>
  <c r="B1411" i="1"/>
  <c r="B933" i="1"/>
  <c r="C932" i="1"/>
  <c r="D932" i="1" s="1"/>
  <c r="B197" i="1"/>
  <c r="C196" i="1"/>
  <c r="D196" i="1" s="1"/>
  <c r="I106" i="1"/>
  <c r="E107" i="1" s="1"/>
  <c r="C2585" i="1" l="1"/>
  <c r="D2585" i="1" s="1"/>
  <c r="B2586" i="1"/>
  <c r="C1411" i="1"/>
  <c r="D1411" i="1" s="1"/>
  <c r="B1412" i="1"/>
  <c r="C933" i="1"/>
  <c r="D933" i="1" s="1"/>
  <c r="B934" i="1"/>
  <c r="J107" i="1"/>
  <c r="G107" i="1" s="1"/>
  <c r="F107" i="1"/>
  <c r="H107" i="1"/>
  <c r="C197" i="1"/>
  <c r="D197" i="1" s="1"/>
  <c r="B198" i="1"/>
  <c r="C2586" i="1" l="1"/>
  <c r="D2586" i="1" s="1"/>
  <c r="B2587" i="1"/>
  <c r="B1413" i="1"/>
  <c r="C1412" i="1"/>
  <c r="D1412" i="1" s="1"/>
  <c r="B935" i="1"/>
  <c r="C934" i="1"/>
  <c r="D934" i="1" s="1"/>
  <c r="C198" i="1"/>
  <c r="D198" i="1" s="1"/>
  <c r="B199" i="1"/>
  <c r="I107" i="1"/>
  <c r="E108" i="1" s="1"/>
  <c r="C2587" i="1" l="1"/>
  <c r="D2587" i="1" s="1"/>
  <c r="B2588" i="1"/>
  <c r="B1414" i="1"/>
  <c r="C1413" i="1"/>
  <c r="D1413" i="1" s="1"/>
  <c r="C935" i="1"/>
  <c r="D935" i="1" s="1"/>
  <c r="B936" i="1"/>
  <c r="J108" i="1"/>
  <c r="G108" i="1" s="1"/>
  <c r="F108" i="1"/>
  <c r="H108" i="1"/>
  <c r="C199" i="1"/>
  <c r="D199" i="1" s="1"/>
  <c r="B200" i="1"/>
  <c r="C2588" i="1" l="1"/>
  <c r="D2588" i="1" s="1"/>
  <c r="B2589" i="1"/>
  <c r="C1414" i="1"/>
  <c r="D1414" i="1" s="1"/>
  <c r="B1415" i="1"/>
  <c r="C936" i="1"/>
  <c r="D936" i="1" s="1"/>
  <c r="B937" i="1"/>
  <c r="C200" i="1"/>
  <c r="D200" i="1" s="1"/>
  <c r="B201" i="1"/>
  <c r="I108" i="1"/>
  <c r="E109" i="1" s="1"/>
  <c r="C2589" i="1" l="1"/>
  <c r="D2589" i="1" s="1"/>
  <c r="B2590" i="1"/>
  <c r="C1415" i="1"/>
  <c r="D1415" i="1" s="1"/>
  <c r="B1416" i="1"/>
  <c r="C937" i="1"/>
  <c r="D937" i="1" s="1"/>
  <c r="B938" i="1"/>
  <c r="H109" i="1"/>
  <c r="F109" i="1"/>
  <c r="J109" i="1"/>
  <c r="G109" i="1" s="1"/>
  <c r="C201" i="1"/>
  <c r="D201" i="1" s="1"/>
  <c r="B202" i="1"/>
  <c r="C2590" i="1" l="1"/>
  <c r="D2590" i="1" s="1"/>
  <c r="B2591" i="1"/>
  <c r="B1417" i="1"/>
  <c r="C1416" i="1"/>
  <c r="D1416" i="1" s="1"/>
  <c r="B939" i="1"/>
  <c r="C938" i="1"/>
  <c r="D938" i="1" s="1"/>
  <c r="B203" i="1"/>
  <c r="C202" i="1"/>
  <c r="D202" i="1" s="1"/>
  <c r="I109" i="1"/>
  <c r="E110" i="1" s="1"/>
  <c r="C2591" i="1" l="1"/>
  <c r="D2591" i="1" s="1"/>
  <c r="B2592" i="1"/>
  <c r="C1417" i="1"/>
  <c r="D1417" i="1" s="1"/>
  <c r="B1418" i="1"/>
  <c r="B940" i="1"/>
  <c r="C939" i="1"/>
  <c r="D939" i="1" s="1"/>
  <c r="F110" i="1"/>
  <c r="H110" i="1"/>
  <c r="J110" i="1"/>
  <c r="G110" i="1" s="1"/>
  <c r="C203" i="1"/>
  <c r="D203" i="1" s="1"/>
  <c r="B204" i="1"/>
  <c r="C2592" i="1" l="1"/>
  <c r="D2592" i="1" s="1"/>
  <c r="B2593" i="1"/>
  <c r="C1418" i="1"/>
  <c r="D1418" i="1" s="1"/>
  <c r="B1419" i="1"/>
  <c r="B941" i="1"/>
  <c r="C940" i="1"/>
  <c r="D940" i="1" s="1"/>
  <c r="C204" i="1"/>
  <c r="D204" i="1" s="1"/>
  <c r="B205" i="1"/>
  <c r="I110" i="1"/>
  <c r="E111" i="1" s="1"/>
  <c r="C2593" i="1" l="1"/>
  <c r="D2593" i="1" s="1"/>
  <c r="B2594" i="1"/>
  <c r="B1420" i="1"/>
  <c r="C1419" i="1"/>
  <c r="D1419" i="1" s="1"/>
  <c r="C941" i="1"/>
  <c r="D941" i="1" s="1"/>
  <c r="B942" i="1"/>
  <c r="H111" i="1"/>
  <c r="F111" i="1"/>
  <c r="J111" i="1"/>
  <c r="G111" i="1" s="1"/>
  <c r="C205" i="1"/>
  <c r="D205" i="1" s="1"/>
  <c r="B206" i="1"/>
  <c r="C2594" i="1" l="1"/>
  <c r="D2594" i="1" s="1"/>
  <c r="B2595" i="1"/>
  <c r="B1421" i="1"/>
  <c r="C1420" i="1"/>
  <c r="D1420" i="1" s="1"/>
  <c r="C942" i="1"/>
  <c r="D942" i="1" s="1"/>
  <c r="B943" i="1"/>
  <c r="C206" i="1"/>
  <c r="D206" i="1" s="1"/>
  <c r="B207" i="1"/>
  <c r="I111" i="1"/>
  <c r="E112" i="1" s="1"/>
  <c r="C2595" i="1" l="1"/>
  <c r="D2595" i="1" s="1"/>
  <c r="B2596" i="1"/>
  <c r="C1421" i="1"/>
  <c r="D1421" i="1" s="1"/>
  <c r="B1422" i="1"/>
  <c r="B944" i="1"/>
  <c r="C943" i="1"/>
  <c r="D943" i="1" s="1"/>
  <c r="J112" i="1"/>
  <c r="G112" i="1" s="1"/>
  <c r="F112" i="1"/>
  <c r="H112" i="1"/>
  <c r="C207" i="1"/>
  <c r="D207" i="1" s="1"/>
  <c r="B208" i="1"/>
  <c r="C2596" i="1" l="1"/>
  <c r="D2596" i="1" s="1"/>
  <c r="B2597" i="1"/>
  <c r="C1422" i="1"/>
  <c r="D1422" i="1" s="1"/>
  <c r="B1423" i="1"/>
  <c r="B945" i="1"/>
  <c r="C944" i="1"/>
  <c r="D944" i="1" s="1"/>
  <c r="C208" i="1"/>
  <c r="D208" i="1" s="1"/>
  <c r="B209" i="1"/>
  <c r="I112" i="1"/>
  <c r="E113" i="1" s="1"/>
  <c r="C2597" i="1" l="1"/>
  <c r="D2597" i="1" s="1"/>
  <c r="B2598" i="1"/>
  <c r="C1423" i="1"/>
  <c r="D1423" i="1" s="1"/>
  <c r="B1424" i="1"/>
  <c r="C945" i="1"/>
  <c r="D945" i="1" s="1"/>
  <c r="B946" i="1"/>
  <c r="F113" i="1"/>
  <c r="H113" i="1"/>
  <c r="J113" i="1"/>
  <c r="G113" i="1" s="1"/>
  <c r="B210" i="1"/>
  <c r="C209" i="1"/>
  <c r="D209" i="1" s="1"/>
  <c r="C2598" i="1" l="1"/>
  <c r="D2598" i="1" s="1"/>
  <c r="B2599" i="1"/>
  <c r="C1424" i="1"/>
  <c r="D1424" i="1" s="1"/>
  <c r="B1425" i="1"/>
  <c r="B947" i="1"/>
  <c r="C946" i="1"/>
  <c r="D946" i="1" s="1"/>
  <c r="B211" i="1"/>
  <c r="C210" i="1"/>
  <c r="D210" i="1" s="1"/>
  <c r="I113" i="1"/>
  <c r="E114" i="1" s="1"/>
  <c r="C2599" i="1" l="1"/>
  <c r="D2599" i="1" s="1"/>
  <c r="B2600" i="1"/>
  <c r="B1426" i="1"/>
  <c r="C1425" i="1"/>
  <c r="D1425" i="1" s="1"/>
  <c r="B948" i="1"/>
  <c r="C947" i="1"/>
  <c r="D947" i="1" s="1"/>
  <c r="J114" i="1"/>
  <c r="G114" i="1" s="1"/>
  <c r="H114" i="1"/>
  <c r="F114" i="1"/>
  <c r="C211" i="1"/>
  <c r="D211" i="1" s="1"/>
  <c r="B212" i="1"/>
  <c r="C2600" i="1" l="1"/>
  <c r="D2600" i="1" s="1"/>
  <c r="B2601" i="1"/>
  <c r="C1426" i="1"/>
  <c r="D1426" i="1" s="1"/>
  <c r="B1427" i="1"/>
  <c r="C948" i="1"/>
  <c r="D948" i="1" s="1"/>
  <c r="B949" i="1"/>
  <c r="C212" i="1"/>
  <c r="D212" i="1" s="1"/>
  <c r="B213" i="1"/>
  <c r="I114" i="1"/>
  <c r="E115" i="1" s="1"/>
  <c r="C2601" i="1" l="1"/>
  <c r="D2601" i="1" s="1"/>
  <c r="B2602" i="1"/>
  <c r="C1427" i="1"/>
  <c r="D1427" i="1" s="1"/>
  <c r="B1428" i="1"/>
  <c r="C949" i="1"/>
  <c r="D949" i="1" s="1"/>
  <c r="B950" i="1"/>
  <c r="C213" i="1"/>
  <c r="D213" i="1" s="1"/>
  <c r="B214" i="1"/>
  <c r="J115" i="1"/>
  <c r="G115" i="1" s="1"/>
  <c r="H115" i="1"/>
  <c r="F115" i="1"/>
  <c r="C2602" i="1" l="1"/>
  <c r="D2602" i="1" s="1"/>
  <c r="B2603" i="1"/>
  <c r="C1428" i="1"/>
  <c r="D1428" i="1" s="1"/>
  <c r="B1429" i="1"/>
  <c r="B951" i="1"/>
  <c r="C950" i="1"/>
  <c r="D950" i="1" s="1"/>
  <c r="I115" i="1"/>
  <c r="E116" i="1" s="1"/>
  <c r="H116" i="1" s="1"/>
  <c r="C214" i="1"/>
  <c r="D214" i="1" s="1"/>
  <c r="B215" i="1"/>
  <c r="B2604" i="1" l="1"/>
  <c r="C2603" i="1"/>
  <c r="D2603" i="1" s="1"/>
  <c r="B1430" i="1"/>
  <c r="C1429" i="1"/>
  <c r="D1429" i="1" s="1"/>
  <c r="C951" i="1"/>
  <c r="D951" i="1" s="1"/>
  <c r="B952" i="1"/>
  <c r="F116" i="1"/>
  <c r="J116" i="1"/>
  <c r="G116" i="1" s="1"/>
  <c r="C215" i="1"/>
  <c r="D215" i="1" s="1"/>
  <c r="B216" i="1"/>
  <c r="C2604" i="1" l="1"/>
  <c r="D2604" i="1" s="1"/>
  <c r="B2605" i="1"/>
  <c r="C1430" i="1"/>
  <c r="D1430" i="1" s="1"/>
  <c r="B1431" i="1"/>
  <c r="C952" i="1"/>
  <c r="D952" i="1" s="1"/>
  <c r="B953" i="1"/>
  <c r="I116" i="1"/>
  <c r="E117" i="1" s="1"/>
  <c r="H117" i="1" s="1"/>
  <c r="C216" i="1"/>
  <c r="D216" i="1" s="1"/>
  <c r="B217" i="1"/>
  <c r="J117" i="1" l="1"/>
  <c r="G117" i="1" s="1"/>
  <c r="I117" i="1" s="1"/>
  <c r="E118" i="1" s="1"/>
  <c r="F117" i="1"/>
  <c r="C2605" i="1"/>
  <c r="D2605" i="1" s="1"/>
  <c r="B2606" i="1"/>
  <c r="C1431" i="1"/>
  <c r="D1431" i="1" s="1"/>
  <c r="B1432" i="1"/>
  <c r="C953" i="1"/>
  <c r="D953" i="1" s="1"/>
  <c r="B954" i="1"/>
  <c r="C217" i="1"/>
  <c r="D217" i="1" s="1"/>
  <c r="B218" i="1"/>
  <c r="C2606" i="1" l="1"/>
  <c r="D2606" i="1" s="1"/>
  <c r="B2607" i="1"/>
  <c r="B1433" i="1"/>
  <c r="C1432" i="1"/>
  <c r="D1432" i="1" s="1"/>
  <c r="C954" i="1"/>
  <c r="D954" i="1" s="1"/>
  <c r="B955" i="1"/>
  <c r="H118" i="1"/>
  <c r="J118" i="1"/>
  <c r="G118" i="1" s="1"/>
  <c r="F118" i="1"/>
  <c r="C218" i="1"/>
  <c r="D218" i="1" s="1"/>
  <c r="B219" i="1"/>
  <c r="C2607" i="1" l="1"/>
  <c r="D2607" i="1" s="1"/>
  <c r="B2608" i="1"/>
  <c r="B1434" i="1"/>
  <c r="C1433" i="1"/>
  <c r="D1433" i="1" s="1"/>
  <c r="C955" i="1"/>
  <c r="D955" i="1" s="1"/>
  <c r="B956" i="1"/>
  <c r="C219" i="1"/>
  <c r="D219" i="1" s="1"/>
  <c r="B220" i="1"/>
  <c r="I118" i="1"/>
  <c r="E119" i="1" s="1"/>
  <c r="C2608" i="1" l="1"/>
  <c r="D2608" i="1" s="1"/>
  <c r="B2609" i="1"/>
  <c r="C1434" i="1"/>
  <c r="D1434" i="1" s="1"/>
  <c r="B1435" i="1"/>
  <c r="C956" i="1"/>
  <c r="D956" i="1" s="1"/>
  <c r="B957" i="1"/>
  <c r="J119" i="1"/>
  <c r="G119" i="1" s="1"/>
  <c r="H119" i="1"/>
  <c r="F119" i="1"/>
  <c r="C220" i="1"/>
  <c r="D220" i="1" s="1"/>
  <c r="B221" i="1"/>
  <c r="C2609" i="1" l="1"/>
  <c r="D2609" i="1" s="1"/>
  <c r="B2610" i="1"/>
  <c r="B1436" i="1"/>
  <c r="C1435" i="1"/>
  <c r="D1435" i="1" s="1"/>
  <c r="C957" i="1"/>
  <c r="D957" i="1" s="1"/>
  <c r="B958" i="1"/>
  <c r="C221" i="1"/>
  <c r="D221" i="1" s="1"/>
  <c r="B222" i="1"/>
  <c r="I119" i="1"/>
  <c r="E120" i="1" s="1"/>
  <c r="C2610" i="1" l="1"/>
  <c r="D2610" i="1" s="1"/>
  <c r="B2611" i="1"/>
  <c r="B1437" i="1"/>
  <c r="C1436" i="1"/>
  <c r="D1436" i="1" s="1"/>
  <c r="C958" i="1"/>
  <c r="D958" i="1" s="1"/>
  <c r="B959" i="1"/>
  <c r="H120" i="1"/>
  <c r="J120" i="1"/>
  <c r="G120" i="1" s="1"/>
  <c r="F120" i="1"/>
  <c r="C222" i="1"/>
  <c r="D222" i="1" s="1"/>
  <c r="B223" i="1"/>
  <c r="C2611" i="1" l="1"/>
  <c r="D2611" i="1" s="1"/>
  <c r="B2612" i="1"/>
  <c r="B1438" i="1"/>
  <c r="C1437" i="1"/>
  <c r="D1437" i="1" s="1"/>
  <c r="C959" i="1"/>
  <c r="D959" i="1" s="1"/>
  <c r="B960" i="1"/>
  <c r="C223" i="1"/>
  <c r="D223" i="1" s="1"/>
  <c r="B224" i="1"/>
  <c r="I120" i="1"/>
  <c r="E121" i="1" s="1"/>
  <c r="C2612" i="1" l="1"/>
  <c r="D2612" i="1" s="1"/>
  <c r="B2613" i="1"/>
  <c r="C1438" i="1"/>
  <c r="D1438" i="1" s="1"/>
  <c r="B1439" i="1"/>
  <c r="C960" i="1"/>
  <c r="D960" i="1" s="1"/>
  <c r="B961" i="1"/>
  <c r="J121" i="1"/>
  <c r="G121" i="1" s="1"/>
  <c r="H121" i="1"/>
  <c r="F121" i="1"/>
  <c r="C224" i="1"/>
  <c r="D224" i="1" s="1"/>
  <c r="B225" i="1"/>
  <c r="C2613" i="1" l="1"/>
  <c r="D2613" i="1" s="1"/>
  <c r="B2614" i="1"/>
  <c r="C1439" i="1"/>
  <c r="D1439" i="1" s="1"/>
  <c r="B1440" i="1"/>
  <c r="C961" i="1"/>
  <c r="D961" i="1" s="1"/>
  <c r="B962" i="1"/>
  <c r="C225" i="1"/>
  <c r="D225" i="1" s="1"/>
  <c r="B226" i="1"/>
  <c r="I121" i="1"/>
  <c r="E122" i="1" s="1"/>
  <c r="C2614" i="1" l="1"/>
  <c r="D2614" i="1" s="1"/>
  <c r="B2615" i="1"/>
  <c r="B1441" i="1"/>
  <c r="C1440" i="1"/>
  <c r="D1440" i="1" s="1"/>
  <c r="C962" i="1"/>
  <c r="D962" i="1" s="1"/>
  <c r="B963" i="1"/>
  <c r="B227" i="1"/>
  <c r="C226" i="1"/>
  <c r="D226" i="1" s="1"/>
  <c r="J122" i="1"/>
  <c r="G122" i="1" s="1"/>
  <c r="H122" i="1"/>
  <c r="F122" i="1"/>
  <c r="B2616" i="1" l="1"/>
  <c r="C2615" i="1"/>
  <c r="D2615" i="1" s="1"/>
  <c r="C1441" i="1"/>
  <c r="D1441" i="1" s="1"/>
  <c r="B1442" i="1"/>
  <c r="C963" i="1"/>
  <c r="D963" i="1" s="1"/>
  <c r="B964" i="1"/>
  <c r="I122" i="1"/>
  <c r="E123" i="1" s="1"/>
  <c r="B228" i="1"/>
  <c r="C227" i="1"/>
  <c r="D227" i="1" s="1"/>
  <c r="C2616" i="1" l="1"/>
  <c r="D2616" i="1" s="1"/>
  <c r="B2617" i="1"/>
  <c r="C1442" i="1"/>
  <c r="D1442" i="1" s="1"/>
  <c r="B1443" i="1"/>
  <c r="C964" i="1"/>
  <c r="D964" i="1" s="1"/>
  <c r="B965" i="1"/>
  <c r="C228" i="1"/>
  <c r="D228" i="1" s="1"/>
  <c r="B229" i="1"/>
  <c r="J123" i="1"/>
  <c r="G123" i="1" s="1"/>
  <c r="H123" i="1"/>
  <c r="F123" i="1"/>
  <c r="C2617" i="1" l="1"/>
  <c r="D2617" i="1" s="1"/>
  <c r="B2618" i="1"/>
  <c r="B1444" i="1"/>
  <c r="C1443" i="1"/>
  <c r="D1443" i="1" s="1"/>
  <c r="C965" i="1"/>
  <c r="D965" i="1" s="1"/>
  <c r="B966" i="1"/>
  <c r="I123" i="1"/>
  <c r="E124" i="1" s="1"/>
  <c r="C229" i="1"/>
  <c r="D229" i="1" s="1"/>
  <c r="B230" i="1"/>
  <c r="B2619" i="1" l="1"/>
  <c r="C2618" i="1"/>
  <c r="D2618" i="1" s="1"/>
  <c r="B1445" i="1"/>
  <c r="C1444" i="1"/>
  <c r="D1444" i="1" s="1"/>
  <c r="C966" i="1"/>
  <c r="D966" i="1" s="1"/>
  <c r="B967" i="1"/>
  <c r="C230" i="1"/>
  <c r="D230" i="1" s="1"/>
  <c r="B231" i="1"/>
  <c r="J124" i="1"/>
  <c r="G124" i="1" s="1"/>
  <c r="H124" i="1"/>
  <c r="F124" i="1"/>
  <c r="B2620" i="1" l="1"/>
  <c r="C2619" i="1"/>
  <c r="D2619" i="1" s="1"/>
  <c r="B1446" i="1"/>
  <c r="C1445" i="1"/>
  <c r="D1445" i="1" s="1"/>
  <c r="C967" i="1"/>
  <c r="D967" i="1" s="1"/>
  <c r="B968" i="1"/>
  <c r="I124" i="1"/>
  <c r="E125" i="1" s="1"/>
  <c r="H125" i="1" s="1"/>
  <c r="C231" i="1"/>
  <c r="D231" i="1" s="1"/>
  <c r="B232" i="1"/>
  <c r="C2620" i="1" l="1"/>
  <c r="D2620" i="1" s="1"/>
  <c r="B2621" i="1"/>
  <c r="C1446" i="1"/>
  <c r="D1446" i="1" s="1"/>
  <c r="B1447" i="1"/>
  <c r="C968" i="1"/>
  <c r="D968" i="1" s="1"/>
  <c r="B969" i="1"/>
  <c r="F125" i="1"/>
  <c r="J125" i="1"/>
  <c r="G125" i="1" s="1"/>
  <c r="B233" i="1"/>
  <c r="C232" i="1"/>
  <c r="D232" i="1" s="1"/>
  <c r="C2621" i="1" l="1"/>
  <c r="D2621" i="1" s="1"/>
  <c r="B2622" i="1"/>
  <c r="C1447" i="1"/>
  <c r="D1447" i="1" s="1"/>
  <c r="B1448" i="1"/>
  <c r="C969" i="1"/>
  <c r="D969" i="1" s="1"/>
  <c r="B970" i="1"/>
  <c r="I125" i="1"/>
  <c r="E126" i="1" s="1"/>
  <c r="F126" i="1" s="1"/>
  <c r="C233" i="1"/>
  <c r="D233" i="1" s="1"/>
  <c r="B234" i="1"/>
  <c r="B2623" i="1" l="1"/>
  <c r="C2622" i="1"/>
  <c r="D2622" i="1" s="1"/>
  <c r="C1448" i="1"/>
  <c r="D1448" i="1" s="1"/>
  <c r="B1449" i="1"/>
  <c r="C970" i="1"/>
  <c r="D970" i="1" s="1"/>
  <c r="B971" i="1"/>
  <c r="J126" i="1"/>
  <c r="H126" i="1"/>
  <c r="B235" i="1"/>
  <c r="C234" i="1"/>
  <c r="D234" i="1" s="1"/>
  <c r="B2624" i="1" l="1"/>
  <c r="C2623" i="1"/>
  <c r="D2623" i="1" s="1"/>
  <c r="C1449" i="1"/>
  <c r="D1449" i="1" s="1"/>
  <c r="B1450" i="1"/>
  <c r="C971" i="1"/>
  <c r="D971" i="1" s="1"/>
  <c r="B972" i="1"/>
  <c r="G126" i="1"/>
  <c r="I126" i="1" s="1"/>
  <c r="E127" i="1" s="1"/>
  <c r="C235" i="1"/>
  <c r="D235" i="1" s="1"/>
  <c r="B236" i="1"/>
  <c r="C2624" i="1" l="1"/>
  <c r="D2624" i="1" s="1"/>
  <c r="B2625" i="1"/>
  <c r="C1450" i="1"/>
  <c r="D1450" i="1" s="1"/>
  <c r="B1451" i="1"/>
  <c r="C972" i="1"/>
  <c r="D972" i="1" s="1"/>
  <c r="B973" i="1"/>
  <c r="H127" i="1"/>
  <c r="F127" i="1"/>
  <c r="J127" i="1"/>
  <c r="G127" i="1" s="1"/>
  <c r="I127" i="1" s="1"/>
  <c r="E128" i="1" s="1"/>
  <c r="C236" i="1"/>
  <c r="D236" i="1" s="1"/>
  <c r="B237" i="1"/>
  <c r="B2626" i="1" l="1"/>
  <c r="C2625" i="1"/>
  <c r="D2625" i="1" s="1"/>
  <c r="C1451" i="1"/>
  <c r="D1451" i="1" s="1"/>
  <c r="B1452" i="1"/>
  <c r="C973" i="1"/>
  <c r="D973" i="1" s="1"/>
  <c r="B974" i="1"/>
  <c r="C237" i="1"/>
  <c r="D237" i="1" s="1"/>
  <c r="B238" i="1"/>
  <c r="H128" i="1"/>
  <c r="J128" i="1"/>
  <c r="G128" i="1" s="1"/>
  <c r="F128" i="1"/>
  <c r="B2627" i="1" l="1"/>
  <c r="C2626" i="1"/>
  <c r="D2626" i="1" s="1"/>
  <c r="C1452" i="1"/>
  <c r="D1452" i="1" s="1"/>
  <c r="B1453" i="1"/>
  <c r="C974" i="1"/>
  <c r="D974" i="1" s="1"/>
  <c r="B975" i="1"/>
  <c r="I128" i="1"/>
  <c r="E129" i="1" s="1"/>
  <c r="C238" i="1"/>
  <c r="D238" i="1" s="1"/>
  <c r="B239" i="1"/>
  <c r="C2627" i="1" l="1"/>
  <c r="D2627" i="1" s="1"/>
  <c r="B2628" i="1"/>
  <c r="C1453" i="1"/>
  <c r="D1453" i="1" s="1"/>
  <c r="B1454" i="1"/>
  <c r="C975" i="1"/>
  <c r="D975" i="1" s="1"/>
  <c r="B976" i="1"/>
  <c r="C239" i="1"/>
  <c r="D239" i="1" s="1"/>
  <c r="B240" i="1"/>
  <c r="H129" i="1"/>
  <c r="J129" i="1"/>
  <c r="G129" i="1" s="1"/>
  <c r="F129" i="1"/>
  <c r="C2628" i="1" l="1"/>
  <c r="D2628" i="1" s="1"/>
  <c r="B2629" i="1"/>
  <c r="C1454" i="1"/>
  <c r="D1454" i="1" s="1"/>
  <c r="B1455" i="1"/>
  <c r="C976" i="1"/>
  <c r="D976" i="1" s="1"/>
  <c r="B977" i="1"/>
  <c r="I129" i="1"/>
  <c r="E130" i="1" s="1"/>
  <c r="C240" i="1"/>
  <c r="D240" i="1" s="1"/>
  <c r="B241" i="1"/>
  <c r="C2629" i="1" l="1"/>
  <c r="D2629" i="1" s="1"/>
  <c r="B2630" i="1"/>
  <c r="C1455" i="1"/>
  <c r="D1455" i="1" s="1"/>
  <c r="B1456" i="1"/>
  <c r="C977" i="1"/>
  <c r="D977" i="1" s="1"/>
  <c r="B978" i="1"/>
  <c r="C241" i="1"/>
  <c r="D241" i="1" s="1"/>
  <c r="B242" i="1"/>
  <c r="J130" i="1"/>
  <c r="G130" i="1" s="1"/>
  <c r="H130" i="1"/>
  <c r="F130" i="1"/>
  <c r="C2630" i="1" l="1"/>
  <c r="D2630" i="1" s="1"/>
  <c r="B2631" i="1"/>
  <c r="C1456" i="1"/>
  <c r="D1456" i="1" s="1"/>
  <c r="B1457" i="1"/>
  <c r="C978" i="1"/>
  <c r="D978" i="1" s="1"/>
  <c r="B979" i="1"/>
  <c r="I130" i="1"/>
  <c r="E131" i="1" s="1"/>
  <c r="C242" i="1"/>
  <c r="D242" i="1" s="1"/>
  <c r="B243" i="1"/>
  <c r="C2631" i="1" l="1"/>
  <c r="D2631" i="1" s="1"/>
  <c r="B2632" i="1"/>
  <c r="C1457" i="1"/>
  <c r="D1457" i="1" s="1"/>
  <c r="B1458" i="1"/>
  <c r="C979" i="1"/>
  <c r="D979" i="1" s="1"/>
  <c r="B980" i="1"/>
  <c r="C243" i="1"/>
  <c r="D243" i="1" s="1"/>
  <c r="B244" i="1"/>
  <c r="J131" i="1"/>
  <c r="G131" i="1" s="1"/>
  <c r="H131" i="1"/>
  <c r="F131" i="1"/>
  <c r="C2632" i="1" l="1"/>
  <c r="D2632" i="1" s="1"/>
  <c r="B2633" i="1"/>
  <c r="C1458" i="1"/>
  <c r="D1458" i="1" s="1"/>
  <c r="B1459" i="1"/>
  <c r="C980" i="1"/>
  <c r="D980" i="1" s="1"/>
  <c r="B981" i="1"/>
  <c r="I131" i="1"/>
  <c r="E132" i="1" s="1"/>
  <c r="H132" i="1" s="1"/>
  <c r="B245" i="1"/>
  <c r="C244" i="1"/>
  <c r="D244" i="1" s="1"/>
  <c r="B2634" i="1" l="1"/>
  <c r="C2633" i="1"/>
  <c r="D2633" i="1" s="1"/>
  <c r="C1459" i="1"/>
  <c r="D1459" i="1" s="1"/>
  <c r="B1460" i="1"/>
  <c r="C981" i="1"/>
  <c r="D981" i="1" s="1"/>
  <c r="B982" i="1"/>
  <c r="F132" i="1"/>
  <c r="J132" i="1"/>
  <c r="G132" i="1" s="1"/>
  <c r="C245" i="1"/>
  <c r="D245" i="1" s="1"/>
  <c r="B246" i="1"/>
  <c r="C2634" i="1" l="1"/>
  <c r="D2634" i="1" s="1"/>
  <c r="B2635" i="1"/>
  <c r="C1460" i="1"/>
  <c r="D1460" i="1" s="1"/>
  <c r="B1461" i="1"/>
  <c r="C982" i="1"/>
  <c r="D982" i="1" s="1"/>
  <c r="B983" i="1"/>
  <c r="I132" i="1"/>
  <c r="E133" i="1" s="1"/>
  <c r="B247" i="1"/>
  <c r="C246" i="1"/>
  <c r="D246" i="1" s="1"/>
  <c r="B2636" i="1" l="1"/>
  <c r="C2635" i="1"/>
  <c r="D2635" i="1" s="1"/>
  <c r="C1461" i="1"/>
  <c r="D1461" i="1" s="1"/>
  <c r="B1462" i="1"/>
  <c r="C983" i="1"/>
  <c r="D983" i="1" s="1"/>
  <c r="B984" i="1"/>
  <c r="H133" i="1"/>
  <c r="F133" i="1"/>
  <c r="J133" i="1"/>
  <c r="G133" i="1" s="1"/>
  <c r="C247" i="1"/>
  <c r="D247" i="1" s="1"/>
  <c r="B248" i="1"/>
  <c r="C2636" i="1" l="1"/>
  <c r="D2636" i="1" s="1"/>
  <c r="B2637" i="1"/>
  <c r="C1462" i="1"/>
  <c r="D1462" i="1" s="1"/>
  <c r="B1463" i="1"/>
  <c r="B985" i="1"/>
  <c r="C984" i="1"/>
  <c r="D984" i="1" s="1"/>
  <c r="I133" i="1"/>
  <c r="E134" i="1" s="1"/>
  <c r="H134" i="1" s="1"/>
  <c r="B249" i="1"/>
  <c r="C248" i="1"/>
  <c r="D248" i="1" s="1"/>
  <c r="F134" i="1" l="1"/>
  <c r="B2638" i="1"/>
  <c r="C2637" i="1"/>
  <c r="D2637" i="1" s="1"/>
  <c r="C1463" i="1"/>
  <c r="D1463" i="1" s="1"/>
  <c r="B1464" i="1"/>
  <c r="C985" i="1"/>
  <c r="D985" i="1" s="1"/>
  <c r="B986" i="1"/>
  <c r="J134" i="1"/>
  <c r="B250" i="1"/>
  <c r="C249" i="1"/>
  <c r="D249" i="1" s="1"/>
  <c r="B2639" i="1" l="1"/>
  <c r="C2638" i="1"/>
  <c r="D2638" i="1" s="1"/>
  <c r="C1464" i="1"/>
  <c r="D1464" i="1" s="1"/>
  <c r="B1465" i="1"/>
  <c r="C986" i="1"/>
  <c r="D986" i="1" s="1"/>
  <c r="B987" i="1"/>
  <c r="G134" i="1"/>
  <c r="I134" i="1" s="1"/>
  <c r="E135" i="1" s="1"/>
  <c r="C250" i="1"/>
  <c r="D250" i="1" s="1"/>
  <c r="B251" i="1"/>
  <c r="B2640" i="1" l="1"/>
  <c r="C2639" i="1"/>
  <c r="D2639" i="1" s="1"/>
  <c r="C1465" i="1"/>
  <c r="D1465" i="1" s="1"/>
  <c r="B1466" i="1"/>
  <c r="B988" i="1"/>
  <c r="C987" i="1"/>
  <c r="D987" i="1" s="1"/>
  <c r="H135" i="1"/>
  <c r="J135" i="1"/>
  <c r="G135" i="1" s="1"/>
  <c r="I135" i="1" s="1"/>
  <c r="E136" i="1" s="1"/>
  <c r="F135" i="1"/>
  <c r="C251" i="1"/>
  <c r="D251" i="1" s="1"/>
  <c r="B252" i="1"/>
  <c r="B2641" i="1" l="1"/>
  <c r="C2640" i="1"/>
  <c r="D2640" i="1" s="1"/>
  <c r="C1466" i="1"/>
  <c r="D1466" i="1" s="1"/>
  <c r="B1467" i="1"/>
  <c r="C988" i="1"/>
  <c r="D988" i="1" s="1"/>
  <c r="B989" i="1"/>
  <c r="H136" i="1"/>
  <c r="J136" i="1"/>
  <c r="G136" i="1" s="1"/>
  <c r="F136" i="1"/>
  <c r="B253" i="1"/>
  <c r="C252" i="1"/>
  <c r="D252" i="1" s="1"/>
  <c r="B2642" i="1" l="1"/>
  <c r="C2641" i="1"/>
  <c r="D2641" i="1" s="1"/>
  <c r="C1467" i="1"/>
  <c r="D1467" i="1" s="1"/>
  <c r="B1468" i="1"/>
  <c r="B990" i="1"/>
  <c r="C989" i="1"/>
  <c r="D989" i="1" s="1"/>
  <c r="C253" i="1"/>
  <c r="D253" i="1" s="1"/>
  <c r="B254" i="1"/>
  <c r="I136" i="1"/>
  <c r="E137" i="1" s="1"/>
  <c r="B2643" i="1" l="1"/>
  <c r="C2642" i="1"/>
  <c r="D2642" i="1" s="1"/>
  <c r="C1468" i="1"/>
  <c r="D1468" i="1" s="1"/>
  <c r="B1469" i="1"/>
  <c r="C990" i="1"/>
  <c r="D990" i="1" s="1"/>
  <c r="B991" i="1"/>
  <c r="J137" i="1"/>
  <c r="G137" i="1" s="1"/>
  <c r="H137" i="1"/>
  <c r="F137" i="1"/>
  <c r="B255" i="1"/>
  <c r="C254" i="1"/>
  <c r="D254" i="1" s="1"/>
  <c r="C2643" i="1" l="1"/>
  <c r="D2643" i="1" s="1"/>
  <c r="B2644" i="1"/>
  <c r="C1469" i="1"/>
  <c r="D1469" i="1" s="1"/>
  <c r="B1470" i="1"/>
  <c r="C991" i="1"/>
  <c r="D991" i="1" s="1"/>
  <c r="B992" i="1"/>
  <c r="B256" i="1"/>
  <c r="C255" i="1"/>
  <c r="D255" i="1" s="1"/>
  <c r="I137" i="1"/>
  <c r="E138" i="1" s="1"/>
  <c r="C2644" i="1" l="1"/>
  <c r="D2644" i="1" s="1"/>
  <c r="B2645" i="1"/>
  <c r="C1470" i="1"/>
  <c r="D1470" i="1" s="1"/>
  <c r="B1471" i="1"/>
  <c r="B993" i="1"/>
  <c r="C992" i="1"/>
  <c r="D992" i="1" s="1"/>
  <c r="J138" i="1"/>
  <c r="G138" i="1" s="1"/>
  <c r="H138" i="1"/>
  <c r="F138" i="1"/>
  <c r="C256" i="1"/>
  <c r="D256" i="1" s="1"/>
  <c r="B257" i="1"/>
  <c r="C2645" i="1" l="1"/>
  <c r="D2645" i="1" s="1"/>
  <c r="B2646" i="1"/>
  <c r="C1471" i="1"/>
  <c r="D1471" i="1" s="1"/>
  <c r="B1472" i="1"/>
  <c r="B994" i="1"/>
  <c r="C993" i="1"/>
  <c r="D993" i="1" s="1"/>
  <c r="B258" i="1"/>
  <c r="C257" i="1"/>
  <c r="D257" i="1" s="1"/>
  <c r="I138" i="1"/>
  <c r="E139" i="1" s="1"/>
  <c r="C2646" i="1" l="1"/>
  <c r="D2646" i="1" s="1"/>
  <c r="B2647" i="1"/>
  <c r="C1472" i="1"/>
  <c r="D1472" i="1" s="1"/>
  <c r="B1473" i="1"/>
  <c r="C994" i="1"/>
  <c r="D994" i="1" s="1"/>
  <c r="B995" i="1"/>
  <c r="J139" i="1"/>
  <c r="G139" i="1" s="1"/>
  <c r="H139" i="1"/>
  <c r="F139" i="1"/>
  <c r="B259" i="1"/>
  <c r="C258" i="1"/>
  <c r="D258" i="1" s="1"/>
  <c r="C2647" i="1" l="1"/>
  <c r="D2647" i="1" s="1"/>
  <c r="B2648" i="1"/>
  <c r="C1473" i="1"/>
  <c r="D1473" i="1" s="1"/>
  <c r="B1474" i="1"/>
  <c r="C995" i="1"/>
  <c r="D995" i="1" s="1"/>
  <c r="B996" i="1"/>
  <c r="C259" i="1"/>
  <c r="D259" i="1" s="1"/>
  <c r="B260" i="1"/>
  <c r="I139" i="1"/>
  <c r="E140" i="1" s="1"/>
  <c r="C2648" i="1" l="1"/>
  <c r="D2648" i="1" s="1"/>
  <c r="B2649" i="1"/>
  <c r="C1474" i="1"/>
  <c r="D1474" i="1" s="1"/>
  <c r="B1475" i="1"/>
  <c r="C996" i="1"/>
  <c r="D996" i="1" s="1"/>
  <c r="B997" i="1"/>
  <c r="H140" i="1"/>
  <c r="J140" i="1"/>
  <c r="G140" i="1" s="1"/>
  <c r="F140" i="1"/>
  <c r="C260" i="1"/>
  <c r="D260" i="1" s="1"/>
  <c r="B261" i="1"/>
  <c r="C2649" i="1" l="1"/>
  <c r="D2649" i="1" s="1"/>
  <c r="B2650" i="1"/>
  <c r="C1475" i="1"/>
  <c r="D1475" i="1" s="1"/>
  <c r="B1476" i="1"/>
  <c r="B998" i="1"/>
  <c r="C997" i="1"/>
  <c r="D997" i="1" s="1"/>
  <c r="C261" i="1"/>
  <c r="D261" i="1" s="1"/>
  <c r="B262" i="1"/>
  <c r="I140" i="1"/>
  <c r="E141" i="1" s="1"/>
  <c r="C2650" i="1" l="1"/>
  <c r="D2650" i="1" s="1"/>
  <c r="B2651" i="1"/>
  <c r="C1476" i="1"/>
  <c r="D1476" i="1" s="1"/>
  <c r="B1477" i="1"/>
  <c r="C998" i="1"/>
  <c r="D998" i="1" s="1"/>
  <c r="B999" i="1"/>
  <c r="C262" i="1"/>
  <c r="D262" i="1" s="1"/>
  <c r="B263" i="1"/>
  <c r="H141" i="1"/>
  <c r="J141" i="1"/>
  <c r="G141" i="1" s="1"/>
  <c r="F141" i="1"/>
  <c r="C2651" i="1" l="1"/>
  <c r="D2651" i="1" s="1"/>
  <c r="B2652" i="1"/>
  <c r="C1477" i="1"/>
  <c r="D1477" i="1" s="1"/>
  <c r="B1478" i="1"/>
  <c r="B1000" i="1"/>
  <c r="C999" i="1"/>
  <c r="D999" i="1" s="1"/>
  <c r="I141" i="1"/>
  <c r="E142" i="1" s="1"/>
  <c r="C263" i="1"/>
  <c r="D263" i="1" s="1"/>
  <c r="B264" i="1"/>
  <c r="C2652" i="1" l="1"/>
  <c r="D2652" i="1" s="1"/>
  <c r="B2653" i="1"/>
  <c r="C1478" i="1"/>
  <c r="D1478" i="1" s="1"/>
  <c r="B1479" i="1"/>
  <c r="B1001" i="1"/>
  <c r="C1000" i="1"/>
  <c r="D1000" i="1" s="1"/>
  <c r="B265" i="1"/>
  <c r="C264" i="1"/>
  <c r="D264" i="1" s="1"/>
  <c r="H142" i="1"/>
  <c r="J142" i="1"/>
  <c r="G142" i="1" s="1"/>
  <c r="F142" i="1"/>
  <c r="C2653" i="1" l="1"/>
  <c r="D2653" i="1" s="1"/>
  <c r="B2654" i="1"/>
  <c r="C1479" i="1"/>
  <c r="D1479" i="1" s="1"/>
  <c r="B1480" i="1"/>
  <c r="C1001" i="1"/>
  <c r="D1001" i="1" s="1"/>
  <c r="B1002" i="1"/>
  <c r="I142" i="1"/>
  <c r="E143" i="1" s="1"/>
  <c r="B266" i="1"/>
  <c r="C265" i="1"/>
  <c r="D265" i="1" s="1"/>
  <c r="C2654" i="1" l="1"/>
  <c r="D2654" i="1" s="1"/>
  <c r="B2655" i="1"/>
  <c r="C1480" i="1"/>
  <c r="D1480" i="1" s="1"/>
  <c r="B1481" i="1"/>
  <c r="C1002" i="1"/>
  <c r="D1002" i="1" s="1"/>
  <c r="B1003" i="1"/>
  <c r="C266" i="1"/>
  <c r="D266" i="1" s="1"/>
  <c r="B267" i="1"/>
  <c r="H143" i="1"/>
  <c r="J143" i="1"/>
  <c r="G143" i="1" s="1"/>
  <c r="F143" i="1"/>
  <c r="C2655" i="1" l="1"/>
  <c r="D2655" i="1" s="1"/>
  <c r="B2656" i="1"/>
  <c r="C1481" i="1"/>
  <c r="D1481" i="1" s="1"/>
  <c r="B1482" i="1"/>
  <c r="B1004" i="1"/>
  <c r="C1003" i="1"/>
  <c r="D1003" i="1" s="1"/>
  <c r="I143" i="1"/>
  <c r="E144" i="1" s="1"/>
  <c r="H144" i="1" s="1"/>
  <c r="C267" i="1"/>
  <c r="D267" i="1" s="1"/>
  <c r="B268" i="1"/>
  <c r="C2656" i="1" l="1"/>
  <c r="D2656" i="1" s="1"/>
  <c r="B2657" i="1"/>
  <c r="C1482" i="1"/>
  <c r="D1482" i="1" s="1"/>
  <c r="B1483" i="1"/>
  <c r="C1004" i="1"/>
  <c r="D1004" i="1" s="1"/>
  <c r="B1005" i="1"/>
  <c r="F144" i="1"/>
  <c r="J144" i="1"/>
  <c r="B269" i="1"/>
  <c r="C268" i="1"/>
  <c r="D268" i="1" s="1"/>
  <c r="C2657" i="1" l="1"/>
  <c r="D2657" i="1" s="1"/>
  <c r="B2658" i="1"/>
  <c r="C1483" i="1"/>
  <c r="D1483" i="1" s="1"/>
  <c r="B1484" i="1"/>
  <c r="C1005" i="1"/>
  <c r="D1005" i="1" s="1"/>
  <c r="B1006" i="1"/>
  <c r="G144" i="1"/>
  <c r="I144" i="1" s="1"/>
  <c r="E145" i="1" s="1"/>
  <c r="C269" i="1"/>
  <c r="D269" i="1" s="1"/>
  <c r="B270" i="1"/>
  <c r="C2658" i="1" l="1"/>
  <c r="D2658" i="1" s="1"/>
  <c r="B2659" i="1"/>
  <c r="B1485" i="1"/>
  <c r="C1484" i="1"/>
  <c r="D1484" i="1" s="1"/>
  <c r="C1006" i="1"/>
  <c r="D1006" i="1" s="1"/>
  <c r="B1007" i="1"/>
  <c r="J145" i="1"/>
  <c r="G145" i="1" s="1"/>
  <c r="H145" i="1"/>
  <c r="I145" i="1" s="1"/>
  <c r="E146" i="1" s="1"/>
  <c r="J146" i="1" s="1"/>
  <c r="G146" i="1" s="1"/>
  <c r="F145" i="1"/>
  <c r="B271" i="1"/>
  <c r="C270" i="1"/>
  <c r="D270" i="1" s="1"/>
  <c r="C2659" i="1" l="1"/>
  <c r="D2659" i="1" s="1"/>
  <c r="B2660" i="1"/>
  <c r="C1485" i="1"/>
  <c r="D1485" i="1" s="1"/>
  <c r="B1486" i="1"/>
  <c r="B1008" i="1"/>
  <c r="C1007" i="1"/>
  <c r="D1007" i="1" s="1"/>
  <c r="F146" i="1"/>
  <c r="H146" i="1"/>
  <c r="I146" i="1" s="1"/>
  <c r="E147" i="1" s="1"/>
  <c r="J147" i="1" s="1"/>
  <c r="G147" i="1" s="1"/>
  <c r="C271" i="1"/>
  <c r="D271" i="1" s="1"/>
  <c r="B272" i="1"/>
  <c r="C2660" i="1" l="1"/>
  <c r="D2660" i="1" s="1"/>
  <c r="B2661" i="1"/>
  <c r="C1486" i="1"/>
  <c r="D1486" i="1" s="1"/>
  <c r="B1487" i="1"/>
  <c r="C1008" i="1"/>
  <c r="D1008" i="1" s="1"/>
  <c r="B1009" i="1"/>
  <c r="F147" i="1"/>
  <c r="H147" i="1"/>
  <c r="B273" i="1"/>
  <c r="C272" i="1"/>
  <c r="D272" i="1" s="1"/>
  <c r="C2661" i="1" l="1"/>
  <c r="D2661" i="1" s="1"/>
  <c r="B2662" i="1"/>
  <c r="C1487" i="1"/>
  <c r="D1487" i="1" s="1"/>
  <c r="B1488" i="1"/>
  <c r="B1010" i="1"/>
  <c r="C1009" i="1"/>
  <c r="D1009" i="1" s="1"/>
  <c r="I147" i="1"/>
  <c r="E148" i="1" s="1"/>
  <c r="H148" i="1" s="1"/>
  <c r="C273" i="1"/>
  <c r="D273" i="1" s="1"/>
  <c r="B274" i="1"/>
  <c r="C2662" i="1" l="1"/>
  <c r="D2662" i="1" s="1"/>
  <c r="B2663" i="1"/>
  <c r="B1489" i="1"/>
  <c r="C1488" i="1"/>
  <c r="D1488" i="1" s="1"/>
  <c r="C1010" i="1"/>
  <c r="D1010" i="1" s="1"/>
  <c r="B1011" i="1"/>
  <c r="F148" i="1"/>
  <c r="J148" i="1"/>
  <c r="B275" i="1"/>
  <c r="C274" i="1"/>
  <c r="D274" i="1" s="1"/>
  <c r="C2663" i="1" l="1"/>
  <c r="D2663" i="1" s="1"/>
  <c r="B2664" i="1"/>
  <c r="B1490" i="1"/>
  <c r="C1489" i="1"/>
  <c r="D1489" i="1" s="1"/>
  <c r="C1011" i="1"/>
  <c r="D1011" i="1" s="1"/>
  <c r="B1012" i="1"/>
  <c r="G148" i="1"/>
  <c r="I148" i="1" s="1"/>
  <c r="E149" i="1" s="1"/>
  <c r="C275" i="1"/>
  <c r="D275" i="1" s="1"/>
  <c r="B276" i="1"/>
  <c r="C2664" i="1" l="1"/>
  <c r="D2664" i="1" s="1"/>
  <c r="B2665" i="1"/>
  <c r="C1490" i="1"/>
  <c r="D1490" i="1" s="1"/>
  <c r="B1491" i="1"/>
  <c r="C1012" i="1"/>
  <c r="D1012" i="1" s="1"/>
  <c r="B1013" i="1"/>
  <c r="H149" i="1"/>
  <c r="J149" i="1"/>
  <c r="G149" i="1" s="1"/>
  <c r="I149" i="1" s="1"/>
  <c r="E150" i="1" s="1"/>
  <c r="F149" i="1"/>
  <c r="B277" i="1"/>
  <c r="C276" i="1"/>
  <c r="D276" i="1" s="1"/>
  <c r="C2665" i="1" l="1"/>
  <c r="D2665" i="1" s="1"/>
  <c r="B2666" i="1"/>
  <c r="C1491" i="1"/>
  <c r="D1491" i="1" s="1"/>
  <c r="B1492" i="1"/>
  <c r="B1014" i="1"/>
  <c r="C1013" i="1"/>
  <c r="D1013" i="1" s="1"/>
  <c r="H150" i="1"/>
  <c r="J150" i="1"/>
  <c r="G150" i="1" s="1"/>
  <c r="F150" i="1"/>
  <c r="C277" i="1"/>
  <c r="D277" i="1" s="1"/>
  <c r="B278" i="1"/>
  <c r="C2666" i="1" l="1"/>
  <c r="D2666" i="1" s="1"/>
  <c r="B2667" i="1"/>
  <c r="B1493" i="1"/>
  <c r="C1492" i="1"/>
  <c r="D1492" i="1" s="1"/>
  <c r="C1014" i="1"/>
  <c r="D1014" i="1" s="1"/>
  <c r="B1015" i="1"/>
  <c r="C278" i="1"/>
  <c r="D278" i="1" s="1"/>
  <c r="B279" i="1"/>
  <c r="I150" i="1"/>
  <c r="E151" i="1" s="1"/>
  <c r="C2667" i="1" l="1"/>
  <c r="D2667" i="1" s="1"/>
  <c r="B2668" i="1"/>
  <c r="C1493" i="1"/>
  <c r="D1493" i="1" s="1"/>
  <c r="B1494" i="1"/>
  <c r="C1015" i="1"/>
  <c r="D1015" i="1" s="1"/>
  <c r="B1016" i="1"/>
  <c r="C279" i="1"/>
  <c r="D279" i="1" s="1"/>
  <c r="B280" i="1"/>
  <c r="H151" i="1"/>
  <c r="J151" i="1"/>
  <c r="G151" i="1" s="1"/>
  <c r="F151" i="1"/>
  <c r="C2668" i="1" l="1"/>
  <c r="D2668" i="1" s="1"/>
  <c r="B2669" i="1"/>
  <c r="B1495" i="1"/>
  <c r="C1494" i="1"/>
  <c r="D1494" i="1" s="1"/>
  <c r="B1017" i="1"/>
  <c r="C1016" i="1"/>
  <c r="D1016" i="1" s="1"/>
  <c r="I151" i="1"/>
  <c r="E152" i="1" s="1"/>
  <c r="C280" i="1"/>
  <c r="D280" i="1" s="1"/>
  <c r="B281" i="1"/>
  <c r="C2669" i="1" l="1"/>
  <c r="D2669" i="1" s="1"/>
  <c r="B2670" i="1"/>
  <c r="C1495" i="1"/>
  <c r="D1495" i="1" s="1"/>
  <c r="B1496" i="1"/>
  <c r="B1018" i="1"/>
  <c r="C1017" i="1"/>
  <c r="D1017" i="1" s="1"/>
  <c r="C281" i="1"/>
  <c r="D281" i="1" s="1"/>
  <c r="B282" i="1"/>
  <c r="H152" i="1"/>
  <c r="J152" i="1"/>
  <c r="G152" i="1" s="1"/>
  <c r="F152" i="1"/>
  <c r="C2670" i="1" l="1"/>
  <c r="D2670" i="1" s="1"/>
  <c r="B2671" i="1"/>
  <c r="C1496" i="1"/>
  <c r="D1496" i="1" s="1"/>
  <c r="B1497" i="1"/>
  <c r="C1018" i="1"/>
  <c r="D1018" i="1" s="1"/>
  <c r="B1019" i="1"/>
  <c r="B283" i="1"/>
  <c r="C282" i="1"/>
  <c r="D282" i="1" s="1"/>
  <c r="I152" i="1"/>
  <c r="E153" i="1" s="1"/>
  <c r="B2672" i="1" l="1"/>
  <c r="C2671" i="1"/>
  <c r="D2671" i="1" s="1"/>
  <c r="C1497" i="1"/>
  <c r="D1497" i="1" s="1"/>
  <c r="B1498" i="1"/>
  <c r="B1020" i="1"/>
  <c r="C1019" i="1"/>
  <c r="D1019" i="1" s="1"/>
  <c r="J153" i="1"/>
  <c r="G153" i="1" s="1"/>
  <c r="H153" i="1"/>
  <c r="F153" i="1"/>
  <c r="C283" i="1"/>
  <c r="D283" i="1" s="1"/>
  <c r="B284" i="1"/>
  <c r="C2672" i="1" l="1"/>
  <c r="D2672" i="1" s="1"/>
  <c r="B2673" i="1"/>
  <c r="C1498" i="1"/>
  <c r="D1498" i="1" s="1"/>
  <c r="B1499" i="1"/>
  <c r="C1020" i="1"/>
  <c r="D1020" i="1" s="1"/>
  <c r="B1021" i="1"/>
  <c r="I153" i="1"/>
  <c r="E154" i="1" s="1"/>
  <c r="J154" i="1" s="1"/>
  <c r="G154" i="1" s="1"/>
  <c r="B285" i="1"/>
  <c r="C284" i="1"/>
  <c r="D284" i="1" s="1"/>
  <c r="B2674" i="1" l="1"/>
  <c r="C2673" i="1"/>
  <c r="D2673" i="1" s="1"/>
  <c r="C1499" i="1"/>
  <c r="D1499" i="1" s="1"/>
  <c r="B1500" i="1"/>
  <c r="B1022" i="1"/>
  <c r="C1021" i="1"/>
  <c r="D1021" i="1" s="1"/>
  <c r="F154" i="1"/>
  <c r="H154" i="1"/>
  <c r="C285" i="1"/>
  <c r="D285" i="1" s="1"/>
  <c r="B286" i="1"/>
  <c r="C2674" i="1" l="1"/>
  <c r="D2674" i="1" s="1"/>
  <c r="B2675" i="1"/>
  <c r="C1500" i="1"/>
  <c r="D1500" i="1" s="1"/>
  <c r="B1501" i="1"/>
  <c r="C1022" i="1"/>
  <c r="D1022" i="1" s="1"/>
  <c r="B1023" i="1"/>
  <c r="I154" i="1"/>
  <c r="E155" i="1" s="1"/>
  <c r="J155" i="1" s="1"/>
  <c r="G155" i="1" s="1"/>
  <c r="B287" i="1"/>
  <c r="C286" i="1"/>
  <c r="D286" i="1" s="1"/>
  <c r="C2675" i="1" l="1"/>
  <c r="D2675" i="1" s="1"/>
  <c r="B2676" i="1"/>
  <c r="B1502" i="1"/>
  <c r="C1501" i="1"/>
  <c r="D1501" i="1" s="1"/>
  <c r="C1023" i="1"/>
  <c r="D1023" i="1" s="1"/>
  <c r="B1024" i="1"/>
  <c r="H155" i="1"/>
  <c r="F155" i="1"/>
  <c r="C287" i="1"/>
  <c r="D287" i="1" s="1"/>
  <c r="B288" i="1"/>
  <c r="C2676" i="1" l="1"/>
  <c r="D2676" i="1" s="1"/>
  <c r="B2677" i="1"/>
  <c r="B1503" i="1"/>
  <c r="C1502" i="1"/>
  <c r="D1502" i="1" s="1"/>
  <c r="B1025" i="1"/>
  <c r="C1024" i="1"/>
  <c r="D1024" i="1" s="1"/>
  <c r="I155" i="1"/>
  <c r="E156" i="1" s="1"/>
  <c r="C288" i="1"/>
  <c r="D288" i="1" s="1"/>
  <c r="B289" i="1"/>
  <c r="C2677" i="1" l="1"/>
  <c r="D2677" i="1" s="1"/>
  <c r="B2678" i="1"/>
  <c r="C1503" i="1"/>
  <c r="D1503" i="1" s="1"/>
  <c r="B1504" i="1"/>
  <c r="B1026" i="1"/>
  <c r="C1025" i="1"/>
  <c r="D1025" i="1" s="1"/>
  <c r="F156" i="1"/>
  <c r="H156" i="1"/>
  <c r="J156" i="1"/>
  <c r="G156" i="1" s="1"/>
  <c r="B290" i="1"/>
  <c r="C289" i="1"/>
  <c r="D289" i="1" s="1"/>
  <c r="C2678" i="1" l="1"/>
  <c r="D2678" i="1" s="1"/>
  <c r="B2679" i="1"/>
  <c r="B1505" i="1"/>
  <c r="C1504" i="1"/>
  <c r="D1504" i="1" s="1"/>
  <c r="C1026" i="1"/>
  <c r="D1026" i="1" s="1"/>
  <c r="B1027" i="1"/>
  <c r="I156" i="1"/>
  <c r="E157" i="1" s="1"/>
  <c r="B291" i="1"/>
  <c r="C290" i="1"/>
  <c r="D290" i="1" s="1"/>
  <c r="B2680" i="1" l="1"/>
  <c r="C2679" i="1"/>
  <c r="D2679" i="1" s="1"/>
  <c r="B1506" i="1"/>
  <c r="C1505" i="1"/>
  <c r="D1505" i="1" s="1"/>
  <c r="B1028" i="1"/>
  <c r="C1027" i="1"/>
  <c r="D1027" i="1" s="1"/>
  <c r="H157" i="1"/>
  <c r="J157" i="1"/>
  <c r="F157" i="1"/>
  <c r="C291" i="1"/>
  <c r="D291" i="1" s="1"/>
  <c r="B292" i="1"/>
  <c r="C2680" i="1" l="1"/>
  <c r="D2680" i="1" s="1"/>
  <c r="B2681" i="1"/>
  <c r="C1506" i="1"/>
  <c r="D1506" i="1" s="1"/>
  <c r="B1507" i="1"/>
  <c r="B1029" i="1"/>
  <c r="C1028" i="1"/>
  <c r="D1028" i="1" s="1"/>
  <c r="G157" i="1"/>
  <c r="I157" i="1" s="1"/>
  <c r="E158" i="1" s="1"/>
  <c r="C292" i="1"/>
  <c r="D292" i="1" s="1"/>
  <c r="B293" i="1"/>
  <c r="B2682" i="1" l="1"/>
  <c r="C2681" i="1"/>
  <c r="D2681" i="1" s="1"/>
  <c r="C1507" i="1"/>
  <c r="D1507" i="1" s="1"/>
  <c r="B1508" i="1"/>
  <c r="C1029" i="1"/>
  <c r="D1029" i="1" s="1"/>
  <c r="B1030" i="1"/>
  <c r="H158" i="1"/>
  <c r="I158" i="1" s="1"/>
  <c r="E159" i="1" s="1"/>
  <c r="J158" i="1"/>
  <c r="G158" i="1" s="1"/>
  <c r="F158" i="1"/>
  <c r="B294" i="1"/>
  <c r="C293" i="1"/>
  <c r="D293" i="1" s="1"/>
  <c r="C2682" i="1" l="1"/>
  <c r="D2682" i="1" s="1"/>
  <c r="B2683" i="1"/>
  <c r="B1509" i="1"/>
  <c r="C1508" i="1"/>
  <c r="D1508" i="1" s="1"/>
  <c r="C1030" i="1"/>
  <c r="D1030" i="1" s="1"/>
  <c r="B1031" i="1"/>
  <c r="H159" i="1"/>
  <c r="J159" i="1"/>
  <c r="G159" i="1" s="1"/>
  <c r="F159" i="1"/>
  <c r="B295" i="1"/>
  <c r="C294" i="1"/>
  <c r="D294" i="1" s="1"/>
  <c r="B2684" i="1" l="1"/>
  <c r="C2683" i="1"/>
  <c r="D2683" i="1" s="1"/>
  <c r="B1510" i="1"/>
  <c r="C1509" i="1"/>
  <c r="D1509" i="1" s="1"/>
  <c r="B1032" i="1"/>
  <c r="C1031" i="1"/>
  <c r="D1031" i="1" s="1"/>
  <c r="I159" i="1"/>
  <c r="E160" i="1" s="1"/>
  <c r="C295" i="1"/>
  <c r="D295" i="1" s="1"/>
  <c r="B296" i="1"/>
  <c r="C2684" i="1" l="1"/>
  <c r="D2684" i="1" s="1"/>
  <c r="B2685" i="1"/>
  <c r="B1511" i="1"/>
  <c r="C1510" i="1"/>
  <c r="D1510" i="1" s="1"/>
  <c r="C1032" i="1"/>
  <c r="D1032" i="1" s="1"/>
  <c r="B1033" i="1"/>
  <c r="H160" i="1"/>
  <c r="J160" i="1"/>
  <c r="G160" i="1" s="1"/>
  <c r="F160" i="1"/>
  <c r="B297" i="1"/>
  <c r="C296" i="1"/>
  <c r="D296" i="1" s="1"/>
  <c r="B2686" i="1" l="1"/>
  <c r="C2686" i="1" s="1"/>
  <c r="D2686" i="1" s="1"/>
  <c r="C2685" i="1"/>
  <c r="D2685" i="1" s="1"/>
  <c r="C1511" i="1"/>
  <c r="D1511" i="1" s="1"/>
  <c r="B1512" i="1"/>
  <c r="C1033" i="1"/>
  <c r="D1033" i="1" s="1"/>
  <c r="B1034" i="1"/>
  <c r="I160" i="1"/>
  <c r="E161" i="1" s="1"/>
  <c r="C297" i="1"/>
  <c r="D297" i="1" s="1"/>
  <c r="B298" i="1"/>
  <c r="C1512" i="1" l="1"/>
  <c r="D1512" i="1" s="1"/>
  <c r="B1513" i="1"/>
  <c r="C1034" i="1"/>
  <c r="D1034" i="1" s="1"/>
  <c r="B1035" i="1"/>
  <c r="J161" i="1"/>
  <c r="G161" i="1" s="1"/>
  <c r="H161" i="1"/>
  <c r="F161" i="1"/>
  <c r="B299" i="1"/>
  <c r="C298" i="1"/>
  <c r="D298" i="1" s="1"/>
  <c r="C1513" i="1" l="1"/>
  <c r="D1513" i="1" s="1"/>
  <c r="B1514" i="1"/>
  <c r="C1035" i="1"/>
  <c r="D1035" i="1" s="1"/>
  <c r="B1036" i="1"/>
  <c r="I161" i="1"/>
  <c r="E162" i="1" s="1"/>
  <c r="B300" i="1"/>
  <c r="C299" i="1"/>
  <c r="D299" i="1" s="1"/>
  <c r="C1514" i="1" l="1"/>
  <c r="D1514" i="1" s="1"/>
  <c r="B1515" i="1"/>
  <c r="C1036" i="1"/>
  <c r="D1036" i="1" s="1"/>
  <c r="B1037" i="1"/>
  <c r="J162" i="1"/>
  <c r="G162" i="1" s="1"/>
  <c r="H162" i="1"/>
  <c r="F162" i="1"/>
  <c r="C300" i="1"/>
  <c r="D300" i="1" s="1"/>
  <c r="B301" i="1"/>
  <c r="C1515" i="1" l="1"/>
  <c r="D1515" i="1" s="1"/>
  <c r="B1516" i="1"/>
  <c r="C1037" i="1"/>
  <c r="D1037" i="1" s="1"/>
  <c r="B1038" i="1"/>
  <c r="I162" i="1"/>
  <c r="E163" i="1" s="1"/>
  <c r="C301" i="1"/>
  <c r="D301" i="1" s="1"/>
  <c r="B302" i="1"/>
  <c r="C1516" i="1" l="1"/>
  <c r="D1516" i="1" s="1"/>
  <c r="B1517" i="1"/>
  <c r="C1038" i="1"/>
  <c r="D1038" i="1" s="1"/>
  <c r="B1039" i="1"/>
  <c r="J163" i="1"/>
  <c r="G163" i="1" s="1"/>
  <c r="H163" i="1"/>
  <c r="F163" i="1"/>
  <c r="B303" i="1"/>
  <c r="C302" i="1"/>
  <c r="D302" i="1" s="1"/>
  <c r="C1517" i="1" l="1"/>
  <c r="D1517" i="1" s="1"/>
  <c r="B1518" i="1"/>
  <c r="C1039" i="1"/>
  <c r="D1039" i="1" s="1"/>
  <c r="B1040" i="1"/>
  <c r="I163" i="1"/>
  <c r="E164" i="1" s="1"/>
  <c r="H164" i="1" s="1"/>
  <c r="F164" i="1"/>
  <c r="B304" i="1"/>
  <c r="C303" i="1"/>
  <c r="D303" i="1" s="1"/>
  <c r="J164" i="1" l="1"/>
  <c r="G164" i="1" s="1"/>
  <c r="I164" i="1" s="1"/>
  <c r="E165" i="1" s="1"/>
  <c r="B1519" i="1"/>
  <c r="C1518" i="1"/>
  <c r="D1518" i="1" s="1"/>
  <c r="C1040" i="1"/>
  <c r="D1040" i="1" s="1"/>
  <c r="B1041" i="1"/>
  <c r="C304" i="1"/>
  <c r="D304" i="1" s="1"/>
  <c r="B305" i="1"/>
  <c r="C1519" i="1" l="1"/>
  <c r="D1519" i="1" s="1"/>
  <c r="B1520" i="1"/>
  <c r="B1042" i="1"/>
  <c r="C1041" i="1"/>
  <c r="D1041" i="1" s="1"/>
  <c r="H165" i="1"/>
  <c r="F165" i="1"/>
  <c r="J165" i="1"/>
  <c r="G165" i="1" s="1"/>
  <c r="C305" i="1"/>
  <c r="D305" i="1" s="1"/>
  <c r="B306" i="1"/>
  <c r="B1521" i="1" l="1"/>
  <c r="C1520" i="1"/>
  <c r="D1520" i="1" s="1"/>
  <c r="C1042" i="1"/>
  <c r="D1042" i="1" s="1"/>
  <c r="B1043" i="1"/>
  <c r="I165" i="1"/>
  <c r="E166" i="1" s="1"/>
  <c r="B307" i="1"/>
  <c r="C306" i="1"/>
  <c r="D306" i="1" s="1"/>
  <c r="C1521" i="1" l="1"/>
  <c r="D1521" i="1" s="1"/>
  <c r="B1522" i="1"/>
  <c r="B1044" i="1"/>
  <c r="C1043" i="1"/>
  <c r="D1043" i="1" s="1"/>
  <c r="H166" i="1"/>
  <c r="J166" i="1"/>
  <c r="G166" i="1" s="1"/>
  <c r="F166" i="1"/>
  <c r="C307" i="1"/>
  <c r="D307" i="1" s="1"/>
  <c r="B308" i="1"/>
  <c r="B1523" i="1" l="1"/>
  <c r="C1522" i="1"/>
  <c r="D1522" i="1" s="1"/>
  <c r="C1044" i="1"/>
  <c r="D1044" i="1" s="1"/>
  <c r="B1045" i="1"/>
  <c r="I166" i="1"/>
  <c r="E167" i="1" s="1"/>
  <c r="B309" i="1"/>
  <c r="C308" i="1"/>
  <c r="D308" i="1" s="1"/>
  <c r="C1523" i="1" l="1"/>
  <c r="D1523" i="1" s="1"/>
  <c r="B1524" i="1"/>
  <c r="C1045" i="1"/>
  <c r="D1045" i="1" s="1"/>
  <c r="B1046" i="1"/>
  <c r="H167" i="1"/>
  <c r="F167" i="1"/>
  <c r="J167" i="1"/>
  <c r="G167" i="1" s="1"/>
  <c r="B310" i="1"/>
  <c r="C309" i="1"/>
  <c r="D309" i="1" s="1"/>
  <c r="B1525" i="1" l="1"/>
  <c r="C1524" i="1"/>
  <c r="D1524" i="1" s="1"/>
  <c r="C1046" i="1"/>
  <c r="D1046" i="1" s="1"/>
  <c r="B1047" i="1"/>
  <c r="I167" i="1"/>
  <c r="E168" i="1" s="1"/>
  <c r="C310" i="1"/>
  <c r="D310" i="1" s="1"/>
  <c r="B311" i="1"/>
  <c r="B1526" i="1" l="1"/>
  <c r="C1525" i="1"/>
  <c r="D1525" i="1" s="1"/>
  <c r="C1047" i="1"/>
  <c r="D1047" i="1" s="1"/>
  <c r="B1048" i="1"/>
  <c r="H168" i="1"/>
  <c r="J168" i="1"/>
  <c r="G168" i="1" s="1"/>
  <c r="F168" i="1"/>
  <c r="C311" i="1"/>
  <c r="D311" i="1" s="1"/>
  <c r="B312" i="1"/>
  <c r="B1527" i="1" l="1"/>
  <c r="C1526" i="1"/>
  <c r="D1526" i="1" s="1"/>
  <c r="C1048" i="1"/>
  <c r="D1048" i="1" s="1"/>
  <c r="B1049" i="1"/>
  <c r="I168" i="1"/>
  <c r="E169" i="1" s="1"/>
  <c r="C312" i="1"/>
  <c r="D312" i="1" s="1"/>
  <c r="B313" i="1"/>
  <c r="C1527" i="1" l="1"/>
  <c r="D1527" i="1" s="1"/>
  <c r="B1528" i="1"/>
  <c r="C1049" i="1"/>
  <c r="D1049" i="1" s="1"/>
  <c r="B1050" i="1"/>
  <c r="J169" i="1"/>
  <c r="G169" i="1" s="1"/>
  <c r="F169" i="1"/>
  <c r="H169" i="1"/>
  <c r="C313" i="1"/>
  <c r="D313" i="1" s="1"/>
  <c r="B314" i="1"/>
  <c r="B1529" i="1" l="1"/>
  <c r="C1528" i="1"/>
  <c r="D1528" i="1" s="1"/>
  <c r="C1050" i="1"/>
  <c r="D1050" i="1" s="1"/>
  <c r="B1051" i="1"/>
  <c r="I169" i="1"/>
  <c r="E170" i="1" s="1"/>
  <c r="J170" i="1" s="1"/>
  <c r="G170" i="1" s="1"/>
  <c r="F170" i="1"/>
  <c r="C314" i="1"/>
  <c r="D314" i="1" s="1"/>
  <c r="B315" i="1"/>
  <c r="H170" i="1" l="1"/>
  <c r="I170" i="1" s="1"/>
  <c r="E171" i="1" s="1"/>
  <c r="B1530" i="1"/>
  <c r="C1529" i="1"/>
  <c r="D1529" i="1" s="1"/>
  <c r="C1051" i="1"/>
  <c r="D1051" i="1" s="1"/>
  <c r="B1052" i="1"/>
  <c r="C315" i="1"/>
  <c r="D315" i="1" s="1"/>
  <c r="B316" i="1"/>
  <c r="C1530" i="1" l="1"/>
  <c r="D1530" i="1" s="1"/>
  <c r="B1531" i="1"/>
  <c r="C1052" i="1"/>
  <c r="D1052" i="1" s="1"/>
  <c r="B1053" i="1"/>
  <c r="H171" i="1"/>
  <c r="F171" i="1"/>
  <c r="J171" i="1"/>
  <c r="G171" i="1" s="1"/>
  <c r="C316" i="1"/>
  <c r="D316" i="1" s="1"/>
  <c r="B317" i="1"/>
  <c r="C1531" i="1" l="1"/>
  <c r="D1531" i="1" s="1"/>
  <c r="B1532" i="1"/>
  <c r="C1053" i="1"/>
  <c r="D1053" i="1" s="1"/>
  <c r="B1054" i="1"/>
  <c r="I171" i="1"/>
  <c r="E172" i="1" s="1"/>
  <c r="C317" i="1"/>
  <c r="D317" i="1" s="1"/>
  <c r="B318" i="1"/>
  <c r="B1533" i="1" l="1"/>
  <c r="C1532" i="1"/>
  <c r="D1532" i="1" s="1"/>
  <c r="C1054" i="1"/>
  <c r="D1054" i="1" s="1"/>
  <c r="B1055" i="1"/>
  <c r="H172" i="1"/>
  <c r="F172" i="1"/>
  <c r="J172" i="1"/>
  <c r="G172" i="1" s="1"/>
  <c r="C318" i="1"/>
  <c r="D318" i="1" s="1"/>
  <c r="B319" i="1"/>
  <c r="B1534" i="1" l="1"/>
  <c r="C1533" i="1"/>
  <c r="D1533" i="1" s="1"/>
  <c r="B1056" i="1"/>
  <c r="C1055" i="1"/>
  <c r="D1055" i="1" s="1"/>
  <c r="I172" i="1"/>
  <c r="E173" i="1" s="1"/>
  <c r="C319" i="1"/>
  <c r="D319" i="1" s="1"/>
  <c r="B320" i="1"/>
  <c r="C1534" i="1" l="1"/>
  <c r="D1534" i="1" s="1"/>
  <c r="B1535" i="1"/>
  <c r="C1056" i="1"/>
  <c r="D1056" i="1" s="1"/>
  <c r="B1057" i="1"/>
  <c r="H173" i="1"/>
  <c r="F173" i="1"/>
  <c r="J173" i="1"/>
  <c r="G173" i="1" s="1"/>
  <c r="C320" i="1"/>
  <c r="D320" i="1" s="1"/>
  <c r="B321" i="1"/>
  <c r="C1535" i="1" l="1"/>
  <c r="D1535" i="1" s="1"/>
  <c r="B1536" i="1"/>
  <c r="B1058" i="1"/>
  <c r="C1057" i="1"/>
  <c r="D1057" i="1" s="1"/>
  <c r="I173" i="1"/>
  <c r="E174" i="1" s="1"/>
  <c r="C321" i="1"/>
  <c r="D321" i="1" s="1"/>
  <c r="B322" i="1"/>
  <c r="C1536" i="1" l="1"/>
  <c r="D1536" i="1" s="1"/>
  <c r="B1537" i="1"/>
  <c r="C1058" i="1"/>
  <c r="D1058" i="1" s="1"/>
  <c r="B1059" i="1"/>
  <c r="J174" i="1"/>
  <c r="G174" i="1" s="1"/>
  <c r="H174" i="1"/>
  <c r="F174" i="1"/>
  <c r="C322" i="1"/>
  <c r="D322" i="1" s="1"/>
  <c r="B323" i="1"/>
  <c r="B1538" i="1" l="1"/>
  <c r="C1537" i="1"/>
  <c r="D1537" i="1" s="1"/>
  <c r="C1059" i="1"/>
  <c r="D1059" i="1" s="1"/>
  <c r="B1060" i="1"/>
  <c r="I174" i="1"/>
  <c r="E175" i="1" s="1"/>
  <c r="H175" i="1" s="1"/>
  <c r="J175" i="1"/>
  <c r="G175" i="1" s="1"/>
  <c r="C323" i="1"/>
  <c r="D323" i="1" s="1"/>
  <c r="B324" i="1"/>
  <c r="F175" i="1" l="1"/>
  <c r="B1539" i="1"/>
  <c r="C1538" i="1"/>
  <c r="D1538" i="1" s="1"/>
  <c r="C1060" i="1"/>
  <c r="D1060" i="1" s="1"/>
  <c r="B1061" i="1"/>
  <c r="I175" i="1"/>
  <c r="E176" i="1" s="1"/>
  <c r="B325" i="1"/>
  <c r="C324" i="1"/>
  <c r="D324" i="1" s="1"/>
  <c r="C1539" i="1" l="1"/>
  <c r="D1539" i="1" s="1"/>
  <c r="B1540" i="1"/>
  <c r="C1061" i="1"/>
  <c r="D1061" i="1" s="1"/>
  <c r="B1062" i="1"/>
  <c r="J176" i="1"/>
  <c r="G176" i="1" s="1"/>
  <c r="H176" i="1"/>
  <c r="F176" i="1"/>
  <c r="C325" i="1"/>
  <c r="D325" i="1" s="1"/>
  <c r="B326" i="1"/>
  <c r="C1540" i="1" l="1"/>
  <c r="D1540" i="1" s="1"/>
  <c r="B1541" i="1"/>
  <c r="C1062" i="1"/>
  <c r="D1062" i="1" s="1"/>
  <c r="B1063" i="1"/>
  <c r="I176" i="1"/>
  <c r="E177" i="1" s="1"/>
  <c r="B327" i="1"/>
  <c r="C326" i="1"/>
  <c r="D326" i="1" s="1"/>
  <c r="C1541" i="1" l="1"/>
  <c r="D1541" i="1" s="1"/>
  <c r="B1542" i="1"/>
  <c r="C1063" i="1"/>
  <c r="D1063" i="1" s="1"/>
  <c r="B1064" i="1"/>
  <c r="F177" i="1"/>
  <c r="H177" i="1"/>
  <c r="J177" i="1"/>
  <c r="G177" i="1" s="1"/>
  <c r="C327" i="1"/>
  <c r="D327" i="1" s="1"/>
  <c r="B328" i="1"/>
  <c r="C1542" i="1" l="1"/>
  <c r="D1542" i="1" s="1"/>
  <c r="B1543" i="1"/>
  <c r="C1064" i="1"/>
  <c r="D1064" i="1" s="1"/>
  <c r="B1065" i="1"/>
  <c r="I177" i="1"/>
  <c r="E178" i="1" s="1"/>
  <c r="C328" i="1"/>
  <c r="D328" i="1" s="1"/>
  <c r="B329" i="1"/>
  <c r="C1543" i="1" l="1"/>
  <c r="D1543" i="1" s="1"/>
  <c r="B1544" i="1"/>
  <c r="C1065" i="1"/>
  <c r="D1065" i="1" s="1"/>
  <c r="B1066" i="1"/>
  <c r="J178" i="1"/>
  <c r="G178" i="1" s="1"/>
  <c r="H178" i="1"/>
  <c r="F178" i="1"/>
  <c r="B330" i="1"/>
  <c r="C329" i="1"/>
  <c r="D329" i="1" s="1"/>
  <c r="B1545" i="1" l="1"/>
  <c r="C1544" i="1"/>
  <c r="D1544" i="1" s="1"/>
  <c r="B1067" i="1"/>
  <c r="C1066" i="1"/>
  <c r="D1066" i="1" s="1"/>
  <c r="I178" i="1"/>
  <c r="E179" i="1" s="1"/>
  <c r="B331" i="1"/>
  <c r="C330" i="1"/>
  <c r="D330" i="1" s="1"/>
  <c r="C1545" i="1" l="1"/>
  <c r="D1545" i="1" s="1"/>
  <c r="B1546" i="1"/>
  <c r="B1068" i="1"/>
  <c r="C1067" i="1"/>
  <c r="D1067" i="1" s="1"/>
  <c r="F179" i="1"/>
  <c r="J179" i="1"/>
  <c r="H179" i="1"/>
  <c r="C331" i="1"/>
  <c r="D331" i="1" s="1"/>
  <c r="B332" i="1"/>
  <c r="C1546" i="1" l="1"/>
  <c r="D1546" i="1" s="1"/>
  <c r="B1547" i="1"/>
  <c r="C1068" i="1"/>
  <c r="D1068" i="1" s="1"/>
  <c r="B1069" i="1"/>
  <c r="G179" i="1"/>
  <c r="I179" i="1" s="1"/>
  <c r="E180" i="1" s="1"/>
  <c r="C332" i="1"/>
  <c r="D332" i="1" s="1"/>
  <c r="B333" i="1"/>
  <c r="B1548" i="1" l="1"/>
  <c r="C1547" i="1"/>
  <c r="D1547" i="1" s="1"/>
  <c r="C1069" i="1"/>
  <c r="D1069" i="1" s="1"/>
  <c r="B1070" i="1"/>
  <c r="H180" i="1"/>
  <c r="J180" i="1"/>
  <c r="G180" i="1" s="1"/>
  <c r="F180" i="1"/>
  <c r="C333" i="1"/>
  <c r="D333" i="1" s="1"/>
  <c r="B334" i="1"/>
  <c r="I180" i="1" l="1"/>
  <c r="E181" i="1" s="1"/>
  <c r="H181" i="1" s="1"/>
  <c r="C1548" i="1"/>
  <c r="D1548" i="1" s="1"/>
  <c r="B1549" i="1"/>
  <c r="C1070" i="1"/>
  <c r="D1070" i="1" s="1"/>
  <c r="B1071" i="1"/>
  <c r="F181" i="1"/>
  <c r="J181" i="1"/>
  <c r="C334" i="1"/>
  <c r="D334" i="1" s="1"/>
  <c r="B335" i="1"/>
  <c r="B1550" i="1" l="1"/>
  <c r="C1549" i="1"/>
  <c r="D1549" i="1" s="1"/>
  <c r="B1072" i="1"/>
  <c r="C1071" i="1"/>
  <c r="D1071" i="1" s="1"/>
  <c r="G181" i="1"/>
  <c r="I181" i="1" s="1"/>
  <c r="E182" i="1" s="1"/>
  <c r="B336" i="1"/>
  <c r="C335" i="1"/>
  <c r="D335" i="1" s="1"/>
  <c r="C1550" i="1" l="1"/>
  <c r="D1550" i="1" s="1"/>
  <c r="B1551" i="1"/>
  <c r="C1072" i="1"/>
  <c r="D1072" i="1" s="1"/>
  <c r="B1073" i="1"/>
  <c r="H182" i="1"/>
  <c r="F182" i="1"/>
  <c r="J182" i="1"/>
  <c r="C336" i="1"/>
  <c r="D336" i="1" s="1"/>
  <c r="B337" i="1"/>
  <c r="C1551" i="1" l="1"/>
  <c r="D1551" i="1" s="1"/>
  <c r="B1552" i="1"/>
  <c r="B1074" i="1"/>
  <c r="C1073" i="1"/>
  <c r="D1073" i="1" s="1"/>
  <c r="G182" i="1"/>
  <c r="I182" i="1" s="1"/>
  <c r="E183" i="1" s="1"/>
  <c r="C337" i="1"/>
  <c r="D337" i="1" s="1"/>
  <c r="B338" i="1"/>
  <c r="C1552" i="1" l="1"/>
  <c r="D1552" i="1" s="1"/>
  <c r="B1553" i="1"/>
  <c r="B1075" i="1"/>
  <c r="C1074" i="1"/>
  <c r="D1074" i="1" s="1"/>
  <c r="H183" i="1"/>
  <c r="J183" i="1"/>
  <c r="G183" i="1" s="1"/>
  <c r="F183" i="1"/>
  <c r="C338" i="1"/>
  <c r="D338" i="1" s="1"/>
  <c r="B339" i="1"/>
  <c r="C1553" i="1" l="1"/>
  <c r="D1553" i="1" s="1"/>
  <c r="B1554" i="1"/>
  <c r="C1075" i="1"/>
  <c r="D1075" i="1" s="1"/>
  <c r="B1076" i="1"/>
  <c r="I183" i="1"/>
  <c r="E184" i="1" s="1"/>
  <c r="C339" i="1"/>
  <c r="D339" i="1" s="1"/>
  <c r="B340" i="1"/>
  <c r="C1554" i="1" l="1"/>
  <c r="D1554" i="1" s="1"/>
  <c r="B1555" i="1"/>
  <c r="C1076" i="1"/>
  <c r="D1076" i="1" s="1"/>
  <c r="B1077" i="1"/>
  <c r="H184" i="1"/>
  <c r="J184" i="1"/>
  <c r="F184" i="1"/>
  <c r="C340" i="1"/>
  <c r="D340" i="1" s="1"/>
  <c r="B341" i="1"/>
  <c r="C1555" i="1" l="1"/>
  <c r="D1555" i="1" s="1"/>
  <c r="B1556" i="1"/>
  <c r="B1078" i="1"/>
  <c r="C1077" i="1"/>
  <c r="D1077" i="1" s="1"/>
  <c r="G184" i="1"/>
  <c r="I184" i="1" s="1"/>
  <c r="E185" i="1" s="1"/>
  <c r="B342" i="1"/>
  <c r="C341" i="1"/>
  <c r="D341" i="1" s="1"/>
  <c r="C1556" i="1" l="1"/>
  <c r="D1556" i="1" s="1"/>
  <c r="B1557" i="1"/>
  <c r="C1078" i="1"/>
  <c r="D1078" i="1" s="1"/>
  <c r="B1079" i="1"/>
  <c r="J185" i="1"/>
  <c r="G185" i="1" s="1"/>
  <c r="F185" i="1"/>
  <c r="H185" i="1"/>
  <c r="C342" i="1"/>
  <c r="D342" i="1" s="1"/>
  <c r="B343" i="1"/>
  <c r="C1557" i="1" l="1"/>
  <c r="D1557" i="1" s="1"/>
  <c r="B1558" i="1"/>
  <c r="C1079" i="1"/>
  <c r="D1079" i="1" s="1"/>
  <c r="B1080" i="1"/>
  <c r="I185" i="1"/>
  <c r="E186" i="1" s="1"/>
  <c r="C343" i="1"/>
  <c r="D343" i="1" s="1"/>
  <c r="B344" i="1"/>
  <c r="C1558" i="1" l="1"/>
  <c r="D1558" i="1" s="1"/>
  <c r="B1559" i="1"/>
  <c r="C1080" i="1"/>
  <c r="D1080" i="1" s="1"/>
  <c r="B1081" i="1"/>
  <c r="F186" i="1"/>
  <c r="H186" i="1"/>
  <c r="J186" i="1"/>
  <c r="B345" i="1"/>
  <c r="C344" i="1"/>
  <c r="D344" i="1" s="1"/>
  <c r="C1559" i="1" l="1"/>
  <c r="D1559" i="1" s="1"/>
  <c r="B1560" i="1"/>
  <c r="B1082" i="1"/>
  <c r="C1081" i="1"/>
  <c r="D1081" i="1" s="1"/>
  <c r="G186" i="1"/>
  <c r="I186" i="1" s="1"/>
  <c r="E187" i="1" s="1"/>
  <c r="C345" i="1"/>
  <c r="D345" i="1" s="1"/>
  <c r="B346" i="1"/>
  <c r="C1560" i="1" l="1"/>
  <c r="D1560" i="1" s="1"/>
  <c r="B1561" i="1"/>
  <c r="C1082" i="1"/>
  <c r="D1082" i="1" s="1"/>
  <c r="B1083" i="1"/>
  <c r="F187" i="1"/>
  <c r="J187" i="1"/>
  <c r="G187" i="1" s="1"/>
  <c r="H187" i="1"/>
  <c r="C346" i="1"/>
  <c r="D346" i="1" s="1"/>
  <c r="B347" i="1"/>
  <c r="C1561" i="1" l="1"/>
  <c r="D1561" i="1" s="1"/>
  <c r="B1562" i="1"/>
  <c r="B1084" i="1"/>
  <c r="C1083" i="1"/>
  <c r="D1083" i="1" s="1"/>
  <c r="I187" i="1"/>
  <c r="E188" i="1" s="1"/>
  <c r="C347" i="1"/>
  <c r="D347" i="1" s="1"/>
  <c r="B348" i="1"/>
  <c r="C1562" i="1" l="1"/>
  <c r="D1562" i="1" s="1"/>
  <c r="B1563" i="1"/>
  <c r="C1084" i="1"/>
  <c r="D1084" i="1" s="1"/>
  <c r="B1085" i="1"/>
  <c r="H188" i="1"/>
  <c r="J188" i="1"/>
  <c r="G188" i="1" s="1"/>
  <c r="F188" i="1"/>
  <c r="C348" i="1"/>
  <c r="D348" i="1" s="1"/>
  <c r="B349" i="1"/>
  <c r="B1564" i="1" l="1"/>
  <c r="C1563" i="1"/>
  <c r="D1563" i="1" s="1"/>
  <c r="B1086" i="1"/>
  <c r="C1085" i="1"/>
  <c r="D1085" i="1" s="1"/>
  <c r="I188" i="1"/>
  <c r="E189" i="1" s="1"/>
  <c r="C349" i="1"/>
  <c r="D349" i="1" s="1"/>
  <c r="B350" i="1"/>
  <c r="C1564" i="1" l="1"/>
  <c r="D1564" i="1" s="1"/>
  <c r="B1565" i="1"/>
  <c r="B1087" i="1"/>
  <c r="C1086" i="1"/>
  <c r="D1086" i="1" s="1"/>
  <c r="H189" i="1"/>
  <c r="F189" i="1"/>
  <c r="J189" i="1"/>
  <c r="G189" i="1" s="1"/>
  <c r="C350" i="1"/>
  <c r="D350" i="1" s="1"/>
  <c r="B351" i="1"/>
  <c r="C1565" i="1" l="1"/>
  <c r="D1565" i="1" s="1"/>
  <c r="B1566" i="1"/>
  <c r="B1088" i="1"/>
  <c r="C1087" i="1"/>
  <c r="D1087" i="1" s="1"/>
  <c r="I189" i="1"/>
  <c r="E190" i="1" s="1"/>
  <c r="C351" i="1"/>
  <c r="D351" i="1" s="1"/>
  <c r="B352" i="1"/>
  <c r="C1566" i="1" l="1"/>
  <c r="D1566" i="1" s="1"/>
  <c r="B1567" i="1"/>
  <c r="C1088" i="1"/>
  <c r="D1088" i="1" s="1"/>
  <c r="B1089" i="1"/>
  <c r="J190" i="1"/>
  <c r="G190" i="1" s="1"/>
  <c r="H190" i="1"/>
  <c r="F190" i="1"/>
  <c r="B353" i="1"/>
  <c r="C352" i="1"/>
  <c r="D352" i="1" s="1"/>
  <c r="C1567" i="1" l="1"/>
  <c r="D1567" i="1" s="1"/>
  <c r="B1568" i="1"/>
  <c r="B1090" i="1"/>
  <c r="C1089" i="1"/>
  <c r="D1089" i="1" s="1"/>
  <c r="I190" i="1"/>
  <c r="E191" i="1" s="1"/>
  <c r="C353" i="1"/>
  <c r="D353" i="1" s="1"/>
  <c r="B354" i="1"/>
  <c r="B1569" i="1" l="1"/>
  <c r="C1568" i="1"/>
  <c r="D1568" i="1" s="1"/>
  <c r="B1091" i="1"/>
  <c r="C1090" i="1"/>
  <c r="D1090" i="1" s="1"/>
  <c r="J191" i="1"/>
  <c r="G191" i="1" s="1"/>
  <c r="H191" i="1"/>
  <c r="F191" i="1"/>
  <c r="C354" i="1"/>
  <c r="D354" i="1" s="1"/>
  <c r="B355" i="1"/>
  <c r="C1569" i="1" l="1"/>
  <c r="D1569" i="1" s="1"/>
  <c r="B1570" i="1"/>
  <c r="B1092" i="1"/>
  <c r="C1091" i="1"/>
  <c r="D1091" i="1" s="1"/>
  <c r="I191" i="1"/>
  <c r="E192" i="1" s="1"/>
  <c r="C355" i="1"/>
  <c r="D355" i="1" s="1"/>
  <c r="B356" i="1"/>
  <c r="C1570" i="1" l="1"/>
  <c r="D1570" i="1" s="1"/>
  <c r="B1571" i="1"/>
  <c r="C1092" i="1"/>
  <c r="D1092" i="1" s="1"/>
  <c r="B1093" i="1"/>
  <c r="J192" i="1"/>
  <c r="G192" i="1" s="1"/>
  <c r="H192" i="1"/>
  <c r="I192" i="1" s="1"/>
  <c r="E193" i="1" s="1"/>
  <c r="F192" i="1"/>
  <c r="C356" i="1"/>
  <c r="D356" i="1" s="1"/>
  <c r="B357" i="1"/>
  <c r="B1572" i="1" l="1"/>
  <c r="C1571" i="1"/>
  <c r="D1571" i="1" s="1"/>
  <c r="B1094" i="1"/>
  <c r="C1093" i="1"/>
  <c r="D1093" i="1" s="1"/>
  <c r="J193" i="1"/>
  <c r="G193" i="1" s="1"/>
  <c r="H193" i="1"/>
  <c r="F193" i="1"/>
  <c r="C357" i="1"/>
  <c r="D357" i="1" s="1"/>
  <c r="B358" i="1"/>
  <c r="C1572" i="1" l="1"/>
  <c r="D1572" i="1" s="1"/>
  <c r="B1573" i="1"/>
  <c r="C1094" i="1"/>
  <c r="D1094" i="1" s="1"/>
  <c r="B1095" i="1"/>
  <c r="I193" i="1"/>
  <c r="E194" i="1" s="1"/>
  <c r="C358" i="1"/>
  <c r="D358" i="1" s="1"/>
  <c r="B359" i="1"/>
  <c r="B1574" i="1" l="1"/>
  <c r="C1573" i="1"/>
  <c r="D1573" i="1" s="1"/>
  <c r="C1095" i="1"/>
  <c r="D1095" i="1" s="1"/>
  <c r="B1096" i="1"/>
  <c r="J194" i="1"/>
  <c r="G194" i="1" s="1"/>
  <c r="H194" i="1"/>
  <c r="F194" i="1"/>
  <c r="C359" i="1"/>
  <c r="D359" i="1" s="1"/>
  <c r="B360" i="1"/>
  <c r="I194" i="1" l="1"/>
  <c r="E195" i="1" s="1"/>
  <c r="C1574" i="1"/>
  <c r="D1574" i="1" s="1"/>
  <c r="B1575" i="1"/>
  <c r="C1096" i="1"/>
  <c r="D1096" i="1" s="1"/>
  <c r="B1097" i="1"/>
  <c r="H195" i="1"/>
  <c r="J195" i="1"/>
  <c r="G195" i="1" s="1"/>
  <c r="F195" i="1"/>
  <c r="B361" i="1"/>
  <c r="C360" i="1"/>
  <c r="D360" i="1" s="1"/>
  <c r="C1575" i="1" l="1"/>
  <c r="D1575" i="1" s="1"/>
  <c r="B1576" i="1"/>
  <c r="B1098" i="1"/>
  <c r="C1097" i="1"/>
  <c r="D1097" i="1" s="1"/>
  <c r="I195" i="1"/>
  <c r="E196" i="1" s="1"/>
  <c r="C361" i="1"/>
  <c r="D361" i="1" s="1"/>
  <c r="B362" i="1"/>
  <c r="C1576" i="1" l="1"/>
  <c r="D1576" i="1" s="1"/>
  <c r="B1577" i="1"/>
  <c r="B1099" i="1"/>
  <c r="C1098" i="1"/>
  <c r="D1098" i="1" s="1"/>
  <c r="J196" i="1"/>
  <c r="G196" i="1" s="1"/>
  <c r="H196" i="1"/>
  <c r="F196" i="1"/>
  <c r="B363" i="1"/>
  <c r="C362" i="1"/>
  <c r="D362" i="1" s="1"/>
  <c r="I196" i="1" l="1"/>
  <c r="E197" i="1" s="1"/>
  <c r="C1577" i="1"/>
  <c r="D1577" i="1" s="1"/>
  <c r="B1578" i="1"/>
  <c r="B1100" i="1"/>
  <c r="C1099" i="1"/>
  <c r="D1099" i="1" s="1"/>
  <c r="H197" i="1"/>
  <c r="J197" i="1"/>
  <c r="G197" i="1" s="1"/>
  <c r="F197" i="1"/>
  <c r="C363" i="1"/>
  <c r="D363" i="1" s="1"/>
  <c r="B364" i="1"/>
  <c r="C1578" i="1" l="1"/>
  <c r="D1578" i="1" s="1"/>
  <c r="B1579" i="1"/>
  <c r="C1100" i="1"/>
  <c r="D1100" i="1" s="1"/>
  <c r="B1101" i="1"/>
  <c r="I197" i="1"/>
  <c r="E198" i="1" s="1"/>
  <c r="C364" i="1"/>
  <c r="D364" i="1" s="1"/>
  <c r="B365" i="1"/>
  <c r="C1579" i="1" l="1"/>
  <c r="D1579" i="1" s="1"/>
  <c r="B1580" i="1"/>
  <c r="C1101" i="1"/>
  <c r="D1101" i="1" s="1"/>
  <c r="B1102" i="1"/>
  <c r="H198" i="1"/>
  <c r="J198" i="1"/>
  <c r="G198" i="1" s="1"/>
  <c r="F198" i="1"/>
  <c r="C365" i="1"/>
  <c r="D365" i="1" s="1"/>
  <c r="B366" i="1"/>
  <c r="B1581" i="1" l="1"/>
  <c r="C1580" i="1"/>
  <c r="D1580" i="1" s="1"/>
  <c r="C1102" i="1"/>
  <c r="D1102" i="1" s="1"/>
  <c r="B1103" i="1"/>
  <c r="I198" i="1"/>
  <c r="E199" i="1" s="1"/>
  <c r="C366" i="1"/>
  <c r="D366" i="1" s="1"/>
  <c r="B367" i="1"/>
  <c r="B1582" i="1" l="1"/>
  <c r="C1581" i="1"/>
  <c r="D1581" i="1" s="1"/>
  <c r="C1103" i="1"/>
  <c r="D1103" i="1" s="1"/>
  <c r="B1104" i="1"/>
  <c r="H199" i="1"/>
  <c r="F199" i="1"/>
  <c r="J199" i="1"/>
  <c r="B368" i="1"/>
  <c r="C367" i="1"/>
  <c r="D367" i="1" s="1"/>
  <c r="C1582" i="1" l="1"/>
  <c r="D1582" i="1" s="1"/>
  <c r="B1583" i="1"/>
  <c r="C1104" i="1"/>
  <c r="D1104" i="1" s="1"/>
  <c r="B1105" i="1"/>
  <c r="G199" i="1"/>
  <c r="I199" i="1" s="1"/>
  <c r="E200" i="1" s="1"/>
  <c r="B369" i="1"/>
  <c r="C368" i="1"/>
  <c r="D368" i="1" s="1"/>
  <c r="B1584" i="1" l="1"/>
  <c r="C1583" i="1"/>
  <c r="D1583" i="1" s="1"/>
  <c r="C1105" i="1"/>
  <c r="D1105" i="1" s="1"/>
  <c r="B1106" i="1"/>
  <c r="F200" i="1"/>
  <c r="H200" i="1"/>
  <c r="J200" i="1"/>
  <c r="G200" i="1" s="1"/>
  <c r="B370" i="1"/>
  <c r="C369" i="1"/>
  <c r="D369" i="1" s="1"/>
  <c r="B1585" i="1" l="1"/>
  <c r="C1584" i="1"/>
  <c r="D1584" i="1" s="1"/>
  <c r="C1106" i="1"/>
  <c r="D1106" i="1" s="1"/>
  <c r="B1107" i="1"/>
  <c r="I200" i="1"/>
  <c r="E201" i="1" s="1"/>
  <c r="C370" i="1"/>
  <c r="D370" i="1" s="1"/>
  <c r="B371" i="1"/>
  <c r="C1585" i="1" l="1"/>
  <c r="D1585" i="1" s="1"/>
  <c r="B1586" i="1"/>
  <c r="C1107" i="1"/>
  <c r="D1107" i="1" s="1"/>
  <c r="B1108" i="1"/>
  <c r="J201" i="1"/>
  <c r="G201" i="1" s="1"/>
  <c r="H201" i="1"/>
  <c r="F201" i="1"/>
  <c r="B372" i="1"/>
  <c r="C371" i="1"/>
  <c r="D371" i="1" s="1"/>
  <c r="I201" i="1" l="1"/>
  <c r="E202" i="1" s="1"/>
  <c r="C1586" i="1"/>
  <c r="D1586" i="1" s="1"/>
  <c r="B1587" i="1"/>
  <c r="C1108" i="1"/>
  <c r="D1108" i="1" s="1"/>
  <c r="B1109" i="1"/>
  <c r="H202" i="1"/>
  <c r="F202" i="1"/>
  <c r="J202" i="1"/>
  <c r="G202" i="1" s="1"/>
  <c r="C372" i="1"/>
  <c r="D372" i="1" s="1"/>
  <c r="B373" i="1"/>
  <c r="B1588" i="1" l="1"/>
  <c r="C1587" i="1"/>
  <c r="D1587" i="1" s="1"/>
  <c r="C1109" i="1"/>
  <c r="D1109" i="1" s="1"/>
  <c r="B1110" i="1"/>
  <c r="I202" i="1"/>
  <c r="E203" i="1" s="1"/>
  <c r="C373" i="1"/>
  <c r="D373" i="1" s="1"/>
  <c r="B374" i="1"/>
  <c r="B1589" i="1" l="1"/>
  <c r="C1588" i="1"/>
  <c r="D1588" i="1" s="1"/>
  <c r="C1110" i="1"/>
  <c r="D1110" i="1" s="1"/>
  <c r="B1111" i="1"/>
  <c r="J203" i="1"/>
  <c r="G203" i="1" s="1"/>
  <c r="H203" i="1"/>
  <c r="F203" i="1"/>
  <c r="C374" i="1"/>
  <c r="D374" i="1" s="1"/>
  <c r="B375" i="1"/>
  <c r="B1590" i="1" l="1"/>
  <c r="C1589" i="1"/>
  <c r="D1589" i="1" s="1"/>
  <c r="C1111" i="1"/>
  <c r="D1111" i="1" s="1"/>
  <c r="B1112" i="1"/>
  <c r="I203" i="1"/>
  <c r="E204" i="1" s="1"/>
  <c r="C375" i="1"/>
  <c r="D375" i="1" s="1"/>
  <c r="B376" i="1"/>
  <c r="C1590" i="1" l="1"/>
  <c r="D1590" i="1" s="1"/>
  <c r="B1591" i="1"/>
  <c r="C1112" i="1"/>
  <c r="D1112" i="1" s="1"/>
  <c r="B1113" i="1"/>
  <c r="F204" i="1"/>
  <c r="H204" i="1"/>
  <c r="J204" i="1"/>
  <c r="G204" i="1" s="1"/>
  <c r="C376" i="1"/>
  <c r="D376" i="1" s="1"/>
  <c r="B377" i="1"/>
  <c r="B1592" i="1" l="1"/>
  <c r="C1591" i="1"/>
  <c r="D1591" i="1" s="1"/>
  <c r="C1113" i="1"/>
  <c r="D1113" i="1" s="1"/>
  <c r="B1114" i="1"/>
  <c r="I204" i="1"/>
  <c r="E205" i="1" s="1"/>
  <c r="C377" i="1"/>
  <c r="D377" i="1" s="1"/>
  <c r="B378" i="1"/>
  <c r="B1593" i="1" l="1"/>
  <c r="C1592" i="1"/>
  <c r="D1592" i="1" s="1"/>
  <c r="C1114" i="1"/>
  <c r="D1114" i="1" s="1"/>
  <c r="B1115" i="1"/>
  <c r="J205" i="1"/>
  <c r="G205" i="1" s="1"/>
  <c r="H205" i="1"/>
  <c r="F205" i="1"/>
  <c r="C378" i="1"/>
  <c r="D378" i="1" s="1"/>
  <c r="B379" i="1"/>
  <c r="I205" i="1" l="1"/>
  <c r="E206" i="1" s="1"/>
  <c r="J206" i="1" s="1"/>
  <c r="G206" i="1" s="1"/>
  <c r="B1594" i="1"/>
  <c r="C1593" i="1"/>
  <c r="D1593" i="1" s="1"/>
  <c r="C1115" i="1"/>
  <c r="D1115" i="1" s="1"/>
  <c r="B1116" i="1"/>
  <c r="F206" i="1"/>
  <c r="B380" i="1"/>
  <c r="C379" i="1"/>
  <c r="D379" i="1" s="1"/>
  <c r="H206" i="1" l="1"/>
  <c r="I206" i="1" s="1"/>
  <c r="E207" i="1" s="1"/>
  <c r="F207" i="1" s="1"/>
  <c r="C1594" i="1"/>
  <c r="D1594" i="1" s="1"/>
  <c r="B1595" i="1"/>
  <c r="C1116" i="1"/>
  <c r="D1116" i="1" s="1"/>
  <c r="B1117" i="1"/>
  <c r="C380" i="1"/>
  <c r="D380" i="1" s="1"/>
  <c r="B381" i="1"/>
  <c r="J207" i="1" l="1"/>
  <c r="G207" i="1" s="1"/>
  <c r="I207" i="1" s="1"/>
  <c r="E208" i="1" s="1"/>
  <c r="H207" i="1"/>
  <c r="B1596" i="1"/>
  <c r="C1595" i="1"/>
  <c r="D1595" i="1" s="1"/>
  <c r="C1117" i="1"/>
  <c r="D1117" i="1" s="1"/>
  <c r="B1118" i="1"/>
  <c r="C381" i="1"/>
  <c r="D381" i="1" s="1"/>
  <c r="B382" i="1"/>
  <c r="C1596" i="1" l="1"/>
  <c r="D1596" i="1" s="1"/>
  <c r="B1597" i="1"/>
  <c r="C1118" i="1"/>
  <c r="D1118" i="1" s="1"/>
  <c r="B1119" i="1"/>
  <c r="F208" i="1"/>
  <c r="H208" i="1"/>
  <c r="J208" i="1"/>
  <c r="G208" i="1" s="1"/>
  <c r="C382" i="1"/>
  <c r="D382" i="1" s="1"/>
  <c r="B383" i="1"/>
  <c r="C1597" i="1" l="1"/>
  <c r="D1597" i="1" s="1"/>
  <c r="B1598" i="1"/>
  <c r="B1120" i="1"/>
  <c r="C1119" i="1"/>
  <c r="D1119" i="1" s="1"/>
  <c r="I208" i="1"/>
  <c r="E209" i="1" s="1"/>
  <c r="C383" i="1"/>
  <c r="D383" i="1" s="1"/>
  <c r="B384" i="1"/>
  <c r="C1598" i="1" l="1"/>
  <c r="D1598" i="1" s="1"/>
  <c r="B1599" i="1"/>
  <c r="C1120" i="1"/>
  <c r="D1120" i="1" s="1"/>
  <c r="B1121" i="1"/>
  <c r="H209" i="1"/>
  <c r="J209" i="1"/>
  <c r="G209" i="1" s="1"/>
  <c r="F209" i="1"/>
  <c r="B385" i="1"/>
  <c r="C384" i="1"/>
  <c r="D384" i="1" s="1"/>
  <c r="C1599" i="1" l="1"/>
  <c r="D1599" i="1" s="1"/>
  <c r="B1600" i="1"/>
  <c r="C1121" i="1"/>
  <c r="D1121" i="1" s="1"/>
  <c r="B1122" i="1"/>
  <c r="I209" i="1"/>
  <c r="E210" i="1" s="1"/>
  <c r="B386" i="1"/>
  <c r="C385" i="1"/>
  <c r="D385" i="1" s="1"/>
  <c r="C1600" i="1" l="1"/>
  <c r="D1600" i="1" s="1"/>
  <c r="B1601" i="1"/>
  <c r="C1122" i="1"/>
  <c r="D1122" i="1" s="1"/>
  <c r="B1123" i="1"/>
  <c r="H210" i="1"/>
  <c r="J210" i="1"/>
  <c r="G210" i="1" s="1"/>
  <c r="F210" i="1"/>
  <c r="C386" i="1"/>
  <c r="D386" i="1" s="1"/>
  <c r="B387" i="1"/>
  <c r="C1601" i="1" l="1"/>
  <c r="D1601" i="1" s="1"/>
  <c r="B1602" i="1"/>
  <c r="C1123" i="1"/>
  <c r="D1123" i="1" s="1"/>
  <c r="B1124" i="1"/>
  <c r="I210" i="1"/>
  <c r="E211" i="1" s="1"/>
  <c r="C387" i="1"/>
  <c r="D387" i="1" s="1"/>
  <c r="B388" i="1"/>
  <c r="C1602" i="1" l="1"/>
  <c r="D1602" i="1" s="1"/>
  <c r="B1603" i="1"/>
  <c r="C1124" i="1"/>
  <c r="D1124" i="1" s="1"/>
  <c r="B1125" i="1"/>
  <c r="H211" i="1"/>
  <c r="J211" i="1"/>
  <c r="G211" i="1" s="1"/>
  <c r="F211" i="1"/>
  <c r="C388" i="1"/>
  <c r="D388" i="1" s="1"/>
  <c r="B389" i="1"/>
  <c r="C1603" i="1" l="1"/>
  <c r="D1603" i="1" s="1"/>
  <c r="B1604" i="1"/>
  <c r="C1125" i="1"/>
  <c r="D1125" i="1" s="1"/>
  <c r="B1126" i="1"/>
  <c r="I211" i="1"/>
  <c r="E212" i="1" s="1"/>
  <c r="C389" i="1"/>
  <c r="D389" i="1" s="1"/>
  <c r="B390" i="1"/>
  <c r="C1604" i="1" l="1"/>
  <c r="D1604" i="1" s="1"/>
  <c r="B1605" i="1"/>
  <c r="C1126" i="1"/>
  <c r="D1126" i="1" s="1"/>
  <c r="B1127" i="1"/>
  <c r="H212" i="1"/>
  <c r="J212" i="1"/>
  <c r="G212" i="1" s="1"/>
  <c r="F212" i="1"/>
  <c r="C390" i="1"/>
  <c r="D390" i="1" s="1"/>
  <c r="B391" i="1"/>
  <c r="C1605" i="1" l="1"/>
  <c r="D1605" i="1" s="1"/>
  <c r="B1606" i="1"/>
  <c r="C1127" i="1"/>
  <c r="D1127" i="1" s="1"/>
  <c r="B1128" i="1"/>
  <c r="I212" i="1"/>
  <c r="E213" i="1" s="1"/>
  <c r="C391" i="1"/>
  <c r="D391" i="1" s="1"/>
  <c r="B392" i="1"/>
  <c r="C1606" i="1" l="1"/>
  <c r="D1606" i="1" s="1"/>
  <c r="B1607" i="1"/>
  <c r="C1128" i="1"/>
  <c r="D1128" i="1" s="1"/>
  <c r="B1129" i="1"/>
  <c r="F213" i="1"/>
  <c r="H213" i="1"/>
  <c r="J213" i="1"/>
  <c r="G213" i="1" s="1"/>
  <c r="C392" i="1"/>
  <c r="D392" i="1" s="1"/>
  <c r="B393" i="1"/>
  <c r="C1607" i="1" l="1"/>
  <c r="D1607" i="1" s="1"/>
  <c r="B1608" i="1"/>
  <c r="C1129" i="1"/>
  <c r="D1129" i="1" s="1"/>
  <c r="B1130" i="1"/>
  <c r="I213" i="1"/>
  <c r="E214" i="1" s="1"/>
  <c r="C393" i="1"/>
  <c r="D393" i="1" s="1"/>
  <c r="B394" i="1"/>
  <c r="C1608" i="1" l="1"/>
  <c r="D1608" i="1" s="1"/>
  <c r="B1609" i="1"/>
  <c r="C1130" i="1"/>
  <c r="D1130" i="1" s="1"/>
  <c r="B1131" i="1"/>
  <c r="H214" i="1"/>
  <c r="J214" i="1"/>
  <c r="G214" i="1" s="1"/>
  <c r="F214" i="1"/>
  <c r="C394" i="1"/>
  <c r="D394" i="1" s="1"/>
  <c r="B395" i="1"/>
  <c r="C1609" i="1" l="1"/>
  <c r="D1609" i="1" s="1"/>
  <c r="B1610" i="1"/>
  <c r="B1132" i="1"/>
  <c r="C1131" i="1"/>
  <c r="D1131" i="1" s="1"/>
  <c r="I214" i="1"/>
  <c r="E215" i="1" s="1"/>
  <c r="B396" i="1"/>
  <c r="C395" i="1"/>
  <c r="D395" i="1" s="1"/>
  <c r="C1610" i="1" l="1"/>
  <c r="D1610" i="1" s="1"/>
  <c r="B1611" i="1"/>
  <c r="C1132" i="1"/>
  <c r="D1132" i="1" s="1"/>
  <c r="B1133" i="1"/>
  <c r="J215" i="1"/>
  <c r="G215" i="1" s="1"/>
  <c r="H215" i="1"/>
  <c r="F215" i="1"/>
  <c r="B397" i="1"/>
  <c r="C396" i="1"/>
  <c r="D396" i="1" s="1"/>
  <c r="I215" i="1" l="1"/>
  <c r="E216" i="1" s="1"/>
  <c r="C1611" i="1"/>
  <c r="D1611" i="1" s="1"/>
  <c r="B1612" i="1"/>
  <c r="B1134" i="1"/>
  <c r="C1133" i="1"/>
  <c r="D1133" i="1" s="1"/>
  <c r="H216" i="1"/>
  <c r="F216" i="1"/>
  <c r="J216" i="1"/>
  <c r="C397" i="1"/>
  <c r="D397" i="1" s="1"/>
  <c r="B398" i="1"/>
  <c r="C1612" i="1" l="1"/>
  <c r="D1612" i="1" s="1"/>
  <c r="B1613" i="1"/>
  <c r="C1134" i="1"/>
  <c r="D1134" i="1" s="1"/>
  <c r="B1135" i="1"/>
  <c r="G216" i="1"/>
  <c r="I216" i="1" s="1"/>
  <c r="E217" i="1" s="1"/>
  <c r="C398" i="1"/>
  <c r="D398" i="1" s="1"/>
  <c r="B399" i="1"/>
  <c r="C1613" i="1" l="1"/>
  <c r="D1613" i="1" s="1"/>
  <c r="B1614" i="1"/>
  <c r="B1136" i="1"/>
  <c r="C1135" i="1"/>
  <c r="D1135" i="1" s="1"/>
  <c r="H217" i="1"/>
  <c r="J217" i="1"/>
  <c r="G217" i="1" s="1"/>
  <c r="F217" i="1"/>
  <c r="C399" i="1"/>
  <c r="D399" i="1" s="1"/>
  <c r="B400" i="1"/>
  <c r="C1614" i="1" l="1"/>
  <c r="D1614" i="1" s="1"/>
  <c r="B1615" i="1"/>
  <c r="C1136" i="1"/>
  <c r="D1136" i="1" s="1"/>
  <c r="B1137" i="1"/>
  <c r="I217" i="1"/>
  <c r="E218" i="1" s="1"/>
  <c r="B401" i="1"/>
  <c r="C400" i="1"/>
  <c r="D400" i="1" s="1"/>
  <c r="C1615" i="1" l="1"/>
  <c r="D1615" i="1" s="1"/>
  <c r="B1616" i="1"/>
  <c r="B1138" i="1"/>
  <c r="C1137" i="1"/>
  <c r="D1137" i="1" s="1"/>
  <c r="H218" i="1"/>
  <c r="J218" i="1"/>
  <c r="G218" i="1" s="1"/>
  <c r="F218" i="1"/>
  <c r="B402" i="1"/>
  <c r="C401" i="1"/>
  <c r="D401" i="1" s="1"/>
  <c r="C1616" i="1" l="1"/>
  <c r="D1616" i="1" s="1"/>
  <c r="B1617" i="1"/>
  <c r="C1138" i="1"/>
  <c r="D1138" i="1" s="1"/>
  <c r="B1139" i="1"/>
  <c r="I218" i="1"/>
  <c r="E219" i="1" s="1"/>
  <c r="B403" i="1"/>
  <c r="C402" i="1"/>
  <c r="D402" i="1" s="1"/>
  <c r="C1617" i="1" l="1"/>
  <c r="D1617" i="1" s="1"/>
  <c r="B1618" i="1"/>
  <c r="C1139" i="1"/>
  <c r="D1139" i="1" s="1"/>
  <c r="B1140" i="1"/>
  <c r="J219" i="1"/>
  <c r="G219" i="1" s="1"/>
  <c r="F219" i="1"/>
  <c r="H219" i="1"/>
  <c r="C403" i="1"/>
  <c r="D403" i="1" s="1"/>
  <c r="B404" i="1"/>
  <c r="C1618" i="1" l="1"/>
  <c r="D1618" i="1" s="1"/>
  <c r="B1619" i="1"/>
  <c r="B1141" i="1"/>
  <c r="C1140" i="1"/>
  <c r="D1140" i="1" s="1"/>
  <c r="I219" i="1"/>
  <c r="E220" i="1" s="1"/>
  <c r="C404" i="1"/>
  <c r="D404" i="1" s="1"/>
  <c r="B405" i="1"/>
  <c r="C1619" i="1" l="1"/>
  <c r="D1619" i="1" s="1"/>
  <c r="B1620" i="1"/>
  <c r="B1142" i="1"/>
  <c r="C1141" i="1"/>
  <c r="D1141" i="1" s="1"/>
  <c r="H220" i="1"/>
  <c r="J220" i="1"/>
  <c r="G220" i="1" s="1"/>
  <c r="F220" i="1"/>
  <c r="C405" i="1"/>
  <c r="D405" i="1" s="1"/>
  <c r="B406" i="1"/>
  <c r="C1620" i="1" l="1"/>
  <c r="D1620" i="1" s="1"/>
  <c r="B1621" i="1"/>
  <c r="C1142" i="1"/>
  <c r="D1142" i="1" s="1"/>
  <c r="B1143" i="1"/>
  <c r="I220" i="1"/>
  <c r="E221" i="1" s="1"/>
  <c r="B407" i="1"/>
  <c r="C406" i="1"/>
  <c r="D406" i="1" s="1"/>
  <c r="C1621" i="1" l="1"/>
  <c r="D1621" i="1" s="1"/>
  <c r="B1622" i="1"/>
  <c r="C1143" i="1"/>
  <c r="D1143" i="1" s="1"/>
  <c r="B1144" i="1"/>
  <c r="J221" i="1"/>
  <c r="G221" i="1" s="1"/>
  <c r="F221" i="1"/>
  <c r="H221" i="1"/>
  <c r="C407" i="1"/>
  <c r="D407" i="1" s="1"/>
  <c r="B408" i="1"/>
  <c r="I221" i="1" l="1"/>
  <c r="E222" i="1" s="1"/>
  <c r="C1622" i="1"/>
  <c r="D1622" i="1" s="1"/>
  <c r="B1623" i="1"/>
  <c r="C1144" i="1"/>
  <c r="D1144" i="1" s="1"/>
  <c r="B1145" i="1"/>
  <c r="H222" i="1"/>
  <c r="J222" i="1"/>
  <c r="G222" i="1" s="1"/>
  <c r="F222" i="1"/>
  <c r="C408" i="1"/>
  <c r="D408" i="1" s="1"/>
  <c r="B409" i="1"/>
  <c r="C1623" i="1" l="1"/>
  <c r="D1623" i="1" s="1"/>
  <c r="B1624" i="1"/>
  <c r="B1146" i="1"/>
  <c r="C1145" i="1"/>
  <c r="D1145" i="1" s="1"/>
  <c r="I222" i="1"/>
  <c r="E223" i="1" s="1"/>
  <c r="C409" i="1"/>
  <c r="D409" i="1" s="1"/>
  <c r="B410" i="1"/>
  <c r="C1624" i="1" l="1"/>
  <c r="D1624" i="1" s="1"/>
  <c r="B1625" i="1"/>
  <c r="C1146" i="1"/>
  <c r="D1146" i="1" s="1"/>
  <c r="B1147" i="1"/>
  <c r="H223" i="1"/>
  <c r="J223" i="1"/>
  <c r="G223" i="1" s="1"/>
  <c r="F223" i="1"/>
  <c r="C410" i="1"/>
  <c r="D410" i="1" s="1"/>
  <c r="B411" i="1"/>
  <c r="B1626" i="1" l="1"/>
  <c r="C1625" i="1"/>
  <c r="D1625" i="1" s="1"/>
  <c r="B1148" i="1"/>
  <c r="C1147" i="1"/>
  <c r="D1147" i="1" s="1"/>
  <c r="I223" i="1"/>
  <c r="E224" i="1" s="1"/>
  <c r="B412" i="1"/>
  <c r="C411" i="1"/>
  <c r="D411" i="1" s="1"/>
  <c r="C1626" i="1" l="1"/>
  <c r="D1626" i="1" s="1"/>
  <c r="B1627" i="1"/>
  <c r="B1149" i="1"/>
  <c r="C1148" i="1"/>
  <c r="D1148" i="1" s="1"/>
  <c r="J224" i="1"/>
  <c r="G224" i="1" s="1"/>
  <c r="H224" i="1"/>
  <c r="F224" i="1"/>
  <c r="B413" i="1"/>
  <c r="C412" i="1"/>
  <c r="D412" i="1" s="1"/>
  <c r="I224" i="1" l="1"/>
  <c r="E225" i="1" s="1"/>
  <c r="C1627" i="1"/>
  <c r="D1627" i="1" s="1"/>
  <c r="B1628" i="1"/>
  <c r="C1149" i="1"/>
  <c r="D1149" i="1" s="1"/>
  <c r="B1150" i="1"/>
  <c r="J225" i="1"/>
  <c r="G225" i="1" s="1"/>
  <c r="F225" i="1"/>
  <c r="H225" i="1"/>
  <c r="B414" i="1"/>
  <c r="C413" i="1"/>
  <c r="D413" i="1" s="1"/>
  <c r="I225" i="1" l="1"/>
  <c r="E226" i="1" s="1"/>
  <c r="C1628" i="1"/>
  <c r="D1628" i="1" s="1"/>
  <c r="B1629" i="1"/>
  <c r="C1150" i="1"/>
  <c r="D1150" i="1" s="1"/>
  <c r="B1151" i="1"/>
  <c r="J226" i="1"/>
  <c r="G226" i="1" s="1"/>
  <c r="F226" i="1"/>
  <c r="H226" i="1"/>
  <c r="C414" i="1"/>
  <c r="D414" i="1" s="1"/>
  <c r="B415" i="1"/>
  <c r="I226" i="1" l="1"/>
  <c r="E227" i="1" s="1"/>
  <c r="C1629" i="1"/>
  <c r="D1629" i="1" s="1"/>
  <c r="B1630" i="1"/>
  <c r="B1152" i="1"/>
  <c r="C1151" i="1"/>
  <c r="D1151" i="1" s="1"/>
  <c r="H227" i="1"/>
  <c r="F227" i="1"/>
  <c r="J227" i="1"/>
  <c r="B416" i="1"/>
  <c r="C415" i="1"/>
  <c r="D415" i="1" s="1"/>
  <c r="C1630" i="1" l="1"/>
  <c r="D1630" i="1" s="1"/>
  <c r="B1631" i="1"/>
  <c r="C1152" i="1"/>
  <c r="D1152" i="1" s="1"/>
  <c r="B1153" i="1"/>
  <c r="G227" i="1"/>
  <c r="I227" i="1" s="1"/>
  <c r="E228" i="1" s="1"/>
  <c r="C416" i="1"/>
  <c r="D416" i="1" s="1"/>
  <c r="B417" i="1"/>
  <c r="C1631" i="1" l="1"/>
  <c r="D1631" i="1" s="1"/>
  <c r="B1632" i="1"/>
  <c r="C1153" i="1"/>
  <c r="D1153" i="1" s="1"/>
  <c r="B1154" i="1"/>
  <c r="J228" i="1"/>
  <c r="G228" i="1" s="1"/>
  <c r="F228" i="1"/>
  <c r="H228" i="1"/>
  <c r="B418" i="1"/>
  <c r="C417" i="1"/>
  <c r="D417" i="1" s="1"/>
  <c r="C1632" i="1" l="1"/>
  <c r="D1632" i="1" s="1"/>
  <c r="B1633" i="1"/>
  <c r="C1154" i="1"/>
  <c r="D1154" i="1" s="1"/>
  <c r="B1155" i="1"/>
  <c r="I228" i="1"/>
  <c r="E229" i="1" s="1"/>
  <c r="B419" i="1"/>
  <c r="C418" i="1"/>
  <c r="D418" i="1" s="1"/>
  <c r="C1633" i="1" l="1"/>
  <c r="D1633" i="1" s="1"/>
  <c r="B1634" i="1"/>
  <c r="B1156" i="1"/>
  <c r="C1155" i="1"/>
  <c r="D1155" i="1" s="1"/>
  <c r="J229" i="1"/>
  <c r="G229" i="1" s="1"/>
  <c r="F229" i="1"/>
  <c r="H229" i="1"/>
  <c r="I229" i="1" s="1"/>
  <c r="E230" i="1" s="1"/>
  <c r="B420" i="1"/>
  <c r="C419" i="1"/>
  <c r="D419" i="1" s="1"/>
  <c r="C1634" i="1" l="1"/>
  <c r="D1634" i="1" s="1"/>
  <c r="B1635" i="1"/>
  <c r="C1156" i="1"/>
  <c r="D1156" i="1" s="1"/>
  <c r="B1157" i="1"/>
  <c r="F230" i="1"/>
  <c r="H230" i="1"/>
  <c r="J230" i="1"/>
  <c r="G230" i="1" s="1"/>
  <c r="B421" i="1"/>
  <c r="C420" i="1"/>
  <c r="D420" i="1" s="1"/>
  <c r="C1635" i="1" l="1"/>
  <c r="D1635" i="1" s="1"/>
  <c r="B1636" i="1"/>
  <c r="B1158" i="1"/>
  <c r="C1157" i="1"/>
  <c r="D1157" i="1" s="1"/>
  <c r="I230" i="1"/>
  <c r="E231" i="1" s="1"/>
  <c r="C421" i="1"/>
  <c r="D421" i="1" s="1"/>
  <c r="B422" i="1"/>
  <c r="C1636" i="1" l="1"/>
  <c r="D1636" i="1" s="1"/>
  <c r="B1637" i="1"/>
  <c r="C1158" i="1"/>
  <c r="D1158" i="1" s="1"/>
  <c r="B1159" i="1"/>
  <c r="H231" i="1"/>
  <c r="F231" i="1"/>
  <c r="J231" i="1"/>
  <c r="G231" i="1" s="1"/>
  <c r="C422" i="1"/>
  <c r="D422" i="1" s="1"/>
  <c r="B423" i="1"/>
  <c r="C1637" i="1" l="1"/>
  <c r="D1637" i="1" s="1"/>
  <c r="B1638" i="1"/>
  <c r="C1159" i="1"/>
  <c r="D1159" i="1" s="1"/>
  <c r="B1160" i="1"/>
  <c r="I231" i="1"/>
  <c r="E232" i="1" s="1"/>
  <c r="B424" i="1"/>
  <c r="C423" i="1"/>
  <c r="D423" i="1" s="1"/>
  <c r="C1638" i="1" l="1"/>
  <c r="D1638" i="1" s="1"/>
  <c r="B1639" i="1"/>
  <c r="C1160" i="1"/>
  <c r="D1160" i="1" s="1"/>
  <c r="B1161" i="1"/>
  <c r="J232" i="1"/>
  <c r="G232" i="1" s="1"/>
  <c r="H232" i="1"/>
  <c r="F232" i="1"/>
  <c r="C424" i="1"/>
  <c r="D424" i="1" s="1"/>
  <c r="B425" i="1"/>
  <c r="I232" i="1" l="1"/>
  <c r="E233" i="1" s="1"/>
  <c r="C1639" i="1"/>
  <c r="D1639" i="1" s="1"/>
  <c r="B1640" i="1"/>
  <c r="B1162" i="1"/>
  <c r="C1161" i="1"/>
  <c r="D1161" i="1" s="1"/>
  <c r="J233" i="1"/>
  <c r="G233" i="1" s="1"/>
  <c r="F233" i="1"/>
  <c r="H233" i="1"/>
  <c r="I233" i="1" s="1"/>
  <c r="E234" i="1" s="1"/>
  <c r="C425" i="1"/>
  <c r="D425" i="1" s="1"/>
  <c r="B426" i="1"/>
  <c r="C1640" i="1" l="1"/>
  <c r="D1640" i="1" s="1"/>
  <c r="B1641" i="1"/>
  <c r="C1162" i="1"/>
  <c r="D1162" i="1" s="1"/>
  <c r="B1163" i="1"/>
  <c r="F234" i="1"/>
  <c r="H234" i="1"/>
  <c r="J234" i="1"/>
  <c r="G234" i="1" s="1"/>
  <c r="C426" i="1"/>
  <c r="D426" i="1" s="1"/>
  <c r="B427" i="1"/>
  <c r="C1641" i="1" l="1"/>
  <c r="D1641" i="1" s="1"/>
  <c r="B1642" i="1"/>
  <c r="C1163" i="1"/>
  <c r="D1163" i="1" s="1"/>
  <c r="B1164" i="1"/>
  <c r="I234" i="1"/>
  <c r="E235" i="1" s="1"/>
  <c r="B428" i="1"/>
  <c r="C427" i="1"/>
  <c r="D427" i="1" s="1"/>
  <c r="C1642" i="1" l="1"/>
  <c r="D1642" i="1" s="1"/>
  <c r="B1643" i="1"/>
  <c r="B1165" i="1"/>
  <c r="C1164" i="1"/>
  <c r="D1164" i="1" s="1"/>
  <c r="F235" i="1"/>
  <c r="H235" i="1"/>
  <c r="J235" i="1"/>
  <c r="G235" i="1" s="1"/>
  <c r="C428" i="1"/>
  <c r="D428" i="1" s="1"/>
  <c r="B429" i="1"/>
  <c r="C1643" i="1" l="1"/>
  <c r="D1643" i="1" s="1"/>
  <c r="B1644" i="1"/>
  <c r="B1166" i="1"/>
  <c r="C1165" i="1"/>
  <c r="D1165" i="1" s="1"/>
  <c r="I235" i="1"/>
  <c r="E236" i="1" s="1"/>
  <c r="C429" i="1"/>
  <c r="D429" i="1" s="1"/>
  <c r="B430" i="1"/>
  <c r="C1644" i="1" l="1"/>
  <c r="D1644" i="1" s="1"/>
  <c r="B1645" i="1"/>
  <c r="C1166" i="1"/>
  <c r="D1166" i="1" s="1"/>
  <c r="B1167" i="1"/>
  <c r="J236" i="1"/>
  <c r="G236" i="1" s="1"/>
  <c r="H236" i="1"/>
  <c r="F236" i="1"/>
  <c r="C430" i="1"/>
  <c r="D430" i="1" s="1"/>
  <c r="B431" i="1"/>
  <c r="C1645" i="1" l="1"/>
  <c r="D1645" i="1" s="1"/>
  <c r="B1646" i="1"/>
  <c r="B1168" i="1"/>
  <c r="C1167" i="1"/>
  <c r="D1167" i="1" s="1"/>
  <c r="I236" i="1"/>
  <c r="E237" i="1" s="1"/>
  <c r="C431" i="1"/>
  <c r="D431" i="1" s="1"/>
  <c r="B432" i="1"/>
  <c r="C1646" i="1" l="1"/>
  <c r="D1646" i="1" s="1"/>
  <c r="B1647" i="1"/>
  <c r="B1169" i="1"/>
  <c r="C1168" i="1"/>
  <c r="D1168" i="1" s="1"/>
  <c r="F237" i="1"/>
  <c r="H237" i="1"/>
  <c r="J237" i="1"/>
  <c r="G237" i="1" s="1"/>
  <c r="B433" i="1"/>
  <c r="C432" i="1"/>
  <c r="D432" i="1" s="1"/>
  <c r="C1647" i="1" l="1"/>
  <c r="D1647" i="1" s="1"/>
  <c r="B1648" i="1"/>
  <c r="B1170" i="1"/>
  <c r="C1169" i="1"/>
  <c r="D1169" i="1" s="1"/>
  <c r="I237" i="1"/>
  <c r="E238" i="1" s="1"/>
  <c r="B434" i="1"/>
  <c r="C433" i="1"/>
  <c r="D433" i="1" s="1"/>
  <c r="C1648" i="1" l="1"/>
  <c r="D1648" i="1" s="1"/>
  <c r="B1649" i="1"/>
  <c r="C1170" i="1"/>
  <c r="D1170" i="1" s="1"/>
  <c r="B1171" i="1"/>
  <c r="H238" i="1"/>
  <c r="J238" i="1"/>
  <c r="G238" i="1" s="1"/>
  <c r="F238" i="1"/>
  <c r="C434" i="1"/>
  <c r="D434" i="1" s="1"/>
  <c r="B435" i="1"/>
  <c r="C1649" i="1" l="1"/>
  <c r="D1649" i="1" s="1"/>
  <c r="B1650" i="1"/>
  <c r="B1172" i="1"/>
  <c r="C1171" i="1"/>
  <c r="D1171" i="1" s="1"/>
  <c r="I238" i="1"/>
  <c r="E239" i="1" s="1"/>
  <c r="C435" i="1"/>
  <c r="D435" i="1" s="1"/>
  <c r="B436" i="1"/>
  <c r="C1650" i="1" l="1"/>
  <c r="D1650" i="1" s="1"/>
  <c r="B1651" i="1"/>
  <c r="C1172" i="1"/>
  <c r="D1172" i="1" s="1"/>
  <c r="B1173" i="1"/>
  <c r="J239" i="1"/>
  <c r="G239" i="1" s="1"/>
  <c r="H239" i="1"/>
  <c r="I239" i="1" s="1"/>
  <c r="E240" i="1" s="1"/>
  <c r="F239" i="1"/>
  <c r="B437" i="1"/>
  <c r="C436" i="1"/>
  <c r="D436" i="1" s="1"/>
  <c r="C1651" i="1" l="1"/>
  <c r="D1651" i="1" s="1"/>
  <c r="B1652" i="1"/>
  <c r="C1173" i="1"/>
  <c r="D1173" i="1" s="1"/>
  <c r="B1174" i="1"/>
  <c r="H240" i="1"/>
  <c r="J240" i="1"/>
  <c r="F240" i="1"/>
  <c r="C437" i="1"/>
  <c r="D437" i="1" s="1"/>
  <c r="B438" i="1"/>
  <c r="C1652" i="1" l="1"/>
  <c r="D1652" i="1" s="1"/>
  <c r="B1653" i="1"/>
  <c r="C1174" i="1"/>
  <c r="D1174" i="1" s="1"/>
  <c r="B1175" i="1"/>
  <c r="G240" i="1"/>
  <c r="I240" i="1" s="1"/>
  <c r="E241" i="1" s="1"/>
  <c r="B439" i="1"/>
  <c r="C438" i="1"/>
  <c r="D438" i="1" s="1"/>
  <c r="C1653" i="1" l="1"/>
  <c r="D1653" i="1" s="1"/>
  <c r="B1654" i="1"/>
  <c r="B1176" i="1"/>
  <c r="C1175" i="1"/>
  <c r="D1175" i="1" s="1"/>
  <c r="J241" i="1"/>
  <c r="G241" i="1" s="1"/>
  <c r="H241" i="1"/>
  <c r="F241" i="1"/>
  <c r="B440" i="1"/>
  <c r="C439" i="1"/>
  <c r="D439" i="1" s="1"/>
  <c r="C1654" i="1" l="1"/>
  <c r="D1654" i="1" s="1"/>
  <c r="B1655" i="1"/>
  <c r="B1177" i="1"/>
  <c r="C1176" i="1"/>
  <c r="D1176" i="1" s="1"/>
  <c r="I241" i="1"/>
  <c r="E242" i="1" s="1"/>
  <c r="C440" i="1"/>
  <c r="D440" i="1" s="1"/>
  <c r="B441" i="1"/>
  <c r="C1655" i="1" l="1"/>
  <c r="D1655" i="1" s="1"/>
  <c r="B1656" i="1"/>
  <c r="B1178" i="1"/>
  <c r="C1177" i="1"/>
  <c r="D1177" i="1" s="1"/>
  <c r="J242" i="1"/>
  <c r="G242" i="1" s="1"/>
  <c r="H242" i="1"/>
  <c r="F242" i="1"/>
  <c r="C441" i="1"/>
  <c r="D441" i="1" s="1"/>
  <c r="B442" i="1"/>
  <c r="I242" i="1" l="1"/>
  <c r="E243" i="1" s="1"/>
  <c r="C1656" i="1"/>
  <c r="D1656" i="1" s="1"/>
  <c r="B1657" i="1"/>
  <c r="C1178" i="1"/>
  <c r="D1178" i="1" s="1"/>
  <c r="B1179" i="1"/>
  <c r="H243" i="1"/>
  <c r="J243" i="1"/>
  <c r="G243" i="1" s="1"/>
  <c r="F243" i="1"/>
  <c r="C442" i="1"/>
  <c r="D442" i="1" s="1"/>
  <c r="B443" i="1"/>
  <c r="C1657" i="1" l="1"/>
  <c r="D1657" i="1" s="1"/>
  <c r="B1658" i="1"/>
  <c r="C1179" i="1"/>
  <c r="D1179" i="1" s="1"/>
  <c r="B1180" i="1"/>
  <c r="I243" i="1"/>
  <c r="E244" i="1" s="1"/>
  <c r="C443" i="1"/>
  <c r="D443" i="1" s="1"/>
  <c r="B444" i="1"/>
  <c r="C1658" i="1" l="1"/>
  <c r="D1658" i="1" s="1"/>
  <c r="B1659" i="1"/>
  <c r="B1181" i="1"/>
  <c r="C1180" i="1"/>
  <c r="D1180" i="1" s="1"/>
  <c r="H244" i="1"/>
  <c r="F244" i="1"/>
  <c r="J244" i="1"/>
  <c r="G244" i="1" s="1"/>
  <c r="C444" i="1"/>
  <c r="D444" i="1" s="1"/>
  <c r="B445" i="1"/>
  <c r="C1659" i="1" l="1"/>
  <c r="D1659" i="1" s="1"/>
  <c r="B1660" i="1"/>
  <c r="B1182" i="1"/>
  <c r="C1181" i="1"/>
  <c r="D1181" i="1" s="1"/>
  <c r="I244" i="1"/>
  <c r="E245" i="1" s="1"/>
  <c r="C445" i="1"/>
  <c r="D445" i="1" s="1"/>
  <c r="B446" i="1"/>
  <c r="C1660" i="1" l="1"/>
  <c r="D1660" i="1" s="1"/>
  <c r="B1661" i="1"/>
  <c r="C1182" i="1"/>
  <c r="D1182" i="1" s="1"/>
  <c r="B1183" i="1"/>
  <c r="H245" i="1"/>
  <c r="F245" i="1"/>
  <c r="J245" i="1"/>
  <c r="G245" i="1" s="1"/>
  <c r="C446" i="1"/>
  <c r="D446" i="1" s="1"/>
  <c r="B447" i="1"/>
  <c r="C1661" i="1" l="1"/>
  <c r="D1661" i="1" s="1"/>
  <c r="B1662" i="1"/>
  <c r="B1184" i="1"/>
  <c r="C1183" i="1"/>
  <c r="D1183" i="1" s="1"/>
  <c r="I245" i="1"/>
  <c r="E246" i="1" s="1"/>
  <c r="C447" i="1"/>
  <c r="D447" i="1" s="1"/>
  <c r="B448" i="1"/>
  <c r="C1662" i="1" l="1"/>
  <c r="D1662" i="1" s="1"/>
  <c r="B1663" i="1"/>
  <c r="C1184" i="1"/>
  <c r="D1184" i="1" s="1"/>
  <c r="B1185" i="1"/>
  <c r="H246" i="1"/>
  <c r="F246" i="1"/>
  <c r="J246" i="1"/>
  <c r="B449" i="1"/>
  <c r="C448" i="1"/>
  <c r="D448" i="1" s="1"/>
  <c r="C1663" i="1" l="1"/>
  <c r="D1663" i="1" s="1"/>
  <c r="B1664" i="1"/>
  <c r="C1185" i="1"/>
  <c r="D1185" i="1" s="1"/>
  <c r="B1186" i="1"/>
  <c r="G246" i="1"/>
  <c r="I246" i="1" s="1"/>
  <c r="E247" i="1" s="1"/>
  <c r="C449" i="1"/>
  <c r="D449" i="1" s="1"/>
  <c r="B450" i="1"/>
  <c r="C1664" i="1" l="1"/>
  <c r="D1664" i="1" s="1"/>
  <c r="B1665" i="1"/>
  <c r="B1187" i="1"/>
  <c r="C1186" i="1"/>
  <c r="D1186" i="1" s="1"/>
  <c r="J247" i="1"/>
  <c r="G247" i="1" s="1"/>
  <c r="F247" i="1"/>
  <c r="H247" i="1"/>
  <c r="C450" i="1"/>
  <c r="D450" i="1" s="1"/>
  <c r="B451" i="1"/>
  <c r="I247" i="1" l="1"/>
  <c r="E248" i="1" s="1"/>
  <c r="F248" i="1" s="1"/>
  <c r="C1665" i="1"/>
  <c r="D1665" i="1" s="1"/>
  <c r="B1666" i="1"/>
  <c r="C1187" i="1"/>
  <c r="D1187" i="1" s="1"/>
  <c r="B1188" i="1"/>
  <c r="J248" i="1"/>
  <c r="G248" i="1" s="1"/>
  <c r="C451" i="1"/>
  <c r="D451" i="1" s="1"/>
  <c r="B452" i="1"/>
  <c r="H248" i="1" l="1"/>
  <c r="C1666" i="1"/>
  <c r="D1666" i="1" s="1"/>
  <c r="B1667" i="1"/>
  <c r="C1188" i="1"/>
  <c r="D1188" i="1" s="1"/>
  <c r="B1189" i="1"/>
  <c r="I248" i="1"/>
  <c r="E249" i="1" s="1"/>
  <c r="C452" i="1"/>
  <c r="D452" i="1" s="1"/>
  <c r="B453" i="1"/>
  <c r="C1667" i="1" l="1"/>
  <c r="D1667" i="1" s="1"/>
  <c r="B1668" i="1"/>
  <c r="C1189" i="1"/>
  <c r="D1189" i="1" s="1"/>
  <c r="B1190" i="1"/>
  <c r="H249" i="1"/>
  <c r="F249" i="1"/>
  <c r="J249" i="1"/>
  <c r="C453" i="1"/>
  <c r="D453" i="1" s="1"/>
  <c r="B454" i="1"/>
  <c r="C1668" i="1" l="1"/>
  <c r="D1668" i="1" s="1"/>
  <c r="B1669" i="1"/>
  <c r="C1190" i="1"/>
  <c r="D1190" i="1" s="1"/>
  <c r="B1191" i="1"/>
  <c r="G249" i="1"/>
  <c r="I249" i="1" s="1"/>
  <c r="E250" i="1" s="1"/>
  <c r="B455" i="1"/>
  <c r="C454" i="1"/>
  <c r="D454" i="1" s="1"/>
  <c r="C1669" i="1" l="1"/>
  <c r="D1669" i="1" s="1"/>
  <c r="B1670" i="1"/>
  <c r="C1191" i="1"/>
  <c r="D1191" i="1" s="1"/>
  <c r="B1192" i="1"/>
  <c r="F250" i="1"/>
  <c r="H250" i="1"/>
  <c r="J250" i="1"/>
  <c r="G250" i="1" s="1"/>
  <c r="B456" i="1"/>
  <c r="C455" i="1"/>
  <c r="D455" i="1" s="1"/>
  <c r="C1670" i="1" l="1"/>
  <c r="D1670" i="1" s="1"/>
  <c r="B1671" i="1"/>
  <c r="C1192" i="1"/>
  <c r="D1192" i="1" s="1"/>
  <c r="B1193" i="1"/>
  <c r="I250" i="1"/>
  <c r="E251" i="1" s="1"/>
  <c r="B457" i="1"/>
  <c r="C456" i="1"/>
  <c r="D456" i="1" s="1"/>
  <c r="C1671" i="1" l="1"/>
  <c r="D1671" i="1" s="1"/>
  <c r="B1672" i="1"/>
  <c r="C1193" i="1"/>
  <c r="D1193" i="1" s="1"/>
  <c r="B1194" i="1"/>
  <c r="H251" i="1"/>
  <c r="F251" i="1"/>
  <c r="J251" i="1"/>
  <c r="G251" i="1" s="1"/>
  <c r="B458" i="1"/>
  <c r="C457" i="1"/>
  <c r="D457" i="1" s="1"/>
  <c r="C1672" i="1" l="1"/>
  <c r="D1672" i="1" s="1"/>
  <c r="B1673" i="1"/>
  <c r="B1195" i="1"/>
  <c r="C1194" i="1"/>
  <c r="D1194" i="1" s="1"/>
  <c r="I251" i="1"/>
  <c r="E252" i="1" s="1"/>
  <c r="C458" i="1"/>
  <c r="D458" i="1" s="1"/>
  <c r="B459" i="1"/>
  <c r="C1673" i="1" l="1"/>
  <c r="D1673" i="1" s="1"/>
  <c r="B1674" i="1"/>
  <c r="C1195" i="1"/>
  <c r="D1195" i="1" s="1"/>
  <c r="B1196" i="1"/>
  <c r="F252" i="1"/>
  <c r="H252" i="1"/>
  <c r="J252" i="1"/>
  <c r="G252" i="1" s="1"/>
  <c r="B460" i="1"/>
  <c r="C459" i="1"/>
  <c r="D459" i="1" s="1"/>
  <c r="C1674" i="1" l="1"/>
  <c r="D1674" i="1" s="1"/>
  <c r="B1675" i="1"/>
  <c r="C1196" i="1"/>
  <c r="D1196" i="1" s="1"/>
  <c r="B1197" i="1"/>
  <c r="I252" i="1"/>
  <c r="E253" i="1" s="1"/>
  <c r="C460" i="1"/>
  <c r="D460" i="1" s="1"/>
  <c r="B461" i="1"/>
  <c r="C1675" i="1" l="1"/>
  <c r="D1675" i="1" s="1"/>
  <c r="B1676" i="1"/>
  <c r="C1197" i="1"/>
  <c r="D1197" i="1" s="1"/>
  <c r="B1198" i="1"/>
  <c r="F253" i="1"/>
  <c r="H253" i="1"/>
  <c r="J253" i="1"/>
  <c r="G253" i="1" s="1"/>
  <c r="B462" i="1"/>
  <c r="C461" i="1"/>
  <c r="D461" i="1" s="1"/>
  <c r="C1676" i="1" l="1"/>
  <c r="D1676" i="1" s="1"/>
  <c r="B1677" i="1"/>
  <c r="B1199" i="1"/>
  <c r="C1198" i="1"/>
  <c r="D1198" i="1" s="1"/>
  <c r="I253" i="1"/>
  <c r="E254" i="1" s="1"/>
  <c r="C462" i="1"/>
  <c r="D462" i="1" s="1"/>
  <c r="B463" i="1"/>
  <c r="C1677" i="1" l="1"/>
  <c r="D1677" i="1" s="1"/>
  <c r="B1678" i="1"/>
  <c r="C1199" i="1"/>
  <c r="D1199" i="1" s="1"/>
  <c r="B1200" i="1"/>
  <c r="F254" i="1"/>
  <c r="H254" i="1"/>
  <c r="J254" i="1"/>
  <c r="G254" i="1" s="1"/>
  <c r="C463" i="1"/>
  <c r="D463" i="1" s="1"/>
  <c r="B464" i="1"/>
  <c r="C1678" i="1" l="1"/>
  <c r="D1678" i="1" s="1"/>
  <c r="B1679" i="1"/>
  <c r="C1200" i="1"/>
  <c r="D1200" i="1" s="1"/>
  <c r="B1201" i="1"/>
  <c r="I254" i="1"/>
  <c r="E255" i="1" s="1"/>
  <c r="C464" i="1"/>
  <c r="D464" i="1" s="1"/>
  <c r="B465" i="1"/>
  <c r="C1679" i="1" l="1"/>
  <c r="D1679" i="1" s="1"/>
  <c r="B1680" i="1"/>
  <c r="C1201" i="1"/>
  <c r="D1201" i="1" s="1"/>
  <c r="B1202" i="1"/>
  <c r="J255" i="1"/>
  <c r="G255" i="1" s="1"/>
  <c r="F255" i="1"/>
  <c r="H255" i="1"/>
  <c r="B466" i="1"/>
  <c r="C465" i="1"/>
  <c r="D465" i="1" s="1"/>
  <c r="I255" i="1" l="1"/>
  <c r="E256" i="1" s="1"/>
  <c r="C1680" i="1"/>
  <c r="D1680" i="1" s="1"/>
  <c r="B1681" i="1"/>
  <c r="C1202" i="1"/>
  <c r="D1202" i="1" s="1"/>
  <c r="B1203" i="1"/>
  <c r="F256" i="1"/>
  <c r="H256" i="1"/>
  <c r="J256" i="1"/>
  <c r="G256" i="1" s="1"/>
  <c r="C466" i="1"/>
  <c r="D466" i="1" s="1"/>
  <c r="B467" i="1"/>
  <c r="C1681" i="1" l="1"/>
  <c r="D1681" i="1" s="1"/>
  <c r="B1682" i="1"/>
  <c r="C1203" i="1"/>
  <c r="D1203" i="1" s="1"/>
  <c r="B1204" i="1"/>
  <c r="I256" i="1"/>
  <c r="E257" i="1" s="1"/>
  <c r="C467" i="1"/>
  <c r="D467" i="1" s="1"/>
  <c r="B468" i="1"/>
  <c r="C1682" i="1" l="1"/>
  <c r="D1682" i="1" s="1"/>
  <c r="B1683" i="1"/>
  <c r="C1204" i="1"/>
  <c r="D1204" i="1" s="1"/>
  <c r="B1205" i="1"/>
  <c r="H257" i="1"/>
  <c r="J257" i="1"/>
  <c r="G257" i="1" s="1"/>
  <c r="F257" i="1"/>
  <c r="C468" i="1"/>
  <c r="D468" i="1" s="1"/>
  <c r="B469" i="1"/>
  <c r="C1683" i="1" l="1"/>
  <c r="D1683" i="1" s="1"/>
  <c r="B1684" i="1"/>
  <c r="C1205" i="1"/>
  <c r="D1205" i="1" s="1"/>
  <c r="B1206" i="1"/>
  <c r="I257" i="1"/>
  <c r="E258" i="1" s="1"/>
  <c r="C469" i="1"/>
  <c r="D469" i="1" s="1"/>
  <c r="B470" i="1"/>
  <c r="C1684" i="1" l="1"/>
  <c r="D1684" i="1" s="1"/>
  <c r="B1685" i="1"/>
  <c r="C1206" i="1"/>
  <c r="D1206" i="1" s="1"/>
  <c r="B1207" i="1"/>
  <c r="J258" i="1"/>
  <c r="G258" i="1" s="1"/>
  <c r="H258" i="1"/>
  <c r="F258" i="1"/>
  <c r="C470" i="1"/>
  <c r="D470" i="1" s="1"/>
  <c r="B471" i="1"/>
  <c r="I258" i="1" l="1"/>
  <c r="E259" i="1" s="1"/>
  <c r="C1685" i="1"/>
  <c r="D1685" i="1" s="1"/>
  <c r="B1686" i="1"/>
  <c r="C1207" i="1"/>
  <c r="D1207" i="1" s="1"/>
  <c r="B1208" i="1"/>
  <c r="J259" i="1"/>
  <c r="G259" i="1" s="1"/>
  <c r="H259" i="1"/>
  <c r="F259" i="1"/>
  <c r="B472" i="1"/>
  <c r="C471" i="1"/>
  <c r="D471" i="1" s="1"/>
  <c r="I259" i="1" l="1"/>
  <c r="E260" i="1" s="1"/>
  <c r="B1687" i="1"/>
  <c r="C1686" i="1"/>
  <c r="D1686" i="1" s="1"/>
  <c r="B1209" i="1"/>
  <c r="C1208" i="1"/>
  <c r="D1208" i="1" s="1"/>
  <c r="J260" i="1"/>
  <c r="G260" i="1" s="1"/>
  <c r="F260" i="1"/>
  <c r="H260" i="1"/>
  <c r="B473" i="1"/>
  <c r="C472" i="1"/>
  <c r="D472" i="1" s="1"/>
  <c r="I260" i="1" l="1"/>
  <c r="E261" i="1" s="1"/>
  <c r="C1687" i="1"/>
  <c r="D1687" i="1" s="1"/>
  <c r="B1688" i="1"/>
  <c r="C1209" i="1"/>
  <c r="D1209" i="1" s="1"/>
  <c r="B1210" i="1"/>
  <c r="F261" i="1"/>
  <c r="J261" i="1"/>
  <c r="G261" i="1" s="1"/>
  <c r="H261" i="1"/>
  <c r="B474" i="1"/>
  <c r="C473" i="1"/>
  <c r="D473" i="1" s="1"/>
  <c r="C1688" i="1" l="1"/>
  <c r="D1688" i="1" s="1"/>
  <c r="B1689" i="1"/>
  <c r="C1210" i="1"/>
  <c r="D1210" i="1" s="1"/>
  <c r="B1211" i="1"/>
  <c r="I261" i="1"/>
  <c r="E262" i="1" s="1"/>
  <c r="C474" i="1"/>
  <c r="D474" i="1" s="1"/>
  <c r="B475" i="1"/>
  <c r="C1689" i="1" l="1"/>
  <c r="D1689" i="1" s="1"/>
  <c r="B1690" i="1"/>
  <c r="C1211" i="1"/>
  <c r="D1211" i="1" s="1"/>
  <c r="B1212" i="1"/>
  <c r="H262" i="1"/>
  <c r="F262" i="1"/>
  <c r="J262" i="1"/>
  <c r="B476" i="1"/>
  <c r="C475" i="1"/>
  <c r="D475" i="1" s="1"/>
  <c r="C1690" i="1" l="1"/>
  <c r="D1690" i="1" s="1"/>
  <c r="B1691" i="1"/>
  <c r="C1212" i="1"/>
  <c r="D1212" i="1" s="1"/>
  <c r="B1213" i="1"/>
  <c r="G262" i="1"/>
  <c r="I262" i="1" s="1"/>
  <c r="E263" i="1" s="1"/>
  <c r="C476" i="1"/>
  <c r="D476" i="1" s="1"/>
  <c r="B477" i="1"/>
  <c r="C1691" i="1" l="1"/>
  <c r="D1691" i="1" s="1"/>
  <c r="B1692" i="1"/>
  <c r="C1213" i="1"/>
  <c r="D1213" i="1" s="1"/>
  <c r="B1214" i="1"/>
  <c r="J263" i="1"/>
  <c r="G263" i="1" s="1"/>
  <c r="H263" i="1"/>
  <c r="F263" i="1"/>
  <c r="B478" i="1"/>
  <c r="C477" i="1"/>
  <c r="D477" i="1" s="1"/>
  <c r="I263" i="1" l="1"/>
  <c r="E264" i="1" s="1"/>
  <c r="H264" i="1" s="1"/>
  <c r="C1692" i="1"/>
  <c r="D1692" i="1" s="1"/>
  <c r="B1693" i="1"/>
  <c r="B1215" i="1"/>
  <c r="C1214" i="1"/>
  <c r="D1214" i="1" s="1"/>
  <c r="B479" i="1"/>
  <c r="C478" i="1"/>
  <c r="D478" i="1" s="1"/>
  <c r="J264" i="1" l="1"/>
  <c r="G264" i="1" s="1"/>
  <c r="I264" i="1" s="1"/>
  <c r="E265" i="1" s="1"/>
  <c r="F264" i="1"/>
  <c r="B1694" i="1"/>
  <c r="C1693" i="1"/>
  <c r="D1693" i="1" s="1"/>
  <c r="C1215" i="1"/>
  <c r="D1215" i="1" s="1"/>
  <c r="B1216" i="1"/>
  <c r="C479" i="1"/>
  <c r="D479" i="1" s="1"/>
  <c r="B480" i="1"/>
  <c r="B1695" i="1" l="1"/>
  <c r="C1694" i="1"/>
  <c r="D1694" i="1" s="1"/>
  <c r="C1216" i="1"/>
  <c r="D1216" i="1" s="1"/>
  <c r="B1217" i="1"/>
  <c r="H265" i="1"/>
  <c r="F265" i="1"/>
  <c r="J265" i="1"/>
  <c r="G265" i="1" s="1"/>
  <c r="C480" i="1"/>
  <c r="D480" i="1" s="1"/>
  <c r="B481" i="1"/>
  <c r="C1695" i="1" l="1"/>
  <c r="D1695" i="1" s="1"/>
  <c r="B1696" i="1"/>
  <c r="C1217" i="1"/>
  <c r="D1217" i="1" s="1"/>
  <c r="B1218" i="1"/>
  <c r="I265" i="1"/>
  <c r="E266" i="1" s="1"/>
  <c r="C481" i="1"/>
  <c r="D481" i="1" s="1"/>
  <c r="B482" i="1"/>
  <c r="C1696" i="1" l="1"/>
  <c r="D1696" i="1" s="1"/>
  <c r="B1697" i="1"/>
  <c r="B1219" i="1"/>
  <c r="C1218" i="1"/>
  <c r="D1218" i="1" s="1"/>
  <c r="F266" i="1"/>
  <c r="H266" i="1"/>
  <c r="J266" i="1"/>
  <c r="G266" i="1" s="1"/>
  <c r="C482" i="1"/>
  <c r="D482" i="1" s="1"/>
  <c r="B483" i="1"/>
  <c r="B1698" i="1" l="1"/>
  <c r="C1697" i="1"/>
  <c r="D1697" i="1" s="1"/>
  <c r="C1219" i="1"/>
  <c r="D1219" i="1" s="1"/>
  <c r="B1220" i="1"/>
  <c r="I266" i="1"/>
  <c r="E267" i="1" s="1"/>
  <c r="B484" i="1"/>
  <c r="C483" i="1"/>
  <c r="D483" i="1" s="1"/>
  <c r="B1699" i="1" l="1"/>
  <c r="C1698" i="1"/>
  <c r="D1698" i="1" s="1"/>
  <c r="C1220" i="1"/>
  <c r="D1220" i="1" s="1"/>
  <c r="B1221" i="1"/>
  <c r="J267" i="1"/>
  <c r="G267" i="1" s="1"/>
  <c r="H267" i="1"/>
  <c r="F267" i="1"/>
  <c r="C484" i="1"/>
  <c r="D484" i="1" s="1"/>
  <c r="B485" i="1"/>
  <c r="B1700" i="1" l="1"/>
  <c r="C1699" i="1"/>
  <c r="D1699" i="1" s="1"/>
  <c r="C1221" i="1"/>
  <c r="D1221" i="1" s="1"/>
  <c r="B1222" i="1"/>
  <c r="I267" i="1"/>
  <c r="E268" i="1" s="1"/>
  <c r="C485" i="1"/>
  <c r="D485" i="1" s="1"/>
  <c r="B486" i="1"/>
  <c r="C1700" i="1" l="1"/>
  <c r="D1700" i="1" s="1"/>
  <c r="B1701" i="1"/>
  <c r="C1222" i="1"/>
  <c r="D1222" i="1" s="1"/>
  <c r="B1223" i="1"/>
  <c r="H268" i="1"/>
  <c r="J268" i="1"/>
  <c r="G268" i="1" s="1"/>
  <c r="F268" i="1"/>
  <c r="B487" i="1"/>
  <c r="C486" i="1"/>
  <c r="D486" i="1" s="1"/>
  <c r="C1701" i="1" l="1"/>
  <c r="D1701" i="1" s="1"/>
  <c r="B1702" i="1"/>
  <c r="C1223" i="1"/>
  <c r="D1223" i="1" s="1"/>
  <c r="B1224" i="1"/>
  <c r="I268" i="1"/>
  <c r="E269" i="1" s="1"/>
  <c r="B488" i="1"/>
  <c r="C487" i="1"/>
  <c r="D487" i="1" s="1"/>
  <c r="B1703" i="1" l="1"/>
  <c r="C1702" i="1"/>
  <c r="D1702" i="1" s="1"/>
  <c r="B1225" i="1"/>
  <c r="C1224" i="1"/>
  <c r="D1224" i="1" s="1"/>
  <c r="J269" i="1"/>
  <c r="G269" i="1" s="1"/>
  <c r="F269" i="1"/>
  <c r="H269" i="1"/>
  <c r="C488" i="1"/>
  <c r="D488" i="1" s="1"/>
  <c r="B489" i="1"/>
  <c r="I269" i="1" l="1"/>
  <c r="E270" i="1" s="1"/>
  <c r="B1704" i="1"/>
  <c r="C1703" i="1"/>
  <c r="D1703" i="1" s="1"/>
  <c r="C1225" i="1"/>
  <c r="D1225" i="1" s="1"/>
  <c r="B1226" i="1"/>
  <c r="H270" i="1"/>
  <c r="F270" i="1"/>
  <c r="J270" i="1"/>
  <c r="G270" i="1" s="1"/>
  <c r="B490" i="1"/>
  <c r="C489" i="1"/>
  <c r="D489" i="1" s="1"/>
  <c r="C1704" i="1" l="1"/>
  <c r="D1704" i="1" s="1"/>
  <c r="B1705" i="1"/>
  <c r="B1227" i="1"/>
  <c r="C1226" i="1"/>
  <c r="D1226" i="1" s="1"/>
  <c r="I270" i="1"/>
  <c r="E271" i="1" s="1"/>
  <c r="C490" i="1"/>
  <c r="D490" i="1" s="1"/>
  <c r="B491" i="1"/>
  <c r="B1706" i="1" l="1"/>
  <c r="C1705" i="1"/>
  <c r="D1705" i="1" s="1"/>
  <c r="C1227" i="1"/>
  <c r="D1227" i="1" s="1"/>
  <c r="B1228" i="1"/>
  <c r="F271" i="1"/>
  <c r="H271" i="1"/>
  <c r="J271" i="1"/>
  <c r="G271" i="1" s="1"/>
  <c r="B492" i="1"/>
  <c r="C491" i="1"/>
  <c r="D491" i="1" s="1"/>
  <c r="B1707" i="1" l="1"/>
  <c r="C1706" i="1"/>
  <c r="D1706" i="1" s="1"/>
  <c r="C1228" i="1"/>
  <c r="D1228" i="1" s="1"/>
  <c r="B1229" i="1"/>
  <c r="I271" i="1"/>
  <c r="E272" i="1" s="1"/>
  <c r="B493" i="1"/>
  <c r="C492" i="1"/>
  <c r="D492" i="1" s="1"/>
  <c r="C1707" i="1" l="1"/>
  <c r="D1707" i="1" s="1"/>
  <c r="B1708" i="1"/>
  <c r="C1229" i="1"/>
  <c r="D1229" i="1" s="1"/>
  <c r="B1230" i="1"/>
  <c r="H272" i="1"/>
  <c r="F272" i="1"/>
  <c r="J272" i="1"/>
  <c r="G272" i="1" s="1"/>
  <c r="C493" i="1"/>
  <c r="D493" i="1" s="1"/>
  <c r="B494" i="1"/>
  <c r="C1708" i="1" l="1"/>
  <c r="D1708" i="1" s="1"/>
  <c r="B1709" i="1"/>
  <c r="C1230" i="1"/>
  <c r="D1230" i="1" s="1"/>
  <c r="B1231" i="1"/>
  <c r="I272" i="1"/>
  <c r="E273" i="1" s="1"/>
  <c r="B495" i="1"/>
  <c r="C494" i="1"/>
  <c r="D494" i="1" s="1"/>
  <c r="C1709" i="1" l="1"/>
  <c r="D1709" i="1" s="1"/>
  <c r="B1710" i="1"/>
  <c r="C1231" i="1"/>
  <c r="D1231" i="1" s="1"/>
  <c r="B1232" i="1"/>
  <c r="C1232" i="1" s="1"/>
  <c r="D1232" i="1" s="1"/>
  <c r="H273" i="1"/>
  <c r="J273" i="1"/>
  <c r="G273" i="1" s="1"/>
  <c r="F273" i="1"/>
  <c r="B496" i="1"/>
  <c r="C495" i="1"/>
  <c r="D495" i="1" s="1"/>
  <c r="B1711" i="1" l="1"/>
  <c r="C1710" i="1"/>
  <c r="D1710" i="1" s="1"/>
  <c r="I273" i="1"/>
  <c r="E274" i="1" s="1"/>
  <c r="B497" i="1"/>
  <c r="C496" i="1"/>
  <c r="D496" i="1" s="1"/>
  <c r="C1711" i="1" l="1"/>
  <c r="D1711" i="1" s="1"/>
  <c r="B1712" i="1"/>
  <c r="J274" i="1"/>
  <c r="G274" i="1" s="1"/>
  <c r="F274" i="1"/>
  <c r="H274" i="1"/>
  <c r="B498" i="1"/>
  <c r="C497" i="1"/>
  <c r="D497" i="1" s="1"/>
  <c r="I274" i="1" l="1"/>
  <c r="E275" i="1" s="1"/>
  <c r="C1712" i="1"/>
  <c r="D1712" i="1" s="1"/>
  <c r="B1713" i="1"/>
  <c r="J275" i="1"/>
  <c r="G275" i="1" s="1"/>
  <c r="F275" i="1"/>
  <c r="H275" i="1"/>
  <c r="C498" i="1"/>
  <c r="D498" i="1" s="1"/>
  <c r="B499" i="1"/>
  <c r="C1713" i="1" l="1"/>
  <c r="D1713" i="1" s="1"/>
  <c r="B1714" i="1"/>
  <c r="I275" i="1"/>
  <c r="E276" i="1" s="1"/>
  <c r="C499" i="1"/>
  <c r="D499" i="1" s="1"/>
  <c r="B500" i="1"/>
  <c r="C1714" i="1" l="1"/>
  <c r="D1714" i="1" s="1"/>
  <c r="B1715" i="1"/>
  <c r="H276" i="1"/>
  <c r="J276" i="1"/>
  <c r="G276" i="1" s="1"/>
  <c r="F276" i="1"/>
  <c r="B501" i="1"/>
  <c r="C500" i="1"/>
  <c r="D500" i="1" s="1"/>
  <c r="C1715" i="1" l="1"/>
  <c r="D1715" i="1" s="1"/>
  <c r="B1716" i="1"/>
  <c r="I276" i="1"/>
  <c r="E277" i="1" s="1"/>
  <c r="B502" i="1"/>
  <c r="C501" i="1"/>
  <c r="D501" i="1" s="1"/>
  <c r="C1716" i="1" l="1"/>
  <c r="D1716" i="1" s="1"/>
  <c r="B1717" i="1"/>
  <c r="H277" i="1"/>
  <c r="J277" i="1"/>
  <c r="G277" i="1" s="1"/>
  <c r="F277" i="1"/>
  <c r="C502" i="1"/>
  <c r="D502" i="1" s="1"/>
  <c r="B503" i="1"/>
  <c r="C1717" i="1" l="1"/>
  <c r="D1717" i="1" s="1"/>
  <c r="B1718" i="1"/>
  <c r="I277" i="1"/>
  <c r="E278" i="1" s="1"/>
  <c r="C503" i="1"/>
  <c r="D503" i="1" s="1"/>
  <c r="B504" i="1"/>
  <c r="C1718" i="1" l="1"/>
  <c r="D1718" i="1" s="1"/>
  <c r="B1719" i="1"/>
  <c r="H278" i="1"/>
  <c r="F278" i="1"/>
  <c r="J278" i="1"/>
  <c r="G278" i="1" s="1"/>
  <c r="B505" i="1"/>
  <c r="C504" i="1"/>
  <c r="D504" i="1" s="1"/>
  <c r="C1719" i="1" l="1"/>
  <c r="D1719" i="1" s="1"/>
  <c r="B1720" i="1"/>
  <c r="I278" i="1"/>
  <c r="E279" i="1" s="1"/>
  <c r="B506" i="1"/>
  <c r="C505" i="1"/>
  <c r="D505" i="1" s="1"/>
  <c r="C1720" i="1" l="1"/>
  <c r="D1720" i="1" s="1"/>
  <c r="B1721" i="1"/>
  <c r="H279" i="1"/>
  <c r="F279" i="1"/>
  <c r="J279" i="1"/>
  <c r="G279" i="1" s="1"/>
  <c r="C506" i="1"/>
  <c r="D506" i="1" s="1"/>
  <c r="B507" i="1"/>
  <c r="C1721" i="1" l="1"/>
  <c r="D1721" i="1" s="1"/>
  <c r="B1722" i="1"/>
  <c r="I279" i="1"/>
  <c r="E280" i="1" s="1"/>
  <c r="B508" i="1"/>
  <c r="C507" i="1"/>
  <c r="D507" i="1" s="1"/>
  <c r="C1722" i="1" l="1"/>
  <c r="D1722" i="1" s="1"/>
  <c r="B1723" i="1"/>
  <c r="F280" i="1"/>
  <c r="H280" i="1"/>
  <c r="J280" i="1"/>
  <c r="G280" i="1" s="1"/>
  <c r="B509" i="1"/>
  <c r="C508" i="1"/>
  <c r="D508" i="1" s="1"/>
  <c r="C1723" i="1" l="1"/>
  <c r="D1723" i="1" s="1"/>
  <c r="B1724" i="1"/>
  <c r="I280" i="1"/>
  <c r="E281" i="1" s="1"/>
  <c r="B510" i="1"/>
  <c r="C509" i="1"/>
  <c r="D509" i="1" s="1"/>
  <c r="C1724" i="1" l="1"/>
  <c r="D1724" i="1" s="1"/>
  <c r="B1725" i="1"/>
  <c r="F281" i="1"/>
  <c r="H281" i="1"/>
  <c r="J281" i="1"/>
  <c r="G281" i="1" s="1"/>
  <c r="C510" i="1"/>
  <c r="D510" i="1" s="1"/>
  <c r="B511" i="1"/>
  <c r="C1725" i="1" l="1"/>
  <c r="D1725" i="1" s="1"/>
  <c r="B1726" i="1"/>
  <c r="I281" i="1"/>
  <c r="E282" i="1" s="1"/>
  <c r="B512" i="1"/>
  <c r="C511" i="1"/>
  <c r="D511" i="1" s="1"/>
  <c r="C1726" i="1" l="1"/>
  <c r="D1726" i="1" s="1"/>
  <c r="B1727" i="1"/>
  <c r="J282" i="1"/>
  <c r="G282" i="1" s="1"/>
  <c r="H282" i="1"/>
  <c r="F282" i="1"/>
  <c r="C512" i="1"/>
  <c r="D512" i="1" s="1"/>
  <c r="B513" i="1"/>
  <c r="C1727" i="1" l="1"/>
  <c r="D1727" i="1" s="1"/>
  <c r="B1728" i="1"/>
  <c r="I282" i="1"/>
  <c r="E283" i="1" s="1"/>
  <c r="C513" i="1"/>
  <c r="D513" i="1" s="1"/>
  <c r="B514" i="1"/>
  <c r="C1728" i="1" l="1"/>
  <c r="D1728" i="1" s="1"/>
  <c r="B1729" i="1"/>
  <c r="H283" i="1"/>
  <c r="J283" i="1"/>
  <c r="G283" i="1" s="1"/>
  <c r="F283" i="1"/>
  <c r="C514" i="1"/>
  <c r="D514" i="1" s="1"/>
  <c r="B515" i="1"/>
  <c r="C1729" i="1" l="1"/>
  <c r="D1729" i="1" s="1"/>
  <c r="B1730" i="1"/>
  <c r="I283" i="1"/>
  <c r="E284" i="1" s="1"/>
  <c r="C515" i="1"/>
  <c r="D515" i="1" s="1"/>
  <c r="B516" i="1"/>
  <c r="C1730" i="1" l="1"/>
  <c r="D1730" i="1" s="1"/>
  <c r="B1731" i="1"/>
  <c r="F284" i="1"/>
  <c r="H284" i="1"/>
  <c r="J284" i="1"/>
  <c r="G284" i="1" s="1"/>
  <c r="C516" i="1"/>
  <c r="D516" i="1" s="1"/>
  <c r="B517" i="1"/>
  <c r="C1731" i="1" l="1"/>
  <c r="D1731" i="1" s="1"/>
  <c r="B1732" i="1"/>
  <c r="I284" i="1"/>
  <c r="E285" i="1" s="1"/>
  <c r="B518" i="1"/>
  <c r="C517" i="1"/>
  <c r="D517" i="1" s="1"/>
  <c r="C1732" i="1" l="1"/>
  <c r="D1732" i="1" s="1"/>
  <c r="B1733" i="1"/>
  <c r="F285" i="1"/>
  <c r="J285" i="1"/>
  <c r="G285" i="1" s="1"/>
  <c r="H285" i="1"/>
  <c r="I285" i="1" s="1"/>
  <c r="E286" i="1" s="1"/>
  <c r="C518" i="1"/>
  <c r="D518" i="1" s="1"/>
  <c r="B519" i="1"/>
  <c r="C1733" i="1" l="1"/>
  <c r="D1733" i="1" s="1"/>
  <c r="B1734" i="1"/>
  <c r="F286" i="1"/>
  <c r="H286" i="1"/>
  <c r="J286" i="1"/>
  <c r="G286" i="1" s="1"/>
  <c r="C519" i="1"/>
  <c r="D519" i="1" s="1"/>
  <c r="B520" i="1"/>
  <c r="C1734" i="1" l="1"/>
  <c r="D1734" i="1" s="1"/>
  <c r="B1735" i="1"/>
  <c r="I286" i="1"/>
  <c r="E287" i="1" s="1"/>
  <c r="B521" i="1"/>
  <c r="C520" i="1"/>
  <c r="D520" i="1" s="1"/>
  <c r="C1735" i="1" l="1"/>
  <c r="D1735" i="1" s="1"/>
  <c r="B1736" i="1"/>
  <c r="F287" i="1"/>
  <c r="H287" i="1"/>
  <c r="J287" i="1"/>
  <c r="G287" i="1" s="1"/>
  <c r="C521" i="1"/>
  <c r="D521" i="1" s="1"/>
  <c r="B522" i="1"/>
  <c r="I287" i="1" l="1"/>
  <c r="E288" i="1" s="1"/>
  <c r="C1736" i="1"/>
  <c r="D1736" i="1" s="1"/>
  <c r="B1737" i="1"/>
  <c r="H288" i="1"/>
  <c r="J288" i="1"/>
  <c r="G288" i="1" s="1"/>
  <c r="F288" i="1"/>
  <c r="B523" i="1"/>
  <c r="C522" i="1"/>
  <c r="D522" i="1" s="1"/>
  <c r="C1737" i="1" l="1"/>
  <c r="D1737" i="1" s="1"/>
  <c r="B1738" i="1"/>
  <c r="I288" i="1"/>
  <c r="E289" i="1" s="1"/>
  <c r="B524" i="1"/>
  <c r="C523" i="1"/>
  <c r="D523" i="1" s="1"/>
  <c r="C1738" i="1" l="1"/>
  <c r="D1738" i="1" s="1"/>
  <c r="B1739" i="1"/>
  <c r="F289" i="1"/>
  <c r="J289" i="1"/>
  <c r="G289" i="1" s="1"/>
  <c r="H289" i="1"/>
  <c r="C524" i="1"/>
  <c r="D524" i="1" s="1"/>
  <c r="B525" i="1"/>
  <c r="I289" i="1" l="1"/>
  <c r="E290" i="1" s="1"/>
  <c r="J290" i="1" s="1"/>
  <c r="G290" i="1" s="1"/>
  <c r="C1739" i="1"/>
  <c r="D1739" i="1" s="1"/>
  <c r="B1740" i="1"/>
  <c r="F290" i="1"/>
  <c r="H290" i="1"/>
  <c r="C525" i="1"/>
  <c r="D525" i="1" s="1"/>
  <c r="B526" i="1"/>
  <c r="C1740" i="1" l="1"/>
  <c r="D1740" i="1" s="1"/>
  <c r="B1741" i="1"/>
  <c r="I290" i="1"/>
  <c r="E291" i="1" s="1"/>
  <c r="C526" i="1"/>
  <c r="D526" i="1" s="1"/>
  <c r="B527" i="1"/>
  <c r="C1741" i="1" l="1"/>
  <c r="D1741" i="1" s="1"/>
  <c r="B1742" i="1"/>
  <c r="J291" i="1"/>
  <c r="G291" i="1" s="1"/>
  <c r="H291" i="1"/>
  <c r="F291" i="1"/>
  <c r="C527" i="1"/>
  <c r="D527" i="1" s="1"/>
  <c r="B528" i="1"/>
  <c r="I291" i="1" l="1"/>
  <c r="E292" i="1" s="1"/>
  <c r="C1742" i="1"/>
  <c r="D1742" i="1" s="1"/>
  <c r="B1743" i="1"/>
  <c r="H292" i="1"/>
  <c r="F292" i="1"/>
  <c r="J292" i="1"/>
  <c r="G292" i="1" s="1"/>
  <c r="B529" i="1"/>
  <c r="C528" i="1"/>
  <c r="D528" i="1" s="1"/>
  <c r="C1743" i="1" l="1"/>
  <c r="D1743" i="1" s="1"/>
  <c r="B1744" i="1"/>
  <c r="I292" i="1"/>
  <c r="E293" i="1" s="1"/>
  <c r="C529" i="1"/>
  <c r="D529" i="1" s="1"/>
  <c r="B530" i="1"/>
  <c r="C1744" i="1" l="1"/>
  <c r="D1744" i="1" s="1"/>
  <c r="B1745" i="1"/>
  <c r="H293" i="1"/>
  <c r="F293" i="1"/>
  <c r="J293" i="1"/>
  <c r="G293" i="1" s="1"/>
  <c r="B531" i="1"/>
  <c r="C530" i="1"/>
  <c r="D530" i="1" s="1"/>
  <c r="C1745" i="1" l="1"/>
  <c r="D1745" i="1" s="1"/>
  <c r="B1746" i="1"/>
  <c r="I293" i="1"/>
  <c r="E294" i="1" s="1"/>
  <c r="C531" i="1"/>
  <c r="D531" i="1" s="1"/>
  <c r="B532" i="1"/>
  <c r="C1746" i="1" l="1"/>
  <c r="D1746" i="1" s="1"/>
  <c r="B1747" i="1"/>
  <c r="F294" i="1"/>
  <c r="J294" i="1"/>
  <c r="G294" i="1" s="1"/>
  <c r="H294" i="1"/>
  <c r="C532" i="1"/>
  <c r="D532" i="1" s="1"/>
  <c r="B533" i="1"/>
  <c r="I294" i="1" l="1"/>
  <c r="E295" i="1" s="1"/>
  <c r="C1747" i="1"/>
  <c r="D1747" i="1" s="1"/>
  <c r="B1748" i="1"/>
  <c r="F295" i="1"/>
  <c r="H295" i="1"/>
  <c r="J295" i="1"/>
  <c r="G295" i="1" s="1"/>
  <c r="C533" i="1"/>
  <c r="D533" i="1" s="1"/>
  <c r="B534" i="1"/>
  <c r="C1748" i="1" l="1"/>
  <c r="D1748" i="1" s="1"/>
  <c r="B1749" i="1"/>
  <c r="I295" i="1"/>
  <c r="E296" i="1" s="1"/>
  <c r="B535" i="1"/>
  <c r="C534" i="1"/>
  <c r="D534" i="1" s="1"/>
  <c r="C1749" i="1" l="1"/>
  <c r="D1749" i="1" s="1"/>
  <c r="B1750" i="1"/>
  <c r="H296" i="1"/>
  <c r="F296" i="1"/>
  <c r="J296" i="1"/>
  <c r="G296" i="1" s="1"/>
  <c r="C535" i="1"/>
  <c r="D535" i="1" s="1"/>
  <c r="B536" i="1"/>
  <c r="C1750" i="1" l="1"/>
  <c r="D1750" i="1" s="1"/>
  <c r="B1751" i="1"/>
  <c r="I296" i="1"/>
  <c r="E297" i="1" s="1"/>
  <c r="C536" i="1"/>
  <c r="D536" i="1" s="1"/>
  <c r="B537" i="1"/>
  <c r="C1751" i="1" l="1"/>
  <c r="D1751" i="1" s="1"/>
  <c r="B1752" i="1"/>
  <c r="F297" i="1"/>
  <c r="J297" i="1"/>
  <c r="G297" i="1" s="1"/>
  <c r="H297" i="1"/>
  <c r="C537" i="1"/>
  <c r="D537" i="1" s="1"/>
  <c r="B538" i="1"/>
  <c r="I297" i="1" l="1"/>
  <c r="E298" i="1" s="1"/>
  <c r="C1752" i="1"/>
  <c r="D1752" i="1" s="1"/>
  <c r="B1753" i="1"/>
  <c r="H298" i="1"/>
  <c r="F298" i="1"/>
  <c r="J298" i="1"/>
  <c r="G298" i="1" s="1"/>
  <c r="B539" i="1"/>
  <c r="C538" i="1"/>
  <c r="D538" i="1" s="1"/>
  <c r="C1753" i="1" l="1"/>
  <c r="D1753" i="1" s="1"/>
  <c r="B1754" i="1"/>
  <c r="I298" i="1"/>
  <c r="E299" i="1" s="1"/>
  <c r="C539" i="1"/>
  <c r="D539" i="1" s="1"/>
  <c r="B540" i="1"/>
  <c r="C1754" i="1" l="1"/>
  <c r="D1754" i="1" s="1"/>
  <c r="B1755" i="1"/>
  <c r="F299" i="1"/>
  <c r="H299" i="1"/>
  <c r="J299" i="1"/>
  <c r="G299" i="1" s="1"/>
  <c r="B541" i="1"/>
  <c r="C540" i="1"/>
  <c r="D540" i="1" s="1"/>
  <c r="C1755" i="1" l="1"/>
  <c r="D1755" i="1" s="1"/>
  <c r="B1756" i="1"/>
  <c r="I299" i="1"/>
  <c r="E300" i="1" s="1"/>
  <c r="C541" i="1"/>
  <c r="D541" i="1" s="1"/>
  <c r="B542" i="1"/>
  <c r="C1756" i="1" l="1"/>
  <c r="D1756" i="1" s="1"/>
  <c r="B1757" i="1"/>
  <c r="J300" i="1"/>
  <c r="G300" i="1" s="1"/>
  <c r="H300" i="1"/>
  <c r="F300" i="1"/>
  <c r="C542" i="1"/>
  <c r="D542" i="1" s="1"/>
  <c r="B543" i="1"/>
  <c r="C1757" i="1" l="1"/>
  <c r="D1757" i="1" s="1"/>
  <c r="B1758" i="1"/>
  <c r="I300" i="1"/>
  <c r="E301" i="1" s="1"/>
  <c r="B544" i="1"/>
  <c r="C543" i="1"/>
  <c r="D543" i="1" s="1"/>
  <c r="C1758" i="1" l="1"/>
  <c r="D1758" i="1" s="1"/>
  <c r="B1759" i="1"/>
  <c r="H301" i="1"/>
  <c r="F301" i="1"/>
  <c r="J301" i="1"/>
  <c r="G301" i="1" s="1"/>
  <c r="B545" i="1"/>
  <c r="C544" i="1"/>
  <c r="D544" i="1" s="1"/>
  <c r="C1759" i="1" l="1"/>
  <c r="D1759" i="1" s="1"/>
  <c r="B1760" i="1"/>
  <c r="I301" i="1"/>
  <c r="E302" i="1" s="1"/>
  <c r="B546" i="1"/>
  <c r="C545" i="1"/>
  <c r="D545" i="1" s="1"/>
  <c r="C1760" i="1" l="1"/>
  <c r="D1760" i="1" s="1"/>
  <c r="B1761" i="1"/>
  <c r="J302" i="1"/>
  <c r="G302" i="1" s="1"/>
  <c r="H302" i="1"/>
  <c r="F302" i="1"/>
  <c r="C546" i="1"/>
  <c r="D546" i="1" s="1"/>
  <c r="B547" i="1"/>
  <c r="C1761" i="1" l="1"/>
  <c r="D1761" i="1" s="1"/>
  <c r="B1762" i="1"/>
  <c r="I302" i="1"/>
  <c r="E303" i="1" s="1"/>
  <c r="C547" i="1"/>
  <c r="D547" i="1" s="1"/>
  <c r="B548" i="1"/>
  <c r="C1762" i="1" l="1"/>
  <c r="D1762" i="1" s="1"/>
  <c r="B1763" i="1"/>
  <c r="J303" i="1"/>
  <c r="G303" i="1" s="1"/>
  <c r="H303" i="1"/>
  <c r="F303" i="1"/>
  <c r="B549" i="1"/>
  <c r="C548" i="1"/>
  <c r="D548" i="1" s="1"/>
  <c r="C1763" i="1" l="1"/>
  <c r="D1763" i="1" s="1"/>
  <c r="B1764" i="1"/>
  <c r="I303" i="1"/>
  <c r="E304" i="1" s="1"/>
  <c r="C549" i="1"/>
  <c r="D549" i="1" s="1"/>
  <c r="B550" i="1"/>
  <c r="C1764" i="1" l="1"/>
  <c r="D1764" i="1" s="1"/>
  <c r="B1765" i="1"/>
  <c r="H304" i="1"/>
  <c r="J304" i="1"/>
  <c r="G304" i="1" s="1"/>
  <c r="F304" i="1"/>
  <c r="C550" i="1"/>
  <c r="D550" i="1" s="1"/>
  <c r="B551" i="1"/>
  <c r="C1765" i="1" l="1"/>
  <c r="D1765" i="1" s="1"/>
  <c r="B1766" i="1"/>
  <c r="I304" i="1"/>
  <c r="E305" i="1" s="1"/>
  <c r="B552" i="1"/>
  <c r="C551" i="1"/>
  <c r="D551" i="1" s="1"/>
  <c r="C1766" i="1" l="1"/>
  <c r="D1766" i="1" s="1"/>
  <c r="B1767" i="1"/>
  <c r="J305" i="1"/>
  <c r="G305" i="1" s="1"/>
  <c r="H305" i="1"/>
  <c r="F305" i="1"/>
  <c r="B553" i="1"/>
  <c r="C552" i="1"/>
  <c r="D552" i="1" s="1"/>
  <c r="C1767" i="1" l="1"/>
  <c r="D1767" i="1" s="1"/>
  <c r="B1768" i="1"/>
  <c r="I305" i="1"/>
  <c r="E306" i="1" s="1"/>
  <c r="B554" i="1"/>
  <c r="C553" i="1"/>
  <c r="D553" i="1" s="1"/>
  <c r="C1768" i="1" l="1"/>
  <c r="D1768" i="1" s="1"/>
  <c r="B1769" i="1"/>
  <c r="F306" i="1"/>
  <c r="J306" i="1"/>
  <c r="G306" i="1" s="1"/>
  <c r="H306" i="1"/>
  <c r="B555" i="1"/>
  <c r="C554" i="1"/>
  <c r="D554" i="1" s="1"/>
  <c r="I306" i="1" l="1"/>
  <c r="E307" i="1" s="1"/>
  <c r="J307" i="1" s="1"/>
  <c r="G307" i="1" s="1"/>
  <c r="C1769" i="1"/>
  <c r="D1769" i="1" s="1"/>
  <c r="B1770" i="1"/>
  <c r="F307" i="1"/>
  <c r="H307" i="1"/>
  <c r="B556" i="1"/>
  <c r="C555" i="1"/>
  <c r="D555" i="1" s="1"/>
  <c r="C1770" i="1" l="1"/>
  <c r="D1770" i="1" s="1"/>
  <c r="B1771" i="1"/>
  <c r="I307" i="1"/>
  <c r="E308" i="1" s="1"/>
  <c r="C556" i="1"/>
  <c r="D556" i="1" s="1"/>
  <c r="B557" i="1"/>
  <c r="C1771" i="1" l="1"/>
  <c r="D1771" i="1" s="1"/>
  <c r="B1772" i="1"/>
  <c r="J308" i="1"/>
  <c r="G308" i="1" s="1"/>
  <c r="F308" i="1"/>
  <c r="H308" i="1"/>
  <c r="C557" i="1"/>
  <c r="D557" i="1" s="1"/>
  <c r="B558" i="1"/>
  <c r="C1772" i="1" l="1"/>
  <c r="D1772" i="1" s="1"/>
  <c r="B1773" i="1"/>
  <c r="I308" i="1"/>
  <c r="E309" i="1" s="1"/>
  <c r="C558" i="1"/>
  <c r="D558" i="1" s="1"/>
  <c r="B559" i="1"/>
  <c r="C1773" i="1" l="1"/>
  <c r="D1773" i="1" s="1"/>
  <c r="B1774" i="1"/>
  <c r="J309" i="1"/>
  <c r="G309" i="1" s="1"/>
  <c r="F309" i="1"/>
  <c r="H309" i="1"/>
  <c r="B560" i="1"/>
  <c r="C559" i="1"/>
  <c r="D559" i="1" s="1"/>
  <c r="I309" i="1" l="1"/>
  <c r="E310" i="1" s="1"/>
  <c r="H310" i="1" s="1"/>
  <c r="B1775" i="1"/>
  <c r="C1774" i="1"/>
  <c r="D1774" i="1" s="1"/>
  <c r="C560" i="1"/>
  <c r="D560" i="1" s="1"/>
  <c r="B561" i="1"/>
  <c r="F310" i="1" l="1"/>
  <c r="I310" i="1" s="1"/>
  <c r="E311" i="1" s="1"/>
  <c r="J310" i="1"/>
  <c r="G310" i="1" s="1"/>
  <c r="C1775" i="1"/>
  <c r="D1775" i="1" s="1"/>
  <c r="B1776" i="1"/>
  <c r="B562" i="1"/>
  <c r="C561" i="1"/>
  <c r="D561" i="1" s="1"/>
  <c r="H311" i="1" l="1"/>
  <c r="F311" i="1"/>
  <c r="J311" i="1"/>
  <c r="G311" i="1" s="1"/>
  <c r="I311" i="1" s="1"/>
  <c r="E312" i="1" s="1"/>
  <c r="C1776" i="1"/>
  <c r="D1776" i="1" s="1"/>
  <c r="B1777" i="1"/>
  <c r="C562" i="1"/>
  <c r="D562" i="1" s="1"/>
  <c r="B563" i="1"/>
  <c r="C1777" i="1" l="1"/>
  <c r="D1777" i="1" s="1"/>
  <c r="B1778" i="1"/>
  <c r="H312" i="1"/>
  <c r="J312" i="1"/>
  <c r="G312" i="1" s="1"/>
  <c r="F312" i="1"/>
  <c r="C563" i="1"/>
  <c r="D563" i="1" s="1"/>
  <c r="B564" i="1"/>
  <c r="C1778" i="1" l="1"/>
  <c r="D1778" i="1" s="1"/>
  <c r="B1779" i="1"/>
  <c r="I312" i="1"/>
  <c r="E313" i="1" s="1"/>
  <c r="B565" i="1"/>
  <c r="C564" i="1"/>
  <c r="D564" i="1" s="1"/>
  <c r="C1779" i="1" l="1"/>
  <c r="D1779" i="1" s="1"/>
  <c r="B1780" i="1"/>
  <c r="J313" i="1"/>
  <c r="G313" i="1" s="1"/>
  <c r="H313" i="1"/>
  <c r="F313" i="1"/>
  <c r="B566" i="1"/>
  <c r="C565" i="1"/>
  <c r="D565" i="1" s="1"/>
  <c r="I313" i="1" l="1"/>
  <c r="E314" i="1" s="1"/>
  <c r="C1780" i="1"/>
  <c r="D1780" i="1" s="1"/>
  <c r="B1781" i="1"/>
  <c r="J314" i="1"/>
  <c r="G314" i="1" s="1"/>
  <c r="H314" i="1"/>
  <c r="F314" i="1"/>
  <c r="C566" i="1"/>
  <c r="D566" i="1" s="1"/>
  <c r="B567" i="1"/>
  <c r="I314" i="1" l="1"/>
  <c r="E315" i="1" s="1"/>
  <c r="F315" i="1" s="1"/>
  <c r="C1781" i="1"/>
  <c r="D1781" i="1" s="1"/>
  <c r="B1782" i="1"/>
  <c r="C567" i="1"/>
  <c r="D567" i="1" s="1"/>
  <c r="B568" i="1"/>
  <c r="J315" i="1" l="1"/>
  <c r="G315" i="1" s="1"/>
  <c r="H315" i="1"/>
  <c r="C1782" i="1"/>
  <c r="D1782" i="1" s="1"/>
  <c r="B1783" i="1"/>
  <c r="C568" i="1"/>
  <c r="D568" i="1" s="1"/>
  <c r="B569" i="1"/>
  <c r="I315" i="1" l="1"/>
  <c r="E316" i="1" s="1"/>
  <c r="C1783" i="1"/>
  <c r="D1783" i="1" s="1"/>
  <c r="B1784" i="1"/>
  <c r="B570" i="1"/>
  <c r="C569" i="1"/>
  <c r="D569" i="1" s="1"/>
  <c r="H316" i="1" l="1"/>
  <c r="J316" i="1"/>
  <c r="G316" i="1" s="1"/>
  <c r="F316" i="1"/>
  <c r="C1784" i="1"/>
  <c r="D1784" i="1" s="1"/>
  <c r="B1785" i="1"/>
  <c r="B571" i="1"/>
  <c r="C570" i="1"/>
  <c r="D570" i="1" s="1"/>
  <c r="I316" i="1" l="1"/>
  <c r="E317" i="1" s="1"/>
  <c r="C1785" i="1"/>
  <c r="D1785" i="1" s="1"/>
  <c r="B1786" i="1"/>
  <c r="C571" i="1"/>
  <c r="D571" i="1" s="1"/>
  <c r="B572" i="1"/>
  <c r="H317" i="1" l="1"/>
  <c r="J317" i="1"/>
  <c r="G317" i="1" s="1"/>
  <c r="F317" i="1"/>
  <c r="C1786" i="1"/>
  <c r="D1786" i="1" s="1"/>
  <c r="B1787" i="1"/>
  <c r="C572" i="1"/>
  <c r="D572" i="1" s="1"/>
  <c r="B573" i="1"/>
  <c r="I317" i="1" l="1"/>
  <c r="E318" i="1" s="1"/>
  <c r="C1787" i="1"/>
  <c r="D1787" i="1" s="1"/>
  <c r="B1788" i="1"/>
  <c r="B574" i="1"/>
  <c r="C573" i="1"/>
  <c r="D573" i="1" s="1"/>
  <c r="J318" i="1" l="1"/>
  <c r="G318" i="1" s="1"/>
  <c r="F318" i="1"/>
  <c r="H318" i="1"/>
  <c r="C1788" i="1"/>
  <c r="D1788" i="1" s="1"/>
  <c r="B1789" i="1"/>
  <c r="C574" i="1"/>
  <c r="D574" i="1" s="1"/>
  <c r="B575" i="1"/>
  <c r="I318" i="1" l="1"/>
  <c r="E319" i="1" s="1"/>
  <c r="C1789" i="1"/>
  <c r="D1789" i="1" s="1"/>
  <c r="B1790" i="1"/>
  <c r="C575" i="1"/>
  <c r="D575" i="1" s="1"/>
  <c r="B576" i="1"/>
  <c r="J319" i="1" l="1"/>
  <c r="G319" i="1" s="1"/>
  <c r="F319" i="1"/>
  <c r="H319" i="1"/>
  <c r="C1790" i="1"/>
  <c r="D1790" i="1" s="1"/>
  <c r="B1791" i="1"/>
  <c r="B577" i="1"/>
  <c r="C576" i="1"/>
  <c r="D576" i="1" s="1"/>
  <c r="I319" i="1" l="1"/>
  <c r="E320" i="1" s="1"/>
  <c r="C1791" i="1"/>
  <c r="D1791" i="1" s="1"/>
  <c r="B1792" i="1"/>
  <c r="B578" i="1"/>
  <c r="C577" i="1"/>
  <c r="D577" i="1" s="1"/>
  <c r="J320" i="1" l="1"/>
  <c r="G320" i="1" s="1"/>
  <c r="H320" i="1"/>
  <c r="F320" i="1"/>
  <c r="C1792" i="1"/>
  <c r="D1792" i="1" s="1"/>
  <c r="B1793" i="1"/>
  <c r="C578" i="1"/>
  <c r="D578" i="1" s="1"/>
  <c r="B579" i="1"/>
  <c r="I320" i="1" l="1"/>
  <c r="E321" i="1" s="1"/>
  <c r="C1793" i="1"/>
  <c r="D1793" i="1" s="1"/>
  <c r="B1794" i="1"/>
  <c r="C579" i="1"/>
  <c r="D579" i="1" s="1"/>
  <c r="B580" i="1"/>
  <c r="F321" i="1" l="1"/>
  <c r="H321" i="1"/>
  <c r="J321" i="1"/>
  <c r="G321" i="1" s="1"/>
  <c r="C1794" i="1"/>
  <c r="D1794" i="1" s="1"/>
  <c r="B1795" i="1"/>
  <c r="C580" i="1"/>
  <c r="D580" i="1" s="1"/>
  <c r="B581" i="1"/>
  <c r="I321" i="1" l="1"/>
  <c r="E322" i="1" s="1"/>
  <c r="C1795" i="1"/>
  <c r="D1795" i="1" s="1"/>
  <c r="B1796" i="1"/>
  <c r="C581" i="1"/>
  <c r="D581" i="1" s="1"/>
  <c r="B582" i="1"/>
  <c r="J322" i="1" l="1"/>
  <c r="G322" i="1" s="1"/>
  <c r="H322" i="1"/>
  <c r="F322" i="1"/>
  <c r="C1796" i="1"/>
  <c r="D1796" i="1" s="1"/>
  <c r="B1797" i="1"/>
  <c r="C582" i="1"/>
  <c r="D582" i="1" s="1"/>
  <c r="B583" i="1"/>
  <c r="I322" i="1" l="1"/>
  <c r="E323" i="1" s="1"/>
  <c r="C1797" i="1"/>
  <c r="D1797" i="1" s="1"/>
  <c r="B1798" i="1"/>
  <c r="C583" i="1"/>
  <c r="D583" i="1" s="1"/>
  <c r="B584" i="1"/>
  <c r="J323" i="1" l="1"/>
  <c r="G323" i="1" s="1"/>
  <c r="I323" i="1" s="1"/>
  <c r="E324" i="1" s="1"/>
  <c r="H323" i="1"/>
  <c r="F323" i="1"/>
  <c r="C1798" i="1"/>
  <c r="D1798" i="1" s="1"/>
  <c r="B1799" i="1"/>
  <c r="B585" i="1"/>
  <c r="C584" i="1"/>
  <c r="D584" i="1" s="1"/>
  <c r="F324" i="1" l="1"/>
  <c r="H324" i="1"/>
  <c r="J324" i="1"/>
  <c r="G324" i="1" s="1"/>
  <c r="C1799" i="1"/>
  <c r="D1799" i="1" s="1"/>
  <c r="B1800" i="1"/>
  <c r="C585" i="1"/>
  <c r="D585" i="1" s="1"/>
  <c r="B586" i="1"/>
  <c r="I324" i="1" l="1"/>
  <c r="E325" i="1" s="1"/>
  <c r="B1801" i="1"/>
  <c r="C1800" i="1"/>
  <c r="D1800" i="1" s="1"/>
  <c r="C586" i="1"/>
  <c r="D586" i="1" s="1"/>
  <c r="B587" i="1"/>
  <c r="F325" i="1" l="1"/>
  <c r="J325" i="1"/>
  <c r="G325" i="1" s="1"/>
  <c r="H325" i="1"/>
  <c r="I325" i="1" s="1"/>
  <c r="E326" i="1" s="1"/>
  <c r="C1801" i="1"/>
  <c r="D1801" i="1" s="1"/>
  <c r="B1802" i="1"/>
  <c r="C587" i="1"/>
  <c r="D587" i="1" s="1"/>
  <c r="B588" i="1"/>
  <c r="H326" i="1" l="1"/>
  <c r="F326" i="1"/>
  <c r="J326" i="1"/>
  <c r="G326" i="1" s="1"/>
  <c r="C1802" i="1"/>
  <c r="D1802" i="1" s="1"/>
  <c r="B1803" i="1"/>
  <c r="B589" i="1"/>
  <c r="C588" i="1"/>
  <c r="D588" i="1" s="1"/>
  <c r="I326" i="1" l="1"/>
  <c r="E327" i="1" s="1"/>
  <c r="C1803" i="1"/>
  <c r="D1803" i="1" s="1"/>
  <c r="B1804" i="1"/>
  <c r="B590" i="1"/>
  <c r="C589" i="1"/>
  <c r="D589" i="1" s="1"/>
  <c r="F327" i="1" l="1"/>
  <c r="H327" i="1"/>
  <c r="J327" i="1"/>
  <c r="G327" i="1" s="1"/>
  <c r="C1804" i="1"/>
  <c r="D1804" i="1" s="1"/>
  <c r="B1805" i="1"/>
  <c r="C590" i="1"/>
  <c r="D590" i="1" s="1"/>
  <c r="B591" i="1"/>
  <c r="I327" i="1" l="1"/>
  <c r="E328" i="1" s="1"/>
  <c r="C1805" i="1"/>
  <c r="D1805" i="1" s="1"/>
  <c r="B1806" i="1"/>
  <c r="C591" i="1"/>
  <c r="D591" i="1" s="1"/>
  <c r="B592" i="1"/>
  <c r="H328" i="1" l="1"/>
  <c r="J328" i="1"/>
  <c r="G328" i="1" s="1"/>
  <c r="F328" i="1"/>
  <c r="C1806" i="1"/>
  <c r="D1806" i="1" s="1"/>
  <c r="B1807" i="1"/>
  <c r="B593" i="1"/>
  <c r="C592" i="1"/>
  <c r="D592" i="1" s="1"/>
  <c r="I328" i="1" l="1"/>
  <c r="E329" i="1" s="1"/>
  <c r="C1807" i="1"/>
  <c r="D1807" i="1" s="1"/>
  <c r="B1808" i="1"/>
  <c r="C593" i="1"/>
  <c r="D593" i="1" s="1"/>
  <c r="B594" i="1"/>
  <c r="H329" i="1" l="1"/>
  <c r="I329" i="1" s="1"/>
  <c r="E330" i="1" s="1"/>
  <c r="F329" i="1"/>
  <c r="J329" i="1"/>
  <c r="G329" i="1" s="1"/>
  <c r="C1808" i="1"/>
  <c r="D1808" i="1" s="1"/>
  <c r="B1809" i="1"/>
  <c r="C594" i="1"/>
  <c r="D594" i="1" s="1"/>
  <c r="B595" i="1"/>
  <c r="H330" i="1" l="1"/>
  <c r="J330" i="1"/>
  <c r="G330" i="1" s="1"/>
  <c r="F330" i="1"/>
  <c r="C1809" i="1"/>
  <c r="D1809" i="1" s="1"/>
  <c r="B1810" i="1"/>
  <c r="B596" i="1"/>
  <c r="C595" i="1"/>
  <c r="D595" i="1" s="1"/>
  <c r="I330" i="1" l="1"/>
  <c r="E331" i="1" s="1"/>
  <c r="C1810" i="1"/>
  <c r="D1810" i="1" s="1"/>
  <c r="B1811" i="1"/>
  <c r="C596" i="1"/>
  <c r="D596" i="1" s="1"/>
  <c r="B597" i="1"/>
  <c r="H331" i="1" l="1"/>
  <c r="J331" i="1"/>
  <c r="G331" i="1" s="1"/>
  <c r="I331" i="1" s="1"/>
  <c r="E332" i="1" s="1"/>
  <c r="F331" i="1"/>
  <c r="C1811" i="1"/>
  <c r="D1811" i="1" s="1"/>
  <c r="B1812" i="1"/>
  <c r="C597" i="1"/>
  <c r="D597" i="1" s="1"/>
  <c r="B598" i="1"/>
  <c r="J332" i="1" l="1"/>
  <c r="G332" i="1" s="1"/>
  <c r="H332" i="1"/>
  <c r="F332" i="1"/>
  <c r="C1812" i="1"/>
  <c r="D1812" i="1" s="1"/>
  <c r="B1813" i="1"/>
  <c r="B599" i="1"/>
  <c r="C598" i="1"/>
  <c r="D598" i="1" s="1"/>
  <c r="I332" i="1" l="1"/>
  <c r="E333" i="1" s="1"/>
  <c r="C1813" i="1"/>
  <c r="D1813" i="1" s="1"/>
  <c r="B1814" i="1"/>
  <c r="B600" i="1"/>
  <c r="C599" i="1"/>
  <c r="D599" i="1" s="1"/>
  <c r="F333" i="1" l="1"/>
  <c r="J333" i="1"/>
  <c r="G333" i="1" s="1"/>
  <c r="H333" i="1"/>
  <c r="I333" i="1" s="1"/>
  <c r="E334" i="1" s="1"/>
  <c r="B1815" i="1"/>
  <c r="C1814" i="1"/>
  <c r="D1814" i="1" s="1"/>
  <c r="C600" i="1"/>
  <c r="D600" i="1" s="1"/>
  <c r="B601" i="1"/>
  <c r="J334" i="1" l="1"/>
  <c r="G334" i="1" s="1"/>
  <c r="F334" i="1"/>
  <c r="H334" i="1"/>
  <c r="I334" i="1" s="1"/>
  <c r="E335" i="1" s="1"/>
  <c r="F335" i="1" s="1"/>
  <c r="C1815" i="1"/>
  <c r="D1815" i="1" s="1"/>
  <c r="B1816" i="1"/>
  <c r="B602" i="1"/>
  <c r="C601" i="1"/>
  <c r="D601" i="1" s="1"/>
  <c r="H335" i="1" l="1"/>
  <c r="I335" i="1" s="1"/>
  <c r="E336" i="1" s="1"/>
  <c r="J335" i="1"/>
  <c r="G335" i="1" s="1"/>
  <c r="B1817" i="1"/>
  <c r="C1816" i="1"/>
  <c r="D1816" i="1" s="1"/>
  <c r="C602" i="1"/>
  <c r="D602" i="1" s="1"/>
  <c r="B603" i="1"/>
  <c r="B1818" i="1" l="1"/>
  <c r="C1817" i="1"/>
  <c r="D1817" i="1" s="1"/>
  <c r="J336" i="1"/>
  <c r="G336" i="1" s="1"/>
  <c r="H336" i="1"/>
  <c r="F336" i="1"/>
  <c r="C603" i="1"/>
  <c r="D603" i="1" s="1"/>
  <c r="B604" i="1"/>
  <c r="C1818" i="1" l="1"/>
  <c r="D1818" i="1" s="1"/>
  <c r="B1819" i="1"/>
  <c r="I336" i="1"/>
  <c r="E337" i="1" s="1"/>
  <c r="C604" i="1"/>
  <c r="D604" i="1" s="1"/>
  <c r="B605" i="1"/>
  <c r="B1820" i="1" l="1"/>
  <c r="C1819" i="1"/>
  <c r="D1819" i="1" s="1"/>
  <c r="F337" i="1"/>
  <c r="H337" i="1"/>
  <c r="J337" i="1"/>
  <c r="G337" i="1" s="1"/>
  <c r="B606" i="1"/>
  <c r="C605" i="1"/>
  <c r="D605" i="1" s="1"/>
  <c r="C1820" i="1" l="1"/>
  <c r="D1820" i="1" s="1"/>
  <c r="B1821" i="1"/>
  <c r="I337" i="1"/>
  <c r="E338" i="1" s="1"/>
  <c r="B607" i="1"/>
  <c r="C606" i="1"/>
  <c r="D606" i="1" s="1"/>
  <c r="C1821" i="1" l="1"/>
  <c r="D1821" i="1" s="1"/>
  <c r="B1822" i="1"/>
  <c r="J338" i="1"/>
  <c r="G338" i="1" s="1"/>
  <c r="H338" i="1"/>
  <c r="F338" i="1"/>
  <c r="C607" i="1"/>
  <c r="D607" i="1" s="1"/>
  <c r="B608" i="1"/>
  <c r="C1822" i="1" l="1"/>
  <c r="D1822" i="1" s="1"/>
  <c r="B1823" i="1"/>
  <c r="I338" i="1"/>
  <c r="E339" i="1" s="1"/>
  <c r="C608" i="1"/>
  <c r="D608" i="1" s="1"/>
  <c r="B609" i="1"/>
  <c r="C1823" i="1" l="1"/>
  <c r="D1823" i="1" s="1"/>
  <c r="B1824" i="1"/>
  <c r="J339" i="1"/>
  <c r="G339" i="1" s="1"/>
  <c r="H339" i="1"/>
  <c r="F339" i="1"/>
  <c r="C609" i="1"/>
  <c r="D609" i="1" s="1"/>
  <c r="B610" i="1"/>
  <c r="C1824" i="1" l="1"/>
  <c r="D1824" i="1" s="1"/>
  <c r="B1825" i="1"/>
  <c r="I339" i="1"/>
  <c r="E340" i="1" s="1"/>
  <c r="C610" i="1"/>
  <c r="D610" i="1" s="1"/>
  <c r="B611" i="1"/>
  <c r="C1825" i="1" l="1"/>
  <c r="D1825" i="1" s="1"/>
  <c r="B1826" i="1"/>
  <c r="H340" i="1"/>
  <c r="F340" i="1"/>
  <c r="J340" i="1"/>
  <c r="G340" i="1" s="1"/>
  <c r="C611" i="1"/>
  <c r="D611" i="1" s="1"/>
  <c r="B612" i="1"/>
  <c r="C1826" i="1" l="1"/>
  <c r="D1826" i="1" s="1"/>
  <c r="B1827" i="1"/>
  <c r="I340" i="1"/>
  <c r="E341" i="1" s="1"/>
  <c r="C612" i="1"/>
  <c r="D612" i="1" s="1"/>
  <c r="B613" i="1"/>
  <c r="C1827" i="1" l="1"/>
  <c r="D1827" i="1" s="1"/>
  <c r="B1828" i="1"/>
  <c r="H341" i="1"/>
  <c r="F341" i="1"/>
  <c r="J341" i="1"/>
  <c r="G341" i="1" s="1"/>
  <c r="B614" i="1"/>
  <c r="C613" i="1"/>
  <c r="D613" i="1" s="1"/>
  <c r="B1829" i="1" l="1"/>
  <c r="C1828" i="1"/>
  <c r="D1828" i="1" s="1"/>
  <c r="I341" i="1"/>
  <c r="E342" i="1" s="1"/>
  <c r="B615" i="1"/>
  <c r="C614" i="1"/>
  <c r="D614" i="1" s="1"/>
  <c r="B1830" i="1" l="1"/>
  <c r="C1829" i="1"/>
  <c r="D1829" i="1" s="1"/>
  <c r="H342" i="1"/>
  <c r="I342" i="1" s="1"/>
  <c r="E343" i="1" s="1"/>
  <c r="J342" i="1"/>
  <c r="G342" i="1" s="1"/>
  <c r="F342" i="1"/>
  <c r="B616" i="1"/>
  <c r="C615" i="1"/>
  <c r="D615" i="1" s="1"/>
  <c r="C1830" i="1" l="1"/>
  <c r="D1830" i="1" s="1"/>
  <c r="B1831" i="1"/>
  <c r="H343" i="1"/>
  <c r="J343" i="1"/>
  <c r="G343" i="1" s="1"/>
  <c r="F343" i="1"/>
  <c r="C616" i="1"/>
  <c r="D616" i="1" s="1"/>
  <c r="B617" i="1"/>
  <c r="I343" i="1" l="1"/>
  <c r="E344" i="1" s="1"/>
  <c r="C1831" i="1"/>
  <c r="D1831" i="1" s="1"/>
  <c r="B1832" i="1"/>
  <c r="H344" i="1"/>
  <c r="J344" i="1"/>
  <c r="G344" i="1" s="1"/>
  <c r="F344" i="1"/>
  <c r="C617" i="1"/>
  <c r="D617" i="1" s="1"/>
  <c r="B618" i="1"/>
  <c r="C1832" i="1" l="1"/>
  <c r="D1832" i="1" s="1"/>
  <c r="B1833" i="1"/>
  <c r="I344" i="1"/>
  <c r="E345" i="1" s="1"/>
  <c r="C618" i="1"/>
  <c r="D618" i="1" s="1"/>
  <c r="B619" i="1"/>
  <c r="C1833" i="1" l="1"/>
  <c r="D1833" i="1" s="1"/>
  <c r="B1834" i="1"/>
  <c r="F345" i="1"/>
  <c r="J345" i="1"/>
  <c r="G345" i="1" s="1"/>
  <c r="H345" i="1"/>
  <c r="B620" i="1"/>
  <c r="C619" i="1"/>
  <c r="D619" i="1" s="1"/>
  <c r="I345" i="1" l="1"/>
  <c r="E346" i="1" s="1"/>
  <c r="C1834" i="1"/>
  <c r="D1834" i="1" s="1"/>
  <c r="B1835" i="1"/>
  <c r="H346" i="1"/>
  <c r="F346" i="1"/>
  <c r="J346" i="1"/>
  <c r="G346" i="1" s="1"/>
  <c r="B621" i="1"/>
  <c r="C620" i="1"/>
  <c r="D620" i="1" s="1"/>
  <c r="I346" i="1" l="1"/>
  <c r="E347" i="1" s="1"/>
  <c r="C1835" i="1"/>
  <c r="D1835" i="1" s="1"/>
  <c r="B1836" i="1"/>
  <c r="J347" i="1"/>
  <c r="G347" i="1" s="1"/>
  <c r="H347" i="1"/>
  <c r="F347" i="1"/>
  <c r="C621" i="1"/>
  <c r="D621" i="1" s="1"/>
  <c r="B622" i="1"/>
  <c r="C1836" i="1" l="1"/>
  <c r="D1836" i="1" s="1"/>
  <c r="B1837" i="1"/>
  <c r="I347" i="1"/>
  <c r="E348" i="1" s="1"/>
  <c r="C622" i="1"/>
  <c r="D622" i="1" s="1"/>
  <c r="B623" i="1"/>
  <c r="C1837" i="1" l="1"/>
  <c r="D1837" i="1" s="1"/>
  <c r="B1838" i="1"/>
  <c r="J348" i="1"/>
  <c r="G348" i="1" s="1"/>
  <c r="F348" i="1"/>
  <c r="H348" i="1"/>
  <c r="B624" i="1"/>
  <c r="C623" i="1"/>
  <c r="D623" i="1" s="1"/>
  <c r="C1838" i="1" l="1"/>
  <c r="D1838" i="1" s="1"/>
  <c r="B1839" i="1"/>
  <c r="I348" i="1"/>
  <c r="E349" i="1" s="1"/>
  <c r="B625" i="1"/>
  <c r="C624" i="1"/>
  <c r="D624" i="1" s="1"/>
  <c r="C1839" i="1" l="1"/>
  <c r="D1839" i="1" s="1"/>
  <c r="B1840" i="1"/>
  <c r="F349" i="1"/>
  <c r="J349" i="1"/>
  <c r="G349" i="1" s="1"/>
  <c r="H349" i="1"/>
  <c r="C625" i="1"/>
  <c r="D625" i="1" s="1"/>
  <c r="B626" i="1"/>
  <c r="C1840" i="1" l="1"/>
  <c r="D1840" i="1" s="1"/>
  <c r="B1841" i="1"/>
  <c r="I349" i="1"/>
  <c r="E350" i="1" s="1"/>
  <c r="B627" i="1"/>
  <c r="C626" i="1"/>
  <c r="D626" i="1" s="1"/>
  <c r="C1841" i="1" l="1"/>
  <c r="D1841" i="1" s="1"/>
  <c r="B1842" i="1"/>
  <c r="J350" i="1"/>
  <c r="G350" i="1" s="1"/>
  <c r="F350" i="1"/>
  <c r="H350" i="1"/>
  <c r="B628" i="1"/>
  <c r="C627" i="1"/>
  <c r="D627" i="1" s="1"/>
  <c r="C1842" i="1" l="1"/>
  <c r="D1842" i="1" s="1"/>
  <c r="B1843" i="1"/>
  <c r="I350" i="1"/>
  <c r="E351" i="1" s="1"/>
  <c r="C628" i="1"/>
  <c r="D628" i="1" s="1"/>
  <c r="B629" i="1"/>
  <c r="C1843" i="1" l="1"/>
  <c r="D1843" i="1" s="1"/>
  <c r="B1844" i="1"/>
  <c r="H351" i="1"/>
  <c r="I351" i="1" s="1"/>
  <c r="E352" i="1" s="1"/>
  <c r="F351" i="1"/>
  <c r="J351" i="1"/>
  <c r="G351" i="1" s="1"/>
  <c r="C629" i="1"/>
  <c r="D629" i="1" s="1"/>
  <c r="B630" i="1"/>
  <c r="C1844" i="1" l="1"/>
  <c r="D1844" i="1" s="1"/>
  <c r="B1845" i="1"/>
  <c r="F352" i="1"/>
  <c r="J352" i="1"/>
  <c r="G352" i="1" s="1"/>
  <c r="H352" i="1"/>
  <c r="B631" i="1"/>
  <c r="C630" i="1"/>
  <c r="D630" i="1" s="1"/>
  <c r="C1845" i="1" l="1"/>
  <c r="D1845" i="1" s="1"/>
  <c r="B1846" i="1"/>
  <c r="I352" i="1"/>
  <c r="E353" i="1" s="1"/>
  <c r="C631" i="1"/>
  <c r="D631" i="1" s="1"/>
  <c r="B632" i="1"/>
  <c r="C1846" i="1" l="1"/>
  <c r="D1846" i="1" s="1"/>
  <c r="B1847" i="1"/>
  <c r="H353" i="1"/>
  <c r="J353" i="1"/>
  <c r="G353" i="1" s="1"/>
  <c r="F353" i="1"/>
  <c r="B633" i="1"/>
  <c r="C632" i="1"/>
  <c r="D632" i="1" s="1"/>
  <c r="I353" i="1" l="1"/>
  <c r="E354" i="1" s="1"/>
  <c r="C1847" i="1"/>
  <c r="D1847" i="1" s="1"/>
  <c r="B1848" i="1"/>
  <c r="H354" i="1"/>
  <c r="I354" i="1" s="1"/>
  <c r="E355" i="1" s="1"/>
  <c r="J354" i="1"/>
  <c r="G354" i="1" s="1"/>
  <c r="F354" i="1"/>
  <c r="C633" i="1"/>
  <c r="D633" i="1" s="1"/>
  <c r="B634" i="1"/>
  <c r="C1848" i="1" l="1"/>
  <c r="D1848" i="1" s="1"/>
  <c r="B1849" i="1"/>
  <c r="H355" i="1"/>
  <c r="J355" i="1"/>
  <c r="G355" i="1" s="1"/>
  <c r="F355" i="1"/>
  <c r="B635" i="1"/>
  <c r="C634" i="1"/>
  <c r="D634" i="1" s="1"/>
  <c r="I355" i="1" l="1"/>
  <c r="E356" i="1" s="1"/>
  <c r="C1849" i="1"/>
  <c r="D1849" i="1" s="1"/>
  <c r="B1850" i="1"/>
  <c r="H356" i="1"/>
  <c r="J356" i="1"/>
  <c r="F356" i="1"/>
  <c r="C635" i="1"/>
  <c r="D635" i="1" s="1"/>
  <c r="B636" i="1"/>
  <c r="C1850" i="1" l="1"/>
  <c r="D1850" i="1" s="1"/>
  <c r="B1851" i="1"/>
  <c r="G356" i="1"/>
  <c r="I356" i="1" s="1"/>
  <c r="E357" i="1" s="1"/>
  <c r="B637" i="1"/>
  <c r="C636" i="1"/>
  <c r="D636" i="1" s="1"/>
  <c r="C1851" i="1" l="1"/>
  <c r="D1851" i="1" s="1"/>
  <c r="B1852" i="1"/>
  <c r="J357" i="1"/>
  <c r="G357" i="1" s="1"/>
  <c r="H357" i="1"/>
  <c r="F357" i="1"/>
  <c r="C637" i="1"/>
  <c r="D637" i="1" s="1"/>
  <c r="B638" i="1"/>
  <c r="C1852" i="1" l="1"/>
  <c r="D1852" i="1" s="1"/>
  <c r="B1853" i="1"/>
  <c r="I357" i="1"/>
  <c r="E358" i="1" s="1"/>
  <c r="B639" i="1"/>
  <c r="C638" i="1"/>
  <c r="D638" i="1" s="1"/>
  <c r="C1853" i="1" l="1"/>
  <c r="D1853" i="1" s="1"/>
  <c r="B1854" i="1"/>
  <c r="F358" i="1"/>
  <c r="J358" i="1"/>
  <c r="G358" i="1" s="1"/>
  <c r="H358" i="1"/>
  <c r="B640" i="1"/>
  <c r="C639" i="1"/>
  <c r="D639" i="1" s="1"/>
  <c r="C1854" i="1" l="1"/>
  <c r="D1854" i="1" s="1"/>
  <c r="B1855" i="1"/>
  <c r="I358" i="1"/>
  <c r="E359" i="1" s="1"/>
  <c r="B641" i="1"/>
  <c r="C640" i="1"/>
  <c r="D640" i="1" s="1"/>
  <c r="C1855" i="1" l="1"/>
  <c r="D1855" i="1" s="1"/>
  <c r="B1856" i="1"/>
  <c r="H359" i="1"/>
  <c r="I359" i="1" s="1"/>
  <c r="E360" i="1" s="1"/>
  <c r="F359" i="1"/>
  <c r="J359" i="1"/>
  <c r="G359" i="1" s="1"/>
  <c r="B642" i="1"/>
  <c r="C641" i="1"/>
  <c r="D641" i="1" s="1"/>
  <c r="C1856" i="1" l="1"/>
  <c r="D1856" i="1" s="1"/>
  <c r="B1857" i="1"/>
  <c r="F360" i="1"/>
  <c r="J360" i="1"/>
  <c r="G360" i="1" s="1"/>
  <c r="H360" i="1"/>
  <c r="C642" i="1"/>
  <c r="D642" i="1" s="1"/>
  <c r="B643" i="1"/>
  <c r="C1857" i="1" l="1"/>
  <c r="D1857" i="1" s="1"/>
  <c r="B1858" i="1"/>
  <c r="I360" i="1"/>
  <c r="E361" i="1" s="1"/>
  <c r="B644" i="1"/>
  <c r="C643" i="1"/>
  <c r="D643" i="1" s="1"/>
  <c r="C1858" i="1" l="1"/>
  <c r="D1858" i="1" s="1"/>
  <c r="B1859" i="1"/>
  <c r="J361" i="1"/>
  <c r="G361" i="1" s="1"/>
  <c r="F361" i="1"/>
  <c r="H361" i="1"/>
  <c r="B645" i="1"/>
  <c r="C644" i="1"/>
  <c r="D644" i="1" s="1"/>
  <c r="C1859" i="1" l="1"/>
  <c r="D1859" i="1" s="1"/>
  <c r="B1860" i="1"/>
  <c r="I361" i="1"/>
  <c r="E362" i="1" s="1"/>
  <c r="B646" i="1"/>
  <c r="C645" i="1"/>
  <c r="D645" i="1" s="1"/>
  <c r="C1860" i="1" l="1"/>
  <c r="D1860" i="1" s="1"/>
  <c r="B1861" i="1"/>
  <c r="H362" i="1"/>
  <c r="I362" i="1" s="1"/>
  <c r="E363" i="1" s="1"/>
  <c r="J362" i="1"/>
  <c r="G362" i="1" s="1"/>
  <c r="F362" i="1"/>
  <c r="B647" i="1"/>
  <c r="C646" i="1"/>
  <c r="D646" i="1" s="1"/>
  <c r="C1861" i="1" l="1"/>
  <c r="D1861" i="1" s="1"/>
  <c r="B1862" i="1"/>
  <c r="J363" i="1"/>
  <c r="G363" i="1" s="1"/>
  <c r="H363" i="1"/>
  <c r="F363" i="1"/>
  <c r="B648" i="1"/>
  <c r="C647" i="1"/>
  <c r="D647" i="1" s="1"/>
  <c r="C1862" i="1" l="1"/>
  <c r="D1862" i="1" s="1"/>
  <c r="B1863" i="1"/>
  <c r="I363" i="1"/>
  <c r="E364" i="1" s="1"/>
  <c r="B649" i="1"/>
  <c r="C648" i="1"/>
  <c r="D648" i="1" s="1"/>
  <c r="C1863" i="1" l="1"/>
  <c r="D1863" i="1" s="1"/>
  <c r="B1864" i="1"/>
  <c r="J364" i="1"/>
  <c r="G364" i="1" s="1"/>
  <c r="H364" i="1"/>
  <c r="F364" i="1"/>
  <c r="C649" i="1"/>
  <c r="D649" i="1" s="1"/>
  <c r="B650" i="1"/>
  <c r="C1864" i="1" l="1"/>
  <c r="D1864" i="1" s="1"/>
  <c r="B1865" i="1"/>
  <c r="I364" i="1"/>
  <c r="E365" i="1" s="1"/>
  <c r="C650" i="1"/>
  <c r="D650" i="1" s="1"/>
  <c r="B651" i="1"/>
  <c r="C1865" i="1" l="1"/>
  <c r="D1865" i="1" s="1"/>
  <c r="B1866" i="1"/>
  <c r="J365" i="1"/>
  <c r="G365" i="1" s="1"/>
  <c r="F365" i="1"/>
  <c r="H365" i="1"/>
  <c r="B652" i="1"/>
  <c r="C651" i="1"/>
  <c r="D651" i="1" s="1"/>
  <c r="C1866" i="1" l="1"/>
  <c r="D1866" i="1" s="1"/>
  <c r="B1867" i="1"/>
  <c r="I365" i="1"/>
  <c r="E366" i="1" s="1"/>
  <c r="C652" i="1"/>
  <c r="D652" i="1" s="1"/>
  <c r="B653" i="1"/>
  <c r="C1867" i="1" l="1"/>
  <c r="D1867" i="1" s="1"/>
  <c r="B1868" i="1"/>
  <c r="F366" i="1"/>
  <c r="J366" i="1"/>
  <c r="G366" i="1" s="1"/>
  <c r="H366" i="1"/>
  <c r="C653" i="1"/>
  <c r="D653" i="1" s="1"/>
  <c r="B654" i="1"/>
  <c r="C1868" i="1" l="1"/>
  <c r="D1868" i="1" s="1"/>
  <c r="B1869" i="1"/>
  <c r="I366" i="1"/>
  <c r="E367" i="1" s="1"/>
  <c r="C654" i="1"/>
  <c r="D654" i="1" s="1"/>
  <c r="B655" i="1"/>
  <c r="C1869" i="1" l="1"/>
  <c r="D1869" i="1" s="1"/>
  <c r="B1870" i="1"/>
  <c r="H367" i="1"/>
  <c r="F367" i="1"/>
  <c r="J367" i="1"/>
  <c r="G367" i="1" s="1"/>
  <c r="B656" i="1"/>
  <c r="C655" i="1"/>
  <c r="D655" i="1" s="1"/>
  <c r="I367" i="1" l="1"/>
  <c r="E368" i="1" s="1"/>
  <c r="H368" i="1" s="1"/>
  <c r="C1870" i="1"/>
  <c r="D1870" i="1" s="1"/>
  <c r="B1871" i="1"/>
  <c r="B657" i="1"/>
  <c r="C656" i="1"/>
  <c r="D656" i="1" s="1"/>
  <c r="F368" i="1" l="1"/>
  <c r="J368" i="1"/>
  <c r="G368" i="1" s="1"/>
  <c r="I368" i="1" s="1"/>
  <c r="E369" i="1" s="1"/>
  <c r="C1871" i="1"/>
  <c r="D1871" i="1" s="1"/>
  <c r="B1872" i="1"/>
  <c r="B658" i="1"/>
  <c r="C657" i="1"/>
  <c r="D657" i="1" s="1"/>
  <c r="C1872" i="1" l="1"/>
  <c r="D1872" i="1" s="1"/>
  <c r="B1873" i="1"/>
  <c r="H369" i="1"/>
  <c r="I369" i="1" s="1"/>
  <c r="E370" i="1" s="1"/>
  <c r="J369" i="1"/>
  <c r="G369" i="1" s="1"/>
  <c r="F369" i="1"/>
  <c r="C658" i="1"/>
  <c r="D658" i="1" s="1"/>
  <c r="B659" i="1"/>
  <c r="C1873" i="1" l="1"/>
  <c r="D1873" i="1" s="1"/>
  <c r="B1874" i="1"/>
  <c r="J370" i="1"/>
  <c r="G370" i="1" s="1"/>
  <c r="F370" i="1"/>
  <c r="H370" i="1"/>
  <c r="C659" i="1"/>
  <c r="D659" i="1" s="1"/>
  <c r="B660" i="1"/>
  <c r="C1874" i="1" l="1"/>
  <c r="D1874" i="1" s="1"/>
  <c r="B1875" i="1"/>
  <c r="I370" i="1"/>
  <c r="E371" i="1" s="1"/>
  <c r="C660" i="1"/>
  <c r="D660" i="1" s="1"/>
  <c r="B661" i="1"/>
  <c r="C1875" i="1" l="1"/>
  <c r="D1875" i="1" s="1"/>
  <c r="B1876" i="1"/>
  <c r="F371" i="1"/>
  <c r="H371" i="1"/>
  <c r="J371" i="1"/>
  <c r="G371" i="1" s="1"/>
  <c r="C661" i="1"/>
  <c r="D661" i="1" s="1"/>
  <c r="B662" i="1"/>
  <c r="C1876" i="1" l="1"/>
  <c r="D1876" i="1" s="1"/>
  <c r="B1877" i="1"/>
  <c r="I371" i="1"/>
  <c r="E372" i="1" s="1"/>
  <c r="B663" i="1"/>
  <c r="C662" i="1"/>
  <c r="D662" i="1" s="1"/>
  <c r="C1877" i="1" l="1"/>
  <c r="D1877" i="1" s="1"/>
  <c r="B1878" i="1"/>
  <c r="H372" i="1"/>
  <c r="I372" i="1" s="1"/>
  <c r="E373" i="1" s="1"/>
  <c r="J372" i="1"/>
  <c r="G372" i="1" s="1"/>
  <c r="F372" i="1"/>
  <c r="B664" i="1"/>
  <c r="C663" i="1"/>
  <c r="D663" i="1" s="1"/>
  <c r="C1878" i="1" l="1"/>
  <c r="D1878" i="1" s="1"/>
  <c r="B1879" i="1"/>
  <c r="H373" i="1"/>
  <c r="F373" i="1"/>
  <c r="J373" i="1"/>
  <c r="G373" i="1" s="1"/>
  <c r="C664" i="1"/>
  <c r="D664" i="1" s="1"/>
  <c r="B665" i="1"/>
  <c r="I373" i="1" l="1"/>
  <c r="E374" i="1" s="1"/>
  <c r="C1879" i="1"/>
  <c r="D1879" i="1" s="1"/>
  <c r="B1880" i="1"/>
  <c r="H374" i="1"/>
  <c r="F374" i="1"/>
  <c r="J374" i="1"/>
  <c r="G374" i="1" s="1"/>
  <c r="B666" i="1"/>
  <c r="C665" i="1"/>
  <c r="D665" i="1" s="1"/>
  <c r="C1880" i="1" l="1"/>
  <c r="D1880" i="1" s="1"/>
  <c r="B1881" i="1"/>
  <c r="I374" i="1"/>
  <c r="E375" i="1" s="1"/>
  <c r="C666" i="1"/>
  <c r="D666" i="1" s="1"/>
  <c r="B667" i="1"/>
  <c r="C1881" i="1" l="1"/>
  <c r="D1881" i="1" s="1"/>
  <c r="B1882" i="1"/>
  <c r="H375" i="1"/>
  <c r="I375" i="1" s="1"/>
  <c r="E376" i="1" s="1"/>
  <c r="J375" i="1"/>
  <c r="G375" i="1" s="1"/>
  <c r="F375" i="1"/>
  <c r="B668" i="1"/>
  <c r="C667" i="1"/>
  <c r="D667" i="1" s="1"/>
  <c r="C1882" i="1" l="1"/>
  <c r="D1882" i="1" s="1"/>
  <c r="B1883" i="1"/>
  <c r="H376" i="1"/>
  <c r="I376" i="1" s="1"/>
  <c r="E377" i="1" s="1"/>
  <c r="E5" i="2" s="1"/>
  <c r="F376" i="1"/>
  <c r="J376" i="1"/>
  <c r="G376" i="1" s="1"/>
  <c r="B669" i="1"/>
  <c r="C668" i="1"/>
  <c r="D668" i="1" s="1"/>
  <c r="F5" i="2"/>
  <c r="J5" i="2" l="1"/>
  <c r="K5" i="2" s="1"/>
  <c r="H5" i="2"/>
  <c r="I5" i="2" s="1"/>
  <c r="C1883" i="1"/>
  <c r="D1883" i="1" s="1"/>
  <c r="B1884" i="1"/>
  <c r="H377" i="1"/>
  <c r="F377" i="1"/>
  <c r="J377" i="1"/>
  <c r="B670" i="1"/>
  <c r="C669" i="1"/>
  <c r="D669" i="1" s="1"/>
  <c r="C1884" i="1" l="1"/>
  <c r="D1884" i="1" s="1"/>
  <c r="B1885" i="1"/>
  <c r="G377" i="1"/>
  <c r="I377" i="1" s="1"/>
  <c r="E378" i="1" s="1"/>
  <c r="C670" i="1"/>
  <c r="D670" i="1" s="1"/>
  <c r="B671" i="1"/>
  <c r="C1885" i="1" l="1"/>
  <c r="D1885" i="1" s="1"/>
  <c r="B1886" i="1"/>
  <c r="H378" i="1"/>
  <c r="I378" i="1" s="1"/>
  <c r="E379" i="1" s="1"/>
  <c r="J378" i="1"/>
  <c r="G378" i="1" s="1"/>
  <c r="F378" i="1"/>
  <c r="C671" i="1"/>
  <c r="D671" i="1" s="1"/>
  <c r="B672" i="1"/>
  <c r="C1886" i="1" l="1"/>
  <c r="D1886" i="1" s="1"/>
  <c r="B1887" i="1"/>
  <c r="H379" i="1"/>
  <c r="I379" i="1" s="1"/>
  <c r="E380" i="1" s="1"/>
  <c r="H380" i="1" s="1"/>
  <c r="J379" i="1"/>
  <c r="G379" i="1" s="1"/>
  <c r="F379" i="1"/>
  <c r="C672" i="1"/>
  <c r="D672" i="1" s="1"/>
  <c r="B673" i="1"/>
  <c r="C1887" i="1" l="1"/>
  <c r="D1887" i="1" s="1"/>
  <c r="B1888" i="1"/>
  <c r="J380" i="1"/>
  <c r="G380" i="1" s="1"/>
  <c r="I380" i="1" s="1"/>
  <c r="E381" i="1" s="1"/>
  <c r="F380" i="1"/>
  <c r="B674" i="1"/>
  <c r="C673" i="1"/>
  <c r="D673" i="1" s="1"/>
  <c r="C1888" i="1" l="1"/>
  <c r="D1888" i="1" s="1"/>
  <c r="B1889" i="1"/>
  <c r="H381" i="1"/>
  <c r="J381" i="1"/>
  <c r="G381" i="1" s="1"/>
  <c r="F381" i="1"/>
  <c r="C674" i="1"/>
  <c r="D674" i="1" s="1"/>
  <c r="B675" i="1"/>
  <c r="C1889" i="1" l="1"/>
  <c r="D1889" i="1" s="1"/>
  <c r="B1890" i="1"/>
  <c r="I381" i="1"/>
  <c r="E382" i="1" s="1"/>
  <c r="B676" i="1"/>
  <c r="C675" i="1"/>
  <c r="D675" i="1" s="1"/>
  <c r="C1890" i="1" l="1"/>
  <c r="D1890" i="1" s="1"/>
  <c r="B1891" i="1"/>
  <c r="H382" i="1"/>
  <c r="F382" i="1"/>
  <c r="J382" i="1"/>
  <c r="G382" i="1" s="1"/>
  <c r="C676" i="1"/>
  <c r="D676" i="1" s="1"/>
  <c r="B677" i="1"/>
  <c r="C1891" i="1" l="1"/>
  <c r="D1891" i="1" s="1"/>
  <c r="B1892" i="1"/>
  <c r="I382" i="1"/>
  <c r="E383" i="1" s="1"/>
  <c r="B678" i="1"/>
  <c r="C677" i="1"/>
  <c r="D677" i="1" s="1"/>
  <c r="C1892" i="1" l="1"/>
  <c r="D1892" i="1" s="1"/>
  <c r="B1893" i="1"/>
  <c r="H383" i="1"/>
  <c r="F383" i="1"/>
  <c r="J383" i="1"/>
  <c r="G383" i="1" s="1"/>
  <c r="C678" i="1"/>
  <c r="D678" i="1" s="1"/>
  <c r="B679" i="1"/>
  <c r="C1893" i="1" l="1"/>
  <c r="D1893" i="1" s="1"/>
  <c r="B1894" i="1"/>
  <c r="I383" i="1"/>
  <c r="E384" i="1" s="1"/>
  <c r="H384" i="1" s="1"/>
  <c r="C679" i="1"/>
  <c r="D679" i="1" s="1"/>
  <c r="B680" i="1"/>
  <c r="C1894" i="1" l="1"/>
  <c r="D1894" i="1" s="1"/>
  <c r="B1895" i="1"/>
  <c r="F384" i="1"/>
  <c r="J384" i="1"/>
  <c r="B681" i="1"/>
  <c r="C680" i="1"/>
  <c r="D680" i="1" s="1"/>
  <c r="B1896" i="1" l="1"/>
  <c r="C1895" i="1"/>
  <c r="D1895" i="1" s="1"/>
  <c r="G384" i="1"/>
  <c r="I384" i="1" s="1"/>
  <c r="E385" i="1" s="1"/>
  <c r="H385" i="1" s="1"/>
  <c r="C681" i="1"/>
  <c r="D681" i="1" s="1"/>
  <c r="B682" i="1"/>
  <c r="C1896" i="1" l="1"/>
  <c r="D1896" i="1" s="1"/>
  <c r="B1897" i="1"/>
  <c r="J385" i="1"/>
  <c r="G385" i="1" s="1"/>
  <c r="I385" i="1" s="1"/>
  <c r="E386" i="1" s="1"/>
  <c r="F385" i="1"/>
  <c r="C682" i="1"/>
  <c r="D682" i="1" s="1"/>
  <c r="B683" i="1"/>
  <c r="C1897" i="1" l="1"/>
  <c r="D1897" i="1" s="1"/>
  <c r="B1898" i="1"/>
  <c r="J386" i="1"/>
  <c r="G386" i="1" s="1"/>
  <c r="H386" i="1"/>
  <c r="F386" i="1"/>
  <c r="B684" i="1"/>
  <c r="C683" i="1"/>
  <c r="D683" i="1" s="1"/>
  <c r="C1898" i="1" l="1"/>
  <c r="D1898" i="1" s="1"/>
  <c r="B1899" i="1"/>
  <c r="I386" i="1"/>
  <c r="E387" i="1" s="1"/>
  <c r="C684" i="1"/>
  <c r="D684" i="1" s="1"/>
  <c r="B685" i="1"/>
  <c r="C1899" i="1" l="1"/>
  <c r="D1899" i="1" s="1"/>
  <c r="B1900" i="1"/>
  <c r="H387" i="1"/>
  <c r="J387" i="1"/>
  <c r="G387" i="1" s="1"/>
  <c r="F387" i="1"/>
  <c r="B686" i="1"/>
  <c r="C685" i="1"/>
  <c r="D685" i="1" s="1"/>
  <c r="C1900" i="1" l="1"/>
  <c r="D1900" i="1" s="1"/>
  <c r="B1901" i="1"/>
  <c r="I387" i="1"/>
  <c r="E388" i="1" s="1"/>
  <c r="B687" i="1"/>
  <c r="C686" i="1"/>
  <c r="D686" i="1" s="1"/>
  <c r="C1901" i="1" l="1"/>
  <c r="D1901" i="1" s="1"/>
  <c r="B1902" i="1"/>
  <c r="J388" i="1"/>
  <c r="G388" i="1" s="1"/>
  <c r="F388" i="1"/>
  <c r="H388" i="1"/>
  <c r="B688" i="1"/>
  <c r="C687" i="1"/>
  <c r="D687" i="1" s="1"/>
  <c r="C1902" i="1" l="1"/>
  <c r="D1902" i="1" s="1"/>
  <c r="B1903" i="1"/>
  <c r="I388" i="1"/>
  <c r="E389" i="1" s="1"/>
  <c r="C688" i="1"/>
  <c r="D688" i="1" s="1"/>
  <c r="B689" i="1"/>
  <c r="C1903" i="1" l="1"/>
  <c r="D1903" i="1" s="1"/>
  <c r="B1904" i="1"/>
  <c r="F389" i="1"/>
  <c r="H389" i="1"/>
  <c r="J389" i="1"/>
  <c r="G389" i="1" s="1"/>
  <c r="C689" i="1"/>
  <c r="D689" i="1" s="1"/>
  <c r="B690" i="1"/>
  <c r="C1904" i="1" l="1"/>
  <c r="D1904" i="1" s="1"/>
  <c r="B1905" i="1"/>
  <c r="I389" i="1"/>
  <c r="E390" i="1" s="1"/>
  <c r="C690" i="1"/>
  <c r="D690" i="1" s="1"/>
  <c r="B691" i="1"/>
  <c r="C1905" i="1" l="1"/>
  <c r="D1905" i="1" s="1"/>
  <c r="B1906" i="1"/>
  <c r="J390" i="1"/>
  <c r="G390" i="1" s="1"/>
  <c r="H390" i="1"/>
  <c r="F390" i="1"/>
  <c r="C691" i="1"/>
  <c r="D691" i="1" s="1"/>
  <c r="B692" i="1"/>
  <c r="C1906" i="1" l="1"/>
  <c r="D1906" i="1" s="1"/>
  <c r="B1907" i="1"/>
  <c r="I390" i="1"/>
  <c r="E391" i="1" s="1"/>
  <c r="C692" i="1"/>
  <c r="D692" i="1" s="1"/>
  <c r="B693" i="1"/>
  <c r="C1907" i="1" l="1"/>
  <c r="D1907" i="1" s="1"/>
  <c r="B1908" i="1"/>
  <c r="J391" i="1"/>
  <c r="G391" i="1" s="1"/>
  <c r="F391" i="1"/>
  <c r="H391" i="1"/>
  <c r="B694" i="1"/>
  <c r="C693" i="1"/>
  <c r="D693" i="1" s="1"/>
  <c r="C1908" i="1" l="1"/>
  <c r="D1908" i="1" s="1"/>
  <c r="B1909" i="1"/>
  <c r="I391" i="1"/>
  <c r="E392" i="1" s="1"/>
  <c r="J392" i="1" s="1"/>
  <c r="G392" i="1" s="1"/>
  <c r="C694" i="1"/>
  <c r="D694" i="1" s="1"/>
  <c r="B695" i="1"/>
  <c r="F392" i="1" l="1"/>
  <c r="C1909" i="1"/>
  <c r="D1909" i="1" s="1"/>
  <c r="B1910" i="1"/>
  <c r="H392" i="1"/>
  <c r="I392" i="1" s="1"/>
  <c r="E393" i="1" s="1"/>
  <c r="C695" i="1"/>
  <c r="D695" i="1" s="1"/>
  <c r="B696" i="1"/>
  <c r="B1911" i="1" l="1"/>
  <c r="C1910" i="1"/>
  <c r="D1910" i="1" s="1"/>
  <c r="H393" i="1"/>
  <c r="J393" i="1"/>
  <c r="G393" i="1" s="1"/>
  <c r="F393" i="1"/>
  <c r="B697" i="1"/>
  <c r="C696" i="1"/>
  <c r="D696" i="1" s="1"/>
  <c r="C1911" i="1" l="1"/>
  <c r="D1911" i="1" s="1"/>
  <c r="B1912" i="1"/>
  <c r="I393" i="1"/>
  <c r="E394" i="1" s="1"/>
  <c r="C697" i="1"/>
  <c r="D697" i="1" s="1"/>
  <c r="B698" i="1"/>
  <c r="C1912" i="1" l="1"/>
  <c r="D1912" i="1" s="1"/>
  <c r="B1913" i="1"/>
  <c r="J394" i="1"/>
  <c r="G394" i="1" s="1"/>
  <c r="H394" i="1"/>
  <c r="F394" i="1"/>
  <c r="B699" i="1"/>
  <c r="C698" i="1"/>
  <c r="D698" i="1" s="1"/>
  <c r="C1913" i="1" l="1"/>
  <c r="D1913" i="1" s="1"/>
  <c r="B1914" i="1"/>
  <c r="I394" i="1"/>
  <c r="E395" i="1" s="1"/>
  <c r="B700" i="1"/>
  <c r="C699" i="1"/>
  <c r="D699" i="1" s="1"/>
  <c r="C1914" i="1" l="1"/>
  <c r="D1914" i="1" s="1"/>
  <c r="B1915" i="1"/>
  <c r="H395" i="1"/>
  <c r="J395" i="1"/>
  <c r="G395" i="1" s="1"/>
  <c r="F395" i="1"/>
  <c r="B701" i="1"/>
  <c r="C700" i="1"/>
  <c r="D700" i="1" s="1"/>
  <c r="C1915" i="1" l="1"/>
  <c r="D1915" i="1" s="1"/>
  <c r="B1916" i="1"/>
  <c r="I395" i="1"/>
  <c r="E396" i="1" s="1"/>
  <c r="H396" i="1" s="1"/>
  <c r="C701" i="1"/>
  <c r="D701" i="1" s="1"/>
  <c r="B702" i="1"/>
  <c r="C1916" i="1" l="1"/>
  <c r="D1916" i="1" s="1"/>
  <c r="B1917" i="1"/>
  <c r="F396" i="1"/>
  <c r="J396" i="1"/>
  <c r="G396" i="1" s="1"/>
  <c r="C702" i="1"/>
  <c r="D702" i="1" s="1"/>
  <c r="B703" i="1"/>
  <c r="C1917" i="1" l="1"/>
  <c r="D1917" i="1" s="1"/>
  <c r="B1918" i="1"/>
  <c r="I396" i="1"/>
  <c r="E397" i="1" s="1"/>
  <c r="J397" i="1" s="1"/>
  <c r="G397" i="1" s="1"/>
  <c r="B704" i="1"/>
  <c r="C703" i="1"/>
  <c r="D703" i="1" s="1"/>
  <c r="C1918" i="1" l="1"/>
  <c r="D1918" i="1" s="1"/>
  <c r="B1919" i="1"/>
  <c r="H397" i="1"/>
  <c r="F397" i="1"/>
  <c r="B705" i="1"/>
  <c r="C704" i="1"/>
  <c r="D704" i="1" s="1"/>
  <c r="C1919" i="1" l="1"/>
  <c r="D1919" i="1" s="1"/>
  <c r="B1920" i="1"/>
  <c r="I397" i="1"/>
  <c r="E398" i="1" s="1"/>
  <c r="F398" i="1" s="1"/>
  <c r="C705" i="1"/>
  <c r="D705" i="1" s="1"/>
  <c r="B706" i="1"/>
  <c r="C1920" i="1" l="1"/>
  <c r="D1920" i="1" s="1"/>
  <c r="B1921" i="1"/>
  <c r="J398" i="1"/>
  <c r="H398" i="1"/>
  <c r="C706" i="1"/>
  <c r="D706" i="1" s="1"/>
  <c r="B707" i="1"/>
  <c r="C1921" i="1" l="1"/>
  <c r="D1921" i="1" s="1"/>
  <c r="B1922" i="1"/>
  <c r="G398" i="1"/>
  <c r="I398" i="1" s="1"/>
  <c r="E399" i="1" s="1"/>
  <c r="B708" i="1"/>
  <c r="C707" i="1"/>
  <c r="D707" i="1" s="1"/>
  <c r="C1922" i="1" l="1"/>
  <c r="D1922" i="1" s="1"/>
  <c r="B1923" i="1"/>
  <c r="J399" i="1"/>
  <c r="G399" i="1" s="1"/>
  <c r="H399" i="1"/>
  <c r="F399" i="1"/>
  <c r="C708" i="1"/>
  <c r="D708" i="1" s="1"/>
  <c r="B709" i="1"/>
  <c r="C1923" i="1" l="1"/>
  <c r="D1923" i="1" s="1"/>
  <c r="B1924" i="1"/>
  <c r="I399" i="1"/>
  <c r="E400" i="1" s="1"/>
  <c r="B710" i="1"/>
  <c r="C709" i="1"/>
  <c r="D709" i="1" s="1"/>
  <c r="C1924" i="1" l="1"/>
  <c r="D1924" i="1" s="1"/>
  <c r="B1925" i="1"/>
  <c r="H400" i="1"/>
  <c r="J400" i="1"/>
  <c r="G400" i="1" s="1"/>
  <c r="F400" i="1"/>
  <c r="B711" i="1"/>
  <c r="C710" i="1"/>
  <c r="D710" i="1" s="1"/>
  <c r="C1925" i="1" l="1"/>
  <c r="D1925" i="1" s="1"/>
  <c r="B1926" i="1"/>
  <c r="I400" i="1"/>
  <c r="E401" i="1" s="1"/>
  <c r="C711" i="1"/>
  <c r="D711" i="1" s="1"/>
  <c r="B712" i="1"/>
  <c r="B1927" i="1" l="1"/>
  <c r="C1926" i="1"/>
  <c r="D1926" i="1" s="1"/>
  <c r="J401" i="1"/>
  <c r="G401" i="1" s="1"/>
  <c r="F401" i="1"/>
  <c r="H401" i="1"/>
  <c r="C712" i="1"/>
  <c r="D712" i="1" s="1"/>
  <c r="B713" i="1"/>
  <c r="C1927" i="1" l="1"/>
  <c r="D1927" i="1" s="1"/>
  <c r="B1928" i="1"/>
  <c r="I401" i="1"/>
  <c r="E402" i="1" s="1"/>
  <c r="B714" i="1"/>
  <c r="C713" i="1"/>
  <c r="D713" i="1" s="1"/>
  <c r="B1929" i="1" l="1"/>
  <c r="C1928" i="1"/>
  <c r="D1928" i="1" s="1"/>
  <c r="J402" i="1"/>
  <c r="G402" i="1" s="1"/>
  <c r="H402" i="1"/>
  <c r="F402" i="1"/>
  <c r="B715" i="1"/>
  <c r="C714" i="1"/>
  <c r="D714" i="1" s="1"/>
  <c r="C1929" i="1" l="1"/>
  <c r="D1929" i="1" s="1"/>
  <c r="B1930" i="1"/>
  <c r="I402" i="1"/>
  <c r="E403" i="1" s="1"/>
  <c r="B716" i="1"/>
  <c r="C715" i="1"/>
  <c r="D715" i="1" s="1"/>
  <c r="B1931" i="1" l="1"/>
  <c r="C1930" i="1"/>
  <c r="D1930" i="1" s="1"/>
  <c r="J403" i="1"/>
  <c r="G403" i="1" s="1"/>
  <c r="H403" i="1"/>
  <c r="F403" i="1"/>
  <c r="C716" i="1"/>
  <c r="D716" i="1" s="1"/>
  <c r="B717" i="1"/>
  <c r="C1931" i="1" l="1"/>
  <c r="D1931" i="1" s="1"/>
  <c r="B1932" i="1"/>
  <c r="I403" i="1"/>
  <c r="E404" i="1" s="1"/>
  <c r="C717" i="1"/>
  <c r="D717" i="1" s="1"/>
  <c r="B718" i="1"/>
  <c r="C1932" i="1" l="1"/>
  <c r="D1932" i="1" s="1"/>
  <c r="B1933" i="1"/>
  <c r="F404" i="1"/>
  <c r="H404" i="1"/>
  <c r="J404" i="1"/>
  <c r="G404" i="1" s="1"/>
  <c r="B719" i="1"/>
  <c r="C718" i="1"/>
  <c r="D718" i="1" s="1"/>
  <c r="C1933" i="1" l="1"/>
  <c r="D1933" i="1" s="1"/>
  <c r="B1934" i="1"/>
  <c r="I404" i="1"/>
  <c r="E405" i="1" s="1"/>
  <c r="B720" i="1"/>
  <c r="C719" i="1"/>
  <c r="D719" i="1" s="1"/>
  <c r="C1934" i="1" l="1"/>
  <c r="D1934" i="1" s="1"/>
  <c r="B1935" i="1"/>
  <c r="H405" i="1"/>
  <c r="J405" i="1"/>
  <c r="G405" i="1" s="1"/>
  <c r="F405" i="1"/>
  <c r="B721" i="1"/>
  <c r="C720" i="1"/>
  <c r="D720" i="1" s="1"/>
  <c r="I405" i="1" l="1"/>
  <c r="E406" i="1" s="1"/>
  <c r="B1936" i="1"/>
  <c r="C1935" i="1"/>
  <c r="D1935" i="1" s="1"/>
  <c r="H406" i="1"/>
  <c r="J406" i="1"/>
  <c r="G406" i="1" s="1"/>
  <c r="F406" i="1"/>
  <c r="C721" i="1"/>
  <c r="D721" i="1" s="1"/>
  <c r="B722" i="1"/>
  <c r="I406" i="1" l="1"/>
  <c r="E407" i="1" s="1"/>
  <c r="F407" i="1" s="1"/>
  <c r="C1936" i="1"/>
  <c r="D1936" i="1" s="1"/>
  <c r="B1937" i="1"/>
  <c r="B723" i="1"/>
  <c r="C722" i="1"/>
  <c r="D722" i="1" s="1"/>
  <c r="H407" i="1" l="1"/>
  <c r="J407" i="1"/>
  <c r="G407" i="1" s="1"/>
  <c r="C1937" i="1"/>
  <c r="D1937" i="1" s="1"/>
  <c r="B1938" i="1"/>
  <c r="C723" i="1"/>
  <c r="D723" i="1" s="1"/>
  <c r="B724" i="1"/>
  <c r="I407" i="1" l="1"/>
  <c r="E408" i="1" s="1"/>
  <c r="C1938" i="1"/>
  <c r="D1938" i="1" s="1"/>
  <c r="B1939" i="1"/>
  <c r="C724" i="1"/>
  <c r="D724" i="1" s="1"/>
  <c r="B725" i="1"/>
  <c r="J408" i="1" l="1"/>
  <c r="G408" i="1" s="1"/>
  <c r="F408" i="1"/>
  <c r="H408" i="1"/>
  <c r="I408" i="1" s="1"/>
  <c r="E409" i="1" s="1"/>
  <c r="J409" i="1" s="1"/>
  <c r="G409" i="1" s="1"/>
  <c r="C1939" i="1"/>
  <c r="D1939" i="1" s="1"/>
  <c r="B1940" i="1"/>
  <c r="C725" i="1"/>
  <c r="D725" i="1" s="1"/>
  <c r="B726" i="1"/>
  <c r="F409" i="1" l="1"/>
  <c r="H409" i="1"/>
  <c r="I409" i="1" s="1"/>
  <c r="E410" i="1" s="1"/>
  <c r="C1940" i="1"/>
  <c r="D1940" i="1" s="1"/>
  <c r="B1941" i="1"/>
  <c r="C726" i="1"/>
  <c r="D726" i="1" s="1"/>
  <c r="B727" i="1"/>
  <c r="H410" i="1" l="1"/>
  <c r="F410" i="1"/>
  <c r="J410" i="1"/>
  <c r="G410" i="1" s="1"/>
  <c r="C1941" i="1"/>
  <c r="D1941" i="1" s="1"/>
  <c r="B1942" i="1"/>
  <c r="B728" i="1"/>
  <c r="C727" i="1"/>
  <c r="D727" i="1" s="1"/>
  <c r="I410" i="1" l="1"/>
  <c r="E411" i="1" s="1"/>
  <c r="B1943" i="1"/>
  <c r="C1942" i="1"/>
  <c r="D1942" i="1" s="1"/>
  <c r="C728" i="1"/>
  <c r="D728" i="1" s="1"/>
  <c r="B729" i="1"/>
  <c r="J411" i="1" l="1"/>
  <c r="G411" i="1" s="1"/>
  <c r="H411" i="1"/>
  <c r="F411" i="1"/>
  <c r="C1943" i="1"/>
  <c r="D1943" i="1" s="1"/>
  <c r="B1944" i="1"/>
  <c r="B730" i="1"/>
  <c r="C729" i="1"/>
  <c r="D729" i="1" s="1"/>
  <c r="I411" i="1" l="1"/>
  <c r="E412" i="1" s="1"/>
  <c r="B1945" i="1"/>
  <c r="C1944" i="1"/>
  <c r="D1944" i="1" s="1"/>
  <c r="B731" i="1"/>
  <c r="C730" i="1"/>
  <c r="D730" i="1" s="1"/>
  <c r="J412" i="1" l="1"/>
  <c r="G412" i="1" s="1"/>
  <c r="F412" i="1"/>
  <c r="H412" i="1"/>
  <c r="I412" i="1" s="1"/>
  <c r="E413" i="1" s="1"/>
  <c r="J413" i="1" s="1"/>
  <c r="G413" i="1" s="1"/>
  <c r="C1945" i="1"/>
  <c r="D1945" i="1" s="1"/>
  <c r="B1946" i="1"/>
  <c r="C731" i="1"/>
  <c r="D731" i="1" s="1"/>
  <c r="B732" i="1"/>
  <c r="H413" i="1" l="1"/>
  <c r="F413" i="1"/>
  <c r="B1947" i="1"/>
  <c r="C1946" i="1"/>
  <c r="D1946" i="1" s="1"/>
  <c r="I413" i="1"/>
  <c r="E414" i="1" s="1"/>
  <c r="C732" i="1"/>
  <c r="D732" i="1" s="1"/>
  <c r="B733" i="1"/>
  <c r="B1948" i="1" l="1"/>
  <c r="C1947" i="1"/>
  <c r="D1947" i="1" s="1"/>
  <c r="J414" i="1"/>
  <c r="G414" i="1" s="1"/>
  <c r="F414" i="1"/>
  <c r="H414" i="1"/>
  <c r="B734" i="1"/>
  <c r="C733" i="1"/>
  <c r="D733" i="1" s="1"/>
  <c r="C1948" i="1" l="1"/>
  <c r="D1948" i="1" s="1"/>
  <c r="B1949" i="1"/>
  <c r="I414" i="1"/>
  <c r="E415" i="1" s="1"/>
  <c r="C734" i="1"/>
  <c r="D734" i="1" s="1"/>
  <c r="B735" i="1"/>
  <c r="C1949" i="1" l="1"/>
  <c r="D1949" i="1" s="1"/>
  <c r="B1950" i="1"/>
  <c r="J415" i="1"/>
  <c r="G415" i="1" s="1"/>
  <c r="F415" i="1"/>
  <c r="H415" i="1"/>
  <c r="C735" i="1"/>
  <c r="D735" i="1" s="1"/>
  <c r="B736" i="1"/>
  <c r="I415" i="1" l="1"/>
  <c r="E416" i="1" s="1"/>
  <c r="H416" i="1" s="1"/>
  <c r="C1950" i="1"/>
  <c r="D1950" i="1" s="1"/>
  <c r="B1951" i="1"/>
  <c r="F416" i="1"/>
  <c r="J416" i="1"/>
  <c r="G416" i="1" s="1"/>
  <c r="C736" i="1"/>
  <c r="D736" i="1" s="1"/>
  <c r="B737" i="1"/>
  <c r="C1951" i="1" l="1"/>
  <c r="D1951" i="1" s="1"/>
  <c r="B1952" i="1"/>
  <c r="I416" i="1"/>
  <c r="E417" i="1" s="1"/>
  <c r="C737" i="1"/>
  <c r="D737" i="1" s="1"/>
  <c r="B738" i="1"/>
  <c r="C1952" i="1" l="1"/>
  <c r="D1952" i="1" s="1"/>
  <c r="B1953" i="1"/>
  <c r="H417" i="1"/>
  <c r="F417" i="1"/>
  <c r="J417" i="1"/>
  <c r="G417" i="1" s="1"/>
  <c r="C738" i="1"/>
  <c r="D738" i="1" s="1"/>
  <c r="B739" i="1"/>
  <c r="C1953" i="1" l="1"/>
  <c r="D1953" i="1" s="1"/>
  <c r="B1954" i="1"/>
  <c r="I417" i="1"/>
  <c r="E418" i="1" s="1"/>
  <c r="C739" i="1"/>
  <c r="D739" i="1" s="1"/>
  <c r="B740" i="1"/>
  <c r="C1954" i="1" l="1"/>
  <c r="D1954" i="1" s="1"/>
  <c r="B1955" i="1"/>
  <c r="H418" i="1"/>
  <c r="J418" i="1"/>
  <c r="G418" i="1" s="1"/>
  <c r="F418" i="1"/>
  <c r="B741" i="1"/>
  <c r="C740" i="1"/>
  <c r="D740" i="1" s="1"/>
  <c r="C1955" i="1" l="1"/>
  <c r="D1955" i="1" s="1"/>
  <c r="B1956" i="1"/>
  <c r="I418" i="1"/>
  <c r="E419" i="1" s="1"/>
  <c r="J419" i="1" s="1"/>
  <c r="G419" i="1" s="1"/>
  <c r="B742" i="1"/>
  <c r="C741" i="1"/>
  <c r="D741" i="1" s="1"/>
  <c r="H419" i="1" l="1"/>
  <c r="F419" i="1"/>
  <c r="C1956" i="1"/>
  <c r="D1956" i="1" s="1"/>
  <c r="B1957" i="1"/>
  <c r="I419" i="1"/>
  <c r="E420" i="1" s="1"/>
  <c r="H420" i="1" s="1"/>
  <c r="C742" i="1"/>
  <c r="D742" i="1" s="1"/>
  <c r="B743" i="1"/>
  <c r="J420" i="1" l="1"/>
  <c r="G420" i="1" s="1"/>
  <c r="I420" i="1" s="1"/>
  <c r="E421" i="1" s="1"/>
  <c r="F420" i="1"/>
  <c r="C1957" i="1"/>
  <c r="D1957" i="1" s="1"/>
  <c r="B1958" i="1"/>
  <c r="C743" i="1"/>
  <c r="D743" i="1" s="1"/>
  <c r="B744" i="1"/>
  <c r="C1958" i="1" l="1"/>
  <c r="D1958" i="1" s="1"/>
  <c r="B1959" i="1"/>
  <c r="F421" i="1"/>
  <c r="H421" i="1"/>
  <c r="J421" i="1"/>
  <c r="G421" i="1" s="1"/>
  <c r="C744" i="1"/>
  <c r="D744" i="1" s="1"/>
  <c r="B745" i="1"/>
  <c r="C1959" i="1" l="1"/>
  <c r="D1959" i="1" s="1"/>
  <c r="B1960" i="1"/>
  <c r="I421" i="1"/>
  <c r="E422" i="1" s="1"/>
  <c r="B746" i="1"/>
  <c r="C745" i="1"/>
  <c r="D745" i="1" s="1"/>
  <c r="C1960" i="1" l="1"/>
  <c r="D1960" i="1" s="1"/>
  <c r="B1961" i="1"/>
  <c r="H422" i="1"/>
  <c r="J422" i="1"/>
  <c r="G422" i="1" s="1"/>
  <c r="F422" i="1"/>
  <c r="B747" i="1"/>
  <c r="C746" i="1"/>
  <c r="D746" i="1" s="1"/>
  <c r="C1961" i="1" l="1"/>
  <c r="D1961" i="1" s="1"/>
  <c r="B1962" i="1"/>
  <c r="I422" i="1"/>
  <c r="E423" i="1" s="1"/>
  <c r="B748" i="1"/>
  <c r="C747" i="1"/>
  <c r="D747" i="1" s="1"/>
  <c r="C1962" i="1" l="1"/>
  <c r="D1962" i="1" s="1"/>
  <c r="B1963" i="1"/>
  <c r="J423" i="1"/>
  <c r="G423" i="1" s="1"/>
  <c r="H423" i="1"/>
  <c r="F423" i="1"/>
  <c r="B749" i="1"/>
  <c r="C748" i="1"/>
  <c r="D748" i="1" s="1"/>
  <c r="C1963" i="1" l="1"/>
  <c r="D1963" i="1" s="1"/>
  <c r="B1964" i="1"/>
  <c r="I423" i="1"/>
  <c r="E424" i="1" s="1"/>
  <c r="H424" i="1" s="1"/>
  <c r="C749" i="1"/>
  <c r="D749" i="1" s="1"/>
  <c r="B750" i="1"/>
  <c r="F424" i="1" l="1"/>
  <c r="J424" i="1"/>
  <c r="G424" i="1" s="1"/>
  <c r="C1964" i="1"/>
  <c r="D1964" i="1" s="1"/>
  <c r="B1965" i="1"/>
  <c r="I424" i="1"/>
  <c r="E425" i="1" s="1"/>
  <c r="B751" i="1"/>
  <c r="C750" i="1"/>
  <c r="D750" i="1" s="1"/>
  <c r="C1965" i="1" l="1"/>
  <c r="D1965" i="1" s="1"/>
  <c r="B1966" i="1"/>
  <c r="H425" i="1"/>
  <c r="F425" i="1"/>
  <c r="J425" i="1"/>
  <c r="G425" i="1" s="1"/>
  <c r="C751" i="1"/>
  <c r="D751" i="1" s="1"/>
  <c r="B752" i="1"/>
  <c r="C1966" i="1" l="1"/>
  <c r="D1966" i="1" s="1"/>
  <c r="B1967" i="1"/>
  <c r="I425" i="1"/>
  <c r="E426" i="1" s="1"/>
  <c r="C752" i="1"/>
  <c r="D752" i="1" s="1"/>
  <c r="B753" i="1"/>
  <c r="C1967" i="1" l="1"/>
  <c r="D1967" i="1" s="1"/>
  <c r="B1968" i="1"/>
  <c r="H426" i="1"/>
  <c r="J426" i="1"/>
  <c r="G426" i="1" s="1"/>
  <c r="F426" i="1"/>
  <c r="C753" i="1"/>
  <c r="D753" i="1" s="1"/>
  <c r="B754" i="1"/>
  <c r="C754" i="1" s="1"/>
  <c r="D754" i="1" s="1"/>
  <c r="C1968" i="1" l="1"/>
  <c r="D1968" i="1" s="1"/>
  <c r="B1969" i="1"/>
  <c r="I426" i="1"/>
  <c r="E427" i="1" s="1"/>
  <c r="C1969" i="1" l="1"/>
  <c r="D1969" i="1" s="1"/>
  <c r="B1970" i="1"/>
  <c r="J427" i="1"/>
  <c r="G427" i="1" s="1"/>
  <c r="H427" i="1"/>
  <c r="F427" i="1"/>
  <c r="C1970" i="1" l="1"/>
  <c r="D1970" i="1" s="1"/>
  <c r="B1971" i="1"/>
  <c r="I427" i="1"/>
  <c r="E428" i="1" s="1"/>
  <c r="C1971" i="1" l="1"/>
  <c r="D1971" i="1" s="1"/>
  <c r="B1972" i="1"/>
  <c r="J428" i="1"/>
  <c r="G428" i="1" s="1"/>
  <c r="H428" i="1"/>
  <c r="F428" i="1"/>
  <c r="C1972" i="1" l="1"/>
  <c r="D1972" i="1" s="1"/>
  <c r="B1973" i="1"/>
  <c r="I428" i="1"/>
  <c r="E429" i="1" s="1"/>
  <c r="H429" i="1" s="1"/>
  <c r="F429" i="1" l="1"/>
  <c r="J429" i="1"/>
  <c r="G429" i="1" s="1"/>
  <c r="C1973" i="1"/>
  <c r="D1973" i="1" s="1"/>
  <c r="B1974" i="1"/>
  <c r="I429" i="1"/>
  <c r="E430" i="1" s="1"/>
  <c r="B1975" i="1" l="1"/>
  <c r="C1974" i="1"/>
  <c r="D1974" i="1" s="1"/>
  <c r="J430" i="1"/>
  <c r="G430" i="1" s="1"/>
  <c r="F430" i="1"/>
  <c r="H430" i="1"/>
  <c r="C1975" i="1" l="1"/>
  <c r="D1975" i="1" s="1"/>
  <c r="B1976" i="1"/>
  <c r="I430" i="1"/>
  <c r="E431" i="1" s="1"/>
  <c r="C1976" i="1" l="1"/>
  <c r="D1976" i="1" s="1"/>
  <c r="B1977" i="1"/>
  <c r="J431" i="1"/>
  <c r="G431" i="1" s="1"/>
  <c r="H431" i="1"/>
  <c r="F431" i="1"/>
  <c r="C1977" i="1" l="1"/>
  <c r="D1977" i="1" s="1"/>
  <c r="B1978" i="1"/>
  <c r="I431" i="1"/>
  <c r="E432" i="1" s="1"/>
  <c r="J432" i="1" s="1"/>
  <c r="G432" i="1" s="1"/>
  <c r="F432" i="1" l="1"/>
  <c r="C1978" i="1"/>
  <c r="D1978" i="1" s="1"/>
  <c r="B1979" i="1"/>
  <c r="H432" i="1"/>
  <c r="I432" i="1"/>
  <c r="E433" i="1" s="1"/>
  <c r="J433" i="1" s="1"/>
  <c r="G433" i="1" s="1"/>
  <c r="F433" i="1" l="1"/>
  <c r="C1979" i="1"/>
  <c r="D1979" i="1" s="1"/>
  <c r="B1980" i="1"/>
  <c r="H433" i="1"/>
  <c r="I433" i="1" s="1"/>
  <c r="E434" i="1" s="1"/>
  <c r="C1980" i="1" l="1"/>
  <c r="D1980" i="1" s="1"/>
  <c r="B1981" i="1"/>
  <c r="J434" i="1"/>
  <c r="G434" i="1" s="1"/>
  <c r="F434" i="1"/>
  <c r="H434" i="1"/>
  <c r="C1981" i="1" l="1"/>
  <c r="D1981" i="1" s="1"/>
  <c r="B1982" i="1"/>
  <c r="I434" i="1"/>
  <c r="E435" i="1" s="1"/>
  <c r="C1982" i="1" l="1"/>
  <c r="D1982" i="1" s="1"/>
  <c r="B1983" i="1"/>
  <c r="F435" i="1"/>
  <c r="H435" i="1"/>
  <c r="J435" i="1"/>
  <c r="G435" i="1" s="1"/>
  <c r="C1983" i="1" l="1"/>
  <c r="D1983" i="1" s="1"/>
  <c r="B1984" i="1"/>
  <c r="I435" i="1"/>
  <c r="E436" i="1" s="1"/>
  <c r="C1984" i="1" l="1"/>
  <c r="D1984" i="1" s="1"/>
  <c r="B1985" i="1"/>
  <c r="H436" i="1"/>
  <c r="J436" i="1"/>
  <c r="G436" i="1" s="1"/>
  <c r="F436" i="1"/>
  <c r="C1985" i="1" l="1"/>
  <c r="D1985" i="1" s="1"/>
  <c r="B1986" i="1"/>
  <c r="I436" i="1"/>
  <c r="E437" i="1" s="1"/>
  <c r="C1986" i="1" l="1"/>
  <c r="D1986" i="1" s="1"/>
  <c r="B1987" i="1"/>
  <c r="H437" i="1"/>
  <c r="F437" i="1"/>
  <c r="J437" i="1"/>
  <c r="G437" i="1" s="1"/>
  <c r="C1987" i="1" l="1"/>
  <c r="D1987" i="1" s="1"/>
  <c r="B1988" i="1"/>
  <c r="I437" i="1"/>
  <c r="E438" i="1" s="1"/>
  <c r="C1988" i="1" l="1"/>
  <c r="D1988" i="1" s="1"/>
  <c r="B1989" i="1"/>
  <c r="J438" i="1"/>
  <c r="G438" i="1" s="1"/>
  <c r="H438" i="1"/>
  <c r="F438" i="1"/>
  <c r="C1989" i="1" l="1"/>
  <c r="D1989" i="1" s="1"/>
  <c r="B1990" i="1"/>
  <c r="I438" i="1"/>
  <c r="E439" i="1" s="1"/>
  <c r="C1990" i="1" l="1"/>
  <c r="D1990" i="1" s="1"/>
  <c r="B1991" i="1"/>
  <c r="J439" i="1"/>
  <c r="G439" i="1" s="1"/>
  <c r="H439" i="1"/>
  <c r="F439" i="1"/>
  <c r="C1991" i="1" l="1"/>
  <c r="D1991" i="1" s="1"/>
  <c r="B1992" i="1"/>
  <c r="I439" i="1"/>
  <c r="E440" i="1" s="1"/>
  <c r="C1992" i="1" l="1"/>
  <c r="D1992" i="1" s="1"/>
  <c r="B1993" i="1"/>
  <c r="H440" i="1"/>
  <c r="J440" i="1"/>
  <c r="G440" i="1" s="1"/>
  <c r="F440" i="1"/>
  <c r="C1993" i="1" l="1"/>
  <c r="D1993" i="1" s="1"/>
  <c r="B1994" i="1"/>
  <c r="I440" i="1"/>
  <c r="E441" i="1" s="1"/>
  <c r="C1994" i="1" l="1"/>
  <c r="D1994" i="1" s="1"/>
  <c r="B1995" i="1"/>
  <c r="H441" i="1"/>
  <c r="J441" i="1"/>
  <c r="G441" i="1" s="1"/>
  <c r="F441" i="1"/>
  <c r="C1995" i="1" l="1"/>
  <c r="D1995" i="1" s="1"/>
  <c r="B1996" i="1"/>
  <c r="I441" i="1"/>
  <c r="E442" i="1" s="1"/>
  <c r="C1996" i="1" l="1"/>
  <c r="D1996" i="1" s="1"/>
  <c r="B1997" i="1"/>
  <c r="F442" i="1"/>
  <c r="H442" i="1"/>
  <c r="J442" i="1"/>
  <c r="G442" i="1" s="1"/>
  <c r="C1997" i="1" l="1"/>
  <c r="D1997" i="1" s="1"/>
  <c r="B1998" i="1"/>
  <c r="I442" i="1"/>
  <c r="E443" i="1" s="1"/>
  <c r="C1998" i="1" l="1"/>
  <c r="D1998" i="1" s="1"/>
  <c r="B1999" i="1"/>
  <c r="H443" i="1"/>
  <c r="J443" i="1"/>
  <c r="G443" i="1" s="1"/>
  <c r="F443" i="1"/>
  <c r="C1999" i="1" l="1"/>
  <c r="D1999" i="1" s="1"/>
  <c r="B2000" i="1"/>
  <c r="I443" i="1"/>
  <c r="E444" i="1" s="1"/>
  <c r="C2000" i="1" l="1"/>
  <c r="D2000" i="1" s="1"/>
  <c r="B2001" i="1"/>
  <c r="H444" i="1"/>
  <c r="J444" i="1"/>
  <c r="G444" i="1" s="1"/>
  <c r="F444" i="1"/>
  <c r="C2001" i="1" l="1"/>
  <c r="D2001" i="1" s="1"/>
  <c r="B2002" i="1"/>
  <c r="I444" i="1"/>
  <c r="E445" i="1" s="1"/>
  <c r="C2002" i="1" l="1"/>
  <c r="D2002" i="1" s="1"/>
  <c r="B2003" i="1"/>
  <c r="F445" i="1"/>
  <c r="H445" i="1"/>
  <c r="J445" i="1"/>
  <c r="G445" i="1" s="1"/>
  <c r="C2003" i="1" l="1"/>
  <c r="D2003" i="1" s="1"/>
  <c r="B2004" i="1"/>
  <c r="I445" i="1"/>
  <c r="E446" i="1" s="1"/>
  <c r="C2004" i="1" l="1"/>
  <c r="D2004" i="1" s="1"/>
  <c r="B2005" i="1"/>
  <c r="J446" i="1"/>
  <c r="G446" i="1" s="1"/>
  <c r="H446" i="1"/>
  <c r="F446" i="1"/>
  <c r="C2005" i="1" l="1"/>
  <c r="D2005" i="1" s="1"/>
  <c r="B2006" i="1"/>
  <c r="I446" i="1"/>
  <c r="E447" i="1" s="1"/>
  <c r="C2006" i="1" l="1"/>
  <c r="D2006" i="1" s="1"/>
  <c r="B2007" i="1"/>
  <c r="H447" i="1"/>
  <c r="J447" i="1"/>
  <c r="G447" i="1" s="1"/>
  <c r="F447" i="1"/>
  <c r="C2007" i="1" l="1"/>
  <c r="D2007" i="1" s="1"/>
  <c r="B2008" i="1"/>
  <c r="I447" i="1"/>
  <c r="E448" i="1" s="1"/>
  <c r="C2008" i="1" l="1"/>
  <c r="D2008" i="1" s="1"/>
  <c r="B2009" i="1"/>
  <c r="H448" i="1"/>
  <c r="J448" i="1"/>
  <c r="G448" i="1" s="1"/>
  <c r="F448" i="1"/>
  <c r="C2009" i="1" l="1"/>
  <c r="D2009" i="1" s="1"/>
  <c r="B2010" i="1"/>
  <c r="I448" i="1"/>
  <c r="E449" i="1" s="1"/>
  <c r="C2010" i="1" l="1"/>
  <c r="D2010" i="1" s="1"/>
  <c r="B2011" i="1"/>
  <c r="J449" i="1"/>
  <c r="G449" i="1" s="1"/>
  <c r="H449" i="1"/>
  <c r="F449" i="1"/>
  <c r="C2011" i="1" l="1"/>
  <c r="D2011" i="1" s="1"/>
  <c r="B2012" i="1"/>
  <c r="I449" i="1"/>
  <c r="E450" i="1" s="1"/>
  <c r="C2012" i="1" l="1"/>
  <c r="D2012" i="1" s="1"/>
  <c r="B2013" i="1"/>
  <c r="H450" i="1"/>
  <c r="F450" i="1"/>
  <c r="J450" i="1"/>
  <c r="G450" i="1" s="1"/>
  <c r="C2013" i="1" l="1"/>
  <c r="D2013" i="1" s="1"/>
  <c r="B2014" i="1"/>
  <c r="I450" i="1"/>
  <c r="E451" i="1" s="1"/>
  <c r="C2014" i="1" l="1"/>
  <c r="D2014" i="1" s="1"/>
  <c r="B2015" i="1"/>
  <c r="H451" i="1"/>
  <c r="F451" i="1"/>
  <c r="J451" i="1"/>
  <c r="G451" i="1" s="1"/>
  <c r="C2015" i="1" l="1"/>
  <c r="D2015" i="1" s="1"/>
  <c r="B2016" i="1"/>
  <c r="I451" i="1"/>
  <c r="E452" i="1" s="1"/>
  <c r="C2016" i="1" l="1"/>
  <c r="D2016" i="1" s="1"/>
  <c r="B2017" i="1"/>
  <c r="H452" i="1"/>
  <c r="J452" i="1"/>
  <c r="G452" i="1" s="1"/>
  <c r="F452" i="1"/>
  <c r="C2017" i="1" l="1"/>
  <c r="D2017" i="1" s="1"/>
  <c r="B2018" i="1"/>
  <c r="I452" i="1"/>
  <c r="E453" i="1" s="1"/>
  <c r="C2018" i="1" l="1"/>
  <c r="D2018" i="1" s="1"/>
  <c r="B2019" i="1"/>
  <c r="H453" i="1"/>
  <c r="J453" i="1"/>
  <c r="G453" i="1" s="1"/>
  <c r="F453" i="1"/>
  <c r="C2019" i="1" l="1"/>
  <c r="D2019" i="1" s="1"/>
  <c r="B2020" i="1"/>
  <c r="I453" i="1"/>
  <c r="E454" i="1" s="1"/>
  <c r="C2020" i="1" l="1"/>
  <c r="D2020" i="1" s="1"/>
  <c r="B2021" i="1"/>
  <c r="J454" i="1"/>
  <c r="G454" i="1" s="1"/>
  <c r="H454" i="1"/>
  <c r="F454" i="1"/>
  <c r="C2021" i="1" l="1"/>
  <c r="D2021" i="1" s="1"/>
  <c r="B2022" i="1"/>
  <c r="I454" i="1"/>
  <c r="E455" i="1" s="1"/>
  <c r="C2022" i="1" l="1"/>
  <c r="D2022" i="1" s="1"/>
  <c r="B2023" i="1"/>
  <c r="H455" i="1"/>
  <c r="J455" i="1"/>
  <c r="G455" i="1" s="1"/>
  <c r="F455" i="1"/>
  <c r="C2023" i="1" l="1"/>
  <c r="D2023" i="1" s="1"/>
  <c r="B2024" i="1"/>
  <c r="I455" i="1"/>
  <c r="E456" i="1" s="1"/>
  <c r="C2024" i="1" l="1"/>
  <c r="D2024" i="1" s="1"/>
  <c r="B2025" i="1"/>
  <c r="F456" i="1"/>
  <c r="J456" i="1"/>
  <c r="G456" i="1" s="1"/>
  <c r="H456" i="1"/>
  <c r="C2025" i="1" l="1"/>
  <c r="D2025" i="1" s="1"/>
  <c r="B2026" i="1"/>
  <c r="I456" i="1"/>
  <c r="E457" i="1" s="1"/>
  <c r="C2026" i="1" l="1"/>
  <c r="D2026" i="1" s="1"/>
  <c r="B2027" i="1"/>
  <c r="H457" i="1"/>
  <c r="F457" i="1"/>
  <c r="J457" i="1"/>
  <c r="G457" i="1" s="1"/>
  <c r="C2027" i="1" l="1"/>
  <c r="D2027" i="1" s="1"/>
  <c r="B2028" i="1"/>
  <c r="I457" i="1"/>
  <c r="E458" i="1" s="1"/>
  <c r="C2028" i="1" l="1"/>
  <c r="D2028" i="1" s="1"/>
  <c r="B2029" i="1"/>
  <c r="J458" i="1"/>
  <c r="G458" i="1" s="1"/>
  <c r="H458" i="1"/>
  <c r="F458" i="1"/>
  <c r="C2029" i="1" l="1"/>
  <c r="D2029" i="1" s="1"/>
  <c r="B2030" i="1"/>
  <c r="I458" i="1"/>
  <c r="E459" i="1" s="1"/>
  <c r="C2030" i="1" l="1"/>
  <c r="D2030" i="1" s="1"/>
  <c r="B2031" i="1"/>
  <c r="H459" i="1"/>
  <c r="J459" i="1"/>
  <c r="G459" i="1" s="1"/>
  <c r="F459" i="1"/>
  <c r="C2031" i="1" l="1"/>
  <c r="D2031" i="1" s="1"/>
  <c r="B2032" i="1"/>
  <c r="I459" i="1"/>
  <c r="E460" i="1" s="1"/>
  <c r="C2032" i="1" l="1"/>
  <c r="D2032" i="1" s="1"/>
  <c r="B2033" i="1"/>
  <c r="H460" i="1"/>
  <c r="J460" i="1"/>
  <c r="G460" i="1" s="1"/>
  <c r="F460" i="1"/>
  <c r="C2033" i="1" l="1"/>
  <c r="D2033" i="1" s="1"/>
  <c r="B2034" i="1"/>
  <c r="I460" i="1"/>
  <c r="E461" i="1" s="1"/>
  <c r="C2034" i="1" l="1"/>
  <c r="D2034" i="1" s="1"/>
  <c r="B2035" i="1"/>
  <c r="H461" i="1"/>
  <c r="J461" i="1"/>
  <c r="G461" i="1" s="1"/>
  <c r="F461" i="1"/>
  <c r="C2035" i="1" l="1"/>
  <c r="D2035" i="1" s="1"/>
  <c r="B2036" i="1"/>
  <c r="I461" i="1"/>
  <c r="E462" i="1" s="1"/>
  <c r="C2036" i="1" l="1"/>
  <c r="D2036" i="1" s="1"/>
  <c r="B2037" i="1"/>
  <c r="H462" i="1"/>
  <c r="F462" i="1"/>
  <c r="J462" i="1"/>
  <c r="G462" i="1" s="1"/>
  <c r="C2037" i="1" l="1"/>
  <c r="D2037" i="1" s="1"/>
  <c r="B2038" i="1"/>
  <c r="I462" i="1"/>
  <c r="E463" i="1" s="1"/>
  <c r="B2039" i="1" l="1"/>
  <c r="C2038" i="1"/>
  <c r="D2038" i="1" s="1"/>
  <c r="J463" i="1"/>
  <c r="G463" i="1" s="1"/>
  <c r="H463" i="1"/>
  <c r="F463" i="1"/>
  <c r="C2039" i="1" l="1"/>
  <c r="D2039" i="1" s="1"/>
  <c r="B2040" i="1"/>
  <c r="I463" i="1"/>
  <c r="E464" i="1" s="1"/>
  <c r="C2040" i="1" l="1"/>
  <c r="D2040" i="1" s="1"/>
  <c r="B2041" i="1"/>
  <c r="J464" i="1"/>
  <c r="G464" i="1" s="1"/>
  <c r="H464" i="1"/>
  <c r="F464" i="1"/>
  <c r="C2041" i="1" l="1"/>
  <c r="D2041" i="1" s="1"/>
  <c r="B2042" i="1"/>
  <c r="I464" i="1"/>
  <c r="E465" i="1" s="1"/>
  <c r="C2042" i="1" l="1"/>
  <c r="D2042" i="1" s="1"/>
  <c r="B2043" i="1"/>
  <c r="J465" i="1"/>
  <c r="G465" i="1" s="1"/>
  <c r="H465" i="1"/>
  <c r="F465" i="1"/>
  <c r="C2043" i="1" l="1"/>
  <c r="D2043" i="1" s="1"/>
  <c r="B2044" i="1"/>
  <c r="I465" i="1"/>
  <c r="E466" i="1" s="1"/>
  <c r="C2044" i="1" l="1"/>
  <c r="D2044" i="1" s="1"/>
  <c r="B2045" i="1"/>
  <c r="J466" i="1"/>
  <c r="G466" i="1" s="1"/>
  <c r="H466" i="1"/>
  <c r="F466" i="1"/>
  <c r="C2045" i="1" l="1"/>
  <c r="D2045" i="1" s="1"/>
  <c r="B2046" i="1"/>
  <c r="I466" i="1"/>
  <c r="E467" i="1" s="1"/>
  <c r="C2046" i="1" l="1"/>
  <c r="D2046" i="1" s="1"/>
  <c r="B2047" i="1"/>
  <c r="H467" i="1"/>
  <c r="J467" i="1"/>
  <c r="G467" i="1" s="1"/>
  <c r="F467" i="1"/>
  <c r="C2047" i="1" l="1"/>
  <c r="D2047" i="1" s="1"/>
  <c r="B2048" i="1"/>
  <c r="I467" i="1"/>
  <c r="E468" i="1" s="1"/>
  <c r="H468" i="1" s="1"/>
  <c r="F468" i="1" l="1"/>
  <c r="J468" i="1"/>
  <c r="G468" i="1" s="1"/>
  <c r="I468" i="1" s="1"/>
  <c r="E469" i="1" s="1"/>
  <c r="J469" i="1" s="1"/>
  <c r="G469" i="1" s="1"/>
  <c r="C2048" i="1"/>
  <c r="D2048" i="1" s="1"/>
  <c r="B2049" i="1"/>
  <c r="C2049" i="1" l="1"/>
  <c r="D2049" i="1" s="1"/>
  <c r="B2050" i="1"/>
  <c r="H469" i="1"/>
  <c r="I469" i="1" s="1"/>
  <c r="E470" i="1" s="1"/>
  <c r="F469" i="1"/>
  <c r="C2050" i="1" l="1"/>
  <c r="D2050" i="1" s="1"/>
  <c r="B2051" i="1"/>
  <c r="H470" i="1"/>
  <c r="J470" i="1"/>
  <c r="G470" i="1" s="1"/>
  <c r="F470" i="1"/>
  <c r="C2051" i="1" l="1"/>
  <c r="D2051" i="1" s="1"/>
  <c r="B2052" i="1"/>
  <c r="I470" i="1"/>
  <c r="E471" i="1" s="1"/>
  <c r="C2052" i="1" l="1"/>
  <c r="D2052" i="1" s="1"/>
  <c r="B2053" i="1"/>
  <c r="H471" i="1"/>
  <c r="F471" i="1"/>
  <c r="J471" i="1"/>
  <c r="G471" i="1" s="1"/>
  <c r="C2053" i="1" l="1"/>
  <c r="D2053" i="1" s="1"/>
  <c r="B2054" i="1"/>
  <c r="I471" i="1"/>
  <c r="E472" i="1" s="1"/>
  <c r="C2054" i="1" l="1"/>
  <c r="D2054" i="1" s="1"/>
  <c r="B2055" i="1"/>
  <c r="J472" i="1"/>
  <c r="G472" i="1" s="1"/>
  <c r="H472" i="1"/>
  <c r="F472" i="1"/>
  <c r="C2055" i="1" l="1"/>
  <c r="D2055" i="1" s="1"/>
  <c r="B2056" i="1"/>
  <c r="I472" i="1"/>
  <c r="E473" i="1" s="1"/>
  <c r="C2056" i="1" l="1"/>
  <c r="D2056" i="1" s="1"/>
  <c r="B2057" i="1"/>
  <c r="J473" i="1"/>
  <c r="G473" i="1" s="1"/>
  <c r="F473" i="1"/>
  <c r="H473" i="1"/>
  <c r="C2057" i="1" l="1"/>
  <c r="D2057" i="1" s="1"/>
  <c r="B2058" i="1"/>
  <c r="I473" i="1"/>
  <c r="E474" i="1" s="1"/>
  <c r="C2058" i="1" l="1"/>
  <c r="D2058" i="1" s="1"/>
  <c r="B2059" i="1"/>
  <c r="H474" i="1"/>
  <c r="J474" i="1"/>
  <c r="G474" i="1" s="1"/>
  <c r="F474" i="1"/>
  <c r="C2059" i="1" l="1"/>
  <c r="D2059" i="1" s="1"/>
  <c r="B2060" i="1"/>
  <c r="I474" i="1"/>
  <c r="E475" i="1" s="1"/>
  <c r="C2060" i="1" l="1"/>
  <c r="D2060" i="1" s="1"/>
  <c r="B2061" i="1"/>
  <c r="J475" i="1"/>
  <c r="G475" i="1" s="1"/>
  <c r="F475" i="1"/>
  <c r="H475" i="1"/>
  <c r="C2061" i="1" l="1"/>
  <c r="D2061" i="1" s="1"/>
  <c r="B2062" i="1"/>
  <c r="I475" i="1"/>
  <c r="E476" i="1" s="1"/>
  <c r="B2063" i="1" l="1"/>
  <c r="C2062" i="1"/>
  <c r="D2062" i="1" s="1"/>
  <c r="J476" i="1"/>
  <c r="G476" i="1" s="1"/>
  <c r="H476" i="1"/>
  <c r="F476" i="1"/>
  <c r="C2063" i="1" l="1"/>
  <c r="D2063" i="1" s="1"/>
  <c r="B2064" i="1"/>
  <c r="I476" i="1"/>
  <c r="E477" i="1" s="1"/>
  <c r="C2064" i="1" l="1"/>
  <c r="D2064" i="1" s="1"/>
  <c r="B2065" i="1"/>
  <c r="H477" i="1"/>
  <c r="J477" i="1"/>
  <c r="G477" i="1" s="1"/>
  <c r="F477" i="1"/>
  <c r="C2065" i="1" l="1"/>
  <c r="D2065" i="1" s="1"/>
  <c r="B2066" i="1"/>
  <c r="I477" i="1"/>
  <c r="E478" i="1" s="1"/>
  <c r="B2067" i="1" l="1"/>
  <c r="C2066" i="1"/>
  <c r="D2066" i="1" s="1"/>
  <c r="J478" i="1"/>
  <c r="G478" i="1" s="1"/>
  <c r="F478" i="1"/>
  <c r="H478" i="1"/>
  <c r="C2067" i="1" l="1"/>
  <c r="D2067" i="1" s="1"/>
  <c r="B2068" i="1"/>
  <c r="I478" i="1"/>
  <c r="E479" i="1" s="1"/>
  <c r="C2068" i="1" l="1"/>
  <c r="D2068" i="1" s="1"/>
  <c r="B2069" i="1"/>
  <c r="J479" i="1"/>
  <c r="G479" i="1" s="1"/>
  <c r="H479" i="1"/>
  <c r="F479" i="1"/>
  <c r="C2069" i="1" l="1"/>
  <c r="D2069" i="1" s="1"/>
  <c r="B2070" i="1"/>
  <c r="I479" i="1"/>
  <c r="E480" i="1" s="1"/>
  <c r="H480" i="1" s="1"/>
  <c r="F480" i="1" l="1"/>
  <c r="J480" i="1"/>
  <c r="G480" i="1" s="1"/>
  <c r="C2070" i="1"/>
  <c r="D2070" i="1" s="1"/>
  <c r="B2071" i="1"/>
  <c r="I480" i="1"/>
  <c r="E481" i="1" s="1"/>
  <c r="C2071" i="1" l="1"/>
  <c r="D2071" i="1" s="1"/>
  <c r="B2072" i="1"/>
  <c r="J481" i="1"/>
  <c r="G481" i="1" s="1"/>
  <c r="F481" i="1"/>
  <c r="H481" i="1"/>
  <c r="C2072" i="1" l="1"/>
  <c r="D2072" i="1" s="1"/>
  <c r="B2073" i="1"/>
  <c r="I481" i="1"/>
  <c r="E482" i="1" s="1"/>
  <c r="J482" i="1" s="1"/>
  <c r="G482" i="1" s="1"/>
  <c r="F482" i="1" l="1"/>
  <c r="H482" i="1"/>
  <c r="I482" i="1" s="1"/>
  <c r="E483" i="1" s="1"/>
  <c r="C2073" i="1"/>
  <c r="D2073" i="1" s="1"/>
  <c r="B2074" i="1"/>
  <c r="H483" i="1" l="1"/>
  <c r="F483" i="1"/>
  <c r="J483" i="1"/>
  <c r="G483" i="1" s="1"/>
  <c r="I483" i="1" s="1"/>
  <c r="E484" i="1" s="1"/>
  <c r="C2074" i="1"/>
  <c r="D2074" i="1" s="1"/>
  <c r="B2075" i="1"/>
  <c r="C2075" i="1" l="1"/>
  <c r="D2075" i="1" s="1"/>
  <c r="B2076" i="1"/>
  <c r="J484" i="1"/>
  <c r="G484" i="1" s="1"/>
  <c r="H484" i="1"/>
  <c r="F484" i="1"/>
  <c r="C2076" i="1" l="1"/>
  <c r="D2076" i="1" s="1"/>
  <c r="B2077" i="1"/>
  <c r="I484" i="1"/>
  <c r="E485" i="1" s="1"/>
  <c r="J485" i="1" s="1"/>
  <c r="G485" i="1" s="1"/>
  <c r="H485" i="1" l="1"/>
  <c r="F485" i="1"/>
  <c r="C2077" i="1"/>
  <c r="D2077" i="1" s="1"/>
  <c r="B2078" i="1"/>
  <c r="I485" i="1"/>
  <c r="E486" i="1" s="1"/>
  <c r="C2078" i="1" l="1"/>
  <c r="D2078" i="1" s="1"/>
  <c r="B2079" i="1"/>
  <c r="J486" i="1"/>
  <c r="G486" i="1" s="1"/>
  <c r="H486" i="1"/>
  <c r="F486" i="1"/>
  <c r="C2079" i="1" l="1"/>
  <c r="D2079" i="1" s="1"/>
  <c r="B2080" i="1"/>
  <c r="I486" i="1"/>
  <c r="E487" i="1" s="1"/>
  <c r="H487" i="1" s="1"/>
  <c r="C2080" i="1" l="1"/>
  <c r="D2080" i="1" s="1"/>
  <c r="B2081" i="1"/>
  <c r="J487" i="1"/>
  <c r="G487" i="1" s="1"/>
  <c r="F487" i="1"/>
  <c r="C2081" i="1" l="1"/>
  <c r="D2081" i="1" s="1"/>
  <c r="B2082" i="1"/>
  <c r="I487" i="1"/>
  <c r="E488" i="1" s="1"/>
  <c r="H488" i="1" s="1"/>
  <c r="J488" i="1" l="1"/>
  <c r="G488" i="1" s="1"/>
  <c r="F488" i="1"/>
  <c r="C2082" i="1"/>
  <c r="D2082" i="1" s="1"/>
  <c r="B2083" i="1"/>
  <c r="I488" i="1"/>
  <c r="E489" i="1" s="1"/>
  <c r="C2083" i="1" l="1"/>
  <c r="D2083" i="1" s="1"/>
  <c r="B2084" i="1"/>
  <c r="J489" i="1"/>
  <c r="G489" i="1" s="1"/>
  <c r="F489" i="1"/>
  <c r="H489" i="1"/>
  <c r="C2084" i="1" l="1"/>
  <c r="D2084" i="1" s="1"/>
  <c r="B2085" i="1"/>
  <c r="I489" i="1"/>
  <c r="E490" i="1" s="1"/>
  <c r="J490" i="1" s="1"/>
  <c r="G490" i="1" s="1"/>
  <c r="H490" i="1" l="1"/>
  <c r="F490" i="1"/>
  <c r="C2085" i="1"/>
  <c r="D2085" i="1" s="1"/>
  <c r="B2086" i="1"/>
  <c r="I490" i="1"/>
  <c r="E491" i="1" s="1"/>
  <c r="C2086" i="1" l="1"/>
  <c r="D2086" i="1" s="1"/>
  <c r="B2087" i="1"/>
  <c r="J491" i="1"/>
  <c r="G491" i="1" s="1"/>
  <c r="H491" i="1"/>
  <c r="F491" i="1"/>
  <c r="C2087" i="1" l="1"/>
  <c r="D2087" i="1" s="1"/>
  <c r="B2088" i="1"/>
  <c r="I491" i="1"/>
  <c r="E492" i="1" s="1"/>
  <c r="J492" i="1" s="1"/>
  <c r="G492" i="1" s="1"/>
  <c r="C2088" i="1" l="1"/>
  <c r="D2088" i="1" s="1"/>
  <c r="B2089" i="1"/>
  <c r="H492" i="1"/>
  <c r="F492" i="1"/>
  <c r="I492" i="1" l="1"/>
  <c r="E493" i="1" s="1"/>
  <c r="H493" i="1" s="1"/>
  <c r="C2089" i="1"/>
  <c r="D2089" i="1" s="1"/>
  <c r="B2090" i="1"/>
  <c r="J493" i="1"/>
  <c r="G493" i="1" s="1"/>
  <c r="F493" i="1"/>
  <c r="C2090" i="1" l="1"/>
  <c r="D2090" i="1" s="1"/>
  <c r="B2091" i="1"/>
  <c r="I493" i="1"/>
  <c r="E494" i="1" s="1"/>
  <c r="H494" i="1" s="1"/>
  <c r="F494" i="1" l="1"/>
  <c r="C2091" i="1"/>
  <c r="D2091" i="1" s="1"/>
  <c r="B2092" i="1"/>
  <c r="J494" i="1"/>
  <c r="G494" i="1" s="1"/>
  <c r="I494" i="1" s="1"/>
  <c r="E495" i="1" s="1"/>
  <c r="C2092" i="1" l="1"/>
  <c r="D2092" i="1" s="1"/>
  <c r="B2093" i="1"/>
  <c r="J495" i="1"/>
  <c r="G495" i="1" s="1"/>
  <c r="H495" i="1"/>
  <c r="F495" i="1"/>
  <c r="C2093" i="1" l="1"/>
  <c r="D2093" i="1" s="1"/>
  <c r="B2094" i="1"/>
  <c r="I495" i="1"/>
  <c r="E496" i="1" s="1"/>
  <c r="C2094" i="1" l="1"/>
  <c r="D2094" i="1" s="1"/>
  <c r="B2095" i="1"/>
  <c r="J496" i="1"/>
  <c r="G496" i="1" s="1"/>
  <c r="F496" i="1"/>
  <c r="H496" i="1"/>
  <c r="C2095" i="1" l="1"/>
  <c r="D2095" i="1" s="1"/>
  <c r="B2096" i="1"/>
  <c r="I496" i="1"/>
  <c r="E497" i="1" s="1"/>
  <c r="C2096" i="1" l="1"/>
  <c r="D2096" i="1" s="1"/>
  <c r="B2097" i="1"/>
  <c r="H497" i="1"/>
  <c r="F497" i="1"/>
  <c r="J497" i="1"/>
  <c r="G497" i="1" s="1"/>
  <c r="C2097" i="1" l="1"/>
  <c r="D2097" i="1" s="1"/>
  <c r="B2098" i="1"/>
  <c r="I497" i="1"/>
  <c r="E498" i="1" s="1"/>
  <c r="C2098" i="1" l="1"/>
  <c r="D2098" i="1" s="1"/>
  <c r="B2099" i="1"/>
  <c r="H498" i="1"/>
  <c r="J498" i="1"/>
  <c r="G498" i="1" s="1"/>
  <c r="F498" i="1"/>
  <c r="C2099" i="1" l="1"/>
  <c r="D2099" i="1" s="1"/>
  <c r="B2100" i="1"/>
  <c r="I498" i="1"/>
  <c r="E499" i="1" s="1"/>
  <c r="C2100" i="1" l="1"/>
  <c r="D2100" i="1" s="1"/>
  <c r="B2101" i="1"/>
  <c r="J499" i="1"/>
  <c r="G499" i="1" s="1"/>
  <c r="F499" i="1"/>
  <c r="H499" i="1"/>
  <c r="C2101" i="1" l="1"/>
  <c r="D2101" i="1" s="1"/>
  <c r="B2102" i="1"/>
  <c r="I499" i="1"/>
  <c r="E500" i="1" s="1"/>
  <c r="C2102" i="1" l="1"/>
  <c r="D2102" i="1" s="1"/>
  <c r="B2103" i="1"/>
  <c r="J500" i="1"/>
  <c r="G500" i="1" s="1"/>
  <c r="F500" i="1"/>
  <c r="H500" i="1"/>
  <c r="C2103" i="1" l="1"/>
  <c r="D2103" i="1" s="1"/>
  <c r="B2104" i="1"/>
  <c r="I500" i="1"/>
  <c r="E501" i="1" s="1"/>
  <c r="C2104" i="1" l="1"/>
  <c r="D2104" i="1" s="1"/>
  <c r="B2105" i="1"/>
  <c r="H501" i="1"/>
  <c r="J501" i="1"/>
  <c r="G501" i="1" s="1"/>
  <c r="F501" i="1"/>
  <c r="C2105" i="1" l="1"/>
  <c r="D2105" i="1" s="1"/>
  <c r="B2106" i="1"/>
  <c r="I501" i="1"/>
  <c r="E502" i="1" s="1"/>
  <c r="C2106" i="1" l="1"/>
  <c r="D2106" i="1" s="1"/>
  <c r="B2107" i="1"/>
  <c r="H502" i="1"/>
  <c r="J502" i="1"/>
  <c r="G502" i="1" s="1"/>
  <c r="F502" i="1"/>
  <c r="C2107" i="1" l="1"/>
  <c r="D2107" i="1" s="1"/>
  <c r="B2108" i="1"/>
  <c r="I502" i="1"/>
  <c r="E503" i="1" s="1"/>
  <c r="C2108" i="1" l="1"/>
  <c r="D2108" i="1" s="1"/>
  <c r="B2109" i="1"/>
  <c r="H503" i="1"/>
  <c r="F503" i="1"/>
  <c r="J503" i="1"/>
  <c r="G503" i="1" s="1"/>
  <c r="C2109" i="1" l="1"/>
  <c r="D2109" i="1" s="1"/>
  <c r="B2110" i="1"/>
  <c r="I503" i="1"/>
  <c r="E504" i="1" s="1"/>
  <c r="B2111" i="1" l="1"/>
  <c r="C2110" i="1"/>
  <c r="D2110" i="1" s="1"/>
  <c r="J504" i="1"/>
  <c r="G504" i="1" s="1"/>
  <c r="H504" i="1"/>
  <c r="F504" i="1"/>
  <c r="C2111" i="1" l="1"/>
  <c r="D2111" i="1" s="1"/>
  <c r="B2112" i="1"/>
  <c r="I504" i="1"/>
  <c r="E505" i="1" s="1"/>
  <c r="H505" i="1" s="1"/>
  <c r="C2112" i="1" l="1"/>
  <c r="D2112" i="1" s="1"/>
  <c r="B2113" i="1"/>
  <c r="J505" i="1"/>
  <c r="G505" i="1" s="1"/>
  <c r="I505" i="1" s="1"/>
  <c r="E506" i="1" s="1"/>
  <c r="F505" i="1"/>
  <c r="C2113" i="1" l="1"/>
  <c r="D2113" i="1" s="1"/>
  <c r="B2114" i="1"/>
  <c r="H506" i="1"/>
  <c r="F506" i="1"/>
  <c r="J506" i="1"/>
  <c r="G506" i="1" s="1"/>
  <c r="C2114" i="1" l="1"/>
  <c r="D2114" i="1" s="1"/>
  <c r="B2115" i="1"/>
  <c r="I506" i="1"/>
  <c r="E507" i="1" s="1"/>
  <c r="C2115" i="1" l="1"/>
  <c r="D2115" i="1" s="1"/>
  <c r="B2116" i="1"/>
  <c r="H507" i="1"/>
  <c r="J507" i="1"/>
  <c r="G507" i="1" s="1"/>
  <c r="F507" i="1"/>
  <c r="C2116" i="1" l="1"/>
  <c r="D2116" i="1" s="1"/>
  <c r="B2117" i="1"/>
  <c r="I507" i="1"/>
  <c r="E508" i="1" s="1"/>
  <c r="C2117" i="1" l="1"/>
  <c r="D2117" i="1" s="1"/>
  <c r="B2118" i="1"/>
  <c r="H508" i="1"/>
  <c r="J508" i="1"/>
  <c r="G508" i="1" s="1"/>
  <c r="F508" i="1"/>
  <c r="C2118" i="1" l="1"/>
  <c r="D2118" i="1" s="1"/>
  <c r="B2119" i="1"/>
  <c r="I508" i="1"/>
  <c r="E509" i="1" s="1"/>
  <c r="J509" i="1" s="1"/>
  <c r="G509" i="1" s="1"/>
  <c r="F509" i="1"/>
  <c r="H509" i="1"/>
  <c r="C2119" i="1" l="1"/>
  <c r="D2119" i="1" s="1"/>
  <c r="B2120" i="1"/>
  <c r="I509" i="1"/>
  <c r="E510" i="1" s="1"/>
  <c r="C2120" i="1" l="1"/>
  <c r="D2120" i="1" s="1"/>
  <c r="B2121" i="1"/>
  <c r="F510" i="1"/>
  <c r="J510" i="1"/>
  <c r="G510" i="1" s="1"/>
  <c r="H510" i="1"/>
  <c r="C2121" i="1" l="1"/>
  <c r="D2121" i="1" s="1"/>
  <c r="B2122" i="1"/>
  <c r="I510" i="1"/>
  <c r="E511" i="1" s="1"/>
  <c r="C2122" i="1" l="1"/>
  <c r="D2122" i="1" s="1"/>
  <c r="B2123" i="1"/>
  <c r="H511" i="1"/>
  <c r="F511" i="1"/>
  <c r="J511" i="1"/>
  <c r="G511" i="1" s="1"/>
  <c r="C2123" i="1" l="1"/>
  <c r="D2123" i="1" s="1"/>
  <c r="B2124" i="1"/>
  <c r="I511" i="1"/>
  <c r="E512" i="1" s="1"/>
  <c r="C2124" i="1" l="1"/>
  <c r="D2124" i="1" s="1"/>
  <c r="B2125" i="1"/>
  <c r="J512" i="1"/>
  <c r="G512" i="1" s="1"/>
  <c r="H512" i="1"/>
  <c r="F512" i="1"/>
  <c r="C2125" i="1" l="1"/>
  <c r="D2125" i="1" s="1"/>
  <c r="B2126" i="1"/>
  <c r="I512" i="1"/>
  <c r="E513" i="1" s="1"/>
  <c r="C2126" i="1" l="1"/>
  <c r="D2126" i="1" s="1"/>
  <c r="B2127" i="1"/>
  <c r="J513" i="1"/>
  <c r="G513" i="1" s="1"/>
  <c r="F513" i="1"/>
  <c r="H513" i="1"/>
  <c r="C2127" i="1" l="1"/>
  <c r="D2127" i="1" s="1"/>
  <c r="B2128" i="1"/>
  <c r="I513" i="1"/>
  <c r="E514" i="1" s="1"/>
  <c r="C2128" i="1" l="1"/>
  <c r="D2128" i="1" s="1"/>
  <c r="B2129" i="1"/>
  <c r="H514" i="1"/>
  <c r="F514" i="1"/>
  <c r="J514" i="1"/>
  <c r="G514" i="1" s="1"/>
  <c r="C2129" i="1" l="1"/>
  <c r="D2129" i="1" s="1"/>
  <c r="B2130" i="1"/>
  <c r="I514" i="1"/>
  <c r="E515" i="1" s="1"/>
  <c r="C2130" i="1" l="1"/>
  <c r="D2130" i="1" s="1"/>
  <c r="B2131" i="1"/>
  <c r="J515" i="1"/>
  <c r="G515" i="1" s="1"/>
  <c r="F515" i="1"/>
  <c r="H515" i="1"/>
  <c r="C2131" i="1" l="1"/>
  <c r="D2131" i="1" s="1"/>
  <c r="B2132" i="1"/>
  <c r="I515" i="1"/>
  <c r="E516" i="1" s="1"/>
  <c r="H516" i="1" s="1"/>
  <c r="C2132" i="1" l="1"/>
  <c r="D2132" i="1" s="1"/>
  <c r="B2133" i="1"/>
  <c r="J516" i="1"/>
  <c r="F516" i="1"/>
  <c r="C2133" i="1" l="1"/>
  <c r="D2133" i="1" s="1"/>
  <c r="B2134" i="1"/>
  <c r="G516" i="1"/>
  <c r="I516" i="1" s="1"/>
  <c r="E517" i="1" s="1"/>
  <c r="C2134" i="1" l="1"/>
  <c r="D2134" i="1" s="1"/>
  <c r="B2135" i="1"/>
  <c r="F517" i="1"/>
  <c r="H517" i="1"/>
  <c r="J517" i="1"/>
  <c r="G517" i="1" s="1"/>
  <c r="I517" i="1" l="1"/>
  <c r="E518" i="1" s="1"/>
  <c r="C2135" i="1"/>
  <c r="D2135" i="1" s="1"/>
  <c r="B2136" i="1"/>
  <c r="J518" i="1"/>
  <c r="G518" i="1" s="1"/>
  <c r="H518" i="1"/>
  <c r="F518" i="1"/>
  <c r="C2136" i="1" l="1"/>
  <c r="D2136" i="1" s="1"/>
  <c r="B2137" i="1"/>
  <c r="I518" i="1"/>
  <c r="E519" i="1" s="1"/>
  <c r="C2137" i="1" l="1"/>
  <c r="D2137" i="1" s="1"/>
  <c r="B2138" i="1"/>
  <c r="J519" i="1"/>
  <c r="G519" i="1" s="1"/>
  <c r="H519" i="1"/>
  <c r="F519" i="1"/>
  <c r="C2138" i="1" l="1"/>
  <c r="D2138" i="1" s="1"/>
  <c r="B2139" i="1"/>
  <c r="I519" i="1"/>
  <c r="E520" i="1" s="1"/>
  <c r="C2139" i="1" l="1"/>
  <c r="D2139" i="1" s="1"/>
  <c r="B2140" i="1"/>
  <c r="H520" i="1"/>
  <c r="F520" i="1"/>
  <c r="J520" i="1"/>
  <c r="G520" i="1" s="1"/>
  <c r="C2140" i="1" l="1"/>
  <c r="D2140" i="1" s="1"/>
  <c r="B2141" i="1"/>
  <c r="I520" i="1"/>
  <c r="E521" i="1" s="1"/>
  <c r="C2141" i="1" l="1"/>
  <c r="D2141" i="1" s="1"/>
  <c r="B2142" i="1"/>
  <c r="H521" i="1"/>
  <c r="J521" i="1"/>
  <c r="G521" i="1" s="1"/>
  <c r="F521" i="1"/>
  <c r="C2142" i="1" l="1"/>
  <c r="D2142" i="1" s="1"/>
  <c r="B2143" i="1"/>
  <c r="I521" i="1"/>
  <c r="E522" i="1" s="1"/>
  <c r="H522" i="1" s="1"/>
  <c r="F522" i="1"/>
  <c r="J522" i="1" l="1"/>
  <c r="G522" i="1" s="1"/>
  <c r="C2143" i="1"/>
  <c r="D2143" i="1" s="1"/>
  <c r="B2144" i="1"/>
  <c r="I522" i="1"/>
  <c r="E523" i="1" s="1"/>
  <c r="C2144" i="1" l="1"/>
  <c r="D2144" i="1" s="1"/>
  <c r="B2145" i="1"/>
  <c r="J523" i="1"/>
  <c r="G523" i="1" s="1"/>
  <c r="H523" i="1"/>
  <c r="F523" i="1"/>
  <c r="C2145" i="1" l="1"/>
  <c r="D2145" i="1" s="1"/>
  <c r="B2146" i="1"/>
  <c r="I523" i="1"/>
  <c r="E524" i="1" s="1"/>
  <c r="C2146" i="1" l="1"/>
  <c r="D2146" i="1" s="1"/>
  <c r="B2147" i="1"/>
  <c r="H524" i="1"/>
  <c r="J524" i="1"/>
  <c r="G524" i="1" s="1"/>
  <c r="F524" i="1"/>
  <c r="C2147" i="1" l="1"/>
  <c r="D2147" i="1" s="1"/>
  <c r="B2148" i="1"/>
  <c r="I524" i="1"/>
  <c r="E525" i="1" s="1"/>
  <c r="C2148" i="1" l="1"/>
  <c r="D2148" i="1" s="1"/>
  <c r="B2149" i="1"/>
  <c r="H525" i="1"/>
  <c r="F525" i="1"/>
  <c r="J525" i="1"/>
  <c r="G525" i="1" s="1"/>
  <c r="C2149" i="1" l="1"/>
  <c r="D2149" i="1" s="1"/>
  <c r="B2150" i="1"/>
  <c r="I525" i="1"/>
  <c r="E526" i="1" s="1"/>
  <c r="C2150" i="1" l="1"/>
  <c r="D2150" i="1" s="1"/>
  <c r="B2151" i="1"/>
  <c r="J526" i="1"/>
  <c r="G526" i="1" s="1"/>
  <c r="H526" i="1"/>
  <c r="F526" i="1"/>
  <c r="C2151" i="1" l="1"/>
  <c r="D2151" i="1" s="1"/>
  <c r="B2152" i="1"/>
  <c r="I526" i="1"/>
  <c r="E527" i="1" s="1"/>
  <c r="H527" i="1" s="1"/>
  <c r="F527" i="1"/>
  <c r="J527" i="1" l="1"/>
  <c r="G527" i="1" s="1"/>
  <c r="C2152" i="1"/>
  <c r="D2152" i="1" s="1"/>
  <c r="B2153" i="1"/>
  <c r="I527" i="1"/>
  <c r="E528" i="1" s="1"/>
  <c r="C2153" i="1" l="1"/>
  <c r="D2153" i="1" s="1"/>
  <c r="B2154" i="1"/>
  <c r="H528" i="1"/>
  <c r="J528" i="1"/>
  <c r="G528" i="1" s="1"/>
  <c r="F528" i="1"/>
  <c r="C2154" i="1" l="1"/>
  <c r="D2154" i="1" s="1"/>
  <c r="B2155" i="1"/>
  <c r="I528" i="1"/>
  <c r="E529" i="1" s="1"/>
  <c r="C2155" i="1" l="1"/>
  <c r="D2155" i="1" s="1"/>
  <c r="B2156" i="1"/>
  <c r="J529" i="1"/>
  <c r="G529" i="1" s="1"/>
  <c r="H529" i="1"/>
  <c r="F529" i="1"/>
  <c r="C2156" i="1" l="1"/>
  <c r="D2156" i="1" s="1"/>
  <c r="B2157" i="1"/>
  <c r="I529" i="1"/>
  <c r="E530" i="1" s="1"/>
  <c r="H530" i="1" s="1"/>
  <c r="F530" i="1" l="1"/>
  <c r="J530" i="1"/>
  <c r="G530" i="1" s="1"/>
  <c r="I530" i="1" s="1"/>
  <c r="E531" i="1" s="1"/>
  <c r="C2157" i="1"/>
  <c r="D2157" i="1" s="1"/>
  <c r="B2158" i="1"/>
  <c r="C2158" i="1" l="1"/>
  <c r="D2158" i="1" s="1"/>
  <c r="B2159" i="1"/>
  <c r="J531" i="1"/>
  <c r="G531" i="1" s="1"/>
  <c r="H531" i="1"/>
  <c r="F531" i="1"/>
  <c r="C2159" i="1" l="1"/>
  <c r="D2159" i="1" s="1"/>
  <c r="B2160" i="1"/>
  <c r="I531" i="1"/>
  <c r="E532" i="1" s="1"/>
  <c r="C2160" i="1" l="1"/>
  <c r="D2160" i="1" s="1"/>
  <c r="B2161" i="1"/>
  <c r="J532" i="1"/>
  <c r="G532" i="1" s="1"/>
  <c r="F532" i="1"/>
  <c r="H532" i="1"/>
  <c r="C2161" i="1" l="1"/>
  <c r="D2161" i="1" s="1"/>
  <c r="B2162" i="1"/>
  <c r="I532" i="1"/>
  <c r="E533" i="1" s="1"/>
  <c r="J533" i="1" s="1"/>
  <c r="G533" i="1" s="1"/>
  <c r="F533" i="1" l="1"/>
  <c r="H533" i="1"/>
  <c r="B2163" i="1"/>
  <c r="C2162" i="1"/>
  <c r="D2162" i="1" s="1"/>
  <c r="I533" i="1"/>
  <c r="E534" i="1" s="1"/>
  <c r="C2163" i="1" l="1"/>
  <c r="D2163" i="1" s="1"/>
  <c r="B2164" i="1"/>
  <c r="J534" i="1"/>
  <c r="G534" i="1" s="1"/>
  <c r="F534" i="1"/>
  <c r="H534" i="1"/>
  <c r="C2164" i="1" l="1"/>
  <c r="D2164" i="1" s="1"/>
  <c r="B2165" i="1"/>
  <c r="I534" i="1"/>
  <c r="E535" i="1" s="1"/>
  <c r="C2165" i="1" l="1"/>
  <c r="D2165" i="1" s="1"/>
  <c r="B2166" i="1"/>
  <c r="H535" i="1"/>
  <c r="F535" i="1"/>
  <c r="J535" i="1"/>
  <c r="G535" i="1" s="1"/>
  <c r="C2166" i="1" l="1"/>
  <c r="D2166" i="1" s="1"/>
  <c r="B2167" i="1"/>
  <c r="I535" i="1"/>
  <c r="E536" i="1" s="1"/>
  <c r="C2167" i="1" l="1"/>
  <c r="D2167" i="1" s="1"/>
  <c r="B2168" i="1"/>
  <c r="F536" i="1"/>
  <c r="H536" i="1"/>
  <c r="J536" i="1"/>
  <c r="G536" i="1" s="1"/>
  <c r="C2168" i="1" l="1"/>
  <c r="D2168" i="1" s="1"/>
  <c r="B2169" i="1"/>
  <c r="I536" i="1"/>
  <c r="E537" i="1" s="1"/>
  <c r="C2169" i="1" l="1"/>
  <c r="D2169" i="1" s="1"/>
  <c r="B2170" i="1"/>
  <c r="H537" i="1"/>
  <c r="J537" i="1"/>
  <c r="G537" i="1" s="1"/>
  <c r="F537" i="1"/>
  <c r="C2170" i="1" l="1"/>
  <c r="D2170" i="1" s="1"/>
  <c r="B2171" i="1"/>
  <c r="I537" i="1"/>
  <c r="E538" i="1" s="1"/>
  <c r="C2171" i="1" l="1"/>
  <c r="D2171" i="1" s="1"/>
  <c r="B2172" i="1"/>
  <c r="J538" i="1"/>
  <c r="G538" i="1" s="1"/>
  <c r="H538" i="1"/>
  <c r="F538" i="1"/>
  <c r="C2172" i="1" l="1"/>
  <c r="D2172" i="1" s="1"/>
  <c r="B2173" i="1"/>
  <c r="I538" i="1"/>
  <c r="E539" i="1" s="1"/>
  <c r="H539" i="1" s="1"/>
  <c r="C2173" i="1" l="1"/>
  <c r="D2173" i="1" s="1"/>
  <c r="B2174" i="1"/>
  <c r="F539" i="1"/>
  <c r="J539" i="1"/>
  <c r="B2175" i="1" l="1"/>
  <c r="C2174" i="1"/>
  <c r="D2174" i="1" s="1"/>
  <c r="G539" i="1"/>
  <c r="I539" i="1" s="1"/>
  <c r="E540" i="1" s="1"/>
  <c r="C2175" i="1" l="1"/>
  <c r="D2175" i="1" s="1"/>
  <c r="B2176" i="1"/>
  <c r="J540" i="1"/>
  <c r="G540" i="1" s="1"/>
  <c r="I540" i="1" s="1"/>
  <c r="E541" i="1" s="1"/>
  <c r="H540" i="1"/>
  <c r="F540" i="1"/>
  <c r="C2176" i="1" l="1"/>
  <c r="D2176" i="1" s="1"/>
  <c r="B2177" i="1"/>
  <c r="J541" i="1"/>
  <c r="G541" i="1" s="1"/>
  <c r="F541" i="1"/>
  <c r="H541" i="1"/>
  <c r="C2177" i="1" l="1"/>
  <c r="D2177" i="1" s="1"/>
  <c r="B2178" i="1"/>
  <c r="I541" i="1"/>
  <c r="E542" i="1" s="1"/>
  <c r="C2178" i="1" l="1"/>
  <c r="D2178" i="1" s="1"/>
  <c r="B2179" i="1"/>
  <c r="J542" i="1"/>
  <c r="G542" i="1" s="1"/>
  <c r="F542" i="1"/>
  <c r="H542" i="1"/>
  <c r="C2179" i="1" l="1"/>
  <c r="D2179" i="1" s="1"/>
  <c r="B2180" i="1"/>
  <c r="I542" i="1"/>
  <c r="E543" i="1" s="1"/>
  <c r="C2180" i="1" l="1"/>
  <c r="D2180" i="1" s="1"/>
  <c r="B2181" i="1"/>
  <c r="H543" i="1"/>
  <c r="F543" i="1"/>
  <c r="J543" i="1"/>
  <c r="G543" i="1" s="1"/>
  <c r="C2181" i="1" l="1"/>
  <c r="D2181" i="1" s="1"/>
  <c r="B2182" i="1"/>
  <c r="I543" i="1"/>
  <c r="E544" i="1" s="1"/>
  <c r="C2182" i="1" l="1"/>
  <c r="D2182" i="1" s="1"/>
  <c r="B2183" i="1"/>
  <c r="H544" i="1"/>
  <c r="J544" i="1"/>
  <c r="G544" i="1" s="1"/>
  <c r="F544" i="1"/>
  <c r="C2183" i="1" l="1"/>
  <c r="D2183" i="1" s="1"/>
  <c r="B2184" i="1"/>
  <c r="I544" i="1"/>
  <c r="E545" i="1" s="1"/>
  <c r="B2185" i="1" l="1"/>
  <c r="C2184" i="1"/>
  <c r="D2184" i="1" s="1"/>
  <c r="J545" i="1"/>
  <c r="G545" i="1" s="1"/>
  <c r="H545" i="1"/>
  <c r="F545" i="1"/>
  <c r="C2185" i="1" l="1"/>
  <c r="D2185" i="1" s="1"/>
  <c r="B2186" i="1"/>
  <c r="I545" i="1"/>
  <c r="E546" i="1" s="1"/>
  <c r="B2187" i="1" l="1"/>
  <c r="C2186" i="1"/>
  <c r="D2186" i="1" s="1"/>
  <c r="H546" i="1"/>
  <c r="J546" i="1"/>
  <c r="G546" i="1" s="1"/>
  <c r="F546" i="1"/>
  <c r="C2187" i="1" l="1"/>
  <c r="D2187" i="1" s="1"/>
  <c r="B2188" i="1"/>
  <c r="I546" i="1"/>
  <c r="E547" i="1" s="1"/>
  <c r="C2188" i="1" l="1"/>
  <c r="D2188" i="1" s="1"/>
  <c r="B2189" i="1"/>
  <c r="H547" i="1"/>
  <c r="J547" i="1"/>
  <c r="G547" i="1" s="1"/>
  <c r="F547" i="1"/>
  <c r="C2189" i="1" l="1"/>
  <c r="D2189" i="1" s="1"/>
  <c r="B2190" i="1"/>
  <c r="I547" i="1"/>
  <c r="E548" i="1" s="1"/>
  <c r="C2190" i="1" l="1"/>
  <c r="D2190" i="1" s="1"/>
  <c r="B2191" i="1"/>
  <c r="H548" i="1"/>
  <c r="F548" i="1"/>
  <c r="J548" i="1"/>
  <c r="G548" i="1" s="1"/>
  <c r="C2191" i="1" l="1"/>
  <c r="D2191" i="1" s="1"/>
  <c r="B2192" i="1"/>
  <c r="I548" i="1"/>
  <c r="E549" i="1" s="1"/>
  <c r="C2192" i="1" l="1"/>
  <c r="D2192" i="1" s="1"/>
  <c r="B2193" i="1"/>
  <c r="H549" i="1"/>
  <c r="F549" i="1"/>
  <c r="J549" i="1"/>
  <c r="G549" i="1" s="1"/>
  <c r="C2193" i="1" l="1"/>
  <c r="D2193" i="1" s="1"/>
  <c r="B2194" i="1"/>
  <c r="I549" i="1"/>
  <c r="E550" i="1" s="1"/>
  <c r="B2195" i="1" l="1"/>
  <c r="C2194" i="1"/>
  <c r="D2194" i="1" s="1"/>
  <c r="H550" i="1"/>
  <c r="J550" i="1"/>
  <c r="G550" i="1" s="1"/>
  <c r="F550" i="1"/>
  <c r="C2195" i="1" l="1"/>
  <c r="D2195" i="1" s="1"/>
  <c r="B2196" i="1"/>
  <c r="I550" i="1"/>
  <c r="E551" i="1" s="1"/>
  <c r="C2196" i="1" l="1"/>
  <c r="D2196" i="1" s="1"/>
  <c r="B2197" i="1"/>
  <c r="H551" i="1"/>
  <c r="J551" i="1"/>
  <c r="G551" i="1" s="1"/>
  <c r="F551" i="1"/>
  <c r="C2197" i="1" l="1"/>
  <c r="D2197" i="1" s="1"/>
  <c r="B2198" i="1"/>
  <c r="I551" i="1"/>
  <c r="E552" i="1" s="1"/>
  <c r="C2198" i="1" l="1"/>
  <c r="D2198" i="1" s="1"/>
  <c r="B2199" i="1"/>
  <c r="J552" i="1"/>
  <c r="G552" i="1" s="1"/>
  <c r="H552" i="1"/>
  <c r="F552" i="1"/>
  <c r="C2199" i="1" l="1"/>
  <c r="D2199" i="1" s="1"/>
  <c r="B2200" i="1"/>
  <c r="I552" i="1"/>
  <c r="E553" i="1" s="1"/>
  <c r="H553" i="1" s="1"/>
  <c r="C2200" i="1" l="1"/>
  <c r="D2200" i="1" s="1"/>
  <c r="B2201" i="1"/>
  <c r="J553" i="1"/>
  <c r="F553" i="1"/>
  <c r="C2201" i="1" l="1"/>
  <c r="D2201" i="1" s="1"/>
  <c r="B2202" i="1"/>
  <c r="G553" i="1"/>
  <c r="I553" i="1" s="1"/>
  <c r="E554" i="1" s="1"/>
  <c r="C2202" i="1" l="1"/>
  <c r="D2202" i="1" s="1"/>
  <c r="B2203" i="1"/>
  <c r="H554" i="1"/>
  <c r="J554" i="1"/>
  <c r="G554" i="1" s="1"/>
  <c r="I554" i="1" s="1"/>
  <c r="E555" i="1" s="1"/>
  <c r="F554" i="1"/>
  <c r="C2203" i="1" l="1"/>
  <c r="D2203" i="1" s="1"/>
  <c r="B2204" i="1"/>
  <c r="H555" i="1"/>
  <c r="J555" i="1"/>
  <c r="G555" i="1" s="1"/>
  <c r="F555" i="1"/>
  <c r="C2204" i="1" l="1"/>
  <c r="D2204" i="1" s="1"/>
  <c r="B2205" i="1"/>
  <c r="I555" i="1"/>
  <c r="E556" i="1" s="1"/>
  <c r="B2206" i="1" l="1"/>
  <c r="C2205" i="1"/>
  <c r="D2205" i="1" s="1"/>
  <c r="J556" i="1"/>
  <c r="G556" i="1" s="1"/>
  <c r="F556" i="1"/>
  <c r="H556" i="1"/>
  <c r="C2206" i="1" l="1"/>
  <c r="D2206" i="1" s="1"/>
  <c r="B2207" i="1"/>
  <c r="I556" i="1"/>
  <c r="E557" i="1" s="1"/>
  <c r="C2207" i="1" l="1"/>
  <c r="D2207" i="1" s="1"/>
  <c r="B2208" i="1"/>
  <c r="J557" i="1"/>
  <c r="G557" i="1" s="1"/>
  <c r="H557" i="1"/>
  <c r="F557" i="1"/>
  <c r="C2208" i="1" l="1"/>
  <c r="D2208" i="1" s="1"/>
  <c r="B2209" i="1"/>
  <c r="I557" i="1"/>
  <c r="E558" i="1" s="1"/>
  <c r="C2209" i="1" l="1"/>
  <c r="D2209" i="1" s="1"/>
  <c r="B2210" i="1"/>
  <c r="H558" i="1"/>
  <c r="J558" i="1"/>
  <c r="G558" i="1" s="1"/>
  <c r="F558" i="1"/>
  <c r="C2210" i="1" l="1"/>
  <c r="D2210" i="1" s="1"/>
  <c r="B2211" i="1"/>
  <c r="I558" i="1"/>
  <c r="E559" i="1" s="1"/>
  <c r="C2211" i="1" l="1"/>
  <c r="D2211" i="1" s="1"/>
  <c r="B2212" i="1"/>
  <c r="H559" i="1"/>
  <c r="J559" i="1"/>
  <c r="G559" i="1" s="1"/>
  <c r="F559" i="1"/>
  <c r="C2212" i="1" l="1"/>
  <c r="D2212" i="1" s="1"/>
  <c r="B2213" i="1"/>
  <c r="I559" i="1"/>
  <c r="E560" i="1" s="1"/>
  <c r="C2213" i="1" l="1"/>
  <c r="D2213" i="1" s="1"/>
  <c r="B2214" i="1"/>
  <c r="H560" i="1"/>
  <c r="J560" i="1"/>
  <c r="G560" i="1" s="1"/>
  <c r="F560" i="1"/>
  <c r="C2214" i="1" l="1"/>
  <c r="D2214" i="1" s="1"/>
  <c r="B2215" i="1"/>
  <c r="I560" i="1"/>
  <c r="E561" i="1" s="1"/>
  <c r="C2215" i="1" l="1"/>
  <c r="D2215" i="1" s="1"/>
  <c r="B2216" i="1"/>
  <c r="H561" i="1"/>
  <c r="J561" i="1"/>
  <c r="G561" i="1" s="1"/>
  <c r="F561" i="1"/>
  <c r="C2216" i="1" l="1"/>
  <c r="D2216" i="1" s="1"/>
  <c r="B2217" i="1"/>
  <c r="I561" i="1"/>
  <c r="E562" i="1" s="1"/>
  <c r="C2217" i="1" l="1"/>
  <c r="D2217" i="1" s="1"/>
  <c r="B2218" i="1"/>
  <c r="H562" i="1"/>
  <c r="J562" i="1"/>
  <c r="G562" i="1" s="1"/>
  <c r="F562" i="1"/>
  <c r="C2218" i="1" l="1"/>
  <c r="D2218" i="1" s="1"/>
  <c r="B2219" i="1"/>
  <c r="I562" i="1"/>
  <c r="E563" i="1" s="1"/>
  <c r="C2219" i="1" l="1"/>
  <c r="D2219" i="1" s="1"/>
  <c r="B2220" i="1"/>
  <c r="H563" i="1"/>
  <c r="F563" i="1"/>
  <c r="J563" i="1"/>
  <c r="G563" i="1" s="1"/>
  <c r="C2220" i="1" l="1"/>
  <c r="D2220" i="1" s="1"/>
  <c r="B2221" i="1"/>
  <c r="I563" i="1"/>
  <c r="E564" i="1" s="1"/>
  <c r="C2221" i="1" l="1"/>
  <c r="D2221" i="1" s="1"/>
  <c r="B2222" i="1"/>
  <c r="H564" i="1"/>
  <c r="F564" i="1"/>
  <c r="J564" i="1"/>
  <c r="G564" i="1" s="1"/>
  <c r="C2222" i="1" l="1"/>
  <c r="D2222" i="1" s="1"/>
  <c r="B2223" i="1"/>
  <c r="I564" i="1"/>
  <c r="E565" i="1" s="1"/>
  <c r="C2223" i="1" l="1"/>
  <c r="D2223" i="1" s="1"/>
  <c r="B2224" i="1"/>
  <c r="J565" i="1"/>
  <c r="G565" i="1" s="1"/>
  <c r="H565" i="1"/>
  <c r="F565" i="1"/>
  <c r="C2224" i="1" l="1"/>
  <c r="D2224" i="1" s="1"/>
  <c r="B2225" i="1"/>
  <c r="I565" i="1"/>
  <c r="E566" i="1" s="1"/>
  <c r="C2225" i="1" l="1"/>
  <c r="D2225" i="1" s="1"/>
  <c r="B2226" i="1"/>
  <c r="H566" i="1"/>
  <c r="J566" i="1"/>
  <c r="G566" i="1" s="1"/>
  <c r="F566" i="1"/>
  <c r="C2226" i="1" l="1"/>
  <c r="D2226" i="1" s="1"/>
  <c r="B2227" i="1"/>
  <c r="I566" i="1"/>
  <c r="E567" i="1" s="1"/>
  <c r="C2227" i="1" l="1"/>
  <c r="D2227" i="1" s="1"/>
  <c r="B2228" i="1"/>
  <c r="H567" i="1"/>
  <c r="F567" i="1"/>
  <c r="J567" i="1"/>
  <c r="G567" i="1" s="1"/>
  <c r="C2228" i="1" l="1"/>
  <c r="D2228" i="1" s="1"/>
  <c r="B2229" i="1"/>
  <c r="I567" i="1"/>
  <c r="E568" i="1" s="1"/>
  <c r="C2229" i="1" l="1"/>
  <c r="D2229" i="1" s="1"/>
  <c r="B2230" i="1"/>
  <c r="H568" i="1"/>
  <c r="J568" i="1"/>
  <c r="G568" i="1" s="1"/>
  <c r="F568" i="1"/>
  <c r="C2230" i="1" l="1"/>
  <c r="D2230" i="1" s="1"/>
  <c r="B2231" i="1"/>
  <c r="I568" i="1"/>
  <c r="E569" i="1" s="1"/>
  <c r="C2231" i="1" l="1"/>
  <c r="D2231" i="1" s="1"/>
  <c r="B2232" i="1"/>
  <c r="J569" i="1"/>
  <c r="G569" i="1" s="1"/>
  <c r="F569" i="1"/>
  <c r="H569" i="1"/>
  <c r="C2232" i="1" l="1"/>
  <c r="D2232" i="1" s="1"/>
  <c r="B2233" i="1"/>
  <c r="I569" i="1"/>
  <c r="E570" i="1" s="1"/>
  <c r="C2233" i="1" l="1"/>
  <c r="D2233" i="1" s="1"/>
  <c r="B2234" i="1"/>
  <c r="J570" i="1"/>
  <c r="G570" i="1" s="1"/>
  <c r="F570" i="1"/>
  <c r="H570" i="1"/>
  <c r="C2234" i="1" l="1"/>
  <c r="D2234" i="1" s="1"/>
  <c r="B2235" i="1"/>
  <c r="I570" i="1"/>
  <c r="E571" i="1" s="1"/>
  <c r="C2235" i="1" l="1"/>
  <c r="D2235" i="1" s="1"/>
  <c r="B2236" i="1"/>
  <c r="J571" i="1"/>
  <c r="G571" i="1" s="1"/>
  <c r="F571" i="1"/>
  <c r="H571" i="1"/>
  <c r="C2236" i="1" l="1"/>
  <c r="D2236" i="1" s="1"/>
  <c r="B2237" i="1"/>
  <c r="I571" i="1"/>
  <c r="E572" i="1" s="1"/>
  <c r="J572" i="1" s="1"/>
  <c r="G572" i="1" s="1"/>
  <c r="H572" i="1" l="1"/>
  <c r="F572" i="1"/>
  <c r="C2237" i="1"/>
  <c r="D2237" i="1" s="1"/>
  <c r="B2238" i="1"/>
  <c r="I572" i="1"/>
  <c r="E573" i="1" s="1"/>
  <c r="J573" i="1" s="1"/>
  <c r="G573" i="1" s="1"/>
  <c r="H573" i="1" l="1"/>
  <c r="F573" i="1"/>
  <c r="C2238" i="1"/>
  <c r="D2238" i="1" s="1"/>
  <c r="B2239" i="1"/>
  <c r="I573" i="1"/>
  <c r="E574" i="1" s="1"/>
  <c r="C2239" i="1" l="1"/>
  <c r="D2239" i="1" s="1"/>
  <c r="B2240" i="1"/>
  <c r="J574" i="1"/>
  <c r="G574" i="1" s="1"/>
  <c r="F574" i="1"/>
  <c r="H574" i="1"/>
  <c r="C2240" i="1" l="1"/>
  <c r="D2240" i="1" s="1"/>
  <c r="B2241" i="1"/>
  <c r="I574" i="1"/>
  <c r="E575" i="1" s="1"/>
  <c r="H575" i="1" s="1"/>
  <c r="F575" i="1" l="1"/>
  <c r="C2241" i="1"/>
  <c r="D2241" i="1" s="1"/>
  <c r="B2242" i="1"/>
  <c r="J575" i="1"/>
  <c r="G575" i="1" s="1"/>
  <c r="I575" i="1" s="1"/>
  <c r="E576" i="1" s="1"/>
  <c r="C2242" i="1" l="1"/>
  <c r="D2242" i="1" s="1"/>
  <c r="B2243" i="1"/>
  <c r="J576" i="1"/>
  <c r="G576" i="1" s="1"/>
  <c r="H576" i="1"/>
  <c r="F576" i="1"/>
  <c r="C2243" i="1" l="1"/>
  <c r="D2243" i="1" s="1"/>
  <c r="B2244" i="1"/>
  <c r="I576" i="1"/>
  <c r="E577" i="1" s="1"/>
  <c r="J577" i="1" s="1"/>
  <c r="G577" i="1" s="1"/>
  <c r="H577" i="1" l="1"/>
  <c r="F577" i="1"/>
  <c r="C2244" i="1"/>
  <c r="D2244" i="1" s="1"/>
  <c r="B2245" i="1"/>
  <c r="I577" i="1"/>
  <c r="E578" i="1" s="1"/>
  <c r="C2245" i="1" l="1"/>
  <c r="D2245" i="1" s="1"/>
  <c r="B2246" i="1"/>
  <c r="H578" i="1"/>
  <c r="J578" i="1"/>
  <c r="G578" i="1" s="1"/>
  <c r="F578" i="1"/>
  <c r="C2246" i="1" l="1"/>
  <c r="D2246" i="1" s="1"/>
  <c r="B2247" i="1"/>
  <c r="I578" i="1"/>
  <c r="E579" i="1" s="1"/>
  <c r="C2247" i="1" l="1"/>
  <c r="D2247" i="1" s="1"/>
  <c r="B2248" i="1"/>
  <c r="H579" i="1"/>
  <c r="F579" i="1"/>
  <c r="J579" i="1"/>
  <c r="G579" i="1" s="1"/>
  <c r="C2248" i="1" l="1"/>
  <c r="D2248" i="1" s="1"/>
  <c r="B2249" i="1"/>
  <c r="I579" i="1"/>
  <c r="E580" i="1" s="1"/>
  <c r="C2249" i="1" l="1"/>
  <c r="D2249" i="1" s="1"/>
  <c r="B2250" i="1"/>
  <c r="J580" i="1"/>
  <c r="G580" i="1" s="1"/>
  <c r="H580" i="1"/>
  <c r="F580" i="1"/>
  <c r="C2250" i="1" l="1"/>
  <c r="D2250" i="1" s="1"/>
  <c r="B2251" i="1"/>
  <c r="I580" i="1"/>
  <c r="E581" i="1" s="1"/>
  <c r="C2251" i="1" l="1"/>
  <c r="D2251" i="1" s="1"/>
  <c r="B2252" i="1"/>
  <c r="H581" i="1"/>
  <c r="J581" i="1"/>
  <c r="G581" i="1" s="1"/>
  <c r="F581" i="1"/>
  <c r="C2252" i="1" l="1"/>
  <c r="D2252" i="1" s="1"/>
  <c r="B2253" i="1"/>
  <c r="I581" i="1"/>
  <c r="E582" i="1" s="1"/>
  <c r="C2253" i="1" l="1"/>
  <c r="D2253" i="1" s="1"/>
  <c r="B2254" i="1"/>
  <c r="J582" i="1"/>
  <c r="G582" i="1" s="1"/>
  <c r="F582" i="1"/>
  <c r="H582" i="1"/>
  <c r="C2254" i="1" l="1"/>
  <c r="D2254" i="1" s="1"/>
  <c r="B2255" i="1"/>
  <c r="I582" i="1"/>
  <c r="E583" i="1" s="1"/>
  <c r="C2255" i="1" l="1"/>
  <c r="D2255" i="1" s="1"/>
  <c r="B2256" i="1"/>
  <c r="J583" i="1"/>
  <c r="G583" i="1" s="1"/>
  <c r="F583" i="1"/>
  <c r="H583" i="1"/>
  <c r="C2256" i="1" l="1"/>
  <c r="D2256" i="1" s="1"/>
  <c r="B2257" i="1"/>
  <c r="I583" i="1"/>
  <c r="E584" i="1" s="1"/>
  <c r="H584" i="1" s="1"/>
  <c r="F584" i="1" l="1"/>
  <c r="J584" i="1"/>
  <c r="G584" i="1" s="1"/>
  <c r="C2257" i="1"/>
  <c r="D2257" i="1" s="1"/>
  <c r="B2258" i="1"/>
  <c r="I584" i="1"/>
  <c r="E585" i="1" s="1"/>
  <c r="C2258" i="1" l="1"/>
  <c r="D2258" i="1" s="1"/>
  <c r="B2259" i="1"/>
  <c r="H585" i="1"/>
  <c r="J585" i="1"/>
  <c r="G585" i="1" s="1"/>
  <c r="F585" i="1"/>
  <c r="C2259" i="1" l="1"/>
  <c r="D2259" i="1" s="1"/>
  <c r="B2260" i="1"/>
  <c r="I585" i="1"/>
  <c r="E586" i="1" s="1"/>
  <c r="C2260" i="1" l="1"/>
  <c r="D2260" i="1" s="1"/>
  <c r="B2261" i="1"/>
  <c r="J586" i="1"/>
  <c r="G586" i="1" s="1"/>
  <c r="H586" i="1"/>
  <c r="F586" i="1"/>
  <c r="C2261" i="1" l="1"/>
  <c r="D2261" i="1" s="1"/>
  <c r="B2262" i="1"/>
  <c r="I586" i="1"/>
  <c r="E587" i="1" s="1"/>
  <c r="C2262" i="1" l="1"/>
  <c r="D2262" i="1" s="1"/>
  <c r="B2263" i="1"/>
  <c r="J587" i="1"/>
  <c r="G587" i="1" s="1"/>
  <c r="H587" i="1"/>
  <c r="F587" i="1"/>
  <c r="C2263" i="1" l="1"/>
  <c r="D2263" i="1" s="1"/>
  <c r="B2264" i="1"/>
  <c r="I587" i="1"/>
  <c r="E588" i="1" s="1"/>
  <c r="C2264" i="1" l="1"/>
  <c r="D2264" i="1" s="1"/>
  <c r="B2265" i="1"/>
  <c r="H588" i="1"/>
  <c r="J588" i="1"/>
  <c r="G588" i="1" s="1"/>
  <c r="F588" i="1"/>
  <c r="C2265" i="1" l="1"/>
  <c r="D2265" i="1" s="1"/>
  <c r="B2266" i="1"/>
  <c r="I588" i="1"/>
  <c r="E589" i="1" s="1"/>
  <c r="C2266" i="1" l="1"/>
  <c r="D2266" i="1" s="1"/>
  <c r="B2267" i="1"/>
  <c r="F589" i="1"/>
  <c r="J589" i="1"/>
  <c r="G589" i="1" s="1"/>
  <c r="H589" i="1"/>
  <c r="C2267" i="1" l="1"/>
  <c r="D2267" i="1" s="1"/>
  <c r="B2268" i="1"/>
  <c r="I589" i="1"/>
  <c r="E590" i="1" s="1"/>
  <c r="C2268" i="1" l="1"/>
  <c r="D2268" i="1" s="1"/>
  <c r="B2269" i="1"/>
  <c r="H590" i="1"/>
  <c r="J590" i="1"/>
  <c r="G590" i="1" s="1"/>
  <c r="F590" i="1"/>
  <c r="B2270" i="1" l="1"/>
  <c r="C2269" i="1"/>
  <c r="D2269" i="1" s="1"/>
  <c r="I590" i="1"/>
  <c r="E591" i="1" s="1"/>
  <c r="C2270" i="1" l="1"/>
  <c r="D2270" i="1" s="1"/>
  <c r="B2271" i="1"/>
  <c r="H591" i="1"/>
  <c r="J591" i="1"/>
  <c r="G591" i="1" s="1"/>
  <c r="F591" i="1"/>
  <c r="C2271" i="1" l="1"/>
  <c r="D2271" i="1" s="1"/>
  <c r="B2272" i="1"/>
  <c r="I591" i="1"/>
  <c r="E592" i="1" s="1"/>
  <c r="C2272" i="1" l="1"/>
  <c r="D2272" i="1" s="1"/>
  <c r="B2273" i="1"/>
  <c r="J592" i="1"/>
  <c r="G592" i="1" s="1"/>
  <c r="H592" i="1"/>
  <c r="F592" i="1"/>
  <c r="C2273" i="1" l="1"/>
  <c r="D2273" i="1" s="1"/>
  <c r="B2274" i="1"/>
  <c r="I592" i="1"/>
  <c r="E593" i="1" s="1"/>
  <c r="H593" i="1" s="1"/>
  <c r="F593" i="1" l="1"/>
  <c r="C2274" i="1"/>
  <c r="D2274" i="1" s="1"/>
  <c r="B2275" i="1"/>
  <c r="J593" i="1"/>
  <c r="G593" i="1" s="1"/>
  <c r="I593" i="1" s="1"/>
  <c r="E594" i="1" s="1"/>
  <c r="C2275" i="1" l="1"/>
  <c r="D2275" i="1" s="1"/>
  <c r="B2276" i="1"/>
  <c r="H594" i="1"/>
  <c r="J594" i="1"/>
  <c r="G594" i="1" s="1"/>
  <c r="F594" i="1"/>
  <c r="C2276" i="1" l="1"/>
  <c r="D2276" i="1" s="1"/>
  <c r="B2277" i="1"/>
  <c r="I594" i="1"/>
  <c r="E595" i="1" s="1"/>
  <c r="C2277" i="1" l="1"/>
  <c r="D2277" i="1" s="1"/>
  <c r="B2278" i="1"/>
  <c r="J595" i="1"/>
  <c r="G595" i="1" s="1"/>
  <c r="H595" i="1"/>
  <c r="F595" i="1"/>
  <c r="C2278" i="1" l="1"/>
  <c r="D2278" i="1" s="1"/>
  <c r="B2279" i="1"/>
  <c r="I595" i="1"/>
  <c r="E596" i="1" s="1"/>
  <c r="C2279" i="1" l="1"/>
  <c r="D2279" i="1" s="1"/>
  <c r="B2280" i="1"/>
  <c r="H596" i="1"/>
  <c r="J596" i="1"/>
  <c r="G596" i="1" s="1"/>
  <c r="F596" i="1"/>
  <c r="C2280" i="1" l="1"/>
  <c r="D2280" i="1" s="1"/>
  <c r="B2281" i="1"/>
  <c r="I596" i="1"/>
  <c r="E597" i="1" s="1"/>
  <c r="C2281" i="1" l="1"/>
  <c r="D2281" i="1" s="1"/>
  <c r="B2282" i="1"/>
  <c r="H597" i="1"/>
  <c r="J597" i="1"/>
  <c r="G597" i="1" s="1"/>
  <c r="F597" i="1"/>
  <c r="C2282" i="1" l="1"/>
  <c r="D2282" i="1" s="1"/>
  <c r="B2283" i="1"/>
  <c r="I597" i="1"/>
  <c r="E598" i="1" s="1"/>
  <c r="C2283" i="1" l="1"/>
  <c r="D2283" i="1" s="1"/>
  <c r="B2284" i="1"/>
  <c r="H598" i="1"/>
  <c r="F598" i="1"/>
  <c r="J598" i="1"/>
  <c r="G598" i="1" s="1"/>
  <c r="C2284" i="1" l="1"/>
  <c r="D2284" i="1" s="1"/>
  <c r="B2285" i="1"/>
  <c r="I598" i="1"/>
  <c r="E599" i="1" s="1"/>
  <c r="C2285" i="1" l="1"/>
  <c r="D2285" i="1" s="1"/>
  <c r="B2286" i="1"/>
  <c r="H599" i="1"/>
  <c r="J599" i="1"/>
  <c r="G599" i="1" s="1"/>
  <c r="F599" i="1"/>
  <c r="C2286" i="1" l="1"/>
  <c r="D2286" i="1" s="1"/>
  <c r="B2287" i="1"/>
  <c r="I599" i="1"/>
  <c r="E600" i="1" s="1"/>
  <c r="B2288" i="1" l="1"/>
  <c r="C2287" i="1"/>
  <c r="D2287" i="1" s="1"/>
  <c r="H600" i="1"/>
  <c r="J600" i="1"/>
  <c r="G600" i="1" s="1"/>
  <c r="F600" i="1"/>
  <c r="C2288" i="1" l="1"/>
  <c r="D2288" i="1" s="1"/>
  <c r="B2289" i="1"/>
  <c r="I600" i="1"/>
  <c r="E601" i="1" s="1"/>
  <c r="H601" i="1" s="1"/>
  <c r="F601" i="1" l="1"/>
  <c r="J601" i="1"/>
  <c r="G601" i="1" s="1"/>
  <c r="C2289" i="1"/>
  <c r="D2289" i="1" s="1"/>
  <c r="B2290" i="1"/>
  <c r="I601" i="1"/>
  <c r="E602" i="1" s="1"/>
  <c r="J602" i="1" s="1"/>
  <c r="G602" i="1" s="1"/>
  <c r="F602" i="1" l="1"/>
  <c r="H602" i="1"/>
  <c r="C2290" i="1"/>
  <c r="D2290" i="1" s="1"/>
  <c r="B2291" i="1"/>
  <c r="I602" i="1"/>
  <c r="E603" i="1" s="1"/>
  <c r="J603" i="1" s="1"/>
  <c r="G603" i="1" s="1"/>
  <c r="F603" i="1" l="1"/>
  <c r="I603" i="1" s="1"/>
  <c r="E604" i="1" s="1"/>
  <c r="H603" i="1"/>
  <c r="C2291" i="1"/>
  <c r="D2291" i="1" s="1"/>
  <c r="B2292" i="1"/>
  <c r="C2292" i="1" l="1"/>
  <c r="D2292" i="1" s="1"/>
  <c r="B2293" i="1"/>
  <c r="H604" i="1"/>
  <c r="J604" i="1"/>
  <c r="G604" i="1" s="1"/>
  <c r="F604" i="1"/>
  <c r="C2293" i="1" l="1"/>
  <c r="D2293" i="1" s="1"/>
  <c r="B2294" i="1"/>
  <c r="I604" i="1"/>
  <c r="E605" i="1" s="1"/>
  <c r="C2294" i="1" l="1"/>
  <c r="D2294" i="1" s="1"/>
  <c r="B2295" i="1"/>
  <c r="H605" i="1"/>
  <c r="J605" i="1"/>
  <c r="G605" i="1" s="1"/>
  <c r="F605" i="1"/>
  <c r="C2295" i="1" l="1"/>
  <c r="D2295" i="1" s="1"/>
  <c r="B2296" i="1"/>
  <c r="I605" i="1"/>
  <c r="E606" i="1" s="1"/>
  <c r="C2296" i="1" l="1"/>
  <c r="D2296" i="1" s="1"/>
  <c r="B2297" i="1"/>
  <c r="H606" i="1"/>
  <c r="J606" i="1"/>
  <c r="G606" i="1" s="1"/>
  <c r="F606" i="1"/>
  <c r="C2297" i="1" l="1"/>
  <c r="D2297" i="1" s="1"/>
  <c r="B2298" i="1"/>
  <c r="I606" i="1"/>
  <c r="E607" i="1" s="1"/>
  <c r="C2298" i="1" l="1"/>
  <c r="D2298" i="1" s="1"/>
  <c r="B2299" i="1"/>
  <c r="H607" i="1"/>
  <c r="J607" i="1"/>
  <c r="G607" i="1" s="1"/>
  <c r="F607" i="1"/>
  <c r="C2299" i="1" l="1"/>
  <c r="D2299" i="1" s="1"/>
  <c r="B2300" i="1"/>
  <c r="I607" i="1"/>
  <c r="E608" i="1" s="1"/>
  <c r="C2300" i="1" l="1"/>
  <c r="D2300" i="1" s="1"/>
  <c r="B2301" i="1"/>
  <c r="H608" i="1"/>
  <c r="F608" i="1"/>
  <c r="J608" i="1"/>
  <c r="G608" i="1" s="1"/>
  <c r="B2302" i="1" l="1"/>
  <c r="C2301" i="1"/>
  <c r="D2301" i="1" s="1"/>
  <c r="I608" i="1"/>
  <c r="E609" i="1" s="1"/>
  <c r="C2302" i="1" l="1"/>
  <c r="D2302" i="1" s="1"/>
  <c r="B2303" i="1"/>
  <c r="H609" i="1"/>
  <c r="J609" i="1"/>
  <c r="G609" i="1" s="1"/>
  <c r="F609" i="1"/>
  <c r="C2303" i="1" l="1"/>
  <c r="D2303" i="1" s="1"/>
  <c r="B2304" i="1"/>
  <c r="I609" i="1"/>
  <c r="E610" i="1" s="1"/>
  <c r="C2304" i="1" l="1"/>
  <c r="D2304" i="1" s="1"/>
  <c r="B2305" i="1"/>
  <c r="J610" i="1"/>
  <c r="G610" i="1" s="1"/>
  <c r="H610" i="1"/>
  <c r="F610" i="1"/>
  <c r="C2305" i="1" l="1"/>
  <c r="D2305" i="1" s="1"/>
  <c r="B2306" i="1"/>
  <c r="I610" i="1"/>
  <c r="E611" i="1" s="1"/>
  <c r="B2307" i="1" l="1"/>
  <c r="C2306" i="1"/>
  <c r="D2306" i="1" s="1"/>
  <c r="J611" i="1"/>
  <c r="G611" i="1" s="1"/>
  <c r="H611" i="1"/>
  <c r="F611" i="1"/>
  <c r="C2307" i="1" l="1"/>
  <c r="D2307" i="1" s="1"/>
  <c r="B2308" i="1"/>
  <c r="I611" i="1"/>
  <c r="E612" i="1" s="1"/>
  <c r="J612" i="1" s="1"/>
  <c r="G612" i="1" s="1"/>
  <c r="H612" i="1" l="1"/>
  <c r="F612" i="1"/>
  <c r="C2308" i="1"/>
  <c r="D2308" i="1" s="1"/>
  <c r="B2309" i="1"/>
  <c r="I612" i="1"/>
  <c r="E613" i="1" s="1"/>
  <c r="C2309" i="1" l="1"/>
  <c r="D2309" i="1" s="1"/>
  <c r="B2310" i="1"/>
  <c r="J613" i="1"/>
  <c r="G613" i="1" s="1"/>
  <c r="H613" i="1"/>
  <c r="F613" i="1"/>
  <c r="C2310" i="1" l="1"/>
  <c r="D2310" i="1" s="1"/>
  <c r="B2311" i="1"/>
  <c r="I613" i="1"/>
  <c r="E614" i="1" s="1"/>
  <c r="B2312" i="1" l="1"/>
  <c r="C2311" i="1"/>
  <c r="D2311" i="1" s="1"/>
  <c r="J614" i="1"/>
  <c r="G614" i="1" s="1"/>
  <c r="H614" i="1"/>
  <c r="F614" i="1"/>
  <c r="C2312" i="1" l="1"/>
  <c r="D2312" i="1" s="1"/>
  <c r="B2313" i="1"/>
  <c r="I614" i="1"/>
  <c r="E615" i="1" s="1"/>
  <c r="C2313" i="1" l="1"/>
  <c r="D2313" i="1" s="1"/>
  <c r="B2314" i="1"/>
  <c r="H615" i="1"/>
  <c r="J615" i="1"/>
  <c r="G615" i="1" s="1"/>
  <c r="F615" i="1"/>
  <c r="C2314" i="1" l="1"/>
  <c r="D2314" i="1" s="1"/>
  <c r="B2315" i="1"/>
  <c r="I615" i="1"/>
  <c r="E616" i="1" s="1"/>
  <c r="C2315" i="1" l="1"/>
  <c r="D2315" i="1" s="1"/>
  <c r="B2316" i="1"/>
  <c r="H616" i="1"/>
  <c r="J616" i="1"/>
  <c r="G616" i="1" s="1"/>
  <c r="F616" i="1"/>
  <c r="C2316" i="1" l="1"/>
  <c r="D2316" i="1" s="1"/>
  <c r="B2317" i="1"/>
  <c r="I616" i="1"/>
  <c r="E617" i="1" s="1"/>
  <c r="C2317" i="1" l="1"/>
  <c r="D2317" i="1" s="1"/>
  <c r="B2318" i="1"/>
  <c r="H617" i="1"/>
  <c r="J617" i="1"/>
  <c r="G617" i="1" s="1"/>
  <c r="F617" i="1"/>
  <c r="C2318" i="1" l="1"/>
  <c r="D2318" i="1" s="1"/>
  <c r="B2319" i="1"/>
  <c r="I617" i="1"/>
  <c r="E618" i="1" s="1"/>
  <c r="B2320" i="1" l="1"/>
  <c r="C2319" i="1"/>
  <c r="D2319" i="1" s="1"/>
  <c r="J618" i="1"/>
  <c r="G618" i="1" s="1"/>
  <c r="H618" i="1"/>
  <c r="F618" i="1"/>
  <c r="C2320" i="1" l="1"/>
  <c r="D2320" i="1" s="1"/>
  <c r="B2321" i="1"/>
  <c r="I618" i="1"/>
  <c r="E619" i="1" s="1"/>
  <c r="C2321" i="1" l="1"/>
  <c r="D2321" i="1" s="1"/>
  <c r="B2322" i="1"/>
  <c r="J619" i="1"/>
  <c r="G619" i="1" s="1"/>
  <c r="H619" i="1"/>
  <c r="F619" i="1"/>
  <c r="C2322" i="1" l="1"/>
  <c r="D2322" i="1" s="1"/>
  <c r="B2323" i="1"/>
  <c r="I619" i="1"/>
  <c r="E620" i="1" s="1"/>
  <c r="C2323" i="1" l="1"/>
  <c r="D2323" i="1" s="1"/>
  <c r="B2324" i="1"/>
  <c r="H620" i="1"/>
  <c r="J620" i="1"/>
  <c r="G620" i="1" s="1"/>
  <c r="F620" i="1"/>
  <c r="C2324" i="1" l="1"/>
  <c r="D2324" i="1" s="1"/>
  <c r="B2325" i="1"/>
  <c r="I620" i="1"/>
  <c r="E621" i="1" s="1"/>
  <c r="C2325" i="1" l="1"/>
  <c r="D2325" i="1" s="1"/>
  <c r="B2326" i="1"/>
  <c r="F621" i="1"/>
  <c r="H621" i="1"/>
  <c r="J621" i="1"/>
  <c r="G621" i="1" s="1"/>
  <c r="C2326" i="1" l="1"/>
  <c r="D2326" i="1" s="1"/>
  <c r="B2327" i="1"/>
  <c r="I621" i="1"/>
  <c r="E622" i="1" s="1"/>
  <c r="C2327" i="1" l="1"/>
  <c r="D2327" i="1" s="1"/>
  <c r="B2328" i="1"/>
  <c r="H622" i="1"/>
  <c r="J622" i="1"/>
  <c r="G622" i="1" s="1"/>
  <c r="F622" i="1"/>
  <c r="C2328" i="1" l="1"/>
  <c r="D2328" i="1" s="1"/>
  <c r="B2329" i="1"/>
  <c r="I622" i="1"/>
  <c r="E623" i="1" s="1"/>
  <c r="C2329" i="1" l="1"/>
  <c r="D2329" i="1" s="1"/>
  <c r="B2330" i="1"/>
  <c r="J623" i="1"/>
  <c r="G623" i="1" s="1"/>
  <c r="F623" i="1"/>
  <c r="H623" i="1"/>
  <c r="C2330" i="1" l="1"/>
  <c r="D2330" i="1" s="1"/>
  <c r="B2331" i="1"/>
  <c r="I623" i="1"/>
  <c r="E624" i="1" s="1"/>
  <c r="C2331" i="1" l="1"/>
  <c r="D2331" i="1" s="1"/>
  <c r="B2332" i="1"/>
  <c r="H624" i="1"/>
  <c r="F624" i="1"/>
  <c r="J624" i="1"/>
  <c r="G624" i="1" s="1"/>
  <c r="B2333" i="1" l="1"/>
  <c r="C2332" i="1"/>
  <c r="D2332" i="1" s="1"/>
  <c r="I624" i="1"/>
  <c r="E625" i="1" s="1"/>
  <c r="C2333" i="1" l="1"/>
  <c r="D2333" i="1" s="1"/>
  <c r="B2334" i="1"/>
  <c r="J625" i="1"/>
  <c r="G625" i="1" s="1"/>
  <c r="F625" i="1"/>
  <c r="H625" i="1"/>
  <c r="C2334" i="1" l="1"/>
  <c r="D2334" i="1" s="1"/>
  <c r="B2335" i="1"/>
  <c r="I625" i="1"/>
  <c r="E626" i="1" s="1"/>
  <c r="C2335" i="1" l="1"/>
  <c r="D2335" i="1" s="1"/>
  <c r="B2336" i="1"/>
  <c r="J626" i="1"/>
  <c r="G626" i="1" s="1"/>
  <c r="H626" i="1"/>
  <c r="F626" i="1"/>
  <c r="B2337" i="1" l="1"/>
  <c r="C2336" i="1"/>
  <c r="D2336" i="1" s="1"/>
  <c r="I626" i="1"/>
  <c r="E627" i="1" s="1"/>
  <c r="B2338" i="1" l="1"/>
  <c r="C2337" i="1"/>
  <c r="D2337" i="1" s="1"/>
  <c r="H627" i="1"/>
  <c r="J627" i="1"/>
  <c r="G627" i="1" s="1"/>
  <c r="F627" i="1"/>
  <c r="C2338" i="1" l="1"/>
  <c r="D2338" i="1" s="1"/>
  <c r="B2339" i="1"/>
  <c r="I627" i="1"/>
  <c r="E628" i="1" s="1"/>
  <c r="C2339" i="1" l="1"/>
  <c r="D2339" i="1" s="1"/>
  <c r="B2340" i="1"/>
  <c r="J628" i="1"/>
  <c r="G628" i="1" s="1"/>
  <c r="F628" i="1"/>
  <c r="H628" i="1"/>
  <c r="C2340" i="1" l="1"/>
  <c r="D2340" i="1" s="1"/>
  <c r="B2341" i="1"/>
  <c r="I628" i="1"/>
  <c r="E629" i="1" s="1"/>
  <c r="H629" i="1" s="1"/>
  <c r="J629" i="1" l="1"/>
  <c r="G629" i="1" s="1"/>
  <c r="I629" i="1" s="1"/>
  <c r="E630" i="1" s="1"/>
  <c r="F629" i="1"/>
  <c r="B2342" i="1"/>
  <c r="C2341" i="1"/>
  <c r="D2341" i="1" s="1"/>
  <c r="C2342" i="1" l="1"/>
  <c r="D2342" i="1" s="1"/>
  <c r="B2343" i="1"/>
  <c r="J630" i="1"/>
  <c r="G630" i="1" s="1"/>
  <c r="H630" i="1"/>
  <c r="F630" i="1"/>
  <c r="C2343" i="1" l="1"/>
  <c r="D2343" i="1" s="1"/>
  <c r="B2344" i="1"/>
  <c r="I630" i="1"/>
  <c r="E631" i="1" s="1"/>
  <c r="C2344" i="1" l="1"/>
  <c r="D2344" i="1" s="1"/>
  <c r="B2345" i="1"/>
  <c r="H631" i="1"/>
  <c r="F631" i="1"/>
  <c r="J631" i="1"/>
  <c r="G631" i="1" s="1"/>
  <c r="C2345" i="1" l="1"/>
  <c r="D2345" i="1" s="1"/>
  <c r="B2346" i="1"/>
  <c r="I631" i="1"/>
  <c r="E632" i="1" s="1"/>
  <c r="C2346" i="1" l="1"/>
  <c r="D2346" i="1" s="1"/>
  <c r="B2347" i="1"/>
  <c r="H632" i="1"/>
  <c r="J632" i="1"/>
  <c r="G632" i="1" s="1"/>
  <c r="F632" i="1"/>
  <c r="C2347" i="1" l="1"/>
  <c r="D2347" i="1" s="1"/>
  <c r="B2348" i="1"/>
  <c r="I632" i="1"/>
  <c r="E633" i="1" s="1"/>
  <c r="B2349" i="1" l="1"/>
  <c r="C2348" i="1"/>
  <c r="D2348" i="1" s="1"/>
  <c r="H633" i="1"/>
  <c r="J633" i="1"/>
  <c r="G633" i="1" s="1"/>
  <c r="F633" i="1"/>
  <c r="C2349" i="1" l="1"/>
  <c r="D2349" i="1" s="1"/>
  <c r="B2350" i="1"/>
  <c r="I633" i="1"/>
  <c r="E634" i="1" s="1"/>
  <c r="C2350" i="1" l="1"/>
  <c r="D2350" i="1" s="1"/>
  <c r="B2351" i="1"/>
  <c r="H634" i="1"/>
  <c r="F634" i="1"/>
  <c r="J634" i="1"/>
  <c r="G634" i="1" s="1"/>
  <c r="C2351" i="1" l="1"/>
  <c r="D2351" i="1" s="1"/>
  <c r="B2352" i="1"/>
  <c r="I634" i="1"/>
  <c r="E635" i="1" s="1"/>
  <c r="B2353" i="1" l="1"/>
  <c r="C2352" i="1"/>
  <c r="D2352" i="1" s="1"/>
  <c r="H635" i="1"/>
  <c r="F635" i="1"/>
  <c r="J635" i="1"/>
  <c r="G635" i="1" s="1"/>
  <c r="B2354" i="1" l="1"/>
  <c r="C2353" i="1"/>
  <c r="D2353" i="1" s="1"/>
  <c r="I635" i="1"/>
  <c r="E636" i="1" s="1"/>
  <c r="C2354" i="1" l="1"/>
  <c r="D2354" i="1" s="1"/>
  <c r="B2355" i="1"/>
  <c r="J636" i="1"/>
  <c r="G636" i="1" s="1"/>
  <c r="H636" i="1"/>
  <c r="F636" i="1"/>
  <c r="C2355" i="1" l="1"/>
  <c r="D2355" i="1" s="1"/>
  <c r="B2356" i="1"/>
  <c r="I636" i="1"/>
  <c r="E637" i="1" s="1"/>
  <c r="C2356" i="1" l="1"/>
  <c r="D2356" i="1" s="1"/>
  <c r="B2357" i="1"/>
  <c r="J637" i="1"/>
  <c r="G637" i="1" s="1"/>
  <c r="F637" i="1"/>
  <c r="H637" i="1"/>
  <c r="B2358" i="1" l="1"/>
  <c r="C2357" i="1"/>
  <c r="D2357" i="1" s="1"/>
  <c r="I637" i="1"/>
  <c r="E638" i="1" s="1"/>
  <c r="J638" i="1" s="1"/>
  <c r="G638" i="1" s="1"/>
  <c r="C2358" i="1" l="1"/>
  <c r="D2358" i="1" s="1"/>
  <c r="B2359" i="1"/>
  <c r="H638" i="1"/>
  <c r="F638" i="1"/>
  <c r="I638" i="1"/>
  <c r="E639" i="1" s="1"/>
  <c r="C2359" i="1" l="1"/>
  <c r="D2359" i="1" s="1"/>
  <c r="B2360" i="1"/>
  <c r="J639" i="1"/>
  <c r="G639" i="1" s="1"/>
  <c r="F639" i="1"/>
  <c r="H639" i="1"/>
  <c r="C2360" i="1" l="1"/>
  <c r="D2360" i="1" s="1"/>
  <c r="B2361" i="1"/>
  <c r="I639" i="1"/>
  <c r="E640" i="1" s="1"/>
  <c r="H640" i="1" s="1"/>
  <c r="F640" i="1" l="1"/>
  <c r="C2361" i="1"/>
  <c r="D2361" i="1" s="1"/>
  <c r="B2362" i="1"/>
  <c r="J640" i="1"/>
  <c r="G640" i="1" s="1"/>
  <c r="I640" i="1" s="1"/>
  <c r="E641" i="1" s="1"/>
  <c r="C2362" i="1" l="1"/>
  <c r="D2362" i="1" s="1"/>
  <c r="B2363" i="1"/>
  <c r="J641" i="1"/>
  <c r="G641" i="1" s="1"/>
  <c r="H641" i="1"/>
  <c r="F641" i="1"/>
  <c r="C2363" i="1" l="1"/>
  <c r="D2363" i="1" s="1"/>
  <c r="B2364" i="1"/>
  <c r="I641" i="1"/>
  <c r="E642" i="1" s="1"/>
  <c r="J642" i="1" s="1"/>
  <c r="G642" i="1" s="1"/>
  <c r="F642" i="1" l="1"/>
  <c r="H642" i="1"/>
  <c r="B2365" i="1"/>
  <c r="C2364" i="1"/>
  <c r="D2364" i="1" s="1"/>
  <c r="I642" i="1"/>
  <c r="E643" i="1" s="1"/>
  <c r="J643" i="1" s="1"/>
  <c r="G643" i="1" s="1"/>
  <c r="F643" i="1" l="1"/>
  <c r="C2365" i="1"/>
  <c r="D2365" i="1" s="1"/>
  <c r="B2366" i="1"/>
  <c r="H643" i="1"/>
  <c r="I643" i="1"/>
  <c r="E644" i="1" s="1"/>
  <c r="C2366" i="1" l="1"/>
  <c r="D2366" i="1" s="1"/>
  <c r="B2367" i="1"/>
  <c r="H644" i="1"/>
  <c r="F644" i="1"/>
  <c r="J644" i="1"/>
  <c r="G644" i="1" s="1"/>
  <c r="B2368" i="1" l="1"/>
  <c r="C2367" i="1"/>
  <c r="D2367" i="1" s="1"/>
  <c r="I644" i="1"/>
  <c r="E645" i="1" s="1"/>
  <c r="B2369" i="1" l="1"/>
  <c r="C2368" i="1"/>
  <c r="D2368" i="1" s="1"/>
  <c r="H645" i="1"/>
  <c r="J645" i="1"/>
  <c r="G645" i="1" s="1"/>
  <c r="F645" i="1"/>
  <c r="C2369" i="1" l="1"/>
  <c r="D2369" i="1" s="1"/>
  <c r="B2370" i="1"/>
  <c r="I645" i="1"/>
  <c r="E646" i="1" s="1"/>
  <c r="C2370" i="1" l="1"/>
  <c r="D2370" i="1" s="1"/>
  <c r="B2371" i="1"/>
  <c r="H646" i="1"/>
  <c r="F646" i="1"/>
  <c r="J646" i="1"/>
  <c r="G646" i="1" s="1"/>
  <c r="C2371" i="1" l="1"/>
  <c r="D2371" i="1" s="1"/>
  <c r="B2372" i="1"/>
  <c r="I646" i="1"/>
  <c r="E647" i="1" s="1"/>
  <c r="C2372" i="1" l="1"/>
  <c r="D2372" i="1" s="1"/>
  <c r="B2373" i="1"/>
  <c r="J647" i="1"/>
  <c r="G647" i="1" s="1"/>
  <c r="H647" i="1"/>
  <c r="F647" i="1"/>
  <c r="B2374" i="1" l="1"/>
  <c r="C2373" i="1"/>
  <c r="D2373" i="1" s="1"/>
  <c r="I647" i="1"/>
  <c r="E648" i="1" s="1"/>
  <c r="C2374" i="1" l="1"/>
  <c r="D2374" i="1" s="1"/>
  <c r="B2375" i="1"/>
  <c r="J648" i="1"/>
  <c r="G648" i="1" s="1"/>
  <c r="H648" i="1"/>
  <c r="F648" i="1"/>
  <c r="C2375" i="1" l="1"/>
  <c r="D2375" i="1" s="1"/>
  <c r="B2376" i="1"/>
  <c r="I648" i="1"/>
  <c r="E649" i="1" s="1"/>
  <c r="C2376" i="1" l="1"/>
  <c r="D2376" i="1" s="1"/>
  <c r="B2377" i="1"/>
  <c r="H649" i="1"/>
  <c r="J649" i="1"/>
  <c r="G649" i="1" s="1"/>
  <c r="F649" i="1"/>
  <c r="C2377" i="1" l="1"/>
  <c r="D2377" i="1" s="1"/>
  <c r="B2378" i="1"/>
  <c r="I649" i="1"/>
  <c r="E650" i="1" s="1"/>
  <c r="C2378" i="1" l="1"/>
  <c r="D2378" i="1" s="1"/>
  <c r="B2379" i="1"/>
  <c r="J650" i="1"/>
  <c r="G650" i="1" s="1"/>
  <c r="H650" i="1"/>
  <c r="F650" i="1"/>
  <c r="C2379" i="1" l="1"/>
  <c r="D2379" i="1" s="1"/>
  <c r="B2380" i="1"/>
  <c r="I650" i="1"/>
  <c r="E651" i="1" s="1"/>
  <c r="C2380" i="1" l="1"/>
  <c r="D2380" i="1" s="1"/>
  <c r="B2381" i="1"/>
  <c r="J651" i="1"/>
  <c r="G651" i="1" s="1"/>
  <c r="F651" i="1"/>
  <c r="H651" i="1"/>
  <c r="C2381" i="1" l="1"/>
  <c r="D2381" i="1" s="1"/>
  <c r="B2382" i="1"/>
  <c r="I651" i="1"/>
  <c r="E652" i="1" s="1"/>
  <c r="C2382" i="1" l="1"/>
  <c r="D2382" i="1" s="1"/>
  <c r="B2383" i="1"/>
  <c r="F652" i="1"/>
  <c r="J652" i="1"/>
  <c r="G652" i="1" s="1"/>
  <c r="H652" i="1"/>
  <c r="C2383" i="1" l="1"/>
  <c r="D2383" i="1" s="1"/>
  <c r="B2384" i="1"/>
  <c r="I652" i="1"/>
  <c r="E653" i="1" s="1"/>
  <c r="C2384" i="1" l="1"/>
  <c r="D2384" i="1" s="1"/>
  <c r="B2385" i="1"/>
  <c r="H653" i="1"/>
  <c r="F653" i="1"/>
  <c r="J653" i="1"/>
  <c r="G653" i="1" s="1"/>
  <c r="B2386" i="1" l="1"/>
  <c r="C2385" i="1"/>
  <c r="D2385" i="1" s="1"/>
  <c r="I653" i="1"/>
  <c r="E654" i="1" s="1"/>
  <c r="C2386" i="1" l="1"/>
  <c r="D2386" i="1" s="1"/>
  <c r="B2387" i="1"/>
  <c r="H654" i="1"/>
  <c r="F654" i="1"/>
  <c r="J654" i="1"/>
  <c r="G654" i="1" s="1"/>
  <c r="C2387" i="1" l="1"/>
  <c r="D2387" i="1" s="1"/>
  <c r="B2388" i="1"/>
  <c r="I654" i="1"/>
  <c r="E655" i="1" s="1"/>
  <c r="C2388" i="1" l="1"/>
  <c r="D2388" i="1" s="1"/>
  <c r="B2389" i="1"/>
  <c r="J655" i="1"/>
  <c r="G655" i="1" s="1"/>
  <c r="H655" i="1"/>
  <c r="F655" i="1"/>
  <c r="C2389" i="1" l="1"/>
  <c r="D2389" i="1" s="1"/>
  <c r="B2390" i="1"/>
  <c r="I655" i="1"/>
  <c r="E656" i="1" s="1"/>
  <c r="C2390" i="1" l="1"/>
  <c r="D2390" i="1" s="1"/>
  <c r="B2391" i="1"/>
  <c r="J656" i="1"/>
  <c r="G656" i="1" s="1"/>
  <c r="F656" i="1"/>
  <c r="H656" i="1"/>
  <c r="C2391" i="1" l="1"/>
  <c r="D2391" i="1" s="1"/>
  <c r="B2392" i="1"/>
  <c r="I656" i="1"/>
  <c r="E657" i="1" s="1"/>
  <c r="C2392" i="1" l="1"/>
  <c r="D2392" i="1" s="1"/>
  <c r="B2393" i="1"/>
  <c r="H657" i="1"/>
  <c r="F657" i="1"/>
  <c r="J657" i="1"/>
  <c r="G657" i="1" s="1"/>
  <c r="B2394" i="1" l="1"/>
  <c r="C2393" i="1"/>
  <c r="D2393" i="1" s="1"/>
  <c r="I657" i="1"/>
  <c r="E658" i="1" s="1"/>
  <c r="C2394" i="1" l="1"/>
  <c r="D2394" i="1" s="1"/>
  <c r="B2395" i="1"/>
  <c r="H658" i="1"/>
  <c r="F658" i="1"/>
  <c r="J658" i="1"/>
  <c r="G658" i="1" s="1"/>
  <c r="C2395" i="1" l="1"/>
  <c r="D2395" i="1" s="1"/>
  <c r="B2396" i="1"/>
  <c r="I658" i="1"/>
  <c r="E659" i="1" s="1"/>
  <c r="C2396" i="1" l="1"/>
  <c r="D2396" i="1" s="1"/>
  <c r="B2397" i="1"/>
  <c r="J659" i="1"/>
  <c r="G659" i="1" s="1"/>
  <c r="H659" i="1"/>
  <c r="F659" i="1"/>
  <c r="C2397" i="1" l="1"/>
  <c r="D2397" i="1" s="1"/>
  <c r="B2398" i="1"/>
  <c r="I659" i="1"/>
  <c r="E660" i="1" s="1"/>
  <c r="J660" i="1" s="1"/>
  <c r="G660" i="1" s="1"/>
  <c r="C2398" i="1" l="1"/>
  <c r="D2398" i="1" s="1"/>
  <c r="B2399" i="1"/>
  <c r="F660" i="1"/>
  <c r="H660" i="1"/>
  <c r="I660" i="1" s="1"/>
  <c r="E661" i="1" s="1"/>
  <c r="J661" i="1" s="1"/>
  <c r="G661" i="1" s="1"/>
  <c r="C2399" i="1" l="1"/>
  <c r="D2399" i="1" s="1"/>
  <c r="B2400" i="1"/>
  <c r="F661" i="1"/>
  <c r="H661" i="1"/>
  <c r="I661" i="1" s="1"/>
  <c r="E662" i="1" s="1"/>
  <c r="C2400" i="1" l="1"/>
  <c r="D2400" i="1" s="1"/>
  <c r="B2401" i="1"/>
  <c r="J662" i="1"/>
  <c r="G662" i="1" s="1"/>
  <c r="F662" i="1"/>
  <c r="H662" i="1"/>
  <c r="C2401" i="1" l="1"/>
  <c r="D2401" i="1" s="1"/>
  <c r="B2402" i="1"/>
  <c r="I662" i="1"/>
  <c r="E663" i="1" s="1"/>
  <c r="C2402" i="1" l="1"/>
  <c r="D2402" i="1" s="1"/>
  <c r="B2403" i="1"/>
  <c r="H663" i="1"/>
  <c r="F663" i="1"/>
  <c r="J663" i="1"/>
  <c r="G663" i="1" s="1"/>
  <c r="C2403" i="1" l="1"/>
  <c r="D2403" i="1" s="1"/>
  <c r="B2404" i="1"/>
  <c r="I663" i="1"/>
  <c r="E664" i="1" s="1"/>
  <c r="C2404" i="1" l="1"/>
  <c r="D2404" i="1" s="1"/>
  <c r="B2405" i="1"/>
  <c r="H664" i="1"/>
  <c r="J664" i="1"/>
  <c r="G664" i="1" s="1"/>
  <c r="F664" i="1"/>
  <c r="B2406" i="1" l="1"/>
  <c r="C2406" i="1" s="1"/>
  <c r="D2406" i="1" s="1"/>
  <c r="C2405" i="1"/>
  <c r="D2405" i="1" s="1"/>
  <c r="I664" i="1"/>
  <c r="E665" i="1" s="1"/>
  <c r="H665" i="1" l="1"/>
  <c r="J665" i="1"/>
  <c r="G665" i="1" s="1"/>
  <c r="F665" i="1"/>
  <c r="I665" i="1" l="1"/>
  <c r="E666" i="1" s="1"/>
  <c r="H666" i="1" l="1"/>
  <c r="J666" i="1"/>
  <c r="G666" i="1" s="1"/>
  <c r="F666" i="1"/>
  <c r="I666" i="1" l="1"/>
  <c r="E667" i="1" s="1"/>
  <c r="H667" i="1" s="1"/>
  <c r="F667" i="1" l="1"/>
  <c r="J667" i="1"/>
  <c r="G667" i="1" s="1"/>
  <c r="I667" i="1" s="1"/>
  <c r="E668" i="1" s="1"/>
  <c r="H668" i="1" l="1"/>
  <c r="J668" i="1"/>
  <c r="G668" i="1" s="1"/>
  <c r="F668" i="1"/>
  <c r="I668" i="1" l="1"/>
  <c r="E669" i="1" s="1"/>
  <c r="H669" i="1" l="1"/>
  <c r="F669" i="1"/>
  <c r="J669" i="1"/>
  <c r="G669" i="1" s="1"/>
  <c r="I669" i="1" l="1"/>
  <c r="E670" i="1" s="1"/>
  <c r="H670" i="1" l="1"/>
  <c r="J670" i="1"/>
  <c r="G670" i="1" s="1"/>
  <c r="F670" i="1"/>
  <c r="I670" i="1" l="1"/>
  <c r="E671" i="1" s="1"/>
  <c r="H671" i="1" l="1"/>
  <c r="J671" i="1"/>
  <c r="G671" i="1" s="1"/>
  <c r="F671" i="1"/>
  <c r="I671" i="1" l="1"/>
  <c r="E672" i="1" s="1"/>
  <c r="J672" i="1" l="1"/>
  <c r="G672" i="1" s="1"/>
  <c r="H672" i="1"/>
  <c r="F672" i="1"/>
  <c r="I672" i="1" l="1"/>
  <c r="E673" i="1" s="1"/>
  <c r="J673" i="1" s="1"/>
  <c r="G673" i="1" s="1"/>
  <c r="H673" i="1" l="1"/>
  <c r="F673" i="1"/>
  <c r="I673" i="1" l="1"/>
  <c r="E674" i="1" s="1"/>
  <c r="H674" i="1" s="1"/>
  <c r="J674" i="1" l="1"/>
  <c r="G674" i="1" s="1"/>
  <c r="I674" i="1" s="1"/>
  <c r="E675" i="1" s="1"/>
  <c r="F674" i="1"/>
  <c r="H675" i="1" l="1"/>
  <c r="J675" i="1"/>
  <c r="G675" i="1" s="1"/>
  <c r="F675" i="1"/>
  <c r="I675" i="1" l="1"/>
  <c r="E676" i="1" s="1"/>
  <c r="J676" i="1" l="1"/>
  <c r="G676" i="1" s="1"/>
  <c r="H676" i="1"/>
  <c r="F676" i="1"/>
  <c r="I676" i="1" l="1"/>
  <c r="E677" i="1" s="1"/>
  <c r="J677" i="1" s="1"/>
  <c r="G677" i="1" s="1"/>
  <c r="F677" i="1" l="1"/>
  <c r="H677" i="1"/>
  <c r="I677" i="1"/>
  <c r="E678" i="1" s="1"/>
  <c r="H678" i="1" l="1"/>
  <c r="J678" i="1"/>
  <c r="G678" i="1" s="1"/>
  <c r="F678" i="1"/>
  <c r="I678" i="1" l="1"/>
  <c r="E679" i="1" s="1"/>
  <c r="F679" i="1" l="1"/>
  <c r="J679" i="1"/>
  <c r="G679" i="1" s="1"/>
  <c r="H679" i="1"/>
  <c r="I679" i="1" l="1"/>
  <c r="E680" i="1" s="1"/>
  <c r="H680" i="1" l="1"/>
  <c r="F680" i="1"/>
  <c r="J680" i="1"/>
  <c r="G680" i="1" s="1"/>
  <c r="I680" i="1" l="1"/>
  <c r="E681" i="1" s="1"/>
  <c r="J681" i="1" l="1"/>
  <c r="G681" i="1" s="1"/>
  <c r="H681" i="1"/>
  <c r="F681" i="1"/>
  <c r="I681" i="1" l="1"/>
  <c r="E682" i="1" s="1"/>
  <c r="H682" i="1" l="1"/>
  <c r="J682" i="1"/>
  <c r="G682" i="1" s="1"/>
  <c r="F682" i="1"/>
  <c r="I682" i="1" l="1"/>
  <c r="E683" i="1" s="1"/>
  <c r="J683" i="1" l="1"/>
  <c r="G683" i="1" s="1"/>
  <c r="H683" i="1"/>
  <c r="F683" i="1"/>
  <c r="I683" i="1" l="1"/>
  <c r="E684" i="1" s="1"/>
  <c r="F684" i="1" l="1"/>
  <c r="H684" i="1"/>
  <c r="J684" i="1"/>
  <c r="G684" i="1" s="1"/>
  <c r="I684" i="1" l="1"/>
  <c r="E685" i="1" s="1"/>
  <c r="F685" i="1" l="1"/>
  <c r="J685" i="1"/>
  <c r="G685" i="1" s="1"/>
  <c r="H685" i="1"/>
  <c r="I685" i="1" l="1"/>
  <c r="E686" i="1" s="1"/>
  <c r="H686" i="1" s="1"/>
  <c r="F686" i="1" l="1"/>
  <c r="J686" i="1"/>
  <c r="G686" i="1" s="1"/>
  <c r="I686" i="1" s="1"/>
  <c r="E687" i="1" s="1"/>
  <c r="F687" i="1" l="1"/>
  <c r="J687" i="1"/>
  <c r="G687" i="1" s="1"/>
  <c r="H687" i="1"/>
  <c r="I687" i="1" l="1"/>
  <c r="E688" i="1" s="1"/>
  <c r="J688" i="1" l="1"/>
  <c r="G688" i="1" s="1"/>
  <c r="H688" i="1"/>
  <c r="F688" i="1"/>
  <c r="I688" i="1" l="1"/>
  <c r="E689" i="1" s="1"/>
  <c r="H689" i="1" s="1"/>
  <c r="F689" i="1" l="1"/>
  <c r="J689" i="1"/>
  <c r="G689" i="1" s="1"/>
  <c r="I689" i="1" s="1"/>
  <c r="E690" i="1" s="1"/>
  <c r="J690" i="1" l="1"/>
  <c r="G690" i="1" s="1"/>
  <c r="F690" i="1"/>
  <c r="H690" i="1"/>
  <c r="I690" i="1" l="1"/>
  <c r="E691" i="1" s="1"/>
  <c r="J691" i="1" s="1"/>
  <c r="G691" i="1" s="1"/>
  <c r="F691" i="1" l="1"/>
  <c r="H691" i="1"/>
  <c r="I691" i="1"/>
  <c r="E692" i="1" s="1"/>
  <c r="H692" i="1" l="1"/>
  <c r="J692" i="1"/>
  <c r="G692" i="1" s="1"/>
  <c r="F692" i="1"/>
  <c r="I692" i="1" l="1"/>
  <c r="E693" i="1" s="1"/>
  <c r="H693" i="1" l="1"/>
  <c r="J693" i="1"/>
  <c r="G693" i="1" s="1"/>
  <c r="F693" i="1"/>
  <c r="I693" i="1" l="1"/>
  <c r="E694" i="1" s="1"/>
  <c r="J694" i="1" l="1"/>
  <c r="G694" i="1" s="1"/>
  <c r="H694" i="1"/>
  <c r="F694" i="1"/>
  <c r="I694" i="1" l="1"/>
  <c r="E695" i="1" s="1"/>
  <c r="J695" i="1" l="1"/>
  <c r="G695" i="1" s="1"/>
  <c r="F695" i="1"/>
  <c r="H695" i="1"/>
  <c r="I695" i="1" l="1"/>
  <c r="E696" i="1" s="1"/>
  <c r="J696" i="1" s="1"/>
  <c r="G696" i="1" s="1"/>
  <c r="F696" i="1"/>
  <c r="H696" i="1" l="1"/>
  <c r="I696" i="1"/>
  <c r="E697" i="1" s="1"/>
  <c r="H697" i="1" l="1"/>
  <c r="F697" i="1"/>
  <c r="J697" i="1"/>
  <c r="G697" i="1" s="1"/>
  <c r="I697" i="1" l="1"/>
  <c r="E698" i="1" s="1"/>
  <c r="J698" i="1" l="1"/>
  <c r="G698" i="1" s="1"/>
  <c r="H698" i="1"/>
  <c r="F698" i="1"/>
  <c r="I698" i="1" l="1"/>
  <c r="E699" i="1" s="1"/>
  <c r="J699" i="1" l="1"/>
  <c r="G699" i="1" s="1"/>
  <c r="H699" i="1"/>
  <c r="F699" i="1"/>
  <c r="I699" i="1" l="1"/>
  <c r="E700" i="1" s="1"/>
  <c r="H700" i="1" l="1"/>
  <c r="F700" i="1"/>
  <c r="J700" i="1"/>
  <c r="G700" i="1" s="1"/>
  <c r="I700" i="1" l="1"/>
  <c r="E701" i="1" s="1"/>
  <c r="J701" i="1" l="1"/>
  <c r="G701" i="1" s="1"/>
  <c r="H701" i="1"/>
  <c r="F701" i="1"/>
  <c r="I701" i="1" l="1"/>
  <c r="E702" i="1" s="1"/>
  <c r="J702" i="1" l="1"/>
  <c r="G702" i="1" s="1"/>
  <c r="F702" i="1"/>
  <c r="H702" i="1"/>
  <c r="I702" i="1" l="1"/>
  <c r="E703" i="1" s="1"/>
  <c r="H703" i="1" l="1"/>
  <c r="F703" i="1"/>
  <c r="J703" i="1"/>
  <c r="G703" i="1" s="1"/>
  <c r="I703" i="1" l="1"/>
  <c r="E704" i="1" s="1"/>
  <c r="F704" i="1" l="1"/>
  <c r="J704" i="1"/>
  <c r="G704" i="1" s="1"/>
  <c r="H704" i="1"/>
  <c r="I704" i="1" l="1"/>
  <c r="E705" i="1" s="1"/>
  <c r="H705" i="1" s="1"/>
  <c r="J705" i="1" l="1"/>
  <c r="G705" i="1" s="1"/>
  <c r="I705" i="1" s="1"/>
  <c r="E706" i="1" s="1"/>
  <c r="F705" i="1"/>
  <c r="H706" i="1" l="1"/>
  <c r="J706" i="1"/>
  <c r="G706" i="1" s="1"/>
  <c r="F706" i="1"/>
  <c r="I706" i="1" l="1"/>
  <c r="E707" i="1" s="1"/>
  <c r="J707" i="1" l="1"/>
  <c r="G707" i="1" s="1"/>
  <c r="F707" i="1"/>
  <c r="H707" i="1"/>
  <c r="I707" i="1" l="1"/>
  <c r="E708" i="1" s="1"/>
  <c r="H708" i="1" l="1"/>
  <c r="J708" i="1"/>
  <c r="G708" i="1" s="1"/>
  <c r="F708" i="1"/>
  <c r="I708" i="1" l="1"/>
  <c r="E709" i="1" s="1"/>
  <c r="H709" i="1" l="1"/>
  <c r="J709" i="1"/>
  <c r="G709" i="1" s="1"/>
  <c r="F709" i="1"/>
  <c r="I709" i="1" l="1"/>
  <c r="E710" i="1" s="1"/>
  <c r="H710" i="1" l="1"/>
  <c r="J710" i="1"/>
  <c r="G710" i="1" s="1"/>
  <c r="F710" i="1"/>
  <c r="I710" i="1" l="1"/>
  <c r="E711" i="1" s="1"/>
  <c r="F711" i="1" l="1"/>
  <c r="H711" i="1"/>
  <c r="J711" i="1"/>
  <c r="G711" i="1" s="1"/>
  <c r="I711" i="1" l="1"/>
  <c r="E712" i="1" s="1"/>
  <c r="J712" i="1" l="1"/>
  <c r="G712" i="1" s="1"/>
  <c r="F712" i="1"/>
  <c r="H712" i="1"/>
  <c r="I712" i="1" l="1"/>
  <c r="E713" i="1" s="1"/>
  <c r="H713" i="1" l="1"/>
  <c r="J713" i="1"/>
  <c r="G713" i="1" s="1"/>
  <c r="F713" i="1"/>
  <c r="I713" i="1" l="1"/>
  <c r="E714" i="1" s="1"/>
  <c r="F714" i="1" l="1"/>
  <c r="J714" i="1"/>
  <c r="G714" i="1" s="1"/>
  <c r="H714" i="1"/>
  <c r="I714" i="1" l="1"/>
  <c r="E715" i="1" s="1"/>
  <c r="H715" i="1" l="1"/>
  <c r="J715" i="1"/>
  <c r="G715" i="1" s="1"/>
  <c r="F715" i="1"/>
  <c r="I715" i="1" l="1"/>
  <c r="E716" i="1" s="1"/>
  <c r="H716" i="1" l="1"/>
  <c r="J716" i="1"/>
  <c r="G716" i="1" s="1"/>
  <c r="F716" i="1"/>
  <c r="I716" i="1" l="1"/>
  <c r="E717" i="1" s="1"/>
  <c r="F717" i="1" l="1"/>
  <c r="H717" i="1"/>
  <c r="J717" i="1"/>
  <c r="G717" i="1" s="1"/>
  <c r="I717" i="1" l="1"/>
  <c r="E718" i="1" s="1"/>
  <c r="H718" i="1" l="1"/>
  <c r="J718" i="1"/>
  <c r="G718" i="1" s="1"/>
  <c r="F718" i="1"/>
  <c r="I718" i="1" l="1"/>
  <c r="E719" i="1" s="1"/>
  <c r="H719" i="1" l="1"/>
  <c r="F719" i="1"/>
  <c r="J719" i="1"/>
  <c r="G719" i="1" s="1"/>
  <c r="I719" i="1" l="1"/>
  <c r="E720" i="1" s="1"/>
  <c r="J720" i="1" l="1"/>
  <c r="G720" i="1" s="1"/>
  <c r="F720" i="1"/>
  <c r="H720" i="1"/>
  <c r="I720" i="1" l="1"/>
  <c r="E721" i="1" s="1"/>
  <c r="J721" i="1" s="1"/>
  <c r="G721" i="1" s="1"/>
  <c r="H721" i="1" l="1"/>
  <c r="F721" i="1"/>
  <c r="I721" i="1"/>
  <c r="E722" i="1" s="1"/>
  <c r="H722" i="1" s="1"/>
  <c r="J722" i="1" l="1"/>
  <c r="F722" i="1"/>
  <c r="G722" i="1" l="1"/>
  <c r="I722" i="1" s="1"/>
  <c r="E723" i="1" s="1"/>
  <c r="H723" i="1" l="1"/>
  <c r="J723" i="1"/>
  <c r="G723" i="1" s="1"/>
  <c r="I723" i="1" s="1"/>
  <c r="E724" i="1" s="1"/>
  <c r="F723" i="1"/>
  <c r="H724" i="1" l="1"/>
  <c r="F724" i="1"/>
  <c r="J724" i="1"/>
  <c r="G724" i="1" s="1"/>
  <c r="I724" i="1" l="1"/>
  <c r="E725" i="1" s="1"/>
  <c r="J725" i="1" l="1"/>
  <c r="G725" i="1" s="1"/>
  <c r="F725" i="1"/>
  <c r="H725" i="1"/>
  <c r="I725" i="1" l="1"/>
  <c r="E726" i="1" s="1"/>
  <c r="J726" i="1" l="1"/>
  <c r="G726" i="1" s="1"/>
  <c r="F726" i="1"/>
  <c r="H726" i="1"/>
  <c r="I726" i="1" l="1"/>
  <c r="E727" i="1" s="1"/>
  <c r="J727" i="1" s="1"/>
  <c r="G727" i="1" s="1"/>
  <c r="H727" i="1" l="1"/>
  <c r="I727" i="1" s="1"/>
  <c r="E728" i="1" s="1"/>
  <c r="J728" i="1" s="1"/>
  <c r="G728" i="1" s="1"/>
  <c r="F727" i="1"/>
  <c r="H728" i="1" l="1"/>
  <c r="I728" i="1" s="1"/>
  <c r="E729" i="1" s="1"/>
  <c r="F728" i="1"/>
  <c r="F729" i="1" l="1"/>
  <c r="H729" i="1"/>
  <c r="J729" i="1"/>
  <c r="G729" i="1" s="1"/>
  <c r="I729" i="1" l="1"/>
  <c r="E730" i="1" s="1"/>
  <c r="J730" i="1" l="1"/>
  <c r="G730" i="1" s="1"/>
  <c r="F730" i="1"/>
  <c r="H730" i="1"/>
  <c r="I730" i="1" l="1"/>
  <c r="E731" i="1" s="1"/>
  <c r="F731" i="1" s="1"/>
  <c r="J731" i="1" l="1"/>
  <c r="G731" i="1" s="1"/>
  <c r="I731" i="1" s="1"/>
  <c r="E732" i="1" s="1"/>
  <c r="H731" i="1"/>
  <c r="H732" i="1" l="1"/>
  <c r="J732" i="1"/>
  <c r="G732" i="1" s="1"/>
  <c r="F732" i="1"/>
  <c r="I732" i="1" l="1"/>
  <c r="E733" i="1" s="1"/>
  <c r="J733" i="1" l="1"/>
  <c r="G733" i="1" s="1"/>
  <c r="H733" i="1"/>
  <c r="F733" i="1"/>
  <c r="I733" i="1" l="1"/>
  <c r="E734" i="1" s="1"/>
  <c r="F734" i="1" s="1"/>
  <c r="H734" i="1"/>
  <c r="J734" i="1" l="1"/>
  <c r="G734" i="1" s="1"/>
  <c r="I734" i="1" s="1"/>
  <c r="E735" i="1" s="1"/>
  <c r="J735" i="1" l="1"/>
  <c r="G735" i="1" s="1"/>
  <c r="H735" i="1"/>
  <c r="F735" i="1"/>
  <c r="I735" i="1" l="1"/>
  <c r="E736" i="1" s="1"/>
  <c r="H736" i="1" s="1"/>
  <c r="F736" i="1" l="1"/>
  <c r="J736" i="1"/>
  <c r="G736" i="1" s="1"/>
  <c r="I736" i="1" s="1"/>
  <c r="E737" i="1" s="1"/>
  <c r="E6" i="2" s="1"/>
  <c r="J6" i="2" l="1"/>
  <c r="K6" i="2" s="1"/>
  <c r="H6" i="2"/>
  <c r="I6" i="2" s="1"/>
  <c r="J737" i="1"/>
  <c r="G737" i="1" s="1"/>
  <c r="F737" i="1"/>
  <c r="H737" i="1"/>
  <c r="I737" i="1" l="1"/>
  <c r="E738" i="1" s="1"/>
  <c r="J738" i="1" s="1"/>
  <c r="G738" i="1" s="1"/>
  <c r="H738" i="1" l="1"/>
  <c r="F738" i="1"/>
  <c r="I738" i="1"/>
  <c r="E739" i="1" s="1"/>
  <c r="H739" i="1" l="1"/>
  <c r="F739" i="1"/>
  <c r="J739" i="1"/>
  <c r="G739" i="1" s="1"/>
  <c r="I739" i="1" l="1"/>
  <c r="E740" i="1" s="1"/>
  <c r="H740" i="1" l="1"/>
  <c r="J740" i="1"/>
  <c r="G740" i="1" s="1"/>
  <c r="F740" i="1"/>
  <c r="I740" i="1" l="1"/>
  <c r="E741" i="1" s="1"/>
  <c r="J741" i="1" l="1"/>
  <c r="G741" i="1" s="1"/>
  <c r="F741" i="1"/>
  <c r="H741" i="1"/>
  <c r="I741" i="1" l="1"/>
  <c r="E742" i="1" s="1"/>
  <c r="J742" i="1" l="1"/>
  <c r="G742" i="1" s="1"/>
  <c r="F742" i="1"/>
  <c r="H742" i="1"/>
  <c r="I742" i="1" l="1"/>
  <c r="E743" i="1" s="1"/>
  <c r="J743" i="1" l="1"/>
  <c r="G743" i="1" s="1"/>
  <c r="F743" i="1"/>
  <c r="H743" i="1"/>
  <c r="I743" i="1" l="1"/>
  <c r="E744" i="1" s="1"/>
  <c r="J744" i="1" l="1"/>
  <c r="G744" i="1" s="1"/>
  <c r="F744" i="1"/>
  <c r="H744" i="1"/>
  <c r="I744" i="1" l="1"/>
  <c r="E745" i="1" s="1"/>
  <c r="J745" i="1" l="1"/>
  <c r="G745" i="1" s="1"/>
  <c r="F745" i="1"/>
  <c r="H745" i="1"/>
  <c r="I745" i="1" l="1"/>
  <c r="E746" i="1" s="1"/>
  <c r="F746" i="1" s="1"/>
  <c r="J746" i="1" l="1"/>
  <c r="G746" i="1" s="1"/>
  <c r="I746" i="1" s="1"/>
  <c r="E747" i="1" s="1"/>
  <c r="H746" i="1"/>
  <c r="J747" i="1" l="1"/>
  <c r="G747" i="1" s="1"/>
  <c r="H747" i="1"/>
  <c r="F747" i="1"/>
  <c r="I747" i="1" l="1"/>
  <c r="E748" i="1" s="1"/>
  <c r="F748" i="1" l="1"/>
  <c r="H748" i="1"/>
  <c r="J748" i="1"/>
  <c r="G748" i="1" s="1"/>
  <c r="I748" i="1" l="1"/>
  <c r="E749" i="1" s="1"/>
  <c r="F749" i="1" l="1"/>
  <c r="J749" i="1"/>
  <c r="G749" i="1" s="1"/>
  <c r="H749" i="1"/>
  <c r="I749" i="1" l="1"/>
  <c r="E750" i="1" s="1"/>
  <c r="H750" i="1" l="1"/>
  <c r="J750" i="1"/>
  <c r="G750" i="1" s="1"/>
  <c r="F750" i="1"/>
  <c r="I750" i="1" l="1"/>
  <c r="E751" i="1" s="1"/>
  <c r="H751" i="1" l="1"/>
  <c r="J751" i="1"/>
  <c r="G751" i="1" s="1"/>
  <c r="F751" i="1"/>
  <c r="I751" i="1" l="1"/>
  <c r="E752" i="1" s="1"/>
  <c r="H752" i="1" l="1"/>
  <c r="F752" i="1"/>
  <c r="J752" i="1"/>
  <c r="G752" i="1" s="1"/>
  <c r="I752" i="1" l="1"/>
  <c r="E753" i="1" s="1"/>
  <c r="H753" i="1" l="1"/>
  <c r="J753" i="1"/>
  <c r="G753" i="1" s="1"/>
  <c r="F753" i="1"/>
  <c r="I753" i="1" l="1"/>
  <c r="E754" i="1" s="1"/>
  <c r="F754" i="1" l="1"/>
  <c r="J754" i="1"/>
  <c r="G754" i="1" s="1"/>
  <c r="H754" i="1"/>
  <c r="I754" i="1" l="1"/>
  <c r="E755" i="1" s="1"/>
  <c r="H755" i="1" l="1"/>
  <c r="F755" i="1"/>
  <c r="J755" i="1"/>
  <c r="G755" i="1" s="1"/>
  <c r="I755" i="1" l="1"/>
  <c r="E756" i="1" s="1"/>
  <c r="J756" i="1" l="1"/>
  <c r="G756" i="1" s="1"/>
  <c r="H756" i="1"/>
  <c r="F756" i="1"/>
  <c r="I756" i="1" l="1"/>
  <c r="E757" i="1" s="1"/>
  <c r="F757" i="1" l="1"/>
  <c r="H757" i="1"/>
  <c r="J757" i="1"/>
  <c r="G757" i="1" s="1"/>
  <c r="I757" i="1" l="1"/>
  <c r="E758" i="1" s="1"/>
  <c r="F758" i="1" l="1"/>
  <c r="H758" i="1"/>
  <c r="J758" i="1"/>
  <c r="G758" i="1" s="1"/>
  <c r="I758" i="1" l="1"/>
  <c r="E759" i="1" s="1"/>
  <c r="J759" i="1" l="1"/>
  <c r="G759" i="1" s="1"/>
  <c r="F759" i="1"/>
  <c r="H759" i="1"/>
  <c r="I759" i="1" l="1"/>
  <c r="E760" i="1" s="1"/>
  <c r="H760" i="1" l="1"/>
  <c r="I760" i="1" s="1"/>
  <c r="E761" i="1" s="1"/>
  <c r="F760" i="1"/>
  <c r="J760" i="1"/>
  <c r="G760" i="1" s="1"/>
  <c r="F761" i="1" l="1"/>
  <c r="J761" i="1"/>
  <c r="G761" i="1" s="1"/>
  <c r="H761" i="1"/>
  <c r="I761" i="1" s="1"/>
  <c r="E762" i="1" s="1"/>
  <c r="F762" i="1" l="1"/>
  <c r="J762" i="1"/>
  <c r="G762" i="1" s="1"/>
  <c r="H762" i="1"/>
  <c r="I762" i="1" s="1"/>
  <c r="E763" i="1" s="1"/>
  <c r="J763" i="1" l="1"/>
  <c r="G763" i="1" s="1"/>
  <c r="H763" i="1"/>
  <c r="F763" i="1"/>
  <c r="I763" i="1" l="1"/>
  <c r="E764" i="1" s="1"/>
  <c r="H764" i="1" l="1"/>
  <c r="J764" i="1"/>
  <c r="G764" i="1" s="1"/>
  <c r="F764" i="1"/>
  <c r="I764" i="1" l="1"/>
  <c r="E765" i="1" s="1"/>
  <c r="H765" i="1" l="1"/>
  <c r="J765" i="1"/>
  <c r="G765" i="1" s="1"/>
  <c r="F765" i="1"/>
  <c r="I765" i="1" l="1"/>
  <c r="E766" i="1" s="1"/>
  <c r="J766" i="1" l="1"/>
  <c r="G766" i="1" s="1"/>
  <c r="H766" i="1"/>
  <c r="F766" i="1"/>
  <c r="I766" i="1" l="1"/>
  <c r="E767" i="1" s="1"/>
  <c r="F767" i="1" l="1"/>
  <c r="J767" i="1"/>
  <c r="G767" i="1" s="1"/>
  <c r="H767" i="1"/>
  <c r="I767" i="1" s="1"/>
  <c r="E768" i="1" s="1"/>
  <c r="J768" i="1" l="1"/>
  <c r="G768" i="1" s="1"/>
  <c r="H768" i="1"/>
  <c r="F768" i="1"/>
  <c r="I768" i="1" l="1"/>
  <c r="E769" i="1" s="1"/>
  <c r="H769" i="1" l="1"/>
  <c r="F769" i="1"/>
  <c r="J769" i="1"/>
  <c r="G769" i="1" s="1"/>
  <c r="I769" i="1" l="1"/>
  <c r="E770" i="1" s="1"/>
  <c r="H770" i="1" l="1"/>
  <c r="J770" i="1"/>
  <c r="G770" i="1" s="1"/>
  <c r="F770" i="1"/>
  <c r="I770" i="1" l="1"/>
  <c r="E771" i="1" s="1"/>
  <c r="J771" i="1" l="1"/>
  <c r="G771" i="1" s="1"/>
  <c r="F771" i="1"/>
  <c r="H771" i="1"/>
  <c r="I771" i="1" l="1"/>
  <c r="E772" i="1" s="1"/>
  <c r="J772" i="1" l="1"/>
  <c r="G772" i="1" s="1"/>
  <c r="F772" i="1"/>
  <c r="H772" i="1"/>
  <c r="I772" i="1" l="1"/>
  <c r="E773" i="1" s="1"/>
  <c r="J773" i="1" l="1"/>
  <c r="G773" i="1" s="1"/>
  <c r="H773" i="1"/>
  <c r="F773" i="1"/>
  <c r="I773" i="1" l="1"/>
  <c r="E774" i="1" s="1"/>
  <c r="H774" i="1" l="1"/>
  <c r="I774" i="1" s="1"/>
  <c r="E775" i="1" s="1"/>
  <c r="J774" i="1"/>
  <c r="G774" i="1" s="1"/>
  <c r="F774" i="1"/>
  <c r="H775" i="1" l="1"/>
  <c r="J775" i="1"/>
  <c r="G775" i="1" s="1"/>
  <c r="F775" i="1"/>
  <c r="I775" i="1" l="1"/>
  <c r="E776" i="1" s="1"/>
  <c r="F776" i="1" l="1"/>
  <c r="J776" i="1"/>
  <c r="G776" i="1" s="1"/>
  <c r="H776" i="1"/>
  <c r="I776" i="1" s="1"/>
  <c r="E777" i="1" s="1"/>
  <c r="J777" i="1" l="1"/>
  <c r="G777" i="1" s="1"/>
  <c r="H777" i="1"/>
  <c r="F777" i="1"/>
  <c r="I777" i="1" l="1"/>
  <c r="E778" i="1" s="1"/>
  <c r="H778" i="1" l="1"/>
  <c r="J778" i="1"/>
  <c r="G778" i="1" s="1"/>
  <c r="F778" i="1"/>
  <c r="I778" i="1" l="1"/>
  <c r="E779" i="1" s="1"/>
  <c r="H779" i="1" l="1"/>
  <c r="J779" i="1"/>
  <c r="G779" i="1" s="1"/>
  <c r="F779" i="1"/>
  <c r="I779" i="1" l="1"/>
  <c r="E780" i="1" s="1"/>
  <c r="H780" i="1" l="1"/>
  <c r="J780" i="1"/>
  <c r="G780" i="1" s="1"/>
  <c r="F780" i="1"/>
  <c r="I780" i="1" l="1"/>
  <c r="E781" i="1" s="1"/>
  <c r="H781" i="1" l="1"/>
  <c r="I781" i="1" s="1"/>
  <c r="E782" i="1" s="1"/>
  <c r="J781" i="1"/>
  <c r="G781" i="1" s="1"/>
  <c r="F781" i="1"/>
  <c r="H782" i="1" l="1"/>
  <c r="J782" i="1"/>
  <c r="G782" i="1" s="1"/>
  <c r="F782" i="1"/>
  <c r="I782" i="1" l="1"/>
  <c r="E783" i="1" s="1"/>
  <c r="H783" i="1" l="1"/>
  <c r="I783" i="1" s="1"/>
  <c r="E784" i="1" s="1"/>
  <c r="F783" i="1"/>
  <c r="J783" i="1"/>
  <c r="G783" i="1" s="1"/>
  <c r="H784" i="1" l="1"/>
  <c r="J784" i="1"/>
  <c r="G784" i="1" s="1"/>
  <c r="F784" i="1"/>
  <c r="I784" i="1" l="1"/>
  <c r="E785" i="1" s="1"/>
  <c r="J785" i="1" l="1"/>
  <c r="G785" i="1" s="1"/>
  <c r="H785" i="1"/>
  <c r="F785" i="1"/>
  <c r="I785" i="1" l="1"/>
  <c r="E786" i="1" s="1"/>
  <c r="H786" i="1" l="1"/>
  <c r="F786" i="1"/>
  <c r="J786" i="1"/>
  <c r="G786" i="1" s="1"/>
  <c r="I786" i="1" l="1"/>
  <c r="E787" i="1" s="1"/>
  <c r="H787" i="1" l="1"/>
  <c r="I787" i="1" s="1"/>
  <c r="E788" i="1" s="1"/>
  <c r="F787" i="1"/>
  <c r="J787" i="1"/>
  <c r="G787" i="1" s="1"/>
  <c r="H788" i="1" l="1"/>
  <c r="J788" i="1"/>
  <c r="G788" i="1" s="1"/>
  <c r="F788" i="1"/>
  <c r="I788" i="1" l="1"/>
  <c r="E789" i="1" s="1"/>
  <c r="H789" i="1" l="1"/>
  <c r="J789" i="1"/>
  <c r="G789" i="1" s="1"/>
  <c r="F789" i="1"/>
  <c r="I789" i="1" l="1"/>
  <c r="E790" i="1" s="1"/>
  <c r="J790" i="1" l="1"/>
  <c r="G790" i="1" s="1"/>
  <c r="F790" i="1"/>
  <c r="H790" i="1"/>
  <c r="I790" i="1" l="1"/>
  <c r="E791" i="1" s="1"/>
  <c r="H791" i="1" l="1"/>
  <c r="F791" i="1"/>
  <c r="J791" i="1"/>
  <c r="G791" i="1" s="1"/>
  <c r="I791" i="1" l="1"/>
  <c r="E792" i="1" s="1"/>
  <c r="J792" i="1" l="1"/>
  <c r="G792" i="1" s="1"/>
  <c r="H792" i="1"/>
  <c r="F792" i="1"/>
  <c r="I792" i="1" l="1"/>
  <c r="E793" i="1" s="1"/>
  <c r="J793" i="1" l="1"/>
  <c r="G793" i="1" s="1"/>
  <c r="H793" i="1"/>
  <c r="F793" i="1"/>
  <c r="I793" i="1" l="1"/>
  <c r="E794" i="1" s="1"/>
  <c r="F794" i="1" l="1"/>
  <c r="J794" i="1"/>
  <c r="G794" i="1" s="1"/>
  <c r="H794" i="1"/>
  <c r="I794" i="1" l="1"/>
  <c r="E795" i="1" s="1"/>
  <c r="H795" i="1" l="1"/>
  <c r="J795" i="1"/>
  <c r="G795" i="1" s="1"/>
  <c r="F795" i="1"/>
  <c r="I795" i="1" l="1"/>
  <c r="E796" i="1" s="1"/>
  <c r="H796" i="1" l="1"/>
  <c r="J796" i="1"/>
  <c r="G796" i="1" s="1"/>
  <c r="F796" i="1"/>
  <c r="I796" i="1" l="1"/>
  <c r="E797" i="1" s="1"/>
  <c r="H797" i="1" l="1"/>
  <c r="J797" i="1"/>
  <c r="G797" i="1" s="1"/>
  <c r="F797" i="1"/>
  <c r="I797" i="1" l="1"/>
  <c r="E798" i="1" s="1"/>
  <c r="F798" i="1" l="1"/>
  <c r="J798" i="1"/>
  <c r="G798" i="1" s="1"/>
  <c r="H798" i="1"/>
  <c r="I798" i="1" s="1"/>
  <c r="E799" i="1" s="1"/>
  <c r="J799" i="1" l="1"/>
  <c r="G799" i="1" s="1"/>
  <c r="H799" i="1"/>
  <c r="F799" i="1"/>
  <c r="I799" i="1" l="1"/>
  <c r="E800" i="1" s="1"/>
  <c r="H800" i="1" l="1"/>
  <c r="J800" i="1"/>
  <c r="G800" i="1" s="1"/>
  <c r="F800" i="1"/>
  <c r="I800" i="1" l="1"/>
  <c r="E801" i="1" s="1"/>
  <c r="H801" i="1" l="1"/>
  <c r="F801" i="1"/>
  <c r="J801" i="1"/>
  <c r="G801" i="1" s="1"/>
  <c r="I801" i="1" l="1"/>
  <c r="E802" i="1" s="1"/>
  <c r="J802" i="1" l="1"/>
  <c r="G802" i="1" s="1"/>
  <c r="H802" i="1"/>
  <c r="F802" i="1"/>
  <c r="I802" i="1" l="1"/>
  <c r="E803" i="1" s="1"/>
  <c r="H803" i="1" l="1"/>
  <c r="J803" i="1"/>
  <c r="G803" i="1" s="1"/>
  <c r="F803" i="1"/>
  <c r="I803" i="1" l="1"/>
  <c r="E804" i="1" s="1"/>
  <c r="H804" i="1" l="1"/>
  <c r="J804" i="1"/>
  <c r="G804" i="1" s="1"/>
  <c r="F804" i="1"/>
  <c r="I804" i="1" l="1"/>
  <c r="E805" i="1" s="1"/>
  <c r="J805" i="1" l="1"/>
  <c r="G805" i="1" s="1"/>
  <c r="H805" i="1"/>
  <c r="F805" i="1"/>
  <c r="I805" i="1" l="1"/>
  <c r="E806" i="1" s="1"/>
  <c r="F806" i="1" l="1"/>
  <c r="J806" i="1"/>
  <c r="G806" i="1" s="1"/>
  <c r="H806" i="1"/>
  <c r="I806" i="1" s="1"/>
  <c r="E807" i="1" s="1"/>
  <c r="J807" i="1" l="1"/>
  <c r="G807" i="1" s="1"/>
  <c r="F807" i="1"/>
  <c r="H807" i="1"/>
  <c r="I807" i="1" l="1"/>
  <c r="E808" i="1" s="1"/>
  <c r="H808" i="1" l="1"/>
  <c r="F808" i="1"/>
  <c r="J808" i="1"/>
  <c r="G808" i="1" s="1"/>
  <c r="I808" i="1" l="1"/>
  <c r="E809" i="1" s="1"/>
  <c r="J809" i="1" l="1"/>
  <c r="G809" i="1" s="1"/>
  <c r="H809" i="1"/>
  <c r="F809" i="1"/>
  <c r="I809" i="1" l="1"/>
  <c r="E810" i="1" s="1"/>
  <c r="J810" i="1" l="1"/>
  <c r="G810" i="1" s="1"/>
  <c r="H810" i="1"/>
  <c r="F810" i="1"/>
  <c r="I810" i="1" l="1"/>
  <c r="E811" i="1" s="1"/>
  <c r="H811" i="1" l="1"/>
  <c r="F811" i="1"/>
  <c r="J811" i="1"/>
  <c r="G811" i="1" s="1"/>
  <c r="I811" i="1" l="1"/>
  <c r="E812" i="1" s="1"/>
  <c r="H812" i="1" l="1"/>
  <c r="J812" i="1"/>
  <c r="G812" i="1" s="1"/>
  <c r="F812" i="1"/>
  <c r="I812" i="1" l="1"/>
  <c r="E813" i="1" s="1"/>
  <c r="F813" i="1" l="1"/>
  <c r="J813" i="1"/>
  <c r="G813" i="1" s="1"/>
  <c r="H813" i="1"/>
  <c r="I813" i="1" s="1"/>
  <c r="E814" i="1" s="1"/>
  <c r="F814" i="1" l="1"/>
  <c r="J814" i="1"/>
  <c r="G814" i="1" s="1"/>
  <c r="H814" i="1"/>
  <c r="I814" i="1" s="1"/>
  <c r="E815" i="1" s="1"/>
  <c r="F815" i="1" l="1"/>
  <c r="H815" i="1"/>
  <c r="J815" i="1"/>
  <c r="G815" i="1" s="1"/>
  <c r="I815" i="1" l="1"/>
  <c r="E816" i="1" s="1"/>
  <c r="H816" i="1" l="1"/>
  <c r="F816" i="1"/>
  <c r="J816" i="1"/>
  <c r="G816" i="1" s="1"/>
  <c r="I816" i="1" l="1"/>
  <c r="E817" i="1" s="1"/>
  <c r="J817" i="1" l="1"/>
  <c r="G817" i="1" s="1"/>
  <c r="H817" i="1"/>
  <c r="F817" i="1"/>
  <c r="I817" i="1" l="1"/>
  <c r="E818" i="1" s="1"/>
  <c r="J818" i="1" l="1"/>
  <c r="G818" i="1" s="1"/>
  <c r="H818" i="1"/>
  <c r="F818" i="1"/>
  <c r="I818" i="1" l="1"/>
  <c r="E819" i="1" s="1"/>
  <c r="F819" i="1" l="1"/>
  <c r="H819" i="1"/>
  <c r="J819" i="1"/>
  <c r="G819" i="1" s="1"/>
  <c r="I819" i="1" l="1"/>
  <c r="E820" i="1" s="1"/>
  <c r="H820" i="1" l="1"/>
  <c r="J820" i="1"/>
  <c r="G820" i="1" s="1"/>
  <c r="F820" i="1"/>
  <c r="I820" i="1" l="1"/>
  <c r="E821" i="1" s="1"/>
  <c r="H821" i="1" l="1"/>
  <c r="J821" i="1"/>
  <c r="G821" i="1" s="1"/>
  <c r="F821" i="1"/>
  <c r="I821" i="1" l="1"/>
  <c r="E822" i="1" s="1"/>
  <c r="H822" i="1" l="1"/>
  <c r="J822" i="1"/>
  <c r="G822" i="1" s="1"/>
  <c r="F822" i="1"/>
  <c r="I822" i="1" l="1"/>
  <c r="E823" i="1" s="1"/>
  <c r="H823" i="1" l="1"/>
  <c r="J823" i="1"/>
  <c r="G823" i="1" s="1"/>
  <c r="F823" i="1"/>
  <c r="I823" i="1" l="1"/>
  <c r="E824" i="1" s="1"/>
  <c r="H824" i="1" l="1"/>
  <c r="J824" i="1"/>
  <c r="G824" i="1" s="1"/>
  <c r="F824" i="1"/>
  <c r="I824" i="1" l="1"/>
  <c r="E825" i="1" s="1"/>
  <c r="H825" i="1" l="1"/>
  <c r="I825" i="1" s="1"/>
  <c r="E826" i="1" s="1"/>
  <c r="J825" i="1"/>
  <c r="G825" i="1" s="1"/>
  <c r="F825" i="1"/>
  <c r="F826" i="1" l="1"/>
  <c r="J826" i="1"/>
  <c r="G826" i="1" s="1"/>
  <c r="H826" i="1"/>
  <c r="I826" i="1" s="1"/>
  <c r="E827" i="1" s="1"/>
  <c r="H827" i="1" l="1"/>
  <c r="F827" i="1"/>
  <c r="J827" i="1"/>
  <c r="G827" i="1" s="1"/>
  <c r="I827" i="1" l="1"/>
  <c r="E828" i="1" s="1"/>
  <c r="H828" i="1" l="1"/>
  <c r="J828" i="1"/>
  <c r="G828" i="1" s="1"/>
  <c r="F828" i="1"/>
  <c r="I828" i="1" l="1"/>
  <c r="E829" i="1" s="1"/>
  <c r="J829" i="1" l="1"/>
  <c r="G829" i="1" s="1"/>
  <c r="F829" i="1"/>
  <c r="H829" i="1"/>
  <c r="I829" i="1" l="1"/>
  <c r="E830" i="1" s="1"/>
  <c r="H830" i="1" l="1"/>
  <c r="I830" i="1" s="1"/>
  <c r="E831" i="1" s="1"/>
  <c r="J830" i="1"/>
  <c r="G830" i="1" s="1"/>
  <c r="F830" i="1"/>
  <c r="H831" i="1" l="1"/>
  <c r="J831" i="1"/>
  <c r="G831" i="1" s="1"/>
  <c r="F831" i="1"/>
  <c r="I831" i="1" l="1"/>
  <c r="E832" i="1" s="1"/>
  <c r="F832" i="1" l="1"/>
  <c r="H832" i="1"/>
  <c r="J832" i="1"/>
  <c r="G832" i="1" s="1"/>
  <c r="I832" i="1" l="1"/>
  <c r="E833" i="1" s="1"/>
  <c r="F833" i="1" l="1"/>
  <c r="H833" i="1"/>
  <c r="J833" i="1"/>
  <c r="G833" i="1" s="1"/>
  <c r="I833" i="1" l="1"/>
  <c r="E834" i="1" s="1"/>
  <c r="H834" i="1" l="1"/>
  <c r="I834" i="1" s="1"/>
  <c r="E835" i="1" s="1"/>
  <c r="J834" i="1"/>
  <c r="G834" i="1" s="1"/>
  <c r="F834" i="1"/>
  <c r="F835" i="1" l="1"/>
  <c r="J835" i="1"/>
  <c r="G835" i="1" s="1"/>
  <c r="H835" i="1"/>
  <c r="I835" i="1" s="1"/>
  <c r="E836" i="1" s="1"/>
  <c r="F836" i="1" l="1"/>
  <c r="J836" i="1"/>
  <c r="G836" i="1" s="1"/>
  <c r="H836" i="1"/>
  <c r="I836" i="1" s="1"/>
  <c r="E837" i="1" s="1"/>
  <c r="H837" i="1" l="1"/>
  <c r="F837" i="1"/>
  <c r="J837" i="1"/>
  <c r="G837" i="1" s="1"/>
  <c r="I837" i="1" l="1"/>
  <c r="E838" i="1" s="1"/>
  <c r="H838" i="1" l="1"/>
  <c r="J838" i="1"/>
  <c r="G838" i="1" s="1"/>
  <c r="F838" i="1"/>
  <c r="I838" i="1" l="1"/>
  <c r="E839" i="1" s="1"/>
  <c r="J839" i="1" l="1"/>
  <c r="G839" i="1" s="1"/>
  <c r="F839" i="1"/>
  <c r="H839" i="1"/>
  <c r="I839" i="1" l="1"/>
  <c r="E840" i="1" s="1"/>
  <c r="H840" i="1" l="1"/>
  <c r="J840" i="1"/>
  <c r="G840" i="1" s="1"/>
  <c r="F840" i="1"/>
  <c r="I840" i="1" l="1"/>
  <c r="E841" i="1" s="1"/>
  <c r="H841" i="1" l="1"/>
  <c r="I841" i="1" s="1"/>
  <c r="E842" i="1" s="1"/>
  <c r="J841" i="1"/>
  <c r="G841" i="1" s="1"/>
  <c r="F841" i="1"/>
  <c r="F842" i="1" l="1"/>
  <c r="J842" i="1"/>
  <c r="G842" i="1" s="1"/>
  <c r="H842" i="1"/>
  <c r="I842" i="1" s="1"/>
  <c r="E843" i="1" s="1"/>
  <c r="J843" i="1" l="1"/>
  <c r="G843" i="1" s="1"/>
  <c r="H843" i="1"/>
  <c r="F843" i="1"/>
  <c r="I843" i="1" l="1"/>
  <c r="E844" i="1" s="1"/>
  <c r="J844" i="1" l="1"/>
  <c r="G844" i="1" s="1"/>
  <c r="F844" i="1"/>
  <c r="H844" i="1"/>
  <c r="I844" i="1" l="1"/>
  <c r="E845" i="1" s="1"/>
  <c r="F845" i="1" l="1"/>
  <c r="H845" i="1"/>
  <c r="J845" i="1"/>
  <c r="G845" i="1" s="1"/>
  <c r="I845" i="1" l="1"/>
  <c r="E846" i="1" s="1"/>
  <c r="J846" i="1" l="1"/>
  <c r="G846" i="1" s="1"/>
  <c r="H846" i="1"/>
  <c r="F846" i="1"/>
  <c r="I846" i="1" l="1"/>
  <c r="E847" i="1" s="1"/>
  <c r="H847" i="1" l="1"/>
  <c r="F847" i="1"/>
  <c r="J847" i="1"/>
  <c r="G847" i="1" s="1"/>
  <c r="I847" i="1" l="1"/>
  <c r="E848" i="1" s="1"/>
  <c r="J848" i="1" l="1"/>
  <c r="G848" i="1" s="1"/>
  <c r="H848" i="1"/>
  <c r="F848" i="1"/>
  <c r="I848" i="1" l="1"/>
  <c r="E849" i="1" s="1"/>
  <c r="H849" i="1" l="1"/>
  <c r="F849" i="1"/>
  <c r="J849" i="1"/>
  <c r="G849" i="1" s="1"/>
  <c r="I849" i="1" l="1"/>
  <c r="E850" i="1" s="1"/>
  <c r="H850" i="1" l="1"/>
  <c r="J850" i="1"/>
  <c r="G850" i="1" s="1"/>
  <c r="F850" i="1"/>
  <c r="I850" i="1" l="1"/>
  <c r="E851" i="1" s="1"/>
  <c r="H851" i="1" l="1"/>
  <c r="J851" i="1"/>
  <c r="G851" i="1" s="1"/>
  <c r="F851" i="1"/>
  <c r="I851" i="1" l="1"/>
  <c r="E852" i="1" s="1"/>
  <c r="J852" i="1" l="1"/>
  <c r="G852" i="1" s="1"/>
  <c r="H852" i="1"/>
  <c r="F852" i="1"/>
  <c r="I852" i="1" l="1"/>
  <c r="E853" i="1" s="1"/>
  <c r="H853" i="1" l="1"/>
  <c r="J853" i="1"/>
  <c r="G853" i="1" s="1"/>
  <c r="F853" i="1"/>
  <c r="I853" i="1" l="1"/>
  <c r="E854" i="1" s="1"/>
  <c r="H854" i="1" l="1"/>
  <c r="J854" i="1"/>
  <c r="G854" i="1" s="1"/>
  <c r="F854" i="1"/>
  <c r="I854" i="1" l="1"/>
  <c r="E855" i="1" s="1"/>
  <c r="H855" i="1" l="1"/>
  <c r="J855" i="1"/>
  <c r="G855" i="1" s="1"/>
  <c r="F855" i="1"/>
  <c r="I855" i="1" l="1"/>
  <c r="E856" i="1" s="1"/>
  <c r="J856" i="1" l="1"/>
  <c r="G856" i="1" s="1"/>
  <c r="F856" i="1"/>
  <c r="H856" i="1"/>
  <c r="I856" i="1" l="1"/>
  <c r="E857" i="1" s="1"/>
  <c r="H857" i="1" l="1"/>
  <c r="I857" i="1" s="1"/>
  <c r="E858" i="1" s="1"/>
  <c r="J857" i="1"/>
  <c r="G857" i="1" s="1"/>
  <c r="F857" i="1"/>
  <c r="H858" i="1" l="1"/>
  <c r="J858" i="1"/>
  <c r="G858" i="1" s="1"/>
  <c r="F858" i="1"/>
  <c r="I858" i="1" l="1"/>
  <c r="E859" i="1" s="1"/>
  <c r="H859" i="1" l="1"/>
  <c r="J859" i="1"/>
  <c r="G859" i="1" s="1"/>
  <c r="F859" i="1"/>
  <c r="I859" i="1" l="1"/>
  <c r="E860" i="1" s="1"/>
  <c r="J860" i="1" l="1"/>
  <c r="G860" i="1" s="1"/>
  <c r="H860" i="1"/>
  <c r="F860" i="1"/>
  <c r="I860" i="1" l="1"/>
  <c r="E861" i="1" s="1"/>
  <c r="H861" i="1" l="1"/>
  <c r="J861" i="1"/>
  <c r="G861" i="1" s="1"/>
  <c r="F861" i="1"/>
  <c r="I861" i="1" l="1"/>
  <c r="E862" i="1" s="1"/>
  <c r="H862" i="1" l="1"/>
  <c r="J862" i="1"/>
  <c r="G862" i="1" s="1"/>
  <c r="F862" i="1"/>
  <c r="I862" i="1" l="1"/>
  <c r="E863" i="1" s="1"/>
  <c r="H863" i="1" l="1"/>
  <c r="F863" i="1"/>
  <c r="J863" i="1"/>
  <c r="G863" i="1" s="1"/>
  <c r="I863" i="1" l="1"/>
  <c r="E864" i="1" s="1"/>
  <c r="J864" i="1" l="1"/>
  <c r="G864" i="1" s="1"/>
  <c r="H864" i="1"/>
  <c r="F864" i="1"/>
  <c r="I864" i="1" l="1"/>
  <c r="E865" i="1" s="1"/>
  <c r="J865" i="1" l="1"/>
  <c r="G865" i="1" s="1"/>
  <c r="H865" i="1"/>
  <c r="F865" i="1"/>
  <c r="I865" i="1" l="1"/>
  <c r="E866" i="1" s="1"/>
  <c r="F866" i="1" l="1"/>
  <c r="H866" i="1"/>
  <c r="J866" i="1"/>
  <c r="G866" i="1" s="1"/>
  <c r="I866" i="1" l="1"/>
  <c r="E867" i="1" s="1"/>
  <c r="H867" i="1" l="1"/>
  <c r="J867" i="1"/>
  <c r="G867" i="1" s="1"/>
  <c r="F867" i="1"/>
  <c r="I867" i="1" l="1"/>
  <c r="E868" i="1" s="1"/>
  <c r="H868" i="1" l="1"/>
  <c r="I868" i="1" s="1"/>
  <c r="E869" i="1" s="1"/>
  <c r="J868" i="1"/>
  <c r="G868" i="1" s="1"/>
  <c r="F868" i="1"/>
  <c r="H869" i="1" l="1"/>
  <c r="J869" i="1"/>
  <c r="G869" i="1" s="1"/>
  <c r="F869" i="1"/>
  <c r="I869" i="1" l="1"/>
  <c r="E870" i="1" s="1"/>
  <c r="F870" i="1" l="1"/>
  <c r="H870" i="1"/>
  <c r="J870" i="1"/>
  <c r="G870" i="1" s="1"/>
  <c r="I870" i="1" l="1"/>
  <c r="E871" i="1" s="1"/>
  <c r="J871" i="1" l="1"/>
  <c r="G871" i="1" s="1"/>
  <c r="H871" i="1"/>
  <c r="F871" i="1"/>
  <c r="I871" i="1" l="1"/>
  <c r="E872" i="1" s="1"/>
  <c r="J872" i="1" l="1"/>
  <c r="G872" i="1" s="1"/>
  <c r="H872" i="1"/>
  <c r="F872" i="1"/>
  <c r="I872" i="1" l="1"/>
  <c r="E873" i="1" s="1"/>
  <c r="J873" i="1" l="1"/>
  <c r="G873" i="1" s="1"/>
  <c r="F873" i="1"/>
  <c r="H873" i="1"/>
  <c r="I873" i="1" l="1"/>
  <c r="E874" i="1" s="1"/>
  <c r="H874" i="1" l="1"/>
  <c r="J874" i="1"/>
  <c r="G874" i="1" s="1"/>
  <c r="F874" i="1"/>
  <c r="I874" i="1" l="1"/>
  <c r="E875" i="1" s="1"/>
  <c r="H875" i="1" l="1"/>
  <c r="J875" i="1"/>
  <c r="G875" i="1" s="1"/>
  <c r="F875" i="1"/>
  <c r="I875" i="1" l="1"/>
  <c r="E876" i="1" s="1"/>
  <c r="J876" i="1" l="1"/>
  <c r="G876" i="1" s="1"/>
  <c r="H876" i="1"/>
  <c r="F876" i="1"/>
  <c r="I876" i="1" l="1"/>
  <c r="E877" i="1" s="1"/>
  <c r="H877" i="1" l="1"/>
  <c r="J877" i="1"/>
  <c r="G877" i="1" s="1"/>
  <c r="F877" i="1"/>
  <c r="I877" i="1" l="1"/>
  <c r="E878" i="1" s="1"/>
  <c r="J878" i="1" l="1"/>
  <c r="G878" i="1" s="1"/>
  <c r="H878" i="1"/>
  <c r="F878" i="1"/>
  <c r="I878" i="1" l="1"/>
  <c r="E879" i="1" s="1"/>
  <c r="F879" i="1" l="1"/>
  <c r="H879" i="1"/>
  <c r="J879" i="1"/>
  <c r="G879" i="1" s="1"/>
  <c r="I879" i="1" l="1"/>
  <c r="E880" i="1" s="1"/>
  <c r="H880" i="1" l="1"/>
  <c r="J880" i="1"/>
  <c r="G880" i="1" s="1"/>
  <c r="F880" i="1"/>
  <c r="I880" i="1" l="1"/>
  <c r="E881" i="1" s="1"/>
  <c r="H881" i="1" l="1"/>
  <c r="J881" i="1"/>
  <c r="G881" i="1" s="1"/>
  <c r="F881" i="1"/>
  <c r="I881" i="1" l="1"/>
  <c r="E882" i="1" s="1"/>
  <c r="J882" i="1" l="1"/>
  <c r="G882" i="1" s="1"/>
  <c r="F882" i="1"/>
  <c r="H882" i="1"/>
  <c r="I882" i="1" l="1"/>
  <c r="E883" i="1" s="1"/>
  <c r="F883" i="1" l="1"/>
  <c r="H883" i="1"/>
  <c r="J883" i="1"/>
  <c r="G883" i="1" s="1"/>
  <c r="I883" i="1" l="1"/>
  <c r="E884" i="1" s="1"/>
  <c r="J884" i="1" l="1"/>
  <c r="G884" i="1" s="1"/>
  <c r="H884" i="1"/>
  <c r="F884" i="1"/>
  <c r="I884" i="1" l="1"/>
  <c r="E885" i="1" s="1"/>
  <c r="J885" i="1" l="1"/>
  <c r="G885" i="1" s="1"/>
  <c r="H885" i="1"/>
  <c r="F885" i="1"/>
  <c r="I885" i="1" l="1"/>
  <c r="E886" i="1" s="1"/>
  <c r="J886" i="1" l="1"/>
  <c r="G886" i="1" s="1"/>
  <c r="H886" i="1"/>
  <c r="F886" i="1"/>
  <c r="I886" i="1" l="1"/>
  <c r="E887" i="1" s="1"/>
  <c r="J887" i="1" l="1"/>
  <c r="G887" i="1" s="1"/>
  <c r="F887" i="1"/>
  <c r="H887" i="1"/>
  <c r="I887" i="1" l="1"/>
  <c r="E888" i="1" s="1"/>
  <c r="J888" i="1" l="1"/>
  <c r="G888" i="1" s="1"/>
  <c r="H888" i="1"/>
  <c r="F888" i="1"/>
  <c r="I888" i="1" l="1"/>
  <c r="E889" i="1" s="1"/>
  <c r="J889" i="1" l="1"/>
  <c r="G889" i="1" s="1"/>
  <c r="F889" i="1"/>
  <c r="H889" i="1"/>
  <c r="I889" i="1" l="1"/>
  <c r="E890" i="1" s="1"/>
  <c r="H890" i="1" l="1"/>
  <c r="F890" i="1"/>
  <c r="J890" i="1"/>
  <c r="G890" i="1" s="1"/>
  <c r="I890" i="1" l="1"/>
  <c r="E891" i="1" s="1"/>
  <c r="H891" i="1" l="1"/>
  <c r="F891" i="1"/>
  <c r="J891" i="1"/>
  <c r="G891" i="1" s="1"/>
  <c r="I891" i="1" l="1"/>
  <c r="E892" i="1" s="1"/>
  <c r="H892" i="1" l="1"/>
  <c r="I892" i="1" s="1"/>
  <c r="E893" i="1" s="1"/>
  <c r="J892" i="1"/>
  <c r="G892" i="1" s="1"/>
  <c r="F892" i="1"/>
  <c r="J893" i="1" l="1"/>
  <c r="G893" i="1" s="1"/>
  <c r="H893" i="1"/>
  <c r="F893" i="1"/>
  <c r="I893" i="1" l="1"/>
  <c r="E894" i="1" s="1"/>
  <c r="H894" i="1" l="1"/>
  <c r="J894" i="1"/>
  <c r="G894" i="1" s="1"/>
  <c r="F894" i="1"/>
  <c r="I894" i="1" l="1"/>
  <c r="E895" i="1" s="1"/>
  <c r="H895" i="1" l="1"/>
  <c r="J895" i="1"/>
  <c r="G895" i="1" s="1"/>
  <c r="F895" i="1"/>
  <c r="I895" i="1" l="1"/>
  <c r="E896" i="1" s="1"/>
  <c r="H896" i="1" l="1"/>
  <c r="J896" i="1"/>
  <c r="G896" i="1" s="1"/>
  <c r="F896" i="1"/>
  <c r="I896" i="1" l="1"/>
  <c r="E897" i="1" s="1"/>
  <c r="H897" i="1" l="1"/>
  <c r="J897" i="1"/>
  <c r="G897" i="1" s="1"/>
  <c r="F897" i="1"/>
  <c r="I897" i="1" l="1"/>
  <c r="E898" i="1" s="1"/>
  <c r="H898" i="1" l="1"/>
  <c r="J898" i="1"/>
  <c r="G898" i="1" s="1"/>
  <c r="F898" i="1"/>
  <c r="I898" i="1" l="1"/>
  <c r="E899" i="1" s="1"/>
  <c r="F899" i="1" l="1"/>
  <c r="H899" i="1"/>
  <c r="J899" i="1"/>
  <c r="G899" i="1" s="1"/>
  <c r="I899" i="1" l="1"/>
  <c r="E900" i="1" s="1"/>
  <c r="F900" i="1" l="1"/>
  <c r="H900" i="1"/>
  <c r="J900" i="1"/>
  <c r="G900" i="1" s="1"/>
  <c r="I900" i="1" l="1"/>
  <c r="E901" i="1" s="1"/>
  <c r="H901" i="1" l="1"/>
  <c r="F901" i="1"/>
  <c r="J901" i="1"/>
  <c r="G901" i="1" s="1"/>
  <c r="I901" i="1" l="1"/>
  <c r="E902" i="1" s="1"/>
  <c r="H902" i="1" l="1"/>
  <c r="J902" i="1"/>
  <c r="G902" i="1" s="1"/>
  <c r="F902" i="1"/>
  <c r="I902" i="1" l="1"/>
  <c r="E903" i="1" s="1"/>
  <c r="H903" i="1" l="1"/>
  <c r="F903" i="1"/>
  <c r="J903" i="1"/>
  <c r="G903" i="1" s="1"/>
  <c r="I903" i="1" l="1"/>
  <c r="E904" i="1" s="1"/>
  <c r="H904" i="1" l="1"/>
  <c r="J904" i="1"/>
  <c r="G904" i="1" s="1"/>
  <c r="F904" i="1"/>
  <c r="I904" i="1" l="1"/>
  <c r="E905" i="1" s="1"/>
  <c r="J905" i="1" l="1"/>
  <c r="G905" i="1" s="1"/>
  <c r="H905" i="1"/>
  <c r="F905" i="1"/>
  <c r="I905" i="1" l="1"/>
  <c r="E906" i="1" s="1"/>
  <c r="H906" i="1" l="1"/>
  <c r="F906" i="1"/>
  <c r="J906" i="1"/>
  <c r="G906" i="1" s="1"/>
  <c r="I906" i="1" l="1"/>
  <c r="E907" i="1" s="1"/>
  <c r="H907" i="1" l="1"/>
  <c r="F907" i="1"/>
  <c r="J907" i="1"/>
  <c r="G907" i="1" s="1"/>
  <c r="I907" i="1" l="1"/>
  <c r="E908" i="1" s="1"/>
  <c r="H908" i="1" l="1"/>
  <c r="J908" i="1"/>
  <c r="G908" i="1" s="1"/>
  <c r="F908" i="1"/>
  <c r="I908" i="1" l="1"/>
  <c r="E909" i="1" s="1"/>
  <c r="H909" i="1" l="1"/>
  <c r="F909" i="1"/>
  <c r="J909" i="1"/>
  <c r="G909" i="1" s="1"/>
  <c r="I909" i="1" l="1"/>
  <c r="E910" i="1" s="1"/>
  <c r="H910" i="1" l="1"/>
  <c r="J910" i="1"/>
  <c r="G910" i="1" s="1"/>
  <c r="F910" i="1"/>
  <c r="I910" i="1" l="1"/>
  <c r="E911" i="1" s="1"/>
  <c r="H911" i="1" l="1"/>
  <c r="J911" i="1"/>
  <c r="G911" i="1" s="1"/>
  <c r="F911" i="1"/>
  <c r="I911" i="1" l="1"/>
  <c r="E912" i="1" s="1"/>
  <c r="H912" i="1" l="1"/>
  <c r="F912" i="1"/>
  <c r="J912" i="1"/>
  <c r="G912" i="1" s="1"/>
  <c r="I912" i="1" l="1"/>
  <c r="E913" i="1" s="1"/>
  <c r="F913" i="1" l="1"/>
  <c r="H913" i="1"/>
  <c r="J913" i="1"/>
  <c r="G913" i="1" s="1"/>
  <c r="I913" i="1" l="1"/>
  <c r="E914" i="1" s="1"/>
  <c r="F914" i="1" l="1"/>
  <c r="H914" i="1"/>
  <c r="J914" i="1"/>
  <c r="G914" i="1" s="1"/>
  <c r="I914" i="1" l="1"/>
  <c r="E915" i="1" s="1"/>
  <c r="J915" i="1" l="1"/>
  <c r="G915" i="1" s="1"/>
  <c r="F915" i="1"/>
  <c r="H915" i="1"/>
  <c r="I915" i="1" l="1"/>
  <c r="E916" i="1" s="1"/>
  <c r="F916" i="1" l="1"/>
  <c r="H916" i="1"/>
  <c r="J916" i="1"/>
  <c r="G916" i="1" s="1"/>
  <c r="I916" i="1" l="1"/>
  <c r="E917" i="1" s="1"/>
  <c r="H917" i="1" l="1"/>
  <c r="F917" i="1"/>
  <c r="J917" i="1"/>
  <c r="G917" i="1" s="1"/>
  <c r="I917" i="1" l="1"/>
  <c r="E918" i="1" s="1"/>
  <c r="F918" i="1" l="1"/>
  <c r="J918" i="1"/>
  <c r="G918" i="1" s="1"/>
  <c r="H918" i="1"/>
  <c r="I918" i="1" s="1"/>
  <c r="E919" i="1" s="1"/>
  <c r="F919" i="1" l="1"/>
  <c r="H919" i="1"/>
  <c r="J919" i="1"/>
  <c r="G919" i="1" s="1"/>
  <c r="I919" i="1" l="1"/>
  <c r="E920" i="1" s="1"/>
  <c r="J920" i="1" l="1"/>
  <c r="G920" i="1" s="1"/>
  <c r="F920" i="1"/>
  <c r="H920" i="1"/>
  <c r="I920" i="1" l="1"/>
  <c r="E921" i="1" s="1"/>
  <c r="F921" i="1" l="1"/>
  <c r="H921" i="1"/>
  <c r="J921" i="1"/>
  <c r="G921" i="1" s="1"/>
  <c r="I921" i="1" l="1"/>
  <c r="E922" i="1" s="1"/>
  <c r="F922" i="1" l="1"/>
  <c r="H922" i="1"/>
  <c r="J922" i="1"/>
  <c r="G922" i="1" s="1"/>
  <c r="I922" i="1" l="1"/>
  <c r="E923" i="1" s="1"/>
  <c r="F923" i="1" l="1"/>
  <c r="H923" i="1"/>
  <c r="J923" i="1"/>
  <c r="G923" i="1" s="1"/>
  <c r="I923" i="1" l="1"/>
  <c r="E924" i="1" s="1"/>
  <c r="F924" i="1" l="1"/>
  <c r="H924" i="1"/>
  <c r="J924" i="1"/>
  <c r="G924" i="1" s="1"/>
  <c r="I924" i="1" l="1"/>
  <c r="E925" i="1" s="1"/>
  <c r="J925" i="1" l="1"/>
  <c r="G925" i="1" s="1"/>
  <c r="F925" i="1"/>
  <c r="H925" i="1"/>
  <c r="I925" i="1" s="1"/>
  <c r="E926" i="1" s="1"/>
  <c r="F926" i="1" l="1"/>
  <c r="J926" i="1"/>
  <c r="G926" i="1" s="1"/>
  <c r="H926" i="1"/>
  <c r="I926" i="1" l="1"/>
  <c r="E927" i="1" s="1"/>
  <c r="F927" i="1" l="1"/>
  <c r="J927" i="1"/>
  <c r="G927" i="1" s="1"/>
  <c r="H927" i="1"/>
  <c r="I927" i="1" s="1"/>
  <c r="E928" i="1" s="1"/>
  <c r="F928" i="1" l="1"/>
  <c r="J928" i="1"/>
  <c r="G928" i="1" s="1"/>
  <c r="H928" i="1"/>
  <c r="I928" i="1" l="1"/>
  <c r="E929" i="1" s="1"/>
  <c r="H929" i="1" l="1"/>
  <c r="I929" i="1" s="1"/>
  <c r="E930" i="1" s="1"/>
  <c r="J929" i="1"/>
  <c r="G929" i="1" s="1"/>
  <c r="F929" i="1"/>
  <c r="H930" i="1" l="1"/>
  <c r="J930" i="1"/>
  <c r="G930" i="1" s="1"/>
  <c r="F930" i="1"/>
  <c r="I930" i="1" l="1"/>
  <c r="E931" i="1" s="1"/>
  <c r="F931" i="1" l="1"/>
  <c r="H931" i="1"/>
  <c r="J931" i="1"/>
  <c r="G931" i="1" s="1"/>
  <c r="I931" i="1" l="1"/>
  <c r="E932" i="1" s="1"/>
  <c r="H932" i="1" l="1"/>
  <c r="J932" i="1"/>
  <c r="G932" i="1" s="1"/>
  <c r="F932" i="1"/>
  <c r="I932" i="1" l="1"/>
  <c r="E933" i="1" s="1"/>
  <c r="F933" i="1" l="1"/>
  <c r="H933" i="1"/>
  <c r="J933" i="1"/>
  <c r="G933" i="1" s="1"/>
  <c r="I933" i="1" l="1"/>
  <c r="E934" i="1" s="1"/>
  <c r="J934" i="1" l="1"/>
  <c r="G934" i="1" s="1"/>
  <c r="F934" i="1"/>
  <c r="H934" i="1"/>
  <c r="I934" i="1" l="1"/>
  <c r="E935" i="1" s="1"/>
  <c r="H935" i="1" l="1"/>
  <c r="J935" i="1"/>
  <c r="G935" i="1" s="1"/>
  <c r="F935" i="1"/>
  <c r="I935" i="1" l="1"/>
  <c r="E936" i="1" s="1"/>
  <c r="H936" i="1" l="1"/>
  <c r="F936" i="1"/>
  <c r="J936" i="1"/>
  <c r="G936" i="1" s="1"/>
  <c r="I936" i="1" l="1"/>
  <c r="E937" i="1" s="1"/>
  <c r="H937" i="1" l="1"/>
  <c r="J937" i="1"/>
  <c r="G937" i="1" s="1"/>
  <c r="F937" i="1"/>
  <c r="I937" i="1" l="1"/>
  <c r="E938" i="1" s="1"/>
  <c r="F938" i="1" l="1"/>
  <c r="J938" i="1"/>
  <c r="G938" i="1" s="1"/>
  <c r="H938" i="1"/>
  <c r="I938" i="1" s="1"/>
  <c r="E939" i="1" s="1"/>
  <c r="F939" i="1" l="1"/>
  <c r="H939" i="1"/>
  <c r="J939" i="1"/>
  <c r="G939" i="1" s="1"/>
  <c r="I939" i="1" l="1"/>
  <c r="E940" i="1" s="1"/>
  <c r="F940" i="1" l="1"/>
  <c r="J940" i="1"/>
  <c r="G940" i="1" s="1"/>
  <c r="H940" i="1"/>
  <c r="I940" i="1" s="1"/>
  <c r="E941" i="1" s="1"/>
  <c r="J941" i="1" l="1"/>
  <c r="G941" i="1" s="1"/>
  <c r="F941" i="1"/>
  <c r="H941" i="1"/>
  <c r="I941" i="1" l="1"/>
  <c r="E942" i="1" s="1"/>
  <c r="F942" i="1" l="1"/>
  <c r="J942" i="1"/>
  <c r="G942" i="1" s="1"/>
  <c r="H942" i="1"/>
  <c r="I942" i="1" l="1"/>
  <c r="E943" i="1" s="1"/>
  <c r="F943" i="1" l="1"/>
  <c r="H943" i="1"/>
  <c r="J943" i="1"/>
  <c r="G943" i="1" s="1"/>
  <c r="I943" i="1" l="1"/>
  <c r="E944" i="1" s="1"/>
  <c r="F944" i="1" l="1"/>
  <c r="H944" i="1"/>
  <c r="J944" i="1"/>
  <c r="G944" i="1" s="1"/>
  <c r="I944" i="1" l="1"/>
  <c r="E945" i="1" s="1"/>
  <c r="F945" i="1" l="1"/>
  <c r="H945" i="1"/>
  <c r="J945" i="1"/>
  <c r="G945" i="1" s="1"/>
  <c r="I945" i="1" l="1"/>
  <c r="E946" i="1" s="1"/>
  <c r="J946" i="1" l="1"/>
  <c r="G946" i="1" s="1"/>
  <c r="H946" i="1"/>
  <c r="F946" i="1"/>
  <c r="I946" i="1" l="1"/>
  <c r="E947" i="1" s="1"/>
  <c r="F947" i="1" l="1"/>
  <c r="H947" i="1"/>
  <c r="J947" i="1"/>
  <c r="G947" i="1" s="1"/>
  <c r="I947" i="1" l="1"/>
  <c r="E948" i="1" s="1"/>
  <c r="F948" i="1" l="1"/>
  <c r="H948" i="1"/>
  <c r="J948" i="1"/>
  <c r="G948" i="1" s="1"/>
  <c r="I948" i="1" l="1"/>
  <c r="E949" i="1" s="1"/>
  <c r="H949" i="1" l="1"/>
  <c r="I949" i="1" s="1"/>
  <c r="E950" i="1" s="1"/>
  <c r="J949" i="1"/>
  <c r="G949" i="1" s="1"/>
  <c r="F949" i="1"/>
  <c r="H950" i="1" l="1"/>
  <c r="F950" i="1"/>
  <c r="J950" i="1"/>
  <c r="G950" i="1" s="1"/>
  <c r="I950" i="1" l="1"/>
  <c r="E951" i="1" s="1"/>
  <c r="F951" i="1" l="1"/>
  <c r="H951" i="1"/>
  <c r="J951" i="1"/>
  <c r="G951" i="1" s="1"/>
  <c r="I951" i="1" l="1"/>
  <c r="E952" i="1" s="1"/>
  <c r="F952" i="1" l="1"/>
  <c r="H952" i="1"/>
  <c r="J952" i="1"/>
  <c r="G952" i="1" s="1"/>
  <c r="I952" i="1" l="1"/>
  <c r="E953" i="1" s="1"/>
  <c r="F953" i="1" l="1"/>
  <c r="J953" i="1"/>
  <c r="G953" i="1" s="1"/>
  <c r="H953" i="1"/>
  <c r="I953" i="1" s="1"/>
  <c r="E954" i="1" s="1"/>
  <c r="J954" i="1" l="1"/>
  <c r="G954" i="1" s="1"/>
  <c r="H954" i="1"/>
  <c r="F954" i="1"/>
  <c r="I954" i="1" l="1"/>
  <c r="E955" i="1" s="1"/>
  <c r="F955" i="1" l="1"/>
  <c r="H955" i="1"/>
  <c r="J955" i="1"/>
  <c r="G955" i="1" s="1"/>
  <c r="I955" i="1" l="1"/>
  <c r="E956" i="1" s="1"/>
  <c r="H956" i="1" l="1"/>
  <c r="J956" i="1"/>
  <c r="G956" i="1" s="1"/>
  <c r="F956" i="1"/>
  <c r="I956" i="1" l="1"/>
  <c r="E957" i="1" s="1"/>
  <c r="H957" i="1" l="1"/>
  <c r="J957" i="1"/>
  <c r="G957" i="1" s="1"/>
  <c r="F957" i="1"/>
  <c r="I957" i="1" l="1"/>
  <c r="E958" i="1" s="1"/>
  <c r="H958" i="1" l="1"/>
  <c r="J958" i="1"/>
  <c r="G958" i="1" s="1"/>
  <c r="F958" i="1"/>
  <c r="I958" i="1" l="1"/>
  <c r="E959" i="1" s="1"/>
  <c r="H959" i="1" l="1"/>
  <c r="I959" i="1" s="1"/>
  <c r="E960" i="1" s="1"/>
  <c r="F959" i="1"/>
  <c r="J959" i="1"/>
  <c r="G959" i="1" s="1"/>
  <c r="F960" i="1" l="1"/>
  <c r="H960" i="1"/>
  <c r="J960" i="1"/>
  <c r="G960" i="1" s="1"/>
  <c r="I960" i="1" l="1"/>
  <c r="E961" i="1" s="1"/>
  <c r="F961" i="1" l="1"/>
  <c r="J961" i="1"/>
  <c r="G961" i="1" s="1"/>
  <c r="H961" i="1"/>
  <c r="I961" i="1" s="1"/>
  <c r="E962" i="1" s="1"/>
  <c r="F962" i="1" l="1"/>
  <c r="J962" i="1"/>
  <c r="G962" i="1" s="1"/>
  <c r="H962" i="1"/>
  <c r="I962" i="1" s="1"/>
  <c r="E963" i="1" s="1"/>
  <c r="F963" i="1" l="1"/>
  <c r="H963" i="1"/>
  <c r="J963" i="1"/>
  <c r="G963" i="1" s="1"/>
  <c r="I963" i="1" l="1"/>
  <c r="E964" i="1" s="1"/>
  <c r="F964" i="1" l="1"/>
  <c r="J964" i="1"/>
  <c r="G964" i="1" s="1"/>
  <c r="H964" i="1"/>
  <c r="I964" i="1" l="1"/>
  <c r="E965" i="1" s="1"/>
  <c r="H965" i="1" l="1"/>
  <c r="F965" i="1"/>
  <c r="J965" i="1"/>
  <c r="G965" i="1" s="1"/>
  <c r="I965" i="1" l="1"/>
  <c r="E966" i="1" s="1"/>
  <c r="H966" i="1" l="1"/>
  <c r="J966" i="1"/>
  <c r="G966" i="1" s="1"/>
  <c r="F966" i="1"/>
  <c r="I966" i="1" l="1"/>
  <c r="E967" i="1" s="1"/>
  <c r="H967" i="1" l="1"/>
  <c r="J967" i="1"/>
  <c r="G967" i="1" s="1"/>
  <c r="F967" i="1"/>
  <c r="I967" i="1" l="1"/>
  <c r="E968" i="1" s="1"/>
  <c r="H968" i="1" l="1"/>
  <c r="J968" i="1"/>
  <c r="G968" i="1" s="1"/>
  <c r="F968" i="1"/>
  <c r="I968" i="1" l="1"/>
  <c r="E969" i="1" s="1"/>
  <c r="H969" i="1" l="1"/>
  <c r="J969" i="1"/>
  <c r="G969" i="1" s="1"/>
  <c r="F969" i="1"/>
  <c r="I969" i="1" l="1"/>
  <c r="E970" i="1" s="1"/>
  <c r="J970" i="1" l="1"/>
  <c r="G970" i="1" s="1"/>
  <c r="H970" i="1"/>
  <c r="F970" i="1"/>
  <c r="I970" i="1" l="1"/>
  <c r="E971" i="1" s="1"/>
  <c r="F971" i="1" l="1"/>
  <c r="J971" i="1"/>
  <c r="G971" i="1" s="1"/>
  <c r="H971" i="1"/>
  <c r="I971" i="1" l="1"/>
  <c r="E972" i="1" s="1"/>
  <c r="F972" i="1" l="1"/>
  <c r="H972" i="1"/>
  <c r="J972" i="1"/>
  <c r="G972" i="1" s="1"/>
  <c r="I972" i="1" l="1"/>
  <c r="E973" i="1" s="1"/>
  <c r="H973" i="1" l="1"/>
  <c r="J973" i="1"/>
  <c r="G973" i="1" s="1"/>
  <c r="F973" i="1"/>
  <c r="I973" i="1" l="1"/>
  <c r="E974" i="1" s="1"/>
  <c r="F974" i="1" l="1"/>
  <c r="J974" i="1"/>
  <c r="G974" i="1" s="1"/>
  <c r="H974" i="1"/>
  <c r="I974" i="1" s="1"/>
  <c r="E975" i="1" s="1"/>
  <c r="H975" i="1" l="1"/>
  <c r="J975" i="1"/>
  <c r="G975" i="1" s="1"/>
  <c r="F975" i="1"/>
  <c r="I975" i="1" l="1"/>
  <c r="E976" i="1" s="1"/>
  <c r="F976" i="1" l="1"/>
  <c r="H976" i="1"/>
  <c r="J976" i="1"/>
  <c r="G976" i="1" s="1"/>
  <c r="I976" i="1" l="1"/>
  <c r="E977" i="1" s="1"/>
  <c r="J977" i="1" l="1"/>
  <c r="G977" i="1" s="1"/>
  <c r="H977" i="1"/>
  <c r="F977" i="1"/>
  <c r="I977" i="1" l="1"/>
  <c r="E978" i="1" s="1"/>
  <c r="H978" i="1" l="1"/>
  <c r="F978" i="1"/>
  <c r="J978" i="1"/>
  <c r="G978" i="1" s="1"/>
  <c r="I978" i="1" l="1"/>
  <c r="E979" i="1" s="1"/>
  <c r="J979" i="1" l="1"/>
  <c r="G979" i="1" s="1"/>
  <c r="H979" i="1"/>
  <c r="I979" i="1" s="1"/>
  <c r="E980" i="1" s="1"/>
  <c r="F979" i="1"/>
  <c r="H980" i="1" l="1"/>
  <c r="J980" i="1"/>
  <c r="G980" i="1" s="1"/>
  <c r="F980" i="1"/>
  <c r="I980" i="1" l="1"/>
  <c r="E981" i="1" s="1"/>
  <c r="H981" i="1" l="1"/>
  <c r="F981" i="1"/>
  <c r="J981" i="1"/>
  <c r="G981" i="1" s="1"/>
  <c r="I981" i="1" l="1"/>
  <c r="E982" i="1" s="1"/>
  <c r="F982" i="1" l="1"/>
  <c r="H982" i="1"/>
  <c r="J982" i="1"/>
  <c r="G982" i="1" s="1"/>
  <c r="I982" i="1" l="1"/>
  <c r="E983" i="1" s="1"/>
  <c r="H983" i="1" l="1"/>
  <c r="F983" i="1"/>
  <c r="J983" i="1"/>
  <c r="G983" i="1" s="1"/>
  <c r="I983" i="1" l="1"/>
  <c r="E984" i="1" s="1"/>
  <c r="H984" i="1" l="1"/>
  <c r="F984" i="1"/>
  <c r="J984" i="1"/>
  <c r="G984" i="1" s="1"/>
  <c r="I984" i="1" l="1"/>
  <c r="E985" i="1" s="1"/>
  <c r="J985" i="1" l="1"/>
  <c r="G985" i="1" s="1"/>
  <c r="F985" i="1"/>
  <c r="H985" i="1"/>
  <c r="I985" i="1" s="1"/>
  <c r="E986" i="1" s="1"/>
  <c r="H986" i="1" l="1"/>
  <c r="J986" i="1"/>
  <c r="G986" i="1" s="1"/>
  <c r="F986" i="1"/>
  <c r="I986" i="1" l="1"/>
  <c r="E987" i="1" s="1"/>
  <c r="J987" i="1" l="1"/>
  <c r="G987" i="1" s="1"/>
  <c r="H987" i="1"/>
  <c r="I987" i="1" s="1"/>
  <c r="E988" i="1" s="1"/>
  <c r="F987" i="1"/>
  <c r="H988" i="1" l="1"/>
  <c r="F988" i="1"/>
  <c r="J988" i="1"/>
  <c r="G988" i="1" s="1"/>
  <c r="I988" i="1" l="1"/>
  <c r="E989" i="1" s="1"/>
  <c r="H989" i="1" l="1"/>
  <c r="J989" i="1"/>
  <c r="G989" i="1" s="1"/>
  <c r="F989" i="1"/>
  <c r="I989" i="1" l="1"/>
  <c r="E990" i="1" s="1"/>
  <c r="J990" i="1" l="1"/>
  <c r="G990" i="1" s="1"/>
  <c r="F990" i="1"/>
  <c r="H990" i="1"/>
  <c r="I990" i="1" s="1"/>
  <c r="E991" i="1" s="1"/>
  <c r="H991" i="1" l="1"/>
  <c r="F991" i="1"/>
  <c r="J991" i="1"/>
  <c r="G991" i="1" s="1"/>
  <c r="I991" i="1" l="1"/>
  <c r="E992" i="1" s="1"/>
  <c r="H992" i="1" l="1"/>
  <c r="F992" i="1"/>
  <c r="J992" i="1"/>
  <c r="G992" i="1" s="1"/>
  <c r="I992" i="1" l="1"/>
  <c r="E993" i="1" s="1"/>
  <c r="F993" i="1" l="1"/>
  <c r="H993" i="1"/>
  <c r="J993" i="1"/>
  <c r="G993" i="1" s="1"/>
  <c r="I993" i="1" l="1"/>
  <c r="E994" i="1" s="1"/>
  <c r="F994" i="1" l="1"/>
  <c r="H994" i="1"/>
  <c r="J994" i="1"/>
  <c r="G994" i="1" s="1"/>
  <c r="I994" i="1" l="1"/>
  <c r="E995" i="1" s="1"/>
  <c r="F995" i="1" l="1"/>
  <c r="J995" i="1"/>
  <c r="G995" i="1" s="1"/>
  <c r="H995" i="1"/>
  <c r="I995" i="1" s="1"/>
  <c r="E996" i="1" s="1"/>
  <c r="F996" i="1" l="1"/>
  <c r="H996" i="1"/>
  <c r="J996" i="1"/>
  <c r="G996" i="1" s="1"/>
  <c r="I996" i="1" l="1"/>
  <c r="E997" i="1" s="1"/>
  <c r="H997" i="1" l="1"/>
  <c r="F997" i="1"/>
  <c r="J997" i="1"/>
  <c r="G997" i="1" s="1"/>
  <c r="I997" i="1" l="1"/>
  <c r="E998" i="1" s="1"/>
  <c r="H998" i="1" l="1"/>
  <c r="J998" i="1"/>
  <c r="G998" i="1" s="1"/>
  <c r="F998" i="1"/>
  <c r="I998" i="1" l="1"/>
  <c r="E999" i="1" s="1"/>
  <c r="H999" i="1" l="1"/>
  <c r="J999" i="1"/>
  <c r="G999" i="1" s="1"/>
  <c r="F999" i="1"/>
  <c r="I999" i="1" l="1"/>
  <c r="E1000" i="1" s="1"/>
  <c r="J1000" i="1" l="1"/>
  <c r="G1000" i="1" s="1"/>
  <c r="H1000" i="1"/>
  <c r="F1000" i="1"/>
  <c r="I1000" i="1" l="1"/>
  <c r="E1001" i="1" s="1"/>
  <c r="H1001" i="1" l="1"/>
  <c r="F1001" i="1"/>
  <c r="J1001" i="1"/>
  <c r="G1001" i="1" s="1"/>
  <c r="I1001" i="1" l="1"/>
  <c r="E1002" i="1" s="1"/>
  <c r="H1002" i="1" l="1"/>
  <c r="F1002" i="1"/>
  <c r="J1002" i="1"/>
  <c r="G1002" i="1" s="1"/>
  <c r="I1002" i="1" l="1"/>
  <c r="E1003" i="1" s="1"/>
  <c r="J1003" i="1" l="1"/>
  <c r="G1003" i="1" s="1"/>
  <c r="H1003" i="1"/>
  <c r="F1003" i="1"/>
  <c r="I1003" i="1" l="1"/>
  <c r="E1004" i="1" s="1"/>
  <c r="J1004" i="1" l="1"/>
  <c r="G1004" i="1" s="1"/>
  <c r="H1004" i="1"/>
  <c r="F1004" i="1"/>
  <c r="I1004" i="1" l="1"/>
  <c r="E1005" i="1" s="1"/>
  <c r="H1005" i="1" l="1"/>
  <c r="J1005" i="1"/>
  <c r="G1005" i="1" s="1"/>
  <c r="F1005" i="1"/>
  <c r="I1005" i="1" l="1"/>
  <c r="E1006" i="1" s="1"/>
  <c r="H1006" i="1" l="1"/>
  <c r="J1006" i="1"/>
  <c r="G1006" i="1" s="1"/>
  <c r="F1006" i="1"/>
  <c r="I1006" i="1" l="1"/>
  <c r="E1007" i="1" s="1"/>
  <c r="H1007" i="1" l="1"/>
  <c r="F1007" i="1"/>
  <c r="J1007" i="1"/>
  <c r="G1007" i="1" s="1"/>
  <c r="I1007" i="1" l="1"/>
  <c r="E1008" i="1" s="1"/>
  <c r="F1008" i="1" l="1"/>
  <c r="H1008" i="1"/>
  <c r="J1008" i="1"/>
  <c r="G1008" i="1" s="1"/>
  <c r="I1008" i="1" l="1"/>
  <c r="E1009" i="1" s="1"/>
  <c r="J1009" i="1" l="1"/>
  <c r="G1009" i="1" s="1"/>
  <c r="F1009" i="1"/>
  <c r="H1009" i="1"/>
  <c r="I1009" i="1" s="1"/>
  <c r="E1010" i="1" s="1"/>
  <c r="F1010" i="1" l="1"/>
  <c r="J1010" i="1"/>
  <c r="G1010" i="1" s="1"/>
  <c r="H1010" i="1"/>
  <c r="I1010" i="1" l="1"/>
  <c r="E1011" i="1" s="1"/>
  <c r="F1011" i="1" l="1"/>
  <c r="J1011" i="1"/>
  <c r="G1011" i="1" s="1"/>
  <c r="H1011" i="1"/>
  <c r="I1011" i="1" l="1"/>
  <c r="E1012" i="1" s="1"/>
  <c r="F1012" i="1" l="1"/>
  <c r="J1012" i="1"/>
  <c r="G1012" i="1" s="1"/>
  <c r="H1012" i="1"/>
  <c r="I1012" i="1" s="1"/>
  <c r="E1013" i="1" s="1"/>
  <c r="F1013" i="1" l="1"/>
  <c r="J1013" i="1"/>
  <c r="G1013" i="1" s="1"/>
  <c r="H1013" i="1"/>
  <c r="I1013" i="1" s="1"/>
  <c r="E1014" i="1" s="1"/>
  <c r="J1014" i="1" l="1"/>
  <c r="G1014" i="1" s="1"/>
  <c r="H1014" i="1"/>
  <c r="F1014" i="1"/>
  <c r="I1014" i="1" l="1"/>
  <c r="E1015" i="1" s="1"/>
  <c r="F1015" i="1" l="1"/>
  <c r="H1015" i="1"/>
  <c r="J1015" i="1"/>
  <c r="G1015" i="1" s="1"/>
  <c r="I1015" i="1" l="1"/>
  <c r="E1016" i="1" s="1"/>
  <c r="F1016" i="1" l="1"/>
  <c r="H1016" i="1"/>
  <c r="J1016" i="1"/>
  <c r="G1016" i="1" s="1"/>
  <c r="I1016" i="1" l="1"/>
  <c r="E1017" i="1" s="1"/>
  <c r="F1017" i="1" l="1"/>
  <c r="J1017" i="1"/>
  <c r="G1017" i="1" s="1"/>
  <c r="H1017" i="1"/>
  <c r="I1017" i="1" s="1"/>
  <c r="E1018" i="1" s="1"/>
  <c r="F1018" i="1" l="1"/>
  <c r="H1018" i="1"/>
  <c r="J1018" i="1"/>
  <c r="G1018" i="1" s="1"/>
  <c r="I1018" i="1" l="1"/>
  <c r="E1019" i="1" s="1"/>
  <c r="F1019" i="1" l="1"/>
  <c r="J1019" i="1"/>
  <c r="G1019" i="1" s="1"/>
  <c r="H1019" i="1"/>
  <c r="I1019" i="1" s="1"/>
  <c r="E1020" i="1" s="1"/>
  <c r="F1020" i="1" l="1"/>
  <c r="H1020" i="1"/>
  <c r="J1020" i="1"/>
  <c r="G1020" i="1" s="1"/>
  <c r="I1020" i="1" l="1"/>
  <c r="E1021" i="1" s="1"/>
  <c r="F1021" i="1" l="1"/>
  <c r="H1021" i="1"/>
  <c r="J1021" i="1"/>
  <c r="G1021" i="1" s="1"/>
  <c r="I1021" i="1" l="1"/>
  <c r="E1022" i="1" s="1"/>
  <c r="F1022" i="1" l="1"/>
  <c r="J1022" i="1"/>
  <c r="G1022" i="1" s="1"/>
  <c r="H1022" i="1"/>
  <c r="I1022" i="1" s="1"/>
  <c r="E1023" i="1" s="1"/>
  <c r="F1023" i="1" l="1"/>
  <c r="J1023" i="1"/>
  <c r="G1023" i="1" s="1"/>
  <c r="H1023" i="1"/>
  <c r="I1023" i="1" s="1"/>
  <c r="E1024" i="1" s="1"/>
  <c r="F1024" i="1" l="1"/>
  <c r="H1024" i="1"/>
  <c r="J1024" i="1"/>
  <c r="G1024" i="1" s="1"/>
  <c r="I1024" i="1" l="1"/>
  <c r="E1025" i="1" s="1"/>
  <c r="F1025" i="1" l="1"/>
  <c r="H1025" i="1"/>
  <c r="J1025" i="1"/>
  <c r="G1025" i="1" s="1"/>
  <c r="I1025" i="1" l="1"/>
  <c r="E1026" i="1" s="1"/>
  <c r="J1026" i="1" l="1"/>
  <c r="G1026" i="1" s="1"/>
  <c r="F1026" i="1"/>
  <c r="H1026" i="1"/>
  <c r="I1026" i="1" l="1"/>
  <c r="E1027" i="1" s="1"/>
  <c r="J1027" i="1" l="1"/>
  <c r="G1027" i="1" s="1"/>
  <c r="H1027" i="1"/>
  <c r="F1027" i="1"/>
  <c r="I1027" i="1" l="1"/>
  <c r="E1028" i="1" s="1"/>
  <c r="F1028" i="1" l="1"/>
  <c r="J1028" i="1"/>
  <c r="G1028" i="1" s="1"/>
  <c r="H1028" i="1"/>
  <c r="I1028" i="1" s="1"/>
  <c r="E1029" i="1" s="1"/>
  <c r="J1029" i="1" l="1"/>
  <c r="G1029" i="1" s="1"/>
  <c r="H1029" i="1"/>
  <c r="F1029" i="1"/>
  <c r="I1029" i="1" l="1"/>
  <c r="E1030" i="1" s="1"/>
  <c r="F1030" i="1" l="1"/>
  <c r="H1030" i="1"/>
  <c r="J1030" i="1"/>
  <c r="G1030" i="1" s="1"/>
  <c r="I1030" i="1" l="1"/>
  <c r="E1031" i="1" s="1"/>
  <c r="F1031" i="1" l="1"/>
  <c r="J1031" i="1"/>
  <c r="G1031" i="1" s="1"/>
  <c r="H1031" i="1"/>
  <c r="I1031" i="1" s="1"/>
  <c r="E1032" i="1" s="1"/>
  <c r="J1032" i="1" l="1"/>
  <c r="G1032" i="1" s="1"/>
  <c r="F1032" i="1"/>
  <c r="H1032" i="1"/>
  <c r="I1032" i="1" l="1"/>
  <c r="E1033" i="1" s="1"/>
  <c r="F1033" i="1" l="1"/>
  <c r="H1033" i="1"/>
  <c r="J1033" i="1"/>
  <c r="G1033" i="1" s="1"/>
  <c r="I1033" i="1" l="1"/>
  <c r="E1034" i="1" s="1"/>
  <c r="F1034" i="1" l="1"/>
  <c r="H1034" i="1"/>
  <c r="J1034" i="1"/>
  <c r="G1034" i="1" s="1"/>
  <c r="I1034" i="1" l="1"/>
  <c r="E1035" i="1" s="1"/>
  <c r="F1035" i="1" l="1"/>
  <c r="H1035" i="1"/>
  <c r="J1035" i="1"/>
  <c r="G1035" i="1" s="1"/>
  <c r="I1035" i="1" l="1"/>
  <c r="E1036" i="1" s="1"/>
  <c r="J1036" i="1" l="1"/>
  <c r="G1036" i="1" s="1"/>
  <c r="F1036" i="1"/>
  <c r="H1036" i="1"/>
  <c r="I1036" i="1" l="1"/>
  <c r="E1037" i="1" s="1"/>
  <c r="H1037" i="1" l="1"/>
  <c r="F1037" i="1"/>
  <c r="J1037" i="1"/>
  <c r="G1037" i="1" s="1"/>
  <c r="I1037" i="1" l="1"/>
  <c r="E1038" i="1" s="1"/>
  <c r="J1038" i="1" l="1"/>
  <c r="G1038" i="1" s="1"/>
  <c r="F1038" i="1"/>
  <c r="H1038" i="1"/>
  <c r="I1038" i="1" l="1"/>
  <c r="E1039" i="1" s="1"/>
  <c r="J1039" i="1" l="1"/>
  <c r="G1039" i="1" s="1"/>
  <c r="F1039" i="1"/>
  <c r="H1039" i="1"/>
  <c r="I1039" i="1" l="1"/>
  <c r="E1040" i="1" s="1"/>
  <c r="F1040" i="1" l="1"/>
  <c r="H1040" i="1"/>
  <c r="J1040" i="1"/>
  <c r="G1040" i="1" s="1"/>
  <c r="I1040" i="1" l="1"/>
  <c r="E1041" i="1" s="1"/>
  <c r="F1041" i="1" l="1"/>
  <c r="J1041" i="1"/>
  <c r="G1041" i="1" s="1"/>
  <c r="H1041" i="1"/>
  <c r="I1041" i="1" s="1"/>
  <c r="E1042" i="1" s="1"/>
  <c r="H1042" i="1" l="1"/>
  <c r="J1042" i="1"/>
  <c r="G1042" i="1" s="1"/>
  <c r="F1042" i="1"/>
  <c r="I1042" i="1" l="1"/>
  <c r="E1043" i="1" s="1"/>
  <c r="H1043" i="1" l="1"/>
  <c r="F1043" i="1"/>
  <c r="J1043" i="1"/>
  <c r="G1043" i="1" s="1"/>
  <c r="I1043" i="1" l="1"/>
  <c r="E1044" i="1" s="1"/>
  <c r="J1044" i="1" l="1"/>
  <c r="G1044" i="1" s="1"/>
  <c r="H1044" i="1"/>
  <c r="F1044" i="1"/>
  <c r="I1044" i="1" l="1"/>
  <c r="E1045" i="1" s="1"/>
  <c r="H1045" i="1" l="1"/>
  <c r="J1045" i="1"/>
  <c r="G1045" i="1" s="1"/>
  <c r="F1045" i="1"/>
  <c r="I1045" i="1" l="1"/>
  <c r="E1046" i="1" s="1"/>
  <c r="F1046" i="1" l="1"/>
  <c r="H1046" i="1"/>
  <c r="J1046" i="1"/>
  <c r="G1046" i="1" s="1"/>
  <c r="I1046" i="1" l="1"/>
  <c r="E1047" i="1" s="1"/>
  <c r="H1047" i="1" l="1"/>
  <c r="I1047" i="1" s="1"/>
  <c r="E1048" i="1" s="1"/>
  <c r="J1047" i="1"/>
  <c r="G1047" i="1" s="1"/>
  <c r="F1047" i="1"/>
  <c r="H1048" i="1" l="1"/>
  <c r="J1048" i="1"/>
  <c r="G1048" i="1" s="1"/>
  <c r="F1048" i="1"/>
  <c r="I1048" i="1" l="1"/>
  <c r="E1049" i="1" s="1"/>
  <c r="J1049" i="1" l="1"/>
  <c r="G1049" i="1" s="1"/>
  <c r="F1049" i="1"/>
  <c r="H1049" i="1"/>
  <c r="I1049" i="1" l="1"/>
  <c r="E1050" i="1" s="1"/>
  <c r="F1050" i="1" l="1"/>
  <c r="J1050" i="1"/>
  <c r="G1050" i="1" s="1"/>
  <c r="H1050" i="1"/>
  <c r="I1050" i="1" s="1"/>
  <c r="E1051" i="1" s="1"/>
  <c r="F1051" i="1" l="1"/>
  <c r="J1051" i="1"/>
  <c r="G1051" i="1" s="1"/>
  <c r="H1051" i="1"/>
  <c r="I1051" i="1" l="1"/>
  <c r="E1052" i="1" s="1"/>
  <c r="H1052" i="1" l="1"/>
  <c r="J1052" i="1"/>
  <c r="G1052" i="1" s="1"/>
  <c r="F1052" i="1"/>
  <c r="I1052" i="1" l="1"/>
  <c r="E1053" i="1" s="1"/>
  <c r="F1053" i="1" l="1"/>
  <c r="J1053" i="1"/>
  <c r="G1053" i="1" s="1"/>
  <c r="H1053" i="1"/>
  <c r="I1053" i="1" s="1"/>
  <c r="E1054" i="1" s="1"/>
  <c r="F1054" i="1" l="1"/>
  <c r="J1054" i="1"/>
  <c r="G1054" i="1" s="1"/>
  <c r="H1054" i="1"/>
  <c r="I1054" i="1" s="1"/>
  <c r="E1055" i="1" s="1"/>
  <c r="J1055" i="1" l="1"/>
  <c r="G1055" i="1" s="1"/>
  <c r="F1055" i="1"/>
  <c r="H1055" i="1"/>
  <c r="I1055" i="1" l="1"/>
  <c r="E1056" i="1" s="1"/>
  <c r="H1056" i="1" l="1"/>
  <c r="J1056" i="1"/>
  <c r="G1056" i="1" s="1"/>
  <c r="F1056" i="1"/>
  <c r="I1056" i="1" l="1"/>
  <c r="E1057" i="1" s="1"/>
  <c r="H1057" i="1" l="1"/>
  <c r="J1057" i="1"/>
  <c r="G1057" i="1" s="1"/>
  <c r="F1057" i="1"/>
  <c r="I1057" i="1" l="1"/>
  <c r="E1058" i="1" s="1"/>
  <c r="J1058" i="1" l="1"/>
  <c r="G1058" i="1" s="1"/>
  <c r="F1058" i="1"/>
  <c r="H1058" i="1"/>
  <c r="I1058" i="1" l="1"/>
  <c r="E1059" i="1" s="1"/>
  <c r="F1059" i="1" l="1"/>
  <c r="J1059" i="1"/>
  <c r="G1059" i="1" s="1"/>
  <c r="H1059" i="1"/>
  <c r="I1059" i="1" s="1"/>
  <c r="E1060" i="1" s="1"/>
  <c r="F1060" i="1" l="1"/>
  <c r="H1060" i="1"/>
  <c r="J1060" i="1"/>
  <c r="G1060" i="1" s="1"/>
  <c r="I1060" i="1" l="1"/>
  <c r="E1061" i="1" s="1"/>
  <c r="F1061" i="1" l="1"/>
  <c r="J1061" i="1"/>
  <c r="G1061" i="1" s="1"/>
  <c r="H1061" i="1"/>
  <c r="I1061" i="1" l="1"/>
  <c r="E1062" i="1" s="1"/>
  <c r="F1062" i="1" l="1"/>
  <c r="J1062" i="1"/>
  <c r="G1062" i="1" s="1"/>
  <c r="H1062" i="1"/>
  <c r="I1062" i="1" s="1"/>
  <c r="E1063" i="1" s="1"/>
  <c r="F1063" i="1" l="1"/>
  <c r="J1063" i="1"/>
  <c r="G1063" i="1" s="1"/>
  <c r="H1063" i="1"/>
  <c r="I1063" i="1" l="1"/>
  <c r="E1064" i="1" s="1"/>
  <c r="H1064" i="1" l="1"/>
  <c r="J1064" i="1"/>
  <c r="G1064" i="1" s="1"/>
  <c r="F1064" i="1"/>
  <c r="I1064" i="1" l="1"/>
  <c r="E1065" i="1" s="1"/>
  <c r="F1065" i="1" l="1"/>
  <c r="J1065" i="1"/>
  <c r="G1065" i="1" s="1"/>
  <c r="H1065" i="1"/>
  <c r="I1065" i="1" s="1"/>
  <c r="E1066" i="1" s="1"/>
  <c r="F1066" i="1" l="1"/>
  <c r="H1066" i="1"/>
  <c r="J1066" i="1"/>
  <c r="G1066" i="1" s="1"/>
  <c r="I1066" i="1" l="1"/>
  <c r="E1067" i="1" s="1"/>
  <c r="F1067" i="1" l="1"/>
  <c r="H1067" i="1"/>
  <c r="J1067" i="1"/>
  <c r="G1067" i="1" s="1"/>
  <c r="I1067" i="1" l="1"/>
  <c r="E1068" i="1" s="1"/>
  <c r="F1068" i="1" l="1"/>
  <c r="H1068" i="1"/>
  <c r="J1068" i="1"/>
  <c r="G1068" i="1" s="1"/>
  <c r="I1068" i="1" l="1"/>
  <c r="E1069" i="1" s="1"/>
  <c r="H1069" i="1" l="1"/>
  <c r="I1069" i="1" s="1"/>
  <c r="E1070" i="1" s="1"/>
  <c r="J1069" i="1"/>
  <c r="G1069" i="1" s="1"/>
  <c r="F1069" i="1"/>
  <c r="H1070" i="1" l="1"/>
  <c r="J1070" i="1"/>
  <c r="G1070" i="1" s="1"/>
  <c r="F1070" i="1"/>
  <c r="I1070" i="1" l="1"/>
  <c r="E1071" i="1" s="1"/>
  <c r="J1071" i="1" l="1"/>
  <c r="G1071" i="1" s="1"/>
  <c r="F1071" i="1"/>
  <c r="H1071" i="1"/>
  <c r="I1071" i="1" l="1"/>
  <c r="E1072" i="1" s="1"/>
  <c r="H1072" i="1" l="1"/>
  <c r="F1072" i="1"/>
  <c r="J1072" i="1"/>
  <c r="G1072" i="1" s="1"/>
  <c r="I1072" i="1" l="1"/>
  <c r="E1073" i="1" s="1"/>
  <c r="H1073" i="1" l="1"/>
  <c r="F1073" i="1"/>
  <c r="J1073" i="1"/>
  <c r="G1073" i="1" s="1"/>
  <c r="I1073" i="1" l="1"/>
  <c r="E1074" i="1" s="1"/>
  <c r="J1074" i="1" l="1"/>
  <c r="G1074" i="1" s="1"/>
  <c r="H1074" i="1"/>
  <c r="F1074" i="1"/>
  <c r="I1074" i="1" l="1"/>
  <c r="E1075" i="1" s="1"/>
  <c r="H1075" i="1" l="1"/>
  <c r="F1075" i="1"/>
  <c r="J1075" i="1"/>
  <c r="G1075" i="1" s="1"/>
  <c r="I1075" i="1" l="1"/>
  <c r="E1076" i="1" s="1"/>
  <c r="H1076" i="1" l="1"/>
  <c r="F1076" i="1"/>
  <c r="J1076" i="1"/>
  <c r="G1076" i="1" s="1"/>
  <c r="I1076" i="1" l="1"/>
  <c r="E1077" i="1" s="1"/>
  <c r="F1077" i="1" l="1"/>
  <c r="J1077" i="1"/>
  <c r="G1077" i="1" s="1"/>
  <c r="H1077" i="1"/>
  <c r="I1077" i="1" s="1"/>
  <c r="E1078" i="1" s="1"/>
  <c r="H1078" i="1" l="1"/>
  <c r="I1078" i="1" s="1"/>
  <c r="E1079" i="1" s="1"/>
  <c r="J1078" i="1"/>
  <c r="G1078" i="1" s="1"/>
  <c r="F1078" i="1"/>
  <c r="H1079" i="1" l="1"/>
  <c r="J1079" i="1"/>
  <c r="G1079" i="1" s="1"/>
  <c r="F1079" i="1"/>
  <c r="I1079" i="1" l="1"/>
  <c r="E1080" i="1" s="1"/>
  <c r="H1080" i="1" l="1"/>
  <c r="J1080" i="1"/>
  <c r="G1080" i="1" s="1"/>
  <c r="F1080" i="1"/>
  <c r="I1080" i="1" l="1"/>
  <c r="E1081" i="1" s="1"/>
  <c r="H1081" i="1" l="1"/>
  <c r="J1081" i="1"/>
  <c r="G1081" i="1" s="1"/>
  <c r="F1081" i="1"/>
  <c r="I1081" i="1" l="1"/>
  <c r="E1082" i="1" s="1"/>
  <c r="F1082" i="1" l="1"/>
  <c r="H1082" i="1"/>
  <c r="J1082" i="1"/>
  <c r="G1082" i="1" s="1"/>
  <c r="I1082" i="1" l="1"/>
  <c r="E1083" i="1" s="1"/>
  <c r="F1083" i="1" l="1"/>
  <c r="H1083" i="1"/>
  <c r="J1083" i="1"/>
  <c r="G1083" i="1" s="1"/>
  <c r="I1083" i="1" l="1"/>
  <c r="E1084" i="1" s="1"/>
  <c r="F1084" i="1" l="1"/>
  <c r="H1084" i="1"/>
  <c r="J1084" i="1"/>
  <c r="G1084" i="1" s="1"/>
  <c r="I1084" i="1" l="1"/>
  <c r="E1085" i="1" s="1"/>
  <c r="J1085" i="1" l="1"/>
  <c r="G1085" i="1" s="1"/>
  <c r="H1085" i="1"/>
  <c r="F1085" i="1"/>
  <c r="I1085" i="1" l="1"/>
  <c r="E1086" i="1" s="1"/>
  <c r="F1086" i="1" l="1"/>
  <c r="J1086" i="1"/>
  <c r="G1086" i="1" s="1"/>
  <c r="H1086" i="1"/>
  <c r="I1086" i="1" s="1"/>
  <c r="E1087" i="1" s="1"/>
  <c r="H1087" i="1" l="1"/>
  <c r="J1087" i="1"/>
  <c r="G1087" i="1" s="1"/>
  <c r="F1087" i="1"/>
  <c r="I1087" i="1" l="1"/>
  <c r="E1088" i="1" s="1"/>
  <c r="J1088" i="1" l="1"/>
  <c r="G1088" i="1" s="1"/>
  <c r="H1088" i="1"/>
  <c r="F1088" i="1"/>
  <c r="I1088" i="1" l="1"/>
  <c r="E1089" i="1" s="1"/>
  <c r="J1089" i="1" l="1"/>
  <c r="G1089" i="1" s="1"/>
  <c r="H1089" i="1"/>
  <c r="F1089" i="1"/>
  <c r="I1089" i="1" l="1"/>
  <c r="E1090" i="1" s="1"/>
  <c r="H1090" i="1" l="1"/>
  <c r="J1090" i="1"/>
  <c r="G1090" i="1" s="1"/>
  <c r="F1090" i="1"/>
  <c r="I1090" i="1" l="1"/>
  <c r="E1091" i="1" s="1"/>
  <c r="J1091" i="1" l="1"/>
  <c r="G1091" i="1" s="1"/>
  <c r="F1091" i="1"/>
  <c r="H1091" i="1"/>
  <c r="I1091" i="1" l="1"/>
  <c r="E1092" i="1" s="1"/>
  <c r="H1092" i="1" l="1"/>
  <c r="F1092" i="1"/>
  <c r="J1092" i="1"/>
  <c r="G1092" i="1" s="1"/>
  <c r="I1092" i="1" l="1"/>
  <c r="E1093" i="1" s="1"/>
  <c r="H1093" i="1" l="1"/>
  <c r="J1093" i="1"/>
  <c r="G1093" i="1" s="1"/>
  <c r="F1093" i="1"/>
  <c r="I1093" i="1" l="1"/>
  <c r="E1094" i="1" s="1"/>
  <c r="H1094" i="1" l="1"/>
  <c r="I1094" i="1" s="1"/>
  <c r="E1095" i="1" s="1"/>
  <c r="J1094" i="1"/>
  <c r="G1094" i="1" s="1"/>
  <c r="F1094" i="1"/>
  <c r="H1095" i="1" l="1"/>
  <c r="J1095" i="1"/>
  <c r="G1095" i="1" s="1"/>
  <c r="F1095" i="1"/>
  <c r="I1095" i="1" l="1"/>
  <c r="E1096" i="1" s="1"/>
  <c r="H1096" i="1" l="1"/>
  <c r="J1096" i="1"/>
  <c r="G1096" i="1" s="1"/>
  <c r="F1096" i="1"/>
  <c r="I1096" i="1" l="1"/>
  <c r="E1097" i="1" s="1"/>
  <c r="E7" i="2" l="1"/>
  <c r="F1097" i="1"/>
  <c r="J1097" i="1"/>
  <c r="G1097" i="1" s="1"/>
  <c r="H1097" i="1"/>
  <c r="J7" i="2" l="1"/>
  <c r="K7" i="2" s="1"/>
  <c r="H7" i="2"/>
  <c r="I7" i="2" s="1"/>
  <c r="I1097" i="1"/>
  <c r="E1098" i="1" s="1"/>
  <c r="H1098" i="1" l="1"/>
  <c r="J1098" i="1"/>
  <c r="G1098" i="1" s="1"/>
  <c r="F1098" i="1"/>
  <c r="I1098" i="1" l="1"/>
  <c r="E1099" i="1" s="1"/>
  <c r="F1099" i="1" l="1"/>
  <c r="H1099" i="1"/>
  <c r="J1099" i="1"/>
  <c r="G1099" i="1" s="1"/>
  <c r="I1099" i="1" l="1"/>
  <c r="E1100" i="1" s="1"/>
  <c r="H1100" i="1" l="1"/>
  <c r="J1100" i="1"/>
  <c r="G1100" i="1" s="1"/>
  <c r="F1100" i="1"/>
  <c r="I1100" i="1" l="1"/>
  <c r="E1101" i="1" s="1"/>
  <c r="F1101" i="1" l="1"/>
  <c r="J1101" i="1"/>
  <c r="G1101" i="1" s="1"/>
  <c r="H1101" i="1"/>
  <c r="I1101" i="1" s="1"/>
  <c r="E1102" i="1" s="1"/>
  <c r="J1102" i="1" l="1"/>
  <c r="G1102" i="1" s="1"/>
  <c r="H1102" i="1"/>
  <c r="F1102" i="1"/>
  <c r="I1102" i="1" l="1"/>
  <c r="E1103" i="1" s="1"/>
  <c r="J1103" i="1" l="1"/>
  <c r="G1103" i="1" s="1"/>
  <c r="H1103" i="1"/>
  <c r="F1103" i="1"/>
  <c r="I1103" i="1" l="1"/>
  <c r="E1104" i="1" s="1"/>
  <c r="H1104" i="1" l="1"/>
  <c r="I1104" i="1" s="1"/>
  <c r="E1105" i="1" s="1"/>
  <c r="J1104" i="1"/>
  <c r="G1104" i="1" s="1"/>
  <c r="F1104" i="1"/>
  <c r="H1105" i="1" l="1"/>
  <c r="F1105" i="1"/>
  <c r="J1105" i="1"/>
  <c r="G1105" i="1" s="1"/>
  <c r="I1105" i="1" l="1"/>
  <c r="E1106" i="1" s="1"/>
  <c r="H1106" i="1" l="1"/>
  <c r="F1106" i="1"/>
  <c r="J1106" i="1"/>
  <c r="G1106" i="1" s="1"/>
  <c r="I1106" i="1" l="1"/>
  <c r="E1107" i="1" s="1"/>
  <c r="H1107" i="1" l="1"/>
  <c r="J1107" i="1"/>
  <c r="G1107" i="1" s="1"/>
  <c r="F1107" i="1"/>
  <c r="I1107" i="1" l="1"/>
  <c r="E1108" i="1" s="1"/>
  <c r="F1108" i="1" l="1"/>
  <c r="H1108" i="1"/>
  <c r="J1108" i="1"/>
  <c r="G1108" i="1" s="1"/>
  <c r="I1108" i="1" l="1"/>
  <c r="E1109" i="1" s="1"/>
  <c r="J1109" i="1" l="1"/>
  <c r="G1109" i="1" s="1"/>
  <c r="H1109" i="1"/>
  <c r="F1109" i="1"/>
  <c r="I1109" i="1" l="1"/>
  <c r="E1110" i="1" s="1"/>
  <c r="J1110" i="1" l="1"/>
  <c r="G1110" i="1" s="1"/>
  <c r="H1110" i="1"/>
  <c r="F1110" i="1"/>
  <c r="I1110" i="1" l="1"/>
  <c r="E1111" i="1" s="1"/>
  <c r="J1111" i="1" l="1"/>
  <c r="G1111" i="1" s="1"/>
  <c r="F1111" i="1"/>
  <c r="H1111" i="1"/>
  <c r="I1111" i="1" l="1"/>
  <c r="E1112" i="1" s="1"/>
  <c r="H1112" i="1" l="1"/>
  <c r="J1112" i="1"/>
  <c r="G1112" i="1" s="1"/>
  <c r="F1112" i="1"/>
  <c r="I1112" i="1" l="1"/>
  <c r="E1113" i="1" s="1"/>
  <c r="H1113" i="1" l="1"/>
  <c r="J1113" i="1"/>
  <c r="G1113" i="1" s="1"/>
  <c r="F1113" i="1"/>
  <c r="I1113" i="1" l="1"/>
  <c r="E1114" i="1" s="1"/>
  <c r="J1114" i="1" l="1"/>
  <c r="G1114" i="1" s="1"/>
  <c r="F1114" i="1"/>
  <c r="H1114" i="1"/>
  <c r="I1114" i="1" l="1"/>
  <c r="E1115" i="1" s="1"/>
  <c r="F1115" i="1" l="1"/>
  <c r="J1115" i="1"/>
  <c r="G1115" i="1" s="1"/>
  <c r="H1115" i="1"/>
  <c r="I1115" i="1" s="1"/>
  <c r="E1116" i="1" s="1"/>
  <c r="J1116" i="1" l="1"/>
  <c r="G1116" i="1" s="1"/>
  <c r="F1116" i="1"/>
  <c r="H1116" i="1"/>
  <c r="I1116" i="1" l="1"/>
  <c r="E1117" i="1" s="1"/>
  <c r="H1117" i="1" l="1"/>
  <c r="F1117" i="1"/>
  <c r="J1117" i="1"/>
  <c r="G1117" i="1" s="1"/>
  <c r="I1117" i="1" l="1"/>
  <c r="E1118" i="1" s="1"/>
  <c r="H1118" i="1" l="1"/>
  <c r="F1118" i="1"/>
  <c r="J1118" i="1"/>
  <c r="G1118" i="1" s="1"/>
  <c r="I1118" i="1" l="1"/>
  <c r="E1119" i="1" s="1"/>
  <c r="H1119" i="1" l="1"/>
  <c r="J1119" i="1"/>
  <c r="G1119" i="1" s="1"/>
  <c r="F1119" i="1"/>
  <c r="I1119" i="1" l="1"/>
  <c r="E1120" i="1" s="1"/>
  <c r="H1120" i="1" l="1"/>
  <c r="J1120" i="1"/>
  <c r="G1120" i="1" s="1"/>
  <c r="F1120" i="1"/>
  <c r="I1120" i="1" l="1"/>
  <c r="E1121" i="1" s="1"/>
  <c r="J1121" i="1" l="1"/>
  <c r="G1121" i="1" s="1"/>
  <c r="F1121" i="1"/>
  <c r="H1121" i="1"/>
  <c r="I1121" i="1" l="1"/>
  <c r="E1122" i="1" s="1"/>
  <c r="J1122" i="1" l="1"/>
  <c r="G1122" i="1" s="1"/>
  <c r="H1122" i="1"/>
  <c r="F1122" i="1"/>
  <c r="I1122" i="1" l="1"/>
  <c r="E1123" i="1" s="1"/>
  <c r="H1123" i="1" l="1"/>
  <c r="J1123" i="1"/>
  <c r="G1123" i="1" s="1"/>
  <c r="F1123" i="1"/>
  <c r="I1123" i="1" l="1"/>
  <c r="E1124" i="1" s="1"/>
  <c r="H1124" i="1" l="1"/>
  <c r="I1124" i="1" s="1"/>
  <c r="E1125" i="1" s="1"/>
  <c r="J1124" i="1"/>
  <c r="G1124" i="1" s="1"/>
  <c r="F1124" i="1"/>
  <c r="J1125" i="1" l="1"/>
  <c r="G1125" i="1" s="1"/>
  <c r="H1125" i="1"/>
  <c r="F1125" i="1"/>
  <c r="I1125" i="1" l="1"/>
  <c r="E1126" i="1" s="1"/>
  <c r="H1126" i="1" l="1"/>
  <c r="J1126" i="1"/>
  <c r="G1126" i="1" s="1"/>
  <c r="F1126" i="1"/>
  <c r="I1126" i="1" l="1"/>
  <c r="E1127" i="1" s="1"/>
  <c r="H1127" i="1" l="1"/>
  <c r="J1127" i="1"/>
  <c r="G1127" i="1" s="1"/>
  <c r="F1127" i="1"/>
  <c r="I1127" i="1" l="1"/>
  <c r="E1128" i="1" s="1"/>
  <c r="J1128" i="1" l="1"/>
  <c r="G1128" i="1" s="1"/>
  <c r="H1128" i="1"/>
  <c r="F1128" i="1"/>
  <c r="I1128" i="1" l="1"/>
  <c r="E1129" i="1" s="1"/>
  <c r="J1129" i="1" l="1"/>
  <c r="G1129" i="1" s="1"/>
  <c r="F1129" i="1"/>
  <c r="H1129" i="1"/>
  <c r="I1129" i="1" l="1"/>
  <c r="E1130" i="1" s="1"/>
  <c r="H1130" i="1" l="1"/>
  <c r="F1130" i="1"/>
  <c r="J1130" i="1"/>
  <c r="G1130" i="1" s="1"/>
  <c r="I1130" i="1" l="1"/>
  <c r="E1131" i="1" s="1"/>
  <c r="H1131" i="1" l="1"/>
  <c r="F1131" i="1"/>
  <c r="J1131" i="1"/>
  <c r="G1131" i="1" s="1"/>
  <c r="I1131" i="1" l="1"/>
  <c r="E1132" i="1" s="1"/>
  <c r="H1132" i="1" l="1"/>
  <c r="J1132" i="1"/>
  <c r="G1132" i="1" s="1"/>
  <c r="F1132" i="1"/>
  <c r="I1132" i="1" l="1"/>
  <c r="E1133" i="1" s="1"/>
  <c r="F1133" i="1" l="1"/>
  <c r="J1133" i="1"/>
  <c r="G1133" i="1" s="1"/>
  <c r="H1133" i="1"/>
  <c r="I1133" i="1" s="1"/>
  <c r="E1134" i="1" s="1"/>
  <c r="F1134" i="1" l="1"/>
  <c r="H1134" i="1"/>
  <c r="I1134" i="1" s="1"/>
  <c r="E1135" i="1" s="1"/>
  <c r="J1134" i="1"/>
  <c r="G1134" i="1" s="1"/>
  <c r="H1135" i="1" l="1"/>
  <c r="J1135" i="1"/>
  <c r="G1135" i="1" s="1"/>
  <c r="F1135" i="1"/>
  <c r="I1135" i="1" l="1"/>
  <c r="E1136" i="1" s="1"/>
  <c r="J1136" i="1" l="1"/>
  <c r="G1136" i="1" s="1"/>
  <c r="H1136" i="1"/>
  <c r="F1136" i="1"/>
  <c r="I1136" i="1" l="1"/>
  <c r="E1137" i="1" s="1"/>
  <c r="H1137" i="1" l="1"/>
  <c r="F1137" i="1"/>
  <c r="J1137" i="1"/>
  <c r="G1137" i="1" s="1"/>
  <c r="I1137" i="1" l="1"/>
  <c r="E1138" i="1" s="1"/>
  <c r="J1138" i="1" l="1"/>
  <c r="G1138" i="1" s="1"/>
  <c r="H1138" i="1"/>
  <c r="F1138" i="1"/>
  <c r="I1138" i="1" l="1"/>
  <c r="E1139" i="1" s="1"/>
  <c r="H1139" i="1" l="1"/>
  <c r="J1139" i="1"/>
  <c r="G1139" i="1" s="1"/>
  <c r="F1139" i="1"/>
  <c r="I1139" i="1" l="1"/>
  <c r="E1140" i="1" s="1"/>
  <c r="H1140" i="1" l="1"/>
  <c r="F1140" i="1"/>
  <c r="J1140" i="1"/>
  <c r="G1140" i="1" s="1"/>
  <c r="I1140" i="1" l="1"/>
  <c r="E1141" i="1" s="1"/>
  <c r="H1141" i="1" l="1"/>
  <c r="J1141" i="1"/>
  <c r="G1141" i="1" s="1"/>
  <c r="F1141" i="1"/>
  <c r="I1141" i="1" l="1"/>
  <c r="E1142" i="1" s="1"/>
  <c r="H1142" i="1" l="1"/>
  <c r="J1142" i="1"/>
  <c r="G1142" i="1" s="1"/>
  <c r="F1142" i="1"/>
  <c r="I1142" i="1" l="1"/>
  <c r="E1143" i="1" s="1"/>
  <c r="J1143" i="1" l="1"/>
  <c r="G1143" i="1" s="1"/>
  <c r="H1143" i="1"/>
  <c r="F1143" i="1"/>
  <c r="I1143" i="1" l="1"/>
  <c r="E1144" i="1" s="1"/>
  <c r="J1144" i="1" l="1"/>
  <c r="G1144" i="1" s="1"/>
  <c r="F1144" i="1"/>
  <c r="H1144" i="1"/>
  <c r="I1144" i="1" l="1"/>
  <c r="E1145" i="1" s="1"/>
  <c r="H1145" i="1" l="1"/>
  <c r="F1145" i="1"/>
  <c r="J1145" i="1"/>
  <c r="G1145" i="1" s="1"/>
  <c r="I1145" i="1" l="1"/>
  <c r="E1146" i="1" s="1"/>
  <c r="J1146" i="1" l="1"/>
  <c r="G1146" i="1" s="1"/>
  <c r="H1146" i="1"/>
  <c r="F1146" i="1"/>
  <c r="I1146" i="1" l="1"/>
  <c r="E1147" i="1" s="1"/>
  <c r="J1147" i="1" l="1"/>
  <c r="G1147" i="1" s="1"/>
  <c r="F1147" i="1"/>
  <c r="H1147" i="1"/>
  <c r="I1147" i="1" l="1"/>
  <c r="E1148" i="1" s="1"/>
  <c r="H1148" i="1" l="1"/>
  <c r="F1148" i="1"/>
  <c r="J1148" i="1"/>
  <c r="G1148" i="1" s="1"/>
  <c r="I1148" i="1" l="1"/>
  <c r="E1149" i="1" s="1"/>
  <c r="H1149" i="1" l="1"/>
  <c r="J1149" i="1"/>
  <c r="G1149" i="1" s="1"/>
  <c r="F1149" i="1"/>
  <c r="I1149" i="1" l="1"/>
  <c r="E1150" i="1" s="1"/>
  <c r="H1150" i="1" l="1"/>
  <c r="F1150" i="1"/>
  <c r="J1150" i="1"/>
  <c r="G1150" i="1" s="1"/>
  <c r="I1150" i="1" l="1"/>
  <c r="E1151" i="1" s="1"/>
  <c r="F1151" i="1" l="1"/>
  <c r="J1151" i="1"/>
  <c r="G1151" i="1" s="1"/>
  <c r="H1151" i="1"/>
  <c r="I1151" i="1" s="1"/>
  <c r="E1152" i="1" s="1"/>
  <c r="J1152" i="1" l="1"/>
  <c r="G1152" i="1" s="1"/>
  <c r="F1152" i="1"/>
  <c r="H1152" i="1"/>
  <c r="I1152" i="1" l="1"/>
  <c r="E1153" i="1" s="1"/>
  <c r="H1153" i="1" l="1"/>
  <c r="J1153" i="1"/>
  <c r="G1153" i="1" s="1"/>
  <c r="F1153" i="1"/>
  <c r="I1153" i="1" l="1"/>
  <c r="E1154" i="1" s="1"/>
  <c r="H1154" i="1" l="1"/>
  <c r="I1154" i="1" s="1"/>
  <c r="E1155" i="1" s="1"/>
  <c r="J1154" i="1"/>
  <c r="G1154" i="1" s="1"/>
  <c r="F1154" i="1"/>
  <c r="H1155" i="1" l="1"/>
  <c r="J1155" i="1"/>
  <c r="G1155" i="1" s="1"/>
  <c r="F1155" i="1"/>
  <c r="I1155" i="1" l="1"/>
  <c r="E1156" i="1" s="1"/>
  <c r="J1156" i="1" l="1"/>
  <c r="G1156" i="1" s="1"/>
  <c r="H1156" i="1"/>
  <c r="F1156" i="1"/>
  <c r="I1156" i="1" l="1"/>
  <c r="E1157" i="1" s="1"/>
  <c r="J1157" i="1" l="1"/>
  <c r="G1157" i="1" s="1"/>
  <c r="H1157" i="1"/>
  <c r="F1157" i="1"/>
  <c r="I1157" i="1" l="1"/>
  <c r="E1158" i="1" s="1"/>
  <c r="J1158" i="1" l="1"/>
  <c r="G1158" i="1" s="1"/>
  <c r="H1158" i="1"/>
  <c r="F1158" i="1"/>
  <c r="I1158" i="1" l="1"/>
  <c r="E1159" i="1" s="1"/>
  <c r="J1159" i="1" l="1"/>
  <c r="G1159" i="1" s="1"/>
  <c r="H1159" i="1"/>
  <c r="F1159" i="1"/>
  <c r="I1159" i="1" l="1"/>
  <c r="E1160" i="1" s="1"/>
  <c r="H1160" i="1" l="1"/>
  <c r="J1160" i="1"/>
  <c r="G1160" i="1" s="1"/>
  <c r="F1160" i="1"/>
  <c r="I1160" i="1" l="1"/>
  <c r="E1161" i="1" s="1"/>
  <c r="J1161" i="1" l="1"/>
  <c r="G1161" i="1" s="1"/>
  <c r="H1161" i="1"/>
  <c r="F1161" i="1"/>
  <c r="I1161" i="1" l="1"/>
  <c r="E1162" i="1" s="1"/>
  <c r="J1162" i="1" l="1"/>
  <c r="G1162" i="1" s="1"/>
  <c r="H1162" i="1"/>
  <c r="I1162" i="1" s="1"/>
  <c r="E1163" i="1" s="1"/>
  <c r="F1162" i="1"/>
  <c r="H1163" i="1" l="1"/>
  <c r="J1163" i="1"/>
  <c r="G1163" i="1" s="1"/>
  <c r="F1163" i="1"/>
  <c r="I1163" i="1" l="1"/>
  <c r="E1164" i="1" s="1"/>
  <c r="H1164" i="1" l="1"/>
  <c r="J1164" i="1"/>
  <c r="G1164" i="1" s="1"/>
  <c r="F1164" i="1"/>
  <c r="I1164" i="1" l="1"/>
  <c r="E1165" i="1" s="1"/>
  <c r="F1165" i="1" l="1"/>
  <c r="H1165" i="1"/>
  <c r="J1165" i="1"/>
  <c r="G1165" i="1" s="1"/>
  <c r="I1165" i="1" l="1"/>
  <c r="E1166" i="1" s="1"/>
  <c r="H1166" i="1" l="1"/>
  <c r="F1166" i="1"/>
  <c r="J1166" i="1"/>
  <c r="G1166" i="1" s="1"/>
  <c r="I1166" i="1" l="1"/>
  <c r="E1167" i="1" s="1"/>
  <c r="H1167" i="1" l="1"/>
  <c r="F1167" i="1"/>
  <c r="J1167" i="1"/>
  <c r="G1167" i="1" s="1"/>
  <c r="I1167" i="1" l="1"/>
  <c r="E1168" i="1" s="1"/>
  <c r="H1168" i="1" l="1"/>
  <c r="J1168" i="1"/>
  <c r="G1168" i="1" s="1"/>
  <c r="F1168" i="1"/>
  <c r="I1168" i="1" l="1"/>
  <c r="E1169" i="1" s="1"/>
  <c r="H1169" i="1" l="1"/>
  <c r="F1169" i="1"/>
  <c r="J1169" i="1"/>
  <c r="G1169" i="1" s="1"/>
  <c r="I1169" i="1" l="1"/>
  <c r="E1170" i="1" s="1"/>
  <c r="J1170" i="1" l="1"/>
  <c r="G1170" i="1" s="1"/>
  <c r="H1170" i="1"/>
  <c r="F1170" i="1"/>
  <c r="I1170" i="1" l="1"/>
  <c r="E1171" i="1" s="1"/>
  <c r="J1171" i="1" l="1"/>
  <c r="G1171" i="1" s="1"/>
  <c r="H1171" i="1"/>
  <c r="I1171" i="1" s="1"/>
  <c r="E1172" i="1" s="1"/>
  <c r="F1171" i="1"/>
  <c r="H1172" i="1" l="1"/>
  <c r="J1172" i="1"/>
  <c r="G1172" i="1" s="1"/>
  <c r="F1172" i="1"/>
  <c r="I1172" i="1" l="1"/>
  <c r="E1173" i="1" s="1"/>
  <c r="H1173" i="1" l="1"/>
  <c r="J1173" i="1"/>
  <c r="G1173" i="1" s="1"/>
  <c r="F1173" i="1"/>
  <c r="I1173" i="1" l="1"/>
  <c r="E1174" i="1" s="1"/>
  <c r="H1174" i="1" l="1"/>
  <c r="J1174" i="1"/>
  <c r="G1174" i="1" s="1"/>
  <c r="F1174" i="1"/>
  <c r="I1174" i="1" l="1"/>
  <c r="E1175" i="1" s="1"/>
  <c r="J1175" i="1" l="1"/>
  <c r="G1175" i="1" s="1"/>
  <c r="F1175" i="1"/>
  <c r="H1175" i="1"/>
  <c r="I1175" i="1" s="1"/>
  <c r="E1176" i="1" s="1"/>
  <c r="H1176" i="1" l="1"/>
  <c r="J1176" i="1"/>
  <c r="G1176" i="1" s="1"/>
  <c r="F1176" i="1"/>
  <c r="I1176" i="1" l="1"/>
  <c r="E1177" i="1" s="1"/>
  <c r="H1177" i="1" l="1"/>
  <c r="J1177" i="1"/>
  <c r="G1177" i="1" s="1"/>
  <c r="F1177" i="1"/>
  <c r="I1177" i="1" l="1"/>
  <c r="E1178" i="1" s="1"/>
  <c r="H1178" i="1" l="1"/>
  <c r="J1178" i="1"/>
  <c r="G1178" i="1" s="1"/>
  <c r="F1178" i="1"/>
  <c r="I1178" i="1" l="1"/>
  <c r="E1179" i="1" s="1"/>
  <c r="J1179" i="1" l="1"/>
  <c r="G1179" i="1" s="1"/>
  <c r="H1179" i="1"/>
  <c r="F1179" i="1"/>
  <c r="I1179" i="1" l="1"/>
  <c r="E1180" i="1" s="1"/>
  <c r="H1180" i="1" l="1"/>
  <c r="J1180" i="1"/>
  <c r="G1180" i="1" s="1"/>
  <c r="F1180" i="1"/>
  <c r="I1180" i="1" l="1"/>
  <c r="E1181" i="1" s="1"/>
  <c r="H1181" i="1" l="1"/>
  <c r="J1181" i="1"/>
  <c r="G1181" i="1" s="1"/>
  <c r="F1181" i="1"/>
  <c r="I1181" i="1" l="1"/>
  <c r="E1182" i="1" s="1"/>
  <c r="F1182" i="1" l="1"/>
  <c r="H1182" i="1"/>
  <c r="J1182" i="1"/>
  <c r="G1182" i="1" s="1"/>
  <c r="I1182" i="1" l="1"/>
  <c r="E1183" i="1" s="1"/>
  <c r="J1183" i="1" l="1"/>
  <c r="G1183" i="1" s="1"/>
  <c r="H1183" i="1"/>
  <c r="F1183" i="1"/>
  <c r="I1183" i="1" l="1"/>
  <c r="E1184" i="1" s="1"/>
  <c r="H1184" i="1" l="1"/>
  <c r="J1184" i="1"/>
  <c r="G1184" i="1" s="1"/>
  <c r="F1184" i="1"/>
  <c r="I1184" i="1" l="1"/>
  <c r="E1185" i="1" s="1"/>
  <c r="J1185" i="1" l="1"/>
  <c r="G1185" i="1" s="1"/>
  <c r="H1185" i="1"/>
  <c r="F1185" i="1"/>
  <c r="I1185" i="1" l="1"/>
  <c r="E1186" i="1" s="1"/>
  <c r="F1186" i="1" l="1"/>
  <c r="H1186" i="1"/>
  <c r="J1186" i="1"/>
  <c r="G1186" i="1" s="1"/>
  <c r="I1186" i="1" l="1"/>
  <c r="E1187" i="1" s="1"/>
  <c r="J1187" i="1" l="1"/>
  <c r="G1187" i="1" s="1"/>
  <c r="H1187" i="1"/>
  <c r="F1187" i="1"/>
  <c r="I1187" i="1" l="1"/>
  <c r="E1188" i="1" s="1"/>
  <c r="J1188" i="1" l="1"/>
  <c r="G1188" i="1" s="1"/>
  <c r="H1188" i="1"/>
  <c r="F1188" i="1"/>
  <c r="I1188" i="1" l="1"/>
  <c r="E1189" i="1" s="1"/>
  <c r="J1189" i="1" l="1"/>
  <c r="G1189" i="1" s="1"/>
  <c r="H1189" i="1"/>
  <c r="F1189" i="1"/>
  <c r="I1189" i="1" l="1"/>
  <c r="E1190" i="1" s="1"/>
  <c r="H1190" i="1" l="1"/>
  <c r="I1190" i="1" s="1"/>
  <c r="E1191" i="1" s="1"/>
  <c r="J1190" i="1"/>
  <c r="G1190" i="1" s="1"/>
  <c r="F1190" i="1"/>
  <c r="F1191" i="1" l="1"/>
  <c r="H1191" i="1"/>
  <c r="J1191" i="1"/>
  <c r="G1191" i="1" s="1"/>
  <c r="I1191" i="1" l="1"/>
  <c r="E1192" i="1" s="1"/>
  <c r="H1192" i="1" l="1"/>
  <c r="J1192" i="1"/>
  <c r="G1192" i="1" s="1"/>
  <c r="F1192" i="1"/>
  <c r="I1192" i="1" l="1"/>
  <c r="E1193" i="1" s="1"/>
  <c r="H1193" i="1" l="1"/>
  <c r="J1193" i="1"/>
  <c r="G1193" i="1" s="1"/>
  <c r="F1193" i="1"/>
  <c r="I1193" i="1" l="1"/>
  <c r="E1194" i="1" s="1"/>
  <c r="H1194" i="1" l="1"/>
  <c r="J1194" i="1"/>
  <c r="G1194" i="1" s="1"/>
  <c r="F1194" i="1"/>
  <c r="I1194" i="1" l="1"/>
  <c r="E1195" i="1" s="1"/>
  <c r="H1195" i="1" l="1"/>
  <c r="F1195" i="1"/>
  <c r="J1195" i="1"/>
  <c r="G1195" i="1" s="1"/>
  <c r="I1195" i="1" l="1"/>
  <c r="E1196" i="1" s="1"/>
  <c r="J1196" i="1" l="1"/>
  <c r="G1196" i="1" s="1"/>
  <c r="F1196" i="1"/>
  <c r="H1196" i="1"/>
  <c r="I1196" i="1" l="1"/>
  <c r="E1197" i="1" s="1"/>
  <c r="H1197" i="1" l="1"/>
  <c r="F1197" i="1"/>
  <c r="J1197" i="1"/>
  <c r="G1197" i="1" s="1"/>
  <c r="I1197" i="1" l="1"/>
  <c r="E1198" i="1" s="1"/>
  <c r="J1198" i="1" l="1"/>
  <c r="G1198" i="1" s="1"/>
  <c r="H1198" i="1"/>
  <c r="F1198" i="1"/>
  <c r="I1198" i="1" l="1"/>
  <c r="E1199" i="1" s="1"/>
  <c r="F1199" i="1" l="1"/>
  <c r="H1199" i="1"/>
  <c r="J1199" i="1"/>
  <c r="G1199" i="1" s="1"/>
  <c r="I1199" i="1" l="1"/>
  <c r="E1200" i="1" s="1"/>
  <c r="J1200" i="1" l="1"/>
  <c r="G1200" i="1" s="1"/>
  <c r="H1200" i="1"/>
  <c r="F1200" i="1"/>
  <c r="I1200" i="1" l="1"/>
  <c r="E1201" i="1" s="1"/>
  <c r="H1201" i="1" l="1"/>
  <c r="J1201" i="1"/>
  <c r="G1201" i="1" s="1"/>
  <c r="F1201" i="1"/>
  <c r="I1201" i="1" l="1"/>
  <c r="E1202" i="1" s="1"/>
  <c r="H1202" i="1" l="1"/>
  <c r="J1202" i="1"/>
  <c r="G1202" i="1" s="1"/>
  <c r="F1202" i="1"/>
  <c r="I1202" i="1" l="1"/>
  <c r="E1203" i="1" s="1"/>
  <c r="J1203" i="1" l="1"/>
  <c r="G1203" i="1" s="1"/>
  <c r="H1203" i="1"/>
  <c r="F1203" i="1"/>
  <c r="I1203" i="1" l="1"/>
  <c r="E1204" i="1" s="1"/>
  <c r="J1204" i="1" l="1"/>
  <c r="G1204" i="1" s="1"/>
  <c r="H1204" i="1"/>
  <c r="F1204" i="1"/>
  <c r="I1204" i="1" l="1"/>
  <c r="E1205" i="1" s="1"/>
  <c r="J1205" i="1" l="1"/>
  <c r="G1205" i="1" s="1"/>
  <c r="H1205" i="1"/>
  <c r="F1205" i="1"/>
  <c r="I1205" i="1" l="1"/>
  <c r="E1206" i="1" s="1"/>
  <c r="J1206" i="1" l="1"/>
  <c r="G1206" i="1" s="1"/>
  <c r="F1206" i="1"/>
  <c r="H1206" i="1"/>
  <c r="I1206" i="1" l="1"/>
  <c r="E1207" i="1" s="1"/>
  <c r="H1207" i="1" l="1"/>
  <c r="J1207" i="1"/>
  <c r="G1207" i="1" s="1"/>
  <c r="F1207" i="1"/>
  <c r="I1207" i="1" l="1"/>
  <c r="E1208" i="1" s="1"/>
  <c r="H1208" i="1" l="1"/>
  <c r="J1208" i="1"/>
  <c r="G1208" i="1" s="1"/>
  <c r="F1208" i="1"/>
  <c r="I1208" i="1" l="1"/>
  <c r="E1209" i="1" s="1"/>
  <c r="F1209" i="1" l="1"/>
  <c r="H1209" i="1"/>
  <c r="J1209" i="1"/>
  <c r="G1209" i="1" s="1"/>
  <c r="I1209" i="1" l="1"/>
  <c r="E1210" i="1" s="1"/>
  <c r="F1210" i="1" l="1"/>
  <c r="H1210" i="1"/>
  <c r="J1210" i="1"/>
  <c r="G1210" i="1" s="1"/>
  <c r="I1210" i="1" l="1"/>
  <c r="E1211" i="1" s="1"/>
  <c r="F1211" i="1" l="1"/>
  <c r="J1211" i="1"/>
  <c r="G1211" i="1" s="1"/>
  <c r="H1211" i="1"/>
  <c r="I1211" i="1" s="1"/>
  <c r="E1212" i="1" s="1"/>
  <c r="J1212" i="1" l="1"/>
  <c r="G1212" i="1" s="1"/>
  <c r="H1212" i="1"/>
  <c r="F1212" i="1"/>
  <c r="I1212" i="1" l="1"/>
  <c r="E1213" i="1" s="1"/>
  <c r="J1213" i="1" l="1"/>
  <c r="G1213" i="1" s="1"/>
  <c r="F1213" i="1"/>
  <c r="H1213" i="1"/>
  <c r="I1213" i="1" l="1"/>
  <c r="E1214" i="1" s="1"/>
  <c r="H1214" i="1" l="1"/>
  <c r="F1214" i="1"/>
  <c r="J1214" i="1"/>
  <c r="G1214" i="1" s="1"/>
  <c r="I1214" i="1" l="1"/>
  <c r="E1215" i="1" s="1"/>
  <c r="H1215" i="1" l="1"/>
  <c r="F1215" i="1"/>
  <c r="J1215" i="1"/>
  <c r="G1215" i="1" s="1"/>
  <c r="I1215" i="1" l="1"/>
  <c r="E1216" i="1" s="1"/>
  <c r="H1216" i="1" l="1"/>
  <c r="J1216" i="1"/>
  <c r="G1216" i="1" s="1"/>
  <c r="F1216" i="1"/>
  <c r="I1216" i="1" l="1"/>
  <c r="E1217" i="1" s="1"/>
  <c r="J1217" i="1" l="1"/>
  <c r="G1217" i="1" s="1"/>
  <c r="H1217" i="1"/>
  <c r="F1217" i="1"/>
  <c r="I1217" i="1" l="1"/>
  <c r="E1218" i="1" s="1"/>
  <c r="J1218" i="1" l="1"/>
  <c r="G1218" i="1" s="1"/>
  <c r="H1218" i="1"/>
  <c r="F1218" i="1"/>
  <c r="I1218" i="1" l="1"/>
  <c r="E1219" i="1" s="1"/>
  <c r="J1219" i="1" l="1"/>
  <c r="G1219" i="1" s="1"/>
  <c r="F1219" i="1"/>
  <c r="H1219" i="1"/>
  <c r="I1219" i="1" l="1"/>
  <c r="E1220" i="1" s="1"/>
  <c r="J1220" i="1" l="1"/>
  <c r="G1220" i="1" s="1"/>
  <c r="H1220" i="1"/>
  <c r="F1220" i="1"/>
  <c r="I1220" i="1" l="1"/>
  <c r="E1221" i="1" s="1"/>
  <c r="J1221" i="1" l="1"/>
  <c r="G1221" i="1" s="1"/>
  <c r="H1221" i="1"/>
  <c r="F1221" i="1"/>
  <c r="I1221" i="1" l="1"/>
  <c r="E1222" i="1" s="1"/>
  <c r="J1222" i="1" l="1"/>
  <c r="G1222" i="1" s="1"/>
  <c r="H1222" i="1"/>
  <c r="F1222" i="1"/>
  <c r="I1222" i="1" l="1"/>
  <c r="E1223" i="1" s="1"/>
  <c r="J1223" i="1" l="1"/>
  <c r="G1223" i="1" s="1"/>
  <c r="H1223" i="1"/>
  <c r="F1223" i="1"/>
  <c r="I1223" i="1" l="1"/>
  <c r="E1224" i="1" s="1"/>
  <c r="H1224" i="1" l="1"/>
  <c r="J1224" i="1"/>
  <c r="G1224" i="1" s="1"/>
  <c r="F1224" i="1"/>
  <c r="I1224" i="1" l="1"/>
  <c r="E1225" i="1" s="1"/>
  <c r="H1225" i="1" l="1"/>
  <c r="F1225" i="1"/>
  <c r="J1225" i="1"/>
  <c r="G1225" i="1" s="1"/>
  <c r="I1225" i="1" l="1"/>
  <c r="E1226" i="1" s="1"/>
  <c r="H1226" i="1" l="1"/>
  <c r="F1226" i="1"/>
  <c r="J1226" i="1"/>
  <c r="G1226" i="1" s="1"/>
  <c r="I1226" i="1" l="1"/>
  <c r="E1227" i="1" s="1"/>
  <c r="J1227" i="1" l="1"/>
  <c r="G1227" i="1" s="1"/>
  <c r="H1227" i="1"/>
  <c r="F1227" i="1"/>
  <c r="I1227" i="1" l="1"/>
  <c r="E1228" i="1" s="1"/>
  <c r="J1228" i="1" l="1"/>
  <c r="G1228" i="1" s="1"/>
  <c r="H1228" i="1"/>
  <c r="F1228" i="1"/>
  <c r="I1228" i="1" l="1"/>
  <c r="E1229" i="1" s="1"/>
  <c r="J1229" i="1" l="1"/>
  <c r="G1229" i="1" s="1"/>
  <c r="H1229" i="1"/>
  <c r="F1229" i="1"/>
  <c r="I1229" i="1" l="1"/>
  <c r="E1230" i="1" s="1"/>
  <c r="F1230" i="1" l="1"/>
  <c r="J1230" i="1"/>
  <c r="G1230" i="1" s="1"/>
  <c r="H1230" i="1"/>
  <c r="I1230" i="1" s="1"/>
  <c r="E1231" i="1" s="1"/>
  <c r="H1231" i="1" l="1"/>
  <c r="I1231" i="1" s="1"/>
  <c r="E1232" i="1" s="1"/>
  <c r="J1231" i="1"/>
  <c r="G1231" i="1" s="1"/>
  <c r="F1231" i="1"/>
  <c r="F1232" i="1" l="1"/>
  <c r="H1232" i="1"/>
  <c r="I1232" i="1" s="1"/>
  <c r="E1233" i="1" s="1"/>
  <c r="J1232" i="1"/>
  <c r="G1232" i="1" s="1"/>
  <c r="J1233" i="1" l="1"/>
  <c r="G1233" i="1" s="1"/>
  <c r="H1233" i="1"/>
  <c r="F1233" i="1"/>
  <c r="I1233" i="1" l="1"/>
  <c r="E1234" i="1" s="1"/>
  <c r="H1234" i="1" l="1"/>
  <c r="F1234" i="1"/>
  <c r="J1234" i="1"/>
  <c r="G1234" i="1" s="1"/>
  <c r="I1234" i="1" l="1"/>
  <c r="E1235" i="1" s="1"/>
  <c r="H1235" i="1" l="1"/>
  <c r="I1235" i="1" s="1"/>
  <c r="E1236" i="1" s="1"/>
  <c r="J1235" i="1"/>
  <c r="G1235" i="1" s="1"/>
  <c r="F1235" i="1"/>
  <c r="J1236" i="1" l="1"/>
  <c r="G1236" i="1" s="1"/>
  <c r="F1236" i="1"/>
  <c r="H1236" i="1"/>
  <c r="I1236" i="1" l="1"/>
  <c r="E1237" i="1" s="1"/>
  <c r="H1237" i="1" l="1"/>
  <c r="J1237" i="1"/>
  <c r="G1237" i="1" s="1"/>
  <c r="F1237" i="1"/>
  <c r="I1237" i="1" l="1"/>
  <c r="E1238" i="1" s="1"/>
  <c r="F1238" i="1" l="1"/>
  <c r="H1238" i="1"/>
  <c r="J1238" i="1"/>
  <c r="G1238" i="1" s="1"/>
  <c r="I1238" i="1" l="1"/>
  <c r="E1239" i="1" s="1"/>
  <c r="H1239" i="1" l="1"/>
  <c r="J1239" i="1"/>
  <c r="G1239" i="1" s="1"/>
  <c r="F1239" i="1"/>
  <c r="I1239" i="1" l="1"/>
  <c r="E1240" i="1" s="1"/>
  <c r="H1240" i="1" l="1"/>
  <c r="I1240" i="1" s="1"/>
  <c r="E1241" i="1" s="1"/>
  <c r="F1240" i="1"/>
  <c r="J1240" i="1"/>
  <c r="G1240" i="1" s="1"/>
  <c r="H1241" i="1" l="1"/>
  <c r="F1241" i="1"/>
  <c r="J1241" i="1"/>
  <c r="G1241" i="1" s="1"/>
  <c r="I1241" i="1" l="1"/>
  <c r="E1242" i="1" s="1"/>
  <c r="J1242" i="1" l="1"/>
  <c r="G1242" i="1" s="1"/>
  <c r="F1242" i="1"/>
  <c r="H1242" i="1"/>
  <c r="I1242" i="1" l="1"/>
  <c r="E1243" i="1" s="1"/>
  <c r="H1243" i="1" l="1"/>
  <c r="J1243" i="1"/>
  <c r="G1243" i="1" s="1"/>
  <c r="F1243" i="1"/>
  <c r="I1243" i="1" l="1"/>
  <c r="E1244" i="1" s="1"/>
  <c r="H1244" i="1" l="1"/>
  <c r="J1244" i="1"/>
  <c r="G1244" i="1" s="1"/>
  <c r="F1244" i="1"/>
  <c r="I1244" i="1" l="1"/>
  <c r="E1245" i="1" s="1"/>
  <c r="H1245" i="1" l="1"/>
  <c r="J1245" i="1"/>
  <c r="G1245" i="1" s="1"/>
  <c r="F1245" i="1"/>
  <c r="I1245" i="1" l="1"/>
  <c r="E1246" i="1" s="1"/>
  <c r="F1246" i="1" l="1"/>
  <c r="H1246" i="1"/>
  <c r="J1246" i="1"/>
  <c r="G1246" i="1" s="1"/>
  <c r="I1246" i="1" l="1"/>
  <c r="E1247" i="1" s="1"/>
  <c r="F1247" i="1" l="1"/>
  <c r="J1247" i="1"/>
  <c r="G1247" i="1" s="1"/>
  <c r="H1247" i="1"/>
  <c r="I1247" i="1" s="1"/>
  <c r="E1248" i="1" s="1"/>
  <c r="J1248" i="1" l="1"/>
  <c r="G1248" i="1" s="1"/>
  <c r="F1248" i="1"/>
  <c r="H1248" i="1"/>
  <c r="I1248" i="1" s="1"/>
  <c r="E1249" i="1" s="1"/>
  <c r="J1249" i="1" l="1"/>
  <c r="G1249" i="1" s="1"/>
  <c r="H1249" i="1"/>
  <c r="F1249" i="1"/>
  <c r="I1249" i="1" l="1"/>
  <c r="E1250" i="1" s="1"/>
  <c r="H1250" i="1" l="1"/>
  <c r="F1250" i="1"/>
  <c r="J1250" i="1"/>
  <c r="G1250" i="1" s="1"/>
  <c r="I1250" i="1" l="1"/>
  <c r="E1251" i="1" s="1"/>
  <c r="J1251" i="1" l="1"/>
  <c r="G1251" i="1" s="1"/>
  <c r="F1251" i="1"/>
  <c r="H1251" i="1"/>
  <c r="I1251" i="1" l="1"/>
  <c r="E1252" i="1" s="1"/>
  <c r="J1252" i="1" l="1"/>
  <c r="G1252" i="1" s="1"/>
  <c r="H1252" i="1"/>
  <c r="F1252" i="1"/>
  <c r="I1252" i="1" l="1"/>
  <c r="E1253" i="1" s="1"/>
  <c r="F1253" i="1" l="1"/>
  <c r="H1253" i="1"/>
  <c r="J1253" i="1"/>
  <c r="G1253" i="1" s="1"/>
  <c r="I1253" i="1" l="1"/>
  <c r="E1254" i="1" s="1"/>
  <c r="H1254" i="1" l="1"/>
  <c r="J1254" i="1"/>
  <c r="G1254" i="1" s="1"/>
  <c r="F1254" i="1"/>
  <c r="I1254" i="1" l="1"/>
  <c r="E1255" i="1" s="1"/>
  <c r="J1255" i="1" l="1"/>
  <c r="G1255" i="1" s="1"/>
  <c r="F1255" i="1"/>
  <c r="H1255" i="1"/>
  <c r="I1255" i="1" l="1"/>
  <c r="E1256" i="1" s="1"/>
  <c r="J1256" i="1" l="1"/>
  <c r="G1256" i="1" s="1"/>
  <c r="F1256" i="1"/>
  <c r="H1256" i="1"/>
  <c r="I1256" i="1" l="1"/>
  <c r="E1257" i="1" s="1"/>
  <c r="H1257" i="1" l="1"/>
  <c r="F1257" i="1"/>
  <c r="J1257" i="1"/>
  <c r="G1257" i="1" s="1"/>
  <c r="I1257" i="1" l="1"/>
  <c r="E1258" i="1" s="1"/>
  <c r="H1258" i="1" l="1"/>
  <c r="F1258" i="1"/>
  <c r="J1258" i="1"/>
  <c r="G1258" i="1" s="1"/>
  <c r="I1258" i="1" l="1"/>
  <c r="E1259" i="1" s="1"/>
  <c r="J1259" i="1" l="1"/>
  <c r="G1259" i="1" s="1"/>
  <c r="F1259" i="1"/>
  <c r="H1259" i="1"/>
  <c r="I1259" i="1" l="1"/>
  <c r="E1260" i="1" s="1"/>
  <c r="F1260" i="1" l="1"/>
  <c r="H1260" i="1"/>
  <c r="J1260" i="1"/>
  <c r="G1260" i="1" s="1"/>
  <c r="I1260" i="1" l="1"/>
  <c r="E1261" i="1" s="1"/>
  <c r="J1261" i="1" l="1"/>
  <c r="G1261" i="1" s="1"/>
  <c r="H1261" i="1"/>
  <c r="F1261" i="1"/>
  <c r="I1261" i="1" l="1"/>
  <c r="E1262" i="1" s="1"/>
  <c r="J1262" i="1" l="1"/>
  <c r="G1262" i="1" s="1"/>
  <c r="F1262" i="1"/>
  <c r="H1262" i="1"/>
  <c r="I1262" i="1" l="1"/>
  <c r="E1263" i="1" s="1"/>
  <c r="J1263" i="1" l="1"/>
  <c r="G1263" i="1" s="1"/>
  <c r="H1263" i="1"/>
  <c r="F1263" i="1"/>
  <c r="I1263" i="1" l="1"/>
  <c r="E1264" i="1" s="1"/>
  <c r="H1264" i="1" l="1"/>
  <c r="J1264" i="1"/>
  <c r="G1264" i="1" s="1"/>
  <c r="F1264" i="1"/>
  <c r="I1264" i="1" l="1"/>
  <c r="E1265" i="1" s="1"/>
  <c r="H1265" i="1" l="1"/>
  <c r="I1265" i="1" s="1"/>
  <c r="E1266" i="1" s="1"/>
  <c r="F1265" i="1"/>
  <c r="J1265" i="1"/>
  <c r="G1265" i="1" s="1"/>
  <c r="J1266" i="1" l="1"/>
  <c r="G1266" i="1" s="1"/>
  <c r="H1266" i="1"/>
  <c r="F1266" i="1"/>
  <c r="I1266" i="1" l="1"/>
  <c r="E1267" i="1" s="1"/>
  <c r="H1267" i="1" l="1"/>
  <c r="J1267" i="1"/>
  <c r="G1267" i="1" s="1"/>
  <c r="F1267" i="1"/>
  <c r="I1267" i="1" l="1"/>
  <c r="E1268" i="1" s="1"/>
  <c r="H1268" i="1" l="1"/>
  <c r="J1268" i="1"/>
  <c r="G1268" i="1" s="1"/>
  <c r="F1268" i="1"/>
  <c r="I1268" i="1" l="1"/>
  <c r="E1269" i="1" s="1"/>
  <c r="J1269" i="1" l="1"/>
  <c r="G1269" i="1" s="1"/>
  <c r="H1269" i="1"/>
  <c r="F1269" i="1"/>
  <c r="I1269" i="1" l="1"/>
  <c r="E1270" i="1" s="1"/>
  <c r="F1270" i="1" l="1"/>
  <c r="J1270" i="1"/>
  <c r="G1270" i="1" s="1"/>
  <c r="H1270" i="1"/>
  <c r="I1270" i="1" s="1"/>
  <c r="E1271" i="1" s="1"/>
  <c r="H1271" i="1" l="1"/>
  <c r="J1271" i="1"/>
  <c r="G1271" i="1" s="1"/>
  <c r="F1271" i="1"/>
  <c r="I1271" i="1" l="1"/>
  <c r="E1272" i="1" s="1"/>
  <c r="J1272" i="1" l="1"/>
  <c r="G1272" i="1" s="1"/>
  <c r="H1272" i="1"/>
  <c r="F1272" i="1"/>
  <c r="I1272" i="1" l="1"/>
  <c r="E1273" i="1" s="1"/>
  <c r="H1273" i="1" l="1"/>
  <c r="F1273" i="1"/>
  <c r="J1273" i="1"/>
  <c r="G1273" i="1" s="1"/>
  <c r="I1273" i="1" l="1"/>
  <c r="E1274" i="1" s="1"/>
  <c r="J1274" i="1" l="1"/>
  <c r="G1274" i="1" s="1"/>
  <c r="F1274" i="1"/>
  <c r="H1274" i="1"/>
  <c r="I1274" i="1" l="1"/>
  <c r="E1275" i="1" s="1"/>
  <c r="F1275" i="1" l="1"/>
  <c r="H1275" i="1"/>
  <c r="J1275" i="1"/>
  <c r="G1275" i="1" s="1"/>
  <c r="I1275" i="1" l="1"/>
  <c r="E1276" i="1" s="1"/>
  <c r="J1276" i="1" l="1"/>
  <c r="G1276" i="1" s="1"/>
  <c r="H1276" i="1"/>
  <c r="F1276" i="1"/>
  <c r="I1276" i="1" l="1"/>
  <c r="E1277" i="1" s="1"/>
  <c r="F1277" i="1" l="1"/>
  <c r="H1277" i="1"/>
  <c r="J1277" i="1"/>
  <c r="G1277" i="1" s="1"/>
  <c r="I1277" i="1" l="1"/>
  <c r="E1278" i="1" s="1"/>
  <c r="H1278" i="1" l="1"/>
  <c r="F1278" i="1"/>
  <c r="J1278" i="1"/>
  <c r="G1278" i="1" s="1"/>
  <c r="I1278" i="1" l="1"/>
  <c r="E1279" i="1" s="1"/>
  <c r="J1279" i="1" l="1"/>
  <c r="G1279" i="1" s="1"/>
  <c r="F1279" i="1"/>
  <c r="H1279" i="1"/>
  <c r="I1279" i="1" l="1"/>
  <c r="E1280" i="1" s="1"/>
  <c r="H1280" i="1" l="1"/>
  <c r="F1280" i="1"/>
  <c r="J1280" i="1"/>
  <c r="G1280" i="1" s="1"/>
  <c r="I1280" i="1" l="1"/>
  <c r="E1281" i="1" s="1"/>
  <c r="H1281" i="1" l="1"/>
  <c r="F1281" i="1"/>
  <c r="J1281" i="1"/>
  <c r="G1281" i="1" s="1"/>
  <c r="I1281" i="1" l="1"/>
  <c r="E1282" i="1" s="1"/>
  <c r="H1282" i="1" l="1"/>
  <c r="F1282" i="1"/>
  <c r="J1282" i="1"/>
  <c r="G1282" i="1" s="1"/>
  <c r="I1282" i="1" l="1"/>
  <c r="E1283" i="1" s="1"/>
  <c r="J1283" i="1" l="1"/>
  <c r="G1283" i="1" s="1"/>
  <c r="F1283" i="1"/>
  <c r="H1283" i="1"/>
  <c r="I1283" i="1" l="1"/>
  <c r="E1284" i="1" s="1"/>
  <c r="J1284" i="1" l="1"/>
  <c r="G1284" i="1" s="1"/>
  <c r="F1284" i="1"/>
  <c r="H1284" i="1"/>
  <c r="I1284" i="1" l="1"/>
  <c r="E1285" i="1" s="1"/>
  <c r="J1285" i="1" l="1"/>
  <c r="G1285" i="1" s="1"/>
  <c r="F1285" i="1"/>
  <c r="H1285" i="1"/>
  <c r="I1285" i="1" l="1"/>
  <c r="E1286" i="1" s="1"/>
  <c r="J1286" i="1" l="1"/>
  <c r="G1286" i="1" s="1"/>
  <c r="H1286" i="1"/>
  <c r="F1286" i="1"/>
  <c r="I1286" i="1" l="1"/>
  <c r="E1287" i="1" s="1"/>
  <c r="H1287" i="1" l="1"/>
  <c r="F1287" i="1"/>
  <c r="J1287" i="1"/>
  <c r="G1287" i="1" s="1"/>
  <c r="I1287" i="1" l="1"/>
  <c r="E1288" i="1" s="1"/>
  <c r="J1288" i="1" l="1"/>
  <c r="G1288" i="1" s="1"/>
  <c r="H1288" i="1"/>
  <c r="F1288" i="1"/>
  <c r="I1288" i="1" l="1"/>
  <c r="E1289" i="1" s="1"/>
  <c r="J1289" i="1" l="1"/>
  <c r="G1289" i="1" s="1"/>
  <c r="H1289" i="1"/>
  <c r="F1289" i="1"/>
  <c r="I1289" i="1" l="1"/>
  <c r="E1290" i="1" s="1"/>
  <c r="H1290" i="1" l="1"/>
  <c r="I1290" i="1" s="1"/>
  <c r="E1291" i="1" s="1"/>
  <c r="F1290" i="1"/>
  <c r="J1290" i="1"/>
  <c r="G1290" i="1" s="1"/>
  <c r="J1291" i="1" l="1"/>
  <c r="G1291" i="1" s="1"/>
  <c r="F1291" i="1"/>
  <c r="H1291" i="1"/>
  <c r="I1291" i="1" l="1"/>
  <c r="E1292" i="1" s="1"/>
  <c r="H1292" i="1" l="1"/>
  <c r="J1292" i="1"/>
  <c r="G1292" i="1" s="1"/>
  <c r="F1292" i="1"/>
  <c r="I1292" i="1" l="1"/>
  <c r="E1293" i="1" s="1"/>
  <c r="H1293" i="1" l="1"/>
  <c r="J1293" i="1"/>
  <c r="G1293" i="1" s="1"/>
  <c r="F1293" i="1"/>
  <c r="I1293" i="1" l="1"/>
  <c r="E1294" i="1" s="1"/>
  <c r="J1294" i="1" l="1"/>
  <c r="G1294" i="1" s="1"/>
  <c r="H1294" i="1"/>
  <c r="F1294" i="1"/>
  <c r="I1294" i="1" l="1"/>
  <c r="E1295" i="1" s="1"/>
  <c r="J1295" i="1" l="1"/>
  <c r="G1295" i="1" s="1"/>
  <c r="H1295" i="1"/>
  <c r="F1295" i="1"/>
  <c r="I1295" i="1" l="1"/>
  <c r="E1296" i="1" s="1"/>
  <c r="J1296" i="1" l="1"/>
  <c r="G1296" i="1" s="1"/>
  <c r="F1296" i="1"/>
  <c r="H1296" i="1"/>
  <c r="I1296" i="1" l="1"/>
  <c r="E1297" i="1" s="1"/>
  <c r="H1297" i="1" l="1"/>
  <c r="J1297" i="1"/>
  <c r="G1297" i="1" s="1"/>
  <c r="F1297" i="1"/>
  <c r="I1297" i="1" l="1"/>
  <c r="E1298" i="1" s="1"/>
  <c r="J1298" i="1" l="1"/>
  <c r="G1298" i="1" s="1"/>
  <c r="H1298" i="1"/>
  <c r="F1298" i="1"/>
  <c r="I1298" i="1" l="1"/>
  <c r="E1299" i="1" s="1"/>
  <c r="H1299" i="1" l="1"/>
  <c r="I1299" i="1" s="1"/>
  <c r="E1300" i="1" s="1"/>
  <c r="J1299" i="1"/>
  <c r="G1299" i="1" s="1"/>
  <c r="F1299" i="1"/>
  <c r="J1300" i="1" l="1"/>
  <c r="G1300" i="1" s="1"/>
  <c r="H1300" i="1"/>
  <c r="F1300" i="1"/>
  <c r="I1300" i="1" l="1"/>
  <c r="E1301" i="1" s="1"/>
  <c r="H1301" i="1" l="1"/>
  <c r="J1301" i="1"/>
  <c r="G1301" i="1" s="1"/>
  <c r="F1301" i="1"/>
  <c r="I1301" i="1" l="1"/>
  <c r="E1302" i="1" s="1"/>
  <c r="H1302" i="1" l="1"/>
  <c r="F1302" i="1"/>
  <c r="J1302" i="1"/>
  <c r="G1302" i="1" s="1"/>
  <c r="I1302" i="1" l="1"/>
  <c r="E1303" i="1" s="1"/>
  <c r="J1303" i="1" l="1"/>
  <c r="G1303" i="1" s="1"/>
  <c r="H1303" i="1"/>
  <c r="F1303" i="1"/>
  <c r="I1303" i="1" l="1"/>
  <c r="E1304" i="1" s="1"/>
  <c r="J1304" i="1" l="1"/>
  <c r="G1304" i="1" s="1"/>
  <c r="F1304" i="1"/>
  <c r="H1304" i="1"/>
  <c r="I1304" i="1" l="1"/>
  <c r="E1305" i="1" s="1"/>
  <c r="J1305" i="1" l="1"/>
  <c r="G1305" i="1" s="1"/>
  <c r="H1305" i="1"/>
  <c r="F1305" i="1"/>
  <c r="I1305" i="1" l="1"/>
  <c r="E1306" i="1" s="1"/>
  <c r="H1306" i="1" l="1"/>
  <c r="I1306" i="1" s="1"/>
  <c r="E1307" i="1" s="1"/>
  <c r="J1306" i="1"/>
  <c r="G1306" i="1" s="1"/>
  <c r="F1306" i="1"/>
  <c r="J1307" i="1" l="1"/>
  <c r="G1307" i="1" s="1"/>
  <c r="H1307" i="1"/>
  <c r="F1307" i="1"/>
  <c r="I1307" i="1" l="1"/>
  <c r="E1308" i="1" s="1"/>
  <c r="J1308" i="1" l="1"/>
  <c r="G1308" i="1" s="1"/>
  <c r="H1308" i="1"/>
  <c r="F1308" i="1"/>
  <c r="I1308" i="1" l="1"/>
  <c r="E1309" i="1" s="1"/>
  <c r="J1309" i="1" l="1"/>
  <c r="G1309" i="1" s="1"/>
  <c r="F1309" i="1"/>
  <c r="H1309" i="1"/>
  <c r="I1309" i="1" l="1"/>
  <c r="E1310" i="1" s="1"/>
  <c r="J1310" i="1" l="1"/>
  <c r="G1310" i="1" s="1"/>
  <c r="F1310" i="1"/>
  <c r="H1310" i="1"/>
  <c r="I1310" i="1" l="1"/>
  <c r="E1311" i="1" s="1"/>
  <c r="H1311" i="1" l="1"/>
  <c r="F1311" i="1"/>
  <c r="J1311" i="1"/>
  <c r="G1311" i="1" s="1"/>
  <c r="I1311" i="1" l="1"/>
  <c r="E1312" i="1" s="1"/>
  <c r="J1312" i="1" l="1"/>
  <c r="G1312" i="1" s="1"/>
  <c r="F1312" i="1"/>
  <c r="H1312" i="1"/>
  <c r="I1312" i="1" l="1"/>
  <c r="E1313" i="1" s="1"/>
  <c r="J1313" i="1" l="1"/>
  <c r="G1313" i="1" s="1"/>
  <c r="F1313" i="1"/>
  <c r="H1313" i="1"/>
  <c r="I1313" i="1" l="1"/>
  <c r="E1314" i="1" s="1"/>
  <c r="H1314" i="1" l="1"/>
  <c r="F1314" i="1"/>
  <c r="J1314" i="1"/>
  <c r="G1314" i="1" s="1"/>
  <c r="I1314" i="1" l="1"/>
  <c r="E1315" i="1" s="1"/>
  <c r="H1315" i="1" l="1"/>
  <c r="F1315" i="1"/>
  <c r="J1315" i="1"/>
  <c r="G1315" i="1" s="1"/>
  <c r="I1315" i="1" l="1"/>
  <c r="E1316" i="1" s="1"/>
  <c r="F1316" i="1" l="1"/>
  <c r="J1316" i="1"/>
  <c r="G1316" i="1" s="1"/>
  <c r="H1316" i="1"/>
  <c r="I1316" i="1" s="1"/>
  <c r="E1317" i="1" s="1"/>
  <c r="H1317" i="1" l="1"/>
  <c r="I1317" i="1" s="1"/>
  <c r="E1318" i="1" s="1"/>
  <c r="J1317" i="1"/>
  <c r="G1317" i="1" s="1"/>
  <c r="F1317" i="1"/>
  <c r="J1318" i="1" l="1"/>
  <c r="G1318" i="1" s="1"/>
  <c r="F1318" i="1"/>
  <c r="H1318" i="1"/>
  <c r="I1318" i="1" l="1"/>
  <c r="E1319" i="1" s="1"/>
  <c r="H1319" i="1" l="1"/>
  <c r="F1319" i="1"/>
  <c r="J1319" i="1"/>
  <c r="G1319" i="1" s="1"/>
  <c r="I1319" i="1" l="1"/>
  <c r="E1320" i="1" s="1"/>
  <c r="J1320" i="1" l="1"/>
  <c r="G1320" i="1" s="1"/>
  <c r="F1320" i="1"/>
  <c r="H1320" i="1"/>
  <c r="I1320" i="1" l="1"/>
  <c r="E1321" i="1" s="1"/>
  <c r="J1321" i="1" l="1"/>
  <c r="G1321" i="1" s="1"/>
  <c r="F1321" i="1"/>
  <c r="H1321" i="1"/>
  <c r="I1321" i="1" l="1"/>
  <c r="E1322" i="1" s="1"/>
  <c r="H1322" i="1" l="1"/>
  <c r="F1322" i="1"/>
  <c r="J1322" i="1"/>
  <c r="G1322" i="1" s="1"/>
  <c r="I1322" i="1" l="1"/>
  <c r="E1323" i="1" s="1"/>
  <c r="F1323" i="1" l="1"/>
  <c r="H1323" i="1"/>
  <c r="J1323" i="1"/>
  <c r="G1323" i="1" s="1"/>
  <c r="I1323" i="1" l="1"/>
  <c r="E1324" i="1" s="1"/>
  <c r="F1324" i="1" l="1"/>
  <c r="H1324" i="1"/>
  <c r="J1324" i="1"/>
  <c r="G1324" i="1" s="1"/>
  <c r="I1324" i="1" l="1"/>
  <c r="E1325" i="1" s="1"/>
  <c r="H1325" i="1" l="1"/>
  <c r="J1325" i="1"/>
  <c r="G1325" i="1" s="1"/>
  <c r="F1325" i="1"/>
  <c r="I1325" i="1" l="1"/>
  <c r="E1326" i="1" s="1"/>
  <c r="J1326" i="1" l="1"/>
  <c r="G1326" i="1" s="1"/>
  <c r="H1326" i="1"/>
  <c r="F1326" i="1"/>
  <c r="I1326" i="1" l="1"/>
  <c r="E1327" i="1" s="1"/>
  <c r="F1327" i="1" l="1"/>
  <c r="J1327" i="1"/>
  <c r="G1327" i="1" s="1"/>
  <c r="H1327" i="1"/>
  <c r="I1327" i="1" l="1"/>
  <c r="E1328" i="1" s="1"/>
  <c r="F1328" i="1" l="1"/>
  <c r="H1328" i="1"/>
  <c r="J1328" i="1"/>
  <c r="G1328" i="1" s="1"/>
  <c r="I1328" i="1" l="1"/>
  <c r="E1329" i="1" s="1"/>
  <c r="F1329" i="1" l="1"/>
  <c r="H1329" i="1"/>
  <c r="J1329" i="1"/>
  <c r="G1329" i="1" s="1"/>
  <c r="I1329" i="1" l="1"/>
  <c r="E1330" i="1" s="1"/>
  <c r="F1330" i="1" l="1"/>
  <c r="J1330" i="1"/>
  <c r="G1330" i="1" s="1"/>
  <c r="H1330" i="1"/>
  <c r="I1330" i="1" s="1"/>
  <c r="E1331" i="1" s="1"/>
  <c r="F1331" i="1" l="1"/>
  <c r="H1331" i="1"/>
  <c r="J1331" i="1"/>
  <c r="G1331" i="1" s="1"/>
  <c r="I1331" i="1" l="1"/>
  <c r="E1332" i="1" s="1"/>
  <c r="F1332" i="1" l="1"/>
  <c r="H1332" i="1"/>
  <c r="J1332" i="1"/>
  <c r="G1332" i="1" s="1"/>
  <c r="I1332" i="1" l="1"/>
  <c r="E1333" i="1" s="1"/>
  <c r="F1333" i="1" l="1"/>
  <c r="J1333" i="1"/>
  <c r="G1333" i="1" s="1"/>
  <c r="H1333" i="1"/>
  <c r="I1333" i="1" s="1"/>
  <c r="E1334" i="1" s="1"/>
  <c r="J1334" i="1" l="1"/>
  <c r="G1334" i="1" s="1"/>
  <c r="F1334" i="1"/>
  <c r="H1334" i="1"/>
  <c r="I1334" i="1" s="1"/>
  <c r="E1335" i="1" s="1"/>
  <c r="H1335" i="1" l="1"/>
  <c r="J1335" i="1"/>
  <c r="G1335" i="1" s="1"/>
  <c r="F1335" i="1"/>
  <c r="I1335" i="1" l="1"/>
  <c r="E1336" i="1" s="1"/>
  <c r="H1336" i="1" l="1"/>
  <c r="J1336" i="1"/>
  <c r="G1336" i="1" s="1"/>
  <c r="F1336" i="1"/>
  <c r="I1336" i="1" l="1"/>
  <c r="E1337" i="1" s="1"/>
  <c r="H1337" i="1" l="1"/>
  <c r="J1337" i="1"/>
  <c r="G1337" i="1" s="1"/>
  <c r="F1337" i="1"/>
  <c r="I1337" i="1" l="1"/>
  <c r="E1338" i="1" s="1"/>
  <c r="F1338" i="1" l="1"/>
  <c r="J1338" i="1"/>
  <c r="G1338" i="1" s="1"/>
  <c r="H1338" i="1"/>
  <c r="I1338" i="1" s="1"/>
  <c r="E1339" i="1" s="1"/>
  <c r="F1339" i="1" l="1"/>
  <c r="H1339" i="1"/>
  <c r="J1339" i="1"/>
  <c r="G1339" i="1" s="1"/>
  <c r="I1339" i="1" l="1"/>
  <c r="E1340" i="1" s="1"/>
  <c r="H1340" i="1" l="1"/>
  <c r="I1340" i="1" s="1"/>
  <c r="E1341" i="1" s="1"/>
  <c r="J1340" i="1"/>
  <c r="G1340" i="1" s="1"/>
  <c r="F1340" i="1"/>
  <c r="J1341" i="1" l="1"/>
  <c r="G1341" i="1" s="1"/>
  <c r="H1341" i="1"/>
  <c r="F1341" i="1"/>
  <c r="I1341" i="1" l="1"/>
  <c r="E1342" i="1" s="1"/>
  <c r="F1342" i="1" l="1"/>
  <c r="J1342" i="1"/>
  <c r="G1342" i="1" s="1"/>
  <c r="H1342" i="1"/>
  <c r="I1342" i="1" s="1"/>
  <c r="E1343" i="1" s="1"/>
  <c r="F1343" i="1" l="1"/>
  <c r="J1343" i="1"/>
  <c r="G1343" i="1" s="1"/>
  <c r="H1343" i="1"/>
  <c r="I1343" i="1" s="1"/>
  <c r="E1344" i="1" s="1"/>
  <c r="F1344" i="1" l="1"/>
  <c r="H1344" i="1"/>
  <c r="J1344" i="1"/>
  <c r="G1344" i="1" s="1"/>
  <c r="I1344" i="1" l="1"/>
  <c r="E1345" i="1" s="1"/>
  <c r="F1345" i="1" l="1"/>
  <c r="H1345" i="1"/>
  <c r="J1345" i="1"/>
  <c r="G1345" i="1" s="1"/>
  <c r="I1345" i="1" l="1"/>
  <c r="E1346" i="1" s="1"/>
  <c r="F1346" i="1" l="1"/>
  <c r="H1346" i="1"/>
  <c r="J1346" i="1"/>
  <c r="G1346" i="1" s="1"/>
  <c r="I1346" i="1" l="1"/>
  <c r="E1347" i="1" s="1"/>
  <c r="F1347" i="1" l="1"/>
  <c r="H1347" i="1"/>
  <c r="J1347" i="1"/>
  <c r="G1347" i="1" s="1"/>
  <c r="I1347" i="1" l="1"/>
  <c r="E1348" i="1" s="1"/>
  <c r="J1348" i="1" l="1"/>
  <c r="G1348" i="1" s="1"/>
  <c r="F1348" i="1"/>
  <c r="H1348" i="1"/>
  <c r="I1348" i="1" l="1"/>
  <c r="E1349" i="1" s="1"/>
  <c r="H1349" i="1" l="1"/>
  <c r="J1349" i="1"/>
  <c r="G1349" i="1" s="1"/>
  <c r="F1349" i="1"/>
  <c r="I1349" i="1" l="1"/>
  <c r="E1350" i="1" s="1"/>
  <c r="H1350" i="1" l="1"/>
  <c r="F1350" i="1"/>
  <c r="J1350" i="1"/>
  <c r="G1350" i="1" s="1"/>
  <c r="I1350" i="1" l="1"/>
  <c r="E1351" i="1" s="1"/>
  <c r="F1351" i="1" l="1"/>
  <c r="J1351" i="1"/>
  <c r="G1351" i="1" s="1"/>
  <c r="H1351" i="1"/>
  <c r="I1351" i="1" s="1"/>
  <c r="E1352" i="1" s="1"/>
  <c r="J1352" i="1" l="1"/>
  <c r="G1352" i="1" s="1"/>
  <c r="F1352" i="1"/>
  <c r="H1352" i="1"/>
  <c r="I1352" i="1" s="1"/>
  <c r="E1353" i="1" s="1"/>
  <c r="F1353" i="1" l="1"/>
  <c r="H1353" i="1"/>
  <c r="J1353" i="1"/>
  <c r="G1353" i="1" s="1"/>
  <c r="I1353" i="1" l="1"/>
  <c r="E1354" i="1" s="1"/>
  <c r="F1354" i="1" l="1"/>
  <c r="J1354" i="1"/>
  <c r="G1354" i="1" s="1"/>
  <c r="H1354" i="1"/>
  <c r="I1354" i="1" s="1"/>
  <c r="E1355" i="1" s="1"/>
  <c r="F1355" i="1" l="1"/>
  <c r="J1355" i="1"/>
  <c r="G1355" i="1" s="1"/>
  <c r="H1355" i="1"/>
  <c r="I1355" i="1" l="1"/>
  <c r="E1356" i="1" s="1"/>
  <c r="H1356" i="1" l="1"/>
  <c r="F1356" i="1"/>
  <c r="J1356" i="1"/>
  <c r="G1356" i="1" s="1"/>
  <c r="I1356" i="1" l="1"/>
  <c r="E1357" i="1" s="1"/>
  <c r="J1357" i="1" l="1"/>
  <c r="G1357" i="1" s="1"/>
  <c r="H1357" i="1"/>
  <c r="F1357" i="1"/>
  <c r="I1357" i="1" l="1"/>
  <c r="E1358" i="1" s="1"/>
  <c r="H1358" i="1" l="1"/>
  <c r="I1358" i="1" s="1"/>
  <c r="E1359" i="1" s="1"/>
  <c r="J1358" i="1"/>
  <c r="G1358" i="1" s="1"/>
  <c r="F1358" i="1"/>
  <c r="J1359" i="1" l="1"/>
  <c r="G1359" i="1" s="1"/>
  <c r="H1359" i="1"/>
  <c r="F1359" i="1"/>
  <c r="I1359" i="1" l="1"/>
  <c r="E1360" i="1" s="1"/>
  <c r="H1360" i="1" l="1"/>
  <c r="F1360" i="1"/>
  <c r="J1360" i="1"/>
  <c r="G1360" i="1" s="1"/>
  <c r="I1360" i="1" l="1"/>
  <c r="E1361" i="1" s="1"/>
  <c r="H1361" i="1" l="1"/>
  <c r="F1361" i="1"/>
  <c r="J1361" i="1"/>
  <c r="G1361" i="1" s="1"/>
  <c r="I1361" i="1" l="1"/>
  <c r="E1362" i="1" s="1"/>
  <c r="H1362" i="1" l="1"/>
  <c r="I1362" i="1" s="1"/>
  <c r="E1363" i="1" s="1"/>
  <c r="J1362" i="1"/>
  <c r="G1362" i="1" s="1"/>
  <c r="F1362" i="1"/>
  <c r="F1363" i="1" l="1"/>
  <c r="H1363" i="1"/>
  <c r="J1363" i="1"/>
  <c r="G1363" i="1" s="1"/>
  <c r="I1363" i="1" l="1"/>
  <c r="E1364" i="1" s="1"/>
  <c r="F1364" i="1" l="1"/>
  <c r="H1364" i="1"/>
  <c r="J1364" i="1"/>
  <c r="G1364" i="1" s="1"/>
  <c r="I1364" i="1" l="1"/>
  <c r="E1365" i="1" s="1"/>
  <c r="F1365" i="1" l="1"/>
  <c r="J1365" i="1"/>
  <c r="G1365" i="1" s="1"/>
  <c r="H1365" i="1"/>
  <c r="I1365" i="1" s="1"/>
  <c r="E1366" i="1" s="1"/>
  <c r="F1366" i="1" l="1"/>
  <c r="J1366" i="1"/>
  <c r="G1366" i="1" s="1"/>
  <c r="H1366" i="1"/>
  <c r="I1366" i="1" s="1"/>
  <c r="E1367" i="1" s="1"/>
  <c r="F1367" i="1" l="1"/>
  <c r="H1367" i="1"/>
  <c r="J1367" i="1"/>
  <c r="G1367" i="1" s="1"/>
  <c r="I1367" i="1" l="1"/>
  <c r="E1368" i="1" s="1"/>
  <c r="F1368" i="1" l="1"/>
  <c r="J1368" i="1"/>
  <c r="G1368" i="1" s="1"/>
  <c r="H1368" i="1"/>
  <c r="I1368" i="1" s="1"/>
  <c r="E1369" i="1" s="1"/>
  <c r="F1369" i="1" l="1"/>
  <c r="J1369" i="1"/>
  <c r="G1369" i="1" s="1"/>
  <c r="H1369" i="1"/>
  <c r="I1369" i="1" s="1"/>
  <c r="E1370" i="1" s="1"/>
  <c r="F1370" i="1" l="1"/>
  <c r="H1370" i="1"/>
  <c r="J1370" i="1"/>
  <c r="G1370" i="1" s="1"/>
  <c r="I1370" i="1" l="1"/>
  <c r="E1371" i="1" s="1"/>
  <c r="F1371" i="1" l="1"/>
  <c r="H1371" i="1"/>
  <c r="J1371" i="1"/>
  <c r="G1371" i="1" s="1"/>
  <c r="I1371" i="1" l="1"/>
  <c r="E1372" i="1" s="1"/>
  <c r="F1372" i="1" l="1"/>
  <c r="H1372" i="1"/>
  <c r="J1372" i="1"/>
  <c r="G1372" i="1" s="1"/>
  <c r="I1372" i="1" l="1"/>
  <c r="E1373" i="1" s="1"/>
  <c r="F1373" i="1" l="1"/>
  <c r="H1373" i="1"/>
  <c r="J1373" i="1"/>
  <c r="G1373" i="1" s="1"/>
  <c r="I1373" i="1" l="1"/>
  <c r="E1374" i="1" s="1"/>
  <c r="F1374" i="1" l="1"/>
  <c r="H1374" i="1"/>
  <c r="J1374" i="1"/>
  <c r="G1374" i="1" s="1"/>
  <c r="I1374" i="1" l="1"/>
  <c r="E1375" i="1" s="1"/>
  <c r="F1375" i="1" l="1"/>
  <c r="J1375" i="1"/>
  <c r="G1375" i="1" s="1"/>
  <c r="H1375" i="1"/>
  <c r="I1375" i="1" s="1"/>
  <c r="E1376" i="1" s="1"/>
  <c r="F1376" i="1" l="1"/>
  <c r="H1376" i="1"/>
  <c r="J1376" i="1"/>
  <c r="G1376" i="1" s="1"/>
  <c r="I1376" i="1" l="1"/>
  <c r="E1377" i="1" s="1"/>
  <c r="F1377" i="1" l="1"/>
  <c r="J1377" i="1"/>
  <c r="G1377" i="1" s="1"/>
  <c r="H1377" i="1"/>
  <c r="I1377" i="1" s="1"/>
  <c r="E1378" i="1" s="1"/>
  <c r="F1378" i="1" l="1"/>
  <c r="H1378" i="1"/>
  <c r="J1378" i="1"/>
  <c r="G1378" i="1" s="1"/>
  <c r="I1378" i="1" l="1"/>
  <c r="E1379" i="1" s="1"/>
  <c r="F1379" i="1" l="1"/>
  <c r="H1379" i="1"/>
  <c r="J1379" i="1"/>
  <c r="G1379" i="1" s="1"/>
  <c r="I1379" i="1" l="1"/>
  <c r="E1380" i="1" s="1"/>
  <c r="F1380" i="1" l="1"/>
  <c r="H1380" i="1"/>
  <c r="J1380" i="1"/>
  <c r="G1380" i="1" s="1"/>
  <c r="I1380" i="1" l="1"/>
  <c r="E1381" i="1" s="1"/>
  <c r="F1381" i="1" l="1"/>
  <c r="J1381" i="1"/>
  <c r="G1381" i="1" s="1"/>
  <c r="H1381" i="1"/>
  <c r="I1381" i="1" s="1"/>
  <c r="E1382" i="1" s="1"/>
  <c r="J1382" i="1" l="1"/>
  <c r="G1382" i="1" s="1"/>
  <c r="H1382" i="1"/>
  <c r="F1382" i="1"/>
  <c r="I1382" i="1" l="1"/>
  <c r="E1383" i="1" s="1"/>
  <c r="H1383" i="1" l="1"/>
  <c r="J1383" i="1"/>
  <c r="G1383" i="1" s="1"/>
  <c r="F1383" i="1"/>
  <c r="I1383" i="1" l="1"/>
  <c r="E1384" i="1" s="1"/>
  <c r="J1384" i="1" l="1"/>
  <c r="G1384" i="1" s="1"/>
  <c r="H1384" i="1"/>
  <c r="F1384" i="1"/>
  <c r="I1384" i="1" l="1"/>
  <c r="E1385" i="1" s="1"/>
  <c r="J1385" i="1" l="1"/>
  <c r="G1385" i="1" s="1"/>
  <c r="H1385" i="1"/>
  <c r="F1385" i="1"/>
  <c r="I1385" i="1" l="1"/>
  <c r="E1386" i="1" s="1"/>
  <c r="H1386" i="1" l="1"/>
  <c r="F1386" i="1"/>
  <c r="J1386" i="1"/>
  <c r="G1386" i="1" s="1"/>
  <c r="I1386" i="1" l="1"/>
  <c r="E1387" i="1" s="1"/>
  <c r="F1387" i="1" l="1"/>
  <c r="H1387" i="1"/>
  <c r="J1387" i="1"/>
  <c r="G1387" i="1" s="1"/>
  <c r="I1387" i="1" l="1"/>
  <c r="E1388" i="1" s="1"/>
  <c r="H1388" i="1" l="1"/>
  <c r="J1388" i="1"/>
  <c r="G1388" i="1" s="1"/>
  <c r="F1388" i="1"/>
  <c r="I1388" i="1" l="1"/>
  <c r="E1389" i="1" s="1"/>
  <c r="H1389" i="1" l="1"/>
  <c r="J1389" i="1"/>
  <c r="G1389" i="1" s="1"/>
  <c r="F1389" i="1"/>
  <c r="I1389" i="1" l="1"/>
  <c r="E1390" i="1" s="1"/>
  <c r="J1390" i="1" l="1"/>
  <c r="G1390" i="1" s="1"/>
  <c r="H1390" i="1"/>
  <c r="F1390" i="1"/>
  <c r="I1390" i="1" l="1"/>
  <c r="E1391" i="1" s="1"/>
  <c r="F1391" i="1" l="1"/>
  <c r="H1391" i="1"/>
  <c r="J1391" i="1"/>
  <c r="G1391" i="1" s="1"/>
  <c r="I1391" i="1" l="1"/>
  <c r="E1392" i="1" s="1"/>
  <c r="H1392" i="1" l="1"/>
  <c r="J1392" i="1"/>
  <c r="G1392" i="1" s="1"/>
  <c r="F1392" i="1"/>
  <c r="I1392" i="1" l="1"/>
  <c r="E1393" i="1" s="1"/>
  <c r="H1393" i="1" l="1"/>
  <c r="F1393" i="1"/>
  <c r="J1393" i="1"/>
  <c r="G1393" i="1" s="1"/>
  <c r="I1393" i="1" l="1"/>
  <c r="E1394" i="1" s="1"/>
  <c r="J1394" i="1" l="1"/>
  <c r="G1394" i="1" s="1"/>
  <c r="F1394" i="1"/>
  <c r="H1394" i="1"/>
  <c r="I1394" i="1" l="1"/>
  <c r="E1395" i="1" s="1"/>
  <c r="J1395" i="1" l="1"/>
  <c r="G1395" i="1" s="1"/>
  <c r="F1395" i="1"/>
  <c r="H1395" i="1"/>
  <c r="I1395" i="1" l="1"/>
  <c r="E1396" i="1" s="1"/>
  <c r="H1396" i="1" l="1"/>
  <c r="F1396" i="1"/>
  <c r="J1396" i="1"/>
  <c r="G1396" i="1" s="1"/>
  <c r="I1396" i="1" l="1"/>
  <c r="E1397" i="1" s="1"/>
  <c r="H1397" i="1" l="1"/>
  <c r="J1397" i="1"/>
  <c r="G1397" i="1" s="1"/>
  <c r="F1397" i="1"/>
  <c r="I1397" i="1" l="1"/>
  <c r="E1398" i="1" s="1"/>
  <c r="J1398" i="1" l="1"/>
  <c r="G1398" i="1" s="1"/>
  <c r="H1398" i="1"/>
  <c r="F1398" i="1"/>
  <c r="I1398" i="1" l="1"/>
  <c r="E1399" i="1" s="1"/>
  <c r="H1399" i="1" l="1"/>
  <c r="J1399" i="1"/>
  <c r="G1399" i="1" s="1"/>
  <c r="F1399" i="1"/>
  <c r="I1399" i="1" l="1"/>
  <c r="E1400" i="1" s="1"/>
  <c r="H1400" i="1" l="1"/>
  <c r="I1400" i="1" s="1"/>
  <c r="E1401" i="1" s="1"/>
  <c r="J1400" i="1"/>
  <c r="G1400" i="1" s="1"/>
  <c r="F1400" i="1"/>
  <c r="J1401" i="1" l="1"/>
  <c r="G1401" i="1" s="1"/>
  <c r="H1401" i="1"/>
  <c r="F1401" i="1"/>
  <c r="I1401" i="1" l="1"/>
  <c r="E1402" i="1" s="1"/>
  <c r="F1402" i="1" l="1"/>
  <c r="H1402" i="1"/>
  <c r="J1402" i="1"/>
  <c r="G1402" i="1" s="1"/>
  <c r="I1402" i="1" l="1"/>
  <c r="E1403" i="1" s="1"/>
  <c r="F1403" i="1" l="1"/>
  <c r="J1403" i="1"/>
  <c r="G1403" i="1" s="1"/>
  <c r="H1403" i="1"/>
  <c r="I1403" i="1" s="1"/>
  <c r="E1404" i="1" s="1"/>
  <c r="H1404" i="1" l="1"/>
  <c r="I1404" i="1" s="1"/>
  <c r="E1405" i="1" s="1"/>
  <c r="J1404" i="1"/>
  <c r="G1404" i="1" s="1"/>
  <c r="F1404" i="1"/>
  <c r="H1405" i="1" l="1"/>
  <c r="F1405" i="1"/>
  <c r="J1405" i="1"/>
  <c r="G1405" i="1" s="1"/>
  <c r="I1405" i="1" l="1"/>
  <c r="E1406" i="1" s="1"/>
  <c r="J1406" i="1" l="1"/>
  <c r="G1406" i="1" s="1"/>
  <c r="F1406" i="1"/>
  <c r="H1406" i="1"/>
  <c r="I1406" i="1" l="1"/>
  <c r="E1407" i="1" s="1"/>
  <c r="J1407" i="1" l="1"/>
  <c r="G1407" i="1" s="1"/>
  <c r="H1407" i="1"/>
  <c r="F1407" i="1"/>
  <c r="I1407" i="1" l="1"/>
  <c r="E1408" i="1" s="1"/>
  <c r="J1408" i="1" l="1"/>
  <c r="G1408" i="1" s="1"/>
  <c r="H1408" i="1"/>
  <c r="F1408" i="1"/>
  <c r="I1408" i="1" l="1"/>
  <c r="E1409" i="1" s="1"/>
  <c r="J1409" i="1" l="1"/>
  <c r="G1409" i="1" s="1"/>
  <c r="H1409" i="1"/>
  <c r="F1409" i="1"/>
  <c r="I1409" i="1" l="1"/>
  <c r="E1410" i="1" s="1"/>
  <c r="J1410" i="1" l="1"/>
  <c r="G1410" i="1" s="1"/>
  <c r="F1410" i="1"/>
  <c r="H1410" i="1"/>
  <c r="I1410" i="1" l="1"/>
  <c r="E1411" i="1" s="1"/>
  <c r="J1411" i="1" l="1"/>
  <c r="G1411" i="1" s="1"/>
  <c r="F1411" i="1"/>
  <c r="H1411" i="1"/>
  <c r="I1411" i="1" l="1"/>
  <c r="E1412" i="1" s="1"/>
  <c r="J1412" i="1" l="1"/>
  <c r="G1412" i="1" s="1"/>
  <c r="F1412" i="1"/>
  <c r="H1412" i="1"/>
  <c r="I1412" i="1" l="1"/>
  <c r="E1413" i="1" s="1"/>
  <c r="H1413" i="1" l="1"/>
  <c r="I1413" i="1" s="1"/>
  <c r="E1414" i="1" s="1"/>
  <c r="J1413" i="1"/>
  <c r="G1413" i="1" s="1"/>
  <c r="F1413" i="1"/>
  <c r="H1414" i="1" l="1"/>
  <c r="F1414" i="1"/>
  <c r="J1414" i="1"/>
  <c r="G1414" i="1" s="1"/>
  <c r="I1414" i="1" l="1"/>
  <c r="E1415" i="1" s="1"/>
  <c r="J1415" i="1" l="1"/>
  <c r="G1415" i="1" s="1"/>
  <c r="H1415" i="1"/>
  <c r="F1415" i="1"/>
  <c r="I1415" i="1" l="1"/>
  <c r="E1416" i="1" s="1"/>
  <c r="J1416" i="1" l="1"/>
  <c r="G1416" i="1" s="1"/>
  <c r="H1416" i="1"/>
  <c r="F1416" i="1"/>
  <c r="I1416" i="1" l="1"/>
  <c r="E1417" i="1" s="1"/>
  <c r="H1417" i="1" l="1"/>
  <c r="I1417" i="1" s="1"/>
  <c r="E1418" i="1" s="1"/>
  <c r="J1417" i="1"/>
  <c r="G1417" i="1" s="1"/>
  <c r="F1417" i="1"/>
  <c r="F1418" i="1" l="1"/>
  <c r="H1418" i="1"/>
  <c r="J1418" i="1"/>
  <c r="G1418" i="1" s="1"/>
  <c r="I1418" i="1" l="1"/>
  <c r="E1419" i="1" s="1"/>
  <c r="J1419" i="1" l="1"/>
  <c r="G1419" i="1" s="1"/>
  <c r="H1419" i="1"/>
  <c r="F1419" i="1"/>
  <c r="I1419" i="1" l="1"/>
  <c r="E1420" i="1" s="1"/>
  <c r="H1420" i="1" l="1"/>
  <c r="J1420" i="1"/>
  <c r="G1420" i="1" s="1"/>
  <c r="F1420" i="1"/>
  <c r="I1420" i="1" l="1"/>
  <c r="E1421" i="1" s="1"/>
  <c r="H1421" i="1" l="1"/>
  <c r="J1421" i="1"/>
  <c r="G1421" i="1" s="1"/>
  <c r="F1421" i="1"/>
  <c r="I1421" i="1" l="1"/>
  <c r="E1422" i="1" s="1"/>
  <c r="H1422" i="1" l="1"/>
  <c r="I1422" i="1" s="1"/>
  <c r="E1423" i="1" s="1"/>
  <c r="J1422" i="1"/>
  <c r="G1422" i="1" s="1"/>
  <c r="F1422" i="1"/>
  <c r="J1423" i="1" l="1"/>
  <c r="G1423" i="1" s="1"/>
  <c r="F1423" i="1"/>
  <c r="H1423" i="1"/>
  <c r="I1423" i="1" l="1"/>
  <c r="E1424" i="1" s="1"/>
  <c r="J1424" i="1" l="1"/>
  <c r="G1424" i="1" s="1"/>
  <c r="H1424" i="1"/>
  <c r="F1424" i="1"/>
  <c r="I1424" i="1" l="1"/>
  <c r="E1425" i="1" s="1"/>
  <c r="H1425" i="1" l="1"/>
  <c r="F1425" i="1"/>
  <c r="J1425" i="1"/>
  <c r="G1425" i="1" s="1"/>
  <c r="I1425" i="1" l="1"/>
  <c r="E1426" i="1" s="1"/>
  <c r="H1426" i="1" l="1"/>
  <c r="I1426" i="1" s="1"/>
  <c r="E1427" i="1" s="1"/>
  <c r="J1426" i="1"/>
  <c r="G1426" i="1" s="1"/>
  <c r="F1426" i="1"/>
  <c r="J1427" i="1" l="1"/>
  <c r="G1427" i="1" s="1"/>
  <c r="F1427" i="1"/>
  <c r="H1427" i="1"/>
  <c r="I1427" i="1" l="1"/>
  <c r="E1428" i="1" s="1"/>
  <c r="H1428" i="1" l="1"/>
  <c r="F1428" i="1"/>
  <c r="J1428" i="1"/>
  <c r="G1428" i="1" s="1"/>
  <c r="I1428" i="1" l="1"/>
  <c r="E1429" i="1" s="1"/>
  <c r="H1429" i="1" l="1"/>
  <c r="I1429" i="1" s="1"/>
  <c r="E1430" i="1" s="1"/>
  <c r="F1429" i="1"/>
  <c r="J1429" i="1"/>
  <c r="G1429" i="1" s="1"/>
  <c r="J1430" i="1" l="1"/>
  <c r="G1430" i="1" s="1"/>
  <c r="F1430" i="1"/>
  <c r="H1430" i="1"/>
  <c r="I1430" i="1" l="1"/>
  <c r="E1431" i="1" s="1"/>
  <c r="J1431" i="1" l="1"/>
  <c r="G1431" i="1" s="1"/>
  <c r="F1431" i="1"/>
  <c r="H1431" i="1"/>
  <c r="I1431" i="1" l="1"/>
  <c r="E1432" i="1" s="1"/>
  <c r="H1432" i="1" l="1"/>
  <c r="J1432" i="1"/>
  <c r="G1432" i="1" s="1"/>
  <c r="F1432" i="1"/>
  <c r="I1432" i="1" l="1"/>
  <c r="E1433" i="1" s="1"/>
  <c r="J1433" i="1" l="1"/>
  <c r="G1433" i="1" s="1"/>
  <c r="H1433" i="1"/>
  <c r="I1433" i="1" s="1"/>
  <c r="E1434" i="1" s="1"/>
  <c r="F1433" i="1"/>
  <c r="H1434" i="1" l="1"/>
  <c r="J1434" i="1"/>
  <c r="G1434" i="1" s="1"/>
  <c r="F1434" i="1"/>
  <c r="I1434" i="1" l="1"/>
  <c r="E1435" i="1" s="1"/>
  <c r="F1435" i="1" l="1"/>
  <c r="J1435" i="1"/>
  <c r="G1435" i="1" s="1"/>
  <c r="H1435" i="1"/>
  <c r="I1435" i="1" l="1"/>
  <c r="E1436" i="1" s="1"/>
  <c r="J1436" i="1" l="1"/>
  <c r="G1436" i="1" s="1"/>
  <c r="H1436" i="1"/>
  <c r="F1436" i="1"/>
  <c r="I1436" i="1" l="1"/>
  <c r="E1437" i="1" s="1"/>
  <c r="J1437" i="1" l="1"/>
  <c r="G1437" i="1" s="1"/>
  <c r="F1437" i="1"/>
  <c r="H1437" i="1"/>
  <c r="I1437" i="1" s="1"/>
  <c r="E1438" i="1" s="1"/>
  <c r="J1438" i="1" l="1"/>
  <c r="G1438" i="1" s="1"/>
  <c r="F1438" i="1"/>
  <c r="H1438" i="1"/>
  <c r="I1438" i="1" s="1"/>
  <c r="E1439" i="1" s="1"/>
  <c r="H1439" i="1" l="1"/>
  <c r="J1439" i="1"/>
  <c r="G1439" i="1" s="1"/>
  <c r="F1439" i="1"/>
  <c r="I1439" i="1" l="1"/>
  <c r="E1440" i="1" s="1"/>
  <c r="J1440" i="1" l="1"/>
  <c r="G1440" i="1" s="1"/>
  <c r="H1440" i="1"/>
  <c r="F1440" i="1"/>
  <c r="I1440" i="1" l="1"/>
  <c r="E1441" i="1" s="1"/>
  <c r="H1441" i="1" l="1"/>
  <c r="F1441" i="1"/>
  <c r="J1441" i="1"/>
  <c r="G1441" i="1" s="1"/>
  <c r="I1441" i="1" l="1"/>
  <c r="E1442" i="1" s="1"/>
  <c r="J1442" i="1" l="1"/>
  <c r="G1442" i="1" s="1"/>
  <c r="F1442" i="1"/>
  <c r="H1442" i="1"/>
  <c r="I1442" i="1" s="1"/>
  <c r="E1443" i="1" s="1"/>
  <c r="F1443" i="1" l="1"/>
  <c r="J1443" i="1"/>
  <c r="G1443" i="1" s="1"/>
  <c r="H1443" i="1"/>
  <c r="I1443" i="1" l="1"/>
  <c r="E1444" i="1" s="1"/>
  <c r="J1444" i="1" l="1"/>
  <c r="G1444" i="1" s="1"/>
  <c r="F1444" i="1"/>
  <c r="H1444" i="1"/>
  <c r="I1444" i="1" l="1"/>
  <c r="E1445" i="1" s="1"/>
  <c r="J1445" i="1" l="1"/>
  <c r="G1445" i="1" s="1"/>
  <c r="H1445" i="1"/>
  <c r="F1445" i="1"/>
  <c r="I1445" i="1" l="1"/>
  <c r="E1446" i="1" s="1"/>
  <c r="J1446" i="1" l="1"/>
  <c r="G1446" i="1" s="1"/>
  <c r="H1446" i="1"/>
  <c r="F1446" i="1"/>
  <c r="I1446" i="1" l="1"/>
  <c r="E1447" i="1" s="1"/>
  <c r="J1447" i="1" l="1"/>
  <c r="G1447" i="1" s="1"/>
  <c r="H1447" i="1"/>
  <c r="F1447" i="1"/>
  <c r="I1447" i="1" l="1"/>
  <c r="E1448" i="1" s="1"/>
  <c r="H1448" i="1" l="1"/>
  <c r="F1448" i="1"/>
  <c r="J1448" i="1"/>
  <c r="G1448" i="1" s="1"/>
  <c r="I1448" i="1" l="1"/>
  <c r="E1449" i="1" s="1"/>
  <c r="F1449" i="1" l="1"/>
  <c r="H1449" i="1"/>
  <c r="J1449" i="1"/>
  <c r="G1449" i="1" s="1"/>
  <c r="I1449" i="1" l="1"/>
  <c r="E1450" i="1" s="1"/>
  <c r="H1450" i="1" l="1"/>
  <c r="F1450" i="1"/>
  <c r="J1450" i="1"/>
  <c r="G1450" i="1" s="1"/>
  <c r="I1450" i="1" l="1"/>
  <c r="E1451" i="1" s="1"/>
  <c r="F1451" i="1" l="1"/>
  <c r="H1451" i="1"/>
  <c r="J1451" i="1"/>
  <c r="G1451" i="1" s="1"/>
  <c r="I1451" i="1" l="1"/>
  <c r="E1452" i="1" s="1"/>
  <c r="H1452" i="1" l="1"/>
  <c r="J1452" i="1"/>
  <c r="G1452" i="1" s="1"/>
  <c r="F1452" i="1"/>
  <c r="I1452" i="1" l="1"/>
  <c r="E1453" i="1" s="1"/>
  <c r="H1453" i="1" l="1"/>
  <c r="J1453" i="1"/>
  <c r="G1453" i="1" s="1"/>
  <c r="F1453" i="1"/>
  <c r="I1453" i="1" l="1"/>
  <c r="E1454" i="1" s="1"/>
  <c r="J1454" i="1" l="1"/>
  <c r="G1454" i="1" s="1"/>
  <c r="F1454" i="1"/>
  <c r="H1454" i="1"/>
  <c r="I1454" i="1" l="1"/>
  <c r="E1455" i="1" s="1"/>
  <c r="J1455" i="1" l="1"/>
  <c r="G1455" i="1" s="1"/>
  <c r="F1455" i="1"/>
  <c r="H1455" i="1"/>
  <c r="I1455" i="1" l="1"/>
  <c r="E1456" i="1" s="1"/>
  <c r="H1456" i="1" l="1"/>
  <c r="J1456" i="1"/>
  <c r="G1456" i="1" s="1"/>
  <c r="F1456" i="1"/>
  <c r="I1456" i="1" l="1"/>
  <c r="E1457" i="1" s="1"/>
  <c r="E8" i="2" l="1"/>
  <c r="H1457" i="1"/>
  <c r="J1457" i="1"/>
  <c r="G1457" i="1" s="1"/>
  <c r="F1457" i="1"/>
  <c r="J8" i="2" l="1"/>
  <c r="K8" i="2" s="1"/>
  <c r="H8" i="2"/>
  <c r="I8" i="2" s="1"/>
  <c r="I1457" i="1"/>
  <c r="E1458" i="1" s="1"/>
  <c r="H1458" i="1" l="1"/>
  <c r="F1458" i="1"/>
  <c r="J1458" i="1"/>
  <c r="G1458" i="1" s="1"/>
  <c r="I1458" i="1" l="1"/>
  <c r="E1459" i="1" s="1"/>
  <c r="H1459" i="1" l="1"/>
  <c r="I1459" i="1" s="1"/>
  <c r="E1460" i="1" s="1"/>
  <c r="J1459" i="1"/>
  <c r="G1459" i="1" s="1"/>
  <c r="F1459" i="1"/>
  <c r="H1460" i="1" l="1"/>
  <c r="I1460" i="1" s="1"/>
  <c r="E1461" i="1" s="1"/>
  <c r="J1460" i="1"/>
  <c r="G1460" i="1" s="1"/>
  <c r="F1460" i="1"/>
  <c r="J1461" i="1" l="1"/>
  <c r="G1461" i="1" s="1"/>
  <c r="H1461" i="1"/>
  <c r="F1461" i="1"/>
  <c r="I1461" i="1" l="1"/>
  <c r="E1462" i="1" s="1"/>
  <c r="J1462" i="1" l="1"/>
  <c r="G1462" i="1" s="1"/>
  <c r="H1462" i="1"/>
  <c r="I1462" i="1" s="1"/>
  <c r="E1463" i="1" s="1"/>
  <c r="F1462" i="1"/>
  <c r="J1463" i="1" l="1"/>
  <c r="G1463" i="1" s="1"/>
  <c r="H1463" i="1"/>
  <c r="F1463" i="1"/>
  <c r="I1463" i="1" l="1"/>
  <c r="E1464" i="1" s="1"/>
  <c r="H1464" i="1" l="1"/>
  <c r="F1464" i="1"/>
  <c r="J1464" i="1"/>
  <c r="G1464" i="1" s="1"/>
  <c r="I1464" i="1" l="1"/>
  <c r="E1465" i="1" s="1"/>
  <c r="F1465" i="1" l="1"/>
  <c r="H1465" i="1"/>
  <c r="J1465" i="1"/>
  <c r="G1465" i="1" s="1"/>
  <c r="I1465" i="1" l="1"/>
  <c r="E1466" i="1" s="1"/>
  <c r="J1466" i="1" l="1"/>
  <c r="G1466" i="1" s="1"/>
  <c r="H1466" i="1"/>
  <c r="F1466" i="1"/>
  <c r="I1466" i="1" l="1"/>
  <c r="E1467" i="1" s="1"/>
  <c r="H1467" i="1" l="1"/>
  <c r="J1467" i="1"/>
  <c r="G1467" i="1" s="1"/>
  <c r="F1467" i="1"/>
  <c r="I1467" i="1" l="1"/>
  <c r="E1468" i="1" s="1"/>
  <c r="J1468" i="1" l="1"/>
  <c r="G1468" i="1" s="1"/>
  <c r="H1468" i="1"/>
  <c r="F1468" i="1"/>
  <c r="I1468" i="1" l="1"/>
  <c r="E1469" i="1" s="1"/>
  <c r="J1469" i="1" l="1"/>
  <c r="G1469" i="1" s="1"/>
  <c r="F1469" i="1"/>
  <c r="H1469" i="1"/>
  <c r="I1469" i="1" l="1"/>
  <c r="E1470" i="1" s="1"/>
  <c r="J1470" i="1" l="1"/>
  <c r="G1470" i="1" s="1"/>
  <c r="H1470" i="1"/>
  <c r="F1470" i="1"/>
  <c r="I1470" i="1" l="1"/>
  <c r="E1471" i="1" s="1"/>
  <c r="H1471" i="1" l="1"/>
  <c r="J1471" i="1"/>
  <c r="G1471" i="1" s="1"/>
  <c r="F1471" i="1"/>
  <c r="I1471" i="1" l="1"/>
  <c r="E1472" i="1" s="1"/>
  <c r="H1472" i="1" l="1"/>
  <c r="J1472" i="1"/>
  <c r="G1472" i="1" s="1"/>
  <c r="F1472" i="1"/>
  <c r="I1472" i="1" l="1"/>
  <c r="E1473" i="1" s="1"/>
  <c r="J1473" i="1" l="1"/>
  <c r="G1473" i="1" s="1"/>
  <c r="F1473" i="1"/>
  <c r="H1473" i="1"/>
  <c r="I1473" i="1" l="1"/>
  <c r="E1474" i="1" s="1"/>
  <c r="H1474" i="1" l="1"/>
  <c r="J1474" i="1"/>
  <c r="G1474" i="1" s="1"/>
  <c r="F1474" i="1"/>
  <c r="I1474" i="1" l="1"/>
  <c r="E1475" i="1" s="1"/>
  <c r="H1475" i="1" l="1"/>
  <c r="J1475" i="1"/>
  <c r="G1475" i="1" s="1"/>
  <c r="F1475" i="1"/>
  <c r="I1475" i="1" l="1"/>
  <c r="E1476" i="1" s="1"/>
  <c r="H1476" i="1" l="1"/>
  <c r="J1476" i="1"/>
  <c r="G1476" i="1" s="1"/>
  <c r="F1476" i="1"/>
  <c r="I1476" i="1" l="1"/>
  <c r="E1477" i="1" s="1"/>
  <c r="H1477" i="1" l="1"/>
  <c r="J1477" i="1"/>
  <c r="G1477" i="1" s="1"/>
  <c r="F1477" i="1"/>
  <c r="I1477" i="1" l="1"/>
  <c r="E1478" i="1" s="1"/>
  <c r="J1478" i="1" l="1"/>
  <c r="G1478" i="1" s="1"/>
  <c r="F1478" i="1"/>
  <c r="H1478" i="1"/>
  <c r="I1478" i="1" l="1"/>
  <c r="E1479" i="1" s="1"/>
  <c r="F1479" i="1" l="1"/>
  <c r="J1479" i="1"/>
  <c r="G1479" i="1" s="1"/>
  <c r="H1479" i="1"/>
  <c r="I1479" i="1" s="1"/>
  <c r="E1480" i="1" s="1"/>
  <c r="H1480" i="1" l="1"/>
  <c r="J1480" i="1"/>
  <c r="G1480" i="1" s="1"/>
  <c r="F1480" i="1"/>
  <c r="I1480" i="1" l="1"/>
  <c r="E1481" i="1" s="1"/>
  <c r="F1481" i="1" l="1"/>
  <c r="H1481" i="1"/>
  <c r="J1481" i="1"/>
  <c r="G1481" i="1" s="1"/>
  <c r="I1481" i="1" l="1"/>
  <c r="E1482" i="1" s="1"/>
  <c r="J1482" i="1" l="1"/>
  <c r="G1482" i="1" s="1"/>
  <c r="H1482" i="1"/>
  <c r="F1482" i="1"/>
  <c r="I1482" i="1" l="1"/>
  <c r="E1483" i="1" s="1"/>
  <c r="F1483" i="1" l="1"/>
  <c r="H1483" i="1"/>
  <c r="J1483" i="1"/>
  <c r="G1483" i="1" s="1"/>
  <c r="I1483" i="1" l="1"/>
  <c r="E1484" i="1" s="1"/>
  <c r="F1484" i="1" l="1"/>
  <c r="J1484" i="1"/>
  <c r="G1484" i="1" s="1"/>
  <c r="H1484" i="1"/>
  <c r="I1484" i="1" s="1"/>
  <c r="E1485" i="1" s="1"/>
  <c r="H1485" i="1" l="1"/>
  <c r="F1485" i="1"/>
  <c r="J1485" i="1"/>
  <c r="G1485" i="1" s="1"/>
  <c r="I1485" i="1" l="1"/>
  <c r="E1486" i="1" s="1"/>
  <c r="F1486" i="1" l="1"/>
  <c r="H1486" i="1"/>
  <c r="J1486" i="1"/>
  <c r="G1486" i="1" s="1"/>
  <c r="I1486" i="1" l="1"/>
  <c r="E1487" i="1" s="1"/>
  <c r="H1487" i="1" l="1"/>
  <c r="F1487" i="1"/>
  <c r="J1487" i="1"/>
  <c r="G1487" i="1" s="1"/>
  <c r="I1487" i="1" l="1"/>
  <c r="E1488" i="1" s="1"/>
  <c r="F1488" i="1" l="1"/>
  <c r="J1488" i="1"/>
  <c r="G1488" i="1" s="1"/>
  <c r="H1488" i="1"/>
  <c r="I1488" i="1" s="1"/>
  <c r="E1489" i="1" s="1"/>
  <c r="F1489" i="1" l="1"/>
  <c r="H1489" i="1"/>
  <c r="J1489" i="1"/>
  <c r="G1489" i="1" s="1"/>
  <c r="I1489" i="1" l="1"/>
  <c r="E1490" i="1" s="1"/>
  <c r="F1490" i="1" l="1"/>
  <c r="H1490" i="1"/>
  <c r="J1490" i="1"/>
  <c r="G1490" i="1" s="1"/>
  <c r="I1490" i="1" l="1"/>
  <c r="E1491" i="1" s="1"/>
  <c r="F1491" i="1" l="1"/>
  <c r="J1491" i="1"/>
  <c r="G1491" i="1" s="1"/>
  <c r="H1491" i="1"/>
  <c r="I1491" i="1" s="1"/>
  <c r="E1492" i="1" s="1"/>
  <c r="H1492" i="1" l="1"/>
  <c r="J1492" i="1"/>
  <c r="G1492" i="1" s="1"/>
  <c r="F1492" i="1"/>
  <c r="I1492" i="1" l="1"/>
  <c r="E1493" i="1" s="1"/>
  <c r="F1493" i="1" l="1"/>
  <c r="H1493" i="1"/>
  <c r="J1493" i="1"/>
  <c r="G1493" i="1" s="1"/>
  <c r="I1493" i="1" l="1"/>
  <c r="E1494" i="1" s="1"/>
  <c r="F1494" i="1" l="1"/>
  <c r="H1494" i="1"/>
  <c r="J1494" i="1"/>
  <c r="G1494" i="1" s="1"/>
  <c r="I1494" i="1" l="1"/>
  <c r="E1495" i="1" s="1"/>
  <c r="J1495" i="1" l="1"/>
  <c r="G1495" i="1" s="1"/>
  <c r="H1495" i="1"/>
  <c r="F1495" i="1"/>
  <c r="I1495" i="1" l="1"/>
  <c r="E1496" i="1" s="1"/>
  <c r="J1496" i="1" l="1"/>
  <c r="G1496" i="1" s="1"/>
  <c r="F1496" i="1"/>
  <c r="H1496" i="1"/>
  <c r="I1496" i="1" l="1"/>
  <c r="E1497" i="1" s="1"/>
  <c r="H1497" i="1" l="1"/>
  <c r="J1497" i="1"/>
  <c r="G1497" i="1" s="1"/>
  <c r="F1497" i="1"/>
  <c r="I1497" i="1" l="1"/>
  <c r="E1498" i="1" s="1"/>
  <c r="H1498" i="1" l="1"/>
  <c r="J1498" i="1"/>
  <c r="G1498" i="1" s="1"/>
  <c r="F1498" i="1"/>
  <c r="I1498" i="1" l="1"/>
  <c r="E1499" i="1" s="1"/>
  <c r="J1499" i="1" l="1"/>
  <c r="G1499" i="1" s="1"/>
  <c r="F1499" i="1"/>
  <c r="H1499" i="1"/>
  <c r="I1499" i="1" l="1"/>
  <c r="E1500" i="1" s="1"/>
  <c r="J1500" i="1" l="1"/>
  <c r="G1500" i="1" s="1"/>
  <c r="H1500" i="1"/>
  <c r="F1500" i="1"/>
  <c r="I1500" i="1" l="1"/>
  <c r="E1501" i="1" s="1"/>
  <c r="J1501" i="1" l="1"/>
  <c r="G1501" i="1" s="1"/>
  <c r="H1501" i="1"/>
  <c r="F1501" i="1"/>
  <c r="I1501" i="1" l="1"/>
  <c r="E1502" i="1" s="1"/>
  <c r="F1502" i="1" l="1"/>
  <c r="H1502" i="1"/>
  <c r="J1502" i="1"/>
  <c r="G1502" i="1" s="1"/>
  <c r="I1502" i="1" l="1"/>
  <c r="E1503" i="1" s="1"/>
  <c r="F1503" i="1" l="1"/>
  <c r="H1503" i="1"/>
  <c r="J1503" i="1"/>
  <c r="G1503" i="1" s="1"/>
  <c r="I1503" i="1" l="1"/>
  <c r="E1504" i="1" s="1"/>
  <c r="F1504" i="1" l="1"/>
  <c r="J1504" i="1"/>
  <c r="G1504" i="1" s="1"/>
  <c r="H1504" i="1"/>
  <c r="I1504" i="1" s="1"/>
  <c r="E1505" i="1" s="1"/>
  <c r="J1505" i="1" l="1"/>
  <c r="G1505" i="1" s="1"/>
  <c r="H1505" i="1"/>
  <c r="F1505" i="1"/>
  <c r="I1505" i="1" l="1"/>
  <c r="E1506" i="1" s="1"/>
  <c r="H1506" i="1" l="1"/>
  <c r="I1506" i="1" s="1"/>
  <c r="E1507" i="1" s="1"/>
  <c r="J1506" i="1"/>
  <c r="G1506" i="1" s="1"/>
  <c r="F1506" i="1"/>
  <c r="J1507" i="1" l="1"/>
  <c r="G1507" i="1" s="1"/>
  <c r="H1507" i="1"/>
  <c r="F1507" i="1"/>
  <c r="I1507" i="1" l="1"/>
  <c r="E1508" i="1" s="1"/>
  <c r="H1508" i="1" l="1"/>
  <c r="F1508" i="1"/>
  <c r="J1508" i="1"/>
  <c r="G1508" i="1" s="1"/>
  <c r="I1508" i="1" l="1"/>
  <c r="E1509" i="1" s="1"/>
  <c r="H1509" i="1" l="1"/>
  <c r="J1509" i="1"/>
  <c r="G1509" i="1" s="1"/>
  <c r="F1509" i="1"/>
  <c r="I1509" i="1" l="1"/>
  <c r="E1510" i="1" s="1"/>
  <c r="H1510" i="1" l="1"/>
  <c r="J1510" i="1"/>
  <c r="G1510" i="1" s="1"/>
  <c r="F1510" i="1"/>
  <c r="I1510" i="1" l="1"/>
  <c r="E1511" i="1" s="1"/>
  <c r="J1511" i="1" l="1"/>
  <c r="G1511" i="1" s="1"/>
  <c r="H1511" i="1"/>
  <c r="F1511" i="1"/>
  <c r="I1511" i="1" l="1"/>
  <c r="E1512" i="1" s="1"/>
  <c r="J1512" i="1" l="1"/>
  <c r="G1512" i="1" s="1"/>
  <c r="H1512" i="1"/>
  <c r="F1512" i="1"/>
  <c r="I1512" i="1" l="1"/>
  <c r="E1513" i="1" s="1"/>
  <c r="H1513" i="1" l="1"/>
  <c r="J1513" i="1"/>
  <c r="G1513" i="1" s="1"/>
  <c r="F1513" i="1"/>
  <c r="I1513" i="1" l="1"/>
  <c r="E1514" i="1" s="1"/>
  <c r="H1514" i="1" l="1"/>
  <c r="J1514" i="1"/>
  <c r="G1514" i="1" s="1"/>
  <c r="F1514" i="1"/>
  <c r="I1514" i="1" l="1"/>
  <c r="E1515" i="1" s="1"/>
  <c r="J1515" i="1" l="1"/>
  <c r="G1515" i="1" s="1"/>
  <c r="H1515" i="1"/>
  <c r="F1515" i="1"/>
  <c r="I1515" i="1" l="1"/>
  <c r="E1516" i="1" s="1"/>
  <c r="J1516" i="1" l="1"/>
  <c r="G1516" i="1" s="1"/>
  <c r="H1516" i="1"/>
  <c r="F1516" i="1"/>
  <c r="I1516" i="1" l="1"/>
  <c r="E1517" i="1" s="1"/>
  <c r="H1517" i="1" l="1"/>
  <c r="F1517" i="1"/>
  <c r="J1517" i="1"/>
  <c r="G1517" i="1" s="1"/>
  <c r="I1517" i="1" l="1"/>
  <c r="E1518" i="1" s="1"/>
  <c r="H1518" i="1" l="1"/>
  <c r="J1518" i="1"/>
  <c r="G1518" i="1" s="1"/>
  <c r="F1518" i="1"/>
  <c r="I1518" i="1" l="1"/>
  <c r="E1519" i="1" s="1"/>
  <c r="J1519" i="1" l="1"/>
  <c r="G1519" i="1" s="1"/>
  <c r="H1519" i="1"/>
  <c r="F1519" i="1"/>
  <c r="I1519" i="1" l="1"/>
  <c r="E1520" i="1" s="1"/>
  <c r="H1520" i="1" l="1"/>
  <c r="F1520" i="1"/>
  <c r="J1520" i="1"/>
  <c r="G1520" i="1" s="1"/>
  <c r="I1520" i="1" l="1"/>
  <c r="E1521" i="1" s="1"/>
  <c r="J1521" i="1" l="1"/>
  <c r="G1521" i="1" s="1"/>
  <c r="F1521" i="1"/>
  <c r="H1521" i="1"/>
  <c r="I1521" i="1" l="1"/>
  <c r="E1522" i="1" s="1"/>
  <c r="H1522" i="1" l="1"/>
  <c r="J1522" i="1"/>
  <c r="G1522" i="1" s="1"/>
  <c r="F1522" i="1"/>
  <c r="I1522" i="1" l="1"/>
  <c r="E1523" i="1" s="1"/>
  <c r="F1523" i="1" l="1"/>
  <c r="H1523" i="1"/>
  <c r="J1523" i="1"/>
  <c r="G1523" i="1" s="1"/>
  <c r="I1523" i="1" l="1"/>
  <c r="E1524" i="1" s="1"/>
  <c r="F1524" i="1" l="1"/>
  <c r="J1524" i="1"/>
  <c r="G1524" i="1" s="1"/>
  <c r="H1524" i="1"/>
  <c r="I1524" i="1" s="1"/>
  <c r="E1525" i="1" s="1"/>
  <c r="H1525" i="1" l="1"/>
  <c r="J1525" i="1"/>
  <c r="G1525" i="1" s="1"/>
  <c r="F1525" i="1"/>
  <c r="I1525" i="1" l="1"/>
  <c r="E1526" i="1" s="1"/>
  <c r="H1526" i="1" l="1"/>
  <c r="J1526" i="1"/>
  <c r="G1526" i="1" s="1"/>
  <c r="F1526" i="1"/>
  <c r="I1526" i="1" l="1"/>
  <c r="E1527" i="1" s="1"/>
  <c r="J1527" i="1" l="1"/>
  <c r="G1527" i="1" s="1"/>
  <c r="F1527" i="1"/>
  <c r="H1527" i="1"/>
  <c r="I1527" i="1" l="1"/>
  <c r="E1528" i="1" s="1"/>
  <c r="F1528" i="1" l="1"/>
  <c r="H1528" i="1"/>
  <c r="J1528" i="1"/>
  <c r="G1528" i="1" s="1"/>
  <c r="I1528" i="1" l="1"/>
  <c r="E1529" i="1" s="1"/>
  <c r="J1529" i="1" l="1"/>
  <c r="G1529" i="1" s="1"/>
  <c r="H1529" i="1"/>
  <c r="F1529" i="1"/>
  <c r="I1529" i="1" l="1"/>
  <c r="E1530" i="1" s="1"/>
  <c r="F1530" i="1" l="1"/>
  <c r="H1530" i="1"/>
  <c r="J1530" i="1"/>
  <c r="G1530" i="1" s="1"/>
  <c r="I1530" i="1" l="1"/>
  <c r="E1531" i="1" s="1"/>
  <c r="H1531" i="1" l="1"/>
  <c r="F1531" i="1"/>
  <c r="J1531" i="1"/>
  <c r="G1531" i="1" s="1"/>
  <c r="I1531" i="1" l="1"/>
  <c r="E1532" i="1" s="1"/>
  <c r="J1532" i="1" l="1"/>
  <c r="G1532" i="1" s="1"/>
  <c r="F1532" i="1"/>
  <c r="H1532" i="1"/>
  <c r="I1532" i="1" l="1"/>
  <c r="E1533" i="1" s="1"/>
  <c r="H1533" i="1" l="1"/>
  <c r="J1533" i="1"/>
  <c r="G1533" i="1" s="1"/>
  <c r="F1533" i="1"/>
  <c r="I1533" i="1" l="1"/>
  <c r="E1534" i="1" s="1"/>
  <c r="H1534" i="1" l="1"/>
  <c r="F1534" i="1"/>
  <c r="J1534" i="1"/>
  <c r="G1534" i="1" s="1"/>
  <c r="I1534" i="1" l="1"/>
  <c r="E1535" i="1" s="1"/>
  <c r="F1535" i="1" l="1"/>
  <c r="H1535" i="1"/>
  <c r="J1535" i="1"/>
  <c r="G1535" i="1" s="1"/>
  <c r="I1535" i="1" l="1"/>
  <c r="E1536" i="1" s="1"/>
  <c r="J1536" i="1" l="1"/>
  <c r="G1536" i="1" s="1"/>
  <c r="F1536" i="1"/>
  <c r="H1536" i="1"/>
  <c r="I1536" i="1" l="1"/>
  <c r="E1537" i="1" s="1"/>
  <c r="J1537" i="1" l="1"/>
  <c r="G1537" i="1" s="1"/>
  <c r="F1537" i="1"/>
  <c r="H1537" i="1"/>
  <c r="I1537" i="1" l="1"/>
  <c r="E1538" i="1" s="1"/>
  <c r="H1538" i="1" l="1"/>
  <c r="F1538" i="1"/>
  <c r="J1538" i="1"/>
  <c r="G1538" i="1" s="1"/>
  <c r="I1538" i="1" l="1"/>
  <c r="E1539" i="1" s="1"/>
  <c r="H1539" i="1" l="1"/>
  <c r="J1539" i="1"/>
  <c r="G1539" i="1" s="1"/>
  <c r="F1539" i="1"/>
  <c r="I1539" i="1" l="1"/>
  <c r="E1540" i="1" s="1"/>
  <c r="H1540" i="1" l="1"/>
  <c r="J1540" i="1"/>
  <c r="G1540" i="1" s="1"/>
  <c r="F1540" i="1"/>
  <c r="I1540" i="1" l="1"/>
  <c r="E1541" i="1" s="1"/>
  <c r="H1541" i="1" l="1"/>
  <c r="F1541" i="1"/>
  <c r="J1541" i="1"/>
  <c r="G1541" i="1" s="1"/>
  <c r="I1541" i="1" l="1"/>
  <c r="E1542" i="1" s="1"/>
  <c r="H1542" i="1" l="1"/>
  <c r="J1542" i="1"/>
  <c r="G1542" i="1" s="1"/>
  <c r="F1542" i="1"/>
  <c r="I1542" i="1" l="1"/>
  <c r="E1543" i="1" s="1"/>
  <c r="H1543" i="1" l="1"/>
  <c r="J1543" i="1"/>
  <c r="G1543" i="1" s="1"/>
  <c r="F1543" i="1"/>
  <c r="I1543" i="1" l="1"/>
  <c r="E1544" i="1" s="1"/>
  <c r="J1544" i="1" l="1"/>
  <c r="G1544" i="1" s="1"/>
  <c r="H1544" i="1"/>
  <c r="F1544" i="1"/>
  <c r="I1544" i="1" l="1"/>
  <c r="E1545" i="1" s="1"/>
  <c r="F1545" i="1" l="1"/>
  <c r="H1545" i="1"/>
  <c r="J1545" i="1"/>
  <c r="G1545" i="1" s="1"/>
  <c r="I1545" i="1" l="1"/>
  <c r="E1546" i="1" s="1"/>
  <c r="J1546" i="1" l="1"/>
  <c r="G1546" i="1" s="1"/>
  <c r="F1546" i="1"/>
  <c r="H1546" i="1"/>
  <c r="I1546" i="1" l="1"/>
  <c r="E1547" i="1" s="1"/>
  <c r="J1547" i="1" l="1"/>
  <c r="G1547" i="1" s="1"/>
  <c r="H1547" i="1"/>
  <c r="F1547" i="1"/>
  <c r="I1547" i="1" l="1"/>
  <c r="E1548" i="1" s="1"/>
  <c r="H1548" i="1" l="1"/>
  <c r="J1548" i="1"/>
  <c r="G1548" i="1" s="1"/>
  <c r="F1548" i="1"/>
  <c r="I1548" i="1" l="1"/>
  <c r="E1549" i="1" s="1"/>
  <c r="J1549" i="1" l="1"/>
  <c r="G1549" i="1" s="1"/>
  <c r="H1549" i="1"/>
  <c r="F1549" i="1"/>
  <c r="I1549" i="1" l="1"/>
  <c r="E1550" i="1" s="1"/>
  <c r="H1550" i="1" l="1"/>
  <c r="J1550" i="1"/>
  <c r="G1550" i="1" s="1"/>
  <c r="F1550" i="1"/>
  <c r="I1550" i="1" l="1"/>
  <c r="E1551" i="1" s="1"/>
  <c r="H1551" i="1" l="1"/>
  <c r="J1551" i="1"/>
  <c r="G1551" i="1" s="1"/>
  <c r="F1551" i="1"/>
  <c r="I1551" i="1" l="1"/>
  <c r="E1552" i="1" s="1"/>
  <c r="F1552" i="1" l="1"/>
  <c r="J1552" i="1"/>
  <c r="G1552" i="1" s="1"/>
  <c r="H1552" i="1"/>
  <c r="I1552" i="1" s="1"/>
  <c r="E1553" i="1" s="1"/>
  <c r="H1553" i="1" l="1"/>
  <c r="J1553" i="1"/>
  <c r="G1553" i="1" s="1"/>
  <c r="F1553" i="1"/>
  <c r="I1553" i="1" l="1"/>
  <c r="E1554" i="1" s="1"/>
  <c r="H1554" i="1" l="1"/>
  <c r="J1554" i="1"/>
  <c r="G1554" i="1" s="1"/>
  <c r="F1554" i="1"/>
  <c r="I1554" i="1" l="1"/>
  <c r="E1555" i="1" s="1"/>
  <c r="J1555" i="1" l="1"/>
  <c r="G1555" i="1" s="1"/>
  <c r="H1555" i="1"/>
  <c r="F1555" i="1"/>
  <c r="I1555" i="1" l="1"/>
  <c r="E1556" i="1" s="1"/>
  <c r="H1556" i="1" l="1"/>
  <c r="J1556" i="1"/>
  <c r="G1556" i="1" s="1"/>
  <c r="F1556" i="1"/>
  <c r="I1556" i="1" l="1"/>
  <c r="E1557" i="1" s="1"/>
  <c r="J1557" i="1" l="1"/>
  <c r="G1557" i="1" s="1"/>
  <c r="H1557" i="1"/>
  <c r="F1557" i="1"/>
  <c r="I1557" i="1" l="1"/>
  <c r="E1558" i="1" s="1"/>
  <c r="H1558" i="1" l="1"/>
  <c r="J1558" i="1"/>
  <c r="G1558" i="1" s="1"/>
  <c r="F1558" i="1"/>
  <c r="I1558" i="1" l="1"/>
  <c r="E1559" i="1" s="1"/>
  <c r="J1559" i="1" l="1"/>
  <c r="G1559" i="1" s="1"/>
  <c r="F1559" i="1"/>
  <c r="H1559" i="1"/>
  <c r="I1559" i="1" l="1"/>
  <c r="E1560" i="1" s="1"/>
  <c r="H1560" i="1" l="1"/>
  <c r="J1560" i="1"/>
  <c r="G1560" i="1" s="1"/>
  <c r="F1560" i="1"/>
  <c r="I1560" i="1" l="1"/>
  <c r="E1561" i="1" s="1"/>
  <c r="H1561" i="1" l="1"/>
  <c r="J1561" i="1"/>
  <c r="G1561" i="1" s="1"/>
  <c r="F1561" i="1"/>
  <c r="I1561" i="1" l="1"/>
  <c r="E1562" i="1" s="1"/>
  <c r="H1562" i="1" l="1"/>
  <c r="J1562" i="1"/>
  <c r="G1562" i="1" s="1"/>
  <c r="F1562" i="1"/>
  <c r="I1562" i="1" l="1"/>
  <c r="E1563" i="1" s="1"/>
  <c r="J1563" i="1" l="1"/>
  <c r="G1563" i="1" s="1"/>
  <c r="H1563" i="1"/>
  <c r="F1563" i="1"/>
  <c r="I1563" i="1" l="1"/>
  <c r="E1564" i="1" s="1"/>
  <c r="H1564" i="1" l="1"/>
  <c r="J1564" i="1"/>
  <c r="G1564" i="1" s="1"/>
  <c r="F1564" i="1"/>
  <c r="I1564" i="1" l="1"/>
  <c r="E1565" i="1" s="1"/>
  <c r="J1565" i="1" l="1"/>
  <c r="G1565" i="1" s="1"/>
  <c r="H1565" i="1"/>
  <c r="F1565" i="1"/>
  <c r="I1565" i="1" l="1"/>
  <c r="E1566" i="1" s="1"/>
  <c r="H1566" i="1" l="1"/>
  <c r="J1566" i="1"/>
  <c r="G1566" i="1" s="1"/>
  <c r="F1566" i="1"/>
  <c r="I1566" i="1" l="1"/>
  <c r="E1567" i="1" s="1"/>
  <c r="H1567" i="1" l="1"/>
  <c r="J1567" i="1"/>
  <c r="G1567" i="1" s="1"/>
  <c r="F1567" i="1"/>
  <c r="I1567" i="1" l="1"/>
  <c r="E1568" i="1" s="1"/>
  <c r="J1568" i="1" l="1"/>
  <c r="G1568" i="1" s="1"/>
  <c r="H1568" i="1"/>
  <c r="F1568" i="1"/>
  <c r="I1568" i="1" l="1"/>
  <c r="E1569" i="1" s="1"/>
  <c r="H1569" i="1" l="1"/>
  <c r="J1569" i="1"/>
  <c r="G1569" i="1" s="1"/>
  <c r="F1569" i="1"/>
  <c r="I1569" i="1" l="1"/>
  <c r="E1570" i="1" s="1"/>
  <c r="J1570" i="1" l="1"/>
  <c r="G1570" i="1" s="1"/>
  <c r="H1570" i="1"/>
  <c r="F1570" i="1"/>
  <c r="I1570" i="1" l="1"/>
  <c r="E1571" i="1" s="1"/>
  <c r="J1571" i="1" l="1"/>
  <c r="G1571" i="1" s="1"/>
  <c r="H1571" i="1"/>
  <c r="F1571" i="1"/>
  <c r="I1571" i="1" l="1"/>
  <c r="E1572" i="1" s="1"/>
  <c r="H1572" i="1" l="1"/>
  <c r="J1572" i="1"/>
  <c r="G1572" i="1" s="1"/>
  <c r="F1572" i="1"/>
  <c r="I1572" i="1" l="1"/>
  <c r="E1573" i="1" s="1"/>
  <c r="H1573" i="1" l="1"/>
  <c r="J1573" i="1"/>
  <c r="G1573" i="1" s="1"/>
  <c r="F1573" i="1"/>
  <c r="I1573" i="1" l="1"/>
  <c r="E1574" i="1" s="1"/>
  <c r="J1574" i="1" l="1"/>
  <c r="G1574" i="1" s="1"/>
  <c r="F1574" i="1"/>
  <c r="H1574" i="1"/>
  <c r="I1574" i="1" l="1"/>
  <c r="E1575" i="1" s="1"/>
  <c r="J1575" i="1" l="1"/>
  <c r="G1575" i="1" s="1"/>
  <c r="H1575" i="1"/>
  <c r="F1575" i="1"/>
  <c r="I1575" i="1" l="1"/>
  <c r="E1576" i="1" s="1"/>
  <c r="H1576" i="1" l="1"/>
  <c r="J1576" i="1"/>
  <c r="G1576" i="1" s="1"/>
  <c r="F1576" i="1"/>
  <c r="I1576" i="1" l="1"/>
  <c r="E1577" i="1" s="1"/>
  <c r="H1577" i="1" l="1"/>
  <c r="J1577" i="1"/>
  <c r="G1577" i="1" s="1"/>
  <c r="F1577" i="1"/>
  <c r="I1577" i="1" l="1"/>
  <c r="E1578" i="1" s="1"/>
  <c r="J1578" i="1" l="1"/>
  <c r="G1578" i="1" s="1"/>
  <c r="H1578" i="1"/>
  <c r="F1578" i="1"/>
  <c r="I1578" i="1" l="1"/>
  <c r="E1579" i="1" s="1"/>
  <c r="J1579" i="1" l="1"/>
  <c r="G1579" i="1" s="1"/>
  <c r="H1579" i="1"/>
  <c r="F1579" i="1"/>
  <c r="I1579" i="1" l="1"/>
  <c r="E1580" i="1" s="1"/>
  <c r="H1580" i="1" l="1"/>
  <c r="J1580" i="1"/>
  <c r="G1580" i="1" s="1"/>
  <c r="F1580" i="1"/>
  <c r="I1580" i="1" l="1"/>
  <c r="E1581" i="1" s="1"/>
  <c r="H1581" i="1" l="1"/>
  <c r="J1581" i="1"/>
  <c r="G1581" i="1" s="1"/>
  <c r="F1581" i="1"/>
  <c r="I1581" i="1" l="1"/>
  <c r="E1582" i="1" s="1"/>
  <c r="H1582" i="1" l="1"/>
  <c r="J1582" i="1"/>
  <c r="G1582" i="1" s="1"/>
  <c r="F1582" i="1"/>
  <c r="I1582" i="1" l="1"/>
  <c r="E1583" i="1" s="1"/>
  <c r="J1583" i="1" l="1"/>
  <c r="G1583" i="1" s="1"/>
  <c r="H1583" i="1"/>
  <c r="F1583" i="1"/>
  <c r="I1583" i="1" l="1"/>
  <c r="E1584" i="1" s="1"/>
  <c r="H1584" i="1" l="1"/>
  <c r="J1584" i="1"/>
  <c r="G1584" i="1" s="1"/>
  <c r="F1584" i="1"/>
  <c r="I1584" i="1" l="1"/>
  <c r="E1585" i="1" s="1"/>
  <c r="H1585" i="1" l="1"/>
  <c r="J1585" i="1"/>
  <c r="G1585" i="1" s="1"/>
  <c r="F1585" i="1"/>
  <c r="I1585" i="1" l="1"/>
  <c r="E1586" i="1" s="1"/>
  <c r="J1586" i="1" l="1"/>
  <c r="G1586" i="1" s="1"/>
  <c r="F1586" i="1"/>
  <c r="H1586" i="1"/>
  <c r="I1586" i="1" l="1"/>
  <c r="E1587" i="1" s="1"/>
  <c r="J1587" i="1" l="1"/>
  <c r="G1587" i="1" s="1"/>
  <c r="H1587" i="1"/>
  <c r="F1587" i="1"/>
  <c r="I1587" i="1" l="1"/>
  <c r="E1588" i="1" s="1"/>
  <c r="J1588" i="1" l="1"/>
  <c r="G1588" i="1" s="1"/>
  <c r="H1588" i="1"/>
  <c r="F1588" i="1"/>
  <c r="I1588" i="1" l="1"/>
  <c r="E1589" i="1" s="1"/>
  <c r="H1589" i="1" l="1"/>
  <c r="J1589" i="1"/>
  <c r="G1589" i="1" s="1"/>
  <c r="F1589" i="1"/>
  <c r="I1589" i="1" l="1"/>
  <c r="E1590" i="1" s="1"/>
  <c r="H1590" i="1" l="1"/>
  <c r="J1590" i="1"/>
  <c r="G1590" i="1" s="1"/>
  <c r="F1590" i="1"/>
  <c r="I1590" i="1" l="1"/>
  <c r="E1591" i="1" s="1"/>
  <c r="J1591" i="1" l="1"/>
  <c r="G1591" i="1" s="1"/>
  <c r="H1591" i="1"/>
  <c r="F1591" i="1"/>
  <c r="I1591" i="1" l="1"/>
  <c r="E1592" i="1" s="1"/>
  <c r="J1592" i="1" l="1"/>
  <c r="G1592" i="1" s="1"/>
  <c r="H1592" i="1"/>
  <c r="F1592" i="1"/>
  <c r="I1592" i="1" l="1"/>
  <c r="E1593" i="1" s="1"/>
  <c r="H1593" i="1" l="1"/>
  <c r="J1593" i="1"/>
  <c r="G1593" i="1" s="1"/>
  <c r="F1593" i="1"/>
  <c r="I1593" i="1" l="1"/>
  <c r="E1594" i="1" s="1"/>
  <c r="J1594" i="1" l="1"/>
  <c r="G1594" i="1" s="1"/>
  <c r="H1594" i="1"/>
  <c r="F1594" i="1"/>
  <c r="I1594" i="1" l="1"/>
  <c r="E1595" i="1" s="1"/>
  <c r="J1595" i="1" l="1"/>
  <c r="G1595" i="1" s="1"/>
  <c r="H1595" i="1"/>
  <c r="F1595" i="1"/>
  <c r="I1595" i="1" l="1"/>
  <c r="E1596" i="1" s="1"/>
  <c r="J1596" i="1" l="1"/>
  <c r="G1596" i="1" s="1"/>
  <c r="H1596" i="1"/>
  <c r="F1596" i="1"/>
  <c r="I1596" i="1" l="1"/>
  <c r="E1597" i="1" s="1"/>
  <c r="H1597" i="1" l="1"/>
  <c r="J1597" i="1"/>
  <c r="G1597" i="1" s="1"/>
  <c r="F1597" i="1"/>
  <c r="I1597" i="1" l="1"/>
  <c r="E1598" i="1" s="1"/>
  <c r="H1598" i="1" l="1"/>
  <c r="J1598" i="1"/>
  <c r="G1598" i="1" s="1"/>
  <c r="F1598" i="1"/>
  <c r="I1598" i="1" l="1"/>
  <c r="E1599" i="1" s="1"/>
  <c r="H1599" i="1" l="1"/>
  <c r="J1599" i="1"/>
  <c r="G1599" i="1" s="1"/>
  <c r="F1599" i="1"/>
  <c r="I1599" i="1" l="1"/>
  <c r="E1600" i="1" s="1"/>
  <c r="H1600" i="1" l="1"/>
  <c r="J1600" i="1"/>
  <c r="G1600" i="1" s="1"/>
  <c r="F1600" i="1"/>
  <c r="I1600" i="1" l="1"/>
  <c r="E1601" i="1" s="1"/>
  <c r="H1601" i="1" l="1"/>
  <c r="F1601" i="1"/>
  <c r="J1601" i="1"/>
  <c r="G1601" i="1" s="1"/>
  <c r="I1601" i="1" l="1"/>
  <c r="E1602" i="1" s="1"/>
  <c r="H1602" i="1" l="1"/>
  <c r="J1602" i="1"/>
  <c r="G1602" i="1" s="1"/>
  <c r="F1602" i="1"/>
  <c r="I1602" i="1" l="1"/>
  <c r="E1603" i="1" s="1"/>
  <c r="J1603" i="1" l="1"/>
  <c r="G1603" i="1" s="1"/>
  <c r="F1603" i="1"/>
  <c r="H1603" i="1"/>
  <c r="I1603" i="1" l="1"/>
  <c r="E1604" i="1" s="1"/>
  <c r="J1604" i="1" l="1"/>
  <c r="G1604" i="1" s="1"/>
  <c r="F1604" i="1"/>
  <c r="H1604" i="1"/>
  <c r="I1604" i="1" l="1"/>
  <c r="E1605" i="1" s="1"/>
  <c r="H1605" i="1" l="1"/>
  <c r="J1605" i="1"/>
  <c r="G1605" i="1" s="1"/>
  <c r="F1605" i="1"/>
  <c r="I1605" i="1" l="1"/>
  <c r="E1606" i="1" s="1"/>
  <c r="H1606" i="1" l="1"/>
  <c r="J1606" i="1"/>
  <c r="G1606" i="1" s="1"/>
  <c r="F1606" i="1"/>
  <c r="I1606" i="1" l="1"/>
  <c r="E1607" i="1" s="1"/>
  <c r="H1607" i="1" l="1"/>
  <c r="J1607" i="1"/>
  <c r="G1607" i="1" s="1"/>
  <c r="F1607" i="1"/>
  <c r="I1607" i="1" l="1"/>
  <c r="E1608" i="1" s="1"/>
  <c r="H1608" i="1" l="1"/>
  <c r="F1608" i="1"/>
  <c r="J1608" i="1"/>
  <c r="G1608" i="1" s="1"/>
  <c r="I1608" i="1" l="1"/>
  <c r="E1609" i="1" s="1"/>
  <c r="H1609" i="1" l="1"/>
  <c r="F1609" i="1"/>
  <c r="J1609" i="1"/>
  <c r="G1609" i="1" s="1"/>
  <c r="I1609" i="1" l="1"/>
  <c r="E1610" i="1" s="1"/>
  <c r="H1610" i="1" l="1"/>
  <c r="J1610" i="1"/>
  <c r="G1610" i="1" s="1"/>
  <c r="F1610" i="1"/>
  <c r="I1610" i="1" l="1"/>
  <c r="E1611" i="1" s="1"/>
  <c r="J1611" i="1" l="1"/>
  <c r="G1611" i="1" s="1"/>
  <c r="F1611" i="1"/>
  <c r="H1611" i="1"/>
  <c r="I1611" i="1" l="1"/>
  <c r="E1612" i="1" s="1"/>
  <c r="J1612" i="1" l="1"/>
  <c r="G1612" i="1" s="1"/>
  <c r="H1612" i="1"/>
  <c r="F1612" i="1"/>
  <c r="I1612" i="1" l="1"/>
  <c r="E1613" i="1" s="1"/>
  <c r="H1613" i="1" l="1"/>
  <c r="J1613" i="1"/>
  <c r="G1613" i="1" s="1"/>
  <c r="F1613" i="1"/>
  <c r="I1613" i="1" l="1"/>
  <c r="E1614" i="1" s="1"/>
  <c r="H1614" i="1" l="1"/>
  <c r="J1614" i="1"/>
  <c r="G1614" i="1" s="1"/>
  <c r="F1614" i="1"/>
  <c r="I1614" i="1" l="1"/>
  <c r="E1615" i="1" s="1"/>
  <c r="H1615" i="1" l="1"/>
  <c r="F1615" i="1"/>
  <c r="J1615" i="1"/>
  <c r="G1615" i="1" s="1"/>
  <c r="I1615" i="1" l="1"/>
  <c r="E1616" i="1" s="1"/>
  <c r="H1616" i="1" l="1"/>
  <c r="F1616" i="1"/>
  <c r="J1616" i="1"/>
  <c r="G1616" i="1" s="1"/>
  <c r="I1616" i="1" l="1"/>
  <c r="E1617" i="1" s="1"/>
  <c r="J1617" i="1" l="1"/>
  <c r="G1617" i="1" s="1"/>
  <c r="H1617" i="1"/>
  <c r="F1617" i="1"/>
  <c r="I1617" i="1" l="1"/>
  <c r="E1618" i="1" s="1"/>
  <c r="H1618" i="1" l="1"/>
  <c r="F1618" i="1"/>
  <c r="J1618" i="1"/>
  <c r="G1618" i="1" s="1"/>
  <c r="I1618" i="1" l="1"/>
  <c r="E1619" i="1" s="1"/>
  <c r="J1619" i="1" l="1"/>
  <c r="G1619" i="1" s="1"/>
  <c r="F1619" i="1"/>
  <c r="H1619" i="1"/>
  <c r="I1619" i="1" l="1"/>
  <c r="E1620" i="1" s="1"/>
  <c r="H1620" i="1" l="1"/>
  <c r="J1620" i="1"/>
  <c r="G1620" i="1" s="1"/>
  <c r="F1620" i="1"/>
  <c r="I1620" i="1" l="1"/>
  <c r="E1621" i="1" s="1"/>
  <c r="H1621" i="1" l="1"/>
  <c r="J1621" i="1"/>
  <c r="G1621" i="1" s="1"/>
  <c r="F1621" i="1"/>
  <c r="I1621" i="1" l="1"/>
  <c r="E1622" i="1" s="1"/>
  <c r="H1622" i="1" l="1"/>
  <c r="F1622" i="1"/>
  <c r="J1622" i="1"/>
  <c r="G1622" i="1" s="1"/>
  <c r="I1622" i="1" l="1"/>
  <c r="E1623" i="1" s="1"/>
  <c r="H1623" i="1" l="1"/>
  <c r="J1623" i="1"/>
  <c r="G1623" i="1" s="1"/>
  <c r="F1623" i="1"/>
  <c r="I1623" i="1" l="1"/>
  <c r="E1624" i="1" s="1"/>
  <c r="H1624" i="1" l="1"/>
  <c r="J1624" i="1"/>
  <c r="G1624" i="1" s="1"/>
  <c r="F1624" i="1"/>
  <c r="I1624" i="1" l="1"/>
  <c r="E1625" i="1" s="1"/>
  <c r="H1625" i="1" l="1"/>
  <c r="J1625" i="1"/>
  <c r="G1625" i="1" s="1"/>
  <c r="F1625" i="1"/>
  <c r="I1625" i="1" l="1"/>
  <c r="E1626" i="1" s="1"/>
  <c r="H1626" i="1" l="1"/>
  <c r="J1626" i="1"/>
  <c r="G1626" i="1" s="1"/>
  <c r="F1626" i="1"/>
  <c r="I1626" i="1" l="1"/>
  <c r="E1627" i="1" s="1"/>
  <c r="J1627" i="1" l="1"/>
  <c r="G1627" i="1" s="1"/>
  <c r="H1627" i="1"/>
  <c r="F1627" i="1"/>
  <c r="I1627" i="1" l="1"/>
  <c r="E1628" i="1" s="1"/>
  <c r="J1628" i="1" l="1"/>
  <c r="G1628" i="1" s="1"/>
  <c r="H1628" i="1"/>
  <c r="F1628" i="1"/>
  <c r="I1628" i="1" l="1"/>
  <c r="E1629" i="1" s="1"/>
  <c r="H1629" i="1" l="1"/>
  <c r="J1629" i="1"/>
  <c r="G1629" i="1" s="1"/>
  <c r="F1629" i="1"/>
  <c r="I1629" i="1" l="1"/>
  <c r="E1630" i="1" s="1"/>
  <c r="J1630" i="1" l="1"/>
  <c r="G1630" i="1" s="1"/>
  <c r="F1630" i="1"/>
  <c r="H1630" i="1"/>
  <c r="I1630" i="1" l="1"/>
  <c r="E1631" i="1" s="1"/>
  <c r="H1631" i="1" l="1"/>
  <c r="J1631" i="1"/>
  <c r="G1631" i="1" s="1"/>
  <c r="F1631" i="1"/>
  <c r="I1631" i="1" l="1"/>
  <c r="E1632" i="1" s="1"/>
  <c r="H1632" i="1" l="1"/>
  <c r="J1632" i="1"/>
  <c r="G1632" i="1" s="1"/>
  <c r="F1632" i="1"/>
  <c r="I1632" i="1" l="1"/>
  <c r="E1633" i="1" s="1"/>
  <c r="H1633" i="1" l="1"/>
  <c r="F1633" i="1"/>
  <c r="J1633" i="1"/>
  <c r="G1633" i="1" s="1"/>
  <c r="I1633" i="1" l="1"/>
  <c r="E1634" i="1" s="1"/>
  <c r="H1634" i="1" l="1"/>
  <c r="J1634" i="1"/>
  <c r="G1634" i="1" s="1"/>
  <c r="F1634" i="1"/>
  <c r="I1634" i="1" l="1"/>
  <c r="E1635" i="1" s="1"/>
  <c r="J1635" i="1" l="1"/>
  <c r="G1635" i="1" s="1"/>
  <c r="H1635" i="1"/>
  <c r="F1635" i="1"/>
  <c r="I1635" i="1" l="1"/>
  <c r="E1636" i="1" s="1"/>
  <c r="J1636" i="1" l="1"/>
  <c r="G1636" i="1" s="1"/>
  <c r="H1636" i="1"/>
  <c r="F1636" i="1"/>
  <c r="I1636" i="1" l="1"/>
  <c r="E1637" i="1" s="1"/>
  <c r="H1637" i="1" l="1"/>
  <c r="J1637" i="1"/>
  <c r="G1637" i="1" s="1"/>
  <c r="F1637" i="1"/>
  <c r="I1637" i="1" l="1"/>
  <c r="E1638" i="1" s="1"/>
  <c r="H1638" i="1" l="1"/>
  <c r="F1638" i="1"/>
  <c r="J1638" i="1"/>
  <c r="G1638" i="1" s="1"/>
  <c r="I1638" i="1" l="1"/>
  <c r="E1639" i="1" s="1"/>
  <c r="H1639" i="1" l="1"/>
  <c r="F1639" i="1"/>
  <c r="J1639" i="1"/>
  <c r="G1639" i="1" s="1"/>
  <c r="I1639" i="1" l="1"/>
  <c r="E1640" i="1" s="1"/>
  <c r="H1640" i="1" l="1"/>
  <c r="F1640" i="1"/>
  <c r="J1640" i="1"/>
  <c r="G1640" i="1" s="1"/>
  <c r="I1640" i="1" l="1"/>
  <c r="E1641" i="1" s="1"/>
  <c r="H1641" i="1" l="1"/>
  <c r="J1641" i="1"/>
  <c r="G1641" i="1" s="1"/>
  <c r="F1641" i="1"/>
  <c r="I1641" i="1" l="1"/>
  <c r="E1642" i="1" s="1"/>
  <c r="J1642" i="1" l="1"/>
  <c r="G1642" i="1" s="1"/>
  <c r="F1642" i="1"/>
  <c r="H1642" i="1"/>
  <c r="I1642" i="1" l="1"/>
  <c r="E1643" i="1" s="1"/>
  <c r="J1643" i="1" l="1"/>
  <c r="G1643" i="1" s="1"/>
  <c r="F1643" i="1"/>
  <c r="H1643" i="1"/>
  <c r="I1643" i="1" l="1"/>
  <c r="E1644" i="1" s="1"/>
  <c r="J1644" i="1" l="1"/>
  <c r="G1644" i="1" s="1"/>
  <c r="H1644" i="1"/>
  <c r="F1644" i="1"/>
  <c r="I1644" i="1" l="1"/>
  <c r="E1645" i="1" s="1"/>
  <c r="J1645" i="1" l="1"/>
  <c r="G1645" i="1" s="1"/>
  <c r="F1645" i="1"/>
  <c r="H1645" i="1"/>
  <c r="I1645" i="1" l="1"/>
  <c r="E1646" i="1" s="1"/>
  <c r="F1646" i="1" l="1"/>
  <c r="H1646" i="1"/>
  <c r="J1646" i="1"/>
  <c r="G1646" i="1" s="1"/>
  <c r="I1646" i="1" l="1"/>
  <c r="E1647" i="1" s="1"/>
  <c r="F1647" i="1" l="1"/>
  <c r="H1647" i="1"/>
  <c r="J1647" i="1"/>
  <c r="G1647" i="1" s="1"/>
  <c r="I1647" i="1" l="1"/>
  <c r="E1648" i="1" s="1"/>
  <c r="H1648" i="1" l="1"/>
  <c r="J1648" i="1"/>
  <c r="G1648" i="1" s="1"/>
  <c r="F1648" i="1"/>
  <c r="I1648" i="1" l="1"/>
  <c r="E1649" i="1" s="1"/>
  <c r="H1649" i="1" l="1"/>
  <c r="F1649" i="1"/>
  <c r="J1649" i="1"/>
  <c r="G1649" i="1" s="1"/>
  <c r="I1649" i="1" l="1"/>
  <c r="E1650" i="1" s="1"/>
  <c r="H1650" i="1" l="1"/>
  <c r="J1650" i="1"/>
  <c r="G1650" i="1" s="1"/>
  <c r="F1650" i="1"/>
  <c r="I1650" i="1" l="1"/>
  <c r="E1651" i="1" s="1"/>
  <c r="J1651" i="1" l="1"/>
  <c r="G1651" i="1" s="1"/>
  <c r="H1651" i="1"/>
  <c r="F1651" i="1"/>
  <c r="I1651" i="1" l="1"/>
  <c r="E1652" i="1" s="1"/>
  <c r="H1652" i="1" l="1"/>
  <c r="I1652" i="1" s="1"/>
  <c r="E1653" i="1" s="1"/>
  <c r="J1652" i="1"/>
  <c r="G1652" i="1" s="1"/>
  <c r="F1652" i="1"/>
  <c r="H1653" i="1" l="1"/>
  <c r="J1653" i="1"/>
  <c r="G1653" i="1" s="1"/>
  <c r="F1653" i="1"/>
  <c r="I1653" i="1" l="1"/>
  <c r="E1654" i="1" s="1"/>
  <c r="H1654" i="1" l="1"/>
  <c r="F1654" i="1"/>
  <c r="J1654" i="1"/>
  <c r="G1654" i="1" s="1"/>
  <c r="I1654" i="1" l="1"/>
  <c r="E1655" i="1" s="1"/>
  <c r="H1655" i="1" l="1"/>
  <c r="F1655" i="1"/>
  <c r="J1655" i="1"/>
  <c r="G1655" i="1" s="1"/>
  <c r="I1655" i="1" l="1"/>
  <c r="E1656" i="1" s="1"/>
  <c r="H1656" i="1" l="1"/>
  <c r="J1656" i="1"/>
  <c r="G1656" i="1" s="1"/>
  <c r="F1656" i="1"/>
  <c r="I1656" i="1" l="1"/>
  <c r="E1657" i="1" s="1"/>
  <c r="H1657" i="1" l="1"/>
  <c r="F1657" i="1"/>
  <c r="J1657" i="1"/>
  <c r="G1657" i="1" s="1"/>
  <c r="I1657" i="1" l="1"/>
  <c r="E1658" i="1" s="1"/>
  <c r="H1658" i="1" l="1"/>
  <c r="F1658" i="1"/>
  <c r="J1658" i="1"/>
  <c r="G1658" i="1" s="1"/>
  <c r="I1658" i="1" l="1"/>
  <c r="E1659" i="1" s="1"/>
  <c r="J1659" i="1" l="1"/>
  <c r="G1659" i="1" s="1"/>
  <c r="F1659" i="1"/>
  <c r="H1659" i="1"/>
  <c r="I1659" i="1" l="1"/>
  <c r="E1660" i="1" s="1"/>
  <c r="J1660" i="1" l="1"/>
  <c r="G1660" i="1" s="1"/>
  <c r="F1660" i="1"/>
  <c r="H1660" i="1"/>
  <c r="I1660" i="1" l="1"/>
  <c r="E1661" i="1" s="1"/>
  <c r="H1661" i="1" l="1"/>
  <c r="F1661" i="1"/>
  <c r="J1661" i="1"/>
  <c r="G1661" i="1" s="1"/>
  <c r="I1661" i="1" l="1"/>
  <c r="E1662" i="1" s="1"/>
  <c r="H1662" i="1" l="1"/>
  <c r="J1662" i="1"/>
  <c r="G1662" i="1" s="1"/>
  <c r="F1662" i="1"/>
  <c r="I1662" i="1" l="1"/>
  <c r="E1663" i="1" s="1"/>
  <c r="H1663" i="1" l="1"/>
  <c r="J1663" i="1"/>
  <c r="G1663" i="1" s="1"/>
  <c r="F1663" i="1"/>
  <c r="I1663" i="1" l="1"/>
  <c r="E1664" i="1" s="1"/>
  <c r="H1664" i="1" l="1"/>
  <c r="F1664" i="1"/>
  <c r="J1664" i="1"/>
  <c r="G1664" i="1" s="1"/>
  <c r="I1664" i="1" l="1"/>
  <c r="E1665" i="1" s="1"/>
  <c r="H1665" i="1" l="1"/>
  <c r="F1665" i="1"/>
  <c r="J1665" i="1"/>
  <c r="G1665" i="1" s="1"/>
  <c r="I1665" i="1" l="1"/>
  <c r="E1666" i="1" s="1"/>
  <c r="H1666" i="1" l="1"/>
  <c r="F1666" i="1"/>
  <c r="J1666" i="1"/>
  <c r="G1666" i="1" s="1"/>
  <c r="I1666" i="1" l="1"/>
  <c r="E1667" i="1" s="1"/>
  <c r="J1667" i="1" l="1"/>
  <c r="G1667" i="1" s="1"/>
  <c r="H1667" i="1"/>
  <c r="F1667" i="1"/>
  <c r="I1667" i="1" l="1"/>
  <c r="E1668" i="1" s="1"/>
  <c r="J1668" i="1" l="1"/>
  <c r="G1668" i="1" s="1"/>
  <c r="H1668" i="1"/>
  <c r="F1668" i="1"/>
  <c r="I1668" i="1" l="1"/>
  <c r="E1669" i="1" s="1"/>
  <c r="H1669" i="1" l="1"/>
  <c r="F1669" i="1"/>
  <c r="J1669" i="1"/>
  <c r="G1669" i="1" s="1"/>
  <c r="I1669" i="1" l="1"/>
  <c r="E1670" i="1" s="1"/>
  <c r="H1670" i="1" l="1"/>
  <c r="F1670" i="1"/>
  <c r="J1670" i="1"/>
  <c r="G1670" i="1" s="1"/>
  <c r="I1670" i="1" l="1"/>
  <c r="E1671" i="1" s="1"/>
  <c r="H1671" i="1" l="1"/>
  <c r="J1671" i="1"/>
  <c r="G1671" i="1" s="1"/>
  <c r="F1671" i="1"/>
  <c r="I1671" i="1" l="1"/>
  <c r="E1672" i="1" s="1"/>
  <c r="H1672" i="1" l="1"/>
  <c r="F1672" i="1"/>
  <c r="J1672" i="1"/>
  <c r="G1672" i="1" s="1"/>
  <c r="I1672" i="1" l="1"/>
  <c r="E1673" i="1" s="1"/>
  <c r="J1673" i="1" l="1"/>
  <c r="G1673" i="1" s="1"/>
  <c r="H1673" i="1"/>
  <c r="F1673" i="1"/>
  <c r="I1673" i="1" l="1"/>
  <c r="E1674" i="1" s="1"/>
  <c r="H1674" i="1" l="1"/>
  <c r="F1674" i="1"/>
  <c r="J1674" i="1"/>
  <c r="G1674" i="1" s="1"/>
  <c r="I1674" i="1" l="1"/>
  <c r="E1675" i="1" s="1"/>
  <c r="J1675" i="1" l="1"/>
  <c r="G1675" i="1" s="1"/>
  <c r="H1675" i="1"/>
  <c r="F1675" i="1"/>
  <c r="I1675" i="1" l="1"/>
  <c r="E1676" i="1" s="1"/>
  <c r="J1676" i="1" l="1"/>
  <c r="G1676" i="1" s="1"/>
  <c r="H1676" i="1"/>
  <c r="F1676" i="1"/>
  <c r="I1676" i="1" l="1"/>
  <c r="E1677" i="1" s="1"/>
  <c r="H1677" i="1" l="1"/>
  <c r="J1677" i="1"/>
  <c r="G1677" i="1" s="1"/>
  <c r="F1677" i="1"/>
  <c r="I1677" i="1" l="1"/>
  <c r="E1678" i="1" s="1"/>
  <c r="H1678" i="1" l="1"/>
  <c r="J1678" i="1"/>
  <c r="G1678" i="1" s="1"/>
  <c r="F1678" i="1"/>
  <c r="I1678" i="1" l="1"/>
  <c r="E1679" i="1" s="1"/>
  <c r="H1679" i="1" l="1"/>
  <c r="J1679" i="1"/>
  <c r="G1679" i="1" s="1"/>
  <c r="F1679" i="1"/>
  <c r="I1679" i="1" l="1"/>
  <c r="E1680" i="1" s="1"/>
  <c r="H1680" i="1" l="1"/>
  <c r="J1680" i="1"/>
  <c r="G1680" i="1" s="1"/>
  <c r="F1680" i="1"/>
  <c r="I1680" i="1" l="1"/>
  <c r="E1681" i="1" s="1"/>
  <c r="F1681" i="1" l="1"/>
  <c r="H1681" i="1"/>
  <c r="J1681" i="1"/>
  <c r="G1681" i="1" s="1"/>
  <c r="I1681" i="1" l="1"/>
  <c r="E1682" i="1" s="1"/>
  <c r="H1682" i="1" l="1"/>
  <c r="J1682" i="1"/>
  <c r="G1682" i="1" s="1"/>
  <c r="F1682" i="1"/>
  <c r="I1682" i="1" l="1"/>
  <c r="E1683" i="1" s="1"/>
  <c r="J1683" i="1" l="1"/>
  <c r="G1683" i="1" s="1"/>
  <c r="H1683" i="1"/>
  <c r="F1683" i="1"/>
  <c r="I1683" i="1" l="1"/>
  <c r="E1684" i="1" s="1"/>
  <c r="J1684" i="1" l="1"/>
  <c r="G1684" i="1" s="1"/>
  <c r="H1684" i="1"/>
  <c r="F1684" i="1"/>
  <c r="I1684" i="1" l="1"/>
  <c r="E1685" i="1" s="1"/>
  <c r="J1685" i="1" l="1"/>
  <c r="G1685" i="1" s="1"/>
  <c r="H1685" i="1"/>
  <c r="F1685" i="1"/>
  <c r="I1685" i="1" l="1"/>
  <c r="E1686" i="1" s="1"/>
  <c r="H1686" i="1" l="1"/>
  <c r="J1686" i="1"/>
  <c r="G1686" i="1" s="1"/>
  <c r="F1686" i="1"/>
  <c r="I1686" i="1" l="1"/>
  <c r="E1687" i="1" s="1"/>
  <c r="H1687" i="1" l="1"/>
  <c r="F1687" i="1"/>
  <c r="J1687" i="1"/>
  <c r="G1687" i="1" s="1"/>
  <c r="I1687" i="1" l="1"/>
  <c r="E1688" i="1" s="1"/>
  <c r="H1688" i="1" l="1"/>
  <c r="J1688" i="1"/>
  <c r="G1688" i="1" s="1"/>
  <c r="F1688" i="1"/>
  <c r="I1688" i="1" l="1"/>
  <c r="E1689" i="1" s="1"/>
  <c r="J1689" i="1" l="1"/>
  <c r="G1689" i="1" s="1"/>
  <c r="H1689" i="1"/>
  <c r="F1689" i="1"/>
  <c r="I1689" i="1" l="1"/>
  <c r="E1690" i="1" s="1"/>
  <c r="H1690" i="1" l="1"/>
  <c r="J1690" i="1"/>
  <c r="G1690" i="1" s="1"/>
  <c r="F1690" i="1"/>
  <c r="I1690" i="1" l="1"/>
  <c r="E1691" i="1" s="1"/>
  <c r="H1691" i="1" l="1"/>
  <c r="J1691" i="1"/>
  <c r="G1691" i="1" s="1"/>
  <c r="F1691" i="1"/>
  <c r="I1691" i="1" l="1"/>
  <c r="E1692" i="1" s="1"/>
  <c r="H1692" i="1" l="1"/>
  <c r="J1692" i="1"/>
  <c r="G1692" i="1" s="1"/>
  <c r="F1692" i="1"/>
  <c r="I1692" i="1" l="1"/>
  <c r="E1693" i="1" s="1"/>
  <c r="J1693" i="1" l="1"/>
  <c r="G1693" i="1" s="1"/>
  <c r="H1693" i="1"/>
  <c r="F1693" i="1"/>
  <c r="I1693" i="1" l="1"/>
  <c r="E1694" i="1" s="1"/>
  <c r="H1694" i="1" l="1"/>
  <c r="J1694" i="1"/>
  <c r="G1694" i="1" s="1"/>
  <c r="F1694" i="1"/>
  <c r="I1694" i="1" l="1"/>
  <c r="E1695" i="1" s="1"/>
  <c r="H1695" i="1" l="1"/>
  <c r="J1695" i="1"/>
  <c r="G1695" i="1" s="1"/>
  <c r="F1695" i="1"/>
  <c r="I1695" i="1" l="1"/>
  <c r="E1696" i="1" s="1"/>
  <c r="J1696" i="1" l="1"/>
  <c r="G1696" i="1" s="1"/>
  <c r="H1696" i="1"/>
  <c r="F1696" i="1"/>
  <c r="I1696" i="1" l="1"/>
  <c r="E1697" i="1" s="1"/>
  <c r="J1697" i="1" l="1"/>
  <c r="G1697" i="1" s="1"/>
  <c r="H1697" i="1"/>
  <c r="F1697" i="1"/>
  <c r="I1697" i="1" l="1"/>
  <c r="E1698" i="1" s="1"/>
  <c r="H1698" i="1" l="1"/>
  <c r="J1698" i="1"/>
  <c r="G1698" i="1" s="1"/>
  <c r="F1698" i="1"/>
  <c r="I1698" i="1" l="1"/>
  <c r="E1699" i="1" s="1"/>
  <c r="H1699" i="1" l="1"/>
  <c r="J1699" i="1"/>
  <c r="G1699" i="1" s="1"/>
  <c r="F1699" i="1"/>
  <c r="I1699" i="1" l="1"/>
  <c r="E1700" i="1" s="1"/>
  <c r="H1700" i="1" l="1"/>
  <c r="F1700" i="1"/>
  <c r="J1700" i="1"/>
  <c r="G1700" i="1" s="1"/>
  <c r="I1700" i="1" l="1"/>
  <c r="E1701" i="1" s="1"/>
  <c r="J1701" i="1" l="1"/>
  <c r="G1701" i="1" s="1"/>
  <c r="H1701" i="1"/>
  <c r="F1701" i="1"/>
  <c r="I1701" i="1" l="1"/>
  <c r="E1702" i="1" s="1"/>
  <c r="H1702" i="1" l="1"/>
  <c r="J1702" i="1"/>
  <c r="G1702" i="1" s="1"/>
  <c r="F1702" i="1"/>
  <c r="I1702" i="1" l="1"/>
  <c r="E1703" i="1" s="1"/>
  <c r="H1703" i="1" l="1"/>
  <c r="J1703" i="1"/>
  <c r="G1703" i="1" s="1"/>
  <c r="F1703" i="1"/>
  <c r="I1703" i="1" l="1"/>
  <c r="E1704" i="1" s="1"/>
  <c r="J1704" i="1" l="1"/>
  <c r="G1704" i="1" s="1"/>
  <c r="H1704" i="1"/>
  <c r="F1704" i="1"/>
  <c r="I1704" i="1" l="1"/>
  <c r="E1705" i="1" s="1"/>
  <c r="H1705" i="1" l="1"/>
  <c r="F1705" i="1"/>
  <c r="J1705" i="1"/>
  <c r="G1705" i="1" s="1"/>
  <c r="I1705" i="1" l="1"/>
  <c r="E1706" i="1" s="1"/>
  <c r="H1706" i="1" l="1"/>
  <c r="J1706" i="1"/>
  <c r="G1706" i="1" s="1"/>
  <c r="F1706" i="1"/>
  <c r="I1706" i="1" l="1"/>
  <c r="E1707" i="1" s="1"/>
  <c r="H1707" i="1" l="1"/>
  <c r="F1707" i="1"/>
  <c r="J1707" i="1"/>
  <c r="G1707" i="1" s="1"/>
  <c r="I1707" i="1" l="1"/>
  <c r="E1708" i="1" s="1"/>
  <c r="H1708" i="1" l="1"/>
  <c r="J1708" i="1"/>
  <c r="G1708" i="1" s="1"/>
  <c r="F1708" i="1"/>
  <c r="I1708" i="1" l="1"/>
  <c r="E1709" i="1" s="1"/>
  <c r="H1709" i="1" l="1"/>
  <c r="J1709" i="1"/>
  <c r="G1709" i="1" s="1"/>
  <c r="F1709" i="1"/>
  <c r="I1709" i="1" l="1"/>
  <c r="E1710" i="1" s="1"/>
  <c r="H1710" i="1" l="1"/>
  <c r="J1710" i="1"/>
  <c r="G1710" i="1" s="1"/>
  <c r="F1710" i="1"/>
  <c r="I1710" i="1" l="1"/>
  <c r="E1711" i="1" s="1"/>
  <c r="F1711" i="1" l="1"/>
  <c r="H1711" i="1"/>
  <c r="J1711" i="1"/>
  <c r="G1711" i="1" s="1"/>
  <c r="I1711" i="1" l="1"/>
  <c r="E1712" i="1" s="1"/>
  <c r="J1712" i="1" l="1"/>
  <c r="G1712" i="1" s="1"/>
  <c r="H1712" i="1"/>
  <c r="F1712" i="1"/>
  <c r="I1712" i="1" l="1"/>
  <c r="E1713" i="1" s="1"/>
  <c r="J1713" i="1" l="1"/>
  <c r="G1713" i="1" s="1"/>
  <c r="H1713" i="1"/>
  <c r="F1713" i="1"/>
  <c r="I1713" i="1" l="1"/>
  <c r="E1714" i="1" s="1"/>
  <c r="J1714" i="1" l="1"/>
  <c r="G1714" i="1" s="1"/>
  <c r="F1714" i="1"/>
  <c r="H1714" i="1"/>
  <c r="I1714" i="1" l="1"/>
  <c r="E1715" i="1" s="1"/>
  <c r="H1715" i="1" l="1"/>
  <c r="J1715" i="1"/>
  <c r="G1715" i="1" s="1"/>
  <c r="F1715" i="1"/>
  <c r="I1715" i="1" l="1"/>
  <c r="E1716" i="1" s="1"/>
  <c r="H1716" i="1" l="1"/>
  <c r="F1716" i="1"/>
  <c r="J1716" i="1"/>
  <c r="G1716" i="1" s="1"/>
  <c r="I1716" i="1" l="1"/>
  <c r="E1717" i="1" s="1"/>
  <c r="H1717" i="1" l="1"/>
  <c r="J1717" i="1"/>
  <c r="G1717" i="1" s="1"/>
  <c r="F1717" i="1"/>
  <c r="I1717" i="1" l="1"/>
  <c r="E1718" i="1" s="1"/>
  <c r="H1718" i="1" l="1"/>
  <c r="J1718" i="1"/>
  <c r="G1718" i="1" s="1"/>
  <c r="F1718" i="1"/>
  <c r="I1718" i="1" l="1"/>
  <c r="E1719" i="1" s="1"/>
  <c r="H1719" i="1" l="1"/>
  <c r="J1719" i="1"/>
  <c r="G1719" i="1" s="1"/>
  <c r="F1719" i="1"/>
  <c r="I1719" i="1" l="1"/>
  <c r="E1720" i="1" s="1"/>
  <c r="J1720" i="1" l="1"/>
  <c r="G1720" i="1" s="1"/>
  <c r="H1720" i="1"/>
  <c r="F1720" i="1"/>
  <c r="I1720" i="1" l="1"/>
  <c r="E1721" i="1" s="1"/>
  <c r="J1721" i="1" l="1"/>
  <c r="G1721" i="1" s="1"/>
  <c r="H1721" i="1"/>
  <c r="F1721" i="1"/>
  <c r="I1721" i="1" l="1"/>
  <c r="E1722" i="1" s="1"/>
  <c r="H1722" i="1" l="1"/>
  <c r="J1722" i="1"/>
  <c r="G1722" i="1" s="1"/>
  <c r="F1722" i="1"/>
  <c r="I1722" i="1" l="1"/>
  <c r="E1723" i="1" s="1"/>
  <c r="H1723" i="1" l="1"/>
  <c r="F1723" i="1"/>
  <c r="J1723" i="1"/>
  <c r="G1723" i="1" s="1"/>
  <c r="I1723" i="1" l="1"/>
  <c r="E1724" i="1" s="1"/>
  <c r="H1724" i="1" l="1"/>
  <c r="J1724" i="1"/>
  <c r="G1724" i="1" s="1"/>
  <c r="F1724" i="1"/>
  <c r="I1724" i="1" l="1"/>
  <c r="E1725" i="1" s="1"/>
  <c r="H1725" i="1" l="1"/>
  <c r="J1725" i="1"/>
  <c r="G1725" i="1" s="1"/>
  <c r="F1725" i="1"/>
  <c r="I1725" i="1" l="1"/>
  <c r="E1726" i="1" s="1"/>
  <c r="H1726" i="1" l="1"/>
  <c r="J1726" i="1"/>
  <c r="G1726" i="1" s="1"/>
  <c r="F1726" i="1"/>
  <c r="I1726" i="1" l="1"/>
  <c r="E1727" i="1" s="1"/>
  <c r="J1727" i="1" l="1"/>
  <c r="G1727" i="1" s="1"/>
  <c r="F1727" i="1"/>
  <c r="H1727" i="1"/>
  <c r="I1727" i="1" l="1"/>
  <c r="E1728" i="1" s="1"/>
  <c r="J1728" i="1" l="1"/>
  <c r="G1728" i="1" s="1"/>
  <c r="F1728" i="1"/>
  <c r="H1728" i="1"/>
  <c r="I1728" i="1" l="1"/>
  <c r="E1729" i="1" s="1"/>
  <c r="J1729" i="1" l="1"/>
  <c r="G1729" i="1" s="1"/>
  <c r="F1729" i="1"/>
  <c r="H1729" i="1"/>
  <c r="I1729" i="1" l="1"/>
  <c r="E1730" i="1" s="1"/>
  <c r="H1730" i="1" l="1"/>
  <c r="F1730" i="1"/>
  <c r="J1730" i="1"/>
  <c r="G1730" i="1" s="1"/>
  <c r="I1730" i="1" l="1"/>
  <c r="E1731" i="1" s="1"/>
  <c r="J1731" i="1" l="1"/>
  <c r="G1731" i="1" s="1"/>
  <c r="H1731" i="1"/>
  <c r="F1731" i="1"/>
  <c r="I1731" i="1" l="1"/>
  <c r="E1732" i="1" s="1"/>
  <c r="J1732" i="1" l="1"/>
  <c r="G1732" i="1" s="1"/>
  <c r="H1732" i="1"/>
  <c r="F1732" i="1"/>
  <c r="I1732" i="1" l="1"/>
  <c r="E1733" i="1" s="1"/>
  <c r="H1733" i="1" l="1"/>
  <c r="F1733" i="1"/>
  <c r="J1733" i="1"/>
  <c r="G1733" i="1" s="1"/>
  <c r="I1733" i="1" l="1"/>
  <c r="E1734" i="1" s="1"/>
  <c r="H1734" i="1" l="1"/>
  <c r="F1734" i="1"/>
  <c r="J1734" i="1"/>
  <c r="G1734" i="1" s="1"/>
  <c r="I1734" i="1" l="1"/>
  <c r="E1735" i="1" s="1"/>
  <c r="H1735" i="1" l="1"/>
  <c r="J1735" i="1"/>
  <c r="G1735" i="1" s="1"/>
  <c r="F1735" i="1"/>
  <c r="I1735" i="1" l="1"/>
  <c r="E1736" i="1" s="1"/>
  <c r="J1736" i="1" l="1"/>
  <c r="G1736" i="1" s="1"/>
  <c r="F1736" i="1"/>
  <c r="H1736" i="1"/>
  <c r="I1736" i="1" l="1"/>
  <c r="E1737" i="1" s="1"/>
  <c r="J1737" i="1" l="1"/>
  <c r="G1737" i="1" s="1"/>
  <c r="F1737" i="1"/>
  <c r="H1737" i="1"/>
  <c r="I1737" i="1" l="1"/>
  <c r="E1738" i="1" s="1"/>
  <c r="H1738" i="1" l="1"/>
  <c r="F1738" i="1"/>
  <c r="J1738" i="1"/>
  <c r="G1738" i="1" s="1"/>
  <c r="I1738" i="1" l="1"/>
  <c r="E1739" i="1" s="1"/>
  <c r="J1739" i="1" l="1"/>
  <c r="G1739" i="1" s="1"/>
  <c r="H1739" i="1"/>
  <c r="F1739" i="1"/>
  <c r="I1739" i="1" l="1"/>
  <c r="E1740" i="1" s="1"/>
  <c r="H1740" i="1" l="1"/>
  <c r="F1740" i="1"/>
  <c r="J1740" i="1"/>
  <c r="G1740" i="1" s="1"/>
  <c r="I1740" i="1" l="1"/>
  <c r="E1741" i="1" s="1"/>
  <c r="H1741" i="1" l="1"/>
  <c r="J1741" i="1"/>
  <c r="G1741" i="1" s="1"/>
  <c r="F1741" i="1"/>
  <c r="I1741" i="1" l="1"/>
  <c r="E1742" i="1" s="1"/>
  <c r="H1742" i="1" l="1"/>
  <c r="F1742" i="1"/>
  <c r="J1742" i="1"/>
  <c r="G1742" i="1" s="1"/>
  <c r="I1742" i="1" l="1"/>
  <c r="E1743" i="1" s="1"/>
  <c r="H1743" i="1" l="1"/>
  <c r="F1743" i="1"/>
  <c r="J1743" i="1"/>
  <c r="G1743" i="1" s="1"/>
  <c r="I1743" i="1" l="1"/>
  <c r="E1744" i="1" s="1"/>
  <c r="H1744" i="1" l="1"/>
  <c r="J1744" i="1"/>
  <c r="G1744" i="1" s="1"/>
  <c r="F1744" i="1"/>
  <c r="I1744" i="1" l="1"/>
  <c r="E1745" i="1" s="1"/>
  <c r="J1745" i="1" l="1"/>
  <c r="G1745" i="1" s="1"/>
  <c r="H1745" i="1"/>
  <c r="F1745" i="1"/>
  <c r="I1745" i="1" l="1"/>
  <c r="E1746" i="1" s="1"/>
  <c r="H1746" i="1" l="1"/>
  <c r="F1746" i="1"/>
  <c r="J1746" i="1"/>
  <c r="G1746" i="1" s="1"/>
  <c r="I1746" i="1" l="1"/>
  <c r="E1747" i="1" s="1"/>
  <c r="H1747" i="1" l="1"/>
  <c r="J1747" i="1"/>
  <c r="G1747" i="1" s="1"/>
  <c r="F1747" i="1"/>
  <c r="I1747" i="1" l="1"/>
  <c r="E1748" i="1" s="1"/>
  <c r="H1748" i="1" l="1"/>
  <c r="F1748" i="1"/>
  <c r="J1748" i="1"/>
  <c r="G1748" i="1" s="1"/>
  <c r="I1748" i="1" l="1"/>
  <c r="E1749" i="1" s="1"/>
  <c r="H1749" i="1" l="1"/>
  <c r="F1749" i="1"/>
  <c r="J1749" i="1"/>
  <c r="G1749" i="1" s="1"/>
  <c r="I1749" i="1" l="1"/>
  <c r="E1750" i="1" s="1"/>
  <c r="H1750" i="1" l="1"/>
  <c r="F1750" i="1"/>
  <c r="J1750" i="1"/>
  <c r="G1750" i="1" s="1"/>
  <c r="I1750" i="1" l="1"/>
  <c r="E1751" i="1" s="1"/>
  <c r="J1751" i="1" l="1"/>
  <c r="G1751" i="1" s="1"/>
  <c r="H1751" i="1"/>
  <c r="F1751" i="1"/>
  <c r="I1751" i="1" l="1"/>
  <c r="E1752" i="1" s="1"/>
  <c r="H1752" i="1" l="1"/>
  <c r="F1752" i="1"/>
  <c r="J1752" i="1"/>
  <c r="G1752" i="1" s="1"/>
  <c r="I1752" i="1" l="1"/>
  <c r="E1753" i="1" s="1"/>
  <c r="J1753" i="1" l="1"/>
  <c r="G1753" i="1" s="1"/>
  <c r="H1753" i="1"/>
  <c r="F1753" i="1"/>
  <c r="I1753" i="1" l="1"/>
  <c r="E1754" i="1" s="1"/>
  <c r="J1754" i="1" l="1"/>
  <c r="G1754" i="1" s="1"/>
  <c r="F1754" i="1"/>
  <c r="H1754" i="1"/>
  <c r="I1754" i="1" l="1"/>
  <c r="E1755" i="1" s="1"/>
  <c r="J1755" i="1" l="1"/>
  <c r="G1755" i="1" s="1"/>
  <c r="H1755" i="1"/>
  <c r="F1755" i="1"/>
  <c r="I1755" i="1" l="1"/>
  <c r="E1756" i="1" s="1"/>
  <c r="H1756" i="1" l="1"/>
  <c r="F1756" i="1"/>
  <c r="J1756" i="1"/>
  <c r="G1756" i="1" s="1"/>
  <c r="I1756" i="1" l="1"/>
  <c r="E1757" i="1" s="1"/>
  <c r="J1757" i="1" l="1"/>
  <c r="G1757" i="1" s="1"/>
  <c r="H1757" i="1"/>
  <c r="F1757" i="1"/>
  <c r="I1757" i="1" l="1"/>
  <c r="E1758" i="1" s="1"/>
  <c r="J1758" i="1" l="1"/>
  <c r="G1758" i="1" s="1"/>
  <c r="F1758" i="1"/>
  <c r="H1758" i="1"/>
  <c r="I1758" i="1" l="1"/>
  <c r="E1759" i="1" s="1"/>
  <c r="H1759" i="1" l="1"/>
  <c r="J1759" i="1"/>
  <c r="G1759" i="1" s="1"/>
  <c r="F1759" i="1"/>
  <c r="I1759" i="1" l="1"/>
  <c r="E1760" i="1" s="1"/>
  <c r="J1760" i="1" l="1"/>
  <c r="G1760" i="1" s="1"/>
  <c r="H1760" i="1"/>
  <c r="F1760" i="1"/>
  <c r="I1760" i="1" l="1"/>
  <c r="E1761" i="1" s="1"/>
  <c r="J1761" i="1" l="1"/>
  <c r="G1761" i="1" s="1"/>
  <c r="H1761" i="1"/>
  <c r="F1761" i="1"/>
  <c r="I1761" i="1" l="1"/>
  <c r="E1762" i="1" s="1"/>
  <c r="H1762" i="1" l="1"/>
  <c r="J1762" i="1"/>
  <c r="G1762" i="1" s="1"/>
  <c r="F1762" i="1"/>
  <c r="I1762" i="1" l="1"/>
  <c r="E1763" i="1" s="1"/>
  <c r="H1763" i="1" l="1"/>
  <c r="J1763" i="1"/>
  <c r="G1763" i="1" s="1"/>
  <c r="F1763" i="1"/>
  <c r="I1763" i="1" l="1"/>
  <c r="E1764" i="1" s="1"/>
  <c r="H1764" i="1" l="1"/>
  <c r="J1764" i="1"/>
  <c r="G1764" i="1" s="1"/>
  <c r="F1764" i="1"/>
  <c r="I1764" i="1" l="1"/>
  <c r="E1765" i="1" s="1"/>
  <c r="H1765" i="1" l="1"/>
  <c r="F1765" i="1"/>
  <c r="J1765" i="1"/>
  <c r="G1765" i="1" s="1"/>
  <c r="I1765" i="1" l="1"/>
  <c r="E1766" i="1" s="1"/>
  <c r="J1766" i="1" l="1"/>
  <c r="G1766" i="1" s="1"/>
  <c r="H1766" i="1"/>
  <c r="F1766" i="1"/>
  <c r="I1766" i="1" l="1"/>
  <c r="E1767" i="1" s="1"/>
  <c r="H1767" i="1" l="1"/>
  <c r="J1767" i="1"/>
  <c r="G1767" i="1" s="1"/>
  <c r="F1767" i="1"/>
  <c r="I1767" i="1" l="1"/>
  <c r="E1768" i="1" s="1"/>
  <c r="J1768" i="1" l="1"/>
  <c r="G1768" i="1" s="1"/>
  <c r="F1768" i="1"/>
  <c r="H1768" i="1"/>
  <c r="I1768" i="1" l="1"/>
  <c r="E1769" i="1" s="1"/>
  <c r="H1769" i="1" l="1"/>
  <c r="J1769" i="1"/>
  <c r="G1769" i="1" s="1"/>
  <c r="F1769" i="1"/>
  <c r="I1769" i="1" l="1"/>
  <c r="E1770" i="1" s="1"/>
  <c r="H1770" i="1" l="1"/>
  <c r="J1770" i="1"/>
  <c r="G1770" i="1" s="1"/>
  <c r="F1770" i="1"/>
  <c r="I1770" i="1" l="1"/>
  <c r="E1771" i="1" s="1"/>
  <c r="F1771" i="1" l="1"/>
  <c r="J1771" i="1"/>
  <c r="G1771" i="1" s="1"/>
  <c r="H1771" i="1"/>
  <c r="I1771" i="1" l="1"/>
  <c r="E1772" i="1" s="1"/>
  <c r="H1772" i="1" l="1"/>
  <c r="F1772" i="1"/>
  <c r="J1772" i="1"/>
  <c r="G1772" i="1" s="1"/>
  <c r="I1772" i="1" l="1"/>
  <c r="E1773" i="1" s="1"/>
  <c r="H1773" i="1" l="1"/>
  <c r="I1773" i="1" s="1"/>
  <c r="E1774" i="1" s="1"/>
  <c r="F1773" i="1"/>
  <c r="J1773" i="1"/>
  <c r="G1773" i="1" s="1"/>
  <c r="H1774" i="1" l="1"/>
  <c r="I1774" i="1" s="1"/>
  <c r="E1775" i="1" s="1"/>
  <c r="F1774" i="1"/>
  <c r="J1774" i="1"/>
  <c r="G1774" i="1" s="1"/>
  <c r="H1775" i="1" l="1"/>
  <c r="F1775" i="1"/>
  <c r="J1775" i="1"/>
  <c r="G1775" i="1" s="1"/>
  <c r="I1775" i="1" l="1"/>
  <c r="E1776" i="1" s="1"/>
  <c r="J1776" i="1" l="1"/>
  <c r="G1776" i="1" s="1"/>
  <c r="H1776" i="1"/>
  <c r="I1776" i="1" s="1"/>
  <c r="E1777" i="1" s="1"/>
  <c r="F1776" i="1"/>
  <c r="J1777" i="1" l="1"/>
  <c r="G1777" i="1" s="1"/>
  <c r="H1777" i="1"/>
  <c r="I1777" i="1" s="1"/>
  <c r="E1778" i="1" s="1"/>
  <c r="F1777" i="1"/>
  <c r="J1778" i="1" l="1"/>
  <c r="G1778" i="1" s="1"/>
  <c r="H1778" i="1"/>
  <c r="I1778" i="1" s="1"/>
  <c r="E1779" i="1" s="1"/>
  <c r="F1778" i="1"/>
  <c r="H1779" i="1" l="1"/>
  <c r="F1779" i="1"/>
  <c r="J1779" i="1"/>
  <c r="G1779" i="1" s="1"/>
  <c r="I1779" i="1" l="1"/>
  <c r="E1780" i="1" s="1"/>
  <c r="H1780" i="1" l="1"/>
  <c r="F1780" i="1"/>
  <c r="J1780" i="1"/>
  <c r="G1780" i="1" s="1"/>
  <c r="I1780" i="1" l="1"/>
  <c r="E1781" i="1" s="1"/>
  <c r="J1781" i="1" l="1"/>
  <c r="G1781" i="1" s="1"/>
  <c r="H1781" i="1"/>
  <c r="I1781" i="1" s="1"/>
  <c r="E1782" i="1" s="1"/>
  <c r="F1781" i="1"/>
  <c r="H1782" i="1" l="1"/>
  <c r="F1782" i="1"/>
  <c r="J1782" i="1"/>
  <c r="G1782" i="1" s="1"/>
  <c r="I1782" i="1" l="1"/>
  <c r="E1783" i="1" s="1"/>
  <c r="H1783" i="1" l="1"/>
  <c r="I1783" i="1" s="1"/>
  <c r="E1784" i="1" s="1"/>
  <c r="F1783" i="1"/>
  <c r="J1783" i="1"/>
  <c r="G1783" i="1" s="1"/>
  <c r="J1784" i="1" l="1"/>
  <c r="G1784" i="1" s="1"/>
  <c r="F1784" i="1"/>
  <c r="H1784" i="1"/>
  <c r="I1784" i="1" l="1"/>
  <c r="E1785" i="1" s="1"/>
  <c r="J1785" i="1" l="1"/>
  <c r="G1785" i="1" s="1"/>
  <c r="H1785" i="1"/>
  <c r="F1785" i="1"/>
  <c r="I1785" i="1" l="1"/>
  <c r="E1786" i="1" s="1"/>
  <c r="H1786" i="1" l="1"/>
  <c r="J1786" i="1"/>
  <c r="G1786" i="1" s="1"/>
  <c r="F1786" i="1"/>
  <c r="I1786" i="1" l="1"/>
  <c r="E1787" i="1" s="1"/>
  <c r="H1787" i="1" l="1"/>
  <c r="J1787" i="1"/>
  <c r="G1787" i="1" s="1"/>
  <c r="F1787" i="1"/>
  <c r="I1787" i="1" l="1"/>
  <c r="E1788" i="1" s="1"/>
  <c r="H1788" i="1" l="1"/>
  <c r="F1788" i="1"/>
  <c r="J1788" i="1"/>
  <c r="G1788" i="1" s="1"/>
  <c r="I1788" i="1" l="1"/>
  <c r="E1789" i="1" s="1"/>
  <c r="J1789" i="1" l="1"/>
  <c r="G1789" i="1" s="1"/>
  <c r="H1789" i="1"/>
  <c r="I1789" i="1" s="1"/>
  <c r="E1790" i="1" s="1"/>
  <c r="F1789" i="1"/>
  <c r="H1790" i="1" l="1"/>
  <c r="F1790" i="1"/>
  <c r="J1790" i="1"/>
  <c r="G1790" i="1" s="1"/>
  <c r="I1790" i="1" l="1"/>
  <c r="E1791" i="1" s="1"/>
  <c r="J1791" i="1" l="1"/>
  <c r="G1791" i="1" s="1"/>
  <c r="F1791" i="1"/>
  <c r="H1791" i="1"/>
  <c r="I1791" i="1" s="1"/>
  <c r="E1792" i="1" s="1"/>
  <c r="J1792" i="1" l="1"/>
  <c r="G1792" i="1" s="1"/>
  <c r="H1792" i="1"/>
  <c r="I1792" i="1" s="1"/>
  <c r="E1793" i="1" s="1"/>
  <c r="F1792" i="1"/>
  <c r="J1793" i="1" l="1"/>
  <c r="G1793" i="1" s="1"/>
  <c r="H1793" i="1"/>
  <c r="I1793" i="1" s="1"/>
  <c r="E1794" i="1" s="1"/>
  <c r="F1793" i="1"/>
  <c r="H1794" i="1" l="1"/>
  <c r="J1794" i="1"/>
  <c r="G1794" i="1" s="1"/>
  <c r="F1794" i="1"/>
  <c r="I1794" i="1" l="1"/>
  <c r="E1795" i="1" s="1"/>
  <c r="J1795" i="1" l="1"/>
  <c r="G1795" i="1" s="1"/>
  <c r="H1795" i="1"/>
  <c r="F1795" i="1"/>
  <c r="I1795" i="1" l="1"/>
  <c r="E1796" i="1" s="1"/>
  <c r="J1796" i="1" l="1"/>
  <c r="G1796" i="1" s="1"/>
  <c r="F1796" i="1"/>
  <c r="H1796" i="1"/>
  <c r="I1796" i="1" s="1"/>
  <c r="E1797" i="1" s="1"/>
  <c r="H1797" i="1" l="1"/>
  <c r="F1797" i="1"/>
  <c r="J1797" i="1"/>
  <c r="G1797" i="1" s="1"/>
  <c r="I1797" i="1" l="1"/>
  <c r="E1798" i="1" s="1"/>
  <c r="H1798" i="1" l="1"/>
  <c r="J1798" i="1"/>
  <c r="G1798" i="1" s="1"/>
  <c r="F1798" i="1"/>
  <c r="I1798" i="1" l="1"/>
  <c r="E1799" i="1" s="1"/>
  <c r="H1799" i="1" l="1"/>
  <c r="J1799" i="1"/>
  <c r="G1799" i="1" s="1"/>
  <c r="F1799" i="1"/>
  <c r="I1799" i="1" l="1"/>
  <c r="E1800" i="1" s="1"/>
  <c r="J1800" i="1" l="1"/>
  <c r="G1800" i="1" s="1"/>
  <c r="H1800" i="1"/>
  <c r="I1800" i="1" s="1"/>
  <c r="E1801" i="1" s="1"/>
  <c r="F1800" i="1"/>
  <c r="H1801" i="1" l="1"/>
  <c r="F1801" i="1"/>
  <c r="J1801" i="1"/>
  <c r="G1801" i="1" s="1"/>
  <c r="I1801" i="1" l="1"/>
  <c r="E1802" i="1" s="1"/>
  <c r="H1802" i="1" l="1"/>
  <c r="J1802" i="1"/>
  <c r="G1802" i="1" s="1"/>
  <c r="F1802" i="1"/>
  <c r="I1802" i="1" l="1"/>
  <c r="E1803" i="1" s="1"/>
  <c r="J1803" i="1" l="1"/>
  <c r="G1803" i="1" s="1"/>
  <c r="F1803" i="1"/>
  <c r="H1803" i="1"/>
  <c r="I1803" i="1" s="1"/>
  <c r="E1804" i="1" s="1"/>
  <c r="J1804" i="1" l="1"/>
  <c r="G1804" i="1" s="1"/>
  <c r="F1804" i="1"/>
  <c r="H1804" i="1"/>
  <c r="I1804" i="1" s="1"/>
  <c r="E1805" i="1" s="1"/>
  <c r="H1805" i="1" l="1"/>
  <c r="J1805" i="1"/>
  <c r="G1805" i="1" s="1"/>
  <c r="F1805" i="1"/>
  <c r="I1805" i="1" l="1"/>
  <c r="E1806" i="1" s="1"/>
  <c r="H1806" i="1" l="1"/>
  <c r="F1806" i="1"/>
  <c r="J1806" i="1"/>
  <c r="G1806" i="1" s="1"/>
  <c r="I1806" i="1" l="1"/>
  <c r="E1807" i="1" s="1"/>
  <c r="H1807" i="1" l="1"/>
  <c r="F1807" i="1"/>
  <c r="J1807" i="1"/>
  <c r="G1807" i="1" s="1"/>
  <c r="I1807" i="1" l="1"/>
  <c r="E1808" i="1" s="1"/>
  <c r="J1808" i="1" l="1"/>
  <c r="G1808" i="1" s="1"/>
  <c r="F1808" i="1"/>
  <c r="H1808" i="1"/>
  <c r="I1808" i="1" s="1"/>
  <c r="E1809" i="1" s="1"/>
  <c r="H1809" i="1" l="1"/>
  <c r="F1809" i="1"/>
  <c r="J1809" i="1"/>
  <c r="G1809" i="1" s="1"/>
  <c r="I1809" i="1" l="1"/>
  <c r="E1810" i="1" s="1"/>
  <c r="H1810" i="1" l="1"/>
  <c r="J1810" i="1"/>
  <c r="G1810" i="1" s="1"/>
  <c r="F1810" i="1"/>
  <c r="I1810" i="1" l="1"/>
  <c r="E1811" i="1" s="1"/>
  <c r="J1811" i="1" l="1"/>
  <c r="G1811" i="1" s="1"/>
  <c r="H1811" i="1"/>
  <c r="I1811" i="1" s="1"/>
  <c r="E1812" i="1" s="1"/>
  <c r="F1811" i="1"/>
  <c r="J1812" i="1" l="1"/>
  <c r="G1812" i="1" s="1"/>
  <c r="H1812" i="1"/>
  <c r="I1812" i="1" s="1"/>
  <c r="E1813" i="1" s="1"/>
  <c r="F1812" i="1"/>
  <c r="H1813" i="1" l="1"/>
  <c r="J1813" i="1"/>
  <c r="G1813" i="1" s="1"/>
  <c r="F1813" i="1"/>
  <c r="I1813" i="1" l="1"/>
  <c r="E1814" i="1" s="1"/>
  <c r="J1814" i="1" l="1"/>
  <c r="G1814" i="1" s="1"/>
  <c r="F1814" i="1"/>
  <c r="H1814" i="1"/>
  <c r="I1814" i="1" s="1"/>
  <c r="E1815" i="1" s="1"/>
  <c r="J1815" i="1" l="1"/>
  <c r="G1815" i="1" s="1"/>
  <c r="F1815" i="1"/>
  <c r="H1815" i="1"/>
  <c r="I1815" i="1" s="1"/>
  <c r="E1816" i="1" s="1"/>
  <c r="J1816" i="1" l="1"/>
  <c r="G1816" i="1" s="1"/>
  <c r="F1816" i="1"/>
  <c r="H1816" i="1"/>
  <c r="I1816" i="1" s="1"/>
  <c r="E1817" i="1" s="1"/>
  <c r="H1817" i="1" l="1"/>
  <c r="F1817" i="1"/>
  <c r="J1817" i="1"/>
  <c r="G1817" i="1" s="1"/>
  <c r="I1817" i="1" l="1"/>
  <c r="E1818" i="1" s="1"/>
  <c r="H1818" i="1" l="1"/>
  <c r="F1818" i="1"/>
  <c r="J1818" i="1"/>
  <c r="G1818" i="1" s="1"/>
  <c r="I1818" i="1" l="1"/>
  <c r="E1819" i="1" s="1"/>
  <c r="J1819" i="1" l="1"/>
  <c r="G1819" i="1" s="1"/>
  <c r="H1819" i="1"/>
  <c r="I1819" i="1" s="1"/>
  <c r="E1820" i="1" s="1"/>
  <c r="F1819" i="1"/>
  <c r="H1820" i="1" l="1"/>
  <c r="F1820" i="1"/>
  <c r="J1820" i="1"/>
  <c r="G1820" i="1" s="1"/>
  <c r="I1820" i="1" l="1"/>
  <c r="E1821" i="1" s="1"/>
  <c r="H1821" i="1" l="1"/>
  <c r="J1821" i="1"/>
  <c r="G1821" i="1" s="1"/>
  <c r="F1821" i="1"/>
  <c r="I1821" i="1" l="1"/>
  <c r="E1822" i="1" s="1"/>
  <c r="J1822" i="1" l="1"/>
  <c r="G1822" i="1" s="1"/>
  <c r="F1822" i="1"/>
  <c r="H1822" i="1"/>
  <c r="I1822" i="1" s="1"/>
  <c r="E1823" i="1" s="1"/>
  <c r="H1823" i="1" l="1"/>
  <c r="F1823" i="1"/>
  <c r="J1823" i="1"/>
  <c r="G1823" i="1" s="1"/>
  <c r="I1823" i="1" l="1"/>
  <c r="E1824" i="1" s="1"/>
  <c r="J1824" i="1" l="1"/>
  <c r="G1824" i="1" s="1"/>
  <c r="F1824" i="1"/>
  <c r="H1824" i="1"/>
  <c r="I1824" i="1" s="1"/>
  <c r="E1825" i="1" s="1"/>
  <c r="H1825" i="1" l="1"/>
  <c r="F1825" i="1"/>
  <c r="J1825" i="1"/>
  <c r="G1825" i="1" s="1"/>
  <c r="I1825" i="1" l="1"/>
  <c r="E1826" i="1" s="1"/>
  <c r="H1826" i="1" l="1"/>
  <c r="F1826" i="1"/>
  <c r="J1826" i="1"/>
  <c r="G1826" i="1" s="1"/>
  <c r="I1826" i="1" l="1"/>
  <c r="E1827" i="1" s="1"/>
  <c r="J1827" i="1" l="1"/>
  <c r="G1827" i="1" s="1"/>
  <c r="F1827" i="1"/>
  <c r="H1827" i="1"/>
  <c r="I1827" i="1" s="1"/>
  <c r="E1828" i="1" s="1"/>
  <c r="H1828" i="1" l="1"/>
  <c r="J1828" i="1"/>
  <c r="G1828" i="1" s="1"/>
  <c r="F1828" i="1"/>
  <c r="I1828" i="1" l="1"/>
  <c r="E1829" i="1" s="1"/>
  <c r="H1829" i="1" l="1"/>
  <c r="J1829" i="1"/>
  <c r="G1829" i="1" s="1"/>
  <c r="F1829" i="1"/>
  <c r="I1829" i="1" l="1"/>
  <c r="E1830" i="1" s="1"/>
  <c r="H1830" i="1" l="1"/>
  <c r="F1830" i="1"/>
  <c r="J1830" i="1"/>
  <c r="G1830" i="1" s="1"/>
  <c r="I1830" i="1" l="1"/>
  <c r="E1831" i="1" s="1"/>
  <c r="H1831" i="1" l="1"/>
  <c r="J1831" i="1"/>
  <c r="G1831" i="1" s="1"/>
  <c r="F1831" i="1"/>
  <c r="I1831" i="1" l="1"/>
  <c r="E1832" i="1" s="1"/>
  <c r="H1832" i="1" l="1"/>
  <c r="J1832" i="1"/>
  <c r="G1832" i="1" s="1"/>
  <c r="F1832" i="1"/>
  <c r="I1832" i="1" l="1"/>
  <c r="E1833" i="1" s="1"/>
  <c r="J1833" i="1" l="1"/>
  <c r="G1833" i="1" s="1"/>
  <c r="F1833" i="1"/>
  <c r="H1833" i="1"/>
  <c r="I1833" i="1" s="1"/>
  <c r="E1834" i="1" s="1"/>
  <c r="J1834" i="1" l="1"/>
  <c r="G1834" i="1" s="1"/>
  <c r="F1834" i="1"/>
  <c r="H1834" i="1"/>
  <c r="I1834" i="1" s="1"/>
  <c r="E1835" i="1" s="1"/>
  <c r="H1835" i="1" l="1"/>
  <c r="F1835" i="1"/>
  <c r="J1835" i="1"/>
  <c r="G1835" i="1" s="1"/>
  <c r="I1835" i="1" l="1"/>
  <c r="E1836" i="1" s="1"/>
  <c r="H1836" i="1" l="1"/>
  <c r="J1836" i="1"/>
  <c r="G1836" i="1" s="1"/>
  <c r="F1836" i="1"/>
  <c r="I1836" i="1" l="1"/>
  <c r="E1837" i="1" s="1"/>
  <c r="H1837" i="1" l="1"/>
  <c r="F1837" i="1"/>
  <c r="J1837" i="1"/>
  <c r="G1837" i="1" s="1"/>
  <c r="I1837" i="1" l="1"/>
  <c r="E1838" i="1" s="1"/>
  <c r="H1838" i="1" l="1"/>
  <c r="J1838" i="1"/>
  <c r="G1838" i="1" s="1"/>
  <c r="F1838" i="1"/>
  <c r="I1838" i="1" l="1"/>
  <c r="E1839" i="1" s="1"/>
  <c r="H1839" i="1" l="1"/>
  <c r="J1839" i="1"/>
  <c r="G1839" i="1" s="1"/>
  <c r="F1839" i="1"/>
  <c r="I1839" i="1" l="1"/>
  <c r="E1840" i="1" s="1"/>
  <c r="J1840" i="1" l="1"/>
  <c r="G1840" i="1" s="1"/>
  <c r="H1840" i="1"/>
  <c r="F1840" i="1"/>
  <c r="I1840" i="1" l="1"/>
  <c r="E1841" i="1" s="1"/>
  <c r="J1841" i="1" l="1"/>
  <c r="G1841" i="1" s="1"/>
  <c r="H1841" i="1"/>
  <c r="I1841" i="1" s="1"/>
  <c r="E1842" i="1" s="1"/>
  <c r="F1841" i="1"/>
  <c r="H1842" i="1" l="1"/>
  <c r="J1842" i="1"/>
  <c r="G1842" i="1" s="1"/>
  <c r="F1842" i="1"/>
  <c r="I1842" i="1" l="1"/>
  <c r="E1843" i="1" s="1"/>
  <c r="H1843" i="1" l="1"/>
  <c r="J1843" i="1"/>
  <c r="G1843" i="1" s="1"/>
  <c r="F1843" i="1"/>
  <c r="I1843" i="1" l="1"/>
  <c r="E1844" i="1" s="1"/>
  <c r="H1844" i="1" l="1"/>
  <c r="F1844" i="1"/>
  <c r="J1844" i="1"/>
  <c r="G1844" i="1" s="1"/>
  <c r="I1844" i="1" l="1"/>
  <c r="E1845" i="1" s="1"/>
  <c r="H1845" i="1" l="1"/>
  <c r="F1845" i="1"/>
  <c r="J1845" i="1"/>
  <c r="G1845" i="1" s="1"/>
  <c r="I1845" i="1" l="1"/>
  <c r="E1846" i="1" s="1"/>
  <c r="H1846" i="1" l="1"/>
  <c r="F1846" i="1"/>
  <c r="J1846" i="1"/>
  <c r="G1846" i="1" s="1"/>
  <c r="I1846" i="1" l="1"/>
  <c r="E1847" i="1" s="1"/>
  <c r="H1847" i="1" l="1"/>
  <c r="F1847" i="1"/>
  <c r="J1847" i="1"/>
  <c r="G1847" i="1" s="1"/>
  <c r="I1847" i="1" l="1"/>
  <c r="E1848" i="1" s="1"/>
  <c r="J1848" i="1" l="1"/>
  <c r="G1848" i="1" s="1"/>
  <c r="F1848" i="1"/>
  <c r="H1848" i="1"/>
  <c r="I1848" i="1" s="1"/>
  <c r="E1849" i="1" s="1"/>
  <c r="J1849" i="1" l="1"/>
  <c r="G1849" i="1" s="1"/>
  <c r="F1849" i="1"/>
  <c r="H1849" i="1"/>
  <c r="I1849" i="1" s="1"/>
  <c r="E1850" i="1" s="1"/>
  <c r="H1850" i="1" l="1"/>
  <c r="F1850" i="1"/>
  <c r="J1850" i="1"/>
  <c r="G1850" i="1" s="1"/>
  <c r="I1850" i="1" l="1"/>
  <c r="E1851" i="1" s="1"/>
  <c r="H1851" i="1" l="1"/>
  <c r="F1851" i="1"/>
  <c r="J1851" i="1"/>
  <c r="G1851" i="1" s="1"/>
  <c r="I1851" i="1" l="1"/>
  <c r="E1852" i="1" s="1"/>
  <c r="H1852" i="1" l="1"/>
  <c r="J1852" i="1"/>
  <c r="G1852" i="1" s="1"/>
  <c r="F1852" i="1"/>
  <c r="I1852" i="1" l="1"/>
  <c r="E1853" i="1" s="1"/>
  <c r="H1853" i="1" l="1"/>
  <c r="J1853" i="1"/>
  <c r="G1853" i="1" s="1"/>
  <c r="F1853" i="1"/>
  <c r="I1853" i="1" l="1"/>
  <c r="E1854" i="1" s="1"/>
  <c r="H1854" i="1" l="1"/>
  <c r="F1854" i="1"/>
  <c r="J1854" i="1"/>
  <c r="G1854" i="1" s="1"/>
  <c r="I1854" i="1" l="1"/>
  <c r="E1855" i="1" s="1"/>
  <c r="H1855" i="1" l="1"/>
  <c r="J1855" i="1"/>
  <c r="G1855" i="1" s="1"/>
  <c r="F1855" i="1"/>
  <c r="I1855" i="1" l="1"/>
  <c r="E1856" i="1" s="1"/>
  <c r="J1856" i="1" l="1"/>
  <c r="G1856" i="1" s="1"/>
  <c r="H1856" i="1"/>
  <c r="I1856" i="1" s="1"/>
  <c r="E1857" i="1" s="1"/>
  <c r="F1856" i="1"/>
  <c r="J1857" i="1" l="1"/>
  <c r="G1857" i="1" s="1"/>
  <c r="F1857" i="1"/>
  <c r="H1857" i="1"/>
  <c r="I1857" i="1" s="1"/>
  <c r="E1858" i="1" s="1"/>
  <c r="H1858" i="1" l="1"/>
  <c r="F1858" i="1"/>
  <c r="J1858" i="1"/>
  <c r="G1858" i="1" s="1"/>
  <c r="I1858" i="1" l="1"/>
  <c r="E1859" i="1" s="1"/>
  <c r="H1859" i="1" l="1"/>
  <c r="J1859" i="1"/>
  <c r="G1859" i="1" s="1"/>
  <c r="F1859" i="1"/>
  <c r="I1859" i="1" l="1"/>
  <c r="E1860" i="1" s="1"/>
  <c r="H1860" i="1" l="1"/>
  <c r="J1860" i="1"/>
  <c r="G1860" i="1" s="1"/>
  <c r="F1860" i="1"/>
  <c r="I1860" i="1" l="1"/>
  <c r="E1861" i="1" s="1"/>
  <c r="H1861" i="1" l="1"/>
  <c r="J1861" i="1"/>
  <c r="G1861" i="1" s="1"/>
  <c r="F1861" i="1"/>
  <c r="I1861" i="1" l="1"/>
  <c r="E1862" i="1" s="1"/>
  <c r="H1862" i="1" l="1"/>
  <c r="F1862" i="1"/>
  <c r="J1862" i="1"/>
  <c r="G1862" i="1" s="1"/>
  <c r="I1862" i="1" l="1"/>
  <c r="E1863" i="1" s="1"/>
  <c r="H1863" i="1" l="1"/>
  <c r="F1863" i="1"/>
  <c r="J1863" i="1"/>
  <c r="G1863" i="1" s="1"/>
  <c r="I1863" i="1" l="1"/>
  <c r="E1864" i="1" s="1"/>
  <c r="J1864" i="1" l="1"/>
  <c r="G1864" i="1" s="1"/>
  <c r="H1864" i="1"/>
  <c r="I1864" i="1" s="1"/>
  <c r="E1865" i="1" s="1"/>
  <c r="F1864" i="1"/>
  <c r="J1865" i="1" l="1"/>
  <c r="G1865" i="1" s="1"/>
  <c r="F1865" i="1"/>
  <c r="H1865" i="1"/>
  <c r="I1865" i="1" s="1"/>
  <c r="E1866" i="1" s="1"/>
  <c r="H1866" i="1" l="1"/>
  <c r="F1866" i="1"/>
  <c r="J1866" i="1"/>
  <c r="G1866" i="1" s="1"/>
  <c r="I1866" i="1" l="1"/>
  <c r="E1867" i="1" s="1"/>
  <c r="H1867" i="1" l="1"/>
  <c r="F1867" i="1"/>
  <c r="J1867" i="1"/>
  <c r="G1867" i="1" s="1"/>
  <c r="I1867" i="1" l="1"/>
  <c r="E1868" i="1" s="1"/>
  <c r="H1868" i="1" l="1"/>
  <c r="J1868" i="1"/>
  <c r="G1868" i="1" s="1"/>
  <c r="F1868" i="1"/>
  <c r="I1868" i="1" l="1"/>
  <c r="E1869" i="1" s="1"/>
  <c r="H1869" i="1" l="1"/>
  <c r="F1869" i="1"/>
  <c r="J1869" i="1"/>
  <c r="G1869" i="1" s="1"/>
  <c r="I1869" i="1" l="1"/>
  <c r="E1870" i="1" s="1"/>
  <c r="H1870" i="1" l="1"/>
  <c r="J1870" i="1"/>
  <c r="G1870" i="1" s="1"/>
  <c r="F1870" i="1"/>
  <c r="I1870" i="1" l="1"/>
  <c r="E1871" i="1" s="1"/>
  <c r="H1871" i="1" l="1"/>
  <c r="J1871" i="1"/>
  <c r="G1871" i="1" s="1"/>
  <c r="F1871" i="1"/>
  <c r="I1871" i="1" l="1"/>
  <c r="E1872" i="1" s="1"/>
  <c r="J1872" i="1" l="1"/>
  <c r="G1872" i="1" s="1"/>
  <c r="F1872" i="1"/>
  <c r="H1872" i="1"/>
  <c r="I1872" i="1" s="1"/>
  <c r="E1873" i="1" s="1"/>
  <c r="J1873" i="1" l="1"/>
  <c r="G1873" i="1" s="1"/>
  <c r="F1873" i="1"/>
  <c r="H1873" i="1"/>
  <c r="I1873" i="1" s="1"/>
  <c r="E1874" i="1" s="1"/>
  <c r="H1874" i="1" l="1"/>
  <c r="F1874" i="1"/>
  <c r="J1874" i="1"/>
  <c r="G1874" i="1" s="1"/>
  <c r="I1874" i="1" l="1"/>
  <c r="E1875" i="1" s="1"/>
  <c r="H1875" i="1" l="1"/>
  <c r="F1875" i="1"/>
  <c r="J1875" i="1"/>
  <c r="G1875" i="1" s="1"/>
  <c r="I1875" i="1" l="1"/>
  <c r="E1876" i="1" s="1"/>
  <c r="H1876" i="1" l="1"/>
  <c r="F1876" i="1"/>
  <c r="J1876" i="1"/>
  <c r="G1876" i="1" s="1"/>
  <c r="I1876" i="1" l="1"/>
  <c r="E1877" i="1" s="1"/>
  <c r="H1877" i="1" l="1"/>
  <c r="F1877" i="1"/>
  <c r="J1877" i="1"/>
  <c r="G1877" i="1" s="1"/>
  <c r="I1877" i="1" l="1"/>
  <c r="E1878" i="1" s="1"/>
  <c r="H1878" i="1" l="1"/>
  <c r="F1878" i="1"/>
  <c r="J1878" i="1"/>
  <c r="G1878" i="1" s="1"/>
  <c r="I1878" i="1" l="1"/>
  <c r="E1879" i="1" s="1"/>
  <c r="H1879" i="1" l="1"/>
  <c r="F1879" i="1"/>
  <c r="J1879" i="1"/>
  <c r="G1879" i="1" s="1"/>
  <c r="I1879" i="1" l="1"/>
  <c r="E1880" i="1" s="1"/>
  <c r="J1880" i="1" l="1"/>
  <c r="G1880" i="1" s="1"/>
  <c r="H1880" i="1"/>
  <c r="I1880" i="1" s="1"/>
  <c r="E1881" i="1" s="1"/>
  <c r="F1880" i="1"/>
  <c r="J1881" i="1" l="1"/>
  <c r="G1881" i="1" s="1"/>
  <c r="H1881" i="1"/>
  <c r="I1881" i="1" s="1"/>
  <c r="E1882" i="1" s="1"/>
  <c r="F1881" i="1"/>
  <c r="H1882" i="1" l="1"/>
  <c r="F1882" i="1"/>
  <c r="J1882" i="1"/>
  <c r="G1882" i="1" s="1"/>
  <c r="I1882" i="1" l="1"/>
  <c r="E1883" i="1" s="1"/>
  <c r="H1883" i="1" l="1"/>
  <c r="F1883" i="1"/>
  <c r="J1883" i="1"/>
  <c r="G1883" i="1" s="1"/>
  <c r="I1883" i="1" l="1"/>
  <c r="E1884" i="1" s="1"/>
  <c r="H1884" i="1" l="1"/>
  <c r="J1884" i="1"/>
  <c r="G1884" i="1" s="1"/>
  <c r="F1884" i="1"/>
  <c r="I1884" i="1" l="1"/>
  <c r="E1885" i="1" s="1"/>
  <c r="H1885" i="1" l="1"/>
  <c r="F1885" i="1"/>
  <c r="J1885" i="1"/>
  <c r="G1885" i="1" s="1"/>
  <c r="I1885" i="1" l="1"/>
  <c r="E1886" i="1" s="1"/>
  <c r="H1886" i="1" l="1"/>
  <c r="F1886" i="1"/>
  <c r="J1886" i="1"/>
  <c r="G1886" i="1" s="1"/>
  <c r="I1886" i="1" l="1"/>
  <c r="E1887" i="1" s="1"/>
  <c r="H1887" i="1" l="1"/>
  <c r="F1887" i="1"/>
  <c r="J1887" i="1"/>
  <c r="G1887" i="1" s="1"/>
  <c r="I1887" i="1" l="1"/>
  <c r="E1888" i="1" s="1"/>
  <c r="H1888" i="1" l="1"/>
  <c r="F1888" i="1"/>
  <c r="J1888" i="1"/>
  <c r="G1888" i="1" s="1"/>
  <c r="I1888" i="1" l="1"/>
  <c r="E1889" i="1" s="1"/>
  <c r="J1889" i="1" l="1"/>
  <c r="G1889" i="1" s="1"/>
  <c r="H1889" i="1"/>
  <c r="F1889" i="1"/>
  <c r="I1889" i="1" l="1"/>
  <c r="E1890" i="1" s="1"/>
  <c r="J1890" i="1" l="1"/>
  <c r="G1890" i="1" s="1"/>
  <c r="F1890" i="1"/>
  <c r="H1890" i="1"/>
  <c r="I1890" i="1" l="1"/>
  <c r="E1891" i="1" s="1"/>
  <c r="H1891" i="1" l="1"/>
  <c r="F1891" i="1"/>
  <c r="J1891" i="1"/>
  <c r="G1891" i="1" s="1"/>
  <c r="I1891" i="1" l="1"/>
  <c r="E1892" i="1" s="1"/>
  <c r="H1892" i="1" l="1"/>
  <c r="J1892" i="1"/>
  <c r="G1892" i="1" s="1"/>
  <c r="F1892" i="1"/>
  <c r="I1892" i="1" l="1"/>
  <c r="E1893" i="1" s="1"/>
  <c r="H1893" i="1" l="1"/>
  <c r="F1893" i="1"/>
  <c r="J1893" i="1"/>
  <c r="G1893" i="1" s="1"/>
  <c r="I1893" i="1" l="1"/>
  <c r="E1894" i="1" s="1"/>
  <c r="H1894" i="1" l="1"/>
  <c r="J1894" i="1"/>
  <c r="G1894" i="1" s="1"/>
  <c r="F1894" i="1"/>
  <c r="I1894" i="1" l="1"/>
  <c r="E1895" i="1" s="1"/>
  <c r="H1895" i="1" l="1"/>
  <c r="J1895" i="1"/>
  <c r="G1895" i="1" s="1"/>
  <c r="F1895" i="1"/>
  <c r="I1895" i="1" l="1"/>
  <c r="E1896" i="1" s="1"/>
  <c r="H1896" i="1" l="1"/>
  <c r="J1896" i="1"/>
  <c r="G1896" i="1" s="1"/>
  <c r="F1896" i="1"/>
  <c r="I1896" i="1" l="1"/>
  <c r="E1897" i="1" s="1"/>
  <c r="J1897" i="1" l="1"/>
  <c r="G1897" i="1" s="1"/>
  <c r="H1897" i="1"/>
  <c r="F1897" i="1"/>
  <c r="I1897" i="1" l="1"/>
  <c r="E1898" i="1" s="1"/>
  <c r="J1898" i="1" l="1"/>
  <c r="G1898" i="1" s="1"/>
  <c r="F1898" i="1"/>
  <c r="H1898" i="1"/>
  <c r="I1898" i="1" l="1"/>
  <c r="E1899" i="1" s="1"/>
  <c r="H1899" i="1" l="1"/>
  <c r="F1899" i="1"/>
  <c r="J1899" i="1"/>
  <c r="G1899" i="1" s="1"/>
  <c r="I1899" i="1" l="1"/>
  <c r="E1900" i="1" s="1"/>
  <c r="H1900" i="1" l="1"/>
  <c r="J1900" i="1"/>
  <c r="G1900" i="1" s="1"/>
  <c r="F1900" i="1"/>
  <c r="I1900" i="1" l="1"/>
  <c r="E1901" i="1" s="1"/>
  <c r="H1901" i="1" l="1"/>
  <c r="F1901" i="1"/>
  <c r="J1901" i="1"/>
  <c r="G1901" i="1" s="1"/>
  <c r="I1901" i="1" l="1"/>
  <c r="E1902" i="1" s="1"/>
  <c r="H1902" i="1" l="1"/>
  <c r="F1902" i="1"/>
  <c r="J1902" i="1"/>
  <c r="G1902" i="1" s="1"/>
  <c r="I1902" i="1" l="1"/>
  <c r="E1903" i="1" s="1"/>
  <c r="H1903" i="1" l="1"/>
  <c r="F1903" i="1"/>
  <c r="J1903" i="1"/>
  <c r="G1903" i="1" s="1"/>
  <c r="I1903" i="1" l="1"/>
  <c r="E1904" i="1" s="1"/>
  <c r="H1904" i="1" l="1"/>
  <c r="F1904" i="1"/>
  <c r="J1904" i="1"/>
  <c r="G1904" i="1" s="1"/>
  <c r="I1904" i="1" l="1"/>
  <c r="E1905" i="1" s="1"/>
  <c r="J1905" i="1" l="1"/>
  <c r="G1905" i="1" s="1"/>
  <c r="H1905" i="1"/>
  <c r="F1905" i="1"/>
  <c r="I1905" i="1" l="1"/>
  <c r="E1906" i="1" s="1"/>
  <c r="J1906" i="1" l="1"/>
  <c r="G1906" i="1" s="1"/>
  <c r="F1906" i="1"/>
  <c r="H1906" i="1"/>
  <c r="I1906" i="1" l="1"/>
  <c r="E1907" i="1" s="1"/>
  <c r="H1907" i="1" l="1"/>
  <c r="J1907" i="1"/>
  <c r="G1907" i="1" s="1"/>
  <c r="F1907" i="1"/>
  <c r="I1907" i="1" l="1"/>
  <c r="E1908" i="1" s="1"/>
  <c r="H1908" i="1" l="1"/>
  <c r="F1908" i="1"/>
  <c r="J1908" i="1"/>
  <c r="G1908" i="1" s="1"/>
  <c r="I1908" i="1" l="1"/>
  <c r="E1909" i="1" s="1"/>
  <c r="H1909" i="1" l="1"/>
  <c r="F1909" i="1"/>
  <c r="J1909" i="1"/>
  <c r="G1909" i="1" s="1"/>
  <c r="I1909" i="1" l="1"/>
  <c r="E1910" i="1" s="1"/>
  <c r="H1910" i="1" l="1"/>
  <c r="F1910" i="1"/>
  <c r="J1910" i="1"/>
  <c r="G1910" i="1" s="1"/>
  <c r="I1910" i="1" l="1"/>
  <c r="E1911" i="1" s="1"/>
  <c r="H1911" i="1" l="1"/>
  <c r="F1911" i="1"/>
  <c r="J1911" i="1"/>
  <c r="G1911" i="1" s="1"/>
  <c r="I1911" i="1" l="1"/>
  <c r="E1912" i="1" s="1"/>
  <c r="H1912" i="1" l="1"/>
  <c r="F1912" i="1"/>
  <c r="J1912" i="1"/>
  <c r="G1912" i="1" s="1"/>
  <c r="I1912" i="1" l="1"/>
  <c r="E1913" i="1" s="1"/>
  <c r="J1913" i="1" l="1"/>
  <c r="G1913" i="1" s="1"/>
  <c r="H1913" i="1"/>
  <c r="F1913" i="1"/>
  <c r="I1913" i="1" l="1"/>
  <c r="E1914" i="1" s="1"/>
  <c r="J1914" i="1" l="1"/>
  <c r="G1914" i="1" s="1"/>
  <c r="F1914" i="1"/>
  <c r="H1914" i="1"/>
  <c r="I1914" i="1" l="1"/>
  <c r="E1915" i="1" s="1"/>
  <c r="J1915" i="1" l="1"/>
  <c r="G1915" i="1" s="1"/>
  <c r="H1915" i="1"/>
  <c r="F1915" i="1"/>
  <c r="I1915" i="1" l="1"/>
  <c r="E1916" i="1" s="1"/>
  <c r="H1916" i="1" l="1"/>
  <c r="F1916" i="1"/>
  <c r="J1916" i="1"/>
  <c r="G1916" i="1" s="1"/>
  <c r="I1916" i="1" l="1"/>
  <c r="E1917" i="1" s="1"/>
  <c r="H1917" i="1" l="1"/>
  <c r="J1917" i="1"/>
  <c r="G1917" i="1" s="1"/>
  <c r="F1917" i="1"/>
  <c r="I1917" i="1" l="1"/>
  <c r="E1918" i="1" s="1"/>
  <c r="H1918" i="1" l="1"/>
  <c r="J1918" i="1"/>
  <c r="G1918" i="1" s="1"/>
  <c r="F1918" i="1"/>
  <c r="I1918" i="1" l="1"/>
  <c r="E1919" i="1" s="1"/>
  <c r="H1919" i="1" l="1"/>
  <c r="F1919" i="1"/>
  <c r="J1919" i="1"/>
  <c r="G1919" i="1" s="1"/>
  <c r="I1919" i="1" l="1"/>
  <c r="E1920" i="1" s="1"/>
  <c r="H1920" i="1" l="1"/>
  <c r="J1920" i="1"/>
  <c r="G1920" i="1" s="1"/>
  <c r="F1920" i="1"/>
  <c r="I1920" i="1" l="1"/>
  <c r="E1921" i="1" s="1"/>
  <c r="H1921" i="1" l="1"/>
  <c r="J1921" i="1"/>
  <c r="G1921" i="1" s="1"/>
  <c r="F1921" i="1"/>
  <c r="I1921" i="1" l="1"/>
  <c r="E1922" i="1" s="1"/>
  <c r="J1922" i="1" l="1"/>
  <c r="G1922" i="1" s="1"/>
  <c r="F1922" i="1"/>
  <c r="H1922" i="1"/>
  <c r="I1922" i="1" l="1"/>
  <c r="E1923" i="1" s="1"/>
  <c r="J1923" i="1" l="1"/>
  <c r="G1923" i="1" s="1"/>
  <c r="H1923" i="1"/>
  <c r="F1923" i="1"/>
  <c r="I1923" i="1" l="1"/>
  <c r="E1924" i="1" s="1"/>
  <c r="H1924" i="1" l="1"/>
  <c r="J1924" i="1"/>
  <c r="G1924" i="1" s="1"/>
  <c r="F1924" i="1"/>
  <c r="I1924" i="1" l="1"/>
  <c r="E1925" i="1" s="1"/>
  <c r="J1925" i="1" l="1"/>
  <c r="G1925" i="1" s="1"/>
  <c r="F1925" i="1"/>
  <c r="H1925" i="1"/>
  <c r="I1925" i="1" l="1"/>
  <c r="E1926" i="1" s="1"/>
  <c r="H1926" i="1" l="1"/>
  <c r="J1926" i="1"/>
  <c r="G1926" i="1" s="1"/>
  <c r="F1926" i="1"/>
  <c r="I1926" i="1" l="1"/>
  <c r="E1927" i="1" s="1"/>
  <c r="H1927" i="1" l="1"/>
  <c r="F1927" i="1"/>
  <c r="J1927" i="1"/>
  <c r="G1927" i="1" s="1"/>
  <c r="I1927" i="1" l="1"/>
  <c r="E1928" i="1" s="1"/>
  <c r="H1928" i="1" l="1"/>
  <c r="J1928" i="1"/>
  <c r="G1928" i="1" s="1"/>
  <c r="F1928" i="1"/>
  <c r="I1928" i="1" l="1"/>
  <c r="E1929" i="1" s="1"/>
  <c r="H1929" i="1" l="1"/>
  <c r="F1929" i="1"/>
  <c r="J1929" i="1"/>
  <c r="G1929" i="1" s="1"/>
  <c r="I1929" i="1" l="1"/>
  <c r="E1930" i="1" s="1"/>
  <c r="J1930" i="1" l="1"/>
  <c r="G1930" i="1" s="1"/>
  <c r="F1930" i="1"/>
  <c r="H1930" i="1"/>
  <c r="I1930" i="1" l="1"/>
  <c r="E1931" i="1" s="1"/>
  <c r="H1931" i="1" l="1"/>
  <c r="F1931" i="1"/>
  <c r="J1931" i="1"/>
  <c r="G1931" i="1" s="1"/>
  <c r="I1931" i="1" l="1"/>
  <c r="E1932" i="1" s="1"/>
  <c r="H1932" i="1" l="1"/>
  <c r="J1932" i="1"/>
  <c r="G1932" i="1" s="1"/>
  <c r="F1932" i="1"/>
  <c r="I1932" i="1" l="1"/>
  <c r="E1933" i="1" s="1"/>
  <c r="J1933" i="1" l="1"/>
  <c r="G1933" i="1" s="1"/>
  <c r="H1933" i="1"/>
  <c r="F1933" i="1"/>
  <c r="I1933" i="1" l="1"/>
  <c r="E1934" i="1" s="1"/>
  <c r="H1934" i="1" l="1"/>
  <c r="F1934" i="1"/>
  <c r="J1934" i="1"/>
  <c r="G1934" i="1" s="1"/>
  <c r="I1934" i="1" l="1"/>
  <c r="E1935" i="1" s="1"/>
  <c r="H1935" i="1" l="1"/>
  <c r="J1935" i="1"/>
  <c r="G1935" i="1" s="1"/>
  <c r="F1935" i="1"/>
  <c r="I1935" i="1" l="1"/>
  <c r="E1936" i="1" s="1"/>
  <c r="H1936" i="1" l="1"/>
  <c r="F1936" i="1"/>
  <c r="J1936" i="1"/>
  <c r="G1936" i="1" s="1"/>
  <c r="I1936" i="1" l="1"/>
  <c r="E1937" i="1" s="1"/>
  <c r="H1937" i="1" l="1"/>
  <c r="F1937" i="1"/>
  <c r="J1937" i="1"/>
  <c r="G1937" i="1" s="1"/>
  <c r="I1937" i="1" l="1"/>
  <c r="E1938" i="1" s="1"/>
  <c r="J1938" i="1" l="1"/>
  <c r="G1938" i="1" s="1"/>
  <c r="H1938" i="1"/>
  <c r="F1938" i="1"/>
  <c r="I1938" i="1" l="1"/>
  <c r="E1939" i="1" s="1"/>
  <c r="H1939" i="1" l="1"/>
  <c r="J1939" i="1"/>
  <c r="G1939" i="1" s="1"/>
  <c r="F1939" i="1"/>
  <c r="I1939" i="1" l="1"/>
  <c r="E1940" i="1" s="1"/>
  <c r="H1940" i="1" l="1"/>
  <c r="F1940" i="1"/>
  <c r="J1940" i="1"/>
  <c r="G1940" i="1" s="1"/>
  <c r="I1940" i="1" l="1"/>
  <c r="E1941" i="1" s="1"/>
  <c r="J1941" i="1" l="1"/>
  <c r="G1941" i="1" s="1"/>
  <c r="H1941" i="1"/>
  <c r="F1941" i="1"/>
  <c r="I1941" i="1" l="1"/>
  <c r="E1942" i="1" s="1"/>
  <c r="H1942" i="1" l="1"/>
  <c r="J1942" i="1"/>
  <c r="G1942" i="1" s="1"/>
  <c r="F1942" i="1"/>
  <c r="I1942" i="1" l="1"/>
  <c r="E1943" i="1" s="1"/>
  <c r="H1943" i="1" l="1"/>
  <c r="J1943" i="1"/>
  <c r="G1943" i="1" s="1"/>
  <c r="F1943" i="1"/>
  <c r="I1943" i="1" l="1"/>
  <c r="E1944" i="1" s="1"/>
  <c r="H1944" i="1" l="1"/>
  <c r="J1944" i="1"/>
  <c r="G1944" i="1" s="1"/>
  <c r="F1944" i="1"/>
  <c r="I1944" i="1" l="1"/>
  <c r="E1945" i="1" s="1"/>
  <c r="H1945" i="1" l="1"/>
  <c r="J1945" i="1"/>
  <c r="G1945" i="1" s="1"/>
  <c r="F1945" i="1"/>
  <c r="I1945" i="1" l="1"/>
  <c r="E1946" i="1" s="1"/>
  <c r="J1946" i="1" l="1"/>
  <c r="G1946" i="1" s="1"/>
  <c r="H1946" i="1"/>
  <c r="F1946" i="1"/>
  <c r="I1946" i="1" l="1"/>
  <c r="E1947" i="1" s="1"/>
  <c r="H1947" i="1" l="1"/>
  <c r="J1947" i="1"/>
  <c r="G1947" i="1" s="1"/>
  <c r="F1947" i="1"/>
  <c r="I1947" i="1" l="1"/>
  <c r="E1948" i="1" s="1"/>
  <c r="J1948" i="1" l="1"/>
  <c r="G1948" i="1" s="1"/>
  <c r="F1948" i="1"/>
  <c r="H1948" i="1"/>
  <c r="I1948" i="1" l="1"/>
  <c r="E1949" i="1" s="1"/>
  <c r="J1949" i="1" l="1"/>
  <c r="G1949" i="1" s="1"/>
  <c r="F1949" i="1"/>
  <c r="H1949" i="1"/>
  <c r="I1949" i="1" l="1"/>
  <c r="E1950" i="1" s="1"/>
  <c r="H1950" i="1" l="1"/>
  <c r="J1950" i="1"/>
  <c r="G1950" i="1" s="1"/>
  <c r="F1950" i="1"/>
  <c r="I1950" i="1" l="1"/>
  <c r="E1951" i="1" s="1"/>
  <c r="H1951" i="1" l="1"/>
  <c r="J1951" i="1"/>
  <c r="G1951" i="1" s="1"/>
  <c r="F1951" i="1"/>
  <c r="I1951" i="1" l="1"/>
  <c r="E1952" i="1" s="1"/>
  <c r="H1952" i="1" l="1"/>
  <c r="J1952" i="1"/>
  <c r="G1952" i="1" s="1"/>
  <c r="F1952" i="1"/>
  <c r="I1952" i="1" l="1"/>
  <c r="E1953" i="1" s="1"/>
  <c r="J1953" i="1" l="1"/>
  <c r="G1953" i="1" s="1"/>
  <c r="H1953" i="1"/>
  <c r="F1953" i="1"/>
  <c r="I1953" i="1" l="1"/>
  <c r="E1954" i="1" s="1"/>
  <c r="H1954" i="1" l="1"/>
  <c r="J1954" i="1"/>
  <c r="G1954" i="1" s="1"/>
  <c r="F1954" i="1"/>
  <c r="I1954" i="1" l="1"/>
  <c r="E1955" i="1" s="1"/>
  <c r="H1955" i="1" l="1"/>
  <c r="J1955" i="1"/>
  <c r="G1955" i="1" s="1"/>
  <c r="F1955" i="1"/>
  <c r="I1955" i="1" l="1"/>
  <c r="E1956" i="1" s="1"/>
  <c r="H1956" i="1" l="1"/>
  <c r="J1956" i="1"/>
  <c r="G1956" i="1" s="1"/>
  <c r="F1956" i="1"/>
  <c r="I1956" i="1" l="1"/>
  <c r="E1957" i="1" s="1"/>
  <c r="H1957" i="1" l="1"/>
  <c r="J1957" i="1"/>
  <c r="G1957" i="1" s="1"/>
  <c r="F1957" i="1"/>
  <c r="I1957" i="1" l="1"/>
  <c r="E1958" i="1" s="1"/>
  <c r="H1958" i="1" l="1"/>
  <c r="J1958" i="1"/>
  <c r="G1958" i="1" s="1"/>
  <c r="F1958" i="1"/>
  <c r="I1958" i="1" l="1"/>
  <c r="E1959" i="1" s="1"/>
  <c r="H1959" i="1" l="1"/>
  <c r="J1959" i="1"/>
  <c r="G1959" i="1" s="1"/>
  <c r="F1959" i="1"/>
  <c r="I1959" i="1" l="1"/>
  <c r="E1960" i="1" s="1"/>
  <c r="J1960" i="1" l="1"/>
  <c r="G1960" i="1" s="1"/>
  <c r="H1960" i="1"/>
  <c r="F1960" i="1"/>
  <c r="I1960" i="1" l="1"/>
  <c r="E1961" i="1" s="1"/>
  <c r="J1961" i="1" l="1"/>
  <c r="G1961" i="1" s="1"/>
  <c r="F1961" i="1"/>
  <c r="H1961" i="1"/>
  <c r="I1961" i="1" s="1"/>
  <c r="E1962" i="1" s="1"/>
  <c r="H1962" i="1" l="1"/>
  <c r="J1962" i="1"/>
  <c r="G1962" i="1" s="1"/>
  <c r="F1962" i="1"/>
  <c r="I1962" i="1" l="1"/>
  <c r="E1963" i="1" s="1"/>
  <c r="H1963" i="1" l="1"/>
  <c r="J1963" i="1"/>
  <c r="G1963" i="1" s="1"/>
  <c r="F1963" i="1"/>
  <c r="I1963" i="1" l="1"/>
  <c r="E1964" i="1" s="1"/>
  <c r="H1964" i="1" l="1"/>
  <c r="J1964" i="1"/>
  <c r="G1964" i="1" s="1"/>
  <c r="F1964" i="1"/>
  <c r="I1964" i="1" l="1"/>
  <c r="E1965" i="1" s="1"/>
  <c r="H1965" i="1" l="1"/>
  <c r="J1965" i="1"/>
  <c r="G1965" i="1" s="1"/>
  <c r="F1965" i="1"/>
  <c r="I1965" i="1" l="1"/>
  <c r="E1966" i="1" s="1"/>
  <c r="H1966" i="1" l="1"/>
  <c r="J1966" i="1"/>
  <c r="G1966" i="1" s="1"/>
  <c r="F1966" i="1"/>
  <c r="I1966" i="1" l="1"/>
  <c r="E1967" i="1" s="1"/>
  <c r="H1967" i="1" l="1"/>
  <c r="J1967" i="1"/>
  <c r="G1967" i="1" s="1"/>
  <c r="F1967" i="1"/>
  <c r="I1967" i="1" l="1"/>
  <c r="E1968" i="1" s="1"/>
  <c r="J1968" i="1" l="1"/>
  <c r="G1968" i="1" s="1"/>
  <c r="H1968" i="1"/>
  <c r="F1968" i="1"/>
  <c r="I1968" i="1" l="1"/>
  <c r="E1969" i="1" s="1"/>
  <c r="J1969" i="1" l="1"/>
  <c r="G1969" i="1" s="1"/>
  <c r="H1969" i="1"/>
  <c r="I1969" i="1" s="1"/>
  <c r="E1970" i="1" s="1"/>
  <c r="F1969" i="1"/>
  <c r="J1970" i="1" l="1"/>
  <c r="G1970" i="1" s="1"/>
  <c r="F1970" i="1"/>
  <c r="H1970" i="1"/>
  <c r="I1970" i="1" l="1"/>
  <c r="E1971" i="1" s="1"/>
  <c r="H1971" i="1" l="1"/>
  <c r="J1971" i="1"/>
  <c r="G1971" i="1" s="1"/>
  <c r="F1971" i="1"/>
  <c r="I1971" i="1" l="1"/>
  <c r="E1972" i="1" s="1"/>
  <c r="F1972" i="1" l="1"/>
  <c r="H1972" i="1"/>
  <c r="J1972" i="1"/>
  <c r="G1972" i="1" s="1"/>
  <c r="I1972" i="1" l="1"/>
  <c r="E1973" i="1" s="1"/>
  <c r="H1973" i="1" l="1"/>
  <c r="J1973" i="1"/>
  <c r="G1973" i="1" s="1"/>
  <c r="F1973" i="1"/>
  <c r="I1973" i="1" l="1"/>
  <c r="E1974" i="1" s="1"/>
  <c r="H1974" i="1" l="1"/>
  <c r="J1974" i="1"/>
  <c r="G1974" i="1" s="1"/>
  <c r="F1974" i="1"/>
  <c r="I1974" i="1" l="1"/>
  <c r="E1975" i="1" s="1"/>
  <c r="H1975" i="1" l="1"/>
  <c r="F1975" i="1"/>
  <c r="J1975" i="1"/>
  <c r="G1975" i="1" s="1"/>
  <c r="I1975" i="1" l="1"/>
  <c r="E1976" i="1" s="1"/>
  <c r="J1976" i="1" l="1"/>
  <c r="G1976" i="1" s="1"/>
  <c r="H1976" i="1"/>
  <c r="I1976" i="1" s="1"/>
  <c r="E1977" i="1" s="1"/>
  <c r="F1976" i="1"/>
  <c r="J1977" i="1" l="1"/>
  <c r="G1977" i="1" s="1"/>
  <c r="H1977" i="1"/>
  <c r="F1977" i="1"/>
  <c r="I1977" i="1" l="1"/>
  <c r="E1978" i="1" s="1"/>
  <c r="H1978" i="1" l="1"/>
  <c r="J1978" i="1"/>
  <c r="G1978" i="1" s="1"/>
  <c r="F1978" i="1"/>
  <c r="I1978" i="1" l="1"/>
  <c r="E1979" i="1" s="1"/>
  <c r="H1979" i="1" l="1"/>
  <c r="J1979" i="1"/>
  <c r="G1979" i="1" s="1"/>
  <c r="F1979" i="1"/>
  <c r="I1979" i="1" l="1"/>
  <c r="E1980" i="1" s="1"/>
  <c r="H1980" i="1" l="1"/>
  <c r="J1980" i="1"/>
  <c r="G1980" i="1" s="1"/>
  <c r="F1980" i="1"/>
  <c r="I1980" i="1" l="1"/>
  <c r="E1981" i="1" s="1"/>
  <c r="J1981" i="1" l="1"/>
  <c r="G1981" i="1" s="1"/>
  <c r="H1981" i="1"/>
  <c r="I1981" i="1" s="1"/>
  <c r="E1982" i="1" s="1"/>
  <c r="F1981" i="1"/>
  <c r="H1982" i="1" l="1"/>
  <c r="F1982" i="1"/>
  <c r="J1982" i="1"/>
  <c r="G1982" i="1" s="1"/>
  <c r="I1982" i="1" l="1"/>
  <c r="E1983" i="1" s="1"/>
  <c r="H1983" i="1" l="1"/>
  <c r="F1983" i="1"/>
  <c r="J1983" i="1"/>
  <c r="G1983" i="1" s="1"/>
  <c r="I1983" i="1" l="1"/>
  <c r="E1984" i="1" s="1"/>
  <c r="H1984" i="1" l="1"/>
  <c r="J1984" i="1"/>
  <c r="G1984" i="1" s="1"/>
  <c r="F1984" i="1"/>
  <c r="I1984" i="1" l="1"/>
  <c r="E1985" i="1" s="1"/>
  <c r="J1985" i="1" l="1"/>
  <c r="G1985" i="1" s="1"/>
  <c r="H1985" i="1"/>
  <c r="F1985" i="1"/>
  <c r="I1985" i="1" l="1"/>
  <c r="E1986" i="1" s="1"/>
  <c r="H1986" i="1" l="1"/>
  <c r="J1986" i="1"/>
  <c r="G1986" i="1" s="1"/>
  <c r="F1986" i="1"/>
  <c r="I1986" i="1" l="1"/>
  <c r="E1987" i="1" s="1"/>
  <c r="H1987" i="1" l="1"/>
  <c r="J1987" i="1"/>
  <c r="G1987" i="1" s="1"/>
  <c r="F1987" i="1"/>
  <c r="I1987" i="1" l="1"/>
  <c r="E1988" i="1" s="1"/>
  <c r="H1988" i="1" l="1"/>
  <c r="J1988" i="1"/>
  <c r="G1988" i="1" s="1"/>
  <c r="F1988" i="1"/>
  <c r="I1988" i="1" l="1"/>
  <c r="E1989" i="1" s="1"/>
  <c r="H1989" i="1" l="1"/>
  <c r="J1989" i="1"/>
  <c r="G1989" i="1" s="1"/>
  <c r="F1989" i="1"/>
  <c r="I1989" i="1" l="1"/>
  <c r="E1990" i="1" s="1"/>
  <c r="H1990" i="1" l="1"/>
  <c r="J1990" i="1"/>
  <c r="G1990" i="1" s="1"/>
  <c r="F1990" i="1"/>
  <c r="I1990" i="1" l="1"/>
  <c r="E1991" i="1" s="1"/>
  <c r="H1991" i="1" l="1"/>
  <c r="J1991" i="1"/>
  <c r="G1991" i="1" s="1"/>
  <c r="F1991" i="1"/>
  <c r="I1991" i="1" l="1"/>
  <c r="E1992" i="1" s="1"/>
  <c r="J1992" i="1" l="1"/>
  <c r="G1992" i="1" s="1"/>
  <c r="H1992" i="1"/>
  <c r="F1992" i="1"/>
  <c r="I1992" i="1" l="1"/>
  <c r="E1993" i="1" s="1"/>
  <c r="J1993" i="1" l="1"/>
  <c r="G1993" i="1" s="1"/>
  <c r="H1993" i="1"/>
  <c r="F1993" i="1"/>
  <c r="I1993" i="1" l="1"/>
  <c r="E1994" i="1" s="1"/>
  <c r="H1994" i="1" l="1"/>
  <c r="J1994" i="1"/>
  <c r="G1994" i="1" s="1"/>
  <c r="F1994" i="1"/>
  <c r="I1994" i="1" l="1"/>
  <c r="E1995" i="1" s="1"/>
  <c r="H1995" i="1" l="1"/>
  <c r="J1995" i="1"/>
  <c r="G1995" i="1" s="1"/>
  <c r="F1995" i="1"/>
  <c r="I1995" i="1" l="1"/>
  <c r="E1996" i="1" s="1"/>
  <c r="H1996" i="1" l="1"/>
  <c r="J1996" i="1"/>
  <c r="G1996" i="1" s="1"/>
  <c r="F1996" i="1"/>
  <c r="I1996" i="1" l="1"/>
  <c r="E1997" i="1" s="1"/>
  <c r="H1997" i="1" l="1"/>
  <c r="J1997" i="1"/>
  <c r="G1997" i="1" s="1"/>
  <c r="F1997" i="1"/>
  <c r="I1997" i="1" l="1"/>
  <c r="E1998" i="1" s="1"/>
  <c r="H1998" i="1" l="1"/>
  <c r="J1998" i="1"/>
  <c r="G1998" i="1" s="1"/>
  <c r="F1998" i="1"/>
  <c r="I1998" i="1" l="1"/>
  <c r="E1999" i="1" s="1"/>
  <c r="J1999" i="1" l="1"/>
  <c r="G1999" i="1" s="1"/>
  <c r="H1999" i="1"/>
  <c r="F1999" i="1"/>
  <c r="I1999" i="1" l="1"/>
  <c r="E2000" i="1" s="1"/>
  <c r="J2000" i="1" l="1"/>
  <c r="G2000" i="1" s="1"/>
  <c r="F2000" i="1"/>
  <c r="H2000" i="1"/>
  <c r="I2000" i="1" l="1"/>
  <c r="E2001" i="1" s="1"/>
  <c r="J2001" i="1" l="1"/>
  <c r="G2001" i="1" s="1"/>
  <c r="F2001" i="1"/>
  <c r="H2001" i="1"/>
  <c r="I2001" i="1" l="1"/>
  <c r="E2002" i="1" s="1"/>
  <c r="H2002" i="1" l="1"/>
  <c r="J2002" i="1"/>
  <c r="G2002" i="1" s="1"/>
  <c r="F2002" i="1"/>
  <c r="I2002" i="1" l="1"/>
  <c r="E2003" i="1" s="1"/>
  <c r="H2003" i="1" l="1"/>
  <c r="J2003" i="1"/>
  <c r="G2003" i="1" s="1"/>
  <c r="F2003" i="1"/>
  <c r="I2003" i="1" l="1"/>
  <c r="E2004" i="1" s="1"/>
  <c r="H2004" i="1" l="1"/>
  <c r="J2004" i="1"/>
  <c r="G2004" i="1" s="1"/>
  <c r="F2004" i="1"/>
  <c r="I2004" i="1" l="1"/>
  <c r="E2005" i="1" s="1"/>
  <c r="H2005" i="1" l="1"/>
  <c r="J2005" i="1"/>
  <c r="G2005" i="1" s="1"/>
  <c r="F2005" i="1"/>
  <c r="I2005" i="1" l="1"/>
  <c r="E2006" i="1" s="1"/>
  <c r="H2006" i="1" l="1"/>
  <c r="J2006" i="1"/>
  <c r="G2006" i="1" s="1"/>
  <c r="F2006" i="1"/>
  <c r="I2006" i="1" l="1"/>
  <c r="E2007" i="1" s="1"/>
  <c r="H2007" i="1" l="1"/>
  <c r="F2007" i="1"/>
  <c r="J2007" i="1"/>
  <c r="G2007" i="1" s="1"/>
  <c r="I2007" i="1" l="1"/>
  <c r="E2008" i="1" s="1"/>
  <c r="J2008" i="1" l="1"/>
  <c r="G2008" i="1" s="1"/>
  <c r="F2008" i="1"/>
  <c r="H2008" i="1"/>
  <c r="I2008" i="1" l="1"/>
  <c r="E2009" i="1" s="1"/>
  <c r="H2009" i="1" l="1"/>
  <c r="J2009" i="1"/>
  <c r="G2009" i="1" s="1"/>
  <c r="F2009" i="1"/>
  <c r="I2009" i="1" l="1"/>
  <c r="E2010" i="1" s="1"/>
  <c r="H2010" i="1" l="1"/>
  <c r="J2010" i="1"/>
  <c r="G2010" i="1" s="1"/>
  <c r="F2010" i="1"/>
  <c r="I2010" i="1" l="1"/>
  <c r="E2011" i="1" s="1"/>
  <c r="H2011" i="1" l="1"/>
  <c r="J2011" i="1"/>
  <c r="G2011" i="1" s="1"/>
  <c r="F2011" i="1"/>
  <c r="I2011" i="1" l="1"/>
  <c r="E2012" i="1" s="1"/>
  <c r="H2012" i="1" l="1"/>
  <c r="J2012" i="1"/>
  <c r="G2012" i="1" s="1"/>
  <c r="F2012" i="1"/>
  <c r="I2012" i="1" l="1"/>
  <c r="E2013" i="1" s="1"/>
  <c r="H2013" i="1" l="1"/>
  <c r="J2013" i="1"/>
  <c r="G2013" i="1" s="1"/>
  <c r="F2013" i="1"/>
  <c r="I2013" i="1" l="1"/>
  <c r="E2014" i="1" s="1"/>
  <c r="H2014" i="1" l="1"/>
  <c r="J2014" i="1"/>
  <c r="G2014" i="1" s="1"/>
  <c r="F2014" i="1"/>
  <c r="I2014" i="1" l="1"/>
  <c r="E2015" i="1" s="1"/>
  <c r="J2015" i="1" l="1"/>
  <c r="G2015" i="1" s="1"/>
  <c r="H2015" i="1"/>
  <c r="F2015" i="1"/>
  <c r="I2015" i="1" l="1"/>
  <c r="E2016" i="1" s="1"/>
  <c r="F2016" i="1" l="1"/>
  <c r="J2016" i="1"/>
  <c r="G2016" i="1" s="1"/>
  <c r="H2016" i="1"/>
  <c r="I2016" i="1" s="1"/>
  <c r="E2017" i="1" s="1"/>
  <c r="J2017" i="1" l="1"/>
  <c r="G2017" i="1" s="1"/>
  <c r="H2017" i="1"/>
  <c r="F2017" i="1"/>
  <c r="I2017" i="1" l="1"/>
  <c r="E2018" i="1" s="1"/>
  <c r="H2018" i="1" l="1"/>
  <c r="J2018" i="1"/>
  <c r="G2018" i="1" s="1"/>
  <c r="F2018" i="1"/>
  <c r="I2018" i="1" l="1"/>
  <c r="E2019" i="1" s="1"/>
  <c r="H2019" i="1" l="1"/>
  <c r="J2019" i="1"/>
  <c r="G2019" i="1" s="1"/>
  <c r="F2019" i="1"/>
  <c r="I2019" i="1" l="1"/>
  <c r="E2020" i="1" s="1"/>
  <c r="H2020" i="1" l="1"/>
  <c r="J2020" i="1"/>
  <c r="G2020" i="1" s="1"/>
  <c r="F2020" i="1"/>
  <c r="I2020" i="1" l="1"/>
  <c r="E2021" i="1" s="1"/>
  <c r="H2021" i="1" l="1"/>
  <c r="J2021" i="1"/>
  <c r="G2021" i="1" s="1"/>
  <c r="F2021" i="1"/>
  <c r="I2021" i="1" l="1"/>
  <c r="E2022" i="1" s="1"/>
  <c r="H2022" i="1" l="1"/>
  <c r="J2022" i="1"/>
  <c r="G2022" i="1" s="1"/>
  <c r="F2022" i="1"/>
  <c r="I2022" i="1" l="1"/>
  <c r="E2023" i="1" s="1"/>
  <c r="H2023" i="1" l="1"/>
  <c r="J2023" i="1"/>
  <c r="G2023" i="1" s="1"/>
  <c r="F2023" i="1"/>
  <c r="I2023" i="1" l="1"/>
  <c r="E2024" i="1" s="1"/>
  <c r="J2024" i="1" l="1"/>
  <c r="G2024" i="1" s="1"/>
  <c r="H2024" i="1"/>
  <c r="F2024" i="1"/>
  <c r="I2024" i="1" l="1"/>
  <c r="E2025" i="1" s="1"/>
  <c r="J2025" i="1" l="1"/>
  <c r="G2025" i="1" s="1"/>
  <c r="H2025" i="1"/>
  <c r="F2025" i="1"/>
  <c r="I2025" i="1" l="1"/>
  <c r="E2026" i="1" s="1"/>
  <c r="H2026" i="1" l="1"/>
  <c r="J2026" i="1"/>
  <c r="G2026" i="1" s="1"/>
  <c r="F2026" i="1"/>
  <c r="I2026" i="1" l="1"/>
  <c r="E2027" i="1" s="1"/>
  <c r="H2027" i="1" l="1"/>
  <c r="J2027" i="1"/>
  <c r="G2027" i="1" s="1"/>
  <c r="F2027" i="1"/>
  <c r="I2027" i="1" l="1"/>
  <c r="E2028" i="1" s="1"/>
  <c r="H2028" i="1" l="1"/>
  <c r="J2028" i="1"/>
  <c r="G2028" i="1" s="1"/>
  <c r="F2028" i="1"/>
  <c r="I2028" i="1" l="1"/>
  <c r="E2029" i="1" s="1"/>
  <c r="H2029" i="1" l="1"/>
  <c r="J2029" i="1"/>
  <c r="G2029" i="1" s="1"/>
  <c r="F2029" i="1"/>
  <c r="I2029" i="1" l="1"/>
  <c r="E2030" i="1" s="1"/>
  <c r="H2030" i="1" l="1"/>
  <c r="J2030" i="1"/>
  <c r="G2030" i="1" s="1"/>
  <c r="F2030" i="1"/>
  <c r="I2030" i="1" l="1"/>
  <c r="E2031" i="1" s="1"/>
  <c r="H2031" i="1" l="1"/>
  <c r="J2031" i="1"/>
  <c r="G2031" i="1" s="1"/>
  <c r="F2031" i="1"/>
  <c r="I2031" i="1" l="1"/>
  <c r="E2032" i="1" s="1"/>
  <c r="J2032" i="1" l="1"/>
  <c r="G2032" i="1" s="1"/>
  <c r="H2032" i="1"/>
  <c r="F2032" i="1"/>
  <c r="I2032" i="1" l="1"/>
  <c r="E2033" i="1" s="1"/>
  <c r="J2033" i="1" l="1"/>
  <c r="G2033" i="1" s="1"/>
  <c r="F2033" i="1"/>
  <c r="H2033" i="1"/>
  <c r="I2033" i="1" l="1"/>
  <c r="E2034" i="1" s="1"/>
  <c r="F2034" i="1" l="1"/>
  <c r="H2034" i="1"/>
  <c r="J2034" i="1"/>
  <c r="G2034" i="1" s="1"/>
  <c r="I2034" i="1" l="1"/>
  <c r="E2035" i="1" s="1"/>
  <c r="H2035" i="1" l="1"/>
  <c r="F2035" i="1"/>
  <c r="J2035" i="1"/>
  <c r="G2035" i="1" s="1"/>
  <c r="I2035" i="1" l="1"/>
  <c r="E2036" i="1" s="1"/>
  <c r="H2036" i="1" l="1"/>
  <c r="J2036" i="1"/>
  <c r="G2036" i="1" s="1"/>
  <c r="F2036" i="1"/>
  <c r="I2036" i="1" l="1"/>
  <c r="E2037" i="1" s="1"/>
  <c r="H2037" i="1" l="1"/>
  <c r="J2037" i="1"/>
  <c r="G2037" i="1" s="1"/>
  <c r="F2037" i="1"/>
  <c r="I2037" i="1" l="1"/>
  <c r="E2038" i="1" s="1"/>
  <c r="H2038" i="1" l="1"/>
  <c r="J2038" i="1"/>
  <c r="G2038" i="1" s="1"/>
  <c r="F2038" i="1"/>
  <c r="I2038" i="1" l="1"/>
  <c r="E2039" i="1" s="1"/>
  <c r="H2039" i="1" l="1"/>
  <c r="F2039" i="1"/>
  <c r="J2039" i="1"/>
  <c r="G2039" i="1" s="1"/>
  <c r="I2039" i="1" l="1"/>
  <c r="E2040" i="1" s="1"/>
  <c r="J2040" i="1" l="1"/>
  <c r="G2040" i="1" s="1"/>
  <c r="H2040" i="1"/>
  <c r="F2040" i="1"/>
  <c r="I2040" i="1" l="1"/>
  <c r="E2041" i="1" s="1"/>
  <c r="H2041" i="1" l="1"/>
  <c r="J2041" i="1"/>
  <c r="G2041" i="1" s="1"/>
  <c r="F2041" i="1"/>
  <c r="I2041" i="1" l="1"/>
  <c r="E2042" i="1" s="1"/>
  <c r="H2042" i="1" l="1"/>
  <c r="J2042" i="1"/>
  <c r="G2042" i="1" s="1"/>
  <c r="F2042" i="1"/>
  <c r="I2042" i="1" l="1"/>
  <c r="E2043" i="1" s="1"/>
  <c r="J2043" i="1" l="1"/>
  <c r="G2043" i="1" s="1"/>
  <c r="H2043" i="1"/>
  <c r="F2043" i="1"/>
  <c r="I2043" i="1" l="1"/>
  <c r="E2044" i="1" s="1"/>
  <c r="F2044" i="1" l="1"/>
  <c r="H2044" i="1"/>
  <c r="J2044" i="1"/>
  <c r="G2044" i="1" s="1"/>
  <c r="I2044" i="1" l="1"/>
  <c r="E2045" i="1" s="1"/>
  <c r="H2045" i="1" l="1"/>
  <c r="J2045" i="1"/>
  <c r="G2045" i="1" s="1"/>
  <c r="F2045" i="1"/>
  <c r="I2045" i="1" l="1"/>
  <c r="E2046" i="1" s="1"/>
  <c r="H2046" i="1" l="1"/>
  <c r="J2046" i="1"/>
  <c r="G2046" i="1" s="1"/>
  <c r="F2046" i="1"/>
  <c r="I2046" i="1" l="1"/>
  <c r="E2047" i="1" s="1"/>
  <c r="H2047" i="1" l="1"/>
  <c r="J2047" i="1"/>
  <c r="G2047" i="1" s="1"/>
  <c r="F2047" i="1"/>
  <c r="I2047" i="1" l="1"/>
  <c r="E2048" i="1" s="1"/>
  <c r="J2048" i="1" l="1"/>
  <c r="G2048" i="1" s="1"/>
  <c r="H2048" i="1"/>
  <c r="F2048" i="1"/>
  <c r="I2048" i="1" l="1"/>
  <c r="E2049" i="1" s="1"/>
  <c r="H2049" i="1" l="1"/>
  <c r="J2049" i="1"/>
  <c r="G2049" i="1" s="1"/>
  <c r="F2049" i="1"/>
  <c r="I2049" i="1" l="1"/>
  <c r="E2050" i="1" s="1"/>
  <c r="H2050" i="1" l="1"/>
  <c r="J2050" i="1"/>
  <c r="G2050" i="1" s="1"/>
  <c r="F2050" i="1"/>
  <c r="I2050" i="1" l="1"/>
  <c r="E2051" i="1" s="1"/>
  <c r="J2051" i="1" l="1"/>
  <c r="G2051" i="1" s="1"/>
  <c r="H2051" i="1"/>
  <c r="F2051" i="1"/>
  <c r="I2051" i="1" l="1"/>
  <c r="E2052" i="1" s="1"/>
  <c r="H2052" i="1" l="1"/>
  <c r="J2052" i="1"/>
  <c r="G2052" i="1" s="1"/>
  <c r="F2052" i="1"/>
  <c r="I2052" i="1" l="1"/>
  <c r="E2053" i="1" s="1"/>
  <c r="H2053" i="1" l="1"/>
  <c r="J2053" i="1"/>
  <c r="G2053" i="1" s="1"/>
  <c r="F2053" i="1"/>
  <c r="I2053" i="1" l="1"/>
  <c r="E2054" i="1" s="1"/>
  <c r="J2054" i="1" l="1"/>
  <c r="G2054" i="1" s="1"/>
  <c r="H2054" i="1"/>
  <c r="F2054" i="1"/>
  <c r="I2054" i="1" l="1"/>
  <c r="E2055" i="1" s="1"/>
  <c r="H2055" i="1" l="1"/>
  <c r="J2055" i="1"/>
  <c r="G2055" i="1" s="1"/>
  <c r="F2055" i="1"/>
  <c r="I2055" i="1" l="1"/>
  <c r="E2056" i="1" s="1"/>
  <c r="J2056" i="1" l="1"/>
  <c r="G2056" i="1" s="1"/>
  <c r="H2056" i="1"/>
  <c r="F2056" i="1"/>
  <c r="I2056" i="1" l="1"/>
  <c r="E2057" i="1" s="1"/>
  <c r="H2057" i="1" l="1"/>
  <c r="F2057" i="1"/>
  <c r="J2057" i="1"/>
  <c r="G2057" i="1" s="1"/>
  <c r="I2057" i="1" l="1"/>
  <c r="E2058" i="1" s="1"/>
  <c r="H2058" i="1" l="1"/>
  <c r="F2058" i="1"/>
  <c r="J2058" i="1"/>
  <c r="G2058" i="1" s="1"/>
  <c r="I2058" i="1" l="1"/>
  <c r="E2059" i="1" s="1"/>
  <c r="J2059" i="1" l="1"/>
  <c r="G2059" i="1" s="1"/>
  <c r="H2059" i="1"/>
  <c r="F2059" i="1"/>
  <c r="I2059" i="1" l="1"/>
  <c r="E2060" i="1" s="1"/>
  <c r="H2060" i="1" l="1"/>
  <c r="J2060" i="1"/>
  <c r="G2060" i="1" s="1"/>
  <c r="F2060" i="1"/>
  <c r="I2060" i="1" l="1"/>
  <c r="E2061" i="1" s="1"/>
  <c r="H2061" i="1" l="1"/>
  <c r="J2061" i="1"/>
  <c r="G2061" i="1" s="1"/>
  <c r="F2061" i="1"/>
  <c r="I2061" i="1" l="1"/>
  <c r="E2062" i="1" s="1"/>
  <c r="J2062" i="1" l="1"/>
  <c r="G2062" i="1" s="1"/>
  <c r="H2062" i="1"/>
  <c r="F2062" i="1"/>
  <c r="I2062" i="1" l="1"/>
  <c r="E2063" i="1" s="1"/>
  <c r="H2063" i="1" l="1"/>
  <c r="J2063" i="1"/>
  <c r="G2063" i="1" s="1"/>
  <c r="F2063" i="1"/>
  <c r="I2063" i="1" l="1"/>
  <c r="E2064" i="1" s="1"/>
  <c r="J2064" i="1" l="1"/>
  <c r="G2064" i="1" s="1"/>
  <c r="F2064" i="1"/>
  <c r="H2064" i="1"/>
  <c r="I2064" i="1" l="1"/>
  <c r="E2065" i="1" s="1"/>
  <c r="F2065" i="1" l="1"/>
  <c r="H2065" i="1"/>
  <c r="J2065" i="1"/>
  <c r="G2065" i="1" s="1"/>
  <c r="I2065" i="1" l="1"/>
  <c r="E2066" i="1" s="1"/>
  <c r="H2066" i="1" l="1"/>
  <c r="J2066" i="1"/>
  <c r="G2066" i="1" s="1"/>
  <c r="F2066" i="1"/>
  <c r="I2066" i="1" l="1"/>
  <c r="E2067" i="1" s="1"/>
  <c r="H2067" i="1" l="1"/>
  <c r="J2067" i="1"/>
  <c r="G2067" i="1" s="1"/>
  <c r="F2067" i="1"/>
  <c r="I2067" i="1" l="1"/>
  <c r="E2068" i="1" s="1"/>
  <c r="H2068" i="1" l="1"/>
  <c r="J2068" i="1"/>
  <c r="G2068" i="1" s="1"/>
  <c r="F2068" i="1"/>
  <c r="I2068" i="1" l="1"/>
  <c r="E2069" i="1" s="1"/>
  <c r="H2069" i="1" l="1"/>
  <c r="J2069" i="1"/>
  <c r="G2069" i="1" s="1"/>
  <c r="F2069" i="1"/>
  <c r="I2069" i="1" l="1"/>
  <c r="E2070" i="1" s="1"/>
  <c r="H2070" i="1" l="1"/>
  <c r="J2070" i="1"/>
  <c r="G2070" i="1" s="1"/>
  <c r="F2070" i="1"/>
  <c r="I2070" i="1" l="1"/>
  <c r="E2071" i="1" s="1"/>
  <c r="H2071" i="1" l="1"/>
  <c r="F2071" i="1"/>
  <c r="J2071" i="1"/>
  <c r="G2071" i="1" s="1"/>
  <c r="I2071" i="1" l="1"/>
  <c r="E2072" i="1" s="1"/>
  <c r="J2072" i="1" l="1"/>
  <c r="G2072" i="1" s="1"/>
  <c r="F2072" i="1"/>
  <c r="H2072" i="1"/>
  <c r="I2072" i="1" l="1"/>
  <c r="E2073" i="1" s="1"/>
  <c r="J2073" i="1" l="1"/>
  <c r="G2073" i="1" s="1"/>
  <c r="H2073" i="1"/>
  <c r="F2073" i="1"/>
  <c r="I2073" i="1" l="1"/>
  <c r="E2074" i="1" s="1"/>
  <c r="H2074" i="1" l="1"/>
  <c r="J2074" i="1"/>
  <c r="G2074" i="1" s="1"/>
  <c r="F2074" i="1"/>
  <c r="I2074" i="1" l="1"/>
  <c r="E2075" i="1" s="1"/>
  <c r="H2075" i="1" l="1"/>
  <c r="J2075" i="1"/>
  <c r="G2075" i="1" s="1"/>
  <c r="F2075" i="1"/>
  <c r="I2075" i="1" l="1"/>
  <c r="E2076" i="1" s="1"/>
  <c r="H2076" i="1" l="1"/>
  <c r="J2076" i="1"/>
  <c r="G2076" i="1" s="1"/>
  <c r="F2076" i="1"/>
  <c r="I2076" i="1" l="1"/>
  <c r="E2077" i="1" s="1"/>
  <c r="H2077" i="1" l="1"/>
  <c r="J2077" i="1"/>
  <c r="G2077" i="1" s="1"/>
  <c r="F2077" i="1"/>
  <c r="I2077" i="1" l="1"/>
  <c r="E2078" i="1" s="1"/>
  <c r="H2078" i="1" l="1"/>
  <c r="J2078" i="1"/>
  <c r="G2078" i="1" s="1"/>
  <c r="F2078" i="1"/>
  <c r="I2078" i="1" l="1"/>
  <c r="E2079" i="1" s="1"/>
  <c r="H2079" i="1" l="1"/>
  <c r="F2079" i="1"/>
  <c r="J2079" i="1"/>
  <c r="G2079" i="1" s="1"/>
  <c r="I2079" i="1" l="1"/>
  <c r="E2080" i="1" s="1"/>
  <c r="J2080" i="1" l="1"/>
  <c r="G2080" i="1" s="1"/>
  <c r="H2080" i="1"/>
  <c r="F2080" i="1"/>
  <c r="I2080" i="1" l="1"/>
  <c r="E2081" i="1" s="1"/>
  <c r="J2081" i="1" l="1"/>
  <c r="G2081" i="1" s="1"/>
  <c r="H2081" i="1"/>
  <c r="F2081" i="1"/>
  <c r="I2081" i="1" l="1"/>
  <c r="E2082" i="1" s="1"/>
  <c r="H2082" i="1" l="1"/>
  <c r="J2082" i="1"/>
  <c r="G2082" i="1" s="1"/>
  <c r="F2082" i="1"/>
  <c r="I2082" i="1" l="1"/>
  <c r="E2083" i="1" s="1"/>
  <c r="H2083" i="1" l="1"/>
  <c r="J2083" i="1"/>
  <c r="G2083" i="1" s="1"/>
  <c r="F2083" i="1"/>
  <c r="I2083" i="1" l="1"/>
  <c r="E2084" i="1" s="1"/>
  <c r="H2084" i="1" l="1"/>
  <c r="J2084" i="1"/>
  <c r="G2084" i="1" s="1"/>
  <c r="F2084" i="1"/>
  <c r="I2084" i="1" l="1"/>
  <c r="E2085" i="1" s="1"/>
  <c r="H2085" i="1" l="1"/>
  <c r="J2085" i="1"/>
  <c r="G2085" i="1" s="1"/>
  <c r="F2085" i="1"/>
  <c r="I2085" i="1" l="1"/>
  <c r="E2086" i="1" s="1"/>
  <c r="H2086" i="1" l="1"/>
  <c r="J2086" i="1"/>
  <c r="G2086" i="1" s="1"/>
  <c r="F2086" i="1"/>
  <c r="I2086" i="1" l="1"/>
  <c r="E2087" i="1" s="1"/>
  <c r="H2087" i="1" l="1"/>
  <c r="J2087" i="1"/>
  <c r="G2087" i="1" s="1"/>
  <c r="F2087" i="1"/>
  <c r="I2087" i="1" l="1"/>
  <c r="E2088" i="1" s="1"/>
  <c r="J2088" i="1" l="1"/>
  <c r="G2088" i="1" s="1"/>
  <c r="H2088" i="1"/>
  <c r="F2088" i="1"/>
  <c r="I2088" i="1" l="1"/>
  <c r="E2089" i="1" s="1"/>
  <c r="J2089" i="1" l="1"/>
  <c r="G2089" i="1" s="1"/>
  <c r="H2089" i="1"/>
  <c r="F2089" i="1"/>
  <c r="I2089" i="1" l="1"/>
  <c r="E2090" i="1" s="1"/>
  <c r="H2090" i="1" l="1"/>
  <c r="J2090" i="1"/>
  <c r="G2090" i="1" s="1"/>
  <c r="F2090" i="1"/>
  <c r="I2090" i="1" l="1"/>
  <c r="E2091" i="1" s="1"/>
  <c r="H2091" i="1" l="1"/>
  <c r="J2091" i="1"/>
  <c r="G2091" i="1" s="1"/>
  <c r="F2091" i="1"/>
  <c r="I2091" i="1" l="1"/>
  <c r="E2092" i="1" s="1"/>
  <c r="H2092" i="1" l="1"/>
  <c r="J2092" i="1"/>
  <c r="G2092" i="1" s="1"/>
  <c r="F2092" i="1"/>
  <c r="I2092" i="1" l="1"/>
  <c r="E2093" i="1" s="1"/>
  <c r="H2093" i="1" l="1"/>
  <c r="J2093" i="1"/>
  <c r="G2093" i="1" s="1"/>
  <c r="F2093" i="1"/>
  <c r="I2093" i="1" l="1"/>
  <c r="E2094" i="1" s="1"/>
  <c r="H2094" i="1" l="1"/>
  <c r="J2094" i="1"/>
  <c r="G2094" i="1" s="1"/>
  <c r="F2094" i="1"/>
  <c r="I2094" i="1" l="1"/>
  <c r="E2095" i="1" s="1"/>
  <c r="H2095" i="1" l="1"/>
  <c r="J2095" i="1"/>
  <c r="G2095" i="1" s="1"/>
  <c r="F2095" i="1"/>
  <c r="I2095" i="1" l="1"/>
  <c r="E2096" i="1" s="1"/>
  <c r="J2096" i="1" l="1"/>
  <c r="G2096" i="1" s="1"/>
  <c r="H2096" i="1"/>
  <c r="F2096" i="1"/>
  <c r="I2096" i="1" l="1"/>
  <c r="E2097" i="1" s="1"/>
  <c r="J2097" i="1" l="1"/>
  <c r="G2097" i="1" s="1"/>
  <c r="H2097" i="1"/>
  <c r="F2097" i="1"/>
  <c r="I2097" i="1" l="1"/>
  <c r="E2098" i="1" s="1"/>
  <c r="H2098" i="1" l="1"/>
  <c r="J2098" i="1"/>
  <c r="G2098" i="1" s="1"/>
  <c r="F2098" i="1"/>
  <c r="I2098" i="1" l="1"/>
  <c r="E2099" i="1" s="1"/>
  <c r="H2099" i="1" l="1"/>
  <c r="J2099" i="1"/>
  <c r="G2099" i="1" s="1"/>
  <c r="F2099" i="1"/>
  <c r="I2099" i="1" l="1"/>
  <c r="E2100" i="1" s="1"/>
  <c r="H2100" i="1" l="1"/>
  <c r="J2100" i="1"/>
  <c r="G2100" i="1" s="1"/>
  <c r="F2100" i="1"/>
  <c r="I2100" i="1" l="1"/>
  <c r="E2101" i="1" s="1"/>
  <c r="H2101" i="1" l="1"/>
  <c r="J2101" i="1"/>
  <c r="G2101" i="1" s="1"/>
  <c r="F2101" i="1"/>
  <c r="I2101" i="1" l="1"/>
  <c r="E2102" i="1" s="1"/>
  <c r="H2102" i="1" l="1"/>
  <c r="J2102" i="1"/>
  <c r="G2102" i="1" s="1"/>
  <c r="F2102" i="1"/>
  <c r="I2102" i="1" l="1"/>
  <c r="E2103" i="1" s="1"/>
  <c r="H2103" i="1" l="1"/>
  <c r="J2103" i="1"/>
  <c r="G2103" i="1" s="1"/>
  <c r="F2103" i="1"/>
  <c r="I2103" i="1" l="1"/>
  <c r="E2104" i="1" s="1"/>
  <c r="J2104" i="1" l="1"/>
  <c r="G2104" i="1" s="1"/>
  <c r="H2104" i="1"/>
  <c r="F2104" i="1"/>
  <c r="I2104" i="1" l="1"/>
  <c r="E2105" i="1" s="1"/>
  <c r="H2105" i="1" l="1"/>
  <c r="J2105" i="1"/>
  <c r="G2105" i="1" s="1"/>
  <c r="F2105" i="1"/>
  <c r="I2105" i="1" l="1"/>
  <c r="E2106" i="1" s="1"/>
  <c r="H2106" i="1" l="1"/>
  <c r="J2106" i="1"/>
  <c r="G2106" i="1" s="1"/>
  <c r="F2106" i="1"/>
  <c r="I2106" i="1" l="1"/>
  <c r="E2107" i="1" s="1"/>
  <c r="H2107" i="1" l="1"/>
  <c r="J2107" i="1"/>
  <c r="G2107" i="1" s="1"/>
  <c r="F2107" i="1"/>
  <c r="I2107" i="1" l="1"/>
  <c r="E2108" i="1" s="1"/>
  <c r="H2108" i="1" l="1"/>
  <c r="J2108" i="1"/>
  <c r="G2108" i="1" s="1"/>
  <c r="F2108" i="1"/>
  <c r="I2108" i="1" l="1"/>
  <c r="E2109" i="1" s="1"/>
  <c r="H2109" i="1" l="1"/>
  <c r="J2109" i="1"/>
  <c r="G2109" i="1" s="1"/>
  <c r="F2109" i="1"/>
  <c r="I2109" i="1" l="1"/>
  <c r="E2110" i="1" s="1"/>
  <c r="H2110" i="1" l="1"/>
  <c r="J2110" i="1"/>
  <c r="G2110" i="1" s="1"/>
  <c r="F2110" i="1"/>
  <c r="I2110" i="1" l="1"/>
  <c r="E2111" i="1" s="1"/>
  <c r="H2111" i="1" l="1"/>
  <c r="J2111" i="1"/>
  <c r="G2111" i="1" s="1"/>
  <c r="F2111" i="1"/>
  <c r="I2111" i="1" l="1"/>
  <c r="E2112" i="1" s="1"/>
  <c r="J2112" i="1" l="1"/>
  <c r="G2112" i="1" s="1"/>
  <c r="H2112" i="1"/>
  <c r="F2112" i="1"/>
  <c r="I2112" i="1" l="1"/>
  <c r="E2113" i="1" s="1"/>
  <c r="H2113" i="1" l="1"/>
  <c r="F2113" i="1"/>
  <c r="J2113" i="1"/>
  <c r="G2113" i="1" s="1"/>
  <c r="I2113" i="1" l="1"/>
  <c r="E2114" i="1" s="1"/>
  <c r="H2114" i="1" l="1"/>
  <c r="J2114" i="1"/>
  <c r="G2114" i="1" s="1"/>
  <c r="F2114" i="1"/>
  <c r="I2114" i="1" l="1"/>
  <c r="E2115" i="1" s="1"/>
  <c r="H2115" i="1" l="1"/>
  <c r="J2115" i="1"/>
  <c r="G2115" i="1" s="1"/>
  <c r="F2115" i="1"/>
  <c r="I2115" i="1" l="1"/>
  <c r="E2116" i="1" s="1"/>
  <c r="H2116" i="1" l="1"/>
  <c r="J2116" i="1"/>
  <c r="G2116" i="1" s="1"/>
  <c r="F2116" i="1"/>
  <c r="I2116" i="1" l="1"/>
  <c r="E2117" i="1" s="1"/>
  <c r="H2117" i="1" l="1"/>
  <c r="J2117" i="1"/>
  <c r="G2117" i="1" s="1"/>
  <c r="F2117" i="1"/>
  <c r="I2117" i="1" l="1"/>
  <c r="E2118" i="1" s="1"/>
  <c r="H2118" i="1" l="1"/>
  <c r="J2118" i="1"/>
  <c r="G2118" i="1" s="1"/>
  <c r="F2118" i="1"/>
  <c r="I2118" i="1" l="1"/>
  <c r="E2119" i="1" s="1"/>
  <c r="H2119" i="1" l="1"/>
  <c r="J2119" i="1"/>
  <c r="G2119" i="1" s="1"/>
  <c r="F2119" i="1"/>
  <c r="I2119" i="1" l="1"/>
  <c r="E2120" i="1" s="1"/>
  <c r="J2120" i="1" l="1"/>
  <c r="G2120" i="1" s="1"/>
  <c r="H2120" i="1"/>
  <c r="F2120" i="1"/>
  <c r="I2120" i="1" l="1"/>
  <c r="E2121" i="1" s="1"/>
  <c r="J2121" i="1" l="1"/>
  <c r="G2121" i="1" s="1"/>
  <c r="H2121" i="1"/>
  <c r="F2121" i="1"/>
  <c r="I2121" i="1" l="1"/>
  <c r="E2122" i="1" s="1"/>
  <c r="J2122" i="1" l="1"/>
  <c r="G2122" i="1" s="1"/>
  <c r="F2122" i="1"/>
  <c r="H2122" i="1"/>
  <c r="I2122" i="1" l="1"/>
  <c r="E2123" i="1" s="1"/>
  <c r="H2123" i="1" l="1"/>
  <c r="J2123" i="1"/>
  <c r="G2123" i="1" s="1"/>
  <c r="F2123" i="1"/>
  <c r="I2123" i="1" l="1"/>
  <c r="E2124" i="1" s="1"/>
  <c r="H2124" i="1" l="1"/>
  <c r="J2124" i="1"/>
  <c r="G2124" i="1" s="1"/>
  <c r="F2124" i="1"/>
  <c r="I2124" i="1" l="1"/>
  <c r="E2125" i="1" s="1"/>
  <c r="H2125" i="1" l="1"/>
  <c r="J2125" i="1"/>
  <c r="G2125" i="1" s="1"/>
  <c r="F2125" i="1"/>
  <c r="I2125" i="1" l="1"/>
  <c r="E2126" i="1" s="1"/>
  <c r="H2126" i="1" l="1"/>
  <c r="J2126" i="1"/>
  <c r="G2126" i="1" s="1"/>
  <c r="F2126" i="1"/>
  <c r="I2126" i="1" l="1"/>
  <c r="E2127" i="1" s="1"/>
  <c r="H2127" i="1" l="1"/>
  <c r="F2127" i="1"/>
  <c r="J2127" i="1"/>
  <c r="G2127" i="1" s="1"/>
  <c r="I2127" i="1" l="1"/>
  <c r="E2128" i="1" s="1"/>
  <c r="J2128" i="1" l="1"/>
  <c r="G2128" i="1" s="1"/>
  <c r="H2128" i="1"/>
  <c r="F2128" i="1"/>
  <c r="I2128" i="1" l="1"/>
  <c r="E2129" i="1" s="1"/>
  <c r="F2129" i="1" l="1"/>
  <c r="J2129" i="1"/>
  <c r="G2129" i="1" s="1"/>
  <c r="H2129" i="1"/>
  <c r="I2129" i="1" s="1"/>
  <c r="E2130" i="1" s="1"/>
  <c r="H2130" i="1" l="1"/>
  <c r="I2130" i="1" s="1"/>
  <c r="E2131" i="1" s="1"/>
  <c r="J2130" i="1"/>
  <c r="G2130" i="1" s="1"/>
  <c r="F2130" i="1"/>
  <c r="H2131" i="1" l="1"/>
  <c r="J2131" i="1"/>
  <c r="G2131" i="1" s="1"/>
  <c r="F2131" i="1"/>
  <c r="I2131" i="1" l="1"/>
  <c r="E2132" i="1" s="1"/>
  <c r="H2132" i="1" l="1"/>
  <c r="J2132" i="1"/>
  <c r="G2132" i="1" s="1"/>
  <c r="F2132" i="1"/>
  <c r="I2132" i="1" l="1"/>
  <c r="E2133" i="1" s="1"/>
  <c r="H2133" i="1" l="1"/>
  <c r="J2133" i="1"/>
  <c r="G2133" i="1" s="1"/>
  <c r="F2133" i="1"/>
  <c r="I2133" i="1" l="1"/>
  <c r="E2134" i="1" s="1"/>
  <c r="H2134" i="1" l="1"/>
  <c r="J2134" i="1"/>
  <c r="G2134" i="1" s="1"/>
  <c r="F2134" i="1"/>
  <c r="I2134" i="1" l="1"/>
  <c r="E2135" i="1" s="1"/>
  <c r="J2135" i="1" l="1"/>
  <c r="G2135" i="1" s="1"/>
  <c r="H2135" i="1"/>
  <c r="F2135" i="1"/>
  <c r="I2135" i="1" l="1"/>
  <c r="E2136" i="1" s="1"/>
  <c r="F2136" i="1" l="1"/>
  <c r="J2136" i="1"/>
  <c r="G2136" i="1" s="1"/>
  <c r="H2136" i="1"/>
  <c r="I2136" i="1" l="1"/>
  <c r="E2137" i="1" s="1"/>
  <c r="J2137" i="1" l="1"/>
  <c r="G2137" i="1" s="1"/>
  <c r="H2137" i="1"/>
  <c r="F2137" i="1"/>
  <c r="I2137" i="1" l="1"/>
  <c r="E2138" i="1" s="1"/>
  <c r="H2138" i="1" l="1"/>
  <c r="J2138" i="1"/>
  <c r="G2138" i="1" s="1"/>
  <c r="F2138" i="1"/>
  <c r="I2138" i="1" l="1"/>
  <c r="E2139" i="1" s="1"/>
  <c r="H2139" i="1" l="1"/>
  <c r="J2139" i="1"/>
  <c r="G2139" i="1" s="1"/>
  <c r="F2139" i="1"/>
  <c r="I2139" i="1" l="1"/>
  <c r="E2140" i="1" s="1"/>
  <c r="H2140" i="1" l="1"/>
  <c r="J2140" i="1"/>
  <c r="G2140" i="1" s="1"/>
  <c r="F2140" i="1"/>
  <c r="I2140" i="1" l="1"/>
  <c r="E2141" i="1" s="1"/>
  <c r="H2141" i="1" l="1"/>
  <c r="J2141" i="1"/>
  <c r="G2141" i="1" s="1"/>
  <c r="F2141" i="1"/>
  <c r="I2141" i="1" l="1"/>
  <c r="E2142" i="1" s="1"/>
  <c r="H2142" i="1" l="1"/>
  <c r="J2142" i="1"/>
  <c r="G2142" i="1" s="1"/>
  <c r="F2142" i="1"/>
  <c r="I2142" i="1" l="1"/>
  <c r="E2143" i="1" s="1"/>
  <c r="H2143" i="1" l="1"/>
  <c r="J2143" i="1"/>
  <c r="G2143" i="1" s="1"/>
  <c r="F2143" i="1"/>
  <c r="I2143" i="1" l="1"/>
  <c r="E2144" i="1" s="1"/>
  <c r="J2144" i="1" l="1"/>
  <c r="G2144" i="1" s="1"/>
  <c r="H2144" i="1"/>
  <c r="F2144" i="1"/>
  <c r="I2144" i="1" l="1"/>
  <c r="E2145" i="1" s="1"/>
  <c r="H2145" i="1" l="1"/>
  <c r="J2145" i="1"/>
  <c r="G2145" i="1" s="1"/>
  <c r="F2145" i="1"/>
  <c r="I2145" i="1" l="1"/>
  <c r="E2146" i="1" s="1"/>
  <c r="H2146" i="1" l="1"/>
  <c r="J2146" i="1"/>
  <c r="G2146" i="1" s="1"/>
  <c r="F2146" i="1"/>
  <c r="I2146" i="1" l="1"/>
  <c r="E2147" i="1" s="1"/>
  <c r="J2147" i="1" l="1"/>
  <c r="G2147" i="1" s="1"/>
  <c r="H2147" i="1"/>
  <c r="F2147" i="1"/>
  <c r="I2147" i="1" l="1"/>
  <c r="E2148" i="1" s="1"/>
  <c r="H2148" i="1" l="1"/>
  <c r="J2148" i="1"/>
  <c r="G2148" i="1" s="1"/>
  <c r="F2148" i="1"/>
  <c r="I2148" i="1" l="1"/>
  <c r="E2149" i="1" s="1"/>
  <c r="J2149" i="1" l="1"/>
  <c r="G2149" i="1" s="1"/>
  <c r="H2149" i="1"/>
  <c r="F2149" i="1"/>
  <c r="I2149" i="1" l="1"/>
  <c r="E2150" i="1" s="1"/>
  <c r="H2150" i="1" l="1"/>
  <c r="J2150" i="1"/>
  <c r="G2150" i="1" s="1"/>
  <c r="F2150" i="1"/>
  <c r="I2150" i="1" l="1"/>
  <c r="E2151" i="1" s="1"/>
  <c r="H2151" i="1" l="1"/>
  <c r="J2151" i="1"/>
  <c r="G2151" i="1" s="1"/>
  <c r="F2151" i="1"/>
  <c r="I2151" i="1" l="1"/>
  <c r="E2152" i="1" s="1"/>
  <c r="J2152" i="1" l="1"/>
  <c r="G2152" i="1" s="1"/>
  <c r="H2152" i="1"/>
  <c r="F2152" i="1"/>
  <c r="I2152" i="1" l="1"/>
  <c r="E2153" i="1" s="1"/>
  <c r="H2153" i="1" l="1"/>
  <c r="F2153" i="1"/>
  <c r="J2153" i="1"/>
  <c r="G2153" i="1" s="1"/>
  <c r="I2153" i="1" l="1"/>
  <c r="E2154" i="1" s="1"/>
  <c r="H2154" i="1" l="1"/>
  <c r="J2154" i="1"/>
  <c r="G2154" i="1" s="1"/>
  <c r="F2154" i="1"/>
  <c r="I2154" i="1" l="1"/>
  <c r="E2155" i="1" s="1"/>
  <c r="J2155" i="1" l="1"/>
  <c r="G2155" i="1" s="1"/>
  <c r="H2155" i="1"/>
  <c r="F2155" i="1"/>
  <c r="I2155" i="1" l="1"/>
  <c r="E2156" i="1" s="1"/>
  <c r="H2156" i="1" l="1"/>
  <c r="J2156" i="1"/>
  <c r="G2156" i="1" s="1"/>
  <c r="F2156" i="1"/>
  <c r="I2156" i="1" l="1"/>
  <c r="E2157" i="1" s="1"/>
  <c r="H2157" i="1" l="1"/>
  <c r="J2157" i="1"/>
  <c r="G2157" i="1" s="1"/>
  <c r="F2157" i="1"/>
  <c r="I2157" i="1" l="1"/>
  <c r="E2158" i="1" s="1"/>
  <c r="H2158" i="1" l="1"/>
  <c r="J2158" i="1"/>
  <c r="G2158" i="1" s="1"/>
  <c r="F2158" i="1"/>
  <c r="I2158" i="1" l="1"/>
  <c r="E2159" i="1" s="1"/>
  <c r="H2159" i="1" l="1"/>
  <c r="F2159" i="1"/>
  <c r="J2159" i="1"/>
  <c r="G2159" i="1" s="1"/>
  <c r="I2159" i="1" l="1"/>
  <c r="E2160" i="1" s="1"/>
  <c r="H2160" i="1" l="1"/>
  <c r="F2160" i="1"/>
  <c r="J2160" i="1"/>
  <c r="G2160" i="1" s="1"/>
  <c r="I2160" i="1" l="1"/>
  <c r="E2161" i="1" s="1"/>
  <c r="J2161" i="1" l="1"/>
  <c r="G2161" i="1" s="1"/>
  <c r="H2161" i="1"/>
  <c r="F2161" i="1"/>
  <c r="I2161" i="1" l="1"/>
  <c r="E2162" i="1" s="1"/>
  <c r="H2162" i="1" l="1"/>
  <c r="J2162" i="1"/>
  <c r="G2162" i="1" s="1"/>
  <c r="F2162" i="1"/>
  <c r="I2162" i="1" l="1"/>
  <c r="E2163" i="1" s="1"/>
  <c r="J2163" i="1" l="1"/>
  <c r="G2163" i="1" s="1"/>
  <c r="H2163" i="1"/>
  <c r="F2163" i="1"/>
  <c r="I2163" i="1" l="1"/>
  <c r="E2164" i="1" s="1"/>
  <c r="H2164" i="1" l="1"/>
  <c r="F2164" i="1"/>
  <c r="J2164" i="1"/>
  <c r="G2164" i="1" s="1"/>
  <c r="I2164" i="1" l="1"/>
  <c r="E2165" i="1" s="1"/>
  <c r="F2165" i="1" l="1"/>
  <c r="J2165" i="1"/>
  <c r="G2165" i="1" s="1"/>
  <c r="H2165" i="1"/>
  <c r="I2165" i="1" l="1"/>
  <c r="E2166" i="1" s="1"/>
  <c r="J2166" i="1" l="1"/>
  <c r="G2166" i="1" s="1"/>
  <c r="H2166" i="1"/>
  <c r="F2166" i="1"/>
  <c r="I2166" i="1" l="1"/>
  <c r="E2167" i="1" s="1"/>
  <c r="H2167" i="1" l="1"/>
  <c r="J2167" i="1"/>
  <c r="G2167" i="1" s="1"/>
  <c r="F2167" i="1"/>
  <c r="I2167" i="1" l="1"/>
  <c r="E2168" i="1" s="1"/>
  <c r="J2168" i="1" l="1"/>
  <c r="G2168" i="1" s="1"/>
  <c r="H2168" i="1"/>
  <c r="F2168" i="1"/>
  <c r="I2168" i="1" l="1"/>
  <c r="E2169" i="1" s="1"/>
  <c r="H2169" i="1" l="1"/>
  <c r="J2169" i="1"/>
  <c r="G2169" i="1" s="1"/>
  <c r="F2169" i="1"/>
  <c r="I2169" i="1" l="1"/>
  <c r="E2170" i="1" s="1"/>
  <c r="H2170" i="1" l="1"/>
  <c r="J2170" i="1"/>
  <c r="G2170" i="1" s="1"/>
  <c r="F2170" i="1"/>
  <c r="I2170" i="1" l="1"/>
  <c r="E2171" i="1" s="1"/>
  <c r="J2171" i="1" l="1"/>
  <c r="G2171" i="1" s="1"/>
  <c r="F2171" i="1"/>
  <c r="H2171" i="1"/>
  <c r="I2171" i="1" s="1"/>
  <c r="E2172" i="1" s="1"/>
  <c r="H2172" i="1" l="1"/>
  <c r="J2172" i="1"/>
  <c r="G2172" i="1" s="1"/>
  <c r="F2172" i="1"/>
  <c r="I2172" i="1" l="1"/>
  <c r="E2173" i="1" s="1"/>
  <c r="J2173" i="1" l="1"/>
  <c r="G2173" i="1" s="1"/>
  <c r="F2173" i="1"/>
  <c r="H2173" i="1"/>
  <c r="I2173" i="1" s="1"/>
  <c r="E2174" i="1" s="1"/>
  <c r="F2174" i="1" l="1"/>
  <c r="H2174" i="1"/>
  <c r="J2174" i="1"/>
  <c r="G2174" i="1" s="1"/>
  <c r="I2174" i="1" l="1"/>
  <c r="E2175" i="1" s="1"/>
  <c r="J2175" i="1" l="1"/>
  <c r="G2175" i="1" s="1"/>
  <c r="F2175" i="1"/>
  <c r="H2175" i="1"/>
  <c r="I2175" i="1" s="1"/>
  <c r="E2176" i="1" s="1"/>
  <c r="J2176" i="1" l="1"/>
  <c r="G2176" i="1" s="1"/>
  <c r="H2176" i="1"/>
  <c r="F2176" i="1"/>
  <c r="I2176" i="1" l="1"/>
  <c r="E2177" i="1" s="1"/>
  <c r="E9" i="2" l="1"/>
  <c r="H2177" i="1"/>
  <c r="J2177" i="1"/>
  <c r="G2177" i="1" s="1"/>
  <c r="F2177" i="1"/>
  <c r="J9" i="2" l="1"/>
  <c r="K9" i="2" s="1"/>
  <c r="H9" i="2"/>
  <c r="I9" i="2" s="1"/>
  <c r="I2177" i="1"/>
  <c r="E2178" i="1" s="1"/>
  <c r="J2178" i="1" l="1"/>
  <c r="G2178" i="1" s="1"/>
  <c r="H2178" i="1"/>
  <c r="I2178" i="1" s="1"/>
  <c r="E2179" i="1" s="1"/>
  <c r="F2178" i="1"/>
  <c r="H2179" i="1" l="1"/>
  <c r="J2179" i="1"/>
  <c r="G2179" i="1" s="1"/>
  <c r="F2179" i="1"/>
  <c r="I2179" i="1" l="1"/>
  <c r="E2180" i="1" s="1"/>
  <c r="J2180" i="1" l="1"/>
  <c r="G2180" i="1" s="1"/>
  <c r="F2180" i="1"/>
  <c r="H2180" i="1"/>
  <c r="I2180" i="1" s="1"/>
  <c r="E2181" i="1" s="1"/>
  <c r="F2181" i="1" l="1"/>
  <c r="J2181" i="1"/>
  <c r="G2181" i="1" s="1"/>
  <c r="H2181" i="1"/>
  <c r="I2181" i="1" l="1"/>
  <c r="E2182" i="1" s="1"/>
  <c r="H2182" i="1" l="1"/>
  <c r="F2182" i="1"/>
  <c r="J2182" i="1"/>
  <c r="G2182" i="1" s="1"/>
  <c r="I2182" i="1" l="1"/>
  <c r="E2183" i="1" s="1"/>
  <c r="J2183" i="1" l="1"/>
  <c r="G2183" i="1" s="1"/>
  <c r="F2183" i="1"/>
  <c r="H2183" i="1"/>
  <c r="I2183" i="1" l="1"/>
  <c r="E2184" i="1" s="1"/>
  <c r="J2184" i="1" l="1"/>
  <c r="G2184" i="1" s="1"/>
  <c r="H2184" i="1"/>
  <c r="I2184" i="1" s="1"/>
  <c r="E2185" i="1" s="1"/>
  <c r="F2184" i="1"/>
  <c r="J2185" i="1" l="1"/>
  <c r="G2185" i="1" s="1"/>
  <c r="F2185" i="1"/>
  <c r="H2185" i="1"/>
  <c r="I2185" i="1" l="1"/>
  <c r="E2186" i="1" s="1"/>
  <c r="H2186" i="1" l="1"/>
  <c r="J2186" i="1"/>
  <c r="G2186" i="1" s="1"/>
  <c r="F2186" i="1"/>
  <c r="I2186" i="1" l="1"/>
  <c r="E2187" i="1" s="1"/>
  <c r="J2187" i="1" l="1"/>
  <c r="G2187" i="1" s="1"/>
  <c r="F2187" i="1"/>
  <c r="H2187" i="1"/>
  <c r="I2187" i="1" s="1"/>
  <c r="E2188" i="1" s="1"/>
  <c r="H2188" i="1" l="1"/>
  <c r="J2188" i="1"/>
  <c r="G2188" i="1" s="1"/>
  <c r="F2188" i="1"/>
  <c r="I2188" i="1" l="1"/>
  <c r="E2189" i="1" s="1"/>
  <c r="J2189" i="1" l="1"/>
  <c r="G2189" i="1" s="1"/>
  <c r="H2189" i="1"/>
  <c r="I2189" i="1" s="1"/>
  <c r="E2190" i="1" s="1"/>
  <c r="F2189" i="1"/>
  <c r="H2190" i="1" l="1"/>
  <c r="J2190" i="1"/>
  <c r="G2190" i="1" s="1"/>
  <c r="F2190" i="1"/>
  <c r="I2190" i="1" l="1"/>
  <c r="E2191" i="1" s="1"/>
  <c r="H2191" i="1" l="1"/>
  <c r="J2191" i="1"/>
  <c r="G2191" i="1" s="1"/>
  <c r="F2191" i="1"/>
  <c r="I2191" i="1" l="1"/>
  <c r="E2192" i="1" s="1"/>
  <c r="J2192" i="1" l="1"/>
  <c r="G2192" i="1" s="1"/>
  <c r="H2192" i="1"/>
  <c r="I2192" i="1" s="1"/>
  <c r="E2193" i="1" s="1"/>
  <c r="F2192" i="1"/>
  <c r="H2193" i="1" l="1"/>
  <c r="F2193" i="1"/>
  <c r="J2193" i="1"/>
  <c r="G2193" i="1" s="1"/>
  <c r="I2193" i="1" l="1"/>
  <c r="E2194" i="1" s="1"/>
  <c r="J2194" i="1" l="1"/>
  <c r="G2194" i="1" s="1"/>
  <c r="F2194" i="1"/>
  <c r="H2194" i="1"/>
  <c r="I2194" i="1" s="1"/>
  <c r="E2195" i="1" s="1"/>
  <c r="H2195" i="1" l="1"/>
  <c r="F2195" i="1"/>
  <c r="J2195" i="1"/>
  <c r="G2195" i="1" s="1"/>
  <c r="I2195" i="1" l="1"/>
  <c r="E2196" i="1" s="1"/>
  <c r="H2196" i="1" l="1"/>
  <c r="F2196" i="1"/>
  <c r="J2196" i="1"/>
  <c r="G2196" i="1" s="1"/>
  <c r="I2196" i="1" l="1"/>
  <c r="E2197" i="1" s="1"/>
  <c r="H2197" i="1" l="1"/>
  <c r="J2197" i="1"/>
  <c r="G2197" i="1" s="1"/>
  <c r="F2197" i="1"/>
  <c r="I2197" i="1" l="1"/>
  <c r="E2198" i="1" s="1"/>
  <c r="J2198" i="1" l="1"/>
  <c r="G2198" i="1" s="1"/>
  <c r="F2198" i="1"/>
  <c r="H2198" i="1"/>
  <c r="I2198" i="1" l="1"/>
  <c r="E2199" i="1" s="1"/>
  <c r="J2199" i="1" l="1"/>
  <c r="G2199" i="1" s="1"/>
  <c r="H2199" i="1"/>
  <c r="I2199" i="1" s="1"/>
  <c r="E2200" i="1" s="1"/>
  <c r="F2199" i="1"/>
  <c r="J2200" i="1" l="1"/>
  <c r="G2200" i="1" s="1"/>
  <c r="H2200" i="1"/>
  <c r="I2200" i="1" s="1"/>
  <c r="E2201" i="1" s="1"/>
  <c r="F2200" i="1"/>
  <c r="J2201" i="1" l="1"/>
  <c r="G2201" i="1" s="1"/>
  <c r="H2201" i="1"/>
  <c r="I2201" i="1" s="1"/>
  <c r="E2202" i="1" s="1"/>
  <c r="F2201" i="1"/>
  <c r="J2202" i="1" l="1"/>
  <c r="G2202" i="1" s="1"/>
  <c r="H2202" i="1"/>
  <c r="I2202" i="1" s="1"/>
  <c r="E2203" i="1" s="1"/>
  <c r="F2202" i="1"/>
  <c r="H2203" i="1" l="1"/>
  <c r="J2203" i="1"/>
  <c r="G2203" i="1" s="1"/>
  <c r="F2203" i="1"/>
  <c r="I2203" i="1" l="1"/>
  <c r="E2204" i="1" s="1"/>
  <c r="H2204" i="1" l="1"/>
  <c r="J2204" i="1"/>
  <c r="G2204" i="1" s="1"/>
  <c r="F2204" i="1"/>
  <c r="I2204" i="1" l="1"/>
  <c r="E2205" i="1" s="1"/>
  <c r="H2205" i="1" l="1"/>
  <c r="J2205" i="1"/>
  <c r="G2205" i="1" s="1"/>
  <c r="F2205" i="1"/>
  <c r="I2205" i="1" l="1"/>
  <c r="E2206" i="1" s="1"/>
  <c r="H2206" i="1" l="1"/>
  <c r="J2206" i="1"/>
  <c r="G2206" i="1" s="1"/>
  <c r="F2206" i="1"/>
  <c r="I2206" i="1" l="1"/>
  <c r="E2207" i="1" s="1"/>
  <c r="J2207" i="1" l="1"/>
  <c r="G2207" i="1" s="1"/>
  <c r="H2207" i="1"/>
  <c r="I2207" i="1" s="1"/>
  <c r="E2208" i="1" s="1"/>
  <c r="F2207" i="1"/>
  <c r="J2208" i="1" l="1"/>
  <c r="G2208" i="1" s="1"/>
  <c r="H2208" i="1"/>
  <c r="I2208" i="1" s="1"/>
  <c r="E2209" i="1" s="1"/>
  <c r="F2208" i="1"/>
  <c r="H2209" i="1" l="1"/>
  <c r="F2209" i="1"/>
  <c r="J2209" i="1"/>
  <c r="G2209" i="1" s="1"/>
  <c r="I2209" i="1" l="1"/>
  <c r="E2210" i="1" s="1"/>
  <c r="J2210" i="1" l="1"/>
  <c r="G2210" i="1" s="1"/>
  <c r="F2210" i="1"/>
  <c r="H2210" i="1"/>
  <c r="I2210" i="1" l="1"/>
  <c r="E2211" i="1" s="1"/>
  <c r="H2211" i="1" l="1"/>
  <c r="J2211" i="1"/>
  <c r="G2211" i="1" s="1"/>
  <c r="F2211" i="1"/>
  <c r="I2211" i="1" l="1"/>
  <c r="E2212" i="1" s="1"/>
  <c r="H2212" i="1" l="1"/>
  <c r="J2212" i="1"/>
  <c r="G2212" i="1" s="1"/>
  <c r="F2212" i="1"/>
  <c r="I2212" i="1" l="1"/>
  <c r="E2213" i="1" s="1"/>
  <c r="H2213" i="1" l="1"/>
  <c r="J2213" i="1"/>
  <c r="G2213" i="1" s="1"/>
  <c r="F2213" i="1"/>
  <c r="I2213" i="1" l="1"/>
  <c r="E2214" i="1" s="1"/>
  <c r="H2214" i="1" l="1"/>
  <c r="J2214" i="1"/>
  <c r="G2214" i="1" s="1"/>
  <c r="F2214" i="1"/>
  <c r="I2214" i="1" l="1"/>
  <c r="E2215" i="1" s="1"/>
  <c r="J2215" i="1" l="1"/>
  <c r="G2215" i="1" s="1"/>
  <c r="H2215" i="1"/>
  <c r="I2215" i="1" s="1"/>
  <c r="E2216" i="1" s="1"/>
  <c r="F2215" i="1"/>
  <c r="J2216" i="1" l="1"/>
  <c r="G2216" i="1" s="1"/>
  <c r="H2216" i="1"/>
  <c r="I2216" i="1" s="1"/>
  <c r="E2217" i="1" s="1"/>
  <c r="F2216" i="1"/>
  <c r="F2217" i="1" l="1"/>
  <c r="H2217" i="1"/>
  <c r="J2217" i="1"/>
  <c r="G2217" i="1" s="1"/>
  <c r="I2217" i="1" l="1"/>
  <c r="E2218" i="1" s="1"/>
  <c r="H2218" i="1" l="1"/>
  <c r="J2218" i="1"/>
  <c r="G2218" i="1" s="1"/>
  <c r="F2218" i="1"/>
  <c r="I2218" i="1" l="1"/>
  <c r="E2219" i="1" s="1"/>
  <c r="H2219" i="1" l="1"/>
  <c r="J2219" i="1"/>
  <c r="G2219" i="1" s="1"/>
  <c r="F2219" i="1"/>
  <c r="I2219" i="1" l="1"/>
  <c r="E2220" i="1" s="1"/>
  <c r="H2220" i="1" l="1"/>
  <c r="J2220" i="1"/>
  <c r="G2220" i="1" s="1"/>
  <c r="F2220" i="1"/>
  <c r="I2220" i="1" l="1"/>
  <c r="E2221" i="1" s="1"/>
  <c r="H2221" i="1" l="1"/>
  <c r="J2221" i="1"/>
  <c r="G2221" i="1" s="1"/>
  <c r="F2221" i="1"/>
  <c r="I2221" i="1" l="1"/>
  <c r="E2222" i="1" s="1"/>
  <c r="H2222" i="1" l="1"/>
  <c r="J2222" i="1"/>
  <c r="G2222" i="1" s="1"/>
  <c r="F2222" i="1"/>
  <c r="I2222" i="1" l="1"/>
  <c r="E2223" i="1" s="1"/>
  <c r="J2223" i="1" l="1"/>
  <c r="G2223" i="1" s="1"/>
  <c r="H2223" i="1"/>
  <c r="I2223" i="1" s="1"/>
  <c r="E2224" i="1" s="1"/>
  <c r="F2223" i="1"/>
  <c r="J2224" i="1" l="1"/>
  <c r="G2224" i="1" s="1"/>
  <c r="H2224" i="1"/>
  <c r="I2224" i="1" s="1"/>
  <c r="E2225" i="1" s="1"/>
  <c r="F2224" i="1"/>
  <c r="H2225" i="1" l="1"/>
  <c r="J2225" i="1"/>
  <c r="G2225" i="1" s="1"/>
  <c r="F2225" i="1"/>
  <c r="I2225" i="1" l="1"/>
  <c r="E2226" i="1" s="1"/>
  <c r="H2226" i="1" l="1"/>
  <c r="J2226" i="1"/>
  <c r="G2226" i="1" s="1"/>
  <c r="F2226" i="1"/>
  <c r="I2226" i="1" l="1"/>
  <c r="E2227" i="1" s="1"/>
  <c r="H2227" i="1" l="1"/>
  <c r="J2227" i="1"/>
  <c r="G2227" i="1" s="1"/>
  <c r="F2227" i="1"/>
  <c r="I2227" i="1" l="1"/>
  <c r="E2228" i="1" s="1"/>
  <c r="H2228" i="1" l="1"/>
  <c r="J2228" i="1"/>
  <c r="G2228" i="1" s="1"/>
  <c r="F2228" i="1"/>
  <c r="I2228" i="1" l="1"/>
  <c r="E2229" i="1" s="1"/>
  <c r="H2229" i="1" l="1"/>
  <c r="J2229" i="1"/>
  <c r="G2229" i="1" s="1"/>
  <c r="F2229" i="1"/>
  <c r="I2229" i="1" l="1"/>
  <c r="E2230" i="1" s="1"/>
  <c r="H2230" i="1" l="1"/>
  <c r="J2230" i="1"/>
  <c r="G2230" i="1" s="1"/>
  <c r="F2230" i="1"/>
  <c r="I2230" i="1" l="1"/>
  <c r="E2231" i="1" s="1"/>
  <c r="J2231" i="1" l="1"/>
  <c r="G2231" i="1" s="1"/>
  <c r="H2231" i="1"/>
  <c r="I2231" i="1" s="1"/>
  <c r="E2232" i="1" s="1"/>
  <c r="F2231" i="1"/>
  <c r="J2232" i="1" l="1"/>
  <c r="G2232" i="1" s="1"/>
  <c r="H2232" i="1"/>
  <c r="I2232" i="1" s="1"/>
  <c r="E2233" i="1" s="1"/>
  <c r="F2232" i="1"/>
  <c r="H2233" i="1" l="1"/>
  <c r="J2233" i="1"/>
  <c r="G2233" i="1" s="1"/>
  <c r="F2233" i="1"/>
  <c r="I2233" i="1" l="1"/>
  <c r="E2234" i="1" s="1"/>
  <c r="H2234" i="1" l="1"/>
  <c r="J2234" i="1"/>
  <c r="G2234" i="1" s="1"/>
  <c r="F2234" i="1"/>
  <c r="I2234" i="1" l="1"/>
  <c r="E2235" i="1" s="1"/>
  <c r="H2235" i="1" l="1"/>
  <c r="J2235" i="1"/>
  <c r="G2235" i="1" s="1"/>
  <c r="F2235" i="1"/>
  <c r="I2235" i="1" l="1"/>
  <c r="E2236" i="1" s="1"/>
  <c r="J2236" i="1" l="1"/>
  <c r="G2236" i="1" s="1"/>
  <c r="H2236" i="1"/>
  <c r="I2236" i="1" s="1"/>
  <c r="E2237" i="1" s="1"/>
  <c r="F2236" i="1"/>
  <c r="H2237" i="1" l="1"/>
  <c r="J2237" i="1"/>
  <c r="G2237" i="1" s="1"/>
  <c r="F2237" i="1"/>
  <c r="I2237" i="1" l="1"/>
  <c r="E2238" i="1" s="1"/>
  <c r="H2238" i="1" l="1"/>
  <c r="J2238" i="1"/>
  <c r="G2238" i="1" s="1"/>
  <c r="F2238" i="1"/>
  <c r="I2238" i="1" l="1"/>
  <c r="E2239" i="1" s="1"/>
  <c r="J2239" i="1" l="1"/>
  <c r="G2239" i="1" s="1"/>
  <c r="H2239" i="1"/>
  <c r="I2239" i="1" s="1"/>
  <c r="E2240" i="1" s="1"/>
  <c r="F2239" i="1"/>
  <c r="J2240" i="1" l="1"/>
  <c r="G2240" i="1" s="1"/>
  <c r="H2240" i="1"/>
  <c r="I2240" i="1" s="1"/>
  <c r="E2241" i="1" s="1"/>
  <c r="F2240" i="1"/>
  <c r="H2241" i="1" l="1"/>
  <c r="J2241" i="1"/>
  <c r="G2241" i="1" s="1"/>
  <c r="F2241" i="1"/>
  <c r="I2241" i="1" l="1"/>
  <c r="E2242" i="1" s="1"/>
  <c r="H2242" i="1" l="1"/>
  <c r="J2242" i="1"/>
  <c r="G2242" i="1" s="1"/>
  <c r="F2242" i="1"/>
  <c r="I2242" i="1" l="1"/>
  <c r="E2243" i="1" s="1"/>
  <c r="H2243" i="1" l="1"/>
  <c r="J2243" i="1"/>
  <c r="G2243" i="1" s="1"/>
  <c r="F2243" i="1"/>
  <c r="I2243" i="1" l="1"/>
  <c r="E2244" i="1" s="1"/>
  <c r="H2244" i="1" l="1"/>
  <c r="J2244" i="1"/>
  <c r="G2244" i="1" s="1"/>
  <c r="F2244" i="1"/>
  <c r="I2244" i="1" l="1"/>
  <c r="E2245" i="1" s="1"/>
  <c r="H2245" i="1" l="1"/>
  <c r="J2245" i="1"/>
  <c r="G2245" i="1" s="1"/>
  <c r="F2245" i="1"/>
  <c r="I2245" i="1" l="1"/>
  <c r="E2246" i="1" s="1"/>
  <c r="J2246" i="1" l="1"/>
  <c r="G2246" i="1" s="1"/>
  <c r="H2246" i="1"/>
  <c r="I2246" i="1" s="1"/>
  <c r="E2247" i="1" s="1"/>
  <c r="F2246" i="1"/>
  <c r="J2247" i="1" l="1"/>
  <c r="G2247" i="1" s="1"/>
  <c r="H2247" i="1"/>
  <c r="I2247" i="1" s="1"/>
  <c r="E2248" i="1" s="1"/>
  <c r="F2247" i="1"/>
  <c r="J2248" i="1" l="1"/>
  <c r="G2248" i="1" s="1"/>
  <c r="H2248" i="1"/>
  <c r="I2248" i="1" s="1"/>
  <c r="E2249" i="1" s="1"/>
  <c r="F2248" i="1"/>
  <c r="H2249" i="1" l="1"/>
  <c r="J2249" i="1"/>
  <c r="G2249" i="1" s="1"/>
  <c r="F2249" i="1"/>
  <c r="I2249" i="1" l="1"/>
  <c r="E2250" i="1" s="1"/>
  <c r="J2250" i="1" l="1"/>
  <c r="G2250" i="1" s="1"/>
  <c r="F2250" i="1"/>
  <c r="H2250" i="1"/>
  <c r="I2250" i="1" l="1"/>
  <c r="E2251" i="1" s="1"/>
  <c r="H2251" i="1" l="1"/>
  <c r="J2251" i="1"/>
  <c r="G2251" i="1" s="1"/>
  <c r="F2251" i="1"/>
  <c r="I2251" i="1" l="1"/>
  <c r="E2252" i="1" s="1"/>
  <c r="H2252" i="1" l="1"/>
  <c r="F2252" i="1"/>
  <c r="J2252" i="1"/>
  <c r="G2252" i="1" s="1"/>
  <c r="I2252" i="1" l="1"/>
  <c r="E2253" i="1" s="1"/>
  <c r="H2253" i="1" l="1"/>
  <c r="J2253" i="1"/>
  <c r="G2253" i="1" s="1"/>
  <c r="F2253" i="1"/>
  <c r="I2253" i="1" l="1"/>
  <c r="E2254" i="1" s="1"/>
  <c r="H2254" i="1" l="1"/>
  <c r="J2254" i="1"/>
  <c r="G2254" i="1" s="1"/>
  <c r="F2254" i="1"/>
  <c r="I2254" i="1" l="1"/>
  <c r="E2255" i="1" s="1"/>
  <c r="J2255" i="1" l="1"/>
  <c r="G2255" i="1" s="1"/>
  <c r="H2255" i="1"/>
  <c r="I2255" i="1" s="1"/>
  <c r="E2256" i="1" s="1"/>
  <c r="F2255" i="1"/>
  <c r="F2256" i="1" l="1"/>
  <c r="J2256" i="1"/>
  <c r="G2256" i="1" s="1"/>
  <c r="H2256" i="1"/>
  <c r="I2256" i="1" s="1"/>
  <c r="E2257" i="1" s="1"/>
  <c r="F2257" i="1" l="1"/>
  <c r="H2257" i="1"/>
  <c r="J2257" i="1"/>
  <c r="G2257" i="1" s="1"/>
  <c r="I2257" i="1" l="1"/>
  <c r="E2258" i="1" s="1"/>
  <c r="H2258" i="1" l="1"/>
  <c r="J2258" i="1"/>
  <c r="G2258" i="1" s="1"/>
  <c r="F2258" i="1"/>
  <c r="I2258" i="1" l="1"/>
  <c r="E2259" i="1" s="1"/>
  <c r="H2259" i="1" l="1"/>
  <c r="J2259" i="1"/>
  <c r="G2259" i="1" s="1"/>
  <c r="F2259" i="1"/>
  <c r="I2259" i="1" l="1"/>
  <c r="E2260" i="1" s="1"/>
  <c r="H2260" i="1" l="1"/>
  <c r="J2260" i="1"/>
  <c r="G2260" i="1" s="1"/>
  <c r="F2260" i="1"/>
  <c r="I2260" i="1" l="1"/>
  <c r="E2261" i="1" s="1"/>
  <c r="J2261" i="1" l="1"/>
  <c r="G2261" i="1" s="1"/>
  <c r="H2261" i="1"/>
  <c r="I2261" i="1" s="1"/>
  <c r="E2262" i="1" s="1"/>
  <c r="F2261" i="1"/>
  <c r="J2262" i="1" l="1"/>
  <c r="G2262" i="1" s="1"/>
  <c r="H2262" i="1"/>
  <c r="I2262" i="1" s="1"/>
  <c r="E2263" i="1" s="1"/>
  <c r="F2262" i="1"/>
  <c r="J2263" i="1" l="1"/>
  <c r="G2263" i="1" s="1"/>
  <c r="H2263" i="1"/>
  <c r="I2263" i="1" s="1"/>
  <c r="E2264" i="1" s="1"/>
  <c r="F2263" i="1"/>
  <c r="J2264" i="1" l="1"/>
  <c r="G2264" i="1" s="1"/>
  <c r="H2264" i="1"/>
  <c r="I2264" i="1" s="1"/>
  <c r="E2265" i="1" s="1"/>
  <c r="F2264" i="1"/>
  <c r="H2265" i="1" l="1"/>
  <c r="J2265" i="1"/>
  <c r="G2265" i="1" s="1"/>
  <c r="F2265" i="1"/>
  <c r="I2265" i="1" l="1"/>
  <c r="E2266" i="1" s="1"/>
  <c r="H2266" i="1" l="1"/>
  <c r="J2266" i="1"/>
  <c r="G2266" i="1" s="1"/>
  <c r="F2266" i="1"/>
  <c r="I2266" i="1" l="1"/>
  <c r="E2267" i="1" s="1"/>
  <c r="H2267" i="1" l="1"/>
  <c r="J2267" i="1"/>
  <c r="G2267" i="1" s="1"/>
  <c r="F2267" i="1"/>
  <c r="I2267" i="1" l="1"/>
  <c r="E2268" i="1" s="1"/>
  <c r="H2268" i="1" l="1"/>
  <c r="J2268" i="1"/>
  <c r="G2268" i="1" s="1"/>
  <c r="F2268" i="1"/>
  <c r="I2268" i="1" l="1"/>
  <c r="E2269" i="1" s="1"/>
  <c r="H2269" i="1" l="1"/>
  <c r="J2269" i="1"/>
  <c r="G2269" i="1" s="1"/>
  <c r="F2269" i="1"/>
  <c r="I2269" i="1" l="1"/>
  <c r="E2270" i="1" s="1"/>
  <c r="H2270" i="1" l="1"/>
  <c r="J2270" i="1"/>
  <c r="G2270" i="1" s="1"/>
  <c r="F2270" i="1"/>
  <c r="I2270" i="1" l="1"/>
  <c r="E2271" i="1" s="1"/>
  <c r="J2271" i="1" l="1"/>
  <c r="G2271" i="1" s="1"/>
  <c r="H2271" i="1"/>
  <c r="I2271" i="1" s="1"/>
  <c r="E2272" i="1" s="1"/>
  <c r="F2271" i="1"/>
  <c r="J2272" i="1" l="1"/>
  <c r="G2272" i="1" s="1"/>
  <c r="H2272" i="1"/>
  <c r="I2272" i="1" s="1"/>
  <c r="E2273" i="1" s="1"/>
  <c r="F2272" i="1"/>
  <c r="H2273" i="1" l="1"/>
  <c r="J2273" i="1"/>
  <c r="G2273" i="1" s="1"/>
  <c r="F2273" i="1"/>
  <c r="I2273" i="1" l="1"/>
  <c r="E2274" i="1" s="1"/>
  <c r="H2274" i="1" l="1"/>
  <c r="J2274" i="1"/>
  <c r="G2274" i="1" s="1"/>
  <c r="F2274" i="1"/>
  <c r="I2274" i="1" l="1"/>
  <c r="E2275" i="1" s="1"/>
  <c r="H2275" i="1" l="1"/>
  <c r="F2275" i="1"/>
  <c r="J2275" i="1"/>
  <c r="G2275" i="1" s="1"/>
  <c r="I2275" i="1" l="1"/>
  <c r="E2276" i="1" s="1"/>
  <c r="H2276" i="1" l="1"/>
  <c r="J2276" i="1"/>
  <c r="G2276" i="1" s="1"/>
  <c r="F2276" i="1"/>
  <c r="I2276" i="1" l="1"/>
  <c r="E2277" i="1" s="1"/>
  <c r="H2277" i="1" l="1"/>
  <c r="J2277" i="1"/>
  <c r="G2277" i="1" s="1"/>
  <c r="F2277" i="1"/>
  <c r="I2277" i="1" l="1"/>
  <c r="E2278" i="1" s="1"/>
  <c r="H2278" i="1" l="1"/>
  <c r="J2278" i="1"/>
  <c r="G2278" i="1" s="1"/>
  <c r="F2278" i="1"/>
  <c r="I2278" i="1" l="1"/>
  <c r="E2279" i="1" s="1"/>
  <c r="J2279" i="1" l="1"/>
  <c r="G2279" i="1" s="1"/>
  <c r="H2279" i="1"/>
  <c r="I2279" i="1" s="1"/>
  <c r="E2280" i="1" s="1"/>
  <c r="F2279" i="1"/>
  <c r="J2280" i="1" l="1"/>
  <c r="G2280" i="1" s="1"/>
  <c r="H2280" i="1"/>
  <c r="I2280" i="1" s="1"/>
  <c r="E2281" i="1" s="1"/>
  <c r="F2280" i="1"/>
  <c r="H2281" i="1" l="1"/>
  <c r="F2281" i="1"/>
  <c r="J2281" i="1"/>
  <c r="G2281" i="1" s="1"/>
  <c r="I2281" i="1" l="1"/>
  <c r="E2282" i="1" s="1"/>
  <c r="H2282" i="1" l="1"/>
  <c r="J2282" i="1"/>
  <c r="G2282" i="1" s="1"/>
  <c r="F2282" i="1"/>
  <c r="I2282" i="1" l="1"/>
  <c r="E2283" i="1" s="1"/>
  <c r="H2283" i="1" l="1"/>
  <c r="J2283" i="1"/>
  <c r="G2283" i="1" s="1"/>
  <c r="F2283" i="1"/>
  <c r="I2283" i="1" l="1"/>
  <c r="E2284" i="1" s="1"/>
  <c r="H2284" i="1" l="1"/>
  <c r="J2284" i="1"/>
  <c r="G2284" i="1" s="1"/>
  <c r="F2284" i="1"/>
  <c r="I2284" i="1" l="1"/>
  <c r="E2285" i="1" s="1"/>
  <c r="H2285" i="1" l="1"/>
  <c r="J2285" i="1"/>
  <c r="G2285" i="1" s="1"/>
  <c r="F2285" i="1"/>
  <c r="I2285" i="1" l="1"/>
  <c r="E2286" i="1" s="1"/>
  <c r="H2286" i="1" l="1"/>
  <c r="J2286" i="1"/>
  <c r="G2286" i="1" s="1"/>
  <c r="F2286" i="1"/>
  <c r="I2286" i="1" l="1"/>
  <c r="E2287" i="1" s="1"/>
  <c r="J2287" i="1" l="1"/>
  <c r="G2287" i="1" s="1"/>
  <c r="H2287" i="1"/>
  <c r="I2287" i="1" s="1"/>
  <c r="E2288" i="1" s="1"/>
  <c r="F2287" i="1"/>
  <c r="H2288" i="1" l="1"/>
  <c r="F2288" i="1"/>
  <c r="J2288" i="1"/>
  <c r="G2288" i="1" s="1"/>
  <c r="I2288" i="1" l="1"/>
  <c r="E2289" i="1" s="1"/>
  <c r="H2289" i="1" l="1"/>
  <c r="J2289" i="1"/>
  <c r="G2289" i="1" s="1"/>
  <c r="F2289" i="1"/>
  <c r="I2289" i="1" l="1"/>
  <c r="E2290" i="1" s="1"/>
  <c r="J2290" i="1" l="1"/>
  <c r="G2290" i="1" s="1"/>
  <c r="H2290" i="1"/>
  <c r="I2290" i="1" s="1"/>
  <c r="E2291" i="1" s="1"/>
  <c r="F2290" i="1"/>
  <c r="H2291" i="1" l="1"/>
  <c r="J2291" i="1"/>
  <c r="G2291" i="1" s="1"/>
  <c r="F2291" i="1"/>
  <c r="I2291" i="1" l="1"/>
  <c r="E2292" i="1" s="1"/>
  <c r="H2292" i="1" l="1"/>
  <c r="J2292" i="1"/>
  <c r="G2292" i="1" s="1"/>
  <c r="F2292" i="1"/>
  <c r="I2292" i="1" l="1"/>
  <c r="E2293" i="1" s="1"/>
  <c r="H2293" i="1" l="1"/>
  <c r="J2293" i="1"/>
  <c r="G2293" i="1" s="1"/>
  <c r="F2293" i="1"/>
  <c r="I2293" i="1" l="1"/>
  <c r="E2294" i="1" s="1"/>
  <c r="H2294" i="1" l="1"/>
  <c r="J2294" i="1"/>
  <c r="G2294" i="1" s="1"/>
  <c r="F2294" i="1"/>
  <c r="I2294" i="1" l="1"/>
  <c r="E2295" i="1" s="1"/>
  <c r="J2295" i="1" l="1"/>
  <c r="G2295" i="1" s="1"/>
  <c r="H2295" i="1"/>
  <c r="I2295" i="1" s="1"/>
  <c r="E2296" i="1" s="1"/>
  <c r="F2295" i="1"/>
  <c r="H2296" i="1" l="1"/>
  <c r="J2296" i="1"/>
  <c r="G2296" i="1" s="1"/>
  <c r="F2296" i="1"/>
  <c r="I2296" i="1" l="1"/>
  <c r="E2297" i="1" s="1"/>
  <c r="H2297" i="1" l="1"/>
  <c r="J2297" i="1"/>
  <c r="G2297" i="1" s="1"/>
  <c r="F2297" i="1"/>
  <c r="I2297" i="1" l="1"/>
  <c r="E2298" i="1" s="1"/>
  <c r="J2298" i="1" l="1"/>
  <c r="G2298" i="1" s="1"/>
  <c r="H2298" i="1"/>
  <c r="I2298" i="1" s="1"/>
  <c r="E2299" i="1" s="1"/>
  <c r="F2298" i="1"/>
  <c r="H2299" i="1" l="1"/>
  <c r="J2299" i="1"/>
  <c r="G2299" i="1" s="1"/>
  <c r="F2299" i="1"/>
  <c r="I2299" i="1" l="1"/>
  <c r="E2300" i="1" s="1"/>
  <c r="H2300" i="1" l="1"/>
  <c r="F2300" i="1"/>
  <c r="J2300" i="1"/>
  <c r="G2300" i="1" s="1"/>
  <c r="I2300" i="1" l="1"/>
  <c r="E2301" i="1" s="1"/>
  <c r="J2301" i="1" l="1"/>
  <c r="G2301" i="1" s="1"/>
  <c r="H2301" i="1"/>
  <c r="I2301" i="1" s="1"/>
  <c r="E2302" i="1" s="1"/>
  <c r="F2301" i="1"/>
  <c r="F2302" i="1" l="1"/>
  <c r="H2302" i="1"/>
  <c r="J2302" i="1"/>
  <c r="G2302" i="1" s="1"/>
  <c r="I2302" i="1" l="1"/>
  <c r="E2303" i="1" s="1"/>
  <c r="J2303" i="1" l="1"/>
  <c r="G2303" i="1" s="1"/>
  <c r="H2303" i="1"/>
  <c r="I2303" i="1" s="1"/>
  <c r="E2304" i="1" s="1"/>
  <c r="F2303" i="1"/>
  <c r="H2304" i="1" l="1"/>
  <c r="J2304" i="1"/>
  <c r="G2304" i="1" s="1"/>
  <c r="F2304" i="1"/>
  <c r="I2304" i="1" l="1"/>
  <c r="E2305" i="1" s="1"/>
  <c r="H2305" i="1" l="1"/>
  <c r="J2305" i="1"/>
  <c r="G2305" i="1" s="1"/>
  <c r="F2305" i="1"/>
  <c r="I2305" i="1" l="1"/>
  <c r="E2306" i="1" s="1"/>
  <c r="J2306" i="1" l="1"/>
  <c r="G2306" i="1" s="1"/>
  <c r="F2306" i="1"/>
  <c r="H2306" i="1"/>
  <c r="I2306" i="1" l="1"/>
  <c r="E2307" i="1" s="1"/>
  <c r="H2307" i="1" l="1"/>
  <c r="J2307" i="1"/>
  <c r="G2307" i="1" s="1"/>
  <c r="F2307" i="1"/>
  <c r="I2307" i="1" l="1"/>
  <c r="E2308" i="1" s="1"/>
  <c r="H2308" i="1" l="1"/>
  <c r="J2308" i="1"/>
  <c r="G2308" i="1" s="1"/>
  <c r="F2308" i="1"/>
  <c r="I2308" i="1" l="1"/>
  <c r="E2309" i="1" s="1"/>
  <c r="J2309" i="1" l="1"/>
  <c r="G2309" i="1" s="1"/>
  <c r="H2309" i="1"/>
  <c r="I2309" i="1" s="1"/>
  <c r="E2310" i="1" s="1"/>
  <c r="F2309" i="1"/>
  <c r="H2310" i="1" l="1"/>
  <c r="F2310" i="1"/>
  <c r="J2310" i="1"/>
  <c r="G2310" i="1" s="1"/>
  <c r="I2310" i="1" l="1"/>
  <c r="E2311" i="1" s="1"/>
  <c r="J2311" i="1" l="1"/>
  <c r="G2311" i="1" s="1"/>
  <c r="H2311" i="1"/>
  <c r="I2311" i="1" s="1"/>
  <c r="E2312" i="1" s="1"/>
  <c r="F2311" i="1"/>
  <c r="J2312" i="1" l="1"/>
  <c r="G2312" i="1" s="1"/>
  <c r="H2312" i="1"/>
  <c r="I2312" i="1" s="1"/>
  <c r="E2313" i="1" s="1"/>
  <c r="F2312" i="1"/>
  <c r="H2313" i="1" l="1"/>
  <c r="J2313" i="1"/>
  <c r="G2313" i="1" s="1"/>
  <c r="F2313" i="1"/>
  <c r="I2313" i="1" l="1"/>
  <c r="E2314" i="1" s="1"/>
  <c r="H2314" i="1" l="1"/>
  <c r="F2314" i="1"/>
  <c r="J2314" i="1"/>
  <c r="G2314" i="1" s="1"/>
  <c r="I2314" i="1" l="1"/>
  <c r="E2315" i="1" s="1"/>
  <c r="J2315" i="1" l="1"/>
  <c r="G2315" i="1" s="1"/>
  <c r="F2315" i="1"/>
  <c r="H2315" i="1"/>
  <c r="I2315" i="1" l="1"/>
  <c r="E2316" i="1" s="1"/>
  <c r="J2316" i="1" l="1"/>
  <c r="G2316" i="1" s="1"/>
  <c r="H2316" i="1"/>
  <c r="I2316" i="1" s="1"/>
  <c r="E2317" i="1" s="1"/>
  <c r="F2316" i="1"/>
  <c r="J2317" i="1" l="1"/>
  <c r="G2317" i="1" s="1"/>
  <c r="H2317" i="1"/>
  <c r="I2317" i="1" s="1"/>
  <c r="E2318" i="1" s="1"/>
  <c r="F2317" i="1"/>
  <c r="F2318" i="1" l="1"/>
  <c r="H2318" i="1"/>
  <c r="J2318" i="1"/>
  <c r="G2318" i="1" s="1"/>
  <c r="I2318" i="1" l="1"/>
  <c r="E2319" i="1" s="1"/>
  <c r="H2319" i="1" l="1"/>
  <c r="F2319" i="1"/>
  <c r="J2319" i="1"/>
  <c r="G2319" i="1" s="1"/>
  <c r="I2319" i="1" l="1"/>
  <c r="E2320" i="1" s="1"/>
  <c r="J2320" i="1" l="1"/>
  <c r="G2320" i="1" s="1"/>
  <c r="F2320" i="1"/>
  <c r="H2320" i="1"/>
  <c r="I2320" i="1" s="1"/>
  <c r="E2321" i="1" s="1"/>
  <c r="J2321" i="1" l="1"/>
  <c r="G2321" i="1" s="1"/>
  <c r="H2321" i="1"/>
  <c r="I2321" i="1" s="1"/>
  <c r="E2322" i="1" s="1"/>
  <c r="F2321" i="1"/>
  <c r="H2322" i="1" l="1"/>
  <c r="J2322" i="1"/>
  <c r="G2322" i="1" s="1"/>
  <c r="F2322" i="1"/>
  <c r="I2322" i="1" l="1"/>
  <c r="E2323" i="1" s="1"/>
  <c r="J2323" i="1" l="1"/>
  <c r="G2323" i="1" s="1"/>
  <c r="H2323" i="1"/>
  <c r="F2323" i="1"/>
  <c r="I2323" i="1" l="1"/>
  <c r="E2324" i="1" s="1"/>
  <c r="J2324" i="1" l="1"/>
  <c r="G2324" i="1" s="1"/>
  <c r="H2324" i="1"/>
  <c r="I2324" i="1" s="1"/>
  <c r="E2325" i="1" s="1"/>
  <c r="F2324" i="1"/>
  <c r="H2325" i="1" l="1"/>
  <c r="J2325" i="1"/>
  <c r="G2325" i="1" s="1"/>
  <c r="F2325" i="1"/>
  <c r="I2325" i="1" l="1"/>
  <c r="E2326" i="1" s="1"/>
  <c r="H2326" i="1" l="1"/>
  <c r="J2326" i="1"/>
  <c r="G2326" i="1" s="1"/>
  <c r="F2326" i="1"/>
  <c r="I2326" i="1" l="1"/>
  <c r="E2327" i="1" s="1"/>
  <c r="J2327" i="1" l="1"/>
  <c r="G2327" i="1" s="1"/>
  <c r="H2327" i="1"/>
  <c r="I2327" i="1" s="1"/>
  <c r="E2328" i="1" s="1"/>
  <c r="F2327" i="1"/>
  <c r="J2328" i="1" l="1"/>
  <c r="G2328" i="1" s="1"/>
  <c r="H2328" i="1"/>
  <c r="I2328" i="1" s="1"/>
  <c r="E2329" i="1" s="1"/>
  <c r="F2328" i="1"/>
  <c r="H2329" i="1" l="1"/>
  <c r="J2329" i="1"/>
  <c r="G2329" i="1" s="1"/>
  <c r="F2329" i="1"/>
  <c r="I2329" i="1" l="1"/>
  <c r="E2330" i="1" s="1"/>
  <c r="H2330" i="1" l="1"/>
  <c r="J2330" i="1"/>
  <c r="G2330" i="1" s="1"/>
  <c r="F2330" i="1"/>
  <c r="I2330" i="1" l="1"/>
  <c r="E2331" i="1" s="1"/>
  <c r="J2331" i="1" l="1"/>
  <c r="G2331" i="1" s="1"/>
  <c r="H2331" i="1"/>
  <c r="I2331" i="1" s="1"/>
  <c r="E2332" i="1" s="1"/>
  <c r="F2331" i="1"/>
  <c r="J2332" i="1" l="1"/>
  <c r="G2332" i="1" s="1"/>
  <c r="H2332" i="1"/>
  <c r="I2332" i="1" s="1"/>
  <c r="E2333" i="1" s="1"/>
  <c r="F2332" i="1"/>
  <c r="H2333" i="1" l="1"/>
  <c r="J2333" i="1"/>
  <c r="G2333" i="1" s="1"/>
  <c r="F2333" i="1"/>
  <c r="I2333" i="1" l="1"/>
  <c r="E2334" i="1" s="1"/>
  <c r="H2334" i="1" l="1"/>
  <c r="F2334" i="1"/>
  <c r="J2334" i="1"/>
  <c r="G2334" i="1" s="1"/>
  <c r="I2334" i="1" l="1"/>
  <c r="E2335" i="1" s="1"/>
  <c r="J2335" i="1" l="1"/>
  <c r="G2335" i="1" s="1"/>
  <c r="H2335" i="1"/>
  <c r="F2335" i="1"/>
  <c r="I2335" i="1" l="1"/>
  <c r="E2336" i="1" s="1"/>
  <c r="J2336" i="1" l="1"/>
  <c r="G2336" i="1" s="1"/>
  <c r="F2336" i="1"/>
  <c r="H2336" i="1"/>
  <c r="I2336" i="1" l="1"/>
  <c r="E2337" i="1" s="1"/>
  <c r="F2337" i="1" l="1"/>
  <c r="H2337" i="1"/>
  <c r="J2337" i="1"/>
  <c r="G2337" i="1" s="1"/>
  <c r="I2337" i="1" l="1"/>
  <c r="E2338" i="1" s="1"/>
  <c r="F2338" i="1" l="1"/>
  <c r="H2338" i="1"/>
  <c r="J2338" i="1"/>
  <c r="G2338" i="1" s="1"/>
  <c r="I2338" i="1" l="1"/>
  <c r="E2339" i="1" s="1"/>
  <c r="J2339" i="1" l="1"/>
  <c r="G2339" i="1" s="1"/>
  <c r="H2339" i="1"/>
  <c r="I2339" i="1" s="1"/>
  <c r="E2340" i="1" s="1"/>
  <c r="F2339" i="1"/>
  <c r="J2340" i="1" l="1"/>
  <c r="G2340" i="1" s="1"/>
  <c r="H2340" i="1"/>
  <c r="I2340" i="1" s="1"/>
  <c r="E2341" i="1" s="1"/>
  <c r="F2340" i="1"/>
  <c r="H2341" i="1" l="1"/>
  <c r="J2341" i="1"/>
  <c r="G2341" i="1" s="1"/>
  <c r="F2341" i="1"/>
  <c r="I2341" i="1" l="1"/>
  <c r="E2342" i="1" s="1"/>
  <c r="H2342" i="1" l="1"/>
  <c r="J2342" i="1"/>
  <c r="G2342" i="1" s="1"/>
  <c r="F2342" i="1"/>
  <c r="I2342" i="1" l="1"/>
  <c r="E2343" i="1" s="1"/>
  <c r="J2343" i="1" l="1"/>
  <c r="G2343" i="1" s="1"/>
  <c r="H2343" i="1"/>
  <c r="I2343" i="1" s="1"/>
  <c r="E2344" i="1" s="1"/>
  <c r="F2343" i="1"/>
  <c r="J2344" i="1" l="1"/>
  <c r="G2344" i="1" s="1"/>
  <c r="H2344" i="1"/>
  <c r="F2344" i="1"/>
  <c r="I2344" i="1" l="1"/>
  <c r="E2345" i="1" s="1"/>
  <c r="H2345" i="1" l="1"/>
  <c r="J2345" i="1"/>
  <c r="G2345" i="1" s="1"/>
  <c r="F2345" i="1"/>
  <c r="I2345" i="1" l="1"/>
  <c r="E2346" i="1" s="1"/>
  <c r="F2346" i="1" l="1"/>
  <c r="H2346" i="1"/>
  <c r="J2346" i="1"/>
  <c r="G2346" i="1" s="1"/>
  <c r="I2346" i="1" l="1"/>
  <c r="E2347" i="1" s="1"/>
  <c r="J2347" i="1" l="1"/>
  <c r="G2347" i="1" s="1"/>
  <c r="F2347" i="1"/>
  <c r="H2347" i="1"/>
  <c r="I2347" i="1" s="1"/>
  <c r="E2348" i="1" s="1"/>
  <c r="F2348" i="1" l="1"/>
  <c r="J2348" i="1"/>
  <c r="G2348" i="1" s="1"/>
  <c r="H2348" i="1"/>
  <c r="I2348" i="1" l="1"/>
  <c r="E2349" i="1" s="1"/>
  <c r="J2349" i="1" l="1"/>
  <c r="G2349" i="1" s="1"/>
  <c r="F2349" i="1"/>
  <c r="H2349" i="1"/>
  <c r="I2349" i="1" s="1"/>
  <c r="E2350" i="1" s="1"/>
  <c r="H2350" i="1" l="1"/>
  <c r="J2350" i="1"/>
  <c r="G2350" i="1" s="1"/>
  <c r="F2350" i="1"/>
  <c r="I2350" i="1" l="1"/>
  <c r="E2351" i="1" s="1"/>
  <c r="F2351" i="1" l="1"/>
  <c r="J2351" i="1"/>
  <c r="G2351" i="1" s="1"/>
  <c r="H2351" i="1"/>
  <c r="I2351" i="1" s="1"/>
  <c r="E2352" i="1" s="1"/>
  <c r="J2352" i="1" l="1"/>
  <c r="G2352" i="1" s="1"/>
  <c r="F2352" i="1"/>
  <c r="H2352" i="1"/>
  <c r="I2352" i="1" l="1"/>
  <c r="E2353" i="1" s="1"/>
  <c r="F2353" i="1" l="1"/>
  <c r="J2353" i="1"/>
  <c r="G2353" i="1" s="1"/>
  <c r="H2353" i="1"/>
  <c r="I2353" i="1" s="1"/>
  <c r="E2354" i="1" s="1"/>
  <c r="J2354" i="1" l="1"/>
  <c r="G2354" i="1" s="1"/>
  <c r="F2354" i="1"/>
  <c r="H2354" i="1"/>
  <c r="I2354" i="1" s="1"/>
  <c r="E2355" i="1" s="1"/>
  <c r="J2355" i="1" l="1"/>
  <c r="G2355" i="1" s="1"/>
  <c r="H2355" i="1"/>
  <c r="F2355" i="1"/>
  <c r="I2355" i="1" l="1"/>
  <c r="E2356" i="1" s="1"/>
  <c r="J2356" i="1" l="1"/>
  <c r="G2356" i="1" s="1"/>
  <c r="H2356" i="1"/>
  <c r="F2356" i="1"/>
  <c r="I2356" i="1" l="1"/>
  <c r="E2357" i="1" s="1"/>
  <c r="H2357" i="1" l="1"/>
  <c r="J2357" i="1"/>
  <c r="G2357" i="1" s="1"/>
  <c r="F2357" i="1"/>
  <c r="I2357" i="1" l="1"/>
  <c r="E2358" i="1" s="1"/>
  <c r="J2358" i="1" l="1"/>
  <c r="G2358" i="1" s="1"/>
  <c r="F2358" i="1"/>
  <c r="H2358" i="1"/>
  <c r="I2358" i="1" s="1"/>
  <c r="E2359" i="1" s="1"/>
  <c r="J2359" i="1" l="1"/>
  <c r="G2359" i="1" s="1"/>
  <c r="F2359" i="1"/>
  <c r="H2359" i="1"/>
  <c r="I2359" i="1" s="1"/>
  <c r="E2360" i="1" s="1"/>
  <c r="J2360" i="1" l="1"/>
  <c r="G2360" i="1" s="1"/>
  <c r="H2360" i="1"/>
  <c r="I2360" i="1" s="1"/>
  <c r="E2361" i="1" s="1"/>
  <c r="F2360" i="1"/>
  <c r="H2361" i="1" l="1"/>
  <c r="F2361" i="1"/>
  <c r="J2361" i="1"/>
  <c r="G2361" i="1" s="1"/>
  <c r="I2361" i="1" l="1"/>
  <c r="E2362" i="1" s="1"/>
  <c r="J2362" i="1" l="1"/>
  <c r="G2362" i="1" s="1"/>
  <c r="F2362" i="1"/>
  <c r="H2362" i="1"/>
  <c r="I2362" i="1" s="1"/>
  <c r="E2363" i="1" s="1"/>
  <c r="J2363" i="1" l="1"/>
  <c r="G2363" i="1" s="1"/>
  <c r="H2363" i="1"/>
  <c r="I2363" i="1" s="1"/>
  <c r="E2364" i="1" s="1"/>
  <c r="F2363" i="1"/>
  <c r="J2364" i="1" l="1"/>
  <c r="G2364" i="1" s="1"/>
  <c r="H2364" i="1"/>
  <c r="I2364" i="1" s="1"/>
  <c r="E2365" i="1" s="1"/>
  <c r="F2364" i="1"/>
  <c r="H2365" i="1" l="1"/>
  <c r="J2365" i="1"/>
  <c r="G2365" i="1" s="1"/>
  <c r="F2365" i="1"/>
  <c r="I2365" i="1" l="1"/>
  <c r="E2366" i="1" s="1"/>
  <c r="H2366" i="1" l="1"/>
  <c r="J2366" i="1"/>
  <c r="G2366" i="1" s="1"/>
  <c r="F2366" i="1"/>
  <c r="I2366" i="1" l="1"/>
  <c r="E2367" i="1" s="1"/>
  <c r="J2367" i="1" l="1"/>
  <c r="G2367" i="1" s="1"/>
  <c r="H2367" i="1"/>
  <c r="I2367" i="1" s="1"/>
  <c r="E2368" i="1" s="1"/>
  <c r="F2367" i="1"/>
  <c r="J2368" i="1" l="1"/>
  <c r="G2368" i="1" s="1"/>
  <c r="H2368" i="1"/>
  <c r="I2368" i="1" s="1"/>
  <c r="E2369" i="1" s="1"/>
  <c r="F2368" i="1"/>
  <c r="J2369" i="1" l="1"/>
  <c r="G2369" i="1" s="1"/>
  <c r="F2369" i="1"/>
  <c r="H2369" i="1"/>
  <c r="I2369" i="1" s="1"/>
  <c r="E2370" i="1" s="1"/>
  <c r="H2370" i="1" l="1"/>
  <c r="J2370" i="1"/>
  <c r="G2370" i="1" s="1"/>
  <c r="F2370" i="1"/>
  <c r="I2370" i="1" l="1"/>
  <c r="E2371" i="1" s="1"/>
  <c r="F2371" i="1" l="1"/>
  <c r="H2371" i="1"/>
  <c r="J2371" i="1"/>
  <c r="G2371" i="1" s="1"/>
  <c r="I2371" i="1" l="1"/>
  <c r="E2372" i="1" s="1"/>
  <c r="H2372" i="1" l="1"/>
  <c r="J2372" i="1"/>
  <c r="G2372" i="1" s="1"/>
  <c r="F2372" i="1"/>
  <c r="I2372" i="1" l="1"/>
  <c r="E2373" i="1" s="1"/>
  <c r="H2373" i="1" l="1"/>
  <c r="J2373" i="1"/>
  <c r="G2373" i="1" s="1"/>
  <c r="F2373" i="1"/>
  <c r="I2373" i="1" l="1"/>
  <c r="E2374" i="1" s="1"/>
  <c r="J2374" i="1" l="1"/>
  <c r="G2374" i="1" s="1"/>
  <c r="H2374" i="1"/>
  <c r="I2374" i="1" s="1"/>
  <c r="E2375" i="1" s="1"/>
  <c r="F2374" i="1"/>
  <c r="H2375" i="1" l="1"/>
  <c r="J2375" i="1"/>
  <c r="G2375" i="1" s="1"/>
  <c r="F2375" i="1"/>
  <c r="I2375" i="1" l="1"/>
  <c r="E2376" i="1" s="1"/>
  <c r="J2376" i="1" l="1"/>
  <c r="G2376" i="1" s="1"/>
  <c r="H2376" i="1"/>
  <c r="I2376" i="1" s="1"/>
  <c r="E2377" i="1" s="1"/>
  <c r="F2376" i="1"/>
  <c r="J2377" i="1" l="1"/>
  <c r="G2377" i="1" s="1"/>
  <c r="H2377" i="1"/>
  <c r="F2377" i="1"/>
  <c r="I2377" i="1" l="1"/>
  <c r="E2378" i="1" s="1"/>
  <c r="H2378" i="1" l="1"/>
  <c r="J2378" i="1"/>
  <c r="G2378" i="1" s="1"/>
  <c r="F2378" i="1"/>
  <c r="I2378" i="1" l="1"/>
  <c r="E2379" i="1" s="1"/>
  <c r="H2379" i="1" l="1"/>
  <c r="J2379" i="1"/>
  <c r="G2379" i="1" s="1"/>
  <c r="F2379" i="1"/>
  <c r="I2379" i="1" l="1"/>
  <c r="E2380" i="1" s="1"/>
  <c r="H2380" i="1" l="1"/>
  <c r="J2380" i="1"/>
  <c r="G2380" i="1" s="1"/>
  <c r="F2380" i="1"/>
  <c r="I2380" i="1" l="1"/>
  <c r="E2381" i="1" s="1"/>
  <c r="H2381" i="1" l="1"/>
  <c r="J2381" i="1"/>
  <c r="G2381" i="1" s="1"/>
  <c r="F2381" i="1"/>
  <c r="I2381" i="1" l="1"/>
  <c r="E2382" i="1" s="1"/>
  <c r="H2382" i="1" l="1"/>
  <c r="J2382" i="1"/>
  <c r="G2382" i="1" s="1"/>
  <c r="F2382" i="1"/>
  <c r="I2382" i="1" l="1"/>
  <c r="E2383" i="1" s="1"/>
  <c r="H2383" i="1" l="1"/>
  <c r="J2383" i="1"/>
  <c r="G2383" i="1" s="1"/>
  <c r="F2383" i="1"/>
  <c r="I2383" i="1" l="1"/>
  <c r="E2384" i="1" s="1"/>
  <c r="J2384" i="1" l="1"/>
  <c r="G2384" i="1" s="1"/>
  <c r="H2384" i="1"/>
  <c r="I2384" i="1" s="1"/>
  <c r="E2385" i="1" s="1"/>
  <c r="F2384" i="1"/>
  <c r="J2385" i="1" l="1"/>
  <c r="G2385" i="1" s="1"/>
  <c r="H2385" i="1"/>
  <c r="I2385" i="1" s="1"/>
  <c r="E2386" i="1" s="1"/>
  <c r="F2385" i="1"/>
  <c r="J2386" i="1" l="1"/>
  <c r="G2386" i="1" s="1"/>
  <c r="F2386" i="1"/>
  <c r="H2386" i="1"/>
  <c r="I2386" i="1" s="1"/>
  <c r="E2387" i="1" s="1"/>
  <c r="H2387" i="1" l="1"/>
  <c r="F2387" i="1"/>
  <c r="J2387" i="1"/>
  <c r="G2387" i="1" s="1"/>
  <c r="I2387" i="1" l="1"/>
  <c r="E2388" i="1" s="1"/>
  <c r="H2388" i="1" l="1"/>
  <c r="J2388" i="1"/>
  <c r="G2388" i="1" s="1"/>
  <c r="F2388" i="1"/>
  <c r="I2388" i="1" l="1"/>
  <c r="E2389" i="1" s="1"/>
  <c r="H2389" i="1" l="1"/>
  <c r="J2389" i="1"/>
  <c r="G2389" i="1" s="1"/>
  <c r="F2389" i="1"/>
  <c r="I2389" i="1" l="1"/>
  <c r="E2390" i="1" s="1"/>
  <c r="H2390" i="1" l="1"/>
  <c r="J2390" i="1"/>
  <c r="G2390" i="1" s="1"/>
  <c r="F2390" i="1"/>
  <c r="I2390" i="1" l="1"/>
  <c r="E2391" i="1" s="1"/>
  <c r="J2391" i="1" l="1"/>
  <c r="G2391" i="1" s="1"/>
  <c r="H2391" i="1"/>
  <c r="I2391" i="1" s="1"/>
  <c r="E2392" i="1" s="1"/>
  <c r="F2391" i="1"/>
  <c r="J2392" i="1" l="1"/>
  <c r="G2392" i="1" s="1"/>
  <c r="H2392" i="1"/>
  <c r="I2392" i="1" s="1"/>
  <c r="E2393" i="1" s="1"/>
  <c r="F2392" i="1"/>
  <c r="J2393" i="1" l="1"/>
  <c r="G2393" i="1" s="1"/>
  <c r="H2393" i="1"/>
  <c r="I2393" i="1" s="1"/>
  <c r="E2394" i="1" s="1"/>
  <c r="F2393" i="1"/>
  <c r="H2394" i="1" l="1"/>
  <c r="J2394" i="1"/>
  <c r="G2394" i="1" s="1"/>
  <c r="F2394" i="1"/>
  <c r="I2394" i="1" l="1"/>
  <c r="E2395" i="1" s="1"/>
  <c r="H2395" i="1" l="1"/>
  <c r="J2395" i="1"/>
  <c r="G2395" i="1" s="1"/>
  <c r="F2395" i="1"/>
  <c r="I2395" i="1" l="1"/>
  <c r="E2396" i="1" s="1"/>
  <c r="J2396" i="1" l="1"/>
  <c r="G2396" i="1" s="1"/>
  <c r="H2396" i="1"/>
  <c r="I2396" i="1" s="1"/>
  <c r="E2397" i="1" s="1"/>
  <c r="F2396" i="1"/>
  <c r="H2397" i="1" l="1"/>
  <c r="J2397" i="1"/>
  <c r="G2397" i="1" s="1"/>
  <c r="F2397" i="1"/>
  <c r="I2397" i="1" l="1"/>
  <c r="E2398" i="1" s="1"/>
  <c r="J2398" i="1" l="1"/>
  <c r="G2398" i="1" s="1"/>
  <c r="H2398" i="1"/>
  <c r="I2398" i="1" s="1"/>
  <c r="E2399" i="1" s="1"/>
  <c r="F2398" i="1"/>
  <c r="H2399" i="1" l="1"/>
  <c r="J2399" i="1"/>
  <c r="G2399" i="1" s="1"/>
  <c r="F2399" i="1"/>
  <c r="I2399" i="1" l="1"/>
  <c r="E2400" i="1" s="1"/>
  <c r="J2400" i="1" l="1"/>
  <c r="G2400" i="1" s="1"/>
  <c r="H2400" i="1"/>
  <c r="I2400" i="1" s="1"/>
  <c r="E2401" i="1" s="1"/>
  <c r="F2400" i="1"/>
  <c r="J2401" i="1" l="1"/>
  <c r="G2401" i="1" s="1"/>
  <c r="H2401" i="1"/>
  <c r="I2401" i="1" s="1"/>
  <c r="E2402" i="1" s="1"/>
  <c r="F2401" i="1"/>
  <c r="H2402" i="1" l="1"/>
  <c r="J2402" i="1"/>
  <c r="G2402" i="1" s="1"/>
  <c r="F2402" i="1"/>
  <c r="I2402" i="1" l="1"/>
  <c r="E2403" i="1" s="1"/>
  <c r="H2403" i="1" l="1"/>
  <c r="I2403" i="1" s="1"/>
  <c r="E2404" i="1" s="1"/>
  <c r="J2403" i="1"/>
  <c r="G2403" i="1" s="1"/>
  <c r="F2403" i="1"/>
  <c r="H2404" i="1" l="1"/>
  <c r="J2404" i="1"/>
  <c r="G2404" i="1" s="1"/>
  <c r="F2404" i="1"/>
  <c r="I2404" i="1" l="1"/>
  <c r="E2405" i="1" s="1"/>
  <c r="H2405" i="1" l="1"/>
  <c r="J2405" i="1"/>
  <c r="G2405" i="1" s="1"/>
  <c r="F2405" i="1"/>
  <c r="I2405" i="1" l="1"/>
  <c r="E2406" i="1" s="1"/>
  <c r="H2406" i="1" l="1"/>
  <c r="J2406" i="1"/>
  <c r="G2406" i="1" s="1"/>
  <c r="F2406" i="1"/>
  <c r="I2406" i="1" l="1"/>
  <c r="E2407" i="1" s="1"/>
  <c r="J2407" i="1" l="1"/>
  <c r="G2407" i="1" s="1"/>
  <c r="F2407" i="1"/>
  <c r="H2407" i="1"/>
  <c r="I2407" i="1" l="1"/>
  <c r="E2408" i="1" s="1"/>
  <c r="H2408" i="1" l="1"/>
  <c r="J2408" i="1"/>
  <c r="G2408" i="1" s="1"/>
  <c r="F2408" i="1"/>
  <c r="I2408" i="1" l="1"/>
  <c r="E2409" i="1" s="1"/>
  <c r="H2409" i="1" l="1"/>
  <c r="F2409" i="1"/>
  <c r="J2409" i="1"/>
  <c r="G2409" i="1" s="1"/>
  <c r="I2409" i="1" l="1"/>
  <c r="E2410" i="1" s="1"/>
  <c r="H2410" i="1" l="1"/>
  <c r="F2410" i="1"/>
  <c r="J2410" i="1"/>
  <c r="G2410" i="1" s="1"/>
  <c r="I2410" i="1" l="1"/>
  <c r="E2411" i="1" s="1"/>
  <c r="H2411" i="1" l="1"/>
  <c r="F2411" i="1"/>
  <c r="J2411" i="1"/>
  <c r="G2411" i="1" s="1"/>
  <c r="I2411" i="1" l="1"/>
  <c r="E2412" i="1" s="1"/>
  <c r="F2412" i="1" l="1"/>
  <c r="H2412" i="1"/>
  <c r="J2412" i="1"/>
  <c r="G2412" i="1" s="1"/>
  <c r="I2412" i="1" l="1"/>
  <c r="E2413" i="1" s="1"/>
  <c r="F2413" i="1" l="1"/>
  <c r="H2413" i="1"/>
  <c r="J2413" i="1"/>
  <c r="G2413" i="1" s="1"/>
  <c r="I2413" i="1" l="1"/>
  <c r="E2414" i="1" s="1"/>
  <c r="F2414" i="1" l="1"/>
  <c r="J2414" i="1"/>
  <c r="G2414" i="1" s="1"/>
  <c r="H2414" i="1"/>
  <c r="I2414" i="1" s="1"/>
  <c r="E2415" i="1" s="1"/>
  <c r="J2415" i="1" l="1"/>
  <c r="G2415" i="1" s="1"/>
  <c r="H2415" i="1"/>
  <c r="I2415" i="1" s="1"/>
  <c r="E2416" i="1" s="1"/>
  <c r="F2415" i="1"/>
  <c r="F2416" i="1" l="1"/>
  <c r="J2416" i="1"/>
  <c r="G2416" i="1" s="1"/>
  <c r="H2416" i="1"/>
  <c r="I2416" i="1" s="1"/>
  <c r="E2417" i="1" s="1"/>
  <c r="F2417" i="1" l="1"/>
  <c r="J2417" i="1"/>
  <c r="G2417" i="1" s="1"/>
  <c r="H2417" i="1"/>
  <c r="I2417" i="1" s="1"/>
  <c r="E2418" i="1" s="1"/>
  <c r="H2418" i="1" l="1"/>
  <c r="J2418" i="1"/>
  <c r="G2418" i="1" s="1"/>
  <c r="F2418" i="1"/>
  <c r="I2418" i="1" l="1"/>
  <c r="E2419" i="1" s="1"/>
  <c r="H2419" i="1" l="1"/>
  <c r="J2419" i="1"/>
  <c r="G2419" i="1" s="1"/>
  <c r="F2419" i="1"/>
  <c r="I2419" i="1" l="1"/>
  <c r="E2420" i="1" s="1"/>
  <c r="H2420" i="1" l="1"/>
  <c r="J2420" i="1"/>
  <c r="G2420" i="1" s="1"/>
  <c r="F2420" i="1"/>
  <c r="I2420" i="1" l="1"/>
  <c r="E2421" i="1" s="1"/>
  <c r="H2421" i="1" l="1"/>
  <c r="J2421" i="1"/>
  <c r="G2421" i="1" s="1"/>
  <c r="F2421" i="1"/>
  <c r="I2421" i="1" l="1"/>
  <c r="E2422" i="1" s="1"/>
  <c r="H2422" i="1" l="1"/>
  <c r="J2422" i="1"/>
  <c r="G2422" i="1" s="1"/>
  <c r="F2422" i="1"/>
  <c r="I2422" i="1" l="1"/>
  <c r="E2423" i="1" s="1"/>
  <c r="J2423" i="1" l="1"/>
  <c r="G2423" i="1" s="1"/>
  <c r="H2423" i="1"/>
  <c r="I2423" i="1" s="1"/>
  <c r="E2424" i="1" s="1"/>
  <c r="F2423" i="1"/>
  <c r="J2424" i="1" l="1"/>
  <c r="G2424" i="1" s="1"/>
  <c r="H2424" i="1"/>
  <c r="I2424" i="1" s="1"/>
  <c r="E2425" i="1" s="1"/>
  <c r="F2424" i="1"/>
  <c r="H2425" i="1" l="1"/>
  <c r="J2425" i="1"/>
  <c r="G2425" i="1" s="1"/>
  <c r="F2425" i="1"/>
  <c r="I2425" i="1" l="1"/>
  <c r="E2426" i="1" s="1"/>
  <c r="H2426" i="1" l="1"/>
  <c r="J2426" i="1"/>
  <c r="G2426" i="1" s="1"/>
  <c r="F2426" i="1"/>
  <c r="I2426" i="1" l="1"/>
  <c r="E2427" i="1" s="1"/>
  <c r="F2427" i="1" l="1"/>
  <c r="H2427" i="1"/>
  <c r="J2427" i="1"/>
  <c r="G2427" i="1" s="1"/>
  <c r="I2427" i="1" l="1"/>
  <c r="E2428" i="1" s="1"/>
  <c r="H2428" i="1" l="1"/>
  <c r="J2428" i="1"/>
  <c r="G2428" i="1" s="1"/>
  <c r="F2428" i="1"/>
  <c r="I2428" i="1" l="1"/>
  <c r="E2429" i="1" s="1"/>
  <c r="H2429" i="1" l="1"/>
  <c r="J2429" i="1"/>
  <c r="G2429" i="1" s="1"/>
  <c r="F2429" i="1"/>
  <c r="I2429" i="1" l="1"/>
  <c r="E2430" i="1" s="1"/>
  <c r="H2430" i="1" l="1"/>
  <c r="J2430" i="1"/>
  <c r="G2430" i="1" s="1"/>
  <c r="F2430" i="1"/>
  <c r="I2430" i="1" l="1"/>
  <c r="E2431" i="1" s="1"/>
  <c r="J2431" i="1" l="1"/>
  <c r="G2431" i="1" s="1"/>
  <c r="H2431" i="1"/>
  <c r="I2431" i="1" s="1"/>
  <c r="E2432" i="1" s="1"/>
  <c r="F2431" i="1"/>
  <c r="J2432" i="1" l="1"/>
  <c r="G2432" i="1" s="1"/>
  <c r="H2432" i="1"/>
  <c r="I2432" i="1" s="1"/>
  <c r="E2433" i="1" s="1"/>
  <c r="F2432" i="1"/>
  <c r="H2433" i="1" l="1"/>
  <c r="J2433" i="1"/>
  <c r="G2433" i="1" s="1"/>
  <c r="F2433" i="1"/>
  <c r="I2433" i="1" l="1"/>
  <c r="E2434" i="1" s="1"/>
  <c r="H2434" i="1" l="1"/>
  <c r="J2434" i="1"/>
  <c r="G2434" i="1" s="1"/>
  <c r="F2434" i="1"/>
  <c r="I2434" i="1" l="1"/>
  <c r="E2435" i="1" s="1"/>
  <c r="J2435" i="1" l="1"/>
  <c r="G2435" i="1" s="1"/>
  <c r="H2435" i="1"/>
  <c r="I2435" i="1" s="1"/>
  <c r="E2436" i="1" s="1"/>
  <c r="F2435" i="1"/>
  <c r="H2436" i="1" l="1"/>
  <c r="J2436" i="1"/>
  <c r="G2436" i="1" s="1"/>
  <c r="F2436" i="1"/>
  <c r="I2436" i="1" l="1"/>
  <c r="E2437" i="1" s="1"/>
  <c r="H2437" i="1" l="1"/>
  <c r="J2437" i="1"/>
  <c r="G2437" i="1" s="1"/>
  <c r="F2437" i="1"/>
  <c r="I2437" i="1" l="1"/>
  <c r="E2438" i="1" s="1"/>
  <c r="H2438" i="1" l="1"/>
  <c r="J2438" i="1"/>
  <c r="G2438" i="1" s="1"/>
  <c r="F2438" i="1"/>
  <c r="I2438" i="1" l="1"/>
  <c r="E2439" i="1" s="1"/>
  <c r="H2439" i="1" l="1"/>
  <c r="F2439" i="1"/>
  <c r="J2439" i="1"/>
  <c r="G2439" i="1" s="1"/>
  <c r="I2439" i="1" l="1"/>
  <c r="E2440" i="1" s="1"/>
  <c r="J2440" i="1" l="1"/>
  <c r="G2440" i="1" s="1"/>
  <c r="H2440" i="1"/>
  <c r="I2440" i="1" s="1"/>
  <c r="E2441" i="1" s="1"/>
  <c r="F2440" i="1"/>
  <c r="H2441" i="1" l="1"/>
  <c r="J2441" i="1"/>
  <c r="G2441" i="1" s="1"/>
  <c r="F2441" i="1"/>
  <c r="I2441" i="1" l="1"/>
  <c r="E2442" i="1" s="1"/>
  <c r="H2442" i="1" l="1"/>
  <c r="F2442" i="1"/>
  <c r="J2442" i="1"/>
  <c r="G2442" i="1" s="1"/>
  <c r="I2442" i="1" l="1"/>
  <c r="E2443" i="1" s="1"/>
  <c r="H2443" i="1" l="1"/>
  <c r="J2443" i="1"/>
  <c r="G2443" i="1" s="1"/>
  <c r="F2443" i="1"/>
  <c r="I2443" i="1" l="1"/>
  <c r="E2444" i="1" s="1"/>
  <c r="H2444" i="1" l="1"/>
  <c r="F2444" i="1"/>
  <c r="J2444" i="1"/>
  <c r="G2444" i="1" s="1"/>
  <c r="I2444" i="1" l="1"/>
  <c r="E2445" i="1" s="1"/>
  <c r="F2445" i="1" l="1"/>
  <c r="H2445" i="1"/>
  <c r="J2445" i="1"/>
  <c r="G2445" i="1" s="1"/>
  <c r="I2445" i="1" l="1"/>
  <c r="E2446" i="1" s="1"/>
  <c r="H2446" i="1" l="1"/>
  <c r="J2446" i="1"/>
  <c r="G2446" i="1" s="1"/>
  <c r="F2446" i="1"/>
  <c r="I2446" i="1" l="1"/>
  <c r="E2447" i="1" s="1"/>
  <c r="J2447" i="1" l="1"/>
  <c r="G2447" i="1" s="1"/>
  <c r="H2447" i="1"/>
  <c r="I2447" i="1" s="1"/>
  <c r="E2448" i="1" s="1"/>
  <c r="F2447" i="1"/>
  <c r="J2448" i="1" l="1"/>
  <c r="G2448" i="1" s="1"/>
  <c r="F2448" i="1"/>
  <c r="H2448" i="1"/>
  <c r="I2448" i="1" l="1"/>
  <c r="E2449" i="1" s="1"/>
  <c r="H2449" i="1" l="1"/>
  <c r="J2449" i="1"/>
  <c r="G2449" i="1" s="1"/>
  <c r="F2449" i="1"/>
  <c r="I2449" i="1" l="1"/>
  <c r="E2450" i="1" s="1"/>
  <c r="J2450" i="1" l="1"/>
  <c r="G2450" i="1" s="1"/>
  <c r="F2450" i="1"/>
  <c r="H2450" i="1"/>
  <c r="I2450" i="1" l="1"/>
  <c r="E2451" i="1" s="1"/>
  <c r="H2451" i="1" l="1"/>
  <c r="J2451" i="1"/>
  <c r="G2451" i="1" s="1"/>
  <c r="F2451" i="1"/>
  <c r="I2451" i="1" l="1"/>
  <c r="E2452" i="1" s="1"/>
  <c r="H2452" i="1" l="1"/>
  <c r="J2452" i="1"/>
  <c r="G2452" i="1" s="1"/>
  <c r="F2452" i="1"/>
  <c r="I2452" i="1" l="1"/>
  <c r="E2453" i="1" s="1"/>
  <c r="H2453" i="1" l="1"/>
  <c r="J2453" i="1"/>
  <c r="G2453" i="1" s="1"/>
  <c r="F2453" i="1"/>
  <c r="I2453" i="1" l="1"/>
  <c r="E2454" i="1" s="1"/>
  <c r="H2454" i="1" l="1"/>
  <c r="J2454" i="1"/>
  <c r="G2454" i="1" s="1"/>
  <c r="F2454" i="1"/>
  <c r="I2454" i="1" l="1"/>
  <c r="E2455" i="1" s="1"/>
  <c r="J2455" i="1" l="1"/>
  <c r="G2455" i="1" s="1"/>
  <c r="H2455" i="1"/>
  <c r="I2455" i="1" s="1"/>
  <c r="E2456" i="1" s="1"/>
  <c r="F2455" i="1"/>
  <c r="J2456" i="1" l="1"/>
  <c r="G2456" i="1" s="1"/>
  <c r="H2456" i="1"/>
  <c r="I2456" i="1" s="1"/>
  <c r="E2457" i="1" s="1"/>
  <c r="F2456" i="1"/>
  <c r="H2457" i="1" l="1"/>
  <c r="J2457" i="1"/>
  <c r="G2457" i="1" s="1"/>
  <c r="F2457" i="1"/>
  <c r="I2457" i="1" l="1"/>
  <c r="E2458" i="1" s="1"/>
  <c r="H2458" i="1" l="1"/>
  <c r="J2458" i="1"/>
  <c r="G2458" i="1" s="1"/>
  <c r="F2458" i="1"/>
  <c r="I2458" i="1" l="1"/>
  <c r="E2459" i="1" s="1"/>
  <c r="H2459" i="1" l="1"/>
  <c r="J2459" i="1"/>
  <c r="G2459" i="1" s="1"/>
  <c r="F2459" i="1"/>
  <c r="I2459" i="1" l="1"/>
  <c r="E2460" i="1" s="1"/>
  <c r="J2460" i="1" l="1"/>
  <c r="G2460" i="1" s="1"/>
  <c r="H2460" i="1"/>
  <c r="F2460" i="1"/>
  <c r="I2460" i="1" l="1"/>
  <c r="E2461" i="1" s="1"/>
  <c r="F2461" i="1" l="1"/>
  <c r="H2461" i="1"/>
  <c r="J2461" i="1"/>
  <c r="G2461" i="1" s="1"/>
  <c r="I2461" i="1" l="1"/>
  <c r="E2462" i="1" s="1"/>
  <c r="F2462" i="1" l="1"/>
  <c r="H2462" i="1"/>
  <c r="J2462" i="1"/>
  <c r="G2462" i="1" s="1"/>
  <c r="I2462" i="1" l="1"/>
  <c r="E2463" i="1" s="1"/>
  <c r="F2463" i="1" l="1"/>
  <c r="J2463" i="1"/>
  <c r="G2463" i="1" s="1"/>
  <c r="H2463" i="1"/>
  <c r="I2463" i="1" s="1"/>
  <c r="E2464" i="1" s="1"/>
  <c r="H2464" i="1" l="1"/>
  <c r="J2464" i="1"/>
  <c r="G2464" i="1" s="1"/>
  <c r="F2464" i="1"/>
  <c r="I2464" i="1" l="1"/>
  <c r="E2465" i="1" s="1"/>
  <c r="J2465" i="1" l="1"/>
  <c r="G2465" i="1" s="1"/>
  <c r="F2465" i="1"/>
  <c r="H2465" i="1"/>
  <c r="I2465" i="1" l="1"/>
  <c r="E2466" i="1" s="1"/>
  <c r="H2466" i="1" l="1"/>
  <c r="F2466" i="1"/>
  <c r="J2466" i="1"/>
  <c r="G2466" i="1" s="1"/>
  <c r="I2466" i="1" l="1"/>
  <c r="E2467" i="1" s="1"/>
  <c r="H2467" i="1" l="1"/>
  <c r="F2467" i="1"/>
  <c r="J2467" i="1"/>
  <c r="G2467" i="1" s="1"/>
  <c r="I2467" i="1" l="1"/>
  <c r="E2468" i="1" s="1"/>
  <c r="F2468" i="1" l="1"/>
  <c r="H2468" i="1"/>
  <c r="J2468" i="1"/>
  <c r="G2468" i="1" s="1"/>
  <c r="I2468" i="1" l="1"/>
  <c r="E2469" i="1" s="1"/>
  <c r="H2469" i="1" l="1"/>
  <c r="J2469" i="1"/>
  <c r="G2469" i="1" s="1"/>
  <c r="F2469" i="1"/>
  <c r="I2469" i="1" l="1"/>
  <c r="E2470" i="1" s="1"/>
  <c r="H2470" i="1" l="1"/>
  <c r="J2470" i="1"/>
  <c r="G2470" i="1" s="1"/>
  <c r="F2470" i="1"/>
  <c r="I2470" i="1" l="1"/>
  <c r="E2471" i="1" s="1"/>
  <c r="H2471" i="1" l="1"/>
  <c r="F2471" i="1"/>
  <c r="J2471" i="1"/>
  <c r="G2471" i="1" s="1"/>
  <c r="I2471" i="1" l="1"/>
  <c r="E2472" i="1" s="1"/>
  <c r="H2472" i="1" l="1"/>
  <c r="F2472" i="1"/>
  <c r="J2472" i="1"/>
  <c r="G2472" i="1" s="1"/>
  <c r="I2472" i="1" l="1"/>
  <c r="E2473" i="1" s="1"/>
  <c r="J2473" i="1" l="1"/>
  <c r="G2473" i="1" s="1"/>
  <c r="F2473" i="1"/>
  <c r="H2473" i="1"/>
  <c r="I2473" i="1" s="1"/>
  <c r="E2474" i="1" s="1"/>
  <c r="H2474" i="1" l="1"/>
  <c r="J2474" i="1"/>
  <c r="G2474" i="1" s="1"/>
  <c r="F2474" i="1"/>
  <c r="I2474" i="1" l="1"/>
  <c r="E2475" i="1" s="1"/>
  <c r="F2475" i="1" l="1"/>
  <c r="H2475" i="1"/>
  <c r="J2475" i="1"/>
  <c r="G2475" i="1" s="1"/>
  <c r="I2475" i="1" l="1"/>
  <c r="E2476" i="1" s="1"/>
  <c r="F2476" i="1" l="1"/>
  <c r="J2476" i="1"/>
  <c r="G2476" i="1" s="1"/>
  <c r="H2476" i="1"/>
  <c r="I2476" i="1" s="1"/>
  <c r="E2477" i="1" s="1"/>
  <c r="J2477" i="1" l="1"/>
  <c r="G2477" i="1" s="1"/>
  <c r="H2477" i="1"/>
  <c r="F2477" i="1"/>
  <c r="I2477" i="1" l="1"/>
  <c r="E2478" i="1" s="1"/>
  <c r="F2478" i="1" l="1"/>
  <c r="J2478" i="1"/>
  <c r="G2478" i="1" s="1"/>
  <c r="H2478" i="1"/>
  <c r="I2478" i="1" s="1"/>
  <c r="E2479" i="1" s="1"/>
  <c r="F2479" i="1" l="1"/>
  <c r="J2479" i="1"/>
  <c r="G2479" i="1" s="1"/>
  <c r="H2479" i="1"/>
  <c r="I2479" i="1" l="1"/>
  <c r="E2480" i="1" s="1"/>
  <c r="F2480" i="1" l="1"/>
  <c r="J2480" i="1"/>
  <c r="G2480" i="1" s="1"/>
  <c r="H2480" i="1"/>
  <c r="I2480" i="1" s="1"/>
  <c r="E2481" i="1" s="1"/>
  <c r="J2481" i="1" l="1"/>
  <c r="G2481" i="1" s="1"/>
  <c r="H2481" i="1"/>
  <c r="F2481" i="1"/>
  <c r="I2481" i="1" l="1"/>
  <c r="E2482" i="1" s="1"/>
  <c r="H2482" i="1" l="1"/>
  <c r="J2482" i="1"/>
  <c r="G2482" i="1" s="1"/>
  <c r="F2482" i="1"/>
  <c r="I2482" i="1" l="1"/>
  <c r="E2483" i="1" s="1"/>
  <c r="H2483" i="1" l="1"/>
  <c r="J2483" i="1"/>
  <c r="G2483" i="1" s="1"/>
  <c r="F2483" i="1"/>
  <c r="I2483" i="1" l="1"/>
  <c r="E2484" i="1" s="1"/>
  <c r="H2484" i="1" l="1"/>
  <c r="I2484" i="1" s="1"/>
  <c r="E2485" i="1" s="1"/>
  <c r="J2484" i="1"/>
  <c r="G2484" i="1" s="1"/>
  <c r="F2484" i="1"/>
  <c r="F2485" i="1" l="1"/>
  <c r="H2485" i="1"/>
  <c r="J2485" i="1"/>
  <c r="G2485" i="1" s="1"/>
  <c r="I2485" i="1" l="1"/>
  <c r="E2486" i="1" s="1"/>
  <c r="F2486" i="1" l="1"/>
  <c r="J2486" i="1"/>
  <c r="G2486" i="1" s="1"/>
  <c r="H2486" i="1"/>
  <c r="I2486" i="1" s="1"/>
  <c r="E2487" i="1" s="1"/>
  <c r="F2487" i="1" l="1"/>
  <c r="H2487" i="1"/>
  <c r="J2487" i="1"/>
  <c r="G2487" i="1" s="1"/>
  <c r="I2487" i="1" l="1"/>
  <c r="E2488" i="1" s="1"/>
  <c r="J2488" i="1" l="1"/>
  <c r="G2488" i="1" s="1"/>
  <c r="H2488" i="1"/>
  <c r="F2488" i="1"/>
  <c r="I2488" i="1" l="1"/>
  <c r="E2489" i="1" s="1"/>
  <c r="J2489" i="1" l="1"/>
  <c r="G2489" i="1" s="1"/>
  <c r="F2489" i="1"/>
  <c r="H2489" i="1"/>
  <c r="I2489" i="1" l="1"/>
  <c r="E2490" i="1" s="1"/>
  <c r="J2490" i="1" l="1"/>
  <c r="G2490" i="1" s="1"/>
  <c r="H2490" i="1"/>
  <c r="F2490" i="1"/>
  <c r="I2490" i="1" l="1"/>
  <c r="E2491" i="1" s="1"/>
  <c r="J2491" i="1" l="1"/>
  <c r="G2491" i="1" s="1"/>
  <c r="H2491" i="1"/>
  <c r="F2491" i="1"/>
  <c r="I2491" i="1" l="1"/>
  <c r="E2492" i="1" s="1"/>
  <c r="F2492" i="1" l="1"/>
  <c r="H2492" i="1"/>
  <c r="J2492" i="1"/>
  <c r="G2492" i="1" s="1"/>
  <c r="I2492" i="1" l="1"/>
  <c r="E2493" i="1" s="1"/>
  <c r="F2493" i="1" l="1"/>
  <c r="H2493" i="1"/>
  <c r="J2493" i="1"/>
  <c r="G2493" i="1" s="1"/>
  <c r="I2493" i="1" l="1"/>
  <c r="E2494" i="1" s="1"/>
  <c r="F2494" i="1" l="1"/>
  <c r="H2494" i="1"/>
  <c r="J2494" i="1"/>
  <c r="G2494" i="1" s="1"/>
  <c r="I2494" i="1" l="1"/>
  <c r="E2495" i="1" s="1"/>
  <c r="F2495" i="1" l="1"/>
  <c r="H2495" i="1"/>
  <c r="J2495" i="1"/>
  <c r="G2495" i="1" s="1"/>
  <c r="I2495" i="1" l="1"/>
  <c r="E2496" i="1" s="1"/>
  <c r="H2496" i="1" l="1"/>
  <c r="J2496" i="1"/>
  <c r="G2496" i="1" s="1"/>
  <c r="F2496" i="1"/>
  <c r="I2496" i="1" l="1"/>
  <c r="E2497" i="1" s="1"/>
  <c r="F2497" i="1" l="1"/>
  <c r="H2497" i="1"/>
  <c r="J2497" i="1"/>
  <c r="G2497" i="1" s="1"/>
  <c r="I2497" i="1" l="1"/>
  <c r="E2498" i="1" s="1"/>
  <c r="F2498" i="1" l="1"/>
  <c r="J2498" i="1"/>
  <c r="G2498" i="1" s="1"/>
  <c r="H2498" i="1"/>
  <c r="I2498" i="1" s="1"/>
  <c r="E2499" i="1" s="1"/>
  <c r="H2499" i="1" l="1"/>
  <c r="J2499" i="1"/>
  <c r="G2499" i="1" s="1"/>
  <c r="F2499" i="1"/>
  <c r="I2499" i="1" l="1"/>
  <c r="E2500" i="1" s="1"/>
  <c r="H2500" i="1" l="1"/>
  <c r="J2500" i="1"/>
  <c r="G2500" i="1" s="1"/>
  <c r="F2500" i="1"/>
  <c r="I2500" i="1" l="1"/>
  <c r="E2501" i="1" s="1"/>
  <c r="F2501" i="1" l="1"/>
  <c r="H2501" i="1"/>
  <c r="J2501" i="1"/>
  <c r="G2501" i="1" s="1"/>
  <c r="I2501" i="1" l="1"/>
  <c r="E2502" i="1" s="1"/>
  <c r="F2502" i="1" l="1"/>
  <c r="H2502" i="1"/>
  <c r="J2502" i="1"/>
  <c r="G2502" i="1" s="1"/>
  <c r="I2502" i="1" l="1"/>
  <c r="E2503" i="1" s="1"/>
  <c r="H2503" i="1" l="1"/>
  <c r="J2503" i="1"/>
  <c r="G2503" i="1" s="1"/>
  <c r="F2503" i="1"/>
  <c r="I2503" i="1" l="1"/>
  <c r="E2504" i="1" s="1"/>
  <c r="J2504" i="1" l="1"/>
  <c r="G2504" i="1" s="1"/>
  <c r="H2504" i="1"/>
  <c r="F2504" i="1"/>
  <c r="I2504" i="1" l="1"/>
  <c r="E2505" i="1" s="1"/>
  <c r="H2505" i="1" l="1"/>
  <c r="F2505" i="1"/>
  <c r="J2505" i="1"/>
  <c r="G2505" i="1" s="1"/>
  <c r="I2505" i="1" l="1"/>
  <c r="E2506" i="1" s="1"/>
  <c r="H2506" i="1" l="1"/>
  <c r="F2506" i="1"/>
  <c r="J2506" i="1"/>
  <c r="G2506" i="1" s="1"/>
  <c r="I2506" i="1" l="1"/>
  <c r="E2507" i="1" s="1"/>
  <c r="H2507" i="1" l="1"/>
  <c r="J2507" i="1"/>
  <c r="G2507" i="1" s="1"/>
  <c r="F2507" i="1"/>
  <c r="I2507" i="1" l="1"/>
  <c r="E2508" i="1" s="1"/>
  <c r="F2508" i="1" l="1"/>
  <c r="H2508" i="1"/>
  <c r="J2508" i="1"/>
  <c r="G2508" i="1" s="1"/>
  <c r="I2508" i="1" l="1"/>
  <c r="E2509" i="1" s="1"/>
  <c r="H2509" i="1" l="1"/>
  <c r="F2509" i="1"/>
  <c r="J2509" i="1"/>
  <c r="G2509" i="1" s="1"/>
  <c r="I2509" i="1" l="1"/>
  <c r="E2510" i="1" s="1"/>
  <c r="J2510" i="1" l="1"/>
  <c r="G2510" i="1" s="1"/>
  <c r="H2510" i="1"/>
  <c r="F2510" i="1"/>
  <c r="I2510" i="1" l="1"/>
  <c r="E2511" i="1" s="1"/>
  <c r="H2511" i="1" l="1"/>
  <c r="J2511" i="1"/>
  <c r="G2511" i="1" s="1"/>
  <c r="F2511" i="1"/>
  <c r="I2511" i="1" l="1"/>
  <c r="E2512" i="1" s="1"/>
  <c r="F2512" i="1" l="1"/>
  <c r="H2512" i="1"/>
  <c r="J2512" i="1"/>
  <c r="G2512" i="1" s="1"/>
  <c r="I2512" i="1" l="1"/>
  <c r="E2513" i="1" s="1"/>
  <c r="J2513" i="1" l="1"/>
  <c r="G2513" i="1" s="1"/>
  <c r="H2513" i="1"/>
  <c r="F2513" i="1"/>
  <c r="I2513" i="1" l="1"/>
  <c r="E2514" i="1" s="1"/>
  <c r="J2514" i="1" l="1"/>
  <c r="G2514" i="1" s="1"/>
  <c r="H2514" i="1"/>
  <c r="F2514" i="1"/>
  <c r="I2514" i="1" l="1"/>
  <c r="E2515" i="1" s="1"/>
  <c r="J2515" i="1" l="1"/>
  <c r="G2515" i="1" s="1"/>
  <c r="H2515" i="1"/>
  <c r="F2515" i="1"/>
  <c r="I2515" i="1" l="1"/>
  <c r="E2516" i="1" s="1"/>
  <c r="F2516" i="1" l="1"/>
  <c r="H2516" i="1"/>
  <c r="J2516" i="1"/>
  <c r="G2516" i="1" s="1"/>
  <c r="I2516" i="1" l="1"/>
  <c r="E2517" i="1" s="1"/>
  <c r="H2517" i="1" l="1"/>
  <c r="J2517" i="1"/>
  <c r="G2517" i="1" s="1"/>
  <c r="F2517" i="1"/>
  <c r="I2517" i="1" l="1"/>
  <c r="E2518" i="1" s="1"/>
  <c r="J2518" i="1" l="1"/>
  <c r="G2518" i="1" s="1"/>
  <c r="F2518" i="1"/>
  <c r="H2518" i="1"/>
  <c r="I2518" i="1" l="1"/>
  <c r="E2519" i="1" s="1"/>
  <c r="H2519" i="1" l="1"/>
  <c r="F2519" i="1"/>
  <c r="J2519" i="1"/>
  <c r="G2519" i="1" s="1"/>
  <c r="I2519" i="1" l="1"/>
  <c r="E2520" i="1" s="1"/>
  <c r="F2520" i="1" l="1"/>
  <c r="H2520" i="1"/>
  <c r="J2520" i="1"/>
  <c r="G2520" i="1" s="1"/>
  <c r="I2520" i="1" l="1"/>
  <c r="E2521" i="1" s="1"/>
  <c r="H2521" i="1" l="1"/>
  <c r="F2521" i="1"/>
  <c r="J2521" i="1"/>
  <c r="G2521" i="1" s="1"/>
  <c r="I2521" i="1" l="1"/>
  <c r="E2522" i="1" s="1"/>
  <c r="J2522" i="1" l="1"/>
  <c r="G2522" i="1" s="1"/>
  <c r="F2522" i="1"/>
  <c r="H2522" i="1"/>
  <c r="I2522" i="1" l="1"/>
  <c r="E2523" i="1" s="1"/>
  <c r="J2523" i="1" l="1"/>
  <c r="G2523" i="1" s="1"/>
  <c r="H2523" i="1"/>
  <c r="F2523" i="1"/>
  <c r="I2523" i="1" l="1"/>
  <c r="E2524" i="1" s="1"/>
  <c r="J2524" i="1" l="1"/>
  <c r="G2524" i="1" s="1"/>
  <c r="H2524" i="1"/>
  <c r="F2524" i="1"/>
  <c r="I2524" i="1" l="1"/>
  <c r="E2525" i="1" s="1"/>
  <c r="H2525" i="1" l="1"/>
  <c r="F2525" i="1"/>
  <c r="J2525" i="1"/>
  <c r="G2525" i="1" s="1"/>
  <c r="I2525" i="1" l="1"/>
  <c r="E2526" i="1" s="1"/>
  <c r="J2526" i="1" l="1"/>
  <c r="G2526" i="1" s="1"/>
  <c r="F2526" i="1"/>
  <c r="H2526" i="1"/>
  <c r="I2526" i="1" s="1"/>
  <c r="E2527" i="1" s="1"/>
  <c r="H2527" i="1" l="1"/>
  <c r="F2527" i="1"/>
  <c r="J2527" i="1"/>
  <c r="G2527" i="1" s="1"/>
  <c r="I2527" i="1" l="1"/>
  <c r="E2528" i="1" s="1"/>
  <c r="H2528" i="1" l="1"/>
  <c r="J2528" i="1"/>
  <c r="G2528" i="1" s="1"/>
  <c r="F2528" i="1"/>
  <c r="I2528" i="1" l="1"/>
  <c r="E2529" i="1" s="1"/>
  <c r="H2529" i="1" l="1"/>
  <c r="J2529" i="1"/>
  <c r="G2529" i="1" s="1"/>
  <c r="F2529" i="1"/>
  <c r="I2529" i="1" l="1"/>
  <c r="E2530" i="1" s="1"/>
  <c r="J2530" i="1" l="1"/>
  <c r="G2530" i="1" s="1"/>
  <c r="H2530" i="1"/>
  <c r="I2530" i="1" s="1"/>
  <c r="E2531" i="1" s="1"/>
  <c r="F2530" i="1"/>
  <c r="J2531" i="1" l="1"/>
  <c r="G2531" i="1" s="1"/>
  <c r="H2531" i="1"/>
  <c r="F2531" i="1"/>
  <c r="I2531" i="1" l="1"/>
  <c r="E2532" i="1" s="1"/>
  <c r="H2532" i="1" l="1"/>
  <c r="J2532" i="1"/>
  <c r="G2532" i="1" s="1"/>
  <c r="F2532" i="1"/>
  <c r="I2532" i="1" l="1"/>
  <c r="E2533" i="1" s="1"/>
  <c r="H2533" i="1" l="1"/>
  <c r="J2533" i="1"/>
  <c r="G2533" i="1" s="1"/>
  <c r="F2533" i="1"/>
  <c r="I2533" i="1" l="1"/>
  <c r="E2534" i="1" s="1"/>
  <c r="J2534" i="1" l="1"/>
  <c r="G2534" i="1" s="1"/>
  <c r="H2534" i="1"/>
  <c r="I2534" i="1" s="1"/>
  <c r="E2535" i="1" s="1"/>
  <c r="F2534" i="1"/>
  <c r="H2535" i="1" l="1"/>
  <c r="J2535" i="1"/>
  <c r="G2535" i="1" s="1"/>
  <c r="F2535" i="1"/>
  <c r="I2535" i="1" l="1"/>
  <c r="E2536" i="1" s="1"/>
  <c r="H2536" i="1" l="1"/>
  <c r="F2536" i="1"/>
  <c r="J2536" i="1"/>
  <c r="G2536" i="1" s="1"/>
  <c r="I2536" i="1" l="1"/>
  <c r="E2537" i="1" s="1"/>
  <c r="J2537" i="1" l="1"/>
  <c r="G2537" i="1" s="1"/>
  <c r="F2537" i="1"/>
  <c r="H2537" i="1"/>
  <c r="I2537" i="1" l="1"/>
  <c r="E2538" i="1" s="1"/>
  <c r="H2538" i="1" l="1"/>
  <c r="J2538" i="1"/>
  <c r="G2538" i="1" s="1"/>
  <c r="F2538" i="1"/>
  <c r="I2538" i="1" l="1"/>
  <c r="E2539" i="1" s="1"/>
  <c r="H2539" i="1" l="1"/>
  <c r="J2539" i="1"/>
  <c r="G2539" i="1" s="1"/>
  <c r="F2539" i="1"/>
  <c r="I2539" i="1" l="1"/>
  <c r="E2540" i="1" s="1"/>
  <c r="H2540" i="1" l="1"/>
  <c r="F2540" i="1"/>
  <c r="J2540" i="1"/>
  <c r="G2540" i="1" s="1"/>
  <c r="I2540" i="1" l="1"/>
  <c r="E2541" i="1" s="1"/>
  <c r="H2541" i="1" l="1"/>
  <c r="J2541" i="1"/>
  <c r="G2541" i="1" s="1"/>
  <c r="F2541" i="1"/>
  <c r="I2541" i="1" l="1"/>
  <c r="E2542" i="1" s="1"/>
  <c r="H2542" i="1" l="1"/>
  <c r="F2542" i="1"/>
  <c r="J2542" i="1"/>
  <c r="G2542" i="1" s="1"/>
  <c r="I2542" i="1" l="1"/>
  <c r="E2543" i="1" s="1"/>
  <c r="J2543" i="1" l="1"/>
  <c r="G2543" i="1" s="1"/>
  <c r="H2543" i="1"/>
  <c r="I2543" i="1" s="1"/>
  <c r="E2544" i="1" s="1"/>
  <c r="F2543" i="1"/>
  <c r="H2544" i="1" l="1"/>
  <c r="J2544" i="1"/>
  <c r="G2544" i="1" s="1"/>
  <c r="F2544" i="1"/>
  <c r="I2544" i="1" l="1"/>
  <c r="E2545" i="1" s="1"/>
  <c r="H2545" i="1" l="1"/>
  <c r="J2545" i="1"/>
  <c r="G2545" i="1" s="1"/>
  <c r="F2545" i="1"/>
  <c r="I2545" i="1" l="1"/>
  <c r="E2546" i="1" s="1"/>
  <c r="F2546" i="1" l="1"/>
  <c r="H2546" i="1"/>
  <c r="J2546" i="1"/>
  <c r="G2546" i="1" s="1"/>
  <c r="I2546" i="1" l="1"/>
  <c r="E2547" i="1" s="1"/>
  <c r="H2547" i="1" l="1"/>
  <c r="F2547" i="1"/>
  <c r="J2547" i="1"/>
  <c r="G2547" i="1" s="1"/>
  <c r="I2547" i="1" l="1"/>
  <c r="E2548" i="1" s="1"/>
  <c r="H2548" i="1" l="1"/>
  <c r="F2548" i="1"/>
  <c r="J2548" i="1"/>
  <c r="G2548" i="1" s="1"/>
  <c r="I2548" i="1" l="1"/>
  <c r="E2549" i="1" s="1"/>
  <c r="H2549" i="1" l="1"/>
  <c r="J2549" i="1"/>
  <c r="G2549" i="1" s="1"/>
  <c r="F2549" i="1"/>
  <c r="I2549" i="1" l="1"/>
  <c r="E2550" i="1" s="1"/>
  <c r="H2550" i="1" l="1"/>
  <c r="J2550" i="1"/>
  <c r="G2550" i="1" s="1"/>
  <c r="F2550" i="1"/>
  <c r="I2550" i="1" l="1"/>
  <c r="E2551" i="1" s="1"/>
  <c r="F2551" i="1" l="1"/>
  <c r="J2551" i="1"/>
  <c r="G2551" i="1" s="1"/>
  <c r="H2551" i="1"/>
  <c r="I2551" i="1" l="1"/>
  <c r="E2552" i="1" s="1"/>
  <c r="H2552" i="1" l="1"/>
  <c r="J2552" i="1"/>
  <c r="G2552" i="1" s="1"/>
  <c r="F2552" i="1"/>
  <c r="I2552" i="1" l="1"/>
  <c r="E2553" i="1" s="1"/>
  <c r="J2553" i="1" l="1"/>
  <c r="G2553" i="1" s="1"/>
  <c r="H2553" i="1"/>
  <c r="F2553" i="1"/>
  <c r="I2553" i="1" l="1"/>
  <c r="E2554" i="1" s="1"/>
  <c r="J2554" i="1" l="1"/>
  <c r="G2554" i="1" s="1"/>
  <c r="H2554" i="1"/>
  <c r="F2554" i="1"/>
  <c r="I2554" i="1" l="1"/>
  <c r="E2555" i="1" s="1"/>
  <c r="H2555" i="1" l="1"/>
  <c r="F2555" i="1"/>
  <c r="J2555" i="1"/>
  <c r="G2555" i="1" s="1"/>
  <c r="I2555" i="1" l="1"/>
  <c r="E2556" i="1" s="1"/>
  <c r="J2556" i="1" l="1"/>
  <c r="G2556" i="1" s="1"/>
  <c r="F2556" i="1"/>
  <c r="H2556" i="1"/>
  <c r="I2556" i="1" l="1"/>
  <c r="E2557" i="1" s="1"/>
  <c r="J2557" i="1" l="1"/>
  <c r="G2557" i="1" s="1"/>
  <c r="H2557" i="1"/>
  <c r="F2557" i="1"/>
  <c r="I2557" i="1" l="1"/>
  <c r="E2558" i="1" s="1"/>
  <c r="J2558" i="1" l="1"/>
  <c r="G2558" i="1" s="1"/>
  <c r="H2558" i="1"/>
  <c r="F2558" i="1"/>
  <c r="I2558" i="1" l="1"/>
  <c r="E2559" i="1" s="1"/>
  <c r="H2559" i="1" l="1"/>
  <c r="J2559" i="1"/>
  <c r="G2559" i="1" s="1"/>
  <c r="F2559" i="1"/>
  <c r="I2559" i="1" l="1"/>
  <c r="E2560" i="1" s="1"/>
  <c r="H2560" i="1" l="1"/>
  <c r="J2560" i="1"/>
  <c r="G2560" i="1" s="1"/>
  <c r="F2560" i="1"/>
  <c r="I2560" i="1" l="1"/>
  <c r="E2561" i="1" s="1"/>
  <c r="H2561" i="1" l="1"/>
  <c r="J2561" i="1"/>
  <c r="G2561" i="1" s="1"/>
  <c r="F2561" i="1"/>
  <c r="I2561" i="1" l="1"/>
  <c r="E2562" i="1" s="1"/>
  <c r="H2562" i="1" l="1"/>
  <c r="J2562" i="1"/>
  <c r="G2562" i="1" s="1"/>
  <c r="F2562" i="1"/>
  <c r="I2562" i="1" l="1"/>
  <c r="E2563" i="1" s="1"/>
  <c r="H2563" i="1" l="1"/>
  <c r="F2563" i="1"/>
  <c r="J2563" i="1"/>
  <c r="G2563" i="1" s="1"/>
  <c r="I2563" i="1" l="1"/>
  <c r="E2564" i="1" s="1"/>
  <c r="H2564" i="1" l="1"/>
  <c r="F2564" i="1"/>
  <c r="J2564" i="1"/>
  <c r="G2564" i="1" s="1"/>
  <c r="I2564" i="1" l="1"/>
  <c r="E2565" i="1" s="1"/>
  <c r="H2565" i="1" l="1"/>
  <c r="J2565" i="1"/>
  <c r="G2565" i="1" s="1"/>
  <c r="F2565" i="1"/>
  <c r="I2565" i="1" l="1"/>
  <c r="E2566" i="1" s="1"/>
  <c r="H2566" i="1" l="1"/>
  <c r="J2566" i="1"/>
  <c r="G2566" i="1" s="1"/>
  <c r="F2566" i="1"/>
  <c r="I2566" i="1" l="1"/>
  <c r="E2567" i="1" s="1"/>
  <c r="H2567" i="1" l="1"/>
  <c r="J2567" i="1"/>
  <c r="G2567" i="1" s="1"/>
  <c r="F2567" i="1"/>
  <c r="I2567" i="1" l="1"/>
  <c r="E2568" i="1" s="1"/>
  <c r="H2568" i="1" l="1"/>
  <c r="F2568" i="1"/>
  <c r="J2568" i="1"/>
  <c r="G2568" i="1" s="1"/>
  <c r="I2568" i="1" l="1"/>
  <c r="E2569" i="1" s="1"/>
  <c r="J2569" i="1" l="1"/>
  <c r="G2569" i="1" s="1"/>
  <c r="H2569" i="1"/>
  <c r="F2569" i="1"/>
  <c r="I2569" i="1" l="1"/>
  <c r="E2570" i="1" s="1"/>
  <c r="H2570" i="1" l="1"/>
  <c r="J2570" i="1"/>
  <c r="G2570" i="1" s="1"/>
  <c r="F2570" i="1"/>
  <c r="I2570" i="1" l="1"/>
  <c r="E2571" i="1" s="1"/>
  <c r="H2571" i="1" l="1"/>
  <c r="J2571" i="1"/>
  <c r="G2571" i="1" s="1"/>
  <c r="F2571" i="1"/>
  <c r="I2571" i="1" l="1"/>
  <c r="E2572" i="1" s="1"/>
  <c r="H2572" i="1" l="1"/>
  <c r="J2572" i="1"/>
  <c r="G2572" i="1" s="1"/>
  <c r="F2572" i="1"/>
  <c r="I2572" i="1" l="1"/>
  <c r="E2573" i="1" s="1"/>
  <c r="H2573" i="1" l="1"/>
  <c r="F2573" i="1"/>
  <c r="J2573" i="1"/>
  <c r="G2573" i="1" s="1"/>
  <c r="I2573" i="1" l="1"/>
  <c r="E2574" i="1" s="1"/>
  <c r="J2574" i="1" l="1"/>
  <c r="G2574" i="1" s="1"/>
  <c r="F2574" i="1"/>
  <c r="H2574" i="1"/>
  <c r="I2574" i="1" l="1"/>
  <c r="E2575" i="1" s="1"/>
  <c r="H2575" i="1" l="1"/>
  <c r="J2575" i="1"/>
  <c r="G2575" i="1" s="1"/>
  <c r="F2575" i="1"/>
  <c r="I2575" i="1" l="1"/>
  <c r="E2576" i="1" s="1"/>
  <c r="H2576" i="1" l="1"/>
  <c r="F2576" i="1"/>
  <c r="J2576" i="1"/>
  <c r="G2576" i="1" s="1"/>
  <c r="I2576" i="1" l="1"/>
  <c r="E2577" i="1" s="1"/>
  <c r="J2577" i="1" l="1"/>
  <c r="G2577" i="1" s="1"/>
  <c r="H2577" i="1"/>
  <c r="F2577" i="1"/>
  <c r="I2577" i="1" l="1"/>
  <c r="E2578" i="1" s="1"/>
  <c r="H2578" i="1" l="1"/>
  <c r="J2578" i="1"/>
  <c r="G2578" i="1" s="1"/>
  <c r="F2578" i="1"/>
  <c r="I2578" i="1" l="1"/>
  <c r="E2579" i="1" s="1"/>
  <c r="H2579" i="1" l="1"/>
  <c r="J2579" i="1"/>
  <c r="G2579" i="1" s="1"/>
  <c r="F2579" i="1"/>
  <c r="I2579" i="1" l="1"/>
  <c r="E2580" i="1" s="1"/>
  <c r="H2580" i="1" l="1"/>
  <c r="J2580" i="1"/>
  <c r="G2580" i="1" s="1"/>
  <c r="F2580" i="1"/>
  <c r="I2580" i="1" l="1"/>
  <c r="E2581" i="1" s="1"/>
  <c r="H2581" i="1" l="1"/>
  <c r="J2581" i="1"/>
  <c r="G2581" i="1" s="1"/>
  <c r="F2581" i="1"/>
  <c r="I2581" i="1" l="1"/>
  <c r="E2582" i="1" s="1"/>
  <c r="H2582" i="1" l="1"/>
  <c r="J2582" i="1"/>
  <c r="G2582" i="1" s="1"/>
  <c r="F2582" i="1"/>
  <c r="I2582" i="1" l="1"/>
  <c r="E2583" i="1" s="1"/>
  <c r="H2583" i="1" l="1"/>
  <c r="J2583" i="1"/>
  <c r="G2583" i="1" s="1"/>
  <c r="F2583" i="1"/>
  <c r="I2583" i="1" l="1"/>
  <c r="E2584" i="1" s="1"/>
  <c r="H2584" i="1" l="1"/>
  <c r="F2584" i="1"/>
  <c r="J2584" i="1"/>
  <c r="G2584" i="1" s="1"/>
  <c r="I2584" i="1" l="1"/>
  <c r="E2585" i="1" s="1"/>
  <c r="H2585" i="1" l="1"/>
  <c r="F2585" i="1"/>
  <c r="J2585" i="1"/>
  <c r="G2585" i="1" s="1"/>
  <c r="I2585" i="1" l="1"/>
  <c r="E2586" i="1" s="1"/>
  <c r="H2586" i="1" l="1"/>
  <c r="F2586" i="1"/>
  <c r="J2586" i="1"/>
  <c r="G2586" i="1" s="1"/>
  <c r="I2586" i="1" l="1"/>
  <c r="E2587" i="1" s="1"/>
  <c r="J2587" i="1" l="1"/>
  <c r="G2587" i="1" s="1"/>
  <c r="H2587" i="1"/>
  <c r="F2587" i="1"/>
  <c r="I2587" i="1" l="1"/>
  <c r="E2588" i="1" s="1"/>
  <c r="J2588" i="1" l="1"/>
  <c r="G2588" i="1" s="1"/>
  <c r="H2588" i="1"/>
  <c r="F2588" i="1"/>
  <c r="I2588" i="1" l="1"/>
  <c r="E2589" i="1" s="1"/>
  <c r="H2589" i="1" l="1"/>
  <c r="J2589" i="1"/>
  <c r="G2589" i="1" s="1"/>
  <c r="F2589" i="1"/>
  <c r="I2589" i="1" l="1"/>
  <c r="E2590" i="1" s="1"/>
  <c r="H2590" i="1" l="1"/>
  <c r="J2590" i="1"/>
  <c r="G2590" i="1" s="1"/>
  <c r="F2590" i="1"/>
  <c r="I2590" i="1" l="1"/>
  <c r="E2591" i="1" s="1"/>
  <c r="H2591" i="1" l="1"/>
  <c r="J2591" i="1"/>
  <c r="G2591" i="1" s="1"/>
  <c r="F2591" i="1"/>
  <c r="I2591" i="1" l="1"/>
  <c r="E2592" i="1" s="1"/>
  <c r="H2592" i="1" l="1"/>
  <c r="J2592" i="1"/>
  <c r="G2592" i="1" s="1"/>
  <c r="F2592" i="1"/>
  <c r="I2592" i="1" l="1"/>
  <c r="E2593" i="1" s="1"/>
  <c r="F2593" i="1" l="1"/>
  <c r="H2593" i="1"/>
  <c r="J2593" i="1"/>
  <c r="G2593" i="1" s="1"/>
  <c r="I2593" i="1" l="1"/>
  <c r="E2594" i="1" s="1"/>
  <c r="H2594" i="1" l="1"/>
  <c r="I2594" i="1" s="1"/>
  <c r="E2595" i="1" s="1"/>
  <c r="F2594" i="1"/>
  <c r="J2594" i="1"/>
  <c r="G2594" i="1" s="1"/>
  <c r="J2595" i="1" l="1"/>
  <c r="G2595" i="1" s="1"/>
  <c r="H2595" i="1"/>
  <c r="F2595" i="1"/>
  <c r="I2595" i="1" l="1"/>
  <c r="E2596" i="1" s="1"/>
  <c r="H2596" i="1" l="1"/>
  <c r="F2596" i="1"/>
  <c r="J2596" i="1"/>
  <c r="G2596" i="1" s="1"/>
  <c r="I2596" i="1" l="1"/>
  <c r="E2597" i="1" s="1"/>
  <c r="H2597" i="1" l="1"/>
  <c r="J2597" i="1"/>
  <c r="G2597" i="1" s="1"/>
  <c r="F2597" i="1"/>
  <c r="I2597" i="1" l="1"/>
  <c r="E2598" i="1" s="1"/>
  <c r="J2598" i="1" l="1"/>
  <c r="G2598" i="1" s="1"/>
  <c r="F2598" i="1"/>
  <c r="H2598" i="1"/>
  <c r="I2598" i="1" l="1"/>
  <c r="E2599" i="1" s="1"/>
  <c r="H2599" i="1" l="1"/>
  <c r="F2599" i="1"/>
  <c r="J2599" i="1"/>
  <c r="G2599" i="1" s="1"/>
  <c r="I2599" i="1" l="1"/>
  <c r="E2600" i="1" s="1"/>
  <c r="H2600" i="1" l="1"/>
  <c r="J2600" i="1"/>
  <c r="G2600" i="1" s="1"/>
  <c r="F2600" i="1"/>
  <c r="I2600" i="1" l="1"/>
  <c r="E2601" i="1" s="1"/>
  <c r="H2601" i="1" l="1"/>
  <c r="J2601" i="1"/>
  <c r="G2601" i="1" s="1"/>
  <c r="F2601" i="1"/>
  <c r="I2601" i="1" l="1"/>
  <c r="E2602" i="1" s="1"/>
  <c r="H2602" i="1" l="1"/>
  <c r="F2602" i="1"/>
  <c r="J2602" i="1"/>
  <c r="G2602" i="1" s="1"/>
  <c r="I2602" i="1" l="1"/>
  <c r="E2603" i="1" s="1"/>
  <c r="J2603" i="1" l="1"/>
  <c r="G2603" i="1" s="1"/>
  <c r="F2603" i="1"/>
  <c r="H2603" i="1"/>
  <c r="I2603" i="1" l="1"/>
  <c r="E2604" i="1" s="1"/>
  <c r="H2604" i="1" l="1"/>
  <c r="F2604" i="1"/>
  <c r="J2604" i="1"/>
  <c r="G2604" i="1" s="1"/>
  <c r="I2604" i="1" l="1"/>
  <c r="E2605" i="1" s="1"/>
  <c r="H2605" i="1" l="1"/>
  <c r="F2605" i="1"/>
  <c r="J2605" i="1"/>
  <c r="G2605" i="1" s="1"/>
  <c r="I2605" i="1" l="1"/>
  <c r="E2606" i="1" s="1"/>
  <c r="J2606" i="1" l="1"/>
  <c r="G2606" i="1" s="1"/>
  <c r="F2606" i="1"/>
  <c r="H2606" i="1"/>
  <c r="I2606" i="1" l="1"/>
  <c r="E2607" i="1" s="1"/>
  <c r="H2607" i="1" l="1"/>
  <c r="F2607" i="1"/>
  <c r="J2607" i="1"/>
  <c r="G2607" i="1" s="1"/>
  <c r="I2607" i="1" l="1"/>
  <c r="E2608" i="1" s="1"/>
  <c r="H2608" i="1" l="1"/>
  <c r="J2608" i="1"/>
  <c r="G2608" i="1" s="1"/>
  <c r="F2608" i="1"/>
  <c r="I2608" i="1" l="1"/>
  <c r="E2609" i="1" s="1"/>
  <c r="H2609" i="1" l="1"/>
  <c r="F2609" i="1"/>
  <c r="J2609" i="1"/>
  <c r="G2609" i="1" s="1"/>
  <c r="I2609" i="1" l="1"/>
  <c r="E2610" i="1" s="1"/>
  <c r="H2610" i="1" l="1"/>
  <c r="J2610" i="1"/>
  <c r="G2610" i="1" s="1"/>
  <c r="F2610" i="1"/>
  <c r="I2610" i="1" l="1"/>
  <c r="E2611" i="1" s="1"/>
  <c r="J2611" i="1" l="1"/>
  <c r="G2611" i="1" s="1"/>
  <c r="F2611" i="1"/>
  <c r="H2611" i="1"/>
  <c r="I2611" i="1" l="1"/>
  <c r="E2612" i="1" s="1"/>
  <c r="J2612" i="1" l="1"/>
  <c r="G2612" i="1" s="1"/>
  <c r="F2612" i="1"/>
  <c r="H2612" i="1"/>
  <c r="I2612" i="1" l="1"/>
  <c r="E2613" i="1" s="1"/>
  <c r="H2613" i="1" l="1"/>
  <c r="J2613" i="1"/>
  <c r="G2613" i="1" s="1"/>
  <c r="F2613" i="1"/>
  <c r="I2613" i="1" l="1"/>
  <c r="E2614" i="1" s="1"/>
  <c r="J2614" i="1" l="1"/>
  <c r="G2614" i="1" s="1"/>
  <c r="H2614" i="1"/>
  <c r="F2614" i="1"/>
  <c r="I2614" i="1" l="1"/>
  <c r="E2615" i="1" s="1"/>
  <c r="H2615" i="1" l="1"/>
  <c r="J2615" i="1"/>
  <c r="G2615" i="1" s="1"/>
  <c r="F2615" i="1"/>
  <c r="I2615" i="1" l="1"/>
  <c r="E2616" i="1" s="1"/>
  <c r="H2616" i="1" l="1"/>
  <c r="J2616" i="1"/>
  <c r="G2616" i="1" s="1"/>
  <c r="F2616" i="1"/>
  <c r="I2616" i="1" l="1"/>
  <c r="E2617" i="1" s="1"/>
  <c r="J2617" i="1" l="1"/>
  <c r="G2617" i="1" s="1"/>
  <c r="H2617" i="1"/>
  <c r="F2617" i="1"/>
  <c r="I2617" i="1" l="1"/>
  <c r="E2618" i="1" s="1"/>
  <c r="H2618" i="1" l="1"/>
  <c r="F2618" i="1"/>
  <c r="J2618" i="1"/>
  <c r="G2618" i="1" s="1"/>
  <c r="I2618" i="1" l="1"/>
  <c r="E2619" i="1" s="1"/>
  <c r="H2619" i="1" l="1"/>
  <c r="F2619" i="1"/>
  <c r="J2619" i="1"/>
  <c r="G2619" i="1" s="1"/>
  <c r="I2619" i="1" l="1"/>
  <c r="E2620" i="1" s="1"/>
  <c r="H2620" i="1" l="1"/>
  <c r="F2620" i="1"/>
  <c r="J2620" i="1"/>
  <c r="G2620" i="1" s="1"/>
  <c r="I2620" i="1" l="1"/>
  <c r="E2621" i="1" s="1"/>
  <c r="J2621" i="1" l="1"/>
  <c r="G2621" i="1" s="1"/>
  <c r="H2621" i="1"/>
  <c r="F2621" i="1"/>
  <c r="I2621" i="1" l="1"/>
  <c r="E2622" i="1" s="1"/>
  <c r="J2622" i="1" l="1"/>
  <c r="G2622" i="1" s="1"/>
  <c r="F2622" i="1"/>
  <c r="H2622" i="1"/>
  <c r="I2622" i="1" l="1"/>
  <c r="E2623" i="1" s="1"/>
  <c r="H2623" i="1" l="1"/>
  <c r="F2623" i="1"/>
  <c r="J2623" i="1"/>
  <c r="G2623" i="1" s="1"/>
  <c r="I2623" i="1" l="1"/>
  <c r="E2624" i="1" s="1"/>
  <c r="H2624" i="1" l="1"/>
  <c r="F2624" i="1"/>
  <c r="J2624" i="1"/>
  <c r="G2624" i="1" s="1"/>
  <c r="I2624" i="1" l="1"/>
  <c r="E2625" i="1" s="1"/>
  <c r="J2625" i="1" l="1"/>
  <c r="G2625" i="1" s="1"/>
  <c r="H2625" i="1"/>
  <c r="F2625" i="1"/>
  <c r="I2625" i="1" l="1"/>
  <c r="E2626" i="1" s="1"/>
  <c r="J2626" i="1" l="1"/>
  <c r="G2626" i="1" s="1"/>
  <c r="H2626" i="1"/>
  <c r="F2626" i="1"/>
  <c r="I2626" i="1" l="1"/>
  <c r="E2627" i="1" s="1"/>
  <c r="H2627" i="1" l="1"/>
  <c r="J2627" i="1"/>
  <c r="G2627" i="1" s="1"/>
  <c r="F2627" i="1"/>
  <c r="I2627" i="1" l="1"/>
  <c r="E2628" i="1" s="1"/>
  <c r="H2628" i="1" l="1"/>
  <c r="F2628" i="1"/>
  <c r="J2628" i="1"/>
  <c r="G2628" i="1" s="1"/>
  <c r="I2628" i="1" l="1"/>
  <c r="E2629" i="1" s="1"/>
  <c r="J2629" i="1" l="1"/>
  <c r="G2629" i="1" s="1"/>
  <c r="H2629" i="1"/>
  <c r="F2629" i="1"/>
  <c r="I2629" i="1" l="1"/>
  <c r="E2630" i="1" s="1"/>
  <c r="J2630" i="1" l="1"/>
  <c r="G2630" i="1" s="1"/>
  <c r="F2630" i="1"/>
  <c r="H2630" i="1"/>
  <c r="I2630" i="1" l="1"/>
  <c r="E2631" i="1" s="1"/>
  <c r="H2631" i="1" l="1"/>
  <c r="J2631" i="1"/>
  <c r="G2631" i="1" s="1"/>
  <c r="F2631" i="1"/>
  <c r="I2631" i="1" l="1"/>
  <c r="E2632" i="1" s="1"/>
  <c r="H2632" i="1" l="1"/>
  <c r="F2632" i="1"/>
  <c r="J2632" i="1"/>
  <c r="G2632" i="1" s="1"/>
  <c r="I2632" i="1" l="1"/>
  <c r="E2633" i="1" s="1"/>
  <c r="J2633" i="1" l="1"/>
  <c r="G2633" i="1" s="1"/>
  <c r="H2633" i="1"/>
  <c r="I2633" i="1" s="1"/>
  <c r="E2634" i="1" s="1"/>
  <c r="F2633" i="1"/>
  <c r="H2634" i="1" l="1"/>
  <c r="J2634" i="1"/>
  <c r="G2634" i="1" s="1"/>
  <c r="F2634" i="1"/>
  <c r="I2634" i="1" l="1"/>
  <c r="E2635" i="1" s="1"/>
  <c r="H2635" i="1" l="1"/>
  <c r="F2635" i="1"/>
  <c r="J2635" i="1"/>
  <c r="G2635" i="1" s="1"/>
  <c r="I2635" i="1" l="1"/>
  <c r="E2636" i="1" s="1"/>
  <c r="H2636" i="1" l="1"/>
  <c r="J2636" i="1"/>
  <c r="G2636" i="1" s="1"/>
  <c r="F2636" i="1"/>
  <c r="I2636" i="1" l="1"/>
  <c r="E2637" i="1" s="1"/>
  <c r="J2637" i="1" l="1"/>
  <c r="G2637" i="1" s="1"/>
  <c r="H2637" i="1"/>
  <c r="I2637" i="1" s="1"/>
  <c r="E2638" i="1" s="1"/>
  <c r="F2637" i="1"/>
  <c r="J2638" i="1" l="1"/>
  <c r="G2638" i="1" s="1"/>
  <c r="F2638" i="1"/>
  <c r="H2638" i="1"/>
  <c r="I2638" i="1" s="1"/>
  <c r="E2639" i="1" s="1"/>
  <c r="H2639" i="1" l="1"/>
  <c r="J2639" i="1"/>
  <c r="G2639" i="1" s="1"/>
  <c r="F2639" i="1"/>
  <c r="I2639" i="1" l="1"/>
  <c r="E2640" i="1" s="1"/>
  <c r="H2640" i="1" l="1"/>
  <c r="F2640" i="1"/>
  <c r="J2640" i="1"/>
  <c r="G2640" i="1" s="1"/>
  <c r="I2640" i="1" l="1"/>
  <c r="E2641" i="1" s="1"/>
  <c r="H2641" i="1" l="1"/>
  <c r="F2641" i="1"/>
  <c r="J2641" i="1"/>
  <c r="G2641" i="1" s="1"/>
  <c r="I2641" i="1" l="1"/>
  <c r="E2642" i="1" s="1"/>
  <c r="F2642" i="1" l="1"/>
  <c r="H2642" i="1"/>
  <c r="J2642" i="1"/>
  <c r="G2642" i="1" s="1"/>
  <c r="I2642" i="1" l="1"/>
  <c r="E2643" i="1" s="1"/>
  <c r="J2643" i="1" l="1"/>
  <c r="G2643" i="1" s="1"/>
  <c r="H2643" i="1"/>
  <c r="I2643" i="1" s="1"/>
  <c r="E2644" i="1" s="1"/>
  <c r="F2643" i="1"/>
  <c r="J2644" i="1" l="1"/>
  <c r="G2644" i="1" s="1"/>
  <c r="H2644" i="1"/>
  <c r="I2644" i="1" s="1"/>
  <c r="E2645" i="1" s="1"/>
  <c r="F2644" i="1"/>
  <c r="H2645" i="1" l="1"/>
  <c r="J2645" i="1"/>
  <c r="G2645" i="1" s="1"/>
  <c r="F2645" i="1"/>
  <c r="I2645" i="1" l="1"/>
  <c r="E2646" i="1" s="1"/>
  <c r="H2646" i="1" l="1"/>
  <c r="F2646" i="1"/>
  <c r="J2646" i="1"/>
  <c r="G2646" i="1" s="1"/>
  <c r="I2646" i="1" l="1"/>
  <c r="E2647" i="1" s="1"/>
  <c r="H2647" i="1" l="1"/>
  <c r="F2647" i="1"/>
  <c r="J2647" i="1"/>
  <c r="G2647" i="1" s="1"/>
  <c r="I2647" i="1" l="1"/>
  <c r="E2648" i="1" s="1"/>
  <c r="H2648" i="1" l="1"/>
  <c r="F2648" i="1"/>
  <c r="J2648" i="1"/>
  <c r="G2648" i="1" s="1"/>
  <c r="I2648" i="1" l="1"/>
  <c r="E2649" i="1" s="1"/>
  <c r="H2649" i="1" l="1"/>
  <c r="J2649" i="1"/>
  <c r="G2649" i="1" s="1"/>
  <c r="F2649" i="1"/>
  <c r="I2649" i="1" l="1"/>
  <c r="E2650" i="1" s="1"/>
  <c r="H2650" i="1" l="1"/>
  <c r="J2650" i="1"/>
  <c r="G2650" i="1" s="1"/>
  <c r="F2650" i="1"/>
  <c r="I2650" i="1" l="1"/>
  <c r="E2651" i="1" s="1"/>
  <c r="J2651" i="1" l="1"/>
  <c r="G2651" i="1" s="1"/>
  <c r="H2651" i="1"/>
  <c r="I2651" i="1" s="1"/>
  <c r="E2652" i="1" s="1"/>
  <c r="F2651" i="1"/>
  <c r="J2652" i="1" l="1"/>
  <c r="G2652" i="1" s="1"/>
  <c r="H2652" i="1"/>
  <c r="I2652" i="1" s="1"/>
  <c r="E2653" i="1" s="1"/>
  <c r="F2652" i="1"/>
  <c r="F2653" i="1" l="1"/>
  <c r="H2653" i="1"/>
  <c r="J2653" i="1"/>
  <c r="G2653" i="1" s="1"/>
  <c r="I2653" i="1" l="1"/>
  <c r="E2654" i="1" s="1"/>
  <c r="H2654" i="1" l="1"/>
  <c r="F2654" i="1"/>
  <c r="J2654" i="1"/>
  <c r="G2654" i="1" s="1"/>
  <c r="I2654" i="1" l="1"/>
  <c r="E2655" i="1" s="1"/>
  <c r="H2655" i="1" l="1"/>
  <c r="F2655" i="1"/>
  <c r="J2655" i="1"/>
  <c r="G2655" i="1" s="1"/>
  <c r="I2655" i="1" l="1"/>
  <c r="E2656" i="1" s="1"/>
  <c r="H2656" i="1" l="1"/>
  <c r="F2656" i="1"/>
  <c r="J2656" i="1"/>
  <c r="G2656" i="1" s="1"/>
  <c r="I2656" i="1" l="1"/>
  <c r="E2657" i="1" s="1"/>
  <c r="H2657" i="1" l="1"/>
  <c r="F2657" i="1"/>
  <c r="J2657" i="1"/>
  <c r="G2657" i="1" s="1"/>
  <c r="I2657" i="1" l="1"/>
  <c r="E2658" i="1" s="1"/>
  <c r="H2658" i="1" l="1"/>
  <c r="F2658" i="1"/>
  <c r="J2658" i="1"/>
  <c r="G2658" i="1" s="1"/>
  <c r="I2658" i="1" l="1"/>
  <c r="E2659" i="1" s="1"/>
  <c r="J2659" i="1" l="1"/>
  <c r="G2659" i="1" s="1"/>
  <c r="H2659" i="1"/>
  <c r="I2659" i="1" s="1"/>
  <c r="E2660" i="1" s="1"/>
  <c r="F2659" i="1"/>
  <c r="J2660" i="1" l="1"/>
  <c r="G2660" i="1" s="1"/>
  <c r="F2660" i="1"/>
  <c r="H2660" i="1"/>
  <c r="I2660" i="1" s="1"/>
  <c r="E2661" i="1" s="1"/>
  <c r="H2661" i="1" l="1"/>
  <c r="J2661" i="1"/>
  <c r="G2661" i="1" s="1"/>
  <c r="F2661" i="1"/>
  <c r="I2661" i="1" l="1"/>
  <c r="E2662" i="1" s="1"/>
  <c r="H2662" i="1" l="1"/>
  <c r="F2662" i="1"/>
  <c r="J2662" i="1"/>
  <c r="G2662" i="1" s="1"/>
  <c r="I2662" i="1" l="1"/>
  <c r="E2663" i="1" s="1"/>
  <c r="J2663" i="1" l="1"/>
  <c r="G2663" i="1" s="1"/>
  <c r="F2663" i="1"/>
  <c r="H2663" i="1"/>
  <c r="I2663" i="1" s="1"/>
  <c r="E2664" i="1" s="1"/>
  <c r="H2664" i="1" l="1"/>
  <c r="J2664" i="1"/>
  <c r="G2664" i="1" s="1"/>
  <c r="F2664" i="1"/>
  <c r="I2664" i="1" l="1"/>
  <c r="E2665" i="1" s="1"/>
  <c r="H2665" i="1" l="1"/>
  <c r="F2665" i="1"/>
  <c r="J2665" i="1"/>
  <c r="G2665" i="1" s="1"/>
  <c r="I2665" i="1" l="1"/>
  <c r="E2666" i="1" s="1"/>
  <c r="H2666" i="1" l="1"/>
  <c r="F2666" i="1"/>
  <c r="J2666" i="1"/>
  <c r="G2666" i="1" s="1"/>
  <c r="I2666" i="1" l="1"/>
  <c r="E2667" i="1" s="1"/>
  <c r="J2667" i="1" l="1"/>
  <c r="G2667" i="1" s="1"/>
  <c r="H2667" i="1"/>
  <c r="I2667" i="1" s="1"/>
  <c r="E2668" i="1" s="1"/>
  <c r="F2667" i="1"/>
  <c r="J2668" i="1" l="1"/>
  <c r="G2668" i="1" s="1"/>
  <c r="F2668" i="1"/>
  <c r="H2668" i="1"/>
  <c r="I2668" i="1" s="1"/>
  <c r="E2669" i="1" s="1"/>
  <c r="H2669" i="1" l="1"/>
  <c r="J2669" i="1"/>
  <c r="G2669" i="1" s="1"/>
  <c r="F2669" i="1"/>
  <c r="I2669" i="1" l="1"/>
  <c r="E2670" i="1" s="1"/>
  <c r="H2670" i="1" l="1"/>
  <c r="J2670" i="1"/>
  <c r="G2670" i="1" s="1"/>
  <c r="F2670" i="1"/>
  <c r="I2670" i="1" l="1"/>
  <c r="E2671" i="1" s="1"/>
  <c r="H2671" i="1" l="1"/>
  <c r="J2671" i="1"/>
  <c r="G2671" i="1" s="1"/>
  <c r="F2671" i="1"/>
  <c r="I2671" i="1" l="1"/>
  <c r="E2672" i="1" s="1"/>
  <c r="H2672" i="1" l="1"/>
  <c r="J2672" i="1"/>
  <c r="G2672" i="1" s="1"/>
  <c r="F2672" i="1"/>
  <c r="I2672" i="1" l="1"/>
  <c r="E2673" i="1" s="1"/>
  <c r="H2673" i="1" l="1"/>
  <c r="J2673" i="1"/>
  <c r="G2673" i="1" s="1"/>
  <c r="F2673" i="1"/>
  <c r="I2673" i="1" l="1"/>
  <c r="E2674" i="1" s="1"/>
  <c r="H2674" i="1" l="1"/>
  <c r="J2674" i="1"/>
  <c r="G2674" i="1" s="1"/>
  <c r="F2674" i="1"/>
  <c r="I2674" i="1" l="1"/>
  <c r="E2675" i="1" s="1"/>
  <c r="J2675" i="1" l="1"/>
  <c r="G2675" i="1" s="1"/>
  <c r="H2675" i="1"/>
  <c r="I2675" i="1" s="1"/>
  <c r="E2676" i="1" s="1"/>
  <c r="F2675" i="1"/>
  <c r="J2676" i="1" l="1"/>
  <c r="G2676" i="1" s="1"/>
  <c r="H2676" i="1"/>
  <c r="I2676" i="1" s="1"/>
  <c r="E2677" i="1" s="1"/>
  <c r="F2676" i="1"/>
  <c r="H2677" i="1" l="1"/>
  <c r="J2677" i="1"/>
  <c r="G2677" i="1" s="1"/>
  <c r="F2677" i="1"/>
  <c r="I2677" i="1" l="1"/>
  <c r="E2678" i="1" s="1"/>
  <c r="H2678" i="1" l="1"/>
  <c r="F2678" i="1"/>
  <c r="J2678" i="1"/>
  <c r="G2678" i="1" s="1"/>
  <c r="I2678" i="1" l="1"/>
  <c r="E2679" i="1" s="1"/>
  <c r="H2679" i="1" l="1"/>
  <c r="F2679" i="1"/>
  <c r="J2679" i="1"/>
  <c r="G2679" i="1" s="1"/>
  <c r="I2679" i="1" l="1"/>
  <c r="E2680" i="1" s="1"/>
  <c r="H2680" i="1" l="1"/>
  <c r="J2680" i="1"/>
  <c r="G2680" i="1" s="1"/>
  <c r="F2680" i="1"/>
  <c r="I2680" i="1" l="1"/>
  <c r="E2681" i="1" s="1"/>
  <c r="H2681" i="1" l="1"/>
  <c r="F2681" i="1"/>
  <c r="J2681" i="1"/>
  <c r="G2681" i="1" s="1"/>
  <c r="I2681" i="1" l="1"/>
  <c r="E2682" i="1" s="1"/>
  <c r="H2682" i="1" l="1"/>
  <c r="F2682" i="1"/>
  <c r="J2682" i="1"/>
  <c r="G2682" i="1" s="1"/>
  <c r="I2682" i="1" l="1"/>
  <c r="E2683" i="1" s="1"/>
  <c r="J2683" i="1" l="1"/>
  <c r="G2683" i="1" s="1"/>
  <c r="F2683" i="1"/>
  <c r="H2683" i="1"/>
  <c r="I2683" i="1" s="1"/>
  <c r="E2684" i="1" s="1"/>
  <c r="J2684" i="1" l="1"/>
  <c r="G2684" i="1" s="1"/>
  <c r="F2684" i="1"/>
  <c r="H2684" i="1"/>
  <c r="I2684" i="1" s="1"/>
  <c r="E2685" i="1" s="1"/>
  <c r="H2685" i="1" l="1"/>
  <c r="F2685" i="1"/>
  <c r="J2685" i="1"/>
  <c r="G2685" i="1" s="1"/>
  <c r="I2685" i="1" l="1"/>
  <c r="E2686" i="1" s="1"/>
  <c r="J2686" i="1" l="1"/>
  <c r="G2686" i="1" s="1"/>
  <c r="F2686" i="1"/>
  <c r="H2686" i="1"/>
  <c r="I2686" i="1" s="1"/>
  <c r="E2687" i="1" s="1"/>
  <c r="H2687" i="1" l="1"/>
  <c r="J2687" i="1"/>
  <c r="G2687" i="1" s="1"/>
  <c r="I2687" i="1" s="1"/>
  <c r="E2688" i="1" s="1"/>
  <c r="F2687" i="1"/>
  <c r="J2688" i="1" l="1"/>
  <c r="G2688" i="1" s="1"/>
  <c r="I2688" i="1" s="1"/>
  <c r="E2689" i="1" s="1"/>
  <c r="H2688" i="1"/>
  <c r="F2688" i="1"/>
  <c r="J2689" i="1" l="1"/>
  <c r="G2689" i="1" s="1"/>
  <c r="H2689" i="1"/>
  <c r="F2689" i="1"/>
  <c r="I2689" i="1" l="1"/>
  <c r="E2690" i="1" s="1"/>
  <c r="F2690" i="1" l="1"/>
  <c r="H2690" i="1"/>
  <c r="J2690" i="1"/>
  <c r="G2690" i="1" s="1"/>
  <c r="I2690" i="1" l="1"/>
  <c r="E2691" i="1" s="1"/>
  <c r="H2691" i="1" l="1"/>
  <c r="J2691" i="1"/>
  <c r="G2691" i="1" s="1"/>
  <c r="F2691" i="1"/>
  <c r="I2691" i="1" l="1"/>
  <c r="E2692" i="1" s="1"/>
  <c r="J2692" i="1" l="1"/>
  <c r="G2692" i="1" s="1"/>
  <c r="F2692" i="1"/>
  <c r="H2692" i="1"/>
  <c r="I2692" i="1" l="1"/>
  <c r="E2693" i="1" s="1"/>
  <c r="F2693" i="1" l="1"/>
  <c r="H2693" i="1"/>
  <c r="J2693" i="1"/>
  <c r="G2693" i="1" s="1"/>
  <c r="I2693" i="1" l="1"/>
  <c r="E2694" i="1" s="1"/>
  <c r="H2694" i="1" l="1"/>
  <c r="F2694" i="1"/>
  <c r="J2694" i="1"/>
  <c r="G2694" i="1" s="1"/>
  <c r="I2694" i="1" l="1"/>
  <c r="E2695" i="1" s="1"/>
  <c r="H2695" i="1" l="1"/>
  <c r="F2695" i="1"/>
  <c r="J2695" i="1"/>
  <c r="G2695" i="1" s="1"/>
  <c r="I2695" i="1" l="1"/>
  <c r="E2696" i="1" s="1"/>
  <c r="H2696" i="1" l="1"/>
  <c r="F2696" i="1"/>
  <c r="J2696" i="1"/>
  <c r="G2696" i="1" s="1"/>
  <c r="I2696" i="1" l="1"/>
  <c r="E2697" i="1" s="1"/>
  <c r="H2697" i="1" l="1"/>
  <c r="F2697" i="1"/>
  <c r="J2697" i="1"/>
  <c r="G2697" i="1" s="1"/>
  <c r="I2697" i="1" l="1"/>
  <c r="E2698" i="1" s="1"/>
  <c r="J2698" i="1" l="1"/>
  <c r="G2698" i="1" s="1"/>
  <c r="H2698" i="1"/>
  <c r="F2698" i="1"/>
  <c r="I2698" i="1" l="1"/>
  <c r="E2699" i="1" s="1"/>
  <c r="H2699" i="1" l="1"/>
  <c r="F2699" i="1"/>
  <c r="J2699" i="1"/>
  <c r="G2699" i="1" s="1"/>
  <c r="I2699" i="1" l="1"/>
  <c r="E2700" i="1" s="1"/>
  <c r="H2700" i="1" l="1"/>
  <c r="J2700" i="1"/>
  <c r="G2700" i="1" s="1"/>
  <c r="F2700" i="1"/>
  <c r="I2700" i="1" l="1"/>
  <c r="E2701" i="1" s="1"/>
  <c r="J2701" i="1" l="1"/>
  <c r="G2701" i="1" s="1"/>
  <c r="F2701" i="1"/>
  <c r="H2701" i="1"/>
  <c r="I2701" i="1" l="1"/>
  <c r="E2702" i="1" s="1"/>
  <c r="J2702" i="1" l="1"/>
  <c r="G2702" i="1" s="1"/>
  <c r="F2702" i="1"/>
  <c r="H2702" i="1"/>
  <c r="I2702" i="1" l="1"/>
  <c r="E2703" i="1" s="1"/>
  <c r="H2703" i="1" l="1"/>
  <c r="F2703" i="1"/>
  <c r="J2703" i="1"/>
  <c r="G2703" i="1" s="1"/>
  <c r="I2703" i="1" l="1"/>
  <c r="E2704" i="1" s="1"/>
  <c r="J2704" i="1" l="1"/>
  <c r="G2704" i="1" s="1"/>
  <c r="F2704" i="1"/>
  <c r="H2704" i="1"/>
  <c r="I2704" i="1" l="1"/>
  <c r="E2705" i="1" s="1"/>
  <c r="J2705" i="1" l="1"/>
  <c r="G2705" i="1" s="1"/>
  <c r="H2705" i="1"/>
  <c r="F2705" i="1"/>
  <c r="I2705" i="1" l="1"/>
  <c r="E2706" i="1" s="1"/>
  <c r="J2706" i="1" l="1"/>
  <c r="G2706" i="1" s="1"/>
  <c r="F2706" i="1"/>
  <c r="H2706" i="1"/>
  <c r="I2706" i="1" l="1"/>
  <c r="E2707" i="1" s="1"/>
  <c r="J2707" i="1" l="1"/>
  <c r="G2707" i="1" s="1"/>
  <c r="F2707" i="1"/>
  <c r="H2707" i="1"/>
  <c r="I2707" i="1" l="1"/>
  <c r="E2708" i="1" s="1"/>
  <c r="J2708" i="1" l="1"/>
  <c r="G2708" i="1" s="1"/>
  <c r="F2708" i="1"/>
  <c r="H2708" i="1"/>
  <c r="I2708" i="1" l="1"/>
  <c r="E2709" i="1" s="1"/>
  <c r="H2709" i="1" l="1"/>
  <c r="J2709" i="1"/>
  <c r="G2709" i="1" s="1"/>
  <c r="F2709" i="1"/>
  <c r="I2709" i="1" l="1"/>
  <c r="E2710" i="1" s="1"/>
  <c r="H2710" i="1" l="1"/>
  <c r="F2710" i="1"/>
  <c r="J2710" i="1"/>
  <c r="G2710" i="1" s="1"/>
  <c r="I2710" i="1" l="1"/>
  <c r="E2711" i="1" s="1"/>
  <c r="H2711" i="1" l="1"/>
  <c r="J2711" i="1"/>
  <c r="G2711" i="1" s="1"/>
  <c r="F2711" i="1"/>
  <c r="I2711" i="1" l="1"/>
  <c r="E2712" i="1" s="1"/>
  <c r="J2712" i="1" l="1"/>
  <c r="G2712" i="1" s="1"/>
  <c r="H2712" i="1"/>
  <c r="F2712" i="1"/>
  <c r="I2712" i="1" l="1"/>
  <c r="E2713" i="1" s="1"/>
  <c r="H2713" i="1" l="1"/>
  <c r="J2713" i="1"/>
  <c r="G2713" i="1" s="1"/>
  <c r="F2713" i="1"/>
  <c r="I2713" i="1" l="1"/>
  <c r="E2714" i="1" s="1"/>
  <c r="H2714" i="1" l="1"/>
  <c r="J2714" i="1"/>
  <c r="G2714" i="1" s="1"/>
  <c r="F2714" i="1"/>
  <c r="I2714" i="1" l="1"/>
  <c r="E2715" i="1" s="1"/>
  <c r="H2715" i="1" l="1"/>
  <c r="F2715" i="1"/>
  <c r="J2715" i="1"/>
  <c r="G2715" i="1" s="1"/>
  <c r="I2715" i="1" l="1"/>
  <c r="E2716" i="1" s="1"/>
  <c r="J2716" i="1" l="1"/>
  <c r="G2716" i="1" s="1"/>
  <c r="F2716" i="1"/>
  <c r="H2716" i="1"/>
  <c r="I2716" i="1" l="1"/>
  <c r="E2717" i="1" s="1"/>
  <c r="H2717" i="1" l="1"/>
  <c r="J2717" i="1"/>
  <c r="G2717" i="1" s="1"/>
  <c r="F2717" i="1"/>
  <c r="I2717" i="1" l="1"/>
  <c r="E2718" i="1" s="1"/>
  <c r="H2718" i="1" l="1"/>
  <c r="J2718" i="1"/>
  <c r="G2718" i="1" s="1"/>
  <c r="F2718" i="1"/>
  <c r="I2718" i="1" l="1"/>
  <c r="E2719" i="1" s="1"/>
  <c r="J2719" i="1" l="1"/>
  <c r="G2719" i="1" s="1"/>
  <c r="H2719" i="1"/>
  <c r="F2719" i="1"/>
  <c r="I2719" i="1" l="1"/>
  <c r="E2720" i="1" s="1"/>
  <c r="H2720" i="1" l="1"/>
  <c r="J2720" i="1"/>
  <c r="G2720" i="1" s="1"/>
  <c r="F2720" i="1"/>
  <c r="I2720" i="1" l="1"/>
  <c r="E2721" i="1" s="1"/>
  <c r="H2721" i="1" l="1"/>
  <c r="F2721" i="1"/>
  <c r="J2721" i="1"/>
  <c r="G2721" i="1" s="1"/>
  <c r="I2721" i="1" l="1"/>
  <c r="E2722" i="1" s="1"/>
  <c r="F2722" i="1" l="1"/>
  <c r="H2722" i="1"/>
  <c r="J2722" i="1"/>
  <c r="G2722" i="1" s="1"/>
  <c r="I2722" i="1" l="1"/>
  <c r="E2723" i="1" s="1"/>
  <c r="H2723" i="1" l="1"/>
  <c r="F2723" i="1"/>
  <c r="J2723" i="1"/>
  <c r="G2723" i="1" s="1"/>
  <c r="I2723" i="1" l="1"/>
  <c r="E2724" i="1" s="1"/>
  <c r="J2724" i="1" l="1"/>
  <c r="G2724" i="1" s="1"/>
  <c r="F2724" i="1"/>
  <c r="H2724" i="1"/>
  <c r="I2724" i="1" l="1"/>
  <c r="E2725" i="1" s="1"/>
  <c r="H2725" i="1" l="1"/>
  <c r="J2725" i="1"/>
  <c r="G2725" i="1" s="1"/>
  <c r="F2725" i="1"/>
  <c r="I2725" i="1" l="1"/>
  <c r="E2726" i="1" s="1"/>
  <c r="H2726" i="1" l="1"/>
  <c r="F2726" i="1"/>
  <c r="J2726" i="1"/>
  <c r="G2726" i="1" s="1"/>
  <c r="I2726" i="1" l="1"/>
  <c r="E2727" i="1" s="1"/>
  <c r="H2727" i="1" l="1"/>
  <c r="F2727" i="1"/>
  <c r="J2727" i="1"/>
  <c r="G2727" i="1" s="1"/>
  <c r="I2727" i="1" l="1"/>
  <c r="E2728" i="1" s="1"/>
  <c r="H2728" i="1" l="1"/>
  <c r="J2728" i="1"/>
  <c r="G2728" i="1" s="1"/>
  <c r="F2728" i="1"/>
  <c r="I2728" i="1" l="1"/>
  <c r="E2729" i="1" s="1"/>
  <c r="H2729" i="1" l="1"/>
  <c r="J2729" i="1"/>
  <c r="G2729" i="1" s="1"/>
  <c r="F2729" i="1"/>
  <c r="I2729" i="1" l="1"/>
  <c r="E2730" i="1" s="1"/>
  <c r="H2730" i="1" l="1"/>
  <c r="J2730" i="1"/>
  <c r="G2730" i="1" s="1"/>
  <c r="F2730" i="1"/>
  <c r="I2730" i="1" l="1"/>
  <c r="E2731" i="1" s="1"/>
  <c r="H2731" i="1" l="1"/>
  <c r="J2731" i="1"/>
  <c r="G2731" i="1" s="1"/>
  <c r="F2731" i="1"/>
  <c r="I2731" i="1" l="1"/>
  <c r="E2732" i="1" s="1"/>
  <c r="H2732" i="1" l="1"/>
  <c r="F2732" i="1"/>
  <c r="J2732" i="1"/>
  <c r="G2732" i="1" s="1"/>
  <c r="I2732" i="1" l="1"/>
  <c r="E2733" i="1" s="1"/>
  <c r="H2733" i="1" l="1"/>
  <c r="J2733" i="1"/>
  <c r="G2733" i="1" s="1"/>
  <c r="F2733" i="1"/>
  <c r="I2733" i="1" l="1"/>
  <c r="E2734" i="1" s="1"/>
  <c r="F2734" i="1" l="1"/>
  <c r="J2734" i="1"/>
  <c r="G2734" i="1" s="1"/>
  <c r="H2734" i="1"/>
  <c r="I2734" i="1" l="1"/>
  <c r="E2735" i="1" s="1"/>
  <c r="J2735" i="1" l="1"/>
  <c r="G2735" i="1" s="1"/>
  <c r="H2735" i="1"/>
  <c r="F2735" i="1"/>
  <c r="I2735" i="1" l="1"/>
  <c r="E2736" i="1" s="1"/>
  <c r="H2736" i="1" l="1"/>
  <c r="F2736" i="1"/>
  <c r="J2736" i="1"/>
  <c r="G2736" i="1" s="1"/>
  <c r="I2736" i="1" l="1"/>
  <c r="E2737" i="1" s="1"/>
  <c r="J2737" i="1" l="1"/>
  <c r="G2737" i="1" s="1"/>
  <c r="F2737" i="1"/>
  <c r="H2737" i="1"/>
  <c r="I2737" i="1" l="1"/>
  <c r="E2738" i="1" s="1"/>
  <c r="H2738" i="1" l="1"/>
  <c r="F2738" i="1"/>
  <c r="J2738" i="1"/>
  <c r="G2738" i="1" s="1"/>
  <c r="I2738" i="1" l="1"/>
  <c r="E2739" i="1" s="1"/>
  <c r="J2739" i="1" l="1"/>
  <c r="G2739" i="1" s="1"/>
  <c r="F2739" i="1"/>
  <c r="H2739" i="1"/>
  <c r="I2739" i="1" l="1"/>
  <c r="E2740" i="1" s="1"/>
  <c r="J2740" i="1" l="1"/>
  <c r="G2740" i="1" s="1"/>
  <c r="H2740" i="1"/>
  <c r="F2740" i="1"/>
  <c r="I2740" i="1" l="1"/>
  <c r="E2741" i="1" s="1"/>
  <c r="H2741" i="1" l="1"/>
  <c r="J2741" i="1"/>
  <c r="G2741" i="1" s="1"/>
  <c r="F2741" i="1"/>
  <c r="I2741" i="1" l="1"/>
  <c r="E2742" i="1" s="1"/>
  <c r="H2742" i="1" l="1"/>
  <c r="J2742" i="1"/>
  <c r="G2742" i="1" s="1"/>
  <c r="F2742" i="1"/>
  <c r="I2742" i="1" l="1"/>
  <c r="E2743" i="1" s="1"/>
  <c r="H2743" i="1" l="1"/>
  <c r="J2743" i="1"/>
  <c r="G2743" i="1" s="1"/>
  <c r="F2743" i="1"/>
  <c r="I2743" i="1" l="1"/>
  <c r="E2744" i="1" s="1"/>
  <c r="J2744" i="1" l="1"/>
  <c r="G2744" i="1" s="1"/>
  <c r="H2744" i="1"/>
  <c r="F2744" i="1"/>
  <c r="I2744" i="1" l="1"/>
  <c r="E2745" i="1" s="1"/>
  <c r="J2745" i="1" l="1"/>
  <c r="G2745" i="1" s="1"/>
  <c r="F2745" i="1"/>
  <c r="H2745" i="1"/>
  <c r="I2745" i="1" l="1"/>
  <c r="E2746" i="1" s="1"/>
  <c r="H2746" i="1" l="1"/>
  <c r="F2746" i="1"/>
  <c r="J2746" i="1"/>
  <c r="G2746" i="1" s="1"/>
  <c r="I2746" i="1" l="1"/>
  <c r="E2747" i="1" s="1"/>
  <c r="F2747" i="1" l="1"/>
  <c r="H2747" i="1"/>
  <c r="J2747" i="1"/>
  <c r="G2747" i="1" s="1"/>
  <c r="I2747" i="1" l="1"/>
  <c r="E2748" i="1" s="1"/>
  <c r="H2748" i="1" l="1"/>
  <c r="F2748" i="1"/>
  <c r="J2748" i="1"/>
  <c r="G2748" i="1" s="1"/>
  <c r="I2748" i="1" l="1"/>
  <c r="E2749" i="1" s="1"/>
  <c r="F2749" i="1" l="1"/>
  <c r="H2749" i="1"/>
  <c r="J2749" i="1"/>
  <c r="G2749" i="1" s="1"/>
  <c r="I2749" i="1" l="1"/>
  <c r="E2750" i="1" s="1"/>
  <c r="H2750" i="1" l="1"/>
  <c r="F2750" i="1"/>
  <c r="J2750" i="1"/>
  <c r="G2750" i="1" s="1"/>
  <c r="I2750" i="1" l="1"/>
  <c r="E2751" i="1" s="1"/>
  <c r="J2751" i="1" l="1"/>
  <c r="G2751" i="1" s="1"/>
  <c r="H2751" i="1"/>
  <c r="F2751" i="1"/>
  <c r="I2751" i="1" l="1"/>
  <c r="E2752" i="1" s="1"/>
  <c r="J2752" i="1" l="1"/>
  <c r="G2752" i="1" s="1"/>
  <c r="F2752" i="1"/>
  <c r="H2752" i="1"/>
  <c r="I2752" i="1" l="1"/>
  <c r="E2753" i="1" s="1"/>
  <c r="H2753" i="1" l="1"/>
  <c r="J2753" i="1"/>
  <c r="G2753" i="1" s="1"/>
  <c r="F2753" i="1"/>
  <c r="I2753" i="1" l="1"/>
  <c r="E2754" i="1" s="1"/>
  <c r="F2754" i="1" l="1"/>
  <c r="J2754" i="1"/>
  <c r="G2754" i="1" s="1"/>
  <c r="H2754" i="1"/>
  <c r="I2754" i="1" s="1"/>
  <c r="E2755" i="1" s="1"/>
  <c r="H2755" i="1" l="1"/>
  <c r="J2755" i="1"/>
  <c r="G2755" i="1" s="1"/>
  <c r="F2755" i="1"/>
  <c r="I2755" i="1" l="1"/>
  <c r="E2756" i="1" s="1"/>
  <c r="H2756" i="1" l="1"/>
  <c r="J2756" i="1"/>
  <c r="G2756" i="1" s="1"/>
  <c r="F2756" i="1"/>
  <c r="I2756" i="1" l="1"/>
  <c r="E2757" i="1" s="1"/>
  <c r="J2757" i="1" l="1"/>
  <c r="G2757" i="1" s="1"/>
  <c r="H2757" i="1"/>
  <c r="F2757" i="1"/>
  <c r="I2757" i="1" l="1"/>
  <c r="E2758" i="1" s="1"/>
  <c r="F2758" i="1" l="1"/>
  <c r="H2758" i="1"/>
  <c r="J2758" i="1"/>
  <c r="G2758" i="1" s="1"/>
  <c r="I2758" i="1" l="1"/>
  <c r="E2759" i="1" s="1"/>
  <c r="J2759" i="1" l="1"/>
  <c r="G2759" i="1" s="1"/>
  <c r="H2759" i="1"/>
  <c r="F2759" i="1"/>
  <c r="I2759" i="1" l="1"/>
  <c r="E2760" i="1" s="1"/>
  <c r="H2760" i="1" l="1"/>
  <c r="J2760" i="1"/>
  <c r="G2760" i="1" s="1"/>
  <c r="F2760" i="1"/>
  <c r="I2760" i="1" l="1"/>
  <c r="E2761" i="1" s="1"/>
  <c r="H2761" i="1" l="1"/>
  <c r="J2761" i="1"/>
  <c r="G2761" i="1" s="1"/>
  <c r="F2761" i="1"/>
  <c r="I2761" i="1" l="1"/>
  <c r="E2762" i="1" s="1"/>
  <c r="H2762" i="1" l="1"/>
  <c r="J2762" i="1"/>
  <c r="G2762" i="1" s="1"/>
  <c r="F2762" i="1"/>
  <c r="I2762" i="1" l="1"/>
  <c r="E2763" i="1" s="1"/>
  <c r="F2763" i="1" l="1"/>
  <c r="J2763" i="1"/>
  <c r="G2763" i="1" s="1"/>
  <c r="H2763" i="1"/>
  <c r="I2763" i="1" s="1"/>
  <c r="E2764" i="1" s="1"/>
  <c r="J2764" i="1" l="1"/>
  <c r="G2764" i="1" s="1"/>
  <c r="F2764" i="1"/>
  <c r="H2764" i="1"/>
  <c r="I2764" i="1" s="1"/>
  <c r="E2765" i="1" s="1"/>
  <c r="H2765" i="1" l="1"/>
  <c r="J2765" i="1"/>
  <c r="G2765" i="1" s="1"/>
  <c r="F2765" i="1"/>
  <c r="I2765" i="1" l="1"/>
  <c r="E2766" i="1" s="1"/>
  <c r="J2766" i="1" l="1"/>
  <c r="G2766" i="1" s="1"/>
  <c r="H2766" i="1"/>
  <c r="F2766" i="1"/>
  <c r="I2766" i="1" l="1"/>
  <c r="E2767" i="1" s="1"/>
  <c r="H2767" i="1" l="1"/>
  <c r="J2767" i="1"/>
  <c r="G2767" i="1" s="1"/>
  <c r="F2767" i="1"/>
  <c r="I2767" i="1" l="1"/>
  <c r="E2768" i="1" s="1"/>
  <c r="H2768" i="1" l="1"/>
  <c r="J2768" i="1"/>
  <c r="G2768" i="1" s="1"/>
  <c r="F2768" i="1"/>
  <c r="I2768" i="1" l="1"/>
  <c r="E2769" i="1" s="1"/>
  <c r="H2769" i="1" l="1"/>
  <c r="J2769" i="1"/>
  <c r="G2769" i="1" s="1"/>
  <c r="F2769" i="1"/>
  <c r="I2769" i="1" l="1"/>
  <c r="E2770" i="1" s="1"/>
  <c r="H2770" i="1" l="1"/>
  <c r="F2770" i="1"/>
  <c r="J2770" i="1"/>
  <c r="G2770" i="1" s="1"/>
  <c r="I2770" i="1" l="1"/>
  <c r="E2771" i="1" s="1"/>
  <c r="H2771" i="1" l="1"/>
  <c r="J2771" i="1"/>
  <c r="G2771" i="1" s="1"/>
  <c r="F2771" i="1"/>
  <c r="I2771" i="1" l="1"/>
  <c r="E2772" i="1" s="1"/>
  <c r="J2772" i="1" l="1"/>
  <c r="G2772" i="1" s="1"/>
  <c r="F2772" i="1"/>
  <c r="H2772" i="1"/>
  <c r="I2772" i="1" l="1"/>
  <c r="E2773" i="1" s="1"/>
  <c r="J2773" i="1" l="1"/>
  <c r="G2773" i="1" s="1"/>
  <c r="H2773" i="1"/>
  <c r="F2773" i="1"/>
  <c r="I2773" i="1" l="1"/>
  <c r="E2774" i="1" s="1"/>
  <c r="J2774" i="1" l="1"/>
  <c r="G2774" i="1" s="1"/>
  <c r="F2774" i="1"/>
  <c r="H2774" i="1"/>
  <c r="I2774" i="1" l="1"/>
  <c r="E2775" i="1" s="1"/>
  <c r="H2775" i="1" l="1"/>
  <c r="J2775" i="1"/>
  <c r="G2775" i="1" s="1"/>
  <c r="F2775" i="1"/>
  <c r="I2775" i="1" l="1"/>
  <c r="E2776" i="1" s="1"/>
  <c r="H2776" i="1" l="1"/>
  <c r="J2776" i="1"/>
  <c r="G2776" i="1" s="1"/>
  <c r="F2776" i="1"/>
  <c r="I2776" i="1" l="1"/>
  <c r="E2777" i="1" s="1"/>
  <c r="F2777" i="1" l="1"/>
  <c r="J2777" i="1"/>
  <c r="G2777" i="1" s="1"/>
  <c r="H2777" i="1"/>
  <c r="I2777" i="1" s="1"/>
  <c r="E2778" i="1" s="1"/>
  <c r="H2778" i="1" l="1"/>
  <c r="J2778" i="1"/>
  <c r="G2778" i="1" s="1"/>
  <c r="F2778" i="1"/>
  <c r="I2778" i="1" l="1"/>
  <c r="E2779" i="1" s="1"/>
  <c r="H2779" i="1" l="1"/>
  <c r="J2779" i="1"/>
  <c r="G2779" i="1" s="1"/>
  <c r="F2779" i="1"/>
  <c r="I2779" i="1" l="1"/>
  <c r="E2780" i="1" s="1"/>
  <c r="J2780" i="1" l="1"/>
  <c r="G2780" i="1" s="1"/>
  <c r="H2780" i="1"/>
  <c r="F2780" i="1"/>
  <c r="I2780" i="1" l="1"/>
  <c r="E2781" i="1" s="1"/>
  <c r="J2781" i="1" l="1"/>
  <c r="G2781" i="1" s="1"/>
  <c r="H2781" i="1"/>
  <c r="F2781" i="1"/>
  <c r="I2781" i="1" l="1"/>
  <c r="E2782" i="1" s="1"/>
  <c r="H2782" i="1" l="1"/>
  <c r="J2782" i="1"/>
  <c r="G2782" i="1" s="1"/>
  <c r="F2782" i="1"/>
  <c r="I2782" i="1" l="1"/>
  <c r="E2783" i="1" s="1"/>
  <c r="F2783" i="1" l="1"/>
  <c r="H2783" i="1"/>
  <c r="J2783" i="1"/>
  <c r="G2783" i="1" s="1"/>
  <c r="I2783" i="1" l="1"/>
  <c r="E2784" i="1" s="1"/>
  <c r="F2784" i="1" l="1"/>
  <c r="H2784" i="1"/>
  <c r="J2784" i="1"/>
  <c r="G2784" i="1" s="1"/>
  <c r="I2784" i="1" l="1"/>
  <c r="E2785" i="1" s="1"/>
  <c r="H2785" i="1" l="1"/>
  <c r="J2785" i="1"/>
  <c r="G2785" i="1" s="1"/>
  <c r="F2785" i="1"/>
  <c r="I2785" i="1" l="1"/>
  <c r="E2786" i="1" s="1"/>
  <c r="J2786" i="1" l="1"/>
  <c r="G2786" i="1" s="1"/>
  <c r="F2786" i="1"/>
  <c r="H2786" i="1"/>
  <c r="I2786" i="1" l="1"/>
  <c r="E2787" i="1" s="1"/>
  <c r="H2787" i="1" l="1"/>
  <c r="J2787" i="1"/>
  <c r="G2787" i="1" s="1"/>
  <c r="F2787" i="1"/>
  <c r="I2787" i="1" l="1"/>
  <c r="E2788" i="1" s="1"/>
  <c r="H2788" i="1" l="1"/>
  <c r="F2788" i="1"/>
  <c r="J2788" i="1"/>
  <c r="G2788" i="1" s="1"/>
  <c r="I2788" i="1" l="1"/>
  <c r="E2789" i="1" s="1"/>
  <c r="J2789" i="1" l="1"/>
  <c r="G2789" i="1" s="1"/>
  <c r="H2789" i="1"/>
  <c r="F2789" i="1"/>
  <c r="I2789" i="1" l="1"/>
  <c r="E2790" i="1" s="1"/>
  <c r="F2790" i="1" l="1"/>
  <c r="H2790" i="1"/>
  <c r="J2790" i="1"/>
  <c r="G2790" i="1" s="1"/>
  <c r="I2790" i="1" l="1"/>
  <c r="E2791" i="1" s="1"/>
  <c r="F2791" i="1" l="1"/>
  <c r="H2791" i="1"/>
  <c r="J2791" i="1"/>
  <c r="G2791" i="1" s="1"/>
  <c r="I2791" i="1" l="1"/>
  <c r="E2792" i="1" s="1"/>
  <c r="F2792" i="1" l="1"/>
  <c r="H2792" i="1"/>
  <c r="J2792" i="1"/>
  <c r="G2792" i="1" s="1"/>
  <c r="I2792" i="1" l="1"/>
  <c r="E2793" i="1" s="1"/>
  <c r="F2793" i="1" l="1"/>
  <c r="J2793" i="1"/>
  <c r="G2793" i="1" s="1"/>
  <c r="H2793" i="1"/>
  <c r="I2793" i="1" s="1"/>
  <c r="E2794" i="1" s="1"/>
  <c r="H2794" i="1" l="1"/>
  <c r="J2794" i="1"/>
  <c r="G2794" i="1" s="1"/>
  <c r="F2794" i="1"/>
  <c r="I2794" i="1" l="1"/>
  <c r="E2795" i="1" s="1"/>
  <c r="F2795" i="1" l="1"/>
  <c r="J2795" i="1"/>
  <c r="G2795" i="1" s="1"/>
  <c r="H2795" i="1"/>
  <c r="I2795" i="1" s="1"/>
  <c r="E2796" i="1" s="1"/>
  <c r="H2796" i="1" l="1"/>
  <c r="J2796" i="1"/>
  <c r="G2796" i="1" s="1"/>
  <c r="F2796" i="1"/>
  <c r="I2796" i="1" l="1"/>
  <c r="E2797" i="1" s="1"/>
  <c r="H2797" i="1" l="1"/>
  <c r="F2797" i="1"/>
  <c r="J2797" i="1"/>
  <c r="G2797" i="1" s="1"/>
  <c r="I2797" i="1" l="1"/>
  <c r="E2798" i="1" s="1"/>
  <c r="H2798" i="1" l="1"/>
  <c r="J2798" i="1"/>
  <c r="G2798" i="1" s="1"/>
  <c r="F2798" i="1"/>
  <c r="I2798" i="1" l="1"/>
  <c r="E2799" i="1" s="1"/>
  <c r="F2799" i="1" l="1"/>
  <c r="H2799" i="1"/>
  <c r="J2799" i="1"/>
  <c r="G2799" i="1" s="1"/>
  <c r="I2799" i="1" l="1"/>
  <c r="E2800" i="1" s="1"/>
  <c r="H2800" i="1" l="1"/>
  <c r="J2800" i="1"/>
  <c r="G2800" i="1" s="1"/>
  <c r="F2800" i="1"/>
  <c r="I2800" i="1" l="1"/>
  <c r="E2801" i="1" s="1"/>
  <c r="J2801" i="1" l="1"/>
  <c r="G2801" i="1" s="1"/>
  <c r="H2801" i="1"/>
  <c r="F2801" i="1"/>
  <c r="I2801" i="1" l="1"/>
  <c r="E2802" i="1" s="1"/>
  <c r="J2802" i="1" l="1"/>
  <c r="G2802" i="1" s="1"/>
  <c r="H2802" i="1"/>
  <c r="F2802" i="1"/>
  <c r="I2802" i="1" l="1"/>
  <c r="E2803" i="1" s="1"/>
  <c r="J2803" i="1" l="1"/>
  <c r="G2803" i="1" s="1"/>
  <c r="H2803" i="1"/>
  <c r="F2803" i="1"/>
  <c r="I2803" i="1" l="1"/>
  <c r="E2804" i="1" s="1"/>
  <c r="J2804" i="1" l="1"/>
  <c r="G2804" i="1" s="1"/>
  <c r="F2804" i="1"/>
  <c r="H2804" i="1"/>
  <c r="I2804" i="1" l="1"/>
  <c r="E2805" i="1" s="1"/>
  <c r="J2805" i="1" l="1"/>
  <c r="G2805" i="1" s="1"/>
  <c r="H2805" i="1"/>
  <c r="F2805" i="1"/>
  <c r="I2805" i="1" l="1"/>
  <c r="E2806" i="1" s="1"/>
  <c r="J2806" i="1" l="1"/>
  <c r="G2806" i="1" s="1"/>
  <c r="F2806" i="1"/>
  <c r="H2806" i="1"/>
  <c r="I2806" i="1" l="1"/>
  <c r="E2807" i="1" s="1"/>
  <c r="F2807" i="1" l="1"/>
  <c r="J2807" i="1"/>
  <c r="G2807" i="1" s="1"/>
  <c r="H2807" i="1"/>
  <c r="I2807" i="1" s="1"/>
  <c r="E2808" i="1" s="1"/>
  <c r="J2808" i="1" l="1"/>
  <c r="G2808" i="1" s="1"/>
  <c r="F2808" i="1"/>
  <c r="H2808" i="1"/>
  <c r="I2808" i="1" l="1"/>
  <c r="E2809" i="1" s="1"/>
  <c r="J2809" i="1" l="1"/>
  <c r="G2809" i="1" s="1"/>
  <c r="F2809" i="1"/>
  <c r="H2809" i="1"/>
  <c r="I2809" i="1" l="1"/>
  <c r="E2810" i="1" s="1"/>
  <c r="H2810" i="1" l="1"/>
  <c r="J2810" i="1"/>
  <c r="G2810" i="1" s="1"/>
  <c r="F2810" i="1"/>
  <c r="I2810" i="1" l="1"/>
  <c r="E2811" i="1" s="1"/>
  <c r="H2811" i="1" l="1"/>
  <c r="J2811" i="1"/>
  <c r="G2811" i="1" s="1"/>
  <c r="F2811" i="1"/>
  <c r="I2811" i="1" l="1"/>
  <c r="E2812" i="1" s="1"/>
  <c r="J2812" i="1" l="1"/>
  <c r="G2812" i="1" s="1"/>
  <c r="H2812" i="1"/>
  <c r="F2812" i="1"/>
  <c r="I2812" i="1" l="1"/>
  <c r="E2813" i="1" s="1"/>
  <c r="H2813" i="1" l="1"/>
  <c r="J2813" i="1"/>
  <c r="G2813" i="1" s="1"/>
  <c r="F2813" i="1"/>
  <c r="I2813" i="1" l="1"/>
  <c r="E2814" i="1" s="1"/>
  <c r="J2814" i="1" l="1"/>
  <c r="G2814" i="1" s="1"/>
  <c r="H2814" i="1"/>
  <c r="F2814" i="1"/>
  <c r="I2814" i="1" l="1"/>
  <c r="E2815" i="1" s="1"/>
  <c r="J2815" i="1" l="1"/>
  <c r="G2815" i="1" s="1"/>
  <c r="F2815" i="1"/>
  <c r="H2815" i="1"/>
  <c r="I2815" i="1" l="1"/>
  <c r="E2816" i="1" s="1"/>
  <c r="J2816" i="1" l="1"/>
  <c r="G2816" i="1" s="1"/>
  <c r="H2816" i="1"/>
  <c r="F2816" i="1"/>
  <c r="I2816" i="1" l="1"/>
  <c r="E2817" i="1" s="1"/>
  <c r="H2817" i="1" l="1"/>
  <c r="J2817" i="1"/>
  <c r="G2817" i="1" s="1"/>
  <c r="F2817" i="1"/>
  <c r="I2817" i="1" l="1"/>
  <c r="E2818" i="1" s="1"/>
  <c r="F2818" i="1" l="1"/>
  <c r="H2818" i="1"/>
  <c r="J2818" i="1"/>
  <c r="G2818" i="1" s="1"/>
  <c r="I2818" i="1" l="1"/>
  <c r="E2819" i="1" s="1"/>
  <c r="J2819" i="1" l="1"/>
  <c r="G2819" i="1" s="1"/>
  <c r="F2819" i="1"/>
  <c r="H2819" i="1"/>
  <c r="I2819" i="1" l="1"/>
  <c r="E2820" i="1" s="1"/>
  <c r="H2820" i="1" l="1"/>
  <c r="J2820" i="1"/>
  <c r="G2820" i="1" s="1"/>
  <c r="F2820" i="1"/>
  <c r="I2820" i="1" l="1"/>
  <c r="E2821" i="1" s="1"/>
  <c r="H2821" i="1" l="1"/>
  <c r="J2821" i="1"/>
  <c r="G2821" i="1" s="1"/>
  <c r="F2821" i="1"/>
  <c r="I2821" i="1" l="1"/>
  <c r="E2822" i="1" s="1"/>
  <c r="H2822" i="1" l="1"/>
  <c r="J2822" i="1"/>
  <c r="G2822" i="1" s="1"/>
  <c r="F2822" i="1"/>
  <c r="I2822" i="1" l="1"/>
  <c r="E2823" i="1" s="1"/>
  <c r="J2823" i="1" l="1"/>
  <c r="G2823" i="1" s="1"/>
  <c r="H2823" i="1"/>
  <c r="F2823" i="1"/>
  <c r="I2823" i="1" l="1"/>
  <c r="E2824" i="1" s="1"/>
  <c r="H2824" i="1" l="1"/>
  <c r="F2824" i="1"/>
  <c r="J2824" i="1"/>
  <c r="G2824" i="1" s="1"/>
  <c r="I2824" i="1" l="1"/>
  <c r="E2825" i="1" s="1"/>
  <c r="H2825" i="1" l="1"/>
  <c r="J2825" i="1"/>
  <c r="G2825" i="1" s="1"/>
  <c r="F2825" i="1"/>
  <c r="I2825" i="1" l="1"/>
  <c r="E2826" i="1" s="1"/>
  <c r="H2826" i="1" l="1"/>
  <c r="J2826" i="1"/>
  <c r="G2826" i="1" s="1"/>
  <c r="F2826" i="1"/>
  <c r="I2826" i="1" l="1"/>
  <c r="E2827" i="1" s="1"/>
  <c r="H2827" i="1" l="1"/>
  <c r="J2827" i="1"/>
  <c r="G2827" i="1" s="1"/>
  <c r="F2827" i="1"/>
  <c r="I2827" i="1" l="1"/>
  <c r="E2828" i="1" s="1"/>
  <c r="F2828" i="1" l="1"/>
  <c r="H2828" i="1"/>
  <c r="J2828" i="1"/>
  <c r="G2828" i="1" s="1"/>
  <c r="I2828" i="1" l="1"/>
  <c r="E2829" i="1" s="1"/>
  <c r="F2829" i="1" l="1"/>
  <c r="H2829" i="1"/>
  <c r="J2829" i="1"/>
  <c r="G2829" i="1" s="1"/>
  <c r="I2829" i="1" l="1"/>
  <c r="E2830" i="1" s="1"/>
  <c r="H2830" i="1" l="1"/>
  <c r="J2830" i="1"/>
  <c r="G2830" i="1" s="1"/>
  <c r="F2830" i="1"/>
  <c r="I2830" i="1" l="1"/>
  <c r="E2831" i="1" s="1"/>
  <c r="J2831" i="1" l="1"/>
  <c r="G2831" i="1" s="1"/>
  <c r="H2831" i="1"/>
  <c r="F2831" i="1"/>
  <c r="I2831" i="1" l="1"/>
  <c r="E2832" i="1" s="1"/>
  <c r="J2832" i="1" l="1"/>
  <c r="G2832" i="1" s="1"/>
  <c r="H2832" i="1"/>
  <c r="F2832" i="1"/>
  <c r="I2832" i="1" l="1"/>
  <c r="E2833" i="1" s="1"/>
  <c r="H2833" i="1" l="1"/>
  <c r="J2833" i="1"/>
  <c r="G2833" i="1" s="1"/>
  <c r="F2833" i="1"/>
  <c r="I2833" i="1" l="1"/>
  <c r="E2834" i="1" s="1"/>
  <c r="H2834" i="1" l="1"/>
  <c r="J2834" i="1"/>
  <c r="G2834" i="1" s="1"/>
  <c r="F2834" i="1"/>
  <c r="I2834" i="1" l="1"/>
  <c r="E2835" i="1" s="1"/>
  <c r="H2835" i="1" l="1"/>
  <c r="J2835" i="1"/>
  <c r="G2835" i="1" s="1"/>
  <c r="F2835" i="1"/>
  <c r="I2835" i="1" l="1"/>
  <c r="E2836" i="1" s="1"/>
  <c r="H2836" i="1" l="1"/>
  <c r="F2836" i="1"/>
  <c r="J2836" i="1"/>
  <c r="G2836" i="1" s="1"/>
  <c r="I2836" i="1" l="1"/>
  <c r="E2837" i="1" s="1"/>
  <c r="H2837" i="1" l="1"/>
  <c r="F2837" i="1"/>
  <c r="J2837" i="1"/>
  <c r="G2837" i="1" s="1"/>
  <c r="I2837" i="1" l="1"/>
  <c r="E2838" i="1" s="1"/>
  <c r="J2838" i="1" l="1"/>
  <c r="G2838" i="1" s="1"/>
  <c r="F2838" i="1"/>
  <c r="H2838" i="1"/>
  <c r="I2838" i="1" l="1"/>
  <c r="E2839" i="1" s="1"/>
  <c r="J2839" i="1" l="1"/>
  <c r="G2839" i="1" s="1"/>
  <c r="H2839" i="1"/>
  <c r="F2839" i="1"/>
  <c r="I2839" i="1" l="1"/>
  <c r="E2840" i="1" s="1"/>
  <c r="H2840" i="1" l="1"/>
  <c r="F2840" i="1"/>
  <c r="J2840" i="1"/>
  <c r="G2840" i="1" s="1"/>
  <c r="I2840" i="1" l="1"/>
  <c r="E2841" i="1" s="1"/>
  <c r="H2841" i="1" l="1"/>
  <c r="J2841" i="1"/>
  <c r="G2841" i="1" s="1"/>
  <c r="F2841" i="1"/>
  <c r="I2841" i="1" l="1"/>
  <c r="E2842" i="1" s="1"/>
  <c r="H2842" i="1" l="1"/>
  <c r="J2842" i="1"/>
  <c r="G2842" i="1" s="1"/>
  <c r="F2842" i="1"/>
  <c r="I2842" i="1" l="1"/>
  <c r="E2843" i="1" s="1"/>
  <c r="H2843" i="1" l="1"/>
  <c r="J2843" i="1"/>
  <c r="G2843" i="1" s="1"/>
  <c r="F2843" i="1"/>
  <c r="I2843" i="1" l="1"/>
  <c r="E2844" i="1" s="1"/>
  <c r="J2844" i="1" l="1"/>
  <c r="G2844" i="1" s="1"/>
  <c r="F2844" i="1"/>
  <c r="H2844" i="1"/>
  <c r="I2844" i="1" l="1"/>
  <c r="E2845" i="1" s="1"/>
  <c r="J2845" i="1" l="1"/>
  <c r="G2845" i="1" s="1"/>
  <c r="F2845" i="1"/>
  <c r="H2845" i="1"/>
  <c r="I2845" i="1" l="1"/>
  <c r="E2846" i="1" s="1"/>
  <c r="J2846" i="1" l="1"/>
  <c r="G2846" i="1" s="1"/>
  <c r="F2846" i="1"/>
  <c r="H2846" i="1"/>
  <c r="I2846" i="1" l="1"/>
  <c r="E2847" i="1" s="1"/>
  <c r="J2847" i="1" l="1"/>
  <c r="G2847" i="1" s="1"/>
  <c r="H2847" i="1"/>
  <c r="F2847" i="1"/>
  <c r="I2847" i="1" l="1"/>
  <c r="E2848" i="1" s="1"/>
  <c r="J2848" i="1" l="1"/>
  <c r="G2848" i="1" s="1"/>
  <c r="F2848" i="1"/>
  <c r="H2848" i="1"/>
  <c r="I2848" i="1" l="1"/>
  <c r="E2849" i="1" s="1"/>
  <c r="H2849" i="1" l="1"/>
  <c r="J2849" i="1"/>
  <c r="G2849" i="1" s="1"/>
  <c r="F2849" i="1"/>
  <c r="I2849" i="1" l="1"/>
  <c r="E2850" i="1" s="1"/>
  <c r="H2850" i="1" l="1"/>
  <c r="J2850" i="1"/>
  <c r="G2850" i="1" s="1"/>
  <c r="F2850" i="1"/>
  <c r="I2850" i="1" l="1"/>
  <c r="E2851" i="1" s="1"/>
  <c r="H2851" i="1" l="1"/>
  <c r="J2851" i="1"/>
  <c r="G2851" i="1" s="1"/>
  <c r="F2851" i="1"/>
  <c r="I2851" i="1" l="1"/>
  <c r="E2852" i="1" s="1"/>
  <c r="J2852" i="1" l="1"/>
  <c r="G2852" i="1" s="1"/>
  <c r="H2852" i="1"/>
  <c r="F2852" i="1"/>
  <c r="I2852" i="1" l="1"/>
  <c r="E2853" i="1" s="1"/>
  <c r="H2853" i="1" l="1"/>
  <c r="J2853" i="1"/>
  <c r="G2853" i="1" s="1"/>
  <c r="F2853" i="1"/>
  <c r="I2853" i="1" l="1"/>
  <c r="E2854" i="1" s="1"/>
  <c r="H2854" i="1" l="1"/>
  <c r="J2854" i="1"/>
  <c r="G2854" i="1" s="1"/>
  <c r="F2854" i="1"/>
  <c r="I2854" i="1" l="1"/>
  <c r="E2855" i="1" s="1"/>
  <c r="J2855" i="1" l="1"/>
  <c r="G2855" i="1" s="1"/>
  <c r="H2855" i="1"/>
  <c r="F2855" i="1"/>
  <c r="I2855" i="1" l="1"/>
  <c r="E2856" i="1" s="1"/>
  <c r="H2856" i="1" l="1"/>
  <c r="J2856" i="1"/>
  <c r="G2856" i="1" s="1"/>
  <c r="F2856" i="1"/>
  <c r="I2856" i="1" l="1"/>
  <c r="E2857" i="1" s="1"/>
  <c r="H2857" i="1" l="1"/>
  <c r="J2857" i="1"/>
  <c r="G2857" i="1" s="1"/>
  <c r="F2857" i="1"/>
  <c r="I2857" i="1" l="1"/>
  <c r="E2858" i="1" s="1"/>
  <c r="H2858" i="1" l="1"/>
  <c r="J2858" i="1"/>
  <c r="G2858" i="1" s="1"/>
  <c r="F2858" i="1"/>
  <c r="I2858" i="1" l="1"/>
  <c r="E2859" i="1" s="1"/>
  <c r="H2859" i="1" l="1"/>
  <c r="J2859" i="1"/>
  <c r="G2859" i="1" s="1"/>
  <c r="F2859" i="1"/>
  <c r="I2859" i="1" l="1"/>
  <c r="E2860" i="1" s="1"/>
  <c r="H2860" i="1" l="1"/>
  <c r="F2860" i="1"/>
  <c r="J2860" i="1"/>
  <c r="G2860" i="1" s="1"/>
  <c r="I2860" i="1" l="1"/>
  <c r="E2861" i="1" s="1"/>
  <c r="H2861" i="1" l="1"/>
  <c r="F2861" i="1"/>
  <c r="J2861" i="1"/>
  <c r="G2861" i="1" s="1"/>
  <c r="I2861" i="1" l="1"/>
  <c r="E2862" i="1" s="1"/>
  <c r="H2862" i="1" l="1"/>
  <c r="J2862" i="1"/>
  <c r="G2862" i="1" s="1"/>
  <c r="F2862" i="1"/>
  <c r="I2862" i="1" l="1"/>
  <c r="E2863" i="1" s="1"/>
  <c r="F2863" i="1" l="1"/>
  <c r="J2863" i="1"/>
  <c r="G2863" i="1" s="1"/>
  <c r="H2863" i="1"/>
  <c r="I2863" i="1" s="1"/>
  <c r="E2864" i="1" s="1"/>
  <c r="J2864" i="1" l="1"/>
  <c r="G2864" i="1" s="1"/>
  <c r="H2864" i="1"/>
  <c r="F2864" i="1"/>
  <c r="I2864" i="1" l="1"/>
  <c r="E2865" i="1" s="1"/>
  <c r="H2865" i="1" l="1"/>
  <c r="J2865" i="1"/>
  <c r="G2865" i="1" s="1"/>
  <c r="F2865" i="1"/>
  <c r="I2865" i="1" l="1"/>
  <c r="E2866" i="1" s="1"/>
  <c r="H2866" i="1" l="1"/>
  <c r="J2866" i="1"/>
  <c r="G2866" i="1" s="1"/>
  <c r="F2866" i="1"/>
  <c r="I2866" i="1" l="1"/>
  <c r="E2867" i="1" s="1"/>
  <c r="H2867" i="1" l="1"/>
  <c r="J2867" i="1"/>
  <c r="G2867" i="1" s="1"/>
  <c r="F2867" i="1"/>
  <c r="I2867" i="1" l="1"/>
  <c r="E2868" i="1" s="1"/>
  <c r="J2868" i="1" l="1"/>
  <c r="G2868" i="1" s="1"/>
  <c r="H2868" i="1"/>
  <c r="F2868" i="1"/>
  <c r="I2868" i="1" l="1"/>
  <c r="E2869" i="1" s="1"/>
  <c r="H2869" i="1" l="1"/>
  <c r="J2869" i="1"/>
  <c r="G2869" i="1" s="1"/>
  <c r="F2869" i="1"/>
  <c r="I2869" i="1" l="1"/>
  <c r="E2870" i="1" s="1"/>
  <c r="H2870" i="1" l="1"/>
  <c r="J2870" i="1"/>
  <c r="G2870" i="1" s="1"/>
  <c r="F2870" i="1"/>
  <c r="I2870" i="1" l="1"/>
  <c r="E2871" i="1" s="1"/>
  <c r="H2871" i="1" l="1"/>
  <c r="J2871" i="1"/>
  <c r="G2871" i="1" s="1"/>
  <c r="F2871" i="1"/>
  <c r="I2871" i="1" l="1"/>
  <c r="E2872" i="1" s="1"/>
  <c r="H2872" i="1" l="1"/>
  <c r="J2872" i="1"/>
  <c r="G2872" i="1" s="1"/>
  <c r="F2872" i="1"/>
  <c r="I2872" i="1" l="1"/>
  <c r="E2873" i="1" s="1"/>
  <c r="J2873" i="1" l="1"/>
  <c r="G2873" i="1" s="1"/>
  <c r="H2873" i="1"/>
  <c r="F2873" i="1"/>
  <c r="I2873" i="1" l="1"/>
  <c r="E2874" i="1" s="1"/>
  <c r="H2874" i="1" l="1"/>
  <c r="J2874" i="1"/>
  <c r="G2874" i="1" s="1"/>
  <c r="F2874" i="1"/>
  <c r="I2874" i="1" l="1"/>
  <c r="E2875" i="1" s="1"/>
  <c r="H2875" i="1" l="1"/>
  <c r="J2875" i="1"/>
  <c r="G2875" i="1" s="1"/>
  <c r="F2875" i="1"/>
  <c r="I2875" i="1" l="1"/>
  <c r="E2876" i="1" s="1"/>
  <c r="H2876" i="1" l="1"/>
  <c r="J2876" i="1"/>
  <c r="G2876" i="1" s="1"/>
  <c r="F2876" i="1"/>
  <c r="I2876" i="1" l="1"/>
  <c r="E2877" i="1" s="1"/>
  <c r="H2877" i="1" l="1"/>
  <c r="J2877" i="1"/>
  <c r="G2877" i="1" s="1"/>
  <c r="F2877" i="1"/>
  <c r="I2877" i="1" l="1"/>
  <c r="E2878" i="1" s="1"/>
  <c r="H2878" i="1" l="1"/>
  <c r="J2878" i="1"/>
  <c r="G2878" i="1" s="1"/>
  <c r="F2878" i="1"/>
  <c r="I2878" i="1" l="1"/>
  <c r="E2879" i="1" s="1"/>
  <c r="H2879" i="1" l="1"/>
  <c r="J2879" i="1"/>
  <c r="G2879" i="1" s="1"/>
  <c r="F2879" i="1"/>
  <c r="I2879" i="1" l="1"/>
  <c r="E2880" i="1" s="1"/>
  <c r="H2880" i="1" l="1"/>
  <c r="I2880" i="1" s="1"/>
  <c r="E2881" i="1" s="1"/>
  <c r="J2880" i="1"/>
  <c r="G2880" i="1" s="1"/>
  <c r="F2880" i="1"/>
  <c r="H2881" i="1" l="1"/>
  <c r="I2881" i="1" s="1"/>
  <c r="E2882" i="1" s="1"/>
  <c r="F2881" i="1"/>
  <c r="J2881" i="1"/>
  <c r="G2881" i="1" s="1"/>
  <c r="J2882" i="1" l="1"/>
  <c r="G2882" i="1" s="1"/>
  <c r="H2882" i="1"/>
  <c r="I2882" i="1" s="1"/>
  <c r="E2883" i="1" s="1"/>
  <c r="F2882" i="1"/>
  <c r="H2883" i="1" l="1"/>
  <c r="J2883" i="1"/>
  <c r="G2883" i="1" s="1"/>
  <c r="F2883" i="1"/>
  <c r="I2883" i="1" l="1"/>
  <c r="E2884" i="1" s="1"/>
  <c r="J2884" i="1" l="1"/>
  <c r="G2884" i="1" s="1"/>
  <c r="H2884" i="1"/>
  <c r="I2884" i="1" s="1"/>
  <c r="E2885" i="1" s="1"/>
  <c r="F2884" i="1"/>
  <c r="H2885" i="1" l="1"/>
  <c r="F2885" i="1"/>
  <c r="J2885" i="1"/>
  <c r="G2885" i="1" s="1"/>
  <c r="I2885" i="1" l="1"/>
  <c r="E2886" i="1" s="1"/>
  <c r="H2886" i="1" l="1"/>
  <c r="J2886" i="1"/>
  <c r="G2886" i="1" s="1"/>
  <c r="F2886" i="1"/>
  <c r="I2886" i="1" l="1"/>
  <c r="E2887" i="1" s="1"/>
  <c r="H2887" i="1" l="1"/>
  <c r="J2887" i="1"/>
  <c r="G2887" i="1" s="1"/>
  <c r="F2887" i="1"/>
  <c r="I2887" i="1" l="1"/>
  <c r="E2888" i="1" s="1"/>
  <c r="J2888" i="1" l="1"/>
  <c r="G2888" i="1" s="1"/>
  <c r="H2888" i="1"/>
  <c r="I2888" i="1" s="1"/>
  <c r="E2889" i="1" s="1"/>
  <c r="F2888" i="1"/>
  <c r="J2889" i="1" l="1"/>
  <c r="G2889" i="1" s="1"/>
  <c r="H2889" i="1"/>
  <c r="I2889" i="1" s="1"/>
  <c r="E2890" i="1" s="1"/>
  <c r="F2889" i="1"/>
  <c r="J2890" i="1" l="1"/>
  <c r="G2890" i="1" s="1"/>
  <c r="F2890" i="1"/>
  <c r="H2890" i="1"/>
  <c r="I2890" i="1" l="1"/>
  <c r="E2891" i="1" s="1"/>
  <c r="J2891" i="1" l="1"/>
  <c r="G2891" i="1" s="1"/>
  <c r="H2891" i="1"/>
  <c r="I2891" i="1" s="1"/>
  <c r="E2892" i="1" s="1"/>
  <c r="F2891" i="1"/>
  <c r="H2892" i="1" l="1"/>
  <c r="J2892" i="1"/>
  <c r="G2892" i="1" s="1"/>
  <c r="F2892" i="1"/>
  <c r="I2892" i="1" l="1"/>
  <c r="E2893" i="1" s="1"/>
  <c r="J2893" i="1" l="1"/>
  <c r="G2893" i="1" s="1"/>
  <c r="H2893" i="1"/>
  <c r="I2893" i="1" s="1"/>
  <c r="E2894" i="1" s="1"/>
  <c r="F2893" i="1"/>
  <c r="J2894" i="1" l="1"/>
  <c r="G2894" i="1" s="1"/>
  <c r="H2894" i="1"/>
  <c r="I2894" i="1" s="1"/>
  <c r="E2895" i="1" s="1"/>
  <c r="F2894" i="1"/>
  <c r="H2895" i="1" l="1"/>
  <c r="J2895" i="1"/>
  <c r="G2895" i="1" s="1"/>
  <c r="F2895" i="1"/>
  <c r="I2895" i="1" l="1"/>
  <c r="E2896" i="1" s="1"/>
  <c r="F2896" i="1" l="1"/>
  <c r="J2896" i="1"/>
  <c r="G2896" i="1" s="1"/>
  <c r="H2896" i="1"/>
  <c r="I2896" i="1" s="1"/>
  <c r="E2897" i="1" s="1"/>
  <c r="E10" i="2" l="1"/>
  <c r="J2897" i="1"/>
  <c r="G2897" i="1" s="1"/>
  <c r="F2897" i="1"/>
  <c r="H2897" i="1"/>
  <c r="J10" i="2" l="1"/>
  <c r="K10" i="2" s="1"/>
  <c r="H10" i="2"/>
  <c r="I10" i="2" s="1"/>
  <c r="I2897" i="1"/>
  <c r="E2898" i="1" s="1"/>
  <c r="H2898" i="1" l="1"/>
  <c r="J2898" i="1"/>
  <c r="G2898" i="1" s="1"/>
  <c r="F2898" i="1"/>
  <c r="I2898" i="1" l="1"/>
  <c r="E2899" i="1" s="1"/>
  <c r="J2899" i="1" l="1"/>
  <c r="G2899" i="1" s="1"/>
  <c r="H2899" i="1"/>
  <c r="F2899" i="1"/>
  <c r="I2899" i="1" l="1"/>
  <c r="E2900" i="1" s="1"/>
  <c r="H2900" i="1" l="1"/>
  <c r="J2900" i="1"/>
  <c r="G2900" i="1" s="1"/>
  <c r="F2900" i="1"/>
  <c r="I2900" i="1" l="1"/>
  <c r="E2901" i="1" s="1"/>
  <c r="H2901" i="1" l="1"/>
  <c r="J2901" i="1"/>
  <c r="G2901" i="1" s="1"/>
  <c r="F2901" i="1"/>
  <c r="I2901" i="1" l="1"/>
  <c r="E2902" i="1" s="1"/>
  <c r="H2902" i="1" l="1"/>
  <c r="J2902" i="1"/>
  <c r="G2902" i="1" s="1"/>
  <c r="F2902" i="1"/>
  <c r="I2902" i="1" l="1"/>
  <c r="E2903" i="1" s="1"/>
  <c r="H2903" i="1" l="1"/>
  <c r="F2903" i="1"/>
  <c r="J2903" i="1"/>
  <c r="G2903" i="1" s="1"/>
  <c r="I2903" i="1" l="1"/>
  <c r="E2904" i="1" s="1"/>
  <c r="J2904" i="1" l="1"/>
  <c r="G2904" i="1" s="1"/>
  <c r="H2904" i="1"/>
  <c r="F2904" i="1"/>
  <c r="I2904" i="1" l="1"/>
  <c r="E2905" i="1" s="1"/>
  <c r="H2905" i="1" l="1"/>
  <c r="J2905" i="1"/>
  <c r="G2905" i="1" s="1"/>
  <c r="F2905" i="1"/>
  <c r="I2905" i="1" l="1"/>
  <c r="E2906" i="1" s="1"/>
  <c r="H2906" i="1" l="1"/>
  <c r="J2906" i="1"/>
  <c r="G2906" i="1" s="1"/>
  <c r="F2906" i="1"/>
  <c r="I2906" i="1" l="1"/>
  <c r="E2907" i="1" s="1"/>
  <c r="J2907" i="1" l="1"/>
  <c r="G2907" i="1" s="1"/>
  <c r="H2907" i="1"/>
  <c r="F2907" i="1"/>
  <c r="I2907" i="1" l="1"/>
  <c r="E2908" i="1" s="1"/>
  <c r="H2908" i="1" l="1"/>
  <c r="J2908" i="1"/>
  <c r="G2908" i="1" s="1"/>
  <c r="F2908" i="1"/>
  <c r="I2908" i="1" l="1"/>
  <c r="E2909" i="1" s="1"/>
  <c r="H2909" i="1" l="1"/>
  <c r="J2909" i="1"/>
  <c r="G2909" i="1" s="1"/>
  <c r="F2909" i="1"/>
  <c r="I2909" i="1" l="1"/>
  <c r="E2910" i="1" s="1"/>
  <c r="H2910" i="1" l="1"/>
  <c r="J2910" i="1"/>
  <c r="G2910" i="1" s="1"/>
  <c r="F2910" i="1"/>
  <c r="I2910" i="1" l="1"/>
  <c r="E2911" i="1" s="1"/>
  <c r="H2911" i="1" l="1"/>
  <c r="F2911" i="1"/>
  <c r="J2911" i="1"/>
  <c r="G2911" i="1" s="1"/>
  <c r="I2911" i="1" l="1"/>
  <c r="E2912" i="1" s="1"/>
  <c r="J2912" i="1" l="1"/>
  <c r="G2912" i="1" s="1"/>
  <c r="H2912" i="1"/>
  <c r="F2912" i="1"/>
  <c r="I2912" i="1" l="1"/>
  <c r="E2913" i="1" s="1"/>
  <c r="H2913" i="1" l="1"/>
  <c r="J2913" i="1"/>
  <c r="G2913" i="1" s="1"/>
  <c r="F2913" i="1"/>
  <c r="I2913" i="1" l="1"/>
  <c r="E2914" i="1" s="1"/>
  <c r="J2914" i="1" l="1"/>
  <c r="G2914" i="1" s="1"/>
  <c r="H2914" i="1"/>
  <c r="F2914" i="1"/>
  <c r="I2914" i="1" l="1"/>
  <c r="E2915" i="1" s="1"/>
  <c r="H2915" i="1" l="1"/>
  <c r="J2915" i="1"/>
  <c r="G2915" i="1" s="1"/>
  <c r="F2915" i="1"/>
  <c r="I2915" i="1" l="1"/>
  <c r="E2916" i="1" s="1"/>
  <c r="H2916" i="1" l="1"/>
  <c r="J2916" i="1"/>
  <c r="G2916" i="1" s="1"/>
  <c r="F2916" i="1"/>
  <c r="I2916" i="1" l="1"/>
  <c r="E2917" i="1" s="1"/>
  <c r="H2917" i="1" l="1"/>
  <c r="J2917" i="1"/>
  <c r="G2917" i="1" s="1"/>
  <c r="F2917" i="1"/>
  <c r="I2917" i="1" l="1"/>
  <c r="E2918" i="1" s="1"/>
  <c r="H2918" i="1" l="1"/>
  <c r="J2918" i="1"/>
  <c r="G2918" i="1" s="1"/>
  <c r="F2918" i="1"/>
  <c r="I2918" i="1" l="1"/>
  <c r="E2919" i="1" s="1"/>
  <c r="H2919" i="1" l="1"/>
  <c r="J2919" i="1"/>
  <c r="G2919" i="1" s="1"/>
  <c r="F2919" i="1"/>
  <c r="I2919" i="1" l="1"/>
  <c r="E2920" i="1" s="1"/>
  <c r="H2920" i="1" l="1"/>
  <c r="J2920" i="1"/>
  <c r="G2920" i="1" s="1"/>
  <c r="F2920" i="1"/>
  <c r="I2920" i="1" l="1"/>
  <c r="E2921" i="1" s="1"/>
  <c r="H2921" i="1" l="1"/>
  <c r="J2921" i="1"/>
  <c r="G2921" i="1" s="1"/>
  <c r="F2921" i="1"/>
  <c r="I2921" i="1" l="1"/>
  <c r="E2922" i="1" s="1"/>
  <c r="H2922" i="1" l="1"/>
  <c r="J2922" i="1"/>
  <c r="G2922" i="1" s="1"/>
  <c r="F2922" i="1"/>
  <c r="I2922" i="1" l="1"/>
  <c r="E2923" i="1" s="1"/>
  <c r="H2923" i="1" l="1"/>
  <c r="F2923" i="1"/>
  <c r="J2923" i="1"/>
  <c r="G2923" i="1" s="1"/>
  <c r="I2923" i="1" l="1"/>
  <c r="E2924" i="1" s="1"/>
  <c r="H2924" i="1" l="1"/>
  <c r="J2924" i="1"/>
  <c r="G2924" i="1" s="1"/>
  <c r="F2924" i="1"/>
  <c r="I2924" i="1" l="1"/>
  <c r="E2925" i="1" s="1"/>
  <c r="H2925" i="1" l="1"/>
  <c r="J2925" i="1"/>
  <c r="G2925" i="1" s="1"/>
  <c r="F2925" i="1"/>
  <c r="I2925" i="1" l="1"/>
  <c r="E2926" i="1" s="1"/>
  <c r="J2926" i="1" l="1"/>
  <c r="G2926" i="1" s="1"/>
  <c r="H2926" i="1"/>
  <c r="F2926" i="1"/>
  <c r="I2926" i="1" l="1"/>
  <c r="E2927" i="1" s="1"/>
  <c r="H2927" i="1" l="1"/>
  <c r="J2927" i="1"/>
  <c r="G2927" i="1" s="1"/>
  <c r="F2927" i="1"/>
  <c r="I2927" i="1" l="1"/>
  <c r="E2928" i="1" s="1"/>
  <c r="H2928" i="1" l="1"/>
  <c r="J2928" i="1"/>
  <c r="G2928" i="1" s="1"/>
  <c r="F2928" i="1"/>
  <c r="I2928" i="1" l="1"/>
  <c r="E2929" i="1" s="1"/>
  <c r="J2929" i="1" l="1"/>
  <c r="G2929" i="1" s="1"/>
  <c r="H2929" i="1"/>
  <c r="F2929" i="1"/>
  <c r="I2929" i="1" l="1"/>
  <c r="E2930" i="1" s="1"/>
  <c r="J2930" i="1" l="1"/>
  <c r="G2930" i="1" s="1"/>
  <c r="H2930" i="1"/>
  <c r="F2930" i="1"/>
  <c r="I2930" i="1" l="1"/>
  <c r="E2931" i="1" s="1"/>
  <c r="H2931" i="1" l="1"/>
  <c r="J2931" i="1"/>
  <c r="G2931" i="1" s="1"/>
  <c r="F2931" i="1"/>
  <c r="I2931" i="1" l="1"/>
  <c r="E2932" i="1" s="1"/>
  <c r="H2932" i="1" l="1"/>
  <c r="J2932" i="1"/>
  <c r="G2932" i="1" s="1"/>
  <c r="F2932" i="1"/>
  <c r="I2932" i="1" l="1"/>
  <c r="E2933" i="1" s="1"/>
  <c r="H2933" i="1" l="1"/>
  <c r="J2933" i="1"/>
  <c r="G2933" i="1" s="1"/>
  <c r="F2933" i="1"/>
  <c r="I2933" i="1" l="1"/>
  <c r="E2934" i="1" s="1"/>
  <c r="J2934" i="1" l="1"/>
  <c r="G2934" i="1" s="1"/>
  <c r="H2934" i="1"/>
  <c r="F2934" i="1"/>
  <c r="I2934" i="1" l="1"/>
  <c r="E2935" i="1" s="1"/>
  <c r="J2935" i="1" l="1"/>
  <c r="G2935" i="1" s="1"/>
  <c r="H2935" i="1"/>
  <c r="F2935" i="1"/>
  <c r="I2935" i="1" l="1"/>
  <c r="E2936" i="1" s="1"/>
  <c r="H2936" i="1" l="1"/>
  <c r="J2936" i="1"/>
  <c r="G2936" i="1" s="1"/>
  <c r="F2936" i="1"/>
  <c r="I2936" i="1" l="1"/>
  <c r="E2937" i="1" s="1"/>
  <c r="J2937" i="1" l="1"/>
  <c r="G2937" i="1" s="1"/>
  <c r="H2937" i="1"/>
  <c r="F2937" i="1"/>
  <c r="I2937" i="1" l="1"/>
  <c r="E2938" i="1" s="1"/>
  <c r="H2938" i="1" l="1"/>
  <c r="F2938" i="1"/>
  <c r="J2938" i="1"/>
  <c r="G2938" i="1" s="1"/>
  <c r="I2938" i="1" l="1"/>
  <c r="E2939" i="1" s="1"/>
  <c r="J2939" i="1" l="1"/>
  <c r="G2939" i="1" s="1"/>
  <c r="F2939" i="1"/>
  <c r="H2939" i="1"/>
  <c r="I2939" i="1" l="1"/>
  <c r="E2940" i="1" s="1"/>
  <c r="H2940" i="1" l="1"/>
  <c r="J2940" i="1"/>
  <c r="G2940" i="1" s="1"/>
  <c r="F2940" i="1"/>
  <c r="I2940" i="1" l="1"/>
  <c r="E2941" i="1" s="1"/>
  <c r="H2941" i="1" l="1"/>
  <c r="J2941" i="1"/>
  <c r="G2941" i="1" s="1"/>
  <c r="F2941" i="1"/>
  <c r="I2941" i="1" l="1"/>
  <c r="E2942" i="1" s="1"/>
  <c r="H2942" i="1" l="1"/>
  <c r="J2942" i="1"/>
  <c r="G2942" i="1" s="1"/>
  <c r="F2942" i="1"/>
  <c r="I2942" i="1" l="1"/>
  <c r="E2943" i="1" s="1"/>
  <c r="H2943" i="1" l="1"/>
  <c r="J2943" i="1"/>
  <c r="G2943" i="1" s="1"/>
  <c r="F2943" i="1"/>
  <c r="I2943" i="1" l="1"/>
  <c r="E2944" i="1" s="1"/>
  <c r="H2944" i="1" l="1"/>
  <c r="J2944" i="1"/>
  <c r="G2944" i="1" s="1"/>
  <c r="F2944" i="1"/>
  <c r="I2944" i="1" l="1"/>
  <c r="E2945" i="1" s="1"/>
  <c r="H2945" i="1" l="1"/>
  <c r="F2945" i="1"/>
  <c r="J2945" i="1"/>
  <c r="G2945" i="1" s="1"/>
  <c r="I2945" i="1" l="1"/>
  <c r="E2946" i="1" s="1"/>
  <c r="J2946" i="1" l="1"/>
  <c r="G2946" i="1" s="1"/>
  <c r="H2946" i="1"/>
  <c r="F2946" i="1"/>
  <c r="I2946" i="1" l="1"/>
  <c r="E2947" i="1" s="1"/>
  <c r="J2947" i="1" l="1"/>
  <c r="G2947" i="1" s="1"/>
  <c r="H2947" i="1"/>
  <c r="F2947" i="1"/>
  <c r="I2947" i="1" l="1"/>
  <c r="E2948" i="1" s="1"/>
  <c r="H2948" i="1" l="1"/>
  <c r="J2948" i="1"/>
  <c r="G2948" i="1" s="1"/>
  <c r="F2948" i="1"/>
  <c r="I2948" i="1" l="1"/>
  <c r="E2949" i="1" s="1"/>
  <c r="J2949" i="1" l="1"/>
  <c r="G2949" i="1" s="1"/>
  <c r="H2949" i="1"/>
  <c r="F2949" i="1"/>
  <c r="I2949" i="1" l="1"/>
  <c r="E2950" i="1" s="1"/>
  <c r="H2950" i="1" l="1"/>
  <c r="F2950" i="1"/>
  <c r="J2950" i="1"/>
  <c r="G2950" i="1" s="1"/>
  <c r="I2950" i="1" l="1"/>
  <c r="E2951" i="1" s="1"/>
  <c r="H2951" i="1" l="1"/>
  <c r="F2951" i="1"/>
  <c r="J2951" i="1"/>
  <c r="G2951" i="1" s="1"/>
  <c r="I2951" i="1" l="1"/>
  <c r="E2952" i="1" s="1"/>
  <c r="H2952" i="1" l="1"/>
  <c r="J2952" i="1"/>
  <c r="G2952" i="1" s="1"/>
  <c r="F2952" i="1"/>
  <c r="I2952" i="1" l="1"/>
  <c r="E2953" i="1" s="1"/>
  <c r="H2953" i="1" l="1"/>
  <c r="J2953" i="1"/>
  <c r="G2953" i="1" s="1"/>
  <c r="F2953" i="1"/>
  <c r="I2953" i="1" l="1"/>
  <c r="E2954" i="1" s="1"/>
  <c r="H2954" i="1" l="1"/>
  <c r="J2954" i="1"/>
  <c r="G2954" i="1" s="1"/>
  <c r="F2954" i="1"/>
  <c r="I2954" i="1" l="1"/>
  <c r="E2955" i="1" s="1"/>
  <c r="H2955" i="1" l="1"/>
  <c r="J2955" i="1"/>
  <c r="G2955" i="1" s="1"/>
  <c r="F2955" i="1"/>
  <c r="I2955" i="1" l="1"/>
  <c r="E2956" i="1" s="1"/>
  <c r="J2956" i="1" l="1"/>
  <c r="G2956" i="1" s="1"/>
  <c r="F2956" i="1"/>
  <c r="H2956" i="1"/>
  <c r="I2956" i="1" l="1"/>
  <c r="E2957" i="1" s="1"/>
  <c r="H2957" i="1" l="1"/>
  <c r="F2957" i="1"/>
  <c r="J2957" i="1"/>
  <c r="G2957" i="1" s="1"/>
  <c r="I2957" i="1" l="1"/>
  <c r="E2958" i="1" s="1"/>
  <c r="J2958" i="1" l="1"/>
  <c r="G2958" i="1" s="1"/>
  <c r="H2958" i="1"/>
  <c r="I2958" i="1" s="1"/>
  <c r="E2959" i="1" s="1"/>
  <c r="F2958" i="1"/>
  <c r="H2959" i="1" l="1"/>
  <c r="J2959" i="1"/>
  <c r="G2959" i="1" s="1"/>
  <c r="F2959" i="1"/>
  <c r="I2959" i="1" l="1"/>
  <c r="E2960" i="1" s="1"/>
  <c r="H2960" i="1" l="1"/>
  <c r="I2960" i="1" s="1"/>
  <c r="E2961" i="1" s="1"/>
  <c r="J2960" i="1"/>
  <c r="G2960" i="1" s="1"/>
  <c r="F2960" i="1"/>
  <c r="J2961" i="1" l="1"/>
  <c r="G2961" i="1" s="1"/>
  <c r="H2961" i="1"/>
  <c r="F2961" i="1"/>
  <c r="I2961" i="1" l="1"/>
  <c r="E2962" i="1" s="1"/>
  <c r="H2962" i="1" l="1"/>
  <c r="J2962" i="1"/>
  <c r="G2962" i="1" s="1"/>
  <c r="F2962" i="1"/>
  <c r="I2962" i="1" l="1"/>
  <c r="E2963" i="1" s="1"/>
  <c r="J2963" i="1" l="1"/>
  <c r="G2963" i="1" s="1"/>
  <c r="H2963" i="1"/>
  <c r="F2963" i="1"/>
  <c r="I2963" i="1" l="1"/>
  <c r="E2964" i="1" s="1"/>
  <c r="H2964" i="1" l="1"/>
  <c r="J2964" i="1"/>
  <c r="G2964" i="1" s="1"/>
  <c r="F2964" i="1"/>
  <c r="I2964" i="1" l="1"/>
  <c r="E2965" i="1" s="1"/>
  <c r="J2965" i="1" l="1"/>
  <c r="G2965" i="1" s="1"/>
  <c r="H2965" i="1"/>
  <c r="I2965" i="1" s="1"/>
  <c r="E2966" i="1" s="1"/>
  <c r="F2965" i="1"/>
  <c r="J2966" i="1" l="1"/>
  <c r="G2966" i="1" s="1"/>
  <c r="H2966" i="1"/>
  <c r="F2966" i="1"/>
  <c r="I2966" i="1" l="1"/>
  <c r="E2967" i="1" s="1"/>
  <c r="H2967" i="1" l="1"/>
  <c r="J2967" i="1"/>
  <c r="G2967" i="1" s="1"/>
  <c r="F2967" i="1"/>
  <c r="I2967" i="1" l="1"/>
  <c r="E2968" i="1" s="1"/>
  <c r="H2968" i="1" l="1"/>
  <c r="J2968" i="1"/>
  <c r="G2968" i="1" s="1"/>
  <c r="F2968" i="1"/>
  <c r="I2968" i="1" l="1"/>
  <c r="E2969" i="1" s="1"/>
  <c r="H2969" i="1" l="1"/>
  <c r="F2969" i="1"/>
  <c r="J2969" i="1"/>
  <c r="G2969" i="1" s="1"/>
  <c r="I2969" i="1" l="1"/>
</calcChain>
</file>

<file path=xl/sharedStrings.xml><?xml version="1.0" encoding="utf-8"?>
<sst xmlns="http://schemas.openxmlformats.org/spreadsheetml/2006/main" count="124" uniqueCount="102">
  <si>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</si>
  <si>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</si>
  <si>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</si>
  <si>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</si>
  <si>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</si>
  <si>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</si>
  <si>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</si>
  <si>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</si>
  <si>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</si>
  <si>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</si>
  <si>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</si>
  <si>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</si>
  <si>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</si>
  <si>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</si>
  <si>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</si>
  <si>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</si>
  <si>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</si>
  <si>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Flux conv</t>
  </si>
  <si>
    <t>hnetc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</si>
  <si>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</si>
  <si>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</si>
  <si>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</si>
  <si>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</si>
  <si>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</si>
  <si>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</si>
  <si>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</si>
  <si>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</si>
  <si>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</si>
  <si>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</si>
  <si>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</si>
  <si>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</si>
  <si>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</si>
  <si>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IPE300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</si>
  <si>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</si>
  <si>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</si>
  <si>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</si>
  <si>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</si>
  <si>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</si>
  <si>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</si>
  <si>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</si>
  <si>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</si>
  <si>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</si>
  <si>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</si>
  <si>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</si>
  <si>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</si>
  <si>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</si>
  <si>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</si>
  <si>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</si>
  <si>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</si>
  <si>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</si>
  <si>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</si>
  <si>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>Emissivité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</si>
  <si>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</si>
  <si>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</si>
  <si>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</si>
  <si>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</si>
  <si>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</si>
  <si>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</si>
  <si>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</si>
  <si>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</si>
  <si>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</si>
  <si>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</si>
  <si>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</si>
  <si>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</si>
  <si>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</si>
  <si>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</si>
  <si>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</si>
  <si>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</si>
  <si>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</si>
  <si>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</si>
  <si>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</si>
  <si>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</si>
  <si>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</si>
  <si>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</si>
  <si>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</si>
  <si>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</si>
  <si>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</si>
  <si>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</si>
  <si>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</si>
  <si>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Déversement</t>
  </si>
  <si>
    <t>Mcr</t>
  </si>
  <si>
    <t>MRk</t>
  </si>
  <si>
    <t>LambdaLT</t>
  </si>
  <si>
    <t>MbRd</t>
  </si>
  <si>
    <t>PhiLT</t>
  </si>
  <si>
    <t>KhiLT</t>
  </si>
  <si>
    <t>AlphaLT</t>
  </si>
  <si>
    <t>h/b</t>
  </si>
  <si>
    <t>Classe de l'âme</t>
  </si>
  <si>
    <t>c/t</t>
  </si>
  <si>
    <t>Alpha</t>
  </si>
  <si>
    <t>Psi</t>
  </si>
  <si>
    <t>Normal</t>
  </si>
  <si>
    <t>Incendie</t>
  </si>
  <si>
    <t>Epsilon</t>
  </si>
  <si>
    <t>Limite classe 2</t>
  </si>
  <si>
    <t>Limite classe 3</t>
  </si>
  <si>
    <t>Classe</t>
  </si>
  <si>
    <t>72 Epsilon / Eta</t>
  </si>
  <si>
    <t>LambdaWfi(0)</t>
  </si>
  <si>
    <t>Eta</t>
  </si>
  <si>
    <t>kTau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</si>
</sst>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3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166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1" xfId="0" applyFill="1" applyBorder="1"/>
    <xf numFmtId="0" fontId="0" fillId="11" borderId="8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1" xfId="0" applyFill="1" applyBorder="1"/>
    <xf numFmtId="0" fontId="0" fillId="12" borderId="8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2" fontId="0" fillId="4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N2969"/>
  <sheetViews>
    <sheetView workbookViewId="0">
      <pane ySplit="16" topLeftCell="A2901" activePane="bottomLeft" state="frozen"/>
      <selection pane="bottomLeft" activeCell="F11" sqref="F11"/>
    </sheetView>
  </sheetViews>
  <sheetFormatPr baseColWidth="10" defaultRowHeight="15" x14ac:dyDescent="0.25"/>
  <cols>
    <col min="8" max="8" width="12" bestFit="1" customWidth="1"/>
  </cols>
  <sheetData>
    <row r="2" spans="2:14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49</v>
      </c>
    </row>
    <row r="3" spans="2:14" x14ac:dyDescent="0.25">
      <c r="M3" s="26">
        <v>4</v>
      </c>
      <c r="N3" s="32" t="s">
        <v>50</v>
      </c>
    </row>
    <row r="4" spans="2:14" x14ac:dyDescent="0.25">
      <c r="C4" s="2" t="s">
        <v>1</v>
      </c>
      <c r="D4" s="4">
        <v>5</v>
      </c>
      <c r="E4" t="s">
        <v>3</v>
      </c>
      <c r="H4" s="2" t="s">
        <v>25</v>
      </c>
      <c r="I4" s="4" t="s">
        <v>32</v>
      </c>
    </row>
    <row r="5" spans="2:14" x14ac:dyDescent="0.25">
      <c r="C5" s="2" t="s">
        <v>2</v>
      </c>
      <c r="D5" s="4">
        <v>20</v>
      </c>
      <c r="E5" t="s">
        <v>4</v>
      </c>
      <c r="H5" s="2" t="s">
        <v>26</v>
      </c>
      <c r="I5" s="4">
        <v>300</v>
      </c>
      <c r="J5" t="s">
        <v>31</v>
      </c>
      <c r="L5" s="25" t="s">
        <v>33</v>
      </c>
      <c r="M5" s="4">
        <v>3</v>
      </c>
      <c r="N5" t="s">
        <v>34</v>
      </c>
    </row>
    <row r="6" spans="2:14" x14ac:dyDescent="0.25">
      <c r="C6" s="2" t="s">
        <v>5</v>
      </c>
      <c r="D6" s="4">
        <v>1</v>
      </c>
      <c r="H6" s="2" t="s">
        <v>27</v>
      </c>
      <c r="I6" s="4">
        <v>150</v>
      </c>
      <c r="J6" t="s">
        <v>31</v>
      </c>
      <c r="L6" s="25" t="s">
        <v>35</v>
      </c>
      <c r="M6" s="27">
        <f>2*(h+2*b-tw+(PI()-3)*rr)-IF(Expo=3,b,0)</f>
        <v>1040.0477796076937</v>
      </c>
      <c r="N6" t="s">
        <v>31</v>
      </c>
    </row>
    <row r="7" spans="2:14" x14ac:dyDescent="0.25">
      <c r="C7" s="2" t="s">
        <v>6</v>
      </c>
      <c r="D7" s="4">
        <v>5.67</v>
      </c>
      <c r="E7" t="s">
        <v>7</v>
      </c>
      <c r="H7" s="2" t="s">
        <v>28</v>
      </c>
      <c r="I7" s="4">
        <v>10.7</v>
      </c>
      <c r="J7" t="s">
        <v>31</v>
      </c>
      <c r="L7" s="25" t="s">
        <v>36</v>
      </c>
      <c r="M7" s="27">
        <f>2*b*tf+hw*tw+(4-PI())*rr^2</f>
        <v>5381.2016529422972</v>
      </c>
      <c r="N7" t="s">
        <v>38</v>
      </c>
    </row>
    <row r="8" spans="2:14" x14ac:dyDescent="0.25">
      <c r="C8" s="2" t="s">
        <v>19</v>
      </c>
      <c r="D8" s="4">
        <v>25</v>
      </c>
      <c r="H8" s="2" t="s">
        <v>29</v>
      </c>
      <c r="I8" s="4">
        <v>7.1</v>
      </c>
      <c r="J8" t="s">
        <v>31</v>
      </c>
      <c r="L8" s="25" t="s">
        <v>37</v>
      </c>
      <c r="M8" s="29">
        <f>p/Aa*1000</f>
        <v>193.27426227170344</v>
      </c>
      <c r="N8" t="s">
        <v>40</v>
      </c>
    </row>
    <row r="9" spans="2:14" x14ac:dyDescent="0.25">
      <c r="C9" s="2" t="s">
        <v>23</v>
      </c>
      <c r="D9" s="4">
        <v>7850</v>
      </c>
      <c r="E9" t="s">
        <v>24</v>
      </c>
      <c r="H9" s="2" t="s">
        <v>30</v>
      </c>
      <c r="I9" s="4">
        <v>15</v>
      </c>
      <c r="J9" t="s">
        <v>31</v>
      </c>
      <c r="L9" s="25" t="s">
        <v>41</v>
      </c>
      <c r="M9" s="27">
        <f>2*(h+b)-IF(Expo=3,b,0)</f>
        <v>750</v>
      </c>
      <c r="N9" t="s">
        <v>31</v>
      </c>
    </row>
    <row r="10" spans="2:14" x14ac:dyDescent="0.25">
      <c r="C10" s="2" t="s">
        <v>53</v>
      </c>
      <c r="D10" s="4">
        <v>1</v>
      </c>
      <c r="H10" s="2" t="s">
        <v>39</v>
      </c>
      <c r="I10" s="28">
        <f>h-2*tf</f>
        <v>278.60000000000002</v>
      </c>
      <c r="J10" t="s">
        <v>31</v>
      </c>
      <c r="L10" s="25" t="s">
        <v>42</v>
      </c>
      <c r="M10" s="29">
        <f>pb/Aa*1000</f>
        <v>139.37407448574615</v>
      </c>
      <c r="N10" t="s">
        <v>40</v>
      </c>
    </row>
    <row r="11" spans="2:14" x14ac:dyDescent="0.25">
      <c r="C11" s="2"/>
      <c r="D11" s="3"/>
      <c r="H11" s="2" t="s">
        <v>48</v>
      </c>
      <c r="I11" s="4" t="s">
        <v>50</v>
      </c>
      <c r="L11" s="25" t="s">
        <v>43</v>
      </c>
      <c r="M11" s="30">
        <f>0.9*MassiveteBox/Massivete</f>
        <v>0.64900864482842346</v>
      </c>
    </row>
    <row r="12" spans="2:14" x14ac:dyDescent="0.25">
      <c r="C12" s="2"/>
      <c r="D12" s="3"/>
    </row>
    <row r="13" spans="2:14" x14ac:dyDescent="0.25">
      <c r="C13" s="2"/>
      <c r="D13" s="3"/>
    </row>
    <row r="14" spans="2:14" x14ac:dyDescent="0.25">
      <c r="B14" s="5" t="s">
        <v>8</v>
      </c>
      <c r="C14" s="5" t="s">
        <v>8</v>
      </c>
      <c r="D14" s="8" t="s">
        <v>12</v>
      </c>
      <c r="E14" s="15" t="s">
        <v>15</v>
      </c>
      <c r="F14" s="18" t="s">
        <v>17</v>
      </c>
      <c r="G14" s="18" t="s">
        <v>47</v>
      </c>
      <c r="H14" s="21" t="s">
        <v>20</v>
      </c>
      <c r="I14" s="18" t="s">
        <v>44</v>
      </c>
      <c r="J14" s="21" t="s">
        <v>51</v>
      </c>
    </row>
    <row r="15" spans="2:14" x14ac:dyDescent="0.25">
      <c r="B15" s="6" t="s">
        <v>9</v>
      </c>
      <c r="C15" s="6" t="s">
        <v>9</v>
      </c>
      <c r="D15" s="9" t="s">
        <v>11</v>
      </c>
      <c r="E15" s="16" t="s">
        <v>16</v>
      </c>
      <c r="F15" s="19" t="s">
        <v>18</v>
      </c>
      <c r="G15" s="19" t="s">
        <v>46</v>
      </c>
      <c r="H15" s="22" t="s">
        <v>21</v>
      </c>
      <c r="I15" s="19" t="s">
        <v>45</v>
      </c>
      <c r="J15" s="22" t="s">
        <v>52</v>
      </c>
    </row>
    <row r="16" spans="2:14" x14ac:dyDescent="0.25">
      <c r="B16" s="7" t="s">
        <v>10</v>
      </c>
      <c r="C16" s="7" t="s">
        <v>14</v>
      </c>
      <c r="D16" s="10" t="s">
        <v>13</v>
      </c>
      <c r="E16" s="17" t="s">
        <v>13</v>
      </c>
      <c r="F16" s="20"/>
      <c r="G16" s="20"/>
      <c r="H16" s="23" t="s">
        <v>22</v>
      </c>
      <c r="I16" s="20" t="s">
        <v>13</v>
      </c>
      <c r="J16" s="23"/>
    </row>
    <row r="17" spans="2:10" x14ac:dyDescent="0.25">
      <c r="B17" s="3">
        <v>0</v>
      </c>
      <c r="C17" s="14">
        <f>B17/60</f>
        <v>0</v>
      </c>
      <c r="D17" s="11">
        <f>20+345*LOG(8*C17+1,10)</f>
        <v>20</v>
      </c>
      <c r="E17" s="3">
        <f>Theta0</f>
        <v>20</v>
      </c>
      <c r="F17" s="3">
        <f t="shared" ref="F17:F80" si="0">AlphaC*(D17-E17)</f>
        <v>0</v>
      </c>
      <c r="G17" s="14">
        <f t="shared" ref="G17:G80" si="1">Phi*EpsilonF*Botzman/10^8*J17*((D17+273)^4-(E17+273)^4)</f>
        <v>0</v>
      </c>
      <c r="H17" s="24">
        <f>IF(E17&lt;600,425+0.773*E17-1.69/1000*E17^2+2.22/1000^2*E17^3,IF(E17&lt;735,666+13002/(738-E17),IF(E17&lt;900,545+17820/(E17-731),650)))</f>
        <v>439.80176</v>
      </c>
      <c r="I17" s="12">
        <f t="shared" ref="I17:I80" si="2">ksh*Massivete/(H17*RhoA)*DeltaT*(F17+G17)</f>
        <v>0</v>
      </c>
      <c r="J17" s="3">
        <f t="shared" ref="J17:J80" si="3">IF(E17&lt;=500,IF(Galva=Oui,0.35,0.7),0.7)</f>
        <v>0.7</v>
      </c>
    </row>
    <row r="18" spans="2:10" x14ac:dyDescent="0.25">
      <c r="B18" s="3">
        <f t="shared" ref="B18:B81" si="4">B17+DeltaT</f>
        <v>5</v>
      </c>
      <c r="C18" s="14">
        <f t="shared" ref="C18:C81" si="5">B18/60</f>
        <v>8.3333333333333329E-2</v>
      </c>
      <c r="D18" s="11">
        <f t="shared" ref="D18:D81" si="6">20+345*LOG(8*C18+1,10)</f>
        <v>96.537818617642927</v>
      </c>
      <c r="E18" s="24">
        <f>E17+I17</f>
        <v>20</v>
      </c>
      <c r="F18" s="24">
        <f t="shared" si="0"/>
        <v>1913.4454654410731</v>
      </c>
      <c r="G18" s="14">
        <f t="shared" si="1"/>
        <v>447.62743255522747</v>
      </c>
      <c r="H18" s="24">
        <f>IF(E18&lt;600,425+0.773*E18-1.69/1000*E18^2+2.22/1000^2*E18^3,IF(E18&lt;735,666+13002/(738-E18),IF(E18&lt;900,545+17820/(E18-731),650)))</f>
        <v>439.80176</v>
      </c>
      <c r="I18" s="12">
        <f t="shared" si="2"/>
        <v>0.42892097705385462</v>
      </c>
      <c r="J18" s="3">
        <f t="shared" si="3"/>
        <v>0.7</v>
      </c>
    </row>
    <row r="19" spans="2:10" x14ac:dyDescent="0.25">
      <c r="B19" s="3">
        <f t="shared" si="4"/>
        <v>10</v>
      </c>
      <c r="C19" s="14">
        <f t="shared" si="5"/>
        <v>0.16666666666666666</v>
      </c>
      <c r="D19" s="11">
        <f t="shared" si="6"/>
        <v>146.95199092663501</v>
      </c>
      <c r="E19" s="24">
        <f t="shared" ref="E19:E26" si="7">E18+I18</f>
        <v>20.428920977053856</v>
      </c>
      <c r="F19" s="24">
        <f t="shared" si="0"/>
        <v>3163.0767487395287</v>
      </c>
      <c r="G19" s="14">
        <f t="shared" si="1"/>
        <v>940.23360772675608</v>
      </c>
      <c r="H19" s="24">
        <f t="shared" ref="H19:H26" si="8">IF(E19&lt;600,425+0.773*E19-1.69/1000*E19^2+2.22/1000^2*E19^3,IF(E19&lt;735,666+13002/(738-E19),IF(E19&lt;900,545+17820/(E19-731),650)))</f>
        <v>440.10517726839191</v>
      </c>
      <c r="I19" s="12">
        <f t="shared" si="2"/>
        <v>0.74490817820590949</v>
      </c>
      <c r="J19" s="3">
        <f t="shared" si="3"/>
        <v>0.7</v>
      </c>
    </row>
    <row r="20" spans="2:10" x14ac:dyDescent="0.25">
      <c r="B20" s="3">
        <f t="shared" si="4"/>
        <v>15</v>
      </c>
      <c r="C20" s="14">
        <f t="shared" si="5"/>
        <v>0.25</v>
      </c>
      <c r="D20" s="11">
        <f t="shared" si="6"/>
        <v>184.60683287828354</v>
      </c>
      <c r="E20" s="24">
        <f t="shared" si="7"/>
        <v>21.173829155259767</v>
      </c>
      <c r="F20" s="24">
        <f t="shared" si="0"/>
        <v>4085.8250930755944</v>
      </c>
      <c r="G20" s="14">
        <f t="shared" si="1"/>
        <v>1443.1749794583754</v>
      </c>
      <c r="H20" s="24">
        <f t="shared" si="8"/>
        <v>440.63076468197289</v>
      </c>
      <c r="I20" s="12">
        <f t="shared" si="2"/>
        <v>1.0025282814674492</v>
      </c>
      <c r="J20" s="3">
        <f t="shared" si="3"/>
        <v>0.7</v>
      </c>
    </row>
    <row r="21" spans="2:10" x14ac:dyDescent="0.25">
      <c r="B21" s="3">
        <f t="shared" si="4"/>
        <v>20</v>
      </c>
      <c r="C21" s="14">
        <f t="shared" si="5"/>
        <v>0.33333333333333331</v>
      </c>
      <c r="D21" s="11">
        <f t="shared" si="6"/>
        <v>214.67364350130407</v>
      </c>
      <c r="E21" s="24">
        <f t="shared" si="7"/>
        <v>22.176357436727216</v>
      </c>
      <c r="F21" s="24">
        <f t="shared" si="0"/>
        <v>4812.4321516144209</v>
      </c>
      <c r="G21" s="14">
        <f t="shared" si="1"/>
        <v>1943.600677230799</v>
      </c>
      <c r="H21" s="24">
        <f t="shared" si="8"/>
        <v>441.33540940415696</v>
      </c>
      <c r="I21" s="12">
        <f t="shared" si="2"/>
        <v>1.2230601929544436</v>
      </c>
      <c r="J21" s="3">
        <f t="shared" si="3"/>
        <v>0.7</v>
      </c>
    </row>
    <row r="22" spans="2:10" x14ac:dyDescent="0.25">
      <c r="B22" s="3">
        <f t="shared" si="4"/>
        <v>25</v>
      </c>
      <c r="C22" s="14">
        <f t="shared" si="5"/>
        <v>0.41666666666666669</v>
      </c>
      <c r="D22" s="11">
        <f t="shared" si="6"/>
        <v>239.70362366757516</v>
      </c>
      <c r="E22" s="24">
        <f t="shared" si="7"/>
        <v>23.399417629681658</v>
      </c>
      <c r="F22" s="24">
        <f t="shared" si="0"/>
        <v>5407.6051509473373</v>
      </c>
      <c r="G22" s="14">
        <f t="shared" si="1"/>
        <v>2436.1693943542004</v>
      </c>
      <c r="H22" s="24">
        <f t="shared" si="8"/>
        <v>442.19086201117807</v>
      </c>
      <c r="I22" s="12">
        <f t="shared" si="2"/>
        <v>1.4172295275777065</v>
      </c>
      <c r="J22" s="3">
        <f t="shared" si="3"/>
        <v>0.7</v>
      </c>
    </row>
    <row r="23" spans="2:10" x14ac:dyDescent="0.25">
      <c r="B23" s="3">
        <f t="shared" si="4"/>
        <v>30</v>
      </c>
      <c r="C23" s="14">
        <f t="shared" si="5"/>
        <v>0.5</v>
      </c>
      <c r="D23" s="11">
        <f t="shared" si="6"/>
        <v>261.1446514959265</v>
      </c>
      <c r="E23" s="24">
        <f t="shared" si="7"/>
        <v>24.816647157259364</v>
      </c>
      <c r="F23" s="24">
        <f t="shared" si="0"/>
        <v>5908.200108466679</v>
      </c>
      <c r="G23" s="14">
        <f t="shared" si="1"/>
        <v>2918.6171193050423</v>
      </c>
      <c r="H23" s="24">
        <f t="shared" si="8"/>
        <v>443.17638463045444</v>
      </c>
      <c r="I23" s="12">
        <f t="shared" si="2"/>
        <v>1.591301152139986</v>
      </c>
      <c r="J23" s="3">
        <f t="shared" si="3"/>
        <v>0.7</v>
      </c>
    </row>
    <row r="24" spans="2:10" x14ac:dyDescent="0.25">
      <c r="B24" s="3">
        <f t="shared" si="4"/>
        <v>35</v>
      </c>
      <c r="C24" s="14">
        <f t="shared" si="5"/>
        <v>0.58333333333333337</v>
      </c>
      <c r="D24" s="11">
        <f t="shared" si="6"/>
        <v>279.89804499722095</v>
      </c>
      <c r="E24" s="24">
        <f t="shared" si="7"/>
        <v>26.407948309399352</v>
      </c>
      <c r="F24" s="24">
        <f t="shared" si="0"/>
        <v>6337.2524171955401</v>
      </c>
      <c r="G24" s="14">
        <f t="shared" si="1"/>
        <v>3390.0796234289469</v>
      </c>
      <c r="H24" s="24">
        <f t="shared" si="8"/>
        <v>444.27565662973728</v>
      </c>
      <c r="I24" s="12">
        <f t="shared" si="2"/>
        <v>1.7493071721929607</v>
      </c>
      <c r="J24" s="3">
        <f t="shared" si="3"/>
        <v>0.7</v>
      </c>
    </row>
    <row r="25" spans="2:10" x14ac:dyDescent="0.25">
      <c r="B25" s="3">
        <f t="shared" si="4"/>
        <v>40</v>
      </c>
      <c r="C25" s="14">
        <f t="shared" si="5"/>
        <v>0.66666666666666663</v>
      </c>
      <c r="D25" s="11">
        <f t="shared" si="6"/>
        <v>296.56315945044241</v>
      </c>
      <c r="E25" s="24">
        <f t="shared" si="7"/>
        <v>28.157255481592312</v>
      </c>
      <c r="F25" s="24">
        <f t="shared" si="0"/>
        <v>6710.1475992212527</v>
      </c>
      <c r="G25" s="14">
        <f t="shared" si="1"/>
        <v>3850.3695239797448</v>
      </c>
      <c r="H25" s="24">
        <f t="shared" si="8"/>
        <v>445.47523319621115</v>
      </c>
      <c r="I25" s="12">
        <f t="shared" si="2"/>
        <v>1.8940283475919666</v>
      </c>
      <c r="J25" s="3">
        <f t="shared" si="3"/>
        <v>0.7</v>
      </c>
    </row>
    <row r="26" spans="2:10" x14ac:dyDescent="0.25">
      <c r="B26" s="3">
        <f t="shared" si="4"/>
        <v>45</v>
      </c>
      <c r="C26" s="14">
        <f t="shared" si="5"/>
        <v>0.75</v>
      </c>
      <c r="D26" s="11">
        <f t="shared" si="6"/>
        <v>311.55882380491857</v>
      </c>
      <c r="E26" s="24">
        <f t="shared" si="7"/>
        <v>30.051283829184278</v>
      </c>
      <c r="F26" s="24">
        <f t="shared" si="0"/>
        <v>7037.6884993933572</v>
      </c>
      <c r="G26" s="14">
        <f t="shared" si="1"/>
        <v>4299.6356758368465</v>
      </c>
      <c r="H26" s="24">
        <f t="shared" si="8"/>
        <v>446.76368569597935</v>
      </c>
      <c r="I26" s="12">
        <f t="shared" si="2"/>
        <v>2.0274845491002091</v>
      </c>
      <c r="J26" s="3">
        <f t="shared" si="3"/>
        <v>0.7</v>
      </c>
    </row>
    <row r="27" spans="2:10" x14ac:dyDescent="0.25">
      <c r="B27" s="3">
        <f t="shared" si="4"/>
        <v>50</v>
      </c>
      <c r="C27" s="14">
        <f t="shared" si="5"/>
        <v>0.83333333333333337</v>
      </c>
      <c r="D27" s="11">
        <f t="shared" si="6"/>
        <v>325.18927054778601</v>
      </c>
      <c r="E27" s="24">
        <f t="shared" ref="E27:E39" si="9">E26+I26</f>
        <v>32.078768378284487</v>
      </c>
      <c r="F27" s="24">
        <f t="shared" si="0"/>
        <v>7327.7625542375372</v>
      </c>
      <c r="G27" s="14">
        <f t="shared" si="1"/>
        <v>4738.1923605491393</v>
      </c>
      <c r="H27" s="24">
        <f t="shared" ref="H27:H39" si="10">IF(E27&lt;600,425+0.773*E27-1.69/1000*E27^2+2.22/1000^2*E27^3,IF(E27&lt;735,666+13002/(738-E27),IF(E27&lt;900,545+17820/(E27-731),650)))</f>
        <v>448.13108135420151</v>
      </c>
      <c r="I27" s="12">
        <f t="shared" si="2"/>
        <v>2.1512034468179797</v>
      </c>
      <c r="J27" s="3">
        <f t="shared" si="3"/>
        <v>0.7</v>
      </c>
    </row>
    <row r="28" spans="2:10" x14ac:dyDescent="0.25">
      <c r="B28" s="3">
        <f t="shared" si="4"/>
        <v>55</v>
      </c>
      <c r="C28" s="14">
        <f t="shared" si="5"/>
        <v>0.91666666666666663</v>
      </c>
      <c r="D28" s="11">
        <f t="shared" si="6"/>
        <v>337.68247011356942</v>
      </c>
      <c r="E28" s="24">
        <f t="shared" si="9"/>
        <v>34.229971825102467</v>
      </c>
      <c r="F28" s="24">
        <f t="shared" si="0"/>
        <v>7586.3124572116731</v>
      </c>
      <c r="G28" s="14">
        <f t="shared" si="1"/>
        <v>5166.4298875710865</v>
      </c>
      <c r="H28" s="24">
        <f t="shared" si="10"/>
        <v>449.56864790619011</v>
      </c>
      <c r="I28" s="12">
        <f t="shared" si="2"/>
        <v>2.2663783983146422</v>
      </c>
      <c r="J28" s="3">
        <f t="shared" si="3"/>
        <v>0.7</v>
      </c>
    </row>
    <row r="29" spans="2:10" x14ac:dyDescent="0.25">
      <c r="B29" s="3">
        <f t="shared" si="4"/>
        <v>60</v>
      </c>
      <c r="C29" s="14">
        <f t="shared" si="5"/>
        <v>1</v>
      </c>
      <c r="D29" s="11">
        <f t="shared" si="6"/>
        <v>349.21366575656708</v>
      </c>
      <c r="E29" s="24">
        <f t="shared" si="9"/>
        <v>36.49635022341711</v>
      </c>
      <c r="F29" s="24">
        <f t="shared" si="0"/>
        <v>7817.9328883287499</v>
      </c>
      <c r="G29" s="14">
        <f t="shared" si="1"/>
        <v>5584.766562697012</v>
      </c>
      <c r="H29" s="24">
        <f t="shared" si="10"/>
        <v>451.06854631018132</v>
      </c>
      <c r="I29" s="12">
        <f t="shared" si="2"/>
        <v>2.3739665112279908</v>
      </c>
      <c r="J29" s="3">
        <f t="shared" si="3"/>
        <v>0.7</v>
      </c>
    </row>
    <row r="30" spans="2:10" x14ac:dyDescent="0.25">
      <c r="B30" s="3">
        <f t="shared" si="4"/>
        <v>65</v>
      </c>
      <c r="C30" s="14">
        <f t="shared" si="5"/>
        <v>1.0833333333333333</v>
      </c>
      <c r="D30" s="11">
        <f t="shared" si="6"/>
        <v>359.92047639685626</v>
      </c>
      <c r="E30" s="24">
        <f t="shared" si="9"/>
        <v>38.870316734645101</v>
      </c>
      <c r="F30" s="24">
        <f t="shared" si="0"/>
        <v>8026.2539915552788</v>
      </c>
      <c r="G30" s="14">
        <f t="shared" si="1"/>
        <v>5993.6226266162939</v>
      </c>
      <c r="H30" s="24">
        <f t="shared" si="10"/>
        <v>452.62371013200146</v>
      </c>
      <c r="I30" s="12">
        <f t="shared" si="2"/>
        <v>2.4747523478348992</v>
      </c>
      <c r="J30" s="3">
        <f t="shared" si="3"/>
        <v>0.7</v>
      </c>
    </row>
    <row r="31" spans="2:10" x14ac:dyDescent="0.25">
      <c r="B31" s="3">
        <f t="shared" si="4"/>
        <v>70</v>
      </c>
      <c r="C31" s="14">
        <f t="shared" si="5"/>
        <v>1.1666666666666667</v>
      </c>
      <c r="D31" s="11">
        <f t="shared" si="6"/>
        <v>369.91295149454055</v>
      </c>
      <c r="E31" s="24">
        <f t="shared" si="9"/>
        <v>41.345069082480002</v>
      </c>
      <c r="F31" s="24">
        <f t="shared" si="0"/>
        <v>8214.1970603015143</v>
      </c>
      <c r="G31" s="14">
        <f t="shared" si="1"/>
        <v>6393.4062555812725</v>
      </c>
      <c r="H31" s="24">
        <f t="shared" si="10"/>
        <v>454.22772792680172</v>
      </c>
      <c r="I31" s="12">
        <f t="shared" si="2"/>
        <v>2.5693908803752801</v>
      </c>
      <c r="J31" s="3">
        <f t="shared" si="3"/>
        <v>0.7</v>
      </c>
    </row>
    <row r="32" spans="2:10" x14ac:dyDescent="0.25">
      <c r="B32" s="3">
        <f t="shared" si="4"/>
        <v>75</v>
      </c>
      <c r="C32" s="14">
        <f t="shared" si="5"/>
        <v>1.25</v>
      </c>
      <c r="D32" s="11">
        <f t="shared" si="6"/>
        <v>379.28047637958758</v>
      </c>
      <c r="E32" s="24">
        <f t="shared" si="9"/>
        <v>43.914459962855283</v>
      </c>
      <c r="F32" s="24">
        <f t="shared" si="0"/>
        <v>8384.1504104183077</v>
      </c>
      <c r="G32" s="14">
        <f t="shared" si="1"/>
        <v>6784.5063427172745</v>
      </c>
      <c r="H32" s="24">
        <f t="shared" si="10"/>
        <v>455.87475438981926</v>
      </c>
      <c r="I32" s="12">
        <f t="shared" si="2"/>
        <v>2.6584373812646152</v>
      </c>
      <c r="J32" s="3">
        <f t="shared" si="3"/>
        <v>0.7</v>
      </c>
    </row>
    <row r="33" spans="2:10" x14ac:dyDescent="0.25">
      <c r="B33" s="3">
        <f t="shared" si="4"/>
        <v>80</v>
      </c>
      <c r="C33" s="14">
        <f t="shared" si="5"/>
        <v>1.3333333333333333</v>
      </c>
      <c r="D33" s="11">
        <f t="shared" si="6"/>
        <v>388.0966424225615</v>
      </c>
      <c r="E33" s="24">
        <f t="shared" si="9"/>
        <v>46.572897344119895</v>
      </c>
      <c r="F33" s="24">
        <f t="shared" si="0"/>
        <v>8538.0936269610393</v>
      </c>
      <c r="G33" s="14">
        <f t="shared" si="1"/>
        <v>7167.2891464806835</v>
      </c>
      <c r="H33" s="24">
        <f t="shared" si="10"/>
        <v>457.55944136919078</v>
      </c>
      <c r="I33" s="12">
        <f t="shared" si="2"/>
        <v>2.7423687914781194</v>
      </c>
      <c r="J33" s="3">
        <f t="shared" si="3"/>
        <v>0.7</v>
      </c>
    </row>
    <row r="34" spans="2:10" x14ac:dyDescent="0.25">
      <c r="B34" s="3">
        <f t="shared" si="4"/>
        <v>85</v>
      </c>
      <c r="C34" s="14">
        <f t="shared" si="5"/>
        <v>1.4166666666666667</v>
      </c>
      <c r="D34" s="11">
        <f t="shared" si="6"/>
        <v>396.42276192482967</v>
      </c>
      <c r="E34" s="24">
        <f t="shared" si="9"/>
        <v>49.315266135598016</v>
      </c>
      <c r="F34" s="24">
        <f t="shared" si="0"/>
        <v>8677.6873947307922</v>
      </c>
      <c r="G34" s="14">
        <f t="shared" si="1"/>
        <v>7542.0971545883003</v>
      </c>
      <c r="H34" s="24">
        <f t="shared" si="10"/>
        <v>459.27688297068875</v>
      </c>
      <c r="I34" s="12">
        <f t="shared" si="2"/>
        <v>2.8215993602975615</v>
      </c>
      <c r="J34" s="3">
        <f t="shared" si="3"/>
        <v>0.7</v>
      </c>
    </row>
    <row r="35" spans="2:10" x14ac:dyDescent="0.25">
      <c r="B35" s="3">
        <f t="shared" si="4"/>
        <v>90</v>
      </c>
      <c r="C35" s="14">
        <f t="shared" si="5"/>
        <v>1.5</v>
      </c>
      <c r="D35" s="11">
        <f t="shared" si="6"/>
        <v>404.31045654585864</v>
      </c>
      <c r="E35" s="24">
        <f t="shared" si="9"/>
        <v>52.136865495895577</v>
      </c>
      <c r="F35" s="24">
        <f t="shared" si="0"/>
        <v>8804.3397762490767</v>
      </c>
      <c r="G35" s="14">
        <f t="shared" si="1"/>
        <v>7909.2492071103643</v>
      </c>
      <c r="H35" s="24">
        <f t="shared" si="10"/>
        <v>461.02257090587017</v>
      </c>
      <c r="I35" s="12">
        <f t="shared" si="2"/>
        <v>2.896492332185939</v>
      </c>
      <c r="J35" s="3">
        <f t="shared" si="3"/>
        <v>0.7</v>
      </c>
    </row>
    <row r="36" spans="2:10" x14ac:dyDescent="0.25">
      <c r="B36" s="3">
        <f t="shared" si="4"/>
        <v>95</v>
      </c>
      <c r="C36" s="14">
        <f t="shared" si="5"/>
        <v>1.5833333333333333</v>
      </c>
      <c r="D36" s="11">
        <f t="shared" si="6"/>
        <v>411.80359769002513</v>
      </c>
      <c r="E36" s="24">
        <f t="shared" si="9"/>
        <v>55.033357828081513</v>
      </c>
      <c r="F36" s="24">
        <f t="shared" si="0"/>
        <v>8919.2559965485907</v>
      </c>
      <c r="G36" s="14">
        <f t="shared" si="1"/>
        <v>8269.0413165296304</v>
      </c>
      <c r="H36" s="24">
        <f t="shared" si="10"/>
        <v>462.79235745149236</v>
      </c>
      <c r="I36" s="12">
        <f t="shared" si="2"/>
        <v>2.9673688430230967</v>
      </c>
      <c r="J36" s="3">
        <f t="shared" si="3"/>
        <v>0.7</v>
      </c>
    </row>
    <row r="37" spans="2:10" x14ac:dyDescent="0.25">
      <c r="B37" s="3">
        <f t="shared" si="4"/>
        <v>100</v>
      </c>
      <c r="C37" s="14">
        <f t="shared" si="5"/>
        <v>1.6666666666666667</v>
      </c>
      <c r="D37" s="11">
        <f t="shared" si="6"/>
        <v>418.93978429667379</v>
      </c>
      <c r="E37" s="24">
        <f t="shared" si="9"/>
        <v>58.000726671104609</v>
      </c>
      <c r="F37" s="24">
        <f t="shared" si="0"/>
        <v>9023.4764406392296</v>
      </c>
      <c r="G37" s="14">
        <f t="shared" si="1"/>
        <v>8621.7478511914651</v>
      </c>
      <c r="H37" s="24">
        <f t="shared" si="10"/>
        <v>464.58242417998588</v>
      </c>
      <c r="I37" s="12">
        <f t="shared" si="2"/>
        <v>3.0345148059774623</v>
      </c>
      <c r="J37" s="3">
        <f t="shared" si="3"/>
        <v>0.7</v>
      </c>
    </row>
    <row r="38" spans="2:10" x14ac:dyDescent="0.25">
      <c r="B38" s="3">
        <f t="shared" si="4"/>
        <v>105</v>
      </c>
      <c r="C38" s="14">
        <f t="shared" si="5"/>
        <v>1.75</v>
      </c>
      <c r="D38" s="11">
        <f t="shared" si="6"/>
        <v>425.75148437421001</v>
      </c>
      <c r="E38" s="24">
        <f t="shared" si="9"/>
        <v>61.035241477082067</v>
      </c>
      <c r="F38" s="24">
        <f t="shared" si="0"/>
        <v>9117.906072428199</v>
      </c>
      <c r="G38" s="14">
        <f t="shared" si="1"/>
        <v>8967.6228837305334</v>
      </c>
      <c r="H38" s="24">
        <f t="shared" si="10"/>
        <v>466.38925514913211</v>
      </c>
      <c r="I38" s="12">
        <f t="shared" si="2"/>
        <v>3.0981863227462636</v>
      </c>
      <c r="J38" s="3">
        <f t="shared" si="3"/>
        <v>0.7</v>
      </c>
    </row>
    <row r="39" spans="2:10" x14ac:dyDescent="0.25">
      <c r="B39" s="3">
        <f t="shared" si="4"/>
        <v>110</v>
      </c>
      <c r="C39" s="14">
        <f t="shared" si="5"/>
        <v>1.8333333333333333</v>
      </c>
      <c r="D39" s="11">
        <f t="shared" si="6"/>
        <v>432.26692810953892</v>
      </c>
      <c r="E39" s="24">
        <f t="shared" si="9"/>
        <v>64.133427799828326</v>
      </c>
      <c r="F39" s="24">
        <f t="shared" si="0"/>
        <v>9203.3375077427645</v>
      </c>
      <c r="G39" s="14">
        <f t="shared" si="1"/>
        <v>9306.9015871659376</v>
      </c>
      <c r="H39" s="24">
        <f t="shared" si="10"/>
        <v>468.20961359917618</v>
      </c>
      <c r="I39" s="12">
        <f t="shared" si="2"/>
        <v>3.1586139954041621</v>
      </c>
      <c r="J39" s="3">
        <f t="shared" si="3"/>
        <v>0.7</v>
      </c>
    </row>
    <row r="40" spans="2:10" x14ac:dyDescent="0.25">
      <c r="B40" s="3">
        <f t="shared" si="4"/>
        <v>115</v>
      </c>
      <c r="C40" s="14">
        <f t="shared" si="5"/>
        <v>1.9166666666666667</v>
      </c>
      <c r="D40" s="11">
        <f t="shared" si="6"/>
        <v>438.51081473155358</v>
      </c>
      <c r="E40" s="24">
        <f t="shared" ref="E40:E41" si="11">E39+I39</f>
        <v>67.292041795232493</v>
      </c>
      <c r="F40" s="24">
        <f t="shared" si="0"/>
        <v>9280.4693234080278</v>
      </c>
      <c r="G40" s="14">
        <f t="shared" si="1"/>
        <v>9639.8016105588049</v>
      </c>
      <c r="H40" s="24">
        <f t="shared" ref="H40:H41" si="12">IF(E40&lt;600,425+0.773*E40-1.69/1000*E40^2+2.22/1000^2*E40^3,IF(E40&lt;735,666+13002/(738-E40),IF(E40&lt;900,545+17820/(E40-731),650)))</f>
        <v>470.04052145566402</v>
      </c>
      <c r="I40" s="12">
        <f t="shared" si="2"/>
        <v>3.2160064064199516</v>
      </c>
      <c r="J40" s="3">
        <f t="shared" si="3"/>
        <v>0.7</v>
      </c>
    </row>
    <row r="41" spans="2:10" x14ac:dyDescent="0.25">
      <c r="B41" s="3">
        <f t="shared" si="4"/>
        <v>120</v>
      </c>
      <c r="C41" s="14">
        <f t="shared" si="5"/>
        <v>2</v>
      </c>
      <c r="D41" s="11">
        <f t="shared" si="6"/>
        <v>444.50487787550446</v>
      </c>
      <c r="E41" s="24">
        <f t="shared" si="11"/>
        <v>70.508048201652443</v>
      </c>
      <c r="F41" s="24">
        <f t="shared" si="0"/>
        <v>9349.9207418462993</v>
      </c>
      <c r="G41" s="14">
        <f t="shared" si="1"/>
        <v>9966.5243961734086</v>
      </c>
      <c r="H41" s="24">
        <f t="shared" si="12"/>
        <v>471.87924111283718</v>
      </c>
      <c r="I41" s="12">
        <f t="shared" si="2"/>
        <v>3.2705529607133208</v>
      </c>
      <c r="J41" s="3">
        <f t="shared" si="3"/>
        <v>0.7</v>
      </c>
    </row>
    <row r="42" spans="2:10" x14ac:dyDescent="0.25">
      <c r="B42" s="3">
        <f t="shared" si="4"/>
        <v>125</v>
      </c>
      <c r="C42" s="14">
        <f t="shared" si="5"/>
        <v>2.0833333333333335</v>
      </c>
      <c r="D42" s="11">
        <f t="shared" si="6"/>
        <v>450.26834213398865</v>
      </c>
      <c r="E42" s="24">
        <f t="shared" ref="E42:E105" si="13">E41+I41</f>
        <v>73.77860116236576</v>
      </c>
      <c r="F42" s="24">
        <f t="shared" si="0"/>
        <v>9412.2435242905722</v>
      </c>
      <c r="G42" s="14">
        <f t="shared" si="1"/>
        <v>10287.256418464405</v>
      </c>
      <c r="H42" s="24">
        <f t="shared" ref="H42:H105" si="14">IF(E42&lt;600,425+0.773*E42-1.69/1000*E42^2+2.22/1000^2*E42^3,IF(E42&lt;735,666+13002/(738-E42),IF(E42&lt;900,545+17820/(E42-731),650)))</f>
        <v>473.72325909892828</v>
      </c>
      <c r="I42" s="12">
        <f t="shared" si="2"/>
        <v>3.3224262322933815</v>
      </c>
      <c r="J42" s="3">
        <f t="shared" si="3"/>
        <v>0.7</v>
      </c>
    </row>
    <row r="43" spans="2:10" x14ac:dyDescent="0.25">
      <c r="B43" s="3">
        <f t="shared" si="4"/>
        <v>130</v>
      </c>
      <c r="C43" s="14">
        <f t="shared" si="5"/>
        <v>2.1666666666666665</v>
      </c>
      <c r="D43" s="11">
        <f t="shared" si="6"/>
        <v>455.81829499723057</v>
      </c>
      <c r="E43" s="24">
        <f t="shared" si="13"/>
        <v>77.101027394659141</v>
      </c>
      <c r="F43" s="24">
        <f t="shared" si="0"/>
        <v>9467.9316900642862</v>
      </c>
      <c r="G43" s="14">
        <f t="shared" si="1"/>
        <v>10602.170336408821</v>
      </c>
      <c r="H43" s="24">
        <f t="shared" si="14"/>
        <v>475.57027131657514</v>
      </c>
      <c r="I43" s="12">
        <f t="shared" si="2"/>
        <v>3.3717839216848726</v>
      </c>
      <c r="J43" s="3">
        <f t="shared" si="3"/>
        <v>0.7</v>
      </c>
    </row>
    <row r="44" spans="2:10" x14ac:dyDescent="0.25">
      <c r="B44" s="3">
        <f t="shared" si="4"/>
        <v>135</v>
      </c>
      <c r="C44" s="14">
        <f t="shared" si="5"/>
        <v>2.25</v>
      </c>
      <c r="D44" s="11">
        <f t="shared" si="6"/>
        <v>461.16999232872598</v>
      </c>
      <c r="E44" s="24">
        <f t="shared" si="13"/>
        <v>80.472811316344007</v>
      </c>
      <c r="F44" s="24">
        <f t="shared" si="0"/>
        <v>9517.4295253095497</v>
      </c>
      <c r="G44" s="14">
        <f t="shared" si="1"/>
        <v>10911.426057435969</v>
      </c>
      <c r="H44" s="24">
        <f t="shared" si="14"/>
        <v>477.41816961910433</v>
      </c>
      <c r="I44" s="12">
        <f t="shared" si="2"/>
        <v>3.4187705042486787</v>
      </c>
      <c r="J44" s="3">
        <f t="shared" si="3"/>
        <v>0.7</v>
      </c>
    </row>
    <row r="45" spans="2:10" x14ac:dyDescent="0.25">
      <c r="B45" s="3">
        <f t="shared" si="4"/>
        <v>140</v>
      </c>
      <c r="C45" s="14">
        <f t="shared" si="5"/>
        <v>2.3333333333333335</v>
      </c>
      <c r="D45" s="11">
        <f t="shared" si="6"/>
        <v>466.33711113825615</v>
      </c>
      <c r="E45" s="24">
        <f t="shared" si="13"/>
        <v>83.891581820592691</v>
      </c>
      <c r="F45" s="24">
        <f t="shared" si="0"/>
        <v>9561.1382329415865</v>
      </c>
      <c r="G45" s="14">
        <f t="shared" si="1"/>
        <v>11215.171715156621</v>
      </c>
      <c r="H45" s="24">
        <f t="shared" si="14"/>
        <v>479.26502953364877</v>
      </c>
      <c r="I45" s="12">
        <f t="shared" si="2"/>
        <v>3.4635186305049128</v>
      </c>
      <c r="J45" s="3">
        <f t="shared" si="3"/>
        <v>0.7</v>
      </c>
    </row>
    <row r="46" spans="2:10" x14ac:dyDescent="0.25">
      <c r="B46" s="3">
        <f t="shared" si="4"/>
        <v>145</v>
      </c>
      <c r="C46" s="14">
        <f t="shared" si="5"/>
        <v>2.4166666666666665</v>
      </c>
      <c r="D46" s="11">
        <f t="shared" si="6"/>
        <v>471.33196020043101</v>
      </c>
      <c r="E46" s="24">
        <f t="shared" si="13"/>
        <v>87.355100451097599</v>
      </c>
      <c r="F46" s="24">
        <f t="shared" si="0"/>
        <v>9599.4214937333345</v>
      </c>
      <c r="G46" s="14">
        <f t="shared" si="1"/>
        <v>11513.544565299428</v>
      </c>
      <c r="H46" s="24">
        <f t="shared" si="14"/>
        <v>481.10909897978439</v>
      </c>
      <c r="I46" s="12">
        <f t="shared" si="2"/>
        <v>3.5061503255679076</v>
      </c>
      <c r="J46" s="3">
        <f t="shared" si="3"/>
        <v>0.7</v>
      </c>
    </row>
    <row r="47" spans="2:10" x14ac:dyDescent="0.25">
      <c r="B47" s="3">
        <f t="shared" si="4"/>
        <v>150</v>
      </c>
      <c r="C47" s="14">
        <f t="shared" si="5"/>
        <v>2.5</v>
      </c>
      <c r="D47" s="11">
        <f t="shared" si="6"/>
        <v>476.16565668320209</v>
      </c>
      <c r="E47" s="24">
        <f t="shared" si="13"/>
        <v>90.8612507766655</v>
      </c>
      <c r="F47" s="24">
        <f t="shared" si="0"/>
        <v>9632.6101476634158</v>
      </c>
      <c r="G47" s="14">
        <f t="shared" si="1"/>
        <v>11806.671805383508</v>
      </c>
      <c r="H47" s="24">
        <f t="shared" si="14"/>
        <v>482.94878786100003</v>
      </c>
      <c r="I47" s="12">
        <f t="shared" si="2"/>
        <v>3.5467780243705214</v>
      </c>
      <c r="J47" s="3">
        <f t="shared" si="3"/>
        <v>0.7</v>
      </c>
    </row>
    <row r="48" spans="2:10" x14ac:dyDescent="0.25">
      <c r="B48" s="3">
        <f t="shared" si="4"/>
        <v>155</v>
      </c>
      <c r="C48" s="14">
        <f t="shared" si="5"/>
        <v>2.5833333333333335</v>
      </c>
      <c r="D48" s="11">
        <f t="shared" si="6"/>
        <v>480.84827516350163</v>
      </c>
      <c r="E48" s="24">
        <f t="shared" si="13"/>
        <v>94.408028801036025</v>
      </c>
      <c r="F48" s="24">
        <f t="shared" si="0"/>
        <v>9661.0061590616388</v>
      </c>
      <c r="G48" s="14">
        <f t="shared" si="1"/>
        <v>12094.671324106323</v>
      </c>
      <c r="H48" s="24">
        <f t="shared" si="14"/>
        <v>484.78265842825738</v>
      </c>
      <c r="I48" s="12">
        <f t="shared" si="2"/>
        <v>3.5855054715002406</v>
      </c>
      <c r="J48" s="3">
        <f t="shared" si="3"/>
        <v>0.7</v>
      </c>
    </row>
    <row r="49" spans="2:10" x14ac:dyDescent="0.25">
      <c r="B49" s="3">
        <f t="shared" si="4"/>
        <v>160</v>
      </c>
      <c r="C49" s="14">
        <f t="shared" si="5"/>
        <v>2.6666666666666665</v>
      </c>
      <c r="D49" s="11">
        <f t="shared" si="6"/>
        <v>485.3889740535015</v>
      </c>
      <c r="E49" s="24">
        <f t="shared" si="13"/>
        <v>97.993534272536266</v>
      </c>
      <c r="F49" s="24">
        <f t="shared" si="0"/>
        <v>9684.8859945241311</v>
      </c>
      <c r="G49" s="14">
        <f t="shared" si="1"/>
        <v>12377.652386469197</v>
      </c>
      <c r="H49" s="24">
        <f t="shared" si="14"/>
        <v>486.6094163318711</v>
      </c>
      <c r="I49" s="12">
        <f t="shared" si="2"/>
        <v>3.6224285084974435</v>
      </c>
      <c r="J49" s="3">
        <f t="shared" si="3"/>
        <v>0.7</v>
      </c>
    </row>
    <row r="50" spans="2:10" x14ac:dyDescent="0.25">
      <c r="B50" s="3">
        <f t="shared" si="4"/>
        <v>165</v>
      </c>
      <c r="C50" s="14">
        <f t="shared" si="5"/>
        <v>2.75</v>
      </c>
      <c r="D50" s="11">
        <f t="shared" si="6"/>
        <v>489.79610342606952</v>
      </c>
      <c r="E50" s="24">
        <f t="shared" si="13"/>
        <v>101.61596278103372</v>
      </c>
      <c r="F50" s="24">
        <f t="shared" si="0"/>
        <v>9704.5035161258947</v>
      </c>
      <c r="G50" s="14">
        <f t="shared" si="1"/>
        <v>12655.716260466499</v>
      </c>
      <c r="H50" s="24">
        <f t="shared" si="14"/>
        <v>488.42790229120311</v>
      </c>
      <c r="I50" s="12">
        <f t="shared" si="2"/>
        <v>3.6576357668843205</v>
      </c>
      <c r="J50" s="3">
        <f t="shared" si="3"/>
        <v>0.7</v>
      </c>
    </row>
    <row r="51" spans="2:10" x14ac:dyDescent="0.25">
      <c r="B51" s="3">
        <f t="shared" si="4"/>
        <v>170</v>
      </c>
      <c r="C51" s="14">
        <f t="shared" si="5"/>
        <v>2.8333333333333335</v>
      </c>
      <c r="D51" s="11">
        <f t="shared" si="6"/>
        <v>494.07729742979745</v>
      </c>
      <c r="E51" s="24">
        <f t="shared" si="13"/>
        <v>105.27359854791804</v>
      </c>
      <c r="F51" s="24">
        <f t="shared" si="0"/>
        <v>9720.0924720469848</v>
      </c>
      <c r="G51" s="14">
        <f t="shared" si="1"/>
        <v>12928.956790835362</v>
      </c>
      <c r="H51" s="24">
        <f t="shared" si="14"/>
        <v>490.23708432212692</v>
      </c>
      <c r="I51" s="12">
        <f t="shared" si="2"/>
        <v>3.6912092816477196</v>
      </c>
      <c r="J51" s="3">
        <f t="shared" si="3"/>
        <v>0.7</v>
      </c>
    </row>
    <row r="52" spans="2:10" x14ac:dyDescent="0.25">
      <c r="B52" s="3">
        <f t="shared" si="4"/>
        <v>175</v>
      </c>
      <c r="C52" s="14">
        <f t="shared" si="5"/>
        <v>2.9166666666666665</v>
      </c>
      <c r="D52" s="11">
        <f t="shared" si="6"/>
        <v>498.23955386327367</v>
      </c>
      <c r="E52" s="24">
        <f t="shared" si="13"/>
        <v>108.96480782956576</v>
      </c>
      <c r="F52" s="24">
        <f t="shared" si="0"/>
        <v>9731.8686508426981</v>
      </c>
      <c r="G52" s="14">
        <f t="shared" si="1"/>
        <v>13197.460924968425</v>
      </c>
      <c r="H52" s="24">
        <f t="shared" si="14"/>
        <v>492.03605047055305</v>
      </c>
      <c r="I52" s="12">
        <f t="shared" si="2"/>
        <v>3.7232250371339197</v>
      </c>
      <c r="J52" s="3">
        <f t="shared" si="3"/>
        <v>0.7</v>
      </c>
    </row>
    <row r="53" spans="2:10" x14ac:dyDescent="0.25">
      <c r="B53" s="3">
        <f t="shared" si="4"/>
        <v>180</v>
      </c>
      <c r="C53" s="14">
        <f t="shared" si="5"/>
        <v>3</v>
      </c>
      <c r="D53" s="11">
        <f t="shared" si="6"/>
        <v>502.28930299185294</v>
      </c>
      <c r="E53" s="24">
        <f t="shared" si="13"/>
        <v>112.68803286669967</v>
      </c>
      <c r="F53" s="24">
        <f t="shared" si="0"/>
        <v>9740.0317531288329</v>
      </c>
      <c r="G53" s="14">
        <f t="shared" si="1"/>
        <v>13461.309195673104</v>
      </c>
      <c r="H53" s="24">
        <f t="shared" si="14"/>
        <v>493.82400200701517</v>
      </c>
      <c r="I53" s="12">
        <f t="shared" si="2"/>
        <v>3.7537534551398406</v>
      </c>
      <c r="J53" s="3">
        <f t="shared" si="3"/>
        <v>0.7</v>
      </c>
    </row>
    <row r="54" spans="2:10" x14ac:dyDescent="0.25">
      <c r="B54" s="3">
        <f t="shared" si="4"/>
        <v>185</v>
      </c>
      <c r="C54" s="14">
        <f t="shared" si="5"/>
        <v>3.0833333333333335</v>
      </c>
      <c r="D54" s="11">
        <f t="shared" si="6"/>
        <v>506.23246730622265</v>
      </c>
      <c r="E54" s="24">
        <f t="shared" si="13"/>
        <v>116.44178632183952</v>
      </c>
      <c r="F54" s="24">
        <f t="shared" si="0"/>
        <v>9744.7670246095786</v>
      </c>
      <c r="G54" s="14">
        <f t="shared" si="1"/>
        <v>13720.576165043767</v>
      </c>
      <c r="H54" s="24">
        <f t="shared" si="14"/>
        <v>495.60024704277561</v>
      </c>
      <c r="I54" s="12">
        <f t="shared" si="2"/>
        <v>3.7828598332642467</v>
      </c>
      <c r="J54" s="3">
        <f t="shared" si="3"/>
        <v>0.7</v>
      </c>
    </row>
    <row r="55" spans="2:10" x14ac:dyDescent="0.25">
      <c r="B55" s="3">
        <f t="shared" si="4"/>
        <v>190</v>
      </c>
      <c r="C55" s="14">
        <f t="shared" si="5"/>
        <v>3.1666666666666665</v>
      </c>
      <c r="D55" s="11">
        <f t="shared" si="6"/>
        <v>510.07451361691875</v>
      </c>
      <c r="E55" s="24">
        <f t="shared" si="13"/>
        <v>120.22464615510376</v>
      </c>
      <c r="F55" s="24">
        <f t="shared" si="0"/>
        <v>9746.2466865453753</v>
      </c>
      <c r="G55" s="14">
        <f t="shared" si="1"/>
        <v>13975.330833313492</v>
      </c>
      <c r="H55" s="24">
        <f t="shared" si="14"/>
        <v>497.36419453239296</v>
      </c>
      <c r="I55" s="12">
        <f t="shared" si="2"/>
        <v>3.8106047402106173</v>
      </c>
      <c r="J55" s="3">
        <f t="shared" si="3"/>
        <v>0.7</v>
      </c>
    </row>
    <row r="56" spans="2:10" x14ac:dyDescent="0.25">
      <c r="B56" s="3">
        <f t="shared" si="4"/>
        <v>195</v>
      </c>
      <c r="C56" s="14">
        <f t="shared" si="5"/>
        <v>3.25</v>
      </c>
      <c r="D56" s="11">
        <f t="shared" si="6"/>
        <v>513.82049863485054</v>
      </c>
      <c r="E56" s="24">
        <f t="shared" si="13"/>
        <v>124.03525089531438</v>
      </c>
      <c r="F56" s="24">
        <f t="shared" si="0"/>
        <v>9744.6311934884034</v>
      </c>
      <c r="G56" s="14">
        <f t="shared" si="1"/>
        <v>14225.637016175111</v>
      </c>
      <c r="H56" s="24">
        <f t="shared" si="14"/>
        <v>499.11534863142765</v>
      </c>
      <c r="I56" s="12">
        <f t="shared" si="2"/>
        <v>3.8370443736316151</v>
      </c>
      <c r="J56" s="3">
        <f t="shared" si="3"/>
        <v>0.7</v>
      </c>
    </row>
    <row r="57" spans="2:10" x14ac:dyDescent="0.25">
      <c r="B57" s="3">
        <f t="shared" si="4"/>
        <v>200</v>
      </c>
      <c r="C57" s="14">
        <f t="shared" si="5"/>
        <v>3.3333333333333335</v>
      </c>
      <c r="D57" s="11">
        <f t="shared" si="6"/>
        <v>517.47510899146187</v>
      </c>
      <c r="E57" s="24">
        <f t="shared" si="13"/>
        <v>127.87229526894599</v>
      </c>
      <c r="F57" s="24">
        <f t="shared" si="0"/>
        <v>9740.0703430628964</v>
      </c>
      <c r="G57" s="14">
        <f t="shared" si="1"/>
        <v>14471.553693715317</v>
      </c>
      <c r="H57" s="24">
        <f t="shared" si="14"/>
        <v>500.85330338109287</v>
      </c>
      <c r="I57" s="12">
        <f t="shared" si="2"/>
        <v>3.8622308852153515</v>
      </c>
      <c r="J57" s="3">
        <f t="shared" si="3"/>
        <v>0.7</v>
      </c>
    </row>
    <row r="58" spans="2:10" x14ac:dyDescent="0.25">
      <c r="B58" s="3">
        <f t="shared" si="4"/>
        <v>205</v>
      </c>
      <c r="C58" s="14">
        <f t="shared" si="5"/>
        <v>3.4166666666666665</v>
      </c>
      <c r="D58" s="11">
        <f t="shared" si="6"/>
        <v>521.04269649314733</v>
      </c>
      <c r="E58" s="24">
        <f t="shared" si="13"/>
        <v>131.73452615416133</v>
      </c>
      <c r="F58" s="24">
        <f t="shared" si="0"/>
        <v>9732.7042584746487</v>
      </c>
      <c r="G58" s="14">
        <f t="shared" si="1"/>
        <v>14713.135333787115</v>
      </c>
      <c r="H58" s="24">
        <f t="shared" si="14"/>
        <v>502.57773769432691</v>
      </c>
      <c r="I58" s="12">
        <f t="shared" si="2"/>
        <v>3.8862126769895267</v>
      </c>
      <c r="J58" s="3">
        <f t="shared" si="3"/>
        <v>0.7</v>
      </c>
    </row>
    <row r="59" spans="2:10" x14ac:dyDescent="0.25">
      <c r="B59" s="3">
        <f t="shared" si="4"/>
        <v>210</v>
      </c>
      <c r="C59" s="14">
        <f t="shared" si="5"/>
        <v>3.5</v>
      </c>
      <c r="D59" s="11">
        <f t="shared" si="6"/>
        <v>524.52730927513983</v>
      </c>
      <c r="E59" s="24">
        <f t="shared" si="13"/>
        <v>135.62073883115085</v>
      </c>
      <c r="F59" s="24">
        <f t="shared" si="0"/>
        <v>9722.6642610997242</v>
      </c>
      <c r="G59" s="14">
        <f t="shared" si="1"/>
        <v>14950.432192358559</v>
      </c>
      <c r="H59" s="24">
        <f t="shared" si="14"/>
        <v>504.28841062004892</v>
      </c>
      <c r="I59" s="12">
        <f t="shared" si="2"/>
        <v>3.9090346722274005</v>
      </c>
      <c r="J59" s="3">
        <f t="shared" si="3"/>
        <v>0.7</v>
      </c>
    </row>
    <row r="60" spans="2:10" x14ac:dyDescent="0.25">
      <c r="B60" s="3">
        <f t="shared" si="4"/>
        <v>215</v>
      </c>
      <c r="C60" s="14">
        <f t="shared" si="5"/>
        <v>3.5833333333333335</v>
      </c>
      <c r="D60" s="11">
        <f t="shared" si="6"/>
        <v>527.93271941421131</v>
      </c>
      <c r="E60" s="24">
        <f t="shared" si="13"/>
        <v>139.52977350337824</v>
      </c>
      <c r="F60" s="24">
        <f t="shared" si="0"/>
        <v>9710.0736477708269</v>
      </c>
      <c r="G60" s="14">
        <f t="shared" si="1"/>
        <v>15183.490593115037</v>
      </c>
      <c r="H60" s="24">
        <f t="shared" si="14"/>
        <v>505.98515686435235</v>
      </c>
      <c r="I60" s="12">
        <f t="shared" si="2"/>
        <v>3.9307385638515986</v>
      </c>
      <c r="J60" s="3">
        <f t="shared" si="3"/>
        <v>0.7</v>
      </c>
    </row>
    <row r="61" spans="2:10" x14ac:dyDescent="0.25">
      <c r="B61" s="3">
        <f t="shared" si="4"/>
        <v>220</v>
      </c>
      <c r="C61" s="14">
        <f t="shared" si="5"/>
        <v>3.6666666666666665</v>
      </c>
      <c r="D61" s="11">
        <f t="shared" si="6"/>
        <v>531.2624474724937</v>
      </c>
      <c r="E61" s="24">
        <f t="shared" si="13"/>
        <v>143.46051206722984</v>
      </c>
      <c r="F61" s="24">
        <f t="shared" si="0"/>
        <v>9695.0483851315967</v>
      </c>
      <c r="G61" s="14">
        <f t="shared" si="1"/>
        <v>15412.353188358462</v>
      </c>
      <c r="H61" s="24">
        <f t="shared" si="14"/>
        <v>507.66788254913268</v>
      </c>
      <c r="I61" s="12">
        <f t="shared" si="2"/>
        <v>3.9513630428278366</v>
      </c>
      <c r="J61" s="3">
        <f t="shared" si="3"/>
        <v>0.7</v>
      </c>
    </row>
    <row r="62" spans="2:10" x14ac:dyDescent="0.25">
      <c r="B62" s="3">
        <f t="shared" si="4"/>
        <v>225</v>
      </c>
      <c r="C62" s="14">
        <f t="shared" si="5"/>
        <v>3.75</v>
      </c>
      <c r="D62" s="11">
        <f t="shared" si="6"/>
        <v>534.51978437282401</v>
      </c>
      <c r="E62" s="24">
        <f t="shared" si="13"/>
        <v>147.41187511005768</v>
      </c>
      <c r="F62" s="24">
        <f t="shared" si="0"/>
        <v>9677.6977315691583</v>
      </c>
      <c r="G62" s="14">
        <f t="shared" si="1"/>
        <v>15637.059203036053</v>
      </c>
      <c r="H62" s="24">
        <f t="shared" si="14"/>
        <v>509.33656119019764</v>
      </c>
      <c r="I62" s="12">
        <f t="shared" si="2"/>
        <v>3.9709440087037313</v>
      </c>
      <c r="J62" s="3">
        <f t="shared" si="3"/>
        <v>0.7</v>
      </c>
    </row>
    <row r="63" spans="2:10" x14ac:dyDescent="0.25">
      <c r="B63" s="3">
        <f t="shared" si="4"/>
        <v>230</v>
      </c>
      <c r="C63" s="14">
        <f t="shared" si="5"/>
        <v>3.8333333333333335</v>
      </c>
      <c r="D63" s="11">
        <f t="shared" si="6"/>
        <v>537.70781094636891</v>
      </c>
      <c r="E63" s="24">
        <f t="shared" si="13"/>
        <v>151.3828191187614</v>
      </c>
      <c r="F63" s="24">
        <f t="shared" si="0"/>
        <v>9658.124795690188</v>
      </c>
      <c r="G63" s="14">
        <f t="shared" si="1"/>
        <v>15857.644663542911</v>
      </c>
      <c r="H63" s="24">
        <f t="shared" si="14"/>
        <v>510.99122987828338</v>
      </c>
      <c r="I63" s="12">
        <f t="shared" si="2"/>
        <v>3.9895147641657625</v>
      </c>
      <c r="J63" s="3">
        <f t="shared" si="3"/>
        <v>0.7</v>
      </c>
    </row>
    <row r="64" spans="2:10" x14ac:dyDescent="0.25">
      <c r="B64" s="3">
        <f t="shared" si="4"/>
        <v>235</v>
      </c>
      <c r="C64" s="14">
        <f t="shared" si="5"/>
        <v>3.9166666666666665</v>
      </c>
      <c r="D64" s="11">
        <f t="shared" si="6"/>
        <v>540.82941544357084</v>
      </c>
      <c r="E64" s="24">
        <f t="shared" si="13"/>
        <v>155.37233388292717</v>
      </c>
      <c r="F64" s="24">
        <f t="shared" si="0"/>
        <v>9636.4270390160927</v>
      </c>
      <c r="G64" s="14">
        <f t="shared" si="1"/>
        <v>16074.142612773281</v>
      </c>
      <c r="H64" s="24">
        <f t="shared" si="14"/>
        <v>512.63198564765821</v>
      </c>
      <c r="I64" s="12">
        <f t="shared" si="2"/>
        <v>4.007106195249265</v>
      </c>
      <c r="J64" s="3">
        <f t="shared" si="3"/>
        <v>0.7</v>
      </c>
    </row>
    <row r="65" spans="2:10" x14ac:dyDescent="0.25">
      <c r="B65" s="3">
        <f t="shared" si="4"/>
        <v>240</v>
      </c>
      <c r="C65" s="14">
        <f t="shared" si="5"/>
        <v>4</v>
      </c>
      <c r="D65" s="11">
        <f t="shared" si="6"/>
        <v>543.88730925787115</v>
      </c>
      <c r="E65" s="24">
        <f t="shared" si="13"/>
        <v>159.37944007817643</v>
      </c>
      <c r="F65" s="24">
        <f t="shared" si="0"/>
        <v>9612.696729492367</v>
      </c>
      <c r="G65" s="14">
        <f t="shared" si="1"/>
        <v>16286.583312743604</v>
      </c>
      <c r="H65" s="24">
        <f t="shared" si="14"/>
        <v>514.25898201811981</v>
      </c>
      <c r="I65" s="12">
        <f t="shared" si="2"/>
        <v>4.0237469386346376</v>
      </c>
      <c r="J65" s="3">
        <f t="shared" si="3"/>
        <v>0.7</v>
      </c>
    </row>
    <row r="66" spans="2:10" x14ac:dyDescent="0.25">
      <c r="B66" s="3">
        <f t="shared" si="4"/>
        <v>245</v>
      </c>
      <c r="C66" s="14">
        <f t="shared" si="5"/>
        <v>4.083333333333333</v>
      </c>
      <c r="D66" s="11">
        <f t="shared" si="6"/>
        <v>546.88404107672807</v>
      </c>
      <c r="E66" s="24">
        <f t="shared" si="13"/>
        <v>163.40318701681107</v>
      </c>
      <c r="F66" s="24">
        <f t="shared" si="0"/>
        <v>9587.0213514979241</v>
      </c>
      <c r="G66" s="14">
        <f t="shared" si="1"/>
        <v>16494.994435974284</v>
      </c>
      <c r="H66" s="24">
        <f t="shared" si="14"/>
        <v>515.87242569723844</v>
      </c>
      <c r="I66" s="12">
        <f t="shared" si="2"/>
        <v>4.0394635372907155</v>
      </c>
      <c r="J66" s="3">
        <f t="shared" si="3"/>
        <v>0.7</v>
      </c>
    </row>
    <row r="67" spans="2:10" x14ac:dyDescent="0.25">
      <c r="B67" s="3">
        <f t="shared" si="4"/>
        <v>250</v>
      </c>
      <c r="C67" s="14">
        <f t="shared" si="5"/>
        <v>4.166666666666667</v>
      </c>
      <c r="D67" s="11">
        <f t="shared" si="6"/>
        <v>549.82200964500078</v>
      </c>
      <c r="E67" s="24">
        <f t="shared" si="13"/>
        <v>167.44265055410179</v>
      </c>
      <c r="F67" s="24">
        <f t="shared" si="0"/>
        <v>9559.4839772724754</v>
      </c>
      <c r="G67" s="14">
        <f t="shared" si="1"/>
        <v>16699.401246695044</v>
      </c>
      <c r="H67" s="24">
        <f t="shared" si="14"/>
        <v>517.47257343064746</v>
      </c>
      <c r="I67" s="12">
        <f t="shared" si="2"/>
        <v>4.0542805855788</v>
      </c>
      <c r="J67" s="3">
        <f t="shared" si="3"/>
        <v>0.7</v>
      </c>
    </row>
    <row r="68" spans="2:10" x14ac:dyDescent="0.25">
      <c r="B68" s="3">
        <f t="shared" si="4"/>
        <v>255</v>
      </c>
      <c r="C68" s="14">
        <f t="shared" si="5"/>
        <v>4.25</v>
      </c>
      <c r="D68" s="11">
        <f t="shared" si="6"/>
        <v>552.70347530084507</v>
      </c>
      <c r="E68" s="24">
        <f t="shared" si="13"/>
        <v>171.49693113968058</v>
      </c>
      <c r="F68" s="24">
        <f t="shared" si="0"/>
        <v>9530.1636040291123</v>
      </c>
      <c r="G68" s="14">
        <f t="shared" si="1"/>
        <v>16899.826772828364</v>
      </c>
      <c r="H68" s="24">
        <f t="shared" si="14"/>
        <v>519.05972898907623</v>
      </c>
      <c r="I68" s="12">
        <f t="shared" si="2"/>
        <v>4.0682208648034042</v>
      </c>
      <c r="J68" s="3">
        <f t="shared" si="3"/>
        <v>0.7</v>
      </c>
    </row>
    <row r="69" spans="2:10" x14ac:dyDescent="0.25">
      <c r="B69" s="3">
        <f t="shared" si="4"/>
        <v>260</v>
      </c>
      <c r="C69" s="14">
        <f t="shared" si="5"/>
        <v>4.333333333333333</v>
      </c>
      <c r="D69" s="11">
        <f t="shared" si="6"/>
        <v>555.53057042311366</v>
      </c>
      <c r="E69" s="24">
        <f t="shared" si="13"/>
        <v>175.56515200448399</v>
      </c>
      <c r="F69" s="24">
        <f t="shared" si="0"/>
        <v>9499.1354604657408</v>
      </c>
      <c r="G69" s="14">
        <f t="shared" si="1"/>
        <v>17096.29196960698</v>
      </c>
      <c r="H69" s="24">
        <f t="shared" si="14"/>
        <v>520.63424028164025</v>
      </c>
      <c r="I69" s="12">
        <f t="shared" si="2"/>
        <v>4.081305470085649</v>
      </c>
      <c r="J69" s="3">
        <f t="shared" si="3"/>
        <v>0.7</v>
      </c>
    </row>
    <row r="70" spans="2:10" x14ac:dyDescent="0.25">
      <c r="B70" s="3">
        <f t="shared" si="4"/>
        <v>265</v>
      </c>
      <c r="C70" s="14">
        <f t="shared" si="5"/>
        <v>4.416666666666667</v>
      </c>
      <c r="D70" s="11">
        <f t="shared" si="6"/>
        <v>558.30530891123158</v>
      </c>
      <c r="E70" s="24">
        <f t="shared" si="13"/>
        <v>179.64645747456964</v>
      </c>
      <c r="F70" s="24">
        <f t="shared" si="0"/>
        <v>9466.4712859165484</v>
      </c>
      <c r="G70" s="14">
        <f t="shared" si="1"/>
        <v>17288.815875591914</v>
      </c>
      <c r="H70" s="24">
        <f t="shared" si="14"/>
        <v>522.19649658567835</v>
      </c>
      <c r="I70" s="12">
        <f t="shared" si="2"/>
        <v>4.0935539293390324</v>
      </c>
      <c r="J70" s="3">
        <f t="shared" si="3"/>
        <v>0.7</v>
      </c>
    </row>
    <row r="71" spans="2:10" x14ac:dyDescent="0.25">
      <c r="B71" s="3">
        <f t="shared" si="4"/>
        <v>270</v>
      </c>
      <c r="C71" s="14">
        <f t="shared" si="5"/>
        <v>4.5</v>
      </c>
      <c r="D71" s="11">
        <f t="shared" si="6"/>
        <v>561.02959480311324</v>
      </c>
      <c r="E71" s="24">
        <f t="shared" si="13"/>
        <v>183.74001140390868</v>
      </c>
      <c r="F71" s="24">
        <f t="shared" si="0"/>
        <v>9432.2395849801142</v>
      </c>
      <c r="G71" s="14">
        <f t="shared" si="1"/>
        <v>17477.415761776556</v>
      </c>
      <c r="H71" s="24">
        <f t="shared" si="14"/>
        <v>523.74692588415201</v>
      </c>
      <c r="I71" s="12">
        <f t="shared" si="2"/>
        <v>4.1049843150430734</v>
      </c>
      <c r="J71" s="3">
        <f t="shared" si="3"/>
        <v>0.7</v>
      </c>
    </row>
    <row r="72" spans="2:10" x14ac:dyDescent="0.25">
      <c r="B72" s="3">
        <f t="shared" si="4"/>
        <v>275</v>
      </c>
      <c r="C72" s="14">
        <f t="shared" si="5"/>
        <v>4.583333333333333</v>
      </c>
      <c r="D72" s="11">
        <f t="shared" si="6"/>
        <v>563.70523012349622</v>
      </c>
      <c r="E72" s="24">
        <f t="shared" si="13"/>
        <v>187.84499571895176</v>
      </c>
      <c r="F72" s="24">
        <f t="shared" si="0"/>
        <v>9396.5058601136116</v>
      </c>
      <c r="G72" s="14">
        <f t="shared" si="1"/>
        <v>17662.107274389946</v>
      </c>
      <c r="H72" s="24">
        <f t="shared" si="14"/>
        <v>525.28599230230168</v>
      </c>
      <c r="I72" s="12">
        <f t="shared" si="2"/>
        <v>4.1156133494364244</v>
      </c>
      <c r="J72" s="3">
        <f t="shared" si="3"/>
        <v>0.7</v>
      </c>
    </row>
    <row r="73" spans="2:10" x14ac:dyDescent="0.25">
      <c r="B73" s="3">
        <f t="shared" si="4"/>
        <v>280</v>
      </c>
      <c r="C73" s="14">
        <f t="shared" si="5"/>
        <v>4.666666666666667</v>
      </c>
      <c r="D73" s="11">
        <f t="shared" si="6"/>
        <v>566.33392204371251</v>
      </c>
      <c r="E73" s="24">
        <f t="shared" si="13"/>
        <v>191.96060906838818</v>
      </c>
      <c r="F73" s="24">
        <f t="shared" si="0"/>
        <v>9359.3328243831074</v>
      </c>
      <c r="G73" s="14">
        <f t="shared" si="1"/>
        <v>17842.904571945321</v>
      </c>
      <c r="H73" s="24">
        <f t="shared" si="14"/>
        <v>526.81419363590885</v>
      </c>
      <c r="I73" s="12">
        <f t="shared" si="2"/>
        <v>4.125456503685343</v>
      </c>
      <c r="J73" s="3">
        <f t="shared" si="3"/>
        <v>0.7</v>
      </c>
    </row>
    <row r="74" spans="2:10" x14ac:dyDescent="0.25">
      <c r="B74" s="3">
        <f t="shared" si="4"/>
        <v>285</v>
      </c>
      <c r="C74" s="14">
        <f t="shared" si="5"/>
        <v>4.75</v>
      </c>
      <c r="D74" s="11">
        <f t="shared" si="6"/>
        <v>568.91728942414215</v>
      </c>
      <c r="E74" s="24">
        <f t="shared" si="13"/>
        <v>196.08606557207352</v>
      </c>
      <c r="F74" s="24">
        <f t="shared" si="0"/>
        <v>9320.7805963017163</v>
      </c>
      <c r="G74" s="14">
        <f t="shared" si="1"/>
        <v>18019.820457020378</v>
      </c>
      <c r="H74" s="24">
        <f t="shared" si="14"/>
        <v>528.33205896411528</v>
      </c>
      <c r="I74" s="12">
        <f t="shared" si="2"/>
        <v>4.134528091525377</v>
      </c>
      <c r="J74" s="3">
        <f t="shared" si="3"/>
        <v>0.7</v>
      </c>
    </row>
    <row r="75" spans="2:10" x14ac:dyDescent="0.25">
      <c r="B75" s="3">
        <f t="shared" si="4"/>
        <v>290</v>
      </c>
      <c r="C75" s="14">
        <f t="shared" si="5"/>
        <v>4.833333333333333</v>
      </c>
      <c r="D75" s="11">
        <f t="shared" si="6"/>
        <v>571.45686880213952</v>
      </c>
      <c r="E75" s="24">
        <f t="shared" si="13"/>
        <v>200.22059366359889</v>
      </c>
      <c r="F75" s="24">
        <f t="shared" si="0"/>
        <v>9280.9068784635165</v>
      </c>
      <c r="G75" s="14">
        <f t="shared" si="1"/>
        <v>18192.866503200628</v>
      </c>
      <c r="H75" s="24">
        <f t="shared" si="14"/>
        <v>529.84014634034224</v>
      </c>
      <c r="I75" s="12">
        <f t="shared" si="2"/>
        <v>4.1428413578221681</v>
      </c>
      <c r="J75" s="3">
        <f t="shared" si="3"/>
        <v>0.7</v>
      </c>
    </row>
    <row r="76" spans="2:10" x14ac:dyDescent="0.25">
      <c r="B76" s="3">
        <f t="shared" si="4"/>
        <v>295</v>
      </c>
      <c r="C76" s="14">
        <f t="shared" si="5"/>
        <v>4.916666666666667</v>
      </c>
      <c r="D76" s="11">
        <f t="shared" si="6"/>
        <v>573.95411988089165</v>
      </c>
      <c r="E76" s="24">
        <f t="shared" si="13"/>
        <v>204.36343502142105</v>
      </c>
      <c r="F76" s="24">
        <f t="shared" si="0"/>
        <v>9239.7671214867642</v>
      </c>
      <c r="G76" s="14">
        <f t="shared" si="1"/>
        <v>18362.053177566722</v>
      </c>
      <c r="H76" s="24">
        <f t="shared" si="14"/>
        <v>531.33904055539813</v>
      </c>
      <c r="I76" s="12">
        <f t="shared" si="2"/>
        <v>4.1504085624507434</v>
      </c>
      <c r="J76" s="3">
        <f t="shared" si="3"/>
        <v>0.7</v>
      </c>
    </row>
    <row r="77" spans="2:10" x14ac:dyDescent="0.25">
      <c r="B77" s="3">
        <f t="shared" si="4"/>
        <v>300</v>
      </c>
      <c r="C77" s="14">
        <f t="shared" si="5"/>
        <v>5</v>
      </c>
      <c r="D77" s="11">
        <f t="shared" si="6"/>
        <v>576.4104305683087</v>
      </c>
      <c r="E77" s="24">
        <f t="shared" si="13"/>
        <v>208.51384358387179</v>
      </c>
      <c r="F77" s="24">
        <f t="shared" si="0"/>
        <v>9197.4146746109218</v>
      </c>
      <c r="G77" s="14">
        <f t="shared" si="1"/>
        <v>18527.389959061689</v>
      </c>
      <c r="H77" s="24">
        <f t="shared" si="14"/>
        <v>532.82935096739857</v>
      </c>
      <c r="I77" s="12">
        <f t="shared" si="2"/>
        <v>4.1572410598509997</v>
      </c>
      <c r="J77" s="3">
        <f t="shared" si="3"/>
        <v>0.7</v>
      </c>
    </row>
    <row r="78" spans="2:10" x14ac:dyDescent="0.25">
      <c r="B78" s="3">
        <f t="shared" si="4"/>
        <v>305</v>
      </c>
      <c r="C78" s="14">
        <f t="shared" si="5"/>
        <v>5.083333333333333</v>
      </c>
      <c r="D78" s="11">
        <f t="shared" si="6"/>
        <v>578.82712160949586</v>
      </c>
      <c r="E78" s="24">
        <f t="shared" si="13"/>
        <v>212.67108464372279</v>
      </c>
      <c r="F78" s="24">
        <f t="shared" si="0"/>
        <v>9153.9009241443273</v>
      </c>
      <c r="G78" s="14">
        <f t="shared" si="1"/>
        <v>18688.885453031056</v>
      </c>
      <c r="H78" s="24">
        <f t="shared" si="14"/>
        <v>534.31170939362164</v>
      </c>
      <c r="I78" s="12">
        <f t="shared" si="2"/>
        <v>4.1633493745792336</v>
      </c>
      <c r="J78" s="3">
        <f t="shared" si="3"/>
        <v>0.7</v>
      </c>
    </row>
    <row r="79" spans="2:10" x14ac:dyDescent="0.25">
      <c r="B79" s="3">
        <f t="shared" si="4"/>
        <v>310</v>
      </c>
      <c r="C79" s="14">
        <f t="shared" si="5"/>
        <v>5.166666666666667</v>
      </c>
      <c r="D79" s="11">
        <f t="shared" si="6"/>
        <v>581.2054508515215</v>
      </c>
      <c r="E79" s="24">
        <f t="shared" si="13"/>
        <v>216.83443401830203</v>
      </c>
      <c r="F79" s="24">
        <f t="shared" si="0"/>
        <v>9109.2754208304868</v>
      </c>
      <c r="G79" s="14">
        <f t="shared" si="1"/>
        <v>18846.547502191155</v>
      </c>
      <c r="H79" s="24">
        <f t="shared" si="14"/>
        <v>535.7867680599046</v>
      </c>
      <c r="I79" s="12">
        <f t="shared" si="2"/>
        <v>4.1687432731416285</v>
      </c>
      <c r="J79" s="3">
        <f t="shared" si="3"/>
        <v>0.7</v>
      </c>
    </row>
    <row r="80" spans="2:10" x14ac:dyDescent="0.25">
      <c r="B80" s="3">
        <f t="shared" si="4"/>
        <v>315</v>
      </c>
      <c r="C80" s="14">
        <f t="shared" si="5"/>
        <v>5.25</v>
      </c>
      <c r="D80" s="11">
        <f t="shared" si="6"/>
        <v>583.5466171749573</v>
      </c>
      <c r="E80" s="24">
        <f t="shared" si="13"/>
        <v>221.00317729144365</v>
      </c>
      <c r="F80" s="24">
        <f t="shared" si="0"/>
        <v>9063.585997087841</v>
      </c>
      <c r="G80" s="14">
        <f t="shared" si="1"/>
        <v>19000.383294244912</v>
      </c>
      <c r="H80" s="24">
        <f t="shared" si="14"/>
        <v>537.25519760365</v>
      </c>
      <c r="I80" s="12">
        <f t="shared" si="2"/>
        <v>4.1734318323645248</v>
      </c>
      <c r="J80" s="3">
        <f t="shared" si="3"/>
        <v>0.7</v>
      </c>
    </row>
    <row r="81" spans="2:10" x14ac:dyDescent="0.25">
      <c r="B81" s="3">
        <f t="shared" si="4"/>
        <v>320</v>
      </c>
      <c r="C81" s="14">
        <f t="shared" si="5"/>
        <v>5.333333333333333</v>
      </c>
      <c r="D81" s="11">
        <f t="shared" si="6"/>
        <v>585.85176412295505</v>
      </c>
      <c r="E81" s="24">
        <f t="shared" si="13"/>
        <v>225.17660912380816</v>
      </c>
      <c r="F81" s="24">
        <f t="shared" ref="F81:F144" si="15">AlphaC*(D81-E81)</f>
        <v>9016.8788749786727</v>
      </c>
      <c r="G81" s="14">
        <f t="shared" ref="G81:G144" si="16">Phi*EpsilonF*Botzman/10^8*J81*((D81+273)^4-(E81+273)^4)</f>
        <v>19150.399466332256</v>
      </c>
      <c r="H81" s="24">
        <f t="shared" si="14"/>
        <v>538.7176851269478</v>
      </c>
      <c r="I81" s="12">
        <f t="shared" ref="I81:I144" si="17">ksh*Massivete/(H81*RhoA)*DeltaT*(F81+G81)</f>
        <v>4.1774235045282575</v>
      </c>
      <c r="J81" s="3">
        <f t="shared" ref="J81:J144" si="18">IF(E81&lt;=500,IF(Galva=Oui,0.35,0.7),0.7)</f>
        <v>0.7</v>
      </c>
    </row>
    <row r="82" spans="2:10" x14ac:dyDescent="0.25">
      <c r="B82" s="3">
        <f t="shared" ref="B82:B145" si="19">B81+DeltaT</f>
        <v>325</v>
      </c>
      <c r="C82" s="14">
        <f t="shared" ref="C82:C145" si="20">B82/60</f>
        <v>5.416666666666667</v>
      </c>
      <c r="D82" s="11">
        <f t="shared" ref="D82:D145" si="21">20+345*LOG(8*C82+1,10)</f>
        <v>588.12198325536099</v>
      </c>
      <c r="E82" s="24">
        <f t="shared" si="13"/>
        <v>229.35403262833643</v>
      </c>
      <c r="F82" s="24">
        <f t="shared" si="15"/>
        <v>8969.1987656756137</v>
      </c>
      <c r="G82" s="14">
        <f t="shared" si="16"/>
        <v>19296.602206472369</v>
      </c>
      <c r="H82" s="24">
        <f t="shared" si="14"/>
        <v>540.17493229674221</v>
      </c>
      <c r="I82" s="12">
        <f t="shared" si="17"/>
        <v>4.1807261794657542</v>
      </c>
      <c r="J82" s="3">
        <f t="shared" si="18"/>
        <v>0.7</v>
      </c>
    </row>
    <row r="83" spans="2:10" x14ac:dyDescent="0.25">
      <c r="B83" s="3">
        <f t="shared" si="19"/>
        <v>330</v>
      </c>
      <c r="C83" s="14">
        <f t="shared" si="20"/>
        <v>5.5</v>
      </c>
      <c r="D83" s="11">
        <f t="shared" si="21"/>
        <v>590.35831725249352</v>
      </c>
      <c r="E83" s="24">
        <f t="shared" si="13"/>
        <v>233.53475880780218</v>
      </c>
      <c r="F83" s="24">
        <f t="shared" si="15"/>
        <v>8920.5889611172843</v>
      </c>
      <c r="G83" s="14">
        <f t="shared" si="16"/>
        <v>19438.997352127037</v>
      </c>
      <c r="H83" s="24">
        <f t="shared" si="14"/>
        <v>541.62765348937376</v>
      </c>
      <c r="I83" s="12">
        <f t="shared" si="17"/>
        <v>4.1833472438035999</v>
      </c>
      <c r="J83" s="3">
        <f t="shared" si="18"/>
        <v>0.7</v>
      </c>
    </row>
    <row r="84" spans="2:10" x14ac:dyDescent="0.25">
      <c r="B84" s="3">
        <f t="shared" si="19"/>
        <v>335</v>
      </c>
      <c r="C84" s="14">
        <f t="shared" si="20"/>
        <v>5.583333333333333</v>
      </c>
      <c r="D84" s="11">
        <f t="shared" si="21"/>
        <v>592.56176279067665</v>
      </c>
      <c r="E84" s="24">
        <f t="shared" si="13"/>
        <v>237.71810605160579</v>
      </c>
      <c r="F84" s="24">
        <f t="shared" si="15"/>
        <v>8871.0914184767717</v>
      </c>
      <c r="G84" s="14">
        <f t="shared" si="16"/>
        <v>19577.590485989556</v>
      </c>
      <c r="H84" s="24">
        <f t="shared" si="14"/>
        <v>543.0765739772113</v>
      </c>
      <c r="I84" s="12">
        <f t="shared" si="17"/>
        <v>4.1852936375021361</v>
      </c>
      <c r="J84" s="3">
        <f t="shared" si="18"/>
        <v>0.7</v>
      </c>
    </row>
    <row r="85" spans="2:10" x14ac:dyDescent="0.25">
      <c r="B85" s="3">
        <f t="shared" si="19"/>
        <v>340</v>
      </c>
      <c r="C85" s="14">
        <f t="shared" si="20"/>
        <v>5.666666666666667</v>
      </c>
      <c r="D85" s="11">
        <f t="shared" si="21"/>
        <v>594.73327320937915</v>
      </c>
      <c r="E85" s="24">
        <f t="shared" si="13"/>
        <v>241.90339968910791</v>
      </c>
      <c r="F85" s="24">
        <f t="shared" si="15"/>
        <v>8820.7468380067803</v>
      </c>
      <c r="G85" s="14">
        <f t="shared" si="16"/>
        <v>19712.387029080164</v>
      </c>
      <c r="H85" s="24">
        <f t="shared" si="14"/>
        <v>544.52242815545424</v>
      </c>
      <c r="I85" s="12">
        <f t="shared" si="17"/>
        <v>4.1865719078316275</v>
      </c>
      <c r="J85" s="3">
        <f t="shared" si="18"/>
        <v>0.7</v>
      </c>
    </row>
    <row r="86" spans="2:10" x14ac:dyDescent="0.25">
      <c r="B86" s="3">
        <f t="shared" si="19"/>
        <v>345</v>
      </c>
      <c r="C86" s="14">
        <f t="shared" si="20"/>
        <v>5.75</v>
      </c>
      <c r="D86" s="11">
        <f t="shared" si="21"/>
        <v>596.87376098782249</v>
      </c>
      <c r="E86" s="24">
        <f t="shared" si="13"/>
        <v>246.08997159693953</v>
      </c>
      <c r="F86" s="24">
        <f t="shared" si="15"/>
        <v>8769.5947347720739</v>
      </c>
      <c r="G86" s="14">
        <f t="shared" si="16"/>
        <v>19843.392331207317</v>
      </c>
      <c r="H86" s="24">
        <f t="shared" si="14"/>
        <v>545.96595780753591</v>
      </c>
      <c r="I86" s="12">
        <f t="shared" si="17"/>
        <v>4.1871882609037936</v>
      </c>
      <c r="J86" s="3">
        <f t="shared" si="18"/>
        <v>0.7</v>
      </c>
    </row>
    <row r="87" spans="2:10" x14ac:dyDescent="0.25">
      <c r="B87" s="3">
        <f t="shared" si="19"/>
        <v>350</v>
      </c>
      <c r="C87" s="14">
        <f t="shared" si="20"/>
        <v>5.833333333333333</v>
      </c>
      <c r="D87" s="11">
        <f t="shared" si="21"/>
        <v>598.98410004716266</v>
      </c>
      <c r="E87" s="24">
        <f t="shared" si="13"/>
        <v>250.27715985784332</v>
      </c>
      <c r="F87" s="24">
        <f t="shared" si="15"/>
        <v>8717.6735047329821</v>
      </c>
      <c r="G87" s="14">
        <f t="shared" si="16"/>
        <v>19970.61175883529</v>
      </c>
      <c r="H87" s="24">
        <f t="shared" si="14"/>
        <v>547.40791040788838</v>
      </c>
      <c r="I87" s="12">
        <f t="shared" si="17"/>
        <v>4.1871486108619651</v>
      </c>
      <c r="J87" s="3">
        <f t="shared" si="18"/>
        <v>0.7</v>
      </c>
    </row>
    <row r="88" spans="2:10" x14ac:dyDescent="0.25">
      <c r="B88" s="3">
        <f t="shared" si="19"/>
        <v>355</v>
      </c>
      <c r="C88" s="14">
        <f t="shared" si="20"/>
        <v>5.916666666666667</v>
      </c>
      <c r="D88" s="11">
        <f t="shared" si="21"/>
        <v>601.0651278927827</v>
      </c>
      <c r="E88" s="24">
        <f t="shared" si="13"/>
        <v>254.46430846870527</v>
      </c>
      <c r="F88" s="24">
        <f t="shared" si="15"/>
        <v>8665.0204856019354</v>
      </c>
      <c r="G88" s="14">
        <f t="shared" si="16"/>
        <v>20094.050780380159</v>
      </c>
      <c r="H88" s="24">
        <f t="shared" si="14"/>
        <v>548.84903746113832</v>
      </c>
      <c r="I88" s="12">
        <f t="shared" si="17"/>
        <v>4.1864586268184407</v>
      </c>
      <c r="J88" s="3">
        <f t="shared" si="18"/>
        <v>0.7</v>
      </c>
    </row>
    <row r="89" spans="2:10" x14ac:dyDescent="0.25">
      <c r="B89" s="3">
        <f t="shared" si="19"/>
        <v>360</v>
      </c>
      <c r="C89" s="14">
        <f t="shared" si="20"/>
        <v>6</v>
      </c>
      <c r="D89" s="11">
        <f t="shared" si="21"/>
        <v>603.11764760983715</v>
      </c>
      <c r="E89" s="24">
        <f t="shared" si="13"/>
        <v>258.65076709552369</v>
      </c>
      <c r="F89" s="24">
        <f t="shared" si="15"/>
        <v>8611.6720128578363</v>
      </c>
      <c r="G89" s="14">
        <f t="shared" si="16"/>
        <v>20213.715048940321</v>
      </c>
      <c r="H89" s="24">
        <f t="shared" si="14"/>
        <v>550.29009287710926</v>
      </c>
      <c r="I89" s="12">
        <f t="shared" si="17"/>
        <v>4.185123777614324</v>
      </c>
      <c r="J89" s="3">
        <f t="shared" si="18"/>
        <v>0.7</v>
      </c>
    </row>
    <row r="90" spans="2:10" x14ac:dyDescent="0.25">
      <c r="B90" s="3">
        <f t="shared" si="19"/>
        <v>365</v>
      </c>
      <c r="C90" s="14">
        <f t="shared" si="20"/>
        <v>6.083333333333333</v>
      </c>
      <c r="D90" s="11">
        <f t="shared" si="21"/>
        <v>605.14242972395095</v>
      </c>
      <c r="E90" s="24">
        <f t="shared" si="13"/>
        <v>262.835890873138</v>
      </c>
      <c r="F90" s="24">
        <f t="shared" si="15"/>
        <v>8557.6634712703235</v>
      </c>
      <c r="G90" s="14">
        <f t="shared" si="16"/>
        <v>20329.610482453325</v>
      </c>
      <c r="H90" s="24">
        <f t="shared" si="14"/>
        <v>551.73183138127229</v>
      </c>
      <c r="I90" s="12">
        <f t="shared" si="17"/>
        <v>4.1831493744652821</v>
      </c>
      <c r="J90" s="3">
        <f t="shared" si="18"/>
        <v>0.7</v>
      </c>
    </row>
    <row r="91" spans="2:10" x14ac:dyDescent="0.25">
      <c r="B91" s="3">
        <f t="shared" si="19"/>
        <v>370</v>
      </c>
      <c r="C91" s="14">
        <f t="shared" si="20"/>
        <v>6.166666666666667</v>
      </c>
      <c r="D91" s="11">
        <f t="shared" si="21"/>
        <v>607.14021393785993</v>
      </c>
      <c r="E91" s="24">
        <f t="shared" si="13"/>
        <v>267.0190402476033</v>
      </c>
      <c r="F91" s="24">
        <f t="shared" si="15"/>
        <v>8503.0293422564155</v>
      </c>
      <c r="G91" s="14">
        <f t="shared" si="16"/>
        <v>20441.743341257617</v>
      </c>
      <c r="H91" s="24">
        <f t="shared" si="14"/>
        <v>553.17500696055106</v>
      </c>
      <c r="I91" s="12">
        <f t="shared" si="17"/>
        <v>4.18054061154597</v>
      </c>
      <c r="J91" s="3">
        <f t="shared" si="18"/>
        <v>0.7</v>
      </c>
    </row>
    <row r="92" spans="2:10" x14ac:dyDescent="0.25">
      <c r="B92" s="3">
        <f t="shared" si="19"/>
        <v>375</v>
      </c>
      <c r="C92" s="14">
        <f t="shared" si="20"/>
        <v>6.25</v>
      </c>
      <c r="D92" s="11">
        <f t="shared" si="21"/>
        <v>609.11171075378797</v>
      </c>
      <c r="E92" s="24">
        <f t="shared" si="13"/>
        <v>271.19958085914925</v>
      </c>
      <c r="F92" s="24">
        <f t="shared" si="15"/>
        <v>8447.8032473659678</v>
      </c>
      <c r="G92" s="14">
        <f t="shared" si="16"/>
        <v>20550.120303026255</v>
      </c>
      <c r="H92" s="24">
        <f t="shared" si="14"/>
        <v>554.62037134463003</v>
      </c>
      <c r="I92" s="12">
        <f t="shared" si="17"/>
        <v>4.1773026045562922</v>
      </c>
      <c r="J92" s="3">
        <f t="shared" si="18"/>
        <v>0.7</v>
      </c>
    </row>
    <row r="93" spans="2:10" x14ac:dyDescent="0.25">
      <c r="B93" s="3">
        <f t="shared" si="19"/>
        <v>380</v>
      </c>
      <c r="C93" s="14">
        <f t="shared" si="20"/>
        <v>6.333333333333333</v>
      </c>
      <c r="D93" s="11">
        <f t="shared" si="21"/>
        <v>611.05760299046688</v>
      </c>
      <c r="E93" s="24">
        <f t="shared" si="13"/>
        <v>275.37688346370555</v>
      </c>
      <c r="F93" s="24">
        <f t="shared" si="15"/>
        <v>8392.0179881690328</v>
      </c>
      <c r="G93" s="14">
        <f t="shared" si="16"/>
        <v>20654.748535029852</v>
      </c>
      <c r="H93" s="24">
        <f t="shared" si="14"/>
        <v>556.06867252313396</v>
      </c>
      <c r="I93" s="12">
        <f t="shared" si="17"/>
        <v>4.173440427304473</v>
      </c>
      <c r="J93" s="3">
        <f t="shared" si="18"/>
        <v>0.7</v>
      </c>
    </row>
    <row r="94" spans="2:10" x14ac:dyDescent="0.25">
      <c r="B94" s="3">
        <f t="shared" si="19"/>
        <v>385</v>
      </c>
      <c r="C94" s="14">
        <f t="shared" si="20"/>
        <v>6.416666666666667</v>
      </c>
      <c r="D94" s="11">
        <f t="shared" si="21"/>
        <v>612.97854720290206</v>
      </c>
      <c r="E94" s="24">
        <f t="shared" si="13"/>
        <v>279.55032389101001</v>
      </c>
      <c r="F94" s="24">
        <f t="shared" si="15"/>
        <v>8335.7055827973018</v>
      </c>
      <c r="G94" s="14">
        <f t="shared" si="16"/>
        <v>20755.63576367715</v>
      </c>
      <c r="H94" s="24">
        <f t="shared" si="14"/>
        <v>557.52065329924926</v>
      </c>
      <c r="I94" s="12">
        <f t="shared" si="17"/>
        <v>4.1689591463345241</v>
      </c>
      <c r="J94" s="3">
        <f t="shared" si="18"/>
        <v>0.7</v>
      </c>
    </row>
    <row r="95" spans="2:10" x14ac:dyDescent="0.25">
      <c r="B95" s="3">
        <f t="shared" si="19"/>
        <v>390</v>
      </c>
      <c r="C95" s="14">
        <f t="shared" si="20"/>
        <v>6.5</v>
      </c>
      <c r="D95" s="11">
        <f t="shared" si="21"/>
        <v>614.87517501227217</v>
      </c>
      <c r="E95" s="24">
        <f t="shared" si="13"/>
        <v>283.71928303734455</v>
      </c>
      <c r="F95" s="24">
        <f t="shared" si="15"/>
        <v>8278.8972993731895</v>
      </c>
      <c r="G95" s="14">
        <f t="shared" si="16"/>
        <v>20852.790341274507</v>
      </c>
      <c r="H95" s="24">
        <f t="shared" si="14"/>
        <v>558.97704988054431</v>
      </c>
      <c r="I95" s="12">
        <f t="shared" si="17"/>
        <v>4.1638638536195955</v>
      </c>
      <c r="J95" s="3">
        <f t="shared" si="18"/>
        <v>0.7</v>
      </c>
    </row>
    <row r="96" spans="2:10" x14ac:dyDescent="0.25">
      <c r="B96" s="3">
        <f t="shared" si="19"/>
        <v>395</v>
      </c>
      <c r="C96" s="14">
        <f t="shared" si="20"/>
        <v>6.583333333333333</v>
      </c>
      <c r="D96" s="11">
        <f t="shared" si="21"/>
        <v>616.74809435270447</v>
      </c>
      <c r="E96" s="24">
        <f t="shared" si="13"/>
        <v>287.88314689096416</v>
      </c>
      <c r="F96" s="24">
        <f t="shared" si="15"/>
        <v>8221.6236865435076</v>
      </c>
      <c r="G96" s="14">
        <f t="shared" si="16"/>
        <v>20946.221309940043</v>
      </c>
      <c r="H96" s="24">
        <f t="shared" si="14"/>
        <v>560.43859050790797</v>
      </c>
      <c r="I96" s="12">
        <f t="shared" si="17"/>
        <v>4.1581596973375321</v>
      </c>
      <c r="J96" s="3">
        <f t="shared" si="18"/>
        <v>0.7</v>
      </c>
    </row>
    <row r="97" spans="2:10" x14ac:dyDescent="0.25">
      <c r="B97" s="3">
        <f t="shared" si="19"/>
        <v>400</v>
      </c>
      <c r="C97" s="14">
        <f t="shared" si="20"/>
        <v>6.666666666666667</v>
      </c>
      <c r="D97" s="11">
        <f t="shared" si="21"/>
        <v>618.5978906410819</v>
      </c>
      <c r="E97" s="24">
        <f t="shared" si="13"/>
        <v>292.04130658830167</v>
      </c>
      <c r="F97" s="24">
        <f t="shared" si="15"/>
        <v>8163.9146013195059</v>
      </c>
      <c r="G97" s="14">
        <f t="shared" si="16"/>
        <v>21035.93846260311</v>
      </c>
      <c r="H97" s="24">
        <f t="shared" si="14"/>
        <v>561.90599412366885</v>
      </c>
      <c r="I97" s="12">
        <f t="shared" si="17"/>
        <v>4.1518519107406462</v>
      </c>
      <c r="J97" s="3">
        <f t="shared" si="18"/>
        <v>0.7</v>
      </c>
    </row>
    <row r="98" spans="2:10" x14ac:dyDescent="0.25">
      <c r="B98" s="3">
        <f t="shared" si="19"/>
        <v>405</v>
      </c>
      <c r="C98" s="14">
        <f t="shared" si="20"/>
        <v>6.75</v>
      </c>
      <c r="D98" s="11">
        <f t="shared" si="21"/>
        <v>620.42512787551414</v>
      </c>
      <c r="E98" s="24">
        <f t="shared" si="13"/>
        <v>296.19315849904228</v>
      </c>
      <c r="F98" s="24">
        <f t="shared" si="15"/>
        <v>8105.7992344117965</v>
      </c>
      <c r="G98" s="14">
        <f t="shared" si="16"/>
        <v>21121.952401017101</v>
      </c>
      <c r="H98" s="24">
        <f t="shared" si="14"/>
        <v>563.37996908008347</v>
      </c>
      <c r="I98" s="12">
        <f t="shared" si="17"/>
        <v>4.1449458391286234</v>
      </c>
      <c r="J98" s="3">
        <f t="shared" si="18"/>
        <v>0.7</v>
      </c>
    </row>
    <row r="99" spans="2:10" x14ac:dyDescent="0.25">
      <c r="B99" s="3">
        <f t="shared" si="19"/>
        <v>410</v>
      </c>
      <c r="C99" s="14">
        <f t="shared" si="20"/>
        <v>6.833333333333333</v>
      </c>
      <c r="D99" s="11">
        <f t="shared" si="21"/>
        <v>622.23034966763259</v>
      </c>
      <c r="E99" s="24">
        <f t="shared" si="13"/>
        <v>300.33810433817092</v>
      </c>
      <c r="F99" s="24">
        <f t="shared" si="15"/>
        <v>8047.3061332365414</v>
      </c>
      <c r="G99" s="14">
        <f t="shared" si="16"/>
        <v>21204.274590711702</v>
      </c>
      <c r="H99" s="24">
        <f t="shared" si="14"/>
        <v>564.86121188948334</v>
      </c>
      <c r="I99" s="12">
        <f t="shared" si="17"/>
        <v>4.1374469649309997</v>
      </c>
      <c r="J99" s="3">
        <f t="shared" si="18"/>
        <v>0.7</v>
      </c>
    </row>
    <row r="100" spans="2:10" x14ac:dyDescent="0.25">
      <c r="B100" s="3">
        <f t="shared" si="19"/>
        <v>415</v>
      </c>
      <c r="C100" s="14">
        <f t="shared" si="20"/>
        <v>6.916666666666667</v>
      </c>
      <c r="D100" s="11">
        <f t="shared" si="21"/>
        <v>624.01408021343377</v>
      </c>
      <c r="E100" s="24">
        <f t="shared" si="13"/>
        <v>304.47555130310189</v>
      </c>
      <c r="F100" s="24">
        <f t="shared" si="15"/>
        <v>7988.463222758297</v>
      </c>
      <c r="G100" s="14">
        <f t="shared" si="16"/>
        <v>21282.917412809849</v>
      </c>
      <c r="H100" s="24">
        <f t="shared" si="14"/>
        <v>566.35040601745584</v>
      </c>
      <c r="I100" s="12">
        <f t="shared" si="17"/>
        <v>4.1293609309042427</v>
      </c>
      <c r="J100" s="3">
        <f t="shared" si="18"/>
        <v>0.7</v>
      </c>
    </row>
    <row r="101" spans="2:10" x14ac:dyDescent="0.25">
      <c r="B101" s="3">
        <f t="shared" si="19"/>
        <v>420</v>
      </c>
      <c r="C101" s="14">
        <f t="shared" si="20"/>
        <v>7</v>
      </c>
      <c r="D101" s="11">
        <f t="shared" si="21"/>
        <v>625.77682520700944</v>
      </c>
      <c r="E101" s="24">
        <f t="shared" si="13"/>
        <v>308.60491223400612</v>
      </c>
      <c r="F101" s="24">
        <f t="shared" si="15"/>
        <v>7929.2978243250827</v>
      </c>
      <c r="G101" s="14">
        <f t="shared" si="16"/>
        <v>21357.894212635274</v>
      </c>
      <c r="H101" s="24">
        <f t="shared" si="14"/>
        <v>567.84822072048985</v>
      </c>
      <c r="I101" s="12">
        <f t="shared" si="17"/>
        <v>4.1206935614477489</v>
      </c>
      <c r="J101" s="3">
        <f t="shared" si="18"/>
        <v>0.7</v>
      </c>
    </row>
    <row r="102" spans="2:10" x14ac:dyDescent="0.25">
      <c r="B102" s="3">
        <f t="shared" si="19"/>
        <v>425</v>
      </c>
      <c r="C102" s="14">
        <f t="shared" si="20"/>
        <v>7.083333333333333</v>
      </c>
      <c r="D102" s="11">
        <f t="shared" si="21"/>
        <v>627.51907270115089</v>
      </c>
      <c r="E102" s="24">
        <f t="shared" si="13"/>
        <v>312.72560579545387</v>
      </c>
      <c r="F102" s="24">
        <f t="shared" si="15"/>
        <v>7869.8366726424256</v>
      </c>
      <c r="G102" s="14">
        <f t="shared" si="16"/>
        <v>21429.219345038968</v>
      </c>
      <c r="H102" s="24">
        <f t="shared" si="14"/>
        <v>569.35530992957126</v>
      </c>
      <c r="I102" s="12">
        <f t="shared" si="17"/>
        <v>4.1114508820432567</v>
      </c>
      <c r="J102" s="3">
        <f t="shared" si="18"/>
        <v>0.7</v>
      </c>
    </row>
    <row r="103" spans="2:10" x14ac:dyDescent="0.25">
      <c r="B103" s="3">
        <f t="shared" si="19"/>
        <v>430</v>
      </c>
      <c r="C103" s="14">
        <f t="shared" si="20"/>
        <v>7.166666666666667</v>
      </c>
      <c r="D103" s="11">
        <f t="shared" si="21"/>
        <v>629.24129391848794</v>
      </c>
      <c r="E103" s="24">
        <f t="shared" si="13"/>
        <v>316.83705667749712</v>
      </c>
      <c r="F103" s="24">
        <f t="shared" si="15"/>
        <v>7810.1059310247711</v>
      </c>
      <c r="G103" s="14">
        <f t="shared" si="16"/>
        <v>21496.908216374737</v>
      </c>
      <c r="H103" s="24">
        <f t="shared" si="14"/>
        <v>570.87231118121963</v>
      </c>
      <c r="I103" s="12">
        <f t="shared" si="17"/>
        <v>4.1016391368229232</v>
      </c>
      <c r="J103" s="3">
        <f t="shared" si="18"/>
        <v>0.7</v>
      </c>
    </row>
    <row r="104" spans="2:10" x14ac:dyDescent="0.25">
      <c r="B104" s="3">
        <f t="shared" si="19"/>
        <v>435</v>
      </c>
      <c r="C104" s="14">
        <f t="shared" si="20"/>
        <v>7.25</v>
      </c>
      <c r="D104" s="11">
        <f t="shared" si="21"/>
        <v>630.94394401653972</v>
      </c>
      <c r="E104" s="24">
        <f t="shared" si="13"/>
        <v>320.93869581432006</v>
      </c>
      <c r="F104" s="24">
        <f t="shared" si="15"/>
        <v>7750.1312050554916</v>
      </c>
      <c r="G104" s="14">
        <f t="shared" si="16"/>
        <v>21560.977323059407</v>
      </c>
      <c r="H104" s="24">
        <f t="shared" si="14"/>
        <v>572.39984459747222</v>
      </c>
      <c r="I104" s="12">
        <f t="shared" si="17"/>
        <v>4.0912648042729787</v>
      </c>
      <c r="J104" s="3">
        <f t="shared" si="18"/>
        <v>0.7</v>
      </c>
    </row>
    <row r="105" spans="2:10" x14ac:dyDescent="0.25">
      <c r="B105" s="3">
        <f t="shared" si="19"/>
        <v>440</v>
      </c>
      <c r="C105" s="14">
        <f t="shared" si="20"/>
        <v>7.333333333333333</v>
      </c>
      <c r="D105" s="11">
        <f t="shared" si="21"/>
        <v>632.62746280977956</v>
      </c>
      <c r="E105" s="24">
        <f t="shared" si="13"/>
        <v>325.02996061859301</v>
      </c>
      <c r="F105" s="24">
        <f t="shared" si="15"/>
        <v>7689.9375547796635</v>
      </c>
      <c r="G105" s="14">
        <f t="shared" si="16"/>
        <v>21621.444286657013</v>
      </c>
      <c r="H105" s="24">
        <f t="shared" si="14"/>
        <v>573.93851191629415</v>
      </c>
      <c r="I105" s="12">
        <f t="shared" si="17"/>
        <v>4.0803346110819012</v>
      </c>
      <c r="J105" s="3">
        <f t="shared" si="18"/>
        <v>0.7</v>
      </c>
    </row>
    <row r="106" spans="2:10" x14ac:dyDescent="0.25">
      <c r="B106" s="3">
        <f t="shared" si="19"/>
        <v>445</v>
      </c>
      <c r="C106" s="14">
        <f t="shared" si="20"/>
        <v>7.416666666666667</v>
      </c>
      <c r="D106" s="11">
        <f t="shared" si="21"/>
        <v>634.29227545158506</v>
      </c>
      <c r="E106" s="24">
        <f t="shared" ref="E106:E113" si="22">E105+I105</f>
        <v>329.11029522967493</v>
      </c>
      <c r="F106" s="24">
        <f t="shared" si="15"/>
        <v>7629.5495055477531</v>
      </c>
      <c r="G106" s="14">
        <f t="shared" si="16"/>
        <v>21678.327885433642</v>
      </c>
      <c r="H106" s="24">
        <f t="shared" ref="H106:H113" si="23">IF(E106&lt;600,425+0.773*E106-1.69/1000*E106^2+2.22/1000^2*E106^3,IF(E106&lt;735,666+13002/(738-E106),IF(E106&lt;900,545+17820/(E106-731),650)))</f>
        <v>575.48889557386326</v>
      </c>
      <c r="I106" s="12">
        <f t="shared" si="17"/>
        <v>4.0688555441449052</v>
      </c>
      <c r="J106" s="3">
        <f t="shared" si="18"/>
        <v>0.7</v>
      </c>
    </row>
    <row r="107" spans="2:10" x14ac:dyDescent="0.25">
      <c r="B107" s="3">
        <f t="shared" si="19"/>
        <v>450</v>
      </c>
      <c r="C107" s="14">
        <f t="shared" si="20"/>
        <v>7.5</v>
      </c>
      <c r="D107" s="11">
        <f t="shared" si="21"/>
        <v>635.93879307871464</v>
      </c>
      <c r="E107" s="24">
        <f t="shared" si="22"/>
        <v>333.17915077381986</v>
      </c>
      <c r="F107" s="24">
        <f t="shared" si="15"/>
        <v>7568.9910576223692</v>
      </c>
      <c r="G107" s="14">
        <f t="shared" si="16"/>
        <v>21731.648082335651</v>
      </c>
      <c r="H107" s="24">
        <f t="shared" si="23"/>
        <v>577.05155784011424</v>
      </c>
      <c r="I107" s="12">
        <f t="shared" si="17"/>
        <v>4.05683486073975</v>
      </c>
      <c r="J107" s="3">
        <f t="shared" si="18"/>
        <v>0.7</v>
      </c>
    </row>
    <row r="108" spans="2:10" x14ac:dyDescent="0.25">
      <c r="B108" s="3">
        <f t="shared" si="19"/>
        <v>455</v>
      </c>
      <c r="C108" s="14">
        <f t="shared" si="20"/>
        <v>7.583333333333333</v>
      </c>
      <c r="D108" s="11">
        <f t="shared" si="21"/>
        <v>637.56741342075622</v>
      </c>
      <c r="E108" s="24">
        <f t="shared" si="22"/>
        <v>337.2359856345596</v>
      </c>
      <c r="F108" s="24">
        <f t="shared" si="15"/>
        <v>7508.2856946549155</v>
      </c>
      <c r="G108" s="14">
        <f t="shared" si="16"/>
        <v>21781.426049352343</v>
      </c>
      <c r="H108" s="24">
        <f t="shared" si="23"/>
        <v>578.62704000886379</v>
      </c>
      <c r="I108" s="12">
        <f t="shared" si="17"/>
        <v>4.0442800968925576</v>
      </c>
      <c r="J108" s="3">
        <f t="shared" si="18"/>
        <v>0.7</v>
      </c>
    </row>
    <row r="109" spans="2:10" x14ac:dyDescent="0.25">
      <c r="B109" s="3">
        <f t="shared" si="19"/>
        <v>460</v>
      </c>
      <c r="C109" s="14">
        <f t="shared" si="20"/>
        <v>7.666666666666667</v>
      </c>
      <c r="D109" s="11">
        <f t="shared" si="21"/>
        <v>639.17852137680859</v>
      </c>
      <c r="E109" s="24">
        <f t="shared" si="22"/>
        <v>341.28026573145218</v>
      </c>
      <c r="F109" s="24">
        <f t="shared" si="15"/>
        <v>7447.4563911339101</v>
      </c>
      <c r="G109" s="14">
        <f t="shared" si="16"/>
        <v>21827.684188232779</v>
      </c>
      <c r="H109" s="24">
        <f t="shared" si="23"/>
        <v>580.2158616437365</v>
      </c>
      <c r="I109" s="12">
        <f t="shared" si="17"/>
        <v>4.0311990739565395</v>
      </c>
      <c r="J109" s="3">
        <f t="shared" si="18"/>
        <v>0.7</v>
      </c>
    </row>
    <row r="110" spans="2:10" x14ac:dyDescent="0.25">
      <c r="B110" s="3">
        <f t="shared" si="19"/>
        <v>465</v>
      </c>
      <c r="C110" s="14">
        <f t="shared" si="20"/>
        <v>7.75</v>
      </c>
      <c r="D110" s="11">
        <f t="shared" si="21"/>
        <v>640.7724895614856</v>
      </c>
      <c r="E110" s="24">
        <f t="shared" si="22"/>
        <v>345.31146480540872</v>
      </c>
      <c r="F110" s="24">
        <f t="shared" si="15"/>
        <v>7386.5256189019219</v>
      </c>
      <c r="G110" s="14">
        <f t="shared" si="16"/>
        <v>21870.446147535502</v>
      </c>
      <c r="H110" s="24">
        <f t="shared" si="23"/>
        <v>581.81851988101494</v>
      </c>
      <c r="I110" s="12">
        <f t="shared" si="17"/>
        <v>4.0175999034308436</v>
      </c>
      <c r="J110" s="3">
        <f t="shared" si="18"/>
        <v>0.7</v>
      </c>
    </row>
    <row r="111" spans="2:10" x14ac:dyDescent="0.25">
      <c r="B111" s="3">
        <f t="shared" si="19"/>
        <v>470</v>
      </c>
      <c r="C111" s="14">
        <f t="shared" si="20"/>
        <v>7.833333333333333</v>
      </c>
      <c r="D111" s="11">
        <f t="shared" si="21"/>
        <v>642.34967882218234</v>
      </c>
      <c r="E111" s="24">
        <f t="shared" si="22"/>
        <v>349.32906470883955</v>
      </c>
      <c r="F111" s="24">
        <f t="shared" si="15"/>
        <v>7325.5153528335695</v>
      </c>
      <c r="G111" s="14">
        <f t="shared" si="16"/>
        <v>21909.736836000193</v>
      </c>
      <c r="H111" s="24">
        <f t="shared" si="23"/>
        <v>583.43548879040827</v>
      </c>
      <c r="I111" s="12">
        <f t="shared" si="17"/>
        <v>4.003490990051537</v>
      </c>
      <c r="J111" s="3">
        <f t="shared" si="18"/>
        <v>0.7</v>
      </c>
    </row>
    <row r="112" spans="2:10" x14ac:dyDescent="0.25">
      <c r="B112" s="3">
        <f t="shared" si="19"/>
        <v>475</v>
      </c>
      <c r="C112" s="14">
        <f t="shared" si="20"/>
        <v>7.916666666666667</v>
      </c>
      <c r="D112" s="11">
        <f t="shared" si="21"/>
        <v>643.91043872939827</v>
      </c>
      <c r="E112" s="24">
        <f t="shared" si="22"/>
        <v>353.3325556988911</v>
      </c>
      <c r="F112" s="24">
        <f t="shared" si="15"/>
        <v>7264.4470757626796</v>
      </c>
      <c r="G112" s="14">
        <f t="shared" si="16"/>
        <v>21945.582432240317</v>
      </c>
      <c r="H112" s="24">
        <f t="shared" si="23"/>
        <v>585.06721879460429</v>
      </c>
      <c r="I112" s="12">
        <f t="shared" si="17"/>
        <v>3.9888810331915514</v>
      </c>
      <c r="J112" s="3">
        <f t="shared" si="18"/>
        <v>0.7</v>
      </c>
    </row>
    <row r="113" spans="2:10" x14ac:dyDescent="0.25">
      <c r="B113" s="3">
        <f t="shared" si="19"/>
        <v>480</v>
      </c>
      <c r="C113" s="14">
        <f t="shared" si="20"/>
        <v>8</v>
      </c>
      <c r="D113" s="11">
        <f t="shared" si="21"/>
        <v>645.45510804178502</v>
      </c>
      <c r="E113" s="24">
        <f t="shared" si="22"/>
        <v>357.32143673208265</v>
      </c>
      <c r="F113" s="24">
        <f t="shared" si="15"/>
        <v>7203.3417827425592</v>
      </c>
      <c r="G113" s="14">
        <f t="shared" si="16"/>
        <v>21978.010390767206</v>
      </c>
      <c r="H113" s="24">
        <f t="shared" si="23"/>
        <v>586.71413614832159</v>
      </c>
      <c r="I113" s="12">
        <f t="shared" si="17"/>
        <v>3.973779026611469</v>
      </c>
      <c r="J113" s="3">
        <f t="shared" si="18"/>
        <v>0.7</v>
      </c>
    </row>
    <row r="114" spans="2:10" x14ac:dyDescent="0.25">
      <c r="B114" s="3">
        <f t="shared" si="19"/>
        <v>485</v>
      </c>
      <c r="C114" s="14">
        <f t="shared" si="20"/>
        <v>8.0833333333333339</v>
      </c>
      <c r="D114" s="11">
        <f t="shared" si="21"/>
        <v>646.98401514746593</v>
      </c>
      <c r="E114" s="24">
        <f t="shared" ref="E114:E177" si="24">E113+I113</f>
        <v>361.2952157586941</v>
      </c>
      <c r="F114" s="24">
        <f t="shared" si="15"/>
        <v>7142.219984719296</v>
      </c>
      <c r="G114" s="14">
        <f t="shared" si="16"/>
        <v>22007.049444366676</v>
      </c>
      <c r="H114" s="24">
        <f t="shared" ref="H114:H177" si="25">IF(E114&lt;600,425+0.773*E114-1.69/1000*E114^2+2.22/1000^2*E114^3,IF(E114&lt;735,666+13002/(738-E114),IF(E114&lt;900,545+17820/(E114-731),650)))</f>
        <v>588.3766424774177</v>
      </c>
      <c r="I114" s="12">
        <f t="shared" si="17"/>
        <v>3.9581942566080994</v>
      </c>
      <c r="J114" s="3">
        <f t="shared" si="18"/>
        <v>0.7</v>
      </c>
    </row>
    <row r="115" spans="2:10" x14ac:dyDescent="0.25">
      <c r="B115" s="3">
        <f t="shared" si="19"/>
        <v>490</v>
      </c>
      <c r="C115" s="14">
        <f t="shared" si="20"/>
        <v>8.1666666666666661</v>
      </c>
      <c r="D115" s="11">
        <f t="shared" si="21"/>
        <v>648.49747848306515</v>
      </c>
      <c r="E115" s="24">
        <f t="shared" si="24"/>
        <v>365.25341001530222</v>
      </c>
      <c r="F115" s="24">
        <f t="shared" si="15"/>
        <v>7081.1017116940729</v>
      </c>
      <c r="G115" s="14">
        <f t="shared" si="16"/>
        <v>22032.729602861065</v>
      </c>
      <c r="H115" s="24">
        <f t="shared" si="25"/>
        <v>590.0551143784445</v>
      </c>
      <c r="I115" s="12">
        <f t="shared" si="17"/>
        <v>3.9421362986128035</v>
      </c>
      <c r="J115" s="3">
        <f t="shared" si="18"/>
        <v>0.7</v>
      </c>
    </row>
    <row r="116" spans="2:10" x14ac:dyDescent="0.25">
      <c r="B116" s="3">
        <f t="shared" si="19"/>
        <v>495</v>
      </c>
      <c r="C116" s="14">
        <f t="shared" si="20"/>
        <v>8.25</v>
      </c>
      <c r="D116" s="11">
        <f t="shared" si="21"/>
        <v>649.99580693178507</v>
      </c>
      <c r="E116" s="24">
        <f t="shared" si="24"/>
        <v>369.19554631391503</v>
      </c>
      <c r="F116" s="24">
        <f t="shared" si="15"/>
        <v>7020.0065154467511</v>
      </c>
      <c r="G116" s="14">
        <f t="shared" si="16"/>
        <v>22055.082148300877</v>
      </c>
      <c r="H116" s="24">
        <f t="shared" si="25"/>
        <v>591.74990307886878</v>
      </c>
      <c r="I116" s="12">
        <f t="shared" si="17"/>
        <v>3.9256150122965479</v>
      </c>
      <c r="J116" s="3">
        <f t="shared" si="18"/>
        <v>0.7</v>
      </c>
    </row>
    <row r="117" spans="2:10" x14ac:dyDescent="0.25">
      <c r="B117" s="3">
        <f t="shared" si="19"/>
        <v>500</v>
      </c>
      <c r="C117" s="14">
        <f t="shared" si="20"/>
        <v>8.3333333333333339</v>
      </c>
      <c r="D117" s="11">
        <f t="shared" si="21"/>
        <v>651.47930020177489</v>
      </c>
      <c r="E117" s="24">
        <f t="shared" si="24"/>
        <v>373.12116132621156</v>
      </c>
      <c r="F117" s="24">
        <f t="shared" si="15"/>
        <v>6958.9534718890827</v>
      </c>
      <c r="G117" s="14">
        <f t="shared" si="16"/>
        <v>22074.1396266421</v>
      </c>
      <c r="H117" s="24">
        <f t="shared" si="25"/>
        <v>593.4613341579867</v>
      </c>
      <c r="I117" s="12">
        <f t="shared" si="17"/>
        <v>3.908640535243495</v>
      </c>
      <c r="J117" s="3">
        <f t="shared" si="18"/>
        <v>0.7</v>
      </c>
    </row>
    <row r="118" spans="2:10" x14ac:dyDescent="0.25">
      <c r="B118" s="3">
        <f t="shared" si="19"/>
        <v>505</v>
      </c>
      <c r="C118" s="14">
        <f t="shared" si="20"/>
        <v>8.4166666666666661</v>
      </c>
      <c r="D118" s="11">
        <f t="shared" si="21"/>
        <v>652.94824918595157</v>
      </c>
      <c r="E118" s="24">
        <f t="shared" si="24"/>
        <v>377.02980186145504</v>
      </c>
      <c r="F118" s="24">
        <f t="shared" si="15"/>
        <v>6897.961183112413</v>
      </c>
      <c r="G118" s="14">
        <f t="shared" si="16"/>
        <v>22089.935835976194</v>
      </c>
      <c r="H118" s="24">
        <f t="shared" si="25"/>
        <v>595.18970732838443</v>
      </c>
      <c r="I118" s="12">
        <f t="shared" si="17"/>
        <v>3.8912232752595104</v>
      </c>
      <c r="J118" s="3">
        <f t="shared" si="18"/>
        <v>0.7</v>
      </c>
    </row>
    <row r="119" spans="2:10" x14ac:dyDescent="0.25">
      <c r="B119" s="3">
        <f t="shared" si="19"/>
        <v>510</v>
      </c>
      <c r="C119" s="14">
        <f t="shared" si="20"/>
        <v>8.5</v>
      </c>
      <c r="D119" s="11">
        <f t="shared" si="21"/>
        <v>654.40293630435303</v>
      </c>
      <c r="E119" s="24">
        <f t="shared" si="24"/>
        <v>380.92102513671455</v>
      </c>
      <c r="F119" s="24">
        <f t="shared" si="15"/>
        <v>6837.0477791909625</v>
      </c>
      <c r="G119" s="14">
        <f t="shared" si="16"/>
        <v>22102.505811391962</v>
      </c>
      <c r="H119" s="24">
        <f t="shared" si="25"/>
        <v>596.9352962775996</v>
      </c>
      <c r="I119" s="12">
        <f t="shared" si="17"/>
        <v>3.8733739013864561</v>
      </c>
      <c r="J119" s="3">
        <f t="shared" si="18"/>
        <v>0.7</v>
      </c>
    </row>
    <row r="120" spans="2:10" x14ac:dyDescent="0.25">
      <c r="B120" s="3">
        <f t="shared" si="19"/>
        <v>515</v>
      </c>
      <c r="C120" s="14">
        <f t="shared" si="20"/>
        <v>8.5833333333333339</v>
      </c>
      <c r="D120" s="11">
        <f t="shared" si="21"/>
        <v>655.84363583003005</v>
      </c>
      <c r="E120" s="24">
        <f t="shared" si="24"/>
        <v>384.79439903810101</v>
      </c>
      <c r="F120" s="24">
        <f t="shared" si="15"/>
        <v>6776.2309197982258</v>
      </c>
      <c r="G120" s="14">
        <f t="shared" si="16"/>
        <v>22111.885806558348</v>
      </c>
      <c r="H120" s="24">
        <f t="shared" si="25"/>
        <v>598.69834856945261</v>
      </c>
      <c r="I120" s="12">
        <f t="shared" si="17"/>
        <v>3.8551033336970306</v>
      </c>
      <c r="J120" s="3">
        <f t="shared" si="18"/>
        <v>0.7</v>
      </c>
    </row>
    <row r="121" spans="2:10" x14ac:dyDescent="0.25">
      <c r="B121" s="3">
        <f t="shared" si="19"/>
        <v>520</v>
      </c>
      <c r="C121" s="14">
        <f t="shared" si="20"/>
        <v>8.6666666666666661</v>
      </c>
      <c r="D121" s="11">
        <f t="shared" si="21"/>
        <v>657.27061419942038</v>
      </c>
      <c r="E121" s="24">
        <f t="shared" si="24"/>
        <v>388.64950237179801</v>
      </c>
      <c r="F121" s="24">
        <f t="shared" si="15"/>
        <v>6715.5277956905593</v>
      </c>
      <c r="G121" s="14">
        <f t="shared" si="16"/>
        <v>22118.113272129416</v>
      </c>
      <c r="H121" s="24">
        <f t="shared" si="25"/>
        <v>600.47908560432302</v>
      </c>
      <c r="I121" s="12">
        <f t="shared" si="17"/>
        <v>3.8364227319488107</v>
      </c>
      <c r="J121" s="3">
        <f t="shared" si="18"/>
        <v>0.7</v>
      </c>
    </row>
    <row r="122" spans="2:10" x14ac:dyDescent="0.25">
      <c r="B122" s="3">
        <f t="shared" si="19"/>
        <v>525</v>
      </c>
      <c r="C122" s="14">
        <f t="shared" si="20"/>
        <v>8.75</v>
      </c>
      <c r="D122" s="11">
        <f t="shared" si="21"/>
        <v>658.68413030808085</v>
      </c>
      <c r="E122" s="24">
        <f t="shared" si="24"/>
        <v>392.48592510374681</v>
      </c>
      <c r="F122" s="24">
        <f t="shared" si="15"/>
        <v>6654.9551301083511</v>
      </c>
      <c r="G122" s="14">
        <f t="shared" si="16"/>
        <v>22121.226831081622</v>
      </c>
      <c r="H122" s="24">
        <f t="shared" si="25"/>
        <v>602.27770263746015</v>
      </c>
      <c r="I122" s="12">
        <f t="shared" si="17"/>
        <v>3.8173434831792723</v>
      </c>
      <c r="J122" s="3">
        <f t="shared" si="18"/>
        <v>0.7</v>
      </c>
    </row>
    <row r="123" spans="2:10" x14ac:dyDescent="0.25">
      <c r="B123" s="3">
        <f t="shared" si="19"/>
        <v>530</v>
      </c>
      <c r="C123" s="14">
        <f t="shared" si="20"/>
        <v>8.8333333333333339</v>
      </c>
      <c r="D123" s="11">
        <f t="shared" si="21"/>
        <v>660.08443579260029</v>
      </c>
      <c r="E123" s="24">
        <f t="shared" si="24"/>
        <v>396.30326858692609</v>
      </c>
      <c r="F123" s="24">
        <f t="shared" si="15"/>
        <v>6594.5291801418552</v>
      </c>
      <c r="G123" s="14">
        <f t="shared" si="16"/>
        <v>22121.266251104313</v>
      </c>
      <c r="H123" s="24">
        <f t="shared" si="25"/>
        <v>604.09436885422861</v>
      </c>
      <c r="I123" s="12">
        <f t="shared" si="17"/>
        <v>3.7978771883265479</v>
      </c>
      <c r="J123" s="3">
        <f t="shared" si="18"/>
        <v>0.7</v>
      </c>
    </row>
    <row r="124" spans="2:10" x14ac:dyDescent="0.25">
      <c r="B124" s="3">
        <f t="shared" si="19"/>
        <v>535</v>
      </c>
      <c r="C124" s="14">
        <f t="shared" si="20"/>
        <v>8.9166666666666661</v>
      </c>
      <c r="D124" s="11">
        <f t="shared" si="21"/>
        <v>661.47177529945907</v>
      </c>
      <c r="E124" s="24">
        <f t="shared" si="24"/>
        <v>400.10114577525263</v>
      </c>
      <c r="F124" s="24">
        <f t="shared" si="15"/>
        <v>6534.2657381051613</v>
      </c>
      <c r="G124" s="14">
        <f t="shared" si="16"/>
        <v>22118.272414172803</v>
      </c>
      <c r="H124" s="24">
        <f t="shared" si="25"/>
        <v>605.92922750101081</v>
      </c>
      <c r="I124" s="12">
        <f t="shared" si="17"/>
        <v>3.7780356479629873</v>
      </c>
      <c r="J124" s="3">
        <f t="shared" si="18"/>
        <v>0.7</v>
      </c>
    </row>
    <row r="125" spans="2:10" x14ac:dyDescent="0.25">
      <c r="B125" s="3">
        <f t="shared" si="19"/>
        <v>540</v>
      </c>
      <c r="C125" s="14">
        <f t="shared" si="20"/>
        <v>9</v>
      </c>
      <c r="D125" s="11">
        <f t="shared" si="21"/>
        <v>662.84638674155724</v>
      </c>
      <c r="E125" s="24">
        <f t="shared" si="24"/>
        <v>403.87918142321564</v>
      </c>
      <c r="F125" s="24">
        <f t="shared" si="15"/>
        <v>6474.1801329585396</v>
      </c>
      <c r="G125" s="14">
        <f t="shared" si="16"/>
        <v>22112.287283442613</v>
      </c>
      <c r="H125" s="24">
        <f t="shared" si="25"/>
        <v>607.78239607031446</v>
      </c>
      <c r="I125" s="12">
        <f t="shared" si="17"/>
        <v>3.7578308472305593</v>
      </c>
      <c r="J125" s="3">
        <f t="shared" si="18"/>
        <v>0.7</v>
      </c>
    </row>
    <row r="126" spans="2:10" x14ac:dyDescent="0.25">
      <c r="B126" s="3">
        <f t="shared" si="19"/>
        <v>545</v>
      </c>
      <c r="C126" s="14">
        <f t="shared" si="20"/>
        <v>9.0833333333333339</v>
      </c>
      <c r="D126" s="11">
        <f t="shared" si="21"/>
        <v>664.20850154307959</v>
      </c>
      <c r="E126" s="24">
        <f t="shared" si="24"/>
        <v>407.63701227044618</v>
      </c>
      <c r="F126" s="24">
        <f t="shared" si="15"/>
        <v>6414.2872318158352</v>
      </c>
      <c r="G126" s="14">
        <f t="shared" si="16"/>
        <v>22103.35386761048</v>
      </c>
      <c r="H126" s="24">
        <f t="shared" si="25"/>
        <v>609.65396653846244</v>
      </c>
      <c r="I126" s="12">
        <f t="shared" si="17"/>
        <v>3.7372749400684326</v>
      </c>
      <c r="J126" s="3">
        <f t="shared" si="18"/>
        <v>0.7</v>
      </c>
    </row>
    <row r="127" spans="2:10" x14ac:dyDescent="0.25">
      <c r="B127" s="3">
        <f t="shared" si="19"/>
        <v>550</v>
      </c>
      <c r="C127" s="14">
        <f t="shared" si="20"/>
        <v>9.1666666666666661</v>
      </c>
      <c r="D127" s="11">
        <f t="shared" si="21"/>
        <v>665.55834487333186</v>
      </c>
      <c r="E127" s="24">
        <f t="shared" si="24"/>
        <v>411.37428721051464</v>
      </c>
      <c r="F127" s="24">
        <f t="shared" si="15"/>
        <v>6354.6014415704303</v>
      </c>
      <c r="G127" s="14">
        <f t="shared" si="16"/>
        <v>22091.516182895371</v>
      </c>
      <c r="H127" s="24">
        <f t="shared" si="25"/>
        <v>611.54400565409151</v>
      </c>
      <c r="I127" s="12">
        <f t="shared" si="17"/>
        <v>3.7163802328239801</v>
      </c>
      <c r="J127" s="3">
        <f t="shared" si="18"/>
        <v>0.7</v>
      </c>
    </row>
    <row r="128" spans="2:10" x14ac:dyDescent="0.25">
      <c r="B128" s="3">
        <f t="shared" si="19"/>
        <v>555</v>
      </c>
      <c r="C128" s="14">
        <f t="shared" si="20"/>
        <v>9.25</v>
      </c>
      <c r="D128" s="11">
        <f t="shared" si="21"/>
        <v>666.89613587013639</v>
      </c>
      <c r="E128" s="24">
        <f t="shared" si="24"/>
        <v>415.09066744333865</v>
      </c>
      <c r="F128" s="24">
        <f t="shared" si="15"/>
        <v>6295.1367106699436</v>
      </c>
      <c r="G128" s="14">
        <f t="shared" si="16"/>
        <v>22076.81921279872</v>
      </c>
      <c r="H128" s="24">
        <f t="shared" si="25"/>
        <v>613.45255527552808</v>
      </c>
      <c r="I128" s="12">
        <f t="shared" si="17"/>
        <v>3.6951591673388124</v>
      </c>
      <c r="J128" s="3">
        <f t="shared" si="18"/>
        <v>0.7</v>
      </c>
    </row>
    <row r="129" spans="2:10" x14ac:dyDescent="0.25">
      <c r="B129" s="3">
        <f t="shared" si="19"/>
        <v>560</v>
      </c>
      <c r="C129" s="14">
        <f t="shared" si="20"/>
        <v>9.3333333333333339</v>
      </c>
      <c r="D129" s="11">
        <f t="shared" si="21"/>
        <v>668.22208785334374</v>
      </c>
      <c r="E129" s="24">
        <f t="shared" si="24"/>
        <v>418.78582661067747</v>
      </c>
      <c r="F129" s="24">
        <f t="shared" si="15"/>
        <v>6235.9065310666565</v>
      </c>
      <c r="G129" s="14">
        <f t="shared" si="16"/>
        <v>22059.308865808351</v>
      </c>
      <c r="H129" s="24">
        <f t="shared" si="25"/>
        <v>615.37963275498214</v>
      </c>
      <c r="I129" s="12">
        <f t="shared" si="17"/>
        <v>3.6736243036011405</v>
      </c>
      <c r="J129" s="3">
        <f t="shared" si="18"/>
        <v>0.7</v>
      </c>
    </row>
    <row r="130" spans="2:10" x14ac:dyDescent="0.25">
      <c r="B130" s="3">
        <f t="shared" si="19"/>
        <v>565</v>
      </c>
      <c r="C130" s="14">
        <f t="shared" si="20"/>
        <v>9.4166666666666661</v>
      </c>
      <c r="D130" s="11">
        <f t="shared" si="21"/>
        <v>669.53640852897774</v>
      </c>
      <c r="E130" s="24">
        <f t="shared" si="24"/>
        <v>422.45945091427859</v>
      </c>
      <c r="F130" s="24">
        <f t="shared" si="15"/>
        <v>6176.9239403674792</v>
      </c>
      <c r="G130" s="14">
        <f t="shared" si="16"/>
        <v>22039.031931215151</v>
      </c>
      <c r="H130" s="24">
        <f t="shared" si="25"/>
        <v>617.32523136736768</v>
      </c>
      <c r="I130" s="12">
        <f t="shared" si="17"/>
        <v>3.6517883020551642</v>
      </c>
      <c r="J130" s="3">
        <f t="shared" si="18"/>
        <v>0.7</v>
      </c>
    </row>
    <row r="131" spans="2:10" x14ac:dyDescent="0.25">
      <c r="B131" s="3">
        <f t="shared" si="19"/>
        <v>570</v>
      </c>
      <c r="C131" s="14">
        <f t="shared" si="20"/>
        <v>9.5</v>
      </c>
      <c r="D131" s="11">
        <f t="shared" si="21"/>
        <v>670.83930018450621</v>
      </c>
      <c r="E131" s="24">
        <f t="shared" si="24"/>
        <v>426.11123921633373</v>
      </c>
      <c r="F131" s="24">
        <f t="shared" si="15"/>
        <v>6118.2015242043126</v>
      </c>
      <c r="G131" s="14">
        <f t="shared" si="16"/>
        <v>22016.036033215187</v>
      </c>
      <c r="H131" s="24">
        <f t="shared" si="25"/>
        <v>619.28932078144817</v>
      </c>
      <c r="I131" s="12">
        <f t="shared" si="17"/>
        <v>3.6296639056568716</v>
      </c>
      <c r="J131" s="3">
        <f t="shared" si="18"/>
        <v>0.7</v>
      </c>
    </row>
    <row r="132" spans="2:10" x14ac:dyDescent="0.25">
      <c r="B132" s="3">
        <f t="shared" si="19"/>
        <v>575</v>
      </c>
      <c r="C132" s="14">
        <f t="shared" si="20"/>
        <v>9.5833333333333339</v>
      </c>
      <c r="D132" s="11">
        <f t="shared" si="21"/>
        <v>672.13095987569295</v>
      </c>
      <c r="E132" s="24">
        <f t="shared" si="24"/>
        <v>429.74090312199058</v>
      </c>
      <c r="F132" s="24">
        <f t="shared" si="15"/>
        <v>6059.7514188425594</v>
      </c>
      <c r="G132" s="14">
        <f t="shared" si="16"/>
        <v>21990.369583472424</v>
      </c>
      <c r="H132" s="24">
        <f t="shared" si="25"/>
        <v>621.27184757090299</v>
      </c>
      <c r="I132" s="12">
        <f t="shared" si="17"/>
        <v>3.607263921763971</v>
      </c>
      <c r="J132" s="3">
        <f t="shared" si="18"/>
        <v>0.7</v>
      </c>
    </row>
    <row r="133" spans="2:10" x14ac:dyDescent="0.25">
      <c r="B133" s="3">
        <f t="shared" si="19"/>
        <v>580</v>
      </c>
      <c r="C133" s="14">
        <f t="shared" si="20"/>
        <v>9.6666666666666661</v>
      </c>
      <c r="D133" s="11">
        <f t="shared" si="21"/>
        <v>673.41157960546536</v>
      </c>
      <c r="E133" s="24">
        <f t="shared" si="24"/>
        <v>433.34816704375453</v>
      </c>
      <c r="F133" s="24">
        <f t="shared" si="15"/>
        <v>6001.5853140427707</v>
      </c>
      <c r="G133" s="14">
        <f t="shared" si="16"/>
        <v>21962.081732319184</v>
      </c>
      <c r="H133" s="24">
        <f t="shared" si="25"/>
        <v>623.27273576282983</v>
      </c>
      <c r="I133" s="12">
        <f t="shared" si="17"/>
        <v>3.5846012039454327</v>
      </c>
      <c r="J133" s="3">
        <f t="shared" si="18"/>
        <v>0.7</v>
      </c>
    </row>
    <row r="134" spans="2:10" x14ac:dyDescent="0.25">
      <c r="B134" s="3">
        <f t="shared" si="19"/>
        <v>585</v>
      </c>
      <c r="C134" s="14">
        <f t="shared" si="20"/>
        <v>9.75</v>
      </c>
      <c r="D134" s="11">
        <f t="shared" si="21"/>
        <v>674.68134649520221</v>
      </c>
      <c r="E134" s="24">
        <f t="shared" si="24"/>
        <v>436.93276824769998</v>
      </c>
      <c r="F134" s="24">
        <f t="shared" si="15"/>
        <v>5943.7144561875557</v>
      </c>
      <c r="G134" s="14">
        <f t="shared" si="16"/>
        <v>21931.222318772088</v>
      </c>
      <c r="H134" s="24">
        <f t="shared" si="25"/>
        <v>625.29188742111739</v>
      </c>
      <c r="I134" s="12">
        <f t="shared" si="17"/>
        <v>3.5616886337935281</v>
      </c>
      <c r="J134" s="3">
        <f t="shared" si="18"/>
        <v>0.7</v>
      </c>
    </row>
    <row r="135" spans="2:10" x14ac:dyDescent="0.25">
      <c r="B135" s="3">
        <f t="shared" si="19"/>
        <v>590</v>
      </c>
      <c r="C135" s="14">
        <f t="shared" si="20"/>
        <v>9.8333333333333339</v>
      </c>
      <c r="D135" s="11">
        <f t="shared" si="21"/>
        <v>675.94044294882394</v>
      </c>
      <c r="E135" s="24">
        <f t="shared" si="24"/>
        <v>440.49445688149353</v>
      </c>
      <c r="F135" s="24">
        <f t="shared" si="15"/>
        <v>5886.1496516832603</v>
      </c>
      <c r="G135" s="14">
        <f t="shared" si="16"/>
        <v>21897.84181954138</v>
      </c>
      <c r="H135" s="24">
        <f t="shared" si="25"/>
        <v>627.32918326207118</v>
      </c>
      <c r="I135" s="12">
        <f t="shared" si="17"/>
        <v>3.5385391028182247</v>
      </c>
      <c r="J135" s="3">
        <f t="shared" si="18"/>
        <v>0.7</v>
      </c>
    </row>
    <row r="136" spans="2:10" x14ac:dyDescent="0.25">
      <c r="B136" s="3">
        <f t="shared" si="19"/>
        <v>595</v>
      </c>
      <c r="C136" s="14">
        <f t="shared" si="20"/>
        <v>9.9166666666666661</v>
      </c>
      <c r="D136" s="11">
        <f t="shared" si="21"/>
        <v>677.18904681004608</v>
      </c>
      <c r="E136" s="24">
        <f t="shared" si="24"/>
        <v>444.03299598431175</v>
      </c>
      <c r="F136" s="24">
        <f t="shared" si="15"/>
        <v>5828.9012706433577</v>
      </c>
      <c r="G136" s="14">
        <f t="shared" si="16"/>
        <v>21861.991297210549</v>
      </c>
      <c r="H136" s="24">
        <f t="shared" si="25"/>
        <v>629.38448329962671</v>
      </c>
      <c r="I136" s="12">
        <f t="shared" si="17"/>
        <v>3.5151654945003443</v>
      </c>
      <c r="J136" s="3">
        <f t="shared" si="18"/>
        <v>0.7</v>
      </c>
    </row>
    <row r="137" spans="2:10" x14ac:dyDescent="0.25">
      <c r="B137" s="3">
        <f t="shared" si="19"/>
        <v>600</v>
      </c>
      <c r="C137" s="14">
        <f t="shared" si="20"/>
        <v>10</v>
      </c>
      <c r="D137" s="11">
        <f t="shared" si="21"/>
        <v>678.42733151313416</v>
      </c>
      <c r="E137" s="24">
        <f t="shared" si="24"/>
        <v>447.54816147881212</v>
      </c>
      <c r="F137" s="24">
        <f t="shared" si="15"/>
        <v>5771.9792508580513</v>
      </c>
      <c r="G137" s="14">
        <f t="shared" si="16"/>
        <v>21823.72234776149</v>
      </c>
      <c r="H137" s="24">
        <f t="shared" si="25"/>
        <v>631.45762751745701</v>
      </c>
      <c r="I137" s="12">
        <f t="shared" si="17"/>
        <v>3.4915806665761973</v>
      </c>
      <c r="J137" s="3">
        <f t="shared" si="18"/>
        <v>0.7</v>
      </c>
    </row>
    <row r="138" spans="2:10" x14ac:dyDescent="0.25">
      <c r="B138" s="3">
        <f t="shared" si="19"/>
        <v>605</v>
      </c>
      <c r="C138" s="14">
        <f t="shared" si="20"/>
        <v>10.083333333333334</v>
      </c>
      <c r="D138" s="11">
        <f t="shared" si="21"/>
        <v>679.65546622748013</v>
      </c>
      <c r="E138" s="24">
        <f t="shared" si="24"/>
        <v>451.03974214538829</v>
      </c>
      <c r="F138" s="24">
        <f t="shared" si="15"/>
        <v>5715.3931020522959</v>
      </c>
      <c r="G138" s="14">
        <f t="shared" si="16"/>
        <v>21783.087047617559</v>
      </c>
      <c r="H138" s="24">
        <f t="shared" si="25"/>
        <v>633.54843656526236</v>
      </c>
      <c r="I138" s="12">
        <f t="shared" si="17"/>
        <v>3.4677974336223025</v>
      </c>
      <c r="J138" s="3">
        <f t="shared" si="18"/>
        <v>0.7</v>
      </c>
    </row>
    <row r="139" spans="2:10" x14ac:dyDescent="0.25">
      <c r="B139" s="3">
        <f t="shared" si="19"/>
        <v>610</v>
      </c>
      <c r="C139" s="14">
        <f t="shared" si="20"/>
        <v>10.166666666666666</v>
      </c>
      <c r="D139" s="11">
        <f t="shared" si="21"/>
        <v>680.87361599630106</v>
      </c>
      <c r="E139" s="24">
        <f t="shared" si="24"/>
        <v>454.5075395790106</v>
      </c>
      <c r="F139" s="24">
        <f t="shared" si="15"/>
        <v>5659.1519104322615</v>
      </c>
      <c r="G139" s="14">
        <f t="shared" si="16"/>
        <v>21740.137900374124</v>
      </c>
      <c r="H139" s="24">
        <f t="shared" si="25"/>
        <v>635.65671247652733</v>
      </c>
      <c r="I139" s="12">
        <f t="shared" si="17"/>
        <v>3.4438285500045809</v>
      </c>
      <c r="J139" s="3">
        <f t="shared" si="18"/>
        <v>0.7</v>
      </c>
    </row>
    <row r="140" spans="2:10" x14ac:dyDescent="0.25">
      <c r="B140" s="3">
        <f t="shared" si="19"/>
        <v>615</v>
      </c>
      <c r="C140" s="14">
        <f t="shared" si="20"/>
        <v>10.25</v>
      </c>
      <c r="D140" s="11">
        <f t="shared" si="21"/>
        <v>682.08194186974549</v>
      </c>
      <c r="E140" s="24">
        <f t="shared" si="24"/>
        <v>457.95136812901518</v>
      </c>
      <c r="F140" s="24">
        <f t="shared" si="15"/>
        <v>5603.2643435182581</v>
      </c>
      <c r="G140" s="14">
        <f t="shared" si="16"/>
        <v>21694.927783381645</v>
      </c>
      <c r="H140" s="24">
        <f t="shared" si="25"/>
        <v>637.78223940504529</v>
      </c>
      <c r="I140" s="12">
        <f t="shared" si="17"/>
        <v>3.4196866932518271</v>
      </c>
      <c r="J140" s="3">
        <f t="shared" si="18"/>
        <v>0.7</v>
      </c>
    </row>
    <row r="141" spans="2:10" x14ac:dyDescent="0.25">
      <c r="B141" s="3">
        <f t="shared" si="19"/>
        <v>620</v>
      </c>
      <c r="C141" s="14">
        <f t="shared" si="20"/>
        <v>10.333333333333334</v>
      </c>
      <c r="D141" s="11">
        <f t="shared" si="21"/>
        <v>683.28060103267455</v>
      </c>
      <c r="E141" s="24">
        <f t="shared" si="24"/>
        <v>461.37105482226701</v>
      </c>
      <c r="F141" s="24">
        <f t="shared" si="15"/>
        <v>5547.7386552601884</v>
      </c>
      <c r="G141" s="14">
        <f t="shared" si="16"/>
        <v>21647.509894341809</v>
      </c>
      <c r="H141" s="24">
        <f t="shared" si="25"/>
        <v>639.9247843775247</v>
      </c>
      <c r="I141" s="12">
        <f t="shared" si="17"/>
        <v>3.3953844479086115</v>
      </c>
      <c r="J141" s="3">
        <f t="shared" si="18"/>
        <v>0.7</v>
      </c>
    </row>
    <row r="142" spans="2:10" x14ac:dyDescent="0.25">
      <c r="B142" s="3">
        <f t="shared" si="19"/>
        <v>625</v>
      </c>
      <c r="C142" s="14">
        <f t="shared" si="20"/>
        <v>10.416666666666666</v>
      </c>
      <c r="D142" s="11">
        <f t="shared" si="21"/>
        <v>684.46974692737354</v>
      </c>
      <c r="E142" s="24">
        <f t="shared" si="24"/>
        <v>464.76643927017562</v>
      </c>
      <c r="F142" s="24">
        <f t="shared" si="15"/>
        <v>5492.5826914299478</v>
      </c>
      <c r="G142" s="14">
        <f t="shared" si="16"/>
        <v>21597.937698072154</v>
      </c>
      <c r="H142" s="24">
        <f t="shared" si="25"/>
        <v>642.08409805963583</v>
      </c>
      <c r="I142" s="12">
        <f t="shared" si="17"/>
        <v>3.3709342899180137</v>
      </c>
      <c r="J142" s="3">
        <f t="shared" si="18"/>
        <v>0.7</v>
      </c>
    </row>
    <row r="143" spans="2:10" x14ac:dyDescent="0.25">
      <c r="B143" s="3">
        <f t="shared" si="19"/>
        <v>630</v>
      </c>
      <c r="C143" s="14">
        <f t="shared" si="20"/>
        <v>10.5</v>
      </c>
      <c r="D143" s="11">
        <f t="shared" si="21"/>
        <v>685.64952937143096</v>
      </c>
      <c r="E143" s="24">
        <f t="shared" si="24"/>
        <v>468.13737356009364</v>
      </c>
      <c r="F143" s="24">
        <f t="shared" si="15"/>
        <v>5437.8038952834331</v>
      </c>
      <c r="G143" s="14">
        <f t="shared" si="16"/>
        <v>21546.264873588174</v>
      </c>
      <c r="H143" s="24">
        <f t="shared" si="25"/>
        <v>644.25991553289668</v>
      </c>
      <c r="I143" s="12">
        <f t="shared" si="17"/>
        <v>3.3463485715795684</v>
      </c>
      <c r="J143" s="3">
        <f t="shared" si="18"/>
        <v>0.7</v>
      </c>
    </row>
    <row r="144" spans="2:10" x14ac:dyDescent="0.25">
      <c r="B144" s="3">
        <f t="shared" si="19"/>
        <v>635</v>
      </c>
      <c r="C144" s="14">
        <f t="shared" si="20"/>
        <v>10.583333333333334</v>
      </c>
      <c r="D144" s="11">
        <f t="shared" si="21"/>
        <v>686.82009467101307</v>
      </c>
      <c r="E144" s="24">
        <f t="shared" si="24"/>
        <v>471.48372213167318</v>
      </c>
      <c r="F144" s="24">
        <f t="shared" si="15"/>
        <v>5383.4093134834975</v>
      </c>
      <c r="G144" s="14">
        <f t="shared" si="16"/>
        <v>21492.545261646104</v>
      </c>
      <c r="H144" s="24">
        <f t="shared" si="25"/>
        <v>646.45195707985636</v>
      </c>
      <c r="I144" s="12">
        <f t="shared" si="17"/>
        <v>3.3216395071229901</v>
      </c>
      <c r="J144" s="3">
        <f t="shared" si="18"/>
        <v>0.7</v>
      </c>
    </row>
    <row r="145" spans="2:10" x14ac:dyDescent="0.25">
      <c r="B145" s="3">
        <f t="shared" si="19"/>
        <v>640</v>
      </c>
      <c r="C145" s="14">
        <f t="shared" si="20"/>
        <v>10.666666666666666</v>
      </c>
      <c r="D145" s="11">
        <f t="shared" si="21"/>
        <v>687.9815857297483</v>
      </c>
      <c r="E145" s="24">
        <f t="shared" si="24"/>
        <v>474.80536163879617</v>
      </c>
      <c r="F145" s="24">
        <f t="shared" ref="F145:F208" si="26">AlphaC*(D145-E145)</f>
        <v>5329.4056022738032</v>
      </c>
      <c r="G145" s="14">
        <f t="shared" ref="G145:G208" si="27">Phi*EpsilonF*Botzman/10^8*J145*((D145+273)^4-(E145+273)^4)</f>
        <v>21436.832812882301</v>
      </c>
      <c r="H145" s="24">
        <f t="shared" si="25"/>
        <v>648.65992897509921</v>
      </c>
      <c r="I145" s="12">
        <f t="shared" ref="I145:I208" si="28">ksh*Massivete/(H145*RhoA)*DeltaT*(F145+G145)</f>
        <v>3.2968191589332374</v>
      </c>
      <c r="J145" s="3">
        <f t="shared" ref="J145:J208" si="29">IF(E145&lt;=500,IF(Galva=Oui,0.35,0.7),0.7)</f>
        <v>0.7</v>
      </c>
    </row>
    <row r="146" spans="2:10" x14ac:dyDescent="0.25">
      <c r="B146" s="3">
        <f t="shared" ref="B146:B209" si="30">B145+DeltaT</f>
        <v>645</v>
      </c>
      <c r="C146" s="14">
        <f t="shared" ref="C146:C209" si="31">B146/60</f>
        <v>10.75</v>
      </c>
      <c r="D146" s="11">
        <f t="shared" ref="D146:D209" si="32">20+345*LOG(8*C146+1,10)</f>
        <v>689.13414215342334</v>
      </c>
      <c r="E146" s="24">
        <f t="shared" si="24"/>
        <v>478.10218079772943</v>
      </c>
      <c r="F146" s="24">
        <f t="shared" si="26"/>
        <v>5275.7990338923473</v>
      </c>
      <c r="G146" s="14">
        <f t="shared" si="27"/>
        <v>21379.181536678283</v>
      </c>
      <c r="H146" s="24">
        <f t="shared" si="25"/>
        <v>650.88352427967493</v>
      </c>
      <c r="I146" s="12">
        <f t="shared" si="28"/>
        <v>3.2718994244575694</v>
      </c>
      <c r="J146" s="3">
        <f t="shared" si="29"/>
        <v>0.7</v>
      </c>
    </row>
    <row r="147" spans="2:10" x14ac:dyDescent="0.25">
      <c r="B147" s="3">
        <f t="shared" si="30"/>
        <v>650</v>
      </c>
      <c r="C147" s="14">
        <f t="shared" si="31"/>
        <v>10.833333333333334</v>
      </c>
      <c r="D147" s="11">
        <f t="shared" si="32"/>
        <v>690.2779003506829</v>
      </c>
      <c r="E147" s="24">
        <f t="shared" si="24"/>
        <v>481.37408022218699</v>
      </c>
      <c r="F147" s="24">
        <f t="shared" si="26"/>
        <v>5222.5955032123975</v>
      </c>
      <c r="G147" s="14">
        <f t="shared" si="27"/>
        <v>21319.645450872675</v>
      </c>
      <c r="H147" s="24">
        <f t="shared" si="25"/>
        <v>653.1224236366329</v>
      </c>
      <c r="I147" s="12">
        <f t="shared" si="28"/>
        <v>3.2468920238204166</v>
      </c>
      <c r="J147" s="3">
        <f t="shared" si="29"/>
        <v>0.7</v>
      </c>
    </row>
    <row r="148" spans="2:10" x14ac:dyDescent="0.25">
      <c r="B148" s="3">
        <f t="shared" si="30"/>
        <v>655</v>
      </c>
      <c r="C148" s="14">
        <f t="shared" si="31"/>
        <v>10.916666666666666</v>
      </c>
      <c r="D148" s="11">
        <f t="shared" si="32"/>
        <v>691.41299362991504</v>
      </c>
      <c r="E148" s="24">
        <f t="shared" si="24"/>
        <v>484.6209722460074</v>
      </c>
      <c r="F148" s="24">
        <f t="shared" si="26"/>
        <v>5169.8005345976908</v>
      </c>
      <c r="G148" s="14">
        <f t="shared" si="27"/>
        <v>21258.278532433516</v>
      </c>
      <c r="H148" s="24">
        <f t="shared" si="25"/>
        <v>655.37629606544272</v>
      </c>
      <c r="I148" s="12">
        <f t="shared" si="28"/>
        <v>3.2218084881670994</v>
      </c>
      <c r="J148" s="3">
        <f t="shared" si="29"/>
        <v>0.7</v>
      </c>
    </row>
    <row r="149" spans="2:10" x14ac:dyDescent="0.25">
      <c r="B149" s="3">
        <f t="shared" si="30"/>
        <v>660</v>
      </c>
      <c r="C149" s="14">
        <f t="shared" si="31"/>
        <v>11</v>
      </c>
      <c r="D149" s="11">
        <f t="shared" si="32"/>
        <v>692.53955229249482</v>
      </c>
      <c r="E149" s="24">
        <f t="shared" si="24"/>
        <v>487.84278073417448</v>
      </c>
      <c r="F149" s="24">
        <f t="shared" si="26"/>
        <v>5117.4192889580081</v>
      </c>
      <c r="G149" s="14">
        <f t="shared" si="27"/>
        <v>21195.134669196945</v>
      </c>
      <c r="H149" s="24">
        <f t="shared" si="25"/>
        <v>657.64479975317113</v>
      </c>
      <c r="I149" s="12">
        <f t="shared" si="28"/>
        <v>3.1966601487528905</v>
      </c>
      <c r="J149" s="3">
        <f t="shared" si="29"/>
        <v>0.7</v>
      </c>
    </row>
    <row r="150" spans="2:10" x14ac:dyDescent="0.25">
      <c r="B150" s="3">
        <f t="shared" si="30"/>
        <v>665</v>
      </c>
      <c r="C150" s="14">
        <f t="shared" si="31"/>
        <v>11.083333333333334</v>
      </c>
      <c r="D150" s="11">
        <f t="shared" si="32"/>
        <v>693.65770372254713</v>
      </c>
      <c r="E150" s="24">
        <f t="shared" si="24"/>
        <v>491.03944088292735</v>
      </c>
      <c r="F150" s="24">
        <f t="shared" si="26"/>
        <v>5065.4565709904946</v>
      </c>
      <c r="G150" s="14">
        <f t="shared" si="27"/>
        <v>21130.267612769127</v>
      </c>
      <c r="H150" s="24">
        <f t="shared" si="25"/>
        <v>659.92758284039542</v>
      </c>
      <c r="I150" s="12">
        <f t="shared" si="28"/>
        <v>3.1714581267893385</v>
      </c>
      <c r="J150" s="3">
        <f t="shared" si="29"/>
        <v>0.7</v>
      </c>
    </row>
    <row r="151" spans="2:10" x14ac:dyDescent="0.25">
      <c r="B151" s="3">
        <f t="shared" si="30"/>
        <v>670</v>
      </c>
      <c r="C151" s="14">
        <f t="shared" si="31"/>
        <v>11.166666666666666</v>
      </c>
      <c r="D151" s="11">
        <f t="shared" si="32"/>
        <v>694.76757247338639</v>
      </c>
      <c r="E151" s="24">
        <f t="shared" si="24"/>
        <v>494.21089900971668</v>
      </c>
      <c r="F151" s="24">
        <f t="shared" si="26"/>
        <v>5013.916836591743</v>
      </c>
      <c r="G151" s="14">
        <f t="shared" si="27"/>
        <v>21063.730932681134</v>
      </c>
      <c r="H151" s="24">
        <f t="shared" si="25"/>
        <v>662.22428419993503</v>
      </c>
      <c r="I151" s="12">
        <f t="shared" si="28"/>
        <v>3.1462133240555836</v>
      </c>
      <c r="J151" s="3">
        <f t="shared" si="29"/>
        <v>0.7</v>
      </c>
    </row>
    <row r="152" spans="2:10" x14ac:dyDescent="0.25">
      <c r="B152" s="3">
        <f t="shared" si="30"/>
        <v>675</v>
      </c>
      <c r="C152" s="14">
        <f t="shared" si="31"/>
        <v>11.25</v>
      </c>
      <c r="D152" s="11">
        <f t="shared" si="32"/>
        <v>695.8692803507771</v>
      </c>
      <c r="E152" s="24">
        <f t="shared" si="24"/>
        <v>497.35711233377225</v>
      </c>
      <c r="F152" s="24">
        <f t="shared" si="26"/>
        <v>4962.8042004251211</v>
      </c>
      <c r="G152" s="14">
        <f t="shared" si="27"/>
        <v>20995.577971877607</v>
      </c>
      <c r="H152" s="24">
        <f t="shared" si="25"/>
        <v>664.5345342065998</v>
      </c>
      <c r="I152" s="12">
        <f t="shared" si="28"/>
        <v>3.120936414278261</v>
      </c>
      <c r="J152" s="3">
        <f t="shared" si="29"/>
        <v>0.7</v>
      </c>
    </row>
    <row r="153" spans="2:10" x14ac:dyDescent="0.25">
      <c r="B153" s="3">
        <f t="shared" si="30"/>
        <v>680</v>
      </c>
      <c r="C153" s="14">
        <f t="shared" si="31"/>
        <v>11.333333333333334</v>
      </c>
      <c r="D153" s="11">
        <f t="shared" si="32"/>
        <v>696.96294649315701</v>
      </c>
      <c r="E153" s="24">
        <f t="shared" si="24"/>
        <v>500.47804874805053</v>
      </c>
      <c r="F153" s="24">
        <f t="shared" si="26"/>
        <v>4912.1224436276616</v>
      </c>
      <c r="G153" s="14">
        <f t="shared" si="27"/>
        <v>20925.861803611984</v>
      </c>
      <c r="H153" s="24">
        <f t="shared" si="25"/>
        <v>666.85795549626721</v>
      </c>
      <c r="I153" s="12">
        <f t="shared" si="28"/>
        <v>3.0956378352797098</v>
      </c>
      <c r="J153" s="3">
        <f t="shared" si="29"/>
        <v>0.7</v>
      </c>
    </row>
    <row r="154" spans="2:10" x14ac:dyDescent="0.25">
      <c r="B154" s="3">
        <f t="shared" si="30"/>
        <v>685</v>
      </c>
      <c r="C154" s="14">
        <f t="shared" si="31"/>
        <v>11.416666666666666</v>
      </c>
      <c r="D154" s="11">
        <f t="shared" si="32"/>
        <v>698.04868744895111</v>
      </c>
      <c r="E154" s="24">
        <f t="shared" si="24"/>
        <v>503.57368658333024</v>
      </c>
      <c r="F154" s="24">
        <f t="shared" si="26"/>
        <v>4861.8750216405215</v>
      </c>
      <c r="G154" s="14">
        <f t="shared" si="27"/>
        <v>20854.635189812634</v>
      </c>
      <c r="H154" s="24">
        <f t="shared" si="25"/>
        <v>669.19416371271109</v>
      </c>
      <c r="I154" s="12">
        <f t="shared" si="28"/>
        <v>3.070327781890565</v>
      </c>
      <c r="J154" s="3">
        <f t="shared" si="29"/>
        <v>0.7</v>
      </c>
    </row>
    <row r="155" spans="2:10" x14ac:dyDescent="0.25">
      <c r="B155" s="3">
        <f t="shared" si="30"/>
        <v>690</v>
      </c>
      <c r="C155" s="14">
        <f t="shared" si="31"/>
        <v>11.5</v>
      </c>
      <c r="D155" s="11">
        <f t="shared" si="32"/>
        <v>699.12661725110763</v>
      </c>
      <c r="E155" s="24">
        <f t="shared" si="24"/>
        <v>506.64401436522081</v>
      </c>
      <c r="F155" s="24">
        <f t="shared" si="26"/>
        <v>4812.0650721471702</v>
      </c>
      <c r="G155" s="14">
        <f t="shared" si="27"/>
        <v>20781.950540977155</v>
      </c>
      <c r="H155" s="24">
        <f t="shared" si="25"/>
        <v>671.54276824073065</v>
      </c>
      <c r="I155" s="12">
        <f t="shared" si="28"/>
        <v>3.0450161996194991</v>
      </c>
      <c r="J155" s="3">
        <f t="shared" si="29"/>
        <v>0.7</v>
      </c>
    </row>
    <row r="156" spans="2:10" x14ac:dyDescent="0.25">
      <c r="B156" s="3">
        <f t="shared" si="30"/>
        <v>695</v>
      </c>
      <c r="C156" s="14">
        <f t="shared" si="31"/>
        <v>11.583333333333334</v>
      </c>
      <c r="D156" s="11">
        <f t="shared" si="32"/>
        <v>700.19684748896907</v>
      </c>
      <c r="E156" s="24">
        <f t="shared" si="24"/>
        <v>509.68903056484032</v>
      </c>
      <c r="F156" s="24">
        <f t="shared" si="26"/>
        <v>4762.6954231032187</v>
      </c>
      <c r="G156" s="14">
        <f t="shared" si="27"/>
        <v>20707.85987764247</v>
      </c>
      <c r="H156" s="24">
        <f t="shared" si="25"/>
        <v>673.90337292424056</v>
      </c>
      <c r="I156" s="12">
        <f t="shared" si="28"/>
        <v>3.0197127790695322</v>
      </c>
      <c r="J156" s="3">
        <f t="shared" si="29"/>
        <v>0.7</v>
      </c>
    </row>
    <row r="157" spans="2:10" x14ac:dyDescent="0.25">
      <c r="B157" s="3">
        <f t="shared" si="30"/>
        <v>700</v>
      </c>
      <c r="C157" s="14">
        <f t="shared" si="31"/>
        <v>11.666666666666666</v>
      </c>
      <c r="D157" s="11">
        <f t="shared" si="32"/>
        <v>701.25948737759654</v>
      </c>
      <c r="E157" s="24">
        <f t="shared" si="24"/>
        <v>512.70874334390987</v>
      </c>
      <c r="F157" s="24">
        <f t="shared" si="26"/>
        <v>4713.768600842167</v>
      </c>
      <c r="G157" s="14">
        <f t="shared" si="27"/>
        <v>20632.414793472712</v>
      </c>
      <c r="H157" s="24">
        <f t="shared" si="25"/>
        <v>676.27557676810238</v>
      </c>
      <c r="I157" s="12">
        <f t="shared" si="28"/>
        <v>2.9944269510877097</v>
      </c>
      <c r="J157" s="3">
        <f t="shared" si="29"/>
        <v>0.7</v>
      </c>
    </row>
    <row r="158" spans="2:10" x14ac:dyDescent="0.25">
      <c r="B158" s="3">
        <f t="shared" si="30"/>
        <v>705</v>
      </c>
      <c r="C158" s="14">
        <f t="shared" si="31"/>
        <v>11.75</v>
      </c>
      <c r="D158" s="11">
        <f t="shared" si="32"/>
        <v>702.31464382465242</v>
      </c>
      <c r="E158" s="24">
        <f t="shared" si="24"/>
        <v>515.70317029499756</v>
      </c>
      <c r="F158" s="24">
        <f t="shared" si="26"/>
        <v>4665.2868382413717</v>
      </c>
      <c r="G158" s="14">
        <f t="shared" si="27"/>
        <v>20555.666419997535</v>
      </c>
      <c r="H158" s="24">
        <f t="shared" si="25"/>
        <v>678.6589746225942</v>
      </c>
      <c r="I158" s="12">
        <f t="shared" si="28"/>
        <v>2.9691678826320622</v>
      </c>
      <c r="J158" s="3">
        <f t="shared" si="29"/>
        <v>0.7</v>
      </c>
    </row>
    <row r="159" spans="2:10" x14ac:dyDescent="0.25">
      <c r="B159" s="3">
        <f t="shared" si="30"/>
        <v>710</v>
      </c>
      <c r="C159" s="14">
        <f t="shared" si="31"/>
        <v>11.833333333333334</v>
      </c>
      <c r="D159" s="11">
        <f t="shared" si="32"/>
        <v>703.36242149494376</v>
      </c>
      <c r="E159" s="24">
        <f t="shared" si="24"/>
        <v>518.67233817762963</v>
      </c>
      <c r="F159" s="24">
        <f t="shared" si="26"/>
        <v>4617.2520829328532</v>
      </c>
      <c r="G159" s="14">
        <f t="shared" si="27"/>
        <v>20477.665393027422</v>
      </c>
      <c r="H159" s="24">
        <f t="shared" si="25"/>
        <v>681.05315784953177</v>
      </c>
      <c r="I159" s="12">
        <f t="shared" si="28"/>
        <v>2.9439444733375391</v>
      </c>
      <c r="J159" s="3">
        <f t="shared" si="29"/>
        <v>0.7</v>
      </c>
    </row>
    <row r="160" spans="2:10" x14ac:dyDescent="0.25">
      <c r="B160" s="3">
        <f t="shared" si="30"/>
        <v>715</v>
      </c>
      <c r="C160" s="14">
        <f t="shared" si="31"/>
        <v>11.916666666666666</v>
      </c>
      <c r="D160" s="11">
        <f t="shared" si="32"/>
        <v>704.40292287272541</v>
      </c>
      <c r="E160" s="24">
        <f t="shared" si="24"/>
        <v>521.61628265096715</v>
      </c>
      <c r="F160" s="24">
        <f t="shared" si="26"/>
        <v>4569.666005543957</v>
      </c>
      <c r="G160" s="14">
        <f t="shared" si="27"/>
        <v>20398.461820765231</v>
      </c>
      <c r="H160" s="24">
        <f t="shared" si="25"/>
        <v>683.45771496916518</v>
      </c>
      <c r="I160" s="12">
        <f t="shared" si="28"/>
        <v>2.9187653527604738</v>
      </c>
      <c r="J160" s="3">
        <f t="shared" si="29"/>
        <v>0.7</v>
      </c>
    </row>
    <row r="161" spans="2:10" x14ac:dyDescent="0.25">
      <c r="B161" s="3">
        <f t="shared" si="30"/>
        <v>720</v>
      </c>
      <c r="C161" s="14">
        <f t="shared" si="31"/>
        <v>12</v>
      </c>
      <c r="D161" s="11">
        <f t="shared" si="32"/>
        <v>705.43624832185446</v>
      </c>
      <c r="E161" s="24">
        <f t="shared" si="24"/>
        <v>524.53504800372764</v>
      </c>
      <c r="F161" s="24">
        <f t="shared" si="26"/>
        <v>4522.5300079531708</v>
      </c>
      <c r="G161" s="14">
        <f t="shared" si="27"/>
        <v>20318.105253626505</v>
      </c>
      <c r="H161" s="24">
        <f t="shared" si="25"/>
        <v>685.87223228708785</v>
      </c>
      <c r="I161" s="12">
        <f t="shared" si="28"/>
        <v>2.8936388782792353</v>
      </c>
      <c r="J161" s="3">
        <f t="shared" si="29"/>
        <v>0.7</v>
      </c>
    </row>
    <row r="162" spans="2:10" x14ac:dyDescent="0.25">
      <c r="B162" s="3">
        <f t="shared" si="30"/>
        <v>725</v>
      </c>
      <c r="C162" s="14">
        <f t="shared" si="31"/>
        <v>12.083333333333334</v>
      </c>
      <c r="D162" s="11">
        <f t="shared" si="32"/>
        <v>706.46249614388421</v>
      </c>
      <c r="E162" s="24">
        <f t="shared" si="24"/>
        <v>527.4286868820069</v>
      </c>
      <c r="F162" s="24">
        <f t="shared" si="26"/>
        <v>4475.8452315469331</v>
      </c>
      <c r="G162" s="14">
        <f t="shared" si="27"/>
        <v>20236.644655774748</v>
      </c>
      <c r="H162" s="24">
        <f t="shared" si="25"/>
        <v>688.29629450050038</v>
      </c>
      <c r="I162" s="12">
        <f t="shared" si="28"/>
        <v>2.8685731336271565</v>
      </c>
      <c r="J162" s="3">
        <f t="shared" si="29"/>
        <v>0.7</v>
      </c>
    </row>
    <row r="163" spans="2:10" x14ac:dyDescent="0.25">
      <c r="B163" s="3">
        <f t="shared" si="30"/>
        <v>730</v>
      </c>
      <c r="C163" s="14">
        <f t="shared" si="31"/>
        <v>12.166666666666666</v>
      </c>
      <c r="D163" s="11">
        <f t="shared" si="32"/>
        <v>707.48176263418259</v>
      </c>
      <c r="E163" s="24">
        <f t="shared" si="24"/>
        <v>530.29726001563404</v>
      </c>
      <c r="F163" s="24">
        <f t="shared" si="26"/>
        <v>4429.6125654637135</v>
      </c>
      <c r="G163" s="14">
        <f t="shared" si="27"/>
        <v>20154.128378372039</v>
      </c>
      <c r="H163" s="24">
        <f t="shared" si="25"/>
        <v>690.72948528327743</v>
      </c>
      <c r="I163" s="12">
        <f t="shared" si="28"/>
        <v>2.8435759280324353</v>
      </c>
      <c r="J163" s="3">
        <f t="shared" si="29"/>
        <v>0.7</v>
      </c>
    </row>
    <row r="164" spans="2:10" x14ac:dyDescent="0.25">
      <c r="B164" s="3">
        <f t="shared" si="30"/>
        <v>735</v>
      </c>
      <c r="C164" s="14">
        <f t="shared" si="31"/>
        <v>12.25</v>
      </c>
      <c r="D164" s="11">
        <f t="shared" si="32"/>
        <v>708.49414213615466</v>
      </c>
      <c r="E164" s="24">
        <f t="shared" si="24"/>
        <v>533.1408359436665</v>
      </c>
      <c r="F164" s="24">
        <f t="shared" si="26"/>
        <v>4383.8326548122041</v>
      </c>
      <c r="G164" s="14">
        <f t="shared" si="27"/>
        <v>20070.604134539393</v>
      </c>
      <c r="H164" s="24">
        <f t="shared" si="25"/>
        <v>693.17138784938413</v>
      </c>
      <c r="I164" s="12">
        <f t="shared" si="28"/>
        <v>2.8186547959385959</v>
      </c>
      <c r="J164" s="3">
        <f t="shared" si="29"/>
        <v>0.7</v>
      </c>
    </row>
    <row r="165" spans="2:10" x14ac:dyDescent="0.25">
      <c r="B165" s="3">
        <f t="shared" si="30"/>
        <v>740</v>
      </c>
      <c r="C165" s="14">
        <f t="shared" si="31"/>
        <v>12.333333333333334</v>
      </c>
      <c r="D165" s="11">
        <f t="shared" si="32"/>
        <v>709.49972709364465</v>
      </c>
      <c r="E165" s="24">
        <f t="shared" si="24"/>
        <v>535.95949073960514</v>
      </c>
      <c r="F165" s="24">
        <f t="shared" si="26"/>
        <v>4338.5059088509879</v>
      </c>
      <c r="G165" s="14">
        <f t="shared" si="27"/>
        <v>19986.118976016194</v>
      </c>
      <c r="H165" s="24">
        <f t="shared" si="25"/>
        <v>695.62158549428648</v>
      </c>
      <c r="I165" s="12">
        <f t="shared" si="28"/>
        <v>2.7938169972781375</v>
      </c>
      <c r="J165" s="3">
        <f t="shared" si="29"/>
        <v>0.7</v>
      </c>
    </row>
    <row r="166" spans="2:10" x14ac:dyDescent="0.25">
      <c r="B166" s="3">
        <f t="shared" si="30"/>
        <v>745</v>
      </c>
      <c r="C166" s="14">
        <f t="shared" si="31"/>
        <v>12.416666666666666</v>
      </c>
      <c r="D166" s="11">
        <f t="shared" si="32"/>
        <v>710.49860810159248</v>
      </c>
      <c r="E166" s="24">
        <f t="shared" si="24"/>
        <v>538.75330773688324</v>
      </c>
      <c r="F166" s="24">
        <f t="shared" si="26"/>
        <v>4293.6325091177314</v>
      </c>
      <c r="G166" s="14">
        <f t="shared" si="27"/>
        <v>19900.719271503141</v>
      </c>
      <c r="H166" s="24">
        <f t="shared" si="25"/>
        <v>698.07966211408893</v>
      </c>
      <c r="I166" s="12">
        <f t="shared" si="28"/>
        <v>2.7690695182713849</v>
      </c>
      <c r="J166" s="3">
        <f t="shared" si="29"/>
        <v>0.7</v>
      </c>
    </row>
    <row r="167" spans="2:10" x14ac:dyDescent="0.25">
      <c r="B167" s="3">
        <f t="shared" si="30"/>
        <v>750</v>
      </c>
      <c r="C167" s="14">
        <f t="shared" si="31"/>
        <v>12.5</v>
      </c>
      <c r="D167" s="11">
        <f t="shared" si="32"/>
        <v>711.49087395501169</v>
      </c>
      <c r="E167" s="24">
        <f t="shared" si="24"/>
        <v>541.52237725515465</v>
      </c>
      <c r="F167" s="24">
        <f t="shared" si="26"/>
        <v>4249.2124174964265</v>
      </c>
      <c r="G167" s="14">
        <f t="shared" si="27"/>
        <v>19814.450686668031</v>
      </c>
      <c r="H167" s="24">
        <f t="shared" si="25"/>
        <v>700.54520270222497</v>
      </c>
      <c r="I167" s="12">
        <f t="shared" si="28"/>
        <v>2.7444190727219331</v>
      </c>
      <c r="J167" s="3">
        <f t="shared" si="29"/>
        <v>0.7</v>
      </c>
    </row>
    <row r="168" spans="2:10" x14ac:dyDescent="0.25">
      <c r="B168" s="3">
        <f t="shared" si="30"/>
        <v>755</v>
      </c>
      <c r="C168" s="14">
        <f t="shared" si="31"/>
        <v>12.583333333333334</v>
      </c>
      <c r="D168" s="11">
        <f t="shared" si="32"/>
        <v>712.47661169635751</v>
      </c>
      <c r="E168" s="24">
        <f t="shared" si="24"/>
        <v>544.26679632787659</v>
      </c>
      <c r="F168" s="24">
        <f t="shared" si="26"/>
        <v>4205.2453842120231</v>
      </c>
      <c r="G168" s="14">
        <f t="shared" si="27"/>
        <v>19727.358165790585</v>
      </c>
      <c r="H168" s="24">
        <f t="shared" si="25"/>
        <v>703.01779382360019</v>
      </c>
      <c r="I168" s="12">
        <f t="shared" si="28"/>
        <v>2.7198721037799349</v>
      </c>
      <c r="J168" s="3">
        <f t="shared" si="29"/>
        <v>0.7</v>
      </c>
    </row>
    <row r="169" spans="2:10" x14ac:dyDescent="0.25">
      <c r="B169" s="3">
        <f t="shared" si="30"/>
        <v>760</v>
      </c>
      <c r="C169" s="14">
        <f t="shared" si="31"/>
        <v>12.666666666666666</v>
      </c>
      <c r="D169" s="11">
        <f t="shared" si="32"/>
        <v>713.45590666134581</v>
      </c>
      <c r="E169" s="24">
        <f t="shared" si="24"/>
        <v>546.98666843165654</v>
      </c>
      <c r="F169" s="24">
        <f t="shared" si="26"/>
        <v>4161.7309557422313</v>
      </c>
      <c r="G169" s="14">
        <f t="shared" si="27"/>
        <v>19639.485915017045</v>
      </c>
      <c r="H169" s="24">
        <f t="shared" si="25"/>
        <v>705.4970240661761</v>
      </c>
      <c r="I169" s="12">
        <f t="shared" si="28"/>
        <v>2.6954347861441317</v>
      </c>
      <c r="J169" s="3">
        <f t="shared" si="29"/>
        <v>0.7</v>
      </c>
    </row>
    <row r="170" spans="2:10" x14ac:dyDescent="0.25">
      <c r="B170" s="3">
        <f t="shared" si="30"/>
        <v>765</v>
      </c>
      <c r="C170" s="14">
        <f t="shared" si="31"/>
        <v>12.75</v>
      </c>
      <c r="D170" s="11">
        <f t="shared" si="32"/>
        <v>714.42884252328429</v>
      </c>
      <c r="E170" s="24">
        <f t="shared" si="24"/>
        <v>549.68210321780066</v>
      </c>
      <c r="F170" s="24">
        <f t="shared" si="26"/>
        <v>4118.6684826370911</v>
      </c>
      <c r="G170" s="14">
        <f t="shared" si="27"/>
        <v>19550.877387193359</v>
      </c>
      <c r="H170" s="24">
        <f t="shared" si="25"/>
        <v>707.98248447004312</v>
      </c>
      <c r="I170" s="12">
        <f t="shared" si="28"/>
        <v>2.671113028673763</v>
      </c>
      <c r="J170" s="3">
        <f t="shared" si="29"/>
        <v>0.7</v>
      </c>
    </row>
    <row r="171" spans="2:10" x14ac:dyDescent="0.25">
      <c r="B171" s="3">
        <f t="shared" si="30"/>
        <v>770</v>
      </c>
      <c r="C171" s="14">
        <f t="shared" si="31"/>
        <v>12.833333333333334</v>
      </c>
      <c r="D171" s="11">
        <f t="shared" si="32"/>
        <v>715.39550133597538</v>
      </c>
      <c r="E171" s="24">
        <f t="shared" si="24"/>
        <v>552.3532162464744</v>
      </c>
      <c r="F171" s="24">
        <f t="shared" si="26"/>
        <v>4076.0571272375246</v>
      </c>
      <c r="G171" s="14">
        <f t="shared" si="27"/>
        <v>19461.575268241773</v>
      </c>
      <c r="H171" s="24">
        <f t="shared" si="25"/>
        <v>710.47376893411047</v>
      </c>
      <c r="I171" s="12">
        <f t="shared" si="28"/>
        <v>2.6469124773815582</v>
      </c>
      <c r="J171" s="3">
        <f t="shared" si="29"/>
        <v>0.7</v>
      </c>
    </row>
    <row r="172" spans="2:10" x14ac:dyDescent="0.25">
      <c r="B172" s="3">
        <f t="shared" si="30"/>
        <v>775</v>
      </c>
      <c r="C172" s="14">
        <f t="shared" si="31"/>
        <v>12.916666666666666</v>
      </c>
      <c r="D172" s="11">
        <f t="shared" si="32"/>
        <v>716.35596357524128</v>
      </c>
      <c r="E172" s="24">
        <f t="shared" si="24"/>
        <v>555.00012872385594</v>
      </c>
      <c r="F172" s="24">
        <f t="shared" si="26"/>
        <v>4033.8958712846334</v>
      </c>
      <c r="G172" s="14">
        <f t="shared" si="27"/>
        <v>19371.621465042474</v>
      </c>
      <c r="H172" s="24">
        <f t="shared" si="25"/>
        <v>712.97047460059628</v>
      </c>
      <c r="I172" s="12">
        <f t="shared" si="28"/>
        <v>2.6228385187792727</v>
      </c>
      <c r="J172" s="3">
        <f t="shared" si="29"/>
        <v>0.7</v>
      </c>
    </row>
    <row r="173" spans="2:10" x14ac:dyDescent="0.25">
      <c r="B173" s="3">
        <f t="shared" si="30"/>
        <v>780</v>
      </c>
      <c r="C173" s="14">
        <f t="shared" si="31"/>
        <v>13</v>
      </c>
      <c r="D173" s="11">
        <f t="shared" si="32"/>
        <v>717.31030817912858</v>
      </c>
      <c r="E173" s="24">
        <f t="shared" si="24"/>
        <v>557.62296724263524</v>
      </c>
      <c r="F173" s="24">
        <f t="shared" si="26"/>
        <v>3992.1835234123337</v>
      </c>
      <c r="G173" s="14">
        <f t="shared" si="27"/>
        <v>19281.057094780608</v>
      </c>
      <c r="H173" s="24">
        <f t="shared" si="25"/>
        <v>715.4722022175614</v>
      </c>
      <c r="I173" s="12">
        <f t="shared" si="28"/>
        <v>2.598896283547822</v>
      </c>
      <c r="J173" s="3">
        <f t="shared" si="29"/>
        <v>0.7</v>
      </c>
    </row>
    <row r="174" spans="2:10" x14ac:dyDescent="0.25">
      <c r="B174" s="3">
        <f t="shared" si="30"/>
        <v>785</v>
      </c>
      <c r="C174" s="14">
        <f t="shared" si="31"/>
        <v>13.083333333333334</v>
      </c>
      <c r="D174" s="11">
        <f t="shared" si="32"/>
        <v>718.25861258684074</v>
      </c>
      <c r="E174" s="24">
        <f t="shared" si="24"/>
        <v>560.22186352618303</v>
      </c>
      <c r="F174" s="24">
        <f t="shared" si="26"/>
        <v>3950.9187265164428</v>
      </c>
      <c r="G174" s="14">
        <f t="shared" si="27"/>
        <v>19189.922475715917</v>
      </c>
      <c r="H174" s="24">
        <f t="shared" si="25"/>
        <v>717.97855647978213</v>
      </c>
      <c r="I174" s="12">
        <f t="shared" si="28"/>
        <v>2.5750906505045075</v>
      </c>
      <c r="J174" s="3">
        <f t="shared" si="29"/>
        <v>0.7</v>
      </c>
    </row>
    <row r="175" spans="2:10" x14ac:dyDescent="0.25">
      <c r="B175" s="3">
        <f t="shared" si="30"/>
        <v>790</v>
      </c>
      <c r="C175" s="14">
        <f t="shared" si="31"/>
        <v>13.166666666666666</v>
      </c>
      <c r="D175" s="11">
        <f t="shared" si="32"/>
        <v>719.20095277644396</v>
      </c>
      <c r="E175" s="24">
        <f t="shared" si="24"/>
        <v>562.79695417668756</v>
      </c>
      <c r="F175" s="24">
        <f t="shared" si="26"/>
        <v>3910.0999649939099</v>
      </c>
      <c r="G175" s="14">
        <f t="shared" si="27"/>
        <v>19098.25711932997</v>
      </c>
      <c r="H175" s="24">
        <f t="shared" si="25"/>
        <v>720.48914634831044</v>
      </c>
      <c r="I175" s="12">
        <f t="shared" si="28"/>
        <v>2.5514262508403736</v>
      </c>
      <c r="J175" s="3">
        <f t="shared" si="29"/>
        <v>0.7</v>
      </c>
    </row>
    <row r="176" spans="2:10" x14ac:dyDescent="0.25">
      <c r="B176" s="3">
        <f t="shared" si="30"/>
        <v>795</v>
      </c>
      <c r="C176" s="14">
        <f t="shared" si="31"/>
        <v>13.25</v>
      </c>
      <c r="D176" s="11">
        <f t="shared" si="32"/>
        <v>720.13740330139717</v>
      </c>
      <c r="E176" s="24">
        <f t="shared" si="24"/>
        <v>565.3483804275279</v>
      </c>
      <c r="F176" s="24">
        <f t="shared" si="26"/>
        <v>3869.7255718467318</v>
      </c>
      <c r="G176" s="14">
        <f t="shared" si="27"/>
        <v>19006.099723806168</v>
      </c>
      <c r="H176" s="24">
        <f t="shared" si="25"/>
        <v>723.00358534910617</v>
      </c>
      <c r="I176" s="12">
        <f t="shared" si="28"/>
        <v>2.5279074726017456</v>
      </c>
      <c r="J176" s="3">
        <f t="shared" si="29"/>
        <v>0.7</v>
      </c>
    </row>
    <row r="177" spans="2:10" x14ac:dyDescent="0.25">
      <c r="B177" s="3">
        <f t="shared" si="30"/>
        <v>800</v>
      </c>
      <c r="C177" s="14">
        <f t="shared" si="31"/>
        <v>13.333333333333334</v>
      </c>
      <c r="D177" s="11">
        <f t="shared" si="32"/>
        <v>721.06803732594688</v>
      </c>
      <c r="E177" s="24">
        <f t="shared" si="24"/>
        <v>567.87628790012968</v>
      </c>
      <c r="F177" s="24">
        <f t="shared" si="26"/>
        <v>3829.7937356454299</v>
      </c>
      <c r="G177" s="14">
        <f t="shared" si="27"/>
        <v>18913.488168794207</v>
      </c>
      <c r="H177" s="24">
        <f t="shared" si="25"/>
        <v>725.5214918511715</v>
      </c>
      <c r="I177" s="12">
        <f t="shared" si="28"/>
        <v>2.5045384653904748</v>
      </c>
      <c r="J177" s="3">
        <f t="shared" si="29"/>
        <v>0.7</v>
      </c>
    </row>
    <row r="178" spans="2:10" x14ac:dyDescent="0.25">
      <c r="B178" s="3">
        <f t="shared" si="30"/>
        <v>805</v>
      </c>
      <c r="C178" s="14">
        <f t="shared" si="31"/>
        <v>13.416666666666666</v>
      </c>
      <c r="D178" s="11">
        <f t="shared" si="32"/>
        <v>721.99292665942812</v>
      </c>
      <c r="E178" s="24">
        <f t="shared" ref="E178:E241" si="33">E177+I177</f>
        <v>570.38082636552019</v>
      </c>
      <c r="F178" s="24">
        <f t="shared" si="26"/>
        <v>3790.3025073476983</v>
      </c>
      <c r="G178" s="14">
        <f t="shared" si="27"/>
        <v>18820.459511411216</v>
      </c>
      <c r="H178" s="24">
        <f t="shared" ref="H178:H241" si="34">IF(E178&lt;600,425+0.773*E178-1.69/1000*E178^2+2.22/1000^2*E178^3,IF(E178&lt;735,666+13002/(738-E178),IF(E178&lt;900,545+17820/(E178-731),650)))</f>
        <v>728.04248932464884</v>
      </c>
      <c r="I178" s="12">
        <f t="shared" si="28"/>
        <v>2.481323145258489</v>
      </c>
      <c r="J178" s="3">
        <f t="shared" si="29"/>
        <v>0.7</v>
      </c>
    </row>
    <row r="179" spans="2:10" x14ac:dyDescent="0.25">
      <c r="B179" s="3">
        <f t="shared" si="30"/>
        <v>810</v>
      </c>
      <c r="C179" s="14">
        <f t="shared" si="31"/>
        <v>13.5</v>
      </c>
      <c r="D179" s="11">
        <f t="shared" si="32"/>
        <v>722.91214178951509</v>
      </c>
      <c r="E179" s="24">
        <f t="shared" si="33"/>
        <v>572.86214951077864</v>
      </c>
      <c r="F179" s="24">
        <f t="shared" si="26"/>
        <v>3751.2498069684116</v>
      </c>
      <c r="G179" s="14">
        <f t="shared" si="27"/>
        <v>18727.049983430421</v>
      </c>
      <c r="H179" s="24">
        <f t="shared" si="34"/>
        <v>730.56620657937856</v>
      </c>
      <c r="I179" s="12">
        <f t="shared" si="28"/>
        <v>2.4582651997730829</v>
      </c>
      <c r="J179" s="3">
        <f t="shared" si="29"/>
        <v>0.7</v>
      </c>
    </row>
    <row r="180" spans="2:10" x14ac:dyDescent="0.25">
      <c r="B180" s="3">
        <f t="shared" si="30"/>
        <v>815</v>
      </c>
      <c r="C180" s="14">
        <f t="shared" si="31"/>
        <v>13.583333333333334</v>
      </c>
      <c r="D180" s="11">
        <f t="shared" si="32"/>
        <v>723.82575191445744</v>
      </c>
      <c r="E180" s="24">
        <f t="shared" si="33"/>
        <v>575.32041471055174</v>
      </c>
      <c r="F180" s="24">
        <f t="shared" si="26"/>
        <v>3712.6334300976423</v>
      </c>
      <c r="G180" s="14">
        <f t="shared" si="27"/>
        <v>18633.29498960781</v>
      </c>
      <c r="H180" s="24">
        <f t="shared" si="34"/>
        <v>733.09227798443339</v>
      </c>
      <c r="I180" s="12">
        <f t="shared" si="28"/>
        <v>2.4353680932303652</v>
      </c>
      <c r="J180" s="3">
        <f t="shared" si="29"/>
        <v>0.7</v>
      </c>
    </row>
    <row r="181" spans="2:10" x14ac:dyDescent="0.25">
      <c r="B181" s="3">
        <f t="shared" si="30"/>
        <v>820</v>
      </c>
      <c r="C181" s="14">
        <f t="shared" si="31"/>
        <v>13.666666666666666</v>
      </c>
      <c r="D181" s="11">
        <f t="shared" si="32"/>
        <v>724.73382497433931</v>
      </c>
      <c r="E181" s="24">
        <f t="shared" si="33"/>
        <v>577.75578280378215</v>
      </c>
      <c r="F181" s="24">
        <f t="shared" si="26"/>
        <v>3674.4510542639291</v>
      </c>
      <c r="G181" s="14">
        <f t="shared" si="27"/>
        <v>18539.229107096526</v>
      </c>
      <c r="H181" s="24">
        <f t="shared" si="34"/>
        <v>735.62034366917419</v>
      </c>
      <c r="I181" s="12">
        <f t="shared" si="28"/>
        <v>2.4126350719952154</v>
      </c>
      <c r="J181" s="3">
        <f t="shared" si="29"/>
        <v>0.7</v>
      </c>
    </row>
    <row r="182" spans="2:10" x14ac:dyDescent="0.25">
      <c r="B182" s="3">
        <f t="shared" si="30"/>
        <v>825</v>
      </c>
      <c r="C182" s="14">
        <f t="shared" si="31"/>
        <v>13.75</v>
      </c>
      <c r="D182" s="11">
        <f t="shared" si="32"/>
        <v>725.63642768139675</v>
      </c>
      <c r="E182" s="24">
        <f t="shared" si="33"/>
        <v>580.16841787577732</v>
      </c>
      <c r="F182" s="24">
        <f t="shared" si="26"/>
        <v>3636.700245140486</v>
      </c>
      <c r="G182" s="14">
        <f t="shared" si="27"/>
        <v>18444.886085899332</v>
      </c>
      <c r="H182" s="24">
        <f t="shared" si="34"/>
        <v>738.15004970638915</v>
      </c>
      <c r="I182" s="12">
        <f t="shared" si="28"/>
        <v>2.3900691699471768</v>
      </c>
      <c r="J182" s="3">
        <f t="shared" si="29"/>
        <v>0.7</v>
      </c>
    </row>
    <row r="183" spans="2:10" x14ac:dyDescent="0.25">
      <c r="B183" s="3">
        <f t="shared" si="30"/>
        <v>830</v>
      </c>
      <c r="C183" s="14">
        <f t="shared" si="31"/>
        <v>13.833333333333334</v>
      </c>
      <c r="D183" s="11">
        <f t="shared" si="32"/>
        <v>726.53362554942794</v>
      </c>
      <c r="E183" s="24">
        <f t="shared" si="33"/>
        <v>582.55848704572452</v>
      </c>
      <c r="F183" s="24">
        <f t="shared" si="26"/>
        <v>3599.3784625925855</v>
      </c>
      <c r="G183" s="14">
        <f t="shared" si="27"/>
        <v>18350.298850308929</v>
      </c>
      <c r="H183" s="24">
        <f t="shared" si="34"/>
        <v>740.68104827809657</v>
      </c>
      <c r="I183" s="12">
        <f t="shared" si="28"/>
        <v>2.3676732140126981</v>
      </c>
      <c r="J183" s="3">
        <f t="shared" si="29"/>
        <v>0.7</v>
      </c>
    </row>
    <row r="184" spans="2:10" x14ac:dyDescent="0.25">
      <c r="B184" s="3">
        <f t="shared" si="30"/>
        <v>835</v>
      </c>
      <c r="C184" s="14">
        <f t="shared" si="31"/>
        <v>13.916666666666666</v>
      </c>
      <c r="D184" s="11">
        <f t="shared" si="32"/>
        <v>727.42548292232823</v>
      </c>
      <c r="E184" s="24">
        <f t="shared" si="33"/>
        <v>584.92616025973723</v>
      </c>
      <c r="F184" s="24">
        <f t="shared" si="26"/>
        <v>3562.4830665647751</v>
      </c>
      <c r="G184" s="14">
        <f t="shared" si="27"/>
        <v>18255.499501286631</v>
      </c>
      <c r="H184" s="24">
        <f t="shared" si="34"/>
        <v>743.21299782459778</v>
      </c>
      <c r="I184" s="12">
        <f t="shared" si="28"/>
        <v>2.3454498297652178</v>
      </c>
      <c r="J184" s="3">
        <f t="shared" si="29"/>
        <v>0.7</v>
      </c>
    </row>
    <row r="185" spans="2:10" x14ac:dyDescent="0.25">
      <c r="B185" s="3">
        <f t="shared" si="30"/>
        <v>840</v>
      </c>
      <c r="C185" s="14">
        <f t="shared" si="31"/>
        <v>14</v>
      </c>
      <c r="D185" s="11">
        <f t="shared" si="32"/>
        <v>728.31206300177973</v>
      </c>
      <c r="E185" s="24">
        <f t="shared" si="33"/>
        <v>587.27161008950247</v>
      </c>
      <c r="F185" s="24">
        <f t="shared" si="26"/>
        <v>3526.0113228069313</v>
      </c>
      <c r="G185" s="14">
        <f t="shared" si="27"/>
        <v>18160.519319729632</v>
      </c>
      <c r="H185" s="24">
        <f t="shared" si="34"/>
        <v>745.74556317738484</v>
      </c>
      <c r="I185" s="12">
        <f t="shared" si="28"/>
        <v>2.3234014470755167</v>
      </c>
      <c r="J185" s="3">
        <f t="shared" si="29"/>
        <v>0.7</v>
      </c>
    </row>
    <row r="186" spans="2:10" x14ac:dyDescent="0.25">
      <c r="B186" s="3">
        <f t="shared" si="30"/>
        <v>845</v>
      </c>
      <c r="C186" s="14">
        <f t="shared" si="31"/>
        <v>14.083333333333334</v>
      </c>
      <c r="D186" s="11">
        <f t="shared" si="32"/>
        <v>729.19342787412802</v>
      </c>
      <c r="E186" s="24">
        <f t="shared" si="33"/>
        <v>589.595011536578</v>
      </c>
      <c r="F186" s="24">
        <f t="shared" si="26"/>
        <v>3489.9604084387506</v>
      </c>
      <c r="G186" s="14">
        <f t="shared" si="27"/>
        <v>18065.388770578767</v>
      </c>
      <c r="H186" s="24">
        <f t="shared" si="34"/>
        <v>748.27841567650717</v>
      </c>
      <c r="I186" s="12">
        <f t="shared" si="28"/>
        <v>2.3015303057959722</v>
      </c>
      <c r="J186" s="3">
        <f t="shared" si="29"/>
        <v>0.7</v>
      </c>
    </row>
    <row r="187" spans="2:10" x14ac:dyDescent="0.25">
      <c r="B187" s="3">
        <f t="shared" si="30"/>
        <v>850</v>
      </c>
      <c r="C187" s="14">
        <f t="shared" si="31"/>
        <v>14.166666666666666</v>
      </c>
      <c r="D187" s="11">
        <f t="shared" si="32"/>
        <v>730.06963853647221</v>
      </c>
      <c r="E187" s="24">
        <f t="shared" si="33"/>
        <v>591.89654184237395</v>
      </c>
      <c r="F187" s="24">
        <f t="shared" si="26"/>
        <v>3454.3274173524565</v>
      </c>
      <c r="G187" s="14">
        <f t="shared" si="27"/>
        <v>17970.137507718078</v>
      </c>
      <c r="H187" s="24">
        <f t="shared" si="34"/>
        <v>750.81123327300907</v>
      </c>
      <c r="I187" s="12">
        <f t="shared" si="28"/>
        <v>2.2798384614631884</v>
      </c>
      <c r="J187" s="3">
        <f t="shared" si="29"/>
        <v>0.7</v>
      </c>
    </row>
    <row r="188" spans="2:10" x14ac:dyDescent="0.25">
      <c r="B188" s="3">
        <f t="shared" si="30"/>
        <v>855</v>
      </c>
      <c r="C188" s="14">
        <f t="shared" si="31"/>
        <v>14.25</v>
      </c>
      <c r="D188" s="11">
        <f t="shared" si="32"/>
        <v>730.9407549219959</v>
      </c>
      <c r="E188" s="24">
        <f t="shared" si="33"/>
        <v>594.17638030383716</v>
      </c>
      <c r="F188" s="24">
        <f t="shared" si="26"/>
        <v>3419.1093654539686</v>
      </c>
      <c r="G188" s="14">
        <f t="shared" si="27"/>
        <v>17874.794379619136</v>
      </c>
      <c r="H188" s="24">
        <f t="shared" si="34"/>
        <v>753.34370061705044</v>
      </c>
      <c r="I188" s="12">
        <f t="shared" si="28"/>
        <v>2.2583277910045934</v>
      </c>
      <c r="J188" s="3">
        <f t="shared" si="29"/>
        <v>0.7</v>
      </c>
    </row>
    <row r="189" spans="2:10" x14ac:dyDescent="0.25">
      <c r="B189" s="3">
        <f t="shared" si="30"/>
        <v>860</v>
      </c>
      <c r="C189" s="14">
        <f t="shared" si="31"/>
        <v>14.333333333333334</v>
      </c>
      <c r="D189" s="11">
        <f t="shared" si="32"/>
        <v>731.80683592456774</v>
      </c>
      <c r="E189" s="24">
        <f t="shared" si="33"/>
        <v>596.43470809484177</v>
      </c>
      <c r="F189" s="24">
        <f t="shared" si="26"/>
        <v>3384.3031957431494</v>
      </c>
      <c r="G189" s="14">
        <f t="shared" si="27"/>
        <v>17779.387435684053</v>
      </c>
      <c r="H189" s="24">
        <f t="shared" si="34"/>
        <v>755.87550913232383</v>
      </c>
      <c r="I189" s="12">
        <f t="shared" si="28"/>
        <v>2.2369999984356075</v>
      </c>
      <c r="J189" s="3">
        <f t="shared" si="29"/>
        <v>0.7</v>
      </c>
    </row>
    <row r="190" spans="2:10" x14ac:dyDescent="0.25">
      <c r="B190" s="3">
        <f t="shared" si="30"/>
        <v>865</v>
      </c>
      <c r="C190" s="14">
        <f t="shared" si="31"/>
        <v>14.416666666666666</v>
      </c>
      <c r="D190" s="11">
        <f t="shared" si="32"/>
        <v>732.66793942263337</v>
      </c>
      <c r="E190" s="24">
        <f t="shared" si="33"/>
        <v>598.6717080932774</v>
      </c>
      <c r="F190" s="24">
        <f t="shared" si="26"/>
        <v>3349.905783233899</v>
      </c>
      <c r="G190" s="14">
        <f t="shared" si="27"/>
        <v>17683.943933241244</v>
      </c>
      <c r="H190" s="24">
        <f t="shared" si="34"/>
        <v>758.40635707737385</v>
      </c>
      <c r="I190" s="12">
        <f t="shared" si="28"/>
        <v>2.2158566205348333</v>
      </c>
      <c r="J190" s="3">
        <f t="shared" si="29"/>
        <v>0.7</v>
      </c>
    </row>
    <row r="191" spans="2:10" x14ac:dyDescent="0.25">
      <c r="B191" s="3">
        <f t="shared" si="30"/>
        <v>870</v>
      </c>
      <c r="C191" s="14">
        <f t="shared" si="31"/>
        <v>14.5</v>
      </c>
      <c r="D191" s="11">
        <f t="shared" si="32"/>
        <v>733.52412230242578</v>
      </c>
      <c r="E191" s="24">
        <f t="shared" si="33"/>
        <v>600.88756471381225</v>
      </c>
      <c r="F191" s="24">
        <f t="shared" si="26"/>
        <v>3315.9139397153381</v>
      </c>
      <c r="G191" s="14">
        <f t="shared" si="27"/>
        <v>17588.490345150185</v>
      </c>
      <c r="H191" s="24">
        <f t="shared" si="34"/>
        <v>760.82728516098189</v>
      </c>
      <c r="I191" s="12">
        <f t="shared" si="28"/>
        <v>2.1952125168527323</v>
      </c>
      <c r="J191" s="3">
        <f t="shared" si="29"/>
        <v>0.7</v>
      </c>
    </row>
    <row r="192" spans="2:10" x14ac:dyDescent="0.25">
      <c r="B192" s="3">
        <f t="shared" si="30"/>
        <v>875</v>
      </c>
      <c r="C192" s="14">
        <f t="shared" si="31"/>
        <v>14.583333333333334</v>
      </c>
      <c r="D192" s="11">
        <f t="shared" si="32"/>
        <v>734.37544048051529</v>
      </c>
      <c r="E192" s="24">
        <f t="shared" si="33"/>
        <v>603.08277723066499</v>
      </c>
      <c r="F192" s="24">
        <f t="shared" si="26"/>
        <v>3282.3165812462576</v>
      </c>
      <c r="G192" s="14">
        <f t="shared" si="27"/>
        <v>17493.018902868153</v>
      </c>
      <c r="H192" s="24">
        <f t="shared" si="34"/>
        <v>762.37020191431918</v>
      </c>
      <c r="I192" s="12">
        <f t="shared" si="28"/>
        <v>2.1772434164265135</v>
      </c>
      <c r="J192" s="3">
        <f t="shared" si="29"/>
        <v>0.7</v>
      </c>
    </row>
    <row r="193" spans="2:10" x14ac:dyDescent="0.25">
      <c r="B193" s="3">
        <f t="shared" si="30"/>
        <v>880</v>
      </c>
      <c r="C193" s="14">
        <f t="shared" si="31"/>
        <v>14.666666666666666</v>
      </c>
      <c r="D193" s="11">
        <f t="shared" si="32"/>
        <v>735.22194892572395</v>
      </c>
      <c r="E193" s="24">
        <f t="shared" si="33"/>
        <v>605.26002064709155</v>
      </c>
      <c r="F193" s="24">
        <f t="shared" si="26"/>
        <v>3249.0482069658101</v>
      </c>
      <c r="G193" s="14">
        <f t="shared" si="27"/>
        <v>17397.286203298194</v>
      </c>
      <c r="H193" s="24">
        <f t="shared" si="34"/>
        <v>763.95089665813725</v>
      </c>
      <c r="I193" s="12">
        <f t="shared" si="28"/>
        <v>2.1592472039355122</v>
      </c>
      <c r="J193" s="3">
        <f t="shared" si="29"/>
        <v>0.7</v>
      </c>
    </row>
    <row r="194" spans="2:10" x14ac:dyDescent="0.25">
      <c r="B194" s="3">
        <f t="shared" si="30"/>
        <v>885</v>
      </c>
      <c r="C194" s="14">
        <f t="shared" si="31"/>
        <v>14.75</v>
      </c>
      <c r="D194" s="11">
        <f t="shared" si="32"/>
        <v>736.06370168042304</v>
      </c>
      <c r="E194" s="24">
        <f t="shared" si="33"/>
        <v>607.41926785102703</v>
      </c>
      <c r="F194" s="24">
        <f t="shared" si="26"/>
        <v>3216.1108457349001</v>
      </c>
      <c r="G194" s="14">
        <f t="shared" si="27"/>
        <v>17301.333060002089</v>
      </c>
      <c r="H194" s="24">
        <f t="shared" si="34"/>
        <v>765.57058584391052</v>
      </c>
      <c r="I194" s="12">
        <f t="shared" si="28"/>
        <v>2.1412277802502619</v>
      </c>
      <c r="J194" s="3">
        <f t="shared" si="29"/>
        <v>0.7</v>
      </c>
    </row>
    <row r="195" spans="2:10" x14ac:dyDescent="0.25">
      <c r="B195" s="3">
        <f t="shared" si="30"/>
        <v>890</v>
      </c>
      <c r="C195" s="14">
        <f t="shared" si="31"/>
        <v>14.833333333333334</v>
      </c>
      <c r="D195" s="11">
        <f t="shared" si="32"/>
        <v>736.9007518812366</v>
      </c>
      <c r="E195" s="24">
        <f t="shared" si="33"/>
        <v>609.56049563127726</v>
      </c>
      <c r="F195" s="24">
        <f t="shared" si="26"/>
        <v>3183.5064062489837</v>
      </c>
      <c r="G195" s="14">
        <f t="shared" si="27"/>
        <v>17205.199947921396</v>
      </c>
      <c r="H195" s="24">
        <f t="shared" si="34"/>
        <v>767.23053700576418</v>
      </c>
      <c r="I195" s="12">
        <f t="shared" si="28"/>
        <v>2.1231889458306514</v>
      </c>
      <c r="J195" s="3">
        <f t="shared" si="29"/>
        <v>0.7</v>
      </c>
    </row>
    <row r="196" spans="2:10" x14ac:dyDescent="0.25">
      <c r="B196" s="3">
        <f t="shared" si="30"/>
        <v>895</v>
      </c>
      <c r="C196" s="14">
        <f t="shared" si="31"/>
        <v>14.916666666666666</v>
      </c>
      <c r="D196" s="11">
        <f t="shared" si="32"/>
        <v>737.73315177916845</v>
      </c>
      <c r="E196" s="24">
        <f t="shared" si="33"/>
        <v>611.6836845771079</v>
      </c>
      <c r="F196" s="24">
        <f t="shared" si="26"/>
        <v>3151.2366800515138</v>
      </c>
      <c r="G196" s="14">
        <f t="shared" si="27"/>
        <v>17108.926992044842</v>
      </c>
      <c r="H196" s="24">
        <f t="shared" si="34"/>
        <v>768.93207141508867</v>
      </c>
      <c r="I196" s="12">
        <f t="shared" si="28"/>
        <v>2.105134398029088</v>
      </c>
      <c r="J196" s="3">
        <f t="shared" si="29"/>
        <v>0.7</v>
      </c>
    </row>
    <row r="197" spans="2:10" x14ac:dyDescent="0.25">
      <c r="B197" s="3">
        <f t="shared" si="30"/>
        <v>900</v>
      </c>
      <c r="C197" s="14">
        <f t="shared" si="31"/>
        <v>15</v>
      </c>
      <c r="D197" s="11">
        <f t="shared" si="32"/>
        <v>738.56095275917517</v>
      </c>
      <c r="E197" s="24">
        <f t="shared" si="33"/>
        <v>613.78881897513702</v>
      </c>
      <c r="F197" s="24">
        <f t="shared" si="26"/>
        <v>3119.3033446009536</v>
      </c>
      <c r="G197" s="14">
        <f t="shared" si="27"/>
        <v>17012.553956961034</v>
      </c>
      <c r="H197" s="24">
        <f t="shared" si="34"/>
        <v>770.67656689776925</v>
      </c>
      <c r="I197" s="12">
        <f t="shared" si="28"/>
        <v>2.0870677284328725</v>
      </c>
      <c r="J197" s="3">
        <f t="shared" si="29"/>
        <v>0.7</v>
      </c>
    </row>
    <row r="198" spans="2:10" x14ac:dyDescent="0.25">
      <c r="B198" s="3">
        <f t="shared" si="30"/>
        <v>905</v>
      </c>
      <c r="C198" s="14">
        <f t="shared" si="31"/>
        <v>15.083333333333334</v>
      </c>
      <c r="D198" s="11">
        <f t="shared" si="32"/>
        <v>739.38420535920011</v>
      </c>
      <c r="E198" s="24">
        <f t="shared" si="33"/>
        <v>615.8758867035699</v>
      </c>
      <c r="F198" s="24">
        <f t="shared" si="26"/>
        <v>3087.7079663907552</v>
      </c>
      <c r="G198" s="14">
        <f t="shared" si="27"/>
        <v>16916.120237315405</v>
      </c>
      <c r="H198" s="24">
        <f t="shared" si="34"/>
        <v>772.46546082541806</v>
      </c>
      <c r="I198" s="12">
        <f t="shared" si="28"/>
        <v>2.0689924202444843</v>
      </c>
      <c r="J198" s="3">
        <f t="shared" si="29"/>
        <v>0.7</v>
      </c>
    </row>
    <row r="199" spans="2:10" x14ac:dyDescent="0.25">
      <c r="B199" s="3">
        <f t="shared" si="30"/>
        <v>910</v>
      </c>
      <c r="C199" s="14">
        <f t="shared" si="31"/>
        <v>15.166666666666666</v>
      </c>
      <c r="D199" s="11">
        <f t="shared" si="32"/>
        <v>740.20295928868723</v>
      </c>
      <c r="E199" s="24">
        <f t="shared" si="33"/>
        <v>617.94487912381442</v>
      </c>
      <c r="F199" s="24">
        <f t="shared" si="26"/>
        <v>3056.4520041218202</v>
      </c>
      <c r="G199" s="14">
        <f t="shared" si="27"/>
        <v>16819.664849189034</v>
      </c>
      <c r="H199" s="24">
        <f t="shared" si="34"/>
        <v>774.30025329289481</v>
      </c>
      <c r="I199" s="12">
        <f t="shared" si="28"/>
        <v>2.0509118456982076</v>
      </c>
      <c r="J199" s="3">
        <f t="shared" si="29"/>
        <v>0.7</v>
      </c>
    </row>
    <row r="200" spans="2:10" x14ac:dyDescent="0.25">
      <c r="B200" s="3">
        <f t="shared" si="30"/>
        <v>915</v>
      </c>
      <c r="C200" s="14">
        <f t="shared" si="31"/>
        <v>15.25</v>
      </c>
      <c r="D200" s="11">
        <f t="shared" si="32"/>
        <v>741.01726344659221</v>
      </c>
      <c r="E200" s="24">
        <f t="shared" si="33"/>
        <v>619.99579096951265</v>
      </c>
      <c r="F200" s="24">
        <f t="shared" si="26"/>
        <v>3025.5368119269888</v>
      </c>
      <c r="G200" s="14">
        <f t="shared" si="27"/>
        <v>16723.226422416428</v>
      </c>
      <c r="H200" s="24">
        <f t="shared" si="34"/>
        <v>776.18251049537412</v>
      </c>
      <c r="I200" s="12">
        <f t="shared" si="28"/>
        <v>2.0328292635113234</v>
      </c>
      <c r="J200" s="3">
        <f t="shared" si="29"/>
        <v>0.7</v>
      </c>
    </row>
    <row r="201" spans="2:10" x14ac:dyDescent="0.25">
      <c r="B201" s="3">
        <f t="shared" si="30"/>
        <v>920</v>
      </c>
      <c r="C201" s="14">
        <f t="shared" si="31"/>
        <v>15.333333333333334</v>
      </c>
      <c r="D201" s="11">
        <f t="shared" si="32"/>
        <v>741.82716593890734</v>
      </c>
      <c r="E201" s="24">
        <f t="shared" si="33"/>
        <v>622.02862023302396</v>
      </c>
      <c r="F201" s="24">
        <f t="shared" si="26"/>
        <v>2994.9636426470847</v>
      </c>
      <c r="G201" s="14">
        <f t="shared" si="27"/>
        <v>16626.843193857803</v>
      </c>
      <c r="H201" s="24">
        <f t="shared" si="34"/>
        <v>778.1138683192803</v>
      </c>
      <c r="I201" s="12">
        <f t="shared" si="28"/>
        <v>2.0147478163677821</v>
      </c>
      <c r="J201" s="3">
        <f t="shared" si="29"/>
        <v>0.7</v>
      </c>
    </row>
    <row r="202" spans="2:10" x14ac:dyDescent="0.25">
      <c r="B202" s="3">
        <f t="shared" si="30"/>
        <v>925</v>
      </c>
      <c r="C202" s="14">
        <f t="shared" si="31"/>
        <v>15.416666666666666</v>
      </c>
      <c r="D202" s="11">
        <f t="shared" si="32"/>
        <v>742.63271409571371</v>
      </c>
      <c r="E202" s="24">
        <f t="shared" si="33"/>
        <v>624.04336804939169</v>
      </c>
      <c r="F202" s="24">
        <f t="shared" si="26"/>
        <v>2964.7336511580506</v>
      </c>
      <c r="G202" s="14">
        <f t="shared" si="27"/>
        <v>16530.55300164027</v>
      </c>
      <c r="H202" s="24">
        <f t="shared" si="34"/>
        <v>780.09603616255868</v>
      </c>
      <c r="I202" s="12">
        <f t="shared" si="28"/>
        <v>1.9966705284320019</v>
      </c>
      <c r="J202" s="3">
        <f t="shared" si="29"/>
        <v>0.7</v>
      </c>
    </row>
    <row r="203" spans="2:10" x14ac:dyDescent="0.25">
      <c r="B203" s="3">
        <f t="shared" si="30"/>
        <v>930</v>
      </c>
      <c r="C203" s="14">
        <f t="shared" si="31"/>
        <v>15.5</v>
      </c>
      <c r="D203" s="11">
        <f t="shared" si="32"/>
        <v>743.43395448777937</v>
      </c>
      <c r="E203" s="24">
        <f t="shared" si="33"/>
        <v>626.04003857782368</v>
      </c>
      <c r="F203" s="24">
        <f t="shared" si="26"/>
        <v>2934.8478977488921</v>
      </c>
      <c r="G203" s="14">
        <f t="shared" si="27"/>
        <v>16434.393280382181</v>
      </c>
      <c r="H203" s="24">
        <f t="shared" si="34"/>
        <v>782.13080100101433</v>
      </c>
      <c r="I203" s="12">
        <f t="shared" si="28"/>
        <v>1.9786003028903072</v>
      </c>
      <c r="J203" s="3">
        <f t="shared" si="29"/>
        <v>0.7</v>
      </c>
    </row>
    <row r="204" spans="2:10" x14ac:dyDescent="0.25">
      <c r="B204" s="3">
        <f t="shared" si="30"/>
        <v>935</v>
      </c>
      <c r="C204" s="14">
        <f t="shared" si="31"/>
        <v>15.583333333333334</v>
      </c>
      <c r="D204" s="11">
        <f t="shared" si="32"/>
        <v>744.23093294271484</v>
      </c>
      <c r="E204" s="24">
        <f t="shared" si="33"/>
        <v>628.01863888071398</v>
      </c>
      <c r="F204" s="24">
        <f t="shared" si="26"/>
        <v>2905.3073515500218</v>
      </c>
      <c r="G204" s="14">
        <f t="shared" si="27"/>
        <v>16338.401057412822</v>
      </c>
      <c r="H204" s="24">
        <f t="shared" si="34"/>
        <v>784.22003171881101</v>
      </c>
      <c r="I204" s="12">
        <f t="shared" si="28"/>
        <v>1.9605399195171556</v>
      </c>
      <c r="J204" s="3">
        <f t="shared" si="29"/>
        <v>0.7</v>
      </c>
    </row>
    <row r="205" spans="2:10" x14ac:dyDescent="0.25">
      <c r="B205" s="3">
        <f t="shared" si="30"/>
        <v>940</v>
      </c>
      <c r="C205" s="14">
        <f t="shared" si="31"/>
        <v>15.666666666666666</v>
      </c>
      <c r="D205" s="11">
        <f t="shared" si="32"/>
        <v>745.0236945607013</v>
      </c>
      <c r="E205" s="24">
        <f t="shared" si="33"/>
        <v>629.97917880023113</v>
      </c>
      <c r="F205" s="24">
        <f t="shared" si="26"/>
        <v>2876.1128940117542</v>
      </c>
      <c r="G205" s="14">
        <f t="shared" si="27"/>
        <v>16242.612949999648</v>
      </c>
      <c r="H205" s="24">
        <f t="shared" si="34"/>
        <v>786.3656837227212</v>
      </c>
      <c r="I205" s="12">
        <f t="shared" si="28"/>
        <v>1.9424920322631833</v>
      </c>
      <c r="J205" s="3">
        <f t="shared" si="29"/>
        <v>0.7</v>
      </c>
    </row>
    <row r="206" spans="2:10" x14ac:dyDescent="0.25">
      <c r="B206" s="3">
        <f t="shared" si="30"/>
        <v>945</v>
      </c>
      <c r="C206" s="14">
        <f t="shared" si="31"/>
        <v>15.75</v>
      </c>
      <c r="D206" s="11">
        <f t="shared" si="32"/>
        <v>745.81228372980513</v>
      </c>
      <c r="E206" s="24">
        <f t="shared" si="33"/>
        <v>631.92167083249433</v>
      </c>
      <c r="F206" s="24">
        <f t="shared" si="26"/>
        <v>2847.2653224327701</v>
      </c>
      <c r="G206" s="14">
        <f t="shared" si="27"/>
        <v>16147.065163593974</v>
      </c>
      <c r="H206" s="24">
        <f t="shared" si="34"/>
        <v>788.5698038613416</v>
      </c>
      <c r="I206" s="12">
        <f t="shared" si="28"/>
        <v>1.9244591668618662</v>
      </c>
      <c r="J206" s="3">
        <f t="shared" si="29"/>
        <v>0.7</v>
      </c>
    </row>
    <row r="207" spans="2:10" x14ac:dyDescent="0.25">
      <c r="B207" s="3">
        <f t="shared" si="30"/>
        <v>950</v>
      </c>
      <c r="C207" s="14">
        <f t="shared" si="31"/>
        <v>15.833333333333334</v>
      </c>
      <c r="D207" s="11">
        <f t="shared" si="32"/>
        <v>746.59674414089125</v>
      </c>
      <c r="E207" s="24">
        <f t="shared" si="33"/>
        <v>633.84612999935621</v>
      </c>
      <c r="F207" s="24">
        <f t="shared" si="26"/>
        <v>2818.7653535383761</v>
      </c>
      <c r="G207" s="14">
        <f t="shared" si="27"/>
        <v>16051.793491105398</v>
      </c>
      <c r="H207" s="24">
        <f t="shared" si="34"/>
        <v>790.83453567226672</v>
      </c>
      <c r="I207" s="12">
        <f t="shared" si="28"/>
        <v>1.9064437184514182</v>
      </c>
      <c r="J207" s="3">
        <f t="shared" si="29"/>
        <v>0.7</v>
      </c>
    </row>
    <row r="208" spans="2:10" x14ac:dyDescent="0.25">
      <c r="B208" s="3">
        <f t="shared" si="30"/>
        <v>955</v>
      </c>
      <c r="C208" s="14">
        <f t="shared" si="31"/>
        <v>15.916666666666666</v>
      </c>
      <c r="D208" s="11">
        <f t="shared" si="32"/>
        <v>747.37711880214908</v>
      </c>
      <c r="E208" s="24">
        <f t="shared" si="33"/>
        <v>635.75257371780765</v>
      </c>
      <c r="F208" s="24">
        <f t="shared" si="26"/>
        <v>2790.6136271085361</v>
      </c>
      <c r="G208" s="14">
        <f t="shared" si="27"/>
        <v>15956.833313214613</v>
      </c>
      <c r="H208" s="24">
        <f t="shared" si="34"/>
        <v>793.16212498215668</v>
      </c>
      <c r="I208" s="12">
        <f t="shared" si="28"/>
        <v>1.888447949208397</v>
      </c>
      <c r="J208" s="3">
        <f t="shared" si="29"/>
        <v>0.7</v>
      </c>
    </row>
    <row r="209" spans="2:10" x14ac:dyDescent="0.25">
      <c r="B209" s="3">
        <f t="shared" si="30"/>
        <v>960</v>
      </c>
      <c r="C209" s="14">
        <f t="shared" si="31"/>
        <v>16</v>
      </c>
      <c r="D209" s="11">
        <f t="shared" si="32"/>
        <v>748.15345005324082</v>
      </c>
      <c r="E209" s="24">
        <f t="shared" si="33"/>
        <v>637.64102166701605</v>
      </c>
      <c r="F209" s="24">
        <f t="shared" ref="F209:F272" si="35">AlphaC*(D209-E209)</f>
        <v>2762.8107096556191</v>
      </c>
      <c r="G209" s="14">
        <f t="shared" ref="G209:G272" si="36">Phi*EpsilonF*Botzman/10^8*J209*((D209+273)^4-(E209+273)^4)</f>
        <v>15862.219599732909</v>
      </c>
      <c r="H209" s="24">
        <f t="shared" si="34"/>
        <v>795.55492588675315</v>
      </c>
      <c r="I209" s="12">
        <f t="shared" ref="I209:I272" si="37">ksh*Massivete/(H209*RhoA)*DeltaT*(F209+G209)</f>
        <v>1.8704739859892949</v>
      </c>
      <c r="J209" s="3">
        <f t="shared" ref="J209:J272" si="38">IF(E209&lt;=500,IF(Galva=Oui,0.35,0.7),0.7)</f>
        <v>0.7</v>
      </c>
    </row>
    <row r="210" spans="2:10" x14ac:dyDescent="0.25">
      <c r="B210" s="3">
        <f t="shared" ref="B210:B273" si="39">B209+DeltaT</f>
        <v>965</v>
      </c>
      <c r="C210" s="14">
        <f t="shared" ref="C210:C273" si="40">B210/60</f>
        <v>16.083333333333332</v>
      </c>
      <c r="D210" s="11">
        <f t="shared" ref="D210:D273" si="41">20+345*LOG(8*C210+1,10)</f>
        <v>748.92577957908554</v>
      </c>
      <c r="E210" s="24">
        <f t="shared" si="33"/>
        <v>639.51149565300534</v>
      </c>
      <c r="F210" s="24">
        <f t="shared" si="35"/>
        <v>2735.3570981520052</v>
      </c>
      <c r="G210" s="14">
        <f t="shared" si="36"/>
        <v>15767.986912017104</v>
      </c>
      <c r="H210" s="24">
        <f t="shared" si="34"/>
        <v>798.01540714022178</v>
      </c>
      <c r="I210" s="12">
        <f t="shared" si="37"/>
        <v>1.8525238179763801</v>
      </c>
      <c r="J210" s="3">
        <f t="shared" si="38"/>
        <v>0.7</v>
      </c>
    </row>
    <row r="211" spans="2:10" x14ac:dyDescent="0.25">
      <c r="B211" s="3">
        <f t="shared" si="39"/>
        <v>970</v>
      </c>
      <c r="C211" s="14">
        <f t="shared" si="40"/>
        <v>16.166666666666668</v>
      </c>
      <c r="D211" s="11">
        <f t="shared" si="41"/>
        <v>749.69414842329047</v>
      </c>
      <c r="E211" s="24">
        <f t="shared" si="33"/>
        <v>641.3640194709817</v>
      </c>
      <c r="F211" s="24">
        <f t="shared" si="35"/>
        <v>2708.2532238077192</v>
      </c>
      <c r="G211" s="14">
        <f t="shared" si="36"/>
        <v>15674.16940644707</v>
      </c>
      <c r="H211" s="24">
        <f t="shared" si="34"/>
        <v>800.5461589857382</v>
      </c>
      <c r="I211" s="12">
        <f t="shared" si="37"/>
        <v>1.8345992943238962</v>
      </c>
      <c r="J211" s="3">
        <f t="shared" si="38"/>
        <v>0.7</v>
      </c>
    </row>
    <row r="212" spans="2:10" x14ac:dyDescent="0.25">
      <c r="B212" s="3">
        <f t="shared" si="39"/>
        <v>975</v>
      </c>
      <c r="C212" s="14">
        <f t="shared" si="40"/>
        <v>16.25</v>
      </c>
      <c r="D212" s="11">
        <f t="shared" si="41"/>
        <v>750.45859700123856</v>
      </c>
      <c r="E212" s="24">
        <f t="shared" si="33"/>
        <v>643.19861876530558</v>
      </c>
      <c r="F212" s="24">
        <f t="shared" si="35"/>
        <v>2681.4994558983244</v>
      </c>
      <c r="G212" s="14">
        <f t="shared" si="36"/>
        <v>15580.800838972971</v>
      </c>
      <c r="H212" s="24">
        <f t="shared" si="34"/>
        <v>803.14990046201638</v>
      </c>
      <c r="I212" s="12">
        <f t="shared" si="37"/>
        <v>1.8167021218007204</v>
      </c>
      <c r="J212" s="3">
        <f t="shared" si="38"/>
        <v>0.7</v>
      </c>
    </row>
    <row r="213" spans="2:10" x14ac:dyDescent="0.25">
      <c r="B213" s="3">
        <f t="shared" si="39"/>
        <v>980</v>
      </c>
      <c r="C213" s="14">
        <f t="shared" si="40"/>
        <v>16.333333333333332</v>
      </c>
      <c r="D213" s="11">
        <f t="shared" si="41"/>
        <v>751.21916511284519</v>
      </c>
      <c r="E213" s="24">
        <f t="shared" si="33"/>
        <v>645.01532088710633</v>
      </c>
      <c r="F213" s="24">
        <f t="shared" si="35"/>
        <v>2655.0961056434717</v>
      </c>
      <c r="G213" s="14">
        <f t="shared" si="36"/>
        <v>15487.914570738611</v>
      </c>
      <c r="H213" s="24">
        <f t="shared" si="34"/>
        <v>805.82948722352569</v>
      </c>
      <c r="I213" s="12">
        <f t="shared" si="37"/>
        <v>1.7988338624255789</v>
      </c>
      <c r="J213" s="3">
        <f t="shared" si="38"/>
        <v>0.7</v>
      </c>
    </row>
    <row r="214" spans="2:10" x14ac:dyDescent="0.25">
      <c r="B214" s="3">
        <f t="shared" si="39"/>
        <v>985</v>
      </c>
      <c r="C214" s="14">
        <f t="shared" si="40"/>
        <v>16.416666666666668</v>
      </c>
      <c r="D214" s="11">
        <f t="shared" si="41"/>
        <v>751.97589195499108</v>
      </c>
      <c r="E214" s="24">
        <f t="shared" si="33"/>
        <v>646.81415474953189</v>
      </c>
      <c r="F214" s="24">
        <f t="shared" si="35"/>
        <v>2629.0434301364799</v>
      </c>
      <c r="G214" s="14">
        <f t="shared" si="36"/>
        <v>15395.543574786989</v>
      </c>
      <c r="H214" s="24">
        <f t="shared" si="34"/>
        <v>808.58791991548992</v>
      </c>
      <c r="I214" s="12">
        <f t="shared" si="37"/>
        <v>1.7809959310909704</v>
      </c>
      <c r="J214" s="3">
        <f t="shared" si="38"/>
        <v>0.7</v>
      </c>
    </row>
    <row r="215" spans="2:10" x14ac:dyDescent="0.25">
      <c r="B215" s="3">
        <f t="shared" si="39"/>
        <v>990</v>
      </c>
      <c r="C215" s="14">
        <f t="shared" si="40"/>
        <v>16.5</v>
      </c>
      <c r="D215" s="11">
        <f t="shared" si="41"/>
        <v>752.72881613364461</v>
      </c>
      <c r="E215" s="24">
        <f t="shared" si="33"/>
        <v>648.59515068062285</v>
      </c>
      <c r="F215" s="24">
        <f t="shared" si="35"/>
        <v>2603.3416363255442</v>
      </c>
      <c r="G215" s="14">
        <f t="shared" si="36"/>
        <v>15303.720443853168</v>
      </c>
      <c r="H215" s="24">
        <f t="shared" si="34"/>
        <v>811.42835314842387</v>
      </c>
      <c r="I215" s="12">
        <f t="shared" si="37"/>
        <v>1.7631895931720194</v>
      </c>
      <c r="J215" s="3">
        <f t="shared" si="38"/>
        <v>0.7</v>
      </c>
    </row>
    <row r="216" spans="2:10" x14ac:dyDescent="0.25">
      <c r="B216" s="3">
        <f t="shared" si="39"/>
        <v>995</v>
      </c>
      <c r="C216" s="14">
        <f t="shared" si="40"/>
        <v>16.583333333333332</v>
      </c>
      <c r="D216" s="11">
        <f t="shared" si="41"/>
        <v>753.4779756756792</v>
      </c>
      <c r="E216" s="24">
        <f t="shared" si="33"/>
        <v>650.35834027379485</v>
      </c>
      <c r="F216" s="24">
        <f t="shared" si="35"/>
        <v>2577.9908850471088</v>
      </c>
      <c r="G216" s="14">
        <f t="shared" si="36"/>
        <v>15212.4773992501</v>
      </c>
      <c r="H216" s="24">
        <f t="shared" si="34"/>
        <v>814.354105120996</v>
      </c>
      <c r="I216" s="12">
        <f t="shared" si="37"/>
        <v>1.7454159621167287</v>
      </c>
      <c r="J216" s="3">
        <f t="shared" si="38"/>
        <v>0.7</v>
      </c>
    </row>
    <row r="217" spans="2:10" x14ac:dyDescent="0.25">
      <c r="B217" s="3">
        <f t="shared" si="39"/>
        <v>1000</v>
      </c>
      <c r="C217" s="14">
        <f t="shared" si="40"/>
        <v>16.666666666666668</v>
      </c>
      <c r="D217" s="11">
        <f t="shared" si="41"/>
        <v>754.22340804039925</v>
      </c>
      <c r="E217" s="24">
        <f t="shared" si="33"/>
        <v>652.10375623591153</v>
      </c>
      <c r="F217" s="24">
        <f t="shared" si="35"/>
        <v>2552.9912951121928</v>
      </c>
      <c r="G217" s="14">
        <f t="shared" si="36"/>
        <v>15121.846300851596</v>
      </c>
      <c r="H217" s="24">
        <f t="shared" si="34"/>
        <v>817.36866794442858</v>
      </c>
      <c r="I217" s="12">
        <f t="shared" si="37"/>
        <v>1.7276759970142535</v>
      </c>
      <c r="J217" s="3">
        <f t="shared" si="38"/>
        <v>0.7</v>
      </c>
    </row>
    <row r="218" spans="2:10" x14ac:dyDescent="0.25">
      <c r="B218" s="3">
        <f t="shared" si="39"/>
        <v>1005</v>
      </c>
      <c r="C218" s="14">
        <f t="shared" si="40"/>
        <v>16.75</v>
      </c>
      <c r="D218" s="11">
        <f t="shared" si="41"/>
        <v>754.96515013077715</v>
      </c>
      <c r="E218" s="24">
        <f t="shared" si="33"/>
        <v>653.83143223292575</v>
      </c>
      <c r="F218" s="24">
        <f t="shared" si="35"/>
        <v>2528.3429474462851</v>
      </c>
      <c r="G218" s="14">
        <f t="shared" si="36"/>
        <v>15031.858658176647</v>
      </c>
      <c r="H218" s="24">
        <f t="shared" si="34"/>
        <v>820.47571872651292</v>
      </c>
      <c r="I218" s="12">
        <f t="shared" si="37"/>
        <v>1.7099705001381618</v>
      </c>
      <c r="J218" s="3">
        <f t="shared" si="38"/>
        <v>0.7</v>
      </c>
    </row>
    <row r="219" spans="2:10" x14ac:dyDescent="0.25">
      <c r="B219" s="3">
        <f t="shared" si="39"/>
        <v>1010</v>
      </c>
      <c r="C219" s="14">
        <f t="shared" si="40"/>
        <v>16.833333333333332</v>
      </c>
      <c r="D219" s="11">
        <f t="shared" si="41"/>
        <v>755.70323830441725</v>
      </c>
      <c r="E219" s="24">
        <f t="shared" si="33"/>
        <v>655.54140273306393</v>
      </c>
      <c r="F219" s="24">
        <f t="shared" si="35"/>
        <v>2504.0458892838333</v>
      </c>
      <c r="G219" s="14">
        <f t="shared" si="36"/>
        <v>14942.545642578778</v>
      </c>
      <c r="H219" s="24">
        <f t="shared" si="34"/>
        <v>823.67913147867102</v>
      </c>
      <c r="I219" s="12">
        <f t="shared" si="37"/>
        <v>1.6923001144620935</v>
      </c>
      <c r="J219" s="3">
        <f t="shared" si="38"/>
        <v>0.7</v>
      </c>
    </row>
    <row r="220" spans="2:10" x14ac:dyDescent="0.25">
      <c r="B220" s="3">
        <f t="shared" si="39"/>
        <v>1015</v>
      </c>
      <c r="C220" s="14">
        <f t="shared" si="40"/>
        <v>16.916666666666668</v>
      </c>
      <c r="D220" s="11">
        <f t="shared" si="41"/>
        <v>756.43770838424939</v>
      </c>
      <c r="E220" s="24">
        <f t="shared" si="33"/>
        <v>657.23370284752605</v>
      </c>
      <c r="F220" s="24">
        <f t="shared" si="35"/>
        <v>2480.1001384180836</v>
      </c>
      <c r="G220" s="14">
        <f t="shared" si="36"/>
        <v>14853.938100544423</v>
      </c>
      <c r="H220" s="24">
        <f t="shared" si="34"/>
        <v>826.98298991538866</v>
      </c>
      <c r="I220" s="12">
        <f t="shared" si="37"/>
        <v>1.6746653211457798</v>
      </c>
      <c r="J220" s="3">
        <f t="shared" si="38"/>
        <v>0.7</v>
      </c>
    </row>
    <row r="221" spans="2:10" x14ac:dyDescent="0.25">
      <c r="B221" s="3">
        <f t="shared" si="39"/>
        <v>1020</v>
      </c>
      <c r="C221" s="14">
        <f t="shared" si="40"/>
        <v>17</v>
      </c>
      <c r="D221" s="11">
        <f t="shared" si="41"/>
        <v>757.16859566896028</v>
      </c>
      <c r="E221" s="24">
        <f t="shared" si="33"/>
        <v>658.90836816867181</v>
      </c>
      <c r="F221" s="24">
        <f t="shared" si="35"/>
        <v>2456.5056875072114</v>
      </c>
      <c r="G221" s="14">
        <f t="shared" si="36"/>
        <v>14766.066568101354</v>
      </c>
      <c r="H221" s="24">
        <f t="shared" si="34"/>
        <v>830.39160122183637</v>
      </c>
      <c r="I221" s="12">
        <f t="shared" si="37"/>
        <v>1.6570664369898087</v>
      </c>
      <c r="J221" s="3">
        <f t="shared" si="38"/>
        <v>0.7</v>
      </c>
    </row>
    <row r="222" spans="2:10" x14ac:dyDescent="0.25">
      <c r="B222" s="3">
        <f t="shared" si="39"/>
        <v>1025</v>
      </c>
      <c r="C222" s="14">
        <f t="shared" si="40"/>
        <v>17.083333333333332</v>
      </c>
      <c r="D222" s="11">
        <f t="shared" si="41"/>
        <v>757.89593494317478</v>
      </c>
      <c r="E222" s="24">
        <f t="shared" si="33"/>
        <v>660.56543460566161</v>
      </c>
      <c r="F222" s="24">
        <f t="shared" si="35"/>
        <v>2433.2625084378292</v>
      </c>
      <c r="G222" s="14">
        <f t="shared" si="36"/>
        <v>14678.96128634146</v>
      </c>
      <c r="H222" s="24">
        <f t="shared" si="34"/>
        <v>833.90951087265535</v>
      </c>
      <c r="I222" s="12">
        <f t="shared" si="37"/>
        <v>1.6395036118587005</v>
      </c>
      <c r="J222" s="3">
        <f t="shared" si="38"/>
        <v>0.7</v>
      </c>
    </row>
    <row r="223" spans="2:10" x14ac:dyDescent="0.25">
      <c r="B223" s="3">
        <f t="shared" si="39"/>
        <v>1030</v>
      </c>
      <c r="C223" s="14">
        <f t="shared" si="40"/>
        <v>17.166666666666668</v>
      </c>
      <c r="D223" s="11">
        <f t="shared" si="41"/>
        <v>758.61976048738848</v>
      </c>
      <c r="E223" s="24">
        <f t="shared" si="33"/>
        <v>662.20493821752029</v>
      </c>
      <c r="F223" s="24">
        <f t="shared" si="35"/>
        <v>2410.3705567467046</v>
      </c>
      <c r="G223" s="14">
        <f t="shared" si="36"/>
        <v>14592.652218057317</v>
      </c>
      <c r="H223" s="24">
        <f t="shared" si="34"/>
        <v>837.54151859277795</v>
      </c>
      <c r="I223" s="12">
        <f t="shared" si="37"/>
        <v>1.6219768260723324</v>
      </c>
      <c r="J223" s="3">
        <f t="shared" si="38"/>
        <v>0.7</v>
      </c>
    </row>
    <row r="224" spans="2:10" x14ac:dyDescent="0.25">
      <c r="B224" s="3">
        <f t="shared" si="39"/>
        <v>1035</v>
      </c>
      <c r="C224" s="14">
        <f t="shared" si="40"/>
        <v>17.25</v>
      </c>
      <c r="D224" s="11">
        <f t="shared" si="41"/>
        <v>759.34010608766278</v>
      </c>
      <c r="E224" s="24">
        <f t="shared" si="33"/>
        <v>663.82691504359263</v>
      </c>
      <c r="F224" s="24">
        <f t="shared" si="35"/>
        <v>2387.8297761017534</v>
      </c>
      <c r="G224" s="14">
        <f t="shared" si="36"/>
        <v>14507.169065494581</v>
      </c>
      <c r="H224" s="24">
        <f t="shared" si="34"/>
        <v>841.2926955598715</v>
      </c>
      <c r="I224" s="12">
        <f t="shared" si="37"/>
        <v>1.6044858877672272</v>
      </c>
      <c r="J224" s="3">
        <f t="shared" si="38"/>
        <v>0.7</v>
      </c>
    </row>
    <row r="225" spans="2:10" x14ac:dyDescent="0.25">
      <c r="B225" s="3">
        <f t="shared" si="39"/>
        <v>1040</v>
      </c>
      <c r="C225" s="14">
        <f t="shared" si="40"/>
        <v>17.333333333333332</v>
      </c>
      <c r="D225" s="11">
        <f t="shared" si="41"/>
        <v>760.05700504508843</v>
      </c>
      <c r="E225" s="24">
        <f t="shared" si="33"/>
        <v>665.43140093135992</v>
      </c>
      <c r="F225" s="24">
        <f t="shared" si="35"/>
        <v>2365.6401028432128</v>
      </c>
      <c r="G225" s="14">
        <f t="shared" si="36"/>
        <v>14422.541289219351</v>
      </c>
      <c r="H225" s="24">
        <f t="shared" si="34"/>
        <v>845.16840295761904</v>
      </c>
      <c r="I225" s="12">
        <f t="shared" si="37"/>
        <v>1.5870304302303455</v>
      </c>
      <c r="J225" s="3">
        <f t="shared" si="38"/>
        <v>0.7</v>
      </c>
    </row>
    <row r="226" spans="2:10" x14ac:dyDescent="0.25">
      <c r="B226" s="3">
        <f t="shared" si="39"/>
        <v>1045</v>
      </c>
      <c r="C226" s="14">
        <f t="shared" si="40"/>
        <v>17.416666666666668</v>
      </c>
      <c r="D226" s="11">
        <f t="shared" si="41"/>
        <v>760.77049018502191</v>
      </c>
      <c r="E226" s="24">
        <f t="shared" si="33"/>
        <v>667.01843136159027</v>
      </c>
      <c r="F226" s="24">
        <f t="shared" si="35"/>
        <v>2343.8014705857909</v>
      </c>
      <c r="G226" s="14">
        <f t="shared" si="36"/>
        <v>14338.798128098711</v>
      </c>
      <c r="H226" s="24">
        <f t="shared" si="34"/>
        <v>849.17431199969747</v>
      </c>
      <c r="I226" s="12">
        <f t="shared" si="37"/>
        <v>1.5696099092095379</v>
      </c>
      <c r="J226" s="3">
        <f t="shared" si="38"/>
        <v>0.7</v>
      </c>
    </row>
    <row r="227" spans="2:10" x14ac:dyDescent="0.25">
      <c r="B227" s="3">
        <f t="shared" si="39"/>
        <v>1050</v>
      </c>
      <c r="C227" s="14">
        <f t="shared" si="40"/>
        <v>17.5</v>
      </c>
      <c r="D227" s="11">
        <f t="shared" si="41"/>
        <v>761.48059386610601</v>
      </c>
      <c r="E227" s="24">
        <f t="shared" si="33"/>
        <v>668.58804127079986</v>
      </c>
      <c r="F227" s="24">
        <f t="shared" si="35"/>
        <v>2322.3138148826538</v>
      </c>
      <c r="G227" s="14">
        <f t="shared" si="36"/>
        <v>14255.968620392598</v>
      </c>
      <c r="H227" s="24">
        <f t="shared" si="34"/>
        <v>853.31642555608119</v>
      </c>
      <c r="I227" s="12">
        <f t="shared" si="37"/>
        <v>1.5522236002067744</v>
      </c>
      <c r="J227" s="3">
        <f t="shared" si="38"/>
        <v>0.7</v>
      </c>
    </row>
    <row r="228" spans="2:10" x14ac:dyDescent="0.25">
      <c r="B228" s="3">
        <f t="shared" si="39"/>
        <v>1055</v>
      </c>
      <c r="C228" s="14">
        <f t="shared" si="40"/>
        <v>17.583333333333332</v>
      </c>
      <c r="D228" s="11">
        <f t="shared" si="41"/>
        <v>762.18734798907394</v>
      </c>
      <c r="E228" s="24">
        <f t="shared" si="33"/>
        <v>670.14026487100659</v>
      </c>
      <c r="F228" s="24">
        <f t="shared" si="35"/>
        <v>2301.1770779516837</v>
      </c>
      <c r="G228" s="14">
        <f t="shared" si="36"/>
        <v>14174.081625951687</v>
      </c>
      <c r="H228" s="24">
        <f t="shared" si="34"/>
        <v>857.60110152632808</v>
      </c>
      <c r="I228" s="12">
        <f t="shared" si="37"/>
        <v>1.5348705957621378</v>
      </c>
      <c r="J228" s="3">
        <f t="shared" si="38"/>
        <v>0.7</v>
      </c>
    </row>
    <row r="229" spans="2:10" x14ac:dyDescent="0.25">
      <c r="B229" s="3">
        <f t="shared" si="39"/>
        <v>1060</v>
      </c>
      <c r="C229" s="14">
        <f t="shared" si="40"/>
        <v>17.666666666666668</v>
      </c>
      <c r="D229" s="11">
        <f t="shared" si="41"/>
        <v>762.89078400534959</v>
      </c>
      <c r="E229" s="24">
        <f t="shared" si="33"/>
        <v>671.67513546676878</v>
      </c>
      <c r="F229" s="24">
        <f t="shared" si="35"/>
        <v>2280.3912134645202</v>
      </c>
      <c r="G229" s="14">
        <f t="shared" si="36"/>
        <v>14093.165849515442</v>
      </c>
      <c r="H229" s="24">
        <f t="shared" si="34"/>
        <v>862.0350781189386</v>
      </c>
      <c r="I229" s="12">
        <f t="shared" si="37"/>
        <v>1.5175498027391188</v>
      </c>
      <c r="J229" s="3">
        <f t="shared" si="38"/>
        <v>0.7</v>
      </c>
    </row>
    <row r="230" spans="2:10" x14ac:dyDescent="0.25">
      <c r="B230" s="3">
        <f t="shared" si="39"/>
        <v>1065</v>
      </c>
      <c r="C230" s="14">
        <f t="shared" si="40"/>
        <v>17.75</v>
      </c>
      <c r="D230" s="11">
        <f t="shared" si="41"/>
        <v>763.59093292544617</v>
      </c>
      <c r="E230" s="24">
        <f t="shared" si="33"/>
        <v>673.19268526950793</v>
      </c>
      <c r="F230" s="24">
        <f t="shared" si="35"/>
        <v>2259.9561913984558</v>
      </c>
      <c r="G230" s="14">
        <f t="shared" si="36"/>
        <v>14013.249865101574</v>
      </c>
      <c r="H230" s="24">
        <f t="shared" si="34"/>
        <v>866.62550121186416</v>
      </c>
      <c r="I230" s="12">
        <f t="shared" si="37"/>
        <v>1.5002599396244787</v>
      </c>
      <c r="J230" s="3">
        <f t="shared" si="38"/>
        <v>0.7</v>
      </c>
    </row>
    <row r="231" spans="2:10" x14ac:dyDescent="0.25">
      <c r="B231" s="3">
        <f t="shared" si="39"/>
        <v>1070</v>
      </c>
      <c r="C231" s="14">
        <f t="shared" si="40"/>
        <v>17.833333333333332</v>
      </c>
      <c r="D231" s="11">
        <f t="shared" si="41"/>
        <v>764.28782532716878</v>
      </c>
      <c r="E231" s="24">
        <f t="shared" si="33"/>
        <v>674.6929452091324</v>
      </c>
      <c r="F231" s="24">
        <f t="shared" si="35"/>
        <v>2239.8720029509095</v>
      </c>
      <c r="G231" s="14">
        <f t="shared" si="36"/>
        <v>13934.362141475594</v>
      </c>
      <c r="H231" s="24">
        <f t="shared" si="34"/>
        <v>871.37995398698615</v>
      </c>
      <c r="I231" s="12">
        <f t="shared" si="37"/>
        <v>1.4829995338591011</v>
      </c>
      <c r="J231" s="3">
        <f t="shared" si="38"/>
        <v>0.7</v>
      </c>
    </row>
    <row r="232" spans="2:10" x14ac:dyDescent="0.25">
      <c r="B232" s="3">
        <f t="shared" si="39"/>
        <v>1075</v>
      </c>
      <c r="C232" s="14">
        <f t="shared" si="40"/>
        <v>17.916666666666668</v>
      </c>
      <c r="D232" s="11">
        <f t="shared" si="41"/>
        <v>764.98149136362747</v>
      </c>
      <c r="E232" s="24">
        <f t="shared" si="33"/>
        <v>676.17594474299153</v>
      </c>
      <c r="F232" s="24">
        <f t="shared" si="35"/>
        <v>2220.1386655158985</v>
      </c>
      <c r="G232" s="14">
        <f t="shared" si="36"/>
        <v>13856.531068685401</v>
      </c>
      <c r="H232" s="24">
        <f t="shared" si="34"/>
        <v>876.30648905105704</v>
      </c>
      <c r="I232" s="12">
        <f t="shared" si="37"/>
        <v>1.4657669192199037</v>
      </c>
      <c r="J232" s="3">
        <f t="shared" si="38"/>
        <v>0.7</v>
      </c>
    </row>
    <row r="233" spans="2:10" x14ac:dyDescent="0.25">
      <c r="B233" s="3">
        <f t="shared" si="39"/>
        <v>1080</v>
      </c>
      <c r="C233" s="14">
        <f t="shared" si="40"/>
        <v>18</v>
      </c>
      <c r="D233" s="11">
        <f t="shared" si="41"/>
        <v>765.67196077106621</v>
      </c>
      <c r="E233" s="24">
        <f t="shared" si="33"/>
        <v>677.64171166221149</v>
      </c>
      <c r="F233" s="24">
        <f t="shared" si="35"/>
        <v>2200.7562277213678</v>
      </c>
      <c r="G233" s="14">
        <f t="shared" si="36"/>
        <v>13779.784985643219</v>
      </c>
      <c r="H233" s="24">
        <f t="shared" si="34"/>
        <v>881.41366327745641</v>
      </c>
      <c r="I233" s="12">
        <f t="shared" si="37"/>
        <v>1.4485602332771221</v>
      </c>
      <c r="J233" s="3">
        <f t="shared" si="38"/>
        <v>0.7</v>
      </c>
    </row>
    <row r="234" spans="2:10" x14ac:dyDescent="0.25">
      <c r="B234" s="3">
        <f t="shared" si="39"/>
        <v>1085</v>
      </c>
      <c r="C234" s="14">
        <f t="shared" si="40"/>
        <v>18.083333333333332</v>
      </c>
      <c r="D234" s="11">
        <f t="shared" si="41"/>
        <v>766.35926287651193</v>
      </c>
      <c r="E234" s="24">
        <f t="shared" si="33"/>
        <v>679.09027189548863</v>
      </c>
      <c r="F234" s="24">
        <f t="shared" si="35"/>
        <v>2181.7247745255827</v>
      </c>
      <c r="G234" s="14">
        <f t="shared" si="36"/>
        <v>13704.152208730982</v>
      </c>
      <c r="H234" s="24">
        <f t="shared" si="34"/>
        <v>886.71057562739441</v>
      </c>
      <c r="I234" s="12">
        <f t="shared" si="37"/>
        <v>1.4313774149558511</v>
      </c>
      <c r="J234" s="3">
        <f t="shared" si="38"/>
        <v>0.7</v>
      </c>
    </row>
    <row r="235" spans="2:10" x14ac:dyDescent="0.25">
      <c r="B235" s="3">
        <f t="shared" si="39"/>
        <v>1090</v>
      </c>
      <c r="C235" s="14">
        <f t="shared" si="40"/>
        <v>18.166666666666668</v>
      </c>
      <c r="D235" s="11">
        <f t="shared" si="41"/>
        <v>767.04342660524821</v>
      </c>
      <c r="E235" s="24">
        <f t="shared" si="33"/>
        <v>680.52164931044445</v>
      </c>
      <c r="F235" s="24">
        <f t="shared" si="35"/>
        <v>2163.044432370094</v>
      </c>
      <c r="G235" s="14">
        <f t="shared" si="36"/>
        <v>13629.661061401233</v>
      </c>
      <c r="H235" s="24">
        <f t="shared" si="34"/>
        <v>892.2069082361927</v>
      </c>
      <c r="I235" s="12">
        <f t="shared" si="37"/>
        <v>1.4142162022362286</v>
      </c>
      <c r="J235" s="3">
        <f t="shared" si="38"/>
        <v>0.7</v>
      </c>
    </row>
    <row r="236" spans="2:10" x14ac:dyDescent="0.25">
      <c r="B236" s="3">
        <f t="shared" si="39"/>
        <v>1095</v>
      </c>
      <c r="C236" s="14">
        <f t="shared" si="40"/>
        <v>18.25</v>
      </c>
      <c r="D236" s="11">
        <f t="shared" si="41"/>
        <v>767.72448048812055</v>
      </c>
      <c r="E236" s="24">
        <f t="shared" si="33"/>
        <v>681.93586551268072</v>
      </c>
      <c r="F236" s="24">
        <f t="shared" si="35"/>
        <v>2144.7153743859958</v>
      </c>
      <c r="G236" s="14">
        <f t="shared" si="36"/>
        <v>13556.339904738916</v>
      </c>
      <c r="H236" s="24">
        <f t="shared" si="34"/>
        <v>897.91297108030494</v>
      </c>
      <c r="I236" s="12">
        <f t="shared" si="37"/>
        <v>1.3970741300326848</v>
      </c>
      <c r="J236" s="3">
        <f t="shared" si="38"/>
        <v>0.7</v>
      </c>
    </row>
    <row r="237" spans="2:10" x14ac:dyDescent="0.25">
      <c r="B237" s="3">
        <f t="shared" si="39"/>
        <v>1100</v>
      </c>
      <c r="C237" s="14">
        <f t="shared" si="40"/>
        <v>18.333333333333332</v>
      </c>
      <c r="D237" s="11">
        <f t="shared" si="41"/>
        <v>768.40245266867544</v>
      </c>
      <c r="E237" s="24">
        <f t="shared" si="33"/>
        <v>683.33293964271343</v>
      </c>
      <c r="F237" s="24">
        <f t="shared" si="35"/>
        <v>2126.7378256490501</v>
      </c>
      <c r="G237" s="14">
        <f t="shared" si="36"/>
        <v>13484.217168942228</v>
      </c>
      <c r="H237" s="24">
        <f t="shared" si="34"/>
        <v>903.83975057416751</v>
      </c>
      <c r="I237" s="12">
        <f t="shared" si="37"/>
        <v>1.3799485282995445</v>
      </c>
      <c r="J237" s="3">
        <f t="shared" si="38"/>
        <v>0.7</v>
      </c>
    </row>
    <row r="238" spans="2:10" x14ac:dyDescent="0.25">
      <c r="B238" s="3">
        <f t="shared" si="39"/>
        <v>1105</v>
      </c>
      <c r="C238" s="14">
        <f t="shared" si="40"/>
        <v>18.416666666666668</v>
      </c>
      <c r="D238" s="11">
        <f t="shared" si="41"/>
        <v>769.0773709101378</v>
      </c>
      <c r="E238" s="24">
        <f t="shared" si="33"/>
        <v>684.71288817101299</v>
      </c>
      <c r="F238" s="24">
        <f t="shared" si="35"/>
        <v>2109.1120684781204</v>
      </c>
      <c r="G238" s="14">
        <f t="shared" si="36"/>
        <v>13413.321385672185</v>
      </c>
      <c r="H238" s="24">
        <f t="shared" si="34"/>
        <v>909.99896248321716</v>
      </c>
      <c r="I238" s="12">
        <f t="shared" si="37"/>
        <v>1.362836520417968</v>
      </c>
      <c r="J238" s="3">
        <f t="shared" si="38"/>
        <v>0.7</v>
      </c>
    </row>
    <row r="239" spans="2:10" x14ac:dyDescent="0.25">
      <c r="B239" s="3">
        <f t="shared" si="39"/>
        <v>1110</v>
      </c>
      <c r="C239" s="14">
        <f t="shared" si="40"/>
        <v>18.5</v>
      </c>
      <c r="D239" s="11">
        <f t="shared" si="41"/>
        <v>769.74926260223458</v>
      </c>
      <c r="E239" s="24">
        <f t="shared" si="33"/>
        <v>686.07572469143099</v>
      </c>
      <c r="F239" s="24">
        <f t="shared" si="35"/>
        <v>2091.8384477700897</v>
      </c>
      <c r="G239" s="14">
        <f t="shared" si="36"/>
        <v>13343.681221210862</v>
      </c>
      <c r="H239" s="24">
        <f t="shared" si="34"/>
        <v>916.40310958089185</v>
      </c>
      <c r="I239" s="12">
        <f t="shared" si="37"/>
        <v>1.3457350219279385</v>
      </c>
      <c r="J239" s="3">
        <f t="shared" si="38"/>
        <v>0.7</v>
      </c>
    </row>
    <row r="240" spans="2:10" x14ac:dyDescent="0.25">
      <c r="B240" s="3">
        <f t="shared" si="39"/>
        <v>1115</v>
      </c>
      <c r="C240" s="14">
        <f t="shared" si="40"/>
        <v>18.583333333333332</v>
      </c>
      <c r="D240" s="11">
        <f t="shared" si="41"/>
        <v>770.41815476786292</v>
      </c>
      <c r="E240" s="24">
        <f t="shared" si="33"/>
        <v>687.4214597133589</v>
      </c>
      <c r="F240" s="24">
        <f t="shared" si="35"/>
        <v>2074.9173763626004</v>
      </c>
      <c r="G240" s="14">
        <f t="shared" si="36"/>
        <v>13275.325510357357</v>
      </c>
      <c r="H240" s="24">
        <f t="shared" si="34"/>
        <v>923.06554452371392</v>
      </c>
      <c r="I240" s="12">
        <f t="shared" si="37"/>
        <v>1.3286407396786895</v>
      </c>
      <c r="J240" s="3">
        <f t="shared" si="38"/>
        <v>0.7</v>
      </c>
    </row>
    <row r="241" spans="2:10" x14ac:dyDescent="0.25">
      <c r="B241" s="3">
        <f t="shared" si="39"/>
        <v>1120</v>
      </c>
      <c r="C241" s="14">
        <f t="shared" si="40"/>
        <v>18.666666666666668</v>
      </c>
      <c r="D241" s="11">
        <f t="shared" si="41"/>
        <v>771.08407406961271</v>
      </c>
      <c r="E241" s="24">
        <f t="shared" si="33"/>
        <v>688.75010045303759</v>
      </c>
      <c r="F241" s="24">
        <f t="shared" si="35"/>
        <v>2058.3493404143783</v>
      </c>
      <c r="G241" s="14">
        <f t="shared" si="36"/>
        <v>13208.28329097696</v>
      </c>
      <c r="H241" s="24">
        <f t="shared" si="34"/>
        <v>930.00053847017284</v>
      </c>
      <c r="I241" s="12">
        <f t="shared" si="37"/>
        <v>1.311550171481773</v>
      </c>
      <c r="J241" s="3">
        <f t="shared" si="38"/>
        <v>0.7</v>
      </c>
    </row>
    <row r="242" spans="2:10" x14ac:dyDescent="0.25">
      <c r="B242" s="3">
        <f t="shared" si="39"/>
        <v>1125</v>
      </c>
      <c r="C242" s="14">
        <f t="shared" si="40"/>
        <v>18.75</v>
      </c>
      <c r="D242" s="11">
        <f t="shared" si="41"/>
        <v>771.74704681614344</v>
      </c>
      <c r="E242" s="24">
        <f t="shared" ref="E242:E305" si="42">E241+I241</f>
        <v>690.06165062451942</v>
      </c>
      <c r="F242" s="24">
        <f t="shared" si="35"/>
        <v>2042.1349047906006</v>
      </c>
      <c r="G242" s="14">
        <f t="shared" si="36"/>
        <v>13142.583839105391</v>
      </c>
      <c r="H242" s="24">
        <f t="shared" ref="H242:H305" si="43">IF(E242&lt;600,425+0.773*E242-1.69/1000*E242^2+2.22/1000^2*E242^3,IF(E242&lt;735,666+13002/(738-E242),IF(E242&lt;900,545+17820/(E242-731),650)))</f>
        <v>937.22335602673547</v>
      </c>
      <c r="I242" s="12">
        <f t="shared" si="37"/>
        <v>1.2944596063631033</v>
      </c>
      <c r="J242" s="3">
        <f t="shared" si="38"/>
        <v>0.7</v>
      </c>
    </row>
    <row r="243" spans="2:10" x14ac:dyDescent="0.25">
      <c r="B243" s="3">
        <f t="shared" si="39"/>
        <v>1130</v>
      </c>
      <c r="C243" s="14">
        <f t="shared" si="40"/>
        <v>18.833333333333332</v>
      </c>
      <c r="D243" s="11">
        <f t="shared" si="41"/>
        <v>772.40709896842009</v>
      </c>
      <c r="E243" s="24">
        <f t="shared" si="42"/>
        <v>691.35611023088256</v>
      </c>
      <c r="F243" s="24">
        <f t="shared" si="35"/>
        <v>2026.274718438438</v>
      </c>
      <c r="G243" s="14">
        <f t="shared" si="36"/>
        <v>13078.256704491112</v>
      </c>
      <c r="H243" s="24">
        <f t="shared" si="43"/>
        <v>944.75033716867506</v>
      </c>
      <c r="I243" s="12">
        <f t="shared" si="37"/>
        <v>1.2773651255234666</v>
      </c>
      <c r="J243" s="3">
        <f t="shared" si="38"/>
        <v>0.7</v>
      </c>
    </row>
    <row r="244" spans="2:10" x14ac:dyDescent="0.25">
      <c r="B244" s="3">
        <f t="shared" si="39"/>
        <v>1135</v>
      </c>
      <c r="C244" s="14">
        <f t="shared" si="40"/>
        <v>18.916666666666668</v>
      </c>
      <c r="D244" s="11">
        <f t="shared" si="41"/>
        <v>773.06425614581474</v>
      </c>
      <c r="E244" s="24">
        <f t="shared" si="42"/>
        <v>692.63347535640605</v>
      </c>
      <c r="F244" s="24">
        <f t="shared" si="35"/>
        <v>2010.7695197352173</v>
      </c>
      <c r="G244" s="14">
        <f t="shared" si="36"/>
        <v>13015.331746442704</v>
      </c>
      <c r="H244" s="24">
        <f t="shared" si="43"/>
        <v>952.59898685529947</v>
      </c>
      <c r="I244" s="12">
        <f t="shared" si="37"/>
        <v>1.2602626041319942</v>
      </c>
      <c r="J244" s="3">
        <f t="shared" si="38"/>
        <v>0.7</v>
      </c>
    </row>
    <row r="245" spans="2:10" x14ac:dyDescent="0.25">
      <c r="B245" s="3">
        <f t="shared" si="39"/>
        <v>1140</v>
      </c>
      <c r="C245" s="14">
        <f t="shared" si="40"/>
        <v>19</v>
      </c>
      <c r="D245" s="11">
        <f t="shared" si="41"/>
        <v>773.71854363207149</v>
      </c>
      <c r="E245" s="24">
        <f t="shared" si="42"/>
        <v>693.89373796053803</v>
      </c>
      <c r="F245" s="24">
        <f t="shared" si="35"/>
        <v>1995.6201417883362</v>
      </c>
      <c r="G245" s="14">
        <f t="shared" si="36"/>
        <v>12953.839169822508</v>
      </c>
      <c r="H245" s="24">
        <f t="shared" si="43"/>
        <v>960.78807313952575</v>
      </c>
      <c r="I245" s="12">
        <f t="shared" si="37"/>
        <v>1.2431477140929061</v>
      </c>
      <c r="J245" s="3">
        <f t="shared" si="38"/>
        <v>0.7</v>
      </c>
    </row>
    <row r="246" spans="2:10" x14ac:dyDescent="0.25">
      <c r="B246" s="3">
        <f t="shared" si="39"/>
        <v>1145</v>
      </c>
      <c r="C246" s="14">
        <f t="shared" si="40"/>
        <v>19.083333333333332</v>
      </c>
      <c r="D246" s="11">
        <f t="shared" si="41"/>
        <v>774.36998638114494</v>
      </c>
      <c r="E246" s="24">
        <f t="shared" si="42"/>
        <v>695.13688567463089</v>
      </c>
      <c r="F246" s="24">
        <f t="shared" si="35"/>
        <v>1980.8275176628513</v>
      </c>
      <c r="G246" s="14">
        <f t="shared" si="36"/>
        <v>12893.80956100764</v>
      </c>
      <c r="H246" s="24">
        <f t="shared" si="43"/>
        <v>969.33773466163166</v>
      </c>
      <c r="I246" s="12">
        <f t="shared" si="37"/>
        <v>1.2260159279438827</v>
      </c>
      <c r="J246" s="3">
        <f t="shared" si="38"/>
        <v>0.7</v>
      </c>
    </row>
    <row r="247" spans="2:10" x14ac:dyDescent="0.25">
      <c r="B247" s="3">
        <f t="shared" si="39"/>
        <v>1150</v>
      </c>
      <c r="C247" s="14">
        <f t="shared" si="40"/>
        <v>19.166666666666668</v>
      </c>
      <c r="D247" s="11">
        <f t="shared" si="41"/>
        <v>775.01860902291014</v>
      </c>
      <c r="E247" s="24">
        <f t="shared" si="42"/>
        <v>696.36290160257477</v>
      </c>
      <c r="F247" s="24">
        <f t="shared" si="35"/>
        <v>1966.3926855083844</v>
      </c>
      <c r="G247" s="14">
        <f t="shared" si="36"/>
        <v>12835.273923607749</v>
      </c>
      <c r="H247" s="24">
        <f t="shared" si="43"/>
        <v>978.26959851755714</v>
      </c>
      <c r="I247" s="12">
        <f t="shared" si="37"/>
        <v>1.2088625240632671</v>
      </c>
      <c r="J247" s="3">
        <f t="shared" si="38"/>
        <v>0.7</v>
      </c>
    </row>
    <row r="248" spans="2:10" x14ac:dyDescent="0.25">
      <c r="B248" s="3">
        <f t="shared" si="39"/>
        <v>1155</v>
      </c>
      <c r="C248" s="14">
        <f t="shared" si="40"/>
        <v>19.25</v>
      </c>
      <c r="D248" s="11">
        <f t="shared" si="41"/>
        <v>775.6644358687505</v>
      </c>
      <c r="E248" s="24">
        <f t="shared" si="42"/>
        <v>697.57176412663807</v>
      </c>
      <c r="F248" s="24">
        <f t="shared" si="35"/>
        <v>1952.3167935528109</v>
      </c>
      <c r="G248" s="14">
        <f t="shared" si="36"/>
        <v>12778.263713700533</v>
      </c>
      <c r="H248" s="24">
        <f t="shared" si="43"/>
        <v>987.60690960465547</v>
      </c>
      <c r="I248" s="12">
        <f t="shared" si="37"/>
        <v>1.1916825933842725</v>
      </c>
      <c r="J248" s="3">
        <f t="shared" si="38"/>
        <v>0.7</v>
      </c>
    </row>
    <row r="249" spans="2:10" x14ac:dyDescent="0.25">
      <c r="B249" s="3">
        <f t="shared" si="39"/>
        <v>1160</v>
      </c>
      <c r="C249" s="14">
        <f t="shared" si="40"/>
        <v>19.333333333333332</v>
      </c>
      <c r="D249" s="11">
        <f t="shared" si="41"/>
        <v>776.30749091702512</v>
      </c>
      <c r="E249" s="24">
        <f t="shared" si="42"/>
        <v>698.76344672002233</v>
      </c>
      <c r="F249" s="24">
        <f t="shared" si="35"/>
        <v>1938.6011049250696</v>
      </c>
      <c r="G249" s="14">
        <f t="shared" si="36"/>
        <v>12722.810874311148</v>
      </c>
      <c r="H249" s="24">
        <f t="shared" si="43"/>
        <v>997.37467267378179</v>
      </c>
      <c r="I249" s="12">
        <f t="shared" si="37"/>
        <v>1.1744710478365348</v>
      </c>
      <c r="J249" s="3">
        <f t="shared" si="38"/>
        <v>0.7</v>
      </c>
    </row>
    <row r="250" spans="2:10" x14ac:dyDescent="0.25">
      <c r="B250" s="3">
        <f t="shared" si="39"/>
        <v>1165</v>
      </c>
      <c r="C250" s="14">
        <f t="shared" si="40"/>
        <v>19.416666666666668</v>
      </c>
      <c r="D250" s="11">
        <f t="shared" si="41"/>
        <v>776.94779785842013</v>
      </c>
      <c r="E250" s="24">
        <f t="shared" si="42"/>
        <v>699.93791776785883</v>
      </c>
      <c r="F250" s="24">
        <f t="shared" si="35"/>
        <v>1925.2470022640323</v>
      </c>
      <c r="G250" s="14">
        <f t="shared" si="36"/>
        <v>12668.94786882114</v>
      </c>
      <c r="H250" s="24">
        <f t="shared" si="43"/>
        <v>1007.5998084576829</v>
      </c>
      <c r="I250" s="12">
        <f t="shared" si="37"/>
        <v>1.1572226307588196</v>
      </c>
      <c r="J250" s="3">
        <f t="shared" si="38"/>
        <v>0.7</v>
      </c>
    </row>
    <row r="251" spans="2:10" x14ac:dyDescent="0.25">
      <c r="B251" s="3">
        <f t="shared" si="39"/>
        <v>1170</v>
      </c>
      <c r="C251" s="14">
        <f t="shared" si="40"/>
        <v>19.5</v>
      </c>
      <c r="D251" s="11">
        <f t="shared" si="41"/>
        <v>777.58538008118558</v>
      </c>
      <c r="E251" s="24">
        <f t="shared" si="42"/>
        <v>701.09514039861767</v>
      </c>
      <c r="F251" s="24">
        <f t="shared" si="35"/>
        <v>1912.2559920641975</v>
      </c>
      <c r="G251" s="14">
        <f t="shared" si="36"/>
        <v>12616.707712952764</v>
      </c>
      <c r="H251" s="24">
        <f t="shared" si="43"/>
        <v>1018.3113254036873</v>
      </c>
      <c r="I251" s="12">
        <f t="shared" si="37"/>
        <v>1.1399319295517483</v>
      </c>
      <c r="J251" s="3">
        <f t="shared" si="38"/>
        <v>0.7</v>
      </c>
    </row>
    <row r="252" spans="2:10" x14ac:dyDescent="0.25">
      <c r="B252" s="3">
        <f t="shared" si="39"/>
        <v>1175</v>
      </c>
      <c r="C252" s="14">
        <f t="shared" si="40"/>
        <v>19.583333333333332</v>
      </c>
      <c r="D252" s="11">
        <f t="shared" si="41"/>
        <v>778.22026067626143</v>
      </c>
      <c r="E252" s="24">
        <f t="shared" si="42"/>
        <v>702.23507232816939</v>
      </c>
      <c r="F252" s="24">
        <f t="shared" si="35"/>
        <v>1899.6297087023008</v>
      </c>
      <c r="G252" s="14">
        <f t="shared" si="36"/>
        <v>12566.124004924748</v>
      </c>
      <c r="H252" s="24">
        <f t="shared" si="43"/>
        <v>1029.5405087157694</v>
      </c>
      <c r="I252" s="12">
        <f t="shared" si="37"/>
        <v>1.122593390864967</v>
      </c>
      <c r="J252" s="3">
        <f t="shared" si="38"/>
        <v>0.7</v>
      </c>
    </row>
    <row r="253" spans="2:10" x14ac:dyDescent="0.25">
      <c r="B253" s="3">
        <f t="shared" si="39"/>
        <v>1180</v>
      </c>
      <c r="C253" s="14">
        <f t="shared" si="40"/>
        <v>19.666666666666668</v>
      </c>
      <c r="D253" s="11">
        <f t="shared" si="41"/>
        <v>778.85246244229529</v>
      </c>
      <c r="E253" s="24">
        <f t="shared" si="42"/>
        <v>703.35766571903434</v>
      </c>
      <c r="F253" s="24">
        <f t="shared" si="35"/>
        <v>1887.3699180815238</v>
      </c>
      <c r="G253" s="14">
        <f t="shared" si="36"/>
        <v>12517.230953325892</v>
      </c>
      <c r="H253" s="24">
        <f t="shared" si="43"/>
        <v>1041.3211286095116</v>
      </c>
      <c r="I253" s="12">
        <f t="shared" si="37"/>
        <v>1.1052013386397106</v>
      </c>
      <c r="J253" s="3">
        <f t="shared" si="38"/>
        <v>0.7</v>
      </c>
    </row>
    <row r="254" spans="2:10" x14ac:dyDescent="0.25">
      <c r="B254" s="3">
        <f t="shared" si="39"/>
        <v>1185</v>
      </c>
      <c r="C254" s="14">
        <f t="shared" si="40"/>
        <v>19.75</v>
      </c>
      <c r="D254" s="11">
        <f t="shared" si="41"/>
        <v>779.48200789055568</v>
      </c>
      <c r="E254" s="24">
        <f t="shared" si="42"/>
        <v>704.46286705767409</v>
      </c>
      <c r="F254" s="24">
        <f t="shared" si="35"/>
        <v>1875.4785208220396</v>
      </c>
      <c r="G254" s="14">
        <f t="shared" si="36"/>
        <v>12470.063402195545</v>
      </c>
      <c r="H254" s="24">
        <f t="shared" si="43"/>
        <v>1053.6896699058816</v>
      </c>
      <c r="I254" s="12">
        <f t="shared" si="37"/>
        <v>1.0877499953541174</v>
      </c>
      <c r="J254" s="3">
        <f t="shared" si="38"/>
        <v>0.7</v>
      </c>
    </row>
    <row r="255" spans="2:10" x14ac:dyDescent="0.25">
      <c r="B255" s="3">
        <f t="shared" si="39"/>
        <v>1190</v>
      </c>
      <c r="C255" s="14">
        <f t="shared" si="40"/>
        <v>19.833333333333332</v>
      </c>
      <c r="D255" s="11">
        <f t="shared" si="41"/>
        <v>780.10891924974067</v>
      </c>
      <c r="E255" s="24">
        <f t="shared" si="42"/>
        <v>705.55061705302819</v>
      </c>
      <c r="F255" s="24">
        <f t="shared" si="35"/>
        <v>1863.9575549178119</v>
      </c>
      <c r="G255" s="14">
        <f t="shared" si="36"/>
        <v>12424.656852738914</v>
      </c>
      <c r="H255" s="24">
        <f t="shared" si="43"/>
        <v>1066.6855853390998</v>
      </c>
      <c r="I255" s="12">
        <f t="shared" si="37"/>
        <v>1.070233506844499</v>
      </c>
      <c r="J255" s="3">
        <f t="shared" si="38"/>
        <v>0.7</v>
      </c>
    </row>
    <row r="256" spans="2:10" x14ac:dyDescent="0.25">
      <c r="B256" s="3">
        <f t="shared" si="39"/>
        <v>1195</v>
      </c>
      <c r="C256" s="14">
        <f t="shared" si="40"/>
        <v>19.916666666666668</v>
      </c>
      <c r="D256" s="11">
        <f t="shared" si="41"/>
        <v>780.73321847068837</v>
      </c>
      <c r="E256" s="24">
        <f t="shared" si="42"/>
        <v>706.62085055987268</v>
      </c>
      <c r="F256" s="24">
        <f t="shared" si="35"/>
        <v>1852.8091977703923</v>
      </c>
      <c r="G256" s="14">
        <f t="shared" si="36"/>
        <v>12381.047481040534</v>
      </c>
      <c r="H256" s="24">
        <f t="shared" si="43"/>
        <v>1080.3515752333676</v>
      </c>
      <c r="I256" s="12">
        <f t="shared" si="37"/>
        <v>1.052645971100322</v>
      </c>
      <c r="J256" s="3">
        <f t="shared" si="38"/>
        <v>0.7</v>
      </c>
    </row>
    <row r="257" spans="2:10" x14ac:dyDescent="0.25">
      <c r="B257" s="3">
        <f t="shared" si="39"/>
        <v>1200</v>
      </c>
      <c r="C257" s="14">
        <f t="shared" si="40"/>
        <v>20</v>
      </c>
      <c r="D257" s="11">
        <f t="shared" si="41"/>
        <v>781.3549272309881</v>
      </c>
      <c r="E257" s="24">
        <f t="shared" si="42"/>
        <v>707.67349653097301</v>
      </c>
      <c r="F257" s="24">
        <f t="shared" si="35"/>
        <v>1842.035767500377</v>
      </c>
      <c r="G257" s="14">
        <f t="shared" si="36"/>
        <v>12339.272151067811</v>
      </c>
      <c r="H257" s="24">
        <f t="shared" si="43"/>
        <v>1094.7338965165959</v>
      </c>
      <c r="I257" s="12">
        <f t="shared" si="37"/>
        <v>1.0349814714524606</v>
      </c>
      <c r="J257" s="3">
        <f t="shared" si="38"/>
        <v>0.7</v>
      </c>
    </row>
    <row r="258" spans="2:10" x14ac:dyDescent="0.25">
      <c r="B258" s="3">
        <f t="shared" si="39"/>
        <v>1205</v>
      </c>
      <c r="C258" s="14">
        <f t="shared" si="40"/>
        <v>20.083333333333332</v>
      </c>
      <c r="D258" s="11">
        <f t="shared" si="41"/>
        <v>781.97406693949733</v>
      </c>
      <c r="E258" s="24">
        <f t="shared" si="42"/>
        <v>708.70847800242552</v>
      </c>
      <c r="F258" s="24">
        <f t="shared" si="35"/>
        <v>1831.6397234267952</v>
      </c>
      <c r="G258" s="14">
        <f t="shared" si="36"/>
        <v>12299.36842218369</v>
      </c>
      <c r="H258" s="24">
        <f t="shared" si="43"/>
        <v>1109.8827043905962</v>
      </c>
      <c r="I258" s="12">
        <f t="shared" si="37"/>
        <v>1.0172341145924393</v>
      </c>
      <c r="J258" s="3">
        <f t="shared" si="38"/>
        <v>0.7</v>
      </c>
    </row>
    <row r="259" spans="2:10" x14ac:dyDescent="0.25">
      <c r="B259" s="3">
        <f t="shared" si="39"/>
        <v>1210</v>
      </c>
      <c r="C259" s="14">
        <f t="shared" si="40"/>
        <v>20.166666666666668</v>
      </c>
      <c r="D259" s="11">
        <f t="shared" si="41"/>
        <v>782.59065874076532</v>
      </c>
      <c r="E259" s="24">
        <f t="shared" si="42"/>
        <v>709.72571211701791</v>
      </c>
      <c r="F259" s="24">
        <f t="shared" si="35"/>
        <v>1821.6236655936855</v>
      </c>
      <c r="G259" s="14">
        <f t="shared" si="36"/>
        <v>12261.374550309763</v>
      </c>
      <c r="H259" s="24">
        <f t="shared" si="43"/>
        <v>1125.8524303710483</v>
      </c>
      <c r="I259" s="12">
        <f t="shared" si="37"/>
        <v>0.99939807387288981</v>
      </c>
      <c r="J259" s="3">
        <f t="shared" si="38"/>
        <v>0.7</v>
      </c>
    </row>
    <row r="260" spans="2:10" x14ac:dyDescent="0.25">
      <c r="B260" s="3">
        <f t="shared" si="39"/>
        <v>1215</v>
      </c>
      <c r="C260" s="14">
        <f t="shared" si="40"/>
        <v>20.25</v>
      </c>
      <c r="D260" s="11">
        <f t="shared" si="41"/>
        <v>783.20472351936542</v>
      </c>
      <c r="E260" s="24">
        <f t="shared" si="42"/>
        <v>710.72511019089075</v>
      </c>
      <c r="F260" s="24">
        <f t="shared" si="35"/>
        <v>1811.9903332118668</v>
      </c>
      <c r="G260" s="14">
        <f t="shared" si="36"/>
        <v>12225.329481800864</v>
      </c>
      <c r="H260" s="24">
        <f t="shared" si="43"/>
        <v>1142.7022008520671</v>
      </c>
      <c r="I260" s="12">
        <f t="shared" si="37"/>
        <v>0.98146763834446504</v>
      </c>
      <c r="J260" s="3">
        <f t="shared" si="38"/>
        <v>0.7</v>
      </c>
    </row>
    <row r="261" spans="2:10" x14ac:dyDescent="0.25">
      <c r="B261" s="3">
        <f t="shared" si="39"/>
        <v>1220</v>
      </c>
      <c r="C261" s="14">
        <f t="shared" si="40"/>
        <v>20.333333333333332</v>
      </c>
      <c r="D261" s="11">
        <f t="shared" si="41"/>
        <v>783.81628190414062</v>
      </c>
      <c r="E261" s="24">
        <f t="shared" si="42"/>
        <v>711.70657782923524</v>
      </c>
      <c r="F261" s="24">
        <f t="shared" si="35"/>
        <v>1802.7426018726346</v>
      </c>
      <c r="G261" s="14">
        <f t="shared" si="36"/>
        <v>12191.272839013245</v>
      </c>
      <c r="H261" s="24">
        <f t="shared" si="43"/>
        <v>1160.496300845035</v>
      </c>
      <c r="I261" s="12">
        <f t="shared" si="37"/>
        <v>0.96343726797988594</v>
      </c>
      <c r="J261" s="3">
        <f t="shared" si="38"/>
        <v>0.7</v>
      </c>
    </row>
    <row r="262" spans="2:10" x14ac:dyDescent="0.25">
      <c r="B262" s="3">
        <f t="shared" si="39"/>
        <v>1225</v>
      </c>
      <c r="C262" s="14">
        <f t="shared" si="40"/>
        <v>20.416666666666668</v>
      </c>
      <c r="D262" s="11">
        <f t="shared" si="41"/>
        <v>784.42535427236078</v>
      </c>
      <c r="E262" s="24">
        <f t="shared" si="42"/>
        <v>712.67001509721513</v>
      </c>
      <c r="F262" s="24">
        <f t="shared" si="35"/>
        <v>1793.8834793786414</v>
      </c>
      <c r="G262" s="14">
        <f t="shared" si="36"/>
        <v>12159.244896465774</v>
      </c>
      <c r="H262" s="24">
        <f t="shared" si="43"/>
        <v>1179.3046880959851</v>
      </c>
      <c r="I262" s="12">
        <f t="shared" si="37"/>
        <v>0.94530165551831724</v>
      </c>
      <c r="J262" s="3">
        <f t="shared" si="38"/>
        <v>0.7</v>
      </c>
    </row>
    <row r="263" spans="2:10" x14ac:dyDescent="0.25">
      <c r="B263" s="3">
        <f t="shared" si="39"/>
        <v>1230</v>
      </c>
      <c r="C263" s="14">
        <f t="shared" si="40"/>
        <v>20.5</v>
      </c>
      <c r="D263" s="11">
        <f t="shared" si="41"/>
        <v>785.03196075379753</v>
      </c>
      <c r="E263" s="24">
        <f t="shared" si="42"/>
        <v>713.61531675273341</v>
      </c>
      <c r="F263" s="24">
        <f t="shared" si="35"/>
        <v>1785.4161000266031</v>
      </c>
      <c r="G263" s="14">
        <f t="shared" si="36"/>
        <v>12129.286546418662</v>
      </c>
      <c r="H263" s="24">
        <f t="shared" si="43"/>
        <v>1199.2035634072656</v>
      </c>
      <c r="I263" s="12">
        <f t="shared" si="37"/>
        <v>0.92705579533062088</v>
      </c>
      <c r="J263" s="3">
        <f t="shared" si="38"/>
        <v>0.7</v>
      </c>
    </row>
    <row r="264" spans="2:10" x14ac:dyDescent="0.25">
      <c r="B264" s="3">
        <f t="shared" si="39"/>
        <v>1235</v>
      </c>
      <c r="C264" s="14">
        <f t="shared" si="40"/>
        <v>20.583333333333332</v>
      </c>
      <c r="D264" s="11">
        <f t="shared" si="41"/>
        <v>785.63612123471592</v>
      </c>
      <c r="E264" s="24">
        <f t="shared" si="42"/>
        <v>714.54237254806401</v>
      </c>
      <c r="F264" s="24">
        <f t="shared" si="35"/>
        <v>1777.3437171662977</v>
      </c>
      <c r="G264" s="14">
        <f t="shared" si="36"/>
        <v>12101.439252620627</v>
      </c>
      <c r="H264" s="24">
        <f t="shared" si="43"/>
        <v>1220.2760036853992</v>
      </c>
      <c r="I264" s="12">
        <f t="shared" si="37"/>
        <v>0.90869505965401509</v>
      </c>
      <c r="J264" s="3">
        <f t="shared" si="38"/>
        <v>0.7</v>
      </c>
    </row>
    <row r="265" spans="2:10" x14ac:dyDescent="0.25">
      <c r="B265" s="3">
        <f t="shared" si="39"/>
        <v>1240</v>
      </c>
      <c r="C265" s="14">
        <f t="shared" si="40"/>
        <v>20.666666666666668</v>
      </c>
      <c r="D265" s="11">
        <f t="shared" si="41"/>
        <v>786.23785536178582</v>
      </c>
      <c r="E265" s="24">
        <f t="shared" si="42"/>
        <v>715.45106760771807</v>
      </c>
      <c r="F265" s="24">
        <f t="shared" si="35"/>
        <v>1769.6696938516936</v>
      </c>
      <c r="G265" s="14">
        <f t="shared" si="36"/>
        <v>12075.744990913257</v>
      </c>
      <c r="H265" s="24">
        <f t="shared" si="43"/>
        <v>1242.6126650169185</v>
      </c>
      <c r="I265" s="12">
        <f t="shared" si="37"/>
        <v>0.89021528246997672</v>
      </c>
      <c r="J265" s="3">
        <f t="shared" si="38"/>
        <v>0.7</v>
      </c>
    </row>
    <row r="266" spans="2:10" x14ac:dyDescent="0.25">
      <c r="B266" s="3">
        <f t="shared" si="39"/>
        <v>1245</v>
      </c>
      <c r="C266" s="14">
        <f t="shared" si="40"/>
        <v>20.75</v>
      </c>
      <c r="D266" s="11">
        <f t="shared" si="41"/>
        <v>786.83718254591622</v>
      </c>
      <c r="E266" s="24">
        <f t="shared" si="42"/>
        <v>716.34128289018804</v>
      </c>
      <c r="F266" s="24">
        <f t="shared" si="35"/>
        <v>1762.3974913932045</v>
      </c>
      <c r="G266" s="14">
        <f t="shared" si="36"/>
        <v>12052.246175330574</v>
      </c>
      <c r="H266" s="24">
        <f t="shared" si="43"/>
        <v>1266.3125639472782</v>
      </c>
      <c r="I266" s="12">
        <f t="shared" si="37"/>
        <v>0.87161285119759768</v>
      </c>
      <c r="J266" s="3">
        <f t="shared" si="38"/>
        <v>0.7</v>
      </c>
    </row>
    <row r="267" spans="2:10" x14ac:dyDescent="0.25">
      <c r="B267" s="3">
        <f t="shared" si="39"/>
        <v>1250</v>
      </c>
      <c r="C267" s="14">
        <f t="shared" si="40"/>
        <v>20.833333333333332</v>
      </c>
      <c r="D267" s="11">
        <f t="shared" si="41"/>
        <v>787.43412196601128</v>
      </c>
      <c r="E267" s="24">
        <f t="shared" si="42"/>
        <v>717.21289574138564</v>
      </c>
      <c r="F267" s="24">
        <f t="shared" si="35"/>
        <v>1755.5306556156411</v>
      </c>
      <c r="G267" s="14">
        <f t="shared" si="36"/>
        <v>12030.985568299033</v>
      </c>
      <c r="H267" s="24">
        <f t="shared" si="43"/>
        <v>1291.4839461158645</v>
      </c>
      <c r="I267" s="12">
        <f t="shared" si="37"/>
        <v>0.85288480624194418</v>
      </c>
      <c r="J267" s="3">
        <f t="shared" si="38"/>
        <v>0.7</v>
      </c>
    </row>
    <row r="268" spans="2:10" x14ac:dyDescent="0.25">
      <c r="B268" s="3">
        <f t="shared" si="39"/>
        <v>1255</v>
      </c>
      <c r="C268" s="14">
        <f t="shared" si="40"/>
        <v>20.916666666666668</v>
      </c>
      <c r="D268" s="11">
        <f t="shared" si="41"/>
        <v>788.02869257265456</v>
      </c>
      <c r="E268" s="24">
        <f t="shared" si="42"/>
        <v>718.06578054762758</v>
      </c>
      <c r="F268" s="24">
        <f t="shared" si="35"/>
        <v>1749.0728006256745</v>
      </c>
      <c r="G268" s="14">
        <f t="shared" si="36"/>
        <v>12012.006173532949</v>
      </c>
      <c r="H268" s="24">
        <f t="shared" si="43"/>
        <v>1318.2452524948301</v>
      </c>
      <c r="I268" s="12">
        <f t="shared" si="37"/>
        <v>0.83402894826926022</v>
      </c>
      <c r="J268" s="3">
        <f t="shared" si="38"/>
        <v>0.7</v>
      </c>
    </row>
    <row r="269" spans="2:10" x14ac:dyDescent="0.25">
      <c r="B269" s="3">
        <f t="shared" si="39"/>
        <v>1260</v>
      </c>
      <c r="C269" s="14">
        <f t="shared" si="40"/>
        <v>21</v>
      </c>
      <c r="D269" s="11">
        <f t="shared" si="41"/>
        <v>788.62091309171728</v>
      </c>
      <c r="E269" s="24">
        <f t="shared" si="42"/>
        <v>718.89980949589687</v>
      </c>
      <c r="F269" s="24">
        <f t="shared" si="35"/>
        <v>1743.0275898955101</v>
      </c>
      <c r="G269" s="14">
        <f t="shared" si="36"/>
        <v>11995.351110239619</v>
      </c>
      <c r="H269" s="24">
        <f t="shared" si="43"/>
        <v>1346.7261947050683</v>
      </c>
      <c r="I269" s="12">
        <f t="shared" si="37"/>
        <v>0.81504395287416775</v>
      </c>
      <c r="J269" s="3">
        <f t="shared" si="38"/>
        <v>0.7</v>
      </c>
    </row>
    <row r="270" spans="2:10" x14ac:dyDescent="0.25">
      <c r="B270" s="3">
        <f t="shared" si="39"/>
        <v>1265</v>
      </c>
      <c r="C270" s="14">
        <f t="shared" si="40"/>
        <v>21.083333333333332</v>
      </c>
      <c r="D270" s="11">
        <f t="shared" si="41"/>
        <v>789.21080202789813</v>
      </c>
      <c r="E270" s="24">
        <f t="shared" si="42"/>
        <v>719.71485344877101</v>
      </c>
      <c r="F270" s="24">
        <f t="shared" si="35"/>
        <v>1737.3987144781779</v>
      </c>
      <c r="G270" s="14">
        <f t="shared" si="36"/>
        <v>11981.063467302314</v>
      </c>
      <c r="H270" s="24">
        <f t="shared" si="43"/>
        <v>1377.0689522543698</v>
      </c>
      <c r="I270" s="12">
        <f t="shared" si="37"/>
        <v>0.79592949205534913</v>
      </c>
      <c r="J270" s="3">
        <f t="shared" si="38"/>
        <v>0.7</v>
      </c>
    </row>
    <row r="271" spans="2:10" x14ac:dyDescent="0.25">
      <c r="B271" s="3">
        <f t="shared" si="39"/>
        <v>1270</v>
      </c>
      <c r="C271" s="14">
        <f t="shared" si="40"/>
        <v>21.166666666666668</v>
      </c>
      <c r="D271" s="11">
        <f t="shared" si="41"/>
        <v>789.79837766819219</v>
      </c>
      <c r="E271" s="24">
        <f t="shared" si="42"/>
        <v>720.5107829408264</v>
      </c>
      <c r="F271" s="24">
        <f t="shared" si="35"/>
        <v>1732.1898681841446</v>
      </c>
      <c r="G271" s="14">
        <f t="shared" si="36"/>
        <v>11969.186136207974</v>
      </c>
      <c r="H271" s="24">
        <f t="shared" si="43"/>
        <v>1409.429506078437</v>
      </c>
      <c r="I271" s="12">
        <f t="shared" si="37"/>
        <v>0.7766863616234384</v>
      </c>
      <c r="J271" s="3">
        <f t="shared" si="38"/>
        <v>0.7</v>
      </c>
    </row>
    <row r="272" spans="2:10" x14ac:dyDescent="0.25">
      <c r="B272" s="3">
        <f t="shared" si="39"/>
        <v>1275</v>
      </c>
      <c r="C272" s="14">
        <f t="shared" si="40"/>
        <v>21.25</v>
      </c>
      <c r="D272" s="11">
        <f t="shared" si="41"/>
        <v>790.38365808529295</v>
      </c>
      <c r="E272" s="24">
        <f t="shared" si="42"/>
        <v>721.28746930244984</v>
      </c>
      <c r="F272" s="24">
        <f t="shared" si="35"/>
        <v>1727.4047195710777</v>
      </c>
      <c r="G272" s="14">
        <f t="shared" si="36"/>
        <v>11959.761621634132</v>
      </c>
      <c r="H272" s="24">
        <f t="shared" si="43"/>
        <v>1443.9791244844755</v>
      </c>
      <c r="I272" s="12">
        <f t="shared" si="37"/>
        <v>0.75731661332747291</v>
      </c>
      <c r="J272" s="3">
        <f t="shared" si="38"/>
        <v>0.7</v>
      </c>
    </row>
    <row r="273" spans="2:10" x14ac:dyDescent="0.25">
      <c r="B273" s="3">
        <f t="shared" si="39"/>
        <v>1280</v>
      </c>
      <c r="C273" s="14">
        <f t="shared" si="40"/>
        <v>21.333333333333332</v>
      </c>
      <c r="D273" s="11">
        <f t="shared" si="41"/>
        <v>790.96666114092716</v>
      </c>
      <c r="E273" s="24">
        <f t="shared" si="42"/>
        <v>722.04478591577731</v>
      </c>
      <c r="F273" s="24">
        <f t="shared" ref="F273:F336" si="44">AlphaC*(D273-E273)</f>
        <v>1723.0468806287463</v>
      </c>
      <c r="G273" s="14">
        <f t="shared" ref="G273:G336" si="45">Phi*EpsilonF*Botzman/10^8*J273*((D273+273)^4-(E273+273)^4)</f>
        <v>11952.831828817318</v>
      </c>
      <c r="H273" s="24">
        <f t="shared" si="43"/>
        <v>1480.9060195222969</v>
      </c>
      <c r="I273" s="12">
        <f t="shared" ref="I273:I336" si="46">ksh*Massivete/(H273*RhoA)*DeltaT*(F273+G273)</f>
        <v>0.73782369010584792</v>
      </c>
      <c r="J273" s="3">
        <f t="shared" ref="J273:J336" si="47">IF(E273&lt;=500,IF(Galva=Oui,0.35,0.7),0.7)</f>
        <v>0.7</v>
      </c>
    </row>
    <row r="274" spans="2:10" x14ac:dyDescent="0.25">
      <c r="B274" s="3">
        <f t="shared" ref="B274:B337" si="48">B273+DeltaT</f>
        <v>1285</v>
      </c>
      <c r="C274" s="14">
        <f t="shared" ref="C274:C337" si="49">B274/60</f>
        <v>21.416666666666668</v>
      </c>
      <c r="D274" s="11">
        <f t="shared" ref="D274:D337" si="50">20+345*LOG(8*C274+1,10)</f>
        <v>791.54740448912651</v>
      </c>
      <c r="E274" s="24">
        <f t="shared" si="42"/>
        <v>722.78260960588318</v>
      </c>
      <c r="F274" s="24">
        <f t="shared" si="44"/>
        <v>1719.119872081083</v>
      </c>
      <c r="G274" s="14">
        <f t="shared" si="45"/>
        <v>11948.437827099127</v>
      </c>
      <c r="H274" s="24">
        <f t="shared" si="43"/>
        <v>1520.4171939642615</v>
      </c>
      <c r="I274" s="12">
        <f t="shared" si="46"/>
        <v>0.71821256244887899</v>
      </c>
      <c r="J274" s="3">
        <f t="shared" si="47"/>
        <v>0.7</v>
      </c>
    </row>
    <row r="275" spans="2:10" x14ac:dyDescent="0.25">
      <c r="B275" s="3">
        <f t="shared" si="48"/>
        <v>1290</v>
      </c>
      <c r="C275" s="14">
        <f t="shared" si="49"/>
        <v>21.5</v>
      </c>
      <c r="D275" s="11">
        <f t="shared" si="50"/>
        <v>792.1259055794344</v>
      </c>
      <c r="E275" s="24">
        <f t="shared" si="42"/>
        <v>723.50082216833209</v>
      </c>
      <c r="F275" s="24">
        <f t="shared" si="44"/>
        <v>1715.6270852775579</v>
      </c>
      <c r="G275" s="14">
        <f t="shared" si="45"/>
        <v>11946.619589390695</v>
      </c>
      <c r="H275" s="24">
        <f t="shared" si="43"/>
        <v>1562.7405014925816</v>
      </c>
      <c r="I275" s="12">
        <f t="shared" si="46"/>
        <v>0.69848986341021424</v>
      </c>
      <c r="J275" s="3">
        <f t="shared" si="47"/>
        <v>0.7</v>
      </c>
    </row>
    <row r="276" spans="2:10" x14ac:dyDescent="0.25">
      <c r="B276" s="3">
        <f t="shared" si="48"/>
        <v>1295</v>
      </c>
      <c r="C276" s="14">
        <f t="shared" si="49"/>
        <v>21.583333333333332</v>
      </c>
      <c r="D276" s="11">
        <f t="shared" si="50"/>
        <v>792.70218166005225</v>
      </c>
      <c r="E276" s="24">
        <f t="shared" si="42"/>
        <v>724.19931203174235</v>
      </c>
      <c r="F276" s="24">
        <f t="shared" si="44"/>
        <v>1712.5717407077473</v>
      </c>
      <c r="G276" s="14">
        <f t="shared" si="45"/>
        <v>11947.415707724957</v>
      </c>
      <c r="H276" s="24">
        <f t="shared" si="43"/>
        <v>1608.1269454033977</v>
      </c>
      <c r="I276" s="12">
        <f t="shared" si="46"/>
        <v>0.67866401933604159</v>
      </c>
      <c r="J276" s="3">
        <f t="shared" si="47"/>
        <v>0.7</v>
      </c>
    </row>
    <row r="277" spans="2:10" x14ac:dyDescent="0.25">
      <c r="B277" s="3">
        <f t="shared" si="48"/>
        <v>1300</v>
      </c>
      <c r="C277" s="14">
        <f t="shared" si="49"/>
        <v>21.666666666666668</v>
      </c>
      <c r="D277" s="11">
        <f t="shared" si="50"/>
        <v>793.27624978092604</v>
      </c>
      <c r="E277" s="24">
        <f t="shared" si="42"/>
        <v>724.87797605107835</v>
      </c>
      <c r="F277" s="24">
        <f t="shared" si="44"/>
        <v>1709.9568432461922</v>
      </c>
      <c r="G277" s="14">
        <f t="shared" si="45"/>
        <v>11950.86308556915</v>
      </c>
      <c r="H277" s="24">
        <f t="shared" si="43"/>
        <v>1656.8532441802536</v>
      </c>
      <c r="I277" s="12">
        <f t="shared" si="46"/>
        <v>0.65874537290997859</v>
      </c>
      <c r="J277" s="3">
        <f t="shared" si="47"/>
        <v>0.7</v>
      </c>
    </row>
    <row r="278" spans="2:10" x14ac:dyDescent="0.25">
      <c r="B278" s="3">
        <f t="shared" si="48"/>
        <v>1305</v>
      </c>
      <c r="C278" s="14">
        <f t="shared" si="49"/>
        <v>21.75</v>
      </c>
      <c r="D278" s="11">
        <f t="shared" si="50"/>
        <v>793.84812679677157</v>
      </c>
      <c r="E278" s="24">
        <f t="shared" si="42"/>
        <v>725.5367214239883</v>
      </c>
      <c r="F278" s="24">
        <f t="shared" si="44"/>
        <v>1707.7851343195816</v>
      </c>
      <c r="G278" s="14">
        <f t="shared" si="45"/>
        <v>11956.996608162324</v>
      </c>
      <c r="H278" s="24">
        <f t="shared" si="43"/>
        <v>1709.2246957092962</v>
      </c>
      <c r="I278" s="12">
        <f t="shared" si="46"/>
        <v>0.63874629466000299</v>
      </c>
      <c r="J278" s="3">
        <f t="shared" si="47"/>
        <v>0.7</v>
      </c>
    </row>
    <row r="279" spans="2:10" x14ac:dyDescent="0.25">
      <c r="B279" s="3">
        <f t="shared" si="48"/>
        <v>1310</v>
      </c>
      <c r="C279" s="14">
        <f t="shared" si="49"/>
        <v>21.833333333333332</v>
      </c>
      <c r="D279" s="11">
        <f t="shared" si="50"/>
        <v>794.41782937004484</v>
      </c>
      <c r="E279" s="24">
        <f t="shared" si="42"/>
        <v>726.17546771864829</v>
      </c>
      <c r="F279" s="24">
        <f t="shared" si="44"/>
        <v>1706.0590412849137</v>
      </c>
      <c r="G279" s="14">
        <f t="shared" si="45"/>
        <v>11965.848792811454</v>
      </c>
      <c r="H279" s="24">
        <f t="shared" si="43"/>
        <v>1765.5783757557379</v>
      </c>
      <c r="I279" s="12">
        <f t="shared" si="46"/>
        <v>0.61868127866788036</v>
      </c>
      <c r="J279" s="3">
        <f t="shared" si="47"/>
        <v>0.7</v>
      </c>
    </row>
    <row r="280" spans="2:10" x14ac:dyDescent="0.25">
      <c r="B280" s="3">
        <f t="shared" si="48"/>
        <v>1315</v>
      </c>
      <c r="C280" s="14">
        <f t="shared" si="49"/>
        <v>21.916666666666668</v>
      </c>
      <c r="D280" s="11">
        <f t="shared" si="50"/>
        <v>794.98537397385542</v>
      </c>
      <c r="E280" s="24">
        <f t="shared" si="42"/>
        <v>726.79414899731614</v>
      </c>
      <c r="F280" s="24">
        <f t="shared" si="44"/>
        <v>1704.7806244134817</v>
      </c>
      <c r="G280" s="14">
        <f t="shared" si="45"/>
        <v>11977.449421819463</v>
      </c>
      <c r="H280" s="24">
        <f t="shared" si="43"/>
        <v>1826.2867106555277</v>
      </c>
      <c r="I280" s="12">
        <f t="shared" si="46"/>
        <v>0.59856701789238431</v>
      </c>
      <c r="J280" s="3">
        <f t="shared" si="47"/>
        <v>0.7</v>
      </c>
    </row>
    <row r="281" spans="2:10" x14ac:dyDescent="0.25">
      <c r="B281" s="3">
        <f t="shared" si="48"/>
        <v>1320</v>
      </c>
      <c r="C281" s="14">
        <f t="shared" si="49"/>
        <v>22</v>
      </c>
      <c r="D281" s="11">
        <f t="shared" si="50"/>
        <v>795.55077689482323</v>
      </c>
      <c r="E281" s="24">
        <f t="shared" si="42"/>
        <v>727.39271601520852</v>
      </c>
      <c r="F281" s="24">
        <f t="shared" si="44"/>
        <v>1703.9515219903678</v>
      </c>
      <c r="G281" s="14">
        <f t="shared" si="45"/>
        <v>11991.825161517898</v>
      </c>
      <c r="H281" s="24">
        <f t="shared" si="43"/>
        <v>1891.7614690661642</v>
      </c>
      <c r="I281" s="12">
        <f t="shared" si="46"/>
        <v>0.57842245430048078</v>
      </c>
      <c r="J281" s="3">
        <f t="shared" si="47"/>
        <v>0.7</v>
      </c>
    </row>
    <row r="282" spans="2:10" x14ac:dyDescent="0.25">
      <c r="B282" s="3">
        <f t="shared" si="48"/>
        <v>1325</v>
      </c>
      <c r="C282" s="14">
        <f t="shared" si="49"/>
        <v>22.083333333333332</v>
      </c>
      <c r="D282" s="11">
        <f t="shared" si="50"/>
        <v>796.11405423588383</v>
      </c>
      <c r="E282" s="24">
        <f t="shared" si="42"/>
        <v>727.97113846950901</v>
      </c>
      <c r="F282" s="24">
        <f t="shared" si="44"/>
        <v>1703.5728941593702</v>
      </c>
      <c r="G282" s="14">
        <f t="shared" si="45"/>
        <v>12008.999171718431</v>
      </c>
      <c r="H282" s="24">
        <f t="shared" si="43"/>
        <v>1962.4582231462375</v>
      </c>
      <c r="I282" s="12">
        <f t="shared" si="46"/>
        <v>0.55826879893275061</v>
      </c>
      <c r="J282" s="3">
        <f t="shared" si="47"/>
        <v>0.7</v>
      </c>
    </row>
    <row r="283" spans="2:10" x14ac:dyDescent="0.25">
      <c r="B283" s="3">
        <f t="shared" si="48"/>
        <v>1330</v>
      </c>
      <c r="C283" s="14">
        <f t="shared" si="49"/>
        <v>22.166666666666668</v>
      </c>
      <c r="D283" s="11">
        <f t="shared" si="50"/>
        <v>796.67522191904027</v>
      </c>
      <c r="E283" s="24">
        <f t="shared" si="42"/>
        <v>728.52940726844179</v>
      </c>
      <c r="F283" s="24">
        <f t="shared" si="44"/>
        <v>1703.6453662649619</v>
      </c>
      <c r="G283" s="14">
        <f t="shared" si="45"/>
        <v>12028.990710745009</v>
      </c>
      <c r="H283" s="24">
        <f t="shared" si="43"/>
        <v>2038.8813357873914</v>
      </c>
      <c r="I283" s="12">
        <f t="shared" si="46"/>
        <v>0.53812951714740287</v>
      </c>
      <c r="J283" s="3">
        <f t="shared" si="47"/>
        <v>0.7</v>
      </c>
    </row>
    <row r="284" spans="2:10" x14ac:dyDescent="0.25">
      <c r="B284" s="3">
        <f t="shared" si="48"/>
        <v>1335</v>
      </c>
      <c r="C284" s="14">
        <f t="shared" si="49"/>
        <v>22.25</v>
      </c>
      <c r="D284" s="11">
        <f t="shared" si="50"/>
        <v>797.23429568806307</v>
      </c>
      <c r="E284" s="24">
        <f t="shared" si="42"/>
        <v>729.06753678558914</v>
      </c>
      <c r="F284" s="24">
        <f t="shared" si="44"/>
        <v>1704.1689725618482</v>
      </c>
      <c r="G284" s="14">
        <f t="shared" si="45"/>
        <v>12051.8147420474</v>
      </c>
      <c r="H284" s="24">
        <f t="shared" si="43"/>
        <v>2121.5895376119438</v>
      </c>
      <c r="I284" s="12">
        <f t="shared" si="46"/>
        <v>0.51803027462664719</v>
      </c>
      <c r="J284" s="3">
        <f t="shared" si="47"/>
        <v>0.7</v>
      </c>
    </row>
    <row r="285" spans="2:10" x14ac:dyDescent="0.25">
      <c r="B285" s="3">
        <f t="shared" si="48"/>
        <v>1340</v>
      </c>
      <c r="C285" s="14">
        <f t="shared" si="49"/>
        <v>22.333333333333332</v>
      </c>
      <c r="D285" s="11">
        <f t="shared" si="50"/>
        <v>797.79129111114128</v>
      </c>
      <c r="E285" s="24">
        <f t="shared" si="42"/>
        <v>729.58556706021579</v>
      </c>
      <c r="F285" s="24">
        <f t="shared" si="44"/>
        <v>1705.1431012731371</v>
      </c>
      <c r="G285" s="14">
        <f t="shared" si="45"/>
        <v>12077.481549169897</v>
      </c>
      <c r="H285" s="24">
        <f t="shared" si="43"/>
        <v>2211.2021654989203</v>
      </c>
      <c r="I285" s="12">
        <f t="shared" si="46"/>
        <v>0.49799884031695396</v>
      </c>
      <c r="J285" s="3">
        <f t="shared" si="47"/>
        <v>0.7</v>
      </c>
    </row>
    <row r="286" spans="2:10" x14ac:dyDescent="0.25">
      <c r="B286" s="3">
        <f t="shared" si="48"/>
        <v>1345</v>
      </c>
      <c r="C286" s="14">
        <f t="shared" si="49"/>
        <v>22.416666666666668</v>
      </c>
      <c r="D286" s="11">
        <f t="shared" si="50"/>
        <v>798.34622358348281</v>
      </c>
      <c r="E286" s="24">
        <f t="shared" si="42"/>
        <v>730.08356590053279</v>
      </c>
      <c r="F286" s="24">
        <f t="shared" si="44"/>
        <v>1706.5664420737505</v>
      </c>
      <c r="G286" s="14">
        <f t="shared" si="45"/>
        <v>12105.996366529109</v>
      </c>
      <c r="H286" s="24">
        <f t="shared" si="43"/>
        <v>2308.4061435533276</v>
      </c>
      <c r="I286" s="12">
        <f t="shared" si="46"/>
        <v>0.47806494332945826</v>
      </c>
      <c r="J286" s="3">
        <f t="shared" si="47"/>
        <v>0.7</v>
      </c>
    </row>
    <row r="287" spans="2:10" x14ac:dyDescent="0.25">
      <c r="B287" s="3">
        <f t="shared" si="48"/>
        <v>1350</v>
      </c>
      <c r="C287" s="14">
        <f t="shared" si="49"/>
        <v>22.5</v>
      </c>
      <c r="D287" s="11">
        <f t="shared" si="50"/>
        <v>798.89910832986868</v>
      </c>
      <c r="E287" s="24">
        <f t="shared" si="42"/>
        <v>730.5616308438623</v>
      </c>
      <c r="F287" s="24">
        <f t="shared" si="44"/>
        <v>1708.4369371501593</v>
      </c>
      <c r="G287" s="14">
        <f t="shared" si="45"/>
        <v>12137.359033984572</v>
      </c>
      <c r="H287" s="24">
        <f t="shared" si="43"/>
        <v>2413.9637978536639</v>
      </c>
      <c r="I287" s="12">
        <f t="shared" si="46"/>
        <v>0.45826008195123902</v>
      </c>
      <c r="J287" s="3">
        <f t="shared" si="47"/>
        <v>0.7</v>
      </c>
    </row>
    <row r="288" spans="2:10" x14ac:dyDescent="0.25">
      <c r="B288" s="3">
        <f t="shared" si="48"/>
        <v>1355</v>
      </c>
      <c r="C288" s="14">
        <f t="shared" si="49"/>
        <v>22.583333333333332</v>
      </c>
      <c r="D288" s="11">
        <f t="shared" si="50"/>
        <v>799.44996040715796</v>
      </c>
      <c r="E288" s="24">
        <f t="shared" si="42"/>
        <v>731.01989092581357</v>
      </c>
      <c r="F288" s="24">
        <f t="shared" si="44"/>
        <v>1710.7517370336097</v>
      </c>
      <c r="G288" s="14">
        <f t="shared" si="45"/>
        <v>12171.563683523165</v>
      </c>
      <c r="H288" s="24">
        <f t="shared" si="43"/>
        <v>2528.7216081885445</v>
      </c>
      <c r="I288" s="12">
        <f t="shared" si="46"/>
        <v>0.43861728429858521</v>
      </c>
      <c r="J288" s="3">
        <f t="shared" si="47"/>
        <v>0.7</v>
      </c>
    </row>
    <row r="289" spans="2:10" x14ac:dyDescent="0.25">
      <c r="B289" s="3">
        <f t="shared" si="48"/>
        <v>1360</v>
      </c>
      <c r="C289" s="14">
        <f t="shared" si="49"/>
        <v>22.666666666666668</v>
      </c>
      <c r="D289" s="11">
        <f t="shared" si="50"/>
        <v>799.99879470674989</v>
      </c>
      <c r="E289" s="24">
        <f t="shared" si="42"/>
        <v>731.4585082101122</v>
      </c>
      <c r="F289" s="24">
        <f t="shared" si="44"/>
        <v>1713.5071624159423</v>
      </c>
      <c r="G289" s="14">
        <f t="shared" si="45"/>
        <v>12208.598466481342</v>
      </c>
      <c r="H289" s="24">
        <f t="shared" si="43"/>
        <v>2653.6200135417448</v>
      </c>
      <c r="I289" s="12">
        <f t="shared" si="46"/>
        <v>0.41917082174455472</v>
      </c>
      <c r="J289" s="3">
        <f t="shared" si="47"/>
        <v>0.7</v>
      </c>
    </row>
    <row r="290" spans="2:10" x14ac:dyDescent="0.25">
      <c r="B290" s="3">
        <f t="shared" si="48"/>
        <v>1365</v>
      </c>
      <c r="C290" s="14">
        <f t="shared" si="49"/>
        <v>22.75</v>
      </c>
      <c r="D290" s="11">
        <f t="shared" si="50"/>
        <v>800.54562595699815</v>
      </c>
      <c r="E290" s="24">
        <f t="shared" si="42"/>
        <v>731.8776790318567</v>
      </c>
      <c r="F290" s="24">
        <f t="shared" si="44"/>
        <v>1716.6986731285363</v>
      </c>
      <c r="G290" s="14">
        <f t="shared" si="45"/>
        <v>12248.4453295488</v>
      </c>
      <c r="H290" s="24">
        <f t="shared" si="43"/>
        <v>2789.7044035512376</v>
      </c>
      <c r="I290" s="12">
        <f t="shared" si="46"/>
        <v>0.3999558780182636</v>
      </c>
      <c r="J290" s="3">
        <f t="shared" si="47"/>
        <v>0.7</v>
      </c>
    </row>
    <row r="291" spans="2:10" x14ac:dyDescent="0.25">
      <c r="B291" s="3">
        <f t="shared" si="48"/>
        <v>1370</v>
      </c>
      <c r="C291" s="14">
        <f t="shared" si="49"/>
        <v>22.833333333333332</v>
      </c>
      <c r="D291" s="11">
        <f t="shared" si="50"/>
        <v>801.09046872558224</v>
      </c>
      <c r="E291" s="24">
        <f t="shared" si="42"/>
        <v>732.27763490987502</v>
      </c>
      <c r="F291" s="24">
        <f t="shared" si="44"/>
        <v>1720.3208453926804</v>
      </c>
      <c r="G291" s="14">
        <f t="shared" si="45"/>
        <v>12291.079847319103</v>
      </c>
      <c r="H291" s="24">
        <f t="shared" si="43"/>
        <v>2938.1374458329128</v>
      </c>
      <c r="I291" s="12">
        <f t="shared" si="46"/>
        <v>0.38100817872492715</v>
      </c>
      <c r="J291" s="3">
        <f t="shared" si="47"/>
        <v>0.7</v>
      </c>
    </row>
    <row r="292" spans="2:10" x14ac:dyDescent="0.25">
      <c r="B292" s="3">
        <f t="shared" si="48"/>
        <v>1375</v>
      </c>
      <c r="C292" s="14">
        <f t="shared" si="49"/>
        <v>22.916666666666668</v>
      </c>
      <c r="D292" s="11">
        <f t="shared" si="50"/>
        <v>801.63333742183727</v>
      </c>
      <c r="E292" s="24">
        <f t="shared" si="42"/>
        <v>732.6586430886</v>
      </c>
      <c r="F292" s="24">
        <f t="shared" si="44"/>
        <v>1724.3673583309317</v>
      </c>
      <c r="G292" s="14">
        <f t="shared" si="45"/>
        <v>12336.471118350553</v>
      </c>
      <c r="H292" s="24">
        <f t="shared" si="43"/>
        <v>3100.2129192396742</v>
      </c>
      <c r="I292" s="12">
        <f t="shared" si="46"/>
        <v>0.36236358787773737</v>
      </c>
      <c r="J292" s="3">
        <f t="shared" si="47"/>
        <v>0.7</v>
      </c>
    </row>
    <row r="293" spans="2:10" x14ac:dyDescent="0.25">
      <c r="B293" s="3">
        <f t="shared" si="48"/>
        <v>1380</v>
      </c>
      <c r="C293" s="14">
        <f t="shared" si="49"/>
        <v>23</v>
      </c>
      <c r="D293" s="11">
        <f t="shared" si="50"/>
        <v>802.17424629903962</v>
      </c>
      <c r="E293" s="24">
        <f t="shared" si="42"/>
        <v>733.02100667647778</v>
      </c>
      <c r="F293" s="24">
        <f t="shared" si="44"/>
        <v>1728.830990564046</v>
      </c>
      <c r="G293" s="14">
        <f t="shared" si="45"/>
        <v>12384.581730574635</v>
      </c>
      <c r="H293" s="24">
        <f t="shared" si="43"/>
        <v>3277.3712461864043</v>
      </c>
      <c r="I293" s="12">
        <f t="shared" si="46"/>
        <v>0.34405767975608403</v>
      </c>
      <c r="J293" s="3">
        <f t="shared" si="47"/>
        <v>0.7</v>
      </c>
    </row>
    <row r="294" spans="2:10" x14ac:dyDescent="0.25">
      <c r="B294" s="3">
        <f t="shared" si="48"/>
        <v>1385</v>
      </c>
      <c r="C294" s="14">
        <f t="shared" si="49"/>
        <v>23.083333333333332</v>
      </c>
      <c r="D294" s="11">
        <f t="shared" si="50"/>
        <v>802.71320945665286</v>
      </c>
      <c r="E294" s="24">
        <f t="shared" si="42"/>
        <v>733.36506435623392</v>
      </c>
      <c r="F294" s="24">
        <f t="shared" si="44"/>
        <v>1733.7036275104738</v>
      </c>
      <c r="G294" s="14">
        <f t="shared" si="45"/>
        <v>12435.367800471982</v>
      </c>
      <c r="H294" s="24">
        <f t="shared" si="43"/>
        <v>3471.2169435162459</v>
      </c>
      <c r="I294" s="12">
        <f t="shared" si="46"/>
        <v>0.32612529589690437</v>
      </c>
      <c r="J294" s="3">
        <f t="shared" si="47"/>
        <v>0.7</v>
      </c>
    </row>
    <row r="295" spans="2:10" x14ac:dyDescent="0.25">
      <c r="B295" s="3">
        <f t="shared" si="48"/>
        <v>1390</v>
      </c>
      <c r="C295" s="14">
        <f t="shared" si="49"/>
        <v>23.166666666666668</v>
      </c>
      <c r="D295" s="11">
        <f t="shared" si="50"/>
        <v>803.25024084253243</v>
      </c>
      <c r="E295" s="24">
        <f t="shared" si="42"/>
        <v>733.69118965213079</v>
      </c>
      <c r="F295" s="24">
        <f t="shared" si="44"/>
        <v>1738.9762797600411</v>
      </c>
      <c r="G295" s="14">
        <f t="shared" si="45"/>
        <v>12488.779088750198</v>
      </c>
      <c r="H295" s="24">
        <f t="shared" si="43"/>
        <v>3683.5382414846213</v>
      </c>
      <c r="I295" s="12">
        <f t="shared" si="46"/>
        <v>0.30860009817657713</v>
      </c>
      <c r="J295" s="3">
        <f t="shared" si="47"/>
        <v>0.7</v>
      </c>
    </row>
    <row r="296" spans="2:10" x14ac:dyDescent="0.25">
      <c r="B296" s="3">
        <f t="shared" si="48"/>
        <v>1395</v>
      </c>
      <c r="C296" s="14">
        <f t="shared" si="49"/>
        <v>23.25</v>
      </c>
      <c r="D296" s="11">
        <f t="shared" si="50"/>
        <v>803.78535425509222</v>
      </c>
      <c r="E296" s="24">
        <f t="shared" si="42"/>
        <v>733.9997897503074</v>
      </c>
      <c r="F296" s="24">
        <f t="shared" si="44"/>
        <v>1744.6391126196204</v>
      </c>
      <c r="G296" s="14">
        <f t="shared" si="45"/>
        <v>12544.759193373116</v>
      </c>
      <c r="H296" s="24">
        <f t="shared" si="43"/>
        <v>3916.3291548235875</v>
      </c>
      <c r="I296" s="12">
        <f t="shared" si="46"/>
        <v>0.29151412965552392</v>
      </c>
      <c r="J296" s="3">
        <f t="shared" si="47"/>
        <v>0.7</v>
      </c>
    </row>
    <row r="297" spans="2:10" x14ac:dyDescent="0.25">
      <c r="B297" s="3">
        <f t="shared" si="48"/>
        <v>1400</v>
      </c>
      <c r="C297" s="14">
        <f t="shared" si="49"/>
        <v>23.333333333333332</v>
      </c>
      <c r="D297" s="11">
        <f t="shared" si="50"/>
        <v>804.3185633454309</v>
      </c>
      <c r="E297" s="24">
        <f t="shared" si="42"/>
        <v>734.29130387996292</v>
      </c>
      <c r="F297" s="24">
        <f t="shared" si="44"/>
        <v>1750.6814866366994</v>
      </c>
      <c r="G297" s="14">
        <f t="shared" si="45"/>
        <v>12603.245818780615</v>
      </c>
      <c r="H297" s="24">
        <f t="shared" si="43"/>
        <v>4171.8143291260058</v>
      </c>
      <c r="I297" s="12">
        <f t="shared" si="46"/>
        <v>0.27489739506561328</v>
      </c>
      <c r="J297" s="3">
        <f t="shared" si="47"/>
        <v>0.7</v>
      </c>
    </row>
    <row r="298" spans="2:10" x14ac:dyDescent="0.25">
      <c r="B298" s="3">
        <f t="shared" si="48"/>
        <v>1405</v>
      </c>
      <c r="C298" s="14">
        <f t="shared" si="49"/>
        <v>23.416666666666668</v>
      </c>
      <c r="D298" s="11">
        <f t="shared" si="50"/>
        <v>804.84988161942272</v>
      </c>
      <c r="E298" s="24">
        <f t="shared" si="42"/>
        <v>734.56620127502856</v>
      </c>
      <c r="F298" s="24">
        <f t="shared" si="44"/>
        <v>1757.092008609854</v>
      </c>
      <c r="G298" s="14">
        <f t="shared" si="45"/>
        <v>12664.171118082966</v>
      </c>
      <c r="H298" s="24">
        <f t="shared" si="43"/>
        <v>4452.4770306559385</v>
      </c>
      <c r="I298" s="12">
        <f t="shared" si="46"/>
        <v>0.25877747248243477</v>
      </c>
      <c r="J298" s="3">
        <f t="shared" si="47"/>
        <v>0.7</v>
      </c>
    </row>
    <row r="299" spans="2:10" x14ac:dyDescent="0.25">
      <c r="B299" s="3">
        <f t="shared" si="48"/>
        <v>1410</v>
      </c>
      <c r="C299" s="14">
        <f t="shared" si="49"/>
        <v>23.5</v>
      </c>
      <c r="D299" s="11">
        <f t="shared" si="50"/>
        <v>805.37932243976911</v>
      </c>
      <c r="E299" s="24">
        <f t="shared" si="42"/>
        <v>734.82497874751095</v>
      </c>
      <c r="F299" s="24">
        <f t="shared" si="44"/>
        <v>1763.8585923064538</v>
      </c>
      <c r="G299" s="14">
        <f t="shared" si="45"/>
        <v>12727.462103018182</v>
      </c>
      <c r="H299" s="24">
        <f t="shared" si="43"/>
        <v>4761.090698938513</v>
      </c>
      <c r="I299" s="12">
        <f t="shared" si="46"/>
        <v>0.24317916684037066</v>
      </c>
      <c r="J299" s="3">
        <f t="shared" si="47"/>
        <v>0.7</v>
      </c>
    </row>
    <row r="300" spans="2:10" x14ac:dyDescent="0.25">
      <c r="B300" s="3">
        <f t="shared" si="48"/>
        <v>1415</v>
      </c>
      <c r="C300" s="14">
        <f t="shared" si="49"/>
        <v>23.583333333333332</v>
      </c>
      <c r="D300" s="11">
        <f t="shared" si="50"/>
        <v>805.90689902801591</v>
      </c>
      <c r="E300" s="24">
        <f t="shared" si="42"/>
        <v>735.06815791435133</v>
      </c>
      <c r="F300" s="24">
        <f t="shared" si="44"/>
        <v>1770.9685278416146</v>
      </c>
      <c r="G300" s="14">
        <f t="shared" si="45"/>
        <v>12793.041114609914</v>
      </c>
      <c r="H300" s="24">
        <f t="shared" si="43"/>
        <v>4925.3609336638547</v>
      </c>
      <c r="I300" s="12">
        <f t="shared" si="46"/>
        <v>0.2362477874735707</v>
      </c>
      <c r="J300" s="3">
        <f t="shared" si="47"/>
        <v>0.7</v>
      </c>
    </row>
    <row r="301" spans="2:10" x14ac:dyDescent="0.25">
      <c r="B301" s="3">
        <f t="shared" si="48"/>
        <v>1420</v>
      </c>
      <c r="C301" s="14">
        <f t="shared" si="49"/>
        <v>23.666666666666668</v>
      </c>
      <c r="D301" s="11">
        <f t="shared" si="50"/>
        <v>806.43262446653398</v>
      </c>
      <c r="E301" s="24">
        <f t="shared" si="42"/>
        <v>735.30440570182486</v>
      </c>
      <c r="F301" s="24">
        <f t="shared" si="44"/>
        <v>1778.2054691177279</v>
      </c>
      <c r="G301" s="14">
        <f t="shared" si="45"/>
        <v>12859.50426528993</v>
      </c>
      <c r="H301" s="24">
        <f t="shared" si="43"/>
        <v>4684.9443348114637</v>
      </c>
      <c r="I301" s="12">
        <f t="shared" si="46"/>
        <v>0.24962814487626495</v>
      </c>
      <c r="J301" s="3">
        <f t="shared" si="47"/>
        <v>0.7</v>
      </c>
    </row>
    <row r="302" spans="2:10" x14ac:dyDescent="0.25">
      <c r="B302" s="3">
        <f t="shared" si="48"/>
        <v>1425</v>
      </c>
      <c r="C302" s="14">
        <f t="shared" si="49"/>
        <v>23.75</v>
      </c>
      <c r="D302" s="11">
        <f t="shared" si="50"/>
        <v>806.95651170046585</v>
      </c>
      <c r="E302" s="24">
        <f t="shared" si="42"/>
        <v>735.55403384670115</v>
      </c>
      <c r="F302" s="24">
        <f t="shared" si="44"/>
        <v>1785.0619463441176</v>
      </c>
      <c r="G302" s="14">
        <f t="shared" si="45"/>
        <v>12923.546985512648</v>
      </c>
      <c r="H302" s="24">
        <f t="shared" si="43"/>
        <v>4458.0143955580097</v>
      </c>
      <c r="I302" s="12">
        <f t="shared" si="46"/>
        <v>0.26360581612435968</v>
      </c>
      <c r="J302" s="3">
        <f t="shared" si="47"/>
        <v>0.7</v>
      </c>
    </row>
    <row r="303" spans="2:10" x14ac:dyDescent="0.25">
      <c r="B303" s="3">
        <f t="shared" si="48"/>
        <v>1430</v>
      </c>
      <c r="C303" s="14">
        <f t="shared" si="49"/>
        <v>23.833333333333332</v>
      </c>
      <c r="D303" s="11">
        <f t="shared" si="50"/>
        <v>807.478573539639</v>
      </c>
      <c r="E303" s="24">
        <f t="shared" si="42"/>
        <v>735.81763966282551</v>
      </c>
      <c r="F303" s="24">
        <f t="shared" si="44"/>
        <v>1791.5233469203372</v>
      </c>
      <c r="G303" s="14">
        <f t="shared" si="45"/>
        <v>12985.068155928073</v>
      </c>
      <c r="H303" s="24">
        <f t="shared" si="43"/>
        <v>4243.9067774215164</v>
      </c>
      <c r="I303" s="12">
        <f t="shared" si="46"/>
        <v>0.2781847288717102</v>
      </c>
      <c r="J303" s="3">
        <f t="shared" si="47"/>
        <v>0.7</v>
      </c>
    </row>
    <row r="304" spans="2:10" x14ac:dyDescent="0.25">
      <c r="B304" s="3">
        <f t="shared" si="48"/>
        <v>1435</v>
      </c>
      <c r="C304" s="14">
        <f t="shared" si="49"/>
        <v>23.916666666666668</v>
      </c>
      <c r="D304" s="11">
        <f t="shared" si="50"/>
        <v>807.99882266044369</v>
      </c>
      <c r="E304" s="24">
        <f t="shared" si="42"/>
        <v>736.09582439169719</v>
      </c>
      <c r="F304" s="24">
        <f t="shared" si="44"/>
        <v>1797.5749567186626</v>
      </c>
      <c r="G304" s="14">
        <f t="shared" si="45"/>
        <v>13043.965420630773</v>
      </c>
      <c r="H304" s="24">
        <f t="shared" si="43"/>
        <v>4041.9807886305421</v>
      </c>
      <c r="I304" s="12">
        <f t="shared" si="46"/>
        <v>0.29336586968828726</v>
      </c>
      <c r="J304" s="3">
        <f t="shared" si="47"/>
        <v>0.7</v>
      </c>
    </row>
    <row r="305" spans="2:10" x14ac:dyDescent="0.25">
      <c r="B305" s="3">
        <f t="shared" si="48"/>
        <v>1440</v>
      </c>
      <c r="C305" s="14">
        <f t="shared" si="49"/>
        <v>24</v>
      </c>
      <c r="D305" s="11">
        <f t="shared" si="50"/>
        <v>808.51727160768178</v>
      </c>
      <c r="E305" s="24">
        <f t="shared" si="42"/>
        <v>736.38919026138547</v>
      </c>
      <c r="F305" s="24">
        <f t="shared" si="44"/>
        <v>1803.2020336574078</v>
      </c>
      <c r="G305" s="14">
        <f t="shared" si="45"/>
        <v>13100.135622174554</v>
      </c>
      <c r="H305" s="24">
        <f t="shared" si="43"/>
        <v>3851.6192017163621</v>
      </c>
      <c r="I305" s="12">
        <f t="shared" si="46"/>
        <v>0.30914701070819584</v>
      </c>
      <c r="J305" s="3">
        <f t="shared" si="47"/>
        <v>0.7</v>
      </c>
    </row>
    <row r="306" spans="2:10" x14ac:dyDescent="0.25">
      <c r="B306" s="3">
        <f t="shared" si="48"/>
        <v>1445</v>
      </c>
      <c r="C306" s="14">
        <f t="shared" si="49"/>
        <v>24.083333333333332</v>
      </c>
      <c r="D306" s="11">
        <f t="shared" si="50"/>
        <v>809.03393279638044</v>
      </c>
      <c r="E306" s="24">
        <f t="shared" ref="E306:E369" si="51">E305+I305</f>
        <v>736.69833727209368</v>
      </c>
      <c r="F306" s="24">
        <f t="shared" si="44"/>
        <v>1808.3898881071691</v>
      </c>
      <c r="G306" s="14">
        <f t="shared" si="45"/>
        <v>13153.475281537767</v>
      </c>
      <c r="H306" s="24">
        <f t="shared" ref="H306:H369" si="52">IF(E306&lt;600,425+0.773*E306-1.69/1000*E306^2+2.22/1000^2*E306^3,IF(E306&lt;735,666+13002/(738-E306),IF(E306&lt;900,545+17820/(E306-731),650)))</f>
        <v>3672.228022684691</v>
      </c>
      <c r="I306" s="12">
        <f t="shared" si="46"/>
        <v>0.32552245325773405</v>
      </c>
      <c r="J306" s="3">
        <f t="shared" si="47"/>
        <v>0.7</v>
      </c>
    </row>
    <row r="307" spans="2:10" x14ac:dyDescent="0.25">
      <c r="B307" s="3">
        <f t="shared" si="48"/>
        <v>1450</v>
      </c>
      <c r="C307" s="14">
        <f t="shared" si="49"/>
        <v>24.166666666666668</v>
      </c>
      <c r="D307" s="11">
        <f t="shared" si="50"/>
        <v>809.54881851357629</v>
      </c>
      <c r="E307" s="24">
        <f t="shared" si="51"/>
        <v>737.02385972535137</v>
      </c>
      <c r="F307" s="24">
        <f t="shared" si="44"/>
        <v>1813.123969705623</v>
      </c>
      <c r="G307" s="14">
        <f t="shared" si="45"/>
        <v>13203.881121000122</v>
      </c>
      <c r="H307" s="24">
        <f t="shared" si="52"/>
        <v>3503.2362160600542</v>
      </c>
      <c r="I307" s="12">
        <f t="shared" si="46"/>
        <v>0.34248279537611392</v>
      </c>
      <c r="J307" s="3">
        <f t="shared" si="47"/>
        <v>0.7</v>
      </c>
    </row>
    <row r="308" spans="2:10" x14ac:dyDescent="0.25">
      <c r="B308" s="3">
        <f t="shared" si="48"/>
        <v>1455</v>
      </c>
      <c r="C308" s="14">
        <f t="shared" si="49"/>
        <v>24.25</v>
      </c>
      <c r="D308" s="11">
        <f t="shared" si="50"/>
        <v>810.06194092006865</v>
      </c>
      <c r="E308" s="24">
        <f t="shared" si="51"/>
        <v>737.36634252072747</v>
      </c>
      <c r="F308" s="24">
        <f t="shared" si="44"/>
        <v>1817.3899599835295</v>
      </c>
      <c r="G308" s="14">
        <f t="shared" si="45"/>
        <v>13251.250626848339</v>
      </c>
      <c r="H308" s="24">
        <f t="shared" si="52"/>
        <v>3344.0953898540379</v>
      </c>
      <c r="I308" s="12">
        <f t="shared" si="46"/>
        <v>0.36001473033585979</v>
      </c>
      <c r="J308" s="3">
        <f t="shared" si="47"/>
        <v>0.7</v>
      </c>
    </row>
    <row r="309" spans="2:10" x14ac:dyDescent="0.25">
      <c r="B309" s="3">
        <f t="shared" si="48"/>
        <v>1460</v>
      </c>
      <c r="C309" s="14">
        <f t="shared" si="49"/>
        <v>24.333333333333332</v>
      </c>
      <c r="D309" s="11">
        <f t="shared" si="50"/>
        <v>810.57331205214336</v>
      </c>
      <c r="E309" s="24">
        <f t="shared" si="51"/>
        <v>737.72635725106329</v>
      </c>
      <c r="F309" s="24">
        <f t="shared" si="44"/>
        <v>1821.1738700270018</v>
      </c>
      <c r="G309" s="14">
        <f t="shared" si="45"/>
        <v>13295.482647745797</v>
      </c>
      <c r="H309" s="24">
        <f t="shared" si="52"/>
        <v>3194.2794442613117</v>
      </c>
      <c r="I309" s="12">
        <f t="shared" si="46"/>
        <v>0.37810088324118596</v>
      </c>
      <c r="J309" s="3">
        <f t="shared" si="47"/>
        <v>0.7</v>
      </c>
    </row>
    <row r="310" spans="2:10" x14ac:dyDescent="0.25">
      <c r="B310" s="3">
        <f t="shared" si="48"/>
        <v>1465</v>
      </c>
      <c r="C310" s="14">
        <f t="shared" si="49"/>
        <v>24.416666666666668</v>
      </c>
      <c r="D310" s="11">
        <f t="shared" si="50"/>
        <v>811.08294382326653</v>
      </c>
      <c r="E310" s="24">
        <f t="shared" si="51"/>
        <v>738.10445813430442</v>
      </c>
      <c r="F310" s="24">
        <f t="shared" si="44"/>
        <v>1824.4621422240527</v>
      </c>
      <c r="G310" s="14">
        <f t="shared" si="45"/>
        <v>13336.478023506324</v>
      </c>
      <c r="H310" s="24">
        <f t="shared" si="52"/>
        <v>3053.2841876363177</v>
      </c>
      <c r="I310" s="12">
        <f t="shared" si="46"/>
        <v>0.39671969250115152</v>
      </c>
      <c r="J310" s="3">
        <f t="shared" si="47"/>
        <v>0.7</v>
      </c>
    </row>
    <row r="311" spans="2:10" x14ac:dyDescent="0.25">
      <c r="B311" s="3">
        <f t="shared" si="48"/>
        <v>1470</v>
      </c>
      <c r="C311" s="14">
        <f t="shared" si="49"/>
        <v>24.5</v>
      </c>
      <c r="D311" s="11">
        <f t="shared" si="50"/>
        <v>811.59084802574955</v>
      </c>
      <c r="E311" s="24">
        <f t="shared" si="51"/>
        <v>738.50117782680559</v>
      </c>
      <c r="F311" s="24">
        <f t="shared" si="44"/>
        <v>1827.2417549735992</v>
      </c>
      <c r="G311" s="14">
        <f t="shared" si="45"/>
        <v>13374.14023795046</v>
      </c>
      <c r="H311" s="24">
        <f t="shared" si="52"/>
        <v>2920.6269230573262</v>
      </c>
      <c r="I311" s="12">
        <f t="shared" si="46"/>
        <v>0.41584534241967597</v>
      </c>
      <c r="J311" s="3">
        <f t="shared" si="47"/>
        <v>0.7</v>
      </c>
    </row>
    <row r="312" spans="2:10" x14ac:dyDescent="0.25">
      <c r="B312" s="3">
        <f t="shared" si="48"/>
        <v>1475</v>
      </c>
      <c r="C312" s="14">
        <f t="shared" si="49"/>
        <v>24.583333333333332</v>
      </c>
      <c r="D312" s="11">
        <f t="shared" si="50"/>
        <v>812.09703633238701</v>
      </c>
      <c r="E312" s="24">
        <f t="shared" si="51"/>
        <v>738.91702316922522</v>
      </c>
      <c r="F312" s="24">
        <f t="shared" si="44"/>
        <v>1829.5003290790446</v>
      </c>
      <c r="G312" s="14">
        <f t="shared" si="45"/>
        <v>13408.376088522074</v>
      </c>
      <c r="H312" s="24">
        <f t="shared" si="52"/>
        <v>2795.8460085438801</v>
      </c>
      <c r="I312" s="12">
        <f t="shared" si="46"/>
        <v>0.43544775230873589</v>
      </c>
      <c r="J312" s="3">
        <f t="shared" si="47"/>
        <v>0.7</v>
      </c>
    </row>
    <row r="313" spans="2:10" x14ac:dyDescent="0.25">
      <c r="B313" s="3">
        <f t="shared" si="48"/>
        <v>1480</v>
      </c>
      <c r="C313" s="14">
        <f t="shared" si="49"/>
        <v>24.666666666666668</v>
      </c>
      <c r="D313" s="11">
        <f t="shared" si="50"/>
        <v>812.60152029806591</v>
      </c>
      <c r="E313" s="24">
        <f t="shared" si="51"/>
        <v>739.35247092153395</v>
      </c>
      <c r="F313" s="24">
        <f t="shared" si="44"/>
        <v>1831.2262344132989</v>
      </c>
      <c r="G313" s="14">
        <f t="shared" si="45"/>
        <v>13439.096364457555</v>
      </c>
      <c r="H313" s="24">
        <f t="shared" si="52"/>
        <v>2678.5003937645938</v>
      </c>
      <c r="I313" s="12">
        <f t="shared" si="46"/>
        <v>0.45549262642116567</v>
      </c>
      <c r="J313" s="3">
        <f t="shared" si="47"/>
        <v>0.7</v>
      </c>
    </row>
    <row r="314" spans="2:10" x14ac:dyDescent="0.25">
      <c r="B314" s="3">
        <f t="shared" si="48"/>
        <v>1485</v>
      </c>
      <c r="C314" s="14">
        <f t="shared" si="49"/>
        <v>24.75</v>
      </c>
      <c r="D314" s="11">
        <f t="shared" si="50"/>
        <v>813.10431136134866</v>
      </c>
      <c r="E314" s="24">
        <f t="shared" si="51"/>
        <v>739.80796354795507</v>
      </c>
      <c r="F314" s="24">
        <f t="shared" si="44"/>
        <v>1832.4086953348399</v>
      </c>
      <c r="G314" s="14">
        <f t="shared" si="45"/>
        <v>13466.216524563766</v>
      </c>
      <c r="H314" s="24">
        <f t="shared" si="52"/>
        <v>2568.1691358597009</v>
      </c>
      <c r="I314" s="12">
        <f t="shared" si="46"/>
        <v>0.47594156763809037</v>
      </c>
      <c r="J314" s="3">
        <f t="shared" si="47"/>
        <v>0.7</v>
      </c>
    </row>
    <row r="315" spans="2:10" x14ac:dyDescent="0.25">
      <c r="B315" s="3">
        <f t="shared" si="48"/>
        <v>1490</v>
      </c>
      <c r="C315" s="14">
        <f t="shared" si="49"/>
        <v>24.833333333333332</v>
      </c>
      <c r="D315" s="11">
        <f t="shared" si="50"/>
        <v>813.60542084602866</v>
      </c>
      <c r="E315" s="24">
        <f t="shared" si="51"/>
        <v>740.28390511559314</v>
      </c>
      <c r="F315" s="24">
        <f t="shared" si="44"/>
        <v>1833.037893260888</v>
      </c>
      <c r="G315" s="14">
        <f t="shared" si="45"/>
        <v>13489.657365114519</v>
      </c>
      <c r="H315" s="24">
        <f t="shared" si="52"/>
        <v>2464.4508968073928</v>
      </c>
      <c r="I315" s="12">
        <f t="shared" si="46"/>
        <v>0.49675225627295627</v>
      </c>
      <c r="J315" s="3">
        <f t="shared" si="47"/>
        <v>0.7</v>
      </c>
    </row>
    <row r="316" spans="2:10" x14ac:dyDescent="0.25">
      <c r="B316" s="3">
        <f t="shared" si="48"/>
        <v>1495</v>
      </c>
      <c r="C316" s="14">
        <f t="shared" si="49"/>
        <v>24.916666666666668</v>
      </c>
      <c r="D316" s="11">
        <f t="shared" si="50"/>
        <v>814.10485996266141</v>
      </c>
      <c r="E316" s="24">
        <f t="shared" si="51"/>
        <v>740.78065737186614</v>
      </c>
      <c r="F316" s="24">
        <f t="shared" si="44"/>
        <v>1833.1050647698817</v>
      </c>
      <c r="G316" s="14">
        <f t="shared" si="45"/>
        <v>13509.345668055365</v>
      </c>
      <c r="H316" s="24">
        <f t="shared" si="52"/>
        <v>2366.9634245913635</v>
      </c>
      <c r="I316" s="12">
        <f t="shared" si="46"/>
        <v>0.51787869362401096</v>
      </c>
      <c r="J316" s="3">
        <f t="shared" si="47"/>
        <v>0.7</v>
      </c>
    </row>
    <row r="317" spans="2:10" x14ac:dyDescent="0.25">
      <c r="B317" s="3">
        <f t="shared" si="48"/>
        <v>1500</v>
      </c>
      <c r="C317" s="14">
        <f t="shared" si="49"/>
        <v>25</v>
      </c>
      <c r="D317" s="11">
        <f t="shared" si="50"/>
        <v>814.60263981006858</v>
      </c>
      <c r="E317" s="24">
        <f t="shared" si="51"/>
        <v>741.29853606549011</v>
      </c>
      <c r="F317" s="24">
        <f t="shared" si="44"/>
        <v>1832.6025936144617</v>
      </c>
      <c r="G317" s="14">
        <f t="shared" si="45"/>
        <v>13525.214819632909</v>
      </c>
      <c r="H317" s="24">
        <f t="shared" si="52"/>
        <v>2275.343020277799</v>
      </c>
      <c r="I317" s="12">
        <f t="shared" si="46"/>
        <v>0.53927150808848301</v>
      </c>
      <c r="J317" s="3">
        <f t="shared" si="47"/>
        <v>0.7</v>
      </c>
    </row>
    <row r="318" spans="2:10" x14ac:dyDescent="0.25">
      <c r="B318" s="3">
        <f t="shared" si="48"/>
        <v>1505</v>
      </c>
      <c r="C318" s="14">
        <f t="shared" si="49"/>
        <v>25.083333333333332</v>
      </c>
      <c r="D318" s="11">
        <f t="shared" si="50"/>
        <v>815.09877137681826</v>
      </c>
      <c r="E318" s="24">
        <f t="shared" si="51"/>
        <v>741.83780757357863</v>
      </c>
      <c r="F318" s="24">
        <f t="shared" si="44"/>
        <v>1831.5240950809907</v>
      </c>
      <c r="G318" s="14">
        <f t="shared" si="45"/>
        <v>13537.20538976261</v>
      </c>
      <c r="H318" s="24">
        <f t="shared" si="52"/>
        <v>2189.2439929864763</v>
      </c>
      <c r="I318" s="12">
        <f t="shared" si="46"/>
        <v>0.56087831982259051</v>
      </c>
      <c r="J318" s="3">
        <f t="shared" si="47"/>
        <v>0.7</v>
      </c>
    </row>
    <row r="319" spans="2:10" x14ac:dyDescent="0.25">
      <c r="B319" s="3">
        <f t="shared" si="48"/>
        <v>1510</v>
      </c>
      <c r="C319" s="14">
        <f t="shared" si="49"/>
        <v>25.166666666666668</v>
      </c>
      <c r="D319" s="11">
        <f t="shared" si="50"/>
        <v>815.59326554268023</v>
      </c>
      <c r="E319" s="24">
        <f t="shared" si="51"/>
        <v>742.39868589340119</v>
      </c>
      <c r="F319" s="24">
        <f t="shared" si="44"/>
        <v>1829.864491231976</v>
      </c>
      <c r="G319" s="14">
        <f t="shared" si="45"/>
        <v>13545.265662912849</v>
      </c>
      <c r="H319" s="24">
        <f t="shared" si="52"/>
        <v>2108.3381046420591</v>
      </c>
      <c r="I319" s="12">
        <f t="shared" si="46"/>
        <v>0.58264415817456139</v>
      </c>
      <c r="J319" s="3">
        <f t="shared" si="47"/>
        <v>0.7</v>
      </c>
    </row>
    <row r="320" spans="2:10" x14ac:dyDescent="0.25">
      <c r="B320" s="3">
        <f t="shared" si="48"/>
        <v>1515</v>
      </c>
      <c r="C320" s="14">
        <f t="shared" si="49"/>
        <v>25.25</v>
      </c>
      <c r="D320" s="11">
        <f t="shared" si="50"/>
        <v>816.08613308005829</v>
      </c>
      <c r="E320" s="24">
        <f t="shared" si="51"/>
        <v>742.98133005157581</v>
      </c>
      <c r="F320" s="24">
        <f t="shared" si="44"/>
        <v>1827.6200757120619</v>
      </c>
      <c r="G320" s="14">
        <f t="shared" si="45"/>
        <v>13549.352112018123</v>
      </c>
      <c r="H320" s="24">
        <f t="shared" si="52"/>
        <v>2032.3140063157075</v>
      </c>
      <c r="I320" s="12">
        <f t="shared" si="46"/>
        <v>0.60451192451648639</v>
      </c>
      <c r="J320" s="3">
        <f t="shared" si="47"/>
        <v>0.7</v>
      </c>
    </row>
    <row r="321" spans="2:10" x14ac:dyDescent="0.25">
      <c r="B321" s="3">
        <f t="shared" si="48"/>
        <v>1520</v>
      </c>
      <c r="C321" s="14">
        <f t="shared" si="49"/>
        <v>25.333333333333332</v>
      </c>
      <c r="D321" s="11">
        <f t="shared" si="50"/>
        <v>816.57738465539751</v>
      </c>
      <c r="E321" s="24">
        <f t="shared" si="51"/>
        <v>743.5858419760923</v>
      </c>
      <c r="F321" s="24">
        <f t="shared" si="44"/>
        <v>1824.7885669826303</v>
      </c>
      <c r="G321" s="14">
        <f t="shared" si="45"/>
        <v>13549.42980791025</v>
      </c>
      <c r="H321" s="24">
        <f t="shared" si="52"/>
        <v>1960.8766679138637</v>
      </c>
      <c r="I321" s="12">
        <f t="shared" si="46"/>
        <v>0.62642289173085564</v>
      </c>
      <c r="J321" s="3">
        <f t="shared" si="47"/>
        <v>0.7</v>
      </c>
    </row>
    <row r="322" spans="2:10" x14ac:dyDescent="0.25">
      <c r="B322" s="3">
        <f t="shared" si="48"/>
        <v>1525</v>
      </c>
      <c r="C322" s="14">
        <f t="shared" si="49"/>
        <v>25.416666666666668</v>
      </c>
      <c r="D322" s="11">
        <f t="shared" si="50"/>
        <v>817.06703083056959</v>
      </c>
      <c r="E322" s="24">
        <f t="shared" si="51"/>
        <v>744.21226486782314</v>
      </c>
      <c r="F322" s="24">
        <f t="shared" si="44"/>
        <v>1821.3691490686615</v>
      </c>
      <c r="G322" s="14">
        <f t="shared" si="45"/>
        <v>13545.472757950733</v>
      </c>
      <c r="H322" s="24">
        <f t="shared" si="52"/>
        <v>1893.7468029344795</v>
      </c>
      <c r="I322" s="12">
        <f t="shared" si="46"/>
        <v>0.64831723053541979</v>
      </c>
      <c r="J322" s="3">
        <f t="shared" si="47"/>
        <v>0.7</v>
      </c>
    </row>
    <row r="323" spans="2:10" x14ac:dyDescent="0.25">
      <c r="B323" s="3">
        <f t="shared" si="48"/>
        <v>1530</v>
      </c>
      <c r="C323" s="14">
        <f t="shared" si="49"/>
        <v>25.5</v>
      </c>
      <c r="D323" s="11">
        <f t="shared" si="50"/>
        <v>817.55508206423519</v>
      </c>
      <c r="E323" s="24">
        <f t="shared" si="51"/>
        <v>744.86058209835858</v>
      </c>
      <c r="F323" s="24">
        <f t="shared" si="44"/>
        <v>1817.3624991469155</v>
      </c>
      <c r="G323" s="14">
        <f t="shared" si="45"/>
        <v>13537.464168917068</v>
      </c>
      <c r="H323" s="24">
        <f t="shared" si="52"/>
        <v>1830.6602899895749</v>
      </c>
      <c r="I323" s="12">
        <f t="shared" si="46"/>
        <v>0.67013455210443085</v>
      </c>
      <c r="J323" s="3">
        <f t="shared" si="47"/>
        <v>0.7</v>
      </c>
    </row>
    <row r="324" spans="2:10" x14ac:dyDescent="0.25">
      <c r="B324" s="3">
        <f t="shared" si="48"/>
        <v>1535</v>
      </c>
      <c r="C324" s="14">
        <f t="shared" si="49"/>
        <v>25.583333333333332</v>
      </c>
      <c r="D324" s="11">
        <f t="shared" si="50"/>
        <v>818.04154871318474</v>
      </c>
      <c r="E324" s="24">
        <f t="shared" si="51"/>
        <v>745.53071665046298</v>
      </c>
      <c r="F324" s="24">
        <f t="shared" si="44"/>
        <v>1812.7708015680441</v>
      </c>
      <c r="G324" s="14">
        <f t="shared" si="45"/>
        <v>13525.396630691057</v>
      </c>
      <c r="H324" s="24">
        <f t="shared" si="52"/>
        <v>1771.3675927802376</v>
      </c>
      <c r="I324" s="12">
        <f t="shared" si="46"/>
        <v>0.69181445609617542</v>
      </c>
      <c r="J324" s="3">
        <f t="shared" si="47"/>
        <v>0.7</v>
      </c>
    </row>
    <row r="325" spans="2:10" x14ac:dyDescent="0.25">
      <c r="B325" s="3">
        <f t="shared" si="48"/>
        <v>1540</v>
      </c>
      <c r="C325" s="14">
        <f t="shared" si="49"/>
        <v>25.666666666666668</v>
      </c>
      <c r="D325" s="11">
        <f t="shared" si="50"/>
        <v>818.52644103365697</v>
      </c>
      <c r="E325" s="24">
        <f t="shared" si="51"/>
        <v>746.22253110655913</v>
      </c>
      <c r="F325" s="24">
        <f t="shared" si="44"/>
        <v>1807.5977481774457</v>
      </c>
      <c r="G325" s="14">
        <f t="shared" si="45"/>
        <v>13509.272218865903</v>
      </c>
      <c r="H325" s="24">
        <f t="shared" si="52"/>
        <v>1715.6331802023162</v>
      </c>
      <c r="I325" s="12">
        <f t="shared" si="46"/>
        <v>0.71329707323503588</v>
      </c>
      <c r="J325" s="3">
        <f t="shared" si="47"/>
        <v>0.7</v>
      </c>
    </row>
    <row r="326" spans="2:10" x14ac:dyDescent="0.25">
      <c r="B326" s="3">
        <f t="shared" si="48"/>
        <v>1545</v>
      </c>
      <c r="C326" s="14">
        <f t="shared" si="49"/>
        <v>25.75</v>
      </c>
      <c r="D326" s="11">
        <f t="shared" si="50"/>
        <v>819.00976918263655</v>
      </c>
      <c r="E326" s="24">
        <f t="shared" si="51"/>
        <v>746.93582817979416</v>
      </c>
      <c r="F326" s="24">
        <f t="shared" si="44"/>
        <v>1801.8485250710596</v>
      </c>
      <c r="G326" s="14">
        <f t="shared" si="45"/>
        <v>13489.102515975879</v>
      </c>
      <c r="H326" s="24">
        <f t="shared" si="52"/>
        <v>1663.2349482529487</v>
      </c>
      <c r="I326" s="12">
        <f t="shared" si="46"/>
        <v>0.73452359200931094</v>
      </c>
      <c r="J326" s="3">
        <f t="shared" si="47"/>
        <v>0.7</v>
      </c>
    </row>
    <row r="327" spans="2:10" x14ac:dyDescent="0.25">
      <c r="B327" s="3">
        <f t="shared" si="48"/>
        <v>1550</v>
      </c>
      <c r="C327" s="14">
        <f t="shared" si="49"/>
        <v>25.833333333333332</v>
      </c>
      <c r="D327" s="11">
        <f t="shared" si="50"/>
        <v>819.49154321912977</v>
      </c>
      <c r="E327" s="24">
        <f t="shared" si="51"/>
        <v>747.67035177180344</v>
      </c>
      <c r="F327" s="24">
        <f t="shared" si="44"/>
        <v>1795.5297861831582</v>
      </c>
      <c r="G327" s="14">
        <f t="shared" si="45"/>
        <v>13464.908552601415</v>
      </c>
      <c r="H327" s="24">
        <f t="shared" si="52"/>
        <v>1613.9636453947601</v>
      </c>
      <c r="I327" s="12">
        <f t="shared" si="46"/>
        <v>0.75543675980218883</v>
      </c>
      <c r="J327" s="3">
        <f t="shared" si="47"/>
        <v>0.7</v>
      </c>
    </row>
    <row r="328" spans="2:10" x14ac:dyDescent="0.25">
      <c r="B328" s="3">
        <f t="shared" si="48"/>
        <v>1555</v>
      </c>
      <c r="C328" s="14">
        <f t="shared" si="49"/>
        <v>25.916666666666668</v>
      </c>
      <c r="D328" s="11">
        <f t="shared" si="50"/>
        <v>819.97177310542247</v>
      </c>
      <c r="E328" s="24">
        <f t="shared" si="51"/>
        <v>748.42578853160558</v>
      </c>
      <c r="F328" s="24">
        <f t="shared" si="44"/>
        <v>1788.6496143454224</v>
      </c>
      <c r="G328" s="14">
        <f t="shared" si="45"/>
        <v>13436.720671063695</v>
      </c>
      <c r="H328" s="24">
        <f t="shared" si="52"/>
        <v>1567.6223030125398</v>
      </c>
      <c r="I328" s="12">
        <f t="shared" si="46"/>
        <v>0.77598134982411393</v>
      </c>
      <c r="J328" s="3">
        <f t="shared" si="47"/>
        <v>0.7</v>
      </c>
    </row>
    <row r="329" spans="2:10" x14ac:dyDescent="0.25">
      <c r="B329" s="3">
        <f t="shared" si="48"/>
        <v>1560</v>
      </c>
      <c r="C329" s="14">
        <f t="shared" si="49"/>
        <v>26</v>
      </c>
      <c r="D329" s="11">
        <f t="shared" si="50"/>
        <v>820.45046870831357</v>
      </c>
      <c r="E329" s="24">
        <f t="shared" si="51"/>
        <v>749.20176988142964</v>
      </c>
      <c r="F329" s="24">
        <f t="shared" si="44"/>
        <v>1781.217470672098</v>
      </c>
      <c r="G329" s="14">
        <f t="shared" si="45"/>
        <v>13404.578315748717</v>
      </c>
      <c r="H329" s="24">
        <f t="shared" si="52"/>
        <v>1524.0256725628014</v>
      </c>
      <c r="I329" s="12">
        <f t="shared" si="46"/>
        <v>0.79610458649928562</v>
      </c>
      <c r="J329" s="3">
        <f t="shared" si="47"/>
        <v>0.7</v>
      </c>
    </row>
    <row r="330" spans="2:10" x14ac:dyDescent="0.25">
      <c r="B330" s="3">
        <f t="shared" si="48"/>
        <v>1565</v>
      </c>
      <c r="C330" s="14">
        <f t="shared" si="49"/>
        <v>26.083333333333332</v>
      </c>
      <c r="D330" s="11">
        <f t="shared" si="50"/>
        <v>820.92763980033419</v>
      </c>
      <c r="E330" s="24">
        <f t="shared" si="51"/>
        <v>749.99787446792891</v>
      </c>
      <c r="F330" s="24">
        <f t="shared" si="44"/>
        <v>1773.2441333101319</v>
      </c>
      <c r="G330" s="14">
        <f t="shared" si="45"/>
        <v>13368.529755262793</v>
      </c>
      <c r="H330" s="24">
        <f t="shared" si="52"/>
        <v>1482.9996709675429</v>
      </c>
      <c r="I330" s="12">
        <f t="shared" si="46"/>
        <v>0.81575652340854365</v>
      </c>
      <c r="J330" s="3">
        <f t="shared" si="47"/>
        <v>0.7</v>
      </c>
    </row>
    <row r="331" spans="2:10" x14ac:dyDescent="0.25">
      <c r="B331" s="3">
        <f t="shared" si="48"/>
        <v>1570</v>
      </c>
      <c r="C331" s="14">
        <f t="shared" si="49"/>
        <v>26.166666666666668</v>
      </c>
      <c r="D331" s="11">
        <f t="shared" si="50"/>
        <v>821.40329606094269</v>
      </c>
      <c r="E331" s="24">
        <f t="shared" si="51"/>
        <v>750.8136309913375</v>
      </c>
      <c r="F331" s="24">
        <f t="shared" si="44"/>
        <v>1764.7416267401297</v>
      </c>
      <c r="G331" s="14">
        <f t="shared" si="45"/>
        <v>13328.631742577361</v>
      </c>
      <c r="H331" s="24">
        <f t="shared" si="52"/>
        <v>1444.38083573833</v>
      </c>
      <c r="I331" s="12">
        <f t="shared" si="46"/>
        <v>0.83489036943251693</v>
      </c>
      <c r="J331" s="3">
        <f t="shared" si="47"/>
        <v>0.7</v>
      </c>
    </row>
    <row r="332" spans="2:10" x14ac:dyDescent="0.25">
      <c r="B332" s="3">
        <f t="shared" si="48"/>
        <v>1575</v>
      </c>
      <c r="C332" s="14">
        <f t="shared" si="49"/>
        <v>26.25</v>
      </c>
      <c r="D332" s="11">
        <f t="shared" si="50"/>
        <v>821.87744707770401</v>
      </c>
      <c r="E332" s="24">
        <f t="shared" si="51"/>
        <v>751.64852136077002</v>
      </c>
      <c r="F332" s="24">
        <f t="shared" si="44"/>
        <v>1755.7231429233498</v>
      </c>
      <c r="G332" s="14">
        <f t="shared" si="45"/>
        <v>13284.94912007431</v>
      </c>
      <c r="H332" s="24">
        <f t="shared" si="52"/>
        <v>1408.0157912351096</v>
      </c>
      <c r="I332" s="12">
        <f t="shared" si="46"/>
        <v>0.85346276030328239</v>
      </c>
      <c r="J332" s="3">
        <f t="shared" si="47"/>
        <v>0.7</v>
      </c>
    </row>
    <row r="333" spans="2:10" x14ac:dyDescent="0.25">
      <c r="B333" s="3">
        <f t="shared" si="48"/>
        <v>1580</v>
      </c>
      <c r="C333" s="14">
        <f t="shared" si="49"/>
        <v>26.333333333333332</v>
      </c>
      <c r="D333" s="11">
        <f t="shared" si="50"/>
        <v>822.350102347448</v>
      </c>
      <c r="E333" s="24">
        <f t="shared" si="51"/>
        <v>752.50198412107329</v>
      </c>
      <c r="F333" s="24">
        <f t="shared" si="44"/>
        <v>1746.2029556593677</v>
      </c>
      <c r="G333" s="14">
        <f t="shared" si="45"/>
        <v>13237.554376927088</v>
      </c>
      <c r="H333" s="24">
        <f t="shared" si="52"/>
        <v>1373.7607273663309</v>
      </c>
      <c r="I333" s="12">
        <f t="shared" si="46"/>
        <v>0.87143397429408709</v>
      </c>
      <c r="J333" s="3">
        <f t="shared" si="47"/>
        <v>0.7</v>
      </c>
    </row>
    <row r="334" spans="2:10" x14ac:dyDescent="0.25">
      <c r="B334" s="3">
        <f t="shared" si="48"/>
        <v>1585</v>
      </c>
      <c r="C334" s="14">
        <f t="shared" si="49"/>
        <v>26.416666666666668</v>
      </c>
      <c r="D334" s="11">
        <f t="shared" si="50"/>
        <v>822.82127127741228</v>
      </c>
      <c r="E334" s="24">
        <f t="shared" si="51"/>
        <v>753.37341809536736</v>
      </c>
      <c r="F334" s="24">
        <f t="shared" si="44"/>
        <v>1736.1963295511232</v>
      </c>
      <c r="G334" s="14">
        <f t="shared" si="45"/>
        <v>13186.527166565742</v>
      </c>
      <c r="H334" s="24">
        <f t="shared" si="52"/>
        <v>1341.480891924592</v>
      </c>
      <c r="I334" s="12">
        <f t="shared" si="46"/>
        <v>0.88876809219982256</v>
      </c>
      <c r="J334" s="3">
        <f t="shared" si="47"/>
        <v>0.7</v>
      </c>
    </row>
    <row r="335" spans="2:10" x14ac:dyDescent="0.25">
      <c r="B335" s="3">
        <f t="shared" si="48"/>
        <v>1590</v>
      </c>
      <c r="C335" s="14">
        <f t="shared" si="49"/>
        <v>26.5</v>
      </c>
      <c r="D335" s="11">
        <f t="shared" si="50"/>
        <v>823.29096318636448</v>
      </c>
      <c r="E335" s="24">
        <f t="shared" si="51"/>
        <v>754.26218618756718</v>
      </c>
      <c r="F335" s="24">
        <f t="shared" si="44"/>
        <v>1725.7194249699323</v>
      </c>
      <c r="G335" s="14">
        <f t="shared" si="45"/>
        <v>13131.953792076572</v>
      </c>
      <c r="H335" s="24">
        <f t="shared" si="52"/>
        <v>1311.0500976268586</v>
      </c>
      <c r="I335" s="12">
        <f t="shared" si="46"/>
        <v>0.90543310304074265</v>
      </c>
      <c r="J335" s="3">
        <f t="shared" si="47"/>
        <v>0.7</v>
      </c>
    </row>
    <row r="336" spans="2:10" x14ac:dyDescent="0.25">
      <c r="B336" s="3">
        <f t="shared" si="48"/>
        <v>1595</v>
      </c>
      <c r="C336" s="14">
        <f t="shared" si="49"/>
        <v>26.583333333333332</v>
      </c>
      <c r="D336" s="11">
        <f t="shared" si="50"/>
        <v>823.75918730570834</v>
      </c>
      <c r="E336" s="24">
        <f t="shared" si="51"/>
        <v>755.16761929060795</v>
      </c>
      <c r="F336" s="24">
        <f t="shared" si="44"/>
        <v>1714.7892003775098</v>
      </c>
      <c r="G336" s="14">
        <f t="shared" si="45"/>
        <v>13073.926667303147</v>
      </c>
      <c r="H336" s="24">
        <f t="shared" si="52"/>
        <v>1282.3502447932567</v>
      </c>
      <c r="I336" s="12">
        <f t="shared" si="46"/>
        <v>0.92140095802605149</v>
      </c>
      <c r="J336" s="3">
        <f t="shared" si="47"/>
        <v>0.7</v>
      </c>
    </row>
    <row r="337" spans="2:10" x14ac:dyDescent="0.25">
      <c r="B337" s="3">
        <f t="shared" si="48"/>
        <v>1600</v>
      </c>
      <c r="C337" s="14">
        <f t="shared" si="49"/>
        <v>26.666666666666668</v>
      </c>
      <c r="D337" s="11">
        <f t="shared" si="50"/>
        <v>824.22595278057292</v>
      </c>
      <c r="E337" s="24">
        <f t="shared" si="51"/>
        <v>756.08902024863403</v>
      </c>
      <c r="F337" s="24">
        <f t="shared" ref="F337:F400" si="53">AlphaC*(D337-E337)</f>
        <v>1703.4233132984723</v>
      </c>
      <c r="G337" s="14">
        <f t="shared" ref="G337:G400" si="54">Phi*EpsilonF*Botzman/10^8*J337*((D337+273)^4-(E337+273)^4)</f>
        <v>13012.543761165038</v>
      </c>
      <c r="H337" s="24">
        <f t="shared" si="52"/>
        <v>1255.2708604561874</v>
      </c>
      <c r="I337" s="12">
        <f t="shared" ref="I337:I400" si="55">ksh*Massivete/(H337*RhoA)*DeltaT*(F337+G337)</f>
        <v>0.93664757622224493</v>
      </c>
      <c r="J337" s="3">
        <f t="shared" ref="J337:J400" si="56">IF(E337&lt;=500,IF(Galva=Oui,0.35,0.7),0.7)</f>
        <v>0.7</v>
      </c>
    </row>
    <row r="338" spans="2:10" x14ac:dyDescent="0.25">
      <c r="B338" s="3">
        <f t="shared" ref="B338:B401" si="57">B337+DeltaT</f>
        <v>1605</v>
      </c>
      <c r="C338" s="14">
        <f t="shared" ref="C338:C401" si="58">B338/60</f>
        <v>26.75</v>
      </c>
      <c r="D338" s="11">
        <f t="shared" ref="D338:D401" si="59">20+345*LOG(8*C338+1,10)</f>
        <v>824.69126867088369</v>
      </c>
      <c r="E338" s="24">
        <f t="shared" si="51"/>
        <v>757.02566782485633</v>
      </c>
      <c r="F338" s="24">
        <f t="shared" si="53"/>
        <v>1691.6400211506839</v>
      </c>
      <c r="G338" s="14">
        <f t="shared" si="54"/>
        <v>12947.908032319605</v>
      </c>
      <c r="H338" s="24">
        <f t="shared" si="52"/>
        <v>1229.7086545452894</v>
      </c>
      <c r="I338" s="12">
        <f t="shared" si="55"/>
        <v>0.95115280607492025</v>
      </c>
      <c r="J338" s="3">
        <f t="shared" si="56"/>
        <v>0.7</v>
      </c>
    </row>
    <row r="339" spans="2:10" x14ac:dyDescent="0.25">
      <c r="B339" s="3">
        <f t="shared" si="57"/>
        <v>1610</v>
      </c>
      <c r="C339" s="14">
        <f t="shared" si="58"/>
        <v>26.833333333333332</v>
      </c>
      <c r="D339" s="11">
        <f t="shared" si="59"/>
        <v>825.15514395241814</v>
      </c>
      <c r="E339" s="24">
        <f t="shared" si="51"/>
        <v>757.97682063093123</v>
      </c>
      <c r="F339" s="24">
        <f t="shared" si="53"/>
        <v>1679.4580830371729</v>
      </c>
      <c r="G339" s="14">
        <f t="shared" si="54"/>
        <v>12880.126860790946</v>
      </c>
      <c r="H339" s="24">
        <f t="shared" si="52"/>
        <v>1205.5670936466045</v>
      </c>
      <c r="I339" s="12">
        <f t="shared" si="55"/>
        <v>0.9649003474342388</v>
      </c>
      <c r="J339" s="3">
        <f t="shared" si="56"/>
        <v>0.7</v>
      </c>
    </row>
    <row r="340" spans="2:10" x14ac:dyDescent="0.25">
      <c r="B340" s="3">
        <f t="shared" si="57"/>
        <v>1615</v>
      </c>
      <c r="C340" s="14">
        <f t="shared" si="58"/>
        <v>26.916666666666668</v>
      </c>
      <c r="D340" s="11">
        <f t="shared" si="59"/>
        <v>825.61758751784373</v>
      </c>
      <c r="E340" s="24">
        <f t="shared" si="51"/>
        <v>758.94172097836542</v>
      </c>
      <c r="F340" s="24">
        <f t="shared" si="53"/>
        <v>1666.8966634869576</v>
      </c>
      <c r="G340" s="14">
        <f t="shared" si="54"/>
        <v>12809.311482603971</v>
      </c>
      <c r="H340" s="24">
        <f t="shared" si="52"/>
        <v>1182.7559926891254</v>
      </c>
      <c r="I340" s="12">
        <f t="shared" si="55"/>
        <v>0.97787763904362457</v>
      </c>
      <c r="J340" s="3">
        <f t="shared" si="56"/>
        <v>0.7</v>
      </c>
    </row>
    <row r="341" spans="2:10" x14ac:dyDescent="0.25">
      <c r="B341" s="3">
        <f t="shared" si="57"/>
        <v>1620</v>
      </c>
      <c r="C341" s="14">
        <f t="shared" si="58"/>
        <v>27</v>
      </c>
      <c r="D341" s="11">
        <f t="shared" si="59"/>
        <v>826.07860817774269</v>
      </c>
      <c r="E341" s="24">
        <f t="shared" si="51"/>
        <v>759.91959861740906</v>
      </c>
      <c r="F341" s="24">
        <f t="shared" si="53"/>
        <v>1653.9752390083408</v>
      </c>
      <c r="G341" s="14">
        <f t="shared" si="54"/>
        <v>12735.576432819815</v>
      </c>
      <c r="H341" s="24">
        <f t="shared" si="52"/>
        <v>1161.1911247714443</v>
      </c>
      <c r="I341" s="12">
        <f t="shared" si="55"/>
        <v>0.99007571658578053</v>
      </c>
      <c r="J341" s="3">
        <f t="shared" si="56"/>
        <v>0.7</v>
      </c>
    </row>
    <row r="342" spans="2:10" x14ac:dyDescent="0.25">
      <c r="B342" s="3">
        <f t="shared" si="57"/>
        <v>1625</v>
      </c>
      <c r="C342" s="14">
        <f t="shared" si="58"/>
        <v>27.083333333333332</v>
      </c>
      <c r="D342" s="11">
        <f t="shared" si="59"/>
        <v>826.53821466161685</v>
      </c>
      <c r="E342" s="24">
        <f t="shared" si="51"/>
        <v>760.90967433399487</v>
      </c>
      <c r="F342" s="24">
        <f t="shared" si="53"/>
        <v>1640.7135081905494</v>
      </c>
      <c r="G342" s="14">
        <f t="shared" si="54"/>
        <v>12659.039001691966</v>
      </c>
      <c r="H342" s="24">
        <f t="shared" si="52"/>
        <v>1140.7938492077149</v>
      </c>
      <c r="I342" s="12">
        <f t="shared" si="55"/>
        <v>1.0014890463610955</v>
      </c>
      <c r="J342" s="3">
        <f t="shared" si="56"/>
        <v>0.7</v>
      </c>
    </row>
    <row r="343" spans="2:10" x14ac:dyDescent="0.25">
      <c r="B343" s="3">
        <f t="shared" si="57"/>
        <v>1630</v>
      </c>
      <c r="C343" s="14">
        <f t="shared" si="58"/>
        <v>27.166666666666668</v>
      </c>
      <c r="D343" s="11">
        <f t="shared" si="59"/>
        <v>826.99641561888166</v>
      </c>
      <c r="E343" s="24">
        <f t="shared" si="51"/>
        <v>761.91116338035602</v>
      </c>
      <c r="F343" s="24">
        <f t="shared" si="53"/>
        <v>1627.1313059631411</v>
      </c>
      <c r="G343" s="14">
        <f t="shared" si="54"/>
        <v>12579.818707983806</v>
      </c>
      <c r="H343" s="24">
        <f t="shared" si="52"/>
        <v>1121.4907577475578</v>
      </c>
      <c r="I343" s="12">
        <f t="shared" si="55"/>
        <v>1.0121153395260489</v>
      </c>
      <c r="J343" s="3">
        <f t="shared" si="56"/>
        <v>0.7</v>
      </c>
    </row>
    <row r="344" spans="2:10" x14ac:dyDescent="0.25">
      <c r="B344" s="3">
        <f t="shared" si="57"/>
        <v>1635</v>
      </c>
      <c r="C344" s="14">
        <f t="shared" si="58"/>
        <v>27.25</v>
      </c>
      <c r="D344" s="11">
        <f t="shared" si="59"/>
        <v>827.45321961984075</v>
      </c>
      <c r="E344" s="24">
        <f t="shared" si="51"/>
        <v>762.92327871988209</v>
      </c>
      <c r="F344" s="24">
        <f t="shared" si="53"/>
        <v>1613.2485224989664</v>
      </c>
      <c r="G344" s="14">
        <f t="shared" si="54"/>
        <v>12498.036792807574</v>
      </c>
      <c r="H344" s="24">
        <f t="shared" si="52"/>
        <v>1103.2133388103882</v>
      </c>
      <c r="I344" s="12">
        <f t="shared" si="55"/>
        <v>1.0219553515672064</v>
      </c>
      <c r="J344" s="3">
        <f t="shared" si="56"/>
        <v>0.7</v>
      </c>
    </row>
    <row r="345" spans="2:10" x14ac:dyDescent="0.25">
      <c r="B345" s="3">
        <f t="shared" si="57"/>
        <v>1640</v>
      </c>
      <c r="C345" s="14">
        <f t="shared" si="58"/>
        <v>27.333333333333332</v>
      </c>
      <c r="D345" s="11">
        <f t="shared" si="59"/>
        <v>827.90863515664978</v>
      </c>
      <c r="E345" s="24">
        <f t="shared" si="51"/>
        <v>763.94523407144925</v>
      </c>
      <c r="F345" s="24">
        <f t="shared" si="53"/>
        <v>1599.0850271300133</v>
      </c>
      <c r="G345" s="14">
        <f t="shared" si="54"/>
        <v>12413.815736701968</v>
      </c>
      <c r="H345" s="24">
        <f t="shared" si="52"/>
        <v>1085.8976594718761</v>
      </c>
      <c r="I345" s="12">
        <f t="shared" si="55"/>
        <v>1.0310126713565488</v>
      </c>
      <c r="J345" s="3">
        <f t="shared" si="56"/>
        <v>0.7</v>
      </c>
    </row>
    <row r="346" spans="2:10" x14ac:dyDescent="0.25">
      <c r="B346" s="3">
        <f t="shared" si="57"/>
        <v>1645</v>
      </c>
      <c r="C346" s="14">
        <f t="shared" si="58"/>
        <v>27.416666666666668</v>
      </c>
      <c r="D346" s="11">
        <f t="shared" si="59"/>
        <v>828.36267064426227</v>
      </c>
      <c r="E346" s="24">
        <f t="shared" si="51"/>
        <v>764.97624674280576</v>
      </c>
      <c r="F346" s="24">
        <f t="shared" si="53"/>
        <v>1584.6605975364128</v>
      </c>
      <c r="G346" s="14">
        <f t="shared" si="54"/>
        <v>12327.27880204732</v>
      </c>
      <c r="H346" s="24">
        <f t="shared" si="52"/>
        <v>1069.4840648496074</v>
      </c>
      <c r="I346" s="12">
        <f t="shared" si="55"/>
        <v>1.0392935037476283</v>
      </c>
      <c r="J346" s="3">
        <f t="shared" si="56"/>
        <v>0.7</v>
      </c>
    </row>
    <row r="347" spans="2:10" x14ac:dyDescent="0.25">
      <c r="B347" s="3">
        <f t="shared" si="57"/>
        <v>1650</v>
      </c>
      <c r="C347" s="14">
        <f t="shared" si="58"/>
        <v>27.5</v>
      </c>
      <c r="D347" s="11">
        <f t="shared" si="59"/>
        <v>828.81533442136299</v>
      </c>
      <c r="E347" s="24">
        <f t="shared" si="51"/>
        <v>766.01554024655343</v>
      </c>
      <c r="F347" s="24">
        <f t="shared" si="53"/>
        <v>1569.994854370239</v>
      </c>
      <c r="G347" s="14">
        <f t="shared" si="54"/>
        <v>12238.549602357636</v>
      </c>
      <c r="H347" s="24">
        <f t="shared" si="52"/>
        <v>1053.9168944567125</v>
      </c>
      <c r="I347" s="12">
        <f t="shared" si="55"/>
        <v>1.0468064492523996</v>
      </c>
      <c r="J347" s="3">
        <f t="shared" si="56"/>
        <v>0.7</v>
      </c>
    </row>
    <row r="348" spans="2:10" x14ac:dyDescent="0.25">
      <c r="B348" s="3">
        <f t="shared" si="57"/>
        <v>1655</v>
      </c>
      <c r="C348" s="14">
        <f t="shared" si="58"/>
        <v>27.583333333333332</v>
      </c>
      <c r="D348" s="11">
        <f t="shared" si="59"/>
        <v>829.26663475128748</v>
      </c>
      <c r="E348" s="24">
        <f t="shared" si="51"/>
        <v>767.06234669580579</v>
      </c>
      <c r="F348" s="24">
        <f t="shared" si="53"/>
        <v>1555.1072013870426</v>
      </c>
      <c r="G348" s="14">
        <f t="shared" si="54"/>
        <v>12147.751699470964</v>
      </c>
      <c r="H348" s="24">
        <f t="shared" si="52"/>
        <v>1039.1442150261548</v>
      </c>
      <c r="I348" s="12">
        <f t="shared" si="55"/>
        <v>1.0535622839022774</v>
      </c>
      <c r="J348" s="3">
        <f t="shared" si="56"/>
        <v>0.7</v>
      </c>
    </row>
    <row r="349" spans="2:10" x14ac:dyDescent="0.25">
      <c r="B349" s="3">
        <f t="shared" si="57"/>
        <v>1660</v>
      </c>
      <c r="C349" s="14">
        <f t="shared" si="58"/>
        <v>27.666666666666668</v>
      </c>
      <c r="D349" s="11">
        <f t="shared" si="59"/>
        <v>829.71657982292584</v>
      </c>
      <c r="E349" s="24">
        <f t="shared" si="51"/>
        <v>768.11590897970802</v>
      </c>
      <c r="F349" s="24">
        <f t="shared" si="53"/>
        <v>1540.0167710804453</v>
      </c>
      <c r="G349" s="14">
        <f t="shared" si="54"/>
        <v>12055.00822920256</v>
      </c>
      <c r="H349" s="24">
        <f t="shared" si="52"/>
        <v>1025.1175692542661</v>
      </c>
      <c r="I349" s="12">
        <f t="shared" si="55"/>
        <v>1.0595737419604607</v>
      </c>
      <c r="J349" s="3">
        <f t="shared" si="56"/>
        <v>0.7</v>
      </c>
    </row>
    <row r="350" spans="2:10" x14ac:dyDescent="0.25">
      <c r="B350" s="3">
        <f t="shared" si="57"/>
        <v>1665</v>
      </c>
      <c r="C350" s="14">
        <f t="shared" si="58"/>
        <v>27.75</v>
      </c>
      <c r="D350" s="11">
        <f t="shared" si="59"/>
        <v>830.16517775161537</v>
      </c>
      <c r="E350" s="24">
        <f t="shared" si="51"/>
        <v>769.17548272166846</v>
      </c>
      <c r="F350" s="24">
        <f t="shared" si="53"/>
        <v>1524.7423757486729</v>
      </c>
      <c r="G350" s="14">
        <f t="shared" si="54"/>
        <v>11960.441555626341</v>
      </c>
      <c r="H350" s="24">
        <f t="shared" si="52"/>
        <v>1011.7917398693519</v>
      </c>
      <c r="I350" s="12">
        <f t="shared" si="55"/>
        <v>1.0648553037280308</v>
      </c>
      <c r="J350" s="3">
        <f t="shared" si="56"/>
        <v>0.7</v>
      </c>
    </row>
    <row r="351" spans="2:10" x14ac:dyDescent="0.25">
      <c r="B351" s="3">
        <f t="shared" si="57"/>
        <v>1670</v>
      </c>
      <c r="C351" s="14">
        <f t="shared" si="58"/>
        <v>27.833333333333332</v>
      </c>
      <c r="D351" s="11">
        <f t="shared" si="59"/>
        <v>830.61243658001865</v>
      </c>
      <c r="E351" s="24">
        <f t="shared" si="51"/>
        <v>770.24033802539645</v>
      </c>
      <c r="F351" s="24">
        <f t="shared" si="53"/>
        <v>1509.302463865555</v>
      </c>
      <c r="G351" s="14">
        <f t="shared" si="54"/>
        <v>11864.17295380221</v>
      </c>
      <c r="H351" s="24">
        <f t="shared" si="52"/>
        <v>999.12452839898697</v>
      </c>
      <c r="I351" s="12">
        <f t="shared" si="55"/>
        <v>1.0694229902828072</v>
      </c>
      <c r="J351" s="3">
        <f t="shared" si="56"/>
        <v>0.7</v>
      </c>
    </row>
    <row r="352" spans="2:10" x14ac:dyDescent="0.25">
      <c r="B352" s="3">
        <f t="shared" si="57"/>
        <v>1675</v>
      </c>
      <c r="C352" s="14">
        <f t="shared" si="58"/>
        <v>27.916666666666668</v>
      </c>
      <c r="D352" s="11">
        <f t="shared" si="59"/>
        <v>831.05836427898828</v>
      </c>
      <c r="E352" s="24">
        <f t="shared" si="51"/>
        <v>771.30976101567921</v>
      </c>
      <c r="F352" s="24">
        <f t="shared" si="53"/>
        <v>1493.7150815827267</v>
      </c>
      <c r="G352" s="14">
        <f t="shared" si="54"/>
        <v>11766.322320476826</v>
      </c>
      <c r="H352" s="24">
        <f t="shared" si="52"/>
        <v>987.07654798718818</v>
      </c>
      <c r="I352" s="12">
        <f t="shared" si="55"/>
        <v>1.0732941666149396</v>
      </c>
      <c r="J352" s="3">
        <f t="shared" si="56"/>
        <v>0.7</v>
      </c>
    </row>
    <row r="353" spans="2:10" x14ac:dyDescent="0.25">
      <c r="B353" s="3">
        <f t="shared" si="57"/>
        <v>1680</v>
      </c>
      <c r="C353" s="14">
        <f t="shared" si="58"/>
        <v>28</v>
      </c>
      <c r="D353" s="11">
        <f t="shared" si="59"/>
        <v>831.50296874842002</v>
      </c>
      <c r="E353" s="24">
        <f t="shared" si="51"/>
        <v>772.38305518229413</v>
      </c>
      <c r="F353" s="24">
        <f t="shared" si="53"/>
        <v>1477.9978391531472</v>
      </c>
      <c r="G353" s="14">
        <f t="shared" si="54"/>
        <v>11667.007912046754</v>
      </c>
      <c r="H353" s="24">
        <f t="shared" si="52"/>
        <v>975.61102959900222</v>
      </c>
      <c r="I353" s="12">
        <f t="shared" si="55"/>
        <v>1.0764873542810989</v>
      </c>
      <c r="J353" s="3">
        <f t="shared" si="56"/>
        <v>0.7</v>
      </c>
    </row>
    <row r="354" spans="2:10" x14ac:dyDescent="0.25">
      <c r="B354" s="3">
        <f t="shared" si="57"/>
        <v>1685</v>
      </c>
      <c r="C354" s="14">
        <f t="shared" si="58"/>
        <v>28.083333333333332</v>
      </c>
      <c r="D354" s="11">
        <f t="shared" si="59"/>
        <v>831.94625781809111</v>
      </c>
      <c r="E354" s="24">
        <f t="shared" si="51"/>
        <v>773.45954253657521</v>
      </c>
      <c r="F354" s="24">
        <f t="shared" si="53"/>
        <v>1462.1678820378975</v>
      </c>
      <c r="G354" s="14">
        <f t="shared" si="54"/>
        <v>11566.346108876152</v>
      </c>
      <c r="H354" s="24">
        <f t="shared" si="52"/>
        <v>964.69364094419097</v>
      </c>
      <c r="I354" s="12">
        <f t="shared" si="55"/>
        <v>1.0790220543919555</v>
      </c>
      <c r="J354" s="3">
        <f t="shared" si="56"/>
        <v>0.7</v>
      </c>
    </row>
    <row r="355" spans="2:10" x14ac:dyDescent="0.25">
      <c r="B355" s="3">
        <f t="shared" si="57"/>
        <v>1690</v>
      </c>
      <c r="C355" s="14">
        <f t="shared" si="58"/>
        <v>28.166666666666668</v>
      </c>
      <c r="D355" s="11">
        <f t="shared" si="59"/>
        <v>832.38823924848953</v>
      </c>
      <c r="E355" s="24">
        <f t="shared" si="51"/>
        <v>774.53856459096721</v>
      </c>
      <c r="F355" s="24">
        <f t="shared" si="53"/>
        <v>1446.241866438058</v>
      </c>
      <c r="G355" s="14">
        <f t="shared" si="54"/>
        <v>11464.451204915073</v>
      </c>
      <c r="H355" s="24">
        <f t="shared" si="52"/>
        <v>954.29231745267623</v>
      </c>
      <c r="I355" s="12">
        <f t="shared" si="55"/>
        <v>1.0809185814774991</v>
      </c>
      <c r="J355" s="3">
        <f t="shared" si="56"/>
        <v>0.7</v>
      </c>
    </row>
    <row r="356" spans="2:10" x14ac:dyDescent="0.25">
      <c r="B356" s="3">
        <f t="shared" si="57"/>
        <v>1695</v>
      </c>
      <c r="C356" s="14">
        <f t="shared" si="58"/>
        <v>28.25</v>
      </c>
      <c r="D356" s="11">
        <f t="shared" si="59"/>
        <v>832.82892073162725</v>
      </c>
      <c r="E356" s="24">
        <f t="shared" si="51"/>
        <v>775.61948317244469</v>
      </c>
      <c r="F356" s="24">
        <f t="shared" si="53"/>
        <v>1430.235938979564</v>
      </c>
      <c r="G356" s="14">
        <f t="shared" si="54"/>
        <v>11361.435221447568</v>
      </c>
      <c r="H356" s="24">
        <f t="shared" si="52"/>
        <v>944.37710464125144</v>
      </c>
      <c r="I356" s="12">
        <f t="shared" si="55"/>
        <v>1.0821979085397611</v>
      </c>
      <c r="J356" s="3">
        <f t="shared" si="56"/>
        <v>0.7</v>
      </c>
    </row>
    <row r="357" spans="2:10" x14ac:dyDescent="0.25">
      <c r="B357" s="3">
        <f t="shared" si="57"/>
        <v>1700</v>
      </c>
      <c r="C357" s="14">
        <f t="shared" si="58"/>
        <v>28.333333333333332</v>
      </c>
      <c r="D357" s="11">
        <f t="shared" si="59"/>
        <v>833.26830989184509</v>
      </c>
      <c r="E357" s="24">
        <f t="shared" si="51"/>
        <v>776.70168108098449</v>
      </c>
      <c r="F357" s="24">
        <f t="shared" si="53"/>
        <v>1414.1657202715151</v>
      </c>
      <c r="G357" s="14">
        <f t="shared" si="54"/>
        <v>11257.407743722766</v>
      </c>
      <c r="H357" s="24">
        <f t="shared" si="52"/>
        <v>934.92001122283727</v>
      </c>
      <c r="I357" s="12">
        <f t="shared" si="55"/>
        <v>1.0828815234028635</v>
      </c>
      <c r="J357" s="3">
        <f t="shared" si="56"/>
        <v>0.7</v>
      </c>
    </row>
    <row r="358" spans="2:10" x14ac:dyDescent="0.25">
      <c r="B358" s="3">
        <f t="shared" si="57"/>
        <v>1705</v>
      </c>
      <c r="C358" s="14">
        <f t="shared" si="58"/>
        <v>28.416666666666668</v>
      </c>
      <c r="D358" s="11">
        <f t="shared" si="59"/>
        <v>833.70641428660315</v>
      </c>
      <c r="E358" s="24">
        <f t="shared" si="51"/>
        <v>777.78456260438736</v>
      </c>
      <c r="F358" s="24">
        <f t="shared" si="53"/>
        <v>1398.0462920553946</v>
      </c>
      <c r="G358" s="14">
        <f t="shared" si="54"/>
        <v>11152.475779170636</v>
      </c>
      <c r="H358" s="24">
        <f t="shared" si="52"/>
        <v>925.89487232544684</v>
      </c>
      <c r="I358" s="12">
        <f t="shared" si="55"/>
        <v>1.0829912963027217</v>
      </c>
      <c r="J358" s="3">
        <f t="shared" si="56"/>
        <v>0.7</v>
      </c>
    </row>
    <row r="359" spans="2:10" x14ac:dyDescent="0.25">
      <c r="B359" s="3">
        <f t="shared" si="57"/>
        <v>1710</v>
      </c>
      <c r="C359" s="14">
        <f t="shared" si="58"/>
        <v>28.5</v>
      </c>
      <c r="D359" s="11">
        <f t="shared" si="59"/>
        <v>834.14324140726137</v>
      </c>
      <c r="E359" s="24">
        <f t="shared" si="51"/>
        <v>778.86755390069004</v>
      </c>
      <c r="F359" s="24">
        <f t="shared" si="53"/>
        <v>1381.8921876642833</v>
      </c>
      <c r="G359" s="14">
        <f t="shared" si="54"/>
        <v>11046.743635878547</v>
      </c>
      <c r="H359" s="24">
        <f t="shared" si="52"/>
        <v>917.27722220715168</v>
      </c>
      <c r="I359" s="12">
        <f t="shared" si="55"/>
        <v>1.0825493585213819</v>
      </c>
      <c r="J359" s="3">
        <f t="shared" si="56"/>
        <v>0.7</v>
      </c>
    </row>
    <row r="360" spans="2:10" x14ac:dyDescent="0.25">
      <c r="B360" s="3">
        <f t="shared" si="57"/>
        <v>1715</v>
      </c>
      <c r="C360" s="14">
        <f t="shared" si="58"/>
        <v>28.583333333333332</v>
      </c>
      <c r="D360" s="11">
        <f t="shared" si="59"/>
        <v>834.5787986798473</v>
      </c>
      <c r="E360" s="24">
        <f t="shared" si="51"/>
        <v>779.95010325921146</v>
      </c>
      <c r="F360" s="24">
        <f t="shared" si="53"/>
        <v>1365.7173855158958</v>
      </c>
      <c r="G360" s="14">
        <f t="shared" si="54"/>
        <v>10940.312820000268</v>
      </c>
      <c r="H360" s="24">
        <f t="shared" si="52"/>
        <v>909.04417587508601</v>
      </c>
      <c r="I360" s="12">
        <f t="shared" si="55"/>
        <v>1.08157799176075</v>
      </c>
      <c r="J360" s="3">
        <f t="shared" si="56"/>
        <v>0.7</v>
      </c>
    </row>
    <row r="361" spans="2:10" x14ac:dyDescent="0.25">
      <c r="B361" s="3">
        <f t="shared" si="57"/>
        <v>1720</v>
      </c>
      <c r="C361" s="14">
        <f t="shared" si="58"/>
        <v>28.666666666666668</v>
      </c>
      <c r="D361" s="11">
        <f t="shared" si="59"/>
        <v>835.0130934658149</v>
      </c>
      <c r="E361" s="24">
        <f t="shared" si="51"/>
        <v>781.03168125097216</v>
      </c>
      <c r="F361" s="24">
        <f t="shared" si="53"/>
        <v>1349.5353053710687</v>
      </c>
      <c r="G361" s="14">
        <f t="shared" si="54"/>
        <v>10833.281950782715</v>
      </c>
      <c r="H361" s="24">
        <f t="shared" si="52"/>
        <v>901.17431904017303</v>
      </c>
      <c r="I361" s="12">
        <f t="shared" si="55"/>
        <v>1.0800995278646355</v>
      </c>
      <c r="J361" s="3">
        <f t="shared" si="56"/>
        <v>0.7</v>
      </c>
    </row>
    <row r="362" spans="2:10" x14ac:dyDescent="0.25">
      <c r="B362" s="3">
        <f t="shared" si="57"/>
        <v>1725</v>
      </c>
      <c r="C362" s="14">
        <f t="shared" si="58"/>
        <v>28.75</v>
      </c>
      <c r="D362" s="11">
        <f t="shared" si="59"/>
        <v>835.44613306278973</v>
      </c>
      <c r="E362" s="24">
        <f t="shared" si="51"/>
        <v>782.11178077883676</v>
      </c>
      <c r="F362" s="24">
        <f t="shared" si="53"/>
        <v>1333.3588070988242</v>
      </c>
      <c r="G362" s="14">
        <f t="shared" si="54"/>
        <v>10725.746691917006</v>
      </c>
      <c r="H362" s="24">
        <f t="shared" si="52"/>
        <v>893.64760586425336</v>
      </c>
      <c r="I362" s="12">
        <f t="shared" si="55"/>
        <v>1.0781362584329606</v>
      </c>
      <c r="J362" s="3">
        <f t="shared" si="56"/>
        <v>0.7</v>
      </c>
    </row>
    <row r="363" spans="2:10" x14ac:dyDescent="0.25">
      <c r="B363" s="3">
        <f t="shared" si="57"/>
        <v>1730</v>
      </c>
      <c r="C363" s="14">
        <f t="shared" si="58"/>
        <v>28.833333333333332</v>
      </c>
      <c r="D363" s="11">
        <f t="shared" si="59"/>
        <v>835.87792470530565</v>
      </c>
      <c r="E363" s="24">
        <f t="shared" si="51"/>
        <v>783.18991703726977</v>
      </c>
      <c r="F363" s="24">
        <f t="shared" si="53"/>
        <v>1317.200191700897</v>
      </c>
      <c r="G363" s="14">
        <f t="shared" si="54"/>
        <v>10617.79969796516</v>
      </c>
      <c r="H363" s="24">
        <f t="shared" si="52"/>
        <v>886.44526398220592</v>
      </c>
      <c r="I363" s="12">
        <f t="shared" si="55"/>
        <v>1.0757103538264323</v>
      </c>
      <c r="J363" s="3">
        <f t="shared" si="56"/>
        <v>0.7</v>
      </c>
    </row>
    <row r="364" spans="2:10" x14ac:dyDescent="0.25">
      <c r="B364" s="3">
        <f t="shared" si="57"/>
        <v>1735</v>
      </c>
      <c r="C364" s="14">
        <f t="shared" si="58"/>
        <v>28.916666666666668</v>
      </c>
      <c r="D364" s="11">
        <f t="shared" si="59"/>
        <v>836.30847556552953</v>
      </c>
      <c r="E364" s="24">
        <f t="shared" si="51"/>
        <v>784.26562739109625</v>
      </c>
      <c r="F364" s="24">
        <f t="shared" si="53"/>
        <v>1301.0712043608323</v>
      </c>
      <c r="G364" s="14">
        <f t="shared" si="54"/>
        <v>10509.530574649514</v>
      </c>
      <c r="H364" s="24">
        <f t="shared" si="52"/>
        <v>879.54970630795106</v>
      </c>
      <c r="I364" s="12">
        <f t="shared" si="55"/>
        <v>1.0728437910286939</v>
      </c>
      <c r="J364" s="3">
        <f t="shared" si="56"/>
        <v>0.7</v>
      </c>
    </row>
    <row r="365" spans="2:10" x14ac:dyDescent="0.25">
      <c r="B365" s="3">
        <f t="shared" si="57"/>
        <v>1740</v>
      </c>
      <c r="C365" s="14">
        <f t="shared" si="58"/>
        <v>29</v>
      </c>
      <c r="D365" s="11">
        <f t="shared" si="59"/>
        <v>836.73779275397635</v>
      </c>
      <c r="E365" s="24">
        <f t="shared" si="51"/>
        <v>785.33847118212498</v>
      </c>
      <c r="F365" s="24">
        <f t="shared" si="53"/>
        <v>1284.9830392962845</v>
      </c>
      <c r="G365" s="14">
        <f t="shared" si="54"/>
        <v>10401.02585185205</v>
      </c>
      <c r="H365" s="24">
        <f t="shared" si="52"/>
        <v>872.94444915965937</v>
      </c>
      <c r="I365" s="12">
        <f t="shared" si="55"/>
        <v>1.0695582898165155</v>
      </c>
      <c r="J365" s="3">
        <f t="shared" si="56"/>
        <v>0.7</v>
      </c>
    </row>
    <row r="366" spans="2:10" x14ac:dyDescent="0.25">
      <c r="B366" s="3">
        <f t="shared" si="57"/>
        <v>1745</v>
      </c>
      <c r="C366" s="14">
        <f t="shared" si="58"/>
        <v>29.083333333333332</v>
      </c>
      <c r="D366" s="11">
        <f t="shared" si="59"/>
        <v>837.16588332021365</v>
      </c>
      <c r="E366" s="24">
        <f t="shared" si="51"/>
        <v>786.40802947194152</v>
      </c>
      <c r="F366" s="24">
        <f t="shared" si="53"/>
        <v>1268.9463462068034</v>
      </c>
      <c r="G366" s="14">
        <f t="shared" si="54"/>
        <v>10292.368968219333</v>
      </c>
      <c r="H366" s="24">
        <f t="shared" si="52"/>
        <v>866.61403626570041</v>
      </c>
      <c r="I366" s="12">
        <f t="shared" si="55"/>
        <v>1.0658752566817113</v>
      </c>
      <c r="J366" s="3">
        <f t="shared" si="56"/>
        <v>0.7</v>
      </c>
    </row>
    <row r="367" spans="2:10" x14ac:dyDescent="0.25">
      <c r="B367" s="3">
        <f t="shared" si="57"/>
        <v>1750</v>
      </c>
      <c r="C367" s="14">
        <f t="shared" si="58"/>
        <v>29.166666666666668</v>
      </c>
      <c r="D367" s="11">
        <f t="shared" si="59"/>
        <v>837.59275425355565</v>
      </c>
      <c r="E367" s="24">
        <f t="shared" si="51"/>
        <v>787.47390472862321</v>
      </c>
      <c r="F367" s="24">
        <f t="shared" si="53"/>
        <v>1252.9712381233112</v>
      </c>
      <c r="G367" s="14">
        <f t="shared" si="54"/>
        <v>10183.64026633092</v>
      </c>
      <c r="H367" s="24">
        <f t="shared" si="52"/>
        <v>860.54396823862817</v>
      </c>
      <c r="I367" s="12">
        <f t="shared" si="55"/>
        <v>1.0618157359515381</v>
      </c>
      <c r="J367" s="3">
        <f t="shared" si="56"/>
        <v>0.7</v>
      </c>
    </row>
    <row r="368" spans="2:10" x14ac:dyDescent="0.25">
      <c r="B368" s="3">
        <f t="shared" si="57"/>
        <v>1755</v>
      </c>
      <c r="C368" s="14">
        <f t="shared" si="58"/>
        <v>29.25</v>
      </c>
      <c r="D368" s="11">
        <f t="shared" si="59"/>
        <v>838.01841248374888</v>
      </c>
      <c r="E368" s="24">
        <f t="shared" si="51"/>
        <v>788.53572046457475</v>
      </c>
      <c r="F368" s="24">
        <f t="shared" si="53"/>
        <v>1237.067300479353</v>
      </c>
      <c r="G368" s="14">
        <f t="shared" si="54"/>
        <v>10074.916997447615</v>
      </c>
      <c r="H368" s="24">
        <f t="shared" si="52"/>
        <v>854.72063712962336</v>
      </c>
      <c r="I368" s="12">
        <f t="shared" si="55"/>
        <v>1.0574003675640744</v>
      </c>
      <c r="J368" s="3">
        <f t="shared" si="56"/>
        <v>0.7</v>
      </c>
    </row>
    <row r="369" spans="2:10" x14ac:dyDescent="0.25">
      <c r="B369" s="3">
        <f t="shared" si="57"/>
        <v>1760</v>
      </c>
      <c r="C369" s="14">
        <f t="shared" si="58"/>
        <v>29.333333333333332</v>
      </c>
      <c r="D369" s="11">
        <f t="shared" si="59"/>
        <v>838.44286488164676</v>
      </c>
      <c r="E369" s="24">
        <f t="shared" si="51"/>
        <v>789.59312083213888</v>
      </c>
      <c r="F369" s="24">
        <f t="shared" si="53"/>
        <v>1221.243601237697</v>
      </c>
      <c r="G369" s="14">
        <f t="shared" si="54"/>
        <v>9966.2733349141909</v>
      </c>
      <c r="H369" s="24">
        <f t="shared" si="52"/>
        <v>849.13126570014617</v>
      </c>
      <c r="I369" s="12">
        <f t="shared" si="55"/>
        <v>1.0526493509703603</v>
      </c>
      <c r="J369" s="3">
        <f t="shared" si="56"/>
        <v>0.7</v>
      </c>
    </row>
    <row r="370" spans="2:10" x14ac:dyDescent="0.25">
      <c r="B370" s="3">
        <f t="shared" si="57"/>
        <v>1765</v>
      </c>
      <c r="C370" s="14">
        <f t="shared" si="58"/>
        <v>29.416666666666668</v>
      </c>
      <c r="D370" s="11">
        <f t="shared" si="59"/>
        <v>838.86611825987427</v>
      </c>
      <c r="E370" s="24">
        <f t="shared" ref="E370:E433" si="60">E369+I369</f>
        <v>790.64577018310922</v>
      </c>
      <c r="F370" s="24">
        <f t="shared" si="53"/>
        <v>1205.5087019191262</v>
      </c>
      <c r="G370" s="14">
        <f t="shared" si="54"/>
        <v>9857.7803953529838</v>
      </c>
      <c r="H370" s="24">
        <f t="shared" ref="H370:H433" si="61">IF(E370&lt;600,425+0.773*E370-1.69/1000*E370^2+2.22/1000^2*E370^3,IF(E370&lt;735,666+13002/(738-E370),IF(E370&lt;900,545+17820/(E370-731),650)))</f>
        <v>843.76385107097417</v>
      </c>
      <c r="I370" s="12">
        <f t="shared" si="55"/>
        <v>1.0475824146549588</v>
      </c>
      <c r="J370" s="3">
        <f t="shared" si="56"/>
        <v>0.7</v>
      </c>
    </row>
    <row r="371" spans="2:10" x14ac:dyDescent="0.25">
      <c r="B371" s="3">
        <f t="shared" si="57"/>
        <v>1770</v>
      </c>
      <c r="C371" s="14">
        <f t="shared" si="58"/>
        <v>29.5</v>
      </c>
      <c r="D371" s="11">
        <f t="shared" si="59"/>
        <v>839.28817937348583</v>
      </c>
      <c r="E371" s="24">
        <f t="shared" si="60"/>
        <v>791.69335259776415</v>
      </c>
      <c r="F371" s="24">
        <f t="shared" si="53"/>
        <v>1189.8706693930421</v>
      </c>
      <c r="G371" s="14">
        <f t="shared" si="54"/>
        <v>9749.5062668402188</v>
      </c>
      <c r="H371" s="24">
        <f t="shared" si="61"/>
        <v>838.60711243122955</v>
      </c>
      <c r="I371" s="12">
        <f t="shared" si="55"/>
        <v>1.0422187907891134</v>
      </c>
      <c r="J371" s="3">
        <f t="shared" si="56"/>
        <v>0.7</v>
      </c>
    </row>
    <row r="372" spans="2:10" x14ac:dyDescent="0.25">
      <c r="B372" s="3">
        <f t="shared" si="57"/>
        <v>1775</v>
      </c>
      <c r="C372" s="14">
        <f t="shared" si="58"/>
        <v>29.583333333333332</v>
      </c>
      <c r="D372" s="11">
        <f t="shared" si="59"/>
        <v>839.7090549206099</v>
      </c>
      <c r="E372" s="24">
        <f t="shared" si="60"/>
        <v>792.73557138855324</v>
      </c>
      <c r="F372" s="24">
        <f t="shared" si="53"/>
        <v>1174.3370883014165</v>
      </c>
      <c r="G372" s="14">
        <f t="shared" si="54"/>
        <v>9641.5160433151141</v>
      </c>
      <c r="H372" s="24">
        <f t="shared" si="61"/>
        <v>833.65044251139966</v>
      </c>
      <c r="I372" s="12">
        <f t="shared" si="55"/>
        <v>1.0365771945556648</v>
      </c>
      <c r="J372" s="3">
        <f t="shared" si="56"/>
        <v>0.7</v>
      </c>
    </row>
    <row r="373" spans="2:10" x14ac:dyDescent="0.25">
      <c r="B373" s="3">
        <f t="shared" si="57"/>
        <v>1780</v>
      </c>
      <c r="C373" s="14">
        <f t="shared" si="58"/>
        <v>29.666666666666668</v>
      </c>
      <c r="D373" s="11">
        <f t="shared" si="59"/>
        <v>840.12875154308927</v>
      </c>
      <c r="E373" s="24">
        <f t="shared" si="60"/>
        <v>793.7721485831089</v>
      </c>
      <c r="F373" s="24">
        <f t="shared" si="53"/>
        <v>1158.9150739995091</v>
      </c>
      <c r="G373" s="14">
        <f t="shared" si="54"/>
        <v>9533.8718645243043</v>
      </c>
      <c r="H373" s="24">
        <f t="shared" si="61"/>
        <v>828.88386254465581</v>
      </c>
      <c r="I373" s="12">
        <f t="shared" si="55"/>
        <v>1.0306758077109313</v>
      </c>
      <c r="J373" s="3">
        <f t="shared" si="56"/>
        <v>0.7</v>
      </c>
    </row>
    <row r="374" spans="2:10" x14ac:dyDescent="0.25">
      <c r="B374" s="3">
        <f t="shared" si="57"/>
        <v>1785</v>
      </c>
      <c r="C374" s="14">
        <f t="shared" si="58"/>
        <v>29.75</v>
      </c>
      <c r="D374" s="11">
        <f t="shared" si="59"/>
        <v>840.54727582710746</v>
      </c>
      <c r="E374" s="24">
        <f t="shared" si="60"/>
        <v>794.80282439081986</v>
      </c>
      <c r="F374" s="24">
        <f t="shared" si="53"/>
        <v>1143.6112859071898</v>
      </c>
      <c r="G374" s="14">
        <f t="shared" si="54"/>
        <v>9426.6329608569868</v>
      </c>
      <c r="H374" s="24">
        <f t="shared" si="61"/>
        <v>824.29798045999974</v>
      </c>
      <c r="I374" s="12">
        <f t="shared" si="55"/>
        <v>1.0245322659756455</v>
      </c>
      <c r="J374" s="3">
        <f t="shared" si="56"/>
        <v>0.7</v>
      </c>
    </row>
    <row r="375" spans="2:10" x14ac:dyDescent="0.25">
      <c r="B375" s="3">
        <f t="shared" si="57"/>
        <v>1790</v>
      </c>
      <c r="C375" s="14">
        <f t="shared" si="58"/>
        <v>29.833333333333332</v>
      </c>
      <c r="D375" s="11">
        <f t="shared" si="59"/>
        <v>840.96463430381084</v>
      </c>
      <c r="E375" s="24">
        <f t="shared" si="60"/>
        <v>795.82735665679547</v>
      </c>
      <c r="F375" s="24">
        <f t="shared" si="53"/>
        <v>1128.4319411753841</v>
      </c>
      <c r="G375" s="14">
        <f t="shared" si="54"/>
        <v>9319.8557024743986</v>
      </c>
      <c r="H375" s="24">
        <f t="shared" si="61"/>
        <v>819.88395206889913</v>
      </c>
      <c r="I375" s="12">
        <f t="shared" si="55"/>
        <v>1.0181636498739186</v>
      </c>
      <c r="J375" s="3">
        <f t="shared" si="56"/>
        <v>0.7</v>
      </c>
    </row>
    <row r="376" spans="2:10" x14ac:dyDescent="0.25">
      <c r="B376" s="3">
        <f t="shared" si="57"/>
        <v>1795</v>
      </c>
      <c r="C376" s="14">
        <f t="shared" si="58"/>
        <v>29.916666666666668</v>
      </c>
      <c r="D376" s="11">
        <f t="shared" si="59"/>
        <v>841.38083344991935</v>
      </c>
      <c r="E376" s="24">
        <f t="shared" si="60"/>
        <v>796.84552030666941</v>
      </c>
      <c r="F376" s="24">
        <f t="shared" si="53"/>
        <v>1113.3828285812483</v>
      </c>
      <c r="G376" s="14">
        <f t="shared" si="54"/>
        <v>9213.5936521854564</v>
      </c>
      <c r="H376" s="24">
        <f t="shared" si="61"/>
        <v>815.6334450241261</v>
      </c>
      <c r="I376" s="12">
        <f t="shared" si="55"/>
        <v>1.0115864786659854</v>
      </c>
      <c r="J376" s="3">
        <f t="shared" si="56"/>
        <v>0.7</v>
      </c>
    </row>
    <row r="377" spans="2:10" x14ac:dyDescent="0.25">
      <c r="B377" s="33">
        <f t="shared" si="57"/>
        <v>1800</v>
      </c>
      <c r="C377" s="34">
        <f t="shared" si="58"/>
        <v>30</v>
      </c>
      <c r="D377" s="35">
        <f t="shared" si="59"/>
        <v>841.79587968832948</v>
      </c>
      <c r="E377" s="36">
        <f t="shared" si="60"/>
        <v>797.85710678533542</v>
      </c>
      <c r="F377" s="36">
        <f t="shared" si="53"/>
        <v>1098.4693225748515</v>
      </c>
      <c r="G377" s="14">
        <f t="shared" si="54"/>
        <v>9107.8976215604998</v>
      </c>
      <c r="H377" s="36">
        <f t="shared" si="61"/>
        <v>811.53860534552291</v>
      </c>
      <c r="I377" s="37">
        <f t="shared" si="55"/>
        <v>1.0048167070461831</v>
      </c>
      <c r="J377" s="38">
        <f t="shared" si="56"/>
        <v>0.7</v>
      </c>
    </row>
    <row r="378" spans="2:10" x14ac:dyDescent="0.25">
      <c r="B378" s="3">
        <f t="shared" si="57"/>
        <v>1805</v>
      </c>
      <c r="C378" s="14">
        <f t="shared" si="58"/>
        <v>30.083333333333332</v>
      </c>
      <c r="D378" s="11">
        <f t="shared" si="59"/>
        <v>842.20977938870919</v>
      </c>
      <c r="E378" s="24">
        <f t="shared" si="60"/>
        <v>798.86192349238161</v>
      </c>
      <c r="F378" s="24">
        <f t="shared" si="53"/>
        <v>1083.6963974081896</v>
      </c>
      <c r="G378" s="14">
        <f t="shared" si="54"/>
        <v>9002.8157298215338</v>
      </c>
      <c r="H378" s="24">
        <f t="shared" si="61"/>
        <v>807.59202632239749</v>
      </c>
      <c r="I378" s="12">
        <f t="shared" si="55"/>
        <v>0.99786972430328835</v>
      </c>
      <c r="J378" s="3">
        <f t="shared" si="56"/>
        <v>0.7</v>
      </c>
    </row>
    <row r="379" spans="2:10" x14ac:dyDescent="0.25">
      <c r="B379" s="3">
        <f t="shared" si="57"/>
        <v>1810</v>
      </c>
      <c r="C379" s="14">
        <f t="shared" si="58"/>
        <v>30.166666666666668</v>
      </c>
      <c r="D379" s="11">
        <f t="shared" si="59"/>
        <v>842.62253886808458</v>
      </c>
      <c r="E379" s="24">
        <f t="shared" si="60"/>
        <v>799.85979321668492</v>
      </c>
      <c r="F379" s="24">
        <f t="shared" si="53"/>
        <v>1069.0686412849914</v>
      </c>
      <c r="G379" s="14">
        <f t="shared" si="54"/>
        <v>8898.3934650804313</v>
      </c>
      <c r="H379" s="24">
        <f t="shared" si="61"/>
        <v>803.78671961626173</v>
      </c>
      <c r="I379" s="12">
        <f t="shared" si="55"/>
        <v>0.99076035566393883</v>
      </c>
      <c r="J379" s="3">
        <f t="shared" si="56"/>
        <v>0.7</v>
      </c>
    </row>
    <row r="380" spans="2:10" x14ac:dyDescent="0.25">
      <c r="B380" s="3">
        <f t="shared" si="57"/>
        <v>1815</v>
      </c>
      <c r="C380" s="14">
        <f t="shared" si="58"/>
        <v>30.25</v>
      </c>
      <c r="D380" s="11">
        <f t="shared" si="59"/>
        <v>843.03416439141756</v>
      </c>
      <c r="E380" s="24">
        <f t="shared" si="60"/>
        <v>800.85055357234887</v>
      </c>
      <c r="F380" s="24">
        <f t="shared" si="53"/>
        <v>1054.5902704767173</v>
      </c>
      <c r="G380" s="14">
        <f t="shared" si="54"/>
        <v>8794.6737475358132</v>
      </c>
      <c r="H380" s="24">
        <f t="shared" si="61"/>
        <v>800.116088400683</v>
      </c>
      <c r="I380" s="12">
        <f t="shared" si="55"/>
        <v>0.98350286556314137</v>
      </c>
      <c r="J380" s="3">
        <f t="shared" si="56"/>
        <v>0.7</v>
      </c>
    </row>
    <row r="381" spans="2:10" x14ac:dyDescent="0.25">
      <c r="B381" s="3">
        <f t="shared" si="57"/>
        <v>1820</v>
      </c>
      <c r="C381" s="14">
        <f t="shared" si="58"/>
        <v>30.333333333333332</v>
      </c>
      <c r="D381" s="11">
        <f t="shared" si="59"/>
        <v>843.44466217217825</v>
      </c>
      <c r="E381" s="24">
        <f t="shared" si="60"/>
        <v>801.83405643791207</v>
      </c>
      <c r="F381" s="24">
        <f t="shared" si="53"/>
        <v>1040.2651433566548</v>
      </c>
      <c r="G381" s="14">
        <f t="shared" si="54"/>
        <v>8691.6969942723408</v>
      </c>
      <c r="H381" s="24">
        <f t="shared" si="61"/>
        <v>796.57390238719006</v>
      </c>
      <c r="I381" s="12">
        <f t="shared" si="55"/>
        <v>0.97611096260755392</v>
      </c>
      <c r="J381" s="3">
        <f t="shared" si="56"/>
        <v>0.7</v>
      </c>
    </row>
    <row r="382" spans="2:10" x14ac:dyDescent="0.25">
      <c r="B382" s="3">
        <f t="shared" si="57"/>
        <v>1825</v>
      </c>
      <c r="C382" s="14">
        <f t="shared" si="58"/>
        <v>30.416666666666668</v>
      </c>
      <c r="D382" s="11">
        <f t="shared" si="59"/>
        <v>843.85403837290562</v>
      </c>
      <c r="E382" s="24">
        <f t="shared" si="60"/>
        <v>802.81016740051962</v>
      </c>
      <c r="F382" s="24">
        <f t="shared" si="53"/>
        <v>1026.0967743096501</v>
      </c>
      <c r="G382" s="14">
        <f t="shared" si="54"/>
        <v>8589.5011853351643</v>
      </c>
      <c r="H382" s="24">
        <f t="shared" si="61"/>
        <v>793.15427459748628</v>
      </c>
      <c r="I382" s="12">
        <f t="shared" si="55"/>
        <v>0.96859780601740797</v>
      </c>
      <c r="J382" s="3">
        <f t="shared" si="56"/>
        <v>0.7</v>
      </c>
    </row>
    <row r="383" spans="2:10" x14ac:dyDescent="0.25">
      <c r="B383" s="3">
        <f t="shared" si="57"/>
        <v>1830</v>
      </c>
      <c r="C383" s="14">
        <f t="shared" si="58"/>
        <v>30.5</v>
      </c>
      <c r="D383" s="11">
        <f t="shared" si="59"/>
        <v>844.26229910576376</v>
      </c>
      <c r="E383" s="24">
        <f t="shared" si="60"/>
        <v>803.77876520653706</v>
      </c>
      <c r="F383" s="24">
        <f t="shared" si="53"/>
        <v>1012.0883474806675</v>
      </c>
      <c r="G383" s="14">
        <f t="shared" si="54"/>
        <v>8488.1219307834781</v>
      </c>
      <c r="H383" s="24">
        <f t="shared" si="61"/>
        <v>789.85163975273645</v>
      </c>
      <c r="I383" s="12">
        <f t="shared" si="55"/>
        <v>0.96097601335232941</v>
      </c>
      <c r="J383" s="3">
        <f t="shared" si="56"/>
        <v>0.7</v>
      </c>
    </row>
    <row r="384" spans="2:10" x14ac:dyDescent="0.25">
      <c r="B384" s="3">
        <f t="shared" si="57"/>
        <v>1835</v>
      </c>
      <c r="C384" s="14">
        <f t="shared" si="58"/>
        <v>30.583333333333332</v>
      </c>
      <c r="D384" s="11">
        <f t="shared" si="59"/>
        <v>844.66945043308908</v>
      </c>
      <c r="E384" s="24">
        <f t="shared" si="60"/>
        <v>804.73974121988942</v>
      </c>
      <c r="F384" s="24">
        <f t="shared" si="53"/>
        <v>998.24273032999145</v>
      </c>
      <c r="G384" s="14">
        <f t="shared" si="54"/>
        <v>8387.5925384526927</v>
      </c>
      <c r="H384" s="24">
        <f t="shared" si="61"/>
        <v>786.66073416044901</v>
      </c>
      <c r="I384" s="12">
        <f t="shared" si="55"/>
        <v>0.95325766934397949</v>
      </c>
      <c r="J384" s="3">
        <f t="shared" si="56"/>
        <v>0.7</v>
      </c>
    </row>
    <row r="385" spans="2:10" x14ac:dyDescent="0.25">
      <c r="B385" s="3">
        <f t="shared" si="57"/>
        <v>1840</v>
      </c>
      <c r="C385" s="14">
        <f t="shared" si="58"/>
        <v>30.666666666666668</v>
      </c>
      <c r="D385" s="11">
        <f t="shared" si="59"/>
        <v>845.07549836793135</v>
      </c>
      <c r="E385" s="24">
        <f t="shared" si="60"/>
        <v>805.69299888923342</v>
      </c>
      <c r="F385" s="24">
        <f t="shared" si="53"/>
        <v>984.56248696744808</v>
      </c>
      <c r="G385" s="14">
        <f t="shared" si="54"/>
        <v>8287.9440821792359</v>
      </c>
      <c r="H385" s="24">
        <f t="shared" si="61"/>
        <v>783.57657698851153</v>
      </c>
      <c r="I385" s="12">
        <f t="shared" si="55"/>
        <v>0.94545433567499326</v>
      </c>
      <c r="J385" s="3">
        <f t="shared" si="56"/>
        <v>0.7</v>
      </c>
    </row>
    <row r="386" spans="2:10" x14ac:dyDescent="0.25">
      <c r="B386" s="3">
        <f t="shared" si="57"/>
        <v>1845</v>
      </c>
      <c r="C386" s="14">
        <f t="shared" si="58"/>
        <v>30.75</v>
      </c>
      <c r="D386" s="11">
        <f t="shared" si="59"/>
        <v>845.48044887458468</v>
      </c>
      <c r="E386" s="24">
        <f t="shared" si="60"/>
        <v>806.6384532249084</v>
      </c>
      <c r="F386" s="24">
        <f t="shared" si="53"/>
        <v>971.04989124190695</v>
      </c>
      <c r="G386" s="14">
        <f t="shared" si="54"/>
        <v>8189.2054702649957</v>
      </c>
      <c r="H386" s="24">
        <f t="shared" si="61"/>
        <v>780.59445282431716</v>
      </c>
      <c r="I386" s="12">
        <f t="shared" si="55"/>
        <v>0.93757706155900766</v>
      </c>
      <c r="J386" s="3">
        <f t="shared" si="56"/>
        <v>0.7</v>
      </c>
    </row>
    <row r="387" spans="2:10" x14ac:dyDescent="0.25">
      <c r="B387" s="3">
        <f t="shared" si="57"/>
        <v>1850</v>
      </c>
      <c r="C387" s="14">
        <f t="shared" si="58"/>
        <v>30.833333333333332</v>
      </c>
      <c r="D387" s="11">
        <f t="shared" si="59"/>
        <v>845.88430786911476</v>
      </c>
      <c r="E387" s="24">
        <f t="shared" si="60"/>
        <v>807.57603028646736</v>
      </c>
      <c r="F387" s="24">
        <f t="shared" si="53"/>
        <v>957.70693956618516</v>
      </c>
      <c r="G387" s="14">
        <f t="shared" si="54"/>
        <v>8091.403513979838</v>
      </c>
      <c r="H387" s="24">
        <f t="shared" si="61"/>
        <v>777.70989542466759</v>
      </c>
      <c r="I387" s="12">
        <f t="shared" si="55"/>
        <v>0.92963639499076944</v>
      </c>
      <c r="J387" s="3">
        <f t="shared" si="56"/>
        <v>0.7</v>
      </c>
    </row>
    <row r="388" spans="2:10" x14ac:dyDescent="0.25">
      <c r="B388" s="3">
        <f t="shared" si="57"/>
        <v>1855</v>
      </c>
      <c r="C388" s="14">
        <f t="shared" si="58"/>
        <v>30.916666666666668</v>
      </c>
      <c r="D388" s="11">
        <f t="shared" si="59"/>
        <v>846.28708121987745</v>
      </c>
      <c r="E388" s="24">
        <f t="shared" si="60"/>
        <v>808.50566668145814</v>
      </c>
      <c r="F388" s="24">
        <f t="shared" si="53"/>
        <v>944.53536346048281</v>
      </c>
      <c r="G388" s="14">
        <f t="shared" si="54"/>
        <v>7994.5629959195876</v>
      </c>
      <c r="H388" s="24">
        <f t="shared" si="61"/>
        <v>774.91867256930675</v>
      </c>
      <c r="I388" s="12">
        <f t="shared" si="55"/>
        <v>0.92164239454825703</v>
      </c>
      <c r="J388" s="3">
        <f t="shared" si="56"/>
        <v>0.7</v>
      </c>
    </row>
    <row r="389" spans="2:10" x14ac:dyDescent="0.25">
      <c r="B389" s="3">
        <f t="shared" si="57"/>
        <v>1860</v>
      </c>
      <c r="C389" s="14">
        <f t="shared" si="58"/>
        <v>31</v>
      </c>
      <c r="D389" s="11">
        <f t="shared" si="59"/>
        <v>846.68877474802889</v>
      </c>
      <c r="E389" s="24">
        <f t="shared" si="60"/>
        <v>809.4273090760064</v>
      </c>
      <c r="F389" s="24">
        <f t="shared" si="53"/>
        <v>931.53664180056239</v>
      </c>
      <c r="G389" s="14">
        <f t="shared" si="54"/>
        <v>7898.7067380542558</v>
      </c>
      <c r="H389" s="24">
        <f t="shared" si="61"/>
        <v>772.2167719375667</v>
      </c>
      <c r="I389" s="12">
        <f t="shared" si="55"/>
        <v>0.91360464164066024</v>
      </c>
      <c r="J389" s="3">
        <f t="shared" si="56"/>
        <v>0.7</v>
      </c>
    </row>
    <row r="390" spans="2:10" x14ac:dyDescent="0.25">
      <c r="B390" s="3">
        <f t="shared" si="57"/>
        <v>1865</v>
      </c>
      <c r="C390" s="14">
        <f t="shared" si="58"/>
        <v>31.083333333333332</v>
      </c>
      <c r="D390" s="11">
        <f t="shared" si="59"/>
        <v>847.08939422803235</v>
      </c>
      <c r="E390" s="24">
        <f t="shared" si="60"/>
        <v>810.34091371764703</v>
      </c>
      <c r="F390" s="24">
        <f t="shared" si="53"/>
        <v>918.71201275963301</v>
      </c>
      <c r="G390" s="14">
        <f t="shared" si="54"/>
        <v>7803.8556693203973</v>
      </c>
      <c r="H390" s="24">
        <f t="shared" si="61"/>
        <v>769.60038793372848</v>
      </c>
      <c r="I390" s="12">
        <f t="shared" si="55"/>
        <v>0.90553225310729379</v>
      </c>
      <c r="J390" s="3">
        <f t="shared" si="56"/>
        <v>0.7</v>
      </c>
    </row>
    <row r="391" spans="2:10" x14ac:dyDescent="0.25">
      <c r="B391" s="3">
        <f t="shared" si="57"/>
        <v>1870</v>
      </c>
      <c r="C391" s="14">
        <f t="shared" si="58"/>
        <v>31.166666666666668</v>
      </c>
      <c r="D391" s="11">
        <f t="shared" si="59"/>
        <v>847.48894538815455</v>
      </c>
      <c r="E391" s="24">
        <f t="shared" si="60"/>
        <v>811.24644597075428</v>
      </c>
      <c r="F391" s="24">
        <f t="shared" si="53"/>
        <v>906.06248543500669</v>
      </c>
      <c r="G391" s="14">
        <f t="shared" si="54"/>
        <v>7710.0288926219118</v>
      </c>
      <c r="H391" s="24">
        <f t="shared" si="61"/>
        <v>767.06590939235457</v>
      </c>
      <c r="I391" s="12">
        <f t="shared" si="55"/>
        <v>0.89743389408202168</v>
      </c>
      <c r="J391" s="3">
        <f t="shared" si="56"/>
        <v>0.7</v>
      </c>
    </row>
    <row r="392" spans="2:10" x14ac:dyDescent="0.25">
      <c r="B392" s="3">
        <f t="shared" si="57"/>
        <v>1875</v>
      </c>
      <c r="C392" s="14">
        <f t="shared" si="58"/>
        <v>31.25</v>
      </c>
      <c r="D392" s="11">
        <f t="shared" si="59"/>
        <v>847.88743391095795</v>
      </c>
      <c r="E392" s="24">
        <f t="shared" si="60"/>
        <v>812.14387986483632</v>
      </c>
      <c r="F392" s="24">
        <f t="shared" si="53"/>
        <v>893.58885115304076</v>
      </c>
      <c r="G392" s="14">
        <f t="shared" si="54"/>
        <v>7617.2437511228363</v>
      </c>
      <c r="H392" s="24">
        <f t="shared" si="61"/>
        <v>764.60990810007218</v>
      </c>
      <c r="I392" s="12">
        <f t="shared" si="55"/>
        <v>0.88931779104748332</v>
      </c>
      <c r="J392" s="3">
        <f t="shared" si="56"/>
        <v>0.7</v>
      </c>
    </row>
    <row r="393" spans="2:10" x14ac:dyDescent="0.25">
      <c r="B393" s="3">
        <f t="shared" si="57"/>
        <v>1880</v>
      </c>
      <c r="C393" s="14">
        <f t="shared" si="58"/>
        <v>31.333333333333332</v>
      </c>
      <c r="D393" s="11">
        <f t="shared" si="59"/>
        <v>848.28486543378631</v>
      </c>
      <c r="E393" s="24">
        <f t="shared" si="60"/>
        <v>813.03319765588378</v>
      </c>
      <c r="F393" s="24">
        <f t="shared" si="53"/>
        <v>881.29169444756315</v>
      </c>
      <c r="G393" s="14">
        <f t="shared" si="54"/>
        <v>7525.5158937256938</v>
      </c>
      <c r="H393" s="24">
        <f t="shared" si="61"/>
        <v>762.22912807510033</v>
      </c>
      <c r="I393" s="12">
        <f t="shared" si="55"/>
        <v>0.88119174501143471</v>
      </c>
      <c r="J393" s="3">
        <f t="shared" si="56"/>
        <v>0.7</v>
      </c>
    </row>
    <row r="394" spans="2:10" x14ac:dyDescent="0.25">
      <c r="B394" s="3">
        <f t="shared" si="57"/>
        <v>1885</v>
      </c>
      <c r="C394" s="14">
        <f t="shared" si="58"/>
        <v>31.416666666666668</v>
      </c>
      <c r="D394" s="11">
        <f t="shared" si="59"/>
        <v>848.68124554924145</v>
      </c>
      <c r="E394" s="24">
        <f t="shared" si="60"/>
        <v>813.91438940089517</v>
      </c>
      <c r="F394" s="24">
        <f t="shared" si="53"/>
        <v>869.17140370865695</v>
      </c>
      <c r="G394" s="14">
        <f t="shared" si="54"/>
        <v>7434.8593396396282</v>
      </c>
      <c r="H394" s="24">
        <f t="shared" si="61"/>
        <v>759.92047555026204</v>
      </c>
      <c r="I394" s="12">
        <f t="shared" si="55"/>
        <v>0.87306314474497615</v>
      </c>
      <c r="J394" s="3">
        <f t="shared" si="56"/>
        <v>0.7</v>
      </c>
    </row>
    <row r="395" spans="2:10" x14ac:dyDescent="0.25">
      <c r="B395" s="3">
        <f t="shared" si="57"/>
        <v>1890</v>
      </c>
      <c r="C395" s="14">
        <f t="shared" si="58"/>
        <v>31.5</v>
      </c>
      <c r="D395" s="11">
        <f t="shared" si="59"/>
        <v>849.07657980565705</v>
      </c>
      <c r="E395" s="24">
        <f t="shared" si="60"/>
        <v>814.78745254564012</v>
      </c>
      <c r="F395" s="24">
        <f t="shared" si="53"/>
        <v>857.22818150042315</v>
      </c>
      <c r="G395" s="14">
        <f t="shared" si="54"/>
        <v>7345.2865419587388</v>
      </c>
      <c r="H395" s="24">
        <f t="shared" si="61"/>
        <v>757.68100960932316</v>
      </c>
      <c r="I395" s="12">
        <f t="shared" si="55"/>
        <v>0.86493898002990754</v>
      </c>
      <c r="J395" s="3">
        <f t="shared" si="56"/>
        <v>0.7</v>
      </c>
    </row>
    <row r="396" spans="2:10" x14ac:dyDescent="0.25">
      <c r="B396" s="3">
        <f t="shared" si="57"/>
        <v>1895</v>
      </c>
      <c r="C396" s="14">
        <f t="shared" si="58"/>
        <v>31.583333333333332</v>
      </c>
      <c r="D396" s="11">
        <f t="shared" si="59"/>
        <v>849.47087370756401</v>
      </c>
      <c r="E396" s="24">
        <f t="shared" si="60"/>
        <v>815.65239152567005</v>
      </c>
      <c r="F396" s="24">
        <f t="shared" si="53"/>
        <v>845.46205454734888</v>
      </c>
      <c r="G396" s="14">
        <f t="shared" si="54"/>
        <v>7256.8084501730846</v>
      </c>
      <c r="H396" s="24">
        <f t="shared" si="61"/>
        <v>755.50793343028295</v>
      </c>
      <c r="I396" s="12">
        <f t="shared" si="55"/>
        <v>0.85682585486783858</v>
      </c>
      <c r="J396" s="3">
        <f t="shared" si="56"/>
        <v>0.7</v>
      </c>
    </row>
    <row r="397" spans="2:10" x14ac:dyDescent="0.25">
      <c r="B397" s="3">
        <f t="shared" si="57"/>
        <v>1900</v>
      </c>
      <c r="C397" s="14">
        <f t="shared" si="58"/>
        <v>31.666666666666668</v>
      </c>
      <c r="D397" s="11">
        <f t="shared" si="59"/>
        <v>849.86413271615027</v>
      </c>
      <c r="E397" s="24">
        <f t="shared" si="60"/>
        <v>816.50921738053785</v>
      </c>
      <c r="F397" s="24">
        <f t="shared" si="53"/>
        <v>833.87288339031045</v>
      </c>
      <c r="G397" s="14">
        <f t="shared" si="54"/>
        <v>7169.4345715530844</v>
      </c>
      <c r="H397" s="24">
        <f t="shared" si="61"/>
        <v>753.39858609273028</v>
      </c>
      <c r="I397" s="12">
        <f t="shared" si="55"/>
        <v>0.84873000061032078</v>
      </c>
      <c r="J397" s="3">
        <f t="shared" si="56"/>
        <v>0.7</v>
      </c>
    </row>
    <row r="398" spans="2:10" x14ac:dyDescent="0.25">
      <c r="B398" s="3">
        <f t="shared" si="57"/>
        <v>1905</v>
      </c>
      <c r="C398" s="14">
        <f t="shared" si="58"/>
        <v>31.75</v>
      </c>
      <c r="D398" s="11">
        <f t="shared" si="59"/>
        <v>850.25636224971436</v>
      </c>
      <c r="E398" s="24">
        <f t="shared" si="60"/>
        <v>817.35794738114816</v>
      </c>
      <c r="F398" s="24">
        <f t="shared" si="53"/>
        <v>822.4603717141548</v>
      </c>
      <c r="G398" s="14">
        <f t="shared" si="54"/>
        <v>7083.1730313480766</v>
      </c>
      <c r="H398" s="24">
        <f t="shared" si="61"/>
        <v>751.35043490959674</v>
      </c>
      <c r="I398" s="12">
        <f t="shared" si="55"/>
        <v>0.84065728897350389</v>
      </c>
      <c r="J398" s="3">
        <f t="shared" si="56"/>
        <v>0.7</v>
      </c>
    </row>
    <row r="399" spans="2:10" x14ac:dyDescent="0.25">
      <c r="B399" s="3">
        <f t="shared" si="57"/>
        <v>1910</v>
      </c>
      <c r="C399" s="14">
        <f t="shared" si="58"/>
        <v>31.833333333333332</v>
      </c>
      <c r="D399" s="11">
        <f t="shared" si="59"/>
        <v>850.64756768411496</v>
      </c>
      <c r="E399" s="24">
        <f t="shared" si="60"/>
        <v>818.19860467012165</v>
      </c>
      <c r="F399" s="24">
        <f t="shared" si="53"/>
        <v>811.22407534983267</v>
      </c>
      <c r="G399" s="14">
        <f t="shared" si="54"/>
        <v>6998.0306317554468</v>
      </c>
      <c r="H399" s="24">
        <f t="shared" si="61"/>
        <v>749.36106824661124</v>
      </c>
      <c r="I399" s="12">
        <f t="shared" si="55"/>
        <v>0.83261324490628952</v>
      </c>
      <c r="J399" s="3">
        <f t="shared" si="56"/>
        <v>0.7</v>
      </c>
    </row>
    <row r="400" spans="2:10" x14ac:dyDescent="0.25">
      <c r="B400" s="3">
        <f t="shared" si="57"/>
        <v>1915</v>
      </c>
      <c r="C400" s="14">
        <f t="shared" si="58"/>
        <v>31.916666666666668</v>
      </c>
      <c r="D400" s="11">
        <f t="shared" si="59"/>
        <v>851.03775435321006</v>
      </c>
      <c r="E400" s="24">
        <f t="shared" si="60"/>
        <v>819.03121791502792</v>
      </c>
      <c r="F400" s="24">
        <f t="shared" si="53"/>
        <v>800.16341095455346</v>
      </c>
      <c r="G400" s="14">
        <f t="shared" si="54"/>
        <v>6914.0129096154269</v>
      </c>
      <c r="H400" s="24">
        <f t="shared" si="61"/>
        <v>747.42818879548781</v>
      </c>
      <c r="I400" s="12">
        <f t="shared" si="55"/>
        <v>0.82460305928423183</v>
      </c>
      <c r="J400" s="3">
        <f t="shared" si="56"/>
        <v>0.7</v>
      </c>
    </row>
    <row r="401" spans="2:10" x14ac:dyDescent="0.25">
      <c r="B401" s="3">
        <f t="shared" si="57"/>
        <v>1920</v>
      </c>
      <c r="C401" s="14">
        <f t="shared" si="58"/>
        <v>32</v>
      </c>
      <c r="D401" s="11">
        <f t="shared" si="59"/>
        <v>851.42692754929669</v>
      </c>
      <c r="E401" s="24">
        <f t="shared" si="60"/>
        <v>819.85582097431211</v>
      </c>
      <c r="F401" s="24">
        <f t="shared" ref="F401:F464" si="62">AlphaC*(D401-E401)</f>
        <v>789.27766437461457</v>
      </c>
      <c r="G401" s="14">
        <f t="shared" ref="G401:G464" si="63">Phi*EpsilonF*Botzman/10^8*J401*((D401+273)^4-(E401+273)^4)</f>
        <v>6831.124192803486</v>
      </c>
      <c r="H401" s="24">
        <f t="shared" si="61"/>
        <v>745.54960726941795</v>
      </c>
      <c r="I401" s="12">
        <f t="shared" ref="I401:I464" si="64">ksh*Massivete/(H401*RhoA)*DeltaT*(F401+G401)</f>
        <v>0.81663160140633451</v>
      </c>
      <c r="J401" s="3">
        <f t="shared" ref="J401:J464" si="65">IF(E401&lt;=500,IF(Galva=Oui,0.35,0.7),0.7)</f>
        <v>0.7</v>
      </c>
    </row>
    <row r="402" spans="2:10" x14ac:dyDescent="0.25">
      <c r="B402" s="3">
        <f t="shared" ref="B402:B465" si="66">B401+DeltaT</f>
        <v>1925</v>
      </c>
      <c r="C402" s="14">
        <f t="shared" ref="C402:C465" si="67">B402/60</f>
        <v>32.083333333333336</v>
      </c>
      <c r="D402" s="11">
        <f t="shared" ref="D402:D465" si="68">20+345*LOG(8*C402+1,10)</f>
        <v>851.81509252353851</v>
      </c>
      <c r="E402" s="24">
        <f t="shared" si="60"/>
        <v>820.67245257571847</v>
      </c>
      <c r="F402" s="24">
        <f t="shared" si="62"/>
        <v>778.56599869550109</v>
      </c>
      <c r="G402" s="14">
        <f t="shared" si="63"/>
        <v>6749.3676552874695</v>
      </c>
      <c r="H402" s="24">
        <f t="shared" si="61"/>
        <v>743.72323649175291</v>
      </c>
      <c r="I402" s="12">
        <f t="shared" si="64"/>
        <v>0.80870343127409972</v>
      </c>
      <c r="J402" s="3">
        <f t="shared" si="65"/>
        <v>0.7</v>
      </c>
    </row>
    <row r="403" spans="2:10" x14ac:dyDescent="0.25">
      <c r="B403" s="3">
        <f t="shared" si="66"/>
        <v>1930</v>
      </c>
      <c r="C403" s="14">
        <f t="shared" si="67"/>
        <v>32.166666666666664</v>
      </c>
      <c r="D403" s="11">
        <f t="shared" si="68"/>
        <v>852.20225448639337</v>
      </c>
      <c r="E403" s="24">
        <f t="shared" si="60"/>
        <v>821.48115600699259</v>
      </c>
      <c r="F403" s="24">
        <f t="shared" si="62"/>
        <v>768.0274619850195</v>
      </c>
      <c r="G403" s="14">
        <f t="shared" si="63"/>
        <v>6668.7453708314761</v>
      </c>
      <c r="H403" s="24">
        <f t="shared" si="61"/>
        <v>741.94708585092383</v>
      </c>
      <c r="I403" s="12">
        <f t="shared" si="64"/>
        <v>0.80082281163628888</v>
      </c>
      <c r="J403" s="3">
        <f t="shared" si="65"/>
        <v>0.7</v>
      </c>
    </row>
    <row r="404" spans="2:10" x14ac:dyDescent="0.25">
      <c r="B404" s="3">
        <f t="shared" si="66"/>
        <v>1935</v>
      </c>
      <c r="C404" s="14">
        <f t="shared" si="67"/>
        <v>32.25</v>
      </c>
      <c r="D404" s="11">
        <f t="shared" si="68"/>
        <v>852.5884186080317</v>
      </c>
      <c r="E404" s="24">
        <f t="shared" si="60"/>
        <v>822.28197881862889</v>
      </c>
      <c r="F404" s="24">
        <f t="shared" si="62"/>
        <v>757.6609947350704</v>
      </c>
      <c r="G404" s="14">
        <f t="shared" si="63"/>
        <v>6589.2583653269685</v>
      </c>
      <c r="H404" s="24">
        <f t="shared" si="61"/>
        <v>740.21925609661832</v>
      </c>
      <c r="I404" s="12">
        <f t="shared" si="64"/>
        <v>0.79299371978486155</v>
      </c>
      <c r="J404" s="3">
        <f t="shared" si="65"/>
        <v>0.7</v>
      </c>
    </row>
    <row r="405" spans="2:10" x14ac:dyDescent="0.25">
      <c r="B405" s="3">
        <f t="shared" si="66"/>
        <v>1940</v>
      </c>
      <c r="C405" s="14">
        <f t="shared" si="67"/>
        <v>32.333333333333336</v>
      </c>
      <c r="D405" s="11">
        <f t="shared" si="68"/>
        <v>852.97359001875111</v>
      </c>
      <c r="E405" s="24">
        <f t="shared" si="60"/>
        <v>823.0749725384137</v>
      </c>
      <c r="F405" s="24">
        <f t="shared" si="62"/>
        <v>747.46543700843517</v>
      </c>
      <c r="G405" s="14">
        <f t="shared" si="63"/>
        <v>6510.9066677412784</v>
      </c>
      <c r="H405" s="24">
        <f t="shared" si="61"/>
        <v>738.53793445407211</v>
      </c>
      <c r="I405" s="12">
        <f t="shared" si="64"/>
        <v>0.78521985909059455</v>
      </c>
      <c r="J405" s="3">
        <f t="shared" si="65"/>
        <v>0.7</v>
      </c>
    </row>
    <row r="406" spans="2:10" x14ac:dyDescent="0.25">
      <c r="B406" s="3">
        <f t="shared" si="66"/>
        <v>1945</v>
      </c>
      <c r="C406" s="14">
        <f t="shared" si="67"/>
        <v>32.416666666666664</v>
      </c>
      <c r="D406" s="11">
        <f t="shared" si="68"/>
        <v>853.35777380938498</v>
      </c>
      <c r="E406" s="24">
        <f t="shared" si="60"/>
        <v>823.86019239750431</v>
      </c>
      <c r="F406" s="24">
        <f t="shared" si="62"/>
        <v>737.43953529701685</v>
      </c>
      <c r="G406" s="14">
        <f t="shared" si="63"/>
        <v>6433.6893596726904</v>
      </c>
      <c r="H406" s="24">
        <f t="shared" si="61"/>
        <v>736.90139003501486</v>
      </c>
      <c r="I406" s="12">
        <f t="shared" si="64"/>
        <v>0.77750467026852144</v>
      </c>
      <c r="J406" s="3">
        <f t="shared" si="65"/>
        <v>0.7</v>
      </c>
    </row>
    <row r="407" spans="2:10" x14ac:dyDescent="0.25">
      <c r="B407" s="3">
        <f t="shared" si="66"/>
        <v>1950</v>
      </c>
      <c r="C407" s="14">
        <f t="shared" si="67"/>
        <v>32.5</v>
      </c>
      <c r="D407" s="11">
        <f t="shared" si="68"/>
        <v>853.74097503170685</v>
      </c>
      <c r="E407" s="24">
        <f t="shared" si="60"/>
        <v>824.63769706777282</v>
      </c>
      <c r="F407" s="24">
        <f t="shared" si="62"/>
        <v>727.58194909835083</v>
      </c>
      <c r="G407" s="14">
        <f t="shared" si="63"/>
        <v>6357.6046235115118</v>
      </c>
      <c r="H407" s="24">
        <f t="shared" si="61"/>
        <v>735.30796952537492</v>
      </c>
      <c r="I407" s="12">
        <f t="shared" si="64"/>
        <v>0.76985134236600294</v>
      </c>
      <c r="J407" s="3">
        <f t="shared" si="65"/>
        <v>0.7</v>
      </c>
    </row>
    <row r="408" spans="2:10" x14ac:dyDescent="0.25">
      <c r="B408" s="3">
        <f t="shared" si="66"/>
        <v>1955</v>
      </c>
      <c r="C408" s="14">
        <f t="shared" si="67"/>
        <v>32.583333333333336</v>
      </c>
      <c r="D408" s="11">
        <f t="shared" si="68"/>
        <v>854.12319869882856</v>
      </c>
      <c r="E408" s="24">
        <f t="shared" si="60"/>
        <v>825.40754841013882</v>
      </c>
      <c r="F408" s="24">
        <f t="shared" si="62"/>
        <v>717.89125721724361</v>
      </c>
      <c r="G408" s="14">
        <f t="shared" si="63"/>
        <v>6282.6497892041252</v>
      </c>
      <c r="H408" s="24">
        <f t="shared" si="61"/>
        <v>733.75609313128007</v>
      </c>
      <c r="I408" s="12">
        <f t="shared" si="64"/>
        <v>0.76226282346736229</v>
      </c>
      <c r="J408" s="3">
        <f t="shared" si="65"/>
        <v>0.7</v>
      </c>
    </row>
    <row r="409" spans="2:10" x14ac:dyDescent="0.25">
      <c r="B409" s="3">
        <f t="shared" si="66"/>
        <v>1960</v>
      </c>
      <c r="C409" s="14">
        <f t="shared" si="67"/>
        <v>32.666666666666664</v>
      </c>
      <c r="D409" s="11">
        <f t="shared" si="68"/>
        <v>854.50444978559358</v>
      </c>
      <c r="E409" s="24">
        <f t="shared" si="60"/>
        <v>826.1698112336062</v>
      </c>
      <c r="F409" s="24">
        <f t="shared" si="62"/>
        <v>708.36596379968455</v>
      </c>
      <c r="G409" s="14">
        <f t="shared" si="63"/>
        <v>6208.8213796240307</v>
      </c>
      <c r="H409" s="24">
        <f t="shared" si="61"/>
        <v>732.24425076622856</v>
      </c>
      <c r="I409" s="12">
        <f t="shared" si="64"/>
        <v>0.75474183111100246</v>
      </c>
      <c r="J409" s="3">
        <f t="shared" si="65"/>
        <v>0.7</v>
      </c>
    </row>
    <row r="410" spans="2:10" x14ac:dyDescent="0.25">
      <c r="B410" s="3">
        <f t="shared" si="66"/>
        <v>1965</v>
      </c>
      <c r="C410" s="14">
        <f t="shared" si="67"/>
        <v>32.75</v>
      </c>
      <c r="D410" s="11">
        <f t="shared" si="68"/>
        <v>854.88473322896641</v>
      </c>
      <c r="E410" s="24">
        <f t="shared" si="60"/>
        <v>826.9245530647172</v>
      </c>
      <c r="F410" s="24">
        <f t="shared" si="62"/>
        <v>699.00450410623023</v>
      </c>
      <c r="G410" s="14">
        <f t="shared" si="63"/>
        <v>6136.1151545561925</v>
      </c>
      <c r="H410" s="24">
        <f t="shared" si="61"/>
        <v>730.77099846352598</v>
      </c>
      <c r="I410" s="12">
        <f t="shared" si="64"/>
        <v>0.7472908624162794</v>
      </c>
      <c r="J410" s="3">
        <f t="shared" si="65"/>
        <v>0.7</v>
      </c>
    </row>
    <row r="411" spans="2:10" x14ac:dyDescent="0.25">
      <c r="B411" s="3">
        <f t="shared" si="66"/>
        <v>1970</v>
      </c>
      <c r="C411" s="14">
        <f t="shared" si="67"/>
        <v>32.833333333333336</v>
      </c>
      <c r="D411" s="11">
        <f t="shared" si="68"/>
        <v>855.2640539284148</v>
      </c>
      <c r="E411" s="24">
        <f t="shared" si="60"/>
        <v>827.67184392713352</v>
      </c>
      <c r="F411" s="24">
        <f t="shared" si="62"/>
        <v>689.80525003203184</v>
      </c>
      <c r="G411" s="14">
        <f t="shared" si="63"/>
        <v>6064.5261533016692</v>
      </c>
      <c r="H411" s="24">
        <f t="shared" si="61"/>
        <v>729.3349549992223</v>
      </c>
      <c r="I411" s="12">
        <f t="shared" si="64"/>
        <v>0.73991220391840384</v>
      </c>
      <c r="J411" s="3">
        <f t="shared" si="65"/>
        <v>0.7</v>
      </c>
    </row>
    <row r="412" spans="2:10" x14ac:dyDescent="0.25">
      <c r="B412" s="3">
        <f t="shared" si="66"/>
        <v>1975</v>
      </c>
      <c r="C412" s="14">
        <f t="shared" si="67"/>
        <v>32.916666666666664</v>
      </c>
      <c r="D412" s="11">
        <f t="shared" si="68"/>
        <v>855.64241674628965</v>
      </c>
      <c r="E412" s="24">
        <f t="shared" si="60"/>
        <v>828.4117561310519</v>
      </c>
      <c r="F412" s="24">
        <f t="shared" si="62"/>
        <v>680.76651538094382</v>
      </c>
      <c r="G412" s="14">
        <f t="shared" si="63"/>
        <v>5994.048735915906</v>
      </c>
      <c r="H412" s="24">
        <f t="shared" si="61"/>
        <v>727.93479871183149</v>
      </c>
      <c r="I412" s="12">
        <f t="shared" si="64"/>
        <v>0.73260794111122496</v>
      </c>
      <c r="J412" s="3">
        <f t="shared" si="65"/>
        <v>0.7</v>
      </c>
    </row>
    <row r="413" spans="2:10" x14ac:dyDescent="0.25">
      <c r="B413" s="3">
        <f t="shared" si="66"/>
        <v>1980</v>
      </c>
      <c r="C413" s="14">
        <f t="shared" si="67"/>
        <v>33</v>
      </c>
      <c r="D413" s="11">
        <f t="shared" si="68"/>
        <v>856.01982650819855</v>
      </c>
      <c r="E413" s="24">
        <f t="shared" si="60"/>
        <v>829.14436407216317</v>
      </c>
      <c r="F413" s="24">
        <f t="shared" si="62"/>
        <v>671.88656090088443</v>
      </c>
      <c r="G413" s="14">
        <f t="shared" si="63"/>
        <v>5924.676623091379</v>
      </c>
      <c r="H413" s="24">
        <f t="shared" si="61"/>
        <v>726.56926450608398</v>
      </c>
      <c r="I413" s="12">
        <f t="shared" si="64"/>
        <v>0.72537996769816027</v>
      </c>
      <c r="J413" s="3">
        <f t="shared" si="65"/>
        <v>0.7</v>
      </c>
    </row>
    <row r="414" spans="2:10" x14ac:dyDescent="0.25">
      <c r="B414" s="3">
        <f t="shared" si="66"/>
        <v>1985</v>
      </c>
      <c r="C414" s="14">
        <f t="shared" si="67"/>
        <v>33.083333333333336</v>
      </c>
      <c r="D414" s="11">
        <f t="shared" si="68"/>
        <v>856.39628800337516</v>
      </c>
      <c r="E414" s="24">
        <f t="shared" si="60"/>
        <v>829.8697440398613</v>
      </c>
      <c r="F414" s="24">
        <f t="shared" si="62"/>
        <v>663.16359908784648</v>
      </c>
      <c r="G414" s="14">
        <f t="shared" si="63"/>
        <v>5856.4029347021697</v>
      </c>
      <c r="H414" s="24">
        <f t="shared" si="61"/>
        <v>725.23714102886231</v>
      </c>
      <c r="I414" s="12">
        <f t="shared" si="64"/>
        <v>0.71822999455296477</v>
      </c>
      <c r="J414" s="3">
        <f t="shared" si="65"/>
        <v>0.7</v>
      </c>
    </row>
    <row r="415" spans="2:10" x14ac:dyDescent="0.25">
      <c r="B415" s="3">
        <f t="shared" si="66"/>
        <v>1990</v>
      </c>
      <c r="C415" s="14">
        <f t="shared" si="67"/>
        <v>33.166666666666664</v>
      </c>
      <c r="D415" s="11">
        <f t="shared" si="68"/>
        <v>856.77180598504333</v>
      </c>
      <c r="E415" s="24">
        <f t="shared" si="60"/>
        <v>830.58797403441429</v>
      </c>
      <c r="F415" s="24">
        <f t="shared" si="62"/>
        <v>654.59579876572604</v>
      </c>
      <c r="G415" s="14">
        <f t="shared" si="63"/>
        <v>5789.2202270256867</v>
      </c>
      <c r="H415" s="24">
        <f t="shared" si="61"/>
        <v>723.93726800629565</v>
      </c>
      <c r="I415" s="12">
        <f t="shared" si="64"/>
        <v>0.7111595583923207</v>
      </c>
      <c r="J415" s="3">
        <f t="shared" si="65"/>
        <v>0.7</v>
      </c>
    </row>
    <row r="416" spans="2:10" x14ac:dyDescent="0.25">
      <c r="B416" s="3">
        <f t="shared" si="66"/>
        <v>1995</v>
      </c>
      <c r="C416" s="14">
        <f t="shared" si="67"/>
        <v>33.25</v>
      </c>
      <c r="D416" s="11">
        <f t="shared" si="68"/>
        <v>857.14638517077833</v>
      </c>
      <c r="E416" s="24">
        <f t="shared" si="60"/>
        <v>831.29913359280658</v>
      </c>
      <c r="F416" s="24">
        <f t="shared" si="62"/>
        <v>646.18128944929367</v>
      </c>
      <c r="G416" s="14">
        <f t="shared" si="63"/>
        <v>5723.1205286614577</v>
      </c>
      <c r="H416" s="24">
        <f t="shared" si="61"/>
        <v>722.66853373176139</v>
      </c>
      <c r="I416" s="12">
        <f t="shared" si="64"/>
        <v>0.70417003016325508</v>
      </c>
      <c r="J416" s="3">
        <f t="shared" si="65"/>
        <v>0.7</v>
      </c>
    </row>
    <row r="417" spans="2:10" x14ac:dyDescent="0.25">
      <c r="B417" s="3">
        <f t="shared" si="66"/>
        <v>2000</v>
      </c>
      <c r="C417" s="14">
        <f t="shared" si="67"/>
        <v>33.333333333333336</v>
      </c>
      <c r="D417" s="11">
        <f t="shared" si="68"/>
        <v>857.52003024286125</v>
      </c>
      <c r="E417" s="24">
        <f t="shared" si="60"/>
        <v>832.00330362296984</v>
      </c>
      <c r="F417" s="24">
        <f t="shared" si="62"/>
        <v>637.91816549728537</v>
      </c>
      <c r="G417" s="14">
        <f t="shared" si="63"/>
        <v>5658.0953751662355</v>
      </c>
      <c r="H417" s="24">
        <f t="shared" si="61"/>
        <v>721.42987269524747</v>
      </c>
      <c r="I417" s="12">
        <f t="shared" si="64"/>
        <v>0.69726262314871745</v>
      </c>
      <c r="J417" s="3">
        <f t="shared" si="65"/>
        <v>0.7</v>
      </c>
    </row>
    <row r="418" spans="2:10" x14ac:dyDescent="0.25">
      <c r="B418" s="3">
        <f t="shared" si="66"/>
        <v>2005</v>
      </c>
      <c r="C418" s="14">
        <f t="shared" si="67"/>
        <v>33.416666666666664</v>
      </c>
      <c r="D418" s="11">
        <f t="shared" si="68"/>
        <v>857.89274584863097</v>
      </c>
      <c r="E418" s="24">
        <f t="shared" si="60"/>
        <v>832.70056624611857</v>
      </c>
      <c r="F418" s="24">
        <f t="shared" si="62"/>
        <v>629.80449006280992</v>
      </c>
      <c r="G418" s="14">
        <f t="shared" si="63"/>
        <v>5594.1358424272712</v>
      </c>
      <c r="H418" s="24">
        <f t="shared" si="61"/>
        <v>720.2202633451916</v>
      </c>
      <c r="I418" s="12">
        <f t="shared" si="64"/>
        <v>0.69043840079533136</v>
      </c>
      <c r="J418" s="3">
        <f t="shared" si="65"/>
        <v>0.7</v>
      </c>
    </row>
    <row r="419" spans="2:10" x14ac:dyDescent="0.25">
      <c r="B419" s="3">
        <f t="shared" si="66"/>
        <v>2010</v>
      </c>
      <c r="C419" s="14">
        <f t="shared" si="67"/>
        <v>33.5</v>
      </c>
      <c r="D419" s="11">
        <f t="shared" si="68"/>
        <v>858.26453660083064</v>
      </c>
      <c r="E419" s="24">
        <f t="shared" si="60"/>
        <v>833.39100464691387</v>
      </c>
      <c r="F419" s="24">
        <f t="shared" si="62"/>
        <v>621.83829884791919</v>
      </c>
      <c r="G419" s="14">
        <f t="shared" si="63"/>
        <v>5531.2325787960181</v>
      </c>
      <c r="H419" s="24">
        <f t="shared" si="61"/>
        <v>719.03872597451959</v>
      </c>
      <c r="I419" s="12">
        <f t="shared" si="64"/>
        <v>0.68369828426766877</v>
      </c>
      <c r="J419" s="3">
        <f t="shared" si="65"/>
        <v>0.7</v>
      </c>
    </row>
    <row r="420" spans="2:10" x14ac:dyDescent="0.25">
      <c r="B420" s="3">
        <f t="shared" si="66"/>
        <v>2015</v>
      </c>
      <c r="C420" s="14">
        <f t="shared" si="67"/>
        <v>33.583333333333336</v>
      </c>
      <c r="D420" s="11">
        <f t="shared" si="68"/>
        <v>858.63540707795028</v>
      </c>
      <c r="E420" s="24">
        <f t="shared" si="60"/>
        <v>834.07470293118149</v>
      </c>
      <c r="F420" s="24">
        <f t="shared" si="62"/>
        <v>614.01760366921962</v>
      </c>
      <c r="G420" s="14">
        <f t="shared" si="63"/>
        <v>5469.3758360056072</v>
      </c>
      <c r="H420" s="24">
        <f t="shared" si="61"/>
        <v>717.88432072317141</v>
      </c>
      <c r="I420" s="12">
        <f t="shared" si="64"/>
        <v>0.67704305973378798</v>
      </c>
      <c r="J420" s="3">
        <f t="shared" si="65"/>
        <v>0.7</v>
      </c>
    </row>
    <row r="421" spans="2:10" x14ac:dyDescent="0.25">
      <c r="B421" s="3">
        <f t="shared" si="66"/>
        <v>2020</v>
      </c>
      <c r="C421" s="14">
        <f t="shared" si="67"/>
        <v>33.666666666666664</v>
      </c>
      <c r="D421" s="11">
        <f t="shared" si="68"/>
        <v>859.00536182456517</v>
      </c>
      <c r="E421" s="24">
        <f t="shared" si="60"/>
        <v>834.75174599091531</v>
      </c>
      <c r="F421" s="24">
        <f t="shared" si="62"/>
        <v>606.3403958412465</v>
      </c>
      <c r="G421" s="14">
        <f t="shared" si="63"/>
        <v>5408.5554988962349</v>
      </c>
      <c r="H421" s="24">
        <f t="shared" si="61"/>
        <v>716.75614568992751</v>
      </c>
      <c r="I421" s="12">
        <f t="shared" si="64"/>
        <v>0.67047338538709234</v>
      </c>
      <c r="J421" s="3">
        <f t="shared" si="65"/>
        <v>0.7</v>
      </c>
    </row>
    <row r="422" spans="2:10" x14ac:dyDescent="0.25">
      <c r="B422" s="3">
        <f t="shared" si="66"/>
        <v>2025</v>
      </c>
      <c r="C422" s="14">
        <f t="shared" si="67"/>
        <v>33.75</v>
      </c>
      <c r="D422" s="11">
        <f t="shared" si="68"/>
        <v>859.37440535166991</v>
      </c>
      <c r="E422" s="24">
        <f t="shared" si="60"/>
        <v>835.42221937630245</v>
      </c>
      <c r="F422" s="24">
        <f t="shared" si="62"/>
        <v>598.8046493841864</v>
      </c>
      <c r="G422" s="14">
        <f t="shared" si="63"/>
        <v>5348.7611139741884</v>
      </c>
      <c r="H422" s="24">
        <f t="shared" si="61"/>
        <v>715.6533351468305</v>
      </c>
      <c r="I422" s="12">
        <f t="shared" si="64"/>
        <v>0.66398979820991733</v>
      </c>
      <c r="J422" s="3">
        <f t="shared" si="65"/>
        <v>0.7</v>
      </c>
    </row>
    <row r="423" spans="2:10" x14ac:dyDescent="0.25">
      <c r="B423" s="3">
        <f t="shared" si="66"/>
        <v>2030</v>
      </c>
      <c r="C423" s="14">
        <f t="shared" si="67"/>
        <v>33.833333333333336</v>
      </c>
      <c r="D423" s="11">
        <f t="shared" si="68"/>
        <v>859.74254213700829</v>
      </c>
      <c r="E423" s="24">
        <f t="shared" si="60"/>
        <v>836.08620917451242</v>
      </c>
      <c r="F423" s="24">
        <f t="shared" si="62"/>
        <v>591.40832406239667</v>
      </c>
      <c r="G423" s="14">
        <f t="shared" si="63"/>
        <v>5289.9819168289678</v>
      </c>
      <c r="H423" s="24">
        <f t="shared" si="61"/>
        <v>714.57505784995101</v>
      </c>
      <c r="I423" s="12">
        <f t="shared" si="64"/>
        <v>0.65759272048427575</v>
      </c>
      <c r="J423" s="3">
        <f t="shared" si="65"/>
        <v>0.7</v>
      </c>
    </row>
    <row r="424" spans="2:10" x14ac:dyDescent="0.25">
      <c r="B424" s="3">
        <f t="shared" si="66"/>
        <v>2035</v>
      </c>
      <c r="C424" s="14">
        <f t="shared" si="67"/>
        <v>33.916666666666664</v>
      </c>
      <c r="D424" s="11">
        <f t="shared" si="68"/>
        <v>860.10977662539972</v>
      </c>
      <c r="E424" s="24">
        <f t="shared" si="60"/>
        <v>836.74380189499675</v>
      </c>
      <c r="F424" s="24">
        <f t="shared" si="62"/>
        <v>584.1493682600742</v>
      </c>
      <c r="G424" s="14">
        <f t="shared" si="63"/>
        <v>5232.2068584351355</v>
      </c>
      <c r="H424" s="24">
        <f t="shared" si="61"/>
        <v>713.52051544066103</v>
      </c>
      <c r="I424" s="12">
        <f t="shared" si="64"/>
        <v>0.65128246605554618</v>
      </c>
      <c r="J424" s="3">
        <f t="shared" si="65"/>
        <v>0.7</v>
      </c>
    </row>
    <row r="425" spans="2:10" x14ac:dyDescent="0.25">
      <c r="B425" s="3">
        <f t="shared" si="66"/>
        <v>2040</v>
      </c>
      <c r="C425" s="14">
        <f t="shared" si="67"/>
        <v>34</v>
      </c>
      <c r="D425" s="11">
        <f t="shared" si="68"/>
        <v>860.47611322906084</v>
      </c>
      <c r="E425" s="24">
        <f t="shared" si="60"/>
        <v>837.39508436105234</v>
      </c>
      <c r="F425" s="24">
        <f t="shared" si="62"/>
        <v>577.02572170021256</v>
      </c>
      <c r="G425" s="14">
        <f t="shared" si="63"/>
        <v>5175.4246303658383</v>
      </c>
      <c r="H425" s="24">
        <f t="shared" si="61"/>
        <v>712.48894093196759</v>
      </c>
      <c r="I425" s="12">
        <f t="shared" si="64"/>
        <v>0.64505924635502643</v>
      </c>
      <c r="J425" s="3">
        <f t="shared" si="65"/>
        <v>0.7</v>
      </c>
    </row>
    <row r="426" spans="2:10" x14ac:dyDescent="0.25">
      <c r="B426" s="3">
        <f t="shared" si="66"/>
        <v>2045</v>
      </c>
      <c r="C426" s="14">
        <f t="shared" si="67"/>
        <v>34.083333333333336</v>
      </c>
      <c r="D426" s="11">
        <f t="shared" si="68"/>
        <v>860.8415563279234</v>
      </c>
      <c r="E426" s="24">
        <f t="shared" si="60"/>
        <v>838.04014360740734</v>
      </c>
      <c r="F426" s="24">
        <f t="shared" si="62"/>
        <v>570.03531801290137</v>
      </c>
      <c r="G426" s="14">
        <f t="shared" si="63"/>
        <v>5119.6236889435195</v>
      </c>
      <c r="H426" s="24">
        <f t="shared" si="61"/>
        <v>711.4795972748193</v>
      </c>
      <c r="I426" s="12">
        <f t="shared" si="64"/>
        <v>0.63892317618718675</v>
      </c>
      <c r="J426" s="3">
        <f t="shared" si="65"/>
        <v>0.7</v>
      </c>
    </row>
    <row r="427" spans="2:10" x14ac:dyDescent="0.25">
      <c r="B427" s="3">
        <f t="shared" si="66"/>
        <v>2050</v>
      </c>
      <c r="C427" s="14">
        <f t="shared" si="67"/>
        <v>34.166666666666664</v>
      </c>
      <c r="D427" s="11">
        <f t="shared" si="68"/>
        <v>861.20611026994936</v>
      </c>
      <c r="E427" s="24">
        <f t="shared" si="60"/>
        <v>838.67906678359452</v>
      </c>
      <c r="F427" s="24">
        <f t="shared" si="62"/>
        <v>563.17608715887104</v>
      </c>
      <c r="G427" s="14">
        <f t="shared" si="63"/>
        <v>5064.7922783564209</v>
      </c>
      <c r="H427" s="24">
        <f t="shared" si="61"/>
        <v>710.49177599963161</v>
      </c>
      <c r="I427" s="12">
        <f t="shared" si="64"/>
        <v>0.63287427928785844</v>
      </c>
      <c r="J427" s="3">
        <f t="shared" si="65"/>
        <v>0.7</v>
      </c>
    </row>
    <row r="428" spans="2:10" x14ac:dyDescent="0.25">
      <c r="B428" s="3">
        <f t="shared" si="66"/>
        <v>2055</v>
      </c>
      <c r="C428" s="14">
        <f t="shared" si="67"/>
        <v>34.25</v>
      </c>
      <c r="D428" s="11">
        <f t="shared" si="68"/>
        <v>861.56977937144052</v>
      </c>
      <c r="E428" s="24">
        <f t="shared" si="60"/>
        <v>839.3119410628824</v>
      </c>
      <c r="F428" s="24">
        <f t="shared" si="62"/>
        <v>556.44595771395302</v>
      </c>
      <c r="G428" s="14">
        <f t="shared" si="63"/>
        <v>5010.9184527660454</v>
      </c>
      <c r="H428" s="24">
        <f t="shared" si="61"/>
        <v>709.52479592858822</v>
      </c>
      <c r="I428" s="12">
        <f t="shared" si="64"/>
        <v>0.62691249365923163</v>
      </c>
      <c r="J428" s="3">
        <f t="shared" si="65"/>
        <v>0.7</v>
      </c>
    </row>
    <row r="429" spans="2:10" x14ac:dyDescent="0.25">
      <c r="B429" s="3">
        <f t="shared" si="66"/>
        <v>2060</v>
      </c>
      <c r="C429" s="14">
        <f t="shared" si="67"/>
        <v>34.333333333333336</v>
      </c>
      <c r="D429" s="11">
        <f t="shared" si="68"/>
        <v>861.93256791734495</v>
      </c>
      <c r="E429" s="24">
        <f t="shared" si="60"/>
        <v>839.93885355654163</v>
      </c>
      <c r="F429" s="24">
        <f t="shared" si="62"/>
        <v>549.8428590200831</v>
      </c>
      <c r="G429" s="14">
        <f t="shared" si="63"/>
        <v>4957.9900974350594</v>
      </c>
      <c r="H429" s="24">
        <f t="shared" si="61"/>
        <v>708.57800195456468</v>
      </c>
      <c r="I429" s="12">
        <f t="shared" si="64"/>
        <v>0.62103767668805909</v>
      </c>
      <c r="J429" s="3">
        <f t="shared" si="65"/>
        <v>0.7</v>
      </c>
    </row>
    <row r="430" spans="2:10" x14ac:dyDescent="0.25">
      <c r="B430" s="3">
        <f t="shared" si="66"/>
        <v>2065</v>
      </c>
      <c r="C430" s="14">
        <f t="shared" si="67"/>
        <v>34.416666666666664</v>
      </c>
      <c r="D430" s="11">
        <f t="shared" si="68"/>
        <v>862.29448016156073</v>
      </c>
      <c r="E430" s="24">
        <f t="shared" si="60"/>
        <v>840.55989123322968</v>
      </c>
      <c r="F430" s="24">
        <f t="shared" si="62"/>
        <v>543.36472320827625</v>
      </c>
      <c r="G430" s="14">
        <f t="shared" si="63"/>
        <v>4905.9949489008377</v>
      </c>
      <c r="H430" s="24">
        <f t="shared" si="61"/>
        <v>707.65076388278817</v>
      </c>
      <c r="I430" s="12">
        <f t="shared" si="64"/>
        <v>0.61524961005297318</v>
      </c>
      <c r="J430" s="3">
        <f t="shared" si="65"/>
        <v>0.7</v>
      </c>
    </row>
    <row r="431" spans="2:10" x14ac:dyDescent="0.25">
      <c r="B431" s="3">
        <f t="shared" si="66"/>
        <v>2070</v>
      </c>
      <c r="C431" s="14">
        <f t="shared" si="67"/>
        <v>34.5</v>
      </c>
      <c r="D431" s="11">
        <f t="shared" si="68"/>
        <v>862.65552032723463</v>
      </c>
      <c r="E431" s="24">
        <f t="shared" si="60"/>
        <v>841.17514084328263</v>
      </c>
      <c r="F431" s="24">
        <f t="shared" si="62"/>
        <v>537.00948709879981</v>
      </c>
      <c r="G431" s="14">
        <f t="shared" si="63"/>
        <v>4854.9206142225285</v>
      </c>
      <c r="H431" s="24">
        <f t="shared" si="61"/>
        <v>706.74247533159814</v>
      </c>
      <c r="I431" s="12">
        <f t="shared" si="64"/>
        <v>0.60954800442711976</v>
      </c>
      <c r="J431" s="3">
        <f t="shared" si="65"/>
        <v>0.7</v>
      </c>
    </row>
    <row r="432" spans="2:10" x14ac:dyDescent="0.25">
      <c r="B432" s="3">
        <f t="shared" si="66"/>
        <v>2075</v>
      </c>
      <c r="C432" s="14">
        <f t="shared" si="67"/>
        <v>34.583333333333336</v>
      </c>
      <c r="D432" s="11">
        <f t="shared" si="68"/>
        <v>863.0156926070581</v>
      </c>
      <c r="E432" s="24">
        <f t="shared" si="60"/>
        <v>841.78468884770973</v>
      </c>
      <c r="F432" s="24">
        <f t="shared" si="62"/>
        <v>530.77509398370921</v>
      </c>
      <c r="G432" s="14">
        <f t="shared" si="63"/>
        <v>4804.754589329732</v>
      </c>
      <c r="H432" s="24">
        <f t="shared" si="61"/>
        <v>705.85255268890342</v>
      </c>
      <c r="I432" s="12">
        <f t="shared" si="64"/>
        <v>0.60393250398232912</v>
      </c>
      <c r="J432" s="3">
        <f t="shared" si="65"/>
        <v>0.7</v>
      </c>
    </row>
    <row r="433" spans="2:10" x14ac:dyDescent="0.25">
      <c r="B433" s="3">
        <f t="shared" si="66"/>
        <v>2080</v>
      </c>
      <c r="C433" s="14">
        <f t="shared" si="67"/>
        <v>34.666666666666664</v>
      </c>
      <c r="D433" s="11">
        <f t="shared" si="68"/>
        <v>863.37500116355909</v>
      </c>
      <c r="E433" s="24">
        <f t="shared" si="60"/>
        <v>842.38862135169211</v>
      </c>
      <c r="F433" s="24">
        <f t="shared" si="62"/>
        <v>524.65949529667455</v>
      </c>
      <c r="G433" s="14">
        <f t="shared" si="63"/>
        <v>4755.4842764976283</v>
      </c>
      <c r="H433" s="24">
        <f t="shared" si="61"/>
        <v>704.98043412114907</v>
      </c>
      <c r="I433" s="12">
        <f t="shared" si="64"/>
        <v>0.5984026907006379</v>
      </c>
      <c r="J433" s="3">
        <f t="shared" si="65"/>
        <v>0.7</v>
      </c>
    </row>
    <row r="434" spans="2:10" x14ac:dyDescent="0.25">
      <c r="B434" s="3">
        <f t="shared" si="66"/>
        <v>2085</v>
      </c>
      <c r="C434" s="14">
        <f t="shared" si="67"/>
        <v>34.75</v>
      </c>
      <c r="D434" s="11">
        <f t="shared" si="68"/>
        <v>863.73345012939114</v>
      </c>
      <c r="E434" s="24">
        <f t="shared" ref="E434:E497" si="69">E433+I433</f>
        <v>842.9870240423927</v>
      </c>
      <c r="F434" s="24">
        <f t="shared" si="62"/>
        <v>518.660652174961</v>
      </c>
      <c r="G434" s="14">
        <f t="shared" si="63"/>
        <v>4707.0970009772391</v>
      </c>
      <c r="H434" s="24">
        <f t="shared" ref="H434:H497" si="70">IF(E434&lt;600,425+0.773*E434-1.69/1000*E434^2+2.22/1000^2*E434^3,IF(E434&lt;735,666+13002/(738-E434),IF(E434&lt;900,545+17820/(E434-731),650)))</f>
        <v>704.12557863180859</v>
      </c>
      <c r="I434" s="12">
        <f t="shared" si="64"/>
        <v>0.59295808849939369</v>
      </c>
      <c r="J434" s="3">
        <f t="shared" si="65"/>
        <v>0.7</v>
      </c>
    </row>
    <row r="435" spans="2:10" x14ac:dyDescent="0.25">
      <c r="B435" s="3">
        <f t="shared" si="66"/>
        <v>2090</v>
      </c>
      <c r="C435" s="14">
        <f t="shared" si="67"/>
        <v>34.833333333333336</v>
      </c>
      <c r="D435" s="11">
        <f t="shared" si="68"/>
        <v>864.09104360761808</v>
      </c>
      <c r="E435" s="24">
        <f t="shared" si="69"/>
        <v>843.57998213089206</v>
      </c>
      <c r="F435" s="24">
        <f t="shared" si="62"/>
        <v>512.77653691815033</v>
      </c>
      <c r="G435" s="14">
        <f t="shared" si="63"/>
        <v>4659.5800268054718</v>
      </c>
      <c r="H435" s="24">
        <f t="shared" si="70"/>
        <v>703.28746516659976</v>
      </c>
      <c r="I435" s="12">
        <f t="shared" si="64"/>
        <v>0.58759816717565849</v>
      </c>
      <c r="J435" s="3">
        <f t="shared" si="65"/>
        <v>0.7</v>
      </c>
    </row>
    <row r="436" spans="2:10" x14ac:dyDescent="0.25">
      <c r="B436" s="3">
        <f t="shared" si="66"/>
        <v>2095</v>
      </c>
      <c r="C436" s="14">
        <f t="shared" si="67"/>
        <v>34.916666666666664</v>
      </c>
      <c r="D436" s="11">
        <f t="shared" si="68"/>
        <v>864.44778567199614</v>
      </c>
      <c r="E436" s="24">
        <f t="shared" si="69"/>
        <v>844.16758029806772</v>
      </c>
      <c r="F436" s="24">
        <f t="shared" si="62"/>
        <v>507.00513434821062</v>
      </c>
      <c r="G436" s="14">
        <f t="shared" si="63"/>
        <v>4612.9205718227686</v>
      </c>
      <c r="H436" s="24">
        <f t="shared" si="70"/>
        <v>702.46559176280516</v>
      </c>
      <c r="I436" s="12">
        <f t="shared" si="64"/>
        <v>0.58232234617595935</v>
      </c>
      <c r="J436" s="3">
        <f t="shared" si="65"/>
        <v>0.7</v>
      </c>
    </row>
    <row r="437" spans="2:10" x14ac:dyDescent="0.25">
      <c r="B437" s="3">
        <f t="shared" si="66"/>
        <v>2100</v>
      </c>
      <c r="C437" s="14">
        <f t="shared" si="67"/>
        <v>35</v>
      </c>
      <c r="D437" s="11">
        <f t="shared" si="68"/>
        <v>864.80368036725235</v>
      </c>
      <c r="E437" s="24">
        <f t="shared" si="69"/>
        <v>844.74990264424366</v>
      </c>
      <c r="F437" s="24">
        <f t="shared" si="62"/>
        <v>501.34444307521733</v>
      </c>
      <c r="G437" s="14">
        <f t="shared" si="63"/>
        <v>4567.1058219230927</v>
      </c>
      <c r="H437" s="24">
        <f t="shared" si="70"/>
        <v>701.65947474023426</v>
      </c>
      <c r="I437" s="12">
        <f t="shared" si="64"/>
        <v>0.57712999819702371</v>
      </c>
      <c r="J437" s="3">
        <f t="shared" si="65"/>
        <v>0.7</v>
      </c>
    </row>
    <row r="438" spans="2:10" x14ac:dyDescent="0.25">
      <c r="B438" s="3">
        <f t="shared" si="66"/>
        <v>2105</v>
      </c>
      <c r="C438" s="14">
        <f t="shared" si="67"/>
        <v>35.083333333333336</v>
      </c>
      <c r="D438" s="11">
        <f t="shared" si="68"/>
        <v>865.15873170936015</v>
      </c>
      <c r="E438" s="24">
        <f t="shared" si="69"/>
        <v>845.32703264244071</v>
      </c>
      <c r="F438" s="24">
        <f t="shared" si="62"/>
        <v>495.79247667298603</v>
      </c>
      <c r="G438" s="14">
        <f t="shared" si="63"/>
        <v>4522.122944562032</v>
      </c>
      <c r="H438" s="24">
        <f t="shared" si="70"/>
        <v>700.86864793152017</v>
      </c>
      <c r="I438" s="12">
        <f t="shared" si="64"/>
        <v>0.57202045262320345</v>
      </c>
      <c r="J438" s="3">
        <f t="shared" si="65"/>
        <v>0.7</v>
      </c>
    </row>
    <row r="439" spans="2:10" x14ac:dyDescent="0.25">
      <c r="B439" s="3">
        <f t="shared" si="66"/>
        <v>2110</v>
      </c>
      <c r="C439" s="14">
        <f t="shared" si="67"/>
        <v>35.166666666666664</v>
      </c>
      <c r="D439" s="11">
        <f t="shared" si="68"/>
        <v>865.51294368581023</v>
      </c>
      <c r="E439" s="24">
        <f t="shared" si="69"/>
        <v>845.89905309506389</v>
      </c>
      <c r="F439" s="24">
        <f t="shared" si="62"/>
        <v>490.34726476865842</v>
      </c>
      <c r="G439" s="14">
        <f t="shared" si="63"/>
        <v>4477.9591015478727</v>
      </c>
      <c r="H439" s="24">
        <f t="shared" si="70"/>
        <v>700.09266194958354</v>
      </c>
      <c r="I439" s="12">
        <f t="shared" si="64"/>
        <v>0.56699299880612841</v>
      </c>
      <c r="J439" s="3">
        <f t="shared" si="65"/>
        <v>0.7</v>
      </c>
    </row>
    <row r="440" spans="2:10" x14ac:dyDescent="0.25">
      <c r="B440" s="3">
        <f t="shared" si="66"/>
        <v>2115</v>
      </c>
      <c r="C440" s="14">
        <f t="shared" si="67"/>
        <v>35.25</v>
      </c>
      <c r="D440" s="11">
        <f t="shared" si="68"/>
        <v>865.86632025588017</v>
      </c>
      <c r="E440" s="24">
        <f t="shared" si="69"/>
        <v>846.46604609386998</v>
      </c>
      <c r="F440" s="24">
        <f t="shared" si="62"/>
        <v>485.00685405025479</v>
      </c>
      <c r="G440" s="14">
        <f t="shared" si="63"/>
        <v>4434.601461140941</v>
      </c>
      <c r="H440" s="24">
        <f t="shared" si="70"/>
        <v>699.33108349023178</v>
      </c>
      <c r="I440" s="12">
        <f t="shared" si="64"/>
        <v>0.56204688919212586</v>
      </c>
      <c r="J440" s="3">
        <f t="shared" si="65"/>
        <v>0.7</v>
      </c>
    </row>
    <row r="441" spans="2:10" x14ac:dyDescent="0.25">
      <c r="B441" s="3">
        <f t="shared" si="66"/>
        <v>2120</v>
      </c>
      <c r="C441" s="14">
        <f t="shared" si="67"/>
        <v>35.333333333333336</v>
      </c>
      <c r="D441" s="11">
        <f t="shared" si="68"/>
        <v>866.21886535089914</v>
      </c>
      <c r="E441" s="24">
        <f t="shared" si="69"/>
        <v>847.02809298306215</v>
      </c>
      <c r="F441" s="24">
        <f t="shared" si="62"/>
        <v>479.76930919592462</v>
      </c>
      <c r="G441" s="14">
        <f t="shared" si="63"/>
        <v>4392.0372094847471</v>
      </c>
      <c r="H441" s="24">
        <f t="shared" si="70"/>
        <v>698.58349466797995</v>
      </c>
      <c r="I441" s="12">
        <f t="shared" si="64"/>
        <v>0.55718134230267435</v>
      </c>
      <c r="J441" s="3">
        <f t="shared" si="65"/>
        <v>0.7</v>
      </c>
    </row>
    <row r="442" spans="2:10" x14ac:dyDescent="0.25">
      <c r="B442" s="3">
        <f t="shared" si="66"/>
        <v>2125</v>
      </c>
      <c r="C442" s="14">
        <f t="shared" si="67"/>
        <v>35.416666666666664</v>
      </c>
      <c r="D442" s="11">
        <f t="shared" si="68"/>
        <v>866.57058287451173</v>
      </c>
      <c r="E442" s="24">
        <f t="shared" si="69"/>
        <v>847.58527432536482</v>
      </c>
      <c r="F442" s="24">
        <f t="shared" si="62"/>
        <v>474.63271372867268</v>
      </c>
      <c r="G442" s="14">
        <f t="shared" si="63"/>
        <v>4350.2535613936225</v>
      </c>
      <c r="H442" s="24">
        <f t="shared" si="70"/>
        <v>697.84949238330182</v>
      </c>
      <c r="I442" s="12">
        <f t="shared" si="64"/>
        <v>0.552395545573235</v>
      </c>
      <c r="J442" s="3">
        <f t="shared" si="65"/>
        <v>0.7</v>
      </c>
    </row>
    <row r="443" spans="2:10" x14ac:dyDescent="0.25">
      <c r="B443" s="3">
        <f t="shared" si="66"/>
        <v>2130</v>
      </c>
      <c r="C443" s="14">
        <f t="shared" si="67"/>
        <v>35.5</v>
      </c>
      <c r="D443" s="11">
        <f t="shared" si="68"/>
        <v>866.92147670293605</v>
      </c>
      <c r="E443" s="24">
        <f t="shared" si="69"/>
        <v>848.13766987093811</v>
      </c>
      <c r="F443" s="24">
        <f t="shared" si="62"/>
        <v>469.59517079994839</v>
      </c>
      <c r="G443" s="14">
        <f t="shared" si="63"/>
        <v>4309.2377705193667</v>
      </c>
      <c r="H443" s="24">
        <f t="shared" si="70"/>
        <v>697.12868771962098</v>
      </c>
      <c r="I443" s="12">
        <f t="shared" si="64"/>
        <v>0.54768865805547362</v>
      </c>
      <c r="J443" s="3">
        <f t="shared" si="65"/>
        <v>0.7</v>
      </c>
    </row>
    <row r="444" spans="2:10" x14ac:dyDescent="0.25">
      <c r="B444" s="3">
        <f t="shared" si="66"/>
        <v>2135</v>
      </c>
      <c r="C444" s="14">
        <f t="shared" si="67"/>
        <v>35.583333333333336</v>
      </c>
      <c r="D444" s="11">
        <f t="shared" si="68"/>
        <v>867.27155068521972</v>
      </c>
      <c r="E444" s="24">
        <f t="shared" si="69"/>
        <v>848.68535852899356</v>
      </c>
      <c r="F444" s="24">
        <f t="shared" si="62"/>
        <v>464.65480390565403</v>
      </c>
      <c r="G444" s="14">
        <f t="shared" si="63"/>
        <v>4268.9771389194566</v>
      </c>
      <c r="H444" s="24">
        <f t="shared" si="70"/>
        <v>696.42070536845733</v>
      </c>
      <c r="I444" s="12">
        <f t="shared" si="64"/>
        <v>0.54305981298785277</v>
      </c>
      <c r="J444" s="3">
        <f t="shared" si="65"/>
        <v>0.7</v>
      </c>
    </row>
    <row r="445" spans="2:10" x14ac:dyDescent="0.25">
      <c r="B445" s="3">
        <f t="shared" si="66"/>
        <v>2140</v>
      </c>
      <c r="C445" s="14">
        <f t="shared" si="67"/>
        <v>35.666666666666664</v>
      </c>
      <c r="D445" s="11">
        <f t="shared" si="68"/>
        <v>867.62080864349502</v>
      </c>
      <c r="E445" s="24">
        <f t="shared" si="69"/>
        <v>849.22841834198141</v>
      </c>
      <c r="F445" s="24">
        <f t="shared" si="62"/>
        <v>459.80975753784037</v>
      </c>
      <c r="G445" s="14">
        <f t="shared" si="63"/>
        <v>4229.4590260513933</v>
      </c>
      <c r="H445" s="24">
        <f t="shared" si="70"/>
        <v>695.72518308123506</v>
      </c>
      <c r="I445" s="12">
        <f t="shared" si="64"/>
        <v>0.53850812023972272</v>
      </c>
      <c r="J445" s="3">
        <f t="shared" si="65"/>
        <v>0.7</v>
      </c>
    </row>
    <row r="446" spans="2:10" x14ac:dyDescent="0.25">
      <c r="B446" s="3">
        <f t="shared" si="66"/>
        <v>2145</v>
      </c>
      <c r="C446" s="14">
        <f t="shared" si="67"/>
        <v>35.75</v>
      </c>
      <c r="D446" s="11">
        <f t="shared" si="68"/>
        <v>867.96925437322739</v>
      </c>
      <c r="E446" s="24">
        <f t="shared" si="69"/>
        <v>849.76692646222114</v>
      </c>
      <c r="F446" s="24">
        <f t="shared" si="62"/>
        <v>455.05819777515626</v>
      </c>
      <c r="G446" s="14">
        <f t="shared" si="63"/>
        <v>4190.6708572120042</v>
      </c>
      <c r="H446" s="24">
        <f t="shared" si="70"/>
        <v>695.04177114635036</v>
      </c>
      <c r="I446" s="12">
        <f t="shared" si="64"/>
        <v>0.53403266863330334</v>
      </c>
      <c r="J446" s="3">
        <f t="shared" si="65"/>
        <v>0.7</v>
      </c>
    </row>
    <row r="447" spans="2:10" x14ac:dyDescent="0.25">
      <c r="B447" s="3">
        <f t="shared" si="66"/>
        <v>2150</v>
      </c>
      <c r="C447" s="14">
        <f t="shared" si="67"/>
        <v>35.833333333333336</v>
      </c>
      <c r="D447" s="11">
        <f t="shared" si="68"/>
        <v>868.3168916434638</v>
      </c>
      <c r="E447" s="24">
        <f t="shared" si="69"/>
        <v>850.30095913085449</v>
      </c>
      <c r="F447" s="24">
        <f t="shared" si="62"/>
        <v>450.39831281523277</v>
      </c>
      <c r="G447" s="14">
        <f t="shared" si="63"/>
        <v>4152.6001314452342</v>
      </c>
      <c r="H447" s="24">
        <f t="shared" si="70"/>
        <v>694.37013189017409</v>
      </c>
      <c r="I447" s="12">
        <f t="shared" si="64"/>
        <v>0.52963252814845641</v>
      </c>
      <c r="J447" s="3">
        <f t="shared" si="65"/>
        <v>0.7</v>
      </c>
    </row>
    <row r="448" spans="2:10" x14ac:dyDescent="0.25">
      <c r="B448" s="3">
        <f t="shared" si="66"/>
        <v>2155</v>
      </c>
      <c r="C448" s="14">
        <f t="shared" si="67"/>
        <v>35.916666666666664</v>
      </c>
      <c r="D448" s="11">
        <f t="shared" si="68"/>
        <v>868.66372419707727</v>
      </c>
      <c r="E448" s="24">
        <f t="shared" si="69"/>
        <v>850.83059165900295</v>
      </c>
      <c r="F448" s="24">
        <f t="shared" si="62"/>
        <v>445.82831345185809</v>
      </c>
      <c r="G448" s="14">
        <f t="shared" si="63"/>
        <v>4115.2344289392195</v>
      </c>
      <c r="H448" s="24">
        <f t="shared" si="70"/>
        <v>693.70993920074807</v>
      </c>
      <c r="I448" s="12">
        <f t="shared" si="64"/>
        <v>0.52530675201473476</v>
      </c>
      <c r="J448" s="3">
        <f t="shared" si="65"/>
        <v>0.7</v>
      </c>
    </row>
    <row r="449" spans="2:10" x14ac:dyDescent="0.25">
      <c r="B449" s="3">
        <f t="shared" si="66"/>
        <v>2160</v>
      </c>
      <c r="C449" s="14">
        <f t="shared" si="67"/>
        <v>36</v>
      </c>
      <c r="D449" s="11">
        <f t="shared" si="68"/>
        <v>869.00975575100892</v>
      </c>
      <c r="E449" s="24">
        <f t="shared" si="69"/>
        <v>851.35589841101773</v>
      </c>
      <c r="F449" s="24">
        <f t="shared" si="62"/>
        <v>441.34643349977978</v>
      </c>
      <c r="G449" s="14">
        <f t="shared" si="63"/>
        <v>4078.5614179315612</v>
      </c>
      <c r="H449" s="24">
        <f t="shared" si="70"/>
        <v>693.06087807299946</v>
      </c>
      <c r="I449" s="12">
        <f t="shared" si="64"/>
        <v>0.52105437869493931</v>
      </c>
      <c r="J449" s="3">
        <f t="shared" si="65"/>
        <v>0.7</v>
      </c>
    </row>
    <row r="450" spans="2:10" x14ac:dyDescent="0.25">
      <c r="B450" s="3">
        <f t="shared" si="66"/>
        <v>2165</v>
      </c>
      <c r="C450" s="14">
        <f t="shared" si="67"/>
        <v>36.083333333333336</v>
      </c>
      <c r="D450" s="11">
        <f t="shared" si="68"/>
        <v>869.35498999650622</v>
      </c>
      <c r="E450" s="24">
        <f t="shared" si="69"/>
        <v>851.87695278971262</v>
      </c>
      <c r="F450" s="24">
        <f t="shared" si="62"/>
        <v>436.95093016984003</v>
      </c>
      <c r="G450" s="14">
        <f t="shared" si="63"/>
        <v>4042.5688611439491</v>
      </c>
      <c r="H450" s="24">
        <f t="shared" si="70"/>
        <v>692.42264417437059</v>
      </c>
      <c r="I450" s="12">
        <f t="shared" si="64"/>
        <v>0.51687443376458764</v>
      </c>
      <c r="J450" s="3">
        <f t="shared" si="65"/>
        <v>0.7</v>
      </c>
    </row>
    <row r="451" spans="2:10" x14ac:dyDescent="0.25">
      <c r="B451" s="3">
        <f t="shared" si="66"/>
        <v>2170</v>
      </c>
      <c r="C451" s="14">
        <f t="shared" si="67"/>
        <v>36.166666666666664</v>
      </c>
      <c r="D451" s="11">
        <f t="shared" si="68"/>
        <v>869.69943059936008</v>
      </c>
      <c r="E451" s="24">
        <f t="shared" si="69"/>
        <v>852.39382722347716</v>
      </c>
      <c r="F451" s="24">
        <f t="shared" si="62"/>
        <v>432.64008439707311</v>
      </c>
      <c r="G451" s="14">
        <f t="shared" si="63"/>
        <v>4007.2446217651204</v>
      </c>
      <c r="H451" s="24">
        <f t="shared" si="70"/>
        <v>691.79494342982275</v>
      </c>
      <c r="I451" s="12">
        <f t="shared" si="64"/>
        <v>0.51276593169140483</v>
      </c>
      <c r="J451" s="3">
        <f t="shared" si="65"/>
        <v>0.7</v>
      </c>
    </row>
    <row r="452" spans="2:10" x14ac:dyDescent="0.25">
      <c r="B452" s="3">
        <f t="shared" si="66"/>
        <v>2175</v>
      </c>
      <c r="C452" s="14">
        <f t="shared" si="67"/>
        <v>36.25</v>
      </c>
      <c r="D452" s="11">
        <f t="shared" si="68"/>
        <v>870.04308120013809</v>
      </c>
      <c r="E452" s="24">
        <f t="shared" si="69"/>
        <v>852.90659315516859</v>
      </c>
      <c r="F452" s="24">
        <f t="shared" si="62"/>
        <v>428.41220112423741</v>
      </c>
      <c r="G452" s="14">
        <f t="shared" si="63"/>
        <v>3972.576669001045</v>
      </c>
      <c r="H452" s="24">
        <f t="shared" si="70"/>
        <v>691.17749162523023</v>
      </c>
      <c r="I452" s="12">
        <f t="shared" si="64"/>
        <v>0.50872787751886128</v>
      </c>
      <c r="J452" s="3">
        <f t="shared" si="65"/>
        <v>0.7</v>
      </c>
    </row>
    <row r="453" spans="2:10" x14ac:dyDescent="0.25">
      <c r="B453" s="3">
        <f t="shared" si="66"/>
        <v>2180</v>
      </c>
      <c r="C453" s="14">
        <f t="shared" si="67"/>
        <v>36.333333333333336</v>
      </c>
      <c r="D453" s="11">
        <f t="shared" si="68"/>
        <v>870.38594541441444</v>
      </c>
      <c r="E453" s="24">
        <f t="shared" si="69"/>
        <v>853.41532103268742</v>
      </c>
      <c r="F453" s="24">
        <f t="shared" si="62"/>
        <v>424.26560954317551</v>
      </c>
      <c r="G453" s="14">
        <f t="shared" si="63"/>
        <v>3938.5530832094405</v>
      </c>
      <c r="H453" s="24">
        <f t="shared" si="70"/>
        <v>690.57001402824153</v>
      </c>
      <c r="I453" s="12">
        <f t="shared" si="64"/>
        <v>0.50475926845751484</v>
      </c>
      <c r="J453" s="3">
        <f t="shared" si="65"/>
        <v>0.7</v>
      </c>
    </row>
    <row r="454" spans="2:10" x14ac:dyDescent="0.25">
      <c r="B454" s="3">
        <f t="shared" si="66"/>
        <v>2185</v>
      </c>
      <c r="C454" s="14">
        <f t="shared" si="67"/>
        <v>36.416666666666664</v>
      </c>
      <c r="D454" s="11">
        <f t="shared" si="68"/>
        <v>870.72802683300029</v>
      </c>
      <c r="E454" s="24">
        <f t="shared" si="69"/>
        <v>853.92008030114494</v>
      </c>
      <c r="F454" s="24">
        <f t="shared" si="62"/>
        <v>420.19866329638376</v>
      </c>
      <c r="G454" s="14">
        <f t="shared" si="63"/>
        <v>3905.1620606391321</v>
      </c>
      <c r="H454" s="24">
        <f t="shared" si="70"/>
        <v>689.9722450257301</v>
      </c>
      <c r="I454" s="12">
        <f t="shared" si="64"/>
        <v>0.50085909538826545</v>
      </c>
      <c r="J454" s="3">
        <f t="shared" si="65"/>
        <v>0.7</v>
      </c>
    </row>
    <row r="455" spans="2:10" x14ac:dyDescent="0.25">
      <c r="B455" s="3">
        <f t="shared" si="66"/>
        <v>2190</v>
      </c>
      <c r="C455" s="14">
        <f t="shared" si="67"/>
        <v>36.5</v>
      </c>
      <c r="D455" s="11">
        <f t="shared" si="68"/>
        <v>871.06932902216784</v>
      </c>
      <c r="E455" s="24">
        <f t="shared" si="69"/>
        <v>854.42093939653319</v>
      </c>
      <c r="F455" s="24">
        <f t="shared" si="62"/>
        <v>416.20974064086624</v>
      </c>
      <c r="G455" s="14">
        <f t="shared" si="63"/>
        <v>3872.3919177881726</v>
      </c>
      <c r="H455" s="24">
        <f t="shared" si="70"/>
        <v>689.38392777701188</v>
      </c>
      <c r="I455" s="12">
        <f t="shared" si="64"/>
        <v>0.49702634428077958</v>
      </c>
      <c r="J455" s="3">
        <f t="shared" si="65"/>
        <v>0.7</v>
      </c>
    </row>
    <row r="456" spans="2:10" x14ac:dyDescent="0.25">
      <c r="B456" s="3">
        <f t="shared" si="66"/>
        <v>2195</v>
      </c>
      <c r="C456" s="14">
        <f t="shared" si="67"/>
        <v>36.583333333333336</v>
      </c>
      <c r="D456" s="11">
        <f t="shared" si="68"/>
        <v>871.40985552387281</v>
      </c>
      <c r="E456" s="24">
        <f t="shared" si="69"/>
        <v>854.917965740814</v>
      </c>
      <c r="F456" s="24">
        <f t="shared" si="62"/>
        <v>412.29724457647023</v>
      </c>
      <c r="G456" s="14">
        <f t="shared" si="63"/>
        <v>3840.2310953991987</v>
      </c>
      <c r="H456" s="24">
        <f t="shared" si="70"/>
        <v>688.80481388204998</v>
      </c>
      <c r="I456" s="12">
        <f t="shared" si="64"/>
        <v>0.49325999753083949</v>
      </c>
      <c r="J456" s="3">
        <f t="shared" si="65"/>
        <v>0.7</v>
      </c>
    </row>
    <row r="457" spans="2:10" x14ac:dyDescent="0.25">
      <c r="B457" s="3">
        <f t="shared" si="66"/>
        <v>2200</v>
      </c>
      <c r="C457" s="14">
        <f t="shared" si="67"/>
        <v>36.666666666666664</v>
      </c>
      <c r="D457" s="11">
        <f t="shared" si="68"/>
        <v>871.74960985597761</v>
      </c>
      <c r="E457" s="24">
        <f t="shared" si="69"/>
        <v>855.4112257383448</v>
      </c>
      <c r="F457" s="24">
        <f t="shared" si="62"/>
        <v>408.45960294082033</v>
      </c>
      <c r="G457" s="14">
        <f t="shared" si="63"/>
        <v>3808.6681621094185</v>
      </c>
      <c r="H457" s="24">
        <f t="shared" si="70"/>
        <v>688.23466306391106</v>
      </c>
      <c r="I457" s="12">
        <f t="shared" si="64"/>
        <v>0.48955903522019067</v>
      </c>
      <c r="J457" s="3">
        <f t="shared" si="65"/>
        <v>0.7</v>
      </c>
    </row>
    <row r="458" spans="2:10" x14ac:dyDescent="0.25">
      <c r="B458" s="3">
        <f t="shared" si="66"/>
        <v>2205</v>
      </c>
      <c r="C458" s="14">
        <f t="shared" si="67"/>
        <v>36.75</v>
      </c>
      <c r="D458" s="11">
        <f t="shared" si="68"/>
        <v>872.08859551246621</v>
      </c>
      <c r="E458" s="24">
        <f t="shared" si="69"/>
        <v>855.90078477356496</v>
      </c>
      <c r="F458" s="24">
        <f t="shared" si="62"/>
        <v>404.69526847253121</v>
      </c>
      <c r="G458" s="14">
        <f t="shared" si="63"/>
        <v>3777.6918177675848</v>
      </c>
      <c r="H458" s="24">
        <f t="shared" si="70"/>
        <v>687.6732428647764</v>
      </c>
      <c r="I458" s="12">
        <f t="shared" si="64"/>
        <v>0.48592243630178283</v>
      </c>
      <c r="J458" s="3">
        <f t="shared" si="65"/>
        <v>0.7</v>
      </c>
    </row>
    <row r="459" spans="2:10" x14ac:dyDescent="0.25">
      <c r="B459" s="3">
        <f t="shared" si="66"/>
        <v>2210</v>
      </c>
      <c r="C459" s="14">
        <f t="shared" si="67"/>
        <v>36.833333333333336</v>
      </c>
      <c r="D459" s="11">
        <f t="shared" si="68"/>
        <v>872.42681596366197</v>
      </c>
      <c r="E459" s="24">
        <f t="shared" si="69"/>
        <v>856.3867072098667</v>
      </c>
      <c r="F459" s="24">
        <f t="shared" si="62"/>
        <v>401.00271884488166</v>
      </c>
      <c r="G459" s="14">
        <f t="shared" si="63"/>
        <v>3747.2908964365602</v>
      </c>
      <c r="H459" s="24">
        <f t="shared" si="70"/>
        <v>687.1203283548524</v>
      </c>
      <c r="I459" s="12">
        <f t="shared" si="64"/>
        <v>0.48234917971403923</v>
      </c>
      <c r="J459" s="3">
        <f t="shared" si="65"/>
        <v>0.7</v>
      </c>
    </row>
    <row r="460" spans="2:10" x14ac:dyDescent="0.25">
      <c r="B460" s="3">
        <f t="shared" si="66"/>
        <v>2215</v>
      </c>
      <c r="C460" s="14">
        <f t="shared" si="67"/>
        <v>36.916666666666664</v>
      </c>
      <c r="D460" s="11">
        <f t="shared" si="68"/>
        <v>872.76427465644019</v>
      </c>
      <c r="E460" s="24">
        <f t="shared" si="69"/>
        <v>856.86905638958069</v>
      </c>
      <c r="F460" s="24">
        <f t="shared" si="62"/>
        <v>397.38045667148754</v>
      </c>
      <c r="G460" s="14">
        <f t="shared" si="63"/>
        <v>3717.4543690946002</v>
      </c>
      <c r="H460" s="24">
        <f t="shared" si="70"/>
        <v>686.57570185355837</v>
      </c>
      <c r="I460" s="12">
        <f t="shared" si="64"/>
        <v>0.47883824542703635</v>
      </c>
      <c r="J460" s="3">
        <f t="shared" si="65"/>
        <v>0.7</v>
      </c>
    </row>
    <row r="461" spans="2:10" x14ac:dyDescent="0.25">
      <c r="B461" s="3">
        <f t="shared" si="66"/>
        <v>2220</v>
      </c>
      <c r="C461" s="14">
        <f t="shared" si="67"/>
        <v>37</v>
      </c>
      <c r="D461" s="11">
        <f t="shared" si="68"/>
        <v>873.10097501443829</v>
      </c>
      <c r="E461" s="24">
        <f t="shared" si="69"/>
        <v>857.34789463500772</v>
      </c>
      <c r="F461" s="24">
        <f t="shared" si="62"/>
        <v>393.82700948576428</v>
      </c>
      <c r="G461" s="14">
        <f t="shared" si="63"/>
        <v>3688.1713460489914</v>
      </c>
      <c r="H461" s="24">
        <f t="shared" si="70"/>
        <v>686.03915266240256</v>
      </c>
      <c r="I461" s="12">
        <f t="shared" si="64"/>
        <v>0.47538861542352279</v>
      </c>
      <c r="J461" s="3">
        <f t="shared" si="65"/>
        <v>0.7</v>
      </c>
    </row>
    <row r="462" spans="2:10" x14ac:dyDescent="0.25">
      <c r="B462" s="3">
        <f t="shared" si="66"/>
        <v>2225</v>
      </c>
      <c r="C462" s="14">
        <f t="shared" si="67"/>
        <v>37.083333333333336</v>
      </c>
      <c r="D462" s="11">
        <f t="shared" si="68"/>
        <v>873.43692043826491</v>
      </c>
      <c r="E462" s="24">
        <f t="shared" si="69"/>
        <v>857.82328325043125</v>
      </c>
      <c r="F462" s="24">
        <f t="shared" si="62"/>
        <v>390.34092969584151</v>
      </c>
      <c r="G462" s="14">
        <f t="shared" si="63"/>
        <v>3659.4310790777149</v>
      </c>
      <c r="H462" s="24">
        <f t="shared" si="70"/>
        <v>685.51047680899251</v>
      </c>
      <c r="I462" s="12">
        <f t="shared" si="64"/>
        <v>0.47199927461788704</v>
      </c>
      <c r="J462" s="3">
        <f t="shared" si="65"/>
        <v>0.7</v>
      </c>
    </row>
    <row r="463" spans="2:10" x14ac:dyDescent="0.25">
      <c r="B463" s="3">
        <f t="shared" si="66"/>
        <v>2230</v>
      </c>
      <c r="C463" s="14">
        <f t="shared" si="67"/>
        <v>37.166666666666664</v>
      </c>
      <c r="D463" s="11">
        <f t="shared" si="68"/>
        <v>873.77211430570594</v>
      </c>
      <c r="E463" s="24">
        <f t="shared" si="69"/>
        <v>858.29528252504917</v>
      </c>
      <c r="F463" s="24">
        <f t="shared" si="62"/>
        <v>386.92079451641916</v>
      </c>
      <c r="G463" s="14">
        <f t="shared" si="63"/>
        <v>3631.2229633108232</v>
      </c>
      <c r="H463" s="24">
        <f t="shared" si="70"/>
        <v>684.98947680165111</v>
      </c>
      <c r="I463" s="12">
        <f t="shared" si="64"/>
        <v>0.46866921171566572</v>
      </c>
      <c r="J463" s="3">
        <f t="shared" si="65"/>
        <v>0.7</v>
      </c>
    </row>
    <row r="464" spans="2:10" x14ac:dyDescent="0.25">
      <c r="B464" s="3">
        <f t="shared" si="66"/>
        <v>2235</v>
      </c>
      <c r="C464" s="14">
        <f t="shared" si="67"/>
        <v>37.25</v>
      </c>
      <c r="D464" s="11">
        <f t="shared" si="68"/>
        <v>874.10655997192816</v>
      </c>
      <c r="E464" s="24">
        <f t="shared" si="69"/>
        <v>858.76395173676485</v>
      </c>
      <c r="F464" s="24">
        <f t="shared" si="62"/>
        <v>383.56520587908278</v>
      </c>
      <c r="G464" s="14">
        <f t="shared" si="63"/>
        <v>3603.5365388643113</v>
      </c>
      <c r="H464" s="24">
        <f t="shared" si="70"/>
        <v>684.47596139414168</v>
      </c>
      <c r="I464" s="12">
        <f t="shared" si="64"/>
        <v>0.46539742001626933</v>
      </c>
      <c r="J464" s="3">
        <f t="shared" si="65"/>
        <v>0.7</v>
      </c>
    </row>
    <row r="465" spans="2:10" x14ac:dyDescent="0.25">
      <c r="B465" s="3">
        <f t="shared" si="66"/>
        <v>2240</v>
      </c>
      <c r="C465" s="14">
        <f t="shared" si="67"/>
        <v>37.333333333333336</v>
      </c>
      <c r="D465" s="11">
        <f t="shared" si="68"/>
        <v>874.44026076968032</v>
      </c>
      <c r="E465" s="24">
        <f t="shared" si="69"/>
        <v>859.22934915678115</v>
      </c>
      <c r="F465" s="24">
        <f t="shared" ref="F465:F528" si="71">AlphaC*(D465-E465)</f>
        <v>380.27279032247918</v>
      </c>
      <c r="G465" s="14">
        <f t="shared" ref="G465:G528" si="72">Phi*EpsilonF*Botzman/10^8*J465*((D465+273)^4-(E465+273)^4)</f>
        <v>3576.3614922407587</v>
      </c>
      <c r="H465" s="24">
        <f t="shared" si="70"/>
        <v>683.96974536002801</v>
      </c>
      <c r="I465" s="12">
        <f t="shared" ref="I465:I528" si="73">ksh*Massivete/(H465*RhoA)*DeltaT*(F465+G465)</f>
        <v>0.46218289816173463</v>
      </c>
      <c r="J465" s="3">
        <f t="shared" ref="J465:J528" si="74">IF(E465&lt;=500,IF(Galva=Oui,0.35,0.7),0.7)</f>
        <v>0.7</v>
      </c>
    </row>
    <row r="466" spans="2:10" x14ac:dyDescent="0.25">
      <c r="B466" s="3">
        <f t="shared" ref="B466:B529" si="75">B465+DeltaT</f>
        <v>2245</v>
      </c>
      <c r="C466" s="14">
        <f t="shared" ref="C466:C529" si="76">B466/60</f>
        <v>37.416666666666664</v>
      </c>
      <c r="D466" s="11">
        <f t="shared" ref="D466:D529" si="77">20+345*LOG(8*C466+1,10)</f>
        <v>874.77322000949323</v>
      </c>
      <c r="E466" s="24">
        <f t="shared" si="69"/>
        <v>859.69153205494285</v>
      </c>
      <c r="F466" s="24">
        <f t="shared" si="71"/>
        <v>377.04219886375938</v>
      </c>
      <c r="G466" s="14">
        <f t="shared" si="72"/>
        <v>3549.6876575066567</v>
      </c>
      <c r="H466" s="24">
        <f t="shared" si="70"/>
        <v>683.47064927622455</v>
      </c>
      <c r="I466" s="12">
        <f t="shared" si="73"/>
        <v>0.45902465083376287</v>
      </c>
      <c r="J466" s="3">
        <f t="shared" si="74"/>
        <v>0.7</v>
      </c>
    </row>
    <row r="467" spans="2:10" x14ac:dyDescent="0.25">
      <c r="B467" s="3">
        <f t="shared" si="75"/>
        <v>2250</v>
      </c>
      <c r="C467" s="14">
        <f t="shared" si="76"/>
        <v>37.5</v>
      </c>
      <c r="D467" s="11">
        <f t="shared" si="77"/>
        <v>875.10544097987588</v>
      </c>
      <c r="E467" s="24">
        <f t="shared" si="69"/>
        <v>860.15055670577658</v>
      </c>
      <c r="F467" s="24">
        <f t="shared" si="71"/>
        <v>373.87210685248249</v>
      </c>
      <c r="G467" s="14">
        <f t="shared" si="72"/>
        <v>3523.5050172578767</v>
      </c>
      <c r="H467" s="24">
        <f t="shared" si="70"/>
        <v>682.97849931531073</v>
      </c>
      <c r="I467" s="12">
        <f t="shared" si="73"/>
        <v>0.45592168940142747</v>
      </c>
      <c r="J467" s="3">
        <f t="shared" si="74"/>
        <v>0.7</v>
      </c>
    </row>
    <row r="468" spans="2:10" x14ac:dyDescent="0.25">
      <c r="B468" s="3">
        <f t="shared" si="75"/>
        <v>2255</v>
      </c>
      <c r="C468" s="14">
        <f t="shared" si="76"/>
        <v>37.583333333333336</v>
      </c>
      <c r="D468" s="11">
        <f t="shared" si="77"/>
        <v>875.43692694751155</v>
      </c>
      <c r="E468" s="24">
        <f t="shared" si="69"/>
        <v>860.60647839517799</v>
      </c>
      <c r="F468" s="24">
        <f t="shared" si="71"/>
        <v>370.76121380833911</v>
      </c>
      <c r="G468" s="14">
        <f t="shared" si="72"/>
        <v>3497.8037033873829</v>
      </c>
      <c r="H468" s="24">
        <f t="shared" si="70"/>
        <v>682.49312704620934</v>
      </c>
      <c r="I468" s="12">
        <f t="shared" si="73"/>
        <v>0.45287303252222866</v>
      </c>
      <c r="J468" s="3">
        <f t="shared" si="74"/>
        <v>0.7</v>
      </c>
    </row>
    <row r="469" spans="2:10" x14ac:dyDescent="0.25">
      <c r="B469" s="3">
        <f t="shared" si="75"/>
        <v>2260</v>
      </c>
      <c r="C469" s="14">
        <f t="shared" si="76"/>
        <v>37.666666666666664</v>
      </c>
      <c r="D469" s="11">
        <f t="shared" si="77"/>
        <v>875.76768115744926</v>
      </c>
      <c r="E469" s="24">
        <f t="shared" si="69"/>
        <v>861.05935142770022</v>
      </c>
      <c r="F469" s="24">
        <f t="shared" si="71"/>
        <v>367.70824324372597</v>
      </c>
      <c r="G469" s="14">
        <f t="shared" si="72"/>
        <v>3472.5739976611071</v>
      </c>
      <c r="H469" s="24">
        <f t="shared" si="70"/>
        <v>682.0143692428461</v>
      </c>
      <c r="I469" s="12">
        <f t="shared" si="73"/>
        <v>0.44987770669814653</v>
      </c>
      <c r="J469" s="3">
        <f t="shared" si="74"/>
        <v>0.7</v>
      </c>
    </row>
    <row r="470" spans="2:10" x14ac:dyDescent="0.25">
      <c r="B470" s="3">
        <f t="shared" si="75"/>
        <v>2265</v>
      </c>
      <c r="C470" s="14">
        <f t="shared" si="76"/>
        <v>37.75</v>
      </c>
      <c r="D470" s="11">
        <f t="shared" si="77"/>
        <v>876.09770683329521</v>
      </c>
      <c r="E470" s="24">
        <f t="shared" si="69"/>
        <v>861.50922913439842</v>
      </c>
      <c r="F470" s="24">
        <f t="shared" si="71"/>
        <v>364.71194247241954</v>
      </c>
      <c r="G470" s="14">
        <f t="shared" si="72"/>
        <v>3447.8063321169711</v>
      </c>
      <c r="H470" s="24">
        <f t="shared" si="70"/>
        <v>681.54206770043027</v>
      </c>
      <c r="I470" s="12">
        <f t="shared" si="73"/>
        <v>0.44693474678939643</v>
      </c>
      <c r="J470" s="3">
        <f t="shared" si="74"/>
        <v>0.7</v>
      </c>
    </row>
    <row r="471" spans="2:10" x14ac:dyDescent="0.25">
      <c r="B471" s="3">
        <f t="shared" si="75"/>
        <v>2270</v>
      </c>
      <c r="C471" s="14">
        <f t="shared" si="76"/>
        <v>37.833333333333336</v>
      </c>
      <c r="D471" s="11">
        <f t="shared" si="77"/>
        <v>876.42700717740081</v>
      </c>
      <c r="E471" s="24">
        <f t="shared" si="69"/>
        <v>861.95616388118788</v>
      </c>
      <c r="F471" s="24">
        <f t="shared" si="71"/>
        <v>361.77108240532334</v>
      </c>
      <c r="G471" s="14">
        <f t="shared" si="72"/>
        <v>3423.4912892935968</v>
      </c>
      <c r="H471" s="24">
        <f t="shared" si="70"/>
        <v>681.07606905901343</v>
      </c>
      <c r="I471" s="12">
        <f t="shared" si="73"/>
        <v>0.44404319648754292</v>
      </c>
      <c r="J471" s="3">
        <f t="shared" si="74"/>
        <v>0.7</v>
      </c>
    </row>
    <row r="472" spans="2:10" x14ac:dyDescent="0.25">
      <c r="B472" s="3">
        <f t="shared" si="75"/>
        <v>2275</v>
      </c>
      <c r="C472" s="14">
        <f t="shared" si="76"/>
        <v>37.916666666666664</v>
      </c>
      <c r="D472" s="11">
        <f t="shared" si="77"/>
        <v>876.75558537104962</v>
      </c>
      <c r="E472" s="24">
        <f t="shared" si="69"/>
        <v>862.40020707767542</v>
      </c>
      <c r="F472" s="24">
        <f t="shared" si="71"/>
        <v>358.88445733435503</v>
      </c>
      <c r="G472" s="14">
        <f t="shared" si="72"/>
        <v>3399.6196022998711</v>
      </c>
      <c r="H472" s="24">
        <f t="shared" si="70"/>
        <v>680.61622463399885</v>
      </c>
      <c r="I472" s="12">
        <f t="shared" si="73"/>
        <v>0.44120210875015076</v>
      </c>
      <c r="J472" s="3">
        <f t="shared" si="74"/>
        <v>0.7</v>
      </c>
    </row>
    <row r="473" spans="2:10" x14ac:dyDescent="0.25">
      <c r="B473" s="3">
        <f t="shared" si="75"/>
        <v>2280</v>
      </c>
      <c r="C473" s="14">
        <f t="shared" si="76"/>
        <v>38</v>
      </c>
      <c r="D473" s="11">
        <f t="shared" si="77"/>
        <v>877.08344457464113</v>
      </c>
      <c r="E473" s="24">
        <f t="shared" si="69"/>
        <v>862.84140918642561</v>
      </c>
      <c r="F473" s="24">
        <f t="shared" si="71"/>
        <v>356.05088470538817</v>
      </c>
      <c r="G473" s="14">
        <f t="shared" si="72"/>
        <v>3376.1821547342188</v>
      </c>
      <c r="H473" s="24">
        <f t="shared" si="70"/>
        <v>680.16239025329492</v>
      </c>
      <c r="I473" s="12">
        <f t="shared" si="73"/>
        <v>0.43841054619883379</v>
      </c>
      <c r="J473" s="3">
        <f t="shared" si="74"/>
        <v>0.7</v>
      </c>
    </row>
    <row r="474" spans="2:10" x14ac:dyDescent="0.25">
      <c r="B474" s="3">
        <f t="shared" si="75"/>
        <v>2285</v>
      </c>
      <c r="C474" s="14">
        <f t="shared" si="76"/>
        <v>38.083333333333336</v>
      </c>
      <c r="D474" s="11">
        <f t="shared" si="77"/>
        <v>877.41058792787373</v>
      </c>
      <c r="E474" s="24">
        <f t="shared" si="69"/>
        <v>863.27981973262445</v>
      </c>
      <c r="F474" s="24">
        <f t="shared" si="71"/>
        <v>353.26920488123221</v>
      </c>
      <c r="G474" s="14">
        <f t="shared" si="72"/>
        <v>3353.1699804619097</v>
      </c>
      <c r="H474" s="24">
        <f t="shared" si="70"/>
        <v>679.71442610081681</v>
      </c>
      <c r="I474" s="12">
        <f t="shared" si="73"/>
        <v>0.43566758148248408</v>
      </c>
      <c r="J474" s="3">
        <f t="shared" si="74"/>
        <v>0.7</v>
      </c>
    </row>
    <row r="475" spans="2:10" x14ac:dyDescent="0.25">
      <c r="B475" s="3">
        <f t="shared" si="75"/>
        <v>2290</v>
      </c>
      <c r="C475" s="14">
        <f t="shared" si="76"/>
        <v>38.166666666666664</v>
      </c>
      <c r="D475" s="11">
        <f t="shared" si="77"/>
        <v>877.73701854992464</v>
      </c>
      <c r="E475" s="24">
        <f t="shared" si="69"/>
        <v>863.71548731410689</v>
      </c>
      <c r="F475" s="24">
        <f t="shared" si="71"/>
        <v>350.53828089544368</v>
      </c>
      <c r="G475" s="14">
        <f t="shared" si="72"/>
        <v>3330.5742632596775</v>
      </c>
      <c r="H475" s="24">
        <f t="shared" si="70"/>
        <v>679.27219656605848</v>
      </c>
      <c r="I475" s="12">
        <f t="shared" si="73"/>
        <v>0.43297229760752332</v>
      </c>
      <c r="J475" s="3">
        <f t="shared" si="74"/>
        <v>0.7</v>
      </c>
    </row>
    <row r="476" spans="2:10" x14ac:dyDescent="0.25">
      <c r="B476" s="3">
        <f t="shared" si="75"/>
        <v>2295</v>
      </c>
      <c r="C476" s="14">
        <f t="shared" si="76"/>
        <v>38.25</v>
      </c>
      <c r="D476" s="11">
        <f t="shared" si="77"/>
        <v>878.06273953962921</v>
      </c>
      <c r="E476" s="24">
        <f t="shared" si="69"/>
        <v>864.14845961171443</v>
      </c>
      <c r="F476" s="24">
        <f t="shared" si="71"/>
        <v>347.85699819786942</v>
      </c>
      <c r="G476" s="14">
        <f t="shared" si="72"/>
        <v>3308.3863363347136</v>
      </c>
      <c r="H476" s="24">
        <f t="shared" si="70"/>
        <v>678.83557009946958</v>
      </c>
      <c r="I476" s="12">
        <f t="shared" si="73"/>
        <v>0.43032378823675094</v>
      </c>
      <c r="J476" s="3">
        <f t="shared" si="74"/>
        <v>0.7</v>
      </c>
    </row>
    <row r="477" spans="2:10" x14ac:dyDescent="0.25">
      <c r="B477" s="3">
        <f t="shared" si="75"/>
        <v>2300</v>
      </c>
      <c r="C477" s="14">
        <f t="shared" si="76"/>
        <v>38.333333333333336</v>
      </c>
      <c r="D477" s="11">
        <f t="shared" si="77"/>
        <v>878.38775397565598</v>
      </c>
      <c r="E477" s="24">
        <f t="shared" si="69"/>
        <v>864.57878339995113</v>
      </c>
      <c r="F477" s="24">
        <f t="shared" si="71"/>
        <v>345.22426439262119</v>
      </c>
      <c r="G477" s="14">
        <f t="shared" si="72"/>
        <v>3286.5976817263791</v>
      </c>
      <c r="H477" s="24">
        <f t="shared" si="70"/>
        <v>678.40441907338493</v>
      </c>
      <c r="I477" s="12">
        <f t="shared" si="73"/>
        <v>0.42772115795846022</v>
      </c>
      <c r="J477" s="3">
        <f t="shared" si="74"/>
        <v>0.7</v>
      </c>
    </row>
    <row r="478" spans="2:10" x14ac:dyDescent="0.25">
      <c r="B478" s="3">
        <f t="shared" si="75"/>
        <v>2305</v>
      </c>
      <c r="C478" s="14">
        <f t="shared" si="76"/>
        <v>38.416666666666664</v>
      </c>
      <c r="D478" s="11">
        <f t="shared" si="77"/>
        <v>878.71206491668261</v>
      </c>
      <c r="E478" s="24">
        <f t="shared" si="69"/>
        <v>865.00650455790958</v>
      </c>
      <c r="F478" s="24">
        <f t="shared" si="71"/>
        <v>342.63900896932569</v>
      </c>
      <c r="G478" s="14">
        <f t="shared" si="72"/>
        <v>3265.1999295985884</v>
      </c>
      <c r="H478" s="24">
        <f t="shared" si="70"/>
        <v>677.97861964826689</v>
      </c>
      <c r="I478" s="12">
        <f t="shared" si="73"/>
        <v>0.4251635225274461</v>
      </c>
      <c r="J478" s="3">
        <f t="shared" si="74"/>
        <v>0.7</v>
      </c>
    </row>
    <row r="479" spans="2:10" x14ac:dyDescent="0.25">
      <c r="B479" s="3">
        <f t="shared" si="75"/>
        <v>2310</v>
      </c>
      <c r="C479" s="14">
        <f t="shared" si="76"/>
        <v>38.5</v>
      </c>
      <c r="D479" s="11">
        <f t="shared" si="77"/>
        <v>879.03567540156791</v>
      </c>
      <c r="E479" s="24">
        <f t="shared" si="69"/>
        <v>865.43166808043702</v>
      </c>
      <c r="F479" s="24">
        <f t="shared" si="71"/>
        <v>340.10018302827234</v>
      </c>
      <c r="G479" s="14">
        <f t="shared" si="72"/>
        <v>3244.1848574282762</v>
      </c>
      <c r="H479" s="24">
        <f t="shared" si="70"/>
        <v>677.5580516440325</v>
      </c>
      <c r="I479" s="12">
        <f t="shared" si="73"/>
        <v>0.42265000907917877</v>
      </c>
      <c r="J479" s="3">
        <f t="shared" si="74"/>
        <v>0.7</v>
      </c>
    </row>
    <row r="480" spans="2:10" x14ac:dyDescent="0.25">
      <c r="B480" s="3">
        <f t="shared" si="75"/>
        <v>2315</v>
      </c>
      <c r="C480" s="14">
        <f t="shared" si="76"/>
        <v>38.583333333333336</v>
      </c>
      <c r="D480" s="11">
        <f t="shared" si="77"/>
        <v>879.35858844952281</v>
      </c>
      <c r="E480" s="24">
        <f t="shared" si="69"/>
        <v>865.85431808951625</v>
      </c>
      <c r="F480" s="24">
        <f t="shared" si="71"/>
        <v>337.60675900016395</v>
      </c>
      <c r="G480" s="14">
        <f t="shared" si="72"/>
        <v>3223.5443890992428</v>
      </c>
      <c r="H480" s="24">
        <f t="shared" si="70"/>
        <v>677.14259841624857</v>
      </c>
      <c r="I480" s="12">
        <f t="shared" si="73"/>
        <v>0.42017975631886173</v>
      </c>
      <c r="J480" s="3">
        <f t="shared" si="74"/>
        <v>0.7</v>
      </c>
    </row>
    <row r="481" spans="2:10" x14ac:dyDescent="0.25">
      <c r="B481" s="3">
        <f t="shared" si="75"/>
        <v>2320</v>
      </c>
      <c r="C481" s="14">
        <f t="shared" si="76"/>
        <v>38.666666666666664</v>
      </c>
      <c r="D481" s="11">
        <f t="shared" si="77"/>
        <v>879.68080706027945</v>
      </c>
      <c r="E481" s="24">
        <f t="shared" si="69"/>
        <v>866.27449784583507</v>
      </c>
      <c r="F481" s="24">
        <f t="shared" si="71"/>
        <v>335.15773036110943</v>
      </c>
      <c r="G481" s="14">
        <f t="shared" si="72"/>
        <v>3203.2705939054554</v>
      </c>
      <c r="H481" s="24">
        <f t="shared" si="70"/>
        <v>676.73214673698862</v>
      </c>
      <c r="I481" s="12">
        <f t="shared" si="73"/>
        <v>0.41775191468645151</v>
      </c>
      <c r="J481" s="3">
        <f t="shared" si="74"/>
        <v>0.7</v>
      </c>
    </row>
    <row r="482" spans="2:10" x14ac:dyDescent="0.25">
      <c r="B482" s="3">
        <f t="shared" si="75"/>
        <v>2325</v>
      </c>
      <c r="C482" s="14">
        <f t="shared" si="76"/>
        <v>38.75</v>
      </c>
      <c r="D482" s="11">
        <f t="shared" si="77"/>
        <v>880.00233421425878</v>
      </c>
      <c r="E482" s="24">
        <f t="shared" si="69"/>
        <v>866.69224976052158</v>
      </c>
      <c r="F482" s="24">
        <f t="shared" si="71"/>
        <v>332.7521113434301</v>
      </c>
      <c r="G482" s="14">
        <f t="shared" si="72"/>
        <v>3183.3556854714061</v>
      </c>
      <c r="H482" s="24">
        <f t="shared" si="70"/>
        <v>676.32658668015222</v>
      </c>
      <c r="I482" s="12">
        <f t="shared" si="73"/>
        <v>0.41536564649910346</v>
      </c>
      <c r="J482" s="3">
        <f t="shared" si="74"/>
        <v>0.7</v>
      </c>
    </row>
    <row r="483" spans="2:10" x14ac:dyDescent="0.25">
      <c r="B483" s="3">
        <f t="shared" si="75"/>
        <v>2330</v>
      </c>
      <c r="C483" s="14">
        <f t="shared" si="76"/>
        <v>38.833333333333336</v>
      </c>
      <c r="D483" s="11">
        <f t="shared" si="77"/>
        <v>880.32317287273509</v>
      </c>
      <c r="E483" s="24">
        <f t="shared" si="69"/>
        <v>867.10761540702072</v>
      </c>
      <c r="F483" s="24">
        <f t="shared" si="71"/>
        <v>330.38893664285922</v>
      </c>
      <c r="G483" s="14">
        <f t="shared" si="72"/>
        <v>3163.7920205956257</v>
      </c>
      <c r="H483" s="24">
        <f t="shared" si="70"/>
        <v>675.92581151106413</v>
      </c>
      <c r="I483" s="12">
        <f t="shared" si="73"/>
        <v>0.41302012607230909</v>
      </c>
      <c r="J483" s="3">
        <f t="shared" si="74"/>
        <v>0.7</v>
      </c>
    </row>
    <row r="484" spans="2:10" x14ac:dyDescent="0.25">
      <c r="B484" s="3">
        <f t="shared" si="75"/>
        <v>2335</v>
      </c>
      <c r="C484" s="14">
        <f t="shared" si="76"/>
        <v>38.916666666666664</v>
      </c>
      <c r="D484" s="11">
        <f t="shared" si="77"/>
        <v>880.64332597799989</v>
      </c>
      <c r="E484" s="24">
        <f t="shared" si="69"/>
        <v>867.52063553309301</v>
      </c>
      <c r="F484" s="24">
        <f t="shared" si="71"/>
        <v>328.06726112267199</v>
      </c>
      <c r="G484" s="14">
        <f t="shared" si="72"/>
        <v>3144.5720980218848</v>
      </c>
      <c r="H484" s="24">
        <f t="shared" si="70"/>
        <v>675.52971758017031</v>
      </c>
      <c r="I484" s="12">
        <f t="shared" si="73"/>
        <v>0.41071453982078637</v>
      </c>
      <c r="J484" s="3">
        <f t="shared" si="74"/>
        <v>0.7</v>
      </c>
    </row>
    <row r="485" spans="2:10" x14ac:dyDescent="0.25">
      <c r="B485" s="3">
        <f t="shared" si="75"/>
        <v>2340</v>
      </c>
      <c r="C485" s="14">
        <f t="shared" si="76"/>
        <v>39</v>
      </c>
      <c r="D485" s="11">
        <f t="shared" si="77"/>
        <v>880.96279645352467</v>
      </c>
      <c r="E485" s="24">
        <f t="shared" si="69"/>
        <v>867.9313500729138</v>
      </c>
      <c r="F485" s="24">
        <f t="shared" si="71"/>
        <v>325.78615951527183</v>
      </c>
      <c r="G485" s="14">
        <f t="shared" si="72"/>
        <v>3125.6885571452153</v>
      </c>
      <c r="H485" s="24">
        <f t="shared" si="70"/>
        <v>675.13820422066328</v>
      </c>
      <c r="I485" s="12">
        <f t="shared" si="73"/>
        <v>0.40844808634047147</v>
      </c>
      <c r="J485" s="3">
        <f t="shared" si="74"/>
        <v>0.7</v>
      </c>
    </row>
    <row r="486" spans="2:10" x14ac:dyDescent="0.25">
      <c r="B486" s="3">
        <f t="shared" si="75"/>
        <v>2345</v>
      </c>
      <c r="C486" s="14">
        <f t="shared" si="76"/>
        <v>39.083333333333336</v>
      </c>
      <c r="D486" s="11">
        <f t="shared" si="77"/>
        <v>881.28158720412</v>
      </c>
      <c r="E486" s="24">
        <f t="shared" si="69"/>
        <v>868.33979815925431</v>
      </c>
      <c r="F486" s="24">
        <f t="shared" si="71"/>
        <v>323.54472612164216</v>
      </c>
      <c r="G486" s="14">
        <f t="shared" si="72"/>
        <v>3107.1341766560486</v>
      </c>
      <c r="H486" s="24">
        <f t="shared" si="70"/>
        <v>674.75117364987364</v>
      </c>
      <c r="I486" s="12">
        <f t="shared" si="73"/>
        <v>0.40621997647247171</v>
      </c>
      <c r="J486" s="3">
        <f t="shared" si="74"/>
        <v>0.7</v>
      </c>
    </row>
    <row r="487" spans="2:10" x14ac:dyDescent="0.25">
      <c r="B487" s="3">
        <f t="shared" si="75"/>
        <v>2350</v>
      </c>
      <c r="C487" s="14">
        <f t="shared" si="76"/>
        <v>39.166666666666664</v>
      </c>
      <c r="D487" s="11">
        <f t="shared" si="77"/>
        <v>881.59970111609459</v>
      </c>
      <c r="E487" s="24">
        <f t="shared" si="69"/>
        <v>868.74601813572679</v>
      </c>
      <c r="F487" s="24">
        <f t="shared" si="71"/>
        <v>321.34207450919519</v>
      </c>
      <c r="G487" s="14">
        <f t="shared" si="72"/>
        <v>3088.9018731289993</v>
      </c>
      <c r="H487" s="24">
        <f t="shared" si="70"/>
        <v>674.36853087427346</v>
      </c>
      <c r="I487" s="12">
        <f t="shared" si="73"/>
        <v>0.40402943335022701</v>
      </c>
      <c r="J487" s="3">
        <f t="shared" si="74"/>
        <v>0.7</v>
      </c>
    </row>
    <row r="488" spans="2:10" x14ac:dyDescent="0.25">
      <c r="B488" s="3">
        <f t="shared" si="75"/>
        <v>2355</v>
      </c>
      <c r="C488" s="14">
        <f t="shared" si="76"/>
        <v>39.25</v>
      </c>
      <c r="D488" s="11">
        <f t="shared" si="77"/>
        <v>881.9171410574121</v>
      </c>
      <c r="E488" s="24">
        <f t="shared" si="69"/>
        <v>869.15004756907706</v>
      </c>
      <c r="F488" s="24">
        <f t="shared" si="71"/>
        <v>319.17733720837589</v>
      </c>
      <c r="G488" s="14">
        <f t="shared" si="72"/>
        <v>3070.9846995603148</v>
      </c>
      <c r="H488" s="24">
        <f t="shared" si="70"/>
        <v>673.99018359794445</v>
      </c>
      <c r="I488" s="12">
        <f t="shared" si="73"/>
        <v>0.40187569243078641</v>
      </c>
      <c r="J488" s="3">
        <f t="shared" si="74"/>
        <v>0.7</v>
      </c>
    </row>
    <row r="489" spans="2:10" x14ac:dyDescent="0.25">
      <c r="B489" s="3">
        <f t="shared" si="75"/>
        <v>2360</v>
      </c>
      <c r="C489" s="14">
        <f t="shared" si="76"/>
        <v>39.333333333333336</v>
      </c>
      <c r="D489" s="11">
        <f t="shared" si="77"/>
        <v>882.23390987784558</v>
      </c>
      <c r="E489" s="24">
        <f t="shared" si="69"/>
        <v>869.5519232615078</v>
      </c>
      <c r="F489" s="24">
        <f t="shared" si="71"/>
        <v>317.04966540844453</v>
      </c>
      <c r="G489" s="14">
        <f t="shared" si="72"/>
        <v>3053.3758438579694</v>
      </c>
      <c r="H489" s="24">
        <f t="shared" si="70"/>
        <v>673.61604213436942</v>
      </c>
      <c r="I489" s="12">
        <f t="shared" si="73"/>
        <v>0.39975800151110008</v>
      </c>
      <c r="J489" s="3">
        <f t="shared" si="74"/>
        <v>0.7</v>
      </c>
    </row>
    <row r="490" spans="2:10" x14ac:dyDescent="0.25">
      <c r="B490" s="3">
        <f t="shared" si="75"/>
        <v>2365</v>
      </c>
      <c r="C490" s="14">
        <f t="shared" si="76"/>
        <v>39.416666666666664</v>
      </c>
      <c r="D490" s="11">
        <f t="shared" si="77"/>
        <v>882.55001040913226</v>
      </c>
      <c r="E490" s="24">
        <f t="shared" si="69"/>
        <v>869.95168126301894</v>
      </c>
      <c r="F490" s="24">
        <f t="shared" si="71"/>
        <v>314.95822865283287</v>
      </c>
      <c r="G490" s="14">
        <f t="shared" si="72"/>
        <v>3036.0686272903527</v>
      </c>
      <c r="H490" s="24">
        <f t="shared" si="70"/>
        <v>673.24601932141331</v>
      </c>
      <c r="I490" s="12">
        <f t="shared" si="73"/>
        <v>0.39767562073043811</v>
      </c>
      <c r="J490" s="3">
        <f t="shared" si="74"/>
        <v>0.7</v>
      </c>
    </row>
    <row r="491" spans="2:10" x14ac:dyDescent="0.25">
      <c r="B491" s="3">
        <f t="shared" si="75"/>
        <v>2370</v>
      </c>
      <c r="C491" s="14">
        <f t="shared" si="76"/>
        <v>39.5</v>
      </c>
      <c r="D491" s="11">
        <f t="shared" si="77"/>
        <v>882.86544546512414</v>
      </c>
      <c r="E491" s="24">
        <f t="shared" si="69"/>
        <v>870.34935688374935</v>
      </c>
      <c r="F491" s="24">
        <f t="shared" si="71"/>
        <v>312.9022145343697</v>
      </c>
      <c r="G491" s="14">
        <f t="shared" si="72"/>
        <v>3019.0565028956375</v>
      </c>
      <c r="H491" s="24">
        <f t="shared" si="70"/>
        <v>672.88003043936646</v>
      </c>
      <c r="I491" s="12">
        <f t="shared" si="73"/>
        <v>0.39562782255956552</v>
      </c>
      <c r="J491" s="3">
        <f t="shared" si="74"/>
        <v>0.7</v>
      </c>
    </row>
    <row r="492" spans="2:10" x14ac:dyDescent="0.25">
      <c r="B492" s="3">
        <f t="shared" si="75"/>
        <v>2375</v>
      </c>
      <c r="C492" s="14">
        <f t="shared" si="76"/>
        <v>39.583333333333336</v>
      </c>
      <c r="D492" s="11">
        <f t="shared" si="77"/>
        <v>883.18021784193911</v>
      </c>
      <c r="E492" s="24">
        <f t="shared" si="69"/>
        <v>870.74498470630897</v>
      </c>
      <c r="F492" s="24">
        <f t="shared" si="71"/>
        <v>310.88082839075355</v>
      </c>
      <c r="G492" s="14">
        <f t="shared" si="72"/>
        <v>3002.3330538567748</v>
      </c>
      <c r="H492" s="24">
        <f t="shared" si="70"/>
        <v>672.51799313192453</v>
      </c>
      <c r="I492" s="12">
        <f t="shared" si="73"/>
        <v>0.39361389177764006</v>
      </c>
      <c r="J492" s="3">
        <f t="shared" si="74"/>
        <v>0.7</v>
      </c>
    </row>
    <row r="493" spans="2:10" x14ac:dyDescent="0.25">
      <c r="B493" s="3">
        <f t="shared" si="75"/>
        <v>2380</v>
      </c>
      <c r="C493" s="14">
        <f t="shared" si="76"/>
        <v>39.666666666666664</v>
      </c>
      <c r="D493" s="11">
        <f t="shared" si="77"/>
        <v>883.49433031810895</v>
      </c>
      <c r="E493" s="24">
        <f t="shared" si="69"/>
        <v>871.13859859808656</v>
      </c>
      <c r="F493" s="24">
        <f t="shared" si="71"/>
        <v>308.89329300055977</v>
      </c>
      <c r="G493" s="14">
        <f t="shared" si="72"/>
        <v>2985.8919918458923</v>
      </c>
      <c r="H493" s="24">
        <f t="shared" si="70"/>
        <v>672.15982732999385</v>
      </c>
      <c r="I493" s="12">
        <f t="shared" si="73"/>
        <v>0.39163312543763157</v>
      </c>
      <c r="J493" s="3">
        <f t="shared" si="74"/>
        <v>0.7</v>
      </c>
    </row>
    <row r="494" spans="2:10" x14ac:dyDescent="0.25">
      <c r="B494" s="3">
        <f t="shared" si="75"/>
        <v>2385</v>
      </c>
      <c r="C494" s="14">
        <f t="shared" si="76"/>
        <v>39.75</v>
      </c>
      <c r="D494" s="11">
        <f t="shared" si="77"/>
        <v>883.80778565472747</v>
      </c>
      <c r="E494" s="24">
        <f t="shared" si="69"/>
        <v>871.53023172352414</v>
      </c>
      <c r="F494" s="24">
        <f t="shared" si="71"/>
        <v>306.93884828008322</v>
      </c>
      <c r="G494" s="14">
        <f t="shared" si="72"/>
        <v>2969.7271553413721</v>
      </c>
      <c r="H494" s="24">
        <f t="shared" si="70"/>
        <v>671.80545517820428</v>
      </c>
      <c r="I494" s="12">
        <f t="shared" si="73"/>
        <v>0.38968483282099781</v>
      </c>
      <c r="J494" s="3">
        <f t="shared" si="74"/>
        <v>0.7</v>
      </c>
    </row>
    <row r="495" spans="2:10" x14ac:dyDescent="0.25">
      <c r="B495" s="3">
        <f t="shared" si="75"/>
        <v>2390</v>
      </c>
      <c r="C495" s="14">
        <f t="shared" si="76"/>
        <v>39.833333333333336</v>
      </c>
      <c r="D495" s="11">
        <f t="shared" si="77"/>
        <v>884.12058659559534</v>
      </c>
      <c r="E495" s="24">
        <f t="shared" si="69"/>
        <v>871.91991655634513</v>
      </c>
      <c r="F495" s="24">
        <f t="shared" si="71"/>
        <v>305.01675098125531</v>
      </c>
      <c r="G495" s="14">
        <f t="shared" si="72"/>
        <v>2953.8325079205329</v>
      </c>
      <c r="H495" s="24">
        <f t="shared" si="70"/>
        <v>671.45480096402764</v>
      </c>
      <c r="I495" s="12">
        <f t="shared" si="73"/>
        <v>0.38776833538228656</v>
      </c>
      <c r="J495" s="3">
        <f t="shared" si="74"/>
        <v>0.7</v>
      </c>
    </row>
    <row r="496" spans="2:10" x14ac:dyDescent="0.25">
      <c r="B496" s="3">
        <f t="shared" si="75"/>
        <v>2395</v>
      </c>
      <c r="C496" s="14">
        <f t="shared" si="76"/>
        <v>39.916666666666664</v>
      </c>
      <c r="D496" s="11">
        <f t="shared" si="77"/>
        <v>884.4327358673645</v>
      </c>
      <c r="E496" s="24">
        <f t="shared" si="69"/>
        <v>872.30768489172738</v>
      </c>
      <c r="F496" s="24">
        <f t="shared" si="71"/>
        <v>303.12627439092807</v>
      </c>
      <c r="G496" s="14">
        <f t="shared" si="72"/>
        <v>2938.2021365314768</v>
      </c>
      <c r="H496" s="24">
        <f t="shared" si="70"/>
        <v>671.10779104939706</v>
      </c>
      <c r="I496" s="12">
        <f t="shared" si="73"/>
        <v>0.38588296668440336</v>
      </c>
      <c r="J496" s="3">
        <f t="shared" si="74"/>
        <v>0.7</v>
      </c>
    </row>
    <row r="497" spans="2:10" x14ac:dyDescent="0.25">
      <c r="B497" s="3">
        <f t="shared" si="75"/>
        <v>2400</v>
      </c>
      <c r="C497" s="14">
        <f t="shared" si="76"/>
        <v>40</v>
      </c>
      <c r="D497" s="11">
        <f t="shared" si="77"/>
        <v>884.7442361796808</v>
      </c>
      <c r="E497" s="24">
        <f t="shared" si="69"/>
        <v>872.69356785841183</v>
      </c>
      <c r="F497" s="24">
        <f t="shared" si="71"/>
        <v>301.26670803172431</v>
      </c>
      <c r="G497" s="14">
        <f t="shared" si="72"/>
        <v>2922.8302497474274</v>
      </c>
      <c r="H497" s="24">
        <f t="shared" si="70"/>
        <v>670.76435380473129</v>
      </c>
      <c r="I497" s="12">
        <f t="shared" si="73"/>
        <v>0.38402807232523878</v>
      </c>
      <c r="J497" s="3">
        <f t="shared" si="74"/>
        <v>0.7</v>
      </c>
    </row>
    <row r="498" spans="2:10" x14ac:dyDescent="0.25">
      <c r="B498" s="3">
        <f t="shared" si="75"/>
        <v>2405</v>
      </c>
      <c r="C498" s="14">
        <f t="shared" si="76"/>
        <v>40.083333333333336</v>
      </c>
      <c r="D498" s="11">
        <f t="shared" si="77"/>
        <v>885.05509022532488</v>
      </c>
      <c r="E498" s="24">
        <f t="shared" ref="E498:E561" si="78">E497+I497</f>
        <v>873.07759593073706</v>
      </c>
      <c r="F498" s="24">
        <f t="shared" si="71"/>
        <v>299.43735736469534</v>
      </c>
      <c r="G498" s="14">
        <f t="shared" si="72"/>
        <v>2907.7111760054668</v>
      </c>
      <c r="H498" s="24">
        <f t="shared" ref="H498:H561" si="79">IF(E498&lt;600,425+0.773*E498-1.69/1000*E498^2+2.22/1000^2*E498^3,IF(E498&lt;735,666+13002/(738-E498),IF(E498&lt;900,545+17820/(E498-731),650)))</f>
        <v>670.42441954526919</v>
      </c>
      <c r="I498" s="12">
        <f t="shared" si="73"/>
        <v>0.38220300985617023</v>
      </c>
      <c r="J498" s="3">
        <f t="shared" si="74"/>
        <v>0.7</v>
      </c>
    </row>
    <row r="499" spans="2:10" x14ac:dyDescent="0.25">
      <c r="B499" s="3">
        <f t="shared" si="75"/>
        <v>2410</v>
      </c>
      <c r="C499" s="14">
        <f t="shared" si="76"/>
        <v>40.166666666666664</v>
      </c>
      <c r="D499" s="11">
        <f t="shared" si="77"/>
        <v>885.36530068035177</v>
      </c>
      <c r="E499" s="24">
        <f t="shared" si="78"/>
        <v>873.45979894059326</v>
      </c>
      <c r="F499" s="24">
        <f t="shared" si="71"/>
        <v>297.63754349396265</v>
      </c>
      <c r="G499" s="14">
        <f t="shared" si="72"/>
        <v>2892.8393618328778</v>
      </c>
      <c r="H499" s="24">
        <f t="shared" si="79"/>
        <v>670.08792046962708</v>
      </c>
      <c r="I499" s="12">
        <f t="shared" si="73"/>
        <v>0.38040714869309161</v>
      </c>
      <c r="J499" s="3">
        <f t="shared" si="74"/>
        <v>0.7</v>
      </c>
    </row>
    <row r="500" spans="2:10" x14ac:dyDescent="0.25">
      <c r="B500" s="3">
        <f t="shared" si="75"/>
        <v>2415</v>
      </c>
      <c r="C500" s="14">
        <f t="shared" si="76"/>
        <v>40.25</v>
      </c>
      <c r="D500" s="11">
        <f t="shared" si="77"/>
        <v>885.67487020423039</v>
      </c>
      <c r="E500" s="24">
        <f t="shared" si="78"/>
        <v>873.84020608928631</v>
      </c>
      <c r="F500" s="24">
        <f t="shared" si="71"/>
        <v>295.86660287360189</v>
      </c>
      <c r="G500" s="14">
        <f t="shared" si="72"/>
        <v>2878.2093700644186</v>
      </c>
      <c r="H500" s="24">
        <f t="shared" si="79"/>
        <v>669.75479060049179</v>
      </c>
      <c r="I500" s="12">
        <f t="shared" si="73"/>
        <v>0.37863987002063909</v>
      </c>
      <c r="J500" s="3">
        <f t="shared" si="74"/>
        <v>0.7</v>
      </c>
    </row>
    <row r="501" spans="2:10" x14ac:dyDescent="0.25">
      <c r="B501" s="3">
        <f t="shared" si="75"/>
        <v>2420</v>
      </c>
      <c r="C501" s="14">
        <f t="shared" si="76"/>
        <v>40.333333333333336</v>
      </c>
      <c r="D501" s="11">
        <f t="shared" si="77"/>
        <v>885.98380143997804</v>
      </c>
      <c r="E501" s="24">
        <f t="shared" si="78"/>
        <v>874.21884595930692</v>
      </c>
      <c r="F501" s="24">
        <f t="shared" si="71"/>
        <v>294.12388701677799</v>
      </c>
      <c r="G501" s="14">
        <f t="shared" si="72"/>
        <v>2863.8158780501885</v>
      </c>
      <c r="H501" s="24">
        <f t="shared" si="79"/>
        <v>669.42496572736832</v>
      </c>
      <c r="I501" s="12">
        <f t="shared" si="73"/>
        <v>0.37690056668980487</v>
      </c>
      <c r="J501" s="3">
        <f t="shared" si="74"/>
        <v>0.7</v>
      </c>
    </row>
    <row r="502" spans="2:10" x14ac:dyDescent="0.25">
      <c r="B502" s="3">
        <f t="shared" si="75"/>
        <v>2425</v>
      </c>
      <c r="C502" s="14">
        <f t="shared" si="76"/>
        <v>40.416666666666664</v>
      </c>
      <c r="D502" s="11">
        <f t="shared" si="77"/>
        <v>886.29209701429761</v>
      </c>
      <c r="E502" s="24">
        <f t="shared" si="78"/>
        <v>874.59574652599667</v>
      </c>
      <c r="F502" s="24">
        <f t="shared" si="71"/>
        <v>292.40876220752341</v>
      </c>
      <c r="G502" s="14">
        <f t="shared" si="72"/>
        <v>2849.6536758607863</v>
      </c>
      <c r="H502" s="24">
        <f t="shared" si="79"/>
        <v>669.0983833513053</v>
      </c>
      <c r="I502" s="12">
        <f t="shared" si="73"/>
        <v>0.37518864311000455</v>
      </c>
      <c r="J502" s="3">
        <f t="shared" si="74"/>
        <v>0.7</v>
      </c>
    </row>
    <row r="503" spans="2:10" x14ac:dyDescent="0.25">
      <c r="B503" s="3">
        <f t="shared" si="75"/>
        <v>2430</v>
      </c>
      <c r="C503" s="14">
        <f t="shared" si="76"/>
        <v>40.5</v>
      </c>
      <c r="D503" s="11">
        <f t="shared" si="77"/>
        <v>886.59975953771152</v>
      </c>
      <c r="E503" s="24">
        <f t="shared" si="78"/>
        <v>874.97093516910672</v>
      </c>
      <c r="F503" s="24">
        <f t="shared" si="71"/>
        <v>290.72060921511991</v>
      </c>
      <c r="G503" s="14">
        <f t="shared" si="72"/>
        <v>2835.7176644869801</v>
      </c>
      <c r="H503" s="24">
        <f t="shared" si="79"/>
        <v>668.77498263152086</v>
      </c>
      <c r="I503" s="12">
        <f t="shared" si="73"/>
        <v>0.37350351513547791</v>
      </c>
      <c r="J503" s="3">
        <f t="shared" si="74"/>
        <v>0.7</v>
      </c>
    </row>
    <row r="504" spans="2:10" x14ac:dyDescent="0.25">
      <c r="B504" s="3">
        <f t="shared" si="75"/>
        <v>2435</v>
      </c>
      <c r="C504" s="14">
        <f t="shared" si="76"/>
        <v>40.583333333333336</v>
      </c>
      <c r="D504" s="11">
        <f t="shared" si="77"/>
        <v>886.90679160469313</v>
      </c>
      <c r="E504" s="24">
        <f t="shared" si="78"/>
        <v>875.34443868424216</v>
      </c>
      <c r="F504" s="24">
        <f t="shared" si="71"/>
        <v>289.05882301127406</v>
      </c>
      <c r="G504" s="14">
        <f t="shared" si="72"/>
        <v>2822.0028540396052</v>
      </c>
      <c r="H504" s="24">
        <f t="shared" si="79"/>
        <v>668.45470433385935</v>
      </c>
      <c r="I504" s="12">
        <f t="shared" si="73"/>
        <v>0.37184460994692914</v>
      </c>
      <c r="J504" s="3">
        <f t="shared" si="74"/>
        <v>0.7</v>
      </c>
    </row>
    <row r="505" spans="2:10" x14ac:dyDescent="0.25">
      <c r="B505" s="3">
        <f t="shared" si="75"/>
        <v>2440</v>
      </c>
      <c r="C505" s="14">
        <f t="shared" si="76"/>
        <v>40.666666666666664</v>
      </c>
      <c r="D505" s="11">
        <f t="shared" si="77"/>
        <v>887.21319579379895</v>
      </c>
      <c r="E505" s="24">
        <f t="shared" si="78"/>
        <v>875.71628329418911</v>
      </c>
      <c r="F505" s="24">
        <f t="shared" si="71"/>
        <v>287.42281249024586</v>
      </c>
      <c r="G505" s="14">
        <f t="shared" si="72"/>
        <v>2808.5043619496391</v>
      </c>
      <c r="H505" s="24">
        <f t="shared" si="79"/>
        <v>668.1374907810083</v>
      </c>
      <c r="I505" s="12">
        <f t="shared" si="73"/>
        <v>0.37021136592861936</v>
      </c>
      <c r="J505" s="3">
        <f t="shared" si="74"/>
        <v>0.7</v>
      </c>
    </row>
    <row r="506" spans="2:10" x14ac:dyDescent="0.25">
      <c r="B506" s="3">
        <f t="shared" si="75"/>
        <v>2445</v>
      </c>
      <c r="C506" s="14">
        <f t="shared" si="76"/>
        <v>40.75</v>
      </c>
      <c r="D506" s="11">
        <f t="shared" si="77"/>
        <v>887.5189746677986</v>
      </c>
      <c r="E506" s="24">
        <f t="shared" si="78"/>
        <v>876.08649466011775</v>
      </c>
      <c r="F506" s="24">
        <f t="shared" si="71"/>
        <v>285.81200019202129</v>
      </c>
      <c r="G506" s="14">
        <f t="shared" si="72"/>
        <v>2795.2174111708814</v>
      </c>
      <c r="H506" s="24">
        <f t="shared" si="79"/>
        <v>667.82328580441242</v>
      </c>
      <c r="I506" s="12">
        <f t="shared" si="73"/>
        <v>0.36860323254139793</v>
      </c>
      <c r="J506" s="3">
        <f t="shared" si="74"/>
        <v>0.7</v>
      </c>
    </row>
    <row r="507" spans="2:10" x14ac:dyDescent="0.25">
      <c r="B507" s="3">
        <f t="shared" si="75"/>
        <v>2450</v>
      </c>
      <c r="C507" s="14">
        <f t="shared" si="76"/>
        <v>40.833333333333336</v>
      </c>
      <c r="D507" s="11">
        <f t="shared" si="77"/>
        <v>887.82413077380329</v>
      </c>
      <c r="E507" s="24">
        <f t="shared" si="78"/>
        <v>876.45509789265918</v>
      </c>
      <c r="F507" s="24">
        <f t="shared" si="71"/>
        <v>284.22582202860269</v>
      </c>
      <c r="G507" s="14">
        <f t="shared" si="72"/>
        <v>2782.1373283871603</v>
      </c>
      <c r="H507" s="24">
        <f t="shared" si="79"/>
        <v>667.51203469781819</v>
      </c>
      <c r="I507" s="12">
        <f t="shared" si="73"/>
        <v>0.3670196701920948</v>
      </c>
      <c r="J507" s="3">
        <f t="shared" si="74"/>
        <v>0.7</v>
      </c>
    </row>
    <row r="508" spans="2:10" x14ac:dyDescent="0.25">
      <c r="B508" s="3">
        <f t="shared" si="75"/>
        <v>2455</v>
      </c>
      <c r="C508" s="14">
        <f t="shared" si="76"/>
        <v>40.916666666666664</v>
      </c>
      <c r="D508" s="11">
        <f t="shared" si="77"/>
        <v>888.12866664339242</v>
      </c>
      <c r="E508" s="24">
        <f t="shared" si="78"/>
        <v>876.8221175628513</v>
      </c>
      <c r="F508" s="24">
        <f t="shared" si="71"/>
        <v>282.66372701352793</v>
      </c>
      <c r="G508" s="14">
        <f t="shared" si="72"/>
        <v>2769.259542223956</v>
      </c>
      <c r="H508" s="24">
        <f t="shared" si="79"/>
        <v>667.20368417239138</v>
      </c>
      <c r="I508" s="12">
        <f t="shared" si="73"/>
        <v>0.36546015009944777</v>
      </c>
      <c r="J508" s="3">
        <f t="shared" si="74"/>
        <v>0.7</v>
      </c>
    </row>
    <row r="509" spans="2:10" x14ac:dyDescent="0.25">
      <c r="B509" s="3">
        <f t="shared" si="75"/>
        <v>2460</v>
      </c>
      <c r="C509" s="14">
        <f t="shared" si="76"/>
        <v>41</v>
      </c>
      <c r="D509" s="11">
        <f t="shared" si="77"/>
        <v>888.43258479274107</v>
      </c>
      <c r="E509" s="24">
        <f t="shared" si="78"/>
        <v>877.18757771295077</v>
      </c>
      <c r="F509" s="24">
        <f t="shared" si="71"/>
        <v>281.12517699475745</v>
      </c>
      <c r="G509" s="14">
        <f t="shared" si="72"/>
        <v>2756.5795814692506</v>
      </c>
      <c r="H509" s="24">
        <f t="shared" si="79"/>
        <v>666.898182313348</v>
      </c>
      <c r="I509" s="12">
        <f t="shared" si="73"/>
        <v>0.36392415415732154</v>
      </c>
      <c r="J509" s="3">
        <f t="shared" si="74"/>
        <v>0.7</v>
      </c>
    </row>
    <row r="510" spans="2:10" x14ac:dyDescent="0.25">
      <c r="B510" s="3">
        <f t="shared" si="75"/>
        <v>2465</v>
      </c>
      <c r="C510" s="14">
        <f t="shared" si="76"/>
        <v>41.083333333333336</v>
      </c>
      <c r="D510" s="11">
        <f t="shared" si="77"/>
        <v>888.7358877227432</v>
      </c>
      <c r="E510" s="24">
        <f t="shared" si="78"/>
        <v>877.55150186710807</v>
      </c>
      <c r="F510" s="24">
        <f t="shared" si="71"/>
        <v>279.6096463908782</v>
      </c>
      <c r="G510" s="14">
        <f t="shared" si="72"/>
        <v>2744.0930733005889</v>
      </c>
      <c r="H510" s="24">
        <f t="shared" si="79"/>
        <v>666.59547853804361</v>
      </c>
      <c r="I510" s="12">
        <f t="shared" si="73"/>
        <v>0.36241117479501594</v>
      </c>
      <c r="J510" s="3">
        <f t="shared" si="74"/>
        <v>0.7</v>
      </c>
    </row>
    <row r="511" spans="2:10" x14ac:dyDescent="0.25">
      <c r="B511" s="3">
        <f t="shared" si="75"/>
        <v>2470</v>
      </c>
      <c r="C511" s="14">
        <f t="shared" si="76"/>
        <v>41.166666666666664</v>
      </c>
      <c r="D511" s="11">
        <f t="shared" si="77"/>
        <v>889.0385779191364</v>
      </c>
      <c r="E511" s="24">
        <f t="shared" si="78"/>
        <v>877.91391304190313</v>
      </c>
      <c r="F511" s="24">
        <f t="shared" si="71"/>
        <v>278.1166219308318</v>
      </c>
      <c r="G511" s="14">
        <f t="shared" si="72"/>
        <v>2731.7957415240376</v>
      </c>
      <c r="H511" s="24">
        <f t="shared" si="79"/>
        <v>666.29552355546707</v>
      </c>
      <c r="I511" s="12">
        <f t="shared" si="73"/>
        <v>0.36092071483552091</v>
      </c>
      <c r="J511" s="3">
        <f t="shared" si="74"/>
        <v>0.7</v>
      </c>
    </row>
    <row r="512" spans="2:10" x14ac:dyDescent="0.25">
      <c r="B512" s="3">
        <f t="shared" si="75"/>
        <v>2475</v>
      </c>
      <c r="C512" s="14">
        <f t="shared" si="76"/>
        <v>41.25</v>
      </c>
      <c r="D512" s="11">
        <f t="shared" si="77"/>
        <v>889.34065785262283</v>
      </c>
      <c r="E512" s="24">
        <f t="shared" si="78"/>
        <v>878.27483375673864</v>
      </c>
      <c r="F512" s="24">
        <f t="shared" si="71"/>
        <v>276.64560239710454</v>
      </c>
      <c r="G512" s="14">
        <f t="shared" si="72"/>
        <v>2719.683404822089</v>
      </c>
      <c r="H512" s="24">
        <f t="shared" si="79"/>
        <v>665.99826932708822</v>
      </c>
      <c r="I512" s="12">
        <f t="shared" si="73"/>
        <v>0.35945228735150586</v>
      </c>
      <c r="J512" s="3">
        <f t="shared" si="74"/>
        <v>0.7</v>
      </c>
    </row>
    <row r="513" spans="2:10" x14ac:dyDescent="0.25">
      <c r="B513" s="3">
        <f t="shared" si="75"/>
        <v>2480</v>
      </c>
      <c r="C513" s="14">
        <f t="shared" si="76"/>
        <v>41.333333333333336</v>
      </c>
      <c r="D513" s="11">
        <f t="shared" si="77"/>
        <v>889.64212997899153</v>
      </c>
      <c r="E513" s="24">
        <f t="shared" si="78"/>
        <v>878.63428604409012</v>
      </c>
      <c r="F513" s="24">
        <f t="shared" si="71"/>
        <v>275.1960983725354</v>
      </c>
      <c r="G513" s="14">
        <f t="shared" si="72"/>
        <v>2707.7519750157312</v>
      </c>
      <c r="H513" s="24">
        <f t="shared" si="79"/>
        <v>665.70366902900969</v>
      </c>
      <c r="I513" s="12">
        <f t="shared" si="73"/>
        <v>0.35800541551983089</v>
      </c>
      <c r="J513" s="3">
        <f t="shared" si="74"/>
        <v>0.7</v>
      </c>
    </row>
    <row r="514" spans="2:10" x14ac:dyDescent="0.25">
      <c r="B514" s="3">
        <f t="shared" si="75"/>
        <v>2485</v>
      </c>
      <c r="C514" s="14">
        <f t="shared" si="76"/>
        <v>41.416666666666664</v>
      </c>
      <c r="D514" s="11">
        <f t="shared" si="77"/>
        <v>889.94299673923751</v>
      </c>
      <c r="E514" s="24">
        <f t="shared" si="78"/>
        <v>878.99229145960999</v>
      </c>
      <c r="F514" s="24">
        <f t="shared" si="71"/>
        <v>273.76763199068819</v>
      </c>
      <c r="G514" s="14">
        <f t="shared" si="72"/>
        <v>2695.9974553375941</v>
      </c>
      <c r="H514" s="24">
        <f t="shared" si="79"/>
        <v>665.41167701537643</v>
      </c>
      <c r="I514" s="12">
        <f t="shared" si="73"/>
        <v>0.35657963247433933</v>
      </c>
      <c r="J514" s="3">
        <f t="shared" si="74"/>
        <v>0.7</v>
      </c>
    </row>
    <row r="515" spans="2:10" x14ac:dyDescent="0.25">
      <c r="B515" s="3">
        <f t="shared" si="75"/>
        <v>2490</v>
      </c>
      <c r="C515" s="14">
        <f t="shared" si="76"/>
        <v>41.5</v>
      </c>
      <c r="D515" s="11">
        <f t="shared" si="77"/>
        <v>890.24326055968027</v>
      </c>
      <c r="E515" s="24">
        <f t="shared" si="78"/>
        <v>879.34887109208432</v>
      </c>
      <c r="F515" s="24">
        <f t="shared" si="71"/>
        <v>272.35973668989857</v>
      </c>
      <c r="G515" s="14">
        <f t="shared" si="72"/>
        <v>2684.4159387206473</v>
      </c>
      <c r="H515" s="24">
        <f t="shared" si="79"/>
        <v>665.12224878299628</v>
      </c>
      <c r="I515" s="12">
        <f t="shared" si="73"/>
        <v>0.35517448115761341</v>
      </c>
      <c r="J515" s="3">
        <f t="shared" si="74"/>
        <v>0.7</v>
      </c>
    </row>
    <row r="516" spans="2:10" x14ac:dyDescent="0.25">
      <c r="B516" s="3">
        <f t="shared" si="75"/>
        <v>2495</v>
      </c>
      <c r="C516" s="14">
        <f t="shared" si="76"/>
        <v>41.583333333333336</v>
      </c>
      <c r="D516" s="11">
        <f t="shared" si="77"/>
        <v>890.54292385208134</v>
      </c>
      <c r="E516" s="24">
        <f t="shared" si="78"/>
        <v>879.70404557324196</v>
      </c>
      <c r="F516" s="24">
        <f t="shared" si="71"/>
        <v>270.97195697098471</v>
      </c>
      <c r="G516" s="14">
        <f t="shared" si="72"/>
        <v>2673.0036061006977</v>
      </c>
      <c r="H516" s="24">
        <f t="shared" si="79"/>
        <v>664.83534093713024</v>
      </c>
      <c r="I516" s="12">
        <f t="shared" si="73"/>
        <v>0.35378951417160787</v>
      </c>
      <c r="J516" s="3">
        <f t="shared" si="74"/>
        <v>0.7</v>
      </c>
    </row>
    <row r="517" spans="2:10" x14ac:dyDescent="0.25">
      <c r="B517" s="3">
        <f t="shared" si="75"/>
        <v>2500</v>
      </c>
      <c r="C517" s="14">
        <f t="shared" si="76"/>
        <v>41.666666666666664</v>
      </c>
      <c r="D517" s="11">
        <f t="shared" si="77"/>
        <v>890.84198901376055</v>
      </c>
      <c r="E517" s="24">
        <f t="shared" si="78"/>
        <v>880.05783508741354</v>
      </c>
      <c r="F517" s="24">
        <f t="shared" si="71"/>
        <v>269.60384815867542</v>
      </c>
      <c r="G517" s="14">
        <f t="shared" si="72"/>
        <v>2661.7567247356292</v>
      </c>
      <c r="H517" s="24">
        <f t="shared" si="79"/>
        <v>664.55091115840798</v>
      </c>
      <c r="I517" s="12">
        <f t="shared" si="73"/>
        <v>0.35242429362764299</v>
      </c>
      <c r="J517" s="3">
        <f t="shared" si="74"/>
        <v>0.7</v>
      </c>
    </row>
    <row r="518" spans="2:10" x14ac:dyDescent="0.25">
      <c r="B518" s="3">
        <f t="shared" si="75"/>
        <v>2505</v>
      </c>
      <c r="C518" s="14">
        <f t="shared" si="76"/>
        <v>41.75</v>
      </c>
      <c r="D518" s="11">
        <f t="shared" si="77"/>
        <v>891.14045842771145</v>
      </c>
      <c r="E518" s="24">
        <f t="shared" si="78"/>
        <v>880.41025938104121</v>
      </c>
      <c r="F518" s="24">
        <f t="shared" si="71"/>
        <v>268.25497616675591</v>
      </c>
      <c r="G518" s="14">
        <f t="shared" si="72"/>
        <v>2650.6716465401087</v>
      </c>
      <c r="H518" s="24">
        <f t="shared" si="79"/>
        <v>664.26891817083072</v>
      </c>
      <c r="I518" s="12">
        <f t="shared" si="73"/>
        <v>0.35107839099572058</v>
      </c>
      <c r="J518" s="3">
        <f t="shared" si="74"/>
        <v>0.7</v>
      </c>
    </row>
    <row r="519" spans="2:10" x14ac:dyDescent="0.25">
      <c r="B519" s="3">
        <f t="shared" si="75"/>
        <v>2510</v>
      </c>
      <c r="C519" s="14">
        <f t="shared" si="76"/>
        <v>41.833333333333336</v>
      </c>
      <c r="D519" s="11">
        <f t="shared" si="77"/>
        <v>891.43833446271458</v>
      </c>
      <c r="E519" s="24">
        <f t="shared" si="78"/>
        <v>880.76133777203688</v>
      </c>
      <c r="F519" s="24">
        <f t="shared" si="71"/>
        <v>266.92491726694243</v>
      </c>
      <c r="G519" s="14">
        <f t="shared" si="72"/>
        <v>2639.744806438162</v>
      </c>
      <c r="H519" s="24">
        <f t="shared" si="79"/>
        <v>663.9893217108222</v>
      </c>
      <c r="I519" s="12">
        <f t="shared" si="73"/>
        <v>0.34975138695356406</v>
      </c>
      <c r="J519" s="3">
        <f t="shared" si="74"/>
        <v>0.7</v>
      </c>
    </row>
    <row r="520" spans="2:10" x14ac:dyDescent="0.25">
      <c r="B520" s="3">
        <f t="shared" si="75"/>
        <v>2515</v>
      </c>
      <c r="C520" s="14">
        <f t="shared" si="76"/>
        <v>41.916666666666664</v>
      </c>
      <c r="D520" s="11">
        <f t="shared" si="77"/>
        <v>891.73561947345047</v>
      </c>
      <c r="E520" s="24">
        <f t="shared" si="78"/>
        <v>881.11108915899047</v>
      </c>
      <c r="F520" s="24">
        <f t="shared" si="71"/>
        <v>265.61325786150007</v>
      </c>
      <c r="G520" s="14">
        <f t="shared" si="72"/>
        <v>2628.9727207330816</v>
      </c>
      <c r="H520" s="24">
        <f t="shared" si="79"/>
        <v>663.71208249728909</v>
      </c>
      <c r="I520" s="12">
        <f t="shared" si="73"/>
        <v>0.34844287123543072</v>
      </c>
      <c r="J520" s="3">
        <f t="shared" si="74"/>
        <v>0.7</v>
      </c>
    </row>
    <row r="521" spans="2:10" x14ac:dyDescent="0.25">
      <c r="B521" s="3">
        <f t="shared" si="75"/>
        <v>2520</v>
      </c>
      <c r="C521" s="14">
        <f t="shared" si="76"/>
        <v>42</v>
      </c>
      <c r="D521" s="11">
        <f t="shared" si="77"/>
        <v>892.03231580061174</v>
      </c>
      <c r="E521" s="24">
        <f t="shared" si="78"/>
        <v>881.45953203022589</v>
      </c>
      <c r="F521" s="24">
        <f t="shared" si="71"/>
        <v>264.31959425964635</v>
      </c>
      <c r="G521" s="14">
        <f t="shared" si="72"/>
        <v>2618.3519854958745</v>
      </c>
      <c r="H521" s="24">
        <f t="shared" si="79"/>
        <v>663.43716220265878</v>
      </c>
      <c r="I521" s="12">
        <f t="shared" si="73"/>
        <v>0.34715244248094607</v>
      </c>
      <c r="J521" s="3">
        <f t="shared" si="74"/>
        <v>0.7</v>
      </c>
    </row>
    <row r="522" spans="2:10" x14ac:dyDescent="0.25">
      <c r="B522" s="3">
        <f t="shared" si="75"/>
        <v>2525</v>
      </c>
      <c r="C522" s="14">
        <f t="shared" si="76"/>
        <v>42.083333333333336</v>
      </c>
      <c r="D522" s="11">
        <f t="shared" si="77"/>
        <v>892.32842577101314</v>
      </c>
      <c r="E522" s="24">
        <f t="shared" si="78"/>
        <v>881.80668447270682</v>
      </c>
      <c r="F522" s="24">
        <f t="shared" si="71"/>
        <v>263.0435324576581</v>
      </c>
      <c r="G522" s="14">
        <f t="shared" si="72"/>
        <v>2607.8792749723416</v>
      </c>
      <c r="H522" s="24">
        <f t="shared" si="79"/>
        <v>663.16452342485582</v>
      </c>
      <c r="I522" s="12">
        <f t="shared" si="73"/>
        <v>0.34587970808406504</v>
      </c>
      <c r="J522" s="3">
        <f t="shared" si="74"/>
        <v>0.7</v>
      </c>
    </row>
    <row r="523" spans="2:10" x14ac:dyDescent="0.25">
      <c r="B523" s="3">
        <f t="shared" si="75"/>
        <v>2530</v>
      </c>
      <c r="C523" s="14">
        <f t="shared" si="76"/>
        <v>42.166666666666664</v>
      </c>
      <c r="D523" s="11">
        <f t="shared" si="77"/>
        <v>892.62395169770116</v>
      </c>
      <c r="E523" s="24">
        <f t="shared" si="78"/>
        <v>882.15256418079093</v>
      </c>
      <c r="F523" s="24">
        <f t="shared" si="71"/>
        <v>261.78468792275567</v>
      </c>
      <c r="G523" s="14">
        <f t="shared" si="72"/>
        <v>2597.5513400094992</v>
      </c>
      <c r="H523" s="24">
        <f t="shared" si="79"/>
        <v>662.89412966018767</v>
      </c>
      <c r="I523" s="12">
        <f t="shared" si="73"/>
        <v>0.34462428404234735</v>
      </c>
      <c r="J523" s="3">
        <f t="shared" si="74"/>
        <v>0.7</v>
      </c>
    </row>
    <row r="524" spans="2:10" x14ac:dyDescent="0.25">
      <c r="B524" s="3">
        <f t="shared" si="75"/>
        <v>2535</v>
      </c>
      <c r="C524" s="14">
        <f t="shared" si="76"/>
        <v>42.25</v>
      </c>
      <c r="D524" s="11">
        <f t="shared" si="77"/>
        <v>892.91889588006313</v>
      </c>
      <c r="E524" s="24">
        <f t="shared" si="78"/>
        <v>882.49718846483324</v>
      </c>
      <c r="F524" s="24">
        <f t="shared" si="71"/>
        <v>260.54268538074723</v>
      </c>
      <c r="G524" s="14">
        <f t="shared" si="72"/>
        <v>2587.3650065021948</v>
      </c>
      <c r="H524" s="24">
        <f t="shared" si="79"/>
        <v>662.62594527710667</v>
      </c>
      <c r="I524" s="12">
        <f t="shared" si="73"/>
        <v>0.34338579480674197</v>
      </c>
      <c r="J524" s="3">
        <f t="shared" si="74"/>
        <v>0.7</v>
      </c>
    </row>
    <row r="525" spans="2:10" x14ac:dyDescent="0.25">
      <c r="B525" s="3">
        <f t="shared" si="75"/>
        <v>2540</v>
      </c>
      <c r="C525" s="14">
        <f t="shared" si="76"/>
        <v>42.333333333333336</v>
      </c>
      <c r="D525" s="11">
        <f t="shared" si="77"/>
        <v>893.21326060393358</v>
      </c>
      <c r="E525" s="24">
        <f t="shared" si="78"/>
        <v>882.84057425963999</v>
      </c>
      <c r="F525" s="24">
        <f t="shared" si="71"/>
        <v>259.31715860733959</v>
      </c>
      <c r="G525" s="14">
        <f t="shared" si="72"/>
        <v>2577.317173858868</v>
      </c>
      <c r="H525" s="24">
        <f t="shared" si="79"/>
        <v>662.35993549081729</v>
      </c>
      <c r="I525" s="12">
        <f t="shared" si="73"/>
        <v>0.34216387313183028</v>
      </c>
      <c r="J525" s="3">
        <f t="shared" si="74"/>
        <v>0.7</v>
      </c>
    </row>
    <row r="526" spans="2:10" x14ac:dyDescent="0.25">
      <c r="B526" s="3">
        <f t="shared" si="75"/>
        <v>2545</v>
      </c>
      <c r="C526" s="14">
        <f t="shared" si="76"/>
        <v>42.416666666666664</v>
      </c>
      <c r="D526" s="11">
        <f t="shared" si="77"/>
        <v>893.50704814170047</v>
      </c>
      <c r="E526" s="24">
        <f t="shared" si="78"/>
        <v>883.18273813277187</v>
      </c>
      <c r="F526" s="24">
        <f t="shared" si="71"/>
        <v>258.10775022321479</v>
      </c>
      <c r="G526" s="14">
        <f t="shared" si="72"/>
        <v>2567.4048134884392</v>
      </c>
      <c r="H526" s="24">
        <f t="shared" si="79"/>
        <v>662.09606633869953</v>
      </c>
      <c r="I526" s="12">
        <f t="shared" si="73"/>
        <v>0.34095815992686479</v>
      </c>
      <c r="J526" s="3">
        <f t="shared" si="74"/>
        <v>0.7</v>
      </c>
    </row>
    <row r="527" spans="2:10" x14ac:dyDescent="0.25">
      <c r="B527" s="3">
        <f t="shared" si="75"/>
        <v>2550</v>
      </c>
      <c r="C527" s="14">
        <f t="shared" si="76"/>
        <v>42.5</v>
      </c>
      <c r="D527" s="11">
        <f t="shared" si="77"/>
        <v>893.80026075241165</v>
      </c>
      <c r="E527" s="24">
        <f t="shared" si="78"/>
        <v>883.52369629269879</v>
      </c>
      <c r="F527" s="24">
        <f t="shared" si="71"/>
        <v>256.91411149282146</v>
      </c>
      <c r="G527" s="14">
        <f t="shared" si="72"/>
        <v>2557.6249673077186</v>
      </c>
      <c r="H527" s="24">
        <f t="shared" si="79"/>
        <v>661.83430465652191</v>
      </c>
      <c r="I527" s="12">
        <f t="shared" si="73"/>
        <v>0.33976830410760545</v>
      </c>
      <c r="J527" s="3">
        <f t="shared" si="74"/>
        <v>0.7</v>
      </c>
    </row>
    <row r="528" spans="2:10" x14ac:dyDescent="0.25">
      <c r="B528" s="3">
        <f t="shared" si="75"/>
        <v>2555</v>
      </c>
      <c r="C528" s="14">
        <f t="shared" si="76"/>
        <v>42.583333333333336</v>
      </c>
      <c r="D528" s="11">
        <f t="shared" si="77"/>
        <v>894.09290068187806</v>
      </c>
      <c r="E528" s="24">
        <f t="shared" si="78"/>
        <v>883.86346459680635</v>
      </c>
      <c r="F528" s="24">
        <f t="shared" si="71"/>
        <v>255.73590212679278</v>
      </c>
      <c r="G528" s="14">
        <f t="shared" si="72"/>
        <v>2547.9747462696382</v>
      </c>
      <c r="H528" s="24">
        <f t="shared" si="79"/>
        <v>661.57461805541402</v>
      </c>
      <c r="I528" s="12">
        <f t="shared" si="73"/>
        <v>0.33859396244905893</v>
      </c>
      <c r="J528" s="3">
        <f t="shared" si="74"/>
        <v>0.7</v>
      </c>
    </row>
    <row r="529" spans="2:10" x14ac:dyDescent="0.25">
      <c r="B529" s="3">
        <f t="shared" si="75"/>
        <v>2560</v>
      </c>
      <c r="C529" s="14">
        <f t="shared" si="76"/>
        <v>42.666666666666664</v>
      </c>
      <c r="D529" s="11">
        <f t="shared" si="77"/>
        <v>894.38497016277745</v>
      </c>
      <c r="E529" s="24">
        <f t="shared" si="78"/>
        <v>884.20205855925542</v>
      </c>
      <c r="F529" s="24">
        <f t="shared" ref="F529:F592" si="80">AlphaC*(D529-E529)</f>
        <v>254.57279008805074</v>
      </c>
      <c r="G529" s="14">
        <f t="shared" ref="G529:G592" si="81">Phi*EpsilonF*Botzman/10^8*J529*((D529+273)^4-(E529+273)^4)</f>
        <v>2538.4513289128258</v>
      </c>
      <c r="H529" s="24">
        <f t="shared" si="79"/>
        <v>661.31697489957412</v>
      </c>
      <c r="I529" s="12">
        <f t="shared" ref="I529:I592" si="82">ksh*Massivete/(H529*RhoA)*DeltaT*(F529+G529)</f>
        <v>0.33743479943926707</v>
      </c>
      <c r="J529" s="3">
        <f t="shared" ref="J529:J592" si="83">IF(E529&lt;=500,IF(Galva=Oui,0.35,0.7),0.7)</f>
        <v>0.7</v>
      </c>
    </row>
    <row r="530" spans="2:10" x14ac:dyDescent="0.25">
      <c r="B530" s="3">
        <f t="shared" ref="B530:B593" si="84">B529+DeltaT</f>
        <v>2565</v>
      </c>
      <c r="C530" s="14">
        <f t="shared" ref="C530:C593" si="85">B530/60</f>
        <v>42.75</v>
      </c>
      <c r="D530" s="11">
        <f t="shared" ref="D530:D593" si="86">20+345*LOG(8*C530+1,10)</f>
        <v>894.67647141475561</v>
      </c>
      <c r="E530" s="24">
        <f t="shared" si="78"/>
        <v>884.5394933586947</v>
      </c>
      <c r="F530" s="24">
        <f t="shared" si="80"/>
        <v>253.42445140152279</v>
      </c>
      <c r="G530" s="14">
        <f t="shared" si="81"/>
        <v>2529.0519599321028</v>
      </c>
      <c r="H530" s="24">
        <f t="shared" si="79"/>
        <v>661.06134428468783</v>
      </c>
      <c r="I530" s="12">
        <f t="shared" si="82"/>
        <v>0.33629048713415538</v>
      </c>
      <c r="J530" s="3">
        <f t="shared" si="83"/>
        <v>0.7</v>
      </c>
    </row>
    <row r="531" spans="2:10" x14ac:dyDescent="0.25">
      <c r="B531" s="3">
        <f t="shared" si="84"/>
        <v>2570</v>
      </c>
      <c r="C531" s="14">
        <f t="shared" si="85"/>
        <v>42.833333333333336</v>
      </c>
      <c r="D531" s="11">
        <f t="shared" si="86"/>
        <v>894.96740664452955</v>
      </c>
      <c r="E531" s="24">
        <f t="shared" si="78"/>
        <v>884.87578384582889</v>
      </c>
      <c r="F531" s="24">
        <f t="shared" si="80"/>
        <v>252.29056996751638</v>
      </c>
      <c r="G531" s="14">
        <f t="shared" si="81"/>
        <v>2519.773948770945</v>
      </c>
      <c r="H531" s="24">
        <f t="shared" si="79"/>
        <v>660.80769601703025</v>
      </c>
      <c r="I531" s="12">
        <f t="shared" si="82"/>
        <v>0.33516070501364742</v>
      </c>
      <c r="J531" s="3">
        <f t="shared" si="83"/>
        <v>0.7</v>
      </c>
    </row>
    <row r="532" spans="2:10" x14ac:dyDescent="0.25">
      <c r="B532" s="3">
        <f t="shared" si="84"/>
        <v>2575</v>
      </c>
      <c r="C532" s="14">
        <f t="shared" si="85"/>
        <v>42.916666666666664</v>
      </c>
      <c r="D532" s="11">
        <f t="shared" si="86"/>
        <v>895.25777804598545</v>
      </c>
      <c r="E532" s="24">
        <f t="shared" si="78"/>
        <v>885.21094455084256</v>
      </c>
      <c r="F532" s="24">
        <f t="shared" si="80"/>
        <v>251.17083737857229</v>
      </c>
      <c r="G532" s="14">
        <f t="shared" si="81"/>
        <v>2510.6146682351709</v>
      </c>
      <c r="H532" s="24">
        <f t="shared" si="79"/>
        <v>660.55600059323183</v>
      </c>
      <c r="I532" s="12">
        <f t="shared" si="82"/>
        <v>0.3340451398389967</v>
      </c>
      <c r="J532" s="3">
        <f t="shared" si="83"/>
        <v>0.7</v>
      </c>
    </row>
    <row r="533" spans="2:10" x14ac:dyDescent="0.25">
      <c r="B533" s="3">
        <f t="shared" si="84"/>
        <v>2580</v>
      </c>
      <c r="C533" s="14">
        <f t="shared" si="85"/>
        <v>43</v>
      </c>
      <c r="D533" s="11">
        <f t="shared" si="86"/>
        <v>895.54758780027953</v>
      </c>
      <c r="E533" s="24">
        <f t="shared" si="78"/>
        <v>885.54498969068152</v>
      </c>
      <c r="F533" s="24">
        <f t="shared" si="80"/>
        <v>250.06495273995029</v>
      </c>
      <c r="G533" s="14">
        <f t="shared" si="81"/>
        <v>2501.5715531285205</v>
      </c>
      <c r="H533" s="24">
        <f t="shared" si="79"/>
        <v>660.30622918068286</v>
      </c>
      <c r="I533" s="12">
        <f t="shared" si="82"/>
        <v>0.33294348551150543</v>
      </c>
      <c r="J533" s="3">
        <f t="shared" si="83"/>
        <v>0.7</v>
      </c>
    </row>
    <row r="534" spans="2:10" x14ac:dyDescent="0.25">
      <c r="B534" s="3">
        <f t="shared" si="84"/>
        <v>2585</v>
      </c>
      <c r="C534" s="14">
        <f t="shared" si="85"/>
        <v>43.083333333333336</v>
      </c>
      <c r="D534" s="11">
        <f t="shared" si="86"/>
        <v>895.83683807593547</v>
      </c>
      <c r="E534" s="24">
        <f t="shared" si="78"/>
        <v>885.87793317619298</v>
      </c>
      <c r="F534" s="24">
        <f t="shared" si="80"/>
        <v>248.97262249356231</v>
      </c>
      <c r="G534" s="14">
        <f t="shared" si="81"/>
        <v>2492.6420989098328</v>
      </c>
      <c r="H534" s="24">
        <f t="shared" si="79"/>
        <v>660.05835359855644</v>
      </c>
      <c r="I534" s="12">
        <f t="shared" si="82"/>
        <v>0.33185544293263014</v>
      </c>
      <c r="J534" s="3">
        <f t="shared" si="83"/>
        <v>0.7</v>
      </c>
    </row>
    <row r="535" spans="2:10" x14ac:dyDescent="0.25">
      <c r="B535" s="3">
        <f t="shared" si="84"/>
        <v>2590</v>
      </c>
      <c r="C535" s="14">
        <f t="shared" si="85"/>
        <v>43.166666666666664</v>
      </c>
      <c r="D535" s="11">
        <f t="shared" si="86"/>
        <v>896.12553102894253</v>
      </c>
      <c r="E535" s="24">
        <f t="shared" si="78"/>
        <v>886.20978861912556</v>
      </c>
      <c r="F535" s="24">
        <f t="shared" si="80"/>
        <v>247.89356024542428</v>
      </c>
      <c r="G535" s="14">
        <f t="shared" si="81"/>
        <v>2483.8238603718119</v>
      </c>
      <c r="H535" s="24">
        <f t="shared" si="79"/>
        <v>659.81234629942765</v>
      </c>
      <c r="I535" s="12">
        <f t="shared" si="82"/>
        <v>0.33078071986554503</v>
      </c>
      <c r="J535" s="3">
        <f t="shared" si="83"/>
        <v>0.7</v>
      </c>
    </row>
    <row r="536" spans="2:10" x14ac:dyDescent="0.25">
      <c r="B536" s="3">
        <f t="shared" si="84"/>
        <v>2595</v>
      </c>
      <c r="C536" s="14">
        <f t="shared" si="85"/>
        <v>43.25</v>
      </c>
      <c r="D536" s="11">
        <f t="shared" si="86"/>
        <v>896.41366880285136</v>
      </c>
      <c r="E536" s="24">
        <f t="shared" si="78"/>
        <v>886.54056933899108</v>
      </c>
      <c r="F536" s="24">
        <f t="shared" si="80"/>
        <v>246.82748659650713</v>
      </c>
      <c r="G536" s="14">
        <f t="shared" si="81"/>
        <v>2475.1144503418309</v>
      </c>
      <c r="H536" s="24">
        <f t="shared" si="79"/>
        <v>659.56818035147091</v>
      </c>
      <c r="I536" s="12">
        <f t="shared" si="82"/>
        <v>0.32971903079825954</v>
      </c>
      <c r="J536" s="3">
        <f t="shared" si="83"/>
        <v>0.7</v>
      </c>
    </row>
    <row r="537" spans="2:10" x14ac:dyDescent="0.25">
      <c r="B537" s="3">
        <f t="shared" si="84"/>
        <v>2600</v>
      </c>
      <c r="C537" s="14">
        <f t="shared" si="85"/>
        <v>43.333333333333336</v>
      </c>
      <c r="D537" s="11">
        <f t="shared" si="86"/>
        <v>896.70125352886953</v>
      </c>
      <c r="E537" s="24">
        <f t="shared" si="78"/>
        <v>886.87028836978936</v>
      </c>
      <c r="F537" s="24">
        <f t="shared" si="80"/>
        <v>245.77412897700412</v>
      </c>
      <c r="G537" s="14">
        <f t="shared" si="81"/>
        <v>2466.5115384046117</v>
      </c>
      <c r="H537" s="24">
        <f t="shared" si="79"/>
        <v>659.32582942121417</v>
      </c>
      <c r="I537" s="12">
        <f t="shared" si="82"/>
        <v>0.32867009680832882</v>
      </c>
      <c r="J537" s="3">
        <f t="shared" si="83"/>
        <v>0.7</v>
      </c>
    </row>
    <row r="538" spans="2:10" x14ac:dyDescent="0.25">
      <c r="B538" s="3">
        <f t="shared" si="84"/>
        <v>2605</v>
      </c>
      <c r="C538" s="14">
        <f t="shared" si="85"/>
        <v>43.416666666666664</v>
      </c>
      <c r="D538" s="11">
        <f t="shared" si="86"/>
        <v>896.98828732595643</v>
      </c>
      <c r="E538" s="24">
        <f t="shared" si="78"/>
        <v>887.19895846659767</v>
      </c>
      <c r="F538" s="24">
        <f t="shared" si="80"/>
        <v>244.73322148396903</v>
      </c>
      <c r="G538" s="14">
        <f t="shared" si="81"/>
        <v>2458.0128496458942</v>
      </c>
      <c r="H538" s="24">
        <f t="shared" si="79"/>
        <v>659.08526775683151</v>
      </c>
      <c r="I538" s="12">
        <f t="shared" si="82"/>
        <v>0.32763364542909756</v>
      </c>
      <c r="J538" s="3">
        <f t="shared" si="83"/>
        <v>0.7</v>
      </c>
    </row>
    <row r="539" spans="2:10" x14ac:dyDescent="0.25">
      <c r="B539" s="3">
        <f t="shared" si="84"/>
        <v>2610</v>
      </c>
      <c r="C539" s="14">
        <f t="shared" si="85"/>
        <v>43.5</v>
      </c>
      <c r="D539" s="11">
        <f t="shared" si="86"/>
        <v>897.27477230091699</v>
      </c>
      <c r="E539" s="24">
        <f t="shared" si="78"/>
        <v>887.52659211202672</v>
      </c>
      <c r="F539" s="24">
        <f t="shared" si="80"/>
        <v>243.70450472225684</v>
      </c>
      <c r="G539" s="14">
        <f t="shared" si="81"/>
        <v>2449.6161634186392</v>
      </c>
      <c r="H539" s="24">
        <f t="shared" si="79"/>
        <v>658.84647017195744</v>
      </c>
      <c r="I539" s="12">
        <f t="shared" si="82"/>
        <v>0.32660941051770892</v>
      </c>
      <c r="J539" s="3">
        <f t="shared" si="83"/>
        <v>0.7</v>
      </c>
    </row>
    <row r="540" spans="2:10" x14ac:dyDescent="0.25">
      <c r="B540" s="3">
        <f t="shared" si="84"/>
        <v>2615</v>
      </c>
      <c r="C540" s="14">
        <f t="shared" si="85"/>
        <v>43.583333333333336</v>
      </c>
      <c r="D540" s="11">
        <f t="shared" si="86"/>
        <v>897.56071054849372</v>
      </c>
      <c r="E540" s="24">
        <f t="shared" si="78"/>
        <v>887.8532015225444</v>
      </c>
      <c r="F540" s="24">
        <f t="shared" si="80"/>
        <v>242.68772564873302</v>
      </c>
      <c r="G540" s="14">
        <f t="shared" si="81"/>
        <v>2441.3193121301038</v>
      </c>
      <c r="H540" s="24">
        <f t="shared" si="79"/>
        <v>658.60941203000402</v>
      </c>
      <c r="I540" s="12">
        <f t="shared" si="82"/>
        <v>0.3255971321247208</v>
      </c>
      <c r="J540" s="3">
        <f t="shared" si="83"/>
        <v>0.7</v>
      </c>
    </row>
    <row r="541" spans="2:10" x14ac:dyDescent="0.25">
      <c r="B541" s="3">
        <f t="shared" si="84"/>
        <v>2620</v>
      </c>
      <c r="C541" s="14">
        <f t="shared" si="85"/>
        <v>43.666666666666664</v>
      </c>
      <c r="D541" s="11">
        <f t="shared" si="86"/>
        <v>897.84610415145994</v>
      </c>
      <c r="E541" s="24">
        <f t="shared" si="78"/>
        <v>888.17879865466909</v>
      </c>
      <c r="F541" s="24">
        <f t="shared" si="80"/>
        <v>241.68263741977114</v>
      </c>
      <c r="G541" s="14">
        <f t="shared" si="81"/>
        <v>2433.120180050963</v>
      </c>
      <c r="H541" s="24">
        <f t="shared" si="79"/>
        <v>658.37406922896503</v>
      </c>
      <c r="I541" s="12">
        <f t="shared" si="82"/>
        <v>0.32459655636552454</v>
      </c>
      <c r="J541" s="3">
        <f t="shared" si="83"/>
        <v>0.7</v>
      </c>
    </row>
    <row r="542" spans="2:10" x14ac:dyDescent="0.25">
      <c r="B542" s="3">
        <f t="shared" si="84"/>
        <v>2625</v>
      </c>
      <c r="C542" s="14">
        <f t="shared" si="85"/>
        <v>43.75</v>
      </c>
      <c r="D542" s="11">
        <f t="shared" si="86"/>
        <v>898.13095518070918</v>
      </c>
      <c r="E542" s="24">
        <f t="shared" si="78"/>
        <v>888.50339521103467</v>
      </c>
      <c r="F542" s="24">
        <f t="shared" si="80"/>
        <v>240.68899924186269</v>
      </c>
      <c r="G542" s="14">
        <f t="shared" si="81"/>
        <v>2425.0167021451484</v>
      </c>
      <c r="H542" s="24">
        <f t="shared" si="79"/>
        <v>658.14041818669023</v>
      </c>
      <c r="I542" s="12">
        <f t="shared" si="82"/>
        <v>0.32360743529342817</v>
      </c>
      <c r="J542" s="3">
        <f t="shared" si="83"/>
        <v>0.7</v>
      </c>
    </row>
    <row r="543" spans="2:10" x14ac:dyDescent="0.25">
      <c r="B543" s="3">
        <f t="shared" si="84"/>
        <v>2630</v>
      </c>
      <c r="C543" s="14">
        <f t="shared" si="85"/>
        <v>43.833333333333336</v>
      </c>
      <c r="D543" s="11">
        <f t="shared" si="86"/>
        <v>898.41526569534687</v>
      </c>
      <c r="E543" s="24">
        <f t="shared" si="78"/>
        <v>888.82700264632808</v>
      </c>
      <c r="F543" s="24">
        <f t="shared" si="80"/>
        <v>239.7065762254698</v>
      </c>
      <c r="G543" s="14">
        <f t="shared" si="81"/>
        <v>2417.006862921708</v>
      </c>
      <c r="H543" s="24">
        <f t="shared" si="79"/>
        <v>657.90843582661546</v>
      </c>
      <c r="I543" s="12">
        <f t="shared" si="82"/>
        <v>0.32262952677462226</v>
      </c>
      <c r="J543" s="3">
        <f t="shared" si="83"/>
        <v>0.7</v>
      </c>
    </row>
    <row r="544" spans="2:10" x14ac:dyDescent="0.25">
      <c r="B544" s="3">
        <f t="shared" si="84"/>
        <v>2635</v>
      </c>
      <c r="C544" s="14">
        <f t="shared" si="85"/>
        <v>43.916666666666664</v>
      </c>
      <c r="D544" s="11">
        <f t="shared" si="86"/>
        <v>898.69903774277839</v>
      </c>
      <c r="E544" s="24">
        <f t="shared" si="78"/>
        <v>889.14963217310276</v>
      </c>
      <c r="F544" s="24">
        <f t="shared" si="80"/>
        <v>238.73513924189069</v>
      </c>
      <c r="G544" s="14">
        <f t="shared" si="81"/>
        <v>2409.0886953068093</v>
      </c>
      <c r="H544" s="24">
        <f t="shared" si="79"/>
        <v>657.67809956393137</v>
      </c>
      <c r="I544" s="12">
        <f t="shared" si="82"/>
        <v>0.32166259436481814</v>
      </c>
      <c r="J544" s="3">
        <f t="shared" si="83"/>
        <v>0.7</v>
      </c>
    </row>
    <row r="545" spans="2:10" x14ac:dyDescent="0.25">
      <c r="B545" s="3">
        <f t="shared" si="84"/>
        <v>2640</v>
      </c>
      <c r="C545" s="14">
        <f t="shared" si="85"/>
        <v>44</v>
      </c>
      <c r="D545" s="11">
        <f t="shared" si="86"/>
        <v>898.98227335879869</v>
      </c>
      <c r="E545" s="24">
        <f t="shared" si="78"/>
        <v>889.47129476746761</v>
      </c>
      <c r="F545" s="24">
        <f t="shared" si="80"/>
        <v>237.77446478327704</v>
      </c>
      <c r="G545" s="14">
        <f t="shared" si="81"/>
        <v>2401.2602795381563</v>
      </c>
      <c r="H545" s="24">
        <f t="shared" si="79"/>
        <v>657.44938729217881</v>
      </c>
      <c r="I545" s="12">
        <f t="shared" si="82"/>
        <v>0.32070640718788856</v>
      </c>
      <c r="J545" s="3">
        <f t="shared" si="83"/>
        <v>0.7</v>
      </c>
    </row>
    <row r="546" spans="2:10" x14ac:dyDescent="0.25">
      <c r="B546" s="3">
        <f t="shared" si="84"/>
        <v>2645</v>
      </c>
      <c r="C546" s="14">
        <f t="shared" si="85"/>
        <v>44.083333333333336</v>
      </c>
      <c r="D546" s="11">
        <f t="shared" si="86"/>
        <v>899.26497456767902</v>
      </c>
      <c r="E546" s="24">
        <f t="shared" si="78"/>
        <v>889.79200117465552</v>
      </c>
      <c r="F546" s="24">
        <f t="shared" si="80"/>
        <v>236.82433482558736</v>
      </c>
      <c r="G546" s="14">
        <f t="shared" si="81"/>
        <v>2393.5197420780787</v>
      </c>
      <c r="H546" s="24">
        <f t="shared" si="79"/>
        <v>657.22227737025469</v>
      </c>
      <c r="I546" s="12">
        <f t="shared" si="82"/>
        <v>0.31976073981607284</v>
      </c>
      <c r="J546" s="3">
        <f t="shared" si="83"/>
        <v>0.7</v>
      </c>
    </row>
    <row r="547" spans="2:10" x14ac:dyDescent="0.25">
      <c r="B547" s="3">
        <f t="shared" si="84"/>
        <v>2650</v>
      </c>
      <c r="C547" s="14">
        <f t="shared" si="85"/>
        <v>44.166666666666664</v>
      </c>
      <c r="D547" s="11">
        <f t="shared" si="86"/>
        <v>899.54714338225358</v>
      </c>
      <c r="E547" s="24">
        <f t="shared" si="78"/>
        <v>890.11176191447157</v>
      </c>
      <c r="F547" s="24">
        <f t="shared" si="80"/>
        <v>235.88453669455021</v>
      </c>
      <c r="G547" s="14">
        <f t="shared" si="81"/>
        <v>2385.8652545494388</v>
      </c>
      <c r="H547" s="24">
        <f t="shared" si="79"/>
        <v>656.99674860981622</v>
      </c>
      <c r="I547" s="12">
        <f t="shared" si="82"/>
        <v>0.31882537215229645</v>
      </c>
      <c r="J547" s="3">
        <f t="shared" si="83"/>
        <v>0.7</v>
      </c>
    </row>
    <row r="548" spans="2:10" x14ac:dyDescent="0.25">
      <c r="B548" s="3">
        <f t="shared" si="84"/>
        <v>2655</v>
      </c>
      <c r="C548" s="14">
        <f t="shared" si="85"/>
        <v>44.25</v>
      </c>
      <c r="D548" s="11">
        <f t="shared" si="86"/>
        <v>899.82878180400735</v>
      </c>
      <c r="E548" s="24">
        <f t="shared" si="78"/>
        <v>890.4305872866239</v>
      </c>
      <c r="F548" s="24">
        <f t="shared" si="80"/>
        <v>234.95486293458612</v>
      </c>
      <c r="G548" s="14">
        <f t="shared" si="81"/>
        <v>2378.2950326907676</v>
      </c>
      <c r="H548" s="24">
        <f t="shared" si="79"/>
        <v>656.77278026306988</v>
      </c>
      <c r="I548" s="12">
        <f t="shared" si="82"/>
        <v>0.31790008931419922</v>
      </c>
      <c r="J548" s="3">
        <f t="shared" si="83"/>
        <v>0.7</v>
      </c>
    </row>
    <row r="549" spans="2:10" x14ac:dyDescent="0.25">
      <c r="B549" s="3">
        <f t="shared" si="84"/>
        <v>2660</v>
      </c>
      <c r="C549" s="14">
        <f t="shared" si="85"/>
        <v>44.333333333333336</v>
      </c>
      <c r="D549" s="11">
        <f t="shared" si="86"/>
        <v>900.10989182315848</v>
      </c>
      <c r="E549" s="24">
        <f t="shared" si="78"/>
        <v>890.74848737593811</v>
      </c>
      <c r="F549" s="24">
        <f t="shared" si="80"/>
        <v>234.03511118050915</v>
      </c>
      <c r="G549" s="14">
        <f t="shared" si="81"/>
        <v>2370.807335331358</v>
      </c>
      <c r="H549" s="24">
        <f t="shared" si="79"/>
        <v>656.55035201093312</v>
      </c>
      <c r="I549" s="12">
        <f t="shared" si="82"/>
        <v>0.31698468151997478</v>
      </c>
      <c r="J549" s="3">
        <f t="shared" si="83"/>
        <v>0.7</v>
      </c>
    </row>
    <row r="550" spans="2:10" x14ac:dyDescent="0.25">
      <c r="B550" s="3">
        <f t="shared" si="84"/>
        <v>2665</v>
      </c>
      <c r="C550" s="14">
        <f t="shared" si="85"/>
        <v>44.416666666666664</v>
      </c>
      <c r="D550" s="11">
        <f t="shared" si="86"/>
        <v>900.39047541874481</v>
      </c>
      <c r="E550" s="24">
        <f t="shared" si="78"/>
        <v>891.06547205745812</v>
      </c>
      <c r="F550" s="24">
        <f t="shared" si="80"/>
        <v>233.12508403216725</v>
      </c>
      <c r="G550" s="14">
        <f t="shared" si="81"/>
        <v>2363.4004633873978</v>
      </c>
      <c r="H550" s="24">
        <f t="shared" si="79"/>
        <v>656.32944395155516</v>
      </c>
      <c r="I550" s="12">
        <f t="shared" si="82"/>
        <v>0.31607894397620756</v>
      </c>
      <c r="J550" s="3">
        <f t="shared" si="83"/>
        <v>0.7</v>
      </c>
    </row>
    <row r="551" spans="2:10" x14ac:dyDescent="0.25">
      <c r="B551" s="3">
        <f t="shared" si="84"/>
        <v>2670</v>
      </c>
      <c r="C551" s="14">
        <f t="shared" si="85"/>
        <v>44.5</v>
      </c>
      <c r="D551" s="11">
        <f t="shared" si="86"/>
        <v>900.67053455870655</v>
      </c>
      <c r="E551" s="24">
        <f t="shared" si="78"/>
        <v>891.38155100143433</v>
      </c>
      <c r="F551" s="24">
        <f t="shared" si="80"/>
        <v>232.22458893180544</v>
      </c>
      <c r="G551" s="14">
        <f t="shared" si="81"/>
        <v>2356.0727588772761</v>
      </c>
      <c r="H551" s="24">
        <f t="shared" si="79"/>
        <v>656.11003658918742</v>
      </c>
      <c r="I551" s="12">
        <f t="shared" si="82"/>
        <v>0.31518267676748452</v>
      </c>
      <c r="J551" s="3">
        <f t="shared" si="83"/>
        <v>0.7</v>
      </c>
    </row>
    <row r="552" spans="2:10" x14ac:dyDescent="0.25">
      <c r="B552" s="3">
        <f t="shared" si="84"/>
        <v>2675</v>
      </c>
      <c r="C552" s="14">
        <f t="shared" si="85"/>
        <v>44.583333333333336</v>
      </c>
      <c r="D552" s="11">
        <f t="shared" si="86"/>
        <v>900.95007119996956</v>
      </c>
      <c r="E552" s="24">
        <f t="shared" si="78"/>
        <v>891.69673367820178</v>
      </c>
      <c r="F552" s="24">
        <f t="shared" si="80"/>
        <v>231.33343804419439</v>
      </c>
      <c r="G552" s="14">
        <f t="shared" si="81"/>
        <v>2348.8226039563119</v>
      </c>
      <c r="H552" s="24">
        <f t="shared" si="79"/>
        <v>655.89211082339034</v>
      </c>
      <c r="I552" s="12">
        <f t="shared" si="82"/>
        <v>0.31429568474785208</v>
      </c>
      <c r="J552" s="3">
        <f t="shared" si="83"/>
        <v>0.7</v>
      </c>
    </row>
    <row r="553" spans="2:10" x14ac:dyDescent="0.25">
      <c r="B553" s="3">
        <f t="shared" si="84"/>
        <v>2680</v>
      </c>
      <c r="C553" s="14">
        <f t="shared" si="85"/>
        <v>44.666666666666664</v>
      </c>
      <c r="D553" s="11">
        <f t="shared" si="86"/>
        <v>901.22908728852678</v>
      </c>
      <c r="E553" s="24">
        <f t="shared" si="78"/>
        <v>892.01102936294967</v>
      </c>
      <c r="F553" s="24">
        <f t="shared" si="80"/>
        <v>230.45144813942784</v>
      </c>
      <c r="G553" s="14">
        <f t="shared" si="81"/>
        <v>2341.6484199718097</v>
      </c>
      <c r="H553" s="24">
        <f t="shared" si="79"/>
        <v>655.67564793856639</v>
      </c>
      <c r="I553" s="12">
        <f t="shared" si="82"/>
        <v>0.31341777743424476</v>
      </c>
      <c r="J553" s="3">
        <f t="shared" si="83"/>
        <v>0.7</v>
      </c>
    </row>
    <row r="554" spans="2:10" x14ac:dyDescent="0.25">
      <c r="B554" s="3">
        <f t="shared" si="84"/>
        <v>2685</v>
      </c>
      <c r="C554" s="14">
        <f t="shared" si="85"/>
        <v>44.75</v>
      </c>
      <c r="D554" s="11">
        <f t="shared" si="86"/>
        <v>901.50758475952</v>
      </c>
      <c r="E554" s="24">
        <f t="shared" si="78"/>
        <v>892.32444714038388</v>
      </c>
      <c r="F554" s="24">
        <f t="shared" si="80"/>
        <v>229.57844047840297</v>
      </c>
      <c r="G554" s="14">
        <f t="shared" si="81"/>
        <v>2334.5486665356348</v>
      </c>
      <c r="H554" s="24">
        <f t="shared" si="79"/>
        <v>655.46062959380924</v>
      </c>
      <c r="I554" s="12">
        <f t="shared" si="82"/>
        <v>0.31254876890157651</v>
      </c>
      <c r="J554" s="3">
        <f t="shared" si="83"/>
        <v>0.7</v>
      </c>
    </row>
    <row r="555" spans="2:10" x14ac:dyDescent="0.25">
      <c r="B555" s="3">
        <f t="shared" si="84"/>
        <v>2690</v>
      </c>
      <c r="C555" s="14">
        <f t="shared" si="85"/>
        <v>44.833333333333336</v>
      </c>
      <c r="D555" s="11">
        <f t="shared" si="86"/>
        <v>901.78556553732062</v>
      </c>
      <c r="E555" s="24">
        <f t="shared" si="78"/>
        <v>892.63699590928547</v>
      </c>
      <c r="F555" s="24">
        <f t="shared" si="80"/>
        <v>228.71424070087869</v>
      </c>
      <c r="G555" s="14">
        <f t="shared" si="81"/>
        <v>2327.5218406179233</v>
      </c>
      <c r="H555" s="24">
        <f t="shared" si="79"/>
        <v>655.24703781305743</v>
      </c>
      <c r="I555" s="12">
        <f t="shared" si="82"/>
        <v>0.3116884776799505</v>
      </c>
      <c r="J555" s="3">
        <f t="shared" si="83"/>
        <v>0.7</v>
      </c>
    </row>
    <row r="556" spans="2:10" x14ac:dyDescent="0.25">
      <c r="B556" s="3">
        <f t="shared" si="84"/>
        <v>2695</v>
      </c>
      <c r="C556" s="14">
        <f t="shared" si="85"/>
        <v>44.916666666666664</v>
      </c>
      <c r="D556" s="11">
        <f t="shared" si="86"/>
        <v>902.06303153560839</v>
      </c>
      <c r="E556" s="24">
        <f t="shared" si="78"/>
        <v>892.9486843869654</v>
      </c>
      <c r="F556" s="24">
        <f t="shared" si="80"/>
        <v>227.85867871607479</v>
      </c>
      <c r="G556" s="14">
        <f t="shared" si="81"/>
        <v>2320.5664756569736</v>
      </c>
      <c r="H556" s="24">
        <f t="shared" si="79"/>
        <v>655.0348549755447</v>
      </c>
      <c r="I556" s="12">
        <f t="shared" si="82"/>
        <v>0.31083672665340628</v>
      </c>
      <c r="J556" s="3">
        <f t="shared" si="83"/>
        <v>0.7</v>
      </c>
    </row>
    <row r="557" spans="2:10" x14ac:dyDescent="0.25">
      <c r="B557" s="3">
        <f t="shared" si="84"/>
        <v>2700</v>
      </c>
      <c r="C557" s="14">
        <f t="shared" si="85"/>
        <v>45</v>
      </c>
      <c r="D557" s="11">
        <f t="shared" si="86"/>
        <v>902.33998465745196</v>
      </c>
      <c r="E557" s="24">
        <f t="shared" si="78"/>
        <v>893.2595211136188</v>
      </c>
      <c r="F557" s="24">
        <f t="shared" si="80"/>
        <v>227.01158859582904</v>
      </c>
      <c r="G557" s="14">
        <f t="shared" si="81"/>
        <v>2313.6811406896322</v>
      </c>
      <c r="H557" s="24">
        <f t="shared" si="79"/>
        <v>654.82406380653572</v>
      </c>
      <c r="I557" s="12">
        <f t="shared" si="82"/>
        <v>0.30999334296075837</v>
      </c>
      <c r="J557" s="3">
        <f t="shared" si="83"/>
        <v>0.7</v>
      </c>
    </row>
    <row r="558" spans="2:10" x14ac:dyDescent="0.25">
      <c r="B558" s="3">
        <f t="shared" si="84"/>
        <v>2705</v>
      </c>
      <c r="C558" s="14">
        <f t="shared" si="85"/>
        <v>45.083333333333336</v>
      </c>
      <c r="D558" s="11">
        <f t="shared" si="86"/>
        <v>902.61642679538556</v>
      </c>
      <c r="E558" s="24">
        <f t="shared" si="78"/>
        <v>893.56951445657955</v>
      </c>
      <c r="F558" s="24">
        <f t="shared" si="80"/>
        <v>226.17280847015024</v>
      </c>
      <c r="G558" s="14">
        <f t="shared" si="81"/>
        <v>2306.8644394983758</v>
      </c>
      <c r="H558" s="24">
        <f t="shared" si="79"/>
        <v>654.61464736833864</v>
      </c>
      <c r="I558" s="12">
        <f t="shared" si="82"/>
        <v>0.30915815789807161</v>
      </c>
      <c r="J558" s="3">
        <f t="shared" si="83"/>
        <v>0.7</v>
      </c>
    </row>
    <row r="559" spans="2:10" x14ac:dyDescent="0.25">
      <c r="B559" s="3">
        <f t="shared" si="84"/>
        <v>2710</v>
      </c>
      <c r="C559" s="14">
        <f t="shared" si="85"/>
        <v>45.166666666666664</v>
      </c>
      <c r="D559" s="11">
        <f t="shared" si="86"/>
        <v>902.89235983148797</v>
      </c>
      <c r="E559" s="24">
        <f t="shared" si="78"/>
        <v>893.87867261447764</v>
      </c>
      <c r="F559" s="24">
        <f t="shared" si="80"/>
        <v>225.34218042525822</v>
      </c>
      <c r="G559" s="14">
        <f t="shared" si="81"/>
        <v>2300.1150097777822</v>
      </c>
      <c r="H559" s="24">
        <f t="shared" si="79"/>
        <v>654.40658905158614</v>
      </c>
      <c r="I559" s="12">
        <f t="shared" si="82"/>
        <v>0.30833100682313314</v>
      </c>
      <c r="J559" s="3">
        <f t="shared" si="83"/>
        <v>0.7</v>
      </c>
    </row>
    <row r="560" spans="2:10" x14ac:dyDescent="0.25">
      <c r="B560" s="3">
        <f t="shared" si="84"/>
        <v>2715</v>
      </c>
      <c r="C560" s="14">
        <f t="shared" si="85"/>
        <v>45.25</v>
      </c>
      <c r="D560" s="11">
        <f t="shared" si="86"/>
        <v>903.16778563745868</v>
      </c>
      <c r="E560" s="24">
        <f t="shared" si="78"/>
        <v>894.18700362130073</v>
      </c>
      <c r="F560" s="24">
        <f t="shared" si="80"/>
        <v>224.51955040394864</v>
      </c>
      <c r="G560" s="14">
        <f t="shared" si="81"/>
        <v>2293.4315223167764</v>
      </c>
      <c r="H560" s="24">
        <f t="shared" si="79"/>
        <v>654.19987256677564</v>
      </c>
      <c r="I560" s="12">
        <f t="shared" si="82"/>
        <v>0.3075117290614881</v>
      </c>
      <c r="J560" s="3">
        <f t="shared" si="83"/>
        <v>0.7</v>
      </c>
    </row>
    <row r="561" spans="2:10" x14ac:dyDescent="0.25">
      <c r="B561" s="3">
        <f t="shared" si="84"/>
        <v>2720</v>
      </c>
      <c r="C561" s="14">
        <f t="shared" si="85"/>
        <v>45.333333333333336</v>
      </c>
      <c r="D561" s="11">
        <f t="shared" si="86"/>
        <v>903.44270607469434</v>
      </c>
      <c r="E561" s="24">
        <f t="shared" si="78"/>
        <v>894.49451535036224</v>
      </c>
      <c r="F561" s="24">
        <f t="shared" si="80"/>
        <v>223.70476810830269</v>
      </c>
      <c r="G561" s="14">
        <f t="shared" si="81"/>
        <v>2286.812680200364</v>
      </c>
      <c r="H561" s="24">
        <f t="shared" si="79"/>
        <v>653.99448193606031</v>
      </c>
      <c r="I561" s="12">
        <f t="shared" si="82"/>
        <v>0.30670016781451498</v>
      </c>
      <c r="J561" s="3">
        <f t="shared" si="83"/>
        <v>0.7</v>
      </c>
    </row>
    <row r="562" spans="2:10" x14ac:dyDescent="0.25">
      <c r="B562" s="3">
        <f t="shared" si="84"/>
        <v>2725</v>
      </c>
      <c r="C562" s="14">
        <f t="shared" si="85"/>
        <v>45.416666666666664</v>
      </c>
      <c r="D562" s="11">
        <f t="shared" si="86"/>
        <v>903.71712299436388</v>
      </c>
      <c r="E562" s="24">
        <f t="shared" ref="E562:E625" si="87">E561+I561</f>
        <v>894.80121551817672</v>
      </c>
      <c r="F562" s="24">
        <f t="shared" si="80"/>
        <v>222.89768690467895</v>
      </c>
      <c r="G562" s="14">
        <f t="shared" si="81"/>
        <v>2280.2572180263737</v>
      </c>
      <c r="H562" s="24">
        <f t="shared" ref="H562:H625" si="88">IF(E562&lt;600,425+0.773*E562-1.69/1000*E562^2+2.22/1000^2*E562^3,IF(E562&lt;735,666+13002/(738-E562),IF(E562&lt;900,545+17820/(E562-731),650)))</f>
        <v>653.79040148528418</v>
      </c>
      <c r="I562" s="12">
        <f t="shared" si="82"/>
        <v>0.30589617006900993</v>
      </c>
      <c r="J562" s="3">
        <f t="shared" si="83"/>
        <v>0.7</v>
      </c>
    </row>
    <row r="563" spans="2:10" x14ac:dyDescent="0.25">
      <c r="B563" s="3">
        <f t="shared" si="84"/>
        <v>2730</v>
      </c>
      <c r="C563" s="14">
        <f t="shared" si="85"/>
        <v>45.5</v>
      </c>
      <c r="D563" s="11">
        <f t="shared" si="86"/>
        <v>903.99103823748374</v>
      </c>
      <c r="E563" s="24">
        <f t="shared" si="87"/>
        <v>895.10711168824571</v>
      </c>
      <c r="F563" s="24">
        <f t="shared" si="80"/>
        <v>222.09816373095066</v>
      </c>
      <c r="G563" s="14">
        <f t="shared" si="81"/>
        <v>2273.7639011412421</v>
      </c>
      <c r="H563" s="24">
        <f t="shared" si="88"/>
        <v>653.58761583625119</v>
      </c>
      <c r="I563" s="12">
        <f t="shared" si="82"/>
        <v>0.3050995865087881</v>
      </c>
      <c r="J563" s="3">
        <f t="shared" si="83"/>
        <v>0.7</v>
      </c>
    </row>
    <row r="564" spans="2:10" x14ac:dyDescent="0.25">
      <c r="B564" s="3">
        <f t="shared" si="84"/>
        <v>2735</v>
      </c>
      <c r="C564" s="14">
        <f t="shared" si="85"/>
        <v>45.583333333333336</v>
      </c>
      <c r="D564" s="11">
        <f t="shared" si="86"/>
        <v>904.26445363499181</v>
      </c>
      <c r="E564" s="24">
        <f t="shared" si="87"/>
        <v>895.41221127475444</v>
      </c>
      <c r="F564" s="24">
        <f t="shared" si="80"/>
        <v>221.30605900593423</v>
      </c>
      <c r="G564" s="14">
        <f t="shared" si="81"/>
        <v>2267.3315248906188</v>
      </c>
      <c r="H564" s="24">
        <f t="shared" si="88"/>
        <v>653.38610989922415</v>
      </c>
      <c r="I564" s="12">
        <f t="shared" si="82"/>
        <v>0.30431027142780093</v>
      </c>
      <c r="J564" s="3">
        <f t="shared" si="83"/>
        <v>0.7</v>
      </c>
    </row>
    <row r="565" spans="2:10" x14ac:dyDescent="0.25">
      <c r="B565" s="3">
        <f t="shared" si="84"/>
        <v>2740</v>
      </c>
      <c r="C565" s="14">
        <f t="shared" si="85"/>
        <v>45.666666666666664</v>
      </c>
      <c r="D565" s="11">
        <f t="shared" si="86"/>
        <v>904.53737100782064</v>
      </c>
      <c r="E565" s="24">
        <f t="shared" si="87"/>
        <v>895.71652154618221</v>
      </c>
      <c r="F565" s="24">
        <f t="shared" si="80"/>
        <v>220.52123654096079</v>
      </c>
      <c r="G565" s="14">
        <f t="shared" si="81"/>
        <v>2260.958913887393</v>
      </c>
      <c r="H565" s="24">
        <f t="shared" si="88"/>
        <v>653.18586886564219</v>
      </c>
      <c r="I565" s="12">
        <f t="shared" si="82"/>
        <v>0.30352808264510223</v>
      </c>
      <c r="J565" s="3">
        <f t="shared" si="83"/>
        <v>0.7</v>
      </c>
    </row>
    <row r="566" spans="2:10" x14ac:dyDescent="0.25">
      <c r="B566" s="3">
        <f t="shared" si="84"/>
        <v>2745</v>
      </c>
      <c r="C566" s="14">
        <f t="shared" si="85"/>
        <v>45.75</v>
      </c>
      <c r="D566" s="11">
        <f t="shared" si="86"/>
        <v>904.80979216697085</v>
      </c>
      <c r="E566" s="24">
        <f t="shared" si="87"/>
        <v>896.02004962882734</v>
      </c>
      <c r="F566" s="24">
        <f t="shared" si="80"/>
        <v>219.74356345358785</v>
      </c>
      <c r="G566" s="14">
        <f t="shared" si="81"/>
        <v>2254.644921295323</v>
      </c>
      <c r="H566" s="24">
        <f t="shared" si="88"/>
        <v>652.98687820105363</v>
      </c>
      <c r="I566" s="12">
        <f t="shared" si="82"/>
        <v>0.30275288142145712</v>
      </c>
      <c r="J566" s="3">
        <f t="shared" si="83"/>
        <v>0.7</v>
      </c>
    </row>
    <row r="567" spans="2:10" x14ac:dyDescent="0.25">
      <c r="B567" s="3">
        <f t="shared" si="84"/>
        <v>2750</v>
      </c>
      <c r="C567" s="14">
        <f t="shared" si="85"/>
        <v>45.833333333333336</v>
      </c>
      <c r="D567" s="11">
        <f t="shared" si="86"/>
        <v>905.08171891358211</v>
      </c>
      <c r="E567" s="24">
        <f t="shared" si="87"/>
        <v>896.32280251024883</v>
      </c>
      <c r="F567" s="24">
        <f t="shared" si="80"/>
        <v>218.97291008333184</v>
      </c>
      <c r="G567" s="14">
        <f t="shared" si="81"/>
        <v>2248.3884281286082</v>
      </c>
      <c r="H567" s="24">
        <f t="shared" si="88"/>
        <v>652.78912363825486</v>
      </c>
      <c r="I567" s="12">
        <f t="shared" si="82"/>
        <v>0.30198453237764183</v>
      </c>
      <c r="J567" s="3">
        <f t="shared" si="83"/>
        <v>0.7</v>
      </c>
    </row>
    <row r="568" spans="2:10" x14ac:dyDescent="0.25">
      <c r="B568" s="3">
        <f t="shared" si="84"/>
        <v>2755</v>
      </c>
      <c r="C568" s="14">
        <f t="shared" si="85"/>
        <v>45.916666666666664</v>
      </c>
      <c r="D568" s="11">
        <f t="shared" si="86"/>
        <v>905.3531530390062</v>
      </c>
      <c r="E568" s="24">
        <f t="shared" si="87"/>
        <v>896.62478704262651</v>
      </c>
      <c r="F568" s="24">
        <f t="shared" si="80"/>
        <v>218.20914990949234</v>
      </c>
      <c r="G568" s="14">
        <f t="shared" si="81"/>
        <v>2242.1883425675105</v>
      </c>
      <c r="H568" s="24">
        <f t="shared" si="88"/>
        <v>652.59259117063016</v>
      </c>
      <c r="I568" s="12">
        <f t="shared" si="82"/>
        <v>0.30122290341447211</v>
      </c>
      <c r="J568" s="3">
        <f t="shared" si="83"/>
        <v>0.7</v>
      </c>
    </row>
    <row r="569" spans="2:10" x14ac:dyDescent="0.25">
      <c r="B569" s="3">
        <f t="shared" si="84"/>
        <v>2760</v>
      </c>
      <c r="C569" s="14">
        <f t="shared" si="85"/>
        <v>46</v>
      </c>
      <c r="D569" s="11">
        <f t="shared" si="86"/>
        <v>905.62409632487572</v>
      </c>
      <c r="E569" s="24">
        <f t="shared" si="87"/>
        <v>896.92600994604095</v>
      </c>
      <c r="F569" s="24">
        <f t="shared" si="80"/>
        <v>217.45215947086933</v>
      </c>
      <c r="G569" s="14">
        <f t="shared" si="81"/>
        <v>2236.0435992879811</v>
      </c>
      <c r="H569" s="24">
        <f t="shared" si="88"/>
        <v>652.39726704568534</v>
      </c>
      <c r="I569" s="12">
        <f t="shared" si="82"/>
        <v>0.30046786563430439</v>
      </c>
      <c r="J569" s="3">
        <f t="shared" si="83"/>
        <v>0.7</v>
      </c>
    </row>
    <row r="570" spans="2:10" x14ac:dyDescent="0.25">
      <c r="B570" s="3">
        <f t="shared" si="84"/>
        <v>2765</v>
      </c>
      <c r="C570" s="14">
        <f t="shared" si="85"/>
        <v>46.083333333333336</v>
      </c>
      <c r="D570" s="11">
        <f t="shared" si="86"/>
        <v>905.89455054317671</v>
      </c>
      <c r="E570" s="24">
        <f t="shared" si="87"/>
        <v>897.2264778116753</v>
      </c>
      <c r="F570" s="24">
        <f t="shared" si="80"/>
        <v>216.70181828753527</v>
      </c>
      <c r="G570" s="14">
        <f t="shared" si="81"/>
        <v>2229.9531588081845</v>
      </c>
      <c r="H570" s="24">
        <f t="shared" si="88"/>
        <v>652.20313775876912</v>
      </c>
      <c r="I570" s="12">
        <f t="shared" si="82"/>
        <v>0.299719293264399</v>
      </c>
      <c r="J570" s="3">
        <f t="shared" si="83"/>
        <v>0.7</v>
      </c>
    </row>
    <row r="571" spans="2:10" x14ac:dyDescent="0.25">
      <c r="B571" s="3">
        <f t="shared" si="84"/>
        <v>2770</v>
      </c>
      <c r="C571" s="14">
        <f t="shared" si="85"/>
        <v>46.166666666666664</v>
      </c>
      <c r="D571" s="11">
        <f t="shared" si="86"/>
        <v>906.16451745631571</v>
      </c>
      <c r="E571" s="24">
        <f t="shared" si="87"/>
        <v>897.52619710493968</v>
      </c>
      <c r="F571" s="24">
        <f t="shared" si="80"/>
        <v>215.95800878440059</v>
      </c>
      <c r="G571" s="14">
        <f t="shared" si="81"/>
        <v>2223.9160068478641</v>
      </c>
      <c r="H571" s="24">
        <f t="shared" si="88"/>
        <v>652.0101900469773</v>
      </c>
      <c r="I571" s="12">
        <f t="shared" si="82"/>
        <v>0.29897706358163406</v>
      </c>
      <c r="J571" s="3">
        <f t="shared" si="83"/>
        <v>0.7</v>
      </c>
    </row>
    <row r="572" spans="2:10" x14ac:dyDescent="0.25">
      <c r="B572" s="3">
        <f t="shared" si="84"/>
        <v>2775</v>
      </c>
      <c r="C572" s="14">
        <f t="shared" si="85"/>
        <v>46.25</v>
      </c>
      <c r="D572" s="11">
        <f t="shared" si="86"/>
        <v>906.43399881719074</v>
      </c>
      <c r="E572" s="24">
        <f t="shared" si="87"/>
        <v>897.82517416852136</v>
      </c>
      <c r="F572" s="24">
        <f t="shared" si="80"/>
        <v>215.22061621673458</v>
      </c>
      <c r="G572" s="14">
        <f t="shared" si="81"/>
        <v>2217.9311537037206</v>
      </c>
      <c r="H572" s="24">
        <f t="shared" si="88"/>
        <v>651.8184108832329</v>
      </c>
      <c r="I572" s="12">
        <f t="shared" si="82"/>
        <v>0.29824105683899221</v>
      </c>
      <c r="J572" s="3">
        <f t="shared" si="83"/>
        <v>0.7</v>
      </c>
    </row>
    <row r="573" spans="2:10" x14ac:dyDescent="0.25">
      <c r="B573" s="3">
        <f t="shared" si="84"/>
        <v>2780</v>
      </c>
      <c r="C573" s="14">
        <f t="shared" si="85"/>
        <v>46.333333333333336</v>
      </c>
      <c r="D573" s="11">
        <f t="shared" si="86"/>
        <v>906.70299636925824</v>
      </c>
      <c r="E573" s="24">
        <f t="shared" si="87"/>
        <v>898.1234152253603</v>
      </c>
      <c r="F573" s="24">
        <f t="shared" si="80"/>
        <v>214.4895285974485</v>
      </c>
      <c r="G573" s="14">
        <f t="shared" si="81"/>
        <v>2211.9976336381023</v>
      </c>
      <c r="H573" s="24">
        <f t="shared" si="88"/>
        <v>651.62778747053687</v>
      </c>
      <c r="I573" s="12">
        <f t="shared" si="82"/>
        <v>0.29751115619348284</v>
      </c>
      <c r="J573" s="3">
        <f t="shared" si="83"/>
        <v>0.7</v>
      </c>
    </row>
    <row r="574" spans="2:10" x14ac:dyDescent="0.25">
      <c r="B574" s="3">
        <f t="shared" si="84"/>
        <v>2785</v>
      </c>
      <c r="C574" s="14">
        <f t="shared" si="85"/>
        <v>46.416666666666664</v>
      </c>
      <c r="D574" s="11">
        <f t="shared" si="86"/>
        <v>906.97151184660152</v>
      </c>
      <c r="E574" s="24">
        <f t="shared" si="87"/>
        <v>898.42092638155384</v>
      </c>
      <c r="F574" s="24">
        <f t="shared" si="80"/>
        <v>213.76463662619187</v>
      </c>
      <c r="G574" s="14">
        <f t="shared" si="81"/>
        <v>2206.1145042825215</v>
      </c>
      <c r="H574" s="24">
        <f t="shared" si="88"/>
        <v>651.43830723638484</v>
      </c>
      <c r="I574" s="12">
        <f t="shared" si="82"/>
        <v>0.29678724763570341</v>
      </c>
      <c r="J574" s="3">
        <f t="shared" si="83"/>
        <v>0.7</v>
      </c>
    </row>
    <row r="575" spans="2:10" x14ac:dyDescent="0.25">
      <c r="B575" s="3">
        <f t="shared" si="84"/>
        <v>2790</v>
      </c>
      <c r="C575" s="14">
        <f t="shared" si="85"/>
        <v>46.5</v>
      </c>
      <c r="D575" s="11">
        <f t="shared" si="86"/>
        <v>907.23954697399711</v>
      </c>
      <c r="E575" s="24">
        <f t="shared" si="87"/>
        <v>898.71771362918957</v>
      </c>
      <c r="F575" s="24">
        <f t="shared" si="80"/>
        <v>213.04583362018832</v>
      </c>
      <c r="G575" s="14">
        <f t="shared" si="81"/>
        <v>2200.2808460536994</v>
      </c>
      <c r="H575" s="24">
        <f t="shared" si="88"/>
        <v>651.24995782734425</v>
      </c>
      <c r="I575" s="12">
        <f t="shared" si="82"/>
        <v>0.29606921992076574</v>
      </c>
      <c r="J575" s="3">
        <f t="shared" si="83"/>
        <v>0.7</v>
      </c>
    </row>
    <row r="576" spans="2:10" x14ac:dyDescent="0.25">
      <c r="B576" s="3">
        <f t="shared" si="84"/>
        <v>2795</v>
      </c>
      <c r="C576" s="14">
        <f t="shared" si="85"/>
        <v>46.583333333333336</v>
      </c>
      <c r="D576" s="11">
        <f t="shared" si="86"/>
        <v>907.50710346698213</v>
      </c>
      <c r="E576" s="24">
        <f t="shared" si="87"/>
        <v>899.01378284911038</v>
      </c>
      <c r="F576" s="24">
        <f t="shared" si="80"/>
        <v>212.33301544679364</v>
      </c>
      <c r="G576" s="14">
        <f t="shared" si="81"/>
        <v>2194.4957615845542</v>
      </c>
      <c r="H576" s="24">
        <f t="shared" si="88"/>
        <v>651.0627271037863</v>
      </c>
      <c r="I576" s="12">
        <f t="shared" si="82"/>
        <v>0.29535696450089227</v>
      </c>
      <c r="J576" s="3">
        <f t="shared" si="83"/>
        <v>0.7</v>
      </c>
    </row>
    <row r="577" spans="2:10" x14ac:dyDescent="0.25">
      <c r="B577" s="3">
        <f t="shared" si="84"/>
        <v>2800</v>
      </c>
      <c r="C577" s="14">
        <f t="shared" si="85"/>
        <v>46.666666666666664</v>
      </c>
      <c r="D577" s="11">
        <f t="shared" si="86"/>
        <v>907.77418303191939</v>
      </c>
      <c r="E577" s="24">
        <f t="shared" si="87"/>
        <v>899.3091398136113</v>
      </c>
      <c r="F577" s="24">
        <f t="shared" si="80"/>
        <v>211.62608045770241</v>
      </c>
      <c r="G577" s="14">
        <f t="shared" si="81"/>
        <v>2188.7583751672219</v>
      </c>
      <c r="H577" s="24">
        <f t="shared" si="88"/>
        <v>650.87660313476863</v>
      </c>
      <c r="I577" s="12">
        <f t="shared" si="82"/>
        <v>0.29465037545933181</v>
      </c>
      <c r="J577" s="3">
        <f t="shared" si="83"/>
        <v>0.7</v>
      </c>
    </row>
    <row r="578" spans="2:10" x14ac:dyDescent="0.25">
      <c r="B578" s="3">
        <f t="shared" si="84"/>
        <v>2805</v>
      </c>
      <c r="C578" s="14">
        <f t="shared" si="85"/>
        <v>46.75</v>
      </c>
      <c r="D578" s="11">
        <f t="shared" si="86"/>
        <v>908.04078736606289</v>
      </c>
      <c r="E578" s="24">
        <f t="shared" si="87"/>
        <v>899.60379018907065</v>
      </c>
      <c r="F578" s="24">
        <f t="shared" si="80"/>
        <v>210.9249294248059</v>
      </c>
      <c r="G578" s="14">
        <f t="shared" si="81"/>
        <v>2183.0678322095978</v>
      </c>
      <c r="H578" s="24">
        <f t="shared" si="88"/>
        <v>650.6915741930643</v>
      </c>
      <c r="I578" s="12">
        <f t="shared" si="82"/>
        <v>0.2939493494457876</v>
      </c>
      <c r="J578" s="3">
        <f t="shared" si="83"/>
        <v>0.7</v>
      </c>
    </row>
    <row r="579" spans="2:10" x14ac:dyDescent="0.25">
      <c r="B579" s="3">
        <f t="shared" si="84"/>
        <v>2810</v>
      </c>
      <c r="C579" s="14">
        <f t="shared" si="85"/>
        <v>46.833333333333336</v>
      </c>
      <c r="D579" s="11">
        <f t="shared" si="86"/>
        <v>908.30691815762316</v>
      </c>
      <c r="E579" s="24">
        <f t="shared" si="87"/>
        <v>899.89773953851648</v>
      </c>
      <c r="F579" s="24">
        <f t="shared" si="80"/>
        <v>210.22946547766708</v>
      </c>
      <c r="G579" s="14">
        <f t="shared" si="81"/>
        <v>2177.4232987048395</v>
      </c>
      <c r="H579" s="24">
        <f t="shared" si="88"/>
        <v>650.50762875033161</v>
      </c>
      <c r="I579" s="12">
        <f t="shared" si="82"/>
        <v>0.2932537856132989</v>
      </c>
      <c r="J579" s="3">
        <f t="shared" si="83"/>
        <v>0.7</v>
      </c>
    </row>
    <row r="580" spans="2:10" x14ac:dyDescent="0.25">
      <c r="B580" s="3">
        <f t="shared" si="84"/>
        <v>2815</v>
      </c>
      <c r="C580" s="14">
        <f t="shared" si="85"/>
        <v>46.916666666666664</v>
      </c>
      <c r="D580" s="11">
        <f t="shared" si="86"/>
        <v>908.57257708583029</v>
      </c>
      <c r="E580" s="24">
        <f t="shared" si="87"/>
        <v>900.19099332412975</v>
      </c>
      <c r="F580" s="24">
        <f t="shared" si="80"/>
        <v>209.5395940425135</v>
      </c>
      <c r="G580" s="14">
        <f t="shared" si="81"/>
        <v>2171.8239607123646</v>
      </c>
      <c r="H580" s="24">
        <f t="shared" si="88"/>
        <v>650</v>
      </c>
      <c r="I580" s="12">
        <f t="shared" si="82"/>
        <v>0.29270975728784215</v>
      </c>
      <c r="J580" s="3">
        <f t="shared" si="83"/>
        <v>0.7</v>
      </c>
    </row>
    <row r="581" spans="2:10" x14ac:dyDescent="0.25">
      <c r="B581" s="3">
        <f t="shared" si="84"/>
        <v>2820</v>
      </c>
      <c r="C581" s="14">
        <f t="shared" si="85"/>
        <v>47</v>
      </c>
      <c r="D581" s="11">
        <f t="shared" si="86"/>
        <v>908.83776582099847</v>
      </c>
      <c r="E581" s="24">
        <f t="shared" si="87"/>
        <v>900.48370308141762</v>
      </c>
      <c r="F581" s="24">
        <f t="shared" si="80"/>
        <v>208.85156848952136</v>
      </c>
      <c r="G581" s="14">
        <f t="shared" si="81"/>
        <v>2166.231523479405</v>
      </c>
      <c r="H581" s="24">
        <f t="shared" si="88"/>
        <v>650</v>
      </c>
      <c r="I581" s="12">
        <f t="shared" si="82"/>
        <v>0.29193778245264296</v>
      </c>
      <c r="J581" s="3">
        <f t="shared" si="83"/>
        <v>0.7</v>
      </c>
    </row>
    <row r="582" spans="2:10" x14ac:dyDescent="0.25">
      <c r="B582" s="3">
        <f t="shared" si="84"/>
        <v>2825</v>
      </c>
      <c r="C582" s="14">
        <f t="shared" si="85"/>
        <v>47.083333333333336</v>
      </c>
      <c r="D582" s="11">
        <f t="shared" si="86"/>
        <v>909.1024860245883</v>
      </c>
      <c r="E582" s="24">
        <f t="shared" si="87"/>
        <v>900.77564086387031</v>
      </c>
      <c r="F582" s="24">
        <f t="shared" si="80"/>
        <v>208.17112901794985</v>
      </c>
      <c r="G582" s="14">
        <f t="shared" si="81"/>
        <v>2160.7050035205484</v>
      </c>
      <c r="H582" s="24">
        <f t="shared" si="88"/>
        <v>650</v>
      </c>
      <c r="I582" s="12">
        <f t="shared" si="82"/>
        <v>0.29117484241992581</v>
      </c>
      <c r="J582" s="3">
        <f t="shared" si="83"/>
        <v>0.7</v>
      </c>
    </row>
    <row r="583" spans="2:10" x14ac:dyDescent="0.25">
      <c r="B583" s="3">
        <f t="shared" si="84"/>
        <v>2830</v>
      </c>
      <c r="C583" s="14">
        <f t="shared" si="85"/>
        <v>47.166666666666664</v>
      </c>
      <c r="D583" s="11">
        <f t="shared" si="86"/>
        <v>909.36673934927012</v>
      </c>
      <c r="E583" s="24">
        <f t="shared" si="87"/>
        <v>901.06681570629019</v>
      </c>
      <c r="F583" s="24">
        <f t="shared" si="80"/>
        <v>207.49809107449835</v>
      </c>
      <c r="G583" s="14">
        <f t="shared" si="81"/>
        <v>2155.2427022257525</v>
      </c>
      <c r="H583" s="24">
        <f t="shared" si="88"/>
        <v>650</v>
      </c>
      <c r="I583" s="12">
        <f t="shared" si="82"/>
        <v>0.29042070571714468</v>
      </c>
      <c r="J583" s="3">
        <f t="shared" si="83"/>
        <v>0.7</v>
      </c>
    </row>
    <row r="584" spans="2:10" x14ac:dyDescent="0.25">
      <c r="B584" s="3">
        <f t="shared" si="84"/>
        <v>2835</v>
      </c>
      <c r="C584" s="14">
        <f t="shared" si="85"/>
        <v>47.25</v>
      </c>
      <c r="D584" s="11">
        <f t="shared" si="86"/>
        <v>909.63052743898493</v>
      </c>
      <c r="E584" s="24">
        <f t="shared" si="87"/>
        <v>901.3572364120073</v>
      </c>
      <c r="F584" s="24">
        <f t="shared" si="80"/>
        <v>206.83227567444078</v>
      </c>
      <c r="G584" s="14">
        <f t="shared" si="81"/>
        <v>2149.8429719611304</v>
      </c>
      <c r="H584" s="24">
        <f t="shared" si="88"/>
        <v>650</v>
      </c>
      <c r="I584" s="12">
        <f t="shared" si="82"/>
        <v>0.28967514782205483</v>
      </c>
      <c r="J584" s="3">
        <f t="shared" si="83"/>
        <v>0.7</v>
      </c>
    </row>
    <row r="585" spans="2:10" x14ac:dyDescent="0.25">
      <c r="B585" s="3">
        <f t="shared" si="84"/>
        <v>2840</v>
      </c>
      <c r="C585" s="14">
        <f t="shared" si="85"/>
        <v>47.333333333333336</v>
      </c>
      <c r="D585" s="11">
        <f t="shared" si="86"/>
        <v>909.89385192900613</v>
      </c>
      <c r="E585" s="24">
        <f t="shared" si="87"/>
        <v>901.64691155982939</v>
      </c>
      <c r="F585" s="24">
        <f t="shared" si="80"/>
        <v>206.17350922941853</v>
      </c>
      <c r="G585" s="14">
        <f t="shared" si="81"/>
        <v>2144.5042145398688</v>
      </c>
      <c r="H585" s="24">
        <f t="shared" si="88"/>
        <v>650</v>
      </c>
      <c r="I585" s="12">
        <f t="shared" si="82"/>
        <v>0.2889379509535957</v>
      </c>
      <c r="J585" s="3">
        <f t="shared" si="83"/>
        <v>0.7</v>
      </c>
    </row>
    <row r="586" spans="2:10" x14ac:dyDescent="0.25">
      <c r="B586" s="3">
        <f t="shared" si="84"/>
        <v>2845</v>
      </c>
      <c r="C586" s="14">
        <f t="shared" si="85"/>
        <v>47.416666666666664</v>
      </c>
      <c r="D586" s="11">
        <f t="shared" si="86"/>
        <v>910.15671444600048</v>
      </c>
      <c r="E586" s="24">
        <f t="shared" si="87"/>
        <v>901.93584951078299</v>
      </c>
      <c r="F586" s="24">
        <f t="shared" si="80"/>
        <v>205.52162338043729</v>
      </c>
      <c r="G586" s="14">
        <f t="shared" si="81"/>
        <v>2139.2248797374091</v>
      </c>
      <c r="H586" s="24">
        <f t="shared" si="88"/>
        <v>650</v>
      </c>
      <c r="I586" s="12">
        <f t="shared" si="82"/>
        <v>0.28820890386885412</v>
      </c>
      <c r="J586" s="3">
        <f t="shared" si="83"/>
        <v>0.7</v>
      </c>
    </row>
    <row r="587" spans="2:10" x14ac:dyDescent="0.25">
      <c r="B587" s="3">
        <f t="shared" si="84"/>
        <v>2850</v>
      </c>
      <c r="C587" s="14">
        <f t="shared" si="85"/>
        <v>47.5</v>
      </c>
      <c r="D587" s="11">
        <f t="shared" si="86"/>
        <v>910.41911660808853</v>
      </c>
      <c r="E587" s="24">
        <f t="shared" si="87"/>
        <v>902.22405841465184</v>
      </c>
      <c r="F587" s="24">
        <f t="shared" si="80"/>
        <v>204.87645483591734</v>
      </c>
      <c r="G587" s="14">
        <f t="shared" si="81"/>
        <v>2134.0034638501652</v>
      </c>
      <c r="H587" s="24">
        <f t="shared" si="88"/>
        <v>650</v>
      </c>
      <c r="I587" s="12">
        <f t="shared" si="82"/>
        <v>0.28748780166599996</v>
      </c>
      <c r="J587" s="3">
        <f t="shared" si="83"/>
        <v>0.7</v>
      </c>
    </row>
    <row r="588" spans="2:10" x14ac:dyDescent="0.25">
      <c r="B588" s="3">
        <f t="shared" si="84"/>
        <v>2855</v>
      </c>
      <c r="C588" s="14">
        <f t="shared" si="85"/>
        <v>47.583333333333336</v>
      </c>
      <c r="D588" s="11">
        <f t="shared" si="86"/>
        <v>910.68106002490424</v>
      </c>
      <c r="E588" s="24">
        <f t="shared" si="87"/>
        <v>902.51154621631781</v>
      </c>
      <c r="F588" s="24">
        <f t="shared" si="80"/>
        <v>204.23784521466075</v>
      </c>
      <c r="G588" s="14">
        <f t="shared" si="81"/>
        <v>2128.8385082947648</v>
      </c>
      <c r="H588" s="24">
        <f t="shared" si="88"/>
        <v>650</v>
      </c>
      <c r="I588" s="12">
        <f t="shared" si="82"/>
        <v>0.28677444559280763</v>
      </c>
      <c r="J588" s="3">
        <f t="shared" si="83"/>
        <v>0.7</v>
      </c>
    </row>
    <row r="589" spans="2:10" x14ac:dyDescent="0.25">
      <c r="B589" s="3">
        <f t="shared" si="84"/>
        <v>2860</v>
      </c>
      <c r="C589" s="14">
        <f t="shared" si="85"/>
        <v>47.666666666666664</v>
      </c>
      <c r="D589" s="11">
        <f t="shared" si="86"/>
        <v>910.94254629765373</v>
      </c>
      <c r="E589" s="24">
        <f t="shared" si="87"/>
        <v>902.79832066191057</v>
      </c>
      <c r="F589" s="24">
        <f t="shared" si="80"/>
        <v>203.60564089357922</v>
      </c>
      <c r="G589" s="14">
        <f t="shared" si="81"/>
        <v>2123.7285982494136</v>
      </c>
      <c r="H589" s="24">
        <f t="shared" si="88"/>
        <v>650</v>
      </c>
      <c r="I589" s="12">
        <f t="shared" si="82"/>
        <v>0.2860686428609393</v>
      </c>
      <c r="J589" s="3">
        <f t="shared" si="83"/>
        <v>0.7</v>
      </c>
    </row>
    <row r="590" spans="2:10" x14ac:dyDescent="0.25">
      <c r="B590" s="3">
        <f t="shared" si="84"/>
        <v>2865</v>
      </c>
      <c r="C590" s="14">
        <f t="shared" si="85"/>
        <v>47.75</v>
      </c>
      <c r="D590" s="11">
        <f t="shared" si="86"/>
        <v>911.20357701917476</v>
      </c>
      <c r="E590" s="24">
        <f t="shared" si="87"/>
        <v>903.08438930477155</v>
      </c>
      <c r="F590" s="24">
        <f t="shared" si="80"/>
        <v>202.97969286008026</v>
      </c>
      <c r="G590" s="14">
        <f t="shared" si="81"/>
        <v>2118.6723613333597</v>
      </c>
      <c r="H590" s="24">
        <f t="shared" si="88"/>
        <v>650</v>
      </c>
      <c r="I590" s="12">
        <f t="shared" si="82"/>
        <v>0.28537020646548544</v>
      </c>
      <c r="J590" s="3">
        <f t="shared" si="83"/>
        <v>0.7</v>
      </c>
    </row>
    <row r="591" spans="2:10" x14ac:dyDescent="0.25">
      <c r="B591" s="3">
        <f t="shared" si="84"/>
        <v>2870</v>
      </c>
      <c r="C591" s="14">
        <f t="shared" si="85"/>
        <v>47.833333333333336</v>
      </c>
      <c r="D591" s="11">
        <f t="shared" si="86"/>
        <v>911.46415377399455</v>
      </c>
      <c r="E591" s="24">
        <f t="shared" si="87"/>
        <v>903.36975951123702</v>
      </c>
      <c r="F591" s="24">
        <f t="shared" si="80"/>
        <v>202.35985656893831</v>
      </c>
      <c r="G591" s="14">
        <f t="shared" si="81"/>
        <v>2113.6684663260767</v>
      </c>
      <c r="H591" s="24">
        <f t="shared" si="88"/>
        <v>650</v>
      </c>
      <c r="I591" s="12">
        <f t="shared" si="82"/>
        <v>0.28467895500993712</v>
      </c>
      <c r="J591" s="3">
        <f t="shared" si="83"/>
        <v>0.7</v>
      </c>
    </row>
    <row r="592" spans="2:10" x14ac:dyDescent="0.25">
      <c r="B592" s="3">
        <f t="shared" si="84"/>
        <v>2875</v>
      </c>
      <c r="C592" s="14">
        <f t="shared" si="85"/>
        <v>47.916666666666664</v>
      </c>
      <c r="D592" s="11">
        <f t="shared" si="86"/>
        <v>911.72427813838749</v>
      </c>
      <c r="E592" s="24">
        <f t="shared" si="87"/>
        <v>903.65443846624692</v>
      </c>
      <c r="F592" s="24">
        <f t="shared" si="80"/>
        <v>201.74599180351436</v>
      </c>
      <c r="G592" s="14">
        <f t="shared" si="81"/>
        <v>2108.7156219229878</v>
      </c>
      <c r="H592" s="24">
        <f t="shared" si="88"/>
        <v>650</v>
      </c>
      <c r="I592" s="12">
        <f t="shared" si="82"/>
        <v>0.28399471253618552</v>
      </c>
      <c r="J592" s="3">
        <f t="shared" si="83"/>
        <v>0.7</v>
      </c>
    </row>
    <row r="593" spans="2:10" x14ac:dyDescent="0.25">
      <c r="B593" s="3">
        <f t="shared" si="84"/>
        <v>2880</v>
      </c>
      <c r="C593" s="14">
        <f t="shared" si="85"/>
        <v>48</v>
      </c>
      <c r="D593" s="11">
        <f t="shared" si="86"/>
        <v>911.98395168043271</v>
      </c>
      <c r="E593" s="24">
        <f t="shared" si="87"/>
        <v>903.93843317878316</v>
      </c>
      <c r="F593" s="24">
        <f t="shared" ref="F593:F656" si="89">AlphaC*(D593-E593)</f>
        <v>201.13796254123884</v>
      </c>
      <c r="G593" s="14">
        <f t="shared" ref="G593:G656" si="90">Phi*EpsilonF*Botzman/10^8*J593*((D593+273)^4-(E593+273)^4)</f>
        <v>2103.8125755276742</v>
      </c>
      <c r="H593" s="24">
        <f t="shared" si="88"/>
        <v>650</v>
      </c>
      <c r="I593" s="12">
        <f t="shared" ref="I593:I656" si="91">ksh*Massivete/(H593*RhoA)*DeltaT*(F593+G593)</f>
        <v>0.28331730835952929</v>
      </c>
      <c r="J593" s="3">
        <f t="shared" ref="J593:J656" si="92">IF(E593&lt;=500,IF(Galva=Oui,0.35,0.7),0.7)</f>
        <v>0.7</v>
      </c>
    </row>
    <row r="594" spans="2:10" x14ac:dyDescent="0.25">
      <c r="B594" s="3">
        <f t="shared" ref="B594:B657" si="93">B593+DeltaT</f>
        <v>2885</v>
      </c>
      <c r="C594" s="14">
        <f t="shared" ref="C594:C657" si="94">B594/60</f>
        <v>48.083333333333336</v>
      </c>
      <c r="D594" s="11">
        <f t="shared" ref="D594:D657" si="95">20+345*LOG(8*C594+1,10)</f>
        <v>912.24317596006995</v>
      </c>
      <c r="E594" s="24">
        <f t="shared" si="87"/>
        <v>904.22175048714269</v>
      </c>
      <c r="F594" s="24">
        <f t="shared" si="89"/>
        <v>200.53563682318156</v>
      </c>
      <c r="G594" s="14">
        <f t="shared" si="90"/>
        <v>2098.9581120797397</v>
      </c>
      <c r="H594" s="24">
        <f t="shared" si="88"/>
        <v>650</v>
      </c>
      <c r="I594" s="12">
        <f t="shared" si="91"/>
        <v>0.28264657690856748</v>
      </c>
      <c r="J594" s="3">
        <f t="shared" si="92"/>
        <v>0.7</v>
      </c>
    </row>
    <row r="595" spans="2:10" x14ac:dyDescent="0.25">
      <c r="B595" s="3">
        <f t="shared" si="93"/>
        <v>2890</v>
      </c>
      <c r="C595" s="14">
        <f t="shared" si="94"/>
        <v>48.166666666666664</v>
      </c>
      <c r="D595" s="11">
        <f t="shared" si="95"/>
        <v>912.50195252915682</v>
      </c>
      <c r="E595" s="24">
        <f t="shared" si="87"/>
        <v>904.5043970640512</v>
      </c>
      <c r="F595" s="24">
        <f t="shared" si="89"/>
        <v>199.9388866276405</v>
      </c>
      <c r="G595" s="14">
        <f t="shared" si="90"/>
        <v>2094.1510529169877</v>
      </c>
      <c r="H595" s="24">
        <f t="shared" si="88"/>
        <v>650</v>
      </c>
      <c r="I595" s="12">
        <f t="shared" si="91"/>
        <v>0.28198235756980355</v>
      </c>
      <c r="J595" s="3">
        <f t="shared" si="92"/>
        <v>0.7</v>
      </c>
    </row>
    <row r="596" spans="2:10" x14ac:dyDescent="0.25">
      <c r="B596" s="3">
        <f t="shared" si="93"/>
        <v>2895</v>
      </c>
      <c r="C596" s="14">
        <f t="shared" si="94"/>
        <v>48.25</v>
      </c>
      <c r="D596" s="11">
        <f t="shared" si="95"/>
        <v>912.76028293152444</v>
      </c>
      <c r="E596" s="24">
        <f t="shared" si="87"/>
        <v>904.78637942162106</v>
      </c>
      <c r="F596" s="24">
        <f t="shared" si="89"/>
        <v>199.3475877475845</v>
      </c>
      <c r="G596" s="14">
        <f t="shared" si="90"/>
        <v>2089.3902546709169</v>
      </c>
      <c r="H596" s="24">
        <f t="shared" si="88"/>
        <v>650</v>
      </c>
      <c r="I596" s="12">
        <f t="shared" si="91"/>
        <v>0.28132449453681918</v>
      </c>
      <c r="J596" s="3">
        <f t="shared" si="92"/>
        <v>0.7</v>
      </c>
    </row>
    <row r="597" spans="2:10" x14ac:dyDescent="0.25">
      <c r="B597" s="3">
        <f t="shared" si="93"/>
        <v>2900</v>
      </c>
      <c r="C597" s="14">
        <f t="shared" si="94"/>
        <v>48.333333333333336</v>
      </c>
      <c r="D597" s="11">
        <f t="shared" si="95"/>
        <v>913.01816870303094</v>
      </c>
      <c r="E597" s="24">
        <f t="shared" si="87"/>
        <v>905.06770391615794</v>
      </c>
      <c r="F597" s="24">
        <f t="shared" si="89"/>
        <v>198.76161967182497</v>
      </c>
      <c r="G597" s="14">
        <f t="shared" si="90"/>
        <v>2084.6746081941956</v>
      </c>
      <c r="H597" s="24">
        <f t="shared" si="88"/>
        <v>650</v>
      </c>
      <c r="I597" s="12">
        <f t="shared" si="91"/>
        <v>0.28067283666383636</v>
      </c>
      <c r="J597" s="3">
        <f t="shared" si="92"/>
        <v>0.7</v>
      </c>
    </row>
    <row r="598" spans="2:10" x14ac:dyDescent="0.25">
      <c r="B598" s="3">
        <f t="shared" si="93"/>
        <v>2905</v>
      </c>
      <c r="C598" s="14">
        <f t="shared" si="94"/>
        <v>48.416666666666664</v>
      </c>
      <c r="D598" s="11">
        <f t="shared" si="95"/>
        <v>913.27561137161933</v>
      </c>
      <c r="E598" s="24">
        <f t="shared" si="87"/>
        <v>905.34837675282176</v>
      </c>
      <c r="F598" s="24">
        <f t="shared" si="89"/>
        <v>198.18086546993925</v>
      </c>
      <c r="G598" s="14">
        <f t="shared" si="90"/>
        <v>2080.0030375213701</v>
      </c>
      <c r="H598" s="24">
        <f t="shared" si="88"/>
        <v>650</v>
      </c>
      <c r="I598" s="12">
        <f t="shared" si="91"/>
        <v>0.28002723732382639</v>
      </c>
      <c r="J598" s="3">
        <f t="shared" si="92"/>
        <v>0.7</v>
      </c>
    </row>
    <row r="599" spans="2:10" x14ac:dyDescent="0.25">
      <c r="B599" s="3">
        <f t="shared" si="93"/>
        <v>2910</v>
      </c>
      <c r="C599" s="14">
        <f t="shared" si="94"/>
        <v>48.5</v>
      </c>
      <c r="D599" s="11">
        <f t="shared" si="95"/>
        <v>913.53261245736905</v>
      </c>
      <c r="E599" s="24">
        <f t="shared" si="87"/>
        <v>905.62840399014556</v>
      </c>
      <c r="F599" s="24">
        <f t="shared" si="89"/>
        <v>197.60521168058744</v>
      </c>
      <c r="G599" s="14">
        <f t="shared" si="90"/>
        <v>2075.3744988582885</v>
      </c>
      <c r="H599" s="24">
        <f t="shared" si="88"/>
        <v>650</v>
      </c>
      <c r="I599" s="12">
        <f t="shared" si="91"/>
        <v>0.279387554270565</v>
      </c>
      <c r="J599" s="3">
        <f t="shared" si="92"/>
        <v>0.7</v>
      </c>
    </row>
    <row r="600" spans="2:10" x14ac:dyDescent="0.25">
      <c r="B600" s="3">
        <f t="shared" si="93"/>
        <v>2915</v>
      </c>
      <c r="C600" s="14">
        <f t="shared" si="94"/>
        <v>48.583333333333336</v>
      </c>
      <c r="D600" s="11">
        <f t="shared" si="95"/>
        <v>913.78917347255128</v>
      </c>
      <c r="E600" s="24">
        <f t="shared" si="87"/>
        <v>905.90779154441611</v>
      </c>
      <c r="F600" s="24">
        <f t="shared" si="89"/>
        <v>197.03454820337925</v>
      </c>
      <c r="G600" s="14">
        <f t="shared" si="90"/>
        <v>2070.7879796026541</v>
      </c>
      <c r="H600" s="24">
        <f t="shared" si="88"/>
        <v>650</v>
      </c>
      <c r="I600" s="12">
        <f t="shared" si="91"/>
        <v>0.27875364950495068</v>
      </c>
      <c r="J600" s="3">
        <f t="shared" si="92"/>
        <v>0.7</v>
      </c>
    </row>
    <row r="601" spans="2:10" x14ac:dyDescent="0.25">
      <c r="B601" s="3">
        <f t="shared" si="93"/>
        <v>2920</v>
      </c>
      <c r="C601" s="14">
        <f t="shared" si="94"/>
        <v>48.666666666666664</v>
      </c>
      <c r="D601" s="11">
        <f t="shared" si="95"/>
        <v>914.0452959216816</v>
      </c>
      <c r="E601" s="24">
        <f t="shared" si="87"/>
        <v>906.18654519392112</v>
      </c>
      <c r="F601" s="24">
        <f t="shared" si="89"/>
        <v>196.468768194012</v>
      </c>
      <c r="G601" s="14">
        <f t="shared" si="90"/>
        <v>2066.2424973928382</v>
      </c>
      <c r="H601" s="24">
        <f t="shared" si="88"/>
        <v>650</v>
      </c>
      <c r="I601" s="12">
        <f t="shared" si="91"/>
        <v>0.27812538914519824</v>
      </c>
      <c r="J601" s="3">
        <f t="shared" si="92"/>
        <v>0.7</v>
      </c>
    </row>
    <row r="602" spans="2:10" x14ac:dyDescent="0.25">
      <c r="B602" s="3">
        <f t="shared" si="93"/>
        <v>2925</v>
      </c>
      <c r="C602" s="14">
        <f t="shared" si="94"/>
        <v>48.75</v>
      </c>
      <c r="D602" s="11">
        <f t="shared" si="95"/>
        <v>914.30098130157398</v>
      </c>
      <c r="E602" s="24">
        <f t="shared" si="87"/>
        <v>906.46467058306632</v>
      </c>
      <c r="F602" s="24">
        <f t="shared" si="89"/>
        <v>195.90776796269154</v>
      </c>
      <c r="G602" s="14">
        <f t="shared" si="90"/>
        <v>2061.7370991860112</v>
      </c>
      <c r="H602" s="24">
        <f t="shared" si="88"/>
        <v>650</v>
      </c>
      <c r="I602" s="12">
        <f t="shared" si="91"/>
        <v>0.27750264330103991</v>
      </c>
      <c r="J602" s="3">
        <f t="shared" si="92"/>
        <v>0.7</v>
      </c>
    </row>
    <row r="603" spans="2:10" x14ac:dyDescent="0.25">
      <c r="B603" s="3">
        <f t="shared" si="93"/>
        <v>2930</v>
      </c>
      <c r="C603" s="14">
        <f t="shared" si="94"/>
        <v>48.833333333333336</v>
      </c>
      <c r="D603" s="11">
        <f t="shared" si="95"/>
        <v>914.55623110139186</v>
      </c>
      <c r="E603" s="24">
        <f t="shared" si="87"/>
        <v>906.74217322636741</v>
      </c>
      <c r="F603" s="24">
        <f t="shared" si="89"/>
        <v>195.35144687561115</v>
      </c>
      <c r="G603" s="14">
        <f t="shared" si="90"/>
        <v>2057.2708603623146</v>
      </c>
      <c r="H603" s="24">
        <f t="shared" si="88"/>
        <v>650</v>
      </c>
      <c r="I603" s="12">
        <f t="shared" si="91"/>
        <v>0.27688528595150302</v>
      </c>
      <c r="J603" s="3">
        <f t="shared" si="92"/>
        <v>0.7</v>
      </c>
    </row>
    <row r="604" spans="2:10" x14ac:dyDescent="0.25">
      <c r="B604" s="3">
        <f t="shared" si="93"/>
        <v>2935</v>
      </c>
      <c r="C604" s="14">
        <f t="shared" si="94"/>
        <v>48.916666666666664</v>
      </c>
      <c r="D604" s="11">
        <f t="shared" si="95"/>
        <v>914.8110468027013</v>
      </c>
      <c r="E604" s="24">
        <f t="shared" si="87"/>
        <v>907.01905851231891</v>
      </c>
      <c r="F604" s="24">
        <f t="shared" si="89"/>
        <v>194.7997072595598</v>
      </c>
      <c r="G604" s="14">
        <f t="shared" si="90"/>
        <v>2052.8428838564687</v>
      </c>
      <c r="H604" s="24">
        <f t="shared" si="88"/>
        <v>650</v>
      </c>
      <c r="I604" s="12">
        <f t="shared" si="91"/>
        <v>0.27627319482644469</v>
      </c>
      <c r="J604" s="3">
        <f t="shared" si="92"/>
        <v>0.7</v>
      </c>
    </row>
    <row r="605" spans="2:10" x14ac:dyDescent="0.25">
      <c r="B605" s="3">
        <f t="shared" si="93"/>
        <v>2940</v>
      </c>
      <c r="C605" s="14">
        <f t="shared" si="94"/>
        <v>49</v>
      </c>
      <c r="D605" s="11">
        <f t="shared" si="95"/>
        <v>915.06542987952218</v>
      </c>
      <c r="E605" s="24">
        <f t="shared" si="87"/>
        <v>907.29533170714535</v>
      </c>
      <c r="F605" s="24">
        <f t="shared" si="89"/>
        <v>194.25245430942084</v>
      </c>
      <c r="G605" s="14">
        <f t="shared" si="90"/>
        <v>2048.4522993152432</v>
      </c>
      <c r="H605" s="24">
        <f t="shared" si="88"/>
        <v>650</v>
      </c>
      <c r="I605" s="12">
        <f t="shared" si="91"/>
        <v>0.27566625129162065</v>
      </c>
      <c r="J605" s="3">
        <f t="shared" si="92"/>
        <v>0.7</v>
      </c>
    </row>
    <row r="606" spans="2:10" x14ac:dyDescent="0.25">
      <c r="B606" s="3">
        <f t="shared" si="93"/>
        <v>2945</v>
      </c>
      <c r="C606" s="14">
        <f t="shared" si="94"/>
        <v>49.083333333333336</v>
      </c>
      <c r="D606" s="11">
        <f t="shared" si="95"/>
        <v>915.31938179837903</v>
      </c>
      <c r="E606" s="24">
        <f t="shared" si="87"/>
        <v>907.57099795843692</v>
      </c>
      <c r="F606" s="24">
        <f t="shared" si="89"/>
        <v>193.70959599855269</v>
      </c>
      <c r="G606" s="14">
        <f t="shared" si="90"/>
        <v>2044.098262279605</v>
      </c>
      <c r="H606" s="24">
        <f t="shared" si="88"/>
        <v>650</v>
      </c>
      <c r="I606" s="12">
        <f t="shared" si="91"/>
        <v>0.27506434023714182</v>
      </c>
      <c r="J606" s="3">
        <f t="shared" si="92"/>
        <v>0.7</v>
      </c>
    </row>
    <row r="607" spans="2:10" x14ac:dyDescent="0.25">
      <c r="B607" s="3">
        <f t="shared" si="93"/>
        <v>2950</v>
      </c>
      <c r="C607" s="14">
        <f t="shared" si="94"/>
        <v>49.166666666666664</v>
      </c>
      <c r="D607" s="11">
        <f t="shared" si="95"/>
        <v>915.57290401835235</v>
      </c>
      <c r="E607" s="24">
        <f t="shared" si="87"/>
        <v>907.84606229867404</v>
      </c>
      <c r="F607" s="24">
        <f t="shared" si="89"/>
        <v>193.17104299195762</v>
      </c>
      <c r="G607" s="14">
        <f t="shared" si="90"/>
        <v>2039.7799533916746</v>
      </c>
      <c r="H607" s="24">
        <f t="shared" si="88"/>
        <v>650</v>
      </c>
      <c r="I607" s="12">
        <f t="shared" si="91"/>
        <v>0.27446734996932298</v>
      </c>
      <c r="J607" s="3">
        <f t="shared" si="92"/>
        <v>0.7</v>
      </c>
    </row>
    <row r="608" spans="2:10" x14ac:dyDescent="0.25">
      <c r="B608" s="3">
        <f t="shared" si="93"/>
        <v>2955</v>
      </c>
      <c r="C608" s="14">
        <f t="shared" si="94"/>
        <v>49.25</v>
      </c>
      <c r="D608" s="11">
        <f t="shared" si="95"/>
        <v>915.8259979911287</v>
      </c>
      <c r="E608" s="24">
        <f t="shared" si="87"/>
        <v>908.12052964864336</v>
      </c>
      <c r="F608" s="24">
        <f t="shared" si="89"/>
        <v>192.63670856213366</v>
      </c>
      <c r="G608" s="14">
        <f t="shared" si="90"/>
        <v>2035.496577625587</v>
      </c>
      <c r="H608" s="24">
        <f t="shared" si="88"/>
        <v>650</v>
      </c>
      <c r="I608" s="12">
        <f t="shared" si="91"/>
        <v>0.27387517210579915</v>
      </c>
      <c r="J608" s="3">
        <f t="shared" si="92"/>
        <v>0.7</v>
      </c>
    </row>
    <row r="609" spans="2:10" x14ac:dyDescent="0.25">
      <c r="B609" s="3">
        <f t="shared" si="93"/>
        <v>2960</v>
      </c>
      <c r="C609" s="14">
        <f t="shared" si="94"/>
        <v>49.333333333333336</v>
      </c>
      <c r="D609" s="11">
        <f t="shared" si="95"/>
        <v>916.07866516105037</v>
      </c>
      <c r="E609" s="24">
        <f t="shared" si="87"/>
        <v>908.39440482074917</v>
      </c>
      <c r="F609" s="24">
        <f t="shared" si="89"/>
        <v>192.10650850752984</v>
      </c>
      <c r="G609" s="14">
        <f t="shared" si="90"/>
        <v>2031.2473635407657</v>
      </c>
      <c r="H609" s="24">
        <f t="shared" si="88"/>
        <v>650</v>
      </c>
      <c r="I609" s="12">
        <f t="shared" si="91"/>
        <v>0.273287701473717</v>
      </c>
      <c r="J609" s="3">
        <f t="shared" si="92"/>
        <v>0.7</v>
      </c>
    </row>
    <row r="610" spans="2:10" x14ac:dyDescent="0.25">
      <c r="B610" s="3">
        <f t="shared" si="93"/>
        <v>2965</v>
      </c>
      <c r="C610" s="14">
        <f t="shared" si="94"/>
        <v>49.416666666666664</v>
      </c>
      <c r="D610" s="11">
        <f t="shared" si="95"/>
        <v>916.33090696516501</v>
      </c>
      <c r="E610" s="24">
        <f t="shared" si="87"/>
        <v>908.66769252222286</v>
      </c>
      <c r="F610" s="24">
        <f t="shared" si="89"/>
        <v>191.58036107355372</v>
      </c>
      <c r="G610" s="14">
        <f t="shared" si="90"/>
        <v>2027.0315625581036</v>
      </c>
      <c r="H610" s="24">
        <f t="shared" si="88"/>
        <v>650</v>
      </c>
      <c r="I610" s="12">
        <f t="shared" si="91"/>
        <v>0.27270483601105622</v>
      </c>
      <c r="J610" s="3">
        <f t="shared" si="92"/>
        <v>0.7</v>
      </c>
    </row>
    <row r="611" spans="2:10" x14ac:dyDescent="0.25">
      <c r="B611" s="3">
        <f t="shared" si="93"/>
        <v>2970</v>
      </c>
      <c r="C611" s="14">
        <f t="shared" si="94"/>
        <v>49.5</v>
      </c>
      <c r="D611" s="11">
        <f t="shared" si="95"/>
        <v>916.58272483327471</v>
      </c>
      <c r="E611" s="24">
        <f t="shared" si="87"/>
        <v>908.94039735823389</v>
      </c>
      <c r="F611" s="24">
        <f t="shared" si="89"/>
        <v>191.05818687602039</v>
      </c>
      <c r="G611" s="14">
        <f t="shared" si="90"/>
        <v>2022.8484482577032</v>
      </c>
      <c r="H611" s="24">
        <f t="shared" si="88"/>
        <v>650</v>
      </c>
      <c r="I611" s="12">
        <f t="shared" si="91"/>
        <v>0.27212647667090029</v>
      </c>
      <c r="J611" s="3">
        <f t="shared" si="92"/>
        <v>0.7</v>
      </c>
    </row>
    <row r="612" spans="2:10" x14ac:dyDescent="0.25">
      <c r="B612" s="3">
        <f t="shared" si="93"/>
        <v>2975</v>
      </c>
      <c r="C612" s="14">
        <f t="shared" si="94"/>
        <v>49.583333333333336</v>
      </c>
      <c r="D612" s="11">
        <f t="shared" si="95"/>
        <v>916.83412018798447</v>
      </c>
      <c r="E612" s="24">
        <f t="shared" si="87"/>
        <v>909.2125238349048</v>
      </c>
      <c r="F612" s="24">
        <f t="shared" si="89"/>
        <v>190.53990882699168</v>
      </c>
      <c r="G612" s="14">
        <f t="shared" si="90"/>
        <v>2018.6973156977901</v>
      </c>
      <c r="H612" s="24">
        <f t="shared" si="88"/>
        <v>650</v>
      </c>
      <c r="I612" s="12">
        <f t="shared" si="91"/>
        <v>0.27155252732860363</v>
      </c>
      <c r="J612" s="3">
        <f t="shared" si="92"/>
        <v>0.7</v>
      </c>
    </row>
    <row r="613" spans="2:10" x14ac:dyDescent="0.25">
      <c r="B613" s="3">
        <f t="shared" si="93"/>
        <v>2980</v>
      </c>
      <c r="C613" s="14">
        <f t="shared" si="94"/>
        <v>49.666666666666664</v>
      </c>
      <c r="D613" s="11">
        <f t="shared" si="95"/>
        <v>917.08509444475033</v>
      </c>
      <c r="E613" s="24">
        <f t="shared" si="87"/>
        <v>909.4840763622334</v>
      </c>
      <c r="F613" s="24">
        <f t="shared" si="89"/>
        <v>190.02545206292325</v>
      </c>
      <c r="G613" s="14">
        <f t="shared" si="90"/>
        <v>2014.5774807542377</v>
      </c>
      <c r="H613" s="24">
        <f t="shared" si="88"/>
        <v>650</v>
      </c>
      <c r="I613" s="12">
        <f t="shared" si="91"/>
        <v>0.27098289469177667</v>
      </c>
      <c r="J613" s="3">
        <f t="shared" si="92"/>
        <v>0.7</v>
      </c>
    </row>
    <row r="614" spans="2:10" x14ac:dyDescent="0.25">
      <c r="B614" s="3">
        <f t="shared" si="93"/>
        <v>2985</v>
      </c>
      <c r="C614" s="14">
        <f t="shared" si="94"/>
        <v>49.75</v>
      </c>
      <c r="D614" s="11">
        <f t="shared" si="95"/>
        <v>917.33564901192801</v>
      </c>
      <c r="E614" s="24">
        <f t="shared" si="87"/>
        <v>909.75505925692516</v>
      </c>
      <c r="F614" s="24">
        <f t="shared" si="89"/>
        <v>189.51474387507119</v>
      </c>
      <c r="G614" s="14">
        <f t="shared" si="90"/>
        <v>2010.4882794797124</v>
      </c>
      <c r="H614" s="24">
        <f t="shared" si="88"/>
        <v>650</v>
      </c>
      <c r="I614" s="12">
        <f t="shared" si="91"/>
        <v>0.27041748821295908</v>
      </c>
      <c r="J614" s="3">
        <f t="shared" si="92"/>
        <v>0.7</v>
      </c>
    </row>
    <row r="615" spans="2:10" x14ac:dyDescent="0.25">
      <c r="B615" s="3">
        <f t="shared" si="93"/>
        <v>2990</v>
      </c>
      <c r="C615" s="14">
        <f t="shared" si="94"/>
        <v>49.833333333333336</v>
      </c>
      <c r="D615" s="11">
        <f t="shared" si="95"/>
        <v>917.58578529081922</v>
      </c>
      <c r="E615" s="24">
        <f t="shared" si="87"/>
        <v>910.02547674513812</v>
      </c>
      <c r="F615" s="24">
        <f t="shared" si="89"/>
        <v>189.0077136420274</v>
      </c>
      <c r="G615" s="14">
        <f t="shared" si="90"/>
        <v>2006.4290674821802</v>
      </c>
      <c r="H615" s="24">
        <f t="shared" si="88"/>
        <v>650</v>
      </c>
      <c r="I615" s="12">
        <f t="shared" si="91"/>
        <v>0.26985622000493575</v>
      </c>
      <c r="J615" s="3">
        <f t="shared" si="92"/>
        <v>0.7</v>
      </c>
    </row>
    <row r="616" spans="2:10" x14ac:dyDescent="0.25">
      <c r="B616" s="3">
        <f t="shared" si="93"/>
        <v>2995</v>
      </c>
      <c r="C616" s="14">
        <f t="shared" si="94"/>
        <v>49.916666666666664</v>
      </c>
      <c r="D616" s="11">
        <f t="shared" si="95"/>
        <v>917.83550467571899</v>
      </c>
      <c r="E616" s="24">
        <f t="shared" si="87"/>
        <v>910.29533296514307</v>
      </c>
      <c r="F616" s="24">
        <f t="shared" si="89"/>
        <v>188.50429276439797</v>
      </c>
      <c r="G616" s="14">
        <f t="shared" si="90"/>
        <v>2002.3992193227452</v>
      </c>
      <c r="H616" s="24">
        <f t="shared" si="88"/>
        <v>650</v>
      </c>
      <c r="I616" s="12">
        <f t="shared" si="91"/>
        <v>0.26929900475869156</v>
      </c>
      <c r="J616" s="3">
        <f t="shared" si="92"/>
        <v>0.7</v>
      </c>
    </row>
    <row r="617" spans="2:10" x14ac:dyDescent="0.25">
      <c r="B617" s="3">
        <f t="shared" si="93"/>
        <v>3000</v>
      </c>
      <c r="C617" s="14">
        <f t="shared" si="94"/>
        <v>50</v>
      </c>
      <c r="D617" s="11">
        <f t="shared" si="95"/>
        <v>918.08480855396283</v>
      </c>
      <c r="E617" s="24">
        <f t="shared" si="87"/>
        <v>910.56463196990171</v>
      </c>
      <c r="F617" s="24">
        <f t="shared" si="89"/>
        <v>188.00441460152797</v>
      </c>
      <c r="G617" s="14">
        <f t="shared" si="90"/>
        <v>1998.3981279312782</v>
      </c>
      <c r="H617" s="24">
        <f t="shared" si="88"/>
        <v>650</v>
      </c>
      <c r="I617" s="12">
        <f t="shared" si="91"/>
        <v>0.26874575966380493</v>
      </c>
      <c r="J617" s="3">
        <f t="shared" si="92"/>
        <v>0.7</v>
      </c>
    </row>
    <row r="618" spans="2:10" x14ac:dyDescent="0.25">
      <c r="B618" s="3">
        <f t="shared" si="93"/>
        <v>3005</v>
      </c>
      <c r="C618" s="14">
        <f t="shared" si="94"/>
        <v>50.083333333333336</v>
      </c>
      <c r="D618" s="11">
        <f t="shared" si="95"/>
        <v>918.33369830597258</v>
      </c>
      <c r="E618" s="24">
        <f t="shared" si="87"/>
        <v>910.83337772956554</v>
      </c>
      <c r="F618" s="24">
        <f t="shared" si="89"/>
        <v>187.50801441017586</v>
      </c>
      <c r="G618" s="14">
        <f t="shared" si="90"/>
        <v>1994.4252040394185</v>
      </c>
      <c r="H618" s="24">
        <f t="shared" si="88"/>
        <v>650</v>
      </c>
      <c r="I618" s="12">
        <f t="shared" si="91"/>
        <v>0.26819640433121594</v>
      </c>
      <c r="J618" s="3">
        <f t="shared" si="92"/>
        <v>0.7</v>
      </c>
    </row>
    <row r="619" spans="2:10" x14ac:dyDescent="0.25">
      <c r="B619" s="3">
        <f t="shared" si="93"/>
        <v>3010</v>
      </c>
      <c r="C619" s="14">
        <f t="shared" si="94"/>
        <v>50.166666666666664</v>
      </c>
      <c r="D619" s="11">
        <f t="shared" si="95"/>
        <v>918.5821753053018</v>
      </c>
      <c r="E619" s="24">
        <f t="shared" si="87"/>
        <v>911.10157413389675</v>
      </c>
      <c r="F619" s="24">
        <f t="shared" si="89"/>
        <v>187.01502928512639</v>
      </c>
      <c r="G619" s="14">
        <f t="shared" si="90"/>
        <v>1990.4798756315436</v>
      </c>
      <c r="H619" s="24">
        <f t="shared" si="88"/>
        <v>650</v>
      </c>
      <c r="I619" s="12">
        <f t="shared" si="91"/>
        <v>0.2676508607184418</v>
      </c>
      <c r="J619" s="3">
        <f t="shared" si="92"/>
        <v>0.7</v>
      </c>
    </row>
    <row r="620" spans="2:10" x14ac:dyDescent="0.25">
      <c r="B620" s="3">
        <f t="shared" si="93"/>
        <v>3015</v>
      </c>
      <c r="C620" s="14">
        <f t="shared" si="94"/>
        <v>50.25</v>
      </c>
      <c r="D620" s="11">
        <f t="shared" si="95"/>
        <v>918.83024091868265</v>
      </c>
      <c r="E620" s="24">
        <f t="shared" si="87"/>
        <v>911.36922499461514</v>
      </c>
      <c r="F620" s="24">
        <f t="shared" si="89"/>
        <v>186.52539810168776</v>
      </c>
      <c r="G620" s="14">
        <f t="shared" si="90"/>
        <v>1986.5615874118591</v>
      </c>
      <c r="H620" s="24">
        <f t="shared" si="88"/>
        <v>650</v>
      </c>
      <c r="I620" s="12">
        <f t="shared" si="91"/>
        <v>0.26710905305700505</v>
      </c>
      <c r="J620" s="3">
        <f t="shared" si="92"/>
        <v>0.7</v>
      </c>
    </row>
    <row r="621" spans="2:10" x14ac:dyDescent="0.25">
      <c r="B621" s="3">
        <f t="shared" si="93"/>
        <v>3020</v>
      </c>
      <c r="C621" s="14">
        <f t="shared" si="94"/>
        <v>50.333333333333336</v>
      </c>
      <c r="D621" s="11">
        <f t="shared" si="95"/>
        <v>919.07789650606946</v>
      </c>
      <c r="E621" s="24">
        <f t="shared" si="87"/>
        <v>911.63633404767211</v>
      </c>
      <c r="F621" s="24">
        <f t="shared" si="89"/>
        <v>186.03906145993392</v>
      </c>
      <c r="G621" s="14">
        <f t="shared" si="90"/>
        <v>1982.6698002880917</v>
      </c>
      <c r="H621" s="24">
        <f t="shared" si="88"/>
        <v>650</v>
      </c>
      <c r="I621" s="12">
        <f t="shared" si="91"/>
        <v>0.26657090778211701</v>
      </c>
      <c r="J621" s="3">
        <f t="shared" si="92"/>
        <v>0.7</v>
      </c>
    </row>
    <row r="622" spans="2:10" x14ac:dyDescent="0.25">
      <c r="B622" s="3">
        <f t="shared" si="93"/>
        <v>3025</v>
      </c>
      <c r="C622" s="14">
        <f t="shared" si="94"/>
        <v>50.416666666666664</v>
      </c>
      <c r="D622" s="11">
        <f t="shared" si="95"/>
        <v>919.32514342068396</v>
      </c>
      <c r="E622" s="24">
        <f t="shared" si="87"/>
        <v>911.90290495545423</v>
      </c>
      <c r="F622" s="24">
        <f t="shared" si="89"/>
        <v>185.55596163074313</v>
      </c>
      <c r="G622" s="14">
        <f t="shared" si="90"/>
        <v>1978.8039908702071</v>
      </c>
      <c r="H622" s="24">
        <f t="shared" si="88"/>
        <v>650</v>
      </c>
      <c r="I622" s="12">
        <f t="shared" si="91"/>
        <v>0.26603635346442933</v>
      </c>
      <c r="J622" s="3">
        <f t="shared" si="92"/>
        <v>0.7</v>
      </c>
    </row>
    <row r="623" spans="2:10" x14ac:dyDescent="0.25">
      <c r="B623" s="3">
        <f t="shared" si="93"/>
        <v>3030</v>
      </c>
      <c r="C623" s="14">
        <f t="shared" si="94"/>
        <v>50.5</v>
      </c>
      <c r="D623" s="11">
        <f t="shared" si="95"/>
        <v>919.57198300906055</v>
      </c>
      <c r="E623" s="24">
        <f t="shared" si="87"/>
        <v>912.16894130891865</v>
      </c>
      <c r="F623" s="24">
        <f t="shared" si="89"/>
        <v>185.07604250354746</v>
      </c>
      <c r="G623" s="14">
        <f t="shared" si="90"/>
        <v>1974.9636509855075</v>
      </c>
      <c r="H623" s="24">
        <f t="shared" si="88"/>
        <v>650</v>
      </c>
      <c r="I623" s="12">
        <f t="shared" si="91"/>
        <v>0.26550532074400851</v>
      </c>
      <c r="J623" s="3">
        <f t="shared" si="92"/>
        <v>0.7</v>
      </c>
    </row>
    <row r="624" spans="2:10" x14ac:dyDescent="0.25">
      <c r="B624" s="3">
        <f t="shared" si="93"/>
        <v>3035</v>
      </c>
      <c r="C624" s="14">
        <f t="shared" si="94"/>
        <v>50.583333333333336</v>
      </c>
      <c r="D624" s="11">
        <f t="shared" si="95"/>
        <v>919.81841661108876</v>
      </c>
      <c r="E624" s="24">
        <f t="shared" si="87"/>
        <v>912.4344466296626</v>
      </c>
      <c r="F624" s="24">
        <f t="shared" si="89"/>
        <v>184.59924953565405</v>
      </c>
      <c r="G624" s="14">
        <f t="shared" si="90"/>
        <v>1971.1482872072831</v>
      </c>
      <c r="H624" s="24">
        <f t="shared" si="88"/>
        <v>650</v>
      </c>
      <c r="I624" s="12">
        <f t="shared" si="91"/>
        <v>0.26497774226617005</v>
      </c>
      <c r="J624" s="3">
        <f t="shared" si="92"/>
        <v>0.7</v>
      </c>
    </row>
    <row r="625" spans="2:10" x14ac:dyDescent="0.25">
      <c r="B625" s="3">
        <f t="shared" si="93"/>
        <v>3040</v>
      </c>
      <c r="C625" s="14">
        <f t="shared" si="94"/>
        <v>50.666666666666664</v>
      </c>
      <c r="D625" s="11">
        <f t="shared" si="95"/>
        <v>920.06444556005806</v>
      </c>
      <c r="E625" s="24">
        <f t="shared" si="87"/>
        <v>912.69942437192879</v>
      </c>
      <c r="F625" s="24">
        <f t="shared" si="89"/>
        <v>184.1255297032319</v>
      </c>
      <c r="G625" s="14">
        <f t="shared" si="90"/>
        <v>1967.3574203990456</v>
      </c>
      <c r="H625" s="24">
        <f t="shared" si="88"/>
        <v>650</v>
      </c>
      <c r="I625" s="12">
        <f t="shared" si="91"/>
        <v>0.2644535526194326</v>
      </c>
      <c r="J625" s="3">
        <f t="shared" si="92"/>
        <v>0.7</v>
      </c>
    </row>
    <row r="626" spans="2:10" x14ac:dyDescent="0.25">
      <c r="B626" s="3">
        <f t="shared" si="93"/>
        <v>3045</v>
      </c>
      <c r="C626" s="14">
        <f t="shared" si="94"/>
        <v>50.75</v>
      </c>
      <c r="D626" s="11">
        <f t="shared" si="95"/>
        <v>920.31007118270077</v>
      </c>
      <c r="E626" s="24">
        <f t="shared" ref="E626:E689" si="96">E625+I625</f>
        <v>912.96387792454823</v>
      </c>
      <c r="F626" s="24">
        <f t="shared" si="89"/>
        <v>183.65483145381347</v>
      </c>
      <c r="G626" s="14">
        <f t="shared" si="90"/>
        <v>1963.5905852715241</v>
      </c>
      <c r="H626" s="24">
        <f t="shared" ref="H626:H689" si="97">IF(E626&lt;600,425+0.773*E626-1.69/1000*E626^2+2.22/1000^2*E626^3,IF(E626&lt;735,666+13002/(738-E626),IF(E626&lt;900,545+17820/(E626-731),650)))</f>
        <v>650</v>
      </c>
      <c r="I626" s="12">
        <f t="shared" si="91"/>
        <v>0.2639326882752267</v>
      </c>
      <c r="J626" s="3">
        <f t="shared" si="92"/>
        <v>0.7</v>
      </c>
    </row>
    <row r="627" spans="2:10" x14ac:dyDescent="0.25">
      <c r="B627" s="3">
        <f t="shared" si="93"/>
        <v>3050</v>
      </c>
      <c r="C627" s="14">
        <f t="shared" si="94"/>
        <v>50.833333333333336</v>
      </c>
      <c r="D627" s="11">
        <f t="shared" si="95"/>
        <v>920.55529479923473</v>
      </c>
      <c r="E627" s="24">
        <f t="shared" si="96"/>
        <v>913.22781061282342</v>
      </c>
      <c r="F627" s="24">
        <f t="shared" si="89"/>
        <v>183.18710466028278</v>
      </c>
      <c r="G627" s="14">
        <f t="shared" si="90"/>
        <v>1959.8473299546304</v>
      </c>
      <c r="H627" s="24">
        <f t="shared" si="97"/>
        <v>650</v>
      </c>
      <c r="I627" s="12">
        <f t="shared" si="91"/>
        <v>0.26341508752962672</v>
      </c>
      <c r="J627" s="3">
        <f t="shared" si="92"/>
        <v>0.7</v>
      </c>
    </row>
    <row r="628" spans="2:10" x14ac:dyDescent="0.25">
      <c r="B628" s="3">
        <f t="shared" si="93"/>
        <v>3055</v>
      </c>
      <c r="C628" s="14">
        <f t="shared" si="94"/>
        <v>50.916666666666664</v>
      </c>
      <c r="D628" s="11">
        <f t="shared" si="95"/>
        <v>920.80011772340663</v>
      </c>
      <c r="E628" s="24">
        <f t="shared" si="96"/>
        <v>913.49122570035308</v>
      </c>
      <c r="F628" s="24">
        <f t="shared" si="89"/>
        <v>182.72230057633863</v>
      </c>
      <c r="G628" s="14">
        <f t="shared" si="90"/>
        <v>1956.1272155809668</v>
      </c>
      <c r="H628" s="24">
        <f t="shared" si="97"/>
        <v>650</v>
      </c>
      <c r="I628" s="12">
        <f t="shared" si="91"/>
        <v>0.26290069044668241</v>
      </c>
      <c r="J628" s="3">
        <f t="shared" si="92"/>
        <v>0.7</v>
      </c>
    </row>
    <row r="629" spans="2:10" x14ac:dyDescent="0.25">
      <c r="B629" s="3">
        <f t="shared" si="93"/>
        <v>3060</v>
      </c>
      <c r="C629" s="14">
        <f t="shared" si="94"/>
        <v>51</v>
      </c>
      <c r="D629" s="11">
        <f t="shared" si="95"/>
        <v>921.0445412625329</v>
      </c>
      <c r="E629" s="24">
        <f t="shared" si="96"/>
        <v>913.7541263907998</v>
      </c>
      <c r="F629" s="24">
        <f t="shared" si="89"/>
        <v>182.26037179332764</v>
      </c>
      <c r="G629" s="14">
        <f t="shared" si="90"/>
        <v>1952.4298158830825</v>
      </c>
      <c r="H629" s="24">
        <f t="shared" si="97"/>
        <v>650</v>
      </c>
      <c r="I629" s="12">
        <f t="shared" si="91"/>
        <v>0.2623894388036091</v>
      </c>
      <c r="J629" s="3">
        <f t="shared" si="92"/>
        <v>0.7</v>
      </c>
    </row>
    <row r="630" spans="2:10" x14ac:dyDescent="0.25">
      <c r="B630" s="3">
        <f t="shared" si="93"/>
        <v>3065</v>
      </c>
      <c r="C630" s="14">
        <f t="shared" si="94"/>
        <v>51.083333333333336</v>
      </c>
      <c r="D630" s="11">
        <f t="shared" si="95"/>
        <v>921.28856671754295</v>
      </c>
      <c r="E630" s="24">
        <f t="shared" si="96"/>
        <v>914.01651582960335</v>
      </c>
      <c r="F630" s="24">
        <f t="shared" si="89"/>
        <v>181.80127219848998</v>
      </c>
      <c r="G630" s="14">
        <f t="shared" si="90"/>
        <v>1948.7547168032886</v>
      </c>
      <c r="H630" s="24">
        <f t="shared" si="97"/>
        <v>650</v>
      </c>
      <c r="I630" s="12">
        <f t="shared" si="91"/>
        <v>0.26188127603769507</v>
      </c>
      <c r="J630" s="3">
        <f t="shared" si="92"/>
        <v>0.7</v>
      </c>
    </row>
    <row r="631" spans="2:10" x14ac:dyDescent="0.25">
      <c r="B631" s="3">
        <f t="shared" si="93"/>
        <v>3070</v>
      </c>
      <c r="C631" s="14">
        <f t="shared" si="94"/>
        <v>51.166666666666664</v>
      </c>
      <c r="D631" s="11">
        <f t="shared" si="95"/>
        <v>921.53219538302051</v>
      </c>
      <c r="E631" s="24">
        <f t="shared" si="96"/>
        <v>914.27839710564103</v>
      </c>
      <c r="F631" s="24">
        <f t="shared" si="89"/>
        <v>181.34495693448685</v>
      </c>
      <c r="G631" s="14">
        <f t="shared" si="90"/>
        <v>1945.1015161149182</v>
      </c>
      <c r="H631" s="24">
        <f t="shared" si="97"/>
        <v>650</v>
      </c>
      <c r="I631" s="12">
        <f t="shared" si="91"/>
        <v>0.26137614719477315</v>
      </c>
      <c r="J631" s="3">
        <f t="shared" si="92"/>
        <v>0.7</v>
      </c>
    </row>
    <row r="632" spans="2:10" x14ac:dyDescent="0.25">
      <c r="B632" s="3">
        <f t="shared" si="93"/>
        <v>3075</v>
      </c>
      <c r="C632" s="14">
        <f t="shared" si="94"/>
        <v>51.25</v>
      </c>
      <c r="D632" s="11">
        <f t="shared" si="95"/>
        <v>921.77542854724379</v>
      </c>
      <c r="E632" s="24">
        <f t="shared" si="96"/>
        <v>914.53977325283586</v>
      </c>
      <c r="F632" s="24">
        <f t="shared" si="89"/>
        <v>180.89138236019835</v>
      </c>
      <c r="G632" s="14">
        <f t="shared" si="90"/>
        <v>1941.4698230549018</v>
      </c>
      <c r="H632" s="24">
        <f t="shared" si="97"/>
        <v>650</v>
      </c>
      <c r="I632" s="12">
        <f t="shared" si="91"/>
        <v>0.26087399887923951</v>
      </c>
      <c r="J632" s="3">
        <f t="shared" si="92"/>
        <v>0.7</v>
      </c>
    </row>
    <row r="633" spans="2:10" x14ac:dyDescent="0.25">
      <c r="B633" s="3">
        <f t="shared" si="93"/>
        <v>3080</v>
      </c>
      <c r="C633" s="14">
        <f t="shared" si="94"/>
        <v>51.333333333333336</v>
      </c>
      <c r="D633" s="11">
        <f t="shared" si="95"/>
        <v>922.01826749222755</v>
      </c>
      <c r="E633" s="24">
        <f t="shared" si="96"/>
        <v>914.80064725171508</v>
      </c>
      <c r="F633" s="24">
        <f t="shared" si="89"/>
        <v>180.44050601281185</v>
      </c>
      <c r="G633" s="14">
        <f t="shared" si="90"/>
        <v>1937.8592579689901</v>
      </c>
      <c r="H633" s="24">
        <f t="shared" si="97"/>
        <v>650</v>
      </c>
      <c r="I633" s="12">
        <f t="shared" si="91"/>
        <v>0.26037477920578572</v>
      </c>
      <c r="J633" s="3">
        <f t="shared" si="92"/>
        <v>0.7</v>
      </c>
    </row>
    <row r="634" spans="2:10" x14ac:dyDescent="0.25">
      <c r="B634" s="3">
        <f t="shared" si="93"/>
        <v>3085</v>
      </c>
      <c r="C634" s="14">
        <f t="shared" si="94"/>
        <v>51.416666666666664</v>
      </c>
      <c r="D634" s="11">
        <f t="shared" si="95"/>
        <v>922.26071349376298</v>
      </c>
      <c r="E634" s="24">
        <f t="shared" si="96"/>
        <v>915.06102203092087</v>
      </c>
      <c r="F634" s="24">
        <f t="shared" si="89"/>
        <v>179.99228657105277</v>
      </c>
      <c r="G634" s="14">
        <f t="shared" si="90"/>
        <v>1934.2694519664137</v>
      </c>
      <c r="H634" s="24">
        <f t="shared" si="97"/>
        <v>650</v>
      </c>
      <c r="I634" s="12">
        <f t="shared" si="91"/>
        <v>0.2598784377524308</v>
      </c>
      <c r="J634" s="3">
        <f t="shared" si="92"/>
        <v>0.7</v>
      </c>
    </row>
    <row r="635" spans="2:10" x14ac:dyDescent="0.25">
      <c r="B635" s="3">
        <f t="shared" si="93"/>
        <v>3090</v>
      </c>
      <c r="C635" s="14">
        <f t="shared" si="94"/>
        <v>51.5</v>
      </c>
      <c r="D635" s="11">
        <f t="shared" si="95"/>
        <v>922.50276782145841</v>
      </c>
      <c r="E635" s="24">
        <f t="shared" si="96"/>
        <v>915.32090046867324</v>
      </c>
      <c r="F635" s="24">
        <f t="shared" si="89"/>
        <v>179.54668381962904</v>
      </c>
      <c r="G635" s="14">
        <f t="shared" si="90"/>
        <v>1930.700046586386</v>
      </c>
      <c r="H635" s="24">
        <f t="shared" si="97"/>
        <v>650</v>
      </c>
      <c r="I635" s="12">
        <f t="shared" si="91"/>
        <v>0.25938492551515846</v>
      </c>
      <c r="J635" s="3">
        <f t="shared" si="92"/>
        <v>0.7</v>
      </c>
    </row>
    <row r="636" spans="2:10" x14ac:dyDescent="0.25">
      <c r="B636" s="3">
        <f t="shared" si="93"/>
        <v>3095</v>
      </c>
      <c r="C636" s="14">
        <f t="shared" si="94"/>
        <v>51.583333333333336</v>
      </c>
      <c r="D636" s="11">
        <f t="shared" si="95"/>
        <v>922.7444317387783</v>
      </c>
      <c r="E636" s="24">
        <f t="shared" si="96"/>
        <v>915.58028539418842</v>
      </c>
      <c r="F636" s="24">
        <f t="shared" si="89"/>
        <v>179.10365861474702</v>
      </c>
      <c r="G636" s="14">
        <f t="shared" si="90"/>
        <v>1927.1506934740498</v>
      </c>
      <c r="H636" s="24">
        <f t="shared" si="97"/>
        <v>650</v>
      </c>
      <c r="I636" s="12">
        <f t="shared" si="91"/>
        <v>0.25889419486384702</v>
      </c>
      <c r="J636" s="3">
        <f t="shared" si="92"/>
        <v>0.7</v>
      </c>
    </row>
    <row r="637" spans="2:10" x14ac:dyDescent="0.25">
      <c r="B637" s="3">
        <f t="shared" si="93"/>
        <v>3100</v>
      </c>
      <c r="C637" s="14">
        <f t="shared" si="94"/>
        <v>51.666666666666664</v>
      </c>
      <c r="D637" s="11">
        <f t="shared" si="95"/>
        <v>922.98570650308386</v>
      </c>
      <c r="E637" s="24">
        <f t="shared" si="96"/>
        <v>915.83917958905226</v>
      </c>
      <c r="F637" s="24">
        <f t="shared" si="89"/>
        <v>178.66317285078992</v>
      </c>
      <c r="G637" s="14">
        <f t="shared" si="90"/>
        <v>1923.621054066874</v>
      </c>
      <c r="H637" s="24">
        <f t="shared" si="97"/>
        <v>650</v>
      </c>
      <c r="I637" s="12">
        <f t="shared" si="91"/>
        <v>0.25840619949962629</v>
      </c>
      <c r="J637" s="3">
        <f t="shared" si="92"/>
        <v>0.7</v>
      </c>
    </row>
    <row r="638" spans="2:10" x14ac:dyDescent="0.25">
      <c r="B638" s="3">
        <f t="shared" si="93"/>
        <v>3105</v>
      </c>
      <c r="C638" s="14">
        <f t="shared" si="94"/>
        <v>51.75</v>
      </c>
      <c r="D638" s="11">
        <f t="shared" si="95"/>
        <v>923.22659336567187</v>
      </c>
      <c r="E638" s="24">
        <f t="shared" si="96"/>
        <v>916.0975857885519</v>
      </c>
      <c r="F638" s="24">
        <f t="shared" si="89"/>
        <v>178.22518942799945</v>
      </c>
      <c r="G638" s="14">
        <f t="shared" si="90"/>
        <v>1920.110799290921</v>
      </c>
      <c r="H638" s="24">
        <f t="shared" si="97"/>
        <v>650</v>
      </c>
      <c r="I638" s="12">
        <f t="shared" si="91"/>
        <v>0.25792089441357113</v>
      </c>
      <c r="J638" s="3">
        <f t="shared" si="92"/>
        <v>0.7</v>
      </c>
    </row>
    <row r="639" spans="2:10" x14ac:dyDescent="0.25">
      <c r="B639" s="3">
        <f t="shared" si="93"/>
        <v>3110</v>
      </c>
      <c r="C639" s="14">
        <f t="shared" si="94"/>
        <v>51.833333333333336</v>
      </c>
      <c r="D639" s="11">
        <f t="shared" si="95"/>
        <v>923.46709357181351</v>
      </c>
      <c r="E639" s="24">
        <f t="shared" si="96"/>
        <v>916.35550668296548</v>
      </c>
      <c r="F639" s="24">
        <f t="shared" si="89"/>
        <v>177.78967222120059</v>
      </c>
      <c r="G639" s="14">
        <f t="shared" si="90"/>
        <v>1916.6196092661573</v>
      </c>
      <c r="H639" s="24">
        <f t="shared" si="97"/>
        <v>650</v>
      </c>
      <c r="I639" s="12">
        <f t="shared" si="91"/>
        <v>0.25743823584663539</v>
      </c>
      <c r="J639" s="3">
        <f t="shared" si="92"/>
        <v>0.7</v>
      </c>
    </row>
    <row r="640" spans="2:10" x14ac:dyDescent="0.25">
      <c r="B640" s="3">
        <f t="shared" si="93"/>
        <v>3115</v>
      </c>
      <c r="C640" s="14">
        <f t="shared" si="94"/>
        <v>51.916666666666664</v>
      </c>
      <c r="D640" s="11">
        <f t="shared" si="95"/>
        <v>923.70720836079306</v>
      </c>
      <c r="E640" s="24">
        <f t="shared" si="96"/>
        <v>916.6129449188121</v>
      </c>
      <c r="F640" s="24">
        <f t="shared" si="89"/>
        <v>177.35658604952391</v>
      </c>
      <c r="G640" s="14">
        <f t="shared" si="90"/>
        <v>1913.1471730206868</v>
      </c>
      <c r="H640" s="24">
        <f t="shared" si="97"/>
        <v>650</v>
      </c>
      <c r="I640" s="12">
        <f t="shared" si="91"/>
        <v>0.256958181250804</v>
      </c>
      <c r="J640" s="3">
        <f t="shared" si="92"/>
        <v>0.7</v>
      </c>
    </row>
    <row r="641" spans="2:10" x14ac:dyDescent="0.25">
      <c r="B641" s="3">
        <f t="shared" si="93"/>
        <v>3120</v>
      </c>
      <c r="C641" s="14">
        <f t="shared" si="94"/>
        <v>52</v>
      </c>
      <c r="D641" s="11">
        <f t="shared" si="95"/>
        <v>923.94693896594617</v>
      </c>
      <c r="E641" s="24">
        <f t="shared" si="96"/>
        <v>916.86990310006286</v>
      </c>
      <c r="F641" s="24">
        <f t="shared" si="89"/>
        <v>176.92589664708294</v>
      </c>
      <c r="G641" s="14">
        <f t="shared" si="90"/>
        <v>1909.6931882147037</v>
      </c>
      <c r="H641" s="24">
        <f t="shared" si="97"/>
        <v>650</v>
      </c>
      <c r="I641" s="12">
        <f t="shared" si="91"/>
        <v>0.25648068925155859</v>
      </c>
      <c r="J641" s="3">
        <f t="shared" si="92"/>
        <v>0.7</v>
      </c>
    </row>
    <row r="642" spans="2:10" x14ac:dyDescent="0.25">
      <c r="B642" s="3">
        <f t="shared" si="93"/>
        <v>3125</v>
      </c>
      <c r="C642" s="14">
        <f t="shared" si="94"/>
        <v>52.083333333333336</v>
      </c>
      <c r="D642" s="11">
        <f t="shared" si="95"/>
        <v>924.18628661469813</v>
      </c>
      <c r="E642" s="24">
        <f t="shared" si="96"/>
        <v>917.12638378931445</v>
      </c>
      <c r="F642" s="24">
        <f t="shared" si="89"/>
        <v>176.49757063459219</v>
      </c>
      <c r="G642" s="14">
        <f t="shared" si="90"/>
        <v>1906.2573608724401</v>
      </c>
      <c r="H642" s="24">
        <f t="shared" si="97"/>
        <v>650</v>
      </c>
      <c r="I642" s="12">
        <f t="shared" si="91"/>
        <v>0.25600571961144014</v>
      </c>
      <c r="J642" s="3">
        <f t="shared" si="92"/>
        <v>0.7</v>
      </c>
    </row>
    <row r="643" spans="2:10" x14ac:dyDescent="0.25">
      <c r="B643" s="3">
        <f t="shared" si="93"/>
        <v>3130</v>
      </c>
      <c r="C643" s="14">
        <f t="shared" si="94"/>
        <v>52.166666666666664</v>
      </c>
      <c r="D643" s="11">
        <f t="shared" si="95"/>
        <v>924.42525252860116</v>
      </c>
      <c r="E643" s="24">
        <f t="shared" si="96"/>
        <v>917.38238950892594</v>
      </c>
      <c r="F643" s="24">
        <f t="shared" si="89"/>
        <v>176.07157549188059</v>
      </c>
      <c r="G643" s="14">
        <f t="shared" si="90"/>
        <v>1902.8394051222429</v>
      </c>
      <c r="H643" s="24">
        <f t="shared" si="97"/>
        <v>650</v>
      </c>
      <c r="I643" s="12">
        <f t="shared" si="91"/>
        <v>0.25553323319472177</v>
      </c>
      <c r="J643" s="3">
        <f t="shared" si="92"/>
        <v>0.7</v>
      </c>
    </row>
    <row r="644" spans="2:10" x14ac:dyDescent="0.25">
      <c r="B644" s="3">
        <f t="shared" si="93"/>
        <v>3135</v>
      </c>
      <c r="C644" s="14">
        <f t="shared" si="94"/>
        <v>52.25</v>
      </c>
      <c r="D644" s="11">
        <f t="shared" si="95"/>
        <v>924.66383792337183</v>
      </c>
      <c r="E644" s="24">
        <f t="shared" si="96"/>
        <v>917.63792274212062</v>
      </c>
      <c r="F644" s="24">
        <f t="shared" si="89"/>
        <v>175.64787953128018</v>
      </c>
      <c r="G644" s="14">
        <f t="shared" si="90"/>
        <v>1899.4390429451773</v>
      </c>
      <c r="H644" s="24">
        <f t="shared" si="97"/>
        <v>650</v>
      </c>
      <c r="I644" s="12">
        <f t="shared" si="91"/>
        <v>0.25506319193323707</v>
      </c>
      <c r="J644" s="3">
        <f t="shared" si="92"/>
        <v>0.7</v>
      </c>
    </row>
    <row r="645" spans="2:10" x14ac:dyDescent="0.25">
      <c r="B645" s="3">
        <f t="shared" si="93"/>
        <v>3140</v>
      </c>
      <c r="C645" s="14">
        <f t="shared" si="94"/>
        <v>52.333333333333336</v>
      </c>
      <c r="D645" s="11">
        <f t="shared" si="95"/>
        <v>924.9020440089289</v>
      </c>
      <c r="E645" s="24">
        <f t="shared" si="96"/>
        <v>917.89298593405385</v>
      </c>
      <c r="F645" s="24">
        <f t="shared" si="89"/>
        <v>175.22645187187607</v>
      </c>
      <c r="G645" s="14">
        <f t="shared" si="90"/>
        <v>1896.0560039314712</v>
      </c>
      <c r="H645" s="24">
        <f t="shared" si="97"/>
        <v>650</v>
      </c>
      <c r="I645" s="12">
        <f t="shared" si="91"/>
        <v>0.25459555879327728</v>
      </c>
      <c r="J645" s="3">
        <f t="shared" si="92"/>
        <v>0.7</v>
      </c>
    </row>
    <row r="646" spans="2:10" x14ac:dyDescent="0.25">
      <c r="B646" s="3">
        <f t="shared" si="93"/>
        <v>3145</v>
      </c>
      <c r="C646" s="14">
        <f t="shared" si="94"/>
        <v>52.416666666666664</v>
      </c>
      <c r="D646" s="11">
        <f t="shared" si="95"/>
        <v>925.13987198942959</v>
      </c>
      <c r="E646" s="24">
        <f t="shared" si="96"/>
        <v>918.14758149284717</v>
      </c>
      <c r="F646" s="24">
        <f t="shared" si="89"/>
        <v>174.80726241456068</v>
      </c>
      <c r="G646" s="14">
        <f t="shared" si="90"/>
        <v>1892.690025044041</v>
      </c>
      <c r="H646" s="24">
        <f t="shared" si="97"/>
        <v>650</v>
      </c>
      <c r="I646" s="12">
        <f t="shared" si="91"/>
        <v>0.25413029774345908</v>
      </c>
      <c r="J646" s="3">
        <f t="shared" si="92"/>
        <v>0.7</v>
      </c>
    </row>
    <row r="647" spans="2:10" x14ac:dyDescent="0.25">
      <c r="B647" s="3">
        <f t="shared" si="93"/>
        <v>3150</v>
      </c>
      <c r="C647" s="14">
        <f t="shared" si="94"/>
        <v>52.5</v>
      </c>
      <c r="D647" s="11">
        <f t="shared" si="95"/>
        <v>925.37732306330543</v>
      </c>
      <c r="E647" s="24">
        <f t="shared" si="96"/>
        <v>918.40171179059064</v>
      </c>
      <c r="F647" s="24">
        <f t="shared" si="89"/>
        <v>174.39028181786966</v>
      </c>
      <c r="G647" s="14">
        <f t="shared" si="90"/>
        <v>1889.3408503900712</v>
      </c>
      <c r="H647" s="24">
        <f t="shared" si="97"/>
        <v>650</v>
      </c>
      <c r="I647" s="12">
        <f t="shared" si="91"/>
        <v>0.25366737372367715</v>
      </c>
      <c r="J647" s="3">
        <f t="shared" si="92"/>
        <v>0.7</v>
      </c>
    </row>
    <row r="648" spans="2:10" x14ac:dyDescent="0.25">
      <c r="B648" s="3">
        <f t="shared" si="93"/>
        <v>3155</v>
      </c>
      <c r="C648" s="14">
        <f t="shared" si="94"/>
        <v>52.583333333333336</v>
      </c>
      <c r="D648" s="11">
        <f t="shared" si="95"/>
        <v>925.61439842330003</v>
      </c>
      <c r="E648" s="24">
        <f t="shared" si="96"/>
        <v>918.65537916431435</v>
      </c>
      <c r="F648" s="24">
        <f t="shared" si="89"/>
        <v>173.97548147464192</v>
      </c>
      <c r="G648" s="14">
        <f t="shared" si="90"/>
        <v>1886.0082309990266</v>
      </c>
      <c r="H648" s="24">
        <f t="shared" si="97"/>
        <v>650</v>
      </c>
      <c r="I648" s="12">
        <f t="shared" si="91"/>
        <v>0.25320675261494963</v>
      </c>
      <c r="J648" s="3">
        <f t="shared" si="92"/>
        <v>0.7</v>
      </c>
    </row>
    <row r="649" spans="2:10" x14ac:dyDescent="0.25">
      <c r="B649" s="3">
        <f t="shared" si="93"/>
        <v>3160</v>
      </c>
      <c r="C649" s="14">
        <f t="shared" si="94"/>
        <v>52.666666666666664</v>
      </c>
      <c r="D649" s="11">
        <f t="shared" si="95"/>
        <v>925.85109925650374</v>
      </c>
      <c r="E649" s="24">
        <f t="shared" si="96"/>
        <v>918.90858591692927</v>
      </c>
      <c r="F649" s="24">
        <f t="shared" si="89"/>
        <v>173.56283348936188</v>
      </c>
      <c r="G649" s="14">
        <f t="shared" si="90"/>
        <v>1882.6919246087486</v>
      </c>
      <c r="H649" s="24">
        <f t="shared" si="97"/>
        <v>650</v>
      </c>
      <c r="I649" s="12">
        <f t="shared" si="91"/>
        <v>0.25274840121034042</v>
      </c>
      <c r="J649" s="3">
        <f t="shared" si="92"/>
        <v>0.7</v>
      </c>
    </row>
    <row r="650" spans="2:10" x14ac:dyDescent="0.25">
      <c r="B650" s="3">
        <f t="shared" si="93"/>
        <v>3165</v>
      </c>
      <c r="C650" s="14">
        <f t="shared" si="94"/>
        <v>52.75</v>
      </c>
      <c r="D650" s="11">
        <f t="shared" si="95"/>
        <v>926.0874267443894</v>
      </c>
      <c r="E650" s="24">
        <f t="shared" si="96"/>
        <v>919.16133431813967</v>
      </c>
      <c r="F650" s="24">
        <f t="shared" si="89"/>
        <v>173.15231065624346</v>
      </c>
      <c r="G650" s="14">
        <f t="shared" si="90"/>
        <v>1879.3916954559081</v>
      </c>
      <c r="H650" s="24">
        <f t="shared" si="97"/>
        <v>650</v>
      </c>
      <c r="I650" s="12">
        <f t="shared" si="91"/>
        <v>0.25229228718650876</v>
      </c>
      <c r="J650" s="3">
        <f t="shared" si="92"/>
        <v>0.7</v>
      </c>
    </row>
    <row r="651" spans="2:10" x14ac:dyDescent="0.25">
      <c r="B651" s="3">
        <f t="shared" si="93"/>
        <v>3170</v>
      </c>
      <c r="C651" s="14">
        <f t="shared" si="94"/>
        <v>52.833333333333336</v>
      </c>
      <c r="D651" s="11">
        <f t="shared" si="95"/>
        <v>926.32338206284919</v>
      </c>
      <c r="E651" s="24">
        <f t="shared" si="96"/>
        <v>919.41362660532616</v>
      </c>
      <c r="F651" s="24">
        <f t="shared" si="89"/>
        <v>172.74388643807583</v>
      </c>
      <c r="G651" s="14">
        <f t="shared" si="90"/>
        <v>1876.1073140767528</v>
      </c>
      <c r="H651" s="24">
        <f t="shared" si="97"/>
        <v>650</v>
      </c>
      <c r="I651" s="12">
        <f t="shared" si="91"/>
        <v>0.2518383790766171</v>
      </c>
      <c r="J651" s="3">
        <f t="shared" si="92"/>
        <v>0.7</v>
      </c>
    </row>
    <row r="652" spans="2:10" x14ac:dyDescent="0.25">
      <c r="B652" s="3">
        <f t="shared" si="93"/>
        <v>3175</v>
      </c>
      <c r="C652" s="14">
        <f t="shared" si="94"/>
        <v>52.916666666666664</v>
      </c>
      <c r="D652" s="11">
        <f t="shared" si="95"/>
        <v>926.55896638222748</v>
      </c>
      <c r="E652" s="24">
        <f t="shared" si="96"/>
        <v>919.66546498440277</v>
      </c>
      <c r="F652" s="24">
        <f t="shared" si="89"/>
        <v>172.33753494561768</v>
      </c>
      <c r="G652" s="14">
        <f t="shared" si="90"/>
        <v>1872.8385571096157</v>
      </c>
      <c r="H652" s="24">
        <f t="shared" si="97"/>
        <v>650</v>
      </c>
      <c r="I652" s="12">
        <f t="shared" si="91"/>
        <v>0.25138664624352375</v>
      </c>
      <c r="J652" s="3">
        <f t="shared" si="92"/>
        <v>0.7</v>
      </c>
    </row>
    <row r="653" spans="2:10" x14ac:dyDescent="0.25">
      <c r="B653" s="3">
        <f t="shared" si="93"/>
        <v>3180</v>
      </c>
      <c r="C653" s="14">
        <f t="shared" si="94"/>
        <v>53</v>
      </c>
      <c r="D653" s="11">
        <f t="shared" si="95"/>
        <v>926.79418086735745</v>
      </c>
      <c r="E653" s="24">
        <f t="shared" si="96"/>
        <v>919.91685163064631</v>
      </c>
      <c r="F653" s="24">
        <f t="shared" si="89"/>
        <v>171.9332309177787</v>
      </c>
      <c r="G653" s="14">
        <f t="shared" si="90"/>
        <v>1869.5852071076383</v>
      </c>
      <c r="H653" s="24">
        <f t="shared" si="97"/>
        <v>650</v>
      </c>
      <c r="I653" s="12">
        <f t="shared" si="91"/>
        <v>0.25093705885432704</v>
      </c>
      <c r="J653" s="3">
        <f t="shared" si="92"/>
        <v>0.7</v>
      </c>
    </row>
    <row r="654" spans="2:10" x14ac:dyDescent="0.25">
      <c r="B654" s="3">
        <f t="shared" si="93"/>
        <v>3185</v>
      </c>
      <c r="C654" s="14">
        <f t="shared" si="94"/>
        <v>53.083333333333336</v>
      </c>
      <c r="D654" s="11">
        <f t="shared" si="95"/>
        <v>927.02902667759452</v>
      </c>
      <c r="E654" s="24">
        <f t="shared" si="96"/>
        <v>920.16778868950064</v>
      </c>
      <c r="F654" s="24">
        <f t="shared" si="89"/>
        <v>171.5309497023469</v>
      </c>
      <c r="G654" s="14">
        <f t="shared" si="90"/>
        <v>1866.347052354806</v>
      </c>
      <c r="H654" s="24">
        <f t="shared" si="97"/>
        <v>650</v>
      </c>
      <c r="I654" s="12">
        <f t="shared" si="91"/>
        <v>0.25048958785538411</v>
      </c>
      <c r="J654" s="3">
        <f t="shared" si="92"/>
        <v>0.7</v>
      </c>
    </row>
    <row r="655" spans="2:10" x14ac:dyDescent="0.25">
      <c r="B655" s="3">
        <f t="shared" si="93"/>
        <v>3190</v>
      </c>
      <c r="C655" s="14">
        <f t="shared" si="94"/>
        <v>53.166666666666664</v>
      </c>
      <c r="D655" s="11">
        <f t="shared" si="95"/>
        <v>927.263504966852</v>
      </c>
      <c r="E655" s="24">
        <f t="shared" si="96"/>
        <v>920.41827827735608</v>
      </c>
      <c r="F655" s="24">
        <f t="shared" si="89"/>
        <v>171.13066723739792</v>
      </c>
      <c r="G655" s="14">
        <f t="shared" si="90"/>
        <v>1863.1238866888655</v>
      </c>
      <c r="H655" s="24">
        <f t="shared" si="97"/>
        <v>650</v>
      </c>
      <c r="I655" s="12">
        <f t="shared" si="91"/>
        <v>0.2500442049482593</v>
      </c>
      <c r="J655" s="3">
        <f t="shared" si="92"/>
        <v>0.7</v>
      </c>
    </row>
    <row r="656" spans="2:10" x14ac:dyDescent="0.25">
      <c r="B656" s="3">
        <f t="shared" si="93"/>
        <v>3195</v>
      </c>
      <c r="C656" s="14">
        <f t="shared" si="94"/>
        <v>53.25</v>
      </c>
      <c r="D656" s="11">
        <f t="shared" si="95"/>
        <v>927.4976168836331</v>
      </c>
      <c r="E656" s="24">
        <f t="shared" si="96"/>
        <v>920.66832248230435</v>
      </c>
      <c r="F656" s="24">
        <f t="shared" si="89"/>
        <v>170.73236003321881</v>
      </c>
      <c r="G656" s="14">
        <f t="shared" si="90"/>
        <v>1859.9155093291338</v>
      </c>
      <c r="H656" s="24">
        <f t="shared" si="97"/>
        <v>650</v>
      </c>
      <c r="I656" s="12">
        <f t="shared" si="91"/>
        <v>0.24960088256633733</v>
      </c>
      <c r="J656" s="3">
        <f t="shared" si="92"/>
        <v>0.7</v>
      </c>
    </row>
    <row r="657" spans="2:10" x14ac:dyDescent="0.25">
      <c r="B657" s="3">
        <f t="shared" si="93"/>
        <v>3200</v>
      </c>
      <c r="C657" s="14">
        <f t="shared" si="94"/>
        <v>53.333333333333336</v>
      </c>
      <c r="D657" s="11">
        <f t="shared" si="95"/>
        <v>927.73136357106671</v>
      </c>
      <c r="E657" s="24">
        <f t="shared" si="96"/>
        <v>920.91792336487072</v>
      </c>
      <c r="F657" s="24">
        <f t="shared" ref="F657:F720" si="98">AlphaC*(D657-E657)</f>
        <v>170.33600515489979</v>
      </c>
      <c r="G657" s="14">
        <f t="shared" ref="G657:G720" si="99">Phi*EpsilonF*Botzman/10^8*J657*((D657+273)^4-(E657+273)^4)</f>
        <v>1856.721724710801</v>
      </c>
      <c r="H657" s="24">
        <f t="shared" si="97"/>
        <v>650</v>
      </c>
      <c r="I657" s="12">
        <f t="shared" ref="I657:I720" si="100">ksh*Massivete/(H657*RhoA)*DeltaT*(F657+G657)</f>
        <v>0.24915959385231626</v>
      </c>
      <c r="J657" s="3">
        <f t="shared" ref="J657:J720" si="101">IF(E657&lt;=500,IF(Galva=Oui,0.35,0.7),0.7)</f>
        <v>0.7</v>
      </c>
    </row>
    <row r="658" spans="2:10" x14ac:dyDescent="0.25">
      <c r="B658" s="3">
        <f t="shared" ref="B658:B721" si="102">B657+DeltaT</f>
        <v>3205</v>
      </c>
      <c r="C658" s="14">
        <f t="shared" ref="C658:C721" si="103">B658/60</f>
        <v>53.416666666666664</v>
      </c>
      <c r="D658" s="11">
        <f t="shared" ref="D658:D721" si="104">20+345*LOG(8*C658+1,10)</f>
        <v>927.96474616693956</v>
      </c>
      <c r="E658" s="24">
        <f t="shared" si="96"/>
        <v>921.16708295872309</v>
      </c>
      <c r="F658" s="24">
        <f t="shared" si="98"/>
        <v>169.94158020541192</v>
      </c>
      <c r="G658" s="14">
        <f t="shared" si="99"/>
        <v>1853.5423423230586</v>
      </c>
      <c r="H658" s="24">
        <f t="shared" si="97"/>
        <v>650</v>
      </c>
      <c r="I658" s="12">
        <f t="shared" si="100"/>
        <v>0.24872031263623084</v>
      </c>
      <c r="J658" s="3">
        <f t="shared" si="101"/>
        <v>0.7</v>
      </c>
    </row>
    <row r="659" spans="2:10" x14ac:dyDescent="0.25">
      <c r="B659" s="3">
        <f t="shared" si="102"/>
        <v>3210</v>
      </c>
      <c r="C659" s="14">
        <f t="shared" si="103"/>
        <v>53.5</v>
      </c>
      <c r="D659" s="11">
        <f t="shared" si="104"/>
        <v>928.19776580372979</v>
      </c>
      <c r="E659" s="24">
        <f t="shared" si="96"/>
        <v>921.41580327135932</v>
      </c>
      <c r="F659" s="24">
        <f t="shared" si="98"/>
        <v>169.54906330926178</v>
      </c>
      <c r="G659" s="14">
        <f t="shared" si="99"/>
        <v>1850.3771765533058</v>
      </c>
      <c r="H659" s="24">
        <f t="shared" si="97"/>
        <v>650</v>
      </c>
      <c r="I659" s="12">
        <f t="shared" si="100"/>
        <v>0.24828301341429379</v>
      </c>
      <c r="J659" s="3">
        <f t="shared" si="101"/>
        <v>0.7</v>
      </c>
    </row>
    <row r="660" spans="2:10" x14ac:dyDescent="0.25">
      <c r="B660" s="3">
        <f t="shared" si="102"/>
        <v>3215</v>
      </c>
      <c r="C660" s="14">
        <f t="shared" si="103"/>
        <v>53.583333333333336</v>
      </c>
      <c r="D660" s="11">
        <f t="shared" si="104"/>
        <v>928.43042360864047</v>
      </c>
      <c r="E660" s="24">
        <f t="shared" si="96"/>
        <v>921.66408628477359</v>
      </c>
      <c r="F660" s="24">
        <f t="shared" si="98"/>
        <v>169.15843309667196</v>
      </c>
      <c r="G660" s="14">
        <f t="shared" si="99"/>
        <v>1847.2260465362283</v>
      </c>
      <c r="H660" s="24">
        <f t="shared" si="97"/>
        <v>650</v>
      </c>
      <c r="I660" s="12">
        <f t="shared" si="100"/>
        <v>0.24784767132840033</v>
      </c>
      <c r="J660" s="3">
        <f t="shared" si="101"/>
        <v>0.7</v>
      </c>
    </row>
    <row r="661" spans="2:10" x14ac:dyDescent="0.25">
      <c r="B661" s="3">
        <f t="shared" si="102"/>
        <v>3220</v>
      </c>
      <c r="C661" s="14">
        <f t="shared" si="103"/>
        <v>53.666666666666664</v>
      </c>
      <c r="D661" s="11">
        <f t="shared" si="104"/>
        <v>928.66272070363129</v>
      </c>
      <c r="E661" s="24">
        <f t="shared" si="96"/>
        <v>921.91193395610196</v>
      </c>
      <c r="F661" s="24">
        <f t="shared" si="98"/>
        <v>168.76966868823331</v>
      </c>
      <c r="G661" s="14">
        <f t="shared" si="99"/>
        <v>1844.0887760066948</v>
      </c>
      <c r="H661" s="24">
        <f t="shared" si="97"/>
        <v>650</v>
      </c>
      <c r="I661" s="12">
        <f t="shared" si="100"/>
        <v>0.24741426214616039</v>
      </c>
      <c r="J661" s="3">
        <f t="shared" si="101"/>
        <v>0.7</v>
      </c>
    </row>
    <row r="662" spans="2:10" x14ac:dyDescent="0.25">
      <c r="B662" s="3">
        <f t="shared" si="102"/>
        <v>3225</v>
      </c>
      <c r="C662" s="14">
        <f t="shared" si="103"/>
        <v>53.75</v>
      </c>
      <c r="D662" s="11">
        <f t="shared" si="104"/>
        <v>928.89465820545217</v>
      </c>
      <c r="E662" s="24">
        <f t="shared" si="96"/>
        <v>922.15934821824817</v>
      </c>
      <c r="F662" s="24">
        <f t="shared" si="98"/>
        <v>168.38274968010012</v>
      </c>
      <c r="G662" s="14">
        <f t="shared" si="99"/>
        <v>1840.965193158866</v>
      </c>
      <c r="H662" s="24">
        <f t="shared" si="97"/>
        <v>650</v>
      </c>
      <c r="I662" s="12">
        <f t="shared" si="100"/>
        <v>0.24698276224176088</v>
      </c>
      <c r="J662" s="3">
        <f t="shared" si="101"/>
        <v>0.7</v>
      </c>
    </row>
    <row r="663" spans="2:10" x14ac:dyDescent="0.25">
      <c r="B663" s="3">
        <f t="shared" si="102"/>
        <v>3230</v>
      </c>
      <c r="C663" s="14">
        <f t="shared" si="103"/>
        <v>53.833333333333336</v>
      </c>
      <c r="D663" s="11">
        <f t="shared" si="104"/>
        <v>929.1262372256748</v>
      </c>
      <c r="E663" s="24">
        <f t="shared" si="96"/>
        <v>922.40633098048988</v>
      </c>
      <c r="F663" s="24">
        <f t="shared" si="98"/>
        <v>167.9976561296229</v>
      </c>
      <c r="G663" s="14">
        <f t="shared" si="99"/>
        <v>1837.8551305080057</v>
      </c>
      <c r="H663" s="24">
        <f t="shared" si="97"/>
        <v>650</v>
      </c>
      <c r="I663" s="12">
        <f t="shared" si="100"/>
        <v>0.24655314857721403</v>
      </c>
      <c r="J663" s="3">
        <f t="shared" si="101"/>
        <v>0.7</v>
      </c>
    </row>
    <row r="664" spans="2:10" x14ac:dyDescent="0.25">
      <c r="B664" s="3">
        <f t="shared" si="102"/>
        <v>3235</v>
      </c>
      <c r="C664" s="14">
        <f t="shared" si="103"/>
        <v>53.916666666666664</v>
      </c>
      <c r="D664" s="11">
        <f t="shared" si="104"/>
        <v>929.35745887072392</v>
      </c>
      <c r="E664" s="24">
        <f t="shared" si="96"/>
        <v>922.65288412906705</v>
      </c>
      <c r="F664" s="24">
        <f t="shared" si="98"/>
        <v>167.61436854142175</v>
      </c>
      <c r="G664" s="14">
        <f t="shared" si="99"/>
        <v>1834.7584247580005</v>
      </c>
      <c r="H664" s="24">
        <f t="shared" si="97"/>
        <v>650</v>
      </c>
      <c r="I664" s="12">
        <f t="shared" si="100"/>
        <v>0.24612539868436134</v>
      </c>
      <c r="J664" s="3">
        <f t="shared" si="101"/>
        <v>0.7</v>
      </c>
    </row>
    <row r="665" spans="2:10" x14ac:dyDescent="0.25">
      <c r="B665" s="3">
        <f t="shared" si="102"/>
        <v>3240</v>
      </c>
      <c r="C665" s="14">
        <f t="shared" si="103"/>
        <v>54</v>
      </c>
      <c r="D665" s="11">
        <f t="shared" si="104"/>
        <v>929.58832424191098</v>
      </c>
      <c r="E665" s="24">
        <f t="shared" si="96"/>
        <v>922.89900952775145</v>
      </c>
      <c r="F665" s="24">
        <f t="shared" si="98"/>
        <v>167.23286785398841</v>
      </c>
      <c r="G665" s="14">
        <f t="shared" si="99"/>
        <v>1831.6749166724931</v>
      </c>
      <c r="H665" s="24">
        <f t="shared" si="97"/>
        <v>650</v>
      </c>
      <c r="I665" s="12">
        <f t="shared" si="100"/>
        <v>0.24569949064738708</v>
      </c>
      <c r="J665" s="3">
        <f t="shared" si="101"/>
        <v>0.7</v>
      </c>
    </row>
    <row r="666" spans="2:10" x14ac:dyDescent="0.25">
      <c r="B666" s="3">
        <f t="shared" si="102"/>
        <v>3245</v>
      </c>
      <c r="C666" s="14">
        <f t="shared" si="103"/>
        <v>54.083333333333336</v>
      </c>
      <c r="D666" s="11">
        <f t="shared" si="104"/>
        <v>929.81883443546371</v>
      </c>
      <c r="E666" s="24">
        <f t="shared" si="96"/>
        <v>923.14470901839888</v>
      </c>
      <c r="F666" s="24">
        <f t="shared" si="98"/>
        <v>166.85313542662072</v>
      </c>
      <c r="G666" s="14">
        <f t="shared" si="99"/>
        <v>1828.6044509500168</v>
      </c>
      <c r="H666" s="24">
        <f t="shared" si="97"/>
        <v>650</v>
      </c>
      <c r="I666" s="12">
        <f t="shared" si="100"/>
        <v>0.24527540308586407</v>
      </c>
      <c r="J666" s="3">
        <f t="shared" si="101"/>
        <v>0.7</v>
      </c>
    </row>
    <row r="667" spans="2:10" x14ac:dyDescent="0.25">
      <c r="B667" s="3">
        <f t="shared" si="102"/>
        <v>3250</v>
      </c>
      <c r="C667" s="14">
        <f t="shared" si="103"/>
        <v>54.166666666666664</v>
      </c>
      <c r="D667" s="11">
        <f t="shared" si="104"/>
        <v>930.04899054255793</v>
      </c>
      <c r="E667" s="24">
        <f t="shared" si="96"/>
        <v>923.38998442148477</v>
      </c>
      <c r="F667" s="24">
        <f t="shared" si="98"/>
        <v>166.47515302682905</v>
      </c>
      <c r="G667" s="14">
        <f t="shared" si="99"/>
        <v>1825.5468761031736</v>
      </c>
      <c r="H667" s="24">
        <f t="shared" si="97"/>
        <v>650</v>
      </c>
      <c r="I667" s="12">
        <f t="shared" si="100"/>
        <v>0.24485311513835473</v>
      </c>
      <c r="J667" s="3">
        <f t="shared" si="101"/>
        <v>0.7</v>
      </c>
    </row>
    <row r="668" spans="2:10" x14ac:dyDescent="0.25">
      <c r="B668" s="3">
        <f t="shared" si="102"/>
        <v>3255</v>
      </c>
      <c r="C668" s="14">
        <f t="shared" si="103"/>
        <v>54.25</v>
      </c>
      <c r="D668" s="11">
        <f t="shared" si="104"/>
        <v>930.27879364934972</v>
      </c>
      <c r="E668" s="24">
        <f t="shared" si="96"/>
        <v>923.63483753662308</v>
      </c>
      <c r="F668" s="24">
        <f t="shared" si="98"/>
        <v>166.09890281816604</v>
      </c>
      <c r="G668" s="14">
        <f t="shared" si="99"/>
        <v>1822.5020443422461</v>
      </c>
      <c r="H668" s="24">
        <f t="shared" si="97"/>
        <v>650</v>
      </c>
      <c r="I668" s="12">
        <f t="shared" si="100"/>
        <v>0.24443260644660908</v>
      </c>
      <c r="J668" s="3">
        <f t="shared" si="101"/>
        <v>0.7</v>
      </c>
    </row>
    <row r="669" spans="2:10" x14ac:dyDescent="0.25">
      <c r="B669" s="3">
        <f t="shared" si="102"/>
        <v>3260</v>
      </c>
      <c r="C669" s="14">
        <f t="shared" si="103"/>
        <v>54.333333333333336</v>
      </c>
      <c r="D669" s="11">
        <f t="shared" si="104"/>
        <v>930.50824483700433</v>
      </c>
      <c r="E669" s="24">
        <f t="shared" si="96"/>
        <v>923.87927014306968</v>
      </c>
      <c r="F669" s="24">
        <f t="shared" si="98"/>
        <v>165.72436734836629</v>
      </c>
      <c r="G669" s="14">
        <f t="shared" si="99"/>
        <v>1819.469811461207</v>
      </c>
      <c r="H669" s="24">
        <f t="shared" si="97"/>
        <v>650</v>
      </c>
      <c r="I669" s="12">
        <f t="shared" si="100"/>
        <v>0.24401385714009569</v>
      </c>
      <c r="J669" s="3">
        <f t="shared" si="101"/>
        <v>0.7</v>
      </c>
    </row>
    <row r="670" spans="2:10" x14ac:dyDescent="0.25">
      <c r="B670" s="3">
        <f t="shared" si="102"/>
        <v>3265</v>
      </c>
      <c r="C670" s="14">
        <f t="shared" si="103"/>
        <v>54.416666666666664</v>
      </c>
      <c r="D670" s="11">
        <f t="shared" si="104"/>
        <v>930.73734518172716</v>
      </c>
      <c r="E670" s="24">
        <f t="shared" si="96"/>
        <v>924.12328400020976</v>
      </c>
      <c r="F670" s="24">
        <f t="shared" si="98"/>
        <v>165.35152953793499</v>
      </c>
      <c r="G670" s="14">
        <f t="shared" si="99"/>
        <v>1816.4500367280466</v>
      </c>
      <c r="H670" s="24">
        <f t="shared" si="97"/>
        <v>650</v>
      </c>
      <c r="I670" s="12">
        <f t="shared" si="100"/>
        <v>0.24359684782111807</v>
      </c>
      <c r="J670" s="3">
        <f t="shared" si="101"/>
        <v>0.7</v>
      </c>
    </row>
    <row r="671" spans="2:10" x14ac:dyDescent="0.25">
      <c r="B671" s="3">
        <f t="shared" si="102"/>
        <v>3270</v>
      </c>
      <c r="C671" s="14">
        <f t="shared" si="103"/>
        <v>54.5</v>
      </c>
      <c r="D671" s="11">
        <f t="shared" si="104"/>
        <v>930.96609575479545</v>
      </c>
      <c r="E671" s="24">
        <f t="shared" si="96"/>
        <v>924.36688084803086</v>
      </c>
      <c r="F671" s="24">
        <f t="shared" si="98"/>
        <v>164.98037266911467</v>
      </c>
      <c r="G671" s="14">
        <f t="shared" si="99"/>
        <v>1813.4425827795994</v>
      </c>
      <c r="H671" s="24">
        <f t="shared" si="97"/>
        <v>650</v>
      </c>
      <c r="I671" s="12">
        <f t="shared" si="100"/>
        <v>0.24318155955053136</v>
      </c>
      <c r="J671" s="3">
        <f t="shared" si="101"/>
        <v>0.7</v>
      </c>
    </row>
    <row r="672" spans="2:10" x14ac:dyDescent="0.25">
      <c r="B672" s="3">
        <f t="shared" si="102"/>
        <v>3275</v>
      </c>
      <c r="C672" s="14">
        <f t="shared" si="103"/>
        <v>54.583333333333336</v>
      </c>
      <c r="D672" s="11">
        <f t="shared" si="104"/>
        <v>931.19449762258682</v>
      </c>
      <c r="E672" s="24">
        <f t="shared" si="96"/>
        <v>924.61006240758138</v>
      </c>
      <c r="F672" s="24">
        <f t="shared" si="98"/>
        <v>164.61088037513605</v>
      </c>
      <c r="G672" s="14">
        <f t="shared" si="99"/>
        <v>1810.4473155174446</v>
      </c>
      <c r="H672" s="24">
        <f t="shared" si="97"/>
        <v>650</v>
      </c>
      <c r="I672" s="12">
        <f t="shared" si="100"/>
        <v>0.24276797383362506</v>
      </c>
      <c r="J672" s="3">
        <f t="shared" si="101"/>
        <v>0.7</v>
      </c>
    </row>
    <row r="673" spans="2:10" x14ac:dyDescent="0.25">
      <c r="B673" s="3">
        <f t="shared" si="102"/>
        <v>3280</v>
      </c>
      <c r="C673" s="14">
        <f t="shared" si="103"/>
        <v>54.666666666666664</v>
      </c>
      <c r="D673" s="11">
        <f t="shared" si="104"/>
        <v>931.42255184660939</v>
      </c>
      <c r="E673" s="24">
        <f t="shared" si="96"/>
        <v>924.85283038141506</v>
      </c>
      <c r="F673" s="24">
        <f t="shared" si="98"/>
        <v>164.24303662985835</v>
      </c>
      <c r="G673" s="14">
        <f t="shared" si="99"/>
        <v>1807.4641040090298</v>
      </c>
      <c r="H673" s="24">
        <f t="shared" si="97"/>
        <v>650</v>
      </c>
      <c r="I673" s="12">
        <f t="shared" si="100"/>
        <v>0.2423560726066965</v>
      </c>
      <c r="J673" s="3">
        <f t="shared" si="101"/>
        <v>0.7</v>
      </c>
    </row>
    <row r="674" spans="2:10" x14ac:dyDescent="0.25">
      <c r="B674" s="3">
        <f t="shared" si="102"/>
        <v>3285</v>
      </c>
      <c r="C674" s="14">
        <f t="shared" si="103"/>
        <v>54.75</v>
      </c>
      <c r="D674" s="11">
        <f t="shared" si="104"/>
        <v>931.65025948353184</v>
      </c>
      <c r="E674" s="24">
        <f t="shared" si="96"/>
        <v>925.0951864540217</v>
      </c>
      <c r="F674" s="24">
        <f t="shared" si="98"/>
        <v>163.87682573775351</v>
      </c>
      <c r="G674" s="14">
        <f t="shared" si="99"/>
        <v>1804.4928203913053</v>
      </c>
      <c r="H674" s="24">
        <f t="shared" si="97"/>
        <v>650</v>
      </c>
      <c r="I674" s="12">
        <f t="shared" si="100"/>
        <v>0.24194583822397445</v>
      </c>
      <c r="J674" s="3">
        <f t="shared" si="101"/>
        <v>0.7</v>
      </c>
    </row>
    <row r="675" spans="2:10" x14ac:dyDescent="0.25">
      <c r="B675" s="3">
        <f t="shared" si="102"/>
        <v>3290</v>
      </c>
      <c r="C675" s="14">
        <f t="shared" si="103"/>
        <v>54.833333333333336</v>
      </c>
      <c r="D675" s="11">
        <f t="shared" si="104"/>
        <v>931.87762158521241</v>
      </c>
      <c r="E675" s="24">
        <f t="shared" si="96"/>
        <v>925.33713229224566</v>
      </c>
      <c r="F675" s="24">
        <f t="shared" si="98"/>
        <v>163.51223232416885</v>
      </c>
      <c r="G675" s="14">
        <f t="shared" si="99"/>
        <v>1801.5333397767495</v>
      </c>
      <c r="H675" s="24">
        <f t="shared" si="97"/>
        <v>650</v>
      </c>
      <c r="I675" s="12">
        <f t="shared" si="100"/>
        <v>0.24153725344487131</v>
      </c>
      <c r="J675" s="3">
        <f t="shared" si="101"/>
        <v>0.7</v>
      </c>
    </row>
    <row r="676" spans="2:10" x14ac:dyDescent="0.25">
      <c r="B676" s="3">
        <f t="shared" si="102"/>
        <v>3295</v>
      </c>
      <c r="C676" s="14">
        <f t="shared" si="103"/>
        <v>54.916666666666664</v>
      </c>
      <c r="D676" s="11">
        <f t="shared" si="104"/>
        <v>932.10463919872814</v>
      </c>
      <c r="E676" s="24">
        <f t="shared" si="96"/>
        <v>925.57866954569056</v>
      </c>
      <c r="F676" s="24">
        <f t="shared" si="98"/>
        <v>163.14924132593944</v>
      </c>
      <c r="G676" s="14">
        <f t="shared" si="99"/>
        <v>1798.5855401640974</v>
      </c>
      <c r="H676" s="24">
        <f t="shared" si="97"/>
        <v>650</v>
      </c>
      <c r="I676" s="12">
        <f t="shared" si="100"/>
        <v>0.24113030142185618</v>
      </c>
      <c r="J676" s="3">
        <f t="shared" si="101"/>
        <v>0.7</v>
      </c>
    </row>
    <row r="677" spans="2:10" x14ac:dyDescent="0.25">
      <c r="B677" s="3">
        <f t="shared" si="102"/>
        <v>3300</v>
      </c>
      <c r="C677" s="14">
        <f t="shared" si="103"/>
        <v>55</v>
      </c>
      <c r="D677" s="11">
        <f t="shared" si="104"/>
        <v>932.33131336640417</v>
      </c>
      <c r="E677" s="24">
        <f t="shared" si="96"/>
        <v>925.81979984711245</v>
      </c>
      <c r="F677" s="24">
        <f t="shared" si="98"/>
        <v>162.78783798229313</v>
      </c>
      <c r="G677" s="14">
        <f t="shared" si="99"/>
        <v>1795.6493023496373</v>
      </c>
      <c r="H677" s="24">
        <f t="shared" si="97"/>
        <v>650</v>
      </c>
      <c r="I677" s="12">
        <f t="shared" si="100"/>
        <v>0.24072496568843388</v>
      </c>
      <c r="J677" s="3">
        <f t="shared" si="101"/>
        <v>0.7</v>
      </c>
    </row>
    <row r="678" spans="2:10" x14ac:dyDescent="0.25">
      <c r="B678" s="3">
        <f t="shared" si="102"/>
        <v>3305</v>
      </c>
      <c r="C678" s="14">
        <f t="shared" si="103"/>
        <v>55.083333333333336</v>
      </c>
      <c r="D678" s="11">
        <f t="shared" si="104"/>
        <v>932.55764512584142</v>
      </c>
      <c r="E678" s="24">
        <f t="shared" si="96"/>
        <v>926.06052481280085</v>
      </c>
      <c r="F678" s="24">
        <f t="shared" si="98"/>
        <v>162.42800782601421</v>
      </c>
      <c r="G678" s="14">
        <f t="shared" si="99"/>
        <v>1792.7245098431322</v>
      </c>
      <c r="H678" s="24">
        <f t="shared" si="97"/>
        <v>650</v>
      </c>
      <c r="I678" s="12">
        <f t="shared" si="100"/>
        <v>0.24032123014772402</v>
      </c>
      <c r="J678" s="3">
        <f t="shared" si="101"/>
        <v>0.7</v>
      </c>
    </row>
    <row r="679" spans="2:10" x14ac:dyDescent="0.25">
      <c r="B679" s="3">
        <f t="shared" si="102"/>
        <v>3310</v>
      </c>
      <c r="C679" s="14">
        <f t="shared" si="103"/>
        <v>55.166666666666664</v>
      </c>
      <c r="D679" s="11">
        <f t="shared" si="104"/>
        <v>932.78363550994663</v>
      </c>
      <c r="E679" s="24">
        <f t="shared" si="96"/>
        <v>926.30084604294859</v>
      </c>
      <c r="F679" s="24">
        <f t="shared" si="98"/>
        <v>162.06973667495106</v>
      </c>
      <c r="G679" s="14">
        <f t="shared" si="99"/>
        <v>1789.8110487858032</v>
      </c>
      <c r="H679" s="24">
        <f t="shared" si="97"/>
        <v>650</v>
      </c>
      <c r="I679" s="12">
        <f t="shared" si="100"/>
        <v>0.23991907906133614</v>
      </c>
      <c r="J679" s="3">
        <f t="shared" si="101"/>
        <v>0.7</v>
      </c>
    </row>
    <row r="680" spans="2:10" x14ac:dyDescent="0.25">
      <c r="B680" s="3">
        <f t="shared" si="102"/>
        <v>3315</v>
      </c>
      <c r="C680" s="14">
        <f t="shared" si="103"/>
        <v>55.25</v>
      </c>
      <c r="D680" s="11">
        <f t="shared" si="104"/>
        <v>933.00928554695895</v>
      </c>
      <c r="E680" s="24">
        <f t="shared" si="96"/>
        <v>926.54076512200993</v>
      </c>
      <c r="F680" s="24">
        <f t="shared" si="98"/>
        <v>161.71301062372549</v>
      </c>
      <c r="G680" s="14">
        <f t="shared" si="99"/>
        <v>1786.9088078706113</v>
      </c>
      <c r="H680" s="24">
        <f t="shared" si="97"/>
        <v>650</v>
      </c>
      <c r="I680" s="12">
        <f t="shared" si="100"/>
        <v>0.23951849703855155</v>
      </c>
      <c r="J680" s="3">
        <f t="shared" si="101"/>
        <v>0.7</v>
      </c>
    </row>
    <row r="681" spans="2:10" x14ac:dyDescent="0.25">
      <c r="B681" s="3">
        <f t="shared" si="102"/>
        <v>3320</v>
      </c>
      <c r="C681" s="14">
        <f t="shared" si="103"/>
        <v>55.333333333333336</v>
      </c>
      <c r="D681" s="11">
        <f t="shared" si="104"/>
        <v>933.23459626047929</v>
      </c>
      <c r="E681" s="24">
        <f t="shared" si="96"/>
        <v>926.78028361904853</v>
      </c>
      <c r="F681" s="24">
        <f t="shared" si="98"/>
        <v>161.35781603576902</v>
      </c>
      <c r="G681" s="14">
        <f t="shared" si="99"/>
        <v>1784.017678265416</v>
      </c>
      <c r="H681" s="24">
        <f t="shared" si="97"/>
        <v>650</v>
      </c>
      <c r="I681" s="12">
        <f t="shared" si="100"/>
        <v>0.23911946902589981</v>
      </c>
      <c r="J681" s="3">
        <f t="shared" si="101"/>
        <v>0.7</v>
      </c>
    </row>
    <row r="682" spans="2:10" x14ac:dyDescent="0.25">
      <c r="B682" s="3">
        <f t="shared" si="102"/>
        <v>3325</v>
      </c>
      <c r="C682" s="14">
        <f t="shared" si="103"/>
        <v>55.416666666666664</v>
      </c>
      <c r="D682" s="11">
        <f t="shared" si="104"/>
        <v>933.4595686694978</v>
      </c>
      <c r="E682" s="24">
        <f t="shared" si="96"/>
        <v>927.01940308807445</v>
      </c>
      <c r="F682" s="24">
        <f t="shared" si="98"/>
        <v>161.00413953558359</v>
      </c>
      <c r="G682" s="14">
        <f t="shared" si="99"/>
        <v>1781.1375535388072</v>
      </c>
      <c r="H682" s="24">
        <f t="shared" si="97"/>
        <v>650</v>
      </c>
      <c r="I682" s="12">
        <f t="shared" si="100"/>
        <v>0.23872198029709063</v>
      </c>
      <c r="J682" s="3">
        <f t="shared" si="101"/>
        <v>0.7</v>
      </c>
    </row>
    <row r="683" spans="2:10" x14ac:dyDescent="0.25">
      <c r="B683" s="3">
        <f t="shared" si="102"/>
        <v>3330</v>
      </c>
      <c r="C683" s="14">
        <f t="shared" si="103"/>
        <v>55.5</v>
      </c>
      <c r="D683" s="11">
        <f t="shared" si="104"/>
        <v>933.6842037884212</v>
      </c>
      <c r="E683" s="24">
        <f t="shared" si="96"/>
        <v>927.25812506837156</v>
      </c>
      <c r="F683" s="24">
        <f t="shared" si="98"/>
        <v>160.65196800124113</v>
      </c>
      <c r="G683" s="14">
        <f t="shared" si="99"/>
        <v>1778.2683295874331</v>
      </c>
      <c r="H683" s="24">
        <f t="shared" si="97"/>
        <v>650</v>
      </c>
      <c r="I683" s="12">
        <f t="shared" si="100"/>
        <v>0.23832601644315934</v>
      </c>
      <c r="J683" s="3">
        <f t="shared" si="101"/>
        <v>0.7</v>
      </c>
    </row>
    <row r="684" spans="2:10" x14ac:dyDescent="0.25">
      <c r="B684" s="3">
        <f t="shared" si="102"/>
        <v>3335</v>
      </c>
      <c r="C684" s="14">
        <f t="shared" si="103"/>
        <v>55.583333333333336</v>
      </c>
      <c r="D684" s="11">
        <f t="shared" si="104"/>
        <v>933.90850262710092</v>
      </c>
      <c r="E684" s="24">
        <f t="shared" si="96"/>
        <v>927.49645108481468</v>
      </c>
      <c r="F684" s="24">
        <f t="shared" si="98"/>
        <v>160.30128855715589</v>
      </c>
      <c r="G684" s="14">
        <f t="shared" si="99"/>
        <v>1775.4099045671408</v>
      </c>
      <c r="H684" s="24">
        <f t="shared" si="97"/>
        <v>650</v>
      </c>
      <c r="I684" s="12">
        <f t="shared" si="100"/>
        <v>0.23793156336311463</v>
      </c>
      <c r="J684" s="3">
        <f t="shared" si="101"/>
        <v>0.7</v>
      </c>
    </row>
    <row r="685" spans="2:10" x14ac:dyDescent="0.25">
      <c r="B685" s="3">
        <f t="shared" si="102"/>
        <v>3340</v>
      </c>
      <c r="C685" s="14">
        <f t="shared" si="103"/>
        <v>55.666666666666664</v>
      </c>
      <c r="D685" s="11">
        <f t="shared" si="104"/>
        <v>934.13246619085953</v>
      </c>
      <c r="E685" s="24">
        <f t="shared" si="96"/>
        <v>927.73438264817776</v>
      </c>
      <c r="F685" s="24">
        <f t="shared" si="98"/>
        <v>159.95208856704437</v>
      </c>
      <c r="G685" s="14">
        <f t="shared" si="99"/>
        <v>1772.562178824257</v>
      </c>
      <c r="H685" s="24">
        <f t="shared" si="97"/>
        <v>650</v>
      </c>
      <c r="I685" s="12">
        <f t="shared" si="100"/>
        <v>0.23753860725462636</v>
      </c>
      <c r="J685" s="3">
        <f t="shared" si="101"/>
        <v>0.7</v>
      </c>
    </row>
    <row r="686" spans="2:10" x14ac:dyDescent="0.25">
      <c r="B686" s="3">
        <f t="shared" si="102"/>
        <v>3345</v>
      </c>
      <c r="C686" s="14">
        <f t="shared" si="103"/>
        <v>55.75</v>
      </c>
      <c r="D686" s="11">
        <f t="shared" si="104"/>
        <v>934.35609548051798</v>
      </c>
      <c r="E686" s="24">
        <f t="shared" si="96"/>
        <v>927.97192125543233</v>
      </c>
      <c r="F686" s="24">
        <f t="shared" si="98"/>
        <v>159.6043556271411</v>
      </c>
      <c r="G686" s="14">
        <f t="shared" si="99"/>
        <v>1769.7250548310431</v>
      </c>
      <c r="H686" s="24">
        <f t="shared" si="97"/>
        <v>650</v>
      </c>
      <c r="I686" s="12">
        <f t="shared" si="100"/>
        <v>0.23714713460525794</v>
      </c>
      <c r="J686" s="3">
        <f t="shared" si="101"/>
        <v>0.7</v>
      </c>
    </row>
    <row r="687" spans="2:10" x14ac:dyDescent="0.25">
      <c r="B687" s="3">
        <f t="shared" si="102"/>
        <v>3350</v>
      </c>
      <c r="C687" s="14">
        <f t="shared" si="103"/>
        <v>55.833333333333336</v>
      </c>
      <c r="D687" s="11">
        <f t="shared" si="104"/>
        <v>934.57939149242304</v>
      </c>
      <c r="E687" s="24">
        <f t="shared" si="96"/>
        <v>928.2090683900376</v>
      </c>
      <c r="F687" s="24">
        <f t="shared" si="98"/>
        <v>159.25807755963604</v>
      </c>
      <c r="G687" s="14">
        <f t="shared" si="99"/>
        <v>1766.8984371218955</v>
      </c>
      <c r="H687" s="24">
        <f t="shared" si="97"/>
        <v>650</v>
      </c>
      <c r="I687" s="12">
        <f t="shared" si="100"/>
        <v>0.23675713218381783</v>
      </c>
      <c r="J687" s="3">
        <f t="shared" si="101"/>
        <v>0.7</v>
      </c>
    </row>
    <row r="688" spans="2:10" x14ac:dyDescent="0.25">
      <c r="B688" s="3">
        <f t="shared" si="102"/>
        <v>3355</v>
      </c>
      <c r="C688" s="14">
        <f t="shared" si="103"/>
        <v>55.916666666666664</v>
      </c>
      <c r="D688" s="11">
        <f t="shared" si="104"/>
        <v>934.80235521847362</v>
      </c>
      <c r="E688" s="24">
        <f t="shared" si="96"/>
        <v>928.44582552222141</v>
      </c>
      <c r="F688" s="24">
        <f t="shared" si="98"/>
        <v>158.91324240630524</v>
      </c>
      <c r="G688" s="14">
        <f t="shared" si="99"/>
        <v>1764.0822322325041</v>
      </c>
      <c r="H688" s="24">
        <f t="shared" si="97"/>
        <v>650</v>
      </c>
      <c r="I688" s="12">
        <f t="shared" si="100"/>
        <v>0.23636858703209798</v>
      </c>
      <c r="J688" s="3">
        <f t="shared" si="101"/>
        <v>0.7</v>
      </c>
    </row>
    <row r="689" spans="2:10" x14ac:dyDescent="0.25">
      <c r="B689" s="3">
        <f t="shared" si="102"/>
        <v>3360</v>
      </c>
      <c r="C689" s="14">
        <f t="shared" si="103"/>
        <v>56</v>
      </c>
      <c r="D689" s="11">
        <f t="shared" si="104"/>
        <v>935.02498764614654</v>
      </c>
      <c r="E689" s="24">
        <f t="shared" si="96"/>
        <v>928.68219410925349</v>
      </c>
      <c r="F689" s="24">
        <f t="shared" si="98"/>
        <v>158.56983842232637</v>
      </c>
      <c r="G689" s="14">
        <f t="shared" si="99"/>
        <v>1761.2763486397735</v>
      </c>
      <c r="H689" s="24">
        <f t="shared" si="97"/>
        <v>650</v>
      </c>
      <c r="I689" s="12">
        <f t="shared" si="100"/>
        <v>0.23598148645672906</v>
      </c>
      <c r="J689" s="3">
        <f t="shared" si="101"/>
        <v>0.7</v>
      </c>
    </row>
    <row r="690" spans="2:10" x14ac:dyDescent="0.25">
      <c r="B690" s="3">
        <f t="shared" si="102"/>
        <v>3365</v>
      </c>
      <c r="C690" s="14">
        <f t="shared" si="103"/>
        <v>56.083333333333336</v>
      </c>
      <c r="D690" s="11">
        <f t="shared" si="104"/>
        <v>935.24728975852338</v>
      </c>
      <c r="E690" s="24">
        <f t="shared" ref="E690:E753" si="105">E689+I689</f>
        <v>928.91817559571018</v>
      </c>
      <c r="F690" s="24">
        <f t="shared" si="98"/>
        <v>158.22785407032995</v>
      </c>
      <c r="G690" s="14">
        <f t="shared" si="99"/>
        <v>1758.4806967048171</v>
      </c>
      <c r="H690" s="24">
        <f t="shared" ref="H690:H753" si="106">IF(E690&lt;600,425+0.773*E690-1.69/1000*E690^2+2.22/1000^2*E690^3,IF(E690&lt;735,666+13002/(738-E690),IF(E690&lt;900,545+17820/(E690-731),650)))</f>
        <v>650</v>
      </c>
      <c r="I690" s="12">
        <f t="shared" si="100"/>
        <v>0.23559581802144219</v>
      </c>
      <c r="J690" s="3">
        <f t="shared" si="101"/>
        <v>0.7</v>
      </c>
    </row>
    <row r="691" spans="2:10" x14ac:dyDescent="0.25">
      <c r="B691" s="3">
        <f t="shared" si="102"/>
        <v>3370</v>
      </c>
      <c r="C691" s="14">
        <f t="shared" si="103"/>
        <v>56.166666666666664</v>
      </c>
      <c r="D691" s="11">
        <f t="shared" si="104"/>
        <v>935.46926253431684</v>
      </c>
      <c r="E691" s="24">
        <f t="shared" si="105"/>
        <v>929.15377141373165</v>
      </c>
      <c r="F691" s="24">
        <f t="shared" si="98"/>
        <v>157.88727801462983</v>
      </c>
      <c r="G691" s="14">
        <f t="shared" si="99"/>
        <v>1755.6951886173572</v>
      </c>
      <c r="H691" s="24">
        <f t="shared" si="106"/>
        <v>650</v>
      </c>
      <c r="I691" s="12">
        <f t="shared" si="100"/>
        <v>0.23521156953952571</v>
      </c>
      <c r="J691" s="3">
        <f t="shared" si="101"/>
        <v>0.7</v>
      </c>
    </row>
    <row r="692" spans="2:10" x14ac:dyDescent="0.25">
      <c r="B692" s="3">
        <f t="shared" si="102"/>
        <v>3375</v>
      </c>
      <c r="C692" s="14">
        <f t="shared" si="103"/>
        <v>56.25</v>
      </c>
      <c r="D692" s="11">
        <f t="shared" si="104"/>
        <v>935.69090694789634</v>
      </c>
      <c r="E692" s="24">
        <f t="shared" si="105"/>
        <v>929.38898298327115</v>
      </c>
      <c r="F692" s="24">
        <f t="shared" si="98"/>
        <v>157.54809911562973</v>
      </c>
      <c r="G692" s="14">
        <f t="shared" si="99"/>
        <v>1752.9197383419928</v>
      </c>
      <c r="H692" s="24">
        <f t="shared" si="106"/>
        <v>650</v>
      </c>
      <c r="I692" s="12">
        <f t="shared" si="100"/>
        <v>0.23482872906653304</v>
      </c>
      <c r="J692" s="3">
        <f t="shared" si="101"/>
        <v>0.7</v>
      </c>
    </row>
    <row r="693" spans="2:10" x14ac:dyDescent="0.25">
      <c r="B693" s="3">
        <f t="shared" si="102"/>
        <v>3380</v>
      </c>
      <c r="C693" s="14">
        <f t="shared" si="103"/>
        <v>56.333333333333336</v>
      </c>
      <c r="D693" s="11">
        <f t="shared" si="104"/>
        <v>935.91222396931289</v>
      </c>
      <c r="E693" s="24">
        <f t="shared" si="105"/>
        <v>929.62381171233767</v>
      </c>
      <c r="F693" s="24">
        <f t="shared" si="98"/>
        <v>157.21030642438052</v>
      </c>
      <c r="G693" s="14">
        <f t="shared" si="99"/>
        <v>1750.1542615651872</v>
      </c>
      <c r="H693" s="24">
        <f t="shared" si="106"/>
        <v>650</v>
      </c>
      <c r="I693" s="12">
        <f t="shared" si="100"/>
        <v>0.23444728489309746</v>
      </c>
      <c r="J693" s="3">
        <f t="shared" si="101"/>
        <v>0.7</v>
      </c>
    </row>
    <row r="694" spans="2:10" x14ac:dyDescent="0.25">
      <c r="B694" s="3">
        <f t="shared" si="102"/>
        <v>3385</v>
      </c>
      <c r="C694" s="14">
        <f t="shared" si="103"/>
        <v>56.416666666666664</v>
      </c>
      <c r="D694" s="11">
        <f t="shared" si="104"/>
        <v>936.13321456432561</v>
      </c>
      <c r="E694" s="24">
        <f t="shared" si="105"/>
        <v>929.85825899723079</v>
      </c>
      <c r="F694" s="24">
        <f t="shared" si="98"/>
        <v>156.87388917737053</v>
      </c>
      <c r="G694" s="14">
        <f t="shared" si="99"/>
        <v>1747.3986756457425</v>
      </c>
      <c r="H694" s="24">
        <f t="shared" si="106"/>
        <v>650</v>
      </c>
      <c r="I694" s="12">
        <f t="shared" si="100"/>
        <v>0.2340672255382043</v>
      </c>
      <c r="J694" s="3">
        <f t="shared" si="101"/>
        <v>0.7</v>
      </c>
    </row>
    <row r="695" spans="2:10" x14ac:dyDescent="0.25">
      <c r="B695" s="3">
        <f t="shared" si="102"/>
        <v>3390</v>
      </c>
      <c r="C695" s="14">
        <f t="shared" si="103"/>
        <v>56.5</v>
      </c>
      <c r="D695" s="11">
        <f t="shared" si="104"/>
        <v>936.35387969442695</v>
      </c>
      <c r="E695" s="24">
        <f t="shared" si="105"/>
        <v>930.09232622276897</v>
      </c>
      <c r="F695" s="24">
        <f t="shared" si="98"/>
        <v>156.5388367914494</v>
      </c>
      <c r="G695" s="14">
        <f t="shared" si="99"/>
        <v>1744.6528995657095</v>
      </c>
      <c r="H695" s="24">
        <f t="shared" si="106"/>
        <v>650</v>
      </c>
      <c r="I695" s="12">
        <f t="shared" si="100"/>
        <v>0.23368853974253304</v>
      </c>
      <c r="J695" s="3">
        <f t="shared" si="101"/>
        <v>0.7</v>
      </c>
    </row>
    <row r="696" spans="2:10" x14ac:dyDescent="0.25">
      <c r="B696" s="3">
        <f t="shared" si="102"/>
        <v>3395</v>
      </c>
      <c r="C696" s="14">
        <f t="shared" si="103"/>
        <v>56.583333333333336</v>
      </c>
      <c r="D696" s="11">
        <f t="shared" si="104"/>
        <v>936.5742203168669</v>
      </c>
      <c r="E696" s="24">
        <f t="shared" si="105"/>
        <v>930.32601476251148</v>
      </c>
      <c r="F696" s="24">
        <f t="shared" si="98"/>
        <v>156.20513885888556</v>
      </c>
      <c r="G696" s="14">
        <f t="shared" si="99"/>
        <v>1741.9168538825104</v>
      </c>
      <c r="H696" s="24">
        <f t="shared" si="106"/>
        <v>650</v>
      </c>
      <c r="I696" s="12">
        <f t="shared" si="100"/>
        <v>0.23331121646196473</v>
      </c>
      <c r="J696" s="3">
        <f t="shared" si="101"/>
        <v>0.7</v>
      </c>
    </row>
    <row r="697" spans="2:10" x14ac:dyDescent="0.25">
      <c r="B697" s="3">
        <f t="shared" si="102"/>
        <v>3400</v>
      </c>
      <c r="C697" s="14">
        <f t="shared" si="103"/>
        <v>56.666666666666664</v>
      </c>
      <c r="D697" s="11">
        <f t="shared" si="104"/>
        <v>936.79423738467881</v>
      </c>
      <c r="E697" s="24">
        <f t="shared" si="105"/>
        <v>930.55932597897345</v>
      </c>
      <c r="F697" s="24">
        <f t="shared" si="98"/>
        <v>155.87278514263403</v>
      </c>
      <c r="G697" s="14">
        <f t="shared" si="99"/>
        <v>1739.1904606837356</v>
      </c>
      <c r="H697" s="24">
        <f t="shared" si="106"/>
        <v>650</v>
      </c>
      <c r="I697" s="12">
        <f t="shared" si="100"/>
        <v>0.23293524486144429</v>
      </c>
      <c r="J697" s="3">
        <f t="shared" si="101"/>
        <v>0.7</v>
      </c>
    </row>
    <row r="698" spans="2:10" x14ac:dyDescent="0.25">
      <c r="B698" s="3">
        <f t="shared" si="102"/>
        <v>3405</v>
      </c>
      <c r="C698" s="14">
        <f t="shared" si="103"/>
        <v>56.75</v>
      </c>
      <c r="D698" s="11">
        <f t="shared" si="104"/>
        <v>937.01393184670371</v>
      </c>
      <c r="E698" s="24">
        <f t="shared" si="105"/>
        <v>930.79226122383488</v>
      </c>
      <c r="F698" s="24">
        <f t="shared" si="98"/>
        <v>155.5417655717207</v>
      </c>
      <c r="G698" s="14">
        <f t="shared" si="99"/>
        <v>1736.4736435426175</v>
      </c>
      <c r="H698" s="24">
        <f t="shared" si="106"/>
        <v>650</v>
      </c>
      <c r="I698" s="12">
        <f t="shared" si="100"/>
        <v>0.23256061430893987</v>
      </c>
      <c r="J698" s="3">
        <f t="shared" si="101"/>
        <v>0.7</v>
      </c>
    </row>
    <row r="699" spans="2:10" x14ac:dyDescent="0.25">
      <c r="B699" s="3">
        <f t="shared" si="102"/>
        <v>3410</v>
      </c>
      <c r="C699" s="14">
        <f t="shared" si="103"/>
        <v>56.833333333333336</v>
      </c>
      <c r="D699" s="11">
        <f t="shared" si="104"/>
        <v>937.23330464761511</v>
      </c>
      <c r="E699" s="24">
        <f t="shared" si="105"/>
        <v>931.02482183814379</v>
      </c>
      <c r="F699" s="24">
        <f t="shared" si="98"/>
        <v>155.21207023678301</v>
      </c>
      <c r="G699" s="14">
        <f t="shared" si="99"/>
        <v>1733.7663274750369</v>
      </c>
      <c r="H699" s="24">
        <f t="shared" si="106"/>
        <v>650</v>
      </c>
      <c r="I699" s="12">
        <f t="shared" si="100"/>
        <v>0.23218731436961038</v>
      </c>
      <c r="J699" s="3">
        <f t="shared" si="101"/>
        <v>0.7</v>
      </c>
    </row>
    <row r="700" spans="2:10" x14ac:dyDescent="0.25">
      <c r="B700" s="3">
        <f t="shared" si="102"/>
        <v>3415</v>
      </c>
      <c r="C700" s="14">
        <f t="shared" si="103"/>
        <v>56.916666666666664</v>
      </c>
      <c r="D700" s="11">
        <f t="shared" si="104"/>
        <v>937.45235672794297</v>
      </c>
      <c r="E700" s="24">
        <f t="shared" si="105"/>
        <v>931.25700915251343</v>
      </c>
      <c r="F700" s="24">
        <f t="shared" si="98"/>
        <v>154.88368938573842</v>
      </c>
      <c r="G700" s="14">
        <f t="shared" si="99"/>
        <v>1731.0684388978266</v>
      </c>
      <c r="H700" s="24">
        <f t="shared" si="106"/>
        <v>650</v>
      </c>
      <c r="I700" s="12">
        <f t="shared" si="100"/>
        <v>0.23181533480014754</v>
      </c>
      <c r="J700" s="3">
        <f t="shared" si="101"/>
        <v>0.7</v>
      </c>
    </row>
    <row r="701" spans="2:10" x14ac:dyDescent="0.25">
      <c r="B701" s="3">
        <f t="shared" si="102"/>
        <v>3420</v>
      </c>
      <c r="C701" s="14">
        <f t="shared" si="103"/>
        <v>57</v>
      </c>
      <c r="D701" s="11">
        <f t="shared" si="104"/>
        <v>937.67108902409825</v>
      </c>
      <c r="E701" s="24">
        <f t="shared" si="105"/>
        <v>931.48882448731354</v>
      </c>
      <c r="F701" s="24">
        <f t="shared" si="98"/>
        <v>154.55661341961786</v>
      </c>
      <c r="G701" s="14">
        <f t="shared" si="99"/>
        <v>1728.379905588801</v>
      </c>
      <c r="H701" s="24">
        <f t="shared" si="106"/>
        <v>650</v>
      </c>
      <c r="I701" s="12">
        <f t="shared" si="100"/>
        <v>0.23144466554335116</v>
      </c>
      <c r="J701" s="3">
        <f t="shared" si="101"/>
        <v>0.7</v>
      </c>
    </row>
    <row r="702" spans="2:10" x14ac:dyDescent="0.25">
      <c r="B702" s="3">
        <f t="shared" si="102"/>
        <v>3425</v>
      </c>
      <c r="C702" s="14">
        <f t="shared" si="103"/>
        <v>57.083333333333336</v>
      </c>
      <c r="D702" s="11">
        <f t="shared" si="104"/>
        <v>937.88950246839693</v>
      </c>
      <c r="E702" s="24">
        <f t="shared" si="105"/>
        <v>931.72026915285687</v>
      </c>
      <c r="F702" s="24">
        <f t="shared" si="98"/>
        <v>154.23083288850137</v>
      </c>
      <c r="G702" s="14">
        <f t="shared" si="99"/>
        <v>1725.7006566475409</v>
      </c>
      <c r="H702" s="24">
        <f t="shared" si="106"/>
        <v>650</v>
      </c>
      <c r="I702" s="12">
        <f t="shared" si="100"/>
        <v>0.23107529672280888</v>
      </c>
      <c r="J702" s="3">
        <f t="shared" si="101"/>
        <v>0.7</v>
      </c>
    </row>
    <row r="703" spans="2:10" x14ac:dyDescent="0.25">
      <c r="B703" s="3">
        <f t="shared" si="102"/>
        <v>3430</v>
      </c>
      <c r="C703" s="14">
        <f t="shared" si="103"/>
        <v>57.166666666666664</v>
      </c>
      <c r="D703" s="11">
        <f t="shared" si="104"/>
        <v>938.1075979890835</v>
      </c>
      <c r="E703" s="24">
        <f t="shared" si="105"/>
        <v>931.95134444957966</v>
      </c>
      <c r="F703" s="24">
        <f t="shared" si="98"/>
        <v>153.90633848759592</v>
      </c>
      <c r="G703" s="14">
        <f t="shared" si="99"/>
        <v>1723.0306224576502</v>
      </c>
      <c r="H703" s="24">
        <f t="shared" si="106"/>
        <v>650</v>
      </c>
      <c r="I703" s="12">
        <f t="shared" si="100"/>
        <v>0.2307072186377751</v>
      </c>
      <c r="J703" s="3">
        <f t="shared" si="101"/>
        <v>0.7</v>
      </c>
    </row>
    <row r="704" spans="2:10" x14ac:dyDescent="0.25">
      <c r="B704" s="3">
        <f t="shared" si="102"/>
        <v>3435</v>
      </c>
      <c r="C704" s="14">
        <f t="shared" si="103"/>
        <v>57.25</v>
      </c>
      <c r="D704" s="11">
        <f t="shared" si="104"/>
        <v>938.325376510355</v>
      </c>
      <c r="E704" s="24">
        <f t="shared" si="105"/>
        <v>932.18205166821747</v>
      </c>
      <c r="F704" s="24">
        <f t="shared" si="98"/>
        <v>153.58312105343828</v>
      </c>
      <c r="G704" s="14">
        <f t="shared" si="99"/>
        <v>1720.3697346507786</v>
      </c>
      <c r="H704" s="24">
        <f t="shared" si="106"/>
        <v>650</v>
      </c>
      <c r="I704" s="12">
        <f t="shared" si="100"/>
        <v>0.23034042175828184</v>
      </c>
      <c r="J704" s="3">
        <f t="shared" si="101"/>
        <v>0.7</v>
      </c>
    </row>
    <row r="705" spans="2:10" x14ac:dyDescent="0.25">
      <c r="B705" s="3">
        <f t="shared" si="102"/>
        <v>3440</v>
      </c>
      <c r="C705" s="14">
        <f t="shared" si="103"/>
        <v>57.333333333333336</v>
      </c>
      <c r="D705" s="11">
        <f t="shared" si="104"/>
        <v>938.54283895238439</v>
      </c>
      <c r="E705" s="24">
        <f t="shared" si="105"/>
        <v>932.4123920899757</v>
      </c>
      <c r="F705" s="24">
        <f t="shared" si="98"/>
        <v>153.26117156021724</v>
      </c>
      <c r="G705" s="14">
        <f t="shared" si="99"/>
        <v>1717.7179260703413</v>
      </c>
      <c r="H705" s="24">
        <f t="shared" si="106"/>
        <v>650</v>
      </c>
      <c r="I705" s="12">
        <f t="shared" si="100"/>
        <v>0.22997489672022739</v>
      </c>
      <c r="J705" s="3">
        <f t="shared" si="101"/>
        <v>0.7</v>
      </c>
    </row>
    <row r="706" spans="2:10" x14ac:dyDescent="0.25">
      <c r="B706" s="3">
        <f t="shared" si="102"/>
        <v>3445</v>
      </c>
      <c r="C706" s="14">
        <f t="shared" si="103"/>
        <v>57.416666666666664</v>
      </c>
      <c r="D706" s="11">
        <f t="shared" si="104"/>
        <v>938.7599862313441</v>
      </c>
      <c r="E706" s="24">
        <f t="shared" si="105"/>
        <v>932.64236698669595</v>
      </c>
      <c r="F706" s="24">
        <f t="shared" si="98"/>
        <v>152.94048111620384</v>
      </c>
      <c r="G706" s="14">
        <f t="shared" si="99"/>
        <v>1715.0751307379635</v>
      </c>
      <c r="H706" s="24">
        <f t="shared" si="106"/>
        <v>650</v>
      </c>
      <c r="I706" s="12">
        <f t="shared" si="100"/>
        <v>0.2296106343208128</v>
      </c>
      <c r="J706" s="3">
        <f t="shared" si="101"/>
        <v>0.7</v>
      </c>
    </row>
    <row r="707" spans="2:10" x14ac:dyDescent="0.25">
      <c r="B707" s="3">
        <f t="shared" si="102"/>
        <v>3450</v>
      </c>
      <c r="C707" s="14">
        <f t="shared" si="103"/>
        <v>57.5</v>
      </c>
      <c r="D707" s="11">
        <f t="shared" si="104"/>
        <v>938.97681925942857</v>
      </c>
      <c r="E707" s="24">
        <f t="shared" si="105"/>
        <v>932.87197762101675</v>
      </c>
      <c r="F707" s="24">
        <f t="shared" si="98"/>
        <v>152.62104096029532</v>
      </c>
      <c r="G707" s="14">
        <f t="shared" si="99"/>
        <v>1712.441283820127</v>
      </c>
      <c r="H707" s="24">
        <f t="shared" si="106"/>
        <v>650</v>
      </c>
      <c r="I707" s="12">
        <f t="shared" si="100"/>
        <v>0.22924762551401759</v>
      </c>
      <c r="J707" s="3">
        <f t="shared" si="101"/>
        <v>0.7</v>
      </c>
    </row>
    <row r="708" spans="2:10" x14ac:dyDescent="0.25">
      <c r="B708" s="3">
        <f t="shared" si="102"/>
        <v>3455</v>
      </c>
      <c r="C708" s="14">
        <f t="shared" si="103"/>
        <v>57.583333333333336</v>
      </c>
      <c r="D708" s="11">
        <f t="shared" si="104"/>
        <v>939.19333894487761</v>
      </c>
      <c r="E708" s="24">
        <f t="shared" si="105"/>
        <v>933.10122524653082</v>
      </c>
      <c r="F708" s="24">
        <f t="shared" si="98"/>
        <v>152.30284245866983</v>
      </c>
      <c r="G708" s="14">
        <f t="shared" si="99"/>
        <v>1709.8163215962518</v>
      </c>
      <c r="H708" s="24">
        <f t="shared" si="106"/>
        <v>650</v>
      </c>
      <c r="I708" s="12">
        <f t="shared" si="100"/>
        <v>0.22888586140626499</v>
      </c>
      <c r="J708" s="3">
        <f t="shared" si="101"/>
        <v>0.7</v>
      </c>
    </row>
    <row r="709" spans="2:10" x14ac:dyDescent="0.25">
      <c r="B709" s="3">
        <f t="shared" si="102"/>
        <v>3460</v>
      </c>
      <c r="C709" s="14">
        <f t="shared" si="103"/>
        <v>57.666666666666664</v>
      </c>
      <c r="D709" s="11">
        <f t="shared" si="104"/>
        <v>939.40954619199965</v>
      </c>
      <c r="E709" s="24">
        <f t="shared" si="105"/>
        <v>933.33011110793711</v>
      </c>
      <c r="F709" s="24">
        <f t="shared" si="98"/>
        <v>151.98587710156346</v>
      </c>
      <c r="G709" s="14">
        <f t="shared" si="99"/>
        <v>1707.2001814269133</v>
      </c>
      <c r="H709" s="24">
        <f t="shared" si="106"/>
        <v>650</v>
      </c>
      <c r="I709" s="12">
        <f t="shared" si="100"/>
        <v>0.22852533325211941</v>
      </c>
      <c r="J709" s="3">
        <f t="shared" si="101"/>
        <v>0.7</v>
      </c>
    </row>
    <row r="710" spans="2:10" x14ac:dyDescent="0.25">
      <c r="B710" s="3">
        <f t="shared" si="102"/>
        <v>3465</v>
      </c>
      <c r="C710" s="14">
        <f t="shared" si="103"/>
        <v>57.75</v>
      </c>
      <c r="D710" s="11">
        <f t="shared" si="104"/>
        <v>939.62544190119377</v>
      </c>
      <c r="E710" s="24">
        <f t="shared" si="105"/>
        <v>933.55863644118926</v>
      </c>
      <c r="F710" s="24">
        <f t="shared" si="98"/>
        <v>151.67013650011256</v>
      </c>
      <c r="G710" s="14">
        <f t="shared" si="99"/>
        <v>1704.592801725034</v>
      </c>
      <c r="H710" s="24">
        <f t="shared" si="106"/>
        <v>650</v>
      </c>
      <c r="I710" s="12">
        <f t="shared" si="100"/>
        <v>0.22816603245035713</v>
      </c>
      <c r="J710" s="3">
        <f t="shared" si="101"/>
        <v>0.7</v>
      </c>
    </row>
    <row r="711" spans="2:10" x14ac:dyDescent="0.25">
      <c r="B711" s="3">
        <f t="shared" si="102"/>
        <v>3470</v>
      </c>
      <c r="C711" s="14">
        <f t="shared" si="103"/>
        <v>57.833333333333336</v>
      </c>
      <c r="D711" s="11">
        <f t="shared" si="104"/>
        <v>939.8410269689723</v>
      </c>
      <c r="E711" s="24">
        <f t="shared" si="105"/>
        <v>933.78680247363957</v>
      </c>
      <c r="F711" s="24">
        <f t="shared" si="98"/>
        <v>151.35561238331832</v>
      </c>
      <c r="G711" s="14">
        <f t="shared" si="99"/>
        <v>1701.9941219253985</v>
      </c>
      <c r="H711" s="24">
        <f t="shared" si="106"/>
        <v>650</v>
      </c>
      <c r="I711" s="12">
        <f t="shared" si="100"/>
        <v>0.22780795053984604</v>
      </c>
      <c r="J711" s="3">
        <f t="shared" si="101"/>
        <v>0.7</v>
      </c>
    </row>
    <row r="712" spans="2:10" x14ac:dyDescent="0.25">
      <c r="B712" s="3">
        <f t="shared" si="102"/>
        <v>3475</v>
      </c>
      <c r="C712" s="14">
        <f t="shared" si="103"/>
        <v>57.916666666666664</v>
      </c>
      <c r="D712" s="11">
        <f t="shared" si="104"/>
        <v>940.05630228798373</v>
      </c>
      <c r="E712" s="24">
        <f t="shared" si="105"/>
        <v>934.01461042417941</v>
      </c>
      <c r="F712" s="24">
        <f t="shared" si="98"/>
        <v>151.04229659510793</v>
      </c>
      <c r="G712" s="14">
        <f t="shared" si="99"/>
        <v>1699.4040824573287</v>
      </c>
      <c r="H712" s="24">
        <f t="shared" si="106"/>
        <v>650</v>
      </c>
      <c r="I712" s="12">
        <f t="shared" si="100"/>
        <v>0.2274510791958258</v>
      </c>
      <c r="J712" s="3">
        <f t="shared" si="101"/>
        <v>0.7</v>
      </c>
    </row>
    <row r="713" spans="2:10" x14ac:dyDescent="0.25">
      <c r="B713" s="3">
        <f t="shared" si="102"/>
        <v>3480</v>
      </c>
      <c r="C713" s="14">
        <f t="shared" si="103"/>
        <v>58</v>
      </c>
      <c r="D713" s="11">
        <f t="shared" si="104"/>
        <v>940.27126874703401</v>
      </c>
      <c r="E713" s="24">
        <f t="shared" si="105"/>
        <v>934.24206150337523</v>
      </c>
      <c r="F713" s="24">
        <f t="shared" si="98"/>
        <v>150.73018109146972</v>
      </c>
      <c r="G713" s="14">
        <f t="shared" si="99"/>
        <v>1696.8226247170278</v>
      </c>
      <c r="H713" s="24">
        <f t="shared" si="106"/>
        <v>650</v>
      </c>
      <c r="I713" s="12">
        <f t="shared" si="100"/>
        <v>0.22709541022615634</v>
      </c>
      <c r="J713" s="3">
        <f t="shared" si="101"/>
        <v>0.7</v>
      </c>
    </row>
    <row r="714" spans="2:10" x14ac:dyDescent="0.25">
      <c r="B714" s="3">
        <f t="shared" si="102"/>
        <v>3485</v>
      </c>
      <c r="C714" s="14">
        <f t="shared" si="103"/>
        <v>58.083333333333336</v>
      </c>
      <c r="D714" s="11">
        <f t="shared" si="104"/>
        <v>940.48592723110914</v>
      </c>
      <c r="E714" s="24">
        <f t="shared" si="105"/>
        <v>934.46915691360141</v>
      </c>
      <c r="F714" s="24">
        <f t="shared" si="98"/>
        <v>150.41925793769337</v>
      </c>
      <c r="G714" s="14">
        <f t="shared" si="99"/>
        <v>1694.2496910412726</v>
      </c>
      <c r="H714" s="24">
        <f t="shared" si="106"/>
        <v>650</v>
      </c>
      <c r="I714" s="12">
        <f t="shared" si="100"/>
        <v>0.22674093556774497</v>
      </c>
      <c r="J714" s="3">
        <f t="shared" si="101"/>
        <v>0.7</v>
      </c>
    </row>
    <row r="715" spans="2:10" x14ac:dyDescent="0.25">
      <c r="B715" s="3">
        <f t="shared" si="102"/>
        <v>3490</v>
      </c>
      <c r="C715" s="14">
        <f t="shared" si="103"/>
        <v>58.166666666666664</v>
      </c>
      <c r="D715" s="11">
        <f t="shared" si="104"/>
        <v>940.70027862139693</v>
      </c>
      <c r="E715" s="24">
        <f t="shared" si="105"/>
        <v>934.69589784916911</v>
      </c>
      <c r="F715" s="24">
        <f t="shared" si="98"/>
        <v>150.10951930569547</v>
      </c>
      <c r="G715" s="14">
        <f t="shared" si="99"/>
        <v>1691.685224681687</v>
      </c>
      <c r="H715" s="24">
        <f t="shared" si="106"/>
        <v>650</v>
      </c>
      <c r="I715" s="12">
        <f t="shared" si="100"/>
        <v>0.22638764728305527</v>
      </c>
      <c r="J715" s="3">
        <f t="shared" si="101"/>
        <v>0.7</v>
      </c>
    </row>
    <row r="716" spans="2:10" x14ac:dyDescent="0.25">
      <c r="B716" s="3">
        <f t="shared" si="102"/>
        <v>3495</v>
      </c>
      <c r="C716" s="14">
        <f t="shared" si="103"/>
        <v>58.25</v>
      </c>
      <c r="D716" s="11">
        <f t="shared" si="104"/>
        <v>940.91432379530863</v>
      </c>
      <c r="E716" s="24">
        <f t="shared" si="105"/>
        <v>934.92228549645222</v>
      </c>
      <c r="F716" s="24">
        <f t="shared" si="98"/>
        <v>149.80095747141036</v>
      </c>
      <c r="G716" s="14">
        <f t="shared" si="99"/>
        <v>1689.1291697797412</v>
      </c>
      <c r="H716" s="24">
        <f t="shared" si="106"/>
        <v>650</v>
      </c>
      <c r="I716" s="12">
        <f t="shared" si="100"/>
        <v>0.22603553755671357</v>
      </c>
      <c r="J716" s="3">
        <f t="shared" si="101"/>
        <v>0.7</v>
      </c>
    </row>
    <row r="717" spans="2:10" x14ac:dyDescent="0.25">
      <c r="B717" s="3">
        <f t="shared" si="102"/>
        <v>3500</v>
      </c>
      <c r="C717" s="14">
        <f t="shared" si="103"/>
        <v>58.333333333333336</v>
      </c>
      <c r="D717" s="11">
        <f t="shared" si="104"/>
        <v>941.12806362650053</v>
      </c>
      <c r="E717" s="24">
        <f t="shared" si="105"/>
        <v>935.14832103400897</v>
      </c>
      <c r="F717" s="24">
        <f t="shared" si="98"/>
        <v>149.49356481228904</v>
      </c>
      <c r="G717" s="14">
        <f t="shared" si="99"/>
        <v>1686.5814713436707</v>
      </c>
      <c r="H717" s="24">
        <f t="shared" si="106"/>
        <v>650</v>
      </c>
      <c r="I717" s="12">
        <f t="shared" si="100"/>
        <v>0.22568459869236437</v>
      </c>
      <c r="J717" s="3">
        <f t="shared" si="101"/>
        <v>0.7</v>
      </c>
    </row>
    <row r="718" spans="2:10" x14ac:dyDescent="0.25">
      <c r="B718" s="3">
        <f t="shared" si="102"/>
        <v>3505</v>
      </c>
      <c r="C718" s="14">
        <f t="shared" si="103"/>
        <v>58.416666666666664</v>
      </c>
      <c r="D718" s="11">
        <f t="shared" si="104"/>
        <v>941.34149898489545</v>
      </c>
      <c r="E718" s="24">
        <f t="shared" si="105"/>
        <v>935.37400563270137</v>
      </c>
      <c r="F718" s="24">
        <f t="shared" si="98"/>
        <v>149.18733380485207</v>
      </c>
      <c r="G718" s="14">
        <f t="shared" si="99"/>
        <v>1684.0420752236898</v>
      </c>
      <c r="H718" s="24">
        <f t="shared" si="106"/>
        <v>650</v>
      </c>
      <c r="I718" s="12">
        <f t="shared" si="100"/>
        <v>0.22533482310932285</v>
      </c>
      <c r="J718" s="3">
        <f t="shared" si="101"/>
        <v>0.7</v>
      </c>
    </row>
    <row r="719" spans="2:10" x14ac:dyDescent="0.25">
      <c r="B719" s="3">
        <f t="shared" si="102"/>
        <v>3510</v>
      </c>
      <c r="C719" s="14">
        <f t="shared" si="103"/>
        <v>58.5</v>
      </c>
      <c r="D719" s="11">
        <f t="shared" si="104"/>
        <v>941.55463073670364</v>
      </c>
      <c r="E719" s="24">
        <f t="shared" si="105"/>
        <v>935.59934045581065</v>
      </c>
      <c r="F719" s="24">
        <f t="shared" si="98"/>
        <v>148.88225702232489</v>
      </c>
      <c r="G719" s="14">
        <f t="shared" si="99"/>
        <v>1681.5109280909248</v>
      </c>
      <c r="H719" s="24">
        <f t="shared" si="106"/>
        <v>650</v>
      </c>
      <c r="I719" s="12">
        <f t="shared" si="100"/>
        <v>0.22498620333969488</v>
      </c>
      <c r="J719" s="3">
        <f t="shared" si="101"/>
        <v>0.7</v>
      </c>
    </row>
    <row r="720" spans="2:10" x14ac:dyDescent="0.25">
      <c r="B720" s="3">
        <f t="shared" si="102"/>
        <v>3515</v>
      </c>
      <c r="C720" s="14">
        <f t="shared" si="103"/>
        <v>58.583333333333336</v>
      </c>
      <c r="D720" s="11">
        <f t="shared" si="104"/>
        <v>941.76745974444441</v>
      </c>
      <c r="E720" s="24">
        <f t="shared" si="105"/>
        <v>935.8243266591503</v>
      </c>
      <c r="F720" s="24">
        <f t="shared" si="98"/>
        <v>148.57832713235268</v>
      </c>
      <c r="G720" s="14">
        <f t="shared" si="99"/>
        <v>1678.9879774149147</v>
      </c>
      <c r="H720" s="24">
        <f t="shared" si="106"/>
        <v>650</v>
      </c>
      <c r="I720" s="12">
        <f t="shared" si="100"/>
        <v>0.22463873202533038</v>
      </c>
      <c r="J720" s="3">
        <f t="shared" si="101"/>
        <v>0.7</v>
      </c>
    </row>
    <row r="721" spans="2:10" x14ac:dyDescent="0.25">
      <c r="B721" s="3">
        <f t="shared" si="102"/>
        <v>3520</v>
      </c>
      <c r="C721" s="14">
        <f t="shared" si="103"/>
        <v>58.666666666666664</v>
      </c>
      <c r="D721" s="11">
        <f t="shared" si="104"/>
        <v>941.97998686696644</v>
      </c>
      <c r="E721" s="24">
        <f t="shared" si="105"/>
        <v>936.04896539117567</v>
      </c>
      <c r="F721" s="24">
        <f t="shared" ref="F721:F784" si="107">AlphaC*(D721-E721)</f>
        <v>148.27553689476929</v>
      </c>
      <c r="G721" s="14">
        <f t="shared" ref="G721:G784" si="108">Phi*EpsilonF*Botzman/10^8*J721*((D721+273)^4-(E721+273)^4)</f>
        <v>1676.4731714423024</v>
      </c>
      <c r="H721" s="24">
        <f t="shared" si="106"/>
        <v>650</v>
      </c>
      <c r="I721" s="12">
        <f t="shared" ref="I721:I784" si="109">ksh*Massivete/(H721*RhoA)*DeltaT*(F721+G721)</f>
        <v>0.22429240191493005</v>
      </c>
      <c r="J721" s="3">
        <f t="shared" ref="J721:J784" si="110">IF(E721&lt;=500,IF(Galva=Oui,0.35,0.7),0.7)</f>
        <v>0.7</v>
      </c>
    </row>
    <row r="722" spans="2:10" x14ac:dyDescent="0.25">
      <c r="B722" s="3">
        <f t="shared" ref="B722:B785" si="111">B721+DeltaT</f>
        <v>3525</v>
      </c>
      <c r="C722" s="14">
        <f t="shared" ref="C722:C785" si="112">B722/60</f>
        <v>58.75</v>
      </c>
      <c r="D722" s="11">
        <f t="shared" ref="D722:D785" si="113">20+345*LOG(8*C722+1,10)</f>
        <v>942.19221295946897</v>
      </c>
      <c r="E722" s="24">
        <f t="shared" si="105"/>
        <v>936.27325779309058</v>
      </c>
      <c r="F722" s="24">
        <f t="shared" si="107"/>
        <v>147.9738791594599</v>
      </c>
      <c r="G722" s="14">
        <f t="shared" si="108"/>
        <v>1673.966459176816</v>
      </c>
      <c r="H722" s="24">
        <f t="shared" si="106"/>
        <v>650</v>
      </c>
      <c r="I722" s="12">
        <f t="shared" si="109"/>
        <v>0.22394720586132202</v>
      </c>
      <c r="J722" s="3">
        <f t="shared" si="110"/>
        <v>0.7</v>
      </c>
    </row>
    <row r="723" spans="2:10" x14ac:dyDescent="0.25">
      <c r="B723" s="3">
        <f t="shared" si="111"/>
        <v>3530</v>
      </c>
      <c r="C723" s="14">
        <f t="shared" si="112"/>
        <v>58.833333333333336</v>
      </c>
      <c r="D723" s="11">
        <f t="shared" si="113"/>
        <v>942.40413887352304</v>
      </c>
      <c r="E723" s="24">
        <f t="shared" si="105"/>
        <v>936.49720499895193</v>
      </c>
      <c r="F723" s="24">
        <f t="shared" si="107"/>
        <v>147.67334686427773</v>
      </c>
      <c r="G723" s="14">
        <f t="shared" si="108"/>
        <v>1671.4677903594811</v>
      </c>
      <c r="H723" s="24">
        <f t="shared" si="106"/>
        <v>650</v>
      </c>
      <c r="I723" s="12">
        <f t="shared" si="109"/>
        <v>0.22360313681877339</v>
      </c>
      <c r="J723" s="3">
        <f t="shared" si="110"/>
        <v>0.7</v>
      </c>
    </row>
    <row r="724" spans="2:10" x14ac:dyDescent="0.25">
      <c r="B724" s="3">
        <f t="shared" si="111"/>
        <v>3535</v>
      </c>
      <c r="C724" s="14">
        <f t="shared" si="112"/>
        <v>58.916666666666664</v>
      </c>
      <c r="D724" s="11">
        <f t="shared" si="113"/>
        <v>942.61576545709022</v>
      </c>
      <c r="E724" s="24">
        <f t="shared" si="105"/>
        <v>936.72080813577065</v>
      </c>
      <c r="F724" s="24">
        <f t="shared" si="107"/>
        <v>147.37393303298916</v>
      </c>
      <c r="G724" s="14">
        <f t="shared" si="108"/>
        <v>1668.9771154489415</v>
      </c>
      <c r="H724" s="24">
        <f t="shared" si="106"/>
        <v>650</v>
      </c>
      <c r="I724" s="12">
        <f t="shared" si="109"/>
        <v>0.22326018784031884</v>
      </c>
      <c r="J724" s="3">
        <f t="shared" si="110"/>
        <v>0.7</v>
      </c>
    </row>
    <row r="725" spans="2:10" x14ac:dyDescent="0.25">
      <c r="B725" s="3">
        <f t="shared" si="111"/>
        <v>3540</v>
      </c>
      <c r="C725" s="14">
        <f t="shared" si="112"/>
        <v>59</v>
      </c>
      <c r="D725" s="11">
        <f t="shared" si="113"/>
        <v>942.82709355454483</v>
      </c>
      <c r="E725" s="24">
        <f t="shared" si="105"/>
        <v>936.94406832361096</v>
      </c>
      <c r="F725" s="24">
        <f t="shared" si="107"/>
        <v>147.07563077334669</v>
      </c>
      <c r="G725" s="14">
        <f t="shared" si="108"/>
        <v>1666.494385603474</v>
      </c>
      <c r="H725" s="24">
        <f t="shared" si="106"/>
        <v>650</v>
      </c>
      <c r="I725" s="12">
        <f t="shared" si="109"/>
        <v>0.22291835207531308</v>
      </c>
      <c r="J725" s="3">
        <f t="shared" si="110"/>
        <v>0.7</v>
      </c>
    </row>
    <row r="726" spans="2:10" x14ac:dyDescent="0.25">
      <c r="B726" s="3">
        <f t="shared" si="111"/>
        <v>3545</v>
      </c>
      <c r="C726" s="14">
        <f t="shared" si="112"/>
        <v>59.083333333333336</v>
      </c>
      <c r="D726" s="11">
        <f t="shared" si="113"/>
        <v>943.03812400669335</v>
      </c>
      <c r="E726" s="24">
        <f t="shared" si="105"/>
        <v>937.1669866756863</v>
      </c>
      <c r="F726" s="24">
        <f t="shared" si="107"/>
        <v>146.77843327517621</v>
      </c>
      <c r="G726" s="14">
        <f t="shared" si="108"/>
        <v>1664.0195526625773</v>
      </c>
      <c r="H726" s="24">
        <f t="shared" si="106"/>
        <v>650</v>
      </c>
      <c r="I726" s="12">
        <f t="shared" si="109"/>
        <v>0.22257762276693271</v>
      </c>
      <c r="J726" s="3">
        <f t="shared" si="110"/>
        <v>0.7</v>
      </c>
    </row>
    <row r="727" spans="2:10" x14ac:dyDescent="0.25">
      <c r="B727" s="3">
        <f t="shared" si="111"/>
        <v>3550</v>
      </c>
      <c r="C727" s="14">
        <f t="shared" si="112"/>
        <v>59.166666666666664</v>
      </c>
      <c r="D727" s="11">
        <f t="shared" si="113"/>
        <v>943.24885765079443</v>
      </c>
      <c r="E727" s="24">
        <f t="shared" si="105"/>
        <v>937.38956429845325</v>
      </c>
      <c r="F727" s="24">
        <f t="shared" si="107"/>
        <v>146.48233380852957</v>
      </c>
      <c r="G727" s="14">
        <f t="shared" si="108"/>
        <v>1661.5525691296471</v>
      </c>
      <c r="H727" s="24">
        <f t="shared" si="106"/>
        <v>650</v>
      </c>
      <c r="I727" s="12">
        <f t="shared" si="109"/>
        <v>0.22223799324981955</v>
      </c>
      <c r="J727" s="3">
        <f t="shared" si="110"/>
        <v>0.7</v>
      </c>
    </row>
    <row r="728" spans="2:10" x14ac:dyDescent="0.25">
      <c r="B728" s="3">
        <f t="shared" si="111"/>
        <v>3555</v>
      </c>
      <c r="C728" s="14">
        <f t="shared" si="112"/>
        <v>59.25</v>
      </c>
      <c r="D728" s="11">
        <f t="shared" si="113"/>
        <v>943.45929532057892</v>
      </c>
      <c r="E728" s="24">
        <f t="shared" si="105"/>
        <v>937.61180229170304</v>
      </c>
      <c r="F728" s="24">
        <f t="shared" si="107"/>
        <v>146.18732572189685</v>
      </c>
      <c r="G728" s="14">
        <f t="shared" si="108"/>
        <v>1659.093388155057</v>
      </c>
      <c r="H728" s="24">
        <f t="shared" si="106"/>
        <v>650</v>
      </c>
      <c r="I728" s="12">
        <f t="shared" si="109"/>
        <v>0.22189945694778132</v>
      </c>
      <c r="J728" s="3">
        <f t="shared" si="110"/>
        <v>0.7</v>
      </c>
    </row>
    <row r="729" spans="2:10" x14ac:dyDescent="0.25">
      <c r="B729" s="3">
        <f t="shared" si="111"/>
        <v>3560</v>
      </c>
      <c r="C729" s="14">
        <f t="shared" si="112"/>
        <v>59.333333333333336</v>
      </c>
      <c r="D729" s="11">
        <f t="shared" si="113"/>
        <v>943.66943784626949</v>
      </c>
      <c r="E729" s="24">
        <f t="shared" si="105"/>
        <v>937.83370174865081</v>
      </c>
      <c r="F729" s="24">
        <f t="shared" si="107"/>
        <v>145.89340244046696</v>
      </c>
      <c r="G729" s="14">
        <f t="shared" si="108"/>
        <v>1656.6419635199472</v>
      </c>
      <c r="H729" s="24">
        <f t="shared" si="106"/>
        <v>650</v>
      </c>
      <c r="I729" s="12">
        <f t="shared" si="109"/>
        <v>0.22156200737158516</v>
      </c>
      <c r="J729" s="3">
        <f t="shared" si="110"/>
        <v>0.7</v>
      </c>
    </row>
    <row r="730" spans="2:10" x14ac:dyDescent="0.25">
      <c r="B730" s="3">
        <f t="shared" si="111"/>
        <v>3565</v>
      </c>
      <c r="C730" s="14">
        <f t="shared" si="112"/>
        <v>59.416666666666664</v>
      </c>
      <c r="D730" s="11">
        <f t="shared" si="113"/>
        <v>943.87928605460104</v>
      </c>
      <c r="E730" s="24">
        <f t="shared" si="105"/>
        <v>938.05526375602244</v>
      </c>
      <c r="F730" s="24">
        <f t="shared" si="107"/>
        <v>145.60055746446494</v>
      </c>
      <c r="G730" s="14">
        <f t="shared" si="108"/>
        <v>1654.1982496203434</v>
      </c>
      <c r="H730" s="24">
        <f t="shared" si="106"/>
        <v>650</v>
      </c>
      <c r="I730" s="12">
        <f t="shared" si="109"/>
        <v>0.22122563811680121</v>
      </c>
      <c r="J730" s="3">
        <f t="shared" si="110"/>
        <v>0.7</v>
      </c>
    </row>
    <row r="731" spans="2:10" x14ac:dyDescent="0.25">
      <c r="B731" s="3">
        <f t="shared" si="111"/>
        <v>3570</v>
      </c>
      <c r="C731" s="14">
        <f t="shared" si="112"/>
        <v>59.5</v>
      </c>
      <c r="D731" s="11">
        <f t="shared" si="113"/>
        <v>944.0888407688393</v>
      </c>
      <c r="E731" s="24">
        <f t="shared" si="105"/>
        <v>938.27648939413928</v>
      </c>
      <c r="F731" s="24">
        <f t="shared" si="107"/>
        <v>145.30878436750072</v>
      </c>
      <c r="G731" s="14">
        <f t="shared" si="108"/>
        <v>1651.7622014516226</v>
      </c>
      <c r="H731" s="24">
        <f t="shared" si="106"/>
        <v>650</v>
      </c>
      <c r="I731" s="12">
        <f t="shared" si="109"/>
        <v>0.22089034286169035</v>
      </c>
      <c r="J731" s="3">
        <f t="shared" si="110"/>
        <v>0.7</v>
      </c>
    </row>
    <row r="732" spans="2:10" x14ac:dyDescent="0.25">
      <c r="B732" s="3">
        <f t="shared" si="111"/>
        <v>3575</v>
      </c>
      <c r="C732" s="14">
        <f t="shared" si="112"/>
        <v>59.583333333333336</v>
      </c>
      <c r="D732" s="11">
        <f t="shared" si="113"/>
        <v>944.29810280880019</v>
      </c>
      <c r="E732" s="24">
        <f t="shared" si="105"/>
        <v>938.49737973700098</v>
      </c>
      <c r="F732" s="24">
        <f t="shared" si="107"/>
        <v>145.01807679498029</v>
      </c>
      <c r="G732" s="14">
        <f t="shared" si="108"/>
        <v>1649.3337745935719</v>
      </c>
      <c r="H732" s="24">
        <f t="shared" si="106"/>
        <v>650</v>
      </c>
      <c r="I732" s="12">
        <f t="shared" si="109"/>
        <v>0.22055611536517211</v>
      </c>
      <c r="J732" s="3">
        <f t="shared" si="110"/>
        <v>0.7</v>
      </c>
    </row>
    <row r="733" spans="2:10" x14ac:dyDescent="0.25">
      <c r="B733" s="3">
        <f t="shared" si="111"/>
        <v>3580</v>
      </c>
      <c r="C733" s="14">
        <f t="shared" si="112"/>
        <v>59.666666666666664</v>
      </c>
      <c r="D733" s="11">
        <f t="shared" si="113"/>
        <v>944.50707299087026</v>
      </c>
      <c r="E733" s="24">
        <f t="shared" si="105"/>
        <v>938.71793585236617</v>
      </c>
      <c r="F733" s="24">
        <f t="shared" si="107"/>
        <v>144.72842846260221</v>
      </c>
      <c r="G733" s="14">
        <f t="shared" si="108"/>
        <v>1646.9129251964739</v>
      </c>
      <c r="H733" s="24">
        <f t="shared" si="106"/>
        <v>650</v>
      </c>
      <c r="I733" s="12">
        <f t="shared" si="109"/>
        <v>0.22022294946492979</v>
      </c>
      <c r="J733" s="3">
        <f t="shared" si="110"/>
        <v>0.7</v>
      </c>
    </row>
    <row r="734" spans="2:10" x14ac:dyDescent="0.25">
      <c r="B734" s="3">
        <f t="shared" si="111"/>
        <v>3585</v>
      </c>
      <c r="C734" s="14">
        <f t="shared" si="112"/>
        <v>59.75</v>
      </c>
      <c r="D734" s="11">
        <f t="shared" si="113"/>
        <v>944.71575212802418</v>
      </c>
      <c r="E734" s="24">
        <f t="shared" si="105"/>
        <v>938.93815880183115</v>
      </c>
      <c r="F734" s="24">
        <f t="shared" si="107"/>
        <v>144.43983315482569</v>
      </c>
      <c r="G734" s="14">
        <f t="shared" si="108"/>
        <v>1644.4996099666687</v>
      </c>
      <c r="H734" s="24">
        <f t="shared" si="106"/>
        <v>650</v>
      </c>
      <c r="I734" s="12">
        <f t="shared" si="109"/>
        <v>0.21989083907544732</v>
      </c>
      <c r="J734" s="3">
        <f t="shared" si="110"/>
        <v>0.7</v>
      </c>
    </row>
    <row r="735" spans="2:10" x14ac:dyDescent="0.25">
      <c r="B735" s="3">
        <f t="shared" si="111"/>
        <v>3590</v>
      </c>
      <c r="C735" s="14">
        <f t="shared" si="112"/>
        <v>59.833333333333336</v>
      </c>
      <c r="D735" s="11">
        <f t="shared" si="113"/>
        <v>944.92414102984503</v>
      </c>
      <c r="E735" s="24">
        <f t="shared" si="105"/>
        <v>939.1580496409066</v>
      </c>
      <c r="F735" s="24">
        <f t="shared" si="107"/>
        <v>144.15228472346087</v>
      </c>
      <c r="G735" s="14">
        <f t="shared" si="108"/>
        <v>1642.0937861532102</v>
      </c>
      <c r="H735" s="24">
        <f t="shared" si="106"/>
        <v>650</v>
      </c>
      <c r="I735" s="12">
        <f t="shared" si="109"/>
        <v>0.21955977818619593</v>
      </c>
      <c r="J735" s="3">
        <f t="shared" si="110"/>
        <v>0.7</v>
      </c>
    </row>
    <row r="736" spans="2:10" x14ac:dyDescent="0.25">
      <c r="B736" s="3">
        <f t="shared" si="111"/>
        <v>3595</v>
      </c>
      <c r="C736" s="14">
        <f t="shared" si="112"/>
        <v>59.916666666666664</v>
      </c>
      <c r="D736" s="11">
        <f t="shared" si="113"/>
        <v>945.13224050254269</v>
      </c>
      <c r="E736" s="24">
        <f t="shared" si="105"/>
        <v>939.37760941909278</v>
      </c>
      <c r="F736" s="24">
        <f t="shared" si="107"/>
        <v>143.8657770862477</v>
      </c>
      <c r="G736" s="14">
        <f t="shared" si="108"/>
        <v>1639.6954115346207</v>
      </c>
      <c r="H736" s="24">
        <f t="shared" si="106"/>
        <v>650</v>
      </c>
      <c r="I736" s="12">
        <f t="shared" si="109"/>
        <v>0.21922976085983126</v>
      </c>
      <c r="J736" s="3">
        <f t="shared" si="110"/>
        <v>0.7</v>
      </c>
    </row>
    <row r="737" spans="2:10" x14ac:dyDescent="0.25">
      <c r="B737" s="3">
        <f t="shared" si="111"/>
        <v>3600</v>
      </c>
      <c r="C737" s="14">
        <f t="shared" si="112"/>
        <v>60</v>
      </c>
      <c r="D737" s="11">
        <f t="shared" si="113"/>
        <v>945.34005134897188</v>
      </c>
      <c r="E737" s="24">
        <f t="shared" si="105"/>
        <v>939.59683917995255</v>
      </c>
      <c r="F737" s="24">
        <f t="shared" si="107"/>
        <v>143.58030422548325</v>
      </c>
      <c r="G737" s="14">
        <f t="shared" si="108"/>
        <v>1637.3044444065065</v>
      </c>
      <c r="H737" s="24">
        <f t="shared" si="106"/>
        <v>650</v>
      </c>
      <c r="I737" s="12">
        <f t="shared" si="109"/>
        <v>0.21890078123050252</v>
      </c>
      <c r="J737" s="3">
        <f t="shared" si="110"/>
        <v>0.7</v>
      </c>
    </row>
    <row r="738" spans="2:10" x14ac:dyDescent="0.25">
      <c r="B738" s="3">
        <f t="shared" si="111"/>
        <v>3605</v>
      </c>
      <c r="C738" s="14">
        <f t="shared" si="112"/>
        <v>60.083333333333336</v>
      </c>
      <c r="D738" s="11">
        <f t="shared" si="113"/>
        <v>945.54757436865179</v>
      </c>
      <c r="E738" s="24">
        <f t="shared" si="105"/>
        <v>939.81573996118311</v>
      </c>
      <c r="F738" s="24">
        <f t="shared" si="107"/>
        <v>143.29586018671705</v>
      </c>
      <c r="G738" s="14">
        <f t="shared" si="108"/>
        <v>1634.9208435685161</v>
      </c>
      <c r="H738" s="24">
        <f t="shared" si="106"/>
        <v>650</v>
      </c>
      <c r="I738" s="12">
        <f t="shared" si="109"/>
        <v>0.21857283350208906</v>
      </c>
      <c r="J738" s="3">
        <f t="shared" si="110"/>
        <v>0.7</v>
      </c>
    </row>
    <row r="739" spans="2:10" x14ac:dyDescent="0.25">
      <c r="B739" s="3">
        <f t="shared" si="111"/>
        <v>3610</v>
      </c>
      <c r="C739" s="14">
        <f t="shared" si="112"/>
        <v>60.166666666666664</v>
      </c>
      <c r="D739" s="11">
        <f t="shared" si="113"/>
        <v>945.75481035778432</v>
      </c>
      <c r="E739" s="24">
        <f t="shared" si="105"/>
        <v>940.03431279468521</v>
      </c>
      <c r="F739" s="24">
        <f t="shared" si="107"/>
        <v>143.01243907747789</v>
      </c>
      <c r="G739" s="14">
        <f t="shared" si="108"/>
        <v>1632.544568313632</v>
      </c>
      <c r="H739" s="24">
        <f t="shared" si="106"/>
        <v>650</v>
      </c>
      <c r="I739" s="12">
        <f t="shared" si="109"/>
        <v>0.21824591194672749</v>
      </c>
      <c r="J739" s="3">
        <f t="shared" si="110"/>
        <v>0.7</v>
      </c>
    </row>
    <row r="740" spans="2:10" x14ac:dyDescent="0.25">
      <c r="B740" s="3">
        <f t="shared" si="111"/>
        <v>3615</v>
      </c>
      <c r="C740" s="14">
        <f t="shared" si="112"/>
        <v>60.25</v>
      </c>
      <c r="D740" s="11">
        <f t="shared" si="113"/>
        <v>945.96176010927149</v>
      </c>
      <c r="E740" s="24">
        <f t="shared" si="105"/>
        <v>940.25255870663193</v>
      </c>
      <c r="F740" s="24">
        <f t="shared" si="107"/>
        <v>142.73003506598911</v>
      </c>
      <c r="G740" s="14">
        <f t="shared" si="108"/>
        <v>1630.1755784152833</v>
      </c>
      <c r="H740" s="24">
        <f t="shared" si="106"/>
        <v>650</v>
      </c>
      <c r="I740" s="12">
        <f t="shared" si="109"/>
        <v>0.21792001090306981</v>
      </c>
      <c r="J740" s="3">
        <f t="shared" si="110"/>
        <v>0.7</v>
      </c>
    </row>
    <row r="741" spans="2:10" x14ac:dyDescent="0.25">
      <c r="B741" s="3">
        <f t="shared" si="111"/>
        <v>3620</v>
      </c>
      <c r="C741" s="14">
        <f t="shared" si="112"/>
        <v>60.333333333333336</v>
      </c>
      <c r="D741" s="11">
        <f t="shared" si="113"/>
        <v>946.16842441273513</v>
      </c>
      <c r="E741" s="24">
        <f t="shared" si="105"/>
        <v>940.470478717535</v>
      </c>
      <c r="F741" s="24">
        <f t="shared" si="107"/>
        <v>142.44864238000332</v>
      </c>
      <c r="G741" s="14">
        <f t="shared" si="108"/>
        <v>1627.8138341171325</v>
      </c>
      <c r="H741" s="24">
        <f t="shared" si="106"/>
        <v>650</v>
      </c>
      <c r="I741" s="12">
        <f t="shared" si="109"/>
        <v>0.21759512477488482</v>
      </c>
      <c r="J741" s="3">
        <f t="shared" si="110"/>
        <v>0.7</v>
      </c>
    </row>
    <row r="742" spans="2:10" x14ac:dyDescent="0.25">
      <c r="B742" s="3">
        <f t="shared" si="111"/>
        <v>3625</v>
      </c>
      <c r="C742" s="14">
        <f t="shared" si="112"/>
        <v>60.416666666666664</v>
      </c>
      <c r="D742" s="11">
        <f t="shared" si="113"/>
        <v>946.3748040545338</v>
      </c>
      <c r="E742" s="24">
        <f t="shared" si="105"/>
        <v>940.6880738423099</v>
      </c>
      <c r="F742" s="24">
        <f t="shared" si="107"/>
        <v>142.16825530559731</v>
      </c>
      <c r="G742" s="14">
        <f t="shared" si="108"/>
        <v>1625.4592961215062</v>
      </c>
      <c r="H742" s="24">
        <f t="shared" si="106"/>
        <v>650</v>
      </c>
      <c r="I742" s="12">
        <f t="shared" si="109"/>
        <v>0.21727124802948791</v>
      </c>
      <c r="J742" s="3">
        <f t="shared" si="110"/>
        <v>0.7</v>
      </c>
    </row>
    <row r="743" spans="2:10" x14ac:dyDescent="0.25">
      <c r="B743" s="3">
        <f t="shared" si="111"/>
        <v>3630</v>
      </c>
      <c r="C743" s="14">
        <f t="shared" si="112"/>
        <v>60.5</v>
      </c>
      <c r="D743" s="11">
        <f t="shared" si="113"/>
        <v>946.58089981778096</v>
      </c>
      <c r="E743" s="24">
        <f t="shared" si="105"/>
        <v>940.90534509033944</v>
      </c>
      <c r="F743" s="24">
        <f t="shared" si="107"/>
        <v>141.88886818603805</v>
      </c>
      <c r="G743" s="14">
        <f t="shared" si="108"/>
        <v>1623.111925579278</v>
      </c>
      <c r="H743" s="24">
        <f t="shared" si="106"/>
        <v>650</v>
      </c>
      <c r="I743" s="12">
        <f t="shared" si="109"/>
        <v>0.2169483751963581</v>
      </c>
      <c r="J743" s="3">
        <f t="shared" si="110"/>
        <v>0.7</v>
      </c>
    </row>
    <row r="744" spans="2:10" x14ac:dyDescent="0.25">
      <c r="B744" s="3">
        <f t="shared" si="111"/>
        <v>3635</v>
      </c>
      <c r="C744" s="14">
        <f t="shared" si="112"/>
        <v>60.583333333333336</v>
      </c>
      <c r="D744" s="11">
        <f t="shared" si="113"/>
        <v>946.78671248236299</v>
      </c>
      <c r="E744" s="24">
        <f t="shared" si="105"/>
        <v>941.12229346553579</v>
      </c>
      <c r="F744" s="24">
        <f t="shared" si="107"/>
        <v>141.6104754206799</v>
      </c>
      <c r="G744" s="14">
        <f t="shared" si="108"/>
        <v>1620.7716840794913</v>
      </c>
      <c r="H744" s="24">
        <f t="shared" si="106"/>
        <v>650</v>
      </c>
      <c r="I744" s="12">
        <f t="shared" si="109"/>
        <v>0.21662650086572693</v>
      </c>
      <c r="J744" s="3">
        <f t="shared" si="110"/>
        <v>0.7</v>
      </c>
    </row>
    <row r="745" spans="2:10" x14ac:dyDescent="0.25">
      <c r="B745" s="3">
        <f t="shared" si="111"/>
        <v>3640</v>
      </c>
      <c r="C745" s="14">
        <f t="shared" si="112"/>
        <v>60.666666666666664</v>
      </c>
      <c r="D745" s="11">
        <f t="shared" si="113"/>
        <v>946.9922428249572</v>
      </c>
      <c r="E745" s="24">
        <f t="shared" si="105"/>
        <v>941.33891996640148</v>
      </c>
      <c r="F745" s="24">
        <f t="shared" si="107"/>
        <v>141.33307146389313</v>
      </c>
      <c r="G745" s="14">
        <f t="shared" si="108"/>
        <v>1618.4385336395908</v>
      </c>
      <c r="H745" s="24">
        <f t="shared" si="106"/>
        <v>650</v>
      </c>
      <c r="I745" s="12">
        <f t="shared" si="109"/>
        <v>0.21630561968724613</v>
      </c>
      <c r="J745" s="3">
        <f t="shared" si="110"/>
        <v>0.7</v>
      </c>
    </row>
    <row r="746" spans="2:10" x14ac:dyDescent="0.25">
      <c r="B746" s="3">
        <f t="shared" si="111"/>
        <v>3645</v>
      </c>
      <c r="C746" s="14">
        <f t="shared" si="112"/>
        <v>60.75</v>
      </c>
      <c r="D746" s="11">
        <f t="shared" si="113"/>
        <v>947.19749161904872</v>
      </c>
      <c r="E746" s="24">
        <f t="shared" si="105"/>
        <v>941.55522558608868</v>
      </c>
      <c r="F746" s="24">
        <f t="shared" si="107"/>
        <v>141.05665082400094</v>
      </c>
      <c r="G746" s="14">
        <f t="shared" si="108"/>
        <v>1616.112436695802</v>
      </c>
      <c r="H746" s="24">
        <f t="shared" si="106"/>
        <v>650</v>
      </c>
      <c r="I746" s="12">
        <f t="shared" si="109"/>
        <v>0.21598572636867425</v>
      </c>
      <c r="J746" s="3">
        <f t="shared" si="110"/>
        <v>0.7</v>
      </c>
    </row>
    <row r="747" spans="2:10" x14ac:dyDescent="0.25">
      <c r="B747" s="3">
        <f t="shared" si="111"/>
        <v>3650</v>
      </c>
      <c r="C747" s="14">
        <f t="shared" si="112"/>
        <v>60.833333333333336</v>
      </c>
      <c r="D747" s="11">
        <f t="shared" si="113"/>
        <v>947.40245963494863</v>
      </c>
      <c r="E747" s="24">
        <f t="shared" si="105"/>
        <v>941.77121131245735</v>
      </c>
      <c r="F747" s="24">
        <f t="shared" si="107"/>
        <v>140.78120806228185</v>
      </c>
      <c r="G747" s="14">
        <f t="shared" si="108"/>
        <v>1613.7933560934398</v>
      </c>
      <c r="H747" s="24">
        <f t="shared" si="106"/>
        <v>650</v>
      </c>
      <c r="I747" s="12">
        <f t="shared" si="109"/>
        <v>0.21566681567456311</v>
      </c>
      <c r="J747" s="3">
        <f t="shared" si="110"/>
        <v>0.7</v>
      </c>
    </row>
    <row r="748" spans="2:10" x14ac:dyDescent="0.25">
      <c r="B748" s="3">
        <f t="shared" si="111"/>
        <v>3655</v>
      </c>
      <c r="C748" s="14">
        <f t="shared" si="112"/>
        <v>60.916666666666664</v>
      </c>
      <c r="D748" s="11">
        <f t="shared" si="113"/>
        <v>947.60714763981071</v>
      </c>
      <c r="E748" s="24">
        <f t="shared" si="105"/>
        <v>941.98687812813193</v>
      </c>
      <c r="F748" s="24">
        <f t="shared" si="107"/>
        <v>140.50673779196927</v>
      </c>
      <c r="G748" s="14">
        <f t="shared" si="108"/>
        <v>1611.4812550784791</v>
      </c>
      <c r="H748" s="24">
        <f t="shared" si="106"/>
        <v>650</v>
      </c>
      <c r="I748" s="12">
        <f t="shared" si="109"/>
        <v>0.21534888242509839</v>
      </c>
      <c r="J748" s="3">
        <f t="shared" si="110"/>
        <v>0.7</v>
      </c>
    </row>
    <row r="749" spans="2:10" x14ac:dyDescent="0.25">
      <c r="B749" s="3">
        <f t="shared" si="111"/>
        <v>3660</v>
      </c>
      <c r="C749" s="14">
        <f t="shared" si="112"/>
        <v>61</v>
      </c>
      <c r="D749" s="11">
        <f t="shared" si="113"/>
        <v>947.81155639764904</v>
      </c>
      <c r="E749" s="24">
        <f t="shared" si="105"/>
        <v>942.20222701055707</v>
      </c>
      <c r="F749" s="24">
        <f t="shared" si="107"/>
        <v>140.23323467729938</v>
      </c>
      <c r="G749" s="14">
        <f t="shared" si="108"/>
        <v>1609.1760972884649</v>
      </c>
      <c r="H749" s="24">
        <f t="shared" si="106"/>
        <v>650</v>
      </c>
      <c r="I749" s="12">
        <f t="shared" si="109"/>
        <v>0.21503192149486555</v>
      </c>
      <c r="J749" s="3">
        <f t="shared" si="110"/>
        <v>0.7</v>
      </c>
    </row>
    <row r="750" spans="2:10" x14ac:dyDescent="0.25">
      <c r="B750" s="3">
        <f t="shared" si="111"/>
        <v>3665</v>
      </c>
      <c r="C750" s="14">
        <f t="shared" si="112"/>
        <v>61.083333333333336</v>
      </c>
      <c r="D750" s="11">
        <f t="shared" si="113"/>
        <v>948.01568666935486</v>
      </c>
      <c r="E750" s="24">
        <f t="shared" si="105"/>
        <v>942.41725893205194</v>
      </c>
      <c r="F750" s="24">
        <f t="shared" si="107"/>
        <v>139.96069343257318</v>
      </c>
      <c r="G750" s="14">
        <f t="shared" si="108"/>
        <v>1606.877846744112</v>
      </c>
      <c r="H750" s="24">
        <f t="shared" si="106"/>
        <v>650</v>
      </c>
      <c r="I750" s="12">
        <f t="shared" si="109"/>
        <v>0.21471592781170179</v>
      </c>
      <c r="J750" s="3">
        <f t="shared" si="110"/>
        <v>0.7</v>
      </c>
    </row>
    <row r="751" spans="2:10" x14ac:dyDescent="0.25">
      <c r="B751" s="3">
        <f t="shared" si="111"/>
        <v>3670</v>
      </c>
      <c r="C751" s="14">
        <f t="shared" si="112"/>
        <v>61.166666666666664</v>
      </c>
      <c r="D751" s="11">
        <f t="shared" si="113"/>
        <v>948.21953921271438</v>
      </c>
      <c r="E751" s="24">
        <f t="shared" si="105"/>
        <v>942.63197485986359</v>
      </c>
      <c r="F751" s="24">
        <f t="shared" si="107"/>
        <v>139.68910882126977</v>
      </c>
      <c r="G751" s="14">
        <f t="shared" si="108"/>
        <v>1604.5864678409032</v>
      </c>
      <c r="H751" s="24">
        <f t="shared" si="106"/>
        <v>650</v>
      </c>
      <c r="I751" s="12">
        <f t="shared" si="109"/>
        <v>0.21440089635555454</v>
      </c>
      <c r="J751" s="3">
        <f t="shared" si="110"/>
        <v>0.7</v>
      </c>
    </row>
    <row r="752" spans="2:10" x14ac:dyDescent="0.25">
      <c r="B752" s="3">
        <f t="shared" si="111"/>
        <v>3675</v>
      </c>
      <c r="C752" s="14">
        <f t="shared" si="112"/>
        <v>61.25</v>
      </c>
      <c r="D752" s="11">
        <f t="shared" si="113"/>
        <v>948.42311478242402</v>
      </c>
      <c r="E752" s="24">
        <f t="shared" si="105"/>
        <v>942.84637575621912</v>
      </c>
      <c r="F752" s="24">
        <f t="shared" si="107"/>
        <v>139.41847565512262</v>
      </c>
      <c r="G752" s="14">
        <f t="shared" si="108"/>
        <v>1602.3019253411242</v>
      </c>
      <c r="H752" s="24">
        <f t="shared" si="106"/>
        <v>650</v>
      </c>
      <c r="I752" s="12">
        <f t="shared" si="109"/>
        <v>0.21408682215738867</v>
      </c>
      <c r="J752" s="3">
        <f t="shared" si="110"/>
        <v>0.7</v>
      </c>
    </row>
    <row r="753" spans="2:10" x14ac:dyDescent="0.25">
      <c r="B753" s="3">
        <f t="shared" si="111"/>
        <v>3680</v>
      </c>
      <c r="C753" s="14">
        <f t="shared" si="112"/>
        <v>61.333333333333336</v>
      </c>
      <c r="D753" s="11">
        <f t="shared" si="113"/>
        <v>948.62641413010908</v>
      </c>
      <c r="E753" s="24">
        <f t="shared" si="105"/>
        <v>943.06046257837647</v>
      </c>
      <c r="F753" s="24">
        <f t="shared" si="107"/>
        <v>139.14878879331525</v>
      </c>
      <c r="G753" s="14">
        <f t="shared" si="108"/>
        <v>1600.0241843664801</v>
      </c>
      <c r="H753" s="24">
        <f t="shared" si="106"/>
        <v>650</v>
      </c>
      <c r="I753" s="12">
        <f t="shared" si="109"/>
        <v>0.21377370029818024</v>
      </c>
      <c r="J753" s="3">
        <f t="shared" si="110"/>
        <v>0.7</v>
      </c>
    </row>
    <row r="754" spans="2:10" x14ac:dyDescent="0.25">
      <c r="B754" s="3">
        <f t="shared" si="111"/>
        <v>3685</v>
      </c>
      <c r="C754" s="14">
        <f t="shared" si="112"/>
        <v>61.416666666666664</v>
      </c>
      <c r="D754" s="11">
        <f t="shared" si="113"/>
        <v>948.82943800433895</v>
      </c>
      <c r="E754" s="24">
        <f t="shared" ref="E754:E755" si="114">E753+I753</f>
        <v>943.27423627867461</v>
      </c>
      <c r="F754" s="24">
        <f t="shared" si="107"/>
        <v>138.88004314160867</v>
      </c>
      <c r="G754" s="14">
        <f t="shared" si="108"/>
        <v>1597.7532103903434</v>
      </c>
      <c r="H754" s="24">
        <f t="shared" ref="H754:H755" si="115">IF(E754&lt;600,425+0.773*E754-1.69/1000*E754^2+2.22/1000^2*E754^3,IF(E754&lt;735,666+13002/(738-E754),IF(E754&lt;900,545+17820/(E754-731),650)))</f>
        <v>650</v>
      </c>
      <c r="I754" s="12">
        <f t="shared" si="109"/>
        <v>0.21346152590785633</v>
      </c>
      <c r="J754" s="3">
        <f t="shared" si="110"/>
        <v>0.7</v>
      </c>
    </row>
    <row r="755" spans="2:10" x14ac:dyDescent="0.25">
      <c r="B755" s="3">
        <f t="shared" si="111"/>
        <v>3690</v>
      </c>
      <c r="C755" s="14">
        <f t="shared" si="112"/>
        <v>61.5</v>
      </c>
      <c r="D755" s="11">
        <f t="shared" si="113"/>
        <v>949.03218715064429</v>
      </c>
      <c r="E755" s="24">
        <f t="shared" si="114"/>
        <v>943.48769780458247</v>
      </c>
      <c r="F755" s="24">
        <f t="shared" si="107"/>
        <v>138.61223365154558</v>
      </c>
      <c r="G755" s="14">
        <f t="shared" si="108"/>
        <v>1595.4889692301379</v>
      </c>
      <c r="H755" s="24">
        <f t="shared" si="115"/>
        <v>650</v>
      </c>
      <c r="I755" s="12">
        <f t="shared" si="109"/>
        <v>0.21315029416426107</v>
      </c>
      <c r="J755" s="3">
        <f t="shared" si="110"/>
        <v>0.7</v>
      </c>
    </row>
    <row r="756" spans="2:10" x14ac:dyDescent="0.25">
      <c r="B756" s="3">
        <f t="shared" si="111"/>
        <v>3695</v>
      </c>
      <c r="C756" s="14">
        <f t="shared" si="112"/>
        <v>61.583333333333336</v>
      </c>
      <c r="D756" s="11">
        <f t="shared" si="113"/>
        <v>949.23466231153338</v>
      </c>
      <c r="E756" s="24">
        <f t="shared" ref="E756:E819" si="116">E755+I755</f>
        <v>943.70084809874675</v>
      </c>
      <c r="F756" s="24">
        <f t="shared" si="107"/>
        <v>138.34535531966594</v>
      </c>
      <c r="G756" s="14">
        <f t="shared" si="108"/>
        <v>1593.2314270405841</v>
      </c>
      <c r="H756" s="24">
        <f t="shared" ref="H756:H819" si="117">IF(E756&lt;600,425+0.773*E756-1.69/1000*E756^2+2.22/1000^2*E756^3,IF(E756&lt;735,666+13002/(738-E756),IF(E756&lt;900,545+17820/(E756-731),650)))</f>
        <v>650</v>
      </c>
      <c r="I756" s="12">
        <f t="shared" si="109"/>
        <v>0.21284000029222885</v>
      </c>
      <c r="J756" s="3">
        <f t="shared" si="110"/>
        <v>0.7</v>
      </c>
    </row>
    <row r="757" spans="2:10" x14ac:dyDescent="0.25">
      <c r="B757" s="3">
        <f t="shared" si="111"/>
        <v>3700</v>
      </c>
      <c r="C757" s="14">
        <f t="shared" si="112"/>
        <v>61.666666666666664</v>
      </c>
      <c r="D757" s="11">
        <f t="shared" si="113"/>
        <v>949.43686422650831</v>
      </c>
      <c r="E757" s="24">
        <f t="shared" si="116"/>
        <v>943.91368809903895</v>
      </c>
      <c r="F757" s="24">
        <f t="shared" si="107"/>
        <v>138.07940318673388</v>
      </c>
      <c r="G757" s="14">
        <f t="shared" si="108"/>
        <v>1590.9805503070622</v>
      </c>
      <c r="H757" s="24">
        <f t="shared" si="117"/>
        <v>650</v>
      </c>
      <c r="I757" s="12">
        <f t="shared" si="109"/>
        <v>0.21253063956267379</v>
      </c>
      <c r="J757" s="3">
        <f t="shared" si="110"/>
        <v>0.7</v>
      </c>
    </row>
    <row r="758" spans="2:10" x14ac:dyDescent="0.25">
      <c r="B758" s="3">
        <f t="shared" si="111"/>
        <v>3705</v>
      </c>
      <c r="C758" s="14">
        <f t="shared" si="112"/>
        <v>61.75</v>
      </c>
      <c r="D758" s="11">
        <f t="shared" si="113"/>
        <v>949.63879363208116</v>
      </c>
      <c r="E758" s="24">
        <f t="shared" si="116"/>
        <v>944.12621873860166</v>
      </c>
      <c r="F758" s="24">
        <f t="shared" si="107"/>
        <v>137.81437233698739</v>
      </c>
      <c r="G758" s="14">
        <f t="shared" si="108"/>
        <v>1588.7363058384221</v>
      </c>
      <c r="H758" s="24">
        <f t="shared" si="117"/>
        <v>650</v>
      </c>
      <c r="I758" s="12">
        <f t="shared" si="109"/>
        <v>0.21222220729161351</v>
      </c>
      <c r="J758" s="3">
        <f t="shared" si="110"/>
        <v>0.7</v>
      </c>
    </row>
    <row r="759" spans="2:10" x14ac:dyDescent="0.25">
      <c r="B759" s="3">
        <f t="shared" si="111"/>
        <v>3710</v>
      </c>
      <c r="C759" s="14">
        <f t="shared" si="112"/>
        <v>61.833333333333336</v>
      </c>
      <c r="D759" s="11">
        <f t="shared" si="113"/>
        <v>949.84045126179058</v>
      </c>
      <c r="E759" s="24">
        <f t="shared" si="116"/>
        <v>944.33844094589324</v>
      </c>
      <c r="F759" s="24">
        <f t="shared" si="107"/>
        <v>137.55025789743343</v>
      </c>
      <c r="G759" s="14">
        <f t="shared" si="108"/>
        <v>1586.4986607609469</v>
      </c>
      <c r="H759" s="24">
        <f t="shared" si="117"/>
        <v>650</v>
      </c>
      <c r="I759" s="12">
        <f t="shared" si="109"/>
        <v>0.21191469883934044</v>
      </c>
      <c r="J759" s="3">
        <f t="shared" si="110"/>
        <v>0.7</v>
      </c>
    </row>
    <row r="760" spans="2:10" x14ac:dyDescent="0.25">
      <c r="B760" s="3">
        <f t="shared" si="111"/>
        <v>3715</v>
      </c>
      <c r="C760" s="14">
        <f t="shared" si="112"/>
        <v>61.916666666666664</v>
      </c>
      <c r="D760" s="11">
        <f t="shared" si="113"/>
        <v>950.04183784621705</v>
      </c>
      <c r="E760" s="24">
        <f t="shared" si="116"/>
        <v>944.55035564473258</v>
      </c>
      <c r="F760" s="24">
        <f t="shared" si="107"/>
        <v>137.28705503711183</v>
      </c>
      <c r="G760" s="14">
        <f t="shared" si="108"/>
        <v>1584.2675825116364</v>
      </c>
      <c r="H760" s="24">
        <f t="shared" si="117"/>
        <v>650</v>
      </c>
      <c r="I760" s="12">
        <f t="shared" si="109"/>
        <v>0.21160810960950602</v>
      </c>
      <c r="J760" s="3">
        <f t="shared" si="110"/>
        <v>0.7</v>
      </c>
    </row>
    <row r="761" spans="2:10" x14ac:dyDescent="0.25">
      <c r="B761" s="3">
        <f t="shared" si="111"/>
        <v>3720</v>
      </c>
      <c r="C761" s="14">
        <f t="shared" si="112"/>
        <v>62</v>
      </c>
      <c r="D761" s="11">
        <f t="shared" si="113"/>
        <v>950.24295411299954</v>
      </c>
      <c r="E761" s="24">
        <f t="shared" si="116"/>
        <v>944.7619637543421</v>
      </c>
      <c r="F761" s="24">
        <f t="shared" si="107"/>
        <v>137.02475896643591</v>
      </c>
      <c r="G761" s="14">
        <f t="shared" si="108"/>
        <v>1582.043038832647</v>
      </c>
      <c r="H761" s="24">
        <f t="shared" si="117"/>
        <v>650</v>
      </c>
      <c r="I761" s="12">
        <f t="shared" si="109"/>
        <v>0.211302435048356</v>
      </c>
      <c r="J761" s="3">
        <f t="shared" si="110"/>
        <v>0.7</v>
      </c>
    </row>
    <row r="762" spans="2:10" x14ac:dyDescent="0.25">
      <c r="B762" s="3">
        <f t="shared" si="111"/>
        <v>3725</v>
      </c>
      <c r="C762" s="14">
        <f t="shared" si="112"/>
        <v>62.083333333333336</v>
      </c>
      <c r="D762" s="11">
        <f t="shared" si="113"/>
        <v>950.44380078685015</v>
      </c>
      <c r="E762" s="24">
        <f t="shared" si="116"/>
        <v>944.97326618939042</v>
      </c>
      <c r="F762" s="24">
        <f t="shared" si="107"/>
        <v>136.7633649364933</v>
      </c>
      <c r="G762" s="14">
        <f t="shared" si="108"/>
        <v>1579.8249977648852</v>
      </c>
      <c r="H762" s="24">
        <f t="shared" si="117"/>
        <v>650</v>
      </c>
      <c r="I762" s="12">
        <f t="shared" si="109"/>
        <v>0.21099767064385722</v>
      </c>
      <c r="J762" s="3">
        <f t="shared" si="110"/>
        <v>0.7</v>
      </c>
    </row>
    <row r="763" spans="2:10" x14ac:dyDescent="0.25">
      <c r="B763" s="3">
        <f t="shared" si="111"/>
        <v>3730</v>
      </c>
      <c r="C763" s="14">
        <f t="shared" si="112"/>
        <v>62.166666666666664</v>
      </c>
      <c r="D763" s="11">
        <f t="shared" si="113"/>
        <v>950.64437858957103</v>
      </c>
      <c r="E763" s="24">
        <f t="shared" si="116"/>
        <v>945.18426386003432</v>
      </c>
      <c r="F763" s="24">
        <f t="shared" si="107"/>
        <v>136.50286823841782</v>
      </c>
      <c r="G763" s="14">
        <f t="shared" si="108"/>
        <v>1577.6134276424168</v>
      </c>
      <c r="H763" s="24">
        <f t="shared" si="117"/>
        <v>650</v>
      </c>
      <c r="I763" s="12">
        <f t="shared" si="109"/>
        <v>0.21069381192493294</v>
      </c>
      <c r="J763" s="3">
        <f t="shared" si="110"/>
        <v>0.7</v>
      </c>
    </row>
    <row r="764" spans="2:10" x14ac:dyDescent="0.25">
      <c r="B764" s="3">
        <f t="shared" si="111"/>
        <v>3735</v>
      </c>
      <c r="C764" s="14">
        <f t="shared" si="112"/>
        <v>62.25</v>
      </c>
      <c r="D764" s="11">
        <f t="shared" si="113"/>
        <v>950.84468824006944</v>
      </c>
      <c r="E764" s="24">
        <f t="shared" si="116"/>
        <v>945.39495767195922</v>
      </c>
      <c r="F764" s="24">
        <f t="shared" si="107"/>
        <v>136.24326420275565</v>
      </c>
      <c r="G764" s="14">
        <f t="shared" si="108"/>
        <v>1575.4082970871189</v>
      </c>
      <c r="H764" s="24">
        <f t="shared" si="117"/>
        <v>650</v>
      </c>
      <c r="I764" s="12">
        <f t="shared" si="109"/>
        <v>0.21039085446072789</v>
      </c>
      <c r="J764" s="3">
        <f t="shared" si="110"/>
        <v>0.7</v>
      </c>
    </row>
    <row r="765" spans="2:10" x14ac:dyDescent="0.25">
      <c r="B765" s="3">
        <f t="shared" si="111"/>
        <v>3740</v>
      </c>
      <c r="C765" s="14">
        <f t="shared" si="112"/>
        <v>62.333333333333336</v>
      </c>
      <c r="D765" s="11">
        <f t="shared" si="113"/>
        <v>951.04473045437283</v>
      </c>
      <c r="E765" s="24">
        <f t="shared" si="116"/>
        <v>945.6053485264199</v>
      </c>
      <c r="F765" s="24">
        <f t="shared" si="107"/>
        <v>135.98454819882306</v>
      </c>
      <c r="G765" s="14">
        <f t="shared" si="108"/>
        <v>1573.2095750028836</v>
      </c>
      <c r="H765" s="24">
        <f t="shared" si="117"/>
        <v>650</v>
      </c>
      <c r="I765" s="12">
        <f t="shared" si="109"/>
        <v>0.2100887938598166</v>
      </c>
      <c r="J765" s="3">
        <f t="shared" si="110"/>
        <v>0.7</v>
      </c>
    </row>
    <row r="766" spans="2:10" x14ac:dyDescent="0.25">
      <c r="B766" s="3">
        <f t="shared" si="111"/>
        <v>3745</v>
      </c>
      <c r="C766" s="14">
        <f t="shared" si="112"/>
        <v>62.416666666666664</v>
      </c>
      <c r="D766" s="11">
        <f t="shared" si="113"/>
        <v>951.24450594564473</v>
      </c>
      <c r="E766" s="24">
        <f t="shared" si="116"/>
        <v>945.81543732027967</v>
      </c>
      <c r="F766" s="24">
        <f t="shared" si="107"/>
        <v>135.72671563412655</v>
      </c>
      <c r="G766" s="14">
        <f t="shared" si="108"/>
        <v>1571.0172305706981</v>
      </c>
      <c r="H766" s="24">
        <f t="shared" si="117"/>
        <v>650</v>
      </c>
      <c r="I766" s="12">
        <f t="shared" si="109"/>
        <v>0.2097876257695275</v>
      </c>
      <c r="J766" s="3">
        <f t="shared" si="110"/>
        <v>0.7</v>
      </c>
    </row>
    <row r="767" spans="2:10" x14ac:dyDescent="0.25">
      <c r="B767" s="3">
        <f t="shared" si="111"/>
        <v>3750</v>
      </c>
      <c r="C767" s="14">
        <f t="shared" si="112"/>
        <v>62.5</v>
      </c>
      <c r="D767" s="11">
        <f t="shared" si="113"/>
        <v>951.44401542419973</v>
      </c>
      <c r="E767" s="24">
        <f t="shared" si="116"/>
        <v>946.02522494604921</v>
      </c>
      <c r="F767" s="24">
        <f t="shared" si="107"/>
        <v>135.46976195376317</v>
      </c>
      <c r="G767" s="14">
        <f t="shared" si="108"/>
        <v>1568.8312332431183</v>
      </c>
      <c r="H767" s="24">
        <f t="shared" si="117"/>
        <v>650</v>
      </c>
      <c r="I767" s="12">
        <f t="shared" si="109"/>
        <v>0.20948734587518994</v>
      </c>
      <c r="J767" s="3">
        <f t="shared" si="110"/>
        <v>0.7</v>
      </c>
    </row>
    <row r="768" spans="2:10" x14ac:dyDescent="0.25">
      <c r="B768" s="3">
        <f t="shared" si="111"/>
        <v>3755</v>
      </c>
      <c r="C768" s="14">
        <f t="shared" si="112"/>
        <v>62.583333333333336</v>
      </c>
      <c r="D768" s="11">
        <f t="shared" si="113"/>
        <v>951.64325959751886</v>
      </c>
      <c r="E768" s="24">
        <f t="shared" si="116"/>
        <v>946.23471229192444</v>
      </c>
      <c r="F768" s="24">
        <f t="shared" si="107"/>
        <v>135.21368263986062</v>
      </c>
      <c r="G768" s="14">
        <f t="shared" si="108"/>
        <v>1566.6515527395429</v>
      </c>
      <c r="H768" s="24">
        <f t="shared" si="117"/>
        <v>650</v>
      </c>
      <c r="I768" s="12">
        <f t="shared" si="109"/>
        <v>0.20918794989948442</v>
      </c>
      <c r="J768" s="3">
        <f t="shared" si="110"/>
        <v>0.7</v>
      </c>
    </row>
    <row r="769" spans="2:10" x14ac:dyDescent="0.25">
      <c r="B769" s="3">
        <f t="shared" si="111"/>
        <v>3760</v>
      </c>
      <c r="C769" s="14">
        <f t="shared" si="112"/>
        <v>62.666666666666664</v>
      </c>
      <c r="D769" s="11">
        <f t="shared" si="113"/>
        <v>951.84223917026429</v>
      </c>
      <c r="E769" s="24">
        <f t="shared" si="116"/>
        <v>946.44390024182394</v>
      </c>
      <c r="F769" s="24">
        <f t="shared" si="107"/>
        <v>134.95847321100882</v>
      </c>
      <c r="G769" s="14">
        <f t="shared" si="108"/>
        <v>1564.4781590416376</v>
      </c>
      <c r="H769" s="24">
        <f t="shared" si="117"/>
        <v>650</v>
      </c>
      <c r="I769" s="12">
        <f t="shared" si="109"/>
        <v>0.20888943360181025</v>
      </c>
      <c r="J769" s="3">
        <f t="shared" si="110"/>
        <v>0.7</v>
      </c>
    </row>
    <row r="770" spans="2:10" x14ac:dyDescent="0.25">
      <c r="B770" s="3">
        <f t="shared" si="111"/>
        <v>3765</v>
      </c>
      <c r="C770" s="14">
        <f t="shared" si="112"/>
        <v>62.75</v>
      </c>
      <c r="D770" s="11">
        <f t="shared" si="113"/>
        <v>952.0409548442949</v>
      </c>
      <c r="E770" s="24">
        <f t="shared" si="116"/>
        <v>946.65278967542577</v>
      </c>
      <c r="F770" s="24">
        <f t="shared" si="107"/>
        <v>134.70412922172841</v>
      </c>
      <c r="G770" s="14">
        <f t="shared" si="108"/>
        <v>1562.3110223882206</v>
      </c>
      <c r="H770" s="24">
        <f t="shared" si="117"/>
        <v>650</v>
      </c>
      <c r="I770" s="12">
        <f t="shared" si="109"/>
        <v>0.20859179277759174</v>
      </c>
      <c r="J770" s="3">
        <f t="shared" si="110"/>
        <v>0.7</v>
      </c>
    </row>
    <row r="771" spans="2:10" x14ac:dyDescent="0.25">
      <c r="B771" s="3">
        <f t="shared" si="111"/>
        <v>3770</v>
      </c>
      <c r="C771" s="14">
        <f t="shared" si="112"/>
        <v>62.833333333333336</v>
      </c>
      <c r="D771" s="11">
        <f t="shared" si="113"/>
        <v>952.23940731868015</v>
      </c>
      <c r="E771" s="24">
        <f t="shared" si="116"/>
        <v>946.86138146820338</v>
      </c>
      <c r="F771" s="24">
        <f t="shared" si="107"/>
        <v>134.45064626191936</v>
      </c>
      <c r="G771" s="14">
        <f t="shared" si="108"/>
        <v>1560.1501132706685</v>
      </c>
      <c r="H771" s="24">
        <f t="shared" si="117"/>
        <v>650</v>
      </c>
      <c r="I771" s="12">
        <f t="shared" si="109"/>
        <v>0.20829502325764548</v>
      </c>
      <c r="J771" s="3">
        <f t="shared" si="110"/>
        <v>0.7</v>
      </c>
    </row>
    <row r="772" spans="2:10" x14ac:dyDescent="0.25">
      <c r="B772" s="3">
        <f t="shared" si="111"/>
        <v>3775</v>
      </c>
      <c r="C772" s="14">
        <f t="shared" si="112"/>
        <v>62.916666666666664</v>
      </c>
      <c r="D772" s="11">
        <f t="shared" si="113"/>
        <v>952.43759728971577</v>
      </c>
      <c r="E772" s="24">
        <f t="shared" si="116"/>
        <v>947.069676491461</v>
      </c>
      <c r="F772" s="24">
        <f t="shared" si="107"/>
        <v>134.19801995636931</v>
      </c>
      <c r="G772" s="14">
        <f t="shared" si="108"/>
        <v>1557.9954024290207</v>
      </c>
      <c r="H772" s="24">
        <f t="shared" si="117"/>
        <v>650</v>
      </c>
      <c r="I772" s="12">
        <f t="shared" si="109"/>
        <v>0.20799912090764131</v>
      </c>
      <c r="J772" s="3">
        <f t="shared" si="110"/>
        <v>0.7</v>
      </c>
    </row>
    <row r="773" spans="2:10" x14ac:dyDescent="0.25">
      <c r="B773" s="3">
        <f t="shared" si="111"/>
        <v>3780</v>
      </c>
      <c r="C773" s="14">
        <f t="shared" si="112"/>
        <v>63</v>
      </c>
      <c r="D773" s="11">
        <f t="shared" si="113"/>
        <v>952.63552545093819</v>
      </c>
      <c r="E773" s="24">
        <f t="shared" si="116"/>
        <v>947.27767561236863</v>
      </c>
      <c r="F773" s="24">
        <f t="shared" si="107"/>
        <v>133.9462459642391</v>
      </c>
      <c r="G773" s="14">
        <f t="shared" si="108"/>
        <v>1555.8468608470191</v>
      </c>
      <c r="H773" s="24">
        <f t="shared" si="117"/>
        <v>650</v>
      </c>
      <c r="I773" s="12">
        <f t="shared" si="109"/>
        <v>0.20770408162742915</v>
      </c>
      <c r="J773" s="3">
        <f t="shared" si="110"/>
        <v>0.7</v>
      </c>
    </row>
    <row r="774" spans="2:10" x14ac:dyDescent="0.25">
      <c r="B774" s="3">
        <f t="shared" si="111"/>
        <v>3785</v>
      </c>
      <c r="C774" s="14">
        <f t="shared" si="112"/>
        <v>63.083333333333336</v>
      </c>
      <c r="D774" s="11">
        <f t="shared" si="113"/>
        <v>952.83319249313843</v>
      </c>
      <c r="E774" s="24">
        <f t="shared" si="116"/>
        <v>947.48537969399604</v>
      </c>
      <c r="F774" s="24">
        <f t="shared" si="107"/>
        <v>133.69531997855972</v>
      </c>
      <c r="G774" s="14">
        <f t="shared" si="108"/>
        <v>1553.704459748212</v>
      </c>
      <c r="H774" s="24">
        <f t="shared" si="117"/>
        <v>650</v>
      </c>
      <c r="I774" s="12">
        <f t="shared" si="109"/>
        <v>0.20740990135049844</v>
      </c>
      <c r="J774" s="3">
        <f t="shared" si="110"/>
        <v>0.7</v>
      </c>
    </row>
    <row r="775" spans="2:10" x14ac:dyDescent="0.25">
      <c r="B775" s="3">
        <f t="shared" si="111"/>
        <v>3790</v>
      </c>
      <c r="C775" s="14">
        <f t="shared" si="112"/>
        <v>63.166666666666664</v>
      </c>
      <c r="D775" s="11">
        <f t="shared" si="113"/>
        <v>953.03059910437764</v>
      </c>
      <c r="E775" s="24">
        <f t="shared" si="116"/>
        <v>947.69278959534654</v>
      </c>
      <c r="F775" s="24">
        <f t="shared" si="107"/>
        <v>133.44523772577759</v>
      </c>
      <c r="G775" s="14">
        <f t="shared" si="108"/>
        <v>1551.5681705920208</v>
      </c>
      <c r="H775" s="24">
        <f t="shared" si="117"/>
        <v>650</v>
      </c>
      <c r="I775" s="12">
        <f t="shared" si="109"/>
        <v>0.20711657604343878</v>
      </c>
      <c r="J775" s="3">
        <f t="shared" si="110"/>
        <v>0.7</v>
      </c>
    </row>
    <row r="776" spans="2:10" x14ac:dyDescent="0.25">
      <c r="B776" s="3">
        <f t="shared" si="111"/>
        <v>3795</v>
      </c>
      <c r="C776" s="14">
        <f t="shared" si="112"/>
        <v>63.25</v>
      </c>
      <c r="D776" s="11">
        <f t="shared" si="113"/>
        <v>953.22774597000091</v>
      </c>
      <c r="E776" s="24">
        <f t="shared" si="116"/>
        <v>947.89990617138994</v>
      </c>
      <c r="F776" s="24">
        <f t="shared" si="107"/>
        <v>133.19599496527417</v>
      </c>
      <c r="G776" s="14">
        <f t="shared" si="108"/>
        <v>1549.4379650696301</v>
      </c>
      <c r="H776" s="24">
        <f t="shared" si="117"/>
        <v>650</v>
      </c>
      <c r="I776" s="12">
        <f t="shared" si="109"/>
        <v>0.20682410170537552</v>
      </c>
      <c r="J776" s="3">
        <f t="shared" si="110"/>
        <v>0.7</v>
      </c>
    </row>
    <row r="777" spans="2:10" x14ac:dyDescent="0.25">
      <c r="B777" s="3">
        <f t="shared" si="111"/>
        <v>3800</v>
      </c>
      <c r="C777" s="14">
        <f t="shared" si="112"/>
        <v>63.333333333333336</v>
      </c>
      <c r="D777" s="11">
        <f t="shared" si="113"/>
        <v>953.42463377265096</v>
      </c>
      <c r="E777" s="24">
        <f t="shared" si="116"/>
        <v>948.10673027309531</v>
      </c>
      <c r="F777" s="24">
        <f t="shared" si="107"/>
        <v>132.94758748889137</v>
      </c>
      <c r="G777" s="14">
        <f t="shared" si="108"/>
        <v>1547.3138150998614</v>
      </c>
      <c r="H777" s="24">
        <f t="shared" si="117"/>
        <v>650</v>
      </c>
      <c r="I777" s="12">
        <f t="shared" si="109"/>
        <v>0.20653247436740446</v>
      </c>
      <c r="J777" s="3">
        <f t="shared" si="110"/>
        <v>0.7</v>
      </c>
    </row>
    <row r="778" spans="2:10" x14ac:dyDescent="0.25">
      <c r="B778" s="3">
        <f t="shared" si="111"/>
        <v>3805</v>
      </c>
      <c r="C778" s="14">
        <f t="shared" si="112"/>
        <v>63.416666666666664</v>
      </c>
      <c r="D778" s="11">
        <f t="shared" si="113"/>
        <v>953.621263192284</v>
      </c>
      <c r="E778" s="24">
        <f t="shared" si="116"/>
        <v>948.31326274746266</v>
      </c>
      <c r="F778" s="24">
        <f t="shared" si="107"/>
        <v>132.70001112053365</v>
      </c>
      <c r="G778" s="14">
        <f t="shared" si="108"/>
        <v>1545.1956928261484</v>
      </c>
      <c r="H778" s="24">
        <f t="shared" si="117"/>
        <v>650</v>
      </c>
      <c r="I778" s="12">
        <f t="shared" si="109"/>
        <v>0.20624169009217103</v>
      </c>
      <c r="J778" s="3">
        <f t="shared" si="110"/>
        <v>0.7</v>
      </c>
    </row>
    <row r="779" spans="2:10" x14ac:dyDescent="0.25">
      <c r="B779" s="3">
        <f t="shared" si="111"/>
        <v>3810</v>
      </c>
      <c r="C779" s="14">
        <f t="shared" si="112"/>
        <v>63.5</v>
      </c>
      <c r="D779" s="11">
        <f t="shared" si="113"/>
        <v>953.81763490618164</v>
      </c>
      <c r="E779" s="24">
        <f t="shared" si="116"/>
        <v>948.51950443755482</v>
      </c>
      <c r="F779" s="24">
        <f t="shared" si="107"/>
        <v>132.45326171567058</v>
      </c>
      <c r="G779" s="14">
        <f t="shared" si="108"/>
        <v>1543.0835706118478</v>
      </c>
      <c r="H779" s="24">
        <f t="shared" si="117"/>
        <v>650</v>
      </c>
      <c r="I779" s="12">
        <f t="shared" si="109"/>
        <v>0.20595174497323279</v>
      </c>
      <c r="J779" s="3">
        <f t="shared" si="110"/>
        <v>0.7</v>
      </c>
    </row>
    <row r="780" spans="2:10" x14ac:dyDescent="0.25">
      <c r="B780" s="3">
        <f t="shared" si="111"/>
        <v>3815</v>
      </c>
      <c r="C780" s="14">
        <f t="shared" si="112"/>
        <v>63.583333333333336</v>
      </c>
      <c r="D780" s="11">
        <f t="shared" si="113"/>
        <v>954.0137495889669</v>
      </c>
      <c r="E780" s="24">
        <f t="shared" si="116"/>
        <v>948.72545618252809</v>
      </c>
      <c r="F780" s="24">
        <f t="shared" si="107"/>
        <v>132.20733516097027</v>
      </c>
      <c r="G780" s="14">
        <f t="shared" si="108"/>
        <v>1540.9774210378368</v>
      </c>
      <c r="H780" s="24">
        <f t="shared" si="117"/>
        <v>650</v>
      </c>
      <c r="I780" s="12">
        <f t="shared" si="109"/>
        <v>0.20566263513471908</v>
      </c>
      <c r="J780" s="3">
        <f t="shared" si="110"/>
        <v>0.7</v>
      </c>
    </row>
    <row r="781" spans="2:10" x14ac:dyDescent="0.25">
      <c r="B781" s="3">
        <f t="shared" si="111"/>
        <v>3820</v>
      </c>
      <c r="C781" s="14">
        <f t="shared" si="112"/>
        <v>63.666666666666664</v>
      </c>
      <c r="D781" s="11">
        <f t="shared" si="113"/>
        <v>954.20960791261643</v>
      </c>
      <c r="E781" s="24">
        <f t="shared" si="116"/>
        <v>948.93111881766276</v>
      </c>
      <c r="F781" s="24">
        <f t="shared" si="107"/>
        <v>131.96222737384176</v>
      </c>
      <c r="G781" s="14">
        <f t="shared" si="108"/>
        <v>1538.8772168978992</v>
      </c>
      <c r="H781" s="24">
        <f t="shared" si="117"/>
        <v>650</v>
      </c>
      <c r="I781" s="12">
        <f t="shared" si="109"/>
        <v>0.20537435673070759</v>
      </c>
      <c r="J781" s="3">
        <f t="shared" si="110"/>
        <v>0.7</v>
      </c>
    </row>
    <row r="782" spans="2:10" x14ac:dyDescent="0.25">
      <c r="B782" s="3">
        <f t="shared" si="111"/>
        <v>3825</v>
      </c>
      <c r="C782" s="14">
        <f t="shared" si="112"/>
        <v>63.75</v>
      </c>
      <c r="D782" s="11">
        <f t="shared" si="113"/>
        <v>954.40521054647581</v>
      </c>
      <c r="E782" s="24">
        <f t="shared" si="116"/>
        <v>949.13649317439342</v>
      </c>
      <c r="F782" s="24">
        <f t="shared" si="107"/>
        <v>131.7179343020598</v>
      </c>
      <c r="G782" s="14">
        <f t="shared" si="108"/>
        <v>1536.7829311965556</v>
      </c>
      <c r="H782" s="24">
        <f t="shared" si="117"/>
        <v>650</v>
      </c>
      <c r="I782" s="12">
        <f t="shared" si="109"/>
        <v>0.20508690594491169</v>
      </c>
      <c r="J782" s="3">
        <f t="shared" si="110"/>
        <v>0.7</v>
      </c>
    </row>
    <row r="783" spans="2:10" x14ac:dyDescent="0.25">
      <c r="B783" s="3">
        <f t="shared" si="111"/>
        <v>3830</v>
      </c>
      <c r="C783" s="14">
        <f t="shared" si="112"/>
        <v>63.833333333333336</v>
      </c>
      <c r="D783" s="11">
        <f t="shared" si="113"/>
        <v>954.60055815727219</v>
      </c>
      <c r="E783" s="24">
        <f t="shared" si="116"/>
        <v>949.3415800803383</v>
      </c>
      <c r="F783" s="24">
        <f t="shared" si="107"/>
        <v>131.47445192334715</v>
      </c>
      <c r="G783" s="14">
        <f t="shared" si="108"/>
        <v>1534.6945371447232</v>
      </c>
      <c r="H783" s="24">
        <f t="shared" si="117"/>
        <v>650</v>
      </c>
      <c r="I783" s="12">
        <f t="shared" si="109"/>
        <v>0.20480027899009531</v>
      </c>
      <c r="J783" s="3">
        <f t="shared" si="110"/>
        <v>0.7</v>
      </c>
    </row>
    <row r="784" spans="2:10" x14ac:dyDescent="0.25">
      <c r="B784" s="3">
        <f t="shared" si="111"/>
        <v>3835</v>
      </c>
      <c r="C784" s="14">
        <f t="shared" si="112"/>
        <v>63.916666666666664</v>
      </c>
      <c r="D784" s="11">
        <f t="shared" si="113"/>
        <v>954.79565140912837</v>
      </c>
      <c r="E784" s="24">
        <f t="shared" si="116"/>
        <v>949.5463803593284</v>
      </c>
      <c r="F784" s="24">
        <f t="shared" si="107"/>
        <v>131.23177624499931</v>
      </c>
      <c r="G784" s="14">
        <f t="shared" si="108"/>
        <v>1532.6120081570205</v>
      </c>
      <c r="H784" s="24">
        <f t="shared" si="117"/>
        <v>650</v>
      </c>
      <c r="I784" s="12">
        <f t="shared" si="109"/>
        <v>0.20451447210769583</v>
      </c>
      <c r="J784" s="3">
        <f t="shared" si="110"/>
        <v>0.7</v>
      </c>
    </row>
    <row r="785" spans="2:10" x14ac:dyDescent="0.25">
      <c r="B785" s="3">
        <f t="shared" si="111"/>
        <v>3840</v>
      </c>
      <c r="C785" s="14">
        <f t="shared" si="112"/>
        <v>64</v>
      </c>
      <c r="D785" s="11">
        <f t="shared" si="113"/>
        <v>954.99049096357646</v>
      </c>
      <c r="E785" s="24">
        <f t="shared" si="116"/>
        <v>949.75089483143609</v>
      </c>
      <c r="F785" s="24">
        <f t="shared" ref="F785:F848" si="118">AlphaC*(D785-E785)</f>
        <v>130.98990330350944</v>
      </c>
      <c r="G785" s="14">
        <f t="shared" ref="G785:G848" si="119">Phi*EpsilonF*Botzman/10^8*J785*((D785+273)^4-(E785+273)^4)</f>
        <v>1530.5353178489383</v>
      </c>
      <c r="H785" s="24">
        <f t="shared" si="117"/>
        <v>650</v>
      </c>
      <c r="I785" s="12">
        <f t="shared" ref="I785:I848" si="120">ksh*Massivete/(H785*RhoA)*DeltaT*(F785+G785)</f>
        <v>0.20422948156743009</v>
      </c>
      <c r="J785" s="3">
        <f t="shared" ref="J785:J848" si="121">IF(E785&lt;=500,IF(Galva=Oui,0.35,0.7),0.7)</f>
        <v>0.7</v>
      </c>
    </row>
    <row r="786" spans="2:10" x14ac:dyDescent="0.25">
      <c r="B786" s="3">
        <f t="shared" ref="B786:B849" si="122">B785+DeltaT</f>
        <v>3845</v>
      </c>
      <c r="C786" s="14">
        <f t="shared" ref="C786:C849" si="123">B786/60</f>
        <v>64.083333333333329</v>
      </c>
      <c r="D786" s="11">
        <f t="shared" ref="D786:D849" si="124">20+345*LOG(8*C786+1,10)</f>
        <v>955.18507747957108</v>
      </c>
      <c r="E786" s="24">
        <f t="shared" si="116"/>
        <v>949.95512431300347</v>
      </c>
      <c r="F786" s="24">
        <f t="shared" si="118"/>
        <v>130.74882916419028</v>
      </c>
      <c r="G786" s="14">
        <f t="shared" si="119"/>
        <v>1528.4644400331583</v>
      </c>
      <c r="H786" s="24">
        <f t="shared" si="117"/>
        <v>650</v>
      </c>
      <c r="I786" s="12">
        <f t="shared" si="120"/>
        <v>0.20394530366679539</v>
      </c>
      <c r="J786" s="3">
        <f t="shared" si="121"/>
        <v>0.7</v>
      </c>
    </row>
    <row r="787" spans="2:10" x14ac:dyDescent="0.25">
      <c r="B787" s="3">
        <f t="shared" si="122"/>
        <v>3850</v>
      </c>
      <c r="C787" s="14">
        <f t="shared" si="123"/>
        <v>64.166666666666671</v>
      </c>
      <c r="D787" s="11">
        <f t="shared" si="124"/>
        <v>955.37941161350261</v>
      </c>
      <c r="E787" s="24">
        <f t="shared" si="116"/>
        <v>950.15906961667031</v>
      </c>
      <c r="F787" s="24">
        <f t="shared" si="118"/>
        <v>130.50854992080758</v>
      </c>
      <c r="G787" s="14">
        <f t="shared" si="119"/>
        <v>1526.3993487170328</v>
      </c>
      <c r="H787" s="24">
        <f t="shared" si="117"/>
        <v>650</v>
      </c>
      <c r="I787" s="12">
        <f t="shared" si="120"/>
        <v>0.20366193473071473</v>
      </c>
      <c r="J787" s="3">
        <f t="shared" si="121"/>
        <v>0.7</v>
      </c>
    </row>
    <row r="788" spans="2:10" x14ac:dyDescent="0.25">
      <c r="B788" s="3">
        <f t="shared" si="122"/>
        <v>3855</v>
      </c>
      <c r="C788" s="14">
        <f t="shared" si="123"/>
        <v>64.25</v>
      </c>
      <c r="D788" s="11">
        <f t="shared" si="124"/>
        <v>955.57349401921078</v>
      </c>
      <c r="E788" s="24">
        <f t="shared" si="116"/>
        <v>950.362731551401</v>
      </c>
      <c r="F788" s="24">
        <f t="shared" si="118"/>
        <v>130.26906169524466</v>
      </c>
      <c r="G788" s="14">
        <f t="shared" si="119"/>
        <v>1524.340018099678</v>
      </c>
      <c r="H788" s="24">
        <f t="shared" si="117"/>
        <v>650</v>
      </c>
      <c r="I788" s="12">
        <f t="shared" si="120"/>
        <v>0.20337937111113821</v>
      </c>
      <c r="J788" s="3">
        <f t="shared" si="121"/>
        <v>0.7</v>
      </c>
    </row>
    <row r="789" spans="2:10" x14ac:dyDescent="0.25">
      <c r="B789" s="3">
        <f t="shared" si="122"/>
        <v>3860</v>
      </c>
      <c r="C789" s="14">
        <f t="shared" si="123"/>
        <v>64.333333333333329</v>
      </c>
      <c r="D789" s="11">
        <f t="shared" si="124"/>
        <v>955.76732534799817</v>
      </c>
      <c r="E789" s="24">
        <f t="shared" si="116"/>
        <v>950.56611092251217</v>
      </c>
      <c r="F789" s="24">
        <f t="shared" si="118"/>
        <v>130.03036063715001</v>
      </c>
      <c r="G789" s="14">
        <f t="shared" si="119"/>
        <v>1522.2864225691253</v>
      </c>
      <c r="H789" s="24">
        <f t="shared" si="117"/>
        <v>650</v>
      </c>
      <c r="I789" s="12">
        <f t="shared" si="120"/>
        <v>0.20309760918664962</v>
      </c>
      <c r="J789" s="3">
        <f t="shared" si="121"/>
        <v>0.7</v>
      </c>
    </row>
    <row r="790" spans="2:10" x14ac:dyDescent="0.25">
      <c r="B790" s="3">
        <f t="shared" si="122"/>
        <v>3865</v>
      </c>
      <c r="C790" s="14">
        <f t="shared" si="123"/>
        <v>64.416666666666671</v>
      </c>
      <c r="D790" s="11">
        <f t="shared" si="124"/>
        <v>955.96090624864257</v>
      </c>
      <c r="E790" s="24">
        <f t="shared" si="116"/>
        <v>950.76920853169884</v>
      </c>
      <c r="F790" s="24">
        <f t="shared" si="118"/>
        <v>129.7924429235934</v>
      </c>
      <c r="G790" s="14">
        <f t="shared" si="119"/>
        <v>1520.2385366994142</v>
      </c>
      <c r="H790" s="24">
        <f t="shared" si="117"/>
        <v>650</v>
      </c>
      <c r="I790" s="12">
        <f t="shared" si="120"/>
        <v>0.20281664536206684</v>
      </c>
      <c r="J790" s="3">
        <f t="shared" si="121"/>
        <v>0.7</v>
      </c>
    </row>
    <row r="791" spans="2:10" x14ac:dyDescent="0.25">
      <c r="B791" s="3">
        <f t="shared" si="122"/>
        <v>3870</v>
      </c>
      <c r="C791" s="14">
        <f t="shared" si="123"/>
        <v>64.5</v>
      </c>
      <c r="D791" s="11">
        <f t="shared" si="124"/>
        <v>956.15423736741013</v>
      </c>
      <c r="E791" s="24">
        <f t="shared" si="116"/>
        <v>950.97202517706091</v>
      </c>
      <c r="F791" s="24">
        <f t="shared" si="118"/>
        <v>129.55530475873047</v>
      </c>
      <c r="G791" s="14">
        <f t="shared" si="119"/>
        <v>1518.1963352485186</v>
      </c>
      <c r="H791" s="24">
        <f t="shared" si="117"/>
        <v>650</v>
      </c>
      <c r="I791" s="12">
        <f t="shared" si="120"/>
        <v>0.20253647606814568</v>
      </c>
      <c r="J791" s="3">
        <f t="shared" si="121"/>
        <v>0.7</v>
      </c>
    </row>
    <row r="792" spans="2:10" x14ac:dyDescent="0.25">
      <c r="B792" s="3">
        <f t="shared" si="122"/>
        <v>3875</v>
      </c>
      <c r="C792" s="14">
        <f t="shared" si="123"/>
        <v>64.583333333333329</v>
      </c>
      <c r="D792" s="11">
        <f t="shared" si="124"/>
        <v>956.34731934806894</v>
      </c>
      <c r="E792" s="24">
        <f t="shared" si="116"/>
        <v>951.1745616531291</v>
      </c>
      <c r="F792" s="24">
        <f t="shared" si="118"/>
        <v>129.31894237349582</v>
      </c>
      <c r="G792" s="14">
        <f t="shared" si="119"/>
        <v>1516.1597931548586</v>
      </c>
      <c r="H792" s="24">
        <f t="shared" si="117"/>
        <v>650</v>
      </c>
      <c r="I792" s="12">
        <f t="shared" si="120"/>
        <v>0.20225709776111342</v>
      </c>
      <c r="J792" s="3">
        <f t="shared" si="121"/>
        <v>0.7</v>
      </c>
    </row>
    <row r="793" spans="2:10" x14ac:dyDescent="0.25">
      <c r="B793" s="3">
        <f t="shared" si="122"/>
        <v>3880</v>
      </c>
      <c r="C793" s="14">
        <f t="shared" si="123"/>
        <v>64.666666666666671</v>
      </c>
      <c r="D793" s="11">
        <f t="shared" si="124"/>
        <v>956.54015283190176</v>
      </c>
      <c r="E793" s="24">
        <f t="shared" si="116"/>
        <v>951.37681875089027</v>
      </c>
      <c r="F793" s="24">
        <f t="shared" si="118"/>
        <v>129.08335202528747</v>
      </c>
      <c r="G793" s="14">
        <f t="shared" si="119"/>
        <v>1514.128885535556</v>
      </c>
      <c r="H793" s="24">
        <f t="shared" si="117"/>
        <v>650</v>
      </c>
      <c r="I793" s="12">
        <f t="shared" si="120"/>
        <v>0.20197850692241565</v>
      </c>
      <c r="J793" s="3">
        <f t="shared" si="121"/>
        <v>0.7</v>
      </c>
    </row>
    <row r="794" spans="2:10" x14ac:dyDescent="0.25">
      <c r="B794" s="3">
        <f t="shared" si="122"/>
        <v>3885</v>
      </c>
      <c r="C794" s="14">
        <f t="shared" si="123"/>
        <v>64.75</v>
      </c>
      <c r="D794" s="11">
        <f t="shared" si="124"/>
        <v>956.73273845771791</v>
      </c>
      <c r="E794" s="24">
        <f t="shared" si="116"/>
        <v>951.57879725781265</v>
      </c>
      <c r="F794" s="24">
        <f t="shared" si="118"/>
        <v>128.84852999763154</v>
      </c>
      <c r="G794" s="14">
        <f t="shared" si="119"/>
        <v>1512.1035876837218</v>
      </c>
      <c r="H794" s="24">
        <f t="shared" si="117"/>
        <v>650</v>
      </c>
      <c r="I794" s="12">
        <f t="shared" si="120"/>
        <v>0.20170070005834145</v>
      </c>
      <c r="J794" s="3">
        <f t="shared" si="121"/>
        <v>0.7</v>
      </c>
    </row>
    <row r="795" spans="2:10" x14ac:dyDescent="0.25">
      <c r="B795" s="3">
        <f t="shared" si="122"/>
        <v>3890</v>
      </c>
      <c r="C795" s="14">
        <f t="shared" si="123"/>
        <v>64.833333333333329</v>
      </c>
      <c r="D795" s="11">
        <f t="shared" si="124"/>
        <v>956.92507686186673</v>
      </c>
      <c r="E795" s="24">
        <f t="shared" si="116"/>
        <v>951.78049795787103</v>
      </c>
      <c r="F795" s="24">
        <f t="shared" si="118"/>
        <v>128.61447259989234</v>
      </c>
      <c r="G795" s="14">
        <f t="shared" si="119"/>
        <v>1510.0838750657806</v>
      </c>
      <c r="H795" s="24">
        <f t="shared" si="117"/>
        <v>650</v>
      </c>
      <c r="I795" s="12">
        <f t="shared" si="120"/>
        <v>0.20142367369965916</v>
      </c>
      <c r="J795" s="3">
        <f t="shared" si="121"/>
        <v>0.7</v>
      </c>
    </row>
    <row r="796" spans="2:10" x14ac:dyDescent="0.25">
      <c r="B796" s="3">
        <f t="shared" si="122"/>
        <v>3895</v>
      </c>
      <c r="C796" s="14">
        <f t="shared" si="123"/>
        <v>64.916666666666671</v>
      </c>
      <c r="D796" s="11">
        <f t="shared" si="124"/>
        <v>957.11716867825044</v>
      </c>
      <c r="E796" s="24">
        <f t="shared" si="116"/>
        <v>951.98192163157069</v>
      </c>
      <c r="F796" s="24">
        <f t="shared" si="118"/>
        <v>128.38117616699378</v>
      </c>
      <c r="G796" s="14">
        <f t="shared" si="119"/>
        <v>1508.0697233194758</v>
      </c>
      <c r="H796" s="24">
        <f t="shared" si="117"/>
        <v>650</v>
      </c>
      <c r="I796" s="12">
        <f t="shared" si="120"/>
        <v>0.20114742440133676</v>
      </c>
      <c r="J796" s="3">
        <f t="shared" si="121"/>
        <v>0.7</v>
      </c>
    </row>
    <row r="797" spans="2:10" x14ac:dyDescent="0.25">
      <c r="B797" s="3">
        <f t="shared" si="122"/>
        <v>3900</v>
      </c>
      <c r="C797" s="14">
        <f t="shared" si="123"/>
        <v>65</v>
      </c>
      <c r="D797" s="11">
        <f t="shared" si="124"/>
        <v>957.30901453833587</v>
      </c>
      <c r="E797" s="24">
        <f t="shared" si="116"/>
        <v>952.18306905597206</v>
      </c>
      <c r="F797" s="24">
        <f t="shared" si="118"/>
        <v>128.14863705909545</v>
      </c>
      <c r="G797" s="14">
        <f t="shared" si="119"/>
        <v>1506.0611082513876</v>
      </c>
      <c r="H797" s="24">
        <f t="shared" si="117"/>
        <v>650</v>
      </c>
      <c r="I797" s="12">
        <f t="shared" si="120"/>
        <v>0.20087194874219694</v>
      </c>
      <c r="J797" s="3">
        <f t="shared" si="121"/>
        <v>0.7</v>
      </c>
    </row>
    <row r="798" spans="2:10" x14ac:dyDescent="0.25">
      <c r="B798" s="3">
        <f t="shared" si="122"/>
        <v>3905</v>
      </c>
      <c r="C798" s="14">
        <f t="shared" si="123"/>
        <v>65.083333333333329</v>
      </c>
      <c r="D798" s="11">
        <f t="shared" si="124"/>
        <v>957.50061507116754</v>
      </c>
      <c r="E798" s="24">
        <f t="shared" si="116"/>
        <v>952.3839410047143</v>
      </c>
      <c r="F798" s="24">
        <f t="shared" si="118"/>
        <v>127.91685166133107</v>
      </c>
      <c r="G798" s="14">
        <f t="shared" si="119"/>
        <v>1504.0580058349581</v>
      </c>
      <c r="H798" s="24">
        <f t="shared" si="117"/>
        <v>650</v>
      </c>
      <c r="I798" s="12">
        <f t="shared" si="120"/>
        <v>0.20059724332464235</v>
      </c>
      <c r="J798" s="3">
        <f t="shared" si="121"/>
        <v>0.7</v>
      </c>
    </row>
    <row r="799" spans="2:10" x14ac:dyDescent="0.25">
      <c r="B799" s="3">
        <f t="shared" si="122"/>
        <v>3910</v>
      </c>
      <c r="C799" s="14">
        <f t="shared" si="123"/>
        <v>65.166666666666671</v>
      </c>
      <c r="D799" s="11">
        <f t="shared" si="124"/>
        <v>957.69197090337991</v>
      </c>
      <c r="E799" s="24">
        <f t="shared" si="116"/>
        <v>952.58453824803894</v>
      </c>
      <c r="F799" s="24">
        <f t="shared" si="118"/>
        <v>127.6858163835243</v>
      </c>
      <c r="G799" s="14">
        <f t="shared" si="119"/>
        <v>1502.0603922081245</v>
      </c>
      <c r="H799" s="24">
        <f t="shared" si="117"/>
        <v>650</v>
      </c>
      <c r="I799" s="12">
        <f t="shared" si="120"/>
        <v>0.20032330477432964</v>
      </c>
      <c r="J799" s="3">
        <f t="shared" si="121"/>
        <v>0.7</v>
      </c>
    </row>
    <row r="800" spans="2:10" x14ac:dyDescent="0.25">
      <c r="B800" s="3">
        <f t="shared" si="122"/>
        <v>3915</v>
      </c>
      <c r="C800" s="14">
        <f t="shared" si="123"/>
        <v>65.25</v>
      </c>
      <c r="D800" s="11">
        <f t="shared" si="124"/>
        <v>957.88308265920955</v>
      </c>
      <c r="E800" s="24">
        <f t="shared" si="116"/>
        <v>952.78486155281325</v>
      </c>
      <c r="F800" s="24">
        <f t="shared" si="118"/>
        <v>127.45552765990737</v>
      </c>
      <c r="G800" s="14">
        <f t="shared" si="119"/>
        <v>1500.0682436707636</v>
      </c>
      <c r="H800" s="24">
        <f t="shared" si="117"/>
        <v>650</v>
      </c>
      <c r="I800" s="12">
        <f t="shared" si="120"/>
        <v>0.20005012973982078</v>
      </c>
      <c r="J800" s="3">
        <f t="shared" si="121"/>
        <v>0.7</v>
      </c>
    </row>
    <row r="801" spans="2:10" x14ac:dyDescent="0.25">
      <c r="B801" s="3">
        <f t="shared" si="122"/>
        <v>3920</v>
      </c>
      <c r="C801" s="14">
        <f t="shared" si="123"/>
        <v>65.333333333333329</v>
      </c>
      <c r="D801" s="11">
        <f t="shared" si="124"/>
        <v>958.07395096050709</v>
      </c>
      <c r="E801" s="24">
        <f t="shared" si="116"/>
        <v>952.98491168255305</v>
      </c>
      <c r="F801" s="24">
        <f t="shared" si="118"/>
        <v>127.22598194885109</v>
      </c>
      <c r="G801" s="14">
        <f t="shared" si="119"/>
        <v>1498.0815366835268</v>
      </c>
      <c r="H801" s="24">
        <f t="shared" si="117"/>
        <v>650</v>
      </c>
      <c r="I801" s="12">
        <f t="shared" si="120"/>
        <v>0.19977771489240673</v>
      </c>
      <c r="J801" s="3">
        <f t="shared" si="121"/>
        <v>0.7</v>
      </c>
    </row>
    <row r="802" spans="2:10" x14ac:dyDescent="0.25">
      <c r="B802" s="3">
        <f t="shared" si="122"/>
        <v>3925</v>
      </c>
      <c r="C802" s="14">
        <f t="shared" si="123"/>
        <v>65.416666666666671</v>
      </c>
      <c r="D802" s="11">
        <f t="shared" si="124"/>
        <v>958.2645764267503</v>
      </c>
      <c r="E802" s="24">
        <f t="shared" si="116"/>
        <v>953.18468939744548</v>
      </c>
      <c r="F802" s="24">
        <f t="shared" si="118"/>
        <v>126.99717573262035</v>
      </c>
      <c r="G802" s="14">
        <f t="shared" si="119"/>
        <v>1496.100247865186</v>
      </c>
      <c r="H802" s="24">
        <f t="shared" si="117"/>
        <v>650</v>
      </c>
      <c r="I802" s="12">
        <f t="shared" si="120"/>
        <v>0.19950605692575113</v>
      </c>
      <c r="J802" s="3">
        <f t="shared" si="121"/>
        <v>0.7</v>
      </c>
    </row>
    <row r="803" spans="2:10" x14ac:dyDescent="0.25">
      <c r="B803" s="3">
        <f t="shared" si="122"/>
        <v>3930</v>
      </c>
      <c r="C803" s="14">
        <f t="shared" si="123"/>
        <v>65.5</v>
      </c>
      <c r="D803" s="11">
        <f t="shared" si="124"/>
        <v>958.45495967505497</v>
      </c>
      <c r="E803" s="24">
        <f t="shared" si="116"/>
        <v>953.38419545437125</v>
      </c>
      <c r="F803" s="24">
        <f t="shared" si="118"/>
        <v>126.76910551709284</v>
      </c>
      <c r="G803" s="14">
        <f t="shared" si="119"/>
        <v>1494.1243539905415</v>
      </c>
      <c r="H803" s="24">
        <f t="shared" si="117"/>
        <v>650</v>
      </c>
      <c r="I803" s="12">
        <f t="shared" si="120"/>
        <v>0.19923515255559845</v>
      </c>
      <c r="J803" s="3">
        <f t="shared" si="121"/>
        <v>0.7</v>
      </c>
    </row>
    <row r="804" spans="2:10" x14ac:dyDescent="0.25">
      <c r="B804" s="3">
        <f t="shared" si="122"/>
        <v>3935</v>
      </c>
      <c r="C804" s="14">
        <f t="shared" si="123"/>
        <v>65.583333333333329</v>
      </c>
      <c r="D804" s="11">
        <f t="shared" si="124"/>
        <v>958.64510132018779</v>
      </c>
      <c r="E804" s="24">
        <f t="shared" si="116"/>
        <v>953.58343060692687</v>
      </c>
      <c r="F804" s="24">
        <f t="shared" si="118"/>
        <v>126.54176783152309</v>
      </c>
      <c r="G804" s="14">
        <f t="shared" si="119"/>
        <v>1492.153831989315</v>
      </c>
      <c r="H804" s="24">
        <f t="shared" si="117"/>
        <v>650</v>
      </c>
      <c r="I804" s="12">
        <f t="shared" si="120"/>
        <v>0.19896499851960917</v>
      </c>
      <c r="J804" s="3">
        <f t="shared" si="121"/>
        <v>0.7</v>
      </c>
    </row>
    <row r="805" spans="2:10" x14ac:dyDescent="0.25">
      <c r="B805" s="3">
        <f t="shared" si="122"/>
        <v>3940</v>
      </c>
      <c r="C805" s="14">
        <f t="shared" si="123"/>
        <v>65.666666666666671</v>
      </c>
      <c r="D805" s="11">
        <f t="shared" si="124"/>
        <v>958.83500197457795</v>
      </c>
      <c r="E805" s="24">
        <f t="shared" si="116"/>
        <v>953.78239560544648</v>
      </c>
      <c r="F805" s="24">
        <f t="shared" si="118"/>
        <v>126.31515922828669</v>
      </c>
      <c r="G805" s="14">
        <f t="shared" si="119"/>
        <v>1490.188658943187</v>
      </c>
      <c r="H805" s="24">
        <f t="shared" si="117"/>
        <v>650</v>
      </c>
      <c r="I805" s="12">
        <f t="shared" si="120"/>
        <v>0.19869559157696387</v>
      </c>
      <c r="J805" s="3">
        <f t="shared" si="121"/>
        <v>0.7</v>
      </c>
    </row>
    <row r="806" spans="2:10" x14ac:dyDescent="0.25">
      <c r="B806" s="3">
        <f t="shared" si="122"/>
        <v>3945</v>
      </c>
      <c r="C806" s="14">
        <f t="shared" si="123"/>
        <v>65.75</v>
      </c>
      <c r="D806" s="11">
        <f t="shared" si="124"/>
        <v>959.02466224832847</v>
      </c>
      <c r="E806" s="24">
        <f t="shared" si="116"/>
        <v>953.98109119702349</v>
      </c>
      <c r="F806" s="24">
        <f t="shared" si="118"/>
        <v>126.0892762826245</v>
      </c>
      <c r="G806" s="14">
        <f t="shared" si="119"/>
        <v>1488.2288120843414</v>
      </c>
      <c r="H806" s="24">
        <f t="shared" si="117"/>
        <v>650</v>
      </c>
      <c r="I806" s="12">
        <f t="shared" si="120"/>
        <v>0.19842692850815324</v>
      </c>
      <c r="J806" s="3">
        <f t="shared" si="121"/>
        <v>0.7</v>
      </c>
    </row>
    <row r="807" spans="2:10" x14ac:dyDescent="0.25">
      <c r="B807" s="3">
        <f t="shared" si="122"/>
        <v>3950</v>
      </c>
      <c r="C807" s="14">
        <f t="shared" si="123"/>
        <v>65.833333333333329</v>
      </c>
      <c r="D807" s="11">
        <f t="shared" si="124"/>
        <v>959.21408274922908</v>
      </c>
      <c r="E807" s="24">
        <f t="shared" si="116"/>
        <v>954.17951812553167</v>
      </c>
      <c r="F807" s="24">
        <f t="shared" si="118"/>
        <v>125.86411559243516</v>
      </c>
      <c r="G807" s="14">
        <f t="shared" si="119"/>
        <v>1486.274268794207</v>
      </c>
      <c r="H807" s="24">
        <f t="shared" si="117"/>
        <v>650</v>
      </c>
      <c r="I807" s="12">
        <f t="shared" si="120"/>
        <v>0.19815900611479756</v>
      </c>
      <c r="J807" s="3">
        <f t="shared" si="121"/>
        <v>0.7</v>
      </c>
    </row>
    <row r="808" spans="2:10" x14ac:dyDescent="0.25">
      <c r="B808" s="3">
        <f t="shared" si="122"/>
        <v>3955</v>
      </c>
      <c r="C808" s="14">
        <f t="shared" si="123"/>
        <v>65.916666666666671</v>
      </c>
      <c r="D808" s="11">
        <f t="shared" si="124"/>
        <v>959.40326408276724</v>
      </c>
      <c r="E808" s="24">
        <f t="shared" si="116"/>
        <v>954.37767713164646</v>
      </c>
      <c r="F808" s="24">
        <f t="shared" si="118"/>
        <v>125.6396737780193</v>
      </c>
      <c r="G808" s="14">
        <f t="shared" si="119"/>
        <v>1484.3250066010153</v>
      </c>
      <c r="H808" s="24">
        <f t="shared" si="117"/>
        <v>650</v>
      </c>
      <c r="I808" s="12">
        <f t="shared" si="120"/>
        <v>0.19789182121931534</v>
      </c>
      <c r="J808" s="3">
        <f t="shared" si="121"/>
        <v>0.7</v>
      </c>
    </row>
    <row r="809" spans="2:10" x14ac:dyDescent="0.25">
      <c r="B809" s="3">
        <f t="shared" si="122"/>
        <v>3960</v>
      </c>
      <c r="C809" s="14">
        <f t="shared" si="123"/>
        <v>66</v>
      </c>
      <c r="D809" s="11">
        <f t="shared" si="124"/>
        <v>959.59220685213904</v>
      </c>
      <c r="E809" s="24">
        <f t="shared" si="116"/>
        <v>954.57556895286575</v>
      </c>
      <c r="F809" s="24">
        <f t="shared" si="118"/>
        <v>125.41594748183229</v>
      </c>
      <c r="G809" s="14">
        <f t="shared" si="119"/>
        <v>1482.3810031782302</v>
      </c>
      <c r="H809" s="24">
        <f t="shared" si="117"/>
        <v>650</v>
      </c>
      <c r="I809" s="12">
        <f t="shared" si="120"/>
        <v>0.19762537066469965</v>
      </c>
      <c r="J809" s="3">
        <f t="shared" si="121"/>
        <v>0.7</v>
      </c>
    </row>
    <row r="810" spans="2:10" x14ac:dyDescent="0.25">
      <c r="B810" s="3">
        <f t="shared" si="122"/>
        <v>3965</v>
      </c>
      <c r="C810" s="14">
        <f t="shared" si="123"/>
        <v>66.083333333333329</v>
      </c>
      <c r="D810" s="11">
        <f t="shared" si="124"/>
        <v>959.78091165826231</v>
      </c>
      <c r="E810" s="24">
        <f t="shared" si="116"/>
        <v>954.77319432353045</v>
      </c>
      <c r="F810" s="24">
        <f t="shared" si="118"/>
        <v>125.19293336829662</v>
      </c>
      <c r="G810" s="14">
        <f t="shared" si="119"/>
        <v>1480.4422363430369</v>
      </c>
      <c r="H810" s="24">
        <f t="shared" si="117"/>
        <v>650</v>
      </c>
      <c r="I810" s="12">
        <f t="shared" si="120"/>
        <v>0.19735965131430966</v>
      </c>
      <c r="J810" s="3">
        <f t="shared" si="121"/>
        <v>0.7</v>
      </c>
    </row>
    <row r="811" spans="2:10" x14ac:dyDescent="0.25">
      <c r="B811" s="3">
        <f t="shared" si="122"/>
        <v>3970</v>
      </c>
      <c r="C811" s="14">
        <f t="shared" si="123"/>
        <v>66.166666666666671</v>
      </c>
      <c r="D811" s="11">
        <f t="shared" si="124"/>
        <v>959.96937909978703</v>
      </c>
      <c r="E811" s="24">
        <f t="shared" si="116"/>
        <v>954.97055397484473</v>
      </c>
      <c r="F811" s="24">
        <f t="shared" si="118"/>
        <v>124.9706281235575</v>
      </c>
      <c r="G811" s="14">
        <f t="shared" si="119"/>
        <v>1478.5086840545403</v>
      </c>
      <c r="H811" s="24">
        <f t="shared" si="117"/>
        <v>650</v>
      </c>
      <c r="I811" s="12">
        <f t="shared" si="120"/>
        <v>0.19709466005161871</v>
      </c>
      <c r="J811" s="3">
        <f t="shared" si="121"/>
        <v>0.7</v>
      </c>
    </row>
    <row r="812" spans="2:10" x14ac:dyDescent="0.25">
      <c r="B812" s="3">
        <f t="shared" si="122"/>
        <v>3975</v>
      </c>
      <c r="C812" s="14">
        <f t="shared" si="123"/>
        <v>66.25</v>
      </c>
      <c r="D812" s="11">
        <f t="shared" si="124"/>
        <v>960.15760977310686</v>
      </c>
      <c r="E812" s="24">
        <f t="shared" si="116"/>
        <v>955.16764863489641</v>
      </c>
      <c r="F812" s="24">
        <f t="shared" si="118"/>
        <v>124.74902845526117</v>
      </c>
      <c r="G812" s="14">
        <f t="shared" si="119"/>
        <v>1476.5803244119604</v>
      </c>
      <c r="H812" s="24">
        <f t="shared" si="117"/>
        <v>650</v>
      </c>
      <c r="I812" s="12">
        <f t="shared" si="120"/>
        <v>0.19683039377996575</v>
      </c>
      <c r="J812" s="3">
        <f t="shared" si="121"/>
        <v>0.7</v>
      </c>
    </row>
    <row r="813" spans="2:10" x14ac:dyDescent="0.25">
      <c r="B813" s="3">
        <f t="shared" si="122"/>
        <v>3980</v>
      </c>
      <c r="C813" s="14">
        <f t="shared" si="123"/>
        <v>66.333333333333329</v>
      </c>
      <c r="D813" s="11">
        <f t="shared" si="124"/>
        <v>960.34560427237034</v>
      </c>
      <c r="E813" s="24">
        <f t="shared" si="116"/>
        <v>955.36447902867633</v>
      </c>
      <c r="F813" s="24">
        <f t="shared" si="118"/>
        <v>124.52813109235024</v>
      </c>
      <c r="G813" s="14">
        <f t="shared" si="119"/>
        <v>1474.6571356538018</v>
      </c>
      <c r="H813" s="24">
        <f t="shared" si="117"/>
        <v>650</v>
      </c>
      <c r="I813" s="12">
        <f t="shared" si="120"/>
        <v>0.19656684942242769</v>
      </c>
      <c r="J813" s="3">
        <f t="shared" si="121"/>
        <v>0.7</v>
      </c>
    </row>
    <row r="814" spans="2:10" x14ac:dyDescent="0.25">
      <c r="B814" s="3">
        <f t="shared" si="122"/>
        <v>3985</v>
      </c>
      <c r="C814" s="14">
        <f t="shared" si="123"/>
        <v>66.416666666666671</v>
      </c>
      <c r="D814" s="11">
        <f t="shared" si="124"/>
        <v>960.53336318949289</v>
      </c>
      <c r="E814" s="24">
        <f t="shared" si="116"/>
        <v>955.56104587809875</v>
      </c>
      <c r="F814" s="24">
        <f t="shared" si="118"/>
        <v>124.30793278485339</v>
      </c>
      <c r="G814" s="14">
        <f t="shared" si="119"/>
        <v>1472.7390961551382</v>
      </c>
      <c r="H814" s="24">
        <f t="shared" si="117"/>
        <v>650</v>
      </c>
      <c r="I814" s="12">
        <f t="shared" si="120"/>
        <v>0.19630402392145987</v>
      </c>
      <c r="J814" s="3">
        <f t="shared" si="121"/>
        <v>0.7</v>
      </c>
    </row>
    <row r="815" spans="2:10" x14ac:dyDescent="0.25">
      <c r="B815" s="3">
        <f t="shared" si="122"/>
        <v>3990</v>
      </c>
      <c r="C815" s="14">
        <f t="shared" si="123"/>
        <v>66.5</v>
      </c>
      <c r="D815" s="11">
        <f t="shared" si="124"/>
        <v>960.72088711416734</v>
      </c>
      <c r="E815" s="24">
        <f t="shared" si="116"/>
        <v>955.75734990202022</v>
      </c>
      <c r="F815" s="24">
        <f t="shared" si="118"/>
        <v>124.08843030367791</v>
      </c>
      <c r="G815" s="14">
        <f t="shared" si="119"/>
        <v>1470.8261844273425</v>
      </c>
      <c r="H815" s="24">
        <f t="shared" si="117"/>
        <v>650</v>
      </c>
      <c r="I815" s="12">
        <f t="shared" si="120"/>
        <v>0.19604191423883757</v>
      </c>
      <c r="J815" s="3">
        <f t="shared" si="121"/>
        <v>0.7</v>
      </c>
    </row>
    <row r="816" spans="2:10" x14ac:dyDescent="0.25">
      <c r="B816" s="3">
        <f t="shared" si="122"/>
        <v>3995</v>
      </c>
      <c r="C816" s="14">
        <f t="shared" si="123"/>
        <v>66.583333333333329</v>
      </c>
      <c r="D816" s="11">
        <f t="shared" si="124"/>
        <v>960.90817663387486</v>
      </c>
      <c r="E816" s="24">
        <f t="shared" si="116"/>
        <v>955.95339181625911</v>
      </c>
      <c r="F816" s="24">
        <f t="shared" si="118"/>
        <v>123.86962044039365</v>
      </c>
      <c r="G816" s="14">
        <f t="shared" si="119"/>
        <v>1468.9183791153923</v>
      </c>
      <c r="H816" s="24">
        <f t="shared" si="117"/>
        <v>650</v>
      </c>
      <c r="I816" s="12">
        <f t="shared" si="120"/>
        <v>0.19578051735529806</v>
      </c>
      <c r="J816" s="3">
        <f t="shared" si="121"/>
        <v>0.7</v>
      </c>
    </row>
    <row r="817" spans="2:10" x14ac:dyDescent="0.25">
      <c r="B817" s="3">
        <f t="shared" si="122"/>
        <v>4000</v>
      </c>
      <c r="C817" s="14">
        <f t="shared" si="123"/>
        <v>66.666666666666671</v>
      </c>
      <c r="D817" s="11">
        <f t="shared" si="124"/>
        <v>961.09523233389643</v>
      </c>
      <c r="E817" s="24">
        <f t="shared" si="116"/>
        <v>956.14917233361439</v>
      </c>
      <c r="F817" s="24">
        <f t="shared" si="118"/>
        <v>123.65150000705114</v>
      </c>
      <c r="G817" s="14">
        <f t="shared" si="119"/>
        <v>1467.015658997444</v>
      </c>
      <c r="H817" s="24">
        <f t="shared" si="117"/>
        <v>650</v>
      </c>
      <c r="I817" s="12">
        <f t="shared" si="120"/>
        <v>0.19551983027046593</v>
      </c>
      <c r="J817" s="3">
        <f t="shared" si="121"/>
        <v>0.7</v>
      </c>
    </row>
    <row r="818" spans="2:10" x14ac:dyDescent="0.25">
      <c r="B818" s="3">
        <f t="shared" si="122"/>
        <v>4005</v>
      </c>
      <c r="C818" s="14">
        <f t="shared" si="123"/>
        <v>66.75</v>
      </c>
      <c r="D818" s="11">
        <f t="shared" si="124"/>
        <v>961.28205479732367</v>
      </c>
      <c r="E818" s="24">
        <f t="shared" si="116"/>
        <v>956.34469216388482</v>
      </c>
      <c r="F818" s="24">
        <f t="shared" si="118"/>
        <v>123.4340658359713</v>
      </c>
      <c r="G818" s="14">
        <f t="shared" si="119"/>
        <v>1465.118002982681</v>
      </c>
      <c r="H818" s="24">
        <f t="shared" si="117"/>
        <v>650</v>
      </c>
      <c r="I818" s="12">
        <f t="shared" si="120"/>
        <v>0.19525985000256277</v>
      </c>
      <c r="J818" s="3">
        <f t="shared" si="121"/>
        <v>0.7</v>
      </c>
    </row>
    <row r="819" spans="2:10" x14ac:dyDescent="0.25">
      <c r="B819" s="3">
        <f t="shared" si="122"/>
        <v>4010</v>
      </c>
      <c r="C819" s="14">
        <f t="shared" si="123"/>
        <v>66.833333333333329</v>
      </c>
      <c r="D819" s="11">
        <f t="shared" si="124"/>
        <v>961.46864460507027</v>
      </c>
      <c r="E819" s="24">
        <f t="shared" si="116"/>
        <v>956.53995201388739</v>
      </c>
      <c r="F819" s="24">
        <f t="shared" si="118"/>
        <v>123.21731477957201</v>
      </c>
      <c r="G819" s="14">
        <f t="shared" si="119"/>
        <v>1463.2253901103452</v>
      </c>
      <c r="H819" s="24">
        <f t="shared" si="117"/>
        <v>650</v>
      </c>
      <c r="I819" s="12">
        <f t="shared" si="120"/>
        <v>0.19500057358826689</v>
      </c>
      <c r="J819" s="3">
        <f t="shared" si="121"/>
        <v>0.7</v>
      </c>
    </row>
    <row r="820" spans="2:10" x14ac:dyDescent="0.25">
      <c r="B820" s="3">
        <f t="shared" si="122"/>
        <v>4015</v>
      </c>
      <c r="C820" s="14">
        <f t="shared" si="123"/>
        <v>66.916666666666671</v>
      </c>
      <c r="D820" s="11">
        <f t="shared" si="124"/>
        <v>961.65500233588148</v>
      </c>
      <c r="E820" s="24">
        <f t="shared" ref="E820:E883" si="125">E819+I819</f>
        <v>956.73495258747562</v>
      </c>
      <c r="F820" s="24">
        <f t="shared" si="118"/>
        <v>123.00124371014647</v>
      </c>
      <c r="G820" s="14">
        <f t="shared" si="119"/>
        <v>1461.3377995482451</v>
      </c>
      <c r="H820" s="24">
        <f t="shared" ref="H820:H883" si="126">IF(E820&lt;600,425+0.773*E820-1.69/1000*E820^2+2.22/1000^2*E820^3,IF(E820&lt;735,666+13002/(738-E820),IF(E820&lt;900,545+17820/(E820-731),650)))</f>
        <v>650</v>
      </c>
      <c r="I820" s="12">
        <f t="shared" si="120"/>
        <v>0.19474199808250248</v>
      </c>
      <c r="J820" s="3">
        <f t="shared" si="121"/>
        <v>0.7</v>
      </c>
    </row>
    <row r="821" spans="2:10" x14ac:dyDescent="0.25">
      <c r="B821" s="3">
        <f t="shared" si="122"/>
        <v>4020</v>
      </c>
      <c r="C821" s="14">
        <f t="shared" si="123"/>
        <v>67</v>
      </c>
      <c r="D821" s="11">
        <f t="shared" si="124"/>
        <v>961.84112856634658</v>
      </c>
      <c r="E821" s="24">
        <f t="shared" si="125"/>
        <v>956.92969458555808</v>
      </c>
      <c r="F821" s="24">
        <f t="shared" si="118"/>
        <v>122.78584951971254</v>
      </c>
      <c r="G821" s="14">
        <f t="shared" si="119"/>
        <v>1459.4552105914565</v>
      </c>
      <c r="H821" s="24">
        <f t="shared" si="126"/>
        <v>650</v>
      </c>
      <c r="I821" s="12">
        <f t="shared" si="120"/>
        <v>0.1944841205582617</v>
      </c>
      <c r="J821" s="3">
        <f t="shared" si="121"/>
        <v>0.7</v>
      </c>
    </row>
    <row r="822" spans="2:10" x14ac:dyDescent="0.25">
      <c r="B822" s="3">
        <f t="shared" si="122"/>
        <v>4025</v>
      </c>
      <c r="C822" s="14">
        <f t="shared" si="123"/>
        <v>67.083333333333329</v>
      </c>
      <c r="D822" s="11">
        <f t="shared" si="124"/>
        <v>962.02702387090812</v>
      </c>
      <c r="E822" s="24">
        <f t="shared" si="125"/>
        <v>957.12417870611637</v>
      </c>
      <c r="F822" s="24">
        <f t="shared" si="118"/>
        <v>122.57112911979391</v>
      </c>
      <c r="G822" s="14">
        <f t="shared" si="119"/>
        <v>1457.5776026608498</v>
      </c>
      <c r="H822" s="24">
        <f t="shared" si="126"/>
        <v>650</v>
      </c>
      <c r="I822" s="12">
        <f t="shared" si="120"/>
        <v>0.19422693810639635</v>
      </c>
      <c r="J822" s="3">
        <f t="shared" si="121"/>
        <v>0.7</v>
      </c>
    </row>
    <row r="823" spans="2:10" x14ac:dyDescent="0.25">
      <c r="B823" s="3">
        <f t="shared" si="122"/>
        <v>4030</v>
      </c>
      <c r="C823" s="14">
        <f t="shared" si="123"/>
        <v>67.166666666666671</v>
      </c>
      <c r="D823" s="11">
        <f t="shared" si="124"/>
        <v>962.21268882187326</v>
      </c>
      <c r="E823" s="24">
        <f t="shared" si="125"/>
        <v>957.31840564422271</v>
      </c>
      <c r="F823" s="24">
        <f t="shared" si="118"/>
        <v>122.35707944126375</v>
      </c>
      <c r="G823" s="14">
        <f t="shared" si="119"/>
        <v>1455.704955301637</v>
      </c>
      <c r="H823" s="24">
        <f t="shared" si="126"/>
        <v>650</v>
      </c>
      <c r="I823" s="12">
        <f t="shared" si="120"/>
        <v>0.19397044783542056</v>
      </c>
      <c r="J823" s="3">
        <f t="shared" si="121"/>
        <v>0.7</v>
      </c>
    </row>
    <row r="824" spans="2:10" x14ac:dyDescent="0.25">
      <c r="B824" s="3">
        <f t="shared" si="122"/>
        <v>4035</v>
      </c>
      <c r="C824" s="14">
        <f t="shared" si="123"/>
        <v>67.25</v>
      </c>
      <c r="D824" s="11">
        <f t="shared" si="124"/>
        <v>962.3981239894249</v>
      </c>
      <c r="E824" s="24">
        <f t="shared" si="125"/>
        <v>957.51237609205816</v>
      </c>
      <c r="F824" s="24">
        <f t="shared" si="118"/>
        <v>122.14369743416853</v>
      </c>
      <c r="G824" s="14">
        <f t="shared" si="119"/>
        <v>1453.8372481830036</v>
      </c>
      <c r="H824" s="24">
        <f t="shared" si="126"/>
        <v>650</v>
      </c>
      <c r="I824" s="12">
        <f t="shared" si="120"/>
        <v>0.19371464687144338</v>
      </c>
      <c r="J824" s="3">
        <f t="shared" si="121"/>
        <v>0.7</v>
      </c>
    </row>
    <row r="825" spans="2:10" x14ac:dyDescent="0.25">
      <c r="B825" s="3">
        <f t="shared" si="122"/>
        <v>4040</v>
      </c>
      <c r="C825" s="14">
        <f t="shared" si="123"/>
        <v>67.333333333333329</v>
      </c>
      <c r="D825" s="11">
        <f t="shared" si="124"/>
        <v>962.58332994163027</v>
      </c>
      <c r="E825" s="24">
        <f t="shared" si="125"/>
        <v>957.70609073892956</v>
      </c>
      <c r="F825" s="24">
        <f t="shared" si="118"/>
        <v>121.93098006751768</v>
      </c>
      <c r="G825" s="14">
        <f t="shared" si="119"/>
        <v>1451.9744610956268</v>
      </c>
      <c r="H825" s="24">
        <f t="shared" si="126"/>
        <v>650</v>
      </c>
      <c r="I825" s="12">
        <f t="shared" si="120"/>
        <v>0.19345953235783828</v>
      </c>
      <c r="J825" s="3">
        <f t="shared" si="121"/>
        <v>0.7</v>
      </c>
    </row>
    <row r="826" spans="2:10" x14ac:dyDescent="0.25">
      <c r="B826" s="3">
        <f t="shared" si="122"/>
        <v>4045</v>
      </c>
      <c r="C826" s="14">
        <f t="shared" si="123"/>
        <v>67.416666666666671</v>
      </c>
      <c r="D826" s="11">
        <f t="shared" si="124"/>
        <v>962.76830724445392</v>
      </c>
      <c r="E826" s="24">
        <f t="shared" si="125"/>
        <v>957.89955027128735</v>
      </c>
      <c r="F826" s="24">
        <f t="shared" si="118"/>
        <v>121.71892432916422</v>
      </c>
      <c r="G826" s="14">
        <f t="shared" si="119"/>
        <v>1450.1165739512116</v>
      </c>
      <c r="H826" s="24">
        <f t="shared" si="126"/>
        <v>650</v>
      </c>
      <c r="I826" s="12">
        <f t="shared" si="120"/>
        <v>0.19320510145517111</v>
      </c>
      <c r="J826" s="3">
        <f t="shared" si="121"/>
        <v>0.7</v>
      </c>
    </row>
    <row r="827" spans="2:10" x14ac:dyDescent="0.25">
      <c r="B827" s="3">
        <f t="shared" si="122"/>
        <v>4050</v>
      </c>
      <c r="C827" s="14">
        <f t="shared" si="123"/>
        <v>67.5</v>
      </c>
      <c r="D827" s="11">
        <f t="shared" si="124"/>
        <v>962.95305646176621</v>
      </c>
      <c r="E827" s="24">
        <f t="shared" si="125"/>
        <v>958.09275537274254</v>
      </c>
      <c r="F827" s="24">
        <f t="shared" si="118"/>
        <v>121.50752722559162</v>
      </c>
      <c r="G827" s="14">
        <f t="shared" si="119"/>
        <v>1448.2635667815407</v>
      </c>
      <c r="H827" s="24">
        <f t="shared" si="126"/>
        <v>650</v>
      </c>
      <c r="I827" s="12">
        <f t="shared" si="120"/>
        <v>0.19295135134105751</v>
      </c>
      <c r="J827" s="3">
        <f t="shared" si="121"/>
        <v>0.7</v>
      </c>
    </row>
    <row r="828" spans="2:10" x14ac:dyDescent="0.25">
      <c r="B828" s="3">
        <f t="shared" si="122"/>
        <v>4055</v>
      </c>
      <c r="C828" s="14">
        <f t="shared" si="123"/>
        <v>67.583333333333329</v>
      </c>
      <c r="D828" s="11">
        <f t="shared" si="124"/>
        <v>963.13757815535439</v>
      </c>
      <c r="E828" s="24">
        <f t="shared" si="125"/>
        <v>958.28570672408364</v>
      </c>
      <c r="F828" s="24">
        <f t="shared" si="118"/>
        <v>121.29678578176879</v>
      </c>
      <c r="G828" s="14">
        <f t="shared" si="119"/>
        <v>1446.4154197362848</v>
      </c>
      <c r="H828" s="24">
        <f t="shared" si="126"/>
        <v>650</v>
      </c>
      <c r="I828" s="12">
        <f t="shared" si="120"/>
        <v>0.19269827920987548</v>
      </c>
      <c r="J828" s="3">
        <f t="shared" si="121"/>
        <v>0.7</v>
      </c>
    </row>
    <row r="829" spans="2:10" x14ac:dyDescent="0.25">
      <c r="B829" s="3">
        <f t="shared" si="122"/>
        <v>4060</v>
      </c>
      <c r="C829" s="14">
        <f t="shared" si="123"/>
        <v>67.666666666666671</v>
      </c>
      <c r="D829" s="11">
        <f t="shared" si="124"/>
        <v>963.32187288493265</v>
      </c>
      <c r="E829" s="24">
        <f t="shared" si="125"/>
        <v>958.47840500329346</v>
      </c>
      <c r="F829" s="24">
        <f t="shared" si="118"/>
        <v>121.08669704097963</v>
      </c>
      <c r="G829" s="14">
        <f t="shared" si="119"/>
        <v>1444.5721130830216</v>
      </c>
      <c r="H829" s="24">
        <f t="shared" si="126"/>
        <v>650</v>
      </c>
      <c r="I829" s="12">
        <f t="shared" si="120"/>
        <v>0.19244588227274723</v>
      </c>
      <c r="J829" s="3">
        <f t="shared" si="121"/>
        <v>0.7</v>
      </c>
    </row>
    <row r="830" spans="2:10" x14ac:dyDescent="0.25">
      <c r="B830" s="3">
        <f t="shared" si="122"/>
        <v>4065</v>
      </c>
      <c r="C830" s="14">
        <f t="shared" si="123"/>
        <v>67.75</v>
      </c>
      <c r="D830" s="11">
        <f t="shared" si="124"/>
        <v>963.50594120815208</v>
      </c>
      <c r="E830" s="24">
        <f t="shared" si="125"/>
        <v>958.67085088556621</v>
      </c>
      <c r="F830" s="24">
        <f t="shared" si="118"/>
        <v>120.87725806464675</v>
      </c>
      <c r="G830" s="14">
        <f t="shared" si="119"/>
        <v>1442.7336272051816</v>
      </c>
      <c r="H830" s="24">
        <f t="shared" si="126"/>
        <v>650</v>
      </c>
      <c r="I830" s="12">
        <f t="shared" si="120"/>
        <v>0.19219415775726459</v>
      </c>
      <c r="J830" s="3">
        <f t="shared" si="121"/>
        <v>0.7</v>
      </c>
    </row>
    <row r="831" spans="2:10" x14ac:dyDescent="0.25">
      <c r="B831" s="3">
        <f t="shared" si="122"/>
        <v>4070</v>
      </c>
      <c r="C831" s="14">
        <f t="shared" si="123"/>
        <v>67.833333333333329</v>
      </c>
      <c r="D831" s="11">
        <f t="shared" si="124"/>
        <v>963.68978368061153</v>
      </c>
      <c r="E831" s="24">
        <f t="shared" si="125"/>
        <v>958.8630450433235</v>
      </c>
      <c r="F831" s="24">
        <f t="shared" si="118"/>
        <v>120.66846593220077</v>
      </c>
      <c r="G831" s="14">
        <f t="shared" si="119"/>
        <v>1440.8999426016028</v>
      </c>
      <c r="H831" s="24">
        <f t="shared" si="126"/>
        <v>650</v>
      </c>
      <c r="I831" s="12">
        <f t="shared" si="120"/>
        <v>0.19194310290741851</v>
      </c>
      <c r="J831" s="3">
        <f t="shared" si="121"/>
        <v>0.7</v>
      </c>
    </row>
    <row r="832" spans="2:10" x14ac:dyDescent="0.25">
      <c r="B832" s="3">
        <f t="shared" si="122"/>
        <v>4075</v>
      </c>
      <c r="C832" s="14">
        <f t="shared" si="123"/>
        <v>67.916666666666671</v>
      </c>
      <c r="D832" s="11">
        <f t="shared" si="124"/>
        <v>963.87340085586686</v>
      </c>
      <c r="E832" s="24">
        <f t="shared" si="125"/>
        <v>959.05498814623093</v>
      </c>
      <c r="F832" s="24">
        <f t="shared" si="118"/>
        <v>120.4603177408984</v>
      </c>
      <c r="G832" s="14">
        <f t="shared" si="119"/>
        <v>1439.0710398847862</v>
      </c>
      <c r="H832" s="24">
        <f t="shared" si="126"/>
        <v>650</v>
      </c>
      <c r="I832" s="12">
        <f t="shared" si="120"/>
        <v>0.19169271498336216</v>
      </c>
      <c r="J832" s="3">
        <f t="shared" si="121"/>
        <v>0.7</v>
      </c>
    </row>
    <row r="833" spans="2:10" x14ac:dyDescent="0.25">
      <c r="B833" s="3">
        <f t="shared" si="122"/>
        <v>4080</v>
      </c>
      <c r="C833" s="14">
        <f t="shared" si="123"/>
        <v>68</v>
      </c>
      <c r="D833" s="11">
        <f t="shared" si="124"/>
        <v>964.05679328544147</v>
      </c>
      <c r="E833" s="24">
        <f t="shared" si="125"/>
        <v>959.24668086121426</v>
      </c>
      <c r="F833" s="24">
        <f t="shared" si="118"/>
        <v>120.25281060568034</v>
      </c>
      <c r="G833" s="14">
        <f t="shared" si="119"/>
        <v>1437.2468997806627</v>
      </c>
      <c r="H833" s="24">
        <f t="shared" si="126"/>
        <v>650</v>
      </c>
      <c r="I833" s="12">
        <f t="shared" si="120"/>
        <v>0.19144299126136483</v>
      </c>
      <c r="J833" s="3">
        <f t="shared" si="121"/>
        <v>0.7</v>
      </c>
    </row>
    <row r="834" spans="2:10" x14ac:dyDescent="0.25">
      <c r="B834" s="3">
        <f t="shared" si="122"/>
        <v>4085</v>
      </c>
      <c r="C834" s="14">
        <f t="shared" si="123"/>
        <v>68.083333333333329</v>
      </c>
      <c r="D834" s="11">
        <f t="shared" si="124"/>
        <v>964.23996151883614</v>
      </c>
      <c r="E834" s="24">
        <f t="shared" si="125"/>
        <v>959.43812385247566</v>
      </c>
      <c r="F834" s="24">
        <f t="shared" si="118"/>
        <v>120.0459416590121</v>
      </c>
      <c r="G834" s="14">
        <f t="shared" si="119"/>
        <v>1435.427503126773</v>
      </c>
      <c r="H834" s="24">
        <f t="shared" si="126"/>
        <v>650</v>
      </c>
      <c r="I834" s="12">
        <f t="shared" si="120"/>
        <v>0.1911939290335686</v>
      </c>
      <c r="J834" s="3">
        <f t="shared" si="121"/>
        <v>0.7</v>
      </c>
    </row>
    <row r="835" spans="2:10" x14ac:dyDescent="0.25">
      <c r="B835" s="3">
        <f t="shared" si="122"/>
        <v>4090</v>
      </c>
      <c r="C835" s="14">
        <f t="shared" si="123"/>
        <v>68.166666666666671</v>
      </c>
      <c r="D835" s="11">
        <f t="shared" si="124"/>
        <v>964.42290610353859</v>
      </c>
      <c r="E835" s="24">
        <f t="shared" si="125"/>
        <v>959.62931778150926</v>
      </c>
      <c r="F835" s="24">
        <f t="shared" si="118"/>
        <v>119.83970805073341</v>
      </c>
      <c r="G835" s="14">
        <f t="shared" si="119"/>
        <v>1433.6128308716068</v>
      </c>
      <c r="H835" s="24">
        <f t="shared" si="126"/>
        <v>650</v>
      </c>
      <c r="I835" s="12">
        <f t="shared" si="120"/>
        <v>0.19094552560788863</v>
      </c>
      <c r="J835" s="3">
        <f t="shared" si="121"/>
        <v>0.7</v>
      </c>
    </row>
    <row r="836" spans="2:10" x14ac:dyDescent="0.25">
      <c r="B836" s="3">
        <f t="shared" si="122"/>
        <v>4095</v>
      </c>
      <c r="C836" s="14">
        <f t="shared" si="123"/>
        <v>68.25</v>
      </c>
      <c r="D836" s="11">
        <f t="shared" si="124"/>
        <v>964.60562758503352</v>
      </c>
      <c r="E836" s="24">
        <f t="shared" si="125"/>
        <v>959.8202633071171</v>
      </c>
      <c r="F836" s="24">
        <f t="shared" si="118"/>
        <v>119.63410694791037</v>
      </c>
      <c r="G836" s="14">
        <f t="shared" si="119"/>
        <v>1431.8028640734215</v>
      </c>
      <c r="H836" s="24">
        <f t="shared" si="126"/>
        <v>650</v>
      </c>
      <c r="I836" s="12">
        <f t="shared" si="120"/>
        <v>0.19069777830784984</v>
      </c>
      <c r="J836" s="3">
        <f t="shared" si="121"/>
        <v>0.7</v>
      </c>
    </row>
    <row r="837" spans="2:10" x14ac:dyDescent="0.25">
      <c r="B837" s="3">
        <f t="shared" si="122"/>
        <v>4100</v>
      </c>
      <c r="C837" s="14">
        <f t="shared" si="123"/>
        <v>68.333333333333329</v>
      </c>
      <c r="D837" s="11">
        <f t="shared" si="124"/>
        <v>964.78812650681277</v>
      </c>
      <c r="E837" s="24">
        <f t="shared" si="125"/>
        <v>960.01096108542492</v>
      </c>
      <c r="F837" s="24">
        <f t="shared" si="118"/>
        <v>119.42913553469623</v>
      </c>
      <c r="G837" s="14">
        <f t="shared" si="119"/>
        <v>1429.997583899506</v>
      </c>
      <c r="H837" s="24">
        <f t="shared" si="126"/>
        <v>650</v>
      </c>
      <c r="I837" s="12">
        <f t="shared" si="120"/>
        <v>0.19045068447247923</v>
      </c>
      <c r="J837" s="3">
        <f t="shared" si="121"/>
        <v>0.7</v>
      </c>
    </row>
    <row r="838" spans="2:10" x14ac:dyDescent="0.25">
      <c r="B838" s="3">
        <f t="shared" si="122"/>
        <v>4105</v>
      </c>
      <c r="C838" s="14">
        <f t="shared" si="123"/>
        <v>68.416666666666671</v>
      </c>
      <c r="D838" s="11">
        <f t="shared" si="124"/>
        <v>964.97040341038394</v>
      </c>
      <c r="E838" s="24">
        <f t="shared" si="125"/>
        <v>960.20141176989739</v>
      </c>
      <c r="F838" s="24">
        <f t="shared" si="118"/>
        <v>119.22479101216368</v>
      </c>
      <c r="G838" s="14">
        <f t="shared" si="119"/>
        <v>1428.19697162494</v>
      </c>
      <c r="H838" s="24">
        <f t="shared" si="126"/>
        <v>650</v>
      </c>
      <c r="I838" s="12">
        <f t="shared" si="120"/>
        <v>0.19020424145613277</v>
      </c>
      <c r="J838" s="3">
        <f t="shared" si="121"/>
        <v>0.7</v>
      </c>
    </row>
    <row r="839" spans="2:10" x14ac:dyDescent="0.25">
      <c r="B839" s="3">
        <f t="shared" si="122"/>
        <v>4110</v>
      </c>
      <c r="C839" s="14">
        <f t="shared" si="123"/>
        <v>68.5</v>
      </c>
      <c r="D839" s="11">
        <f t="shared" si="124"/>
        <v>965.15245883528155</v>
      </c>
      <c r="E839" s="24">
        <f t="shared" si="125"/>
        <v>960.39161601135356</v>
      </c>
      <c r="F839" s="24">
        <f t="shared" si="118"/>
        <v>119.02107059819969</v>
      </c>
      <c r="G839" s="14">
        <f t="shared" si="119"/>
        <v>1426.4010086317028</v>
      </c>
      <c r="H839" s="24">
        <f t="shared" si="126"/>
        <v>650</v>
      </c>
      <c r="I839" s="12">
        <f t="shared" si="120"/>
        <v>0.18995844662837297</v>
      </c>
      <c r="J839" s="3">
        <f t="shared" si="121"/>
        <v>0.7</v>
      </c>
    </row>
    <row r="840" spans="2:10" x14ac:dyDescent="0.25">
      <c r="B840" s="3">
        <f t="shared" si="122"/>
        <v>4115</v>
      </c>
      <c r="C840" s="14">
        <f t="shared" si="123"/>
        <v>68.583333333333329</v>
      </c>
      <c r="D840" s="11">
        <f t="shared" si="124"/>
        <v>965.3342933190753</v>
      </c>
      <c r="E840" s="24">
        <f t="shared" si="125"/>
        <v>960.5815744579819</v>
      </c>
      <c r="F840" s="24">
        <f t="shared" si="118"/>
        <v>118.81797152733498</v>
      </c>
      <c r="G840" s="14">
        <f t="shared" si="119"/>
        <v>1424.6096764078009</v>
      </c>
      <c r="H840" s="24">
        <f t="shared" si="126"/>
        <v>650</v>
      </c>
      <c r="I840" s="12">
        <f t="shared" si="120"/>
        <v>0.18971329737384074</v>
      </c>
      <c r="J840" s="3">
        <f t="shared" si="121"/>
        <v>0.7</v>
      </c>
    </row>
    <row r="841" spans="2:10" x14ac:dyDescent="0.25">
      <c r="B841" s="3">
        <f t="shared" si="122"/>
        <v>4120</v>
      </c>
      <c r="C841" s="14">
        <f t="shared" si="123"/>
        <v>68.666666666666671</v>
      </c>
      <c r="D841" s="11">
        <f t="shared" si="124"/>
        <v>965.51590739738026</v>
      </c>
      <c r="E841" s="24">
        <f t="shared" si="125"/>
        <v>960.77128775535573</v>
      </c>
      <c r="F841" s="24">
        <f t="shared" si="118"/>
        <v>118.61549105061329</v>
      </c>
      <c r="G841" s="14">
        <f t="shared" si="119"/>
        <v>1422.8229565462018</v>
      </c>
      <c r="H841" s="24">
        <f t="shared" si="126"/>
        <v>650</v>
      </c>
      <c r="I841" s="12">
        <f t="shared" si="120"/>
        <v>0.18946879109210807</v>
      </c>
      <c r="J841" s="3">
        <f t="shared" si="121"/>
        <v>0.7</v>
      </c>
    </row>
    <row r="842" spans="2:10" x14ac:dyDescent="0.25">
      <c r="B842" s="3">
        <f t="shared" si="122"/>
        <v>4125</v>
      </c>
      <c r="C842" s="14">
        <f t="shared" si="123"/>
        <v>68.75</v>
      </c>
      <c r="D842" s="11">
        <f t="shared" si="124"/>
        <v>965.69730160386575</v>
      </c>
      <c r="E842" s="24">
        <f t="shared" si="125"/>
        <v>960.96075654644778</v>
      </c>
      <c r="F842" s="24">
        <f t="shared" si="118"/>
        <v>118.41362643544926</v>
      </c>
      <c r="G842" s="14">
        <f t="shared" si="119"/>
        <v>1421.04083074406</v>
      </c>
      <c r="H842" s="24">
        <f t="shared" si="126"/>
        <v>650</v>
      </c>
      <c r="I842" s="12">
        <f t="shared" si="120"/>
        <v>0.18922492519756567</v>
      </c>
      <c r="J842" s="3">
        <f t="shared" si="121"/>
        <v>0.7</v>
      </c>
    </row>
    <row r="843" spans="2:10" x14ac:dyDescent="0.25">
      <c r="B843" s="3">
        <f t="shared" si="122"/>
        <v>4130</v>
      </c>
      <c r="C843" s="14">
        <f t="shared" si="123"/>
        <v>68.833333333333329</v>
      </c>
      <c r="D843" s="11">
        <f t="shared" si="124"/>
        <v>965.8784764702657</v>
      </c>
      <c r="E843" s="24">
        <f t="shared" si="125"/>
        <v>961.14998147164533</v>
      </c>
      <c r="F843" s="24">
        <f t="shared" si="118"/>
        <v>118.21237496550907</v>
      </c>
      <c r="G843" s="14">
        <f t="shared" si="119"/>
        <v>1419.2632808015726</v>
      </c>
      <c r="H843" s="24">
        <f t="shared" si="126"/>
        <v>650</v>
      </c>
      <c r="I843" s="12">
        <f t="shared" si="120"/>
        <v>0.18898169711926743</v>
      </c>
      <c r="J843" s="3">
        <f t="shared" si="121"/>
        <v>0.7</v>
      </c>
    </row>
    <row r="844" spans="2:10" x14ac:dyDescent="0.25">
      <c r="B844" s="3">
        <f t="shared" si="122"/>
        <v>4135</v>
      </c>
      <c r="C844" s="14">
        <f t="shared" si="123"/>
        <v>68.916666666666671</v>
      </c>
      <c r="D844" s="11">
        <f t="shared" si="124"/>
        <v>966.05943252638758</v>
      </c>
      <c r="E844" s="24">
        <f t="shared" si="125"/>
        <v>961.33896316876462</v>
      </c>
      <c r="F844" s="24">
        <f t="shared" si="118"/>
        <v>118.011733940574</v>
      </c>
      <c r="G844" s="14">
        <f t="shared" si="119"/>
        <v>1417.4902886216303</v>
      </c>
      <c r="H844" s="24">
        <f t="shared" si="126"/>
        <v>650</v>
      </c>
      <c r="I844" s="12">
        <f t="shared" si="120"/>
        <v>0.18873910430087085</v>
      </c>
      <c r="J844" s="3">
        <f t="shared" si="121"/>
        <v>0.7</v>
      </c>
    </row>
    <row r="845" spans="2:10" x14ac:dyDescent="0.25">
      <c r="B845" s="3">
        <f t="shared" si="122"/>
        <v>4140</v>
      </c>
      <c r="C845" s="14">
        <f t="shared" si="123"/>
        <v>69</v>
      </c>
      <c r="D845" s="11">
        <f t="shared" si="124"/>
        <v>966.24017030012078</v>
      </c>
      <c r="E845" s="24">
        <f t="shared" si="125"/>
        <v>961.52770227306553</v>
      </c>
      <c r="F845" s="24">
        <f t="shared" si="118"/>
        <v>117.81170067638129</v>
      </c>
      <c r="G845" s="14">
        <f t="shared" si="119"/>
        <v>1415.7218362079966</v>
      </c>
      <c r="H845" s="24">
        <f t="shared" si="126"/>
        <v>650</v>
      </c>
      <c r="I845" s="12">
        <f t="shared" si="120"/>
        <v>0.18849714420039368</v>
      </c>
      <c r="J845" s="3">
        <f t="shared" si="121"/>
        <v>0.7</v>
      </c>
    </row>
    <row r="846" spans="2:10" x14ac:dyDescent="0.25">
      <c r="B846" s="3">
        <f t="shared" si="122"/>
        <v>4145</v>
      </c>
      <c r="C846" s="14">
        <f t="shared" si="123"/>
        <v>69.083333333333329</v>
      </c>
      <c r="D846" s="11">
        <f t="shared" si="124"/>
        <v>966.42069031744745</v>
      </c>
      <c r="E846" s="24">
        <f t="shared" si="125"/>
        <v>961.7161994172659</v>
      </c>
      <c r="F846" s="24">
        <f t="shared" si="118"/>
        <v>117.61227250453885</v>
      </c>
      <c r="G846" s="14">
        <f t="shared" si="119"/>
        <v>1413.957905665656</v>
      </c>
      <c r="H846" s="24">
        <f t="shared" si="126"/>
        <v>650</v>
      </c>
      <c r="I846" s="12">
        <f t="shared" si="120"/>
        <v>0.18825581429024618</v>
      </c>
      <c r="J846" s="3">
        <f t="shared" si="121"/>
        <v>0.7</v>
      </c>
    </row>
    <row r="847" spans="2:10" x14ac:dyDescent="0.25">
      <c r="B847" s="3">
        <f t="shared" si="122"/>
        <v>4150</v>
      </c>
      <c r="C847" s="14">
        <f t="shared" si="123"/>
        <v>69.166666666666671</v>
      </c>
      <c r="D847" s="11">
        <f t="shared" si="124"/>
        <v>966.60099310245062</v>
      </c>
      <c r="E847" s="24">
        <f t="shared" si="125"/>
        <v>961.9044552315562</v>
      </c>
      <c r="F847" s="24">
        <f t="shared" si="118"/>
        <v>117.41344677236043</v>
      </c>
      <c r="G847" s="14">
        <f t="shared" si="119"/>
        <v>1412.1984791986627</v>
      </c>
      <c r="H847" s="24">
        <f t="shared" si="126"/>
        <v>650</v>
      </c>
      <c r="I847" s="12">
        <f t="shared" si="120"/>
        <v>0.18801511205694652</v>
      </c>
      <c r="J847" s="3">
        <f t="shared" si="121"/>
        <v>0.7</v>
      </c>
    </row>
    <row r="848" spans="2:10" x14ac:dyDescent="0.25">
      <c r="B848" s="3">
        <f t="shared" si="122"/>
        <v>4155</v>
      </c>
      <c r="C848" s="14">
        <f t="shared" si="123"/>
        <v>69.25</v>
      </c>
      <c r="D848" s="11">
        <f t="shared" si="124"/>
        <v>966.78107917732314</v>
      </c>
      <c r="E848" s="24">
        <f t="shared" si="125"/>
        <v>962.09247034361317</v>
      </c>
      <c r="F848" s="24">
        <f t="shared" si="118"/>
        <v>117.21522084274909</v>
      </c>
      <c r="G848" s="14">
        <f t="shared" si="119"/>
        <v>1410.4435391105869</v>
      </c>
      <c r="H848" s="24">
        <f t="shared" si="126"/>
        <v>650</v>
      </c>
      <c r="I848" s="12">
        <f t="shared" si="120"/>
        <v>0.18777503500116116</v>
      </c>
      <c r="J848" s="3">
        <f t="shared" si="121"/>
        <v>0.7</v>
      </c>
    </row>
    <row r="849" spans="2:10" x14ac:dyDescent="0.25">
      <c r="B849" s="3">
        <f t="shared" si="122"/>
        <v>4160</v>
      </c>
      <c r="C849" s="14">
        <f t="shared" si="123"/>
        <v>69.333333333333329</v>
      </c>
      <c r="D849" s="11">
        <f t="shared" si="124"/>
        <v>966.96094906237818</v>
      </c>
      <c r="E849" s="24">
        <f t="shared" si="125"/>
        <v>962.28024537861438</v>
      </c>
      <c r="F849" s="24">
        <f t="shared" ref="F849:F912" si="127">AlphaC*(D849-E849)</f>
        <v>117.01759209409488</v>
      </c>
      <c r="G849" s="14">
        <f t="shared" ref="G849:G912" si="128">Phi*EpsilonF*Botzman/10^8*J849*((D849+273)^4-(E849+273)^4)</f>
        <v>1408.6930678025958</v>
      </c>
      <c r="H849" s="24">
        <f t="shared" si="126"/>
        <v>650</v>
      </c>
      <c r="I849" s="12">
        <f t="shared" ref="I849:I912" si="129">ksh*Massivete/(H849*RhoA)*DeltaT*(F849+G849)</f>
        <v>0.18753558063745662</v>
      </c>
      <c r="J849" s="3">
        <f t="shared" ref="J849:J912" si="130">IF(E849&lt;=500,IF(Galva=Oui,0.35,0.7),0.7)</f>
        <v>0.7</v>
      </c>
    </row>
    <row r="850" spans="2:10" x14ac:dyDescent="0.25">
      <c r="B850" s="3">
        <f t="shared" ref="B850:B913" si="131">B849+DeltaT</f>
        <v>4165</v>
      </c>
      <c r="C850" s="14">
        <f t="shared" ref="C850:C913" si="132">B850/60</f>
        <v>69.416666666666671</v>
      </c>
      <c r="D850" s="11">
        <f t="shared" ref="D850:D913" si="133">20+345*LOG(8*C850+1,10)</f>
        <v>967.14060327605659</v>
      </c>
      <c r="E850" s="24">
        <f t="shared" si="125"/>
        <v>962.46778095925185</v>
      </c>
      <c r="F850" s="24">
        <f t="shared" si="127"/>
        <v>116.82055792011852</v>
      </c>
      <c r="G850" s="14">
        <f t="shared" si="128"/>
        <v>1406.9470477734342</v>
      </c>
      <c r="H850" s="24">
        <f t="shared" si="126"/>
        <v>650</v>
      </c>
      <c r="I850" s="12">
        <f t="shared" si="129"/>
        <v>0.18729674649427758</v>
      </c>
      <c r="J850" s="3">
        <f t="shared" si="130"/>
        <v>0.7</v>
      </c>
    </row>
    <row r="851" spans="2:10" x14ac:dyDescent="0.25">
      <c r="B851" s="3">
        <f t="shared" si="131"/>
        <v>4170</v>
      </c>
      <c r="C851" s="14">
        <f t="shared" si="132"/>
        <v>69.5</v>
      </c>
      <c r="D851" s="11">
        <f t="shared" si="133"/>
        <v>967.32004233493649</v>
      </c>
      <c r="E851" s="24">
        <f t="shared" si="125"/>
        <v>962.65507770574618</v>
      </c>
      <c r="F851" s="24">
        <f t="shared" si="127"/>
        <v>116.6241157297577</v>
      </c>
      <c r="G851" s="14">
        <f t="shared" si="128"/>
        <v>1405.2054616180487</v>
      </c>
      <c r="H851" s="24">
        <f t="shared" si="126"/>
        <v>650</v>
      </c>
      <c r="I851" s="12">
        <f t="shared" si="129"/>
        <v>0.18705853011376414</v>
      </c>
      <c r="J851" s="3">
        <f t="shared" si="130"/>
        <v>0.7</v>
      </c>
    </row>
    <row r="852" spans="2:10" x14ac:dyDescent="0.25">
      <c r="B852" s="3">
        <f t="shared" si="131"/>
        <v>4175</v>
      </c>
      <c r="C852" s="14">
        <f t="shared" si="132"/>
        <v>69.583333333333329</v>
      </c>
      <c r="D852" s="11">
        <f t="shared" si="133"/>
        <v>967.49926675374252</v>
      </c>
      <c r="E852" s="24">
        <f t="shared" si="125"/>
        <v>962.84213623585993</v>
      </c>
      <c r="F852" s="24">
        <f t="shared" si="127"/>
        <v>116.42826294706481</v>
      </c>
      <c r="G852" s="14">
        <f t="shared" si="128"/>
        <v>1403.468292027181</v>
      </c>
      <c r="H852" s="24">
        <f t="shared" si="126"/>
        <v>650</v>
      </c>
      <c r="I852" s="12">
        <f t="shared" si="129"/>
        <v>0.18682092905168893</v>
      </c>
      <c r="J852" s="3">
        <f t="shared" si="130"/>
        <v>0.7</v>
      </c>
    </row>
    <row r="853" spans="2:10" x14ac:dyDescent="0.25">
      <c r="B853" s="3">
        <f t="shared" si="131"/>
        <v>4180</v>
      </c>
      <c r="C853" s="14">
        <f t="shared" si="132"/>
        <v>69.666666666666671</v>
      </c>
      <c r="D853" s="11">
        <f t="shared" si="133"/>
        <v>967.67827704535466</v>
      </c>
      <c r="E853" s="24">
        <f t="shared" si="125"/>
        <v>963.02895716491162</v>
      </c>
      <c r="F853" s="24">
        <f t="shared" si="127"/>
        <v>116.23299701107612</v>
      </c>
      <c r="G853" s="14">
        <f t="shared" si="128"/>
        <v>1401.735521786456</v>
      </c>
      <c r="H853" s="24">
        <f t="shared" si="126"/>
        <v>650</v>
      </c>
      <c r="I853" s="12">
        <f t="shared" si="129"/>
        <v>0.18658394087732927</v>
      </c>
      <c r="J853" s="3">
        <f t="shared" si="130"/>
        <v>0.7</v>
      </c>
    </row>
    <row r="854" spans="2:10" x14ac:dyDescent="0.25">
      <c r="B854" s="3">
        <f t="shared" si="131"/>
        <v>4185</v>
      </c>
      <c r="C854" s="14">
        <f t="shared" si="132"/>
        <v>69.75</v>
      </c>
      <c r="D854" s="11">
        <f t="shared" si="133"/>
        <v>967.85707372081595</v>
      </c>
      <c r="E854" s="24">
        <f t="shared" si="125"/>
        <v>963.21554110578893</v>
      </c>
      <c r="F854" s="24">
        <f t="shared" si="127"/>
        <v>116.03831537567544</v>
      </c>
      <c r="G854" s="14">
        <f t="shared" si="128"/>
        <v>1400.0071337757047</v>
      </c>
      <c r="H854" s="24">
        <f t="shared" si="126"/>
        <v>650</v>
      </c>
      <c r="I854" s="12">
        <f t="shared" si="129"/>
        <v>0.18634756317336684</v>
      </c>
      <c r="J854" s="3">
        <f t="shared" si="130"/>
        <v>0.7</v>
      </c>
    </row>
    <row r="855" spans="2:10" x14ac:dyDescent="0.25">
      <c r="B855" s="3">
        <f t="shared" si="131"/>
        <v>4190</v>
      </c>
      <c r="C855" s="14">
        <f t="shared" si="132"/>
        <v>69.833333333333329</v>
      </c>
      <c r="D855" s="11">
        <f t="shared" si="133"/>
        <v>968.03565728934313</v>
      </c>
      <c r="E855" s="24">
        <f t="shared" si="125"/>
        <v>963.40188866896233</v>
      </c>
      <c r="F855" s="24">
        <f t="shared" si="127"/>
        <v>115.84421550952015</v>
      </c>
      <c r="G855" s="14">
        <f t="shared" si="128"/>
        <v>1398.2831109677816</v>
      </c>
      <c r="H855" s="24">
        <f t="shared" si="126"/>
        <v>650</v>
      </c>
      <c r="I855" s="12">
        <f t="shared" si="129"/>
        <v>0.18611179353573351</v>
      </c>
      <c r="J855" s="3">
        <f t="shared" si="130"/>
        <v>0.7</v>
      </c>
    </row>
    <row r="856" spans="2:10" x14ac:dyDescent="0.25">
      <c r="B856" s="3">
        <f t="shared" si="131"/>
        <v>4195</v>
      </c>
      <c r="C856" s="14">
        <f t="shared" si="132"/>
        <v>69.916666666666671</v>
      </c>
      <c r="D856" s="11">
        <f t="shared" si="133"/>
        <v>968.21402825833388</v>
      </c>
      <c r="E856" s="24">
        <f t="shared" si="125"/>
        <v>963.58800046249803</v>
      </c>
      <c r="F856" s="24">
        <f t="shared" si="127"/>
        <v>115.65069489589632</v>
      </c>
      <c r="G856" s="14">
        <f t="shared" si="128"/>
        <v>1396.5634364287387</v>
      </c>
      <c r="H856" s="24">
        <f t="shared" si="126"/>
        <v>650</v>
      </c>
      <c r="I856" s="12">
        <f t="shared" si="129"/>
        <v>0.18587662957361475</v>
      </c>
      <c r="J856" s="3">
        <f t="shared" si="130"/>
        <v>0.7</v>
      </c>
    </row>
    <row r="857" spans="2:10" x14ac:dyDescent="0.25">
      <c r="B857" s="3">
        <f t="shared" si="131"/>
        <v>4200</v>
      </c>
      <c r="C857" s="14">
        <f t="shared" si="132"/>
        <v>70</v>
      </c>
      <c r="D857" s="11">
        <f t="shared" si="133"/>
        <v>968.39218713337561</v>
      </c>
      <c r="E857" s="24">
        <f t="shared" si="125"/>
        <v>963.77387709207164</v>
      </c>
      <c r="F857" s="24">
        <f t="shared" si="127"/>
        <v>115.45775103259928</v>
      </c>
      <c r="G857" s="14">
        <f t="shared" si="128"/>
        <v>1394.8480933159851</v>
      </c>
      <c r="H857" s="24">
        <f t="shared" si="126"/>
        <v>650</v>
      </c>
      <c r="I857" s="12">
        <f t="shared" si="129"/>
        <v>0.18564206890920881</v>
      </c>
      <c r="J857" s="3">
        <f t="shared" si="130"/>
        <v>0.7</v>
      </c>
    </row>
    <row r="858" spans="2:10" x14ac:dyDescent="0.25">
      <c r="B858" s="3">
        <f t="shared" si="131"/>
        <v>4205</v>
      </c>
      <c r="C858" s="14">
        <f t="shared" si="132"/>
        <v>70.083333333333329</v>
      </c>
      <c r="D858" s="11">
        <f t="shared" si="133"/>
        <v>968.57013441825461</v>
      </c>
      <c r="E858" s="24">
        <f t="shared" si="125"/>
        <v>963.9595191609809</v>
      </c>
      <c r="F858" s="24">
        <f t="shared" si="127"/>
        <v>115.26538143184268</v>
      </c>
      <c r="G858" s="14">
        <f t="shared" si="128"/>
        <v>1393.1370648784027</v>
      </c>
      <c r="H858" s="24">
        <f t="shared" si="126"/>
        <v>650</v>
      </c>
      <c r="I858" s="12">
        <f t="shared" si="129"/>
        <v>0.18540810917772985</v>
      </c>
      <c r="J858" s="3">
        <f t="shared" si="130"/>
        <v>0.7</v>
      </c>
    </row>
    <row r="859" spans="2:10" x14ac:dyDescent="0.25">
      <c r="B859" s="3">
        <f t="shared" si="131"/>
        <v>4210</v>
      </c>
      <c r="C859" s="14">
        <f t="shared" si="132"/>
        <v>70.166666666666671</v>
      </c>
      <c r="D859" s="11">
        <f t="shared" si="133"/>
        <v>968.74787061496465</v>
      </c>
      <c r="E859" s="24">
        <f t="shared" si="125"/>
        <v>964.14492727015863</v>
      </c>
      <c r="F859" s="24">
        <f t="shared" si="127"/>
        <v>115.07358362015054</v>
      </c>
      <c r="G859" s="14">
        <f t="shared" si="128"/>
        <v>1391.4303344552809</v>
      </c>
      <c r="H859" s="24">
        <f t="shared" si="126"/>
        <v>650</v>
      </c>
      <c r="I859" s="12">
        <f t="shared" si="129"/>
        <v>0.18517474802726339</v>
      </c>
      <c r="J859" s="3">
        <f t="shared" si="130"/>
        <v>0.7</v>
      </c>
    </row>
    <row r="860" spans="2:10" x14ac:dyDescent="0.25">
      <c r="B860" s="3">
        <f t="shared" si="131"/>
        <v>4215</v>
      </c>
      <c r="C860" s="14">
        <f t="shared" si="132"/>
        <v>70.25</v>
      </c>
      <c r="D860" s="11">
        <f t="shared" si="133"/>
        <v>968.92539622371442</v>
      </c>
      <c r="E860" s="24">
        <f t="shared" si="125"/>
        <v>964.33010201818593</v>
      </c>
      <c r="F860" s="24">
        <f t="shared" si="127"/>
        <v>114.88235513821223</v>
      </c>
      <c r="G860" s="14">
        <f t="shared" si="128"/>
        <v>1389.7278854754632</v>
      </c>
      <c r="H860" s="24">
        <f t="shared" si="126"/>
        <v>650</v>
      </c>
      <c r="I860" s="12">
        <f t="shared" si="129"/>
        <v>0.18494198311864396</v>
      </c>
      <c r="J860" s="3">
        <f t="shared" si="130"/>
        <v>0.7</v>
      </c>
    </row>
    <row r="861" spans="2:10" x14ac:dyDescent="0.25">
      <c r="B861" s="3">
        <f t="shared" si="131"/>
        <v>4220</v>
      </c>
      <c r="C861" s="14">
        <f t="shared" si="132"/>
        <v>70.333333333333329</v>
      </c>
      <c r="D861" s="11">
        <f t="shared" si="133"/>
        <v>969.10271174293723</v>
      </c>
      <c r="E861" s="24">
        <f t="shared" si="125"/>
        <v>964.51504400130455</v>
      </c>
      <c r="F861" s="24">
        <f t="shared" si="127"/>
        <v>114.69169354081714</v>
      </c>
      <c r="G861" s="14">
        <f t="shared" si="128"/>
        <v>1388.0297014570567</v>
      </c>
      <c r="H861" s="24">
        <f t="shared" si="126"/>
        <v>650</v>
      </c>
      <c r="I861" s="12">
        <f t="shared" si="129"/>
        <v>0.18470981212541132</v>
      </c>
      <c r="J861" s="3">
        <f t="shared" si="130"/>
        <v>0.7</v>
      </c>
    </row>
    <row r="862" spans="2:10" x14ac:dyDescent="0.25">
      <c r="B862" s="3">
        <f t="shared" si="131"/>
        <v>4225</v>
      </c>
      <c r="C862" s="14">
        <f t="shared" si="132"/>
        <v>70.416666666666671</v>
      </c>
      <c r="D862" s="11">
        <f t="shared" si="133"/>
        <v>969.27981766929906</v>
      </c>
      <c r="E862" s="24">
        <f t="shared" si="125"/>
        <v>964.69975381342999</v>
      </c>
      <c r="F862" s="24">
        <f t="shared" si="127"/>
        <v>114.50159639672677</v>
      </c>
      <c r="G862" s="14">
        <f t="shared" si="128"/>
        <v>1386.3357660064441</v>
      </c>
      <c r="H862" s="24">
        <f t="shared" si="126"/>
        <v>650</v>
      </c>
      <c r="I862" s="12">
        <f t="shared" si="129"/>
        <v>0.18447823273367303</v>
      </c>
      <c r="J862" s="3">
        <f t="shared" si="130"/>
        <v>0.7</v>
      </c>
    </row>
    <row r="863" spans="2:10" x14ac:dyDescent="0.25">
      <c r="B863" s="3">
        <f t="shared" si="131"/>
        <v>4230</v>
      </c>
      <c r="C863" s="14">
        <f t="shared" si="132"/>
        <v>70.5</v>
      </c>
      <c r="D863" s="11">
        <f t="shared" si="133"/>
        <v>969.45671449770623</v>
      </c>
      <c r="E863" s="24">
        <f t="shared" si="125"/>
        <v>964.88423204616367</v>
      </c>
      <c r="F863" s="24">
        <f t="shared" si="127"/>
        <v>114.31206128856388</v>
      </c>
      <c r="G863" s="14">
        <f t="shared" si="128"/>
        <v>1384.6460628177801</v>
      </c>
      <c r="H863" s="24">
        <f t="shared" si="126"/>
        <v>650</v>
      </c>
      <c r="I863" s="12">
        <f t="shared" si="129"/>
        <v>0.18424724264202916</v>
      </c>
      <c r="J863" s="3">
        <f t="shared" si="130"/>
        <v>0.7</v>
      </c>
    </row>
    <row r="864" spans="2:10" x14ac:dyDescent="0.25">
      <c r="B864" s="3">
        <f t="shared" si="131"/>
        <v>4235</v>
      </c>
      <c r="C864" s="14">
        <f t="shared" si="132"/>
        <v>70.583333333333329</v>
      </c>
      <c r="D864" s="11">
        <f t="shared" si="133"/>
        <v>969.63340272131461</v>
      </c>
      <c r="E864" s="24">
        <f t="shared" si="125"/>
        <v>965.06847928880575</v>
      </c>
      <c r="F864" s="24">
        <f t="shared" si="127"/>
        <v>114.12308581272157</v>
      </c>
      <c r="G864" s="14">
        <f t="shared" si="128"/>
        <v>1382.9605756720016</v>
      </c>
      <c r="H864" s="24">
        <f t="shared" si="126"/>
        <v>650</v>
      </c>
      <c r="I864" s="12">
        <f t="shared" si="129"/>
        <v>0.18401683956143935</v>
      </c>
      <c r="J864" s="3">
        <f t="shared" si="130"/>
        <v>0.7</v>
      </c>
    </row>
    <row r="865" spans="2:10" x14ac:dyDescent="0.25">
      <c r="B865" s="3">
        <f t="shared" si="131"/>
        <v>4240</v>
      </c>
      <c r="C865" s="14">
        <f t="shared" si="132"/>
        <v>70.666666666666671</v>
      </c>
      <c r="D865" s="11">
        <f t="shared" si="133"/>
        <v>969.80988283153715</v>
      </c>
      <c r="E865" s="24">
        <f t="shared" si="125"/>
        <v>965.25249612836717</v>
      </c>
      <c r="F865" s="24">
        <f t="shared" si="127"/>
        <v>113.93466757924955</v>
      </c>
      <c r="G865" s="14">
        <f t="shared" si="128"/>
        <v>1381.2792884367323</v>
      </c>
      <c r="H865" s="24">
        <f t="shared" si="126"/>
        <v>650</v>
      </c>
      <c r="I865" s="12">
        <f t="shared" si="129"/>
        <v>0.18378702121519722</v>
      </c>
      <c r="J865" s="3">
        <f t="shared" si="130"/>
        <v>0.7</v>
      </c>
    </row>
    <row r="866" spans="2:10" x14ac:dyDescent="0.25">
      <c r="B866" s="3">
        <f t="shared" si="131"/>
        <v>4245</v>
      </c>
      <c r="C866" s="14">
        <f t="shared" si="132"/>
        <v>70.75</v>
      </c>
      <c r="D866" s="11">
        <f t="shared" si="133"/>
        <v>969.98615531805262</v>
      </c>
      <c r="E866" s="24">
        <f t="shared" si="125"/>
        <v>965.43628314958232</v>
      </c>
      <c r="F866" s="24">
        <f t="shared" si="127"/>
        <v>113.74680421175754</v>
      </c>
      <c r="G866" s="14">
        <f t="shared" si="128"/>
        <v>1379.602185064964</v>
      </c>
      <c r="H866" s="24">
        <f t="shared" si="126"/>
        <v>650</v>
      </c>
      <c r="I866" s="12">
        <f t="shared" si="129"/>
        <v>0.18355778533875627</v>
      </c>
      <c r="J866" s="3">
        <f t="shared" si="130"/>
        <v>0.7</v>
      </c>
    </row>
    <row r="867" spans="2:10" x14ac:dyDescent="0.25">
      <c r="B867" s="3">
        <f t="shared" si="131"/>
        <v>4250</v>
      </c>
      <c r="C867" s="14">
        <f t="shared" si="132"/>
        <v>70.833333333333329</v>
      </c>
      <c r="D867" s="11">
        <f t="shared" si="133"/>
        <v>970.16222066881369</v>
      </c>
      <c r="E867" s="24">
        <f t="shared" si="125"/>
        <v>965.61984093492106</v>
      </c>
      <c r="F867" s="24">
        <f t="shared" si="127"/>
        <v>113.55949334731577</v>
      </c>
      <c r="G867" s="14">
        <f t="shared" si="128"/>
        <v>1377.9292495950765</v>
      </c>
      <c r="H867" s="24">
        <f t="shared" si="126"/>
        <v>650</v>
      </c>
      <c r="I867" s="12">
        <f t="shared" si="129"/>
        <v>0.18332912967972015</v>
      </c>
      <c r="J867" s="3">
        <f t="shared" si="130"/>
        <v>0.7</v>
      </c>
    </row>
    <row r="868" spans="2:10" x14ac:dyDescent="0.25">
      <c r="B868" s="3">
        <f t="shared" si="131"/>
        <v>4255</v>
      </c>
      <c r="C868" s="14">
        <f t="shared" si="132"/>
        <v>70.916666666666671</v>
      </c>
      <c r="D868" s="11">
        <f t="shared" si="133"/>
        <v>970.33807937005452</v>
      </c>
      <c r="E868" s="24">
        <f t="shared" si="125"/>
        <v>965.80317006460075</v>
      </c>
      <c r="F868" s="24">
        <f t="shared" si="127"/>
        <v>113.37273263634415</v>
      </c>
      <c r="G868" s="14">
        <f t="shared" si="128"/>
        <v>1376.2604661495968</v>
      </c>
      <c r="H868" s="24">
        <f t="shared" si="126"/>
        <v>650</v>
      </c>
      <c r="I868" s="12">
        <f t="shared" si="129"/>
        <v>0.18310105199767648</v>
      </c>
      <c r="J868" s="3">
        <f t="shared" si="130"/>
        <v>0.7</v>
      </c>
    </row>
    <row r="869" spans="2:10" x14ac:dyDescent="0.25">
      <c r="B869" s="3">
        <f t="shared" si="131"/>
        <v>4260</v>
      </c>
      <c r="C869" s="14">
        <f t="shared" si="132"/>
        <v>71</v>
      </c>
      <c r="D869" s="11">
        <f t="shared" si="133"/>
        <v>970.51373190629943</v>
      </c>
      <c r="E869" s="24">
        <f t="shared" si="125"/>
        <v>965.98627111659846</v>
      </c>
      <c r="F869" s="24">
        <f t="shared" si="127"/>
        <v>113.18651974252418</v>
      </c>
      <c r="G869" s="14">
        <f t="shared" si="128"/>
        <v>1374.5958189350831</v>
      </c>
      <c r="H869" s="24">
        <f t="shared" si="126"/>
        <v>650</v>
      </c>
      <c r="I869" s="12">
        <f t="shared" si="129"/>
        <v>0.18287355006417189</v>
      </c>
      <c r="J869" s="3">
        <f t="shared" si="130"/>
        <v>0.7</v>
      </c>
    </row>
    <row r="870" spans="2:10" x14ac:dyDescent="0.25">
      <c r="B870" s="3">
        <f t="shared" si="131"/>
        <v>4265</v>
      </c>
      <c r="C870" s="14">
        <f t="shared" si="132"/>
        <v>71.083333333333329</v>
      </c>
      <c r="D870" s="11">
        <f t="shared" si="133"/>
        <v>970.68917876037074</v>
      </c>
      <c r="E870" s="24">
        <f t="shared" si="125"/>
        <v>966.16914466666265</v>
      </c>
      <c r="F870" s="24">
        <f t="shared" si="127"/>
        <v>113.00085234270227</v>
      </c>
      <c r="G870" s="14">
        <f t="shared" si="128"/>
        <v>1372.9352922410401</v>
      </c>
      <c r="H870" s="24">
        <f t="shared" si="126"/>
        <v>650</v>
      </c>
      <c r="I870" s="12">
        <f t="shared" si="129"/>
        <v>0.18264662166256668</v>
      </c>
      <c r="J870" s="3">
        <f t="shared" si="130"/>
        <v>0.7</v>
      </c>
    </row>
    <row r="871" spans="2:10" x14ac:dyDescent="0.25">
      <c r="B871" s="3">
        <f t="shared" si="131"/>
        <v>4270</v>
      </c>
      <c r="C871" s="14">
        <f t="shared" si="132"/>
        <v>71.166666666666671</v>
      </c>
      <c r="D871" s="11">
        <f t="shared" si="133"/>
        <v>970.86442041339603</v>
      </c>
      <c r="E871" s="24">
        <f t="shared" si="125"/>
        <v>966.35179128832522</v>
      </c>
      <c r="F871" s="24">
        <f t="shared" si="127"/>
        <v>112.81572812677041</v>
      </c>
      <c r="G871" s="14">
        <f t="shared" si="128"/>
        <v>1371.2788704396071</v>
      </c>
      <c r="H871" s="24">
        <f t="shared" si="126"/>
        <v>650</v>
      </c>
      <c r="I871" s="12">
        <f t="shared" si="129"/>
        <v>0.18242026458798183</v>
      </c>
      <c r="J871" s="3">
        <f t="shared" si="130"/>
        <v>0.7</v>
      </c>
    </row>
    <row r="872" spans="2:10" x14ac:dyDescent="0.25">
      <c r="B872" s="3">
        <f t="shared" si="131"/>
        <v>4275</v>
      </c>
      <c r="C872" s="14">
        <f t="shared" si="132"/>
        <v>71.25</v>
      </c>
      <c r="D872" s="11">
        <f t="shared" si="133"/>
        <v>971.03945734481749</v>
      </c>
      <c r="E872" s="24">
        <f t="shared" si="125"/>
        <v>966.53421155291323</v>
      </c>
      <c r="F872" s="24">
        <f t="shared" si="127"/>
        <v>112.63114479760645</v>
      </c>
      <c r="G872" s="14">
        <f t="shared" si="128"/>
        <v>1369.6265379849792</v>
      </c>
      <c r="H872" s="24">
        <f t="shared" si="126"/>
        <v>650</v>
      </c>
      <c r="I872" s="12">
        <f t="shared" si="129"/>
        <v>0.1821944766472206</v>
      </c>
      <c r="J872" s="3">
        <f t="shared" si="130"/>
        <v>0.7</v>
      </c>
    </row>
    <row r="873" spans="2:10" x14ac:dyDescent="0.25">
      <c r="B873" s="3">
        <f t="shared" si="131"/>
        <v>4280</v>
      </c>
      <c r="C873" s="14">
        <f t="shared" si="132"/>
        <v>71.333333333333329</v>
      </c>
      <c r="D873" s="11">
        <f t="shared" si="133"/>
        <v>971.21429003239882</v>
      </c>
      <c r="E873" s="24">
        <f t="shared" si="125"/>
        <v>966.7164060295604</v>
      </c>
      <c r="F873" s="24">
        <f t="shared" si="127"/>
        <v>112.44710007096046</v>
      </c>
      <c r="G873" s="14">
        <f t="shared" si="128"/>
        <v>1367.9782794128428</v>
      </c>
      <c r="H873" s="24">
        <f t="shared" si="126"/>
        <v>650</v>
      </c>
      <c r="I873" s="12">
        <f t="shared" si="129"/>
        <v>0.18196925565868513</v>
      </c>
      <c r="J873" s="3">
        <f t="shared" si="130"/>
        <v>0.7</v>
      </c>
    </row>
    <row r="874" spans="2:10" x14ac:dyDescent="0.25">
      <c r="B874" s="3">
        <f t="shared" si="131"/>
        <v>4285</v>
      </c>
      <c r="C874" s="14">
        <f t="shared" si="132"/>
        <v>71.416666666666671</v>
      </c>
      <c r="D874" s="11">
        <f t="shared" si="133"/>
        <v>971.38891895223253</v>
      </c>
      <c r="E874" s="24">
        <f t="shared" si="125"/>
        <v>966.89837528521912</v>
      </c>
      <c r="F874" s="24">
        <f t="shared" si="127"/>
        <v>112.26359167533531</v>
      </c>
      <c r="G874" s="14">
        <f t="shared" si="128"/>
        <v>1366.3340793390209</v>
      </c>
      <c r="H874" s="24">
        <f t="shared" si="126"/>
        <v>650</v>
      </c>
      <c r="I874" s="12">
        <f t="shared" si="129"/>
        <v>0.18174459945219515</v>
      </c>
      <c r="J874" s="3">
        <f t="shared" si="130"/>
        <v>0.7</v>
      </c>
    </row>
    <row r="875" spans="2:10" x14ac:dyDescent="0.25">
      <c r="B875" s="3">
        <f t="shared" si="131"/>
        <v>4290</v>
      </c>
      <c r="C875" s="14">
        <f t="shared" si="132"/>
        <v>71.5</v>
      </c>
      <c r="D875" s="11">
        <f t="shared" si="133"/>
        <v>971.56334457874948</v>
      </c>
      <c r="E875" s="24">
        <f t="shared" si="125"/>
        <v>967.08011988467126</v>
      </c>
      <c r="F875" s="24">
        <f t="shared" si="127"/>
        <v>112.08061735195542</v>
      </c>
      <c r="G875" s="14">
        <f t="shared" si="128"/>
        <v>1364.6939224603825</v>
      </c>
      <c r="H875" s="24">
        <f t="shared" si="126"/>
        <v>650</v>
      </c>
      <c r="I875" s="12">
        <f t="shared" si="129"/>
        <v>0.18152050586909602</v>
      </c>
      <c r="J875" s="3">
        <f t="shared" si="130"/>
        <v>0.7</v>
      </c>
    </row>
    <row r="876" spans="2:10" x14ac:dyDescent="0.25">
      <c r="B876" s="3">
        <f t="shared" si="131"/>
        <v>4295</v>
      </c>
      <c r="C876" s="14">
        <f t="shared" si="132"/>
        <v>71.583333333333329</v>
      </c>
      <c r="D876" s="11">
        <f t="shared" si="133"/>
        <v>971.73756738472457</v>
      </c>
      <c r="E876" s="24">
        <f t="shared" si="125"/>
        <v>967.26164039054038</v>
      </c>
      <c r="F876" s="24">
        <f t="shared" si="127"/>
        <v>111.8981748546048</v>
      </c>
      <c r="G876" s="14">
        <f t="shared" si="128"/>
        <v>1363.0577935526926</v>
      </c>
      <c r="H876" s="24">
        <f t="shared" si="126"/>
        <v>650</v>
      </c>
      <c r="I876" s="12">
        <f t="shared" si="129"/>
        <v>0.1812969727619746</v>
      </c>
      <c r="J876" s="3">
        <f t="shared" si="130"/>
        <v>0.7</v>
      </c>
    </row>
    <row r="877" spans="2:10" x14ac:dyDescent="0.25">
      <c r="B877" s="3">
        <f t="shared" si="131"/>
        <v>4300</v>
      </c>
      <c r="C877" s="14">
        <f t="shared" si="132"/>
        <v>71.666666666666671</v>
      </c>
      <c r="D877" s="11">
        <f t="shared" si="133"/>
        <v>971.91158784128618</v>
      </c>
      <c r="E877" s="24">
        <f t="shared" si="125"/>
        <v>967.44293736330235</v>
      </c>
      <c r="F877" s="24">
        <f t="shared" si="127"/>
        <v>111.71626194959572</v>
      </c>
      <c r="G877" s="14">
        <f t="shared" si="128"/>
        <v>1361.4256774711544</v>
      </c>
      <c r="H877" s="24">
        <f t="shared" si="126"/>
        <v>650</v>
      </c>
      <c r="I877" s="12">
        <f t="shared" si="129"/>
        <v>0.18107399799472196</v>
      </c>
      <c r="J877" s="3">
        <f t="shared" si="130"/>
        <v>0.7</v>
      </c>
    </row>
    <row r="878" spans="2:10" x14ac:dyDescent="0.25">
      <c r="B878" s="3">
        <f t="shared" si="131"/>
        <v>4305</v>
      </c>
      <c r="C878" s="14">
        <f t="shared" si="132"/>
        <v>71.75</v>
      </c>
      <c r="D878" s="11">
        <f t="shared" si="133"/>
        <v>972.0854064179224</v>
      </c>
      <c r="E878" s="24">
        <f t="shared" si="125"/>
        <v>967.62401136129711</v>
      </c>
      <c r="F878" s="24">
        <f t="shared" si="127"/>
        <v>111.53487641563231</v>
      </c>
      <c r="G878" s="14">
        <f t="shared" si="128"/>
        <v>1359.7975591493234</v>
      </c>
      <c r="H878" s="24">
        <f t="shared" si="126"/>
        <v>650</v>
      </c>
      <c r="I878" s="12">
        <f t="shared" si="129"/>
        <v>0.18085157944238314</v>
      </c>
      <c r="J878" s="3">
        <f t="shared" si="130"/>
        <v>0.7</v>
      </c>
    </row>
    <row r="879" spans="2:10" x14ac:dyDescent="0.25">
      <c r="B879" s="3">
        <f t="shared" si="131"/>
        <v>4310</v>
      </c>
      <c r="C879" s="14">
        <f t="shared" si="132"/>
        <v>71.833333333333329</v>
      </c>
      <c r="D879" s="11">
        <f t="shared" si="133"/>
        <v>972.2590235824897</v>
      </c>
      <c r="E879" s="24">
        <f t="shared" si="125"/>
        <v>967.80486294073944</v>
      </c>
      <c r="F879" s="24">
        <f t="shared" si="127"/>
        <v>111.35401604375659</v>
      </c>
      <c r="G879" s="14">
        <f t="shared" si="128"/>
        <v>1358.1734235985271</v>
      </c>
      <c r="H879" s="24">
        <f t="shared" si="126"/>
        <v>650</v>
      </c>
      <c r="I879" s="12">
        <f t="shared" si="129"/>
        <v>0.18062971499107924</v>
      </c>
      <c r="J879" s="3">
        <f t="shared" si="130"/>
        <v>0.7</v>
      </c>
    </row>
    <row r="880" spans="2:10" x14ac:dyDescent="0.25">
      <c r="B880" s="3">
        <f t="shared" si="131"/>
        <v>4315</v>
      </c>
      <c r="C880" s="14">
        <f t="shared" si="132"/>
        <v>71.916666666666671</v>
      </c>
      <c r="D880" s="11">
        <f t="shared" si="133"/>
        <v>972.43243980121963</v>
      </c>
      <c r="E880" s="24">
        <f t="shared" si="125"/>
        <v>967.98549265573047</v>
      </c>
      <c r="F880" s="24">
        <f t="shared" si="127"/>
        <v>111.17367863722905</v>
      </c>
      <c r="G880" s="14">
        <f t="shared" si="128"/>
        <v>1356.5532559076896</v>
      </c>
      <c r="H880" s="24">
        <f t="shared" si="126"/>
        <v>650</v>
      </c>
      <c r="I880" s="12">
        <f t="shared" si="129"/>
        <v>0.18040840253797102</v>
      </c>
      <c r="J880" s="3">
        <f t="shared" si="130"/>
        <v>0.7</v>
      </c>
    </row>
    <row r="881" spans="2:10" x14ac:dyDescent="0.25">
      <c r="B881" s="3">
        <f t="shared" si="131"/>
        <v>4320</v>
      </c>
      <c r="C881" s="14">
        <f t="shared" si="132"/>
        <v>72</v>
      </c>
      <c r="D881" s="11">
        <f t="shared" si="133"/>
        <v>972.60565553872732</v>
      </c>
      <c r="E881" s="24">
        <f t="shared" si="125"/>
        <v>968.16590105826845</v>
      </c>
      <c r="F881" s="24">
        <f t="shared" si="127"/>
        <v>110.99386201147183</v>
      </c>
      <c r="G881" s="14">
        <f t="shared" si="128"/>
        <v>1354.9370412424607</v>
      </c>
      <c r="H881" s="24">
        <f t="shared" si="126"/>
        <v>650</v>
      </c>
      <c r="I881" s="12">
        <f t="shared" si="129"/>
        <v>0.1801876399911452</v>
      </c>
      <c r="J881" s="3">
        <f t="shared" si="130"/>
        <v>0.7</v>
      </c>
    </row>
    <row r="882" spans="2:10" x14ac:dyDescent="0.25">
      <c r="B882" s="3">
        <f t="shared" si="131"/>
        <v>4325</v>
      </c>
      <c r="C882" s="14">
        <f t="shared" si="132"/>
        <v>72.083333333333329</v>
      </c>
      <c r="D882" s="11">
        <f t="shared" si="133"/>
        <v>972.77867125801777</v>
      </c>
      <c r="E882" s="24">
        <f t="shared" si="125"/>
        <v>968.34608869825956</v>
      </c>
      <c r="F882" s="24">
        <f t="shared" si="127"/>
        <v>110.81456399395506</v>
      </c>
      <c r="G882" s="14">
        <f t="shared" si="128"/>
        <v>1353.3247648446522</v>
      </c>
      <c r="H882" s="24">
        <f t="shared" si="126"/>
        <v>650</v>
      </c>
      <c r="I882" s="12">
        <f t="shared" si="129"/>
        <v>0.17996742526953083</v>
      </c>
      <c r="J882" s="3">
        <f t="shared" si="130"/>
        <v>0.7</v>
      </c>
    </row>
    <row r="883" spans="2:10" x14ac:dyDescent="0.25">
      <c r="B883" s="3">
        <f t="shared" si="131"/>
        <v>4330</v>
      </c>
      <c r="C883" s="14">
        <f t="shared" si="132"/>
        <v>72.166666666666671</v>
      </c>
      <c r="D883" s="11">
        <f t="shared" si="133"/>
        <v>972.95148742049423</v>
      </c>
      <c r="E883" s="24">
        <f t="shared" si="125"/>
        <v>968.52605612352909</v>
      </c>
      <c r="F883" s="24">
        <f t="shared" si="127"/>
        <v>110.63578242412859</v>
      </c>
      <c r="G883" s="14">
        <f t="shared" si="128"/>
        <v>1351.7164120318714</v>
      </c>
      <c r="H883" s="24">
        <f t="shared" si="126"/>
        <v>650</v>
      </c>
      <c r="I883" s="12">
        <f t="shared" si="129"/>
        <v>0.17974775630284606</v>
      </c>
      <c r="J883" s="3">
        <f t="shared" si="130"/>
        <v>0.7</v>
      </c>
    </row>
    <row r="884" spans="2:10" x14ac:dyDescent="0.25">
      <c r="B884" s="3">
        <f t="shared" si="131"/>
        <v>4335</v>
      </c>
      <c r="C884" s="14">
        <f t="shared" si="132"/>
        <v>72.25</v>
      </c>
      <c r="D884" s="11">
        <f t="shared" si="133"/>
        <v>973.1241044859654</v>
      </c>
      <c r="E884" s="24">
        <f t="shared" ref="E884:E947" si="134">E883+I883</f>
        <v>968.70580387983193</v>
      </c>
      <c r="F884" s="24">
        <f t="shared" si="127"/>
        <v>110.45751515333677</v>
      </c>
      <c r="G884" s="14">
        <f t="shared" si="128"/>
        <v>1350.1119681970742</v>
      </c>
      <c r="H884" s="24">
        <f t="shared" ref="H884:H947" si="135">IF(E884&lt;600,425+0.773*E884-1.69/1000*E884^2+2.22/1000^2*E884^3,IF(E884&lt;735,666+13002/(738-E884),IF(E884&lt;900,545+17820/(E884-731),650)))</f>
        <v>650</v>
      </c>
      <c r="I884" s="12">
        <f t="shared" si="129"/>
        <v>0.17952863103153277</v>
      </c>
      <c r="J884" s="3">
        <f t="shared" si="130"/>
        <v>0.7</v>
      </c>
    </row>
    <row r="885" spans="2:10" x14ac:dyDescent="0.25">
      <c r="B885" s="3">
        <f t="shared" si="131"/>
        <v>4340</v>
      </c>
      <c r="C885" s="14">
        <f t="shared" si="132"/>
        <v>72.333333333333329</v>
      </c>
      <c r="D885" s="11">
        <f t="shared" si="133"/>
        <v>973.29652291265222</v>
      </c>
      <c r="E885" s="24">
        <f t="shared" si="134"/>
        <v>968.88533251086346</v>
      </c>
      <c r="F885" s="24">
        <f t="shared" si="127"/>
        <v>110.27976004471896</v>
      </c>
      <c r="G885" s="14">
        <f t="shared" si="128"/>
        <v>1348.5114188076545</v>
      </c>
      <c r="H885" s="24">
        <f t="shared" si="135"/>
        <v>650</v>
      </c>
      <c r="I885" s="12">
        <f t="shared" si="129"/>
        <v>0.17931004740663217</v>
      </c>
      <c r="J885" s="3">
        <f t="shared" si="130"/>
        <v>0.7</v>
      </c>
    </row>
    <row r="886" spans="2:10" x14ac:dyDescent="0.25">
      <c r="B886" s="3">
        <f t="shared" si="131"/>
        <v>4345</v>
      </c>
      <c r="C886" s="14">
        <f t="shared" si="132"/>
        <v>72.416666666666671</v>
      </c>
      <c r="D886" s="11">
        <f t="shared" si="133"/>
        <v>973.4687431571956</v>
      </c>
      <c r="E886" s="24">
        <f t="shared" si="134"/>
        <v>969.06464255827007</v>
      </c>
      <c r="F886" s="24">
        <f t="shared" si="127"/>
        <v>110.10251497313845</v>
      </c>
      <c r="G886" s="14">
        <f t="shared" si="128"/>
        <v>1346.9147494054448</v>
      </c>
      <c r="H886" s="24">
        <f t="shared" si="135"/>
        <v>650</v>
      </c>
      <c r="I886" s="12">
        <f t="shared" si="129"/>
        <v>0.17909200338977646</v>
      </c>
      <c r="J886" s="3">
        <f t="shared" si="130"/>
        <v>0.7</v>
      </c>
    </row>
    <row r="887" spans="2:10" x14ac:dyDescent="0.25">
      <c r="B887" s="3">
        <f t="shared" si="131"/>
        <v>4350</v>
      </c>
      <c r="C887" s="14">
        <f t="shared" si="132"/>
        <v>72.5</v>
      </c>
      <c r="D887" s="11">
        <f t="shared" si="133"/>
        <v>973.64076567466395</v>
      </c>
      <c r="E887" s="24">
        <f t="shared" si="134"/>
        <v>969.24373456165983</v>
      </c>
      <c r="F887" s="24">
        <f t="shared" si="127"/>
        <v>109.92577782510295</v>
      </c>
      <c r="G887" s="14">
        <f t="shared" si="128"/>
        <v>1345.3219456055137</v>
      </c>
      <c r="H887" s="24">
        <f t="shared" si="135"/>
        <v>650</v>
      </c>
      <c r="I887" s="12">
        <f t="shared" si="129"/>
        <v>0.17887449695303104</v>
      </c>
      <c r="J887" s="3">
        <f t="shared" si="130"/>
        <v>0.7</v>
      </c>
    </row>
    <row r="888" spans="2:10" x14ac:dyDescent="0.25">
      <c r="B888" s="3">
        <f t="shared" si="131"/>
        <v>4355</v>
      </c>
      <c r="C888" s="14">
        <f t="shared" si="132"/>
        <v>72.583333333333329</v>
      </c>
      <c r="D888" s="11">
        <f t="shared" si="133"/>
        <v>973.81259091855986</v>
      </c>
      <c r="E888" s="24">
        <f t="shared" si="134"/>
        <v>969.42260905861292</v>
      </c>
      <c r="F888" s="24">
        <f t="shared" si="127"/>
        <v>109.74954649867357</v>
      </c>
      <c r="G888" s="14">
        <f t="shared" si="128"/>
        <v>1343.7329930966318</v>
      </c>
      <c r="H888" s="24">
        <f t="shared" si="135"/>
        <v>650</v>
      </c>
      <c r="I888" s="12">
        <f t="shared" si="129"/>
        <v>0.17865752607894053</v>
      </c>
      <c r="J888" s="3">
        <f t="shared" si="130"/>
        <v>0.7</v>
      </c>
    </row>
    <row r="889" spans="2:10" x14ac:dyDescent="0.25">
      <c r="B889" s="3">
        <f t="shared" si="131"/>
        <v>4360</v>
      </c>
      <c r="C889" s="14">
        <f t="shared" si="132"/>
        <v>72.666666666666671</v>
      </c>
      <c r="D889" s="11">
        <f t="shared" si="133"/>
        <v>973.98421934082751</v>
      </c>
      <c r="E889" s="24">
        <f t="shared" si="134"/>
        <v>969.60126658469187</v>
      </c>
      <c r="F889" s="24">
        <f t="shared" si="127"/>
        <v>109.57381890339093</v>
      </c>
      <c r="G889" s="14">
        <f t="shared" si="128"/>
        <v>1342.1478776399533</v>
      </c>
      <c r="H889" s="24">
        <f t="shared" si="135"/>
        <v>650</v>
      </c>
      <c r="I889" s="12">
        <f t="shared" si="129"/>
        <v>0.17844108876035794</v>
      </c>
      <c r="J889" s="3">
        <f t="shared" si="130"/>
        <v>0.7</v>
      </c>
    </row>
    <row r="890" spans="2:10" x14ac:dyDescent="0.25">
      <c r="B890" s="3">
        <f t="shared" si="131"/>
        <v>4365</v>
      </c>
      <c r="C890" s="14">
        <f t="shared" si="132"/>
        <v>72.75</v>
      </c>
      <c r="D890" s="11">
        <f t="shared" si="133"/>
        <v>974.15565139185969</v>
      </c>
      <c r="E890" s="24">
        <f t="shared" si="134"/>
        <v>969.77970767345221</v>
      </c>
      <c r="F890" s="24">
        <f t="shared" si="127"/>
        <v>109.3985929601871</v>
      </c>
      <c r="G890" s="14">
        <f t="shared" si="128"/>
        <v>1340.5665850685516</v>
      </c>
      <c r="H890" s="24">
        <f t="shared" si="135"/>
        <v>650</v>
      </c>
      <c r="I890" s="12">
        <f t="shared" si="129"/>
        <v>0.17822518300037635</v>
      </c>
      <c r="J890" s="3">
        <f t="shared" si="130"/>
        <v>0.7</v>
      </c>
    </row>
    <row r="891" spans="2:10" x14ac:dyDescent="0.25">
      <c r="B891" s="3">
        <f t="shared" si="131"/>
        <v>4370</v>
      </c>
      <c r="C891" s="14">
        <f t="shared" si="132"/>
        <v>72.833333333333329</v>
      </c>
      <c r="D891" s="11">
        <f t="shared" si="133"/>
        <v>974.32688752050535</v>
      </c>
      <c r="E891" s="24">
        <f t="shared" si="134"/>
        <v>969.95793285645254</v>
      </c>
      <c r="F891" s="24">
        <f t="shared" si="127"/>
        <v>109.2238666013202</v>
      </c>
      <c r="G891" s="14">
        <f t="shared" si="128"/>
        <v>1338.9891012876121</v>
      </c>
      <c r="H891" s="24">
        <f t="shared" si="135"/>
        <v>650</v>
      </c>
      <c r="I891" s="12">
        <f t="shared" si="129"/>
        <v>0.17800980681234493</v>
      </c>
      <c r="J891" s="3">
        <f t="shared" si="130"/>
        <v>0.7</v>
      </c>
    </row>
    <row r="892" spans="2:10" x14ac:dyDescent="0.25">
      <c r="B892" s="3">
        <f t="shared" si="131"/>
        <v>4375</v>
      </c>
      <c r="C892" s="14">
        <f t="shared" si="132"/>
        <v>72.916666666666671</v>
      </c>
      <c r="D892" s="11">
        <f t="shared" si="133"/>
        <v>974.49792817407558</v>
      </c>
      <c r="E892" s="24">
        <f t="shared" si="134"/>
        <v>970.13594266326493</v>
      </c>
      <c r="F892" s="24">
        <f t="shared" si="127"/>
        <v>109.04963777026637</v>
      </c>
      <c r="G892" s="14">
        <f t="shared" si="128"/>
        <v>1337.4154122730572</v>
      </c>
      <c r="H892" s="24">
        <f t="shared" si="135"/>
        <v>650</v>
      </c>
      <c r="I892" s="12">
        <f t="shared" si="129"/>
        <v>0.17779495821968649</v>
      </c>
      <c r="J892" s="3">
        <f t="shared" si="130"/>
        <v>0.7</v>
      </c>
    </row>
    <row r="893" spans="2:10" x14ac:dyDescent="0.25">
      <c r="B893" s="3">
        <f t="shared" si="131"/>
        <v>4380</v>
      </c>
      <c r="C893" s="14">
        <f t="shared" si="132"/>
        <v>73</v>
      </c>
      <c r="D893" s="11">
        <f t="shared" si="133"/>
        <v>974.66877379835228</v>
      </c>
      <c r="E893" s="24">
        <f t="shared" si="134"/>
        <v>970.31373762148462</v>
      </c>
      <c r="F893" s="24">
        <f t="shared" si="127"/>
        <v>108.87590442169142</v>
      </c>
      <c r="G893" s="14">
        <f t="shared" si="128"/>
        <v>1335.8455040718168</v>
      </c>
      <c r="H893" s="24">
        <f t="shared" si="135"/>
        <v>650</v>
      </c>
      <c r="I893" s="12">
        <f t="shared" si="129"/>
        <v>0.17758063525592718</v>
      </c>
      <c r="J893" s="3">
        <f t="shared" si="130"/>
        <v>0.7</v>
      </c>
    </row>
    <row r="894" spans="2:10" x14ac:dyDescent="0.25">
      <c r="B894" s="3">
        <f t="shared" si="131"/>
        <v>4385</v>
      </c>
      <c r="C894" s="14">
        <f t="shared" si="132"/>
        <v>73.083333333333329</v>
      </c>
      <c r="D894" s="11">
        <f t="shared" si="133"/>
        <v>974.83942483759313</v>
      </c>
      <c r="E894" s="24">
        <f t="shared" si="134"/>
        <v>970.49131825674056</v>
      </c>
      <c r="F894" s="24">
        <f t="shared" si="127"/>
        <v>108.70266452131432</v>
      </c>
      <c r="G894" s="14">
        <f t="shared" si="128"/>
        <v>1334.2793628006857</v>
      </c>
      <c r="H894" s="24">
        <f t="shared" si="135"/>
        <v>650</v>
      </c>
      <c r="I894" s="12">
        <f t="shared" si="129"/>
        <v>0.17736683596453945</v>
      </c>
      <c r="J894" s="3">
        <f t="shared" si="130"/>
        <v>0.7</v>
      </c>
    </row>
    <row r="895" spans="2:10" x14ac:dyDescent="0.25">
      <c r="B895" s="3">
        <f t="shared" si="131"/>
        <v>4390</v>
      </c>
      <c r="C895" s="14">
        <f t="shared" si="132"/>
        <v>73.166666666666671</v>
      </c>
      <c r="D895" s="11">
        <f t="shared" si="133"/>
        <v>975.0098817345405</v>
      </c>
      <c r="E895" s="24">
        <f t="shared" si="134"/>
        <v>970.66868509270512</v>
      </c>
      <c r="F895" s="24">
        <f t="shared" si="127"/>
        <v>108.52991604588453</v>
      </c>
      <c r="G895" s="14">
        <f t="shared" si="128"/>
        <v>1332.7169746468849</v>
      </c>
      <c r="H895" s="24">
        <f t="shared" si="135"/>
        <v>650</v>
      </c>
      <c r="I895" s="12">
        <f t="shared" si="129"/>
        <v>0.17715355839900801</v>
      </c>
      <c r="J895" s="3">
        <f t="shared" si="130"/>
        <v>0.7</v>
      </c>
    </row>
    <row r="896" spans="2:10" x14ac:dyDescent="0.25">
      <c r="B896" s="3">
        <f t="shared" si="131"/>
        <v>4395</v>
      </c>
      <c r="C896" s="14">
        <f t="shared" si="132"/>
        <v>73.25</v>
      </c>
      <c r="D896" s="11">
        <f t="shared" si="133"/>
        <v>975.18014493042699</v>
      </c>
      <c r="E896" s="24">
        <f t="shared" si="134"/>
        <v>970.84583865110415</v>
      </c>
      <c r="F896" s="24">
        <f t="shared" si="127"/>
        <v>108.35765698307114</v>
      </c>
      <c r="G896" s="14">
        <f t="shared" si="128"/>
        <v>1331.158325866124</v>
      </c>
      <c r="H896" s="24">
        <f t="shared" si="135"/>
        <v>650</v>
      </c>
      <c r="I896" s="12">
        <f t="shared" si="129"/>
        <v>0.17694080062257839</v>
      </c>
      <c r="J896" s="3">
        <f t="shared" si="130"/>
        <v>0.7</v>
      </c>
    </row>
    <row r="897" spans="2:10" x14ac:dyDescent="0.25">
      <c r="B897" s="3">
        <f t="shared" si="131"/>
        <v>4400</v>
      </c>
      <c r="C897" s="14">
        <f t="shared" si="132"/>
        <v>73.333333333333329</v>
      </c>
      <c r="D897" s="11">
        <f t="shared" si="133"/>
        <v>975.35021486498249</v>
      </c>
      <c r="E897" s="24">
        <f t="shared" si="134"/>
        <v>971.02277945172671</v>
      </c>
      <c r="F897" s="24">
        <f t="shared" si="127"/>
        <v>108.18588533139462</v>
      </c>
      <c r="G897" s="14">
        <f t="shared" si="128"/>
        <v>1329.6034027832793</v>
      </c>
      <c r="H897" s="24">
        <f t="shared" si="135"/>
        <v>650</v>
      </c>
      <c r="I897" s="12">
        <f t="shared" si="129"/>
        <v>0.17672856070833148</v>
      </c>
      <c r="J897" s="3">
        <f t="shared" si="130"/>
        <v>0.7</v>
      </c>
    </row>
    <row r="898" spans="2:10" x14ac:dyDescent="0.25">
      <c r="B898" s="3">
        <f t="shared" si="131"/>
        <v>4405</v>
      </c>
      <c r="C898" s="14">
        <f t="shared" si="132"/>
        <v>73.416666666666671</v>
      </c>
      <c r="D898" s="11">
        <f t="shared" si="133"/>
        <v>975.52009197644179</v>
      </c>
      <c r="E898" s="24">
        <f t="shared" si="134"/>
        <v>971.19950801243499</v>
      </c>
      <c r="F898" s="24">
        <f t="shared" si="127"/>
        <v>108.01459910017002</v>
      </c>
      <c r="G898" s="14">
        <f t="shared" si="128"/>
        <v>1328.0521917918127</v>
      </c>
      <c r="H898" s="24">
        <f t="shared" si="135"/>
        <v>650</v>
      </c>
      <c r="I898" s="12">
        <f t="shared" si="129"/>
        <v>0.17651683673910543</v>
      </c>
      <c r="J898" s="3">
        <f t="shared" si="130"/>
        <v>0.7</v>
      </c>
    </row>
    <row r="899" spans="2:10" x14ac:dyDescent="0.25">
      <c r="B899" s="3">
        <f t="shared" si="131"/>
        <v>4410</v>
      </c>
      <c r="C899" s="14">
        <f t="shared" si="132"/>
        <v>73.5</v>
      </c>
      <c r="D899" s="11">
        <f t="shared" si="133"/>
        <v>975.68977670155004</v>
      </c>
      <c r="E899" s="24">
        <f t="shared" si="134"/>
        <v>971.37602484917409</v>
      </c>
      <c r="F899" s="24">
        <f t="shared" si="127"/>
        <v>107.84379630939895</v>
      </c>
      <c r="G899" s="14">
        <f t="shared" si="128"/>
        <v>1326.5046793525503</v>
      </c>
      <c r="H899" s="24">
        <f t="shared" si="135"/>
        <v>650</v>
      </c>
      <c r="I899" s="12">
        <f t="shared" si="129"/>
        <v>0.17630562680733217</v>
      </c>
      <c r="J899" s="3">
        <f t="shared" si="130"/>
        <v>0.7</v>
      </c>
    </row>
    <row r="900" spans="2:10" x14ac:dyDescent="0.25">
      <c r="B900" s="3">
        <f t="shared" si="131"/>
        <v>4415</v>
      </c>
      <c r="C900" s="14">
        <f t="shared" si="132"/>
        <v>73.583333333333329</v>
      </c>
      <c r="D900" s="11">
        <f t="shared" si="133"/>
        <v>975.85926947557095</v>
      </c>
      <c r="E900" s="24">
        <f t="shared" si="134"/>
        <v>971.55233047598142</v>
      </c>
      <c r="F900" s="24">
        <f t="shared" si="127"/>
        <v>107.67347498973834</v>
      </c>
      <c r="G900" s="14">
        <f t="shared" si="128"/>
        <v>1324.9608519942451</v>
      </c>
      <c r="H900" s="24">
        <f t="shared" si="135"/>
        <v>650</v>
      </c>
      <c r="I900" s="12">
        <f t="shared" si="129"/>
        <v>0.17609492901510268</v>
      </c>
      <c r="J900" s="3">
        <f t="shared" si="130"/>
        <v>0.7</v>
      </c>
    </row>
    <row r="901" spans="2:10" x14ac:dyDescent="0.25">
      <c r="B901" s="3">
        <f t="shared" si="131"/>
        <v>4420</v>
      </c>
      <c r="C901" s="14">
        <f t="shared" si="132"/>
        <v>73.666666666666671</v>
      </c>
      <c r="D901" s="11">
        <f t="shared" si="133"/>
        <v>976.02857073229211</v>
      </c>
      <c r="E901" s="24">
        <f t="shared" si="134"/>
        <v>971.72842540499653</v>
      </c>
      <c r="F901" s="24">
        <f t="shared" si="127"/>
        <v>107.50363318238954</v>
      </c>
      <c r="G901" s="14">
        <f t="shared" si="128"/>
        <v>1323.4206963123167</v>
      </c>
      <c r="H901" s="24">
        <f t="shared" si="135"/>
        <v>650</v>
      </c>
      <c r="I901" s="12">
        <f t="shared" si="129"/>
        <v>0.17588474147399846</v>
      </c>
      <c r="J901" s="3">
        <f t="shared" si="130"/>
        <v>0.7</v>
      </c>
    </row>
    <row r="902" spans="2:10" x14ac:dyDescent="0.25">
      <c r="B902" s="3">
        <f t="shared" si="131"/>
        <v>4425</v>
      </c>
      <c r="C902" s="14">
        <f t="shared" si="132"/>
        <v>73.75</v>
      </c>
      <c r="D902" s="11">
        <f t="shared" si="133"/>
        <v>976.19768090403295</v>
      </c>
      <c r="E902" s="24">
        <f t="shared" si="134"/>
        <v>971.90431014647049</v>
      </c>
      <c r="F902" s="24">
        <f t="shared" si="127"/>
        <v>107.33426893906142</v>
      </c>
      <c r="G902" s="14">
        <f t="shared" si="128"/>
        <v>1321.8841989690643</v>
      </c>
      <c r="H902" s="24">
        <f t="shared" si="135"/>
        <v>650</v>
      </c>
      <c r="I902" s="12">
        <f t="shared" si="129"/>
        <v>0.17567506230511318</v>
      </c>
      <c r="J902" s="3">
        <f t="shared" si="130"/>
        <v>0.7</v>
      </c>
    </row>
    <row r="903" spans="2:10" x14ac:dyDescent="0.25">
      <c r="B903" s="3">
        <f t="shared" si="131"/>
        <v>4430</v>
      </c>
      <c r="C903" s="14">
        <f t="shared" si="132"/>
        <v>73.833333333333329</v>
      </c>
      <c r="D903" s="11">
        <f t="shared" si="133"/>
        <v>976.36660042165033</v>
      </c>
      <c r="E903" s="24">
        <f t="shared" si="134"/>
        <v>972.07998520877561</v>
      </c>
      <c r="F903" s="24">
        <f t="shared" si="127"/>
        <v>107.16538032186804</v>
      </c>
      <c r="G903" s="14">
        <f t="shared" si="128"/>
        <v>1320.3513466926017</v>
      </c>
      <c r="H903" s="24">
        <f t="shared" si="135"/>
        <v>650</v>
      </c>
      <c r="I903" s="12">
        <f t="shared" si="129"/>
        <v>0.17546588963890933</v>
      </c>
      <c r="J903" s="3">
        <f t="shared" si="130"/>
        <v>0.7</v>
      </c>
    </row>
    <row r="904" spans="2:10" x14ac:dyDescent="0.25">
      <c r="B904" s="3">
        <f t="shared" si="131"/>
        <v>4435</v>
      </c>
      <c r="C904" s="14">
        <f t="shared" si="132"/>
        <v>73.916666666666671</v>
      </c>
      <c r="D904" s="11">
        <f t="shared" si="133"/>
        <v>976.53532971454547</v>
      </c>
      <c r="E904" s="24">
        <f t="shared" si="134"/>
        <v>972.25545109841448</v>
      </c>
      <c r="F904" s="24">
        <f t="shared" si="127"/>
        <v>106.99696540327466</v>
      </c>
      <c r="G904" s="14">
        <f t="shared" si="128"/>
        <v>1318.8221262771281</v>
      </c>
      <c r="H904" s="24">
        <f t="shared" si="135"/>
        <v>650</v>
      </c>
      <c r="I904" s="12">
        <f t="shared" si="129"/>
        <v>0.17525722161524454</v>
      </c>
      <c r="J904" s="3">
        <f t="shared" si="130"/>
        <v>0.7</v>
      </c>
    </row>
    <row r="905" spans="2:10" x14ac:dyDescent="0.25">
      <c r="B905" s="3">
        <f t="shared" si="131"/>
        <v>4440</v>
      </c>
      <c r="C905" s="14">
        <f t="shared" si="132"/>
        <v>74</v>
      </c>
      <c r="D905" s="11">
        <f t="shared" si="133"/>
        <v>976.70386921067063</v>
      </c>
      <c r="E905" s="24">
        <f t="shared" si="134"/>
        <v>972.43070832002968</v>
      </c>
      <c r="F905" s="24">
        <f t="shared" si="127"/>
        <v>106.8290222660238</v>
      </c>
      <c r="G905" s="14">
        <f t="shared" si="128"/>
        <v>1317.2965245817647</v>
      </c>
      <c r="H905" s="24">
        <f t="shared" si="135"/>
        <v>650</v>
      </c>
      <c r="I905" s="12">
        <f t="shared" si="129"/>
        <v>0.17504905638321988</v>
      </c>
      <c r="J905" s="3">
        <f t="shared" si="130"/>
        <v>0.7</v>
      </c>
    </row>
    <row r="906" spans="2:10" x14ac:dyDescent="0.25">
      <c r="B906" s="3">
        <f t="shared" si="131"/>
        <v>4445</v>
      </c>
      <c r="C906" s="14">
        <f t="shared" si="132"/>
        <v>74.083333333333329</v>
      </c>
      <c r="D906" s="11">
        <f t="shared" si="133"/>
        <v>976.87221933653541</v>
      </c>
      <c r="E906" s="24">
        <f t="shared" si="134"/>
        <v>972.60575737641295</v>
      </c>
      <c r="F906" s="24">
        <f t="shared" si="127"/>
        <v>106.6615490030614</v>
      </c>
      <c r="G906" s="14">
        <f t="shared" si="128"/>
        <v>1315.7745285304593</v>
      </c>
      <c r="H906" s="24">
        <f t="shared" si="135"/>
        <v>650</v>
      </c>
      <c r="I906" s="12">
        <f t="shared" si="129"/>
        <v>0.17484139210115882</v>
      </c>
      <c r="J906" s="3">
        <f t="shared" si="130"/>
        <v>0.7</v>
      </c>
    </row>
    <row r="907" spans="2:10" x14ac:dyDescent="0.25">
      <c r="B907" s="3">
        <f t="shared" si="131"/>
        <v>4450</v>
      </c>
      <c r="C907" s="14">
        <f t="shared" si="132"/>
        <v>74.166666666666671</v>
      </c>
      <c r="D907" s="11">
        <f t="shared" si="133"/>
        <v>977.04038051721375</v>
      </c>
      <c r="E907" s="24">
        <f t="shared" si="134"/>
        <v>972.7805987685141</v>
      </c>
      <c r="F907" s="24">
        <f t="shared" si="127"/>
        <v>106.4945437174913</v>
      </c>
      <c r="G907" s="14">
        <f t="shared" si="128"/>
        <v>1314.2561251117131</v>
      </c>
      <c r="H907" s="24">
        <f t="shared" si="135"/>
        <v>650</v>
      </c>
      <c r="I907" s="12">
        <f t="shared" si="129"/>
        <v>0.17463422693656805</v>
      </c>
      <c r="J907" s="3">
        <f t="shared" si="130"/>
        <v>0.7</v>
      </c>
    </row>
    <row r="908" spans="2:10" x14ac:dyDescent="0.25">
      <c r="B908" s="3">
        <f t="shared" si="131"/>
        <v>4455</v>
      </c>
      <c r="C908" s="14">
        <f t="shared" si="132"/>
        <v>74.25</v>
      </c>
      <c r="D908" s="11">
        <f t="shared" si="133"/>
        <v>977.20835317634953</v>
      </c>
      <c r="E908" s="24">
        <f t="shared" si="134"/>
        <v>972.95523299545061</v>
      </c>
      <c r="F908" s="24">
        <f t="shared" si="127"/>
        <v>106.32800452247295</v>
      </c>
      <c r="G908" s="14">
        <f t="shared" si="128"/>
        <v>1312.7413013783309</v>
      </c>
      <c r="H908" s="24">
        <f t="shared" si="135"/>
        <v>650</v>
      </c>
      <c r="I908" s="12">
        <f t="shared" si="129"/>
        <v>0.17442755906609436</v>
      </c>
      <c r="J908" s="3">
        <f t="shared" si="130"/>
        <v>0.7</v>
      </c>
    </row>
    <row r="909" spans="2:10" x14ac:dyDescent="0.25">
      <c r="B909" s="3">
        <f t="shared" si="131"/>
        <v>4460</v>
      </c>
      <c r="C909" s="14">
        <f t="shared" si="132"/>
        <v>74.333333333333329</v>
      </c>
      <c r="D909" s="11">
        <f t="shared" si="133"/>
        <v>977.37613773616363</v>
      </c>
      <c r="E909" s="24">
        <f t="shared" si="134"/>
        <v>973.1296605545167</v>
      </c>
      <c r="F909" s="24">
        <f t="shared" si="127"/>
        <v>106.16192954117309</v>
      </c>
      <c r="G909" s="14">
        <f t="shared" si="128"/>
        <v>1311.2300444460234</v>
      </c>
      <c r="H909" s="24">
        <f t="shared" si="135"/>
        <v>650</v>
      </c>
      <c r="I909" s="12">
        <f t="shared" si="129"/>
        <v>0.17422138667534667</v>
      </c>
      <c r="J909" s="3">
        <f t="shared" si="130"/>
        <v>0.7</v>
      </c>
    </row>
    <row r="910" spans="2:10" x14ac:dyDescent="0.25">
      <c r="B910" s="3">
        <f t="shared" si="131"/>
        <v>4465</v>
      </c>
      <c r="C910" s="14">
        <f t="shared" si="132"/>
        <v>74.416666666666671</v>
      </c>
      <c r="D910" s="11">
        <f t="shared" si="133"/>
        <v>977.54373461746013</v>
      </c>
      <c r="E910" s="24">
        <f t="shared" si="134"/>
        <v>973.303881941192</v>
      </c>
      <c r="F910" s="24">
        <f t="shared" si="127"/>
        <v>105.99631690670321</v>
      </c>
      <c r="G910" s="14">
        <f t="shared" si="128"/>
        <v>1309.7223414943201</v>
      </c>
      <c r="H910" s="24">
        <f t="shared" si="135"/>
        <v>650</v>
      </c>
      <c r="I910" s="12">
        <f t="shared" si="129"/>
        <v>0.17401570795900084</v>
      </c>
      <c r="J910" s="3">
        <f t="shared" si="130"/>
        <v>0.7</v>
      </c>
    </row>
    <row r="911" spans="2:10" x14ac:dyDescent="0.25">
      <c r="B911" s="3">
        <f t="shared" si="131"/>
        <v>4470</v>
      </c>
      <c r="C911" s="14">
        <f t="shared" si="132"/>
        <v>74.5</v>
      </c>
      <c r="D911" s="11">
        <f t="shared" si="133"/>
        <v>977.71114423963229</v>
      </c>
      <c r="E911" s="24">
        <f t="shared" si="134"/>
        <v>973.47789764915103</v>
      </c>
      <c r="F911" s="24">
        <f t="shared" si="127"/>
        <v>105.83116476203145</v>
      </c>
      <c r="G911" s="14">
        <f t="shared" si="128"/>
        <v>1308.2181797650758</v>
      </c>
      <c r="H911" s="24">
        <f t="shared" si="135"/>
        <v>650</v>
      </c>
      <c r="I911" s="12">
        <f t="shared" si="129"/>
        <v>0.17381052112060502</v>
      </c>
      <c r="J911" s="3">
        <f t="shared" si="130"/>
        <v>0.7</v>
      </c>
    </row>
    <row r="912" spans="2:10" x14ac:dyDescent="0.25">
      <c r="B912" s="3">
        <f t="shared" si="131"/>
        <v>4475</v>
      </c>
      <c r="C912" s="14">
        <f t="shared" si="132"/>
        <v>74.583333333333329</v>
      </c>
      <c r="D912" s="11">
        <f t="shared" si="133"/>
        <v>977.87836702066943</v>
      </c>
      <c r="E912" s="24">
        <f t="shared" si="134"/>
        <v>973.6517081702716</v>
      </c>
      <c r="F912" s="24">
        <f t="shared" si="127"/>
        <v>105.66647125994564</v>
      </c>
      <c r="G912" s="14">
        <f t="shared" si="128"/>
        <v>1306.7175465629171</v>
      </c>
      <c r="H912" s="24">
        <f t="shared" si="135"/>
        <v>650</v>
      </c>
      <c r="I912" s="12">
        <f t="shared" si="129"/>
        <v>0.17360582437263009</v>
      </c>
      <c r="J912" s="3">
        <f t="shared" si="130"/>
        <v>0.7</v>
      </c>
    </row>
    <row r="913" spans="2:10" x14ac:dyDescent="0.25">
      <c r="B913" s="3">
        <f t="shared" si="131"/>
        <v>4480</v>
      </c>
      <c r="C913" s="14">
        <f t="shared" si="132"/>
        <v>74.666666666666671</v>
      </c>
      <c r="D913" s="11">
        <f t="shared" si="133"/>
        <v>978.0454033771631</v>
      </c>
      <c r="E913" s="24">
        <f t="shared" si="134"/>
        <v>973.82531399464426</v>
      </c>
      <c r="F913" s="24">
        <f t="shared" ref="F913:F976" si="136">AlphaC*(D913-E913)</f>
        <v>105.5022345629709</v>
      </c>
      <c r="G913" s="14">
        <f t="shared" ref="G913:G976" si="137">Phi*EpsilonF*Botzman/10^8*J913*((D913+273)^4-(E913+273)^4)</f>
        <v>1305.220429254098</v>
      </c>
      <c r="H913" s="24">
        <f t="shared" si="135"/>
        <v>650</v>
      </c>
      <c r="I913" s="12">
        <f t="shared" ref="I913:I976" si="138">ksh*Massivete/(H913*RhoA)*DeltaT*(F913+G913)</f>
        <v>0.17340161593631884</v>
      </c>
      <c r="J913" s="3">
        <f t="shared" ref="J913:J976" si="139">IF(E913&lt;=500,IF(Galva=Oui,0.35,0.7),0.7)</f>
        <v>0.7</v>
      </c>
    </row>
    <row r="914" spans="2:10" x14ac:dyDescent="0.25">
      <c r="B914" s="3">
        <f t="shared" ref="B914:B977" si="140">B913+DeltaT</f>
        <v>4485</v>
      </c>
      <c r="C914" s="14">
        <f t="shared" ref="C914:C977" si="141">B914/60</f>
        <v>74.75</v>
      </c>
      <c r="D914" s="11">
        <f t="shared" ref="D914:D977" si="142">20+345*LOG(8*C914+1,10)</f>
        <v>978.21225372431229</v>
      </c>
      <c r="E914" s="24">
        <f t="shared" si="134"/>
        <v>973.99871561058058</v>
      </c>
      <c r="F914" s="24">
        <f t="shared" si="136"/>
        <v>105.33845284329288</v>
      </c>
      <c r="G914" s="14">
        <f t="shared" si="137"/>
        <v>1303.7268152665013</v>
      </c>
      <c r="H914" s="24">
        <f t="shared" si="135"/>
        <v>650</v>
      </c>
      <c r="I914" s="12">
        <f t="shared" si="138"/>
        <v>0.17319789404167671</v>
      </c>
      <c r="J914" s="3">
        <f t="shared" si="139"/>
        <v>0.7</v>
      </c>
    </row>
    <row r="915" spans="2:10" x14ac:dyDescent="0.25">
      <c r="B915" s="3">
        <f t="shared" si="140"/>
        <v>4490</v>
      </c>
      <c r="C915" s="14">
        <f t="shared" si="141"/>
        <v>74.833333333333329</v>
      </c>
      <c r="D915" s="11">
        <f t="shared" si="142"/>
        <v>978.37891847593164</v>
      </c>
      <c r="E915" s="24">
        <f t="shared" si="134"/>
        <v>974.17191350462224</v>
      </c>
      <c r="F915" s="24">
        <f t="shared" si="136"/>
        <v>105.17512428273506</v>
      </c>
      <c r="G915" s="14">
        <f t="shared" si="137"/>
        <v>1302.2366920895211</v>
      </c>
      <c r="H915" s="24">
        <f t="shared" si="135"/>
        <v>650</v>
      </c>
      <c r="I915" s="12">
        <f t="shared" si="138"/>
        <v>0.17299465692745469</v>
      </c>
      <c r="J915" s="3">
        <f t="shared" si="139"/>
        <v>0.7</v>
      </c>
    </row>
    <row r="916" spans="2:10" x14ac:dyDescent="0.25">
      <c r="B916" s="3">
        <f t="shared" si="140"/>
        <v>4495</v>
      </c>
      <c r="C916" s="14">
        <f t="shared" si="141"/>
        <v>74.916666666666671</v>
      </c>
      <c r="D916" s="11">
        <f t="shared" si="142"/>
        <v>978.5453980444554</v>
      </c>
      <c r="E916" s="24">
        <f t="shared" si="134"/>
        <v>974.34490816154971</v>
      </c>
      <c r="F916" s="24">
        <f t="shared" si="136"/>
        <v>105.01224707264214</v>
      </c>
      <c r="G916" s="14">
        <f t="shared" si="137"/>
        <v>1300.7500472729585</v>
      </c>
      <c r="H916" s="24">
        <f t="shared" si="135"/>
        <v>650</v>
      </c>
      <c r="I916" s="12">
        <f t="shared" si="138"/>
        <v>0.17279190284099896</v>
      </c>
      <c r="J916" s="3">
        <f t="shared" si="139"/>
        <v>0.7</v>
      </c>
    </row>
    <row r="917" spans="2:10" x14ac:dyDescent="0.25">
      <c r="B917" s="3">
        <f t="shared" si="140"/>
        <v>4500</v>
      </c>
      <c r="C917" s="14">
        <f t="shared" si="141"/>
        <v>75</v>
      </c>
      <c r="D917" s="11">
        <f t="shared" si="142"/>
        <v>978.71169284094503</v>
      </c>
      <c r="E917" s="24">
        <f t="shared" si="134"/>
        <v>974.51770006439074</v>
      </c>
      <c r="F917" s="24">
        <f t="shared" si="136"/>
        <v>104.8498194138574</v>
      </c>
      <c r="G917" s="14">
        <f t="shared" si="137"/>
        <v>1299.2668684271575</v>
      </c>
      <c r="H917" s="24">
        <f t="shared" si="135"/>
        <v>650</v>
      </c>
      <c r="I917" s="12">
        <f t="shared" si="138"/>
        <v>0.17258963003826511</v>
      </c>
      <c r="J917" s="3">
        <f t="shared" si="139"/>
        <v>0.7</v>
      </c>
    </row>
    <row r="918" spans="2:10" x14ac:dyDescent="0.25">
      <c r="B918" s="3">
        <f t="shared" si="140"/>
        <v>4505</v>
      </c>
      <c r="C918" s="14">
        <f t="shared" si="141"/>
        <v>75.083333333333329</v>
      </c>
      <c r="D918" s="11">
        <f t="shared" si="142"/>
        <v>978.87780327509495</v>
      </c>
      <c r="E918" s="24">
        <f t="shared" si="134"/>
        <v>974.690289694429</v>
      </c>
      <c r="F918" s="24">
        <f t="shared" si="136"/>
        <v>104.68783951664875</v>
      </c>
      <c r="G918" s="14">
        <f t="shared" si="137"/>
        <v>1297.7871432226564</v>
      </c>
      <c r="H918" s="24">
        <f t="shared" si="135"/>
        <v>650</v>
      </c>
      <c r="I918" s="12">
        <f t="shared" si="138"/>
        <v>0.17238783678376596</v>
      </c>
      <c r="J918" s="3">
        <f t="shared" si="139"/>
        <v>0.7</v>
      </c>
    </row>
    <row r="919" spans="2:10" x14ac:dyDescent="0.25">
      <c r="B919" s="3">
        <f t="shared" si="140"/>
        <v>4510</v>
      </c>
      <c r="C919" s="14">
        <f t="shared" si="141"/>
        <v>75.166666666666671</v>
      </c>
      <c r="D919" s="11">
        <f t="shared" si="142"/>
        <v>979.04372975523791</v>
      </c>
      <c r="E919" s="24">
        <f t="shared" si="134"/>
        <v>974.86267753121274</v>
      </c>
      <c r="F919" s="24">
        <f t="shared" si="136"/>
        <v>104.52630560062914</v>
      </c>
      <c r="G919" s="14">
        <f t="shared" si="137"/>
        <v>1296.3108593893337</v>
      </c>
      <c r="H919" s="24">
        <f t="shared" si="135"/>
        <v>650</v>
      </c>
      <c r="I919" s="12">
        <f t="shared" si="138"/>
        <v>0.17218652135045692</v>
      </c>
      <c r="J919" s="3">
        <f t="shared" si="139"/>
        <v>0.7</v>
      </c>
    </row>
    <row r="920" spans="2:10" x14ac:dyDescent="0.25">
      <c r="B920" s="3">
        <f t="shared" si="140"/>
        <v>4515</v>
      </c>
      <c r="C920" s="14">
        <f t="shared" si="141"/>
        <v>75.25</v>
      </c>
      <c r="D920" s="11">
        <f t="shared" si="142"/>
        <v>979.20947268835221</v>
      </c>
      <c r="E920" s="24">
        <f t="shared" si="134"/>
        <v>975.03486405256319</v>
      </c>
      <c r="F920" s="24">
        <f t="shared" si="136"/>
        <v>104.36521589472534</v>
      </c>
      <c r="G920" s="14">
        <f t="shared" si="137"/>
        <v>1294.8380047165849</v>
      </c>
      <c r="H920" s="24">
        <f t="shared" si="135"/>
        <v>650</v>
      </c>
      <c r="I920" s="12">
        <f t="shared" si="138"/>
        <v>0.17198568201975406</v>
      </c>
      <c r="J920" s="3">
        <f t="shared" si="139"/>
        <v>0.7</v>
      </c>
    </row>
    <row r="921" spans="2:10" x14ac:dyDescent="0.25">
      <c r="B921" s="3">
        <f t="shared" si="140"/>
        <v>4520</v>
      </c>
      <c r="C921" s="14">
        <f t="shared" si="141"/>
        <v>75.333333333333329</v>
      </c>
      <c r="D921" s="11">
        <f t="shared" si="142"/>
        <v>979.37503248006658</v>
      </c>
      <c r="E921" s="24">
        <f t="shared" si="134"/>
        <v>975.20684973458299</v>
      </c>
      <c r="F921" s="24">
        <f t="shared" si="136"/>
        <v>104.20456863708978</v>
      </c>
      <c r="G921" s="14">
        <f t="shared" si="137"/>
        <v>1293.3685670526222</v>
      </c>
      <c r="H921" s="24">
        <f t="shared" si="135"/>
        <v>650</v>
      </c>
      <c r="I921" s="12">
        <f t="shared" si="138"/>
        <v>0.17178531708143671</v>
      </c>
      <c r="J921" s="3">
        <f t="shared" si="139"/>
        <v>0.7</v>
      </c>
    </row>
    <row r="922" spans="2:10" x14ac:dyDescent="0.25">
      <c r="B922" s="3">
        <f t="shared" si="140"/>
        <v>4525</v>
      </c>
      <c r="C922" s="14">
        <f t="shared" si="141"/>
        <v>75.416666666666671</v>
      </c>
      <c r="D922" s="11">
        <f t="shared" si="142"/>
        <v>979.54040953466699</v>
      </c>
      <c r="E922" s="24">
        <f t="shared" si="134"/>
        <v>975.37863505166445</v>
      </c>
      <c r="F922" s="24">
        <f t="shared" si="136"/>
        <v>104.04436207506365</v>
      </c>
      <c r="G922" s="14">
        <f t="shared" si="137"/>
        <v>1291.9025343043406</v>
      </c>
      <c r="H922" s="24">
        <f t="shared" si="135"/>
        <v>650</v>
      </c>
      <c r="I922" s="12">
        <f t="shared" si="138"/>
        <v>0.17158542483362699</v>
      </c>
      <c r="J922" s="3">
        <f t="shared" si="139"/>
        <v>0.7</v>
      </c>
    </row>
    <row r="923" spans="2:10" x14ac:dyDescent="0.25">
      <c r="B923" s="3">
        <f t="shared" si="140"/>
        <v>4530</v>
      </c>
      <c r="C923" s="14">
        <f t="shared" si="141"/>
        <v>75.5</v>
      </c>
      <c r="D923" s="11">
        <f t="shared" si="142"/>
        <v>979.70560425510166</v>
      </c>
      <c r="E923" s="24">
        <f t="shared" si="134"/>
        <v>975.55022047649811</v>
      </c>
      <c r="F923" s="24">
        <f t="shared" si="136"/>
        <v>103.88459446508875</v>
      </c>
      <c r="G923" s="14">
        <f t="shared" si="137"/>
        <v>1290.4398944363875</v>
      </c>
      <c r="H923" s="24">
        <f t="shared" si="135"/>
        <v>650</v>
      </c>
      <c r="I923" s="12">
        <f t="shared" si="138"/>
        <v>0.17138600358266426</v>
      </c>
      <c r="J923" s="3">
        <f t="shared" si="139"/>
        <v>0.7</v>
      </c>
    </row>
    <row r="924" spans="2:10" x14ac:dyDescent="0.25">
      <c r="B924" s="3">
        <f t="shared" si="140"/>
        <v>4535</v>
      </c>
      <c r="C924" s="14">
        <f t="shared" si="141"/>
        <v>75.583333333333329</v>
      </c>
      <c r="D924" s="11">
        <f t="shared" si="142"/>
        <v>979.8706170429881</v>
      </c>
      <c r="E924" s="24">
        <f t="shared" si="134"/>
        <v>975.72160648008082</v>
      </c>
      <c r="F924" s="24">
        <f t="shared" si="136"/>
        <v>103.72526407268197</v>
      </c>
      <c r="G924" s="14">
        <f t="shared" si="137"/>
        <v>1288.9806354716848</v>
      </c>
      <c r="H924" s="24">
        <f t="shared" si="135"/>
        <v>650</v>
      </c>
      <c r="I924" s="12">
        <f t="shared" si="138"/>
        <v>0.1711870516431663</v>
      </c>
      <c r="J924" s="3">
        <f t="shared" si="139"/>
        <v>0.7</v>
      </c>
    </row>
    <row r="925" spans="2:10" x14ac:dyDescent="0.25">
      <c r="B925" s="3">
        <f t="shared" si="140"/>
        <v>4540</v>
      </c>
      <c r="C925" s="14">
        <f t="shared" si="141"/>
        <v>75.666666666666671</v>
      </c>
      <c r="D925" s="11">
        <f t="shared" si="142"/>
        <v>980.03544829861812</v>
      </c>
      <c r="E925" s="24">
        <f t="shared" si="134"/>
        <v>975.89279353172401</v>
      </c>
      <c r="F925" s="24">
        <f t="shared" si="136"/>
        <v>103.56636917235278</v>
      </c>
      <c r="G925" s="14">
        <f t="shared" si="137"/>
        <v>1287.5247454905584</v>
      </c>
      <c r="H925" s="24">
        <f t="shared" si="135"/>
        <v>650</v>
      </c>
      <c r="I925" s="12">
        <f t="shared" si="138"/>
        <v>0.17098856733791223</v>
      </c>
      <c r="J925" s="3">
        <f t="shared" si="139"/>
        <v>0.7</v>
      </c>
    </row>
    <row r="926" spans="2:10" x14ac:dyDescent="0.25">
      <c r="B926" s="3">
        <f t="shared" si="140"/>
        <v>4545</v>
      </c>
      <c r="C926" s="14">
        <f t="shared" si="141"/>
        <v>75.75</v>
      </c>
      <c r="D926" s="11">
        <f t="shared" si="142"/>
        <v>980.20009842096385</v>
      </c>
      <c r="E926" s="24">
        <f t="shared" si="134"/>
        <v>976.06378209906188</v>
      </c>
      <c r="F926" s="24">
        <f t="shared" si="136"/>
        <v>103.40790804754931</v>
      </c>
      <c r="G926" s="14">
        <f t="shared" si="137"/>
        <v>1286.0722126302135</v>
      </c>
      <c r="H926" s="24">
        <f t="shared" si="135"/>
        <v>650</v>
      </c>
      <c r="I926" s="12">
        <f t="shared" si="138"/>
        <v>0.17079054899777119</v>
      </c>
      <c r="J926" s="3">
        <f t="shared" si="139"/>
        <v>0.7</v>
      </c>
    </row>
    <row r="927" spans="2:10" x14ac:dyDescent="0.25">
      <c r="B927" s="3">
        <f t="shared" si="140"/>
        <v>4550</v>
      </c>
      <c r="C927" s="14">
        <f t="shared" si="141"/>
        <v>75.833333333333329</v>
      </c>
      <c r="D927" s="11">
        <f t="shared" si="142"/>
        <v>980.36456780768322</v>
      </c>
      <c r="E927" s="24">
        <f t="shared" si="134"/>
        <v>976.23457264805961</v>
      </c>
      <c r="F927" s="24">
        <f t="shared" si="136"/>
        <v>103.2498789905901</v>
      </c>
      <c r="G927" s="14">
        <f t="shared" si="137"/>
        <v>1284.6230250844646</v>
      </c>
      <c r="H927" s="24">
        <f t="shared" si="135"/>
        <v>650</v>
      </c>
      <c r="I927" s="12">
        <f t="shared" si="138"/>
        <v>0.17059299496166092</v>
      </c>
      <c r="J927" s="3">
        <f t="shared" si="139"/>
        <v>0.7</v>
      </c>
    </row>
    <row r="928" spans="2:10" x14ac:dyDescent="0.25">
      <c r="B928" s="3">
        <f t="shared" si="140"/>
        <v>4555</v>
      </c>
      <c r="C928" s="14">
        <f t="shared" si="141"/>
        <v>75.916666666666671</v>
      </c>
      <c r="D928" s="11">
        <f t="shared" si="142"/>
        <v>980.52885685512661</v>
      </c>
      <c r="E928" s="24">
        <f t="shared" si="134"/>
        <v>976.40516564302129</v>
      </c>
      <c r="F928" s="24">
        <f t="shared" si="136"/>
        <v>103.09228030263284</v>
      </c>
      <c r="G928" s="14">
        <f t="shared" si="137"/>
        <v>1283.1771711038893</v>
      </c>
      <c r="H928" s="24">
        <f t="shared" si="135"/>
        <v>650</v>
      </c>
      <c r="I928" s="12">
        <f t="shared" si="138"/>
        <v>0.17039590357656284</v>
      </c>
      <c r="J928" s="3">
        <f t="shared" si="139"/>
        <v>0.7</v>
      </c>
    </row>
    <row r="929" spans="2:10" x14ac:dyDescent="0.25">
      <c r="B929" s="3">
        <f t="shared" si="140"/>
        <v>4560</v>
      </c>
      <c r="C929" s="14">
        <f t="shared" si="141"/>
        <v>76</v>
      </c>
      <c r="D929" s="11">
        <f t="shared" si="142"/>
        <v>980.69296595834192</v>
      </c>
      <c r="E929" s="24">
        <f t="shared" si="134"/>
        <v>976.5755615465979</v>
      </c>
      <c r="F929" s="24">
        <f t="shared" si="136"/>
        <v>102.93511029360047</v>
      </c>
      <c r="G929" s="14">
        <f t="shared" si="137"/>
        <v>1281.7346389949957</v>
      </c>
      <c r="H929" s="24">
        <f t="shared" si="135"/>
        <v>650</v>
      </c>
      <c r="I929" s="12">
        <f t="shared" si="138"/>
        <v>0.17019927319741054</v>
      </c>
      <c r="J929" s="3">
        <f t="shared" si="139"/>
        <v>0.7</v>
      </c>
    </row>
    <row r="930" spans="2:10" x14ac:dyDescent="0.25">
      <c r="B930" s="3">
        <f t="shared" si="140"/>
        <v>4565</v>
      </c>
      <c r="C930" s="14">
        <f t="shared" si="141"/>
        <v>76.083333333333329</v>
      </c>
      <c r="D930" s="11">
        <f t="shared" si="142"/>
        <v>980.85689551108021</v>
      </c>
      <c r="E930" s="24">
        <f t="shared" si="134"/>
        <v>976.74576081979535</v>
      </c>
      <c r="F930" s="24">
        <f t="shared" si="136"/>
        <v>102.77836728212151</v>
      </c>
      <c r="G930" s="14">
        <f t="shared" si="137"/>
        <v>1280.2954171196218</v>
      </c>
      <c r="H930" s="24">
        <f t="shared" si="135"/>
        <v>650</v>
      </c>
      <c r="I930" s="12">
        <f t="shared" si="138"/>
        <v>0.17000310218700859</v>
      </c>
      <c r="J930" s="3">
        <f t="shared" si="139"/>
        <v>0.7</v>
      </c>
    </row>
    <row r="931" spans="2:10" x14ac:dyDescent="0.25">
      <c r="B931" s="3">
        <f t="shared" si="140"/>
        <v>4570</v>
      </c>
      <c r="C931" s="14">
        <f t="shared" si="141"/>
        <v>76.166666666666671</v>
      </c>
      <c r="D931" s="11">
        <f t="shared" si="142"/>
        <v>981.02064590580176</v>
      </c>
      <c r="E931" s="24">
        <f t="shared" si="134"/>
        <v>976.91576392198237</v>
      </c>
      <c r="F931" s="24">
        <f t="shared" si="136"/>
        <v>102.62204959548455</v>
      </c>
      <c r="G931" s="14">
        <f t="shared" si="137"/>
        <v>1278.8594938955355</v>
      </c>
      <c r="H931" s="24">
        <f t="shared" si="135"/>
        <v>650</v>
      </c>
      <c r="I931" s="12">
        <f t="shared" si="138"/>
        <v>0.16980738891610087</v>
      </c>
      <c r="J931" s="3">
        <f t="shared" si="139"/>
        <v>0.7</v>
      </c>
    </row>
    <row r="932" spans="2:10" x14ac:dyDescent="0.25">
      <c r="B932" s="3">
        <f t="shared" si="140"/>
        <v>4575</v>
      </c>
      <c r="C932" s="14">
        <f t="shared" si="141"/>
        <v>76.25</v>
      </c>
      <c r="D932" s="11">
        <f t="shared" si="142"/>
        <v>981.18421753368114</v>
      </c>
      <c r="E932" s="24">
        <f t="shared" si="134"/>
        <v>977.08557131089844</v>
      </c>
      <c r="F932" s="24">
        <f t="shared" si="136"/>
        <v>102.46615556956726</v>
      </c>
      <c r="G932" s="14">
        <f t="shared" si="137"/>
        <v>1277.4268577950786</v>
      </c>
      <c r="H932" s="24">
        <f t="shared" si="135"/>
        <v>650</v>
      </c>
      <c r="I932" s="12">
        <f t="shared" si="138"/>
        <v>0.1696121317631949</v>
      </c>
      <c r="J932" s="3">
        <f t="shared" si="139"/>
        <v>0.7</v>
      </c>
    </row>
    <row r="933" spans="2:10" x14ac:dyDescent="0.25">
      <c r="B933" s="3">
        <f t="shared" si="140"/>
        <v>4580</v>
      </c>
      <c r="C933" s="14">
        <f t="shared" si="141"/>
        <v>76.333333333333329</v>
      </c>
      <c r="D933" s="11">
        <f t="shared" si="142"/>
        <v>981.34761078461372</v>
      </c>
      <c r="E933" s="24">
        <f t="shared" si="134"/>
        <v>977.25518344266163</v>
      </c>
      <c r="F933" s="24">
        <f t="shared" si="136"/>
        <v>102.31068354880222</v>
      </c>
      <c r="G933" s="14">
        <f t="shared" si="137"/>
        <v>1275.9974973455737</v>
      </c>
      <c r="H933" s="24">
        <f t="shared" si="135"/>
        <v>650</v>
      </c>
      <c r="I933" s="12">
        <f t="shared" si="138"/>
        <v>0.169417329114608</v>
      </c>
      <c r="J933" s="3">
        <f t="shared" si="139"/>
        <v>0.7</v>
      </c>
    </row>
    <row r="934" spans="2:10" x14ac:dyDescent="0.25">
      <c r="B934" s="3">
        <f t="shared" si="140"/>
        <v>4585</v>
      </c>
      <c r="C934" s="14">
        <f t="shared" si="141"/>
        <v>76.416666666666671</v>
      </c>
      <c r="D934" s="11">
        <f t="shared" si="142"/>
        <v>981.51082604722023</v>
      </c>
      <c r="E934" s="24">
        <f t="shared" si="134"/>
        <v>977.42460077177623</v>
      </c>
      <c r="F934" s="24">
        <f t="shared" si="136"/>
        <v>102.1556318861002</v>
      </c>
      <c r="G934" s="14">
        <f t="shared" si="137"/>
        <v>1274.5714011284908</v>
      </c>
      <c r="H934" s="24">
        <f t="shared" si="135"/>
        <v>650</v>
      </c>
      <c r="I934" s="12">
        <f t="shared" si="138"/>
        <v>0.16922297936435507</v>
      </c>
      <c r="J934" s="3">
        <f t="shared" si="139"/>
        <v>0.7</v>
      </c>
    </row>
    <row r="935" spans="2:10" x14ac:dyDescent="0.25">
      <c r="B935" s="3">
        <f t="shared" si="140"/>
        <v>4590</v>
      </c>
      <c r="C935" s="14">
        <f t="shared" si="141"/>
        <v>76.5</v>
      </c>
      <c r="D935" s="11">
        <f t="shared" si="142"/>
        <v>981.67386370885322</v>
      </c>
      <c r="E935" s="24">
        <f t="shared" si="134"/>
        <v>977.59382375114058</v>
      </c>
      <c r="F935" s="24">
        <f t="shared" si="136"/>
        <v>102.00099894281607</v>
      </c>
      <c r="G935" s="14">
        <f t="shared" si="137"/>
        <v>1273.1485577792146</v>
      </c>
      <c r="H935" s="24">
        <f t="shared" si="135"/>
        <v>650</v>
      </c>
      <c r="I935" s="12">
        <f t="shared" si="138"/>
        <v>0.16902908091411603</v>
      </c>
      <c r="J935" s="3">
        <f t="shared" si="139"/>
        <v>0.7</v>
      </c>
    </row>
    <row r="936" spans="2:10" x14ac:dyDescent="0.25">
      <c r="B936" s="3">
        <f t="shared" si="140"/>
        <v>4595</v>
      </c>
      <c r="C936" s="14">
        <f t="shared" si="141"/>
        <v>76.583333333333329</v>
      </c>
      <c r="D936" s="11">
        <f t="shared" si="142"/>
        <v>981.83672415560136</v>
      </c>
      <c r="E936" s="24">
        <f t="shared" si="134"/>
        <v>977.7628528320547</v>
      </c>
      <c r="F936" s="24">
        <f t="shared" si="136"/>
        <v>101.84678308866637</v>
      </c>
      <c r="G936" s="14">
        <f t="shared" si="137"/>
        <v>1271.7289559868316</v>
      </c>
      <c r="H936" s="24">
        <f t="shared" si="135"/>
        <v>650</v>
      </c>
      <c r="I936" s="12">
        <f t="shared" si="138"/>
        <v>0.16883563217319947</v>
      </c>
      <c r="J936" s="3">
        <f t="shared" si="139"/>
        <v>0.7</v>
      </c>
    </row>
    <row r="937" spans="2:10" x14ac:dyDescent="0.25">
      <c r="B937" s="3">
        <f t="shared" si="140"/>
        <v>4600</v>
      </c>
      <c r="C937" s="14">
        <f t="shared" si="141"/>
        <v>76.666666666666671</v>
      </c>
      <c r="D937" s="11">
        <f t="shared" si="142"/>
        <v>981.99940777229699</v>
      </c>
      <c r="E937" s="24">
        <f t="shared" si="134"/>
        <v>977.93168846422793</v>
      </c>
      <c r="F937" s="24">
        <f t="shared" si="136"/>
        <v>101.69298270172646</v>
      </c>
      <c r="G937" s="14">
        <f t="shared" si="137"/>
        <v>1270.3125844942074</v>
      </c>
      <c r="H937" s="24">
        <f t="shared" si="135"/>
        <v>650</v>
      </c>
      <c r="I937" s="12">
        <f t="shared" si="138"/>
        <v>0.16864263155855175</v>
      </c>
      <c r="J937" s="3">
        <f t="shared" si="139"/>
        <v>0.7</v>
      </c>
    </row>
    <row r="938" spans="2:10" x14ac:dyDescent="0.25">
      <c r="B938" s="3">
        <f t="shared" si="140"/>
        <v>4605</v>
      </c>
      <c r="C938" s="14">
        <f t="shared" si="141"/>
        <v>76.75</v>
      </c>
      <c r="D938" s="11">
        <f t="shared" si="142"/>
        <v>982.16191494251859</v>
      </c>
      <c r="E938" s="24">
        <f t="shared" si="134"/>
        <v>978.10033109578649</v>
      </c>
      <c r="F938" s="24">
        <f t="shared" si="136"/>
        <v>101.53959616830264</v>
      </c>
      <c r="G938" s="14">
        <f t="shared" si="137"/>
        <v>1268.8994320967076</v>
      </c>
      <c r="H938" s="24">
        <f t="shared" si="135"/>
        <v>650</v>
      </c>
      <c r="I938" s="12">
        <f t="shared" si="138"/>
        <v>0.16845007749458404</v>
      </c>
      <c r="J938" s="3">
        <f t="shared" si="139"/>
        <v>0.7</v>
      </c>
    </row>
    <row r="939" spans="2:10" x14ac:dyDescent="0.25">
      <c r="B939" s="3">
        <f t="shared" si="140"/>
        <v>4610</v>
      </c>
      <c r="C939" s="14">
        <f t="shared" si="141"/>
        <v>76.833333333333329</v>
      </c>
      <c r="D939" s="11">
        <f t="shared" si="142"/>
        <v>982.32424604859955</v>
      </c>
      <c r="E939" s="24">
        <f t="shared" si="134"/>
        <v>978.26878117328113</v>
      </c>
      <c r="F939" s="24">
        <f t="shared" si="136"/>
        <v>101.38662188296053</v>
      </c>
      <c r="G939" s="14">
        <f t="shared" si="137"/>
        <v>1267.4894876424889</v>
      </c>
      <c r="H939" s="24">
        <f t="shared" si="135"/>
        <v>650</v>
      </c>
      <c r="I939" s="12">
        <f t="shared" si="138"/>
        <v>0.16825796841321175</v>
      </c>
      <c r="J939" s="3">
        <f t="shared" si="139"/>
        <v>0.7</v>
      </c>
    </row>
    <row r="940" spans="2:10" x14ac:dyDescent="0.25">
      <c r="B940" s="3">
        <f t="shared" si="140"/>
        <v>4615</v>
      </c>
      <c r="C940" s="14">
        <f t="shared" si="141"/>
        <v>76.916666666666671</v>
      </c>
      <c r="D940" s="11">
        <f t="shared" si="142"/>
        <v>982.48640147163121</v>
      </c>
      <c r="E940" s="24">
        <f t="shared" si="134"/>
        <v>978.4370391416943</v>
      </c>
      <c r="F940" s="24">
        <f t="shared" si="136"/>
        <v>101.2340582484228</v>
      </c>
      <c r="G940" s="14">
        <f t="shared" si="137"/>
        <v>1266.0827400327503</v>
      </c>
      <c r="H940" s="24">
        <f t="shared" si="135"/>
        <v>650</v>
      </c>
      <c r="I940" s="12">
        <f t="shared" si="138"/>
        <v>0.16806630275387258</v>
      </c>
      <c r="J940" s="3">
        <f t="shared" si="139"/>
        <v>0.7</v>
      </c>
    </row>
    <row r="941" spans="2:10" x14ac:dyDescent="0.25">
      <c r="B941" s="3">
        <f t="shared" si="140"/>
        <v>4620</v>
      </c>
      <c r="C941" s="14">
        <f t="shared" si="141"/>
        <v>77</v>
      </c>
      <c r="D941" s="11">
        <f t="shared" si="142"/>
        <v>982.64838159146836</v>
      </c>
      <c r="E941" s="24">
        <f t="shared" si="134"/>
        <v>978.60510544444821</v>
      </c>
      <c r="F941" s="24">
        <f t="shared" si="136"/>
        <v>101.08190367550378</v>
      </c>
      <c r="G941" s="14">
        <f t="shared" si="137"/>
        <v>1264.679178219583</v>
      </c>
      <c r="H941" s="24">
        <f t="shared" si="135"/>
        <v>650</v>
      </c>
      <c r="I941" s="12">
        <f t="shared" si="138"/>
        <v>0.16787507896325446</v>
      </c>
      <c r="J941" s="3">
        <f t="shared" si="139"/>
        <v>0.7</v>
      </c>
    </row>
    <row r="942" spans="2:10" x14ac:dyDescent="0.25">
      <c r="B942" s="3">
        <f t="shared" si="140"/>
        <v>4625</v>
      </c>
      <c r="C942" s="14">
        <f t="shared" si="141"/>
        <v>77.083333333333329</v>
      </c>
      <c r="D942" s="11">
        <f t="shared" si="142"/>
        <v>982.81018678673604</v>
      </c>
      <c r="E942" s="24">
        <f t="shared" si="134"/>
        <v>978.77298052341143</v>
      </c>
      <c r="F942" s="24">
        <f t="shared" si="136"/>
        <v>100.93015658311515</v>
      </c>
      <c r="G942" s="14">
        <f t="shared" si="137"/>
        <v>1263.2787912077713</v>
      </c>
      <c r="H942" s="24">
        <f t="shared" si="135"/>
        <v>650</v>
      </c>
      <c r="I942" s="12">
        <f t="shared" si="138"/>
        <v>0.16768429549551747</v>
      </c>
      <c r="J942" s="3">
        <f t="shared" si="139"/>
        <v>0.7</v>
      </c>
    </row>
    <row r="943" spans="2:10" x14ac:dyDescent="0.25">
      <c r="B943" s="3">
        <f t="shared" si="140"/>
        <v>4630</v>
      </c>
      <c r="C943" s="14">
        <f t="shared" si="141"/>
        <v>77.166666666666671</v>
      </c>
      <c r="D943" s="11">
        <f t="shared" si="142"/>
        <v>982.97181743483361</v>
      </c>
      <c r="E943" s="24">
        <f t="shared" si="134"/>
        <v>978.94066481890695</v>
      </c>
      <c r="F943" s="24">
        <f t="shared" si="136"/>
        <v>100.77881539816644</v>
      </c>
      <c r="G943" s="14">
        <f t="shared" si="137"/>
        <v>1261.8815680532632</v>
      </c>
      <c r="H943" s="24">
        <f t="shared" si="135"/>
        <v>650</v>
      </c>
      <c r="I943" s="12">
        <f t="shared" si="138"/>
        <v>0.16749395081209356</v>
      </c>
      <c r="J943" s="3">
        <f t="shared" si="139"/>
        <v>0.7</v>
      </c>
    </row>
    <row r="944" spans="2:10" x14ac:dyDescent="0.25">
      <c r="B944" s="3">
        <f t="shared" si="140"/>
        <v>4635</v>
      </c>
      <c r="C944" s="14">
        <f t="shared" si="141"/>
        <v>77.25</v>
      </c>
      <c r="D944" s="11">
        <f t="shared" si="142"/>
        <v>983.13327391194059</v>
      </c>
      <c r="E944" s="24">
        <f t="shared" si="134"/>
        <v>979.10815876971901</v>
      </c>
      <c r="F944" s="24">
        <f t="shared" si="136"/>
        <v>100.6278785555395</v>
      </c>
      <c r="G944" s="14">
        <f t="shared" si="137"/>
        <v>1260.487497863169</v>
      </c>
      <c r="H944" s="24">
        <f t="shared" si="135"/>
        <v>650</v>
      </c>
      <c r="I944" s="12">
        <f t="shared" si="138"/>
        <v>0.16730404338168342</v>
      </c>
      <c r="J944" s="3">
        <f t="shared" si="139"/>
        <v>0.7</v>
      </c>
    </row>
    <row r="945" spans="2:10" x14ac:dyDescent="0.25">
      <c r="B945" s="3">
        <f t="shared" si="140"/>
        <v>4640</v>
      </c>
      <c r="C945" s="14">
        <f t="shared" si="141"/>
        <v>77.333333333333329</v>
      </c>
      <c r="D945" s="11">
        <f t="shared" si="142"/>
        <v>983.2945565930213</v>
      </c>
      <c r="E945" s="24">
        <f t="shared" si="134"/>
        <v>979.27546281310072</v>
      </c>
      <c r="F945" s="24">
        <f t="shared" si="136"/>
        <v>100.47734449801453</v>
      </c>
      <c r="G945" s="14">
        <f t="shared" si="137"/>
        <v>1259.096569795297</v>
      </c>
      <c r="H945" s="24">
        <f t="shared" si="135"/>
        <v>650</v>
      </c>
      <c r="I945" s="12">
        <f t="shared" si="138"/>
        <v>0.16711457168019025</v>
      </c>
      <c r="J945" s="3">
        <f t="shared" si="139"/>
        <v>0.7</v>
      </c>
    </row>
    <row r="946" spans="2:10" x14ac:dyDescent="0.25">
      <c r="B946" s="3">
        <f t="shared" si="140"/>
        <v>4645</v>
      </c>
      <c r="C946" s="14">
        <f t="shared" si="141"/>
        <v>77.416666666666671</v>
      </c>
      <c r="D946" s="11">
        <f t="shared" si="142"/>
        <v>983.45566585183099</v>
      </c>
      <c r="E946" s="24">
        <f t="shared" si="134"/>
        <v>979.44257738478086</v>
      </c>
      <c r="F946" s="24">
        <f t="shared" si="136"/>
        <v>100.32721167625311</v>
      </c>
      <c r="G946" s="14">
        <f t="shared" si="137"/>
        <v>1257.7087730580952</v>
      </c>
      <c r="H946" s="24">
        <f t="shared" si="135"/>
        <v>650</v>
      </c>
      <c r="I946" s="12">
        <f t="shared" si="138"/>
        <v>0.1669255341907103</v>
      </c>
      <c r="J946" s="3">
        <f t="shared" si="139"/>
        <v>0.7</v>
      </c>
    </row>
    <row r="947" spans="2:10" x14ac:dyDescent="0.25">
      <c r="B947" s="3">
        <f t="shared" si="140"/>
        <v>4650</v>
      </c>
      <c r="C947" s="14">
        <f t="shared" si="141"/>
        <v>77.5</v>
      </c>
      <c r="D947" s="11">
        <f t="shared" si="142"/>
        <v>983.61660206092006</v>
      </c>
      <c r="E947" s="24">
        <f t="shared" si="134"/>
        <v>979.60950291897154</v>
      </c>
      <c r="F947" s="24">
        <f t="shared" si="136"/>
        <v>100.17747854871288</v>
      </c>
      <c r="G947" s="14">
        <f t="shared" si="137"/>
        <v>1256.3240969103797</v>
      </c>
      <c r="H947" s="24">
        <f t="shared" si="135"/>
        <v>650</v>
      </c>
      <c r="I947" s="12">
        <f t="shared" si="138"/>
        <v>0.1667369294034893</v>
      </c>
      <c r="J947" s="3">
        <f t="shared" si="139"/>
        <v>0.7</v>
      </c>
    </row>
    <row r="948" spans="2:10" x14ac:dyDescent="0.25">
      <c r="B948" s="3">
        <f t="shared" si="140"/>
        <v>4655</v>
      </c>
      <c r="C948" s="14">
        <f t="shared" si="141"/>
        <v>77.583333333333329</v>
      </c>
      <c r="D948" s="11">
        <f t="shared" si="142"/>
        <v>983.7773655916402</v>
      </c>
      <c r="E948" s="24">
        <f t="shared" ref="E948:E1011" si="143">E947+I947</f>
        <v>979.77623984837498</v>
      </c>
      <c r="F948" s="24">
        <f t="shared" si="136"/>
        <v>100.0281435816305</v>
      </c>
      <c r="G948" s="14">
        <f t="shared" si="137"/>
        <v>1254.9425306605985</v>
      </c>
      <c r="H948" s="24">
        <f t="shared" ref="H948:H1011" si="144">IF(E948&lt;600,425+0.773*E948-1.69/1000*E948^2+2.22/1000^2*E948^3,IF(E948&lt;735,666+13002/(738-E948),IF(E948&lt;900,545+17820/(E948-731),650)))</f>
        <v>650</v>
      </c>
      <c r="I948" s="12">
        <f t="shared" si="138"/>
        <v>0.16654875581582981</v>
      </c>
      <c r="J948" s="3">
        <f t="shared" si="139"/>
        <v>0.7</v>
      </c>
    </row>
    <row r="949" spans="2:10" x14ac:dyDescent="0.25">
      <c r="B949" s="3">
        <f t="shared" si="140"/>
        <v>4660</v>
      </c>
      <c r="C949" s="14">
        <f t="shared" si="141"/>
        <v>77.666666666666671</v>
      </c>
      <c r="D949" s="11">
        <f t="shared" si="142"/>
        <v>983.93795681414838</v>
      </c>
      <c r="E949" s="24">
        <f t="shared" si="143"/>
        <v>979.94278860419081</v>
      </c>
      <c r="F949" s="24">
        <f t="shared" si="136"/>
        <v>99.879205248939229</v>
      </c>
      <c r="G949" s="14">
        <f t="shared" si="137"/>
        <v>1253.5640636669677</v>
      </c>
      <c r="H949" s="24">
        <f t="shared" si="144"/>
        <v>650</v>
      </c>
      <c r="I949" s="12">
        <f t="shared" si="138"/>
        <v>0.16636101193209768</v>
      </c>
      <c r="J949" s="3">
        <f t="shared" si="139"/>
        <v>0.7</v>
      </c>
    </row>
    <row r="950" spans="2:10" x14ac:dyDescent="0.25">
      <c r="B950" s="3">
        <f t="shared" si="140"/>
        <v>4665</v>
      </c>
      <c r="C950" s="14">
        <f t="shared" si="141"/>
        <v>77.75</v>
      </c>
      <c r="D950" s="11">
        <f t="shared" si="142"/>
        <v>984.09837609741339</v>
      </c>
      <c r="E950" s="24">
        <f t="shared" si="143"/>
        <v>980.10914961612286</v>
      </c>
      <c r="F950" s="24">
        <f t="shared" si="136"/>
        <v>99.73066203226324</v>
      </c>
      <c r="G950" s="14">
        <f t="shared" si="137"/>
        <v>1252.1886853369856</v>
      </c>
      <c r="H950" s="24">
        <f t="shared" si="144"/>
        <v>650</v>
      </c>
      <c r="I950" s="12">
        <f t="shared" si="138"/>
        <v>0.16617369626366169</v>
      </c>
      <c r="J950" s="3">
        <f t="shared" si="139"/>
        <v>0.7</v>
      </c>
    </row>
    <row r="951" spans="2:10" x14ac:dyDescent="0.25">
      <c r="B951" s="3">
        <f t="shared" si="140"/>
        <v>4670</v>
      </c>
      <c r="C951" s="14">
        <f t="shared" si="141"/>
        <v>77.833333333333329</v>
      </c>
      <c r="D951" s="11">
        <f t="shared" si="142"/>
        <v>984.25862380921978</v>
      </c>
      <c r="E951" s="24">
        <f t="shared" si="143"/>
        <v>980.27532331238649</v>
      </c>
      <c r="F951" s="24">
        <f t="shared" si="136"/>
        <v>99.582512420832359</v>
      </c>
      <c r="G951" s="14">
        <f t="shared" si="137"/>
        <v>1250.8163851275115</v>
      </c>
      <c r="H951" s="24">
        <f t="shared" si="144"/>
        <v>650</v>
      </c>
      <c r="I951" s="12">
        <f t="shared" si="138"/>
        <v>0.16598680732889284</v>
      </c>
      <c r="J951" s="3">
        <f t="shared" si="139"/>
        <v>0.7</v>
      </c>
    </row>
    <row r="952" spans="2:10" x14ac:dyDescent="0.25">
      <c r="B952" s="3">
        <f t="shared" si="140"/>
        <v>4675</v>
      </c>
      <c r="C952" s="14">
        <f t="shared" si="141"/>
        <v>77.916666666666671</v>
      </c>
      <c r="D952" s="11">
        <f t="shared" si="142"/>
        <v>984.41870031617327</v>
      </c>
      <c r="E952" s="24">
        <f t="shared" si="143"/>
        <v>980.44131011971535</v>
      </c>
      <c r="F952" s="24">
        <f t="shared" si="136"/>
        <v>99.434754911447953</v>
      </c>
      <c r="G952" s="14">
        <f t="shared" si="137"/>
        <v>1249.447152543622</v>
      </c>
      <c r="H952" s="24">
        <f t="shared" si="144"/>
        <v>650</v>
      </c>
      <c r="I952" s="12">
        <f t="shared" si="138"/>
        <v>0.16580034365301954</v>
      </c>
      <c r="J952" s="3">
        <f t="shared" si="139"/>
        <v>0.7</v>
      </c>
    </row>
    <row r="953" spans="2:10" x14ac:dyDescent="0.25">
      <c r="B953" s="3">
        <f t="shared" si="140"/>
        <v>4680</v>
      </c>
      <c r="C953" s="14">
        <f t="shared" si="141"/>
        <v>78</v>
      </c>
      <c r="D953" s="11">
        <f t="shared" si="142"/>
        <v>984.57860598370587</v>
      </c>
      <c r="E953" s="24">
        <f t="shared" si="143"/>
        <v>980.60711046336837</v>
      </c>
      <c r="F953" s="24">
        <f t="shared" si="136"/>
        <v>99.28738800843746</v>
      </c>
      <c r="G953" s="14">
        <f t="shared" si="137"/>
        <v>1248.0809771392694</v>
      </c>
      <c r="H953" s="24">
        <f t="shared" si="144"/>
        <v>650</v>
      </c>
      <c r="I953" s="12">
        <f t="shared" si="138"/>
        <v>0.16561430376820291</v>
      </c>
      <c r="J953" s="3">
        <f t="shared" si="139"/>
        <v>0.7</v>
      </c>
    </row>
    <row r="954" spans="2:10" x14ac:dyDescent="0.25">
      <c r="B954" s="3">
        <f t="shared" si="140"/>
        <v>4685</v>
      </c>
      <c r="C954" s="14">
        <f t="shared" si="141"/>
        <v>78.083333333333329</v>
      </c>
      <c r="D954" s="11">
        <f t="shared" si="142"/>
        <v>984.73834117608101</v>
      </c>
      <c r="E954" s="24">
        <f t="shared" si="143"/>
        <v>980.77272476713654</v>
      </c>
      <c r="F954" s="24">
        <f t="shared" si="136"/>
        <v>99.140410223611752</v>
      </c>
      <c r="G954" s="14">
        <f t="shared" si="137"/>
        <v>1246.7178485164295</v>
      </c>
      <c r="H954" s="24">
        <f t="shared" si="144"/>
        <v>650</v>
      </c>
      <c r="I954" s="12">
        <f t="shared" si="138"/>
        <v>0.1654286862134268</v>
      </c>
      <c r="J954" s="3">
        <f t="shared" si="139"/>
        <v>0.7</v>
      </c>
    </row>
    <row r="955" spans="2:10" x14ac:dyDescent="0.25">
      <c r="B955" s="3">
        <f t="shared" si="140"/>
        <v>4690</v>
      </c>
      <c r="C955" s="14">
        <f t="shared" si="141"/>
        <v>78.166666666666671</v>
      </c>
      <c r="D955" s="11">
        <f t="shared" si="142"/>
        <v>984.89790625639762</v>
      </c>
      <c r="E955" s="24">
        <f t="shared" si="143"/>
        <v>980.93815345334997</v>
      </c>
      <c r="F955" s="24">
        <f t="shared" si="136"/>
        <v>98.993820076191241</v>
      </c>
      <c r="G955" s="14">
        <f t="shared" si="137"/>
        <v>1245.3577563247331</v>
      </c>
      <c r="H955" s="24">
        <f t="shared" si="144"/>
        <v>650</v>
      </c>
      <c r="I955" s="12">
        <f t="shared" si="138"/>
        <v>0.16524348953444334</v>
      </c>
      <c r="J955" s="3">
        <f t="shared" si="139"/>
        <v>0.7</v>
      </c>
    </row>
    <row r="956" spans="2:10" x14ac:dyDescent="0.25">
      <c r="B956" s="3">
        <f t="shared" si="140"/>
        <v>4695</v>
      </c>
      <c r="C956" s="14">
        <f t="shared" si="141"/>
        <v>78.25</v>
      </c>
      <c r="D956" s="11">
        <f t="shared" si="142"/>
        <v>985.05730158659719</v>
      </c>
      <c r="E956" s="24">
        <f t="shared" si="143"/>
        <v>981.10339694288439</v>
      </c>
      <c r="F956" s="24">
        <f t="shared" si="136"/>
        <v>98.84761609282009</v>
      </c>
      <c r="G956" s="14">
        <f t="shared" si="137"/>
        <v>1244.00069026199</v>
      </c>
      <c r="H956" s="24">
        <f t="shared" si="144"/>
        <v>650</v>
      </c>
      <c r="I956" s="12">
        <f t="shared" si="138"/>
        <v>0.16505871228383934</v>
      </c>
      <c r="J956" s="3">
        <f t="shared" si="139"/>
        <v>0.7</v>
      </c>
    </row>
    <row r="957" spans="2:10" x14ac:dyDescent="0.25">
      <c r="B957" s="3">
        <f t="shared" si="140"/>
        <v>4700</v>
      </c>
      <c r="C957" s="14">
        <f t="shared" si="141"/>
        <v>78.333333333333329</v>
      </c>
      <c r="D957" s="11">
        <f t="shared" si="142"/>
        <v>985.2165275274657</v>
      </c>
      <c r="E957" s="24">
        <f t="shared" si="143"/>
        <v>981.26845565516828</v>
      </c>
      <c r="F957" s="24">
        <f t="shared" si="136"/>
        <v>98.701796807435471</v>
      </c>
      <c r="G957" s="14">
        <f t="shared" si="137"/>
        <v>1242.6466400728698</v>
      </c>
      <c r="H957" s="24">
        <f t="shared" si="144"/>
        <v>650</v>
      </c>
      <c r="I957" s="12">
        <f t="shared" si="138"/>
        <v>0.16487435302085776</v>
      </c>
      <c r="J957" s="3">
        <f t="shared" si="139"/>
        <v>0.7</v>
      </c>
    </row>
    <row r="958" spans="2:10" x14ac:dyDescent="0.25">
      <c r="B958" s="3">
        <f t="shared" si="140"/>
        <v>4705</v>
      </c>
      <c r="C958" s="14">
        <f t="shared" si="141"/>
        <v>78.416666666666671</v>
      </c>
      <c r="D958" s="11">
        <f t="shared" si="142"/>
        <v>985.37558443864134</v>
      </c>
      <c r="E958" s="24">
        <f t="shared" si="143"/>
        <v>981.43333000818916</v>
      </c>
      <c r="F958" s="24">
        <f t="shared" si="136"/>
        <v>98.556360761304518</v>
      </c>
      <c r="G958" s="14">
        <f t="shared" si="137"/>
        <v>1241.2955955493874</v>
      </c>
      <c r="H958" s="24">
        <f t="shared" si="144"/>
        <v>650</v>
      </c>
      <c r="I958" s="12">
        <f t="shared" si="138"/>
        <v>0.16469041031146223</v>
      </c>
      <c r="J958" s="3">
        <f t="shared" si="139"/>
        <v>0.7</v>
      </c>
    </row>
    <row r="959" spans="2:10" x14ac:dyDescent="0.25">
      <c r="B959" s="3">
        <f t="shared" si="140"/>
        <v>4710</v>
      </c>
      <c r="C959" s="14">
        <f t="shared" si="141"/>
        <v>78.5</v>
      </c>
      <c r="D959" s="11">
        <f t="shared" si="142"/>
        <v>985.5344726786177</v>
      </c>
      <c r="E959" s="24">
        <f t="shared" si="143"/>
        <v>981.5980204185006</v>
      </c>
      <c r="F959" s="24">
        <f t="shared" si="136"/>
        <v>98.411306502927687</v>
      </c>
      <c r="G959" s="14">
        <f t="shared" si="137"/>
        <v>1239.9475465299727</v>
      </c>
      <c r="H959" s="24">
        <f t="shared" si="144"/>
        <v>650</v>
      </c>
      <c r="I959" s="12">
        <f t="shared" si="138"/>
        <v>0.1645068827282104</v>
      </c>
      <c r="J959" s="3">
        <f t="shared" si="139"/>
        <v>0.7</v>
      </c>
    </row>
    <row r="960" spans="2:10" x14ac:dyDescent="0.25">
      <c r="B960" s="3">
        <f t="shared" si="140"/>
        <v>4715</v>
      </c>
      <c r="C960" s="14">
        <f t="shared" si="141"/>
        <v>78.583333333333329</v>
      </c>
      <c r="D960" s="11">
        <f t="shared" si="142"/>
        <v>985.69319260474902</v>
      </c>
      <c r="E960" s="24">
        <f t="shared" si="143"/>
        <v>981.76252730122883</v>
      </c>
      <c r="F960" s="24">
        <f t="shared" si="136"/>
        <v>98.266632588004654</v>
      </c>
      <c r="G960" s="14">
        <f t="shared" si="137"/>
        <v>1238.6024828999934</v>
      </c>
      <c r="H960" s="24">
        <f t="shared" si="144"/>
        <v>650</v>
      </c>
      <c r="I960" s="12">
        <f t="shared" si="138"/>
        <v>0.16432376885031461</v>
      </c>
      <c r="J960" s="3">
        <f t="shared" si="139"/>
        <v>0.7</v>
      </c>
    </row>
    <row r="961" spans="2:10" x14ac:dyDescent="0.25">
      <c r="B961" s="3">
        <f t="shared" si="140"/>
        <v>4720</v>
      </c>
      <c r="C961" s="14">
        <f t="shared" si="141"/>
        <v>78.666666666666671</v>
      </c>
      <c r="D961" s="11">
        <f t="shared" si="142"/>
        <v>985.85174457325502</v>
      </c>
      <c r="E961" s="24">
        <f t="shared" si="143"/>
        <v>981.92685107007912</v>
      </c>
      <c r="F961" s="24">
        <f t="shared" si="136"/>
        <v>98.122337579397367</v>
      </c>
      <c r="G961" s="14">
        <f t="shared" si="137"/>
        <v>1237.2603945905735</v>
      </c>
      <c r="H961" s="24">
        <f t="shared" si="144"/>
        <v>650</v>
      </c>
      <c r="I961" s="12">
        <f t="shared" si="138"/>
        <v>0.16414106726349151</v>
      </c>
      <c r="J961" s="3">
        <f t="shared" si="139"/>
        <v>0.7</v>
      </c>
    </row>
    <row r="962" spans="2:10" x14ac:dyDescent="0.25">
      <c r="B962" s="3">
        <f t="shared" si="140"/>
        <v>4725</v>
      </c>
      <c r="C962" s="14">
        <f t="shared" si="141"/>
        <v>78.75</v>
      </c>
      <c r="D962" s="11">
        <f t="shared" si="142"/>
        <v>986.01012893922621</v>
      </c>
      <c r="E962" s="24">
        <f t="shared" si="143"/>
        <v>982.0909921373426</v>
      </c>
      <c r="F962" s="24">
        <f t="shared" si="136"/>
        <v>97.978420047090253</v>
      </c>
      <c r="G962" s="14">
        <f t="shared" si="137"/>
        <v>1235.9212715791932</v>
      </c>
      <c r="H962" s="24">
        <f t="shared" si="144"/>
        <v>650</v>
      </c>
      <c r="I962" s="12">
        <f t="shared" si="138"/>
        <v>0.1639587765600313</v>
      </c>
      <c r="J962" s="3">
        <f t="shared" si="139"/>
        <v>0.7</v>
      </c>
    </row>
    <row r="963" spans="2:10" x14ac:dyDescent="0.25">
      <c r="B963" s="3">
        <f t="shared" si="140"/>
        <v>4730</v>
      </c>
      <c r="C963" s="14">
        <f t="shared" si="141"/>
        <v>78.833333333333329</v>
      </c>
      <c r="D963" s="11">
        <f t="shared" si="142"/>
        <v>986.1683460566278</v>
      </c>
      <c r="E963" s="24">
        <f t="shared" si="143"/>
        <v>982.25495091390258</v>
      </c>
      <c r="F963" s="24">
        <f t="shared" si="136"/>
        <v>97.834878568130534</v>
      </c>
      <c r="G963" s="14">
        <f t="shared" si="137"/>
        <v>1234.5851038889919</v>
      </c>
      <c r="H963" s="24">
        <f t="shared" si="144"/>
        <v>650</v>
      </c>
      <c r="I963" s="12">
        <f t="shared" si="138"/>
        <v>0.16377689533870457</v>
      </c>
      <c r="J963" s="3">
        <f t="shared" si="139"/>
        <v>0.7</v>
      </c>
    </row>
    <row r="964" spans="2:10" x14ac:dyDescent="0.25">
      <c r="B964" s="3">
        <f t="shared" si="140"/>
        <v>4735</v>
      </c>
      <c r="C964" s="14">
        <f t="shared" si="141"/>
        <v>78.916666666666671</v>
      </c>
      <c r="D964" s="11">
        <f t="shared" si="142"/>
        <v>986.32639627830486</v>
      </c>
      <c r="E964" s="24">
        <f t="shared" si="143"/>
        <v>982.41872780924132</v>
      </c>
      <c r="F964" s="24">
        <f t="shared" si="136"/>
        <v>97.691711726588437</v>
      </c>
      <c r="G964" s="14">
        <f t="shared" si="137"/>
        <v>1233.2518815882447</v>
      </c>
      <c r="H964" s="24">
        <f t="shared" si="144"/>
        <v>650</v>
      </c>
      <c r="I964" s="12">
        <f t="shared" si="138"/>
        <v>0.16359542220469317</v>
      </c>
      <c r="J964" s="3">
        <f t="shared" si="139"/>
        <v>0.7</v>
      </c>
    </row>
    <row r="965" spans="2:10" x14ac:dyDescent="0.25">
      <c r="B965" s="3">
        <f t="shared" si="140"/>
        <v>4740</v>
      </c>
      <c r="C965" s="14">
        <f t="shared" si="141"/>
        <v>79</v>
      </c>
      <c r="D965" s="11">
        <f t="shared" si="142"/>
        <v>986.4842799559874</v>
      </c>
      <c r="E965" s="24">
        <f t="shared" si="143"/>
        <v>982.58232323144603</v>
      </c>
      <c r="F965" s="24">
        <f t="shared" si="136"/>
        <v>97.548918113534455</v>
      </c>
      <c r="G965" s="14">
        <f t="shared" si="137"/>
        <v>1231.9215947907505</v>
      </c>
      <c r="H965" s="24">
        <f t="shared" si="144"/>
        <v>650</v>
      </c>
      <c r="I965" s="12">
        <f t="shared" si="138"/>
        <v>0.16341435576963495</v>
      </c>
      <c r="J965" s="3">
        <f t="shared" si="139"/>
        <v>0.7</v>
      </c>
    </row>
    <row r="966" spans="2:10" x14ac:dyDescent="0.25">
      <c r="B966" s="3">
        <f t="shared" si="140"/>
        <v>4745</v>
      </c>
      <c r="C966" s="14">
        <f t="shared" si="141"/>
        <v>79.083333333333329</v>
      </c>
      <c r="D966" s="11">
        <f t="shared" si="142"/>
        <v>986.64199744029429</v>
      </c>
      <c r="E966" s="24">
        <f t="shared" si="143"/>
        <v>982.74573758721567</v>
      </c>
      <c r="F966" s="24">
        <f t="shared" si="136"/>
        <v>97.406496326965453</v>
      </c>
      <c r="G966" s="14">
        <f t="shared" si="137"/>
        <v>1230.594233655017</v>
      </c>
      <c r="H966" s="24">
        <f t="shared" si="144"/>
        <v>650</v>
      </c>
      <c r="I966" s="12">
        <f t="shared" si="138"/>
        <v>0.16323369465151463</v>
      </c>
      <c r="J966" s="3">
        <f t="shared" si="139"/>
        <v>0.7</v>
      </c>
    </row>
    <row r="967" spans="2:10" x14ac:dyDescent="0.25">
      <c r="B967" s="3">
        <f t="shared" si="140"/>
        <v>4750</v>
      </c>
      <c r="C967" s="14">
        <f t="shared" si="141"/>
        <v>79.166666666666671</v>
      </c>
      <c r="D967" s="11">
        <f t="shared" si="142"/>
        <v>986.79954908073842</v>
      </c>
      <c r="E967" s="24">
        <f t="shared" si="143"/>
        <v>982.90897128186714</v>
      </c>
      <c r="F967" s="24">
        <f t="shared" si="136"/>
        <v>97.264444971781927</v>
      </c>
      <c r="G967" s="14">
        <f t="shared" si="137"/>
        <v>1229.2697883840674</v>
      </c>
      <c r="H967" s="24">
        <f t="shared" si="144"/>
        <v>650</v>
      </c>
      <c r="I967" s="12">
        <f t="shared" si="138"/>
        <v>0.16305343747463721</v>
      </c>
      <c r="J967" s="3">
        <f t="shared" si="139"/>
        <v>0.7</v>
      </c>
    </row>
    <row r="968" spans="2:10" x14ac:dyDescent="0.25">
      <c r="B968" s="3">
        <f t="shared" si="140"/>
        <v>4755</v>
      </c>
      <c r="C968" s="14">
        <f t="shared" si="141"/>
        <v>79.25</v>
      </c>
      <c r="D968" s="11">
        <f t="shared" si="142"/>
        <v>986.95693522573151</v>
      </c>
      <c r="E968" s="24">
        <f t="shared" si="143"/>
        <v>983.07202471934181</v>
      </c>
      <c r="F968" s="24">
        <f t="shared" si="136"/>
        <v>97.122762659742534</v>
      </c>
      <c r="G968" s="14">
        <f t="shared" si="137"/>
        <v>1227.9482492256545</v>
      </c>
      <c r="H968" s="24">
        <f t="shared" si="144"/>
        <v>650</v>
      </c>
      <c r="I968" s="12">
        <f t="shared" si="138"/>
        <v>0.16287358286964876</v>
      </c>
      <c r="J968" s="3">
        <f t="shared" si="139"/>
        <v>0.7</v>
      </c>
    </row>
    <row r="969" spans="2:10" x14ac:dyDescent="0.25">
      <c r="B969" s="3">
        <f t="shared" si="140"/>
        <v>4760</v>
      </c>
      <c r="C969" s="14">
        <f t="shared" si="141"/>
        <v>79.333333333333329</v>
      </c>
      <c r="D969" s="11">
        <f t="shared" si="142"/>
        <v>987.11415622258835</v>
      </c>
      <c r="E969" s="24">
        <f t="shared" si="143"/>
        <v>983.23489830221149</v>
      </c>
      <c r="F969" s="24">
        <f t="shared" si="136"/>
        <v>96.981448009421456</v>
      </c>
      <c r="G969" s="14">
        <f t="shared" si="137"/>
        <v>1226.6296064713288</v>
      </c>
      <c r="H969" s="24">
        <f t="shared" si="144"/>
        <v>650</v>
      </c>
      <c r="I969" s="12">
        <f t="shared" si="138"/>
        <v>0.16269412947341635</v>
      </c>
      <c r="J969" s="3">
        <f t="shared" si="139"/>
        <v>0.7</v>
      </c>
    </row>
    <row r="970" spans="2:10" x14ac:dyDescent="0.25">
      <c r="B970" s="3">
        <f t="shared" si="140"/>
        <v>4765</v>
      </c>
      <c r="C970" s="14">
        <f t="shared" si="141"/>
        <v>79.416666666666671</v>
      </c>
      <c r="D970" s="11">
        <f t="shared" si="142"/>
        <v>987.2712124175315</v>
      </c>
      <c r="E970" s="24">
        <f t="shared" si="143"/>
        <v>983.39759243168487</v>
      </c>
      <c r="F970" s="24">
        <f t="shared" si="136"/>
        <v>96.840499646165767</v>
      </c>
      <c r="G970" s="14">
        <f t="shared" si="137"/>
        <v>1225.3138504567112</v>
      </c>
      <c r="H970" s="24">
        <f t="shared" si="144"/>
        <v>650</v>
      </c>
      <c r="I970" s="12">
        <f t="shared" si="138"/>
        <v>0.16251507592905684</v>
      </c>
      <c r="J970" s="3">
        <f t="shared" si="139"/>
        <v>0.7</v>
      </c>
    </row>
    <row r="971" spans="2:10" x14ac:dyDescent="0.25">
      <c r="B971" s="3">
        <f t="shared" si="140"/>
        <v>4770</v>
      </c>
      <c r="C971" s="14">
        <f t="shared" si="141"/>
        <v>79.5</v>
      </c>
      <c r="D971" s="11">
        <f t="shared" si="142"/>
        <v>987.42810415569568</v>
      </c>
      <c r="E971" s="24">
        <f t="shared" si="143"/>
        <v>983.56010750761391</v>
      </c>
      <c r="F971" s="24">
        <f t="shared" si="136"/>
        <v>96.699916202044278</v>
      </c>
      <c r="G971" s="14">
        <f t="shared" si="137"/>
        <v>1224.0009715610267</v>
      </c>
      <c r="H971" s="24">
        <f t="shared" si="144"/>
        <v>650</v>
      </c>
      <c r="I971" s="12">
        <f t="shared" si="138"/>
        <v>0.16233642088587283</v>
      </c>
      <c r="J971" s="3">
        <f t="shared" si="139"/>
        <v>0.7</v>
      </c>
    </row>
    <row r="972" spans="2:10" x14ac:dyDescent="0.25">
      <c r="B972" s="3">
        <f t="shared" si="140"/>
        <v>4775</v>
      </c>
      <c r="C972" s="14">
        <f t="shared" si="141"/>
        <v>79.583333333333329</v>
      </c>
      <c r="D972" s="11">
        <f t="shared" si="142"/>
        <v>987.58483178113329</v>
      </c>
      <c r="E972" s="24">
        <f t="shared" si="143"/>
        <v>983.72244392849973</v>
      </c>
      <c r="F972" s="24">
        <f t="shared" si="136"/>
        <v>96.559696315839005</v>
      </c>
      <c r="G972" s="14">
        <f t="shared" si="137"/>
        <v>1222.6909602068538</v>
      </c>
      <c r="H972" s="24">
        <f t="shared" si="144"/>
        <v>650</v>
      </c>
      <c r="I972" s="12">
        <f t="shared" si="138"/>
        <v>0.1621581629993209</v>
      </c>
      <c r="J972" s="3">
        <f t="shared" si="139"/>
        <v>0.7</v>
      </c>
    </row>
    <row r="973" spans="2:10" x14ac:dyDescent="0.25">
      <c r="B973" s="3">
        <f t="shared" si="140"/>
        <v>4780</v>
      </c>
      <c r="C973" s="14">
        <f t="shared" si="141"/>
        <v>79.666666666666671</v>
      </c>
      <c r="D973" s="11">
        <f t="shared" si="142"/>
        <v>987.74139563681774</v>
      </c>
      <c r="E973" s="24">
        <f t="shared" si="143"/>
        <v>983.884602091499</v>
      </c>
      <c r="F973" s="24">
        <f t="shared" si="136"/>
        <v>96.419838632968435</v>
      </c>
      <c r="G973" s="14">
        <f t="shared" si="137"/>
        <v>1221.383806859852</v>
      </c>
      <c r="H973" s="24">
        <f t="shared" si="144"/>
        <v>650</v>
      </c>
      <c r="I973" s="12">
        <f t="shared" si="138"/>
        <v>0.16198030093096893</v>
      </c>
      <c r="J973" s="3">
        <f t="shared" si="139"/>
        <v>0.7</v>
      </c>
    </row>
    <row r="974" spans="2:10" x14ac:dyDescent="0.25">
      <c r="B974" s="3">
        <f t="shared" si="140"/>
        <v>4785</v>
      </c>
      <c r="C974" s="14">
        <f t="shared" si="141"/>
        <v>79.75</v>
      </c>
      <c r="D974" s="11">
        <f t="shared" si="142"/>
        <v>987.89779606464788</v>
      </c>
      <c r="E974" s="24">
        <f t="shared" si="143"/>
        <v>984.04658239242997</v>
      </c>
      <c r="F974" s="24">
        <f t="shared" si="136"/>
        <v>96.280341805447733</v>
      </c>
      <c r="G974" s="14">
        <f t="shared" si="137"/>
        <v>1220.0795020283942</v>
      </c>
      <c r="H974" s="24">
        <f t="shared" si="144"/>
        <v>650</v>
      </c>
      <c r="I974" s="12">
        <f t="shared" si="138"/>
        <v>0.16180283334844564</v>
      </c>
      <c r="J974" s="3">
        <f t="shared" si="139"/>
        <v>0.7</v>
      </c>
    </row>
    <row r="975" spans="2:10" x14ac:dyDescent="0.25">
      <c r="B975" s="3">
        <f t="shared" si="140"/>
        <v>4790</v>
      </c>
      <c r="C975" s="14">
        <f t="shared" si="141"/>
        <v>79.833333333333329</v>
      </c>
      <c r="D975" s="11">
        <f t="shared" si="142"/>
        <v>988.05403340545411</v>
      </c>
      <c r="E975" s="24">
        <f t="shared" si="143"/>
        <v>984.20838522577844</v>
      </c>
      <c r="F975" s="24">
        <f t="shared" si="136"/>
        <v>96.141204491891585</v>
      </c>
      <c r="G975" s="14">
        <f t="shared" si="137"/>
        <v>1218.7780362639546</v>
      </c>
      <c r="H975" s="24">
        <f t="shared" si="144"/>
        <v>650</v>
      </c>
      <c r="I975" s="12">
        <f t="shared" si="138"/>
        <v>0.16162575892548897</v>
      </c>
      <c r="J975" s="3">
        <f t="shared" si="139"/>
        <v>0.7</v>
      </c>
    </row>
    <row r="976" spans="2:10" x14ac:dyDescent="0.25">
      <c r="B976" s="3">
        <f t="shared" si="140"/>
        <v>4795</v>
      </c>
      <c r="C976" s="14">
        <f t="shared" si="141"/>
        <v>79.916666666666671</v>
      </c>
      <c r="D976" s="11">
        <f t="shared" si="142"/>
        <v>988.21010799900068</v>
      </c>
      <c r="E976" s="24">
        <f t="shared" si="143"/>
        <v>984.37001098470398</v>
      </c>
      <c r="F976" s="24">
        <f t="shared" si="136"/>
        <v>96.002425357417565</v>
      </c>
      <c r="G976" s="14">
        <f t="shared" si="137"/>
        <v>1217.4794001598671</v>
      </c>
      <c r="H976" s="24">
        <f t="shared" si="144"/>
        <v>650</v>
      </c>
      <c r="I976" s="12">
        <f t="shared" si="138"/>
        <v>0.16144907634178135</v>
      </c>
      <c r="J976" s="3">
        <f t="shared" si="139"/>
        <v>0.7</v>
      </c>
    </row>
    <row r="977" spans="2:10" x14ac:dyDescent="0.25">
      <c r="B977" s="3">
        <f t="shared" si="140"/>
        <v>4800</v>
      </c>
      <c r="C977" s="14">
        <f t="shared" si="141"/>
        <v>80</v>
      </c>
      <c r="D977" s="11">
        <f t="shared" si="142"/>
        <v>988.36602018399196</v>
      </c>
      <c r="E977" s="24">
        <f t="shared" si="143"/>
        <v>984.53146006104578</v>
      </c>
      <c r="F977" s="24">
        <f t="shared" ref="F977:F1040" si="145">AlphaC*(D977-E977)</f>
        <v>95.864003073654658</v>
      </c>
      <c r="G977" s="14">
        <f t="shared" ref="G977:G1040" si="146">Phi*EpsilonF*Botzman/10^8*J977*((D977+273)^4-(E977+273)^4)</f>
        <v>1216.1835843520437</v>
      </c>
      <c r="H977" s="24">
        <f t="shared" si="144"/>
        <v>650</v>
      </c>
      <c r="I977" s="12">
        <f t="shared" ref="I977:I1040" si="147">ksh*Massivete/(H977*RhoA)*DeltaT*(F977+G977)</f>
        <v>0.16127278428303923</v>
      </c>
      <c r="J977" s="3">
        <f t="shared" ref="J977:J1040" si="148">IF(E977&lt;=500,IF(Galva=Oui,0.35,0.7),0.7)</f>
        <v>0.7</v>
      </c>
    </row>
    <row r="978" spans="2:10" x14ac:dyDescent="0.25">
      <c r="B978" s="3">
        <f t="shared" ref="B978:B1041" si="149">B977+DeltaT</f>
        <v>4805</v>
      </c>
      <c r="C978" s="14">
        <f t="shared" ref="C978:C1041" si="150">B978/60</f>
        <v>80.083333333333329</v>
      </c>
      <c r="D978" s="11">
        <f t="shared" ref="D978:D1041" si="151">20+345*LOG(8*C978+1,10)</f>
        <v>988.52177029807558</v>
      </c>
      <c r="E978" s="24">
        <f t="shared" si="143"/>
        <v>984.69273284532881</v>
      </c>
      <c r="F978" s="24">
        <f t="shared" si="145"/>
        <v>95.725936318669369</v>
      </c>
      <c r="G978" s="14">
        <f t="shared" si="146"/>
        <v>1214.8905795179664</v>
      </c>
      <c r="H978" s="24">
        <f t="shared" si="144"/>
        <v>650</v>
      </c>
      <c r="I978" s="12">
        <f t="shared" si="147"/>
        <v>0.16109688144087991</v>
      </c>
      <c r="J978" s="3">
        <f t="shared" si="148"/>
        <v>0.7</v>
      </c>
    </row>
    <row r="979" spans="2:10" x14ac:dyDescent="0.25">
      <c r="B979" s="3">
        <f t="shared" si="149"/>
        <v>4810</v>
      </c>
      <c r="C979" s="14">
        <f t="shared" si="150"/>
        <v>80.166666666666671</v>
      </c>
      <c r="D979" s="11">
        <f t="shared" si="151"/>
        <v>988.67735867784756</v>
      </c>
      <c r="E979" s="24">
        <f t="shared" si="143"/>
        <v>984.85382972676973</v>
      </c>
      <c r="F979" s="24">
        <f t="shared" si="145"/>
        <v>95.588223776945824</v>
      </c>
      <c r="G979" s="14">
        <f t="shared" si="146"/>
        <v>1213.6003763770939</v>
      </c>
      <c r="H979" s="24">
        <f t="shared" si="144"/>
        <v>650</v>
      </c>
      <c r="I979" s="12">
        <f t="shared" si="147"/>
        <v>0.16092136651286917</v>
      </c>
      <c r="J979" s="3">
        <f t="shared" si="148"/>
        <v>0.7</v>
      </c>
    </row>
    <row r="980" spans="2:10" x14ac:dyDescent="0.25">
      <c r="B980" s="3">
        <f t="shared" si="149"/>
        <v>4815</v>
      </c>
      <c r="C980" s="14">
        <f t="shared" si="150"/>
        <v>80.25</v>
      </c>
      <c r="D980" s="11">
        <f t="shared" si="151"/>
        <v>988.83278565885644</v>
      </c>
      <c r="E980" s="24">
        <f t="shared" si="143"/>
        <v>985.0147510932826</v>
      </c>
      <c r="F980" s="24">
        <f t="shared" si="145"/>
        <v>95.450864139345981</v>
      </c>
      <c r="G980" s="14">
        <f t="shared" si="146"/>
        <v>1212.3129656899309</v>
      </c>
      <c r="H980" s="24">
        <f t="shared" si="144"/>
        <v>650</v>
      </c>
      <c r="I980" s="12">
        <f t="shared" si="147"/>
        <v>0.16074623820240203</v>
      </c>
      <c r="J980" s="3">
        <f t="shared" si="148"/>
        <v>0.7</v>
      </c>
    </row>
    <row r="981" spans="2:10" x14ac:dyDescent="0.25">
      <c r="B981" s="3">
        <f t="shared" si="149"/>
        <v>4820</v>
      </c>
      <c r="C981" s="14">
        <f t="shared" si="150"/>
        <v>80.333333333333329</v>
      </c>
      <c r="D981" s="11">
        <f t="shared" si="151"/>
        <v>988.98805157560753</v>
      </c>
      <c r="E981" s="24">
        <f t="shared" si="143"/>
        <v>985.17549733148496</v>
      </c>
      <c r="F981" s="24">
        <f t="shared" si="145"/>
        <v>95.313856103064154</v>
      </c>
      <c r="G981" s="14">
        <f t="shared" si="146"/>
        <v>1211.0283382584753</v>
      </c>
      <c r="H981" s="24">
        <f t="shared" si="144"/>
        <v>650</v>
      </c>
      <c r="I981" s="12">
        <f t="shared" si="147"/>
        <v>0.16057149521875205</v>
      </c>
      <c r="J981" s="3">
        <f t="shared" si="148"/>
        <v>0.7</v>
      </c>
    </row>
    <row r="982" spans="2:10" x14ac:dyDescent="0.25">
      <c r="B982" s="3">
        <f t="shared" si="149"/>
        <v>4825</v>
      </c>
      <c r="C982" s="14">
        <f t="shared" si="150"/>
        <v>80.416666666666671</v>
      </c>
      <c r="D982" s="11">
        <f t="shared" si="151"/>
        <v>989.14315676156707</v>
      </c>
      <c r="E982" s="24">
        <f t="shared" si="143"/>
        <v>985.33606882670369</v>
      </c>
      <c r="F982" s="24">
        <f t="shared" si="145"/>
        <v>95.177198371584382</v>
      </c>
      <c r="G982" s="14">
        <f t="shared" si="146"/>
        <v>1209.7464849256551</v>
      </c>
      <c r="H982" s="24">
        <f t="shared" si="144"/>
        <v>650</v>
      </c>
      <c r="I982" s="12">
        <f t="shared" si="147"/>
        <v>0.16039713627699689</v>
      </c>
      <c r="J982" s="3">
        <f t="shared" si="148"/>
        <v>0.7</v>
      </c>
    </row>
    <row r="983" spans="2:10" x14ac:dyDescent="0.25">
      <c r="B983" s="3">
        <f t="shared" si="149"/>
        <v>4830</v>
      </c>
      <c r="C983" s="14">
        <f t="shared" si="150"/>
        <v>80.5</v>
      </c>
      <c r="D983" s="11">
        <f t="shared" si="151"/>
        <v>989.29810154916731</v>
      </c>
      <c r="E983" s="24">
        <f t="shared" si="143"/>
        <v>985.49646596298066</v>
      </c>
      <c r="F983" s="24">
        <f t="shared" si="145"/>
        <v>95.040889654666216</v>
      </c>
      <c r="G983" s="14">
        <f t="shared" si="146"/>
        <v>1208.4673965750567</v>
      </c>
      <c r="H983" s="24">
        <f t="shared" si="144"/>
        <v>650</v>
      </c>
      <c r="I983" s="12">
        <f t="shared" si="147"/>
        <v>0.16022316009798321</v>
      </c>
      <c r="J983" s="3">
        <f t="shared" si="148"/>
        <v>0.7</v>
      </c>
    </row>
    <row r="984" spans="2:10" x14ac:dyDescent="0.25">
      <c r="B984" s="3">
        <f t="shared" si="149"/>
        <v>4835</v>
      </c>
      <c r="C984" s="14">
        <f t="shared" si="150"/>
        <v>80.583333333333329</v>
      </c>
      <c r="D984" s="11">
        <f t="shared" si="151"/>
        <v>989.45288626980971</v>
      </c>
      <c r="E984" s="24">
        <f t="shared" si="143"/>
        <v>985.65668912307865</v>
      </c>
      <c r="F984" s="24">
        <f t="shared" si="145"/>
        <v>94.904928668276511</v>
      </c>
      <c r="G984" s="14">
        <f t="shared" si="146"/>
        <v>1207.1910641308295</v>
      </c>
      <c r="H984" s="24">
        <f t="shared" si="144"/>
        <v>650</v>
      </c>
      <c r="I984" s="12">
        <f t="shared" si="147"/>
        <v>0.16004956540830653</v>
      </c>
      <c r="J984" s="3">
        <f t="shared" si="148"/>
        <v>0.7</v>
      </c>
    </row>
    <row r="985" spans="2:10" x14ac:dyDescent="0.25">
      <c r="B985" s="3">
        <f t="shared" si="149"/>
        <v>4840</v>
      </c>
      <c r="C985" s="14">
        <f t="shared" si="150"/>
        <v>80.666666666666671</v>
      </c>
      <c r="D985" s="11">
        <f t="shared" si="151"/>
        <v>989.60751125386969</v>
      </c>
      <c r="E985" s="24">
        <f t="shared" si="143"/>
        <v>985.81673868848691</v>
      </c>
      <c r="F985" s="24">
        <f t="shared" si="145"/>
        <v>94.769314134569527</v>
      </c>
      <c r="G985" s="14">
        <f t="shared" si="146"/>
        <v>1205.9174785570253</v>
      </c>
      <c r="H985" s="24">
        <f t="shared" si="144"/>
        <v>650</v>
      </c>
      <c r="I985" s="12">
        <f t="shared" si="147"/>
        <v>0.15987635094022748</v>
      </c>
      <c r="J985" s="3">
        <f t="shared" si="148"/>
        <v>0.7</v>
      </c>
    </row>
    <row r="986" spans="2:10" x14ac:dyDescent="0.25">
      <c r="B986" s="3">
        <f t="shared" si="149"/>
        <v>4845</v>
      </c>
      <c r="C986" s="14">
        <f t="shared" si="150"/>
        <v>80.75</v>
      </c>
      <c r="D986" s="11">
        <f t="shared" si="151"/>
        <v>989.76197683070154</v>
      </c>
      <c r="E986" s="24">
        <f t="shared" si="143"/>
        <v>985.97661503942709</v>
      </c>
      <c r="F986" s="24">
        <f t="shared" si="145"/>
        <v>94.634044781861348</v>
      </c>
      <c r="G986" s="14">
        <f t="shared" si="146"/>
        <v>1204.6466308584911</v>
      </c>
      <c r="H986" s="24">
        <f t="shared" si="144"/>
        <v>650</v>
      </c>
      <c r="I986" s="12">
        <f t="shared" si="147"/>
        <v>0.15970351543177871</v>
      </c>
      <c r="J986" s="3">
        <f t="shared" si="148"/>
        <v>0.7</v>
      </c>
    </row>
    <row r="987" spans="2:10" x14ac:dyDescent="0.25">
      <c r="B987" s="3">
        <f t="shared" si="149"/>
        <v>4850</v>
      </c>
      <c r="C987" s="14">
        <f t="shared" si="150"/>
        <v>80.833333333333329</v>
      </c>
      <c r="D987" s="11">
        <f t="shared" si="151"/>
        <v>989.91628332864138</v>
      </c>
      <c r="E987" s="24">
        <f t="shared" si="143"/>
        <v>986.13631855485892</v>
      </c>
      <c r="F987" s="24">
        <f t="shared" si="145"/>
        <v>94.499119344561677</v>
      </c>
      <c r="G987" s="14">
        <f t="shared" si="146"/>
        <v>1203.3785120792013</v>
      </c>
      <c r="H987" s="24">
        <f t="shared" si="144"/>
        <v>650</v>
      </c>
      <c r="I987" s="12">
        <f t="shared" si="147"/>
        <v>0.15953105762655112</v>
      </c>
      <c r="J987" s="3">
        <f t="shared" si="148"/>
        <v>0.7</v>
      </c>
    </row>
    <row r="988" spans="2:10" x14ac:dyDescent="0.25">
      <c r="B988" s="3">
        <f t="shared" si="149"/>
        <v>4855</v>
      </c>
      <c r="C988" s="14">
        <f t="shared" si="150"/>
        <v>80.916666666666671</v>
      </c>
      <c r="D988" s="11">
        <f t="shared" si="151"/>
        <v>990.07043107501204</v>
      </c>
      <c r="E988" s="24">
        <f t="shared" si="143"/>
        <v>986.29584961248543</v>
      </c>
      <c r="F988" s="24">
        <f t="shared" si="145"/>
        <v>94.364536563165302</v>
      </c>
      <c r="G988" s="14">
        <f t="shared" si="146"/>
        <v>1202.1131133030149</v>
      </c>
      <c r="H988" s="24">
        <f t="shared" si="144"/>
        <v>650</v>
      </c>
      <c r="I988" s="12">
        <f t="shared" si="147"/>
        <v>0.15935897627378612</v>
      </c>
      <c r="J988" s="3">
        <f t="shared" si="148"/>
        <v>0.7</v>
      </c>
    </row>
    <row r="989" spans="2:10" x14ac:dyDescent="0.25">
      <c r="B989" s="3">
        <f t="shared" si="149"/>
        <v>4860</v>
      </c>
      <c r="C989" s="14">
        <f t="shared" si="150"/>
        <v>81</v>
      </c>
      <c r="D989" s="11">
        <f t="shared" si="151"/>
        <v>990.22442039612736</v>
      </c>
      <c r="E989" s="24">
        <f t="shared" si="143"/>
        <v>986.45520858875921</v>
      </c>
      <c r="F989" s="24">
        <f t="shared" si="145"/>
        <v>94.230295184203783</v>
      </c>
      <c r="G989" s="14">
        <f t="shared" si="146"/>
        <v>1200.8504256531119</v>
      </c>
      <c r="H989" s="24">
        <f t="shared" si="144"/>
        <v>650</v>
      </c>
      <c r="I989" s="12">
        <f t="shared" si="147"/>
        <v>0.15918727012830033</v>
      </c>
      <c r="J989" s="3">
        <f t="shared" si="148"/>
        <v>0.7</v>
      </c>
    </row>
    <row r="990" spans="2:10" x14ac:dyDescent="0.25">
      <c r="B990" s="3">
        <f t="shared" si="149"/>
        <v>4865</v>
      </c>
      <c r="C990" s="14">
        <f t="shared" si="150"/>
        <v>81.083333333333329</v>
      </c>
      <c r="D990" s="11">
        <f t="shared" si="151"/>
        <v>990.37825161729563</v>
      </c>
      <c r="E990" s="24">
        <f t="shared" si="143"/>
        <v>986.61439585888752</v>
      </c>
      <c r="F990" s="24">
        <f t="shared" si="145"/>
        <v>94.096393960202818</v>
      </c>
      <c r="G990" s="14">
        <f t="shared" si="146"/>
        <v>1199.5904402918202</v>
      </c>
      <c r="H990" s="24">
        <f t="shared" si="144"/>
        <v>650</v>
      </c>
      <c r="I990" s="12">
        <f t="shared" si="147"/>
        <v>0.15901593795045912</v>
      </c>
      <c r="J990" s="3">
        <f t="shared" si="148"/>
        <v>0.7</v>
      </c>
    </row>
    <row r="991" spans="2:10" x14ac:dyDescent="0.25">
      <c r="B991" s="3">
        <f t="shared" si="149"/>
        <v>4870</v>
      </c>
      <c r="C991" s="14">
        <f t="shared" si="150"/>
        <v>81.166666666666671</v>
      </c>
      <c r="D991" s="11">
        <f t="shared" si="151"/>
        <v>990.53192506282517</v>
      </c>
      <c r="E991" s="24">
        <f t="shared" si="143"/>
        <v>986.77341179683799</v>
      </c>
      <c r="F991" s="24">
        <f t="shared" si="145"/>
        <v>93.962831649679401</v>
      </c>
      <c r="G991" s="14">
        <f t="shared" si="146"/>
        <v>1198.3331484206731</v>
      </c>
      <c r="H991" s="24">
        <f t="shared" si="144"/>
        <v>650</v>
      </c>
      <c r="I991" s="12">
        <f t="shared" si="147"/>
        <v>0.15884497850618332</v>
      </c>
      <c r="J991" s="3">
        <f t="shared" si="148"/>
        <v>0.7</v>
      </c>
    </row>
    <row r="992" spans="2:10" x14ac:dyDescent="0.25">
      <c r="B992" s="3">
        <f t="shared" si="149"/>
        <v>4875</v>
      </c>
      <c r="C992" s="14">
        <f t="shared" si="150"/>
        <v>81.25</v>
      </c>
      <c r="D992" s="11">
        <f t="shared" si="151"/>
        <v>990.68544105602609</v>
      </c>
      <c r="E992" s="24">
        <f t="shared" si="143"/>
        <v>986.93225677534417</v>
      </c>
      <c r="F992" s="24">
        <f t="shared" si="145"/>
        <v>93.829607017048033</v>
      </c>
      <c r="G992" s="14">
        <f t="shared" si="146"/>
        <v>1197.0785412792654</v>
      </c>
      <c r="H992" s="24">
        <f t="shared" si="144"/>
        <v>650</v>
      </c>
      <c r="I992" s="12">
        <f t="shared" si="147"/>
        <v>0.158674390566797</v>
      </c>
      <c r="J992" s="3">
        <f t="shared" si="148"/>
        <v>0.7</v>
      </c>
    </row>
    <row r="993" spans="2:10" x14ac:dyDescent="0.25">
      <c r="B993" s="3">
        <f t="shared" si="149"/>
        <v>4880</v>
      </c>
      <c r="C993" s="14">
        <f t="shared" si="150"/>
        <v>81.333333333333329</v>
      </c>
      <c r="D993" s="11">
        <f t="shared" si="151"/>
        <v>990.83879991921685</v>
      </c>
      <c r="E993" s="24">
        <f t="shared" si="143"/>
        <v>987.090931165911</v>
      </c>
      <c r="F993" s="24">
        <f t="shared" si="145"/>
        <v>93.696718832646297</v>
      </c>
      <c r="G993" s="14">
        <f t="shared" si="146"/>
        <v>1195.8266101462821</v>
      </c>
      <c r="H993" s="24">
        <f t="shared" si="144"/>
        <v>650</v>
      </c>
      <c r="I993" s="12">
        <f t="shared" si="147"/>
        <v>0.15850417290915716</v>
      </c>
      <c r="J993" s="3">
        <f t="shared" si="148"/>
        <v>0.7</v>
      </c>
    </row>
    <row r="994" spans="2:10" x14ac:dyDescent="0.25">
      <c r="B994" s="3">
        <f t="shared" si="149"/>
        <v>4885</v>
      </c>
      <c r="C994" s="14">
        <f t="shared" si="150"/>
        <v>81.416666666666671</v>
      </c>
      <c r="D994" s="11">
        <f t="shared" si="151"/>
        <v>990.99200197372681</v>
      </c>
      <c r="E994" s="24">
        <f t="shared" si="143"/>
        <v>987.24943533882015</v>
      </c>
      <c r="F994" s="24">
        <f t="shared" si="145"/>
        <v>93.564165872666649</v>
      </c>
      <c r="G994" s="14">
        <f t="shared" si="146"/>
        <v>1194.5773463386247</v>
      </c>
      <c r="H994" s="24">
        <f t="shared" si="144"/>
        <v>650</v>
      </c>
      <c r="I994" s="12">
        <f t="shared" si="147"/>
        <v>0.15833432431553787</v>
      </c>
      <c r="J994" s="3">
        <f t="shared" si="148"/>
        <v>0.7</v>
      </c>
    </row>
    <row r="995" spans="2:10" x14ac:dyDescent="0.25">
      <c r="B995" s="3">
        <f t="shared" si="149"/>
        <v>4890</v>
      </c>
      <c r="C995" s="14">
        <f t="shared" si="150"/>
        <v>81.5</v>
      </c>
      <c r="D995" s="11">
        <f t="shared" si="151"/>
        <v>991.14504753990047</v>
      </c>
      <c r="E995" s="24">
        <f t="shared" si="143"/>
        <v>987.4077696631357</v>
      </c>
      <c r="F995" s="24">
        <f t="shared" si="145"/>
        <v>93.431946919119468</v>
      </c>
      <c r="G995" s="14">
        <f t="shared" si="146"/>
        <v>1193.3307412108693</v>
      </c>
      <c r="H995" s="24">
        <f t="shared" si="144"/>
        <v>650</v>
      </c>
      <c r="I995" s="12">
        <f t="shared" si="147"/>
        <v>0.15816484357355926</v>
      </c>
      <c r="J995" s="3">
        <f t="shared" si="148"/>
        <v>0.7</v>
      </c>
    </row>
    <row r="996" spans="2:10" x14ac:dyDescent="0.25">
      <c r="B996" s="3">
        <f t="shared" si="149"/>
        <v>4895</v>
      </c>
      <c r="C996" s="14">
        <f t="shared" si="150"/>
        <v>81.583333333333329</v>
      </c>
      <c r="D996" s="11">
        <f t="shared" si="151"/>
        <v>991.29793693710178</v>
      </c>
      <c r="E996" s="24">
        <f t="shared" si="143"/>
        <v>987.56593450670925</v>
      </c>
      <c r="F996" s="24">
        <f t="shared" si="145"/>
        <v>93.300060759813164</v>
      </c>
      <c r="G996" s="14">
        <f t="shared" si="146"/>
        <v>1192.086786155751</v>
      </c>
      <c r="H996" s="24">
        <f t="shared" si="144"/>
        <v>650</v>
      </c>
      <c r="I996" s="12">
        <f t="shared" si="147"/>
        <v>0.15799572947624441</v>
      </c>
      <c r="J996" s="3">
        <f t="shared" si="148"/>
        <v>0.7</v>
      </c>
    </row>
    <row r="997" spans="2:10" x14ac:dyDescent="0.25">
      <c r="B997" s="3">
        <f t="shared" si="149"/>
        <v>4900</v>
      </c>
      <c r="C997" s="14">
        <f t="shared" si="150"/>
        <v>81.666666666666671</v>
      </c>
      <c r="D997" s="11">
        <f t="shared" si="151"/>
        <v>991.45067048371857</v>
      </c>
      <c r="E997" s="24">
        <f t="shared" si="143"/>
        <v>987.72393023618554</v>
      </c>
      <c r="F997" s="24">
        <f t="shared" si="145"/>
        <v>93.16850618832575</v>
      </c>
      <c r="G997" s="14">
        <f t="shared" si="146"/>
        <v>1190.8454726038153</v>
      </c>
      <c r="H997" s="24">
        <f t="shared" si="144"/>
        <v>650</v>
      </c>
      <c r="I997" s="12">
        <f t="shared" si="147"/>
        <v>0.15782698082197322</v>
      </c>
      <c r="J997" s="3">
        <f t="shared" si="148"/>
        <v>0.7</v>
      </c>
    </row>
    <row r="998" spans="2:10" x14ac:dyDescent="0.25">
      <c r="B998" s="3">
        <f t="shared" si="149"/>
        <v>4905</v>
      </c>
      <c r="C998" s="14">
        <f t="shared" si="150"/>
        <v>81.75</v>
      </c>
      <c r="D998" s="11">
        <f t="shared" si="151"/>
        <v>991.60324849716505</v>
      </c>
      <c r="E998" s="24">
        <f t="shared" si="143"/>
        <v>987.88175721700748</v>
      </c>
      <c r="F998" s="24">
        <f t="shared" si="145"/>
        <v>93.037282003939481</v>
      </c>
      <c r="G998" s="14">
        <f t="shared" si="146"/>
        <v>1189.606792022681</v>
      </c>
      <c r="H998" s="24">
        <f t="shared" si="144"/>
        <v>650</v>
      </c>
      <c r="I998" s="12">
        <f t="shared" si="147"/>
        <v>0.15765859641438354</v>
      </c>
      <c r="J998" s="3">
        <f t="shared" si="148"/>
        <v>0.7</v>
      </c>
    </row>
    <row r="999" spans="2:10" x14ac:dyDescent="0.25">
      <c r="B999" s="3">
        <f t="shared" si="149"/>
        <v>4910</v>
      </c>
      <c r="C999" s="14">
        <f t="shared" si="150"/>
        <v>81.833333333333329</v>
      </c>
      <c r="D999" s="11">
        <f t="shared" si="151"/>
        <v>991.75567129388753</v>
      </c>
      <c r="E999" s="24">
        <f t="shared" si="143"/>
        <v>988.0394158134219</v>
      </c>
      <c r="F999" s="24">
        <f t="shared" si="145"/>
        <v>92.906387011640845</v>
      </c>
      <c r="G999" s="14">
        <f t="shared" si="146"/>
        <v>1188.3707359173313</v>
      </c>
      <c r="H999" s="24">
        <f t="shared" si="144"/>
        <v>650</v>
      </c>
      <c r="I999" s="12">
        <f t="shared" si="147"/>
        <v>0.15749057506240727</v>
      </c>
      <c r="J999" s="3">
        <f t="shared" si="148"/>
        <v>0.7</v>
      </c>
    </row>
    <row r="1000" spans="2:10" x14ac:dyDescent="0.25">
      <c r="B1000" s="3">
        <f t="shared" si="149"/>
        <v>4915</v>
      </c>
      <c r="C1000" s="14">
        <f t="shared" si="150"/>
        <v>81.916666666666671</v>
      </c>
      <c r="D1000" s="11">
        <f t="shared" si="151"/>
        <v>991.90793918936708</v>
      </c>
      <c r="E1000" s="24">
        <f t="shared" si="143"/>
        <v>988.19690638848431</v>
      </c>
      <c r="F1000" s="24">
        <f t="shared" si="145"/>
        <v>92.775820022069411</v>
      </c>
      <c r="G1000" s="14">
        <f t="shared" si="146"/>
        <v>1187.1372958297463</v>
      </c>
      <c r="H1000" s="24">
        <f t="shared" si="144"/>
        <v>650</v>
      </c>
      <c r="I1000" s="12">
        <f t="shared" si="147"/>
        <v>0.15732291558021852</v>
      </c>
      <c r="J1000" s="3">
        <f t="shared" si="148"/>
        <v>0.7</v>
      </c>
    </row>
    <row r="1001" spans="2:10" x14ac:dyDescent="0.25">
      <c r="B1001" s="3">
        <f t="shared" si="149"/>
        <v>4920</v>
      </c>
      <c r="C1001" s="14">
        <f t="shared" si="150"/>
        <v>82</v>
      </c>
      <c r="D1001" s="11">
        <f t="shared" si="151"/>
        <v>992.06005249812415</v>
      </c>
      <c r="E1001" s="24">
        <f t="shared" si="143"/>
        <v>988.35422930406457</v>
      </c>
      <c r="F1001" s="24">
        <f t="shared" si="145"/>
        <v>92.645579851489401</v>
      </c>
      <c r="G1001" s="14">
        <f t="shared" si="146"/>
        <v>1185.9064633390565</v>
      </c>
      <c r="H1001" s="24">
        <f t="shared" si="144"/>
        <v>650</v>
      </c>
      <c r="I1001" s="12">
        <f t="shared" si="147"/>
        <v>0.15715561678724926</v>
      </c>
      <c r="J1001" s="3">
        <f t="shared" si="148"/>
        <v>0.7</v>
      </c>
    </row>
    <row r="1002" spans="2:10" x14ac:dyDescent="0.25">
      <c r="B1002" s="3">
        <f t="shared" si="149"/>
        <v>4925</v>
      </c>
      <c r="C1002" s="14">
        <f t="shared" si="150"/>
        <v>82.083333333333329</v>
      </c>
      <c r="D1002" s="11">
        <f t="shared" si="151"/>
        <v>992.21201153372226</v>
      </c>
      <c r="E1002" s="24">
        <f t="shared" si="143"/>
        <v>988.51138492085181</v>
      </c>
      <c r="F1002" s="24">
        <f t="shared" si="145"/>
        <v>92.515665321761276</v>
      </c>
      <c r="G1002" s="14">
        <f t="shared" si="146"/>
        <v>1184.6782300605944</v>
      </c>
      <c r="H1002" s="24">
        <f t="shared" si="144"/>
        <v>650</v>
      </c>
      <c r="I1002" s="12">
        <f t="shared" si="147"/>
        <v>0.15698867750806922</v>
      </c>
      <c r="J1002" s="3">
        <f t="shared" si="148"/>
        <v>0.7</v>
      </c>
    </row>
    <row r="1003" spans="2:10" x14ac:dyDescent="0.25">
      <c r="B1003" s="3">
        <f t="shared" si="149"/>
        <v>4930</v>
      </c>
      <c r="C1003" s="14">
        <f t="shared" si="150"/>
        <v>82.166666666666671</v>
      </c>
      <c r="D1003" s="11">
        <f t="shared" si="151"/>
        <v>992.36381660877157</v>
      </c>
      <c r="E1003" s="24">
        <f t="shared" si="143"/>
        <v>988.66837359835984</v>
      </c>
      <c r="F1003" s="24">
        <f t="shared" si="145"/>
        <v>92.38607526029341</v>
      </c>
      <c r="G1003" s="14">
        <f t="shared" si="146"/>
        <v>1183.4525876462817</v>
      </c>
      <c r="H1003" s="24">
        <f t="shared" si="144"/>
        <v>650</v>
      </c>
      <c r="I1003" s="12">
        <f t="shared" si="147"/>
        <v>0.15682209657242746</v>
      </c>
      <c r="J1003" s="3">
        <f t="shared" si="148"/>
        <v>0.7</v>
      </c>
    </row>
    <row r="1004" spans="2:10" x14ac:dyDescent="0.25">
      <c r="B1004" s="3">
        <f t="shared" si="149"/>
        <v>4935</v>
      </c>
      <c r="C1004" s="14">
        <f t="shared" si="150"/>
        <v>82.25</v>
      </c>
      <c r="D1004" s="11">
        <f t="shared" si="151"/>
        <v>992.51546803493329</v>
      </c>
      <c r="E1004" s="24">
        <f t="shared" si="143"/>
        <v>988.82519569493229</v>
      </c>
      <c r="F1004" s="24">
        <f t="shared" si="145"/>
        <v>92.256808500025045</v>
      </c>
      <c r="G1004" s="14">
        <f t="shared" si="146"/>
        <v>1182.2295277839899</v>
      </c>
      <c r="H1004" s="24">
        <f t="shared" si="144"/>
        <v>650</v>
      </c>
      <c r="I1004" s="12">
        <f t="shared" si="147"/>
        <v>0.1566558728151716</v>
      </c>
      <c r="J1004" s="3">
        <f t="shared" si="148"/>
        <v>0.7</v>
      </c>
    </row>
    <row r="1005" spans="2:10" x14ac:dyDescent="0.25">
      <c r="B1005" s="3">
        <f t="shared" si="149"/>
        <v>4940</v>
      </c>
      <c r="C1005" s="14">
        <f t="shared" si="150"/>
        <v>82.333333333333329</v>
      </c>
      <c r="D1005" s="11">
        <f t="shared" si="151"/>
        <v>992.66696612292299</v>
      </c>
      <c r="E1005" s="24">
        <f t="shared" si="143"/>
        <v>988.98185156774741</v>
      </c>
      <c r="F1005" s="24">
        <f t="shared" si="145"/>
        <v>92.127863879389338</v>
      </c>
      <c r="G1005" s="14">
        <f t="shared" si="146"/>
        <v>1181.0090421980437</v>
      </c>
      <c r="H1005" s="24">
        <f t="shared" si="144"/>
        <v>650</v>
      </c>
      <c r="I1005" s="12">
        <f t="shared" si="147"/>
        <v>0.15649000507630548</v>
      </c>
      <c r="J1005" s="3">
        <f t="shared" si="148"/>
        <v>0.7</v>
      </c>
    </row>
    <row r="1006" spans="2:10" x14ac:dyDescent="0.25">
      <c r="B1006" s="3">
        <f t="shared" si="149"/>
        <v>4945</v>
      </c>
      <c r="C1006" s="14">
        <f t="shared" si="150"/>
        <v>82.416666666666671</v>
      </c>
      <c r="D1006" s="11">
        <f t="shared" si="151"/>
        <v>992.81831118251512</v>
      </c>
      <c r="E1006" s="24">
        <f t="shared" si="143"/>
        <v>989.13834157282372</v>
      </c>
      <c r="F1006" s="24">
        <f t="shared" si="145"/>
        <v>91.999240242284941</v>
      </c>
      <c r="G1006" s="14">
        <f t="shared" si="146"/>
        <v>1179.7911226484659</v>
      </c>
      <c r="H1006" s="24">
        <f t="shared" si="144"/>
        <v>650</v>
      </c>
      <c r="I1006" s="12">
        <f t="shared" si="147"/>
        <v>0.1563244922008924</v>
      </c>
      <c r="J1006" s="3">
        <f t="shared" si="148"/>
        <v>0.7</v>
      </c>
    </row>
    <row r="1007" spans="2:10" x14ac:dyDescent="0.25">
      <c r="B1007" s="3">
        <f t="shared" si="149"/>
        <v>4950</v>
      </c>
      <c r="C1007" s="14">
        <f t="shared" si="150"/>
        <v>82.5</v>
      </c>
      <c r="D1007" s="11">
        <f t="shared" si="151"/>
        <v>992.96950352254566</v>
      </c>
      <c r="E1007" s="24">
        <f t="shared" si="143"/>
        <v>989.29466606502456</v>
      </c>
      <c r="F1007" s="24">
        <f t="shared" si="145"/>
        <v>91.870936438027684</v>
      </c>
      <c r="G1007" s="14">
        <f t="shared" si="146"/>
        <v>1178.5757609305892</v>
      </c>
      <c r="H1007" s="24">
        <f t="shared" si="144"/>
        <v>650</v>
      </c>
      <c r="I1007" s="12">
        <f t="shared" si="147"/>
        <v>0.15615933303900192</v>
      </c>
      <c r="J1007" s="3">
        <f t="shared" si="148"/>
        <v>0.7</v>
      </c>
    </row>
    <row r="1008" spans="2:10" x14ac:dyDescent="0.25">
      <c r="B1008" s="3">
        <f t="shared" si="149"/>
        <v>4955</v>
      </c>
      <c r="C1008" s="14">
        <f t="shared" si="150"/>
        <v>82.583333333333329</v>
      </c>
      <c r="D1008" s="11">
        <f t="shared" si="151"/>
        <v>993.12054345091758</v>
      </c>
      <c r="E1008" s="24">
        <f t="shared" si="143"/>
        <v>989.45082539806356</v>
      </c>
      <c r="F1008" s="24">
        <f t="shared" si="145"/>
        <v>91.742951321350574</v>
      </c>
      <c r="G1008" s="14">
        <f t="shared" si="146"/>
        <v>1177.3629488755607</v>
      </c>
      <c r="H1008" s="24">
        <f t="shared" si="144"/>
        <v>650</v>
      </c>
      <c r="I1008" s="12">
        <f t="shared" si="147"/>
        <v>0.15599452644577153</v>
      </c>
      <c r="J1008" s="3">
        <f t="shared" si="148"/>
        <v>0.7</v>
      </c>
    </row>
    <row r="1009" spans="2:10" x14ac:dyDescent="0.25">
      <c r="B1009" s="3">
        <f t="shared" si="149"/>
        <v>4960</v>
      </c>
      <c r="C1009" s="14">
        <f t="shared" si="150"/>
        <v>82.666666666666671</v>
      </c>
      <c r="D1009" s="11">
        <f t="shared" si="151"/>
        <v>993.27143127460261</v>
      </c>
      <c r="E1009" s="24">
        <f t="shared" si="143"/>
        <v>989.6068199245093</v>
      </c>
      <c r="F1009" s="24">
        <f t="shared" si="145"/>
        <v>91.615283752332743</v>
      </c>
      <c r="G1009" s="14">
        <f t="shared" si="146"/>
        <v>1176.1526783494883</v>
      </c>
      <c r="H1009" s="24">
        <f t="shared" si="144"/>
        <v>650</v>
      </c>
      <c r="I1009" s="12">
        <f t="shared" si="147"/>
        <v>0.15583007128129314</v>
      </c>
      <c r="J1009" s="3">
        <f t="shared" si="148"/>
        <v>0.7</v>
      </c>
    </row>
    <row r="1010" spans="2:10" x14ac:dyDescent="0.25">
      <c r="B1010" s="3">
        <f t="shared" si="149"/>
        <v>4965</v>
      </c>
      <c r="C1010" s="14">
        <f t="shared" si="150"/>
        <v>82.75</v>
      </c>
      <c r="D1010" s="11">
        <f t="shared" si="151"/>
        <v>993.42216729964662</v>
      </c>
      <c r="E1010" s="24">
        <f t="shared" si="143"/>
        <v>989.76264999579064</v>
      </c>
      <c r="F1010" s="24">
        <f t="shared" si="145"/>
        <v>91.487932596399446</v>
      </c>
      <c r="G1010" s="14">
        <f t="shared" si="146"/>
        <v>1174.9449412536353</v>
      </c>
      <c r="H1010" s="24">
        <f t="shared" si="144"/>
        <v>650</v>
      </c>
      <c r="I1010" s="12">
        <f t="shared" si="147"/>
        <v>0.15566596641063704</v>
      </c>
      <c r="J1010" s="3">
        <f t="shared" si="148"/>
        <v>0.7</v>
      </c>
    </row>
    <row r="1011" spans="2:10" x14ac:dyDescent="0.25">
      <c r="B1011" s="3">
        <f t="shared" si="149"/>
        <v>4970</v>
      </c>
      <c r="C1011" s="14">
        <f t="shared" si="150"/>
        <v>82.833333333333329</v>
      </c>
      <c r="D1011" s="11">
        <f t="shared" si="151"/>
        <v>993.5727518311727</v>
      </c>
      <c r="E1011" s="24">
        <f t="shared" si="143"/>
        <v>989.91831596220129</v>
      </c>
      <c r="F1011" s="24">
        <f t="shared" si="145"/>
        <v>91.360896724285112</v>
      </c>
      <c r="G1011" s="14">
        <f t="shared" si="146"/>
        <v>1173.7397295242456</v>
      </c>
      <c r="H1011" s="24">
        <f t="shared" si="144"/>
        <v>650</v>
      </c>
      <c r="I1011" s="12">
        <f t="shared" si="147"/>
        <v>0.15550221070382572</v>
      </c>
      <c r="J1011" s="3">
        <f t="shared" si="148"/>
        <v>0.7</v>
      </c>
    </row>
    <row r="1012" spans="2:10" x14ac:dyDescent="0.25">
      <c r="B1012" s="3">
        <f t="shared" si="149"/>
        <v>4975</v>
      </c>
      <c r="C1012" s="14">
        <f t="shared" si="150"/>
        <v>82.916666666666671</v>
      </c>
      <c r="D1012" s="11">
        <f t="shared" si="151"/>
        <v>993.72318517338454</v>
      </c>
      <c r="E1012" s="24">
        <f t="shared" ref="E1012:E1075" si="152">E1011+I1011</f>
        <v>990.07381817290513</v>
      </c>
      <c r="F1012" s="24">
        <f t="shared" si="145"/>
        <v>91.23417501198503</v>
      </c>
      <c r="G1012" s="14">
        <f t="shared" si="146"/>
        <v>1172.537035131691</v>
      </c>
      <c r="H1012" s="24">
        <f t="shared" ref="H1012:H1075" si="153">IF(E1012&lt;600,425+0.773*E1012-1.69/1000*E1012^2+2.22/1000^2*E1012^3,IF(E1012&lt;735,666+13002/(738-E1012),IF(E1012&lt;900,545+17820/(E1012-731),650)))</f>
        <v>650</v>
      </c>
      <c r="I1012" s="12">
        <f t="shared" si="147"/>
        <v>0.15533880303572331</v>
      </c>
      <c r="J1012" s="3">
        <f t="shared" si="148"/>
        <v>0.7</v>
      </c>
    </row>
    <row r="1013" spans="2:10" x14ac:dyDescent="0.25">
      <c r="B1013" s="3">
        <f t="shared" si="149"/>
        <v>4980</v>
      </c>
      <c r="C1013" s="14">
        <f t="shared" si="150"/>
        <v>83</v>
      </c>
      <c r="D1013" s="11">
        <f t="shared" si="151"/>
        <v>993.87346762957111</v>
      </c>
      <c r="E1013" s="24">
        <f t="shared" si="152"/>
        <v>990.2291569759409</v>
      </c>
      <c r="F1013" s="24">
        <f t="shared" si="145"/>
        <v>91.107766340755347</v>
      </c>
      <c r="G1013" s="14">
        <f t="shared" si="146"/>
        <v>1171.3368500817121</v>
      </c>
      <c r="H1013" s="24">
        <f t="shared" si="153"/>
        <v>650</v>
      </c>
      <c r="I1013" s="12">
        <f t="shared" si="147"/>
        <v>0.15517574228618794</v>
      </c>
      <c r="J1013" s="3">
        <f t="shared" si="148"/>
        <v>0.7</v>
      </c>
    </row>
    <row r="1014" spans="2:10" x14ac:dyDescent="0.25">
      <c r="B1014" s="3">
        <f t="shared" si="149"/>
        <v>4985</v>
      </c>
      <c r="C1014" s="14">
        <f t="shared" si="150"/>
        <v>83.083333333333329</v>
      </c>
      <c r="D1014" s="11">
        <f t="shared" si="151"/>
        <v>994.02359950210871</v>
      </c>
      <c r="E1014" s="24">
        <f t="shared" si="152"/>
        <v>990.38433271822703</v>
      </c>
      <c r="F1014" s="24">
        <f t="shared" si="145"/>
        <v>90.981669597042014</v>
      </c>
      <c r="G1014" s="14">
        <f t="shared" si="146"/>
        <v>1170.139166413421</v>
      </c>
      <c r="H1014" s="24">
        <f t="shared" si="153"/>
        <v>650</v>
      </c>
      <c r="I1014" s="12">
        <f t="shared" si="147"/>
        <v>0.15501302733981759</v>
      </c>
      <c r="J1014" s="3">
        <f t="shared" si="148"/>
        <v>0.7</v>
      </c>
    </row>
    <row r="1015" spans="2:10" x14ac:dyDescent="0.25">
      <c r="B1015" s="3">
        <f t="shared" si="149"/>
        <v>4990</v>
      </c>
      <c r="C1015" s="14">
        <f t="shared" si="150"/>
        <v>83.166666666666671</v>
      </c>
      <c r="D1015" s="11">
        <f t="shared" si="151"/>
        <v>994.17358109246686</v>
      </c>
      <c r="E1015" s="24">
        <f t="shared" si="152"/>
        <v>990.53934574556683</v>
      </c>
      <c r="F1015" s="24">
        <f t="shared" si="145"/>
        <v>90.855883672500681</v>
      </c>
      <c r="G1015" s="14">
        <f t="shared" si="146"/>
        <v>1168.9439762007364</v>
      </c>
      <c r="H1015" s="24">
        <f t="shared" si="153"/>
        <v>650</v>
      </c>
      <c r="I1015" s="12">
        <f t="shared" si="147"/>
        <v>0.15485065708612897</v>
      </c>
      <c r="J1015" s="3">
        <f t="shared" si="148"/>
        <v>0.7</v>
      </c>
    </row>
    <row r="1016" spans="2:10" x14ac:dyDescent="0.25">
      <c r="B1016" s="3">
        <f t="shared" si="149"/>
        <v>4995</v>
      </c>
      <c r="C1016" s="14">
        <f t="shared" si="150"/>
        <v>83.25</v>
      </c>
      <c r="D1016" s="11">
        <f t="shared" si="151"/>
        <v>994.32341270120935</v>
      </c>
      <c r="E1016" s="24">
        <f t="shared" si="152"/>
        <v>990.69419640265301</v>
      </c>
      <c r="F1016" s="24">
        <f t="shared" si="145"/>
        <v>90.730407463908591</v>
      </c>
      <c r="G1016" s="14">
        <f t="shared" si="146"/>
        <v>1167.7512715507553</v>
      </c>
      <c r="H1016" s="24">
        <f t="shared" si="153"/>
        <v>650</v>
      </c>
      <c r="I1016" s="12">
        <f t="shared" si="147"/>
        <v>0.15468863041934638</v>
      </c>
      <c r="J1016" s="3">
        <f t="shared" si="148"/>
        <v>0.7</v>
      </c>
    </row>
    <row r="1017" spans="2:10" x14ac:dyDescent="0.25">
      <c r="B1017" s="3">
        <f t="shared" si="149"/>
        <v>5000</v>
      </c>
      <c r="C1017" s="14">
        <f t="shared" si="150"/>
        <v>83.333333333333329</v>
      </c>
      <c r="D1017" s="11">
        <f t="shared" si="151"/>
        <v>994.47309462800013</v>
      </c>
      <c r="E1017" s="24">
        <f t="shared" si="152"/>
        <v>990.84888503307241</v>
      </c>
      <c r="F1017" s="24">
        <f t="shared" si="145"/>
        <v>90.605239873193</v>
      </c>
      <c r="G1017" s="14">
        <f t="shared" si="146"/>
        <v>1166.5610446051287</v>
      </c>
      <c r="H1017" s="24">
        <f t="shared" si="153"/>
        <v>650</v>
      </c>
      <c r="I1017" s="12">
        <f t="shared" si="147"/>
        <v>0.15452694623857458</v>
      </c>
      <c r="J1017" s="3">
        <f t="shared" si="148"/>
        <v>0.7</v>
      </c>
    </row>
    <row r="1018" spans="2:10" x14ac:dyDescent="0.25">
      <c r="B1018" s="3">
        <f t="shared" si="149"/>
        <v>5005</v>
      </c>
      <c r="C1018" s="14">
        <f t="shared" si="150"/>
        <v>83.416666666666671</v>
      </c>
      <c r="D1018" s="11">
        <f t="shared" si="151"/>
        <v>994.6226271716057</v>
      </c>
      <c r="E1018" s="24">
        <f t="shared" si="152"/>
        <v>991.00341197931095</v>
      </c>
      <c r="F1018" s="24">
        <f t="shared" si="145"/>
        <v>90.480379807368649</v>
      </c>
      <c r="G1018" s="14">
        <f t="shared" si="146"/>
        <v>1165.3732875384349</v>
      </c>
      <c r="H1018" s="24">
        <f t="shared" si="153"/>
        <v>650</v>
      </c>
      <c r="I1018" s="12">
        <f t="shared" si="147"/>
        <v>0.15436560344759073</v>
      </c>
      <c r="J1018" s="3">
        <f t="shared" si="148"/>
        <v>0.7</v>
      </c>
    </row>
    <row r="1019" spans="2:10" x14ac:dyDescent="0.25">
      <c r="B1019" s="3">
        <f t="shared" si="149"/>
        <v>5010</v>
      </c>
      <c r="C1019" s="14">
        <f t="shared" si="150"/>
        <v>83.5</v>
      </c>
      <c r="D1019" s="11">
        <f t="shared" si="151"/>
        <v>994.77201062989889</v>
      </c>
      <c r="E1019" s="24">
        <f t="shared" si="152"/>
        <v>991.15777758275851</v>
      </c>
      <c r="F1019" s="24">
        <f t="shared" si="145"/>
        <v>90.355826178509346</v>
      </c>
      <c r="G1019" s="14">
        <f t="shared" si="146"/>
        <v>1164.1879925588557</v>
      </c>
      <c r="H1019" s="24">
        <f t="shared" si="153"/>
        <v>650</v>
      </c>
      <c r="I1019" s="12">
        <f t="shared" si="147"/>
        <v>0.15420460095492461</v>
      </c>
      <c r="J1019" s="3">
        <f t="shared" si="148"/>
        <v>0.7</v>
      </c>
    </row>
    <row r="1020" spans="2:10" x14ac:dyDescent="0.25">
      <c r="B1020" s="3">
        <f t="shared" si="149"/>
        <v>5015</v>
      </c>
      <c r="C1020" s="14">
        <f t="shared" si="150"/>
        <v>83.583333333333329</v>
      </c>
      <c r="D1020" s="11">
        <f t="shared" si="151"/>
        <v>994.92124529986245</v>
      </c>
      <c r="E1020" s="24">
        <f t="shared" si="152"/>
        <v>991.31198218371344</v>
      </c>
      <c r="F1020" s="24">
        <f t="shared" si="145"/>
        <v>90.231577903725224</v>
      </c>
      <c r="G1020" s="14">
        <f t="shared" si="146"/>
        <v>1163.005151907772</v>
      </c>
      <c r="H1020" s="24">
        <f t="shared" si="153"/>
        <v>650</v>
      </c>
      <c r="I1020" s="12">
        <f t="shared" si="147"/>
        <v>0.1540439376738055</v>
      </c>
      <c r="J1020" s="3">
        <f t="shared" si="148"/>
        <v>0.7</v>
      </c>
    </row>
    <row r="1021" spans="2:10" x14ac:dyDescent="0.25">
      <c r="B1021" s="3">
        <f t="shared" si="149"/>
        <v>5020</v>
      </c>
      <c r="C1021" s="14">
        <f t="shared" si="150"/>
        <v>83.666666666666671</v>
      </c>
      <c r="D1021" s="11">
        <f t="shared" si="151"/>
        <v>995.07033147759228</v>
      </c>
      <c r="E1021" s="24">
        <f t="shared" si="152"/>
        <v>991.46602612138724</v>
      </c>
      <c r="F1021" s="24">
        <f t="shared" si="145"/>
        <v>90.107633905125795</v>
      </c>
      <c r="G1021" s="14">
        <f t="shared" si="146"/>
        <v>1161.8247578594705</v>
      </c>
      <c r="H1021" s="24">
        <f t="shared" si="153"/>
        <v>650</v>
      </c>
      <c r="I1021" s="12">
        <f t="shared" si="147"/>
        <v>0.15388361252212199</v>
      </c>
      <c r="J1021" s="3">
        <f t="shared" si="148"/>
        <v>0.7</v>
      </c>
    </row>
    <row r="1022" spans="2:10" x14ac:dyDescent="0.25">
      <c r="B1022" s="3">
        <f t="shared" si="149"/>
        <v>5025</v>
      </c>
      <c r="C1022" s="14">
        <f t="shared" si="150"/>
        <v>83.75</v>
      </c>
      <c r="D1022" s="11">
        <f t="shared" si="151"/>
        <v>995.21926945830228</v>
      </c>
      <c r="E1022" s="24">
        <f t="shared" si="152"/>
        <v>991.61990973390937</v>
      </c>
      <c r="F1022" s="24">
        <f t="shared" si="145"/>
        <v>89.983993109822791</v>
      </c>
      <c r="G1022" s="14">
        <f t="shared" si="146"/>
        <v>1160.6468027210876</v>
      </c>
      <c r="H1022" s="24">
        <f t="shared" si="153"/>
        <v>650</v>
      </c>
      <c r="I1022" s="12">
        <f t="shared" si="147"/>
        <v>0.15372362442241524</v>
      </c>
      <c r="J1022" s="3">
        <f t="shared" si="148"/>
        <v>0.7</v>
      </c>
    </row>
    <row r="1023" spans="2:10" x14ac:dyDescent="0.25">
      <c r="B1023" s="3">
        <f t="shared" si="149"/>
        <v>5030</v>
      </c>
      <c r="C1023" s="14">
        <f t="shared" si="150"/>
        <v>83.833333333333329</v>
      </c>
      <c r="D1023" s="11">
        <f t="shared" si="151"/>
        <v>995.36805953632563</v>
      </c>
      <c r="E1023" s="24">
        <f t="shared" si="152"/>
        <v>991.77363335833184</v>
      </c>
      <c r="F1023" s="24">
        <f t="shared" si="145"/>
        <v>89.860654449844901</v>
      </c>
      <c r="G1023" s="14">
        <f t="shared" si="146"/>
        <v>1159.4712788324532</v>
      </c>
      <c r="H1023" s="24">
        <f t="shared" si="153"/>
        <v>650</v>
      </c>
      <c r="I1023" s="12">
        <f t="shared" si="147"/>
        <v>0.15356397230184951</v>
      </c>
      <c r="J1023" s="3">
        <f t="shared" si="148"/>
        <v>0.7</v>
      </c>
    </row>
    <row r="1024" spans="2:10" x14ac:dyDescent="0.25">
      <c r="B1024" s="3">
        <f t="shared" si="149"/>
        <v>5035</v>
      </c>
      <c r="C1024" s="14">
        <f t="shared" si="150"/>
        <v>83.916666666666671</v>
      </c>
      <c r="D1024" s="11">
        <f t="shared" si="151"/>
        <v>995.51670200512046</v>
      </c>
      <c r="E1024" s="24">
        <f t="shared" si="152"/>
        <v>991.9271973306337</v>
      </c>
      <c r="F1024" s="24">
        <f t="shared" si="145"/>
        <v>89.737616862169034</v>
      </c>
      <c r="G1024" s="14">
        <f t="shared" si="146"/>
        <v>1158.2981785658005</v>
      </c>
      <c r="H1024" s="24">
        <f t="shared" si="153"/>
        <v>650</v>
      </c>
      <c r="I1024" s="12">
        <f t="shared" si="147"/>
        <v>0.15340465509218007</v>
      </c>
      <c r="J1024" s="3">
        <f t="shared" si="148"/>
        <v>0.7</v>
      </c>
    </row>
    <row r="1025" spans="2:10" x14ac:dyDescent="0.25">
      <c r="B1025" s="3">
        <f t="shared" si="149"/>
        <v>5040</v>
      </c>
      <c r="C1025" s="14">
        <f t="shared" si="150"/>
        <v>84</v>
      </c>
      <c r="D1025" s="11">
        <f t="shared" si="151"/>
        <v>995.6651971572719</v>
      </c>
      <c r="E1025" s="24">
        <f t="shared" si="152"/>
        <v>992.08060198572593</v>
      </c>
      <c r="F1025" s="24">
        <f t="shared" si="145"/>
        <v>89.614879288649263</v>
      </c>
      <c r="G1025" s="14">
        <f t="shared" si="146"/>
        <v>1157.1274943257852</v>
      </c>
      <c r="H1025" s="24">
        <f t="shared" si="153"/>
        <v>650</v>
      </c>
      <c r="I1025" s="12">
        <f t="shared" si="147"/>
        <v>0.15324567172974693</v>
      </c>
      <c r="J1025" s="3">
        <f t="shared" si="148"/>
        <v>0.7</v>
      </c>
    </row>
    <row r="1026" spans="2:10" x14ac:dyDescent="0.25">
      <c r="B1026" s="3">
        <f t="shared" si="149"/>
        <v>5045</v>
      </c>
      <c r="C1026" s="14">
        <f t="shared" si="150"/>
        <v>84.083333333333329</v>
      </c>
      <c r="D1026" s="11">
        <f t="shared" si="151"/>
        <v>995.81354528449617</v>
      </c>
      <c r="E1026" s="24">
        <f t="shared" si="152"/>
        <v>992.23384765745573</v>
      </c>
      <c r="F1026" s="24">
        <f t="shared" si="145"/>
        <v>89.492440676011142</v>
      </c>
      <c r="G1026" s="14">
        <f t="shared" si="146"/>
        <v>1155.9592185490978</v>
      </c>
      <c r="H1026" s="24">
        <f t="shared" si="153"/>
        <v>650</v>
      </c>
      <c r="I1026" s="12">
        <f t="shared" si="147"/>
        <v>0.15308702115542658</v>
      </c>
      <c r="J1026" s="3">
        <f t="shared" si="148"/>
        <v>0.7</v>
      </c>
    </row>
    <row r="1027" spans="2:10" x14ac:dyDescent="0.25">
      <c r="B1027" s="3">
        <f t="shared" si="149"/>
        <v>5050</v>
      </c>
      <c r="C1027" s="14">
        <f t="shared" si="150"/>
        <v>84.166666666666671</v>
      </c>
      <c r="D1027" s="11">
        <f t="shared" si="151"/>
        <v>995.96174667764399</v>
      </c>
      <c r="E1027" s="24">
        <f t="shared" si="152"/>
        <v>992.38693467861117</v>
      </c>
      <c r="F1027" s="24">
        <f t="shared" si="145"/>
        <v>89.370299975820444</v>
      </c>
      <c r="G1027" s="14">
        <f t="shared" si="146"/>
        <v>1154.793343704406</v>
      </c>
      <c r="H1027" s="24">
        <f t="shared" si="153"/>
        <v>650</v>
      </c>
      <c r="I1027" s="12">
        <f t="shared" si="147"/>
        <v>0.15292870231462097</v>
      </c>
      <c r="J1027" s="3">
        <f t="shared" si="148"/>
        <v>0.7</v>
      </c>
    </row>
    <row r="1028" spans="2:10" x14ac:dyDescent="0.25">
      <c r="B1028" s="3">
        <f t="shared" si="149"/>
        <v>5055</v>
      </c>
      <c r="C1028" s="14">
        <f t="shared" si="150"/>
        <v>84.25</v>
      </c>
      <c r="D1028" s="11">
        <f t="shared" si="151"/>
        <v>996.10980162670353</v>
      </c>
      <c r="E1028" s="24">
        <f t="shared" si="152"/>
        <v>992.53986338092579</v>
      </c>
      <c r="F1028" s="24">
        <f t="shared" si="145"/>
        <v>89.248456144443367</v>
      </c>
      <c r="G1028" s="14">
        <f t="shared" si="146"/>
        <v>1153.6298622921022</v>
      </c>
      <c r="H1028" s="24">
        <f t="shared" si="153"/>
        <v>650</v>
      </c>
      <c r="I1028" s="12">
        <f t="shared" si="147"/>
        <v>0.1527707141572216</v>
      </c>
      <c r="J1028" s="3">
        <f t="shared" si="148"/>
        <v>0.7</v>
      </c>
    </row>
    <row r="1029" spans="2:10" x14ac:dyDescent="0.25">
      <c r="B1029" s="3">
        <f t="shared" si="149"/>
        <v>5060</v>
      </c>
      <c r="C1029" s="14">
        <f t="shared" si="150"/>
        <v>84.333333333333329</v>
      </c>
      <c r="D1029" s="11">
        <f t="shared" si="151"/>
        <v>996.25771042080441</v>
      </c>
      <c r="E1029" s="24">
        <f t="shared" si="152"/>
        <v>992.69263409508301</v>
      </c>
      <c r="F1029" s="24">
        <f t="shared" si="145"/>
        <v>89.126908143035166</v>
      </c>
      <c r="G1029" s="14">
        <f t="shared" si="146"/>
        <v>1152.4687668443421</v>
      </c>
      <c r="H1029" s="24">
        <f t="shared" si="153"/>
        <v>650</v>
      </c>
      <c r="I1029" s="12">
        <f t="shared" si="147"/>
        <v>0.15261305563761282</v>
      </c>
      <c r="J1029" s="3">
        <f t="shared" si="148"/>
        <v>0.7</v>
      </c>
    </row>
    <row r="1030" spans="2:10" x14ac:dyDescent="0.25">
      <c r="B1030" s="3">
        <f t="shared" si="149"/>
        <v>5065</v>
      </c>
      <c r="C1030" s="14">
        <f t="shared" si="150"/>
        <v>84.416666666666671</v>
      </c>
      <c r="D1030" s="11">
        <f t="shared" si="151"/>
        <v>996.40547334822077</v>
      </c>
      <c r="E1030" s="24">
        <f t="shared" si="152"/>
        <v>992.84524715072064</v>
      </c>
      <c r="F1030" s="24">
        <f t="shared" si="145"/>
        <v>89.005654937503209</v>
      </c>
      <c r="G1030" s="14">
        <f t="shared" si="146"/>
        <v>1151.3100499245413</v>
      </c>
      <c r="H1030" s="24">
        <f t="shared" si="153"/>
        <v>650</v>
      </c>
      <c r="I1030" s="12">
        <f t="shared" si="147"/>
        <v>0.15245572571460561</v>
      </c>
      <c r="J1030" s="3">
        <f t="shared" si="148"/>
        <v>0.7</v>
      </c>
    </row>
    <row r="1031" spans="2:10" x14ac:dyDescent="0.25">
      <c r="B1031" s="3">
        <f t="shared" si="149"/>
        <v>5070</v>
      </c>
      <c r="C1031" s="14">
        <f t="shared" si="150"/>
        <v>84.5</v>
      </c>
      <c r="D1031" s="11">
        <f t="shared" si="151"/>
        <v>996.55309069637474</v>
      </c>
      <c r="E1031" s="24">
        <f t="shared" si="152"/>
        <v>992.99770287643526</v>
      </c>
      <c r="F1031" s="24">
        <f t="shared" si="145"/>
        <v>88.884695498487076</v>
      </c>
      <c r="G1031" s="14">
        <f t="shared" si="146"/>
        <v>1150.153704127589</v>
      </c>
      <c r="H1031" s="24">
        <f t="shared" si="153"/>
        <v>650</v>
      </c>
      <c r="I1031" s="12">
        <f t="shared" si="147"/>
        <v>0.15229872335146108</v>
      </c>
      <c r="J1031" s="3">
        <f t="shared" si="148"/>
        <v>0.7</v>
      </c>
    </row>
    <row r="1032" spans="2:10" x14ac:dyDescent="0.25">
      <c r="B1032" s="3">
        <f t="shared" si="149"/>
        <v>5075</v>
      </c>
      <c r="C1032" s="14">
        <f t="shared" si="150"/>
        <v>84.583333333333329</v>
      </c>
      <c r="D1032" s="11">
        <f t="shared" si="151"/>
        <v>996.7005627518397</v>
      </c>
      <c r="E1032" s="24">
        <f t="shared" si="152"/>
        <v>993.15000159978672</v>
      </c>
      <c r="F1032" s="24">
        <f t="shared" si="145"/>
        <v>88.764028801324457</v>
      </c>
      <c r="G1032" s="14">
        <f t="shared" si="146"/>
        <v>1148.9997220792068</v>
      </c>
      <c r="H1032" s="24">
        <f t="shared" si="153"/>
        <v>650</v>
      </c>
      <c r="I1032" s="12">
        <f t="shared" si="147"/>
        <v>0.1521420475158077</v>
      </c>
      <c r="J1032" s="3">
        <f t="shared" si="148"/>
        <v>0.7</v>
      </c>
    </row>
    <row r="1033" spans="2:10" x14ac:dyDescent="0.25">
      <c r="B1033" s="3">
        <f t="shared" si="149"/>
        <v>5080</v>
      </c>
      <c r="C1033" s="14">
        <f t="shared" si="150"/>
        <v>84.666666666666671</v>
      </c>
      <c r="D1033" s="11">
        <f t="shared" si="151"/>
        <v>996.84788980034375</v>
      </c>
      <c r="E1033" s="24">
        <f t="shared" si="152"/>
        <v>993.3021436473025</v>
      </c>
      <c r="F1033" s="24">
        <f t="shared" si="145"/>
        <v>88.643653826031255</v>
      </c>
      <c r="G1033" s="14">
        <f t="shared" si="146"/>
        <v>1147.8480964363182</v>
      </c>
      <c r="H1033" s="24">
        <f t="shared" si="153"/>
        <v>650</v>
      </c>
      <c r="I1033" s="12">
        <f t="shared" si="147"/>
        <v>0.15198569717968427</v>
      </c>
      <c r="J1033" s="3">
        <f t="shared" si="148"/>
        <v>0.7</v>
      </c>
    </row>
    <row r="1034" spans="2:10" x14ac:dyDescent="0.25">
      <c r="B1034" s="3">
        <f t="shared" si="149"/>
        <v>5085</v>
      </c>
      <c r="C1034" s="14">
        <f t="shared" si="150"/>
        <v>84.75</v>
      </c>
      <c r="D1034" s="11">
        <f t="shared" si="151"/>
        <v>996.99507212677304</v>
      </c>
      <c r="E1034" s="24">
        <f t="shared" si="152"/>
        <v>993.45412934448223</v>
      </c>
      <c r="F1034" s="24">
        <f t="shared" si="145"/>
        <v>88.523569557270321</v>
      </c>
      <c r="G1034" s="14">
        <f t="shared" si="146"/>
        <v>1146.6988198866031</v>
      </c>
      <c r="H1034" s="24">
        <f t="shared" si="153"/>
        <v>650</v>
      </c>
      <c r="I1034" s="12">
        <f t="shared" si="147"/>
        <v>0.15182967131948125</v>
      </c>
      <c r="J1034" s="3">
        <f t="shared" si="148"/>
        <v>0.7</v>
      </c>
    </row>
    <row r="1035" spans="2:10" x14ac:dyDescent="0.25">
      <c r="B1035" s="3">
        <f t="shared" si="149"/>
        <v>5090</v>
      </c>
      <c r="C1035" s="14">
        <f t="shared" si="150"/>
        <v>84.833333333333329</v>
      </c>
      <c r="D1035" s="11">
        <f t="shared" si="151"/>
        <v>997.14211001517469</v>
      </c>
      <c r="E1035" s="24">
        <f t="shared" si="152"/>
        <v>993.60595901580166</v>
      </c>
      <c r="F1035" s="24">
        <f t="shared" si="145"/>
        <v>88.403774984325878</v>
      </c>
      <c r="G1035" s="14">
        <f t="shared" si="146"/>
        <v>1145.5518851482834</v>
      </c>
      <c r="H1035" s="24">
        <f t="shared" si="153"/>
        <v>650</v>
      </c>
      <c r="I1035" s="12">
        <f t="shared" si="147"/>
        <v>0.15167396891591117</v>
      </c>
      <c r="J1035" s="3">
        <f t="shared" si="148"/>
        <v>0.7</v>
      </c>
    </row>
    <row r="1036" spans="2:10" x14ac:dyDescent="0.25">
      <c r="B1036" s="3">
        <f t="shared" si="149"/>
        <v>5095</v>
      </c>
      <c r="C1036" s="14">
        <f t="shared" si="150"/>
        <v>84.916666666666671</v>
      </c>
      <c r="D1036" s="11">
        <f t="shared" si="151"/>
        <v>997.28900374876071</v>
      </c>
      <c r="E1036" s="24">
        <f t="shared" si="152"/>
        <v>993.75763298471759</v>
      </c>
      <c r="F1036" s="24">
        <f t="shared" si="145"/>
        <v>88.284269101077939</v>
      </c>
      <c r="G1036" s="14">
        <f t="shared" si="146"/>
        <v>1144.4072849699305</v>
      </c>
      <c r="H1036" s="24">
        <f t="shared" si="153"/>
        <v>650</v>
      </c>
      <c r="I1036" s="12">
        <f t="shared" si="147"/>
        <v>0.15151858895398199</v>
      </c>
      <c r="J1036" s="3">
        <f t="shared" si="148"/>
        <v>0.7</v>
      </c>
    </row>
    <row r="1037" spans="2:10" x14ac:dyDescent="0.25">
      <c r="B1037" s="3">
        <f t="shared" si="149"/>
        <v>5100</v>
      </c>
      <c r="C1037" s="14">
        <f t="shared" si="150"/>
        <v>85</v>
      </c>
      <c r="D1037" s="11">
        <f t="shared" si="151"/>
        <v>997.43575360991076</v>
      </c>
      <c r="E1037" s="24">
        <f t="shared" si="152"/>
        <v>993.90915157367158</v>
      </c>
      <c r="F1037" s="24">
        <f t="shared" si="145"/>
        <v>88.16505090597957</v>
      </c>
      <c r="G1037" s="14">
        <f t="shared" si="146"/>
        <v>1143.2650121305805</v>
      </c>
      <c r="H1037" s="24">
        <f t="shared" si="153"/>
        <v>650</v>
      </c>
      <c r="I1037" s="12">
        <f t="shared" si="147"/>
        <v>0.15136353042300849</v>
      </c>
      <c r="J1037" s="3">
        <f t="shared" si="148"/>
        <v>0.7</v>
      </c>
    </row>
    <row r="1038" spans="2:10" x14ac:dyDescent="0.25">
      <c r="B1038" s="3">
        <f t="shared" si="149"/>
        <v>5105</v>
      </c>
      <c r="C1038" s="14">
        <f t="shared" si="150"/>
        <v>85.083333333333329</v>
      </c>
      <c r="D1038" s="11">
        <f t="shared" si="151"/>
        <v>997.58235988017577</v>
      </c>
      <c r="E1038" s="24">
        <f t="shared" si="152"/>
        <v>994.06051510409463</v>
      </c>
      <c r="F1038" s="24">
        <f t="shared" si="145"/>
        <v>88.046119402028467</v>
      </c>
      <c r="G1038" s="14">
        <f t="shared" si="146"/>
        <v>1142.125059439483</v>
      </c>
      <c r="H1038" s="24">
        <f t="shared" si="153"/>
        <v>650</v>
      </c>
      <c r="I1038" s="12">
        <f t="shared" si="147"/>
        <v>0.15120879231657763</v>
      </c>
      <c r="J1038" s="3">
        <f t="shared" si="148"/>
        <v>0.7</v>
      </c>
    </row>
    <row r="1039" spans="2:10" x14ac:dyDescent="0.25">
      <c r="B1039" s="3">
        <f t="shared" si="149"/>
        <v>5110</v>
      </c>
      <c r="C1039" s="14">
        <f t="shared" si="150"/>
        <v>85.166666666666671</v>
      </c>
      <c r="D1039" s="11">
        <f t="shared" si="151"/>
        <v>997.72882284028094</v>
      </c>
      <c r="E1039" s="24">
        <f t="shared" si="152"/>
        <v>994.21172389641117</v>
      </c>
      <c r="F1039" s="24">
        <f t="shared" si="145"/>
        <v>87.927473596744221</v>
      </c>
      <c r="G1039" s="14">
        <f t="shared" si="146"/>
        <v>1140.9874197355969</v>
      </c>
      <c r="H1039" s="24">
        <f t="shared" si="153"/>
        <v>650</v>
      </c>
      <c r="I1039" s="12">
        <f t="shared" si="147"/>
        <v>0.15105437363248414</v>
      </c>
      <c r="J1039" s="3">
        <f t="shared" si="148"/>
        <v>0.7</v>
      </c>
    </row>
    <row r="1040" spans="2:10" x14ac:dyDescent="0.25">
      <c r="B1040" s="3">
        <f t="shared" si="149"/>
        <v>5115</v>
      </c>
      <c r="C1040" s="14">
        <f t="shared" si="150"/>
        <v>85.25</v>
      </c>
      <c r="D1040" s="11">
        <f t="shared" si="151"/>
        <v>997.8751427701286</v>
      </c>
      <c r="E1040" s="24">
        <f t="shared" si="152"/>
        <v>994.36277827004369</v>
      </c>
      <c r="F1040" s="24">
        <f t="shared" si="145"/>
        <v>87.809112502122844</v>
      </c>
      <c r="G1040" s="14">
        <f t="shared" si="146"/>
        <v>1139.8520858877839</v>
      </c>
      <c r="H1040" s="24">
        <f t="shared" si="153"/>
        <v>650</v>
      </c>
      <c r="I1040" s="12">
        <f t="shared" si="147"/>
        <v>0.15090027337274839</v>
      </c>
      <c r="J1040" s="3">
        <f t="shared" si="148"/>
        <v>0.7</v>
      </c>
    </row>
    <row r="1041" spans="2:10" x14ac:dyDescent="0.25">
      <c r="B1041" s="3">
        <f t="shared" si="149"/>
        <v>5120</v>
      </c>
      <c r="C1041" s="14">
        <f t="shared" si="150"/>
        <v>85.333333333333329</v>
      </c>
      <c r="D1041" s="11">
        <f t="shared" si="151"/>
        <v>998.02131994880278</v>
      </c>
      <c r="E1041" s="24">
        <f t="shared" si="152"/>
        <v>994.5136785434164</v>
      </c>
      <c r="F1041" s="24">
        <f t="shared" ref="F1041:F1104" si="154">AlphaC*(D1041-E1041)</f>
        <v>87.691035134659501</v>
      </c>
      <c r="G1041" s="14">
        <f t="shared" ref="G1041:G1104" si="155">Phi*EpsilonF*Botzman/10^8*J1041*((D1041+273)^4-(E1041+273)^4)</f>
        <v>1138.7190507947516</v>
      </c>
      <c r="H1041" s="24">
        <f t="shared" si="153"/>
        <v>650</v>
      </c>
      <c r="I1041" s="12">
        <f t="shared" ref="I1041:I1104" si="156">ksh*Massivete/(H1041*RhoA)*DeltaT*(F1041+G1041)</f>
        <v>0.15074649054361244</v>
      </c>
      <c r="J1041" s="3">
        <f t="shared" ref="J1041:J1104" si="157">IF(E1041&lt;=500,IF(Galva=Oui,0.35,0.7),0.7)</f>
        <v>0.7</v>
      </c>
    </row>
    <row r="1042" spans="2:10" x14ac:dyDescent="0.25">
      <c r="B1042" s="3">
        <f t="shared" ref="B1042:B1105" si="158">B1041+DeltaT</f>
        <v>5125</v>
      </c>
      <c r="C1042" s="14">
        <f t="shared" ref="C1042:C1105" si="159">B1042/60</f>
        <v>85.416666666666671</v>
      </c>
      <c r="D1042" s="11">
        <f t="shared" ref="D1042:D1105" si="160">20+345*LOG(8*C1042+1,10)</f>
        <v>998.16735465457054</v>
      </c>
      <c r="E1042" s="24">
        <f t="shared" si="152"/>
        <v>994.66442503396001</v>
      </c>
      <c r="F1042" s="24">
        <f t="shared" si="154"/>
        <v>87.573240515263251</v>
      </c>
      <c r="G1042" s="14">
        <f t="shared" si="155"/>
        <v>1137.5883073846255</v>
      </c>
      <c r="H1042" s="24">
        <f t="shared" si="153"/>
        <v>650</v>
      </c>
      <c r="I1042" s="12">
        <f t="shared" si="156"/>
        <v>0.15059302415547679</v>
      </c>
      <c r="J1042" s="3">
        <f t="shared" si="157"/>
        <v>0.7</v>
      </c>
    </row>
    <row r="1043" spans="2:10" x14ac:dyDescent="0.25">
      <c r="B1043" s="3">
        <f t="shared" si="158"/>
        <v>5130</v>
      </c>
      <c r="C1043" s="14">
        <f t="shared" si="159"/>
        <v>85.5</v>
      </c>
      <c r="D1043" s="11">
        <f t="shared" si="160"/>
        <v>998.31324716488677</v>
      </c>
      <c r="E1043" s="24">
        <f t="shared" si="152"/>
        <v>994.81501805811547</v>
      </c>
      <c r="F1043" s="24">
        <f t="shared" si="154"/>
        <v>87.455727669282624</v>
      </c>
      <c r="G1043" s="14">
        <f t="shared" si="155"/>
        <v>1136.4598486146979</v>
      </c>
      <c r="H1043" s="24">
        <f t="shared" si="153"/>
        <v>650</v>
      </c>
      <c r="I1043" s="12">
        <f t="shared" si="156"/>
        <v>0.15043987322287269</v>
      </c>
      <c r="J1043" s="3">
        <f t="shared" si="157"/>
        <v>0.7</v>
      </c>
    </row>
    <row r="1044" spans="2:10" x14ac:dyDescent="0.25">
      <c r="B1044" s="3">
        <f t="shared" si="158"/>
        <v>5135</v>
      </c>
      <c r="C1044" s="14">
        <f t="shared" si="159"/>
        <v>85.583333333333329</v>
      </c>
      <c r="D1044" s="11">
        <f t="shared" si="160"/>
        <v>998.45899775639612</v>
      </c>
      <c r="E1044" s="24">
        <f t="shared" si="152"/>
        <v>994.96545793133839</v>
      </c>
      <c r="F1044" s="24">
        <f t="shared" si="154"/>
        <v>87.338495626443091</v>
      </c>
      <c r="G1044" s="14">
        <f t="shared" si="155"/>
        <v>1135.3336674715638</v>
      </c>
      <c r="H1044" s="24">
        <f t="shared" si="153"/>
        <v>650</v>
      </c>
      <c r="I1044" s="12">
        <f t="shared" si="156"/>
        <v>0.15028703676447133</v>
      </c>
      <c r="J1044" s="3">
        <f t="shared" si="157"/>
        <v>0.7</v>
      </c>
    </row>
    <row r="1045" spans="2:10" x14ac:dyDescent="0.25">
      <c r="B1045" s="3">
        <f t="shared" si="158"/>
        <v>5140</v>
      </c>
      <c r="C1045" s="14">
        <f t="shared" si="159"/>
        <v>85.666666666666671</v>
      </c>
      <c r="D1045" s="11">
        <f t="shared" si="160"/>
        <v>998.60460670493728</v>
      </c>
      <c r="E1045" s="24">
        <f t="shared" si="152"/>
        <v>995.11574496810283</v>
      </c>
      <c r="F1045" s="24">
        <f t="shared" si="154"/>
        <v>87.221543420861281</v>
      </c>
      <c r="G1045" s="14">
        <f t="shared" si="155"/>
        <v>1134.2097569711202</v>
      </c>
      <c r="H1045" s="24">
        <f t="shared" si="153"/>
        <v>650</v>
      </c>
      <c r="I1045" s="12">
        <f t="shared" si="156"/>
        <v>0.15013451380308521</v>
      </c>
      <c r="J1045" s="3">
        <f t="shared" si="157"/>
        <v>0.7</v>
      </c>
    </row>
    <row r="1046" spans="2:10" x14ac:dyDescent="0.25">
      <c r="B1046" s="3">
        <f t="shared" si="158"/>
        <v>5145</v>
      </c>
      <c r="C1046" s="14">
        <f t="shared" si="159"/>
        <v>85.75</v>
      </c>
      <c r="D1046" s="11">
        <f t="shared" si="160"/>
        <v>998.75007428554477</v>
      </c>
      <c r="E1046" s="24">
        <f t="shared" si="152"/>
        <v>995.26587948190593</v>
      </c>
      <c r="F1046" s="24">
        <f t="shared" si="154"/>
        <v>87.104870090971076</v>
      </c>
      <c r="G1046" s="14">
        <f t="shared" si="155"/>
        <v>1133.0881101575205</v>
      </c>
      <c r="H1046" s="24">
        <f t="shared" si="153"/>
        <v>650</v>
      </c>
      <c r="I1046" s="12">
        <f t="shared" si="156"/>
        <v>0.1499823033655307</v>
      </c>
      <c r="J1046" s="3">
        <f t="shared" si="157"/>
        <v>0.7</v>
      </c>
    </row>
    <row r="1047" spans="2:10" x14ac:dyDescent="0.25">
      <c r="B1047" s="3">
        <f t="shared" si="158"/>
        <v>5150</v>
      </c>
      <c r="C1047" s="14">
        <f t="shared" si="159"/>
        <v>85.833333333333329</v>
      </c>
      <c r="D1047" s="11">
        <f t="shared" si="160"/>
        <v>998.89540077245374</v>
      </c>
      <c r="E1047" s="24">
        <f t="shared" si="152"/>
        <v>995.41586178527143</v>
      </c>
      <c r="F1047" s="24">
        <f t="shared" si="154"/>
        <v>86.988474679557726</v>
      </c>
      <c r="G1047" s="14">
        <f t="shared" si="155"/>
        <v>1131.968720104433</v>
      </c>
      <c r="H1047" s="24">
        <f t="shared" si="153"/>
        <v>650</v>
      </c>
      <c r="I1047" s="12">
        <f t="shared" si="156"/>
        <v>0.14983040448278701</v>
      </c>
      <c r="J1047" s="3">
        <f t="shared" si="157"/>
        <v>0.7</v>
      </c>
    </row>
    <row r="1048" spans="2:10" x14ac:dyDescent="0.25">
      <c r="B1048" s="3">
        <f t="shared" si="158"/>
        <v>5155</v>
      </c>
      <c r="C1048" s="14">
        <f t="shared" si="159"/>
        <v>85.916666666666671</v>
      </c>
      <c r="D1048" s="11">
        <f t="shared" si="160"/>
        <v>999.04058643910128</v>
      </c>
      <c r="E1048" s="24">
        <f t="shared" si="152"/>
        <v>995.56569218975426</v>
      </c>
      <c r="F1048" s="24">
        <f t="shared" si="154"/>
        <v>86.872356233675418</v>
      </c>
      <c r="G1048" s="14">
        <f t="shared" si="155"/>
        <v>1130.8515799135114</v>
      </c>
      <c r="H1048" s="24">
        <f t="shared" si="153"/>
        <v>650</v>
      </c>
      <c r="I1048" s="12">
        <f t="shared" si="156"/>
        <v>0.14967881618979775</v>
      </c>
      <c r="J1048" s="3">
        <f t="shared" si="157"/>
        <v>0.7</v>
      </c>
    </row>
    <row r="1049" spans="2:10" x14ac:dyDescent="0.25">
      <c r="B1049" s="3">
        <f t="shared" si="158"/>
        <v>5160</v>
      </c>
      <c r="C1049" s="14">
        <f t="shared" si="159"/>
        <v>86</v>
      </c>
      <c r="D1049" s="11">
        <f t="shared" si="160"/>
        <v>999.18563155813081</v>
      </c>
      <c r="E1049" s="24">
        <f t="shared" si="152"/>
        <v>995.71537100594401</v>
      </c>
      <c r="F1049" s="24">
        <f t="shared" si="154"/>
        <v>86.756513804670021</v>
      </c>
      <c r="G1049" s="14">
        <f t="shared" si="155"/>
        <v>1129.7366827151875</v>
      </c>
      <c r="H1049" s="24">
        <f t="shared" si="153"/>
        <v>650</v>
      </c>
      <c r="I1049" s="12">
        <f t="shared" si="156"/>
        <v>0.14952753752557166</v>
      </c>
      <c r="J1049" s="3">
        <f t="shared" si="157"/>
        <v>0.7</v>
      </c>
    </row>
    <row r="1050" spans="2:10" x14ac:dyDescent="0.25">
      <c r="B1050" s="3">
        <f t="shared" si="158"/>
        <v>5165</v>
      </c>
      <c r="C1050" s="14">
        <f t="shared" si="159"/>
        <v>86.083333333333329</v>
      </c>
      <c r="D1050" s="11">
        <f t="shared" si="160"/>
        <v>999.33053640139485</v>
      </c>
      <c r="E1050" s="24">
        <f t="shared" si="152"/>
        <v>995.86489854346962</v>
      </c>
      <c r="F1050" s="24">
        <f t="shared" si="154"/>
        <v>86.640946448130762</v>
      </c>
      <c r="G1050" s="14">
        <f t="shared" si="155"/>
        <v>1128.6240216680721</v>
      </c>
      <c r="H1050" s="24">
        <f t="shared" si="153"/>
        <v>650</v>
      </c>
      <c r="I1050" s="12">
        <f t="shared" si="156"/>
        <v>0.14937656753310244</v>
      </c>
      <c r="J1050" s="3">
        <f t="shared" si="157"/>
        <v>0.7</v>
      </c>
    </row>
    <row r="1051" spans="2:10" x14ac:dyDescent="0.25">
      <c r="B1051" s="3">
        <f t="shared" si="158"/>
        <v>5170</v>
      </c>
      <c r="C1051" s="14">
        <f t="shared" si="159"/>
        <v>86.166666666666671</v>
      </c>
      <c r="D1051" s="11">
        <f t="shared" si="160"/>
        <v>999.47530123995762</v>
      </c>
      <c r="E1051" s="24">
        <f t="shared" si="152"/>
        <v>996.01427511100269</v>
      </c>
      <c r="F1051" s="24">
        <f t="shared" si="154"/>
        <v>86.525653223873178</v>
      </c>
      <c r="G1051" s="14">
        <f t="shared" si="155"/>
        <v>1127.5135899588768</v>
      </c>
      <c r="H1051" s="24">
        <f t="shared" si="153"/>
        <v>650</v>
      </c>
      <c r="I1051" s="12">
        <f t="shared" si="156"/>
        <v>0.14922590525935753</v>
      </c>
      <c r="J1051" s="3">
        <f t="shared" si="157"/>
        <v>0.7</v>
      </c>
    </row>
    <row r="1052" spans="2:10" x14ac:dyDescent="0.25">
      <c r="B1052" s="3">
        <f t="shared" si="158"/>
        <v>5175</v>
      </c>
      <c r="C1052" s="14">
        <f t="shared" si="159"/>
        <v>86.25</v>
      </c>
      <c r="D1052" s="11">
        <f t="shared" si="160"/>
        <v>999.6199263440983</v>
      </c>
      <c r="E1052" s="24">
        <f t="shared" si="152"/>
        <v>996.1635010162621</v>
      </c>
      <c r="F1052" s="24">
        <f t="shared" si="154"/>
        <v>86.410633195905007</v>
      </c>
      <c r="G1052" s="14">
        <f t="shared" si="155"/>
        <v>1126.4053808022006</v>
      </c>
      <c r="H1052" s="24">
        <f t="shared" si="153"/>
        <v>650</v>
      </c>
      <c r="I1052" s="12">
        <f t="shared" si="156"/>
        <v>0.14907554975524737</v>
      </c>
      <c r="J1052" s="3">
        <f t="shared" si="157"/>
        <v>0.7</v>
      </c>
    </row>
    <row r="1053" spans="2:10" x14ac:dyDescent="0.25">
      <c r="B1053" s="3">
        <f t="shared" si="158"/>
        <v>5180</v>
      </c>
      <c r="C1053" s="14">
        <f t="shared" si="159"/>
        <v>86.333333333333329</v>
      </c>
      <c r="D1053" s="11">
        <f t="shared" si="160"/>
        <v>999.76441198331497</v>
      </c>
      <c r="E1053" s="24">
        <f t="shared" si="152"/>
        <v>996.31257656601736</v>
      </c>
      <c r="F1053" s="24">
        <f t="shared" si="154"/>
        <v>86.2958854324404</v>
      </c>
      <c r="G1053" s="14">
        <f t="shared" si="155"/>
        <v>1125.2993874409763</v>
      </c>
      <c r="H1053" s="24">
        <f t="shared" si="153"/>
        <v>650</v>
      </c>
      <c r="I1053" s="12">
        <f t="shared" si="156"/>
        <v>0.14892550007568228</v>
      </c>
      <c r="J1053" s="3">
        <f t="shared" si="157"/>
        <v>0.7</v>
      </c>
    </row>
    <row r="1054" spans="2:10" x14ac:dyDescent="0.25">
      <c r="B1054" s="3">
        <f t="shared" si="158"/>
        <v>5185</v>
      </c>
      <c r="C1054" s="14">
        <f t="shared" si="159"/>
        <v>86.416666666666671</v>
      </c>
      <c r="D1054" s="11">
        <f t="shared" si="160"/>
        <v>999.90875842632556</v>
      </c>
      <c r="E1054" s="24">
        <f t="shared" si="152"/>
        <v>996.46150206609309</v>
      </c>
      <c r="F1054" s="24">
        <f t="shared" si="154"/>
        <v>86.181409005811815</v>
      </c>
      <c r="G1054" s="14">
        <f t="shared" si="155"/>
        <v>1124.1956031453651</v>
      </c>
      <c r="H1054" s="24">
        <f t="shared" si="153"/>
        <v>650</v>
      </c>
      <c r="I1054" s="12">
        <f t="shared" si="156"/>
        <v>0.14877575527942552</v>
      </c>
      <c r="J1054" s="3">
        <f t="shared" si="157"/>
        <v>0.7</v>
      </c>
    </row>
    <row r="1055" spans="2:10" x14ac:dyDescent="0.25">
      <c r="B1055" s="3">
        <f t="shared" si="158"/>
        <v>5190</v>
      </c>
      <c r="C1055" s="14">
        <f t="shared" si="159"/>
        <v>86.5</v>
      </c>
      <c r="D1055" s="11">
        <f t="shared" si="160"/>
        <v>1000.0529659410732</v>
      </c>
      <c r="E1055" s="24">
        <f t="shared" si="152"/>
        <v>996.61027782137251</v>
      </c>
      <c r="F1055" s="24">
        <f t="shared" si="154"/>
        <v>86.067202992518332</v>
      </c>
      <c r="G1055" s="14">
        <f t="shared" si="155"/>
        <v>1123.0940212130088</v>
      </c>
      <c r="H1055" s="24">
        <f t="shared" si="153"/>
        <v>650</v>
      </c>
      <c r="I1055" s="12">
        <f t="shared" si="156"/>
        <v>0.14862631442913027</v>
      </c>
      <c r="J1055" s="3">
        <f t="shared" si="157"/>
        <v>0.7</v>
      </c>
    </row>
    <row r="1056" spans="2:10" x14ac:dyDescent="0.25">
      <c r="B1056" s="3">
        <f t="shared" si="158"/>
        <v>5195</v>
      </c>
      <c r="C1056" s="14">
        <f t="shared" si="159"/>
        <v>86.583333333333329</v>
      </c>
      <c r="D1056" s="11">
        <f t="shared" si="160"/>
        <v>1000.1970347947278</v>
      </c>
      <c r="E1056" s="24">
        <f t="shared" si="152"/>
        <v>996.75890413580169</v>
      </c>
      <c r="F1056" s="24">
        <f t="shared" si="154"/>
        <v>85.953266473151757</v>
      </c>
      <c r="G1056" s="14">
        <f t="shared" si="155"/>
        <v>1121.9946349696113</v>
      </c>
      <c r="H1056" s="24">
        <f t="shared" si="153"/>
        <v>650</v>
      </c>
      <c r="I1056" s="12">
        <f t="shared" si="156"/>
        <v>0.14847717659140222</v>
      </c>
      <c r="J1056" s="3">
        <f t="shared" si="157"/>
        <v>0.7</v>
      </c>
    </row>
    <row r="1057" spans="2:10" x14ac:dyDescent="0.25">
      <c r="B1057" s="3">
        <f t="shared" si="158"/>
        <v>5200</v>
      </c>
      <c r="C1057" s="14">
        <f t="shared" si="159"/>
        <v>86.666666666666671</v>
      </c>
      <c r="D1057" s="11">
        <f t="shared" si="160"/>
        <v>1000.3409652536888</v>
      </c>
      <c r="E1057" s="24">
        <f t="shared" si="152"/>
        <v>996.90738131239311</v>
      </c>
      <c r="F1057" s="24">
        <f t="shared" si="154"/>
        <v>85.839598532390937</v>
      </c>
      <c r="G1057" s="14">
        <f t="shared" si="155"/>
        <v>1120.8974377675049</v>
      </c>
      <c r="H1057" s="24">
        <f t="shared" si="153"/>
        <v>650</v>
      </c>
      <c r="I1057" s="12">
        <f t="shared" si="156"/>
        <v>0.14832834083662247</v>
      </c>
      <c r="J1057" s="3">
        <f t="shared" si="157"/>
        <v>0.7</v>
      </c>
    </row>
    <row r="1058" spans="2:10" x14ac:dyDescent="0.25">
      <c r="B1058" s="3">
        <f t="shared" si="158"/>
        <v>5205</v>
      </c>
      <c r="C1058" s="14">
        <f t="shared" si="159"/>
        <v>86.75</v>
      </c>
      <c r="D1058" s="11">
        <f t="shared" si="160"/>
        <v>1000.4847575835893</v>
      </c>
      <c r="E1058" s="24">
        <f t="shared" si="152"/>
        <v>997.05570965322977</v>
      </c>
      <c r="F1058" s="24">
        <f t="shared" si="154"/>
        <v>85.726198258987552</v>
      </c>
      <c r="G1058" s="14">
        <f t="shared" si="155"/>
        <v>1119.8024229863859</v>
      </c>
      <c r="H1058" s="24">
        <f t="shared" si="153"/>
        <v>650</v>
      </c>
      <c r="I1058" s="12">
        <f t="shared" si="156"/>
        <v>0.14817980623903615</v>
      </c>
      <c r="J1058" s="3">
        <f t="shared" si="157"/>
        <v>0.7</v>
      </c>
    </row>
    <row r="1059" spans="2:10" x14ac:dyDescent="0.25">
      <c r="B1059" s="3">
        <f t="shared" si="158"/>
        <v>5210</v>
      </c>
      <c r="C1059" s="14">
        <f t="shared" si="159"/>
        <v>86.833333333333329</v>
      </c>
      <c r="D1059" s="11">
        <f t="shared" si="160"/>
        <v>1000.6284120492979</v>
      </c>
      <c r="E1059" s="24">
        <f t="shared" si="152"/>
        <v>997.20388945946877</v>
      </c>
      <c r="F1059" s="24">
        <f t="shared" si="154"/>
        <v>85.613064745729162</v>
      </c>
      <c r="G1059" s="14">
        <f t="shared" si="155"/>
        <v>1118.7095840328886</v>
      </c>
      <c r="H1059" s="24">
        <f t="shared" si="153"/>
        <v>650</v>
      </c>
      <c r="I1059" s="12">
        <f t="shared" si="156"/>
        <v>0.14803157187669572</v>
      </c>
      <c r="J1059" s="3">
        <f t="shared" si="157"/>
        <v>0.7</v>
      </c>
    </row>
    <row r="1060" spans="2:10" x14ac:dyDescent="0.25">
      <c r="B1060" s="3">
        <f t="shared" si="158"/>
        <v>5215</v>
      </c>
      <c r="C1060" s="14">
        <f t="shared" si="159"/>
        <v>86.916666666666671</v>
      </c>
      <c r="D1060" s="11">
        <f t="shared" si="160"/>
        <v>1000.7719289149228</v>
      </c>
      <c r="E1060" s="24">
        <f t="shared" si="152"/>
        <v>997.35192103134546</v>
      </c>
      <c r="F1060" s="24">
        <f t="shared" si="154"/>
        <v>85.500197089433527</v>
      </c>
      <c r="G1060" s="14">
        <f t="shared" si="155"/>
        <v>1117.6189143409342</v>
      </c>
      <c r="H1060" s="24">
        <f t="shared" si="153"/>
        <v>650</v>
      </c>
      <c r="I1060" s="12">
        <f t="shared" si="156"/>
        <v>0.14788363683150293</v>
      </c>
      <c r="J1060" s="3">
        <f t="shared" si="157"/>
        <v>0.7</v>
      </c>
    </row>
    <row r="1061" spans="2:10" x14ac:dyDescent="0.25">
      <c r="B1061" s="3">
        <f t="shared" si="158"/>
        <v>5220</v>
      </c>
      <c r="C1061" s="14">
        <f t="shared" si="159"/>
        <v>87</v>
      </c>
      <c r="D1061" s="11">
        <f t="shared" si="160"/>
        <v>1000.9153084438132</v>
      </c>
      <c r="E1061" s="24">
        <f t="shared" si="152"/>
        <v>997.49980466817692</v>
      </c>
      <c r="F1061" s="24">
        <f t="shared" si="154"/>
        <v>85.387594390905974</v>
      </c>
      <c r="G1061" s="14">
        <f t="shared" si="155"/>
        <v>1116.5304073705104</v>
      </c>
      <c r="H1061" s="24">
        <f t="shared" si="153"/>
        <v>650</v>
      </c>
      <c r="I1061" s="12">
        <f t="shared" si="156"/>
        <v>0.14773600018905372</v>
      </c>
      <c r="J1061" s="3">
        <f t="shared" si="157"/>
        <v>0.7</v>
      </c>
    </row>
    <row r="1062" spans="2:10" x14ac:dyDescent="0.25">
      <c r="B1062" s="3">
        <f t="shared" si="158"/>
        <v>5225</v>
      </c>
      <c r="C1062" s="14">
        <f t="shared" si="159"/>
        <v>87.083333333333329</v>
      </c>
      <c r="D1062" s="11">
        <f t="shared" si="160"/>
        <v>1001.0585508985632</v>
      </c>
      <c r="E1062" s="24">
        <f t="shared" si="152"/>
        <v>997.64754066836599</v>
      </c>
      <c r="F1062" s="24">
        <f t="shared" si="154"/>
        <v>85.275255754930868</v>
      </c>
      <c r="G1062" s="14">
        <f t="shared" si="155"/>
        <v>1115.4440566085225</v>
      </c>
      <c r="H1062" s="24">
        <f t="shared" si="153"/>
        <v>650</v>
      </c>
      <c r="I1062" s="12">
        <f t="shared" si="156"/>
        <v>0.14758866103874188</v>
      </c>
      <c r="J1062" s="3">
        <f t="shared" si="157"/>
        <v>0.7</v>
      </c>
    </row>
    <row r="1063" spans="2:10" x14ac:dyDescent="0.25">
      <c r="B1063" s="3">
        <f t="shared" si="158"/>
        <v>5230</v>
      </c>
      <c r="C1063" s="14">
        <f t="shared" si="159"/>
        <v>87.166666666666671</v>
      </c>
      <c r="D1063" s="11">
        <f t="shared" si="160"/>
        <v>1001.2016565410148</v>
      </c>
      <c r="E1063" s="24">
        <f t="shared" si="152"/>
        <v>997.79512932940474</v>
      </c>
      <c r="F1063" s="24">
        <f t="shared" si="154"/>
        <v>85.163180290251717</v>
      </c>
      <c r="G1063" s="14">
        <f t="shared" si="155"/>
        <v>1114.3598555683882</v>
      </c>
      <c r="H1063" s="24">
        <f t="shared" si="153"/>
        <v>650</v>
      </c>
      <c r="I1063" s="12">
        <f t="shared" si="156"/>
        <v>0.14744161847370643</v>
      </c>
      <c r="J1063" s="3">
        <f t="shared" si="157"/>
        <v>0.7</v>
      </c>
    </row>
    <row r="1064" spans="2:10" x14ac:dyDescent="0.25">
      <c r="B1064" s="3">
        <f t="shared" si="158"/>
        <v>5235</v>
      </c>
      <c r="C1064" s="14">
        <f t="shared" si="159"/>
        <v>87.25</v>
      </c>
      <c r="D1064" s="11">
        <f t="shared" si="160"/>
        <v>1001.34462563226</v>
      </c>
      <c r="E1064" s="24">
        <f t="shared" si="152"/>
        <v>997.94257094787849</v>
      </c>
      <c r="F1064" s="24">
        <f t="shared" si="154"/>
        <v>85.051367109537068</v>
      </c>
      <c r="G1064" s="14">
        <f t="shared" si="155"/>
        <v>1113.2777977894943</v>
      </c>
      <c r="H1064" s="24">
        <f t="shared" si="153"/>
        <v>650</v>
      </c>
      <c r="I1064" s="12">
        <f t="shared" si="156"/>
        <v>0.14729487159076105</v>
      </c>
      <c r="J1064" s="3">
        <f t="shared" si="157"/>
        <v>0.7</v>
      </c>
    </row>
    <row r="1065" spans="2:10" x14ac:dyDescent="0.25">
      <c r="B1065" s="3">
        <f t="shared" si="158"/>
        <v>5240</v>
      </c>
      <c r="C1065" s="14">
        <f t="shared" si="159"/>
        <v>87.333333333333329</v>
      </c>
      <c r="D1065" s="11">
        <f t="shared" si="160"/>
        <v>1001.4874584326444</v>
      </c>
      <c r="E1065" s="24">
        <f t="shared" si="152"/>
        <v>998.08986581946931</v>
      </c>
      <c r="F1065" s="24">
        <f t="shared" si="154"/>
        <v>84.939815329377666</v>
      </c>
      <c r="G1065" s="14">
        <f t="shared" si="155"/>
        <v>1112.1978768378942</v>
      </c>
      <c r="H1065" s="24">
        <f t="shared" si="153"/>
        <v>650</v>
      </c>
      <c r="I1065" s="12">
        <f t="shared" si="156"/>
        <v>0.14714841949047922</v>
      </c>
      <c r="J1065" s="3">
        <f t="shared" si="157"/>
        <v>0.7</v>
      </c>
    </row>
    <row r="1066" spans="2:10" x14ac:dyDescent="0.25">
      <c r="B1066" s="3">
        <f t="shared" si="158"/>
        <v>5245</v>
      </c>
      <c r="C1066" s="14">
        <f t="shared" si="159"/>
        <v>87.416666666666671</v>
      </c>
      <c r="D1066" s="11">
        <f t="shared" si="160"/>
        <v>1001.6301552017701</v>
      </c>
      <c r="E1066" s="24">
        <f t="shared" si="152"/>
        <v>998.23701423895977</v>
      </c>
      <c r="F1066" s="24">
        <f t="shared" si="154"/>
        <v>84.828524070258027</v>
      </c>
      <c r="G1066" s="14">
        <f t="shared" si="155"/>
        <v>1111.1200863054551</v>
      </c>
      <c r="H1066" s="24">
        <f t="shared" si="153"/>
        <v>650</v>
      </c>
      <c r="I1066" s="12">
        <f t="shared" si="156"/>
        <v>0.14700226127708607</v>
      </c>
      <c r="J1066" s="3">
        <f t="shared" si="157"/>
        <v>0.7</v>
      </c>
    </row>
    <row r="1067" spans="2:10" x14ac:dyDescent="0.25">
      <c r="B1067" s="3">
        <f t="shared" si="158"/>
        <v>5250</v>
      </c>
      <c r="C1067" s="14">
        <f t="shared" si="159"/>
        <v>87.5</v>
      </c>
      <c r="D1067" s="11">
        <f t="shared" si="160"/>
        <v>1001.7727161984972</v>
      </c>
      <c r="E1067" s="24">
        <f t="shared" si="152"/>
        <v>998.38401650023684</v>
      </c>
      <c r="F1067" s="24">
        <f t="shared" si="154"/>
        <v>84.717492456508126</v>
      </c>
      <c r="G1067" s="14">
        <f t="shared" si="155"/>
        <v>1110.0444198097223</v>
      </c>
      <c r="H1067" s="24">
        <f t="shared" si="153"/>
        <v>650</v>
      </c>
      <c r="I1067" s="12">
        <f t="shared" si="156"/>
        <v>0.14685639605843559</v>
      </c>
      <c r="J1067" s="3">
        <f t="shared" si="157"/>
        <v>0.7</v>
      </c>
    </row>
    <row r="1068" spans="2:10" x14ac:dyDescent="0.25">
      <c r="B1068" s="3">
        <f t="shared" si="158"/>
        <v>5255</v>
      </c>
      <c r="C1068" s="14">
        <f t="shared" si="159"/>
        <v>87.583333333333329</v>
      </c>
      <c r="D1068" s="11">
        <f t="shared" si="160"/>
        <v>1001.9151416809483</v>
      </c>
      <c r="E1068" s="24">
        <f t="shared" si="152"/>
        <v>998.53087289629525</v>
      </c>
      <c r="F1068" s="24">
        <f t="shared" si="154"/>
        <v>84.606719616326131</v>
      </c>
      <c r="G1068" s="14">
        <f t="shared" si="155"/>
        <v>1108.9708709942693</v>
      </c>
      <c r="H1068" s="24">
        <f t="shared" si="153"/>
        <v>650</v>
      </c>
      <c r="I1068" s="12">
        <f t="shared" si="156"/>
        <v>0.14671082294605656</v>
      </c>
      <c r="J1068" s="3">
        <f t="shared" si="157"/>
        <v>0.7</v>
      </c>
    </row>
    <row r="1069" spans="2:10" x14ac:dyDescent="0.25">
      <c r="B1069" s="3">
        <f t="shared" si="158"/>
        <v>5260</v>
      </c>
      <c r="C1069" s="14">
        <f t="shared" si="159"/>
        <v>87.666666666666671</v>
      </c>
      <c r="D1069" s="11">
        <f t="shared" si="160"/>
        <v>1002.0574319065109</v>
      </c>
      <c r="E1069" s="24">
        <f t="shared" si="152"/>
        <v>998.67758371924128</v>
      </c>
      <c r="F1069" s="24">
        <f t="shared" si="154"/>
        <v>84.49620468174146</v>
      </c>
      <c r="G1069" s="14">
        <f t="shared" si="155"/>
        <v>1107.8994335284826</v>
      </c>
      <c r="H1069" s="24">
        <f t="shared" si="153"/>
        <v>650</v>
      </c>
      <c r="I1069" s="12">
        <f t="shared" si="156"/>
        <v>0.14656554105512157</v>
      </c>
      <c r="J1069" s="3">
        <f t="shared" si="157"/>
        <v>0.7</v>
      </c>
    </row>
    <row r="1070" spans="2:10" x14ac:dyDescent="0.25">
      <c r="B1070" s="3">
        <f t="shared" si="158"/>
        <v>5265</v>
      </c>
      <c r="C1070" s="14">
        <f t="shared" si="159"/>
        <v>87.75</v>
      </c>
      <c r="D1070" s="11">
        <f t="shared" si="160"/>
        <v>1002.1995871318393</v>
      </c>
      <c r="E1070" s="24">
        <f t="shared" si="152"/>
        <v>998.82414926029639</v>
      </c>
      <c r="F1070" s="24">
        <f t="shared" si="154"/>
        <v>84.385946788572141</v>
      </c>
      <c r="G1070" s="14">
        <f t="shared" si="155"/>
        <v>1106.8301011068847</v>
      </c>
      <c r="H1070" s="24">
        <f t="shared" si="153"/>
        <v>650</v>
      </c>
      <c r="I1070" s="12">
        <f t="shared" si="156"/>
        <v>0.14642054950435848</v>
      </c>
      <c r="J1070" s="3">
        <f t="shared" si="157"/>
        <v>0.7</v>
      </c>
    </row>
    <row r="1071" spans="2:10" x14ac:dyDescent="0.25">
      <c r="B1071" s="3">
        <f t="shared" si="158"/>
        <v>5270</v>
      </c>
      <c r="C1071" s="14">
        <f t="shared" si="159"/>
        <v>87.833333333333329</v>
      </c>
      <c r="D1071" s="11">
        <f t="shared" si="160"/>
        <v>1002.3416076128578</v>
      </c>
      <c r="E1071" s="24">
        <f t="shared" si="152"/>
        <v>998.97056980980074</v>
      </c>
      <c r="F1071" s="24">
        <f t="shared" si="154"/>
        <v>84.275945076427661</v>
      </c>
      <c r="G1071" s="14">
        <f t="shared" si="155"/>
        <v>1105.7628674495411</v>
      </c>
      <c r="H1071" s="24">
        <f t="shared" si="153"/>
        <v>650</v>
      </c>
      <c r="I1071" s="12">
        <f t="shared" si="156"/>
        <v>0.14627584741610089</v>
      </c>
      <c r="J1071" s="3">
        <f t="shared" si="157"/>
        <v>0.7</v>
      </c>
    </row>
    <row r="1072" spans="2:10" x14ac:dyDescent="0.25">
      <c r="B1072" s="3">
        <f t="shared" si="158"/>
        <v>5275</v>
      </c>
      <c r="C1072" s="14">
        <f t="shared" si="159"/>
        <v>87.916666666666671</v>
      </c>
      <c r="D1072" s="11">
        <f t="shared" si="160"/>
        <v>1002.4834936047645</v>
      </c>
      <c r="E1072" s="24">
        <f t="shared" si="152"/>
        <v>999.1168456572168</v>
      </c>
      <c r="F1072" s="24">
        <f t="shared" si="154"/>
        <v>84.166198688691907</v>
      </c>
      <c r="G1072" s="14">
        <f t="shared" si="155"/>
        <v>1104.6977263018075</v>
      </c>
      <c r="H1072" s="24">
        <f t="shared" si="153"/>
        <v>650</v>
      </c>
      <c r="I1072" s="12">
        <f t="shared" si="156"/>
        <v>0.14613143391625497</v>
      </c>
      <c r="J1072" s="3">
        <f t="shared" si="157"/>
        <v>0.7</v>
      </c>
    </row>
    <row r="1073" spans="2:10" x14ac:dyDescent="0.25">
      <c r="B1073" s="3">
        <f t="shared" si="158"/>
        <v>5280</v>
      </c>
      <c r="C1073" s="14">
        <f t="shared" si="159"/>
        <v>88</v>
      </c>
      <c r="D1073" s="11">
        <f t="shared" si="160"/>
        <v>1002.6252453620325</v>
      </c>
      <c r="E1073" s="24">
        <f t="shared" si="152"/>
        <v>999.26297709113305</v>
      </c>
      <c r="F1073" s="24">
        <f t="shared" si="154"/>
        <v>84.056706772486223</v>
      </c>
      <c r="G1073" s="14">
        <f t="shared" si="155"/>
        <v>1103.6346714340791</v>
      </c>
      <c r="H1073" s="24">
        <f t="shared" si="153"/>
        <v>650</v>
      </c>
      <c r="I1073" s="12">
        <f t="shared" si="156"/>
        <v>0.14598730813426392</v>
      </c>
      <c r="J1073" s="3">
        <f t="shared" si="157"/>
        <v>0.7</v>
      </c>
    </row>
    <row r="1074" spans="2:10" x14ac:dyDescent="0.25">
      <c r="B1074" s="3">
        <f t="shared" si="158"/>
        <v>5285</v>
      </c>
      <c r="C1074" s="14">
        <f t="shared" si="159"/>
        <v>88.083333333333329</v>
      </c>
      <c r="D1074" s="11">
        <f t="shared" si="160"/>
        <v>1002.7668631384136</v>
      </c>
      <c r="E1074" s="24">
        <f t="shared" si="152"/>
        <v>999.40896439926735</v>
      </c>
      <c r="F1074" s="24">
        <f t="shared" si="154"/>
        <v>83.947468478655196</v>
      </c>
      <c r="G1074" s="14">
        <f t="shared" si="155"/>
        <v>1102.5736966418474</v>
      </c>
      <c r="H1074" s="24">
        <f t="shared" si="153"/>
        <v>650</v>
      </c>
      <c r="I1074" s="12">
        <f t="shared" si="156"/>
        <v>0.1458434692031135</v>
      </c>
      <c r="J1074" s="3">
        <f t="shared" si="157"/>
        <v>0.7</v>
      </c>
    </row>
    <row r="1075" spans="2:10" x14ac:dyDescent="0.25">
      <c r="B1075" s="3">
        <f t="shared" si="158"/>
        <v>5290</v>
      </c>
      <c r="C1075" s="14">
        <f t="shared" si="159"/>
        <v>88.166666666666671</v>
      </c>
      <c r="D1075" s="11">
        <f t="shared" si="160"/>
        <v>1002.9083471869405</v>
      </c>
      <c r="E1075" s="24">
        <f t="shared" si="152"/>
        <v>999.55480786847045</v>
      </c>
      <c r="F1075" s="24">
        <f t="shared" si="154"/>
        <v>83.838482961752447</v>
      </c>
      <c r="G1075" s="14">
        <f t="shared" si="155"/>
        <v>1101.5147957455074</v>
      </c>
      <c r="H1075" s="24">
        <f t="shared" si="153"/>
        <v>650</v>
      </c>
      <c r="I1075" s="12">
        <f t="shared" si="156"/>
        <v>0.14569991625930639</v>
      </c>
      <c r="J1075" s="3">
        <f t="shared" si="157"/>
        <v>0.7</v>
      </c>
    </row>
    <row r="1076" spans="2:10" x14ac:dyDescent="0.25">
      <c r="B1076" s="3">
        <f t="shared" si="158"/>
        <v>5295</v>
      </c>
      <c r="C1076" s="14">
        <f t="shared" si="159"/>
        <v>88.25</v>
      </c>
      <c r="D1076" s="11">
        <f t="shared" si="160"/>
        <v>1003.0496977599302</v>
      </c>
      <c r="E1076" s="24">
        <f t="shared" ref="E1076:E1139" si="161">E1075+I1075</f>
        <v>999.70050778472978</v>
      </c>
      <c r="F1076" s="24">
        <f t="shared" si="154"/>
        <v>83.729749380009366</v>
      </c>
      <c r="G1076" s="14">
        <f t="shared" si="155"/>
        <v>1100.4579625899887</v>
      </c>
      <c r="H1076" s="24">
        <f t="shared" ref="H1076:H1139" si="162">IF(E1076&lt;600,425+0.773*E1076-1.69/1000*E1076^2+2.22/1000^2*E1076^3,IF(E1076&lt;735,666+13002/(738-E1076),IF(E1076&lt;900,545+17820/(E1076-731),650)))</f>
        <v>650</v>
      </c>
      <c r="I1076" s="12">
        <f t="shared" si="156"/>
        <v>0.14555664844281296</v>
      </c>
      <c r="J1076" s="3">
        <f t="shared" si="157"/>
        <v>0.7</v>
      </c>
    </row>
    <row r="1077" spans="2:10" x14ac:dyDescent="0.25">
      <c r="B1077" s="3">
        <f t="shared" si="158"/>
        <v>5300</v>
      </c>
      <c r="C1077" s="14">
        <f t="shared" si="159"/>
        <v>88.333333333333329</v>
      </c>
      <c r="D1077" s="11">
        <f t="shared" si="160"/>
        <v>1003.190915108986</v>
      </c>
      <c r="E1077" s="24">
        <f t="shared" si="161"/>
        <v>999.84606443317261</v>
      </c>
      <c r="F1077" s="24">
        <f t="shared" si="154"/>
        <v>83.621266895335111</v>
      </c>
      <c r="G1077" s="14">
        <f t="shared" si="155"/>
        <v>1099.4031910452022</v>
      </c>
      <c r="H1077" s="24">
        <f t="shared" si="162"/>
        <v>650</v>
      </c>
      <c r="I1077" s="12">
        <f t="shared" si="156"/>
        <v>0.14541366489712645</v>
      </c>
      <c r="J1077" s="3">
        <f t="shared" si="157"/>
        <v>0.7</v>
      </c>
    </row>
    <row r="1078" spans="2:10" x14ac:dyDescent="0.25">
      <c r="B1078" s="3">
        <f t="shared" si="158"/>
        <v>5305</v>
      </c>
      <c r="C1078" s="14">
        <f t="shared" si="159"/>
        <v>88.416666666666671</v>
      </c>
      <c r="D1078" s="11">
        <f t="shared" si="160"/>
        <v>1003.3319994850003</v>
      </c>
      <c r="E1078" s="24">
        <f t="shared" si="161"/>
        <v>999.99147809806971</v>
      </c>
      <c r="F1078" s="24">
        <f t="shared" si="154"/>
        <v>83.513034673265452</v>
      </c>
      <c r="G1078" s="14">
        <f t="shared" si="155"/>
        <v>1098.3504750051086</v>
      </c>
      <c r="H1078" s="24">
        <f t="shared" si="162"/>
        <v>650</v>
      </c>
      <c r="I1078" s="12">
        <f t="shared" si="156"/>
        <v>0.14527096476914178</v>
      </c>
      <c r="J1078" s="3">
        <f t="shared" si="157"/>
        <v>0.7</v>
      </c>
    </row>
    <row r="1079" spans="2:10" x14ac:dyDescent="0.25">
      <c r="B1079" s="3">
        <f t="shared" si="158"/>
        <v>5310</v>
      </c>
      <c r="C1079" s="14">
        <f t="shared" si="159"/>
        <v>88.5</v>
      </c>
      <c r="D1079" s="11">
        <f t="shared" si="160"/>
        <v>1003.4729511381578</v>
      </c>
      <c r="E1079" s="24">
        <f t="shared" si="161"/>
        <v>1000.1367490628388</v>
      </c>
      <c r="F1079" s="24">
        <f t="shared" si="154"/>
        <v>83.405051882974135</v>
      </c>
      <c r="G1079" s="14">
        <f t="shared" si="155"/>
        <v>1097.2998083884363</v>
      </c>
      <c r="H1079" s="24">
        <f t="shared" si="162"/>
        <v>650</v>
      </c>
      <c r="I1079" s="12">
        <f t="shared" si="156"/>
        <v>0.14512854720924553</v>
      </c>
      <c r="J1079" s="3">
        <f t="shared" si="157"/>
        <v>0.7</v>
      </c>
    </row>
    <row r="1080" spans="2:10" x14ac:dyDescent="0.25">
      <c r="B1080" s="3">
        <f t="shared" si="158"/>
        <v>5315</v>
      </c>
      <c r="C1080" s="14">
        <f t="shared" si="159"/>
        <v>88.583333333333329</v>
      </c>
      <c r="D1080" s="11">
        <f t="shared" si="160"/>
        <v>1003.6137703179377</v>
      </c>
      <c r="E1080" s="24">
        <f t="shared" si="161"/>
        <v>1000.281877610048</v>
      </c>
      <c r="F1080" s="24">
        <f t="shared" si="154"/>
        <v>83.297317697241624</v>
      </c>
      <c r="G1080" s="14">
        <f t="shared" si="155"/>
        <v>1096.2511851379061</v>
      </c>
      <c r="H1080" s="24">
        <f t="shared" si="162"/>
        <v>650</v>
      </c>
      <c r="I1080" s="12">
        <f t="shared" si="156"/>
        <v>0.14498641137121668</v>
      </c>
      <c r="J1080" s="3">
        <f t="shared" si="157"/>
        <v>0.7</v>
      </c>
    </row>
    <row r="1081" spans="2:10" x14ac:dyDescent="0.25">
      <c r="B1081" s="3">
        <f t="shared" si="158"/>
        <v>5320</v>
      </c>
      <c r="C1081" s="14">
        <f t="shared" si="159"/>
        <v>88.666666666666671</v>
      </c>
      <c r="D1081" s="11">
        <f t="shared" si="160"/>
        <v>1003.7544572731159</v>
      </c>
      <c r="E1081" s="24">
        <f t="shared" si="161"/>
        <v>1000.4268640214192</v>
      </c>
      <c r="F1081" s="24">
        <f t="shared" si="154"/>
        <v>83.189831292418148</v>
      </c>
      <c r="G1081" s="14">
        <f t="shared" si="155"/>
        <v>1095.2045992203862</v>
      </c>
      <c r="H1081" s="24">
        <f t="shared" si="162"/>
        <v>650</v>
      </c>
      <c r="I1081" s="12">
        <f t="shared" si="156"/>
        <v>0.14484455641224109</v>
      </c>
      <c r="J1081" s="3">
        <f t="shared" si="157"/>
        <v>0.7</v>
      </c>
    </row>
    <row r="1082" spans="2:10" x14ac:dyDescent="0.25">
      <c r="B1082" s="3">
        <f t="shared" si="158"/>
        <v>5325</v>
      </c>
      <c r="C1082" s="14">
        <f t="shared" si="159"/>
        <v>88.75</v>
      </c>
      <c r="D1082" s="11">
        <f t="shared" si="160"/>
        <v>1003.8950122517693</v>
      </c>
      <c r="E1082" s="24">
        <f t="shared" si="161"/>
        <v>1000.5717085778315</v>
      </c>
      <c r="F1082" s="24">
        <f t="shared" si="154"/>
        <v>83.082591848446441</v>
      </c>
      <c r="G1082" s="14">
        <f t="shared" si="155"/>
        <v>1094.1600446270081</v>
      </c>
      <c r="H1082" s="24">
        <f t="shared" si="162"/>
        <v>650</v>
      </c>
      <c r="I1082" s="12">
        <f t="shared" si="156"/>
        <v>0.14470298149292857</v>
      </c>
      <c r="J1082" s="3">
        <f t="shared" si="157"/>
        <v>0.7</v>
      </c>
    </row>
    <row r="1083" spans="2:10" x14ac:dyDescent="0.25">
      <c r="B1083" s="3">
        <f t="shared" si="158"/>
        <v>5330</v>
      </c>
      <c r="C1083" s="14">
        <f t="shared" si="159"/>
        <v>88.833333333333329</v>
      </c>
      <c r="D1083" s="11">
        <f t="shared" si="160"/>
        <v>1004.0354355012762</v>
      </c>
      <c r="E1083" s="24">
        <f t="shared" si="161"/>
        <v>1000.7164115593245</v>
      </c>
      <c r="F1083" s="24">
        <f t="shared" si="154"/>
        <v>82.975598548793528</v>
      </c>
      <c r="G1083" s="14">
        <f t="shared" si="155"/>
        <v>1093.1175153724112</v>
      </c>
      <c r="H1083" s="24">
        <f t="shared" si="162"/>
        <v>650</v>
      </c>
      <c r="I1083" s="12">
        <f t="shared" si="156"/>
        <v>0.1445616857772116</v>
      </c>
      <c r="J1083" s="3">
        <f t="shared" si="157"/>
        <v>0.7</v>
      </c>
    </row>
    <row r="1084" spans="2:10" x14ac:dyDescent="0.25">
      <c r="B1084" s="3">
        <f t="shared" si="158"/>
        <v>5335</v>
      </c>
      <c r="C1084" s="14">
        <f t="shared" si="159"/>
        <v>88.916666666666671</v>
      </c>
      <c r="D1084" s="11">
        <f t="shared" si="160"/>
        <v>1004.1757272683202</v>
      </c>
      <c r="E1084" s="24">
        <f t="shared" si="161"/>
        <v>1000.8609732451017</v>
      </c>
      <c r="F1084" s="24">
        <f t="shared" si="154"/>
        <v>82.868850580462095</v>
      </c>
      <c r="G1084" s="14">
        <f t="shared" si="155"/>
        <v>1092.0770054952663</v>
      </c>
      <c r="H1084" s="24">
        <f t="shared" si="162"/>
        <v>650</v>
      </c>
      <c r="I1084" s="12">
        <f t="shared" si="156"/>
        <v>0.14442066843241119</v>
      </c>
      <c r="J1084" s="3">
        <f t="shared" si="157"/>
        <v>0.7</v>
      </c>
    </row>
    <row r="1085" spans="2:10" x14ac:dyDescent="0.25">
      <c r="B1085" s="3">
        <f t="shared" si="158"/>
        <v>5340</v>
      </c>
      <c r="C1085" s="14">
        <f t="shared" si="159"/>
        <v>89</v>
      </c>
      <c r="D1085" s="11">
        <f t="shared" si="160"/>
        <v>1004.3158877988935</v>
      </c>
      <c r="E1085" s="24">
        <f t="shared" si="161"/>
        <v>1001.0053939135341</v>
      </c>
      <c r="F1085" s="24">
        <f t="shared" si="154"/>
        <v>82.762347133984804</v>
      </c>
      <c r="G1085" s="14">
        <f t="shared" si="155"/>
        <v>1091.0385090579646</v>
      </c>
      <c r="H1085" s="24">
        <f t="shared" si="162"/>
        <v>650</v>
      </c>
      <c r="I1085" s="12">
        <f t="shared" si="156"/>
        <v>0.14427992862919789</v>
      </c>
      <c r="J1085" s="3">
        <f t="shared" si="157"/>
        <v>0.7</v>
      </c>
    </row>
    <row r="1086" spans="2:10" x14ac:dyDescent="0.25">
      <c r="B1086" s="3">
        <f t="shared" si="158"/>
        <v>5345</v>
      </c>
      <c r="C1086" s="14">
        <f t="shared" si="159"/>
        <v>89.083333333333329</v>
      </c>
      <c r="D1086" s="11">
        <f t="shared" si="160"/>
        <v>1004.4559173382975</v>
      </c>
      <c r="E1086" s="24">
        <f t="shared" si="161"/>
        <v>1001.1496738421633</v>
      </c>
      <c r="F1086" s="24">
        <f t="shared" si="154"/>
        <v>82.65608740335324</v>
      </c>
      <c r="G1086" s="14">
        <f t="shared" si="155"/>
        <v>1090.0020201460375</v>
      </c>
      <c r="H1086" s="24">
        <f t="shared" si="162"/>
        <v>650</v>
      </c>
      <c r="I1086" s="12">
        <f t="shared" si="156"/>
        <v>0.14413946554151164</v>
      </c>
      <c r="J1086" s="3">
        <f t="shared" si="157"/>
        <v>0.7</v>
      </c>
    </row>
    <row r="1087" spans="2:10" x14ac:dyDescent="0.25">
      <c r="B1087" s="3">
        <f t="shared" si="158"/>
        <v>5350</v>
      </c>
      <c r="C1087" s="14">
        <f t="shared" si="159"/>
        <v>89.166666666666671</v>
      </c>
      <c r="D1087" s="11">
        <f t="shared" si="160"/>
        <v>1004.5958161311473</v>
      </c>
      <c r="E1087" s="24">
        <f t="shared" si="161"/>
        <v>1001.2938133077048</v>
      </c>
      <c r="F1087" s="24">
        <f t="shared" si="154"/>
        <v>82.550070586063384</v>
      </c>
      <c r="G1087" s="14">
        <f t="shared" si="155"/>
        <v>1088.9675328688918</v>
      </c>
      <c r="H1087" s="24">
        <f t="shared" si="162"/>
        <v>650</v>
      </c>
      <c r="I1087" s="12">
        <f t="shared" si="156"/>
        <v>0.14399927834665791</v>
      </c>
      <c r="J1087" s="3">
        <f t="shared" si="157"/>
        <v>0.7</v>
      </c>
    </row>
    <row r="1088" spans="2:10" x14ac:dyDescent="0.25">
      <c r="B1088" s="3">
        <f t="shared" si="158"/>
        <v>5355</v>
      </c>
      <c r="C1088" s="14">
        <f t="shared" si="159"/>
        <v>89.25</v>
      </c>
      <c r="D1088" s="11">
        <f t="shared" si="160"/>
        <v>1004.7355844213727</v>
      </c>
      <c r="E1088" s="24">
        <f t="shared" si="161"/>
        <v>1001.4378125860515</v>
      </c>
      <c r="F1088" s="24">
        <f t="shared" si="154"/>
        <v>82.44429588303035</v>
      </c>
      <c r="G1088" s="14">
        <f t="shared" si="155"/>
        <v>1087.9350413587447</v>
      </c>
      <c r="H1088" s="24">
        <f t="shared" si="162"/>
        <v>650</v>
      </c>
      <c r="I1088" s="12">
        <f t="shared" si="156"/>
        <v>0.14385936622516612</v>
      </c>
      <c r="J1088" s="3">
        <f t="shared" si="157"/>
        <v>0.7</v>
      </c>
    </row>
    <row r="1089" spans="2:10" x14ac:dyDescent="0.25">
      <c r="B1089" s="3">
        <f t="shared" si="158"/>
        <v>5360</v>
      </c>
      <c r="C1089" s="14">
        <f t="shared" si="159"/>
        <v>89.333333333333329</v>
      </c>
      <c r="D1089" s="11">
        <f t="shared" si="160"/>
        <v>1004.875222452222</v>
      </c>
      <c r="E1089" s="24">
        <f t="shared" si="161"/>
        <v>1001.5816719522766</v>
      </c>
      <c r="F1089" s="24">
        <f t="shared" si="154"/>
        <v>82.338762498636697</v>
      </c>
      <c r="G1089" s="14">
        <f t="shared" si="155"/>
        <v>1086.9045397714767</v>
      </c>
      <c r="H1089" s="24">
        <f t="shared" si="162"/>
        <v>650</v>
      </c>
      <c r="I1089" s="12">
        <f t="shared" si="156"/>
        <v>0.14371972836090069</v>
      </c>
      <c r="J1089" s="3">
        <f t="shared" si="157"/>
        <v>0.7</v>
      </c>
    </row>
    <row r="1090" spans="2:10" x14ac:dyDescent="0.25">
      <c r="B1090" s="3">
        <f t="shared" si="158"/>
        <v>5365</v>
      </c>
      <c r="C1090" s="14">
        <f t="shared" si="159"/>
        <v>89.416666666666671</v>
      </c>
      <c r="D1090" s="11">
        <f t="shared" si="160"/>
        <v>1005.0147304662644</v>
      </c>
      <c r="E1090" s="24">
        <f t="shared" si="161"/>
        <v>1001.7253916806375</v>
      </c>
      <c r="F1090" s="24">
        <f t="shared" si="154"/>
        <v>82.233469640672752</v>
      </c>
      <c r="G1090" s="14">
        <f t="shared" si="155"/>
        <v>1085.8760222857388</v>
      </c>
      <c r="H1090" s="24">
        <f t="shared" si="162"/>
        <v>650</v>
      </c>
      <c r="I1090" s="12">
        <f t="shared" si="156"/>
        <v>0.14358036394094356</v>
      </c>
      <c r="J1090" s="3">
        <f t="shared" si="157"/>
        <v>0.7</v>
      </c>
    </row>
    <row r="1091" spans="2:10" x14ac:dyDescent="0.25">
      <c r="B1091" s="3">
        <f t="shared" si="158"/>
        <v>5370</v>
      </c>
      <c r="C1091" s="14">
        <f t="shared" si="159"/>
        <v>89.5</v>
      </c>
      <c r="D1091" s="11">
        <f t="shared" si="160"/>
        <v>1005.1541087053909</v>
      </c>
      <c r="E1091" s="24">
        <f t="shared" si="161"/>
        <v>1001.8689720445784</v>
      </c>
      <c r="F1091" s="24">
        <f t="shared" si="154"/>
        <v>82.128416520311021</v>
      </c>
      <c r="G1091" s="14">
        <f t="shared" si="155"/>
        <v>1084.8494831031283</v>
      </c>
      <c r="H1091" s="24">
        <f t="shared" si="162"/>
        <v>650</v>
      </c>
      <c r="I1091" s="12">
        <f t="shared" si="156"/>
        <v>0.14344127215561309</v>
      </c>
      <c r="J1091" s="3">
        <f t="shared" si="157"/>
        <v>0.7</v>
      </c>
    </row>
    <row r="1092" spans="2:10" x14ac:dyDescent="0.25">
      <c r="B1092" s="3">
        <f t="shared" si="158"/>
        <v>5375</v>
      </c>
      <c r="C1092" s="14">
        <f t="shared" si="159"/>
        <v>89.583333333333329</v>
      </c>
      <c r="D1092" s="11">
        <f t="shared" si="160"/>
        <v>1005.2933574108196</v>
      </c>
      <c r="E1092" s="24">
        <f t="shared" si="161"/>
        <v>1002.0124133167341</v>
      </c>
      <c r="F1092" s="24">
        <f t="shared" si="154"/>
        <v>82.023602352137459</v>
      </c>
      <c r="G1092" s="14">
        <f t="shared" si="155"/>
        <v>1083.8249164482463</v>
      </c>
      <c r="H1092" s="24">
        <f t="shared" si="162"/>
        <v>650</v>
      </c>
      <c r="I1092" s="12">
        <f t="shared" si="156"/>
        <v>0.14330245219847465</v>
      </c>
      <c r="J1092" s="3">
        <f t="shared" si="157"/>
        <v>0.7</v>
      </c>
    </row>
    <row r="1093" spans="2:10" x14ac:dyDescent="0.25">
      <c r="B1093" s="3">
        <f t="shared" si="158"/>
        <v>5380</v>
      </c>
      <c r="C1093" s="14">
        <f t="shared" si="159"/>
        <v>89.666666666666671</v>
      </c>
      <c r="D1093" s="11">
        <f t="shared" si="160"/>
        <v>1005.4324768230953</v>
      </c>
      <c r="E1093" s="24">
        <f t="shared" si="161"/>
        <v>1002.1557157689325</v>
      </c>
      <c r="F1093" s="24">
        <f t="shared" si="154"/>
        <v>81.919026354069047</v>
      </c>
      <c r="G1093" s="14">
        <f t="shared" si="155"/>
        <v>1082.8023165681168</v>
      </c>
      <c r="H1093" s="24">
        <f t="shared" si="162"/>
        <v>650</v>
      </c>
      <c r="I1093" s="12">
        <f t="shared" si="156"/>
        <v>0.14316390326625922</v>
      </c>
      <c r="J1093" s="3">
        <f t="shared" si="157"/>
        <v>0.7</v>
      </c>
    </row>
    <row r="1094" spans="2:10" x14ac:dyDescent="0.25">
      <c r="B1094" s="3">
        <f t="shared" si="158"/>
        <v>5385</v>
      </c>
      <c r="C1094" s="14">
        <f t="shared" si="159"/>
        <v>89.75</v>
      </c>
      <c r="D1094" s="11">
        <f t="shared" si="160"/>
        <v>1005.5714671820945</v>
      </c>
      <c r="E1094" s="24">
        <f t="shared" si="161"/>
        <v>1002.2988796721987</v>
      </c>
      <c r="F1094" s="24">
        <f t="shared" si="154"/>
        <v>81.814687747393577</v>
      </c>
      <c r="G1094" s="14">
        <f t="shared" si="155"/>
        <v>1081.7816777327473</v>
      </c>
      <c r="H1094" s="24">
        <f t="shared" si="162"/>
        <v>650</v>
      </c>
      <c r="I1094" s="12">
        <f t="shared" si="156"/>
        <v>0.14302562455893719</v>
      </c>
      <c r="J1094" s="3">
        <f t="shared" si="157"/>
        <v>0.7</v>
      </c>
    </row>
    <row r="1095" spans="2:10" x14ac:dyDescent="0.25">
      <c r="B1095" s="3">
        <f t="shared" si="158"/>
        <v>5390</v>
      </c>
      <c r="C1095" s="14">
        <f t="shared" si="159"/>
        <v>89.833333333333329</v>
      </c>
      <c r="D1095" s="11">
        <f t="shared" si="160"/>
        <v>1005.710328727026</v>
      </c>
      <c r="E1095" s="24">
        <f t="shared" si="161"/>
        <v>1002.4419052967577</v>
      </c>
      <c r="F1095" s="24">
        <f t="shared" si="154"/>
        <v>81.710585756707133</v>
      </c>
      <c r="G1095" s="14">
        <f t="shared" si="155"/>
        <v>1080.762994234356</v>
      </c>
      <c r="H1095" s="24">
        <f t="shared" si="162"/>
        <v>650</v>
      </c>
      <c r="I1095" s="12">
        <f t="shared" si="156"/>
        <v>0.14288761527961569</v>
      </c>
      <c r="J1095" s="3">
        <f t="shared" si="157"/>
        <v>0.7</v>
      </c>
    </row>
    <row r="1096" spans="2:10" x14ac:dyDescent="0.25">
      <c r="B1096" s="3">
        <f t="shared" si="158"/>
        <v>5395</v>
      </c>
      <c r="C1096" s="14">
        <f t="shared" si="159"/>
        <v>89.916666666666671</v>
      </c>
      <c r="D1096" s="11">
        <f t="shared" si="160"/>
        <v>1005.8490616964347</v>
      </c>
      <c r="E1096" s="24">
        <f t="shared" si="161"/>
        <v>1002.5847929120373</v>
      </c>
      <c r="F1096" s="24">
        <f t="shared" si="154"/>
        <v>81.606719609933975</v>
      </c>
      <c r="G1096" s="14">
        <f t="shared" si="155"/>
        <v>1079.7462603876602</v>
      </c>
      <c r="H1096" s="24">
        <f t="shared" si="162"/>
        <v>650</v>
      </c>
      <c r="I1096" s="12">
        <f t="shared" si="156"/>
        <v>0.14274987463457633</v>
      </c>
      <c r="J1096" s="3">
        <f t="shared" si="157"/>
        <v>0.7</v>
      </c>
    </row>
    <row r="1097" spans="2:10" x14ac:dyDescent="0.25">
      <c r="B1097" s="3">
        <f t="shared" si="158"/>
        <v>5400</v>
      </c>
      <c r="C1097" s="14">
        <f t="shared" si="159"/>
        <v>90</v>
      </c>
      <c r="D1097" s="11">
        <f t="shared" si="160"/>
        <v>1005.987666328203</v>
      </c>
      <c r="E1097" s="24">
        <f t="shared" si="161"/>
        <v>1002.7275427866718</v>
      </c>
      <c r="F1097" s="24">
        <f t="shared" si="154"/>
        <v>81.503088538278234</v>
      </c>
      <c r="G1097" s="14">
        <f t="shared" si="155"/>
        <v>1078.7314705296835</v>
      </c>
      <c r="H1097" s="24">
        <f t="shared" si="162"/>
        <v>650</v>
      </c>
      <c r="I1097" s="12">
        <f t="shared" si="156"/>
        <v>0.14261240183324592</v>
      </c>
      <c r="J1097" s="3">
        <f t="shared" si="157"/>
        <v>0.7</v>
      </c>
    </row>
    <row r="1098" spans="2:10" x14ac:dyDescent="0.25">
      <c r="B1098" s="3">
        <f t="shared" si="158"/>
        <v>5405</v>
      </c>
      <c r="C1098" s="14">
        <f t="shared" si="159"/>
        <v>90.083333333333329</v>
      </c>
      <c r="D1098" s="11">
        <f t="shared" si="160"/>
        <v>1006.1261428595539</v>
      </c>
      <c r="E1098" s="24">
        <f t="shared" si="161"/>
        <v>1002.8701551885051</v>
      </c>
      <c r="F1098" s="24">
        <f t="shared" si="154"/>
        <v>81.399691776218219</v>
      </c>
      <c r="G1098" s="14">
        <f t="shared" si="155"/>
        <v>1077.7186190194464</v>
      </c>
      <c r="H1098" s="24">
        <f t="shared" si="162"/>
        <v>650</v>
      </c>
      <c r="I1098" s="12">
        <f t="shared" si="156"/>
        <v>0.14247519608815726</v>
      </c>
      <c r="J1098" s="3">
        <f t="shared" si="157"/>
        <v>0.7</v>
      </c>
    </row>
    <row r="1099" spans="2:10" x14ac:dyDescent="0.25">
      <c r="B1099" s="3">
        <f t="shared" si="158"/>
        <v>5410</v>
      </c>
      <c r="C1099" s="14">
        <f t="shared" si="159"/>
        <v>90.166666666666671</v>
      </c>
      <c r="D1099" s="11">
        <f t="shared" si="160"/>
        <v>1006.2644915270536</v>
      </c>
      <c r="E1099" s="24">
        <f t="shared" si="161"/>
        <v>1003.0126303845933</v>
      </c>
      <c r="F1099" s="24">
        <f t="shared" si="154"/>
        <v>81.29652856150642</v>
      </c>
      <c r="G1099" s="14">
        <f t="shared" si="155"/>
        <v>1076.7077002381388</v>
      </c>
      <c r="H1099" s="24">
        <f t="shared" si="162"/>
        <v>650</v>
      </c>
      <c r="I1099" s="12">
        <f t="shared" si="156"/>
        <v>0.14233825661497082</v>
      </c>
      <c r="J1099" s="3">
        <f t="shared" si="157"/>
        <v>0.7</v>
      </c>
    </row>
    <row r="1100" spans="2:10" x14ac:dyDescent="0.25">
      <c r="B1100" s="3">
        <f t="shared" si="158"/>
        <v>5415</v>
      </c>
      <c r="C1100" s="14">
        <f t="shared" si="159"/>
        <v>90.25</v>
      </c>
      <c r="D1100" s="11">
        <f t="shared" si="160"/>
        <v>1006.402712566613</v>
      </c>
      <c r="E1100" s="24">
        <f t="shared" si="161"/>
        <v>1003.1549686412083</v>
      </c>
      <c r="F1100" s="24">
        <f t="shared" si="154"/>
        <v>81.19359813511835</v>
      </c>
      <c r="G1100" s="14">
        <f t="shared" si="155"/>
        <v>1075.6987085889289</v>
      </c>
      <c r="H1100" s="24">
        <f t="shared" si="162"/>
        <v>650</v>
      </c>
      <c r="I1100" s="12">
        <f t="shared" si="156"/>
        <v>0.14220158263244453</v>
      </c>
      <c r="J1100" s="3">
        <f t="shared" si="157"/>
        <v>0.7</v>
      </c>
    </row>
    <row r="1101" spans="2:10" x14ac:dyDescent="0.25">
      <c r="B1101" s="3">
        <f t="shared" si="158"/>
        <v>5420</v>
      </c>
      <c r="C1101" s="14">
        <f t="shared" si="159"/>
        <v>90.333333333333329</v>
      </c>
      <c r="D1101" s="11">
        <f t="shared" si="160"/>
        <v>1006.5408062134912</v>
      </c>
      <c r="E1101" s="24">
        <f t="shared" si="161"/>
        <v>1003.2971702238407</v>
      </c>
      <c r="F1101" s="24">
        <f t="shared" si="154"/>
        <v>81.090899741263911</v>
      </c>
      <c r="G1101" s="14">
        <f t="shared" si="155"/>
        <v>1074.6916384967083</v>
      </c>
      <c r="H1101" s="24">
        <f t="shared" si="162"/>
        <v>650</v>
      </c>
      <c r="I1101" s="12">
        <f t="shared" si="156"/>
        <v>0.14206517336240423</v>
      </c>
      <c r="J1101" s="3">
        <f t="shared" si="157"/>
        <v>0.7</v>
      </c>
    </row>
    <row r="1102" spans="2:10" x14ac:dyDescent="0.25">
      <c r="B1102" s="3">
        <f t="shared" si="158"/>
        <v>5425</v>
      </c>
      <c r="C1102" s="14">
        <f t="shared" si="159"/>
        <v>90.416666666666671</v>
      </c>
      <c r="D1102" s="11">
        <f t="shared" si="160"/>
        <v>1006.6787727022974</v>
      </c>
      <c r="E1102" s="24">
        <f t="shared" si="161"/>
        <v>1003.4392353972031</v>
      </c>
      <c r="F1102" s="24">
        <f t="shared" si="154"/>
        <v>80.988432627356133</v>
      </c>
      <c r="G1102" s="14">
        <f t="shared" si="155"/>
        <v>1073.6864844083655</v>
      </c>
      <c r="H1102" s="24">
        <f t="shared" si="162"/>
        <v>650</v>
      </c>
      <c r="I1102" s="12">
        <f t="shared" si="156"/>
        <v>0.14192902802977314</v>
      </c>
      <c r="J1102" s="3">
        <f t="shared" si="157"/>
        <v>0.7</v>
      </c>
    </row>
    <row r="1103" spans="2:10" x14ac:dyDescent="0.25">
      <c r="B1103" s="3">
        <f t="shared" si="158"/>
        <v>5430</v>
      </c>
      <c r="C1103" s="14">
        <f t="shared" si="159"/>
        <v>90.5</v>
      </c>
      <c r="D1103" s="11">
        <f t="shared" si="160"/>
        <v>1006.8166122669928</v>
      </c>
      <c r="E1103" s="24">
        <f t="shared" si="161"/>
        <v>1003.5811644252328</v>
      </c>
      <c r="F1103" s="24">
        <f t="shared" si="154"/>
        <v>80.886196043999803</v>
      </c>
      <c r="G1103" s="14">
        <f t="shared" si="155"/>
        <v>1072.6832407917966</v>
      </c>
      <c r="H1103" s="24">
        <f t="shared" si="162"/>
        <v>650</v>
      </c>
      <c r="I1103" s="12">
        <f t="shared" si="156"/>
        <v>0.14179314586244907</v>
      </c>
      <c r="J1103" s="3">
        <f t="shared" si="157"/>
        <v>0.7</v>
      </c>
    </row>
    <row r="1104" spans="2:10" x14ac:dyDescent="0.25">
      <c r="B1104" s="3">
        <f t="shared" si="158"/>
        <v>5435</v>
      </c>
      <c r="C1104" s="14">
        <f t="shared" si="159"/>
        <v>90.583333333333329</v>
      </c>
      <c r="D1104" s="11">
        <f t="shared" si="160"/>
        <v>1006.9543251408938</v>
      </c>
      <c r="E1104" s="24">
        <f t="shared" si="161"/>
        <v>1003.7229575710953</v>
      </c>
      <c r="F1104" s="24">
        <f t="shared" si="154"/>
        <v>80.784189244963045</v>
      </c>
      <c r="G1104" s="14">
        <f t="shared" si="155"/>
        <v>1071.6819021371462</v>
      </c>
      <c r="H1104" s="24">
        <f t="shared" si="162"/>
        <v>650</v>
      </c>
      <c r="I1104" s="12">
        <f t="shared" si="156"/>
        <v>0.14165752609145335</v>
      </c>
      <c r="J1104" s="3">
        <f t="shared" si="157"/>
        <v>0.7</v>
      </c>
    </row>
    <row r="1105" spans="2:10" x14ac:dyDescent="0.25">
      <c r="B1105" s="3">
        <f t="shared" si="158"/>
        <v>5440</v>
      </c>
      <c r="C1105" s="14">
        <f t="shared" si="159"/>
        <v>90.666666666666671</v>
      </c>
      <c r="D1105" s="11">
        <f t="shared" si="160"/>
        <v>1007.0919115566745</v>
      </c>
      <c r="E1105" s="24">
        <f t="shared" si="161"/>
        <v>1003.8646150971867</v>
      </c>
      <c r="F1105" s="24">
        <f t="shared" ref="F1105:F1168" si="163">AlphaC*(D1105-E1105)</f>
        <v>80.682411487194372</v>
      </c>
      <c r="G1105" s="14">
        <f t="shared" ref="G1105:G1168" si="164">Phi*EpsilonF*Botzman/10^8*J1105*((D1105+273)^4-(E1105+273)^4)</f>
        <v>1070.6824629555661</v>
      </c>
      <c r="H1105" s="24">
        <f t="shared" si="162"/>
        <v>650</v>
      </c>
      <c r="I1105" s="12">
        <f t="shared" ref="I1105:I1168" si="165">ksh*Massivete/(H1105*RhoA)*DeltaT*(F1105+G1105)</f>
        <v>0.14152216795078038</v>
      </c>
      <c r="J1105" s="3">
        <f t="shared" ref="J1105:J1168" si="166">IF(E1105&lt;=500,IF(Galva=Oui,0.35,0.7),0.7)</f>
        <v>0.7</v>
      </c>
    </row>
    <row r="1106" spans="2:10" x14ac:dyDescent="0.25">
      <c r="B1106" s="3">
        <f t="shared" ref="B1106:B1169" si="167">B1105+DeltaT</f>
        <v>5445</v>
      </c>
      <c r="C1106" s="14">
        <f t="shared" ref="C1106:C1169" si="168">B1106/60</f>
        <v>90.75</v>
      </c>
      <c r="D1106" s="11">
        <f t="shared" ref="D1106:D1169" si="169">20+345*LOG(8*C1106+1,10)</f>
        <v>1007.229371746368</v>
      </c>
      <c r="E1106" s="24">
        <f t="shared" si="161"/>
        <v>1004.0061372651376</v>
      </c>
      <c r="F1106" s="24">
        <f t="shared" si="163"/>
        <v>80.580862030760159</v>
      </c>
      <c r="G1106" s="14">
        <f t="shared" si="164"/>
        <v>1069.6849177796619</v>
      </c>
      <c r="H1106" s="24">
        <f t="shared" si="162"/>
        <v>650</v>
      </c>
      <c r="I1106" s="12">
        <f t="shared" si="165"/>
        <v>0.14138707067744477</v>
      </c>
      <c r="J1106" s="3">
        <f t="shared" si="166"/>
        <v>0.7</v>
      </c>
    </row>
    <row r="1107" spans="2:10" x14ac:dyDescent="0.25">
      <c r="B1107" s="3">
        <f t="shared" si="167"/>
        <v>5450</v>
      </c>
      <c r="C1107" s="14">
        <f t="shared" si="168"/>
        <v>90.833333333333329</v>
      </c>
      <c r="D1107" s="11">
        <f t="shared" si="169"/>
        <v>1007.3667059413694</v>
      </c>
      <c r="E1107" s="24">
        <f t="shared" si="161"/>
        <v>1004.147524335815</v>
      </c>
      <c r="F1107" s="24">
        <f t="shared" si="163"/>
        <v>80.479540138861694</v>
      </c>
      <c r="G1107" s="14">
        <f t="shared" si="164"/>
        <v>1068.6892611629696</v>
      </c>
      <c r="H1107" s="24">
        <f t="shared" si="162"/>
        <v>650</v>
      </c>
      <c r="I1107" s="12">
        <f t="shared" si="165"/>
        <v>0.14125223351141927</v>
      </c>
      <c r="J1107" s="3">
        <f t="shared" si="166"/>
        <v>0.7</v>
      </c>
    </row>
    <row r="1108" spans="2:10" x14ac:dyDescent="0.25">
      <c r="B1108" s="3">
        <f t="shared" si="167"/>
        <v>5455</v>
      </c>
      <c r="C1108" s="14">
        <f t="shared" si="168"/>
        <v>90.916666666666671</v>
      </c>
      <c r="D1108" s="11">
        <f t="shared" si="169"/>
        <v>1007.5039143724384</v>
      </c>
      <c r="E1108" s="24">
        <f t="shared" si="161"/>
        <v>1004.2887765693264</v>
      </c>
      <c r="F1108" s="24">
        <f t="shared" si="163"/>
        <v>80.378445077801075</v>
      </c>
      <c r="G1108" s="14">
        <f t="shared" si="164"/>
        <v>1067.6954876804205</v>
      </c>
      <c r="H1108" s="24">
        <f t="shared" si="162"/>
        <v>650</v>
      </c>
      <c r="I1108" s="12">
        <f t="shared" si="165"/>
        <v>0.14111765569568752</v>
      </c>
      <c r="J1108" s="3">
        <f t="shared" si="166"/>
        <v>0.7</v>
      </c>
    </row>
    <row r="1109" spans="2:10" x14ac:dyDescent="0.25">
      <c r="B1109" s="3">
        <f t="shared" si="167"/>
        <v>5460</v>
      </c>
      <c r="C1109" s="14">
        <f t="shared" si="168"/>
        <v>91</v>
      </c>
      <c r="D1109" s="11">
        <f t="shared" si="169"/>
        <v>1007.6409972697011</v>
      </c>
      <c r="E1109" s="24">
        <f t="shared" si="161"/>
        <v>1004.4298942250221</v>
      </c>
      <c r="F1109" s="24">
        <f t="shared" si="163"/>
        <v>80.277576116975524</v>
      </c>
      <c r="G1109" s="14">
        <f t="shared" si="164"/>
        <v>1066.7035919277403</v>
      </c>
      <c r="H1109" s="24">
        <f t="shared" si="162"/>
        <v>650</v>
      </c>
      <c r="I1109" s="12">
        <f t="shared" si="165"/>
        <v>0.14098333647616965</v>
      </c>
      <c r="J1109" s="3">
        <f t="shared" si="166"/>
        <v>0.7</v>
      </c>
    </row>
    <row r="1110" spans="2:10" x14ac:dyDescent="0.25">
      <c r="B1110" s="3">
        <f t="shared" si="167"/>
        <v>5465</v>
      </c>
      <c r="C1110" s="14">
        <f t="shared" si="168"/>
        <v>91.083333333333329</v>
      </c>
      <c r="D1110" s="11">
        <f t="shared" si="169"/>
        <v>1007.7779548626527</v>
      </c>
      <c r="E1110" s="24">
        <f t="shared" si="161"/>
        <v>1004.5708775614983</v>
      </c>
      <c r="F1110" s="24">
        <f t="shared" si="163"/>
        <v>80.176932528860334</v>
      </c>
      <c r="G1110" s="14">
        <f t="shared" si="164"/>
        <v>1065.7135685217402</v>
      </c>
      <c r="H1110" s="24">
        <f t="shared" si="162"/>
        <v>650</v>
      </c>
      <c r="I1110" s="12">
        <f t="shared" si="165"/>
        <v>0.14084927510175585</v>
      </c>
      <c r="J1110" s="3">
        <f t="shared" si="166"/>
        <v>0.7</v>
      </c>
    </row>
    <row r="1111" spans="2:10" x14ac:dyDescent="0.25">
      <c r="B1111" s="3">
        <f t="shared" si="167"/>
        <v>5470</v>
      </c>
      <c r="C1111" s="14">
        <f t="shared" si="168"/>
        <v>91.166666666666671</v>
      </c>
      <c r="D1111" s="11">
        <f t="shared" si="169"/>
        <v>1007.9147873801597</v>
      </c>
      <c r="E1111" s="24">
        <f t="shared" si="161"/>
        <v>1004.7117268366001</v>
      </c>
      <c r="F1111" s="24">
        <f t="shared" si="163"/>
        <v>80.076513588991816</v>
      </c>
      <c r="G1111" s="14">
        <f t="shared" si="164"/>
        <v>1064.7254120999487</v>
      </c>
      <c r="H1111" s="24">
        <f t="shared" si="162"/>
        <v>650</v>
      </c>
      <c r="I1111" s="12">
        <f t="shared" si="165"/>
        <v>0.14071547082425914</v>
      </c>
      <c r="J1111" s="3">
        <f t="shared" si="166"/>
        <v>0.7</v>
      </c>
    </row>
    <row r="1112" spans="2:10" x14ac:dyDescent="0.25">
      <c r="B1112" s="3">
        <f t="shared" si="167"/>
        <v>5475</v>
      </c>
      <c r="C1112" s="14">
        <f t="shared" si="168"/>
        <v>91.25</v>
      </c>
      <c r="D1112" s="11">
        <f t="shared" si="169"/>
        <v>1008.0514950504617</v>
      </c>
      <c r="E1112" s="24">
        <f t="shared" si="161"/>
        <v>1004.8524423074243</v>
      </c>
      <c r="F1112" s="24">
        <f t="shared" si="163"/>
        <v>79.976318575933192</v>
      </c>
      <c r="G1112" s="14">
        <f t="shared" si="164"/>
        <v>1063.7391173203202</v>
      </c>
      <c r="H1112" s="24">
        <f t="shared" si="162"/>
        <v>650</v>
      </c>
      <c r="I1112" s="12">
        <f t="shared" si="165"/>
        <v>0.14058192289837518</v>
      </c>
      <c r="J1112" s="3">
        <f t="shared" si="166"/>
        <v>0.7</v>
      </c>
    </row>
    <row r="1113" spans="2:10" x14ac:dyDescent="0.25">
      <c r="B1113" s="3">
        <f t="shared" si="167"/>
        <v>5480</v>
      </c>
      <c r="C1113" s="14">
        <f t="shared" si="168"/>
        <v>91.333333333333329</v>
      </c>
      <c r="D1113" s="11">
        <f t="shared" si="169"/>
        <v>1008.1880781011747</v>
      </c>
      <c r="E1113" s="24">
        <f t="shared" si="161"/>
        <v>1004.9930242303227</v>
      </c>
      <c r="F1113" s="24">
        <f t="shared" si="163"/>
        <v>79.876346771300177</v>
      </c>
      <c r="G1113" s="14">
        <f t="shared" si="164"/>
        <v>1062.7546788618949</v>
      </c>
      <c r="H1113" s="24">
        <f t="shared" si="162"/>
        <v>650</v>
      </c>
      <c r="I1113" s="12">
        <f t="shared" si="165"/>
        <v>0.14044863058176671</v>
      </c>
      <c r="J1113" s="3">
        <f t="shared" si="166"/>
        <v>0.7</v>
      </c>
    </row>
    <row r="1114" spans="2:10" x14ac:dyDescent="0.25">
      <c r="B1114" s="3">
        <f t="shared" si="167"/>
        <v>5485</v>
      </c>
      <c r="C1114" s="14">
        <f t="shared" si="168"/>
        <v>91.416666666666671</v>
      </c>
      <c r="D1114" s="11">
        <f t="shared" si="169"/>
        <v>1008.3245367592925</v>
      </c>
      <c r="E1114" s="24">
        <f t="shared" si="161"/>
        <v>1005.1334728609045</v>
      </c>
      <c r="F1114" s="24">
        <f t="shared" si="163"/>
        <v>79.776597459701293</v>
      </c>
      <c r="G1114" s="14">
        <f t="shared" si="164"/>
        <v>1061.7720914237905</v>
      </c>
      <c r="H1114" s="24">
        <f t="shared" si="162"/>
        <v>650</v>
      </c>
      <c r="I1114" s="12">
        <f t="shared" si="165"/>
        <v>0.14031559313493217</v>
      </c>
      <c r="J1114" s="3">
        <f t="shared" si="166"/>
        <v>0.7</v>
      </c>
    </row>
    <row r="1115" spans="2:10" x14ac:dyDescent="0.25">
      <c r="B1115" s="3">
        <f t="shared" si="167"/>
        <v>5490</v>
      </c>
      <c r="C1115" s="14">
        <f t="shared" si="168"/>
        <v>91.5</v>
      </c>
      <c r="D1115" s="11">
        <f t="shared" si="169"/>
        <v>1008.4608712511891</v>
      </c>
      <c r="E1115" s="24">
        <f t="shared" si="161"/>
        <v>1005.2737884540394</v>
      </c>
      <c r="F1115" s="24">
        <f t="shared" si="163"/>
        <v>79.677069928743549</v>
      </c>
      <c r="G1115" s="14">
        <f t="shared" si="164"/>
        <v>1060.7913497255311</v>
      </c>
      <c r="H1115" s="24">
        <f t="shared" si="162"/>
        <v>650</v>
      </c>
      <c r="I1115" s="12">
        <f t="shared" si="165"/>
        <v>0.14018280982124692</v>
      </c>
      <c r="J1115" s="3">
        <f t="shared" si="166"/>
        <v>0.7</v>
      </c>
    </row>
    <row r="1116" spans="2:10" x14ac:dyDescent="0.25">
      <c r="B1116" s="3">
        <f t="shared" si="167"/>
        <v>5495</v>
      </c>
      <c r="C1116" s="14">
        <f t="shared" si="168"/>
        <v>91.583333333333329</v>
      </c>
      <c r="D1116" s="11">
        <f t="shared" si="169"/>
        <v>1008.5970818026213</v>
      </c>
      <c r="E1116" s="24">
        <f t="shared" si="161"/>
        <v>1005.4139712638606</v>
      </c>
      <c r="F1116" s="24">
        <f t="shared" si="163"/>
        <v>79.577763469018237</v>
      </c>
      <c r="G1116" s="14">
        <f t="shared" si="164"/>
        <v>1059.8124485070291</v>
      </c>
      <c r="H1116" s="24">
        <f t="shared" si="162"/>
        <v>650</v>
      </c>
      <c r="I1116" s="12">
        <f t="shared" si="165"/>
        <v>0.14005027990695909</v>
      </c>
      <c r="J1116" s="3">
        <f t="shared" si="166"/>
        <v>0.7</v>
      </c>
    </row>
    <row r="1117" spans="2:10" x14ac:dyDescent="0.25">
      <c r="B1117" s="3">
        <f t="shared" si="167"/>
        <v>5500</v>
      </c>
      <c r="C1117" s="14">
        <f t="shared" si="168"/>
        <v>91.666666666666671</v>
      </c>
      <c r="D1117" s="11">
        <f t="shared" si="169"/>
        <v>1008.7331686387313</v>
      </c>
      <c r="E1117" s="24">
        <f t="shared" si="161"/>
        <v>1005.5540215437676</v>
      </c>
      <c r="F1117" s="24">
        <f t="shared" si="163"/>
        <v>79.478677374092399</v>
      </c>
      <c r="G1117" s="14">
        <f t="shared" si="164"/>
        <v>1058.8353825286815</v>
      </c>
      <c r="H1117" s="24">
        <f t="shared" si="162"/>
        <v>650</v>
      </c>
      <c r="I1117" s="12">
        <f t="shared" si="165"/>
        <v>0.13991800266120058</v>
      </c>
      <c r="J1117" s="3">
        <f t="shared" si="166"/>
        <v>0.7</v>
      </c>
    </row>
    <row r="1118" spans="2:10" x14ac:dyDescent="0.25">
      <c r="B1118" s="3">
        <f t="shared" si="167"/>
        <v>5505</v>
      </c>
      <c r="C1118" s="14">
        <f t="shared" si="168"/>
        <v>91.75</v>
      </c>
      <c r="D1118" s="11">
        <f t="shared" si="169"/>
        <v>1008.8691319840472</v>
      </c>
      <c r="E1118" s="24">
        <f t="shared" si="161"/>
        <v>1005.6939395464287</v>
      </c>
      <c r="F1118" s="24">
        <f t="shared" si="163"/>
        <v>79.379810940460516</v>
      </c>
      <c r="G1118" s="14">
        <f t="shared" si="164"/>
        <v>1057.8601465705553</v>
      </c>
      <c r="H1118" s="24">
        <f t="shared" si="162"/>
        <v>650</v>
      </c>
      <c r="I1118" s="12">
        <f t="shared" si="165"/>
        <v>0.13978597735588086</v>
      </c>
      <c r="J1118" s="3">
        <f t="shared" si="166"/>
        <v>0.7</v>
      </c>
    </row>
    <row r="1119" spans="2:10" x14ac:dyDescent="0.25">
      <c r="B1119" s="3">
        <f t="shared" si="167"/>
        <v>5510</v>
      </c>
      <c r="C1119" s="14">
        <f t="shared" si="168"/>
        <v>91.833333333333329</v>
      </c>
      <c r="D1119" s="11">
        <f t="shared" si="169"/>
        <v>1009.0049720624874</v>
      </c>
      <c r="E1119" s="24">
        <f t="shared" si="161"/>
        <v>1005.8337255237847</v>
      </c>
      <c r="F1119" s="24">
        <f t="shared" si="163"/>
        <v>79.281163467567239</v>
      </c>
      <c r="G1119" s="14">
        <f t="shared" si="164"/>
        <v>1056.8867354326214</v>
      </c>
      <c r="H1119" s="24">
        <f t="shared" si="162"/>
        <v>650</v>
      </c>
      <c r="I1119" s="12">
        <f t="shared" si="165"/>
        <v>0.13965420326571854</v>
      </c>
      <c r="J1119" s="3">
        <f t="shared" si="166"/>
        <v>0.7</v>
      </c>
    </row>
    <row r="1120" spans="2:10" x14ac:dyDescent="0.25">
      <c r="B1120" s="3">
        <f t="shared" si="167"/>
        <v>5515</v>
      </c>
      <c r="C1120" s="14">
        <f t="shared" si="168"/>
        <v>91.916666666666671</v>
      </c>
      <c r="D1120" s="11">
        <f t="shared" si="169"/>
        <v>1009.1406890973615</v>
      </c>
      <c r="E1120" s="24">
        <f t="shared" si="161"/>
        <v>1005.9733797270504</v>
      </c>
      <c r="F1120" s="24">
        <f t="shared" si="163"/>
        <v>79.182734257776133</v>
      </c>
      <c r="G1120" s="14">
        <f t="shared" si="164"/>
        <v>1055.9151439351599</v>
      </c>
      <c r="H1120" s="24">
        <f t="shared" si="162"/>
        <v>650</v>
      </c>
      <c r="I1120" s="12">
        <f t="shared" si="165"/>
        <v>0.13952267966828735</v>
      </c>
      <c r="J1120" s="3">
        <f t="shared" si="166"/>
        <v>0.7</v>
      </c>
    </row>
    <row r="1121" spans="2:10" x14ac:dyDescent="0.25">
      <c r="B1121" s="3">
        <f t="shared" si="167"/>
        <v>5520</v>
      </c>
      <c r="C1121" s="14">
        <f t="shared" si="168"/>
        <v>92</v>
      </c>
      <c r="D1121" s="11">
        <f t="shared" si="169"/>
        <v>1009.2762833113726</v>
      </c>
      <c r="E1121" s="24">
        <f t="shared" si="161"/>
        <v>1006.1129024067187</v>
      </c>
      <c r="F1121" s="24">
        <f t="shared" si="163"/>
        <v>79.084522616346931</v>
      </c>
      <c r="G1121" s="14">
        <f t="shared" si="164"/>
        <v>1054.9453669180446</v>
      </c>
      <c r="H1121" s="24">
        <f t="shared" si="162"/>
        <v>650</v>
      </c>
      <c r="I1121" s="12">
        <f t="shared" si="165"/>
        <v>0.13939140584392543</v>
      </c>
      <c r="J1121" s="3">
        <f t="shared" si="166"/>
        <v>0.7</v>
      </c>
    </row>
    <row r="1122" spans="2:10" x14ac:dyDescent="0.25">
      <c r="B1122" s="3">
        <f t="shared" si="167"/>
        <v>5525</v>
      </c>
      <c r="C1122" s="14">
        <f t="shared" si="168"/>
        <v>92.083333333333329</v>
      </c>
      <c r="D1122" s="11">
        <f t="shared" si="169"/>
        <v>1009.4117549266202</v>
      </c>
      <c r="E1122" s="24">
        <f t="shared" si="161"/>
        <v>1006.2522938125627</v>
      </c>
      <c r="F1122" s="24">
        <f t="shared" si="163"/>
        <v>78.986527851438382</v>
      </c>
      <c r="G1122" s="14">
        <f t="shared" si="164"/>
        <v>1053.9773992408973</v>
      </c>
      <c r="H1122" s="24">
        <f t="shared" si="162"/>
        <v>650</v>
      </c>
      <c r="I1122" s="12">
        <f t="shared" si="165"/>
        <v>0.13926038107575467</v>
      </c>
      <c r="J1122" s="3">
        <f t="shared" si="166"/>
        <v>0.7</v>
      </c>
    </row>
    <row r="1123" spans="2:10" x14ac:dyDescent="0.25">
      <c r="B1123" s="3">
        <f t="shared" si="167"/>
        <v>5530</v>
      </c>
      <c r="C1123" s="14">
        <f t="shared" si="168"/>
        <v>92.166666666666671</v>
      </c>
      <c r="D1123" s="11">
        <f t="shared" si="169"/>
        <v>1009.5471041646018</v>
      </c>
      <c r="E1123" s="24">
        <f t="shared" si="161"/>
        <v>1006.3915541936384</v>
      </c>
      <c r="F1123" s="24">
        <f t="shared" si="163"/>
        <v>78.888749274085512</v>
      </c>
      <c r="G1123" s="14">
        <f t="shared" si="164"/>
        <v>1053.0112357828552</v>
      </c>
      <c r="H1123" s="24">
        <f t="shared" si="162"/>
        <v>650</v>
      </c>
      <c r="I1123" s="12">
        <f t="shared" si="165"/>
        <v>0.13912960464964913</v>
      </c>
      <c r="J1123" s="3">
        <f t="shared" si="166"/>
        <v>0.7</v>
      </c>
    </row>
    <row r="1124" spans="2:10" x14ac:dyDescent="0.25">
      <c r="B1124" s="3">
        <f t="shared" si="167"/>
        <v>5535</v>
      </c>
      <c r="C1124" s="14">
        <f t="shared" si="168"/>
        <v>92.25</v>
      </c>
      <c r="D1124" s="11">
        <f t="shared" si="169"/>
        <v>1009.6823312462149</v>
      </c>
      <c r="E1124" s="24">
        <f t="shared" si="161"/>
        <v>1006.530683798288</v>
      </c>
      <c r="F1124" s="24">
        <f t="shared" si="163"/>
        <v>78.791186198171204</v>
      </c>
      <c r="G1124" s="14">
        <f t="shared" si="164"/>
        <v>1052.0468714426486</v>
      </c>
      <c r="H1124" s="24">
        <f t="shared" si="162"/>
        <v>650</v>
      </c>
      <c r="I1124" s="12">
        <f t="shared" si="165"/>
        <v>0.13899907585424137</v>
      </c>
      <c r="J1124" s="3">
        <f t="shared" si="166"/>
        <v>0.7</v>
      </c>
    </row>
    <row r="1125" spans="2:10" x14ac:dyDescent="0.25">
      <c r="B1125" s="3">
        <f t="shared" si="167"/>
        <v>5540</v>
      </c>
      <c r="C1125" s="14">
        <f t="shared" si="168"/>
        <v>92.333333333333329</v>
      </c>
      <c r="D1125" s="11">
        <f t="shared" si="169"/>
        <v>1009.8174363917592</v>
      </c>
      <c r="E1125" s="24">
        <f t="shared" si="161"/>
        <v>1006.6696828741423</v>
      </c>
      <c r="F1125" s="24">
        <f t="shared" si="163"/>
        <v>78.69383794042335</v>
      </c>
      <c r="G1125" s="14">
        <f t="shared" si="164"/>
        <v>1051.0843011384268</v>
      </c>
      <c r="H1125" s="24">
        <f t="shared" si="162"/>
        <v>650</v>
      </c>
      <c r="I1125" s="12">
        <f t="shared" si="165"/>
        <v>0.13886879398090055</v>
      </c>
      <c r="J1125" s="3">
        <f t="shared" si="166"/>
        <v>0.7</v>
      </c>
    </row>
    <row r="1126" spans="2:10" x14ac:dyDescent="0.25">
      <c r="B1126" s="3">
        <f t="shared" si="167"/>
        <v>5545</v>
      </c>
      <c r="C1126" s="14">
        <f t="shared" si="168"/>
        <v>92.416666666666671</v>
      </c>
      <c r="D1126" s="11">
        <f t="shared" si="169"/>
        <v>1009.9524198209398</v>
      </c>
      <c r="E1126" s="24">
        <f t="shared" si="161"/>
        <v>1006.8085516681232</v>
      </c>
      <c r="F1126" s="24">
        <f t="shared" si="163"/>
        <v>78.596703820414859</v>
      </c>
      <c r="G1126" s="14">
        <f t="shared" si="164"/>
        <v>1050.1235198076797</v>
      </c>
      <c r="H1126" s="24">
        <f t="shared" si="162"/>
        <v>650</v>
      </c>
      <c r="I1126" s="12">
        <f t="shared" si="165"/>
        <v>0.13873875832372279</v>
      </c>
      <c r="J1126" s="3">
        <f t="shared" si="166"/>
        <v>0.7</v>
      </c>
    </row>
    <row r="1127" spans="2:10" x14ac:dyDescent="0.25">
      <c r="B1127" s="3">
        <f t="shared" si="167"/>
        <v>5550</v>
      </c>
      <c r="C1127" s="14">
        <f t="shared" si="168"/>
        <v>92.5</v>
      </c>
      <c r="D1127" s="11">
        <f t="shared" si="169"/>
        <v>1010.0872817528682</v>
      </c>
      <c r="E1127" s="24">
        <f t="shared" si="161"/>
        <v>1006.9472904264469</v>
      </c>
      <c r="F1127" s="24">
        <f t="shared" si="163"/>
        <v>78.499783160532388</v>
      </c>
      <c r="G1127" s="14">
        <f t="shared" si="164"/>
        <v>1049.1645224071801</v>
      </c>
      <c r="H1127" s="24">
        <f t="shared" si="162"/>
        <v>650</v>
      </c>
      <c r="I1127" s="12">
        <f t="shared" si="165"/>
        <v>0.13860896817952026</v>
      </c>
      <c r="J1127" s="3">
        <f t="shared" si="166"/>
        <v>0.7</v>
      </c>
    </row>
    <row r="1128" spans="2:10" x14ac:dyDescent="0.25">
      <c r="B1128" s="3">
        <f t="shared" si="167"/>
        <v>5555</v>
      </c>
      <c r="C1128" s="14">
        <f t="shared" si="168"/>
        <v>92.583333333333329</v>
      </c>
      <c r="D1128" s="11">
        <f t="shared" si="169"/>
        <v>1010.2220224060643</v>
      </c>
      <c r="E1128" s="24">
        <f t="shared" si="161"/>
        <v>1007.0858993946264</v>
      </c>
      <c r="F1128" s="24">
        <f t="shared" si="163"/>
        <v>78.403075285947921</v>
      </c>
      <c r="G1128" s="14">
        <f t="shared" si="164"/>
        <v>1048.2073039126358</v>
      </c>
      <c r="H1128" s="24">
        <f t="shared" si="162"/>
        <v>650</v>
      </c>
      <c r="I1128" s="12">
        <f t="shared" si="165"/>
        <v>0.13847942284777495</v>
      </c>
      <c r="J1128" s="3">
        <f t="shared" si="166"/>
        <v>0.7</v>
      </c>
    </row>
    <row r="1129" spans="2:10" x14ac:dyDescent="0.25">
      <c r="B1129" s="3">
        <f t="shared" si="167"/>
        <v>5560</v>
      </c>
      <c r="C1129" s="14">
        <f t="shared" si="168"/>
        <v>92.666666666666671</v>
      </c>
      <c r="D1129" s="11">
        <f t="shared" si="169"/>
        <v>1010.3566419984595</v>
      </c>
      <c r="E1129" s="24">
        <f t="shared" si="161"/>
        <v>1007.2243788174742</v>
      </c>
      <c r="F1129" s="24">
        <f t="shared" si="163"/>
        <v>78.30657952463298</v>
      </c>
      <c r="G1129" s="14">
        <f t="shared" si="164"/>
        <v>1047.25185931894</v>
      </c>
      <c r="H1129" s="24">
        <f t="shared" si="162"/>
        <v>650</v>
      </c>
      <c r="I1129" s="12">
        <f t="shared" si="165"/>
        <v>0.13835012163067112</v>
      </c>
      <c r="J1129" s="3">
        <f t="shared" si="166"/>
        <v>0.7</v>
      </c>
    </row>
    <row r="1130" spans="2:10" x14ac:dyDescent="0.25">
      <c r="B1130" s="3">
        <f t="shared" si="167"/>
        <v>5565</v>
      </c>
      <c r="C1130" s="14">
        <f t="shared" si="168"/>
        <v>92.75</v>
      </c>
      <c r="D1130" s="11">
        <f t="shared" si="169"/>
        <v>1010.4911407473984</v>
      </c>
      <c r="E1130" s="24">
        <f t="shared" si="161"/>
        <v>1007.3627289391048</v>
      </c>
      <c r="F1130" s="24">
        <f t="shared" si="163"/>
        <v>78.210295207338731</v>
      </c>
      <c r="G1130" s="14">
        <f t="shared" si="164"/>
        <v>1046.2981836400747</v>
      </c>
      <c r="H1130" s="24">
        <f t="shared" si="162"/>
        <v>650</v>
      </c>
      <c r="I1130" s="12">
        <f t="shared" si="165"/>
        <v>0.13822106383308111</v>
      </c>
      <c r="J1130" s="3">
        <f t="shared" si="166"/>
        <v>0.7</v>
      </c>
    </row>
    <row r="1131" spans="2:10" x14ac:dyDescent="0.25">
      <c r="B1131" s="3">
        <f t="shared" si="167"/>
        <v>5570</v>
      </c>
      <c r="C1131" s="14">
        <f t="shared" si="168"/>
        <v>92.833333333333329</v>
      </c>
      <c r="D1131" s="11">
        <f t="shared" si="169"/>
        <v>1010.6255188696402</v>
      </c>
      <c r="E1131" s="24">
        <f t="shared" si="161"/>
        <v>1007.5009500029379</v>
      </c>
      <c r="F1131" s="24">
        <f t="shared" si="163"/>
        <v>78.114221667559036</v>
      </c>
      <c r="G1131" s="14">
        <f t="shared" si="164"/>
        <v>1045.3462719087247</v>
      </c>
      <c r="H1131" s="24">
        <f t="shared" si="162"/>
        <v>650</v>
      </c>
      <c r="I1131" s="12">
        <f t="shared" si="165"/>
        <v>0.13809224876251316</v>
      </c>
      <c r="J1131" s="3">
        <f t="shared" si="166"/>
        <v>0.7</v>
      </c>
    </row>
    <row r="1132" spans="2:10" x14ac:dyDescent="0.25">
      <c r="B1132" s="3">
        <f t="shared" si="167"/>
        <v>5575</v>
      </c>
      <c r="C1132" s="14">
        <f t="shared" si="168"/>
        <v>92.916666666666671</v>
      </c>
      <c r="D1132" s="11">
        <f t="shared" si="169"/>
        <v>1010.7597765813623</v>
      </c>
      <c r="E1132" s="24">
        <f t="shared" si="161"/>
        <v>1007.6390422517004</v>
      </c>
      <c r="F1132" s="24">
        <f t="shared" si="163"/>
        <v>78.018358241547503</v>
      </c>
      <c r="G1132" s="14">
        <f t="shared" si="164"/>
        <v>1044.396119176314</v>
      </c>
      <c r="H1132" s="24">
        <f t="shared" si="162"/>
        <v>650</v>
      </c>
      <c r="I1132" s="12">
        <f t="shared" si="165"/>
        <v>0.13796367572911827</v>
      </c>
      <c r="J1132" s="3">
        <f t="shared" si="166"/>
        <v>0.7</v>
      </c>
    </row>
    <row r="1133" spans="2:10" x14ac:dyDescent="0.25">
      <c r="B1133" s="3">
        <f t="shared" si="167"/>
        <v>5580</v>
      </c>
      <c r="C1133" s="14">
        <f t="shared" si="168"/>
        <v>93</v>
      </c>
      <c r="D1133" s="11">
        <f t="shared" si="169"/>
        <v>1010.893914098161</v>
      </c>
      <c r="E1133" s="24">
        <f t="shared" si="161"/>
        <v>1007.7770059274295</v>
      </c>
      <c r="F1133" s="24">
        <f t="shared" si="163"/>
        <v>77.922704268286225</v>
      </c>
      <c r="G1133" s="14">
        <f t="shared" si="164"/>
        <v>1043.4477205133562</v>
      </c>
      <c r="H1133" s="24">
        <f t="shared" si="162"/>
        <v>650</v>
      </c>
      <c r="I1133" s="12">
        <f t="shared" si="165"/>
        <v>0.13783534404572906</v>
      </c>
      <c r="J1133" s="3">
        <f t="shared" si="166"/>
        <v>0.7</v>
      </c>
    </row>
    <row r="1134" spans="2:10" x14ac:dyDescent="0.25">
      <c r="B1134" s="3">
        <f t="shared" si="167"/>
        <v>5585</v>
      </c>
      <c r="C1134" s="14">
        <f t="shared" si="168"/>
        <v>93.083333333333329</v>
      </c>
      <c r="D1134" s="11">
        <f t="shared" si="169"/>
        <v>1011.0279316350535</v>
      </c>
      <c r="E1134" s="24">
        <f t="shared" si="161"/>
        <v>1007.9148412714752</v>
      </c>
      <c r="F1134" s="24">
        <f t="shared" si="163"/>
        <v>77.827259089457357</v>
      </c>
      <c r="G1134" s="14">
        <f t="shared" si="164"/>
        <v>1042.5010710080978</v>
      </c>
      <c r="H1134" s="24">
        <f t="shared" si="162"/>
        <v>650</v>
      </c>
      <c r="I1134" s="12">
        <f t="shared" si="165"/>
        <v>0.1377072530276898</v>
      </c>
      <c r="J1134" s="3">
        <f t="shared" si="166"/>
        <v>0.7</v>
      </c>
    </row>
    <row r="1135" spans="2:10" x14ac:dyDescent="0.25">
      <c r="B1135" s="3">
        <f t="shared" si="167"/>
        <v>5590</v>
      </c>
      <c r="C1135" s="14">
        <f t="shared" si="168"/>
        <v>93.166666666666671</v>
      </c>
      <c r="D1135" s="11">
        <f t="shared" si="169"/>
        <v>1011.1618294064818</v>
      </c>
      <c r="E1135" s="24">
        <f t="shared" si="161"/>
        <v>1008.0525485245029</v>
      </c>
      <c r="F1135" s="24">
        <f t="shared" si="163"/>
        <v>77.732022049474381</v>
      </c>
      <c r="G1135" s="14">
        <f t="shared" si="164"/>
        <v>1041.5561657685137</v>
      </c>
      <c r="H1135" s="24">
        <f t="shared" si="162"/>
        <v>650</v>
      </c>
      <c r="I1135" s="12">
        <f t="shared" si="165"/>
        <v>0.13757940199310545</v>
      </c>
      <c r="J1135" s="3">
        <f t="shared" si="166"/>
        <v>0.7</v>
      </c>
    </row>
    <row r="1136" spans="2:10" x14ac:dyDescent="0.25">
      <c r="B1136" s="3">
        <f t="shared" si="167"/>
        <v>5595</v>
      </c>
      <c r="C1136" s="14">
        <f t="shared" si="168"/>
        <v>93.25</v>
      </c>
      <c r="D1136" s="11">
        <f t="shared" si="169"/>
        <v>1011.2956076263125</v>
      </c>
      <c r="E1136" s="24">
        <f t="shared" si="161"/>
        <v>1008.190127926496</v>
      </c>
      <c r="F1136" s="24">
        <f t="shared" si="163"/>
        <v>77.636992495413892</v>
      </c>
      <c r="G1136" s="14">
        <f t="shared" si="164"/>
        <v>1040.6129999199043</v>
      </c>
      <c r="H1136" s="24">
        <f t="shared" si="162"/>
        <v>650</v>
      </c>
      <c r="I1136" s="12">
        <f t="shared" si="165"/>
        <v>0.13745179026253784</v>
      </c>
      <c r="J1136" s="3">
        <f t="shared" si="166"/>
        <v>0.7</v>
      </c>
    </row>
    <row r="1137" spans="2:10" x14ac:dyDescent="0.25">
      <c r="B1137" s="3">
        <f t="shared" si="167"/>
        <v>5600</v>
      </c>
      <c r="C1137" s="14">
        <f t="shared" si="168"/>
        <v>93.333333333333329</v>
      </c>
      <c r="D1137" s="11">
        <f t="shared" si="169"/>
        <v>1011.4292665078403</v>
      </c>
      <c r="E1137" s="24">
        <f t="shared" si="161"/>
        <v>1008.3275797167585</v>
      </c>
      <c r="F1137" s="24">
        <f t="shared" si="163"/>
        <v>77.542169777046865</v>
      </c>
      <c r="G1137" s="14">
        <f t="shared" si="164"/>
        <v>1039.6715686063878</v>
      </c>
      <c r="H1137" s="24">
        <f t="shared" si="162"/>
        <v>650</v>
      </c>
      <c r="I1137" s="12">
        <f t="shared" si="165"/>
        <v>0.13732441715919314</v>
      </c>
      <c r="J1137" s="3">
        <f t="shared" si="166"/>
        <v>0.7</v>
      </c>
    </row>
    <row r="1138" spans="2:10" x14ac:dyDescent="0.25">
      <c r="B1138" s="3">
        <f t="shared" si="167"/>
        <v>5605</v>
      </c>
      <c r="C1138" s="14">
        <f t="shared" si="168"/>
        <v>93.416666666666671</v>
      </c>
      <c r="D1138" s="11">
        <f t="shared" si="169"/>
        <v>1011.5628062637894</v>
      </c>
      <c r="E1138" s="24">
        <f t="shared" si="161"/>
        <v>1008.4649041339177</v>
      </c>
      <c r="F1138" s="24">
        <f t="shared" si="163"/>
        <v>77.447553246793177</v>
      </c>
      <c r="G1138" s="14">
        <f t="shared" si="164"/>
        <v>1038.731866990378</v>
      </c>
      <c r="H1138" s="24">
        <f t="shared" si="162"/>
        <v>650</v>
      </c>
      <c r="I1138" s="12">
        <f t="shared" si="165"/>
        <v>0.13719728200885176</v>
      </c>
      <c r="J1138" s="3">
        <f t="shared" si="166"/>
        <v>0.7</v>
      </c>
    </row>
    <row r="1139" spans="2:10" x14ac:dyDescent="0.25">
      <c r="B1139" s="3">
        <f t="shared" si="167"/>
        <v>5610</v>
      </c>
      <c r="C1139" s="14">
        <f t="shared" si="168"/>
        <v>93.5</v>
      </c>
      <c r="D1139" s="11">
        <f t="shared" si="169"/>
        <v>1011.6962271063159</v>
      </c>
      <c r="E1139" s="24">
        <f t="shared" si="161"/>
        <v>1008.6021014159265</v>
      </c>
      <c r="F1139" s="24">
        <f t="shared" si="163"/>
        <v>77.353142259732977</v>
      </c>
      <c r="G1139" s="14">
        <f t="shared" si="164"/>
        <v>1037.7938902523103</v>
      </c>
      <c r="H1139" s="24">
        <f t="shared" si="162"/>
        <v>650</v>
      </c>
      <c r="I1139" s="12">
        <f t="shared" si="165"/>
        <v>0.13707038413983644</v>
      </c>
      <c r="J1139" s="3">
        <f t="shared" si="166"/>
        <v>0.7</v>
      </c>
    </row>
    <row r="1140" spans="2:10" x14ac:dyDescent="0.25">
      <c r="B1140" s="3">
        <f t="shared" si="167"/>
        <v>5615</v>
      </c>
      <c r="C1140" s="14">
        <f t="shared" si="168"/>
        <v>93.583333333333329</v>
      </c>
      <c r="D1140" s="11">
        <f t="shared" si="169"/>
        <v>1011.8295292470094</v>
      </c>
      <c r="E1140" s="24">
        <f t="shared" ref="E1140:E1203" si="170">E1139+I1139</f>
        <v>1008.7391718000664</v>
      </c>
      <c r="F1140" s="24">
        <f t="shared" si="163"/>
        <v>77.258936173575421</v>
      </c>
      <c r="G1140" s="14">
        <f t="shared" si="164"/>
        <v>1036.8576335908583</v>
      </c>
      <c r="H1140" s="24">
        <f t="shared" ref="H1140:H1203" si="171">IF(E1140&lt;600,425+0.773*E1140-1.69/1000*E1140^2+2.22/1000^2*E1140^3,IF(E1140&lt;735,666+13002/(738-E1140),IF(E1140&lt;900,545+17820/(E1140-731),650)))</f>
        <v>650</v>
      </c>
      <c r="I1140" s="12">
        <f t="shared" si="165"/>
        <v>0.13694372288303477</v>
      </c>
      <c r="J1140" s="3">
        <f t="shared" si="166"/>
        <v>0.7</v>
      </c>
    </row>
    <row r="1141" spans="2:10" x14ac:dyDescent="0.25">
      <c r="B1141" s="3">
        <f t="shared" si="167"/>
        <v>5620</v>
      </c>
      <c r="C1141" s="14">
        <f t="shared" si="168"/>
        <v>93.666666666666671</v>
      </c>
      <c r="D1141" s="11">
        <f t="shared" si="169"/>
        <v>1011.9627128968958</v>
      </c>
      <c r="E1141" s="24">
        <f t="shared" si="170"/>
        <v>1008.8761155229495</v>
      </c>
      <c r="F1141" s="24">
        <f t="shared" si="163"/>
        <v>77.164934348658676</v>
      </c>
      <c r="G1141" s="14">
        <f t="shared" si="164"/>
        <v>1035.9230922225818</v>
      </c>
      <c r="H1141" s="24">
        <f t="shared" si="171"/>
        <v>650</v>
      </c>
      <c r="I1141" s="12">
        <f t="shared" si="165"/>
        <v>0.13681729757185598</v>
      </c>
      <c r="J1141" s="3">
        <f t="shared" si="166"/>
        <v>0.7</v>
      </c>
    </row>
    <row r="1142" spans="2:10" x14ac:dyDescent="0.25">
      <c r="B1142" s="3">
        <f t="shared" si="167"/>
        <v>5625</v>
      </c>
      <c r="C1142" s="14">
        <f t="shared" si="168"/>
        <v>93.75</v>
      </c>
      <c r="D1142" s="11">
        <f t="shared" si="169"/>
        <v>1012.0957782664379</v>
      </c>
      <c r="E1142" s="24">
        <f t="shared" si="170"/>
        <v>1009.0129328205213</v>
      </c>
      <c r="F1142" s="24">
        <f t="shared" si="163"/>
        <v>77.071136147915809</v>
      </c>
      <c r="G1142" s="14">
        <f t="shared" si="164"/>
        <v>1034.9902613817353</v>
      </c>
      <c r="H1142" s="24">
        <f t="shared" si="171"/>
        <v>650</v>
      </c>
      <c r="I1142" s="12">
        <f t="shared" si="165"/>
        <v>0.13669110754220334</v>
      </c>
      <c r="J1142" s="3">
        <f t="shared" si="166"/>
        <v>0.7</v>
      </c>
    </row>
    <row r="1143" spans="2:10" x14ac:dyDescent="0.25">
      <c r="B1143" s="3">
        <f t="shared" si="167"/>
        <v>5630</v>
      </c>
      <c r="C1143" s="14">
        <f t="shared" si="168"/>
        <v>93.833333333333329</v>
      </c>
      <c r="D1143" s="11">
        <f t="shared" si="169"/>
        <v>1012.2287255655392</v>
      </c>
      <c r="E1143" s="24">
        <f t="shared" si="170"/>
        <v>1009.1496239280635</v>
      </c>
      <c r="F1143" s="24">
        <f t="shared" si="163"/>
        <v>76.977540936891842</v>
      </c>
      <c r="G1143" s="14">
        <f t="shared" si="164"/>
        <v>1034.0591363207902</v>
      </c>
      <c r="H1143" s="24">
        <f t="shared" si="171"/>
        <v>650</v>
      </c>
      <c r="I1143" s="12">
        <f t="shared" si="165"/>
        <v>0.13656515213254022</v>
      </c>
      <c r="J1143" s="3">
        <f t="shared" si="166"/>
        <v>0.7</v>
      </c>
    </row>
    <row r="1144" spans="2:10" x14ac:dyDescent="0.25">
      <c r="B1144" s="3">
        <f t="shared" si="167"/>
        <v>5635</v>
      </c>
      <c r="C1144" s="14">
        <f t="shared" si="168"/>
        <v>93.916666666666671</v>
      </c>
      <c r="D1144" s="11">
        <f t="shared" si="169"/>
        <v>1012.3615550035444</v>
      </c>
      <c r="E1144" s="24">
        <f t="shared" si="170"/>
        <v>1009.2861890801961</v>
      </c>
      <c r="F1144" s="24">
        <f t="shared" si="163"/>
        <v>76.884148083706805</v>
      </c>
      <c r="G1144" s="14">
        <f t="shared" si="164"/>
        <v>1033.1297123099312</v>
      </c>
      <c r="H1144" s="24">
        <f t="shared" si="171"/>
        <v>650</v>
      </c>
      <c r="I1144" s="12">
        <f t="shared" si="165"/>
        <v>0.1364394306838238</v>
      </c>
      <c r="J1144" s="3">
        <f t="shared" si="166"/>
        <v>0.7</v>
      </c>
    </row>
    <row r="1145" spans="2:10" x14ac:dyDescent="0.25">
      <c r="B1145" s="3">
        <f t="shared" si="167"/>
        <v>5640</v>
      </c>
      <c r="C1145" s="14">
        <f t="shared" si="168"/>
        <v>94</v>
      </c>
      <c r="D1145" s="11">
        <f t="shared" si="169"/>
        <v>1012.4942667892416</v>
      </c>
      <c r="E1145" s="24">
        <f t="shared" si="170"/>
        <v>1009.4226285108799</v>
      </c>
      <c r="F1145" s="24">
        <f t="shared" si="163"/>
        <v>76.790956959041523</v>
      </c>
      <c r="G1145" s="14">
        <f t="shared" si="164"/>
        <v>1032.2019846364938</v>
      </c>
      <c r="H1145" s="24">
        <f t="shared" si="171"/>
        <v>650</v>
      </c>
      <c r="I1145" s="12">
        <f t="shared" si="165"/>
        <v>0.13631394253943419</v>
      </c>
      <c r="J1145" s="3">
        <f t="shared" si="166"/>
        <v>0.7</v>
      </c>
    </row>
    <row r="1146" spans="2:10" x14ac:dyDescent="0.25">
      <c r="B1146" s="3">
        <f t="shared" si="167"/>
        <v>5645</v>
      </c>
      <c r="C1146" s="14">
        <f t="shared" si="168"/>
        <v>94.083333333333329</v>
      </c>
      <c r="D1146" s="11">
        <f t="shared" si="169"/>
        <v>1012.6268611308654</v>
      </c>
      <c r="E1146" s="24">
        <f t="shared" si="170"/>
        <v>1009.5589424534194</v>
      </c>
      <c r="F1146" s="24">
        <f t="shared" si="163"/>
        <v>76.697966936151829</v>
      </c>
      <c r="G1146" s="14">
        <f t="shared" si="164"/>
        <v>1031.2759486059533</v>
      </c>
      <c r="H1146" s="24">
        <f t="shared" si="171"/>
        <v>650</v>
      </c>
      <c r="I1146" s="12">
        <f t="shared" si="165"/>
        <v>0.13618868704529768</v>
      </c>
      <c r="J1146" s="3">
        <f t="shared" si="166"/>
        <v>0.7</v>
      </c>
    </row>
    <row r="1147" spans="2:10" x14ac:dyDescent="0.25">
      <c r="B1147" s="3">
        <f t="shared" si="167"/>
        <v>5650</v>
      </c>
      <c r="C1147" s="14">
        <f t="shared" si="168"/>
        <v>94.166666666666671</v>
      </c>
      <c r="D1147" s="11">
        <f t="shared" si="169"/>
        <v>1012.7593382360977</v>
      </c>
      <c r="E1147" s="24">
        <f t="shared" si="170"/>
        <v>1009.6951311404647</v>
      </c>
      <c r="F1147" s="24">
        <f t="shared" si="163"/>
        <v>76.605177390825929</v>
      </c>
      <c r="G1147" s="14">
        <f t="shared" si="164"/>
        <v>1030.3515995410528</v>
      </c>
      <c r="H1147" s="24">
        <f t="shared" si="171"/>
        <v>650</v>
      </c>
      <c r="I1147" s="12">
        <f t="shared" si="165"/>
        <v>0.13606366354977428</v>
      </c>
      <c r="J1147" s="3">
        <f t="shared" si="166"/>
        <v>0.7</v>
      </c>
    </row>
    <row r="1148" spans="2:10" x14ac:dyDescent="0.25">
      <c r="B1148" s="3">
        <f t="shared" si="167"/>
        <v>5655</v>
      </c>
      <c r="C1148" s="14">
        <f t="shared" si="168"/>
        <v>94.25</v>
      </c>
      <c r="D1148" s="11">
        <f t="shared" si="169"/>
        <v>1012.8916983120698</v>
      </c>
      <c r="E1148" s="24">
        <f t="shared" si="170"/>
        <v>1009.8311948040144</v>
      </c>
      <c r="F1148" s="24">
        <f t="shared" si="163"/>
        <v>76.512587701384405</v>
      </c>
      <c r="G1148" s="14">
        <f t="shared" si="164"/>
        <v>1029.4289327817246</v>
      </c>
      <c r="H1148" s="24">
        <f t="shared" si="171"/>
        <v>650</v>
      </c>
      <c r="I1148" s="12">
        <f t="shared" si="165"/>
        <v>0.13593887140364819</v>
      </c>
      <c r="J1148" s="3">
        <f t="shared" si="166"/>
        <v>0.7</v>
      </c>
    </row>
    <row r="1149" spans="2:10" x14ac:dyDescent="0.25">
      <c r="B1149" s="3">
        <f t="shared" si="167"/>
        <v>5660</v>
      </c>
      <c r="C1149" s="14">
        <f t="shared" si="168"/>
        <v>94.333333333333329</v>
      </c>
      <c r="D1149" s="11">
        <f t="shared" si="169"/>
        <v>1013.0239415653649</v>
      </c>
      <c r="E1149" s="24">
        <f t="shared" si="170"/>
        <v>1009.967133675418</v>
      </c>
      <c r="F1149" s="24">
        <f t="shared" si="163"/>
        <v>76.420197248671684</v>
      </c>
      <c r="G1149" s="14">
        <f t="shared" si="164"/>
        <v>1028.5079436858089</v>
      </c>
      <c r="H1149" s="24">
        <f t="shared" si="171"/>
        <v>650</v>
      </c>
      <c r="I1149" s="12">
        <f t="shared" si="165"/>
        <v>0.13581430996021499</v>
      </c>
      <c r="J1149" s="3">
        <f t="shared" si="166"/>
        <v>0.7</v>
      </c>
    </row>
    <row r="1150" spans="2:10" x14ac:dyDescent="0.25">
      <c r="B1150" s="3">
        <f t="shared" si="167"/>
        <v>5665</v>
      </c>
      <c r="C1150" s="14">
        <f t="shared" si="168"/>
        <v>94.416666666666671</v>
      </c>
      <c r="D1150" s="11">
        <f t="shared" si="169"/>
        <v>1013.1560682020194</v>
      </c>
      <c r="E1150" s="24">
        <f t="shared" si="170"/>
        <v>1010.1029479853783</v>
      </c>
      <c r="F1150" s="24">
        <f t="shared" si="163"/>
        <v>76.328005416027622</v>
      </c>
      <c r="G1150" s="14">
        <f t="shared" si="164"/>
        <v>1027.588627627812</v>
      </c>
      <c r="H1150" s="24">
        <f t="shared" si="171"/>
        <v>650</v>
      </c>
      <c r="I1150" s="12">
        <f t="shared" si="165"/>
        <v>0.13568997857512555</v>
      </c>
      <c r="J1150" s="3">
        <f t="shared" si="166"/>
        <v>0.7</v>
      </c>
    </row>
    <row r="1151" spans="2:10" x14ac:dyDescent="0.25">
      <c r="B1151" s="3">
        <f t="shared" si="167"/>
        <v>5670</v>
      </c>
      <c r="C1151" s="14">
        <f t="shared" si="168"/>
        <v>94.5</v>
      </c>
      <c r="D1151" s="11">
        <f t="shared" si="169"/>
        <v>1013.288078427525</v>
      </c>
      <c r="E1151" s="24">
        <f t="shared" si="170"/>
        <v>1010.2386379639534</v>
      </c>
      <c r="F1151" s="24">
        <f t="shared" si="163"/>
        <v>76.236011589290342</v>
      </c>
      <c r="G1151" s="14">
        <f t="shared" si="164"/>
        <v>1026.6709799995078</v>
      </c>
      <c r="H1151" s="24">
        <f t="shared" si="171"/>
        <v>650</v>
      </c>
      <c r="I1151" s="12">
        <f t="shared" si="165"/>
        <v>0.13556587660646019</v>
      </c>
      <c r="J1151" s="3">
        <f t="shared" si="166"/>
        <v>0.7</v>
      </c>
    </row>
    <row r="1152" spans="2:10" x14ac:dyDescent="0.25">
      <c r="B1152" s="3">
        <f t="shared" si="167"/>
        <v>5675</v>
      </c>
      <c r="C1152" s="14">
        <f t="shared" si="168"/>
        <v>94.583333333333329</v>
      </c>
      <c r="D1152" s="11">
        <f t="shared" si="169"/>
        <v>1013.4199724468314</v>
      </c>
      <c r="E1152" s="24">
        <f t="shared" si="170"/>
        <v>1010.3742038405599</v>
      </c>
      <c r="F1152" s="24">
        <f t="shared" si="163"/>
        <v>76.144215156787709</v>
      </c>
      <c r="G1152" s="14">
        <f t="shared" si="164"/>
        <v>1025.7549962100543</v>
      </c>
      <c r="H1152" s="24">
        <f t="shared" si="171"/>
        <v>650</v>
      </c>
      <c r="I1152" s="12">
        <f t="shared" si="165"/>
        <v>0.13544200341474225</v>
      </c>
      <c r="J1152" s="3">
        <f t="shared" si="166"/>
        <v>0.7</v>
      </c>
    </row>
    <row r="1153" spans="2:10" x14ac:dyDescent="0.25">
      <c r="B1153" s="3">
        <f t="shared" si="167"/>
        <v>5680</v>
      </c>
      <c r="C1153" s="14">
        <f t="shared" si="168"/>
        <v>94.666666666666671</v>
      </c>
      <c r="D1153" s="11">
        <f t="shared" si="169"/>
        <v>1013.5517504643466</v>
      </c>
      <c r="E1153" s="24">
        <f t="shared" si="170"/>
        <v>1010.5096458439746</v>
      </c>
      <c r="F1153" s="24">
        <f t="shared" si="163"/>
        <v>76.052615509300381</v>
      </c>
      <c r="G1153" s="14">
        <f t="shared" si="164"/>
        <v>1024.8406716854304</v>
      </c>
      <c r="H1153" s="24">
        <f t="shared" si="171"/>
        <v>650</v>
      </c>
      <c r="I1153" s="12">
        <f t="shared" si="165"/>
        <v>0.13531835836286402</v>
      </c>
      <c r="J1153" s="3">
        <f t="shared" si="166"/>
        <v>0.7</v>
      </c>
    </row>
    <row r="1154" spans="2:10" x14ac:dyDescent="0.25">
      <c r="B1154" s="3">
        <f t="shared" si="167"/>
        <v>5685</v>
      </c>
      <c r="C1154" s="14">
        <f t="shared" si="168"/>
        <v>94.75</v>
      </c>
      <c r="D1154" s="11">
        <f t="shared" si="169"/>
        <v>1013.6834126839407</v>
      </c>
      <c r="E1154" s="24">
        <f t="shared" si="170"/>
        <v>1010.6449642023374</v>
      </c>
      <c r="F1154" s="24">
        <f t="shared" si="163"/>
        <v>75.961212040081705</v>
      </c>
      <c r="G1154" s="14">
        <f t="shared" si="164"/>
        <v>1023.928001868457</v>
      </c>
      <c r="H1154" s="24">
        <f t="shared" si="171"/>
        <v>650</v>
      </c>
      <c r="I1154" s="12">
        <f t="shared" si="165"/>
        <v>0.13519494081609185</v>
      </c>
      <c r="J1154" s="3">
        <f t="shared" si="166"/>
        <v>0.7</v>
      </c>
    </row>
    <row r="1155" spans="2:10" x14ac:dyDescent="0.25">
      <c r="B1155" s="3">
        <f t="shared" si="167"/>
        <v>5690</v>
      </c>
      <c r="C1155" s="14">
        <f t="shared" si="168"/>
        <v>94.833333333333329</v>
      </c>
      <c r="D1155" s="11">
        <f t="shared" si="169"/>
        <v>1013.8149593089458</v>
      </c>
      <c r="E1155" s="24">
        <f t="shared" si="170"/>
        <v>1010.7801591431535</v>
      </c>
      <c r="F1155" s="24">
        <f t="shared" si="163"/>
        <v>75.8700041448094</v>
      </c>
      <c r="G1155" s="14">
        <f t="shared" si="164"/>
        <v>1023.0169822187182</v>
      </c>
      <c r="H1155" s="24">
        <f t="shared" si="171"/>
        <v>650</v>
      </c>
      <c r="I1155" s="12">
        <f t="shared" si="165"/>
        <v>0.13507175014205067</v>
      </c>
      <c r="J1155" s="3">
        <f t="shared" si="166"/>
        <v>0.7</v>
      </c>
    </row>
    <row r="1156" spans="2:10" x14ac:dyDescent="0.25">
      <c r="B1156" s="3">
        <f t="shared" si="167"/>
        <v>5695</v>
      </c>
      <c r="C1156" s="14">
        <f t="shared" si="168"/>
        <v>94.916666666666671</v>
      </c>
      <c r="D1156" s="11">
        <f t="shared" si="169"/>
        <v>1013.9463905421601</v>
      </c>
      <c r="E1156" s="24">
        <f t="shared" si="170"/>
        <v>1010.9152308932955</v>
      </c>
      <c r="F1156" s="24">
        <f t="shared" si="163"/>
        <v>75.778991221613978</v>
      </c>
      <c r="G1156" s="14">
        <f t="shared" si="164"/>
        <v>1022.1076082130076</v>
      </c>
      <c r="H1156" s="24">
        <f t="shared" si="171"/>
        <v>650</v>
      </c>
      <c r="I1156" s="12">
        <f t="shared" si="165"/>
        <v>0.13494878571078212</v>
      </c>
      <c r="J1156" s="3">
        <f t="shared" si="166"/>
        <v>0.7</v>
      </c>
    </row>
    <row r="1157" spans="2:10" x14ac:dyDescent="0.25">
      <c r="B1157" s="3">
        <f t="shared" si="167"/>
        <v>5700</v>
      </c>
      <c r="C1157" s="14">
        <f t="shared" si="168"/>
        <v>95</v>
      </c>
      <c r="D1157" s="11">
        <f t="shared" si="169"/>
        <v>1014.0777065858476</v>
      </c>
      <c r="E1157" s="24">
        <f t="shared" si="170"/>
        <v>1011.0501796790063</v>
      </c>
      <c r="F1157" s="24">
        <f t="shared" si="163"/>
        <v>75.688172671033271</v>
      </c>
      <c r="G1157" s="14">
        <f t="shared" si="164"/>
        <v>1021.199875344417</v>
      </c>
      <c r="H1157" s="24">
        <f t="shared" si="171"/>
        <v>650</v>
      </c>
      <c r="I1157" s="12">
        <f t="shared" si="165"/>
        <v>0.13482604689462721</v>
      </c>
      <c r="J1157" s="3">
        <f t="shared" si="166"/>
        <v>0.7</v>
      </c>
    </row>
    <row r="1158" spans="2:10" x14ac:dyDescent="0.25">
      <c r="B1158" s="3">
        <f t="shared" si="167"/>
        <v>5705</v>
      </c>
      <c r="C1158" s="14">
        <f t="shared" si="168"/>
        <v>95.083333333333329</v>
      </c>
      <c r="D1158" s="11">
        <f t="shared" si="169"/>
        <v>1014.2089076417412</v>
      </c>
      <c r="E1158" s="24">
        <f t="shared" si="170"/>
        <v>1011.185005725901</v>
      </c>
      <c r="F1158" s="24">
        <f t="shared" si="163"/>
        <v>75.597547896006745</v>
      </c>
      <c r="G1158" s="14">
        <f t="shared" si="164"/>
        <v>1020.2937791225888</v>
      </c>
      <c r="H1158" s="24">
        <f t="shared" si="171"/>
        <v>650</v>
      </c>
      <c r="I1158" s="12">
        <f t="shared" si="165"/>
        <v>0.13470353306825639</v>
      </c>
      <c r="J1158" s="3">
        <f t="shared" si="166"/>
        <v>0.7</v>
      </c>
    </row>
    <row r="1159" spans="2:10" x14ac:dyDescent="0.25">
      <c r="B1159" s="3">
        <f t="shared" si="167"/>
        <v>5710</v>
      </c>
      <c r="C1159" s="14">
        <f t="shared" si="168"/>
        <v>95.166666666666671</v>
      </c>
      <c r="D1159" s="11">
        <f t="shared" si="169"/>
        <v>1014.3399939110446</v>
      </c>
      <c r="E1159" s="24">
        <f t="shared" si="170"/>
        <v>1011.3197092589692</v>
      </c>
      <c r="F1159" s="24">
        <f t="shared" si="163"/>
        <v>75.507116301886867</v>
      </c>
      <c r="G1159" s="14">
        <f t="shared" si="164"/>
        <v>1019.3893150740261</v>
      </c>
      <c r="H1159" s="24">
        <f t="shared" si="171"/>
        <v>650</v>
      </c>
      <c r="I1159" s="12">
        <f t="shared" si="165"/>
        <v>0.13458124360870921</v>
      </c>
      <c r="J1159" s="3">
        <f t="shared" si="166"/>
        <v>0.7</v>
      </c>
    </row>
    <row r="1160" spans="2:10" x14ac:dyDescent="0.25">
      <c r="B1160" s="3">
        <f t="shared" si="167"/>
        <v>5715</v>
      </c>
      <c r="C1160" s="14">
        <f t="shared" si="168"/>
        <v>95.25</v>
      </c>
      <c r="D1160" s="11">
        <f t="shared" si="169"/>
        <v>1014.4709655944337</v>
      </c>
      <c r="E1160" s="24">
        <f t="shared" si="170"/>
        <v>1011.4542905025779</v>
      </c>
      <c r="F1160" s="24">
        <f t="shared" si="163"/>
        <v>75.416877296393636</v>
      </c>
      <c r="G1160" s="14">
        <f t="shared" si="164"/>
        <v>1018.48647874153</v>
      </c>
      <c r="H1160" s="24">
        <f t="shared" si="171"/>
        <v>650</v>
      </c>
      <c r="I1160" s="12">
        <f t="shared" si="165"/>
        <v>0.1344591778953195</v>
      </c>
      <c r="J1160" s="3">
        <f t="shared" si="166"/>
        <v>0.7</v>
      </c>
    </row>
    <row r="1161" spans="2:10" x14ac:dyDescent="0.25">
      <c r="B1161" s="3">
        <f t="shared" si="167"/>
        <v>5720</v>
      </c>
      <c r="C1161" s="14">
        <f t="shared" si="168"/>
        <v>95.333333333333329</v>
      </c>
      <c r="D1161" s="11">
        <f t="shared" si="169"/>
        <v>1014.6018228920585</v>
      </c>
      <c r="E1161" s="24">
        <f t="shared" si="170"/>
        <v>1011.5887496804733</v>
      </c>
      <c r="F1161" s="24">
        <f t="shared" si="163"/>
        <v>75.32683028963163</v>
      </c>
      <c r="G1161" s="14">
        <f t="shared" si="164"/>
        <v>1017.5852656840843</v>
      </c>
      <c r="H1161" s="24">
        <f t="shared" si="171"/>
        <v>650</v>
      </c>
      <c r="I1161" s="12">
        <f t="shared" si="165"/>
        <v>0.13433733530970338</v>
      </c>
      <c r="J1161" s="3">
        <f t="shared" si="166"/>
        <v>0.7</v>
      </c>
    </row>
    <row r="1162" spans="2:10" x14ac:dyDescent="0.25">
      <c r="B1162" s="3">
        <f t="shared" si="167"/>
        <v>5725</v>
      </c>
      <c r="C1162" s="14">
        <f t="shared" si="168"/>
        <v>95.416666666666671</v>
      </c>
      <c r="D1162" s="11">
        <f t="shared" si="169"/>
        <v>1014.7325660035452</v>
      </c>
      <c r="E1162" s="24">
        <f t="shared" si="170"/>
        <v>1011.723087015783</v>
      </c>
      <c r="F1162" s="24">
        <f t="shared" si="163"/>
        <v>75.236974694055903</v>
      </c>
      <c r="G1162" s="14">
        <f t="shared" si="164"/>
        <v>1016.6856714774166</v>
      </c>
      <c r="H1162" s="24">
        <f t="shared" si="171"/>
        <v>650</v>
      </c>
      <c r="I1162" s="12">
        <f t="shared" si="165"/>
        <v>0.13421571523582387</v>
      </c>
      <c r="J1162" s="3">
        <f t="shared" si="166"/>
        <v>0.7</v>
      </c>
    </row>
    <row r="1163" spans="2:10" x14ac:dyDescent="0.25">
      <c r="B1163" s="3">
        <f t="shared" si="167"/>
        <v>5730</v>
      </c>
      <c r="C1163" s="14">
        <f t="shared" si="168"/>
        <v>95.5</v>
      </c>
      <c r="D1163" s="11">
        <f t="shared" si="169"/>
        <v>1014.8631951279979</v>
      </c>
      <c r="E1163" s="24">
        <f t="shared" si="170"/>
        <v>1011.8573027310188</v>
      </c>
      <c r="F1163" s="24">
        <f t="shared" si="163"/>
        <v>75.147309924477668</v>
      </c>
      <c r="G1163" s="14">
        <f t="shared" si="164"/>
        <v>1015.7876917130689</v>
      </c>
      <c r="H1163" s="24">
        <f t="shared" si="171"/>
        <v>650</v>
      </c>
      <c r="I1163" s="12">
        <f t="shared" si="165"/>
        <v>0.13409431705987762</v>
      </c>
      <c r="J1163" s="3">
        <f t="shared" si="166"/>
        <v>0.7</v>
      </c>
    </row>
    <row r="1164" spans="2:10" x14ac:dyDescent="0.25">
      <c r="B1164" s="3">
        <f t="shared" si="167"/>
        <v>5735</v>
      </c>
      <c r="C1164" s="14">
        <f t="shared" si="168"/>
        <v>95.583333333333329</v>
      </c>
      <c r="D1164" s="11">
        <f t="shared" si="169"/>
        <v>1014.9937104640003</v>
      </c>
      <c r="E1164" s="24">
        <f t="shared" si="170"/>
        <v>1011.9913970480786</v>
      </c>
      <c r="F1164" s="24">
        <f t="shared" si="163"/>
        <v>75.057835398041561</v>
      </c>
      <c r="G1164" s="14">
        <f t="shared" si="164"/>
        <v>1014.8913219989199</v>
      </c>
      <c r="H1164" s="24">
        <f t="shared" si="171"/>
        <v>650</v>
      </c>
      <c r="I1164" s="12">
        <f t="shared" si="165"/>
        <v>0.13397314017035605</v>
      </c>
      <c r="J1164" s="3">
        <f t="shared" si="166"/>
        <v>0.7</v>
      </c>
    </row>
    <row r="1165" spans="2:10" x14ac:dyDescent="0.25">
      <c r="B1165" s="3">
        <f t="shared" si="167"/>
        <v>5740</v>
      </c>
      <c r="C1165" s="14">
        <f t="shared" si="168"/>
        <v>95.666666666666671</v>
      </c>
      <c r="D1165" s="11">
        <f t="shared" si="169"/>
        <v>1015.1241122096176</v>
      </c>
      <c r="E1165" s="24">
        <f t="shared" si="170"/>
        <v>1012.125370188249</v>
      </c>
      <c r="F1165" s="24">
        <f t="shared" si="163"/>
        <v>74.968550534214273</v>
      </c>
      <c r="G1165" s="14">
        <f t="shared" si="164"/>
        <v>1013.9965579589342</v>
      </c>
      <c r="H1165" s="24">
        <f t="shared" si="171"/>
        <v>650</v>
      </c>
      <c r="I1165" s="12">
        <f t="shared" si="165"/>
        <v>0.13385218395801318</v>
      </c>
      <c r="J1165" s="3">
        <f t="shared" si="166"/>
        <v>0.7</v>
      </c>
    </row>
    <row r="1166" spans="2:10" x14ac:dyDescent="0.25">
      <c r="B1166" s="3">
        <f t="shared" si="167"/>
        <v>5745</v>
      </c>
      <c r="C1166" s="14">
        <f t="shared" si="168"/>
        <v>95.75</v>
      </c>
      <c r="D1166" s="11">
        <f t="shared" si="169"/>
        <v>1015.2544005623984</v>
      </c>
      <c r="E1166" s="24">
        <f t="shared" si="170"/>
        <v>1012.259222372207</v>
      </c>
      <c r="F1166" s="24">
        <f t="shared" si="163"/>
        <v>74.879454754784547</v>
      </c>
      <c r="G1166" s="14">
        <f t="shared" si="164"/>
        <v>1013.1033952331032</v>
      </c>
      <c r="H1166" s="24">
        <f t="shared" si="171"/>
        <v>650</v>
      </c>
      <c r="I1166" s="12">
        <f t="shared" si="165"/>
        <v>0.13373144781585852</v>
      </c>
      <c r="J1166" s="3">
        <f t="shared" si="166"/>
        <v>0.7</v>
      </c>
    </row>
    <row r="1167" spans="2:10" x14ac:dyDescent="0.25">
      <c r="B1167" s="3">
        <f t="shared" si="167"/>
        <v>5750</v>
      </c>
      <c r="C1167" s="14">
        <f t="shared" si="168"/>
        <v>95.833333333333329</v>
      </c>
      <c r="D1167" s="11">
        <f t="shared" si="169"/>
        <v>1015.384575719376</v>
      </c>
      <c r="E1167" s="24">
        <f t="shared" si="170"/>
        <v>1012.3929538200229</v>
      </c>
      <c r="F1167" s="24">
        <f t="shared" si="163"/>
        <v>74.790547483829073</v>
      </c>
      <c r="G1167" s="14">
        <f t="shared" si="164"/>
        <v>1012.2118294771549</v>
      </c>
      <c r="H1167" s="24">
        <f t="shared" si="171"/>
        <v>650</v>
      </c>
      <c r="I1167" s="12">
        <f t="shared" si="165"/>
        <v>0.13361093113911707</v>
      </c>
      <c r="J1167" s="3">
        <f t="shared" si="166"/>
        <v>0.7</v>
      </c>
    </row>
    <row r="1168" spans="2:10" x14ac:dyDescent="0.25">
      <c r="B1168" s="3">
        <f t="shared" si="167"/>
        <v>5755</v>
      </c>
      <c r="C1168" s="14">
        <f t="shared" si="168"/>
        <v>95.916666666666671</v>
      </c>
      <c r="D1168" s="11">
        <f t="shared" si="169"/>
        <v>1015.5146378770714</v>
      </c>
      <c r="E1168" s="24">
        <f t="shared" si="170"/>
        <v>1012.526564751162</v>
      </c>
      <c r="F1168" s="24">
        <f t="shared" si="163"/>
        <v>74.701828147735228</v>
      </c>
      <c r="G1168" s="14">
        <f t="shared" si="164"/>
        <v>1011.3218563629412</v>
      </c>
      <c r="H1168" s="24">
        <f t="shared" si="171"/>
        <v>650</v>
      </c>
      <c r="I1168" s="12">
        <f t="shared" si="165"/>
        <v>0.13349063332527975</v>
      </c>
      <c r="J1168" s="3">
        <f t="shared" si="166"/>
        <v>0.7</v>
      </c>
    </row>
    <row r="1169" spans="2:10" x14ac:dyDescent="0.25">
      <c r="B1169" s="3">
        <f t="shared" si="167"/>
        <v>5760</v>
      </c>
      <c r="C1169" s="14">
        <f t="shared" si="168"/>
        <v>96</v>
      </c>
      <c r="D1169" s="11">
        <f t="shared" si="169"/>
        <v>1015.6445872314937</v>
      </c>
      <c r="E1169" s="24">
        <f t="shared" si="170"/>
        <v>1012.6600553844874</v>
      </c>
      <c r="F1169" s="24">
        <f t="shared" ref="F1169:F1232" si="172">AlphaC*(D1169-E1169)</f>
        <v>74.613296175158439</v>
      </c>
      <c r="G1169" s="14">
        <f t="shared" ref="G1169:G1232" si="173">Phi*EpsilonF*Botzman/10^8*J1169*((D1169+273)^4-(E1169+273)^4)</f>
        <v>1010.4334715778374</v>
      </c>
      <c r="H1169" s="24">
        <f t="shared" si="171"/>
        <v>650</v>
      </c>
      <c r="I1169" s="12">
        <f t="shared" ref="I1169:I1232" si="174">ksh*Massivete/(H1169*RhoA)*DeltaT*(F1169+G1169)</f>
        <v>0.13337055377402426</v>
      </c>
      <c r="J1169" s="3">
        <f t="shared" ref="J1169:J1232" si="175">IF(E1169&lt;=500,IF(Galva=Oui,0.35,0.7),0.7)</f>
        <v>0.7</v>
      </c>
    </row>
    <row r="1170" spans="2:10" x14ac:dyDescent="0.25">
      <c r="B1170" s="3">
        <f t="shared" ref="B1170:B1233" si="176">B1169+DeltaT</f>
        <v>5765</v>
      </c>
      <c r="C1170" s="14">
        <f t="shared" ref="C1170:C1233" si="177">B1170/60</f>
        <v>96.083333333333329</v>
      </c>
      <c r="D1170" s="11">
        <f t="shared" ref="D1170:D1233" si="178">20+345*LOG(8*C1170+1,10)</f>
        <v>1015.7744239781423</v>
      </c>
      <c r="E1170" s="24">
        <f t="shared" si="170"/>
        <v>1012.7934259382614</v>
      </c>
      <c r="F1170" s="24">
        <f t="shared" si="172"/>
        <v>74.524950997022188</v>
      </c>
      <c r="G1170" s="14">
        <f t="shared" si="173"/>
        <v>1009.5466708252267</v>
      </c>
      <c r="H1170" s="24">
        <f t="shared" si="171"/>
        <v>650</v>
      </c>
      <c r="I1170" s="12">
        <f t="shared" si="174"/>
        <v>0.13325069188727484</v>
      </c>
      <c r="J1170" s="3">
        <f t="shared" si="175"/>
        <v>0.7</v>
      </c>
    </row>
    <row r="1171" spans="2:10" x14ac:dyDescent="0.25">
      <c r="B1171" s="3">
        <f t="shared" si="176"/>
        <v>5770</v>
      </c>
      <c r="C1171" s="14">
        <f t="shared" si="177"/>
        <v>96.166666666666671</v>
      </c>
      <c r="D1171" s="11">
        <f t="shared" si="178"/>
        <v>1015.9041483120091</v>
      </c>
      <c r="E1171" s="24">
        <f t="shared" si="170"/>
        <v>1012.9266766301487</v>
      </c>
      <c r="F1171" s="24">
        <f t="shared" si="172"/>
        <v>74.436792046509481</v>
      </c>
      <c r="G1171" s="14">
        <f t="shared" si="173"/>
        <v>1008.6614498238796</v>
      </c>
      <c r="H1171" s="24">
        <f t="shared" si="171"/>
        <v>650</v>
      </c>
      <c r="I1171" s="12">
        <f t="shared" si="174"/>
        <v>0.13313104706912482</v>
      </c>
      <c r="J1171" s="3">
        <f t="shared" si="175"/>
        <v>0.7</v>
      </c>
    </row>
    <row r="1172" spans="2:10" x14ac:dyDescent="0.25">
      <c r="B1172" s="3">
        <f t="shared" si="176"/>
        <v>5775</v>
      </c>
      <c r="C1172" s="14">
        <f t="shared" si="177"/>
        <v>96.25</v>
      </c>
      <c r="D1172" s="11">
        <f t="shared" si="178"/>
        <v>1016.0337604275801</v>
      </c>
      <c r="E1172" s="24">
        <f t="shared" si="170"/>
        <v>1013.0598076772178</v>
      </c>
      <c r="F1172" s="24">
        <f t="shared" si="172"/>
        <v>74.348818759057167</v>
      </c>
      <c r="G1172" s="14">
        <f t="shared" si="173"/>
        <v>1007.7778043082842</v>
      </c>
      <c r="H1172" s="24">
        <f t="shared" si="171"/>
        <v>650</v>
      </c>
      <c r="I1172" s="12">
        <f t="shared" si="174"/>
        <v>0.13301161872587647</v>
      </c>
      <c r="J1172" s="3">
        <f t="shared" si="175"/>
        <v>0.7</v>
      </c>
    </row>
    <row r="1173" spans="2:10" x14ac:dyDescent="0.25">
      <c r="B1173" s="3">
        <f t="shared" si="176"/>
        <v>5780</v>
      </c>
      <c r="C1173" s="14">
        <f t="shared" si="177"/>
        <v>96.333333333333329</v>
      </c>
      <c r="D1173" s="11">
        <f t="shared" si="178"/>
        <v>1016.1632605188366</v>
      </c>
      <c r="E1173" s="24">
        <f t="shared" si="170"/>
        <v>1013.1928192959437</v>
      </c>
      <c r="F1173" s="24">
        <f t="shared" si="172"/>
        <v>74.261030572324671</v>
      </c>
      <c r="G1173" s="14">
        <f t="shared" si="173"/>
        <v>1006.895730028335</v>
      </c>
      <c r="H1173" s="24">
        <f t="shared" si="171"/>
        <v>650</v>
      </c>
      <c r="I1173" s="12">
        <f t="shared" si="174"/>
        <v>0.13289240626599896</v>
      </c>
      <c r="J1173" s="3">
        <f t="shared" si="175"/>
        <v>0.7</v>
      </c>
    </row>
    <row r="1174" spans="2:10" x14ac:dyDescent="0.25">
      <c r="B1174" s="3">
        <f t="shared" si="176"/>
        <v>5785</v>
      </c>
      <c r="C1174" s="14">
        <f t="shared" si="177"/>
        <v>96.416666666666671</v>
      </c>
      <c r="D1174" s="11">
        <f t="shared" si="178"/>
        <v>1016.2926487792579</v>
      </c>
      <c r="E1174" s="24">
        <f t="shared" si="170"/>
        <v>1013.3257117022097</v>
      </c>
      <c r="F1174" s="24">
        <f t="shared" si="172"/>
        <v>74.173426926205366</v>
      </c>
      <c r="G1174" s="14">
        <f t="shared" si="173"/>
        <v>1006.0152227493535</v>
      </c>
      <c r="H1174" s="24">
        <f t="shared" si="171"/>
        <v>650</v>
      </c>
      <c r="I1174" s="12">
        <f t="shared" si="174"/>
        <v>0.1327734091001323</v>
      </c>
      <c r="J1174" s="3">
        <f t="shared" si="175"/>
        <v>0.7</v>
      </c>
    </row>
    <row r="1175" spans="2:10" x14ac:dyDescent="0.25">
      <c r="B1175" s="3">
        <f t="shared" si="176"/>
        <v>5790</v>
      </c>
      <c r="C1175" s="14">
        <f t="shared" si="177"/>
        <v>96.5</v>
      </c>
      <c r="D1175" s="11">
        <f t="shared" si="178"/>
        <v>1016.4219254018221</v>
      </c>
      <c r="E1175" s="24">
        <f t="shared" si="170"/>
        <v>1013.4584851113098</v>
      </c>
      <c r="F1175" s="24">
        <f t="shared" si="172"/>
        <v>74.086007262809517</v>
      </c>
      <c r="G1175" s="14">
        <f t="shared" si="173"/>
        <v>1005.1362782522032</v>
      </c>
      <c r="H1175" s="24">
        <f t="shared" si="171"/>
        <v>650</v>
      </c>
      <c r="I1175" s="12">
        <f t="shared" si="174"/>
        <v>0.13265462664109939</v>
      </c>
      <c r="J1175" s="3">
        <f t="shared" si="175"/>
        <v>0.7</v>
      </c>
    </row>
    <row r="1176" spans="2:10" x14ac:dyDescent="0.25">
      <c r="B1176" s="3">
        <f t="shared" si="176"/>
        <v>5795</v>
      </c>
      <c r="C1176" s="14">
        <f t="shared" si="177"/>
        <v>96.583333333333329</v>
      </c>
      <c r="D1176" s="11">
        <f t="shared" si="178"/>
        <v>1016.5510905790079</v>
      </c>
      <c r="E1176" s="24">
        <f t="shared" si="170"/>
        <v>1013.5911397379508</v>
      </c>
      <c r="F1176" s="24">
        <f t="shared" si="172"/>
        <v>73.998771026427335</v>
      </c>
      <c r="G1176" s="14">
        <f t="shared" si="173"/>
        <v>1004.2588923326125</v>
      </c>
      <c r="H1176" s="24">
        <f t="shared" si="171"/>
        <v>650</v>
      </c>
      <c r="I1176" s="12">
        <f t="shared" si="174"/>
        <v>0.1325360583038182</v>
      </c>
      <c r="J1176" s="3">
        <f t="shared" si="175"/>
        <v>0.7</v>
      </c>
    </row>
    <row r="1177" spans="2:10" x14ac:dyDescent="0.25">
      <c r="B1177" s="3">
        <f t="shared" si="176"/>
        <v>5800</v>
      </c>
      <c r="C1177" s="14">
        <f t="shared" si="177"/>
        <v>96.666666666666671</v>
      </c>
      <c r="D1177" s="11">
        <f t="shared" si="178"/>
        <v>1016.6801445027976</v>
      </c>
      <c r="E1177" s="24">
        <f t="shared" si="170"/>
        <v>1013.7236757962546</v>
      </c>
      <c r="F1177" s="24">
        <f t="shared" si="172"/>
        <v>73.91171766357445</v>
      </c>
      <c r="G1177" s="14">
        <f t="shared" si="173"/>
        <v>1003.3830608021043</v>
      </c>
      <c r="H1177" s="24">
        <f t="shared" si="171"/>
        <v>650</v>
      </c>
      <c r="I1177" s="12">
        <f t="shared" si="174"/>
        <v>0.13241770350542167</v>
      </c>
      <c r="J1177" s="3">
        <f t="shared" si="175"/>
        <v>0.7</v>
      </c>
    </row>
    <row r="1178" spans="2:10" x14ac:dyDescent="0.25">
      <c r="B1178" s="3">
        <f t="shared" si="176"/>
        <v>5805</v>
      </c>
      <c r="C1178" s="14">
        <f t="shared" si="177"/>
        <v>96.75</v>
      </c>
      <c r="D1178" s="11">
        <f t="shared" si="178"/>
        <v>1016.809087364677</v>
      </c>
      <c r="E1178" s="24">
        <f t="shared" si="170"/>
        <v>1013.85609349976</v>
      </c>
      <c r="F1178" s="24">
        <f t="shared" si="172"/>
        <v>73.824846622923701</v>
      </c>
      <c r="G1178" s="14">
        <f t="shared" si="173"/>
        <v>1002.5087794867557</v>
      </c>
      <c r="H1178" s="24">
        <f t="shared" si="171"/>
        <v>650</v>
      </c>
      <c r="I1178" s="12">
        <f t="shared" si="174"/>
        <v>0.13229956166509685</v>
      </c>
      <c r="J1178" s="3">
        <f t="shared" si="175"/>
        <v>0.7</v>
      </c>
    </row>
    <row r="1179" spans="2:10" x14ac:dyDescent="0.25">
      <c r="B1179" s="3">
        <f t="shared" si="176"/>
        <v>5810</v>
      </c>
      <c r="C1179" s="14">
        <f t="shared" si="177"/>
        <v>96.833333333333329</v>
      </c>
      <c r="D1179" s="11">
        <f t="shared" si="178"/>
        <v>1016.9379193556382</v>
      </c>
      <c r="E1179" s="24">
        <f t="shared" si="170"/>
        <v>1013.9883930614252</v>
      </c>
      <c r="F1179" s="24">
        <f t="shared" si="172"/>
        <v>73.738157355325029</v>
      </c>
      <c r="G1179" s="14">
        <f t="shared" si="173"/>
        <v>1001.636044228167</v>
      </c>
      <c r="H1179" s="24">
        <f t="shared" si="171"/>
        <v>650</v>
      </c>
      <c r="I1179" s="12">
        <f t="shared" si="174"/>
        <v>0.13218163220420642</v>
      </c>
      <c r="J1179" s="3">
        <f t="shared" si="175"/>
        <v>0.7</v>
      </c>
    </row>
    <row r="1180" spans="2:10" x14ac:dyDescent="0.25">
      <c r="B1180" s="3">
        <f t="shared" si="176"/>
        <v>5815</v>
      </c>
      <c r="C1180" s="14">
        <f t="shared" si="177"/>
        <v>96.916666666666671</v>
      </c>
      <c r="D1180" s="11">
        <f t="shared" si="178"/>
        <v>1017.0666406661811</v>
      </c>
      <c r="E1180" s="24">
        <f t="shared" si="170"/>
        <v>1014.1205746936294</v>
      </c>
      <c r="F1180" s="24">
        <f t="shared" si="172"/>
        <v>73.65164931379411</v>
      </c>
      <c r="G1180" s="14">
        <f t="shared" si="173"/>
        <v>1000.7648508826092</v>
      </c>
      <c r="H1180" s="24">
        <f t="shared" si="171"/>
        <v>650</v>
      </c>
      <c r="I1180" s="12">
        <f t="shared" si="174"/>
        <v>0.13206391454618266</v>
      </c>
      <c r="J1180" s="3">
        <f t="shared" si="175"/>
        <v>0.7</v>
      </c>
    </row>
    <row r="1181" spans="2:10" x14ac:dyDescent="0.25">
      <c r="B1181" s="3">
        <f t="shared" si="176"/>
        <v>5820</v>
      </c>
      <c r="C1181" s="14">
        <f t="shared" si="177"/>
        <v>97</v>
      </c>
      <c r="D1181" s="11">
        <f t="shared" si="178"/>
        <v>1017.1952514863153</v>
      </c>
      <c r="E1181" s="24">
        <f t="shared" si="170"/>
        <v>1014.2526386081755</v>
      </c>
      <c r="F1181" s="24">
        <f t="shared" si="172"/>
        <v>73.5653219534953</v>
      </c>
      <c r="G1181" s="14">
        <f t="shared" si="173"/>
        <v>999.89519532166332</v>
      </c>
      <c r="H1181" s="24">
        <f t="shared" si="171"/>
        <v>650</v>
      </c>
      <c r="I1181" s="12">
        <f t="shared" si="174"/>
        <v>0.13194640811660363</v>
      </c>
      <c r="J1181" s="3">
        <f t="shared" si="175"/>
        <v>0.7</v>
      </c>
    </row>
    <row r="1182" spans="2:10" x14ac:dyDescent="0.25">
      <c r="B1182" s="3">
        <f t="shared" si="176"/>
        <v>5825</v>
      </c>
      <c r="C1182" s="14">
        <f t="shared" si="177"/>
        <v>97.083333333333329</v>
      </c>
      <c r="D1182" s="11">
        <f t="shared" si="178"/>
        <v>1017.3237520055609</v>
      </c>
      <c r="E1182" s="24">
        <f t="shared" si="170"/>
        <v>1014.3845850162921</v>
      </c>
      <c r="F1182" s="24">
        <f t="shared" si="172"/>
        <v>73.479174731718899</v>
      </c>
      <c r="G1182" s="14">
        <f t="shared" si="173"/>
        <v>999.02707343138741</v>
      </c>
      <c r="H1182" s="24">
        <f t="shared" si="171"/>
        <v>650</v>
      </c>
      <c r="I1182" s="12">
        <f t="shared" si="174"/>
        <v>0.13182911234308833</v>
      </c>
      <c r="J1182" s="3">
        <f t="shared" si="175"/>
        <v>0.7</v>
      </c>
    </row>
    <row r="1183" spans="2:10" x14ac:dyDescent="0.25">
      <c r="B1183" s="3">
        <f t="shared" si="176"/>
        <v>5830</v>
      </c>
      <c r="C1183" s="14">
        <f t="shared" si="177"/>
        <v>97.166666666666671</v>
      </c>
      <c r="D1183" s="11">
        <f t="shared" si="178"/>
        <v>1017.4521424129516</v>
      </c>
      <c r="E1183" s="24">
        <f t="shared" si="170"/>
        <v>1014.5164141286352</v>
      </c>
      <c r="F1183" s="24">
        <f t="shared" si="172"/>
        <v>73.393207107909575</v>
      </c>
      <c r="G1183" s="14">
        <f t="shared" si="173"/>
        <v>998.16048111303303</v>
      </c>
      <c r="H1183" s="24">
        <f t="shared" si="171"/>
        <v>650</v>
      </c>
      <c r="I1183" s="12">
        <f t="shared" si="174"/>
        <v>0.13171202665538806</v>
      </c>
      <c r="J1183" s="3">
        <f t="shared" si="175"/>
        <v>0.7</v>
      </c>
    </row>
    <row r="1184" spans="2:10" x14ac:dyDescent="0.25">
      <c r="B1184" s="3">
        <f t="shared" si="176"/>
        <v>5835</v>
      </c>
      <c r="C1184" s="14">
        <f t="shared" si="177"/>
        <v>97.25</v>
      </c>
      <c r="D1184" s="11">
        <f t="shared" si="178"/>
        <v>1017.5804228970347</v>
      </c>
      <c r="E1184" s="24">
        <f t="shared" si="170"/>
        <v>1014.6481261552906</v>
      </c>
      <c r="F1184" s="24">
        <f t="shared" si="172"/>
        <v>73.307418543603831</v>
      </c>
      <c r="G1184" s="14">
        <f t="shared" si="173"/>
        <v>997.29541428223172</v>
      </c>
      <c r="H1184" s="24">
        <f t="shared" si="171"/>
        <v>650</v>
      </c>
      <c r="I1184" s="12">
        <f t="shared" si="174"/>
        <v>0.13159515048527876</v>
      </c>
      <c r="J1184" s="3">
        <f t="shared" si="175"/>
        <v>0.7</v>
      </c>
    </row>
    <row r="1185" spans="2:10" x14ac:dyDescent="0.25">
      <c r="B1185" s="3">
        <f t="shared" si="176"/>
        <v>5840</v>
      </c>
      <c r="C1185" s="14">
        <f t="shared" si="177"/>
        <v>97.333333333333329</v>
      </c>
      <c r="D1185" s="11">
        <f t="shared" si="178"/>
        <v>1017.7085936458741</v>
      </c>
      <c r="E1185" s="24">
        <f t="shared" si="170"/>
        <v>1014.7797213057759</v>
      </c>
      <c r="F1185" s="24">
        <f t="shared" si="172"/>
        <v>73.221808502455588</v>
      </c>
      <c r="G1185" s="14">
        <f t="shared" si="173"/>
        <v>996.43186886953765</v>
      </c>
      <c r="H1185" s="24">
        <f t="shared" si="171"/>
        <v>650</v>
      </c>
      <c r="I1185" s="12">
        <f t="shared" si="174"/>
        <v>0.13147848326663089</v>
      </c>
      <c r="J1185" s="3">
        <f t="shared" si="175"/>
        <v>0.7</v>
      </c>
    </row>
    <row r="1186" spans="2:10" x14ac:dyDescent="0.25">
      <c r="B1186" s="3">
        <f t="shared" si="176"/>
        <v>5845</v>
      </c>
      <c r="C1186" s="14">
        <f t="shared" si="177"/>
        <v>97.416666666666671</v>
      </c>
      <c r="D1186" s="11">
        <f t="shared" si="178"/>
        <v>1017.8366548470518</v>
      </c>
      <c r="E1186" s="24">
        <f t="shared" si="170"/>
        <v>1014.9111997890425</v>
      </c>
      <c r="F1186" s="24">
        <f t="shared" si="172"/>
        <v>73.136376450233342</v>
      </c>
      <c r="G1186" s="14">
        <f t="shared" si="173"/>
        <v>995.56984081998155</v>
      </c>
      <c r="H1186" s="24">
        <f t="shared" si="171"/>
        <v>650</v>
      </c>
      <c r="I1186" s="12">
        <f t="shared" si="174"/>
        <v>0.1313620244353543</v>
      </c>
      <c r="J1186" s="3">
        <f t="shared" si="175"/>
        <v>0.7</v>
      </c>
    </row>
    <row r="1187" spans="2:10" x14ac:dyDescent="0.25">
      <c r="B1187" s="3">
        <f t="shared" si="176"/>
        <v>5850</v>
      </c>
      <c r="C1187" s="14">
        <f t="shared" si="177"/>
        <v>97.5</v>
      </c>
      <c r="D1187" s="11">
        <f t="shared" si="178"/>
        <v>1017.9646066876685</v>
      </c>
      <c r="E1187" s="24">
        <f t="shared" si="170"/>
        <v>1015.0425618134778</v>
      </c>
      <c r="F1187" s="24">
        <f t="shared" si="172"/>
        <v>73.051121854766166</v>
      </c>
      <c r="G1187" s="14">
        <f t="shared" si="173"/>
        <v>994.70932609320664</v>
      </c>
      <c r="H1187" s="24">
        <f t="shared" si="171"/>
        <v>650</v>
      </c>
      <c r="I1187" s="12">
        <f t="shared" si="174"/>
        <v>0.13124577342940813</v>
      </c>
      <c r="J1187" s="3">
        <f t="shared" si="175"/>
        <v>0.7</v>
      </c>
    </row>
    <row r="1188" spans="2:10" x14ac:dyDescent="0.25">
      <c r="B1188" s="3">
        <f t="shared" si="176"/>
        <v>5855</v>
      </c>
      <c r="C1188" s="14">
        <f t="shared" si="177"/>
        <v>97.583333333333329</v>
      </c>
      <c r="D1188" s="11">
        <f t="shared" si="178"/>
        <v>1018.0924493543465</v>
      </c>
      <c r="E1188" s="24">
        <f t="shared" si="170"/>
        <v>1015.1738075869073</v>
      </c>
      <c r="F1188" s="24">
        <f t="shared" si="172"/>
        <v>72.96604418598065</v>
      </c>
      <c r="G1188" s="14">
        <f t="shared" si="173"/>
        <v>993.85032066317819</v>
      </c>
      <c r="H1188" s="24">
        <f t="shared" si="171"/>
        <v>650</v>
      </c>
      <c r="I1188" s="12">
        <f t="shared" si="174"/>
        <v>0.13112972968876987</v>
      </c>
      <c r="J1188" s="3">
        <f t="shared" si="175"/>
        <v>0.7</v>
      </c>
    </row>
    <row r="1189" spans="2:10" x14ac:dyDescent="0.25">
      <c r="B1189" s="3">
        <f t="shared" si="176"/>
        <v>5860</v>
      </c>
      <c r="C1189" s="14">
        <f t="shared" si="177"/>
        <v>97.666666666666671</v>
      </c>
      <c r="D1189" s="11">
        <f t="shared" si="178"/>
        <v>1018.2201830332308</v>
      </c>
      <c r="E1189" s="24">
        <f t="shared" si="170"/>
        <v>1015.304937316596</v>
      </c>
      <c r="F1189" s="24">
        <f t="shared" si="172"/>
        <v>72.881142915869646</v>
      </c>
      <c r="G1189" s="14">
        <f t="shared" si="173"/>
        <v>992.99282051851208</v>
      </c>
      <c r="H1189" s="24">
        <f t="shared" si="171"/>
        <v>650</v>
      </c>
      <c r="I1189" s="12">
        <f t="shared" si="174"/>
        <v>0.13101389265547173</v>
      </c>
      <c r="J1189" s="3">
        <f t="shared" si="175"/>
        <v>0.7</v>
      </c>
    </row>
    <row r="1190" spans="2:10" x14ac:dyDescent="0.25">
      <c r="B1190" s="3">
        <f t="shared" si="176"/>
        <v>5865</v>
      </c>
      <c r="C1190" s="14">
        <f t="shared" si="177"/>
        <v>97.75</v>
      </c>
      <c r="D1190" s="11">
        <f t="shared" si="178"/>
        <v>1018.3478079099904</v>
      </c>
      <c r="E1190" s="24">
        <f t="shared" si="170"/>
        <v>1015.4359512092515</v>
      </c>
      <c r="F1190" s="24">
        <f t="shared" si="172"/>
        <v>72.796417518472367</v>
      </c>
      <c r="G1190" s="14">
        <f t="shared" si="173"/>
        <v>992.13682166191393</v>
      </c>
      <c r="H1190" s="24">
        <f t="shared" si="171"/>
        <v>650</v>
      </c>
      <c r="I1190" s="12">
        <f t="shared" si="174"/>
        <v>0.13089826177352934</v>
      </c>
      <c r="J1190" s="3">
        <f t="shared" si="175"/>
        <v>0.7</v>
      </c>
    </row>
    <row r="1191" spans="2:10" x14ac:dyDescent="0.25">
      <c r="B1191" s="3">
        <f t="shared" si="176"/>
        <v>5870</v>
      </c>
      <c r="C1191" s="14">
        <f t="shared" si="177"/>
        <v>97.833333333333329</v>
      </c>
      <c r="D1191" s="11">
        <f t="shared" si="178"/>
        <v>1018.4753241698205</v>
      </c>
      <c r="E1191" s="24">
        <f t="shared" si="170"/>
        <v>1015.566849471025</v>
      </c>
      <c r="F1191" s="24">
        <f t="shared" si="172"/>
        <v>72.711867469888602</v>
      </c>
      <c r="G1191" s="14">
        <f t="shared" si="173"/>
        <v>991.28232011056571</v>
      </c>
      <c r="H1191" s="24">
        <f t="shared" si="171"/>
        <v>650</v>
      </c>
      <c r="I1191" s="12">
        <f t="shared" si="174"/>
        <v>0.13078283648899097</v>
      </c>
      <c r="J1191" s="3">
        <f t="shared" si="175"/>
        <v>0.7</v>
      </c>
    </row>
    <row r="1192" spans="2:10" x14ac:dyDescent="0.25">
      <c r="B1192" s="3">
        <f t="shared" si="176"/>
        <v>5875</v>
      </c>
      <c r="C1192" s="14">
        <f t="shared" si="177"/>
        <v>97.916666666666671</v>
      </c>
      <c r="D1192" s="11">
        <f t="shared" si="178"/>
        <v>1018.6027319974438</v>
      </c>
      <c r="E1192" s="24">
        <f t="shared" si="170"/>
        <v>1015.6976323075139</v>
      </c>
      <c r="F1192" s="24">
        <f t="shared" si="172"/>
        <v>72.627492248247449</v>
      </c>
      <c r="G1192" s="14">
        <f t="shared" si="173"/>
        <v>990.42931189570015</v>
      </c>
      <c r="H1192" s="24">
        <f t="shared" si="171"/>
        <v>650</v>
      </c>
      <c r="I1192" s="12">
        <f t="shared" si="174"/>
        <v>0.13066761624988146</v>
      </c>
      <c r="J1192" s="3">
        <f t="shared" si="175"/>
        <v>0.7</v>
      </c>
    </row>
    <row r="1193" spans="2:10" x14ac:dyDescent="0.25">
      <c r="B1193" s="3">
        <f t="shared" si="176"/>
        <v>5880</v>
      </c>
      <c r="C1193" s="14">
        <f t="shared" si="177"/>
        <v>98</v>
      </c>
      <c r="D1193" s="11">
        <f t="shared" si="178"/>
        <v>1018.7300315771121</v>
      </c>
      <c r="E1193" s="24">
        <f t="shared" si="170"/>
        <v>1015.8282999237638</v>
      </c>
      <c r="F1193" s="24">
        <f t="shared" si="172"/>
        <v>72.543291333707316</v>
      </c>
      <c r="G1193" s="14">
        <f t="shared" si="173"/>
        <v>989.57779306291013</v>
      </c>
      <c r="H1193" s="24">
        <f t="shared" si="171"/>
        <v>650</v>
      </c>
      <c r="I1193" s="12">
        <f t="shared" si="174"/>
        <v>0.13055260050624015</v>
      </c>
      <c r="J1193" s="3">
        <f t="shared" si="175"/>
        <v>0.7</v>
      </c>
    </row>
    <row r="1194" spans="2:10" x14ac:dyDescent="0.25">
      <c r="B1194" s="3">
        <f t="shared" si="176"/>
        <v>5885</v>
      </c>
      <c r="C1194" s="14">
        <f t="shared" si="177"/>
        <v>98.083333333333329</v>
      </c>
      <c r="D1194" s="11">
        <f t="shared" si="178"/>
        <v>1018.8572230926081</v>
      </c>
      <c r="E1194" s="24">
        <f t="shared" si="170"/>
        <v>1015.95885252427</v>
      </c>
      <c r="F1194" s="24">
        <f t="shared" si="172"/>
        <v>72.459264208453078</v>
      </c>
      <c r="G1194" s="14">
        <f t="shared" si="173"/>
        <v>988.72775967158725</v>
      </c>
      <c r="H1194" s="24">
        <f t="shared" si="171"/>
        <v>650</v>
      </c>
      <c r="I1194" s="12">
        <f t="shared" si="174"/>
        <v>0.13043778871005157</v>
      </c>
      <c r="J1194" s="3">
        <f t="shared" si="175"/>
        <v>0.7</v>
      </c>
    </row>
    <row r="1195" spans="2:10" x14ac:dyDescent="0.25">
      <c r="B1195" s="3">
        <f t="shared" si="176"/>
        <v>5890</v>
      </c>
      <c r="C1195" s="14">
        <f t="shared" si="177"/>
        <v>98.166666666666671</v>
      </c>
      <c r="D1195" s="11">
        <f t="shared" si="178"/>
        <v>1018.9843067272467</v>
      </c>
      <c r="E1195" s="24">
        <f t="shared" si="170"/>
        <v>1016.0892903129801</v>
      </c>
      <c r="F1195" s="24">
        <f t="shared" si="172"/>
        <v>72.375410356664815</v>
      </c>
      <c r="G1195" s="14">
        <f t="shared" si="173"/>
        <v>987.87920779536728</v>
      </c>
      <c r="H1195" s="24">
        <f t="shared" si="171"/>
        <v>650</v>
      </c>
      <c r="I1195" s="12">
        <f t="shared" si="174"/>
        <v>0.13032318031529633</v>
      </c>
      <c r="J1195" s="3">
        <f t="shared" si="175"/>
        <v>0.7</v>
      </c>
    </row>
    <row r="1196" spans="2:10" x14ac:dyDescent="0.25">
      <c r="B1196" s="3">
        <f t="shared" si="176"/>
        <v>5895</v>
      </c>
      <c r="C1196" s="14">
        <f t="shared" si="177"/>
        <v>98.25</v>
      </c>
      <c r="D1196" s="11">
        <f t="shared" si="178"/>
        <v>1019.1112826638772</v>
      </c>
      <c r="E1196" s="24">
        <f t="shared" si="170"/>
        <v>1016.2196134932954</v>
      </c>
      <c r="F1196" s="24">
        <f t="shared" si="172"/>
        <v>72.291729264546234</v>
      </c>
      <c r="G1196" s="14">
        <f t="shared" si="173"/>
        <v>987.03213352189755</v>
      </c>
      <c r="H1196" s="24">
        <f t="shared" si="171"/>
        <v>650</v>
      </c>
      <c r="I1196" s="12">
        <f t="shared" si="174"/>
        <v>0.13020877477792608</v>
      </c>
      <c r="J1196" s="3">
        <f t="shared" si="175"/>
        <v>0.7</v>
      </c>
    </row>
    <row r="1197" spans="2:10" x14ac:dyDescent="0.25">
      <c r="B1197" s="3">
        <f t="shared" si="176"/>
        <v>5900</v>
      </c>
      <c r="C1197" s="14">
        <f t="shared" si="177"/>
        <v>98.333333333333329</v>
      </c>
      <c r="D1197" s="11">
        <f t="shared" si="178"/>
        <v>1019.2381510848837</v>
      </c>
      <c r="E1197" s="24">
        <f t="shared" si="170"/>
        <v>1016.3498222680732</v>
      </c>
      <c r="F1197" s="24">
        <f t="shared" si="172"/>
        <v>72.208220420262137</v>
      </c>
      <c r="G1197" s="14">
        <f t="shared" si="173"/>
        <v>986.18653295233332</v>
      </c>
      <c r="H1197" s="24">
        <f t="shared" si="171"/>
        <v>650</v>
      </c>
      <c r="I1197" s="12">
        <f t="shared" si="174"/>
        <v>0.13009457155579379</v>
      </c>
      <c r="J1197" s="3">
        <f t="shared" si="175"/>
        <v>0.7</v>
      </c>
    </row>
    <row r="1198" spans="2:10" x14ac:dyDescent="0.25">
      <c r="B1198" s="3">
        <f t="shared" si="176"/>
        <v>5905</v>
      </c>
      <c r="C1198" s="14">
        <f t="shared" si="177"/>
        <v>98.416666666666671</v>
      </c>
      <c r="D1198" s="11">
        <f t="shared" si="178"/>
        <v>1019.3649121721878</v>
      </c>
      <c r="E1198" s="24">
        <f t="shared" si="170"/>
        <v>1016.479916839629</v>
      </c>
      <c r="F1198" s="24">
        <f t="shared" si="172"/>
        <v>72.12488331396969</v>
      </c>
      <c r="G1198" s="14">
        <f t="shared" si="173"/>
        <v>985.34240220222887</v>
      </c>
      <c r="H1198" s="24">
        <f t="shared" si="171"/>
        <v>650</v>
      </c>
      <c r="I1198" s="12">
        <f t="shared" si="174"/>
        <v>0.12998057010876726</v>
      </c>
      <c r="J1198" s="3">
        <f t="shared" si="175"/>
        <v>0.7</v>
      </c>
    </row>
    <row r="1199" spans="2:10" x14ac:dyDescent="0.25">
      <c r="B1199" s="3">
        <f t="shared" si="176"/>
        <v>5910</v>
      </c>
      <c r="C1199" s="14">
        <f t="shared" si="177"/>
        <v>98.5</v>
      </c>
      <c r="D1199" s="11">
        <f t="shared" si="178"/>
        <v>1019.4915661072498</v>
      </c>
      <c r="E1199" s="24">
        <f t="shared" si="170"/>
        <v>1016.6098974097378</v>
      </c>
      <c r="F1199" s="24">
        <f t="shared" si="172"/>
        <v>72.041717437801367</v>
      </c>
      <c r="G1199" s="14">
        <f t="shared" si="173"/>
        <v>984.49973740041401</v>
      </c>
      <c r="H1199" s="24">
        <f t="shared" si="171"/>
        <v>650</v>
      </c>
      <c r="I1199" s="12">
        <f t="shared" si="174"/>
        <v>0.12986676989858897</v>
      </c>
      <c r="J1199" s="3">
        <f t="shared" si="175"/>
        <v>0.7</v>
      </c>
    </row>
    <row r="1200" spans="2:10" x14ac:dyDescent="0.25">
      <c r="B1200" s="3">
        <f t="shared" si="176"/>
        <v>5915</v>
      </c>
      <c r="C1200" s="14">
        <f t="shared" si="177"/>
        <v>98.583333333333329</v>
      </c>
      <c r="D1200" s="11">
        <f t="shared" si="178"/>
        <v>1019.6181130710703</v>
      </c>
      <c r="E1200" s="24">
        <f t="shared" si="170"/>
        <v>1016.7397641796364</v>
      </c>
      <c r="F1200" s="24">
        <f t="shared" si="172"/>
        <v>71.958722285847898</v>
      </c>
      <c r="G1200" s="14">
        <f t="shared" si="173"/>
        <v>983.65853468963314</v>
      </c>
      <c r="H1200" s="24">
        <f t="shared" si="171"/>
        <v>650</v>
      </c>
      <c r="I1200" s="12">
        <f t="shared" si="174"/>
        <v>0.12975317038895226</v>
      </c>
      <c r="J1200" s="3">
        <f t="shared" si="175"/>
        <v>0.7</v>
      </c>
    </row>
    <row r="1201" spans="2:10" x14ac:dyDescent="0.25">
      <c r="B1201" s="3">
        <f t="shared" si="176"/>
        <v>5920</v>
      </c>
      <c r="C1201" s="14">
        <f t="shared" si="177"/>
        <v>98.666666666666671</v>
      </c>
      <c r="D1201" s="11">
        <f t="shared" si="178"/>
        <v>1019.7445532441913</v>
      </c>
      <c r="E1201" s="24">
        <f t="shared" si="170"/>
        <v>1016.8695173500254</v>
      </c>
      <c r="F1201" s="24">
        <f t="shared" si="172"/>
        <v>71.8758973541469</v>
      </c>
      <c r="G1201" s="14">
        <f t="shared" si="173"/>
        <v>982.81879022640965</v>
      </c>
      <c r="H1201" s="24">
        <f t="shared" si="171"/>
        <v>650</v>
      </c>
      <c r="I1201" s="12">
        <f t="shared" si="174"/>
        <v>0.12963977104548352</v>
      </c>
      <c r="J1201" s="3">
        <f t="shared" si="175"/>
        <v>0.7</v>
      </c>
    </row>
    <row r="1202" spans="2:10" x14ac:dyDescent="0.25">
      <c r="B1202" s="3">
        <f t="shared" si="176"/>
        <v>5925</v>
      </c>
      <c r="C1202" s="14">
        <f t="shared" si="177"/>
        <v>98.75</v>
      </c>
      <c r="D1202" s="11">
        <f t="shared" si="178"/>
        <v>1019.8708868066984</v>
      </c>
      <c r="E1202" s="24">
        <f t="shared" si="170"/>
        <v>1016.9991571210709</v>
      </c>
      <c r="F1202" s="24">
        <f t="shared" si="172"/>
        <v>71.793242140688562</v>
      </c>
      <c r="G1202" s="14">
        <f t="shared" si="173"/>
        <v>981.98050018073616</v>
      </c>
      <c r="H1202" s="24">
        <f t="shared" si="171"/>
        <v>650</v>
      </c>
      <c r="I1202" s="12">
        <f t="shared" si="174"/>
        <v>0.12952657133570483</v>
      </c>
      <c r="J1202" s="3">
        <f t="shared" si="175"/>
        <v>0.7</v>
      </c>
    </row>
    <row r="1203" spans="2:10" x14ac:dyDescent="0.25">
      <c r="B1203" s="3">
        <f t="shared" si="176"/>
        <v>5930</v>
      </c>
      <c r="C1203" s="14">
        <f t="shared" si="177"/>
        <v>98.833333333333329</v>
      </c>
      <c r="D1203" s="11">
        <f t="shared" si="178"/>
        <v>1019.9971139382218</v>
      </c>
      <c r="E1203" s="24">
        <f t="shared" si="170"/>
        <v>1017.1286836924066</v>
      </c>
      <c r="F1203" s="24">
        <f t="shared" si="172"/>
        <v>71.710756145378696</v>
      </c>
      <c r="G1203" s="14">
        <f t="shared" si="173"/>
        <v>981.1436607359966</v>
      </c>
      <c r="H1203" s="24">
        <f t="shared" si="171"/>
        <v>650</v>
      </c>
      <c r="I1203" s="12">
        <f t="shared" si="174"/>
        <v>0.12941357072901957</v>
      </c>
      <c r="J1203" s="3">
        <f t="shared" si="175"/>
        <v>0.7</v>
      </c>
    </row>
    <row r="1204" spans="2:10" x14ac:dyDescent="0.25">
      <c r="B1204" s="3">
        <f t="shared" si="176"/>
        <v>5935</v>
      </c>
      <c r="C1204" s="14">
        <f t="shared" si="177"/>
        <v>98.916666666666671</v>
      </c>
      <c r="D1204" s="11">
        <f t="shared" si="178"/>
        <v>1020.1232348179385</v>
      </c>
      <c r="E1204" s="24">
        <f t="shared" ref="E1204:E1267" si="179">E1203+I1203</f>
        <v>1017.2580972631357</v>
      </c>
      <c r="F1204" s="24">
        <f t="shared" si="172"/>
        <v>71.628438870069999</v>
      </c>
      <c r="G1204" s="14">
        <f t="shared" si="173"/>
        <v>980.30826808904408</v>
      </c>
      <c r="H1204" s="24">
        <f t="shared" ref="H1204:H1267" si="180">IF(E1204&lt;600,425+0.773*E1204-1.69/1000*E1204^2+2.22/1000^2*E1204^3,IF(E1204&lt;735,666+13002/(738-E1204),IF(E1204&lt;900,545+17820/(E1204-731),650)))</f>
        <v>650</v>
      </c>
      <c r="I1204" s="12">
        <f t="shared" si="174"/>
        <v>0.12930076869672619</v>
      </c>
      <c r="J1204" s="3">
        <f t="shared" si="175"/>
        <v>0.7</v>
      </c>
    </row>
    <row r="1205" spans="2:10" x14ac:dyDescent="0.25">
      <c r="B1205" s="3">
        <f t="shared" si="176"/>
        <v>5940</v>
      </c>
      <c r="C1205" s="14">
        <f t="shared" si="177"/>
        <v>99</v>
      </c>
      <c r="D1205" s="11">
        <f t="shared" si="178"/>
        <v>1020.2492496245731</v>
      </c>
      <c r="E1205" s="24">
        <f t="shared" si="179"/>
        <v>1017.3873980318324</v>
      </c>
      <c r="F1205" s="24">
        <f t="shared" si="172"/>
        <v>71.546289818516584</v>
      </c>
      <c r="G1205" s="14">
        <f t="shared" si="173"/>
        <v>979.47431845066569</v>
      </c>
      <c r="H1205" s="24">
        <f t="shared" si="180"/>
        <v>650</v>
      </c>
      <c r="I1205" s="12">
        <f t="shared" si="174"/>
        <v>0.12918816471206951</v>
      </c>
      <c r="J1205" s="3">
        <f t="shared" si="175"/>
        <v>0.7</v>
      </c>
    </row>
    <row r="1206" spans="2:10" x14ac:dyDescent="0.25">
      <c r="B1206" s="3">
        <f t="shared" si="176"/>
        <v>5945</v>
      </c>
      <c r="C1206" s="14">
        <f t="shared" si="177"/>
        <v>99.083333333333329</v>
      </c>
      <c r="D1206" s="11">
        <f t="shared" si="178"/>
        <v>1020.3751585363999</v>
      </c>
      <c r="E1206" s="24">
        <f t="shared" si="179"/>
        <v>1017.5165861965445</v>
      </c>
      <c r="F1206" s="24">
        <f t="shared" si="172"/>
        <v>71.464308496385343</v>
      </c>
      <c r="G1206" s="14">
        <f t="shared" si="173"/>
        <v>978.64180804424564</v>
      </c>
      <c r="H1206" s="24">
        <f t="shared" si="180"/>
        <v>650</v>
      </c>
      <c r="I1206" s="12">
        <f t="shared" si="174"/>
        <v>0.12907575825007778</v>
      </c>
      <c r="J1206" s="3">
        <f t="shared" si="175"/>
        <v>0.7</v>
      </c>
    </row>
    <row r="1207" spans="2:10" x14ac:dyDescent="0.25">
      <c r="B1207" s="3">
        <f t="shared" si="176"/>
        <v>5950</v>
      </c>
      <c r="C1207" s="14">
        <f t="shared" si="177"/>
        <v>99.166666666666671</v>
      </c>
      <c r="D1207" s="11">
        <f t="shared" si="178"/>
        <v>1020.5009617312437</v>
      </c>
      <c r="E1207" s="24">
        <f t="shared" si="179"/>
        <v>1017.6456619547946</v>
      </c>
      <c r="F1207" s="24">
        <f t="shared" si="172"/>
        <v>71.382494411227526</v>
      </c>
      <c r="G1207" s="14">
        <f t="shared" si="173"/>
        <v>977.81073310698582</v>
      </c>
      <c r="H1207" s="24">
        <f t="shared" si="180"/>
        <v>650</v>
      </c>
      <c r="I1207" s="12">
        <f t="shared" si="174"/>
        <v>0.12896354878770946</v>
      </c>
      <c r="J1207" s="3">
        <f t="shared" si="175"/>
        <v>0.7</v>
      </c>
    </row>
    <row r="1208" spans="2:10" x14ac:dyDescent="0.25">
      <c r="B1208" s="3">
        <f t="shared" si="176"/>
        <v>5955</v>
      </c>
      <c r="C1208" s="14">
        <f t="shared" si="177"/>
        <v>99.25</v>
      </c>
      <c r="D1208" s="11">
        <f t="shared" si="178"/>
        <v>1020.6266593864822</v>
      </c>
      <c r="E1208" s="24">
        <f t="shared" si="179"/>
        <v>1017.7746255035823</v>
      </c>
      <c r="F1208" s="24">
        <f t="shared" si="172"/>
        <v>71.300847072495799</v>
      </c>
      <c r="G1208" s="14">
        <f t="shared" si="173"/>
        <v>976.98108988907268</v>
      </c>
      <c r="H1208" s="24">
        <f t="shared" si="180"/>
        <v>650</v>
      </c>
      <c r="I1208" s="12">
        <f t="shared" si="174"/>
        <v>0.12885153580375261</v>
      </c>
      <c r="J1208" s="3">
        <f t="shared" si="175"/>
        <v>0.7</v>
      </c>
    </row>
    <row r="1209" spans="2:10" x14ac:dyDescent="0.25">
      <c r="B1209" s="3">
        <f t="shared" si="176"/>
        <v>5960</v>
      </c>
      <c r="C1209" s="14">
        <f t="shared" si="177"/>
        <v>99.333333333333329</v>
      </c>
      <c r="D1209" s="11">
        <f t="shared" si="178"/>
        <v>1020.7522516790467</v>
      </c>
      <c r="E1209" s="24">
        <f t="shared" si="179"/>
        <v>1017.9034770393861</v>
      </c>
      <c r="F1209" s="24">
        <f t="shared" si="172"/>
        <v>71.219365991515815</v>
      </c>
      <c r="G1209" s="14">
        <f t="shared" si="173"/>
        <v>976.15287465404549</v>
      </c>
      <c r="H1209" s="24">
        <f t="shared" si="180"/>
        <v>650</v>
      </c>
      <c r="I1209" s="12">
        <f t="shared" si="174"/>
        <v>0.12873971877886681</v>
      </c>
      <c r="J1209" s="3">
        <f t="shared" si="175"/>
        <v>0.7</v>
      </c>
    </row>
    <row r="1210" spans="2:10" x14ac:dyDescent="0.25">
      <c r="B1210" s="3">
        <f t="shared" si="176"/>
        <v>5965</v>
      </c>
      <c r="C1210" s="14">
        <f t="shared" si="177"/>
        <v>99.416666666666671</v>
      </c>
      <c r="D1210" s="11">
        <f t="shared" si="178"/>
        <v>1020.8777387854243</v>
      </c>
      <c r="E1210" s="24">
        <f t="shared" si="179"/>
        <v>1018.032216758165</v>
      </c>
      <c r="F1210" s="24">
        <f t="shared" si="172"/>
        <v>71.138050681483378</v>
      </c>
      <c r="G1210" s="14">
        <f t="shared" si="173"/>
        <v>975.32608367821479</v>
      </c>
      <c r="H1210" s="24">
        <f t="shared" si="180"/>
        <v>650</v>
      </c>
      <c r="I1210" s="12">
        <f t="shared" si="174"/>
        <v>0.12862809719551144</v>
      </c>
      <c r="J1210" s="3">
        <f t="shared" si="175"/>
        <v>0.7</v>
      </c>
    </row>
    <row r="1211" spans="2:10" x14ac:dyDescent="0.25">
      <c r="B1211" s="3">
        <f t="shared" si="176"/>
        <v>5970</v>
      </c>
      <c r="C1211" s="14">
        <f t="shared" si="177"/>
        <v>99.5</v>
      </c>
      <c r="D1211" s="11">
        <f t="shared" si="178"/>
        <v>1021.0031208816587</v>
      </c>
      <c r="E1211" s="24">
        <f t="shared" si="179"/>
        <v>1018.1608448553604</v>
      </c>
      <c r="F1211" s="24">
        <f t="shared" si="172"/>
        <v>71.056900657455913</v>
      </c>
      <c r="G1211" s="14">
        <f t="shared" si="173"/>
        <v>974.5007132512826</v>
      </c>
      <c r="H1211" s="24">
        <f t="shared" si="180"/>
        <v>650</v>
      </c>
      <c r="I1211" s="12">
        <f t="shared" si="174"/>
        <v>0.12851667053802057</v>
      </c>
      <c r="J1211" s="3">
        <f t="shared" si="175"/>
        <v>0.7</v>
      </c>
    </row>
    <row r="1212" spans="2:10" x14ac:dyDescent="0.25">
      <c r="B1212" s="3">
        <f t="shared" si="176"/>
        <v>5975</v>
      </c>
      <c r="C1212" s="14">
        <f t="shared" si="177"/>
        <v>99.583333333333329</v>
      </c>
      <c r="D1212" s="11">
        <f t="shared" si="178"/>
        <v>1021.1283981433522</v>
      </c>
      <c r="E1212" s="24">
        <f t="shared" si="179"/>
        <v>1018.2893615258985</v>
      </c>
      <c r="F1212" s="24">
        <f t="shared" si="172"/>
        <v>70.975915436343939</v>
      </c>
      <c r="G1212" s="14">
        <f t="shared" si="173"/>
        <v>973.67675967587729</v>
      </c>
      <c r="H1212" s="24">
        <f t="shared" si="180"/>
        <v>650</v>
      </c>
      <c r="I1212" s="12">
        <f t="shared" si="174"/>
        <v>0.12840543829254505</v>
      </c>
      <c r="J1212" s="3">
        <f t="shared" si="175"/>
        <v>0.7</v>
      </c>
    </row>
    <row r="1213" spans="2:10" x14ac:dyDescent="0.25">
      <c r="B1213" s="3">
        <f t="shared" si="176"/>
        <v>5980</v>
      </c>
      <c r="C1213" s="14">
        <f t="shared" si="177"/>
        <v>99.666666666666671</v>
      </c>
      <c r="D1213" s="11">
        <f t="shared" si="178"/>
        <v>1021.2535707456672</v>
      </c>
      <c r="E1213" s="24">
        <f t="shared" si="179"/>
        <v>1018.4177669641911</v>
      </c>
      <c r="F1213" s="24">
        <f t="shared" si="172"/>
        <v>70.895094536902548</v>
      </c>
      <c r="G1213" s="14">
        <f t="shared" si="173"/>
        <v>972.85421926768959</v>
      </c>
      <c r="H1213" s="24">
        <f t="shared" si="180"/>
        <v>650</v>
      </c>
      <c r="I1213" s="12">
        <f t="shared" si="174"/>
        <v>0.12829439994706801</v>
      </c>
      <c r="J1213" s="3">
        <f t="shared" si="175"/>
        <v>0.7</v>
      </c>
    </row>
    <row r="1214" spans="2:10" x14ac:dyDescent="0.25">
      <c r="B1214" s="3">
        <f t="shared" si="176"/>
        <v>5985</v>
      </c>
      <c r="C1214" s="14">
        <f t="shared" si="177"/>
        <v>99.75</v>
      </c>
      <c r="D1214" s="11">
        <f t="shared" si="178"/>
        <v>1021.378638863327</v>
      </c>
      <c r="E1214" s="24">
        <f t="shared" si="179"/>
        <v>1018.5460613641382</v>
      </c>
      <c r="F1214" s="24">
        <f t="shared" si="172"/>
        <v>70.814437479720027</v>
      </c>
      <c r="G1214" s="14">
        <f t="shared" si="173"/>
        <v>972.03308835489042</v>
      </c>
      <c r="H1214" s="24">
        <f t="shared" si="180"/>
        <v>650</v>
      </c>
      <c r="I1214" s="12">
        <f t="shared" si="174"/>
        <v>0.12818355499133188</v>
      </c>
      <c r="J1214" s="3">
        <f t="shared" si="175"/>
        <v>0.7</v>
      </c>
    </row>
    <row r="1215" spans="2:10" x14ac:dyDescent="0.25">
      <c r="B1215" s="3">
        <f t="shared" si="176"/>
        <v>5990</v>
      </c>
      <c r="C1215" s="14">
        <f t="shared" si="177"/>
        <v>99.833333333333329</v>
      </c>
      <c r="D1215" s="11">
        <f t="shared" si="178"/>
        <v>1021.5036026706179</v>
      </c>
      <c r="E1215" s="24">
        <f t="shared" si="179"/>
        <v>1018.6742449191295</v>
      </c>
      <c r="F1215" s="24">
        <f t="shared" si="172"/>
        <v>70.733943787209341</v>
      </c>
      <c r="G1215" s="14">
        <f t="shared" si="173"/>
        <v>971.2133632787129</v>
      </c>
      <c r="H1215" s="24">
        <f t="shared" si="180"/>
        <v>650</v>
      </c>
      <c r="I1215" s="12">
        <f t="shared" si="174"/>
        <v>0.12807290291690901</v>
      </c>
      <c r="J1215" s="3">
        <f t="shared" si="175"/>
        <v>0.7</v>
      </c>
    </row>
    <row r="1216" spans="2:10" x14ac:dyDescent="0.25">
      <c r="B1216" s="3">
        <f t="shared" si="176"/>
        <v>5995</v>
      </c>
      <c r="C1216" s="14">
        <f t="shared" si="177"/>
        <v>99.916666666666671</v>
      </c>
      <c r="D1216" s="11">
        <f t="shared" si="178"/>
        <v>1021.6284623413908</v>
      </c>
      <c r="E1216" s="24">
        <f t="shared" si="179"/>
        <v>1018.8023178220463</v>
      </c>
      <c r="F1216" s="24">
        <f t="shared" si="172"/>
        <v>70.653612983610969</v>
      </c>
      <c r="G1216" s="14">
        <f t="shared" si="173"/>
        <v>970.39504039331678</v>
      </c>
      <c r="H1216" s="24">
        <f t="shared" si="180"/>
        <v>650</v>
      </c>
      <c r="I1216" s="12">
        <f t="shared" si="174"/>
        <v>0.1279624432171852</v>
      </c>
      <c r="J1216" s="3">
        <f t="shared" si="175"/>
        <v>0.7</v>
      </c>
    </row>
    <row r="1217" spans="2:10" x14ac:dyDescent="0.25">
      <c r="B1217" s="3">
        <f t="shared" si="176"/>
        <v>6000</v>
      </c>
      <c r="C1217" s="14">
        <f t="shared" si="177"/>
        <v>100</v>
      </c>
      <c r="D1217" s="11">
        <f t="shared" si="178"/>
        <v>1021.753218049062</v>
      </c>
      <c r="E1217" s="24">
        <f t="shared" si="179"/>
        <v>1018.9302802652635</v>
      </c>
      <c r="F1217" s="24">
        <f t="shared" si="172"/>
        <v>70.573444594961643</v>
      </c>
      <c r="G1217" s="14">
        <f t="shared" si="173"/>
        <v>969.57811606555526</v>
      </c>
      <c r="H1217" s="24">
        <f t="shared" si="180"/>
        <v>650</v>
      </c>
      <c r="I1217" s="12">
        <f t="shared" si="174"/>
        <v>0.1278521753873274</v>
      </c>
      <c r="J1217" s="3">
        <f t="shared" si="175"/>
        <v>0.7</v>
      </c>
    </row>
    <row r="1218" spans="2:10" x14ac:dyDescent="0.25">
      <c r="B1218" s="3">
        <f t="shared" si="176"/>
        <v>6005</v>
      </c>
      <c r="C1218" s="14">
        <f t="shared" si="177"/>
        <v>100.08333333333333</v>
      </c>
      <c r="D1218" s="11">
        <f t="shared" si="178"/>
        <v>1021.8778699666148</v>
      </c>
      <c r="E1218" s="24">
        <f t="shared" si="179"/>
        <v>1019.0581324406509</v>
      </c>
      <c r="F1218" s="24">
        <f t="shared" si="172"/>
        <v>70.493438149097187</v>
      </c>
      <c r="G1218" s="14">
        <f t="shared" si="173"/>
        <v>968.7625866743748</v>
      </c>
      <c r="H1218" s="24">
        <f t="shared" si="180"/>
        <v>650</v>
      </c>
      <c r="I1218" s="12">
        <f t="shared" si="174"/>
        <v>0.12774209892421004</v>
      </c>
      <c r="J1218" s="3">
        <f t="shared" si="175"/>
        <v>0.7</v>
      </c>
    </row>
    <row r="1219" spans="2:10" x14ac:dyDescent="0.25">
      <c r="B1219" s="3">
        <f t="shared" si="176"/>
        <v>6010</v>
      </c>
      <c r="C1219" s="14">
        <f t="shared" si="177"/>
        <v>100.16666666666667</v>
      </c>
      <c r="D1219" s="11">
        <f t="shared" si="178"/>
        <v>1022.0024182666017</v>
      </c>
      <c r="E1219" s="24">
        <f t="shared" si="179"/>
        <v>1019.185874539575</v>
      </c>
      <c r="F1219" s="24">
        <f t="shared" si="172"/>
        <v>70.413593175666733</v>
      </c>
      <c r="G1219" s="14">
        <f t="shared" si="173"/>
        <v>967.94844861215211</v>
      </c>
      <c r="H1219" s="24">
        <f t="shared" si="180"/>
        <v>650</v>
      </c>
      <c r="I1219" s="12">
        <f t="shared" si="174"/>
        <v>0.12763221332658131</v>
      </c>
      <c r="J1219" s="3">
        <f t="shared" si="175"/>
        <v>0.7</v>
      </c>
    </row>
    <row r="1220" spans="2:10" x14ac:dyDescent="0.25">
      <c r="B1220" s="3">
        <f t="shared" si="176"/>
        <v>6015</v>
      </c>
      <c r="C1220" s="14">
        <f t="shared" si="177"/>
        <v>100.25</v>
      </c>
      <c r="D1220" s="11">
        <f t="shared" si="178"/>
        <v>1022.1268631211449</v>
      </c>
      <c r="E1220" s="24">
        <f t="shared" si="179"/>
        <v>1019.3135067529016</v>
      </c>
      <c r="F1220" s="24">
        <f t="shared" si="172"/>
        <v>70.333909206081557</v>
      </c>
      <c r="G1220" s="14">
        <f t="shared" si="173"/>
        <v>967.13569828339564</v>
      </c>
      <c r="H1220" s="24">
        <f t="shared" si="180"/>
        <v>650</v>
      </c>
      <c r="I1220" s="12">
        <f t="shared" si="174"/>
        <v>0.12752251809489723</v>
      </c>
      <c r="J1220" s="3">
        <f t="shared" si="175"/>
        <v>0.7</v>
      </c>
    </row>
    <row r="1221" spans="2:10" x14ac:dyDescent="0.25">
      <c r="B1221" s="3">
        <f t="shared" si="176"/>
        <v>6020</v>
      </c>
      <c r="C1221" s="14">
        <f t="shared" si="177"/>
        <v>100.33333333333333</v>
      </c>
      <c r="D1221" s="11">
        <f t="shared" si="178"/>
        <v>1022.2512047019379</v>
      </c>
      <c r="E1221" s="24">
        <f t="shared" si="179"/>
        <v>1019.4410292709965</v>
      </c>
      <c r="F1221" s="24">
        <f t="shared" si="172"/>
        <v>70.254385773534977</v>
      </c>
      <c r="G1221" s="14">
        <f t="shared" si="173"/>
        <v>966.32433210490069</v>
      </c>
      <c r="H1221" s="24">
        <f t="shared" si="180"/>
        <v>650</v>
      </c>
      <c r="I1221" s="12">
        <f t="shared" si="174"/>
        <v>0.12741301273134301</v>
      </c>
      <c r="J1221" s="3">
        <f t="shared" si="175"/>
        <v>0.7</v>
      </c>
    </row>
    <row r="1222" spans="2:10" x14ac:dyDescent="0.25">
      <c r="B1222" s="3">
        <f t="shared" si="176"/>
        <v>6025</v>
      </c>
      <c r="C1222" s="14">
        <f t="shared" si="177"/>
        <v>100.41666666666667</v>
      </c>
      <c r="D1222" s="11">
        <f t="shared" si="178"/>
        <v>1022.3754431802474</v>
      </c>
      <c r="E1222" s="24">
        <f t="shared" si="179"/>
        <v>1019.5684422837279</v>
      </c>
      <c r="F1222" s="24">
        <f t="shared" si="172"/>
        <v>70.175022412988142</v>
      </c>
      <c r="G1222" s="14">
        <f t="shared" si="173"/>
        <v>965.51434650627277</v>
      </c>
      <c r="H1222" s="24">
        <f t="shared" si="180"/>
        <v>650</v>
      </c>
      <c r="I1222" s="12">
        <f t="shared" si="174"/>
        <v>0.12730369673989581</v>
      </c>
      <c r="J1222" s="3">
        <f t="shared" si="175"/>
        <v>0.7</v>
      </c>
    </row>
    <row r="1223" spans="2:10" x14ac:dyDescent="0.25">
      <c r="B1223" s="3">
        <f t="shared" si="176"/>
        <v>6030</v>
      </c>
      <c r="C1223" s="14">
        <f t="shared" si="177"/>
        <v>100.5</v>
      </c>
      <c r="D1223" s="11">
        <f t="shared" si="178"/>
        <v>1022.4995787269146</v>
      </c>
      <c r="E1223" s="24">
        <f t="shared" si="179"/>
        <v>1019.6957459804678</v>
      </c>
      <c r="F1223" s="24">
        <f t="shared" si="172"/>
        <v>70.095818661170028</v>
      </c>
      <c r="G1223" s="14">
        <f t="shared" si="173"/>
        <v>964.7057379294622</v>
      </c>
      <c r="H1223" s="24">
        <f t="shared" si="180"/>
        <v>650</v>
      </c>
      <c r="I1223" s="12">
        <f t="shared" si="174"/>
        <v>0.12719456962626746</v>
      </c>
      <c r="J1223" s="3">
        <f t="shared" si="175"/>
        <v>0.7</v>
      </c>
    </row>
    <row r="1224" spans="2:10" x14ac:dyDescent="0.25">
      <c r="B1224" s="3">
        <f t="shared" si="176"/>
        <v>6035</v>
      </c>
      <c r="C1224" s="14">
        <f t="shared" si="177"/>
        <v>100.58333333333333</v>
      </c>
      <c r="D1224" s="11">
        <f t="shared" si="178"/>
        <v>1022.6236115123558</v>
      </c>
      <c r="E1224" s="24">
        <f t="shared" si="179"/>
        <v>1019.822940550094</v>
      </c>
      <c r="F1224" s="24">
        <f t="shared" si="172"/>
        <v>70.016774056543341</v>
      </c>
      <c r="G1224" s="14">
        <f t="shared" si="173"/>
        <v>963.89850282857071</v>
      </c>
      <c r="H1224" s="24">
        <f t="shared" si="180"/>
        <v>650</v>
      </c>
      <c r="I1224" s="12">
        <f t="shared" si="174"/>
        <v>0.12708563089787661</v>
      </c>
      <c r="J1224" s="3">
        <f t="shared" si="175"/>
        <v>0.7</v>
      </c>
    </row>
    <row r="1225" spans="2:10" x14ac:dyDescent="0.25">
      <c r="B1225" s="3">
        <f t="shared" si="176"/>
        <v>6040</v>
      </c>
      <c r="C1225" s="14">
        <f t="shared" si="177"/>
        <v>100.66666666666667</v>
      </c>
      <c r="D1225" s="11">
        <f t="shared" si="178"/>
        <v>1022.7475417065649</v>
      </c>
      <c r="E1225" s="24">
        <f t="shared" si="179"/>
        <v>1019.9500261809919</v>
      </c>
      <c r="F1225" s="24">
        <f t="shared" si="172"/>
        <v>69.9378881393244</v>
      </c>
      <c r="G1225" s="14">
        <f t="shared" si="173"/>
        <v>963.0926376700254</v>
      </c>
      <c r="H1225" s="24">
        <f t="shared" si="180"/>
        <v>650</v>
      </c>
      <c r="I1225" s="12">
        <f t="shared" si="174"/>
        <v>0.12697688006387228</v>
      </c>
      <c r="J1225" s="3">
        <f t="shared" si="175"/>
        <v>0.7</v>
      </c>
    </row>
    <row r="1226" spans="2:10" x14ac:dyDescent="0.25">
      <c r="B1226" s="3">
        <f t="shared" si="176"/>
        <v>6045</v>
      </c>
      <c r="C1226" s="14">
        <f t="shared" si="177"/>
        <v>100.75</v>
      </c>
      <c r="D1226" s="11">
        <f t="shared" si="178"/>
        <v>1022.8713694791143</v>
      </c>
      <c r="E1226" s="24">
        <f t="shared" si="179"/>
        <v>1020.0770030610558</v>
      </c>
      <c r="F1226" s="24">
        <f t="shared" si="172"/>
        <v>69.859160451460411</v>
      </c>
      <c r="G1226" s="14">
        <f t="shared" si="173"/>
        <v>962.28813893254028</v>
      </c>
      <c r="H1226" s="24">
        <f t="shared" si="180"/>
        <v>650</v>
      </c>
      <c r="I1226" s="12">
        <f t="shared" si="174"/>
        <v>0.12686831663512663</v>
      </c>
      <c r="J1226" s="3">
        <f t="shared" si="175"/>
        <v>0.7</v>
      </c>
    </row>
    <row r="1227" spans="2:10" x14ac:dyDescent="0.25">
      <c r="B1227" s="3">
        <f t="shared" si="176"/>
        <v>6050</v>
      </c>
      <c r="C1227" s="14">
        <f t="shared" si="177"/>
        <v>100.83333333333333</v>
      </c>
      <c r="D1227" s="11">
        <f t="shared" si="178"/>
        <v>1022.995094999156</v>
      </c>
      <c r="E1227" s="24">
        <f t="shared" si="179"/>
        <v>1020.203871377691</v>
      </c>
      <c r="F1227" s="24">
        <f t="shared" si="172"/>
        <v>69.780590536623777</v>
      </c>
      <c r="G1227" s="14">
        <f t="shared" si="173"/>
        <v>961.48500310686438</v>
      </c>
      <c r="H1227" s="24">
        <f t="shared" si="180"/>
        <v>650</v>
      </c>
      <c r="I1227" s="12">
        <f t="shared" si="174"/>
        <v>0.12675994012420311</v>
      </c>
      <c r="J1227" s="3">
        <f t="shared" si="175"/>
        <v>0.7</v>
      </c>
    </row>
    <row r="1228" spans="2:10" x14ac:dyDescent="0.25">
      <c r="B1228" s="3">
        <f t="shared" si="176"/>
        <v>6055</v>
      </c>
      <c r="C1228" s="14">
        <f t="shared" si="177"/>
        <v>100.91666666666667</v>
      </c>
      <c r="D1228" s="11">
        <f t="shared" si="178"/>
        <v>1023.1187184354238</v>
      </c>
      <c r="E1228" s="24">
        <f t="shared" si="179"/>
        <v>1020.3306313178152</v>
      </c>
      <c r="F1228" s="24">
        <f t="shared" si="172"/>
        <v>69.702177940214938</v>
      </c>
      <c r="G1228" s="14">
        <f t="shared" si="173"/>
        <v>960.68322669614986</v>
      </c>
      <c r="H1228" s="24">
        <f t="shared" si="180"/>
        <v>650</v>
      </c>
      <c r="I1228" s="12">
        <f t="shared" si="174"/>
        <v>0.12665175004540224</v>
      </c>
      <c r="J1228" s="3">
        <f t="shared" si="175"/>
        <v>0.7</v>
      </c>
    </row>
    <row r="1229" spans="2:10" x14ac:dyDescent="0.25">
      <c r="B1229" s="3">
        <f t="shared" si="176"/>
        <v>6060</v>
      </c>
      <c r="C1229" s="14">
        <f t="shared" si="177"/>
        <v>101</v>
      </c>
      <c r="D1229" s="11">
        <f t="shared" si="178"/>
        <v>1023.2422399562338</v>
      </c>
      <c r="E1229" s="24">
        <f t="shared" si="179"/>
        <v>1020.4572830678607</v>
      </c>
      <c r="F1229" s="24">
        <f t="shared" si="172"/>
        <v>69.623922209328271</v>
      </c>
      <c r="G1229" s="14">
        <f t="shared" si="173"/>
        <v>959.88280621513786</v>
      </c>
      <c r="H1229" s="24">
        <f t="shared" si="180"/>
        <v>650</v>
      </c>
      <c r="I1229" s="12">
        <f t="shared" si="174"/>
        <v>0.12654374591465706</v>
      </c>
      <c r="J1229" s="3">
        <f t="shared" si="175"/>
        <v>0.7</v>
      </c>
    </row>
    <row r="1230" spans="2:10" x14ac:dyDescent="0.25">
      <c r="B1230" s="3">
        <f t="shared" si="176"/>
        <v>6065</v>
      </c>
      <c r="C1230" s="14">
        <f t="shared" si="177"/>
        <v>101.08333333333333</v>
      </c>
      <c r="D1230" s="11">
        <f t="shared" si="178"/>
        <v>1023.3656597294864</v>
      </c>
      <c r="E1230" s="24">
        <f t="shared" si="179"/>
        <v>1020.5838268137753</v>
      </c>
      <c r="F1230" s="24">
        <f t="shared" si="172"/>
        <v>69.545822892777664</v>
      </c>
      <c r="G1230" s="14">
        <f t="shared" si="173"/>
        <v>959.08373819122471</v>
      </c>
      <c r="H1230" s="24">
        <f t="shared" si="180"/>
        <v>650</v>
      </c>
      <c r="I1230" s="12">
        <f t="shared" si="174"/>
        <v>0.12643592724966773</v>
      </c>
      <c r="J1230" s="3">
        <f t="shared" si="175"/>
        <v>0.7</v>
      </c>
    </row>
    <row r="1231" spans="2:10" x14ac:dyDescent="0.25">
      <c r="B1231" s="3">
        <f t="shared" si="176"/>
        <v>6070</v>
      </c>
      <c r="C1231" s="14">
        <f t="shared" si="177"/>
        <v>101.16666666666667</v>
      </c>
      <c r="D1231" s="11">
        <f t="shared" si="178"/>
        <v>1023.4889779226673</v>
      </c>
      <c r="E1231" s="24">
        <f t="shared" si="179"/>
        <v>1020.710262741025</v>
      </c>
      <c r="F1231" s="24">
        <f t="shared" si="172"/>
        <v>69.467879541059574</v>
      </c>
      <c r="G1231" s="14">
        <f t="shared" si="173"/>
        <v>958.28601916326033</v>
      </c>
      <c r="H1231" s="24">
        <f t="shared" si="180"/>
        <v>650</v>
      </c>
      <c r="I1231" s="12">
        <f t="shared" si="174"/>
        <v>0.12632829356974887</v>
      </c>
      <c r="J1231" s="3">
        <f t="shared" si="175"/>
        <v>0.7</v>
      </c>
    </row>
    <row r="1232" spans="2:10" x14ac:dyDescent="0.25">
      <c r="B1232" s="3">
        <f t="shared" si="176"/>
        <v>6075</v>
      </c>
      <c r="C1232" s="14">
        <f t="shared" si="177"/>
        <v>101.25</v>
      </c>
      <c r="D1232" s="11">
        <f t="shared" si="178"/>
        <v>1023.6121947028488</v>
      </c>
      <c r="E1232" s="24">
        <f t="shared" si="179"/>
        <v>1020.8365910345947</v>
      </c>
      <c r="F1232" s="24">
        <f t="shared" si="172"/>
        <v>69.390091706353019</v>
      </c>
      <c r="G1232" s="14">
        <f t="shared" si="173"/>
        <v>957.48964568195493</v>
      </c>
      <c r="H1232" s="24">
        <f t="shared" si="180"/>
        <v>650</v>
      </c>
      <c r="I1232" s="12">
        <f t="shared" si="174"/>
        <v>0.12622084439587983</v>
      </c>
      <c r="J1232" s="3">
        <f t="shared" si="175"/>
        <v>0.7</v>
      </c>
    </row>
    <row r="1233" spans="2:10" x14ac:dyDescent="0.25">
      <c r="B1233" s="3">
        <f t="shared" si="176"/>
        <v>6080</v>
      </c>
      <c r="C1233" s="14">
        <f t="shared" si="177"/>
        <v>101.33333333333333</v>
      </c>
      <c r="D1233" s="11">
        <f t="shared" si="178"/>
        <v>1023.7353102366916</v>
      </c>
      <c r="E1233" s="24">
        <f t="shared" si="179"/>
        <v>1020.9628118789906</v>
      </c>
      <c r="F1233" s="24">
        <f t="shared" ref="F1233:F1296" si="181">AlphaC*(D1233-E1233)</f>
        <v>69.312458942525268</v>
      </c>
      <c r="G1233" s="14">
        <f t="shared" ref="G1233:G1296" si="182">Phi*EpsilonF*Botzman/10^8*J1233*((D1233+273)^4-(E1233+273)^4)</f>
        <v>956.69461431020886</v>
      </c>
      <c r="H1233" s="24">
        <f t="shared" si="180"/>
        <v>650</v>
      </c>
      <c r="I1233" s="12">
        <f t="shared" ref="I1233:I1296" si="183">ksh*Massivete/(H1233*RhoA)*DeltaT*(F1233+G1233)</f>
        <v>0.12611357925074582</v>
      </c>
      <c r="J1233" s="3">
        <f t="shared" ref="J1233:J1296" si="184">IF(E1233&lt;=500,IF(Galva=Oui,0.35,0.7),0.7)</f>
        <v>0.7</v>
      </c>
    </row>
    <row r="1234" spans="2:10" x14ac:dyDescent="0.25">
      <c r="B1234" s="3">
        <f t="shared" ref="B1234:B1297" si="185">B1233+DeltaT</f>
        <v>6085</v>
      </c>
      <c r="C1234" s="14">
        <f t="shared" ref="C1234:C1297" si="186">B1234/60</f>
        <v>101.41666666666667</v>
      </c>
      <c r="D1234" s="11">
        <f t="shared" ref="D1234:D1297" si="187">20+345*LOG(8*C1234+1,10)</f>
        <v>1023.8583246904462</v>
      </c>
      <c r="E1234" s="24">
        <f t="shared" si="179"/>
        <v>1021.0889254582413</v>
      </c>
      <c r="F1234" s="24">
        <f t="shared" si="181"/>
        <v>69.234980805123314</v>
      </c>
      <c r="G1234" s="14">
        <f t="shared" si="182"/>
        <v>955.90092162282156</v>
      </c>
      <c r="H1234" s="24">
        <f t="shared" si="180"/>
        <v>650</v>
      </c>
      <c r="I1234" s="12">
        <f t="shared" si="183"/>
        <v>0.12600649765870114</v>
      </c>
      <c r="J1234" s="3">
        <f t="shared" si="184"/>
        <v>0.7</v>
      </c>
    </row>
    <row r="1235" spans="2:10" x14ac:dyDescent="0.25">
      <c r="B1235" s="3">
        <f t="shared" si="185"/>
        <v>6090</v>
      </c>
      <c r="C1235" s="14">
        <f t="shared" si="186"/>
        <v>101.5</v>
      </c>
      <c r="D1235" s="11">
        <f t="shared" si="187"/>
        <v>1023.9812382299533</v>
      </c>
      <c r="E1235" s="24">
        <f t="shared" si="179"/>
        <v>1021.2149319559001</v>
      </c>
      <c r="F1235" s="24">
        <f t="shared" si="181"/>
        <v>69.15765685133124</v>
      </c>
      <c r="G1235" s="14">
        <f t="shared" si="182"/>
        <v>955.10856420558093</v>
      </c>
      <c r="H1235" s="24">
        <f t="shared" si="180"/>
        <v>650</v>
      </c>
      <c r="I1235" s="12">
        <f t="shared" si="183"/>
        <v>0.12589959914565196</v>
      </c>
      <c r="J1235" s="3">
        <f t="shared" si="184"/>
        <v>0.7</v>
      </c>
    </row>
    <row r="1236" spans="2:10" x14ac:dyDescent="0.25">
      <c r="B1236" s="3">
        <f t="shared" si="185"/>
        <v>6095</v>
      </c>
      <c r="C1236" s="14">
        <f t="shared" si="186"/>
        <v>101.58333333333333</v>
      </c>
      <c r="D1236" s="11">
        <f t="shared" si="187"/>
        <v>1024.1040510206462</v>
      </c>
      <c r="E1236" s="24">
        <f t="shared" si="179"/>
        <v>1021.3408315550457</v>
      </c>
      <c r="F1236" s="24">
        <f t="shared" si="181"/>
        <v>69.08048664001285</v>
      </c>
      <c r="G1236" s="14">
        <f t="shared" si="182"/>
        <v>954.3175386568912</v>
      </c>
      <c r="H1236" s="24">
        <f t="shared" si="180"/>
        <v>650</v>
      </c>
      <c r="I1236" s="12">
        <f t="shared" si="183"/>
        <v>0.12579288323926174</v>
      </c>
      <c r="J1236" s="3">
        <f t="shared" si="184"/>
        <v>0.7</v>
      </c>
    </row>
    <row r="1237" spans="2:10" x14ac:dyDescent="0.25">
      <c r="B1237" s="3">
        <f t="shared" si="185"/>
        <v>6100</v>
      </c>
      <c r="C1237" s="14">
        <f t="shared" si="186"/>
        <v>101.66666666666667</v>
      </c>
      <c r="D1237" s="11">
        <f t="shared" si="187"/>
        <v>1024.2267632275521</v>
      </c>
      <c r="E1237" s="24">
        <f t="shared" si="179"/>
        <v>1021.466624438285</v>
      </c>
      <c r="F1237" s="24">
        <f t="shared" si="181"/>
        <v>69.003469731677569</v>
      </c>
      <c r="G1237" s="14">
        <f t="shared" si="182"/>
        <v>953.52784158643578</v>
      </c>
      <c r="H1237" s="24">
        <f t="shared" si="180"/>
        <v>650</v>
      </c>
      <c r="I1237" s="12">
        <f t="shared" si="183"/>
        <v>0.12568634946878254</v>
      </c>
      <c r="J1237" s="3">
        <f t="shared" si="184"/>
        <v>0.7</v>
      </c>
    </row>
    <row r="1238" spans="2:10" x14ac:dyDescent="0.25">
      <c r="B1238" s="3">
        <f t="shared" si="185"/>
        <v>6105</v>
      </c>
      <c r="C1238" s="14">
        <f t="shared" si="186"/>
        <v>101.75</v>
      </c>
      <c r="D1238" s="11">
        <f t="shared" si="187"/>
        <v>1024.349375015292</v>
      </c>
      <c r="E1238" s="24">
        <f t="shared" si="179"/>
        <v>1021.5923107877537</v>
      </c>
      <c r="F1238" s="24">
        <f t="shared" si="181"/>
        <v>68.926605688457698</v>
      </c>
      <c r="G1238" s="14">
        <f t="shared" si="182"/>
        <v>952.73946961529316</v>
      </c>
      <c r="H1238" s="24">
        <f t="shared" si="180"/>
        <v>650</v>
      </c>
      <c r="I1238" s="12">
        <f t="shared" si="183"/>
        <v>0.12557999736506656</v>
      </c>
      <c r="J1238" s="3">
        <f t="shared" si="184"/>
        <v>0.7</v>
      </c>
    </row>
    <row r="1239" spans="2:10" x14ac:dyDescent="0.25">
      <c r="B1239" s="3">
        <f t="shared" si="185"/>
        <v>6110</v>
      </c>
      <c r="C1239" s="14">
        <f t="shared" si="186"/>
        <v>101.83333333333333</v>
      </c>
      <c r="D1239" s="11">
        <f t="shared" si="187"/>
        <v>1024.4718865480836</v>
      </c>
      <c r="E1239" s="24">
        <f t="shared" si="179"/>
        <v>1021.7178907851188</v>
      </c>
      <c r="F1239" s="24">
        <f t="shared" si="181"/>
        <v>68.849894074119788</v>
      </c>
      <c r="G1239" s="14">
        <f t="shared" si="182"/>
        <v>951.95241937624758</v>
      </c>
      <c r="H1239" s="24">
        <f t="shared" si="180"/>
        <v>650</v>
      </c>
      <c r="I1239" s="12">
        <f t="shared" si="183"/>
        <v>0.12547382646060573</v>
      </c>
      <c r="J1239" s="3">
        <f t="shared" si="184"/>
        <v>0.7</v>
      </c>
    </row>
    <row r="1240" spans="2:10" x14ac:dyDescent="0.25">
      <c r="B1240" s="3">
        <f t="shared" si="185"/>
        <v>6115</v>
      </c>
      <c r="C1240" s="14">
        <f t="shared" si="186"/>
        <v>101.91666666666667</v>
      </c>
      <c r="D1240" s="11">
        <f t="shared" si="187"/>
        <v>1024.5942979897427</v>
      </c>
      <c r="E1240" s="24">
        <f t="shared" si="179"/>
        <v>1021.8433646115794</v>
      </c>
      <c r="F1240" s="24">
        <f t="shared" si="181"/>
        <v>68.773334454081692</v>
      </c>
      <c r="G1240" s="14">
        <f t="shared" si="182"/>
        <v>951.16668751380803</v>
      </c>
      <c r="H1240" s="24">
        <f t="shared" si="180"/>
        <v>650</v>
      </c>
      <c r="I1240" s="12">
        <f t="shared" si="183"/>
        <v>0.12536783628953613</v>
      </c>
      <c r="J1240" s="3">
        <f t="shared" si="184"/>
        <v>0.7</v>
      </c>
    </row>
    <row r="1241" spans="2:10" x14ac:dyDescent="0.25">
      <c r="B1241" s="3">
        <f t="shared" si="185"/>
        <v>6120</v>
      </c>
      <c r="C1241" s="14">
        <f t="shared" si="186"/>
        <v>102</v>
      </c>
      <c r="D1241" s="11">
        <f t="shared" si="187"/>
        <v>1024.7166095036832</v>
      </c>
      <c r="E1241" s="24">
        <f t="shared" si="179"/>
        <v>1021.968732447869</v>
      </c>
      <c r="F1241" s="24">
        <f t="shared" si="181"/>
        <v>68.696926395355717</v>
      </c>
      <c r="G1241" s="14">
        <f t="shared" si="182"/>
        <v>950.38227068370418</v>
      </c>
      <c r="H1241" s="24">
        <f t="shared" si="180"/>
        <v>650</v>
      </c>
      <c r="I1241" s="12">
        <f t="shared" si="183"/>
        <v>0.125262026387569</v>
      </c>
      <c r="J1241" s="3">
        <f t="shared" si="184"/>
        <v>0.7</v>
      </c>
    </row>
    <row r="1242" spans="2:10" x14ac:dyDescent="0.25">
      <c r="B1242" s="3">
        <f t="shared" si="185"/>
        <v>6125</v>
      </c>
      <c r="C1242" s="14">
        <f t="shared" si="186"/>
        <v>102.08333333333333</v>
      </c>
      <c r="D1242" s="11">
        <f t="shared" si="187"/>
        <v>1024.8388212529194</v>
      </c>
      <c r="E1242" s="24">
        <f t="shared" si="179"/>
        <v>1022.0939944742565</v>
      </c>
      <c r="F1242" s="24">
        <f t="shared" si="181"/>
        <v>68.620669466571371</v>
      </c>
      <c r="G1242" s="14">
        <f t="shared" si="182"/>
        <v>949.59916555304221</v>
      </c>
      <c r="H1242" s="24">
        <f t="shared" si="180"/>
        <v>650</v>
      </c>
      <c r="I1242" s="12">
        <f t="shared" si="183"/>
        <v>0.12515639629201275</v>
      </c>
      <c r="J1242" s="3">
        <f t="shared" si="184"/>
        <v>0.7</v>
      </c>
    </row>
    <row r="1243" spans="2:10" x14ac:dyDescent="0.25">
      <c r="B1243" s="3">
        <f t="shared" si="185"/>
        <v>6130</v>
      </c>
      <c r="C1243" s="14">
        <f t="shared" si="186"/>
        <v>102.16666666666667</v>
      </c>
      <c r="D1243" s="11">
        <f t="shared" si="187"/>
        <v>1024.960933400067</v>
      </c>
      <c r="E1243" s="24">
        <f t="shared" si="179"/>
        <v>1022.2191508705486</v>
      </c>
      <c r="F1243" s="24">
        <f t="shared" si="181"/>
        <v>68.544563237961142</v>
      </c>
      <c r="G1243" s="14">
        <f t="shared" si="182"/>
        <v>948.81736880038136</v>
      </c>
      <c r="H1243" s="24">
        <f t="shared" si="180"/>
        <v>650</v>
      </c>
      <c r="I1243" s="12">
        <f t="shared" si="183"/>
        <v>0.12505094554178062</v>
      </c>
      <c r="J1243" s="3">
        <f t="shared" si="184"/>
        <v>0.7</v>
      </c>
    </row>
    <row r="1244" spans="2:10" x14ac:dyDescent="0.25">
      <c r="B1244" s="3">
        <f t="shared" si="185"/>
        <v>6135</v>
      </c>
      <c r="C1244" s="14">
        <f t="shared" si="186"/>
        <v>102.25</v>
      </c>
      <c r="D1244" s="11">
        <f t="shared" si="187"/>
        <v>1025.0829461073442</v>
      </c>
      <c r="E1244" s="24">
        <f t="shared" si="179"/>
        <v>1022.3442018160904</v>
      </c>
      <c r="F1244" s="24">
        <f t="shared" si="181"/>
        <v>68.468607281346294</v>
      </c>
      <c r="G1244" s="14">
        <f t="shared" si="182"/>
        <v>948.03687711552141</v>
      </c>
      <c r="H1244" s="24">
        <f t="shared" si="180"/>
        <v>650</v>
      </c>
      <c r="I1244" s="12">
        <f t="shared" si="183"/>
        <v>0.12494567367736274</v>
      </c>
      <c r="J1244" s="3">
        <f t="shared" si="184"/>
        <v>0.7</v>
      </c>
    </row>
    <row r="1245" spans="2:10" x14ac:dyDescent="0.25">
      <c r="B1245" s="3">
        <f t="shared" si="185"/>
        <v>6140</v>
      </c>
      <c r="C1245" s="14">
        <f t="shared" si="186"/>
        <v>102.33333333333333</v>
      </c>
      <c r="D1245" s="11">
        <f t="shared" si="187"/>
        <v>1025.2048595365738</v>
      </c>
      <c r="E1245" s="24">
        <f t="shared" si="179"/>
        <v>1022.4691474897678</v>
      </c>
      <c r="F1245" s="24">
        <f t="shared" si="181"/>
        <v>68.392801170151074</v>
      </c>
      <c r="G1245" s="14">
        <f t="shared" si="182"/>
        <v>947.25768719967687</v>
      </c>
      <c r="H1245" s="24">
        <f t="shared" si="180"/>
        <v>650</v>
      </c>
      <c r="I1245" s="12">
        <f t="shared" si="183"/>
        <v>0.12484058024084937</v>
      </c>
      <c r="J1245" s="3">
        <f t="shared" si="184"/>
        <v>0.7</v>
      </c>
    </row>
    <row r="1246" spans="2:10" x14ac:dyDescent="0.25">
      <c r="B1246" s="3">
        <f t="shared" si="185"/>
        <v>6145</v>
      </c>
      <c r="C1246" s="14">
        <f t="shared" si="186"/>
        <v>102.41666666666667</v>
      </c>
      <c r="D1246" s="11">
        <f t="shared" si="187"/>
        <v>1025.3266738491832</v>
      </c>
      <c r="E1246" s="24">
        <f t="shared" si="179"/>
        <v>1022.5939880700087</v>
      </c>
      <c r="F1246" s="24">
        <f t="shared" si="181"/>
        <v>68.317144479362923</v>
      </c>
      <c r="G1246" s="14">
        <f t="shared" si="182"/>
        <v>946.4797957648567</v>
      </c>
      <c r="H1246" s="24">
        <f t="shared" si="180"/>
        <v>650</v>
      </c>
      <c r="I1246" s="12">
        <f t="shared" si="183"/>
        <v>0.12473566477584973</v>
      </c>
      <c r="J1246" s="3">
        <f t="shared" si="184"/>
        <v>0.7</v>
      </c>
    </row>
    <row r="1247" spans="2:10" x14ac:dyDescent="0.25">
      <c r="B1247" s="3">
        <f t="shared" si="185"/>
        <v>6150</v>
      </c>
      <c r="C1247" s="14">
        <f t="shared" si="186"/>
        <v>102.5</v>
      </c>
      <c r="D1247" s="11">
        <f t="shared" si="187"/>
        <v>1025.4483892062069</v>
      </c>
      <c r="E1247" s="24">
        <f t="shared" si="179"/>
        <v>1022.7187237347845</v>
      </c>
      <c r="F1247" s="24">
        <f t="shared" si="181"/>
        <v>68.2416367855609</v>
      </c>
      <c r="G1247" s="14">
        <f t="shared" si="182"/>
        <v>945.70319953483374</v>
      </c>
      <c r="H1247" s="24">
        <f t="shared" si="180"/>
        <v>650</v>
      </c>
      <c r="I1247" s="12">
        <f t="shared" si="183"/>
        <v>0.12463092682761465</v>
      </c>
      <c r="J1247" s="3">
        <f t="shared" si="184"/>
        <v>0.7</v>
      </c>
    </row>
    <row r="1248" spans="2:10" x14ac:dyDescent="0.25">
      <c r="B1248" s="3">
        <f t="shared" si="185"/>
        <v>6155</v>
      </c>
      <c r="C1248" s="14">
        <f t="shared" si="186"/>
        <v>102.58333333333333</v>
      </c>
      <c r="D1248" s="11">
        <f t="shared" si="187"/>
        <v>1025.570005768287</v>
      </c>
      <c r="E1248" s="24">
        <f t="shared" si="179"/>
        <v>1022.8433546616121</v>
      </c>
      <c r="F1248" s="24">
        <f t="shared" si="181"/>
        <v>68.166277666873043</v>
      </c>
      <c r="G1248" s="14">
        <f t="shared" si="182"/>
        <v>944.92789524396198</v>
      </c>
      <c r="H1248" s="24">
        <f t="shared" si="180"/>
        <v>650</v>
      </c>
      <c r="I1248" s="12">
        <f t="shared" si="183"/>
        <v>0.12452636594288595</v>
      </c>
      <c r="J1248" s="3">
        <f t="shared" si="184"/>
        <v>0.7</v>
      </c>
    </row>
    <row r="1249" spans="2:10" x14ac:dyDescent="0.25">
      <c r="B1249" s="3">
        <f t="shared" si="185"/>
        <v>6160</v>
      </c>
      <c r="C1249" s="14">
        <f t="shared" si="186"/>
        <v>102.66666666666667</v>
      </c>
      <c r="D1249" s="11">
        <f t="shared" si="187"/>
        <v>1025.6915236956752</v>
      </c>
      <c r="E1249" s="24">
        <f t="shared" si="179"/>
        <v>1022.967881027555</v>
      </c>
      <c r="F1249" s="24">
        <f t="shared" si="181"/>
        <v>68.091066703004799</v>
      </c>
      <c r="G1249" s="14">
        <f t="shared" si="182"/>
        <v>944.15387963801027</v>
      </c>
      <c r="H1249" s="24">
        <f t="shared" si="180"/>
        <v>650</v>
      </c>
      <c r="I1249" s="12">
        <f t="shared" si="183"/>
        <v>0.12442198167000244</v>
      </c>
      <c r="J1249" s="3">
        <f t="shared" si="184"/>
        <v>0.7</v>
      </c>
    </row>
    <row r="1250" spans="2:10" x14ac:dyDescent="0.25">
      <c r="B1250" s="3">
        <f t="shared" si="185"/>
        <v>6165</v>
      </c>
      <c r="C1250" s="14">
        <f t="shared" si="186"/>
        <v>102.75</v>
      </c>
      <c r="D1250" s="11">
        <f t="shared" si="187"/>
        <v>1025.812943148233</v>
      </c>
      <c r="E1250" s="24">
        <f t="shared" si="179"/>
        <v>1023.092303009225</v>
      </c>
      <c r="F1250" s="24">
        <f t="shared" si="181"/>
        <v>68.016003475199227</v>
      </c>
      <c r="G1250" s="14">
        <f t="shared" si="182"/>
        <v>943.38114947367774</v>
      </c>
      <c r="H1250" s="24">
        <f t="shared" si="180"/>
        <v>650</v>
      </c>
      <c r="I1250" s="12">
        <f t="shared" si="183"/>
        <v>0.12431777355883541</v>
      </c>
      <c r="J1250" s="3">
        <f t="shared" si="184"/>
        <v>0.7</v>
      </c>
    </row>
    <row r="1251" spans="2:10" x14ac:dyDescent="0.25">
      <c r="B1251" s="3">
        <f t="shared" si="185"/>
        <v>6170</v>
      </c>
      <c r="C1251" s="14">
        <f t="shared" si="186"/>
        <v>102.83333333333333</v>
      </c>
      <c r="D1251" s="11">
        <f t="shared" si="187"/>
        <v>1025.9342642854338</v>
      </c>
      <c r="E1251" s="24">
        <f t="shared" si="179"/>
        <v>1023.2166207827838</v>
      </c>
      <c r="F1251" s="24">
        <f t="shared" si="181"/>
        <v>67.94108756624837</v>
      </c>
      <c r="G1251" s="14">
        <f t="shared" si="182"/>
        <v>942.60970151836113</v>
      </c>
      <c r="H1251" s="24">
        <f t="shared" si="180"/>
        <v>650</v>
      </c>
      <c r="I1251" s="12">
        <f t="shared" si="183"/>
        <v>0.12421374116076153</v>
      </c>
      <c r="J1251" s="3">
        <f t="shared" si="184"/>
        <v>0.7</v>
      </c>
    </row>
    <row r="1252" spans="2:10" x14ac:dyDescent="0.25">
      <c r="B1252" s="3">
        <f t="shared" si="185"/>
        <v>6175</v>
      </c>
      <c r="C1252" s="14">
        <f t="shared" si="186"/>
        <v>102.91666666666667</v>
      </c>
      <c r="D1252" s="11">
        <f t="shared" si="187"/>
        <v>1026.0554872663638</v>
      </c>
      <c r="E1252" s="24">
        <f t="shared" si="179"/>
        <v>1023.3408345239446</v>
      </c>
      <c r="F1252" s="24">
        <f t="shared" si="181"/>
        <v>67.866318560479044</v>
      </c>
      <c r="G1252" s="14">
        <f t="shared" si="182"/>
        <v>941.83953255073629</v>
      </c>
      <c r="H1252" s="24">
        <f t="shared" si="180"/>
        <v>650</v>
      </c>
      <c r="I1252" s="12">
        <f t="shared" si="183"/>
        <v>0.12410988402873241</v>
      </c>
      <c r="J1252" s="3">
        <f t="shared" si="184"/>
        <v>0.7</v>
      </c>
    </row>
    <row r="1253" spans="2:10" x14ac:dyDescent="0.25">
      <c r="B1253" s="3">
        <f t="shared" si="185"/>
        <v>6180</v>
      </c>
      <c r="C1253" s="14">
        <f t="shared" si="186"/>
        <v>103</v>
      </c>
      <c r="D1253" s="11">
        <f t="shared" si="187"/>
        <v>1026.176612249724</v>
      </c>
      <c r="E1253" s="24">
        <f t="shared" si="179"/>
        <v>1023.4649444079733</v>
      </c>
      <c r="F1253" s="24">
        <f t="shared" si="181"/>
        <v>67.791696043767047</v>
      </c>
      <c r="G1253" s="14">
        <f t="shared" si="182"/>
        <v>941.07063936033194</v>
      </c>
      <c r="H1253" s="24">
        <f t="shared" si="180"/>
        <v>650</v>
      </c>
      <c r="I1253" s="12">
        <f t="shared" si="183"/>
        <v>0.12400620171722415</v>
      </c>
      <c r="J1253" s="3">
        <f t="shared" si="184"/>
        <v>0.7</v>
      </c>
    </row>
    <row r="1254" spans="2:10" x14ac:dyDescent="0.25">
      <c r="B1254" s="3">
        <f t="shared" si="185"/>
        <v>6185</v>
      </c>
      <c r="C1254" s="14">
        <f t="shared" si="186"/>
        <v>103.08333333333333</v>
      </c>
      <c r="D1254" s="11">
        <f t="shared" si="187"/>
        <v>1026.2976393938302</v>
      </c>
      <c r="E1254" s="24">
        <f t="shared" si="179"/>
        <v>1023.5889506096905</v>
      </c>
      <c r="F1254" s="24">
        <f t="shared" si="181"/>
        <v>67.717219603491685</v>
      </c>
      <c r="G1254" s="14">
        <f t="shared" si="182"/>
        <v>940.30301874725797</v>
      </c>
      <c r="H1254" s="24">
        <f t="shared" si="180"/>
        <v>650</v>
      </c>
      <c r="I1254" s="12">
        <f t="shared" si="183"/>
        <v>0.12390269378219822</v>
      </c>
      <c r="J1254" s="3">
        <f t="shared" si="184"/>
        <v>0.7</v>
      </c>
    </row>
    <row r="1255" spans="2:10" x14ac:dyDescent="0.25">
      <c r="B1255" s="3">
        <f t="shared" si="185"/>
        <v>6190</v>
      </c>
      <c r="C1255" s="14">
        <f t="shared" si="186"/>
        <v>103.16666666666667</v>
      </c>
      <c r="D1255" s="11">
        <f t="shared" si="187"/>
        <v>1026.4185688566147</v>
      </c>
      <c r="E1255" s="24">
        <f t="shared" si="179"/>
        <v>1023.7128533034727</v>
      </c>
      <c r="F1255" s="24">
        <f t="shared" si="181"/>
        <v>67.642888828549985</v>
      </c>
      <c r="G1255" s="14">
        <f t="shared" si="182"/>
        <v>939.53666752251604</v>
      </c>
      <c r="H1255" s="24">
        <f t="shared" si="180"/>
        <v>650</v>
      </c>
      <c r="I1255" s="12">
        <f t="shared" si="183"/>
        <v>0.12379935978114143</v>
      </c>
      <c r="J1255" s="3">
        <f t="shared" si="184"/>
        <v>0.7</v>
      </c>
    </row>
    <row r="1256" spans="2:10" x14ac:dyDescent="0.25">
      <c r="B1256" s="3">
        <f t="shared" si="185"/>
        <v>6195</v>
      </c>
      <c r="C1256" s="14">
        <f t="shared" si="186"/>
        <v>103.25</v>
      </c>
      <c r="D1256" s="11">
        <f t="shared" si="187"/>
        <v>1026.5394007956284</v>
      </c>
      <c r="E1256" s="24">
        <f t="shared" si="179"/>
        <v>1023.8366526632539</v>
      </c>
      <c r="F1256" s="24">
        <f t="shared" si="181"/>
        <v>67.568703309362377</v>
      </c>
      <c r="G1256" s="14">
        <f t="shared" si="182"/>
        <v>938.77158250797982</v>
      </c>
      <c r="H1256" s="24">
        <f t="shared" si="180"/>
        <v>650</v>
      </c>
      <c r="I1256" s="12">
        <f t="shared" si="183"/>
        <v>0.12369619927306419</v>
      </c>
      <c r="J1256" s="3">
        <f t="shared" si="184"/>
        <v>0.7</v>
      </c>
    </row>
    <row r="1257" spans="2:10" x14ac:dyDescent="0.25">
      <c r="B1257" s="3">
        <f t="shared" si="185"/>
        <v>6200</v>
      </c>
      <c r="C1257" s="14">
        <f t="shared" si="186"/>
        <v>103.33333333333333</v>
      </c>
      <c r="D1257" s="11">
        <f t="shared" si="187"/>
        <v>1026.660135368041</v>
      </c>
      <c r="E1257" s="24">
        <f t="shared" si="179"/>
        <v>1023.9603488625269</v>
      </c>
      <c r="F1257" s="24">
        <f t="shared" si="181"/>
        <v>67.494662637852798</v>
      </c>
      <c r="G1257" s="14">
        <f t="shared" si="182"/>
        <v>938.00776053627851</v>
      </c>
      <c r="H1257" s="24">
        <f t="shared" si="180"/>
        <v>650</v>
      </c>
      <c r="I1257" s="12">
        <f t="shared" si="183"/>
        <v>0.12359321181848376</v>
      </c>
      <c r="J1257" s="3">
        <f t="shared" si="184"/>
        <v>0.7</v>
      </c>
    </row>
    <row r="1258" spans="2:10" x14ac:dyDescent="0.25">
      <c r="B1258" s="3">
        <f t="shared" si="185"/>
        <v>6205</v>
      </c>
      <c r="C1258" s="14">
        <f t="shared" si="186"/>
        <v>103.41666666666667</v>
      </c>
      <c r="D1258" s="11">
        <f t="shared" si="187"/>
        <v>1026.7807727306424</v>
      </c>
      <c r="E1258" s="24">
        <f t="shared" si="179"/>
        <v>1024.0839420743453</v>
      </c>
      <c r="F1258" s="24">
        <f t="shared" si="181"/>
        <v>67.4207664074288</v>
      </c>
      <c r="G1258" s="14">
        <f t="shared" si="182"/>
        <v>937.24519845035195</v>
      </c>
      <c r="H1258" s="24">
        <f t="shared" si="180"/>
        <v>650</v>
      </c>
      <c r="I1258" s="12">
        <f t="shared" si="183"/>
        <v>0.12349039697936712</v>
      </c>
      <c r="J1258" s="3">
        <f t="shared" si="184"/>
        <v>0.7</v>
      </c>
    </row>
    <row r="1259" spans="2:10" x14ac:dyDescent="0.25">
      <c r="B1259" s="3">
        <f t="shared" si="185"/>
        <v>6210</v>
      </c>
      <c r="C1259" s="14">
        <f t="shared" si="186"/>
        <v>103.5</v>
      </c>
      <c r="D1259" s="11">
        <f t="shared" si="187"/>
        <v>1026.9013130398444</v>
      </c>
      <c r="E1259" s="24">
        <f t="shared" si="179"/>
        <v>1024.2074324713246</v>
      </c>
      <c r="F1259" s="24">
        <f t="shared" si="181"/>
        <v>67.347014212992917</v>
      </c>
      <c r="G1259" s="14">
        <f t="shared" si="182"/>
        <v>936.48389310391485</v>
      </c>
      <c r="H1259" s="24">
        <f t="shared" si="180"/>
        <v>650</v>
      </c>
      <c r="I1259" s="12">
        <f t="shared" si="183"/>
        <v>0.12338775431918939</v>
      </c>
      <c r="J1259" s="3">
        <f t="shared" si="184"/>
        <v>0.7</v>
      </c>
    </row>
    <row r="1260" spans="2:10" x14ac:dyDescent="0.25">
      <c r="B1260" s="3">
        <f t="shared" si="185"/>
        <v>6215</v>
      </c>
      <c r="C1260" s="14">
        <f t="shared" si="186"/>
        <v>103.58333333333333</v>
      </c>
      <c r="D1260" s="11">
        <f t="shared" si="187"/>
        <v>1027.0217564516811</v>
      </c>
      <c r="E1260" s="24">
        <f t="shared" si="179"/>
        <v>1024.3308202256437</v>
      </c>
      <c r="F1260" s="24">
        <f t="shared" si="181"/>
        <v>67.273405650934137</v>
      </c>
      <c r="G1260" s="14">
        <f t="shared" si="182"/>
        <v>935.72384136128278</v>
      </c>
      <c r="H1260" s="24">
        <f t="shared" si="180"/>
        <v>650</v>
      </c>
      <c r="I1260" s="12">
        <f t="shared" si="183"/>
        <v>0.12328528340291148</v>
      </c>
      <c r="J1260" s="3">
        <f t="shared" si="184"/>
        <v>0.7</v>
      </c>
    </row>
    <row r="1261" spans="2:10" x14ac:dyDescent="0.25">
      <c r="B1261" s="3">
        <f t="shared" si="185"/>
        <v>6220</v>
      </c>
      <c r="C1261" s="14">
        <f t="shared" si="186"/>
        <v>103.66666666666667</v>
      </c>
      <c r="D1261" s="11">
        <f t="shared" si="187"/>
        <v>1027.142103121811</v>
      </c>
      <c r="E1261" s="24">
        <f t="shared" si="179"/>
        <v>1024.4541055090467</v>
      </c>
      <c r="F1261" s="24">
        <f t="shared" si="181"/>
        <v>67.199940319108009</v>
      </c>
      <c r="G1261" s="14">
        <f t="shared" si="182"/>
        <v>934.96504009719774</v>
      </c>
      <c r="H1261" s="24">
        <f t="shared" si="180"/>
        <v>650</v>
      </c>
      <c r="I1261" s="12">
        <f t="shared" si="183"/>
        <v>0.12318298379695609</v>
      </c>
      <c r="J1261" s="3">
        <f t="shared" si="184"/>
        <v>0.7</v>
      </c>
    </row>
    <row r="1262" spans="2:10" x14ac:dyDescent="0.25">
      <c r="B1262" s="3">
        <f t="shared" si="185"/>
        <v>6225</v>
      </c>
      <c r="C1262" s="14">
        <f t="shared" si="186"/>
        <v>103.75</v>
      </c>
      <c r="D1262" s="11">
        <f t="shared" si="187"/>
        <v>1027.2623532055181</v>
      </c>
      <c r="E1262" s="24">
        <f t="shared" si="179"/>
        <v>1024.5772884928438</v>
      </c>
      <c r="F1262" s="24">
        <f t="shared" si="181"/>
        <v>67.12661781685938</v>
      </c>
      <c r="G1262" s="14">
        <f t="shared" si="182"/>
        <v>934.20748619698304</v>
      </c>
      <c r="H1262" s="24">
        <f t="shared" si="180"/>
        <v>650</v>
      </c>
      <c r="I1262" s="12">
        <f t="shared" si="183"/>
        <v>0.12308085506922965</v>
      </c>
      <c r="J1262" s="3">
        <f t="shared" si="184"/>
        <v>0.7</v>
      </c>
    </row>
    <row r="1263" spans="2:10" x14ac:dyDescent="0.25">
      <c r="B1263" s="3">
        <f t="shared" si="185"/>
        <v>6230</v>
      </c>
      <c r="C1263" s="14">
        <f t="shared" si="186"/>
        <v>103.83333333333333</v>
      </c>
      <c r="D1263" s="11">
        <f t="shared" si="187"/>
        <v>1027.3825068577123</v>
      </c>
      <c r="E1263" s="24">
        <f t="shared" si="179"/>
        <v>1024.700369347913</v>
      </c>
      <c r="F1263" s="24">
        <f t="shared" si="181"/>
        <v>67.053437744982602</v>
      </c>
      <c r="G1263" s="14">
        <f t="shared" si="182"/>
        <v>933.45117655642719</v>
      </c>
      <c r="H1263" s="24">
        <f t="shared" si="180"/>
        <v>650</v>
      </c>
      <c r="I1263" s="12">
        <f t="shared" si="183"/>
        <v>0.12297889678910306</v>
      </c>
      <c r="J1263" s="3">
        <f t="shared" si="184"/>
        <v>0.7</v>
      </c>
    </row>
    <row r="1264" spans="2:10" x14ac:dyDescent="0.25">
      <c r="B1264" s="3">
        <f t="shared" si="185"/>
        <v>6235</v>
      </c>
      <c r="C1264" s="14">
        <f t="shared" si="186"/>
        <v>103.91666666666667</v>
      </c>
      <c r="D1264" s="11">
        <f t="shared" si="187"/>
        <v>1027.5025642329315</v>
      </c>
      <c r="E1264" s="24">
        <f t="shared" si="179"/>
        <v>1024.8233482447022</v>
      </c>
      <c r="F1264" s="24">
        <f t="shared" si="181"/>
        <v>66.980399705732907</v>
      </c>
      <c r="G1264" s="14">
        <f t="shared" si="182"/>
        <v>932.69610808157063</v>
      </c>
      <c r="H1264" s="24">
        <f t="shared" si="180"/>
        <v>650</v>
      </c>
      <c r="I1264" s="12">
        <f t="shared" si="183"/>
        <v>0.12287710852738699</v>
      </c>
      <c r="J1264" s="3">
        <f t="shared" si="184"/>
        <v>0.7</v>
      </c>
    </row>
    <row r="1265" spans="2:10" x14ac:dyDescent="0.25">
      <c r="B1265" s="3">
        <f t="shared" si="185"/>
        <v>6240</v>
      </c>
      <c r="C1265" s="14">
        <f t="shared" si="186"/>
        <v>104</v>
      </c>
      <c r="D1265" s="11">
        <f t="shared" si="187"/>
        <v>1027.6225254853416</v>
      </c>
      <c r="E1265" s="24">
        <f t="shared" si="179"/>
        <v>1024.9462253532295</v>
      </c>
      <c r="F1265" s="24">
        <f t="shared" si="181"/>
        <v>66.907503302803661</v>
      </c>
      <c r="G1265" s="14">
        <f t="shared" si="182"/>
        <v>931.94227768872531</v>
      </c>
      <c r="H1265" s="24">
        <f t="shared" si="180"/>
        <v>650</v>
      </c>
      <c r="I1265" s="12">
        <f t="shared" si="183"/>
        <v>0.12277548985633135</v>
      </c>
      <c r="J1265" s="3">
        <f t="shared" si="184"/>
        <v>0.7</v>
      </c>
    </row>
    <row r="1266" spans="2:10" x14ac:dyDescent="0.25">
      <c r="B1266" s="3">
        <f t="shared" si="185"/>
        <v>6245</v>
      </c>
      <c r="C1266" s="14">
        <f t="shared" si="186"/>
        <v>104.08333333333333</v>
      </c>
      <c r="D1266" s="11">
        <f t="shared" si="187"/>
        <v>1027.7423907687398</v>
      </c>
      <c r="E1266" s="24">
        <f t="shared" si="179"/>
        <v>1025.0690008430859</v>
      </c>
      <c r="F1266" s="24">
        <f t="shared" si="181"/>
        <v>66.83474814134911</v>
      </c>
      <c r="G1266" s="14">
        <f t="shared" si="182"/>
        <v>931.18968230470671</v>
      </c>
      <c r="H1266" s="24">
        <f t="shared" si="180"/>
        <v>650</v>
      </c>
      <c r="I1266" s="12">
        <f t="shared" si="183"/>
        <v>0.12267404034965672</v>
      </c>
      <c r="J1266" s="3">
        <f t="shared" si="184"/>
        <v>0.7</v>
      </c>
    </row>
    <row r="1267" spans="2:10" x14ac:dyDescent="0.25">
      <c r="B1267" s="3">
        <f t="shared" si="185"/>
        <v>6250</v>
      </c>
      <c r="C1267" s="14">
        <f t="shared" si="186"/>
        <v>104.16666666666667</v>
      </c>
      <c r="D1267" s="11">
        <f t="shared" si="187"/>
        <v>1027.8621602365533</v>
      </c>
      <c r="E1267" s="24">
        <f t="shared" si="179"/>
        <v>1025.1916748834356</v>
      </c>
      <c r="F1267" s="24">
        <f t="shared" si="181"/>
        <v>66.762133827944581</v>
      </c>
      <c r="G1267" s="14">
        <f t="shared" si="182"/>
        <v>930.43831886635019</v>
      </c>
      <c r="H1267" s="24">
        <f t="shared" si="180"/>
        <v>650</v>
      </c>
      <c r="I1267" s="12">
        <f t="shared" si="183"/>
        <v>0.12257275958248995</v>
      </c>
      <c r="J1267" s="3">
        <f t="shared" si="184"/>
        <v>0.7</v>
      </c>
    </row>
    <row r="1268" spans="2:10" x14ac:dyDescent="0.25">
      <c r="B1268" s="3">
        <f t="shared" si="185"/>
        <v>6255</v>
      </c>
      <c r="C1268" s="14">
        <f t="shared" si="186"/>
        <v>104.25</v>
      </c>
      <c r="D1268" s="11">
        <f t="shared" si="187"/>
        <v>1027.9818340418426</v>
      </c>
      <c r="E1268" s="24">
        <f t="shared" ref="E1268:E1331" si="188">E1267+I1267</f>
        <v>1025.314247643018</v>
      </c>
      <c r="F1268" s="24">
        <f t="shared" si="181"/>
        <v>66.689659970614912</v>
      </c>
      <c r="G1268" s="14">
        <f t="shared" si="182"/>
        <v>929.68818432107207</v>
      </c>
      <c r="H1268" s="24">
        <f t="shared" ref="H1268:H1331" si="189">IF(E1268&lt;600,425+0.773*E1268-1.69/1000*E1268^2+2.22/1000^2*E1268^3,IF(E1268&lt;735,666+13002/(738-E1268),IF(E1268&lt;900,545+17820/(E1268-731),650)))</f>
        <v>650</v>
      </c>
      <c r="I1268" s="12">
        <f t="shared" si="183"/>
        <v>0.12247164713143664</v>
      </c>
      <c r="J1268" s="3">
        <f t="shared" si="184"/>
        <v>0.7</v>
      </c>
    </row>
    <row r="1269" spans="2:10" x14ac:dyDescent="0.25">
      <c r="B1269" s="3">
        <f t="shared" si="185"/>
        <v>6260</v>
      </c>
      <c r="C1269" s="14">
        <f t="shared" si="186"/>
        <v>104.33333333333333</v>
      </c>
      <c r="D1269" s="11">
        <f t="shared" si="187"/>
        <v>1028.1014123373011</v>
      </c>
      <c r="E1269" s="24">
        <f t="shared" si="188"/>
        <v>1025.4367192901495</v>
      </c>
      <c r="F1269" s="24">
        <f t="shared" si="181"/>
        <v>66.617326178788971</v>
      </c>
      <c r="G1269" s="14">
        <f t="shared" si="182"/>
        <v>928.93927562595957</v>
      </c>
      <c r="H1269" s="24">
        <f t="shared" si="189"/>
        <v>650</v>
      </c>
      <c r="I1269" s="12">
        <f t="shared" si="183"/>
        <v>0.12237070257446371</v>
      </c>
      <c r="J1269" s="3">
        <f t="shared" si="184"/>
        <v>0.7</v>
      </c>
    </row>
    <row r="1270" spans="2:10" x14ac:dyDescent="0.25">
      <c r="B1270" s="3">
        <f t="shared" si="185"/>
        <v>6265</v>
      </c>
      <c r="C1270" s="14">
        <f t="shared" si="186"/>
        <v>104.41666666666667</v>
      </c>
      <c r="D1270" s="11">
        <f t="shared" si="187"/>
        <v>1028.2208952752571</v>
      </c>
      <c r="E1270" s="24">
        <f t="shared" si="188"/>
        <v>1025.559089992724</v>
      </c>
      <c r="F1270" s="24">
        <f t="shared" si="181"/>
        <v>66.545132063328083</v>
      </c>
      <c r="G1270" s="14">
        <f t="shared" si="182"/>
        <v>928.19158974860352</v>
      </c>
      <c r="H1270" s="24">
        <f t="shared" si="189"/>
        <v>650</v>
      </c>
      <c r="I1270" s="12">
        <f t="shared" si="183"/>
        <v>0.1222699254910052</v>
      </c>
      <c r="J1270" s="3">
        <f t="shared" si="184"/>
        <v>0.7</v>
      </c>
    </row>
    <row r="1271" spans="2:10" x14ac:dyDescent="0.25">
      <c r="B1271" s="3">
        <f t="shared" si="185"/>
        <v>6270</v>
      </c>
      <c r="C1271" s="14">
        <f t="shared" si="186"/>
        <v>104.5</v>
      </c>
      <c r="D1271" s="11">
        <f t="shared" si="187"/>
        <v>1028.3402830076745</v>
      </c>
      <c r="E1271" s="24">
        <f t="shared" si="188"/>
        <v>1025.6813599182151</v>
      </c>
      <c r="F1271" s="24">
        <f t="shared" si="181"/>
        <v>66.473077236486233</v>
      </c>
      <c r="G1271" s="14">
        <f t="shared" si="182"/>
        <v>927.44512366638185</v>
      </c>
      <c r="H1271" s="24">
        <f t="shared" si="189"/>
        <v>650</v>
      </c>
      <c r="I1271" s="12">
        <f t="shared" si="183"/>
        <v>0.12216931546186932</v>
      </c>
      <c r="J1271" s="3">
        <f t="shared" si="184"/>
        <v>0.7</v>
      </c>
    </row>
    <row r="1272" spans="2:10" x14ac:dyDescent="0.25">
      <c r="B1272" s="3">
        <f t="shared" si="185"/>
        <v>6275</v>
      </c>
      <c r="C1272" s="14">
        <f t="shared" si="186"/>
        <v>104.58333333333333</v>
      </c>
      <c r="D1272" s="11">
        <f t="shared" si="187"/>
        <v>1028.4595756861549</v>
      </c>
      <c r="E1272" s="24">
        <f t="shared" si="188"/>
        <v>1025.803529233677</v>
      </c>
      <c r="F1272" s="24">
        <f t="shared" si="181"/>
        <v>66.401161311949863</v>
      </c>
      <c r="G1272" s="14">
        <f t="shared" si="182"/>
        <v>926.6998743670988</v>
      </c>
      <c r="H1272" s="24">
        <f t="shared" si="189"/>
        <v>650</v>
      </c>
      <c r="I1272" s="12">
        <f t="shared" si="183"/>
        <v>0.12206887206932195</v>
      </c>
      <c r="J1272" s="3">
        <f t="shared" si="184"/>
        <v>0.7</v>
      </c>
    </row>
    <row r="1273" spans="2:10" x14ac:dyDescent="0.25">
      <c r="B1273" s="3">
        <f t="shared" si="185"/>
        <v>6280</v>
      </c>
      <c r="C1273" s="14">
        <f t="shared" si="186"/>
        <v>104.66666666666667</v>
      </c>
      <c r="D1273" s="11">
        <f t="shared" si="187"/>
        <v>1028.5787734619378</v>
      </c>
      <c r="E1273" s="24">
        <f t="shared" si="188"/>
        <v>1025.9255981057463</v>
      </c>
      <c r="F1273" s="24">
        <f t="shared" si="181"/>
        <v>66.32938390478671</v>
      </c>
      <c r="G1273" s="14">
        <f t="shared" si="182"/>
        <v>925.95583884822895</v>
      </c>
      <c r="H1273" s="24">
        <f t="shared" si="189"/>
        <v>650</v>
      </c>
      <c r="I1273" s="12">
        <f t="shared" si="183"/>
        <v>0.12196859489698739</v>
      </c>
      <c r="J1273" s="3">
        <f t="shared" si="184"/>
        <v>0.7</v>
      </c>
    </row>
    <row r="1274" spans="2:10" x14ac:dyDescent="0.25">
      <c r="B1274" s="3">
        <f t="shared" si="185"/>
        <v>6285</v>
      </c>
      <c r="C1274" s="14">
        <f t="shared" si="186"/>
        <v>104.75</v>
      </c>
      <c r="D1274" s="11">
        <f t="shared" si="187"/>
        <v>1028.6978764859014</v>
      </c>
      <c r="E1274" s="24">
        <f t="shared" si="188"/>
        <v>1026.0475667006433</v>
      </c>
      <c r="F1274" s="24">
        <f t="shared" si="181"/>
        <v>66.257744631451487</v>
      </c>
      <c r="G1274" s="14">
        <f t="shared" si="182"/>
        <v>925.21301411726654</v>
      </c>
      <c r="H1274" s="24">
        <f t="shared" si="189"/>
        <v>650</v>
      </c>
      <c r="I1274" s="12">
        <f t="shared" si="183"/>
        <v>0.121868483529892</v>
      </c>
      <c r="J1274" s="3">
        <f t="shared" si="184"/>
        <v>0.7</v>
      </c>
    </row>
    <row r="1275" spans="2:10" x14ac:dyDescent="0.25">
      <c r="B1275" s="3">
        <f t="shared" si="185"/>
        <v>6290</v>
      </c>
      <c r="C1275" s="14">
        <f t="shared" si="186"/>
        <v>104.83333333333333</v>
      </c>
      <c r="D1275" s="11">
        <f t="shared" si="187"/>
        <v>1028.8168849085655</v>
      </c>
      <c r="E1275" s="24">
        <f t="shared" si="188"/>
        <v>1026.1694351841732</v>
      </c>
      <c r="F1275" s="24">
        <f t="shared" si="181"/>
        <v>66.186243109808629</v>
      </c>
      <c r="G1275" s="14">
        <f t="shared" si="182"/>
        <v>924.47139719186089</v>
      </c>
      <c r="H1275" s="24">
        <f t="shared" si="189"/>
        <v>650</v>
      </c>
      <c r="I1275" s="12">
        <f t="shared" si="183"/>
        <v>0.12176853755448366</v>
      </c>
      <c r="J1275" s="3">
        <f t="shared" si="184"/>
        <v>0.7</v>
      </c>
    </row>
    <row r="1276" spans="2:10" x14ac:dyDescent="0.25">
      <c r="B1276" s="3">
        <f t="shared" si="185"/>
        <v>6295</v>
      </c>
      <c r="C1276" s="14">
        <f t="shared" si="186"/>
        <v>104.91666666666667</v>
      </c>
      <c r="D1276" s="11">
        <f t="shared" si="187"/>
        <v>1028.9357988800903</v>
      </c>
      <c r="E1276" s="24">
        <f t="shared" si="188"/>
        <v>1026.2912037217277</v>
      </c>
      <c r="F1276" s="24">
        <f t="shared" si="181"/>
        <v>66.114878959064072</v>
      </c>
      <c r="G1276" s="14">
        <f t="shared" si="182"/>
        <v>923.73098509890519</v>
      </c>
      <c r="H1276" s="24">
        <f t="shared" si="189"/>
        <v>650</v>
      </c>
      <c r="I1276" s="12">
        <f t="shared" si="183"/>
        <v>0.12166875655851138</v>
      </c>
      <c r="J1276" s="3">
        <f t="shared" si="184"/>
        <v>0.7</v>
      </c>
    </row>
    <row r="1277" spans="2:10" x14ac:dyDescent="0.25">
      <c r="B1277" s="3">
        <f t="shared" si="185"/>
        <v>6300</v>
      </c>
      <c r="C1277" s="14">
        <f t="shared" si="186"/>
        <v>105</v>
      </c>
      <c r="D1277" s="11">
        <f t="shared" si="187"/>
        <v>1029.0546185502797</v>
      </c>
      <c r="E1277" s="24">
        <f t="shared" si="188"/>
        <v>1026.4128724782863</v>
      </c>
      <c r="F1277" s="24">
        <f t="shared" si="181"/>
        <v>66.043651799833469</v>
      </c>
      <c r="G1277" s="14">
        <f t="shared" si="182"/>
        <v>922.99177487583574</v>
      </c>
      <c r="H1277" s="24">
        <f t="shared" si="189"/>
        <v>650</v>
      </c>
      <c r="I1277" s="12">
        <f t="shared" si="183"/>
        <v>0.12156914013119335</v>
      </c>
      <c r="J1277" s="3">
        <f t="shared" si="184"/>
        <v>0.7</v>
      </c>
    </row>
    <row r="1278" spans="2:10" x14ac:dyDescent="0.25">
      <c r="B1278" s="3">
        <f t="shared" si="185"/>
        <v>6305</v>
      </c>
      <c r="C1278" s="14">
        <f t="shared" si="186"/>
        <v>105.08333333333333</v>
      </c>
      <c r="D1278" s="11">
        <f t="shared" si="187"/>
        <v>1029.1733440685812</v>
      </c>
      <c r="E1278" s="24">
        <f t="shared" si="188"/>
        <v>1026.5344416184175</v>
      </c>
      <c r="F1278" s="24">
        <f t="shared" si="181"/>
        <v>65.972561254091033</v>
      </c>
      <c r="G1278" s="14">
        <f t="shared" si="182"/>
        <v>922.25376356958463</v>
      </c>
      <c r="H1278" s="24">
        <f t="shared" si="189"/>
        <v>650</v>
      </c>
      <c r="I1278" s="12">
        <f t="shared" si="183"/>
        <v>0.12146968786308196</v>
      </c>
      <c r="J1278" s="3">
        <f t="shared" si="184"/>
        <v>0.7</v>
      </c>
    </row>
    <row r="1279" spans="2:10" x14ac:dyDescent="0.25">
      <c r="B1279" s="3">
        <f t="shared" si="185"/>
        <v>6310</v>
      </c>
      <c r="C1279" s="14">
        <f t="shared" si="186"/>
        <v>105.16666666666667</v>
      </c>
      <c r="D1279" s="11">
        <f t="shared" si="187"/>
        <v>1029.2919755840869</v>
      </c>
      <c r="E1279" s="24">
        <f t="shared" si="188"/>
        <v>1026.6559113062806</v>
      </c>
      <c r="F1279" s="24">
        <f t="shared" si="181"/>
        <v>65.901606945158164</v>
      </c>
      <c r="G1279" s="14">
        <f t="shared" si="182"/>
        <v>921.51694823671596</v>
      </c>
      <c r="H1279" s="24">
        <f t="shared" si="189"/>
        <v>650</v>
      </c>
      <c r="I1279" s="12">
        <f t="shared" si="183"/>
        <v>0.12137039934607913</v>
      </c>
      <c r="J1279" s="3">
        <f t="shared" si="184"/>
        <v>0.7</v>
      </c>
    </row>
    <row r="1280" spans="2:10" x14ac:dyDescent="0.25">
      <c r="B1280" s="3">
        <f t="shared" si="185"/>
        <v>6315</v>
      </c>
      <c r="C1280" s="14">
        <f t="shared" si="186"/>
        <v>105.25</v>
      </c>
      <c r="D1280" s="11">
        <f t="shared" si="187"/>
        <v>1029.4105132455361</v>
      </c>
      <c r="E1280" s="24">
        <f t="shared" si="188"/>
        <v>1026.7772817056266</v>
      </c>
      <c r="F1280" s="24">
        <f t="shared" si="181"/>
        <v>65.830788497737558</v>
      </c>
      <c r="G1280" s="14">
        <f t="shared" si="182"/>
        <v>920.78132594377428</v>
      </c>
      <c r="H1280" s="24">
        <f t="shared" si="189"/>
        <v>650</v>
      </c>
      <c r="I1280" s="12">
        <f t="shared" si="183"/>
        <v>0.12127127417348331</v>
      </c>
      <c r="J1280" s="3">
        <f t="shared" si="184"/>
        <v>0.7</v>
      </c>
    </row>
    <row r="1281" spans="2:10" x14ac:dyDescent="0.25">
      <c r="B1281" s="3">
        <f t="shared" si="185"/>
        <v>6320</v>
      </c>
      <c r="C1281" s="14">
        <f t="shared" si="186"/>
        <v>105.33333333333333</v>
      </c>
      <c r="D1281" s="11">
        <f t="shared" si="187"/>
        <v>1029.5289572013139</v>
      </c>
      <c r="E1281" s="24">
        <f t="shared" si="188"/>
        <v>1026.8985529798001</v>
      </c>
      <c r="F1281" s="24">
        <f t="shared" si="181"/>
        <v>65.760105537844993</v>
      </c>
      <c r="G1281" s="14">
        <f t="shared" si="182"/>
        <v>920.04689376658735</v>
      </c>
      <c r="H1281" s="24">
        <f t="shared" si="189"/>
        <v>650</v>
      </c>
      <c r="I1281" s="12">
        <f t="shared" si="183"/>
        <v>0.12117231193989543</v>
      </c>
      <c r="J1281" s="3">
        <f t="shared" si="184"/>
        <v>0.7</v>
      </c>
    </row>
    <row r="1282" spans="2:10" x14ac:dyDescent="0.25">
      <c r="B1282" s="3">
        <f t="shared" si="185"/>
        <v>6325</v>
      </c>
      <c r="C1282" s="14">
        <f t="shared" si="186"/>
        <v>105.41666666666667</v>
      </c>
      <c r="D1282" s="11">
        <f t="shared" si="187"/>
        <v>1029.6473075994554</v>
      </c>
      <c r="E1282" s="24">
        <f t="shared" si="188"/>
        <v>1027.0197252917401</v>
      </c>
      <c r="F1282" s="24">
        <f t="shared" si="181"/>
        <v>65.689557692883227</v>
      </c>
      <c r="G1282" s="14">
        <f t="shared" si="182"/>
        <v>919.3136487910989</v>
      </c>
      <c r="H1282" s="24">
        <f t="shared" si="189"/>
        <v>650</v>
      </c>
      <c r="I1282" s="12">
        <f t="shared" si="183"/>
        <v>0.12107351224133032</v>
      </c>
      <c r="J1282" s="3">
        <f t="shared" si="184"/>
        <v>0.7</v>
      </c>
    </row>
    <row r="1283" spans="2:10" x14ac:dyDescent="0.25">
      <c r="B1283" s="3">
        <f t="shared" si="185"/>
        <v>6330</v>
      </c>
      <c r="C1283" s="14">
        <f t="shared" si="186"/>
        <v>105.5</v>
      </c>
      <c r="D1283" s="11">
        <f t="shared" si="187"/>
        <v>1029.7655645876439</v>
      </c>
      <c r="E1283" s="24">
        <f t="shared" si="188"/>
        <v>1027.1407988039814</v>
      </c>
      <c r="F1283" s="24">
        <f t="shared" si="181"/>
        <v>65.619144591562417</v>
      </c>
      <c r="G1283" s="14">
        <f t="shared" si="182"/>
        <v>918.58158811249723</v>
      </c>
      <c r="H1283" s="24">
        <f t="shared" si="189"/>
        <v>650</v>
      </c>
      <c r="I1283" s="12">
        <f t="shared" si="183"/>
        <v>0.12097487467509986</v>
      </c>
      <c r="J1283" s="3">
        <f t="shared" si="184"/>
        <v>0.7</v>
      </c>
    </row>
    <row r="1284" spans="2:10" x14ac:dyDescent="0.25">
      <c r="B1284" s="3">
        <f t="shared" si="185"/>
        <v>6335</v>
      </c>
      <c r="C1284" s="14">
        <f t="shared" si="186"/>
        <v>105.58333333333333</v>
      </c>
      <c r="D1284" s="11">
        <f t="shared" si="187"/>
        <v>1029.8837283132134</v>
      </c>
      <c r="E1284" s="24">
        <f t="shared" si="188"/>
        <v>1027.2617736786565</v>
      </c>
      <c r="F1284" s="24">
        <f t="shared" si="181"/>
        <v>65.548865863922856</v>
      </c>
      <c r="G1284" s="14">
        <f t="shared" si="182"/>
        <v>917.85070883542778</v>
      </c>
      <c r="H1284" s="24">
        <f t="shared" si="189"/>
        <v>650</v>
      </c>
      <c r="I1284" s="12">
        <f t="shared" si="183"/>
        <v>0.1208763988398418</v>
      </c>
      <c r="J1284" s="3">
        <f t="shared" si="184"/>
        <v>0.7</v>
      </c>
    </row>
    <row r="1285" spans="2:10" x14ac:dyDescent="0.25">
      <c r="B1285" s="3">
        <f t="shared" si="185"/>
        <v>6340</v>
      </c>
      <c r="C1285" s="14">
        <f t="shared" si="186"/>
        <v>105.66666666666667</v>
      </c>
      <c r="D1285" s="11">
        <f t="shared" si="187"/>
        <v>1030.0017989231505</v>
      </c>
      <c r="E1285" s="24">
        <f t="shared" si="188"/>
        <v>1027.3826500774962</v>
      </c>
      <c r="F1285" s="24">
        <f t="shared" si="181"/>
        <v>65.47872114135771</v>
      </c>
      <c r="G1285" s="14">
        <f t="shared" si="182"/>
        <v>917.12100807449735</v>
      </c>
      <c r="H1285" s="24">
        <f t="shared" si="189"/>
        <v>650</v>
      </c>
      <c r="I1285" s="12">
        <f t="shared" si="183"/>
        <v>0.12077808433558465</v>
      </c>
      <c r="J1285" s="3">
        <f t="shared" si="184"/>
        <v>0.7</v>
      </c>
    </row>
    <row r="1286" spans="2:10" x14ac:dyDescent="0.25">
      <c r="B1286" s="3">
        <f t="shared" si="185"/>
        <v>6345</v>
      </c>
      <c r="C1286" s="14">
        <f t="shared" si="186"/>
        <v>105.75</v>
      </c>
      <c r="D1286" s="11">
        <f t="shared" si="187"/>
        <v>1030.1197765640939</v>
      </c>
      <c r="E1286" s="24">
        <f t="shared" si="188"/>
        <v>1027.5034281618318</v>
      </c>
      <c r="F1286" s="24">
        <f t="shared" si="181"/>
        <v>65.40871005655049</v>
      </c>
      <c r="G1286" s="14">
        <f t="shared" si="182"/>
        <v>916.39248295328559</v>
      </c>
      <c r="H1286" s="24">
        <f t="shared" si="189"/>
        <v>650</v>
      </c>
      <c r="I1286" s="12">
        <f t="shared" si="183"/>
        <v>0.12067993076361844</v>
      </c>
      <c r="J1286" s="3">
        <f t="shared" si="184"/>
        <v>0.7</v>
      </c>
    </row>
    <row r="1287" spans="2:10" x14ac:dyDescent="0.25">
      <c r="B1287" s="3">
        <f t="shared" si="185"/>
        <v>6350</v>
      </c>
      <c r="C1287" s="14">
        <f t="shared" si="186"/>
        <v>105.83333333333333</v>
      </c>
      <c r="D1287" s="11">
        <f t="shared" si="187"/>
        <v>1030.237661382336</v>
      </c>
      <c r="E1287" s="24">
        <f t="shared" si="188"/>
        <v>1027.6241080925954</v>
      </c>
      <c r="F1287" s="24">
        <f t="shared" si="181"/>
        <v>65.338832243514844</v>
      </c>
      <c r="G1287" s="14">
        <f t="shared" si="182"/>
        <v>915.66513060513955</v>
      </c>
      <c r="H1287" s="24">
        <f t="shared" si="189"/>
        <v>650</v>
      </c>
      <c r="I1287" s="12">
        <f t="shared" si="183"/>
        <v>0.12058193772659723</v>
      </c>
      <c r="J1287" s="3">
        <f t="shared" si="184"/>
        <v>0.7</v>
      </c>
    </row>
    <row r="1288" spans="2:10" x14ac:dyDescent="0.25">
      <c r="B1288" s="3">
        <f t="shared" si="185"/>
        <v>6355</v>
      </c>
      <c r="C1288" s="14">
        <f t="shared" si="186"/>
        <v>105.91666666666667</v>
      </c>
      <c r="D1288" s="11">
        <f t="shared" si="187"/>
        <v>1030.3554535238245</v>
      </c>
      <c r="E1288" s="24">
        <f t="shared" si="188"/>
        <v>1027.7446900303221</v>
      </c>
      <c r="F1288" s="24">
        <f t="shared" si="181"/>
        <v>65.26908733756045</v>
      </c>
      <c r="G1288" s="14">
        <f t="shared" si="182"/>
        <v>914.93894817253431</v>
      </c>
      <c r="H1288" s="24">
        <f t="shared" si="189"/>
        <v>650</v>
      </c>
      <c r="I1288" s="12">
        <f t="shared" si="183"/>
        <v>0.12048410482845642</v>
      </c>
      <c r="J1288" s="3">
        <f t="shared" si="184"/>
        <v>0.7</v>
      </c>
    </row>
    <row r="1289" spans="2:10" x14ac:dyDescent="0.25">
      <c r="B1289" s="3">
        <f t="shared" si="185"/>
        <v>6360</v>
      </c>
      <c r="C1289" s="14">
        <f t="shared" si="186"/>
        <v>106</v>
      </c>
      <c r="D1289" s="11">
        <f t="shared" si="187"/>
        <v>1030.4731531341636</v>
      </c>
      <c r="E1289" s="24">
        <f t="shared" si="188"/>
        <v>1027.8651741351505</v>
      </c>
      <c r="F1289" s="24">
        <f t="shared" si="181"/>
        <v>65.199474975327121</v>
      </c>
      <c r="G1289" s="14">
        <f t="shared" si="182"/>
        <v>914.21393280771235</v>
      </c>
      <c r="H1289" s="24">
        <f t="shared" si="189"/>
        <v>650</v>
      </c>
      <c r="I1289" s="12">
        <f t="shared" si="183"/>
        <v>0.12038643167449549</v>
      </c>
      <c r="J1289" s="3">
        <f t="shared" si="184"/>
        <v>0.7</v>
      </c>
    </row>
    <row r="1290" spans="2:10" x14ac:dyDescent="0.25">
      <c r="B1290" s="3">
        <f t="shared" si="185"/>
        <v>6365</v>
      </c>
      <c r="C1290" s="14">
        <f t="shared" si="186"/>
        <v>106.08333333333333</v>
      </c>
      <c r="D1290" s="11">
        <f t="shared" si="187"/>
        <v>1030.5907603586136</v>
      </c>
      <c r="E1290" s="24">
        <f t="shared" si="188"/>
        <v>1027.9855605668249</v>
      </c>
      <c r="F1290" s="24">
        <f t="shared" si="181"/>
        <v>65.129994794716595</v>
      </c>
      <c r="G1290" s="14">
        <f t="shared" si="182"/>
        <v>913.49008167169529</v>
      </c>
      <c r="H1290" s="24">
        <f t="shared" si="189"/>
        <v>650</v>
      </c>
      <c r="I1290" s="12">
        <f t="shared" si="183"/>
        <v>0.12028891787124808</v>
      </c>
      <c r="J1290" s="3">
        <f t="shared" si="184"/>
        <v>0.7</v>
      </c>
    </row>
    <row r="1291" spans="2:10" x14ac:dyDescent="0.25">
      <c r="B1291" s="3">
        <f t="shared" si="185"/>
        <v>6370</v>
      </c>
      <c r="C1291" s="14">
        <f t="shared" si="186"/>
        <v>106.16666666666667</v>
      </c>
      <c r="D1291" s="11">
        <f t="shared" si="187"/>
        <v>1030.7082753420941</v>
      </c>
      <c r="E1291" s="24">
        <f t="shared" si="188"/>
        <v>1028.1058494846961</v>
      </c>
      <c r="F1291" s="24">
        <f t="shared" si="181"/>
        <v>65.060646434949376</v>
      </c>
      <c r="G1291" s="14">
        <f t="shared" si="182"/>
        <v>912.76739193527214</v>
      </c>
      <c r="H1291" s="24">
        <f t="shared" si="189"/>
        <v>650</v>
      </c>
      <c r="I1291" s="12">
        <f t="shared" si="183"/>
        <v>0.12019156302661056</v>
      </c>
      <c r="J1291" s="3">
        <f t="shared" si="184"/>
        <v>0.7</v>
      </c>
    </row>
    <row r="1292" spans="2:10" x14ac:dyDescent="0.25">
      <c r="B1292" s="3">
        <f t="shared" si="185"/>
        <v>6375</v>
      </c>
      <c r="C1292" s="14">
        <f t="shared" si="186"/>
        <v>106.25</v>
      </c>
      <c r="D1292" s="11">
        <f t="shared" si="187"/>
        <v>1030.8256982291828</v>
      </c>
      <c r="E1292" s="24">
        <f t="shared" si="188"/>
        <v>1028.2260410477227</v>
      </c>
      <c r="F1292" s="24">
        <f t="shared" si="181"/>
        <v>64.99142953650221</v>
      </c>
      <c r="G1292" s="14">
        <f t="shared" si="182"/>
        <v>912.04586077804993</v>
      </c>
      <c r="H1292" s="24">
        <f t="shared" si="189"/>
        <v>650</v>
      </c>
      <c r="I1292" s="12">
        <f t="shared" si="183"/>
        <v>0.12009436674971759</v>
      </c>
      <c r="J1292" s="3">
        <f t="shared" si="184"/>
        <v>0.7</v>
      </c>
    </row>
    <row r="1293" spans="2:10" x14ac:dyDescent="0.25">
      <c r="B1293" s="3">
        <f t="shared" si="185"/>
        <v>6380</v>
      </c>
      <c r="C1293" s="14">
        <f t="shared" si="186"/>
        <v>106.33333333333333</v>
      </c>
      <c r="D1293" s="11">
        <f t="shared" si="187"/>
        <v>1030.9430291641188</v>
      </c>
      <c r="E1293" s="24">
        <f t="shared" si="188"/>
        <v>1028.3461354144724</v>
      </c>
      <c r="F1293" s="24">
        <f t="shared" si="181"/>
        <v>64.922343741159239</v>
      </c>
      <c r="G1293" s="14">
        <f t="shared" si="182"/>
        <v>911.32548538907326</v>
      </c>
      <c r="H1293" s="24">
        <f t="shared" si="189"/>
        <v>650</v>
      </c>
      <c r="I1293" s="12">
        <f t="shared" si="183"/>
        <v>0.11999732865102451</v>
      </c>
      <c r="J1293" s="3">
        <f t="shared" si="184"/>
        <v>0.7</v>
      </c>
    </row>
    <row r="1294" spans="2:10" x14ac:dyDescent="0.25">
      <c r="B1294" s="3">
        <f t="shared" si="185"/>
        <v>6385</v>
      </c>
      <c r="C1294" s="14">
        <f t="shared" si="186"/>
        <v>106.41666666666667</v>
      </c>
      <c r="D1294" s="11">
        <f t="shared" si="187"/>
        <v>1031.060268290802</v>
      </c>
      <c r="E1294" s="24">
        <f t="shared" si="188"/>
        <v>1028.4661327431234</v>
      </c>
      <c r="F1294" s="24">
        <f t="shared" si="181"/>
        <v>64.853388691966529</v>
      </c>
      <c r="G1294" s="14">
        <f t="shared" si="182"/>
        <v>910.6062629665347</v>
      </c>
      <c r="H1294" s="24">
        <f t="shared" si="189"/>
        <v>650</v>
      </c>
      <c r="I1294" s="12">
        <f t="shared" si="183"/>
        <v>0.11990044834226631</v>
      </c>
      <c r="J1294" s="3">
        <f t="shared" si="184"/>
        <v>0.7</v>
      </c>
    </row>
    <row r="1295" spans="2:10" x14ac:dyDescent="0.25">
      <c r="B1295" s="3">
        <f t="shared" si="185"/>
        <v>6390</v>
      </c>
      <c r="C1295" s="14">
        <f t="shared" si="186"/>
        <v>106.5</v>
      </c>
      <c r="D1295" s="11">
        <f t="shared" si="187"/>
        <v>1031.1774157527952</v>
      </c>
      <c r="E1295" s="24">
        <f t="shared" si="188"/>
        <v>1028.5860331914657</v>
      </c>
      <c r="F1295" s="24">
        <f t="shared" si="181"/>
        <v>64.784564033237757</v>
      </c>
      <c r="G1295" s="14">
        <f t="shared" si="182"/>
        <v>909.88819071767659</v>
      </c>
      <c r="H1295" s="24">
        <f t="shared" si="189"/>
        <v>650</v>
      </c>
      <c r="I1295" s="12">
        <f t="shared" si="183"/>
        <v>0.11980372543644606</v>
      </c>
      <c r="J1295" s="3">
        <f t="shared" si="184"/>
        <v>0.7</v>
      </c>
    </row>
    <row r="1296" spans="2:10" x14ac:dyDescent="0.25">
      <c r="B1296" s="3">
        <f t="shared" si="185"/>
        <v>6395</v>
      </c>
      <c r="C1296" s="14">
        <f t="shared" si="186"/>
        <v>106.58333333333333</v>
      </c>
      <c r="D1296" s="11">
        <f t="shared" si="187"/>
        <v>1031.2944716933248</v>
      </c>
      <c r="E1296" s="24">
        <f t="shared" si="188"/>
        <v>1028.7058369169022</v>
      </c>
      <c r="F1296" s="24">
        <f t="shared" si="181"/>
        <v>64.715869410565574</v>
      </c>
      <c r="G1296" s="14">
        <f t="shared" si="182"/>
        <v>909.17126585910216</v>
      </c>
      <c r="H1296" s="24">
        <f t="shared" si="189"/>
        <v>650</v>
      </c>
      <c r="I1296" s="12">
        <f t="shared" si="183"/>
        <v>0.11970715954787473</v>
      </c>
      <c r="J1296" s="3">
        <f t="shared" si="184"/>
        <v>0.7</v>
      </c>
    </row>
    <row r="1297" spans="2:10" x14ac:dyDescent="0.25">
      <c r="B1297" s="3">
        <f t="shared" si="185"/>
        <v>6400</v>
      </c>
      <c r="C1297" s="14">
        <f t="shared" si="186"/>
        <v>106.66666666666667</v>
      </c>
      <c r="D1297" s="11">
        <f t="shared" si="187"/>
        <v>1031.4114362552807</v>
      </c>
      <c r="E1297" s="24">
        <f t="shared" si="188"/>
        <v>1028.8255440764501</v>
      </c>
      <c r="F1297" s="24">
        <f t="shared" ref="F1297:F1360" si="190">AlphaC*(D1297-E1297)</f>
        <v>64.647304470764766</v>
      </c>
      <c r="G1297" s="14">
        <f t="shared" ref="G1297:G1360" si="191">Phi*EpsilonF*Botzman/10^8*J1297*((D1297+273)^4-(E1297+273)^4)</f>
        <v>908.45548561588339</v>
      </c>
      <c r="H1297" s="24">
        <f t="shared" si="189"/>
        <v>650</v>
      </c>
      <c r="I1297" s="12">
        <f t="shared" ref="I1297:I1360" si="192">ksh*Massivete/(H1297*RhoA)*DeltaT*(F1297+G1297)</f>
        <v>0.11961075029205441</v>
      </c>
      <c r="J1297" s="3">
        <f t="shared" ref="J1297:J1360" si="193">IF(E1297&lt;=500,IF(Galva=Oui,0.35,0.7),0.7)</f>
        <v>0.7</v>
      </c>
    </row>
    <row r="1298" spans="2:10" x14ac:dyDescent="0.25">
      <c r="B1298" s="3">
        <f t="shared" ref="B1298:B1361" si="194">B1297+DeltaT</f>
        <v>6405</v>
      </c>
      <c r="C1298" s="14">
        <f t="shared" ref="C1298:C1361" si="195">B1298/60</f>
        <v>106.75</v>
      </c>
      <c r="D1298" s="11">
        <f t="shared" ref="D1298:D1361" si="196">20+345*LOG(8*C1298+1,10)</f>
        <v>1031.5283095812194</v>
      </c>
      <c r="E1298" s="24">
        <f t="shared" si="188"/>
        <v>1028.9451548267423</v>
      </c>
      <c r="F1298" s="24">
        <f t="shared" si="190"/>
        <v>64.578868861929095</v>
      </c>
      <c r="G1298" s="14">
        <f t="shared" si="191"/>
        <v>907.74084722258863</v>
      </c>
      <c r="H1298" s="24">
        <f t="shared" si="189"/>
        <v>650</v>
      </c>
      <c r="I1298" s="12">
        <f t="shared" si="192"/>
        <v>0.11951449728581169</v>
      </c>
      <c r="J1298" s="3">
        <f t="shared" si="193"/>
        <v>0.7</v>
      </c>
    </row>
    <row r="1299" spans="2:10" x14ac:dyDescent="0.25">
      <c r="B1299" s="3">
        <f t="shared" si="194"/>
        <v>6410</v>
      </c>
      <c r="C1299" s="14">
        <f t="shared" si="195"/>
        <v>106.83333333333333</v>
      </c>
      <c r="D1299" s="11">
        <f t="shared" si="196"/>
        <v>1031.6450918133642</v>
      </c>
      <c r="E1299" s="24">
        <f t="shared" si="188"/>
        <v>1029.064669324028</v>
      </c>
      <c r="F1299" s="24">
        <f t="shared" si="190"/>
        <v>64.510562233402879</v>
      </c>
      <c r="G1299" s="14">
        <f t="shared" si="191"/>
        <v>907.02734792268143</v>
      </c>
      <c r="H1299" s="24">
        <f t="shared" si="189"/>
        <v>650</v>
      </c>
      <c r="I1299" s="12">
        <f t="shared" si="192"/>
        <v>0.11941840014722022</v>
      </c>
      <c r="J1299" s="3">
        <f t="shared" si="193"/>
        <v>0.7</v>
      </c>
    </row>
    <row r="1300" spans="2:10" x14ac:dyDescent="0.25">
      <c r="B1300" s="3">
        <f t="shared" si="194"/>
        <v>6415</v>
      </c>
      <c r="C1300" s="14">
        <f t="shared" si="195"/>
        <v>106.91666666666667</v>
      </c>
      <c r="D1300" s="11">
        <f t="shared" si="196"/>
        <v>1031.7617830936058</v>
      </c>
      <c r="E1300" s="24">
        <f t="shared" si="188"/>
        <v>1029.1840877241752</v>
      </c>
      <c r="F1300" s="24">
        <f t="shared" si="190"/>
        <v>64.442384235763939</v>
      </c>
      <c r="G1300" s="14">
        <f t="shared" si="191"/>
        <v>906.31498496867584</v>
      </c>
      <c r="H1300" s="24">
        <f t="shared" si="189"/>
        <v>650</v>
      </c>
      <c r="I1300" s="12">
        <f t="shared" si="192"/>
        <v>0.11932245849561776</v>
      </c>
      <c r="J1300" s="3">
        <f t="shared" si="193"/>
        <v>0.7</v>
      </c>
    </row>
    <row r="1301" spans="2:10" x14ac:dyDescent="0.25">
      <c r="B1301" s="3">
        <f t="shared" si="194"/>
        <v>6420</v>
      </c>
      <c r="C1301" s="14">
        <f t="shared" si="195"/>
        <v>107</v>
      </c>
      <c r="D1301" s="11">
        <f t="shared" si="196"/>
        <v>1031.8783835635033</v>
      </c>
      <c r="E1301" s="24">
        <f t="shared" si="188"/>
        <v>1029.3034101826709</v>
      </c>
      <c r="F1301" s="24">
        <f t="shared" si="190"/>
        <v>64.374334520812226</v>
      </c>
      <c r="G1301" s="14">
        <f t="shared" si="191"/>
        <v>905.60375562153547</v>
      </c>
      <c r="H1301" s="24">
        <f t="shared" si="189"/>
        <v>650</v>
      </c>
      <c r="I1301" s="12">
        <f t="shared" si="192"/>
        <v>0.11922667195153086</v>
      </c>
      <c r="J1301" s="3">
        <f t="shared" si="193"/>
        <v>0.7</v>
      </c>
    </row>
    <row r="1302" spans="2:10" x14ac:dyDescent="0.25">
      <c r="B1302" s="3">
        <f t="shared" si="194"/>
        <v>6425</v>
      </c>
      <c r="C1302" s="14">
        <f t="shared" si="195"/>
        <v>107.08333333333333</v>
      </c>
      <c r="D1302" s="11">
        <f t="shared" si="196"/>
        <v>1031.9948933642859</v>
      </c>
      <c r="E1302" s="24">
        <f t="shared" si="188"/>
        <v>1029.4226368546224</v>
      </c>
      <c r="F1302" s="24">
        <f t="shared" si="190"/>
        <v>64.306412741586882</v>
      </c>
      <c r="G1302" s="14">
        <f t="shared" si="191"/>
        <v>904.89365715144879</v>
      </c>
      <c r="H1302" s="24">
        <f t="shared" si="189"/>
        <v>650</v>
      </c>
      <c r="I1302" s="12">
        <f t="shared" si="192"/>
        <v>0.11913104013677228</v>
      </c>
      <c r="J1302" s="3">
        <f t="shared" si="193"/>
        <v>0.7</v>
      </c>
    </row>
    <row r="1303" spans="2:10" x14ac:dyDescent="0.25">
      <c r="B1303" s="3">
        <f t="shared" si="194"/>
        <v>6430</v>
      </c>
      <c r="C1303" s="14">
        <f t="shared" si="195"/>
        <v>107.16666666666667</v>
      </c>
      <c r="D1303" s="11">
        <f t="shared" si="196"/>
        <v>1032.1113126368537</v>
      </c>
      <c r="E1303" s="24">
        <f t="shared" si="188"/>
        <v>1029.5417678947592</v>
      </c>
      <c r="F1303" s="24">
        <f t="shared" si="190"/>
        <v>64.238618552360549</v>
      </c>
      <c r="G1303" s="14">
        <f t="shared" si="191"/>
        <v>904.18468683744152</v>
      </c>
      <c r="H1303" s="24">
        <f t="shared" si="189"/>
        <v>650</v>
      </c>
      <c r="I1303" s="12">
        <f t="shared" si="192"/>
        <v>0.11903556267439265</v>
      </c>
      <c r="J1303" s="3">
        <f t="shared" si="193"/>
        <v>0.7</v>
      </c>
    </row>
    <row r="1304" spans="2:10" x14ac:dyDescent="0.25">
      <c r="B1304" s="3">
        <f t="shared" si="194"/>
        <v>6435</v>
      </c>
      <c r="C1304" s="14">
        <f t="shared" si="195"/>
        <v>107.25</v>
      </c>
      <c r="D1304" s="11">
        <f t="shared" si="196"/>
        <v>1032.2276415217784</v>
      </c>
      <c r="E1304" s="24">
        <f t="shared" si="188"/>
        <v>1029.6608034574335</v>
      </c>
      <c r="F1304" s="24">
        <f t="shared" si="190"/>
        <v>64.170951608622318</v>
      </c>
      <c r="G1304" s="14">
        <f t="shared" si="191"/>
        <v>903.47684196724094</v>
      </c>
      <c r="H1304" s="24">
        <f t="shared" si="189"/>
        <v>650</v>
      </c>
      <c r="I1304" s="12">
        <f t="shared" si="192"/>
        <v>0.1189402391886617</v>
      </c>
      <c r="J1304" s="3">
        <f t="shared" si="193"/>
        <v>0.7</v>
      </c>
    </row>
    <row r="1305" spans="2:10" x14ac:dyDescent="0.25">
      <c r="B1305" s="3">
        <f t="shared" si="194"/>
        <v>6440</v>
      </c>
      <c r="C1305" s="14">
        <f t="shared" si="195"/>
        <v>107.33333333333333</v>
      </c>
      <c r="D1305" s="11">
        <f t="shared" si="196"/>
        <v>1032.3438801593047</v>
      </c>
      <c r="E1305" s="24">
        <f t="shared" si="188"/>
        <v>1029.7797436966223</v>
      </c>
      <c r="F1305" s="24">
        <f t="shared" si="190"/>
        <v>64.103411567060675</v>
      </c>
      <c r="G1305" s="14">
        <f t="shared" si="191"/>
        <v>902.77011983733394</v>
      </c>
      <c r="H1305" s="24">
        <f t="shared" si="189"/>
        <v>650</v>
      </c>
      <c r="I1305" s="12">
        <f t="shared" si="192"/>
        <v>0.11884506930507327</v>
      </c>
      <c r="J1305" s="3">
        <f t="shared" si="193"/>
        <v>0.7</v>
      </c>
    </row>
    <row r="1306" spans="2:10" x14ac:dyDescent="0.25">
      <c r="B1306" s="3">
        <f t="shared" si="194"/>
        <v>6445</v>
      </c>
      <c r="C1306" s="14">
        <f t="shared" si="195"/>
        <v>107.41666666666667</v>
      </c>
      <c r="D1306" s="11">
        <f t="shared" si="196"/>
        <v>1032.460028689351</v>
      </c>
      <c r="E1306" s="24">
        <f t="shared" si="188"/>
        <v>1029.8985887659273</v>
      </c>
      <c r="F1306" s="24">
        <f t="shared" si="190"/>
        <v>64.035998085591928</v>
      </c>
      <c r="G1306" s="14">
        <f t="shared" si="191"/>
        <v>902.06451775292851</v>
      </c>
      <c r="H1306" s="24">
        <f t="shared" si="189"/>
        <v>650</v>
      </c>
      <c r="I1306" s="12">
        <f t="shared" si="192"/>
        <v>0.11875005265034411</v>
      </c>
      <c r="J1306" s="3">
        <f t="shared" si="193"/>
        <v>0.7</v>
      </c>
    </row>
    <row r="1307" spans="2:10" x14ac:dyDescent="0.25">
      <c r="B1307" s="3">
        <f t="shared" si="194"/>
        <v>6450</v>
      </c>
      <c r="C1307" s="14">
        <f t="shared" si="195"/>
        <v>107.5</v>
      </c>
      <c r="D1307" s="11">
        <f t="shared" si="196"/>
        <v>1032.5760872515107</v>
      </c>
      <c r="E1307" s="24">
        <f t="shared" si="188"/>
        <v>1030.0173388185776</v>
      </c>
      <c r="F1307" s="24">
        <f t="shared" si="190"/>
        <v>63.968710823326091</v>
      </c>
      <c r="G1307" s="14">
        <f t="shared" si="191"/>
        <v>901.36003302799224</v>
      </c>
      <c r="H1307" s="24">
        <f t="shared" si="189"/>
        <v>650</v>
      </c>
      <c r="I1307" s="12">
        <f t="shared" si="192"/>
        <v>0.11865518885241438</v>
      </c>
      <c r="J1307" s="3">
        <f t="shared" si="193"/>
        <v>0.7</v>
      </c>
    </row>
    <row r="1308" spans="2:10" x14ac:dyDescent="0.25">
      <c r="B1308" s="3">
        <f t="shared" si="194"/>
        <v>6455</v>
      </c>
      <c r="C1308" s="14">
        <f t="shared" si="195"/>
        <v>107.58333333333333</v>
      </c>
      <c r="D1308" s="11">
        <f t="shared" si="196"/>
        <v>1032.692055985053</v>
      </c>
      <c r="E1308" s="24">
        <f t="shared" si="188"/>
        <v>1030.1359940074301</v>
      </c>
      <c r="F1308" s="24">
        <f t="shared" si="190"/>
        <v>63.90154944057258</v>
      </c>
      <c r="G1308" s="14">
        <f t="shared" si="191"/>
        <v>900.65666298503925</v>
      </c>
      <c r="H1308" s="24">
        <f t="shared" si="189"/>
        <v>650</v>
      </c>
      <c r="I1308" s="12">
        <f t="shared" si="192"/>
        <v>0.1185604775404222</v>
      </c>
      <c r="J1308" s="3">
        <f t="shared" si="193"/>
        <v>0.7</v>
      </c>
    </row>
    <row r="1309" spans="2:10" x14ac:dyDescent="0.25">
      <c r="B1309" s="3">
        <f t="shared" si="194"/>
        <v>6460</v>
      </c>
      <c r="C1309" s="14">
        <f t="shared" si="195"/>
        <v>107.66666666666667</v>
      </c>
      <c r="D1309" s="11">
        <f t="shared" si="196"/>
        <v>1032.8079350289238</v>
      </c>
      <c r="E1309" s="24">
        <f t="shared" si="188"/>
        <v>1030.2545544849704</v>
      </c>
      <c r="F1309" s="24">
        <f t="shared" si="190"/>
        <v>63.834513598834519</v>
      </c>
      <c r="G1309" s="14">
        <f t="shared" si="191"/>
        <v>899.95440495530465</v>
      </c>
      <c r="H1309" s="24">
        <f t="shared" si="189"/>
        <v>650</v>
      </c>
      <c r="I1309" s="12">
        <f t="shared" si="192"/>
        <v>0.11846591834472435</v>
      </c>
      <c r="J1309" s="3">
        <f t="shared" si="193"/>
        <v>0.7</v>
      </c>
    </row>
    <row r="1310" spans="2:10" x14ac:dyDescent="0.25">
      <c r="B1310" s="3">
        <f t="shared" si="194"/>
        <v>6465</v>
      </c>
      <c r="C1310" s="14">
        <f t="shared" si="195"/>
        <v>107.75</v>
      </c>
      <c r="D1310" s="11">
        <f t="shared" si="196"/>
        <v>1032.9237245217473</v>
      </c>
      <c r="E1310" s="24">
        <f t="shared" si="188"/>
        <v>1030.3730204033152</v>
      </c>
      <c r="F1310" s="24">
        <f t="shared" si="190"/>
        <v>63.76760296080306</v>
      </c>
      <c r="G1310" s="14">
        <f t="shared" si="191"/>
        <v>899.25325627851203</v>
      </c>
      <c r="H1310" s="24">
        <f t="shared" si="189"/>
        <v>650</v>
      </c>
      <c r="I1310" s="12">
        <f t="shared" si="192"/>
        <v>0.11837151089686704</v>
      </c>
      <c r="J1310" s="3">
        <f t="shared" si="193"/>
        <v>0.7</v>
      </c>
    </row>
    <row r="1311" spans="2:10" x14ac:dyDescent="0.25">
      <c r="B1311" s="3">
        <f t="shared" si="194"/>
        <v>6470</v>
      </c>
      <c r="C1311" s="14">
        <f t="shared" si="195"/>
        <v>107.83333333333333</v>
      </c>
      <c r="D1311" s="11">
        <f t="shared" si="196"/>
        <v>1033.0394246018259</v>
      </c>
      <c r="E1311" s="24">
        <f t="shared" si="188"/>
        <v>1030.491391914212</v>
      </c>
      <c r="F1311" s="24">
        <f t="shared" si="190"/>
        <v>63.700817190346015</v>
      </c>
      <c r="G1311" s="14">
        <f t="shared" si="191"/>
        <v>898.55321430285369</v>
      </c>
      <c r="H1311" s="24">
        <f t="shared" si="189"/>
        <v>650</v>
      </c>
      <c r="I1311" s="12">
        <f t="shared" si="192"/>
        <v>0.11827725482958204</v>
      </c>
      <c r="J1311" s="3">
        <f t="shared" si="193"/>
        <v>0.7</v>
      </c>
    </row>
    <row r="1312" spans="2:10" x14ac:dyDescent="0.25">
      <c r="B1312" s="3">
        <f t="shared" si="194"/>
        <v>6475</v>
      </c>
      <c r="C1312" s="14">
        <f t="shared" si="195"/>
        <v>107.91666666666667</v>
      </c>
      <c r="D1312" s="11">
        <f t="shared" si="196"/>
        <v>1033.1550354071426</v>
      </c>
      <c r="E1312" s="24">
        <f t="shared" si="188"/>
        <v>1030.6096691690416</v>
      </c>
      <c r="F1312" s="24">
        <f t="shared" si="190"/>
        <v>63.634155952524907</v>
      </c>
      <c r="G1312" s="14">
        <f t="shared" si="191"/>
        <v>897.85427638541773</v>
      </c>
      <c r="H1312" s="24">
        <f t="shared" si="189"/>
        <v>650</v>
      </c>
      <c r="I1312" s="12">
        <f t="shared" si="192"/>
        <v>0.11818314977684131</v>
      </c>
      <c r="J1312" s="3">
        <f t="shared" si="193"/>
        <v>0.7</v>
      </c>
    </row>
    <row r="1313" spans="2:10" x14ac:dyDescent="0.25">
      <c r="B1313" s="3">
        <f t="shared" si="194"/>
        <v>6480</v>
      </c>
      <c r="C1313" s="14">
        <f t="shared" si="195"/>
        <v>108</v>
      </c>
      <c r="D1313" s="11">
        <f t="shared" si="196"/>
        <v>1033.2705570753608</v>
      </c>
      <c r="E1313" s="24">
        <f t="shared" si="188"/>
        <v>1030.7278523188183</v>
      </c>
      <c r="F1313" s="24">
        <f t="shared" si="190"/>
        <v>63.567618913560864</v>
      </c>
      <c r="G1313" s="14">
        <f t="shared" si="191"/>
        <v>897.15643989135378</v>
      </c>
      <c r="H1313" s="24">
        <f t="shared" si="189"/>
        <v>650</v>
      </c>
      <c r="I1313" s="12">
        <f t="shared" si="192"/>
        <v>0.11808919537375022</v>
      </c>
      <c r="J1313" s="3">
        <f t="shared" si="193"/>
        <v>0.7</v>
      </c>
    </row>
    <row r="1314" spans="2:10" x14ac:dyDescent="0.25">
      <c r="B1314" s="3">
        <f t="shared" si="194"/>
        <v>6485</v>
      </c>
      <c r="C1314" s="14">
        <f t="shared" si="195"/>
        <v>108.08333333333333</v>
      </c>
      <c r="D1314" s="11">
        <f t="shared" si="196"/>
        <v>1033.3859897438258</v>
      </c>
      <c r="E1314" s="24">
        <f t="shared" si="188"/>
        <v>1030.8459415141922</v>
      </c>
      <c r="F1314" s="24">
        <f t="shared" si="190"/>
        <v>63.501205740840305</v>
      </c>
      <c r="G1314" s="14">
        <f t="shared" si="191"/>
        <v>896.45970219435844</v>
      </c>
      <c r="H1314" s="24">
        <f t="shared" si="189"/>
        <v>650</v>
      </c>
      <c r="I1314" s="12">
        <f t="shared" si="192"/>
        <v>0.11799539125660795</v>
      </c>
      <c r="J1314" s="3">
        <f t="shared" si="193"/>
        <v>0.7</v>
      </c>
    </row>
    <row r="1315" spans="2:10" x14ac:dyDescent="0.25">
      <c r="B1315" s="3">
        <f t="shared" si="194"/>
        <v>6490</v>
      </c>
      <c r="C1315" s="14">
        <f t="shared" si="195"/>
        <v>108.16666666666667</v>
      </c>
      <c r="D1315" s="11">
        <f t="shared" si="196"/>
        <v>1033.5013335495657</v>
      </c>
      <c r="E1315" s="24">
        <f t="shared" si="188"/>
        <v>1030.9639369054487</v>
      </c>
      <c r="F1315" s="24">
        <f t="shared" si="190"/>
        <v>63.434916102926309</v>
      </c>
      <c r="G1315" s="14">
        <f t="shared" si="191"/>
        <v>895.76406067675214</v>
      </c>
      <c r="H1315" s="24">
        <f t="shared" si="189"/>
        <v>650</v>
      </c>
      <c r="I1315" s="12">
        <f t="shared" si="192"/>
        <v>0.11790173706291834</v>
      </c>
      <c r="J1315" s="3">
        <f t="shared" si="193"/>
        <v>0.7</v>
      </c>
    </row>
    <row r="1316" spans="2:10" x14ac:dyDescent="0.25">
      <c r="B1316" s="3">
        <f t="shared" si="194"/>
        <v>6495</v>
      </c>
      <c r="C1316" s="14">
        <f t="shared" si="195"/>
        <v>108.25</v>
      </c>
      <c r="D1316" s="11">
        <f t="shared" si="196"/>
        <v>1033.6165886292924</v>
      </c>
      <c r="E1316" s="24">
        <f t="shared" si="188"/>
        <v>1031.0818386425117</v>
      </c>
      <c r="F1316" s="24">
        <f t="shared" si="190"/>
        <v>63.36874966951882</v>
      </c>
      <c r="G1316" s="14">
        <f t="shared" si="191"/>
        <v>895.06951272887864</v>
      </c>
      <c r="H1316" s="24">
        <f t="shared" si="189"/>
        <v>650</v>
      </c>
      <c r="I1316" s="12">
        <f t="shared" si="192"/>
        <v>0.11780823243131117</v>
      </c>
      <c r="J1316" s="3">
        <f t="shared" si="193"/>
        <v>0.7</v>
      </c>
    </row>
    <row r="1317" spans="2:10" x14ac:dyDescent="0.25">
      <c r="B1317" s="3">
        <f t="shared" si="194"/>
        <v>6500</v>
      </c>
      <c r="C1317" s="14">
        <f t="shared" si="195"/>
        <v>108.33333333333333</v>
      </c>
      <c r="D1317" s="11">
        <f t="shared" si="196"/>
        <v>1033.7317551194028</v>
      </c>
      <c r="E1317" s="24">
        <f t="shared" si="188"/>
        <v>1031.199646874943</v>
      </c>
      <c r="F1317" s="24">
        <f t="shared" si="190"/>
        <v>63.302706111494444</v>
      </c>
      <c r="G1317" s="14">
        <f t="shared" si="191"/>
        <v>894.37605574982194</v>
      </c>
      <c r="H1317" s="24">
        <f t="shared" si="189"/>
        <v>650</v>
      </c>
      <c r="I1317" s="12">
        <f t="shared" si="192"/>
        <v>0.11771487700163513</v>
      </c>
      <c r="J1317" s="3">
        <f t="shared" si="193"/>
        <v>0.7</v>
      </c>
    </row>
    <row r="1318" spans="2:10" x14ac:dyDescent="0.25">
      <c r="B1318" s="3">
        <f t="shared" si="194"/>
        <v>6505</v>
      </c>
      <c r="C1318" s="14">
        <f t="shared" si="195"/>
        <v>108.41666666666667</v>
      </c>
      <c r="D1318" s="11">
        <f t="shared" si="196"/>
        <v>1033.8468331559789</v>
      </c>
      <c r="E1318" s="24">
        <f t="shared" si="188"/>
        <v>1031.3173617519446</v>
      </c>
      <c r="F1318" s="24">
        <f t="shared" si="190"/>
        <v>63.236785100855286</v>
      </c>
      <c r="G1318" s="14">
        <f t="shared" si="191"/>
        <v>893.68368714655378</v>
      </c>
      <c r="H1318" s="24">
        <f t="shared" si="189"/>
        <v>650</v>
      </c>
      <c r="I1318" s="12">
        <f t="shared" si="192"/>
        <v>0.11762167041484685</v>
      </c>
      <c r="J1318" s="3">
        <f t="shared" si="193"/>
        <v>0.7</v>
      </c>
    </row>
    <row r="1319" spans="2:10" x14ac:dyDescent="0.25">
      <c r="B1319" s="3">
        <f t="shared" si="194"/>
        <v>6510</v>
      </c>
      <c r="C1319" s="14">
        <f t="shared" si="195"/>
        <v>108.5</v>
      </c>
      <c r="D1319" s="11">
        <f t="shared" si="196"/>
        <v>1033.96182287479</v>
      </c>
      <c r="E1319" s="24">
        <f t="shared" si="188"/>
        <v>1031.4349834223594</v>
      </c>
      <c r="F1319" s="24">
        <f t="shared" si="190"/>
        <v>63.170986310763055</v>
      </c>
      <c r="G1319" s="14">
        <f t="shared" si="191"/>
        <v>892.99240433474745</v>
      </c>
      <c r="H1319" s="24">
        <f t="shared" si="189"/>
        <v>650</v>
      </c>
      <c r="I1319" s="12">
        <f t="shared" si="192"/>
        <v>0.11752861231311504</v>
      </c>
      <c r="J1319" s="3">
        <f t="shared" si="193"/>
        <v>0.7</v>
      </c>
    </row>
    <row r="1320" spans="2:10" x14ac:dyDescent="0.25">
      <c r="B1320" s="3">
        <f t="shared" si="194"/>
        <v>6515</v>
      </c>
      <c r="C1320" s="14">
        <f t="shared" si="195"/>
        <v>108.58333333333333</v>
      </c>
      <c r="D1320" s="11">
        <f t="shared" si="196"/>
        <v>1034.0767244112926</v>
      </c>
      <c r="E1320" s="24">
        <f t="shared" si="188"/>
        <v>1031.5525120346726</v>
      </c>
      <c r="F1320" s="24">
        <f t="shared" si="190"/>
        <v>63.105309415499278</v>
      </c>
      <c r="G1320" s="14">
        <f t="shared" si="191"/>
        <v>892.30220473790553</v>
      </c>
      <c r="H1320" s="24">
        <f t="shared" si="189"/>
        <v>650</v>
      </c>
      <c r="I1320" s="12">
        <f t="shared" si="192"/>
        <v>0.11743570233970838</v>
      </c>
      <c r="J1320" s="3">
        <f t="shared" si="193"/>
        <v>0.7</v>
      </c>
    </row>
    <row r="1321" spans="2:10" x14ac:dyDescent="0.25">
      <c r="B1321" s="3">
        <f t="shared" si="194"/>
        <v>6520</v>
      </c>
      <c r="C1321" s="14">
        <f t="shared" si="195"/>
        <v>108.66666666666667</v>
      </c>
      <c r="D1321" s="11">
        <f t="shared" si="196"/>
        <v>1034.1915379006323</v>
      </c>
      <c r="E1321" s="24">
        <f t="shared" si="188"/>
        <v>1031.6699477370123</v>
      </c>
      <c r="F1321" s="24">
        <f t="shared" si="190"/>
        <v>63.0397540904994</v>
      </c>
      <c r="G1321" s="14">
        <f t="shared" si="191"/>
        <v>891.61308578813544</v>
      </c>
      <c r="H1321" s="24">
        <f t="shared" si="189"/>
        <v>650</v>
      </c>
      <c r="I1321" s="12">
        <f t="shared" si="192"/>
        <v>0.11734294013909512</v>
      </c>
      <c r="J1321" s="3">
        <f t="shared" si="193"/>
        <v>0.7</v>
      </c>
    </row>
    <row r="1322" spans="2:10" x14ac:dyDescent="0.25">
      <c r="B1322" s="3">
        <f t="shared" si="194"/>
        <v>6525</v>
      </c>
      <c r="C1322" s="14">
        <f t="shared" si="195"/>
        <v>108.75</v>
      </c>
      <c r="D1322" s="11">
        <f t="shared" si="196"/>
        <v>1034.3062634776438</v>
      </c>
      <c r="E1322" s="24">
        <f t="shared" si="188"/>
        <v>1031.7872906771513</v>
      </c>
      <c r="F1322" s="24">
        <f t="shared" si="190"/>
        <v>62.974320012313001</v>
      </c>
      <c r="G1322" s="14">
        <f t="shared" si="191"/>
        <v>890.92504492545174</v>
      </c>
      <c r="H1322" s="24">
        <f t="shared" si="189"/>
        <v>650</v>
      </c>
      <c r="I1322" s="12">
        <f t="shared" si="192"/>
        <v>0.11725032535685231</v>
      </c>
      <c r="J1322" s="3">
        <f t="shared" si="193"/>
        <v>0.7</v>
      </c>
    </row>
    <row r="1323" spans="2:10" x14ac:dyDescent="0.25">
      <c r="B1323" s="3">
        <f t="shared" si="194"/>
        <v>6530</v>
      </c>
      <c r="C1323" s="14">
        <f t="shared" si="195"/>
        <v>108.83333333333333</v>
      </c>
      <c r="D1323" s="11">
        <f t="shared" si="196"/>
        <v>1034.4209012768524</v>
      </c>
      <c r="E1323" s="24">
        <f t="shared" si="188"/>
        <v>1031.9045410025083</v>
      </c>
      <c r="F1323" s="24">
        <f t="shared" si="190"/>
        <v>62.909006858603789</v>
      </c>
      <c r="G1323" s="14">
        <f t="shared" si="191"/>
        <v>890.2380795978919</v>
      </c>
      <c r="H1323" s="24">
        <f t="shared" si="189"/>
        <v>650</v>
      </c>
      <c r="I1323" s="12">
        <f t="shared" si="192"/>
        <v>0.11715785763968017</v>
      </c>
      <c r="J1323" s="3">
        <f t="shared" si="193"/>
        <v>0.7</v>
      </c>
    </row>
    <row r="1324" spans="2:10" x14ac:dyDescent="0.25">
      <c r="B1324" s="3">
        <f t="shared" si="194"/>
        <v>6535</v>
      </c>
      <c r="C1324" s="14">
        <f t="shared" si="195"/>
        <v>108.91666666666667</v>
      </c>
      <c r="D1324" s="11">
        <f t="shared" si="196"/>
        <v>1034.5354514324754</v>
      </c>
      <c r="E1324" s="24">
        <f t="shared" si="188"/>
        <v>1032.021698860148</v>
      </c>
      <c r="F1324" s="24">
        <f t="shared" si="190"/>
        <v>62.84381430818371</v>
      </c>
      <c r="G1324" s="14">
        <f t="shared" si="191"/>
        <v>889.55218726215639</v>
      </c>
      <c r="H1324" s="24">
        <f t="shared" si="189"/>
        <v>650</v>
      </c>
      <c r="I1324" s="12">
        <f t="shared" si="192"/>
        <v>0.11706553663548483</v>
      </c>
      <c r="J1324" s="3">
        <f t="shared" si="193"/>
        <v>0.7</v>
      </c>
    </row>
    <row r="1325" spans="2:10" x14ac:dyDescent="0.25">
      <c r="B1325" s="3">
        <f t="shared" si="194"/>
        <v>6540</v>
      </c>
      <c r="C1325" s="14">
        <f t="shared" si="195"/>
        <v>109</v>
      </c>
      <c r="D1325" s="11">
        <f t="shared" si="196"/>
        <v>1034.6499140784215</v>
      </c>
      <c r="E1325" s="24">
        <f t="shared" si="188"/>
        <v>1032.1387643967835</v>
      </c>
      <c r="F1325" s="24">
        <f t="shared" si="190"/>
        <v>62.778742040950419</v>
      </c>
      <c r="G1325" s="14">
        <f t="shared" si="191"/>
        <v>888.86736538244566</v>
      </c>
      <c r="H1325" s="24">
        <f t="shared" si="189"/>
        <v>650</v>
      </c>
      <c r="I1325" s="12">
        <f t="shared" si="192"/>
        <v>0.11697336199322775</v>
      </c>
      <c r="J1325" s="3">
        <f t="shared" si="193"/>
        <v>0.7</v>
      </c>
    </row>
    <row r="1326" spans="2:10" x14ac:dyDescent="0.25">
      <c r="B1326" s="3">
        <f t="shared" si="194"/>
        <v>6545</v>
      </c>
      <c r="C1326" s="14">
        <f t="shared" si="195"/>
        <v>109.08333333333333</v>
      </c>
      <c r="D1326" s="11">
        <f t="shared" si="196"/>
        <v>1034.7642893482935</v>
      </c>
      <c r="E1326" s="24">
        <f t="shared" si="188"/>
        <v>1032.2557377587766</v>
      </c>
      <c r="F1326" s="24">
        <f t="shared" si="190"/>
        <v>62.713789737921388</v>
      </c>
      <c r="G1326" s="14">
        <f t="shared" si="191"/>
        <v>888.18361143129368</v>
      </c>
      <c r="H1326" s="24">
        <f t="shared" si="189"/>
        <v>650</v>
      </c>
      <c r="I1326" s="12">
        <f t="shared" si="192"/>
        <v>0.11688133336303241</v>
      </c>
      <c r="J1326" s="3">
        <f t="shared" si="193"/>
        <v>0.7</v>
      </c>
    </row>
    <row r="1327" spans="2:10" x14ac:dyDescent="0.25">
      <c r="B1327" s="3">
        <f t="shared" si="194"/>
        <v>6550</v>
      </c>
      <c r="C1327" s="14">
        <f t="shared" si="195"/>
        <v>109.16666666666667</v>
      </c>
      <c r="D1327" s="11">
        <f t="shared" si="196"/>
        <v>1034.8785773753884</v>
      </c>
      <c r="E1327" s="24">
        <f t="shared" si="188"/>
        <v>1032.3726190921395</v>
      </c>
      <c r="F1327" s="24">
        <f t="shared" si="190"/>
        <v>62.648957081222534</v>
      </c>
      <c r="G1327" s="14">
        <f t="shared" si="191"/>
        <v>887.50092288925748</v>
      </c>
      <c r="H1327" s="24">
        <f t="shared" si="189"/>
        <v>650</v>
      </c>
      <c r="I1327" s="12">
        <f t="shared" si="192"/>
        <v>0.11678945039614465</v>
      </c>
      <c r="J1327" s="3">
        <f t="shared" si="193"/>
        <v>0.7</v>
      </c>
    </row>
    <row r="1328" spans="2:10" x14ac:dyDescent="0.25">
      <c r="B1328" s="3">
        <f t="shared" si="194"/>
        <v>6555</v>
      </c>
      <c r="C1328" s="14">
        <f t="shared" si="195"/>
        <v>109.25</v>
      </c>
      <c r="D1328" s="11">
        <f t="shared" si="196"/>
        <v>1034.9927782926979</v>
      </c>
      <c r="E1328" s="24">
        <f t="shared" si="188"/>
        <v>1032.4894085425358</v>
      </c>
      <c r="F1328" s="24">
        <f t="shared" si="190"/>
        <v>62.584243754054114</v>
      </c>
      <c r="G1328" s="14">
        <f t="shared" si="191"/>
        <v>886.8192972445878</v>
      </c>
      <c r="H1328" s="24">
        <f t="shared" si="189"/>
        <v>650</v>
      </c>
      <c r="I1328" s="12">
        <f t="shared" si="192"/>
        <v>0.11669771274488809</v>
      </c>
      <c r="J1328" s="3">
        <f t="shared" si="193"/>
        <v>0.7</v>
      </c>
    </row>
    <row r="1329" spans="2:10" x14ac:dyDescent="0.25">
      <c r="B1329" s="3">
        <f t="shared" si="194"/>
        <v>6560</v>
      </c>
      <c r="C1329" s="14">
        <f t="shared" si="195"/>
        <v>109.33333333333333</v>
      </c>
      <c r="D1329" s="11">
        <f t="shared" si="196"/>
        <v>1035.1068922329105</v>
      </c>
      <c r="E1329" s="24">
        <f t="shared" si="188"/>
        <v>1032.6061062552806</v>
      </c>
      <c r="F1329" s="24">
        <f t="shared" si="190"/>
        <v>62.519649440747571</v>
      </c>
      <c r="G1329" s="14">
        <f t="shared" si="191"/>
        <v>886.13873199392731</v>
      </c>
      <c r="H1329" s="24">
        <f t="shared" si="189"/>
        <v>650</v>
      </c>
      <c r="I1329" s="12">
        <f t="shared" si="192"/>
        <v>0.11660612006275688</v>
      </c>
      <c r="J1329" s="3">
        <f t="shared" si="193"/>
        <v>0.7</v>
      </c>
    </row>
    <row r="1330" spans="2:10" x14ac:dyDescent="0.25">
      <c r="B1330" s="3">
        <f t="shared" si="194"/>
        <v>6565</v>
      </c>
      <c r="C1330" s="14">
        <f t="shared" si="195"/>
        <v>109.41666666666667</v>
      </c>
      <c r="D1330" s="11">
        <f t="shared" si="196"/>
        <v>1035.2209193284116</v>
      </c>
      <c r="E1330" s="24">
        <f t="shared" si="188"/>
        <v>1032.7227123753432</v>
      </c>
      <c r="F1330" s="24">
        <f t="shared" si="190"/>
        <v>62.455173826708688</v>
      </c>
      <c r="G1330" s="14">
        <f t="shared" si="191"/>
        <v>885.45922464161208</v>
      </c>
      <c r="H1330" s="24">
        <f t="shared" si="189"/>
        <v>650</v>
      </c>
      <c r="I1330" s="12">
        <f t="shared" si="192"/>
        <v>0.11651467200432289</v>
      </c>
      <c r="J1330" s="3">
        <f t="shared" si="193"/>
        <v>0.7</v>
      </c>
    </row>
    <row r="1331" spans="2:10" x14ac:dyDescent="0.25">
      <c r="B1331" s="3">
        <f t="shared" si="194"/>
        <v>6570</v>
      </c>
      <c r="C1331" s="14">
        <f t="shared" si="195"/>
        <v>109.5</v>
      </c>
      <c r="D1331" s="11">
        <f t="shared" si="196"/>
        <v>1035.334859711284</v>
      </c>
      <c r="E1331" s="24">
        <f t="shared" si="188"/>
        <v>1032.8392270473475</v>
      </c>
      <c r="F1331" s="24">
        <f t="shared" si="190"/>
        <v>62.390816598411902</v>
      </c>
      <c r="G1331" s="14">
        <f t="shared" si="191"/>
        <v>884.78077269965274</v>
      </c>
      <c r="H1331" s="24">
        <f t="shared" si="189"/>
        <v>650</v>
      </c>
      <c r="I1331" s="12">
        <f t="shared" si="192"/>
        <v>0.11642336822523267</v>
      </c>
      <c r="J1331" s="3">
        <f t="shared" si="193"/>
        <v>0.7</v>
      </c>
    </row>
    <row r="1332" spans="2:10" x14ac:dyDescent="0.25">
      <c r="B1332" s="3">
        <f t="shared" si="194"/>
        <v>6575</v>
      </c>
      <c r="C1332" s="14">
        <f t="shared" si="195"/>
        <v>109.58333333333333</v>
      </c>
      <c r="D1332" s="11">
        <f t="shared" si="196"/>
        <v>1035.4487135133099</v>
      </c>
      <c r="E1332" s="24">
        <f t="shared" ref="E1332:E1395" si="197">E1331+I1331</f>
        <v>1032.9556504155728</v>
      </c>
      <c r="F1332" s="24">
        <f t="shared" si="190"/>
        <v>62.326577443428732</v>
      </c>
      <c r="G1332" s="14">
        <f t="shared" si="191"/>
        <v>884.10337368827709</v>
      </c>
      <c r="H1332" s="24">
        <f t="shared" ref="H1332:H1395" si="198">IF(E1332&lt;600,425+0.773*E1332-1.69/1000*E1332^2+2.22/1000^2*E1332^3,IF(E1332&lt;735,666+13002/(738-E1332),IF(E1332&lt;900,545+17820/(E1332-731),650)))</f>
        <v>650</v>
      </c>
      <c r="I1332" s="12">
        <f t="shared" si="192"/>
        <v>0.11633220838227763</v>
      </c>
      <c r="J1332" s="3">
        <f t="shared" si="193"/>
        <v>0.7</v>
      </c>
    </row>
    <row r="1333" spans="2:10" x14ac:dyDescent="0.25">
      <c r="B1333" s="3">
        <f t="shared" si="194"/>
        <v>6580</v>
      </c>
      <c r="C1333" s="14">
        <f t="shared" si="195"/>
        <v>109.66666666666667</v>
      </c>
      <c r="D1333" s="11">
        <f t="shared" si="196"/>
        <v>1035.5624808659713</v>
      </c>
      <c r="E1333" s="24">
        <f t="shared" si="197"/>
        <v>1033.0719826239551</v>
      </c>
      <c r="F1333" s="24">
        <f t="shared" si="190"/>
        <v>62.262456050405035</v>
      </c>
      <c r="G1333" s="14">
        <f t="shared" si="191"/>
        <v>883.42702513529025</v>
      </c>
      <c r="H1333" s="24">
        <f t="shared" si="198"/>
        <v>650</v>
      </c>
      <c r="I1333" s="12">
        <f t="shared" si="192"/>
        <v>0.11624119213331266</v>
      </c>
      <c r="J1333" s="3">
        <f t="shared" si="193"/>
        <v>0.7</v>
      </c>
    </row>
    <row r="1334" spans="2:10" x14ac:dyDescent="0.25">
      <c r="B1334" s="3">
        <f t="shared" si="194"/>
        <v>6585</v>
      </c>
      <c r="C1334" s="14">
        <f t="shared" si="195"/>
        <v>109.75</v>
      </c>
      <c r="D1334" s="11">
        <f t="shared" si="196"/>
        <v>1035.6761619004512</v>
      </c>
      <c r="E1334" s="24">
        <f t="shared" si="197"/>
        <v>1033.1882238160883</v>
      </c>
      <c r="F1334" s="24">
        <f t="shared" si="190"/>
        <v>62.198452109072377</v>
      </c>
      <c r="G1334" s="14">
        <f t="shared" si="191"/>
        <v>882.75172457659835</v>
      </c>
      <c r="H1334" s="24">
        <f t="shared" si="198"/>
        <v>650</v>
      </c>
      <c r="I1334" s="12">
        <f t="shared" si="192"/>
        <v>0.11615031913732181</v>
      </c>
      <c r="J1334" s="3">
        <f t="shared" si="193"/>
        <v>0.7</v>
      </c>
    </row>
    <row r="1335" spans="2:10" x14ac:dyDescent="0.25">
      <c r="B1335" s="3">
        <f t="shared" si="194"/>
        <v>6590</v>
      </c>
      <c r="C1335" s="14">
        <f t="shared" si="195"/>
        <v>109.83333333333333</v>
      </c>
      <c r="D1335" s="11">
        <f t="shared" si="196"/>
        <v>1035.7897567476334</v>
      </c>
      <c r="E1335" s="24">
        <f t="shared" si="197"/>
        <v>1033.3043741352258</v>
      </c>
      <c r="F1335" s="24">
        <f t="shared" si="190"/>
        <v>62.134565310191192</v>
      </c>
      <c r="G1335" s="14">
        <f t="shared" si="191"/>
        <v>882.07746955545247</v>
      </c>
      <c r="H1335" s="24">
        <f t="shared" si="198"/>
        <v>650</v>
      </c>
      <c r="I1335" s="12">
        <f t="shared" si="192"/>
        <v>0.11605958905431843</v>
      </c>
      <c r="J1335" s="3">
        <f t="shared" si="193"/>
        <v>0.7</v>
      </c>
    </row>
    <row r="1336" spans="2:10" x14ac:dyDescent="0.25">
      <c r="B1336" s="3">
        <f t="shared" si="194"/>
        <v>6595</v>
      </c>
      <c r="C1336" s="14">
        <f t="shared" si="195"/>
        <v>109.91666666666667</v>
      </c>
      <c r="D1336" s="11">
        <f t="shared" si="196"/>
        <v>1035.9032655381052</v>
      </c>
      <c r="E1336" s="24">
        <f t="shared" si="197"/>
        <v>1033.4204337242802</v>
      </c>
      <c r="F1336" s="24">
        <f t="shared" si="190"/>
        <v>62.070795345624674</v>
      </c>
      <c r="G1336" s="14">
        <f t="shared" si="191"/>
        <v>881.40425762314612</v>
      </c>
      <c r="H1336" s="24">
        <f t="shared" si="198"/>
        <v>650</v>
      </c>
      <c r="I1336" s="12">
        <f t="shared" si="192"/>
        <v>0.11596900154543997</v>
      </c>
      <c r="J1336" s="3">
        <f t="shared" si="193"/>
        <v>0.7</v>
      </c>
    </row>
    <row r="1337" spans="2:10" x14ac:dyDescent="0.25">
      <c r="B1337" s="3">
        <f t="shared" si="194"/>
        <v>6600</v>
      </c>
      <c r="C1337" s="14">
        <f t="shared" si="195"/>
        <v>110</v>
      </c>
      <c r="D1337" s="11">
        <f t="shared" si="196"/>
        <v>1036.0166884021564</v>
      </c>
      <c r="E1337" s="24">
        <f t="shared" si="197"/>
        <v>1033.5364027258256</v>
      </c>
      <c r="F1337" s="24">
        <f t="shared" si="190"/>
        <v>62.007141908270569</v>
      </c>
      <c r="G1337" s="14">
        <f t="shared" si="191"/>
        <v>880.73208633856996</v>
      </c>
      <c r="H1337" s="24">
        <f t="shared" si="198"/>
        <v>650</v>
      </c>
      <c r="I1337" s="12">
        <f t="shared" si="192"/>
        <v>0.11587855627288486</v>
      </c>
      <c r="J1337" s="3">
        <f t="shared" si="193"/>
        <v>0.7</v>
      </c>
    </row>
    <row r="1338" spans="2:10" x14ac:dyDescent="0.25">
      <c r="B1338" s="3">
        <f t="shared" si="194"/>
        <v>6605</v>
      </c>
      <c r="C1338" s="14">
        <f t="shared" si="195"/>
        <v>110.08333333333333</v>
      </c>
      <c r="D1338" s="11">
        <f t="shared" si="196"/>
        <v>1036.1300254697819</v>
      </c>
      <c r="E1338" s="24">
        <f t="shared" si="197"/>
        <v>1033.6522812820986</v>
      </c>
      <c r="F1338" s="24">
        <f t="shared" si="190"/>
        <v>61.943604692083909</v>
      </c>
      <c r="G1338" s="14">
        <f t="shared" si="191"/>
        <v>880.0609532682696</v>
      </c>
      <c r="H1338" s="24">
        <f t="shared" si="198"/>
        <v>650</v>
      </c>
      <c r="I1338" s="12">
        <f t="shared" si="192"/>
        <v>0.11578825289992242</v>
      </c>
      <c r="J1338" s="3">
        <f t="shared" si="193"/>
        <v>0.7</v>
      </c>
    </row>
    <row r="1339" spans="2:10" x14ac:dyDescent="0.25">
      <c r="B1339" s="3">
        <f t="shared" si="194"/>
        <v>6610</v>
      </c>
      <c r="C1339" s="14">
        <f t="shared" si="195"/>
        <v>110.16666666666667</v>
      </c>
      <c r="D1339" s="11">
        <f t="shared" si="196"/>
        <v>1036.2432768706815</v>
      </c>
      <c r="E1339" s="24">
        <f t="shared" si="197"/>
        <v>1033.7680695349984</v>
      </c>
      <c r="F1339" s="24">
        <f t="shared" si="190"/>
        <v>61.880183392077015</v>
      </c>
      <c r="G1339" s="14">
        <f t="shared" si="191"/>
        <v>879.39085598652321</v>
      </c>
      <c r="H1339" s="24">
        <f t="shared" si="198"/>
        <v>650</v>
      </c>
      <c r="I1339" s="12">
        <f t="shared" si="192"/>
        <v>0.11569809109090237</v>
      </c>
      <c r="J1339" s="3">
        <f t="shared" si="193"/>
        <v>0.7</v>
      </c>
    </row>
    <row r="1340" spans="2:10" x14ac:dyDescent="0.25">
      <c r="B1340" s="3">
        <f t="shared" si="194"/>
        <v>6615</v>
      </c>
      <c r="C1340" s="14">
        <f t="shared" si="195"/>
        <v>110.25</v>
      </c>
      <c r="D1340" s="11">
        <f t="shared" si="196"/>
        <v>1036.356442734261</v>
      </c>
      <c r="E1340" s="24">
        <f t="shared" si="197"/>
        <v>1033.8837676260894</v>
      </c>
      <c r="F1340" s="24">
        <f t="shared" si="190"/>
        <v>61.816877704291073</v>
      </c>
      <c r="G1340" s="14">
        <f t="shared" si="191"/>
        <v>878.72179207499289</v>
      </c>
      <c r="H1340" s="24">
        <f t="shared" si="198"/>
        <v>650</v>
      </c>
      <c r="I1340" s="12">
        <f t="shared" si="192"/>
        <v>0.11560807051120851</v>
      </c>
      <c r="J1340" s="3">
        <f t="shared" si="193"/>
        <v>0.7</v>
      </c>
    </row>
    <row r="1341" spans="2:10" x14ac:dyDescent="0.25">
      <c r="B1341" s="3">
        <f t="shared" si="194"/>
        <v>6620</v>
      </c>
      <c r="C1341" s="14">
        <f t="shared" si="195"/>
        <v>110.33333333333333</v>
      </c>
      <c r="D1341" s="11">
        <f t="shared" si="196"/>
        <v>1036.4695231896335</v>
      </c>
      <c r="E1341" s="24">
        <f t="shared" si="197"/>
        <v>1033.9993756966005</v>
      </c>
      <c r="F1341" s="24">
        <f t="shared" si="190"/>
        <v>61.753687325824558</v>
      </c>
      <c r="G1341" s="14">
        <f t="shared" si="191"/>
        <v>878.05375912322813</v>
      </c>
      <c r="H1341" s="24">
        <f t="shared" si="198"/>
        <v>650</v>
      </c>
      <c r="I1341" s="12">
        <f t="shared" si="192"/>
        <v>0.1155181908273241</v>
      </c>
      <c r="J1341" s="3">
        <f t="shared" si="193"/>
        <v>0.7</v>
      </c>
    </row>
    <row r="1342" spans="2:10" x14ac:dyDescent="0.25">
      <c r="B1342" s="3">
        <f t="shared" si="194"/>
        <v>6625</v>
      </c>
      <c r="C1342" s="14">
        <f t="shared" si="195"/>
        <v>110.41666666666667</v>
      </c>
      <c r="D1342" s="11">
        <f t="shared" si="196"/>
        <v>1036.58251836562</v>
      </c>
      <c r="E1342" s="24">
        <f t="shared" si="197"/>
        <v>1034.1148938874278</v>
      </c>
      <c r="F1342" s="24">
        <f t="shared" si="190"/>
        <v>61.690611954804808</v>
      </c>
      <c r="G1342" s="14">
        <f t="shared" si="191"/>
        <v>877.38675472816215</v>
      </c>
      <c r="H1342" s="24">
        <f t="shared" si="198"/>
        <v>650</v>
      </c>
      <c r="I1342" s="12">
        <f t="shared" si="192"/>
        <v>0.11542845170676647</v>
      </c>
      <c r="J1342" s="3">
        <f t="shared" si="193"/>
        <v>0.7</v>
      </c>
    </row>
    <row r="1343" spans="2:10" x14ac:dyDescent="0.25">
      <c r="B1343" s="3">
        <f t="shared" si="194"/>
        <v>6630</v>
      </c>
      <c r="C1343" s="14">
        <f t="shared" si="195"/>
        <v>110.5</v>
      </c>
      <c r="D1343" s="11">
        <f t="shared" si="196"/>
        <v>1036.6954283907498</v>
      </c>
      <c r="E1343" s="24">
        <f t="shared" si="197"/>
        <v>1034.2303223391345</v>
      </c>
      <c r="F1343" s="24">
        <f t="shared" si="190"/>
        <v>61.627651290382346</v>
      </c>
      <c r="G1343" s="14">
        <f t="shared" si="191"/>
        <v>876.72077649424762</v>
      </c>
      <c r="H1343" s="24">
        <f t="shared" si="198"/>
        <v>650</v>
      </c>
      <c r="I1343" s="12">
        <f t="shared" si="192"/>
        <v>0.11533885281810292</v>
      </c>
      <c r="J1343" s="3">
        <f t="shared" si="193"/>
        <v>0.7</v>
      </c>
    </row>
    <row r="1344" spans="2:10" x14ac:dyDescent="0.25">
      <c r="B1344" s="3">
        <f t="shared" si="194"/>
        <v>6635</v>
      </c>
      <c r="C1344" s="14">
        <f t="shared" si="195"/>
        <v>110.58333333333333</v>
      </c>
      <c r="D1344" s="11">
        <f t="shared" si="196"/>
        <v>1036.808253393262</v>
      </c>
      <c r="E1344" s="24">
        <f t="shared" si="197"/>
        <v>1034.3456611919526</v>
      </c>
      <c r="F1344" s="24">
        <f t="shared" si="190"/>
        <v>61.564805032736558</v>
      </c>
      <c r="G1344" s="14">
        <f t="shared" si="191"/>
        <v>876.05582203326287</v>
      </c>
      <c r="H1344" s="24">
        <f t="shared" si="198"/>
        <v>650</v>
      </c>
      <c r="I1344" s="12">
        <f t="shared" si="192"/>
        <v>0.11524939383092775</v>
      </c>
      <c r="J1344" s="3">
        <f t="shared" si="193"/>
        <v>0.7</v>
      </c>
    </row>
    <row r="1345" spans="2:10" x14ac:dyDescent="0.25">
      <c r="B1345" s="3">
        <f t="shared" si="194"/>
        <v>6640</v>
      </c>
      <c r="C1345" s="14">
        <f t="shared" si="195"/>
        <v>110.66666666666667</v>
      </c>
      <c r="D1345" s="11">
        <f t="shared" si="196"/>
        <v>1036.9209935011072</v>
      </c>
      <c r="E1345" s="24">
        <f t="shared" si="197"/>
        <v>1034.4609105857835</v>
      </c>
      <c r="F1345" s="24">
        <f t="shared" si="190"/>
        <v>61.502072883092751</v>
      </c>
      <c r="G1345" s="14">
        <f t="shared" si="191"/>
        <v>875.3918889649126</v>
      </c>
      <c r="H1345" s="24">
        <f t="shared" si="198"/>
        <v>650</v>
      </c>
      <c r="I1345" s="12">
        <f t="shared" si="192"/>
        <v>0.11516007441593802</v>
      </c>
      <c r="J1345" s="3">
        <f t="shared" si="193"/>
        <v>0.7</v>
      </c>
    </row>
    <row r="1346" spans="2:10" x14ac:dyDescent="0.25">
      <c r="B1346" s="3">
        <f t="shared" si="194"/>
        <v>6645</v>
      </c>
      <c r="C1346" s="14">
        <f t="shared" si="195"/>
        <v>110.75</v>
      </c>
      <c r="D1346" s="11">
        <f t="shared" si="196"/>
        <v>1037.0336488419453</v>
      </c>
      <c r="E1346" s="24">
        <f t="shared" si="197"/>
        <v>1034.5760706601993</v>
      </c>
      <c r="F1346" s="24">
        <f t="shared" si="190"/>
        <v>61.439454543648253</v>
      </c>
      <c r="G1346" s="14">
        <f t="shared" si="191"/>
        <v>874.72897491578135</v>
      </c>
      <c r="H1346" s="24">
        <f t="shared" si="198"/>
        <v>650</v>
      </c>
      <c r="I1346" s="12">
        <f t="shared" si="192"/>
        <v>0.11507089424479597</v>
      </c>
      <c r="J1346" s="3">
        <f t="shared" si="193"/>
        <v>0.7</v>
      </c>
    </row>
    <row r="1347" spans="2:10" x14ac:dyDescent="0.25">
      <c r="B1347" s="3">
        <f t="shared" si="194"/>
        <v>6650</v>
      </c>
      <c r="C1347" s="14">
        <f t="shared" si="195"/>
        <v>110.83333333333333</v>
      </c>
      <c r="D1347" s="11">
        <f t="shared" si="196"/>
        <v>1037.1462195431509</v>
      </c>
      <c r="E1347" s="24">
        <f t="shared" si="197"/>
        <v>1034.6911415544441</v>
      </c>
      <c r="F1347" s="24">
        <f t="shared" si="190"/>
        <v>61.376949717669049</v>
      </c>
      <c r="G1347" s="14">
        <f t="shared" si="191"/>
        <v>874.06707752032173</v>
      </c>
      <c r="H1347" s="24">
        <f t="shared" si="198"/>
        <v>650</v>
      </c>
      <c r="I1347" s="12">
        <f t="shared" si="192"/>
        <v>0.11498185299026231</v>
      </c>
      <c r="J1347" s="3">
        <f t="shared" si="193"/>
        <v>0.7</v>
      </c>
    </row>
    <row r="1348" spans="2:10" x14ac:dyDescent="0.25">
      <c r="B1348" s="3">
        <f t="shared" si="194"/>
        <v>6655</v>
      </c>
      <c r="C1348" s="14">
        <f t="shared" si="195"/>
        <v>110.91666666666667</v>
      </c>
      <c r="D1348" s="11">
        <f t="shared" si="196"/>
        <v>1037.2587057318103</v>
      </c>
      <c r="E1348" s="24">
        <f t="shared" si="197"/>
        <v>1034.8061234074344</v>
      </c>
      <c r="F1348" s="24">
        <f t="shared" si="190"/>
        <v>61.314558109398831</v>
      </c>
      <c r="G1348" s="14">
        <f t="shared" si="191"/>
        <v>873.40619442023456</v>
      </c>
      <c r="H1348" s="24">
        <f t="shared" si="198"/>
        <v>650</v>
      </c>
      <c r="I1348" s="12">
        <f t="shared" si="192"/>
        <v>0.11489295032610881</v>
      </c>
      <c r="J1348" s="3">
        <f t="shared" si="193"/>
        <v>0.7</v>
      </c>
    </row>
    <row r="1349" spans="2:10" x14ac:dyDescent="0.25">
      <c r="B1349" s="3">
        <f t="shared" si="194"/>
        <v>6660</v>
      </c>
      <c r="C1349" s="14">
        <f t="shared" si="195"/>
        <v>111</v>
      </c>
      <c r="D1349" s="11">
        <f t="shared" si="196"/>
        <v>1037.3711075347237</v>
      </c>
      <c r="E1349" s="24">
        <f t="shared" si="197"/>
        <v>1034.9210163577604</v>
      </c>
      <c r="F1349" s="24">
        <f t="shared" si="190"/>
        <v>61.252279424081735</v>
      </c>
      <c r="G1349" s="14">
        <f t="shared" si="191"/>
        <v>872.74632326425569</v>
      </c>
      <c r="H1349" s="24">
        <f t="shared" si="198"/>
        <v>650</v>
      </c>
      <c r="I1349" s="12">
        <f t="shared" si="192"/>
        <v>0.11480418592709501</v>
      </c>
      <c r="J1349" s="3">
        <f t="shared" si="193"/>
        <v>0.7</v>
      </c>
    </row>
    <row r="1350" spans="2:10" x14ac:dyDescent="0.25">
      <c r="B1350" s="3">
        <f t="shared" si="194"/>
        <v>6665</v>
      </c>
      <c r="C1350" s="14">
        <f t="shared" si="195"/>
        <v>111.08333333333333</v>
      </c>
      <c r="D1350" s="11">
        <f t="shared" si="196"/>
        <v>1037.4834250784065</v>
      </c>
      <c r="E1350" s="24">
        <f t="shared" si="197"/>
        <v>1035.0358205436876</v>
      </c>
      <c r="F1350" s="24">
        <f t="shared" si="190"/>
        <v>61.190113367973709</v>
      </c>
      <c r="G1350" s="14">
        <f t="shared" si="191"/>
        <v>872.08746170877578</v>
      </c>
      <c r="H1350" s="24">
        <f t="shared" si="198"/>
        <v>650</v>
      </c>
      <c r="I1350" s="12">
        <f t="shared" si="192"/>
        <v>0.11471555946904566</v>
      </c>
      <c r="J1350" s="3">
        <f t="shared" si="193"/>
        <v>0.7</v>
      </c>
    </row>
    <row r="1351" spans="2:10" x14ac:dyDescent="0.25">
      <c r="B1351" s="3">
        <f t="shared" si="194"/>
        <v>6670</v>
      </c>
      <c r="C1351" s="14">
        <f t="shared" si="195"/>
        <v>111.16666666666667</v>
      </c>
      <c r="D1351" s="11">
        <f t="shared" si="196"/>
        <v>1037.5956584890901</v>
      </c>
      <c r="E1351" s="24">
        <f t="shared" si="197"/>
        <v>1035.1505361031566</v>
      </c>
      <c r="F1351" s="24">
        <f t="shared" si="190"/>
        <v>61.12805964833683</v>
      </c>
      <c r="G1351" s="14">
        <f t="shared" si="191"/>
        <v>871.42960741741445</v>
      </c>
      <c r="H1351" s="24">
        <f t="shared" si="198"/>
        <v>650</v>
      </c>
      <c r="I1351" s="12">
        <f t="shared" si="192"/>
        <v>0.11462707062879778</v>
      </c>
      <c r="J1351" s="3">
        <f t="shared" si="193"/>
        <v>0.7</v>
      </c>
    </row>
    <row r="1352" spans="2:10" x14ac:dyDescent="0.25">
      <c r="B1352" s="3">
        <f t="shared" si="194"/>
        <v>6675</v>
      </c>
      <c r="C1352" s="14">
        <f t="shared" si="195"/>
        <v>111.25</v>
      </c>
      <c r="D1352" s="11">
        <f t="shared" si="196"/>
        <v>1037.7078078927216</v>
      </c>
      <c r="E1352" s="24">
        <f t="shared" si="197"/>
        <v>1035.2651631737854</v>
      </c>
      <c r="F1352" s="24">
        <f t="shared" si="190"/>
        <v>61.066117973405198</v>
      </c>
      <c r="G1352" s="14">
        <f t="shared" si="191"/>
        <v>870.7727580609228</v>
      </c>
      <c r="H1352" s="24">
        <f t="shared" si="198"/>
        <v>650</v>
      </c>
      <c r="I1352" s="12">
        <f t="shared" si="192"/>
        <v>0.11453871908418439</v>
      </c>
      <c r="J1352" s="3">
        <f t="shared" si="193"/>
        <v>0.7</v>
      </c>
    </row>
    <row r="1353" spans="2:10" x14ac:dyDescent="0.25">
      <c r="B1353" s="3">
        <f t="shared" si="194"/>
        <v>6680</v>
      </c>
      <c r="C1353" s="14">
        <f t="shared" si="195"/>
        <v>111.33333333333333</v>
      </c>
      <c r="D1353" s="11">
        <f t="shared" si="196"/>
        <v>1037.8198734149664</v>
      </c>
      <c r="E1353" s="24">
        <f t="shared" si="197"/>
        <v>1035.3797018928697</v>
      </c>
      <c r="F1353" s="24">
        <f t="shared" si="190"/>
        <v>61.004288052419042</v>
      </c>
      <c r="G1353" s="14">
        <f t="shared" si="191"/>
        <v>870.11691131737769</v>
      </c>
      <c r="H1353" s="24">
        <f t="shared" si="198"/>
        <v>650</v>
      </c>
      <c r="I1353" s="12">
        <f t="shared" si="192"/>
        <v>0.11445050451406273</v>
      </c>
      <c r="J1353" s="3">
        <f t="shared" si="193"/>
        <v>0.7</v>
      </c>
    </row>
    <row r="1354" spans="2:10" x14ac:dyDescent="0.25">
      <c r="B1354" s="3">
        <f t="shared" si="194"/>
        <v>6685</v>
      </c>
      <c r="C1354" s="14">
        <f t="shared" si="195"/>
        <v>111.41666666666667</v>
      </c>
      <c r="D1354" s="11">
        <f t="shared" si="196"/>
        <v>1037.9318551812082</v>
      </c>
      <c r="E1354" s="24">
        <f t="shared" si="197"/>
        <v>1035.4941523973837</v>
      </c>
      <c r="F1354" s="24">
        <f t="shared" si="190"/>
        <v>60.94256959561335</v>
      </c>
      <c r="G1354" s="14">
        <f t="shared" si="191"/>
        <v>869.46206487237544</v>
      </c>
      <c r="H1354" s="24">
        <f t="shared" si="198"/>
        <v>650</v>
      </c>
      <c r="I1354" s="12">
        <f t="shared" si="192"/>
        <v>0.11436242659833651</v>
      </c>
      <c r="J1354" s="3">
        <f t="shared" si="193"/>
        <v>0.7</v>
      </c>
    </row>
    <row r="1355" spans="2:10" x14ac:dyDescent="0.25">
      <c r="B1355" s="3">
        <f t="shared" si="194"/>
        <v>6690</v>
      </c>
      <c r="C1355" s="14">
        <f t="shared" si="195"/>
        <v>111.5</v>
      </c>
      <c r="D1355" s="11">
        <f t="shared" si="196"/>
        <v>1038.0437533165482</v>
      </c>
      <c r="E1355" s="24">
        <f t="shared" si="197"/>
        <v>1035.608514823982</v>
      </c>
      <c r="F1355" s="24">
        <f t="shared" si="190"/>
        <v>60.88096231415534</v>
      </c>
      <c r="G1355" s="14">
        <f t="shared" si="191"/>
        <v>868.80821641784962</v>
      </c>
      <c r="H1355" s="24">
        <f t="shared" si="198"/>
        <v>650</v>
      </c>
      <c r="I1355" s="12">
        <f t="shared" si="192"/>
        <v>0.11427448501780302</v>
      </c>
      <c r="J1355" s="3">
        <f t="shared" si="193"/>
        <v>0.7</v>
      </c>
    </row>
    <row r="1356" spans="2:10" x14ac:dyDescent="0.25">
      <c r="B1356" s="3">
        <f t="shared" si="194"/>
        <v>6695</v>
      </c>
      <c r="C1356" s="14">
        <f t="shared" si="195"/>
        <v>111.58333333333333</v>
      </c>
      <c r="D1356" s="11">
        <f t="shared" si="196"/>
        <v>1038.1555679458099</v>
      </c>
      <c r="E1356" s="24">
        <f t="shared" si="197"/>
        <v>1035.7227893089998</v>
      </c>
      <c r="F1356" s="24">
        <f t="shared" si="190"/>
        <v>60.819465920252469</v>
      </c>
      <c r="G1356" s="14">
        <f t="shared" si="191"/>
        <v>868.15536365383434</v>
      </c>
      <c r="H1356" s="24">
        <f t="shared" si="198"/>
        <v>650</v>
      </c>
      <c r="I1356" s="12">
        <f t="shared" si="192"/>
        <v>0.11418667945438306</v>
      </c>
      <c r="J1356" s="3">
        <f t="shared" si="193"/>
        <v>0.7</v>
      </c>
    </row>
    <row r="1357" spans="2:10" x14ac:dyDescent="0.25">
      <c r="B1357" s="3">
        <f t="shared" si="194"/>
        <v>6700</v>
      </c>
      <c r="C1357" s="14">
        <f t="shared" si="195"/>
        <v>111.66666666666667</v>
      </c>
      <c r="D1357" s="11">
        <f t="shared" si="196"/>
        <v>1038.2672991935353</v>
      </c>
      <c r="E1357" s="24">
        <f t="shared" si="197"/>
        <v>1035.8369759884542</v>
      </c>
      <c r="F1357" s="24">
        <f t="shared" si="190"/>
        <v>60.75808012702737</v>
      </c>
      <c r="G1357" s="14">
        <f t="shared" si="191"/>
        <v>867.50350428668173</v>
      </c>
      <c r="H1357" s="24">
        <f t="shared" si="198"/>
        <v>650</v>
      </c>
      <c r="I1357" s="12">
        <f t="shared" si="192"/>
        <v>0.11409900959088656</v>
      </c>
      <c r="J1357" s="3">
        <f t="shared" si="193"/>
        <v>0.7</v>
      </c>
    </row>
    <row r="1358" spans="2:10" x14ac:dyDescent="0.25">
      <c r="B1358" s="3">
        <f t="shared" si="194"/>
        <v>6705</v>
      </c>
      <c r="C1358" s="14">
        <f t="shared" si="195"/>
        <v>111.75</v>
      </c>
      <c r="D1358" s="11">
        <f t="shared" si="196"/>
        <v>1038.3789471839896</v>
      </c>
      <c r="E1358" s="24">
        <f t="shared" si="197"/>
        <v>1035.9510749980452</v>
      </c>
      <c r="F1358" s="24">
        <f t="shared" si="190"/>
        <v>60.696804648608804</v>
      </c>
      <c r="G1358" s="14">
        <f t="shared" si="191"/>
        <v>866.85263603036026</v>
      </c>
      <c r="H1358" s="24">
        <f t="shared" si="198"/>
        <v>650</v>
      </c>
      <c r="I1358" s="12">
        <f t="shared" si="192"/>
        <v>0.11401147511118329</v>
      </c>
      <c r="J1358" s="3">
        <f t="shared" si="193"/>
        <v>0.7</v>
      </c>
    </row>
    <row r="1359" spans="2:10" x14ac:dyDescent="0.25">
      <c r="B1359" s="3">
        <f t="shared" si="194"/>
        <v>6710</v>
      </c>
      <c r="C1359" s="14">
        <f t="shared" si="195"/>
        <v>111.83333333333333</v>
      </c>
      <c r="D1359" s="11">
        <f t="shared" si="196"/>
        <v>1038.4905120411595</v>
      </c>
      <c r="E1359" s="24">
        <f t="shared" si="197"/>
        <v>1036.0650864731565</v>
      </c>
      <c r="F1359" s="24">
        <f t="shared" si="190"/>
        <v>60.63563920007482</v>
      </c>
      <c r="G1359" s="14">
        <f t="shared" si="191"/>
        <v>866.20275660575692</v>
      </c>
      <c r="H1359" s="24">
        <f t="shared" si="198"/>
        <v>650</v>
      </c>
      <c r="I1359" s="12">
        <f t="shared" si="192"/>
        <v>0.11392407570011008</v>
      </c>
      <c r="J1359" s="3">
        <f t="shared" si="193"/>
        <v>0.7</v>
      </c>
    </row>
    <row r="1360" spans="2:10" x14ac:dyDescent="0.25">
      <c r="B1360" s="3">
        <f t="shared" si="194"/>
        <v>6715</v>
      </c>
      <c r="C1360" s="14">
        <f t="shared" si="195"/>
        <v>111.91666666666667</v>
      </c>
      <c r="D1360" s="11">
        <f t="shared" si="196"/>
        <v>1038.6019938887555</v>
      </c>
      <c r="E1360" s="24">
        <f t="shared" si="197"/>
        <v>1036.1790105488567</v>
      </c>
      <c r="F1360" s="24">
        <f t="shared" si="190"/>
        <v>60.574583497469803</v>
      </c>
      <c r="G1360" s="14">
        <f t="shared" si="191"/>
        <v>865.55386374081297</v>
      </c>
      <c r="H1360" s="24">
        <f t="shared" si="198"/>
        <v>650</v>
      </c>
      <c r="I1360" s="12">
        <f t="shared" si="192"/>
        <v>0.11383681104348964</v>
      </c>
      <c r="J1360" s="3">
        <f t="shared" si="193"/>
        <v>0.7</v>
      </c>
    </row>
    <row r="1361" spans="2:10" x14ac:dyDescent="0.25">
      <c r="B1361" s="3">
        <f t="shared" si="194"/>
        <v>6720</v>
      </c>
      <c r="C1361" s="14">
        <f t="shared" si="195"/>
        <v>112</v>
      </c>
      <c r="D1361" s="11">
        <f t="shared" si="196"/>
        <v>1038.7133928502117</v>
      </c>
      <c r="E1361" s="24">
        <f t="shared" si="197"/>
        <v>1036.2928473599002</v>
      </c>
      <c r="F1361" s="24">
        <f t="shared" ref="F1361:F1424" si="199">AlphaC*(D1361-E1361)</f>
        <v>60.513637257787423</v>
      </c>
      <c r="G1361" s="14">
        <f t="shared" ref="G1361:G1424" si="200">Phi*EpsilonF*Botzman/10^8*J1361*((D1361+273)^4-(E1361+273)^4)</f>
        <v>864.905955170369</v>
      </c>
      <c r="H1361" s="24">
        <f t="shared" si="198"/>
        <v>650</v>
      </c>
      <c r="I1361" s="12">
        <f t="shared" ref="I1361:I1424" si="201">ksh*Massivete/(H1361*RhoA)*DeltaT*(F1361+G1361)</f>
        <v>0.11374968082810942</v>
      </c>
      <c r="J1361" s="3">
        <f t="shared" ref="J1361:J1424" si="202">IF(E1361&lt;=500,IF(Galva=Oui,0.35,0.7),0.7)</f>
        <v>0.7</v>
      </c>
    </row>
    <row r="1362" spans="2:10" x14ac:dyDescent="0.25">
      <c r="B1362" s="3">
        <f t="shared" ref="B1362:B1425" si="203">B1361+DeltaT</f>
        <v>6725</v>
      </c>
      <c r="C1362" s="14">
        <f t="shared" ref="C1362:C1425" si="204">B1362/60</f>
        <v>112.08333333333333</v>
      </c>
      <c r="D1362" s="11">
        <f t="shared" ref="D1362:D1425" si="205">20+345*LOG(8*C1362+1,10)</f>
        <v>1038.8247090486875</v>
      </c>
      <c r="E1362" s="24">
        <f t="shared" si="197"/>
        <v>1036.4065970407282</v>
      </c>
      <c r="F1362" s="24">
        <f t="shared" si="199"/>
        <v>60.452800198982004</v>
      </c>
      <c r="G1362" s="14">
        <f t="shared" si="200"/>
        <v>864.25902863635861</v>
      </c>
      <c r="H1362" s="24">
        <f t="shared" si="198"/>
        <v>650</v>
      </c>
      <c r="I1362" s="12">
        <f t="shared" si="201"/>
        <v>0.11366268474174678</v>
      </c>
      <c r="J1362" s="3">
        <f t="shared" si="202"/>
        <v>0.7</v>
      </c>
    </row>
    <row r="1363" spans="2:10" x14ac:dyDescent="0.25">
      <c r="B1363" s="3">
        <f t="shared" si="203"/>
        <v>6730</v>
      </c>
      <c r="C1363" s="14">
        <f t="shared" si="204"/>
        <v>112.16666666666667</v>
      </c>
      <c r="D1363" s="11">
        <f t="shared" si="205"/>
        <v>1038.9359426070678</v>
      </c>
      <c r="E1363" s="24">
        <f t="shared" si="197"/>
        <v>1036.5202597254699</v>
      </c>
      <c r="F1363" s="24">
        <f t="shared" si="199"/>
        <v>60.392072039945788</v>
      </c>
      <c r="G1363" s="14">
        <f t="shared" si="200"/>
        <v>863.61308188763394</v>
      </c>
      <c r="H1363" s="24">
        <f t="shared" si="198"/>
        <v>650</v>
      </c>
      <c r="I1363" s="12">
        <f t="shared" si="201"/>
        <v>0.11357582247314479</v>
      </c>
      <c r="J1363" s="3">
        <f t="shared" si="202"/>
        <v>0.7</v>
      </c>
    </row>
    <row r="1364" spans="2:10" x14ac:dyDescent="0.25">
      <c r="B1364" s="3">
        <f t="shared" si="203"/>
        <v>6735</v>
      </c>
      <c r="C1364" s="14">
        <f t="shared" si="204"/>
        <v>112.25</v>
      </c>
      <c r="D1364" s="11">
        <f t="shared" si="205"/>
        <v>1039.0470936479637</v>
      </c>
      <c r="E1364" s="24">
        <f t="shared" si="197"/>
        <v>1036.6338355479431</v>
      </c>
      <c r="F1364" s="24">
        <f t="shared" si="199"/>
        <v>60.331452500514615</v>
      </c>
      <c r="G1364" s="14">
        <f t="shared" si="200"/>
        <v>862.96811267975261</v>
      </c>
      <c r="H1364" s="24">
        <f t="shared" si="198"/>
        <v>650</v>
      </c>
      <c r="I1364" s="12">
        <f t="shared" si="201"/>
        <v>0.11348909371198672</v>
      </c>
      <c r="J1364" s="3">
        <f t="shared" si="202"/>
        <v>0.7</v>
      </c>
    </row>
    <row r="1365" spans="2:10" x14ac:dyDescent="0.25">
      <c r="B1365" s="3">
        <f t="shared" si="203"/>
        <v>6740</v>
      </c>
      <c r="C1365" s="14">
        <f t="shared" si="204"/>
        <v>112.33333333333333</v>
      </c>
      <c r="D1365" s="11">
        <f t="shared" si="205"/>
        <v>1039.1581622937147</v>
      </c>
      <c r="E1365" s="24">
        <f t="shared" si="197"/>
        <v>1036.747324641655</v>
      </c>
      <c r="F1365" s="24">
        <f t="shared" si="199"/>
        <v>60.270941301490666</v>
      </c>
      <c r="G1365" s="14">
        <f t="shared" si="200"/>
        <v>862.32411877583047</v>
      </c>
      <c r="H1365" s="24">
        <f t="shared" si="198"/>
        <v>650</v>
      </c>
      <c r="I1365" s="12">
        <f t="shared" si="201"/>
        <v>0.11340249814900363</v>
      </c>
      <c r="J1365" s="3">
        <f t="shared" si="202"/>
        <v>0.7</v>
      </c>
    </row>
    <row r="1366" spans="2:10" x14ac:dyDescent="0.25">
      <c r="B1366" s="3">
        <f t="shared" si="203"/>
        <v>6745</v>
      </c>
      <c r="C1366" s="14">
        <f t="shared" si="204"/>
        <v>112.41666666666667</v>
      </c>
      <c r="D1366" s="11">
        <f t="shared" si="205"/>
        <v>1039.2691486663871</v>
      </c>
      <c r="E1366" s="24">
        <f t="shared" si="197"/>
        <v>1036.8607271398041</v>
      </c>
      <c r="F1366" s="24">
        <f t="shared" si="199"/>
        <v>60.210538164574245</v>
      </c>
      <c r="G1366" s="14">
        <f t="shared" si="200"/>
        <v>861.68109794501038</v>
      </c>
      <c r="H1366" s="24">
        <f t="shared" si="198"/>
        <v>650</v>
      </c>
      <c r="I1366" s="12">
        <f t="shared" si="201"/>
        <v>0.11331603547577784</v>
      </c>
      <c r="J1366" s="3">
        <f t="shared" si="202"/>
        <v>0.7</v>
      </c>
    </row>
    <row r="1367" spans="2:10" x14ac:dyDescent="0.25">
      <c r="B1367" s="3">
        <f t="shared" si="203"/>
        <v>6750</v>
      </c>
      <c r="C1367" s="14">
        <f t="shared" si="204"/>
        <v>112.5</v>
      </c>
      <c r="D1367" s="11">
        <f t="shared" si="205"/>
        <v>1039.3800528877764</v>
      </c>
      <c r="E1367" s="24">
        <f t="shared" si="197"/>
        <v>1036.9740431752798</v>
      </c>
      <c r="F1367" s="24">
        <f t="shared" si="199"/>
        <v>60.150242812414945</v>
      </c>
      <c r="G1367" s="14">
        <f t="shared" si="200"/>
        <v>861.03904796381903</v>
      </c>
      <c r="H1367" s="24">
        <f t="shared" si="198"/>
        <v>650</v>
      </c>
      <c r="I1367" s="12">
        <f t="shared" si="201"/>
        <v>0.11322970538491589</v>
      </c>
      <c r="J1367" s="3">
        <f t="shared" si="202"/>
        <v>0.7</v>
      </c>
    </row>
    <row r="1368" spans="2:10" x14ac:dyDescent="0.25">
      <c r="B1368" s="3">
        <f t="shared" si="203"/>
        <v>6755</v>
      </c>
      <c r="C1368" s="14">
        <f t="shared" si="204"/>
        <v>112.58333333333333</v>
      </c>
      <c r="D1368" s="11">
        <f t="shared" si="205"/>
        <v>1039.4908750794093</v>
      </c>
      <c r="E1368" s="24">
        <f t="shared" si="197"/>
        <v>1037.0872728806646</v>
      </c>
      <c r="F1368" s="24">
        <f t="shared" si="199"/>
        <v>60.090054968617324</v>
      </c>
      <c r="G1368" s="14">
        <f t="shared" si="200"/>
        <v>860.39796661562411</v>
      </c>
      <c r="H1368" s="24">
        <f t="shared" si="198"/>
        <v>650</v>
      </c>
      <c r="I1368" s="12">
        <f t="shared" si="201"/>
        <v>0.11314350756998262</v>
      </c>
      <c r="J1368" s="3">
        <f t="shared" si="202"/>
        <v>0.7</v>
      </c>
    </row>
    <row r="1369" spans="2:10" x14ac:dyDescent="0.25">
      <c r="B1369" s="3">
        <f t="shared" si="203"/>
        <v>6760</v>
      </c>
      <c r="C1369" s="14">
        <f t="shared" si="204"/>
        <v>112.66666666666667</v>
      </c>
      <c r="D1369" s="11">
        <f t="shared" si="205"/>
        <v>1039.601615362541</v>
      </c>
      <c r="E1369" s="24">
        <f t="shared" si="197"/>
        <v>1037.2004163882345</v>
      </c>
      <c r="F1369" s="24">
        <f t="shared" si="199"/>
        <v>60.029974357661331</v>
      </c>
      <c r="G1369" s="14">
        <f t="shared" si="200"/>
        <v>859.75785169024709</v>
      </c>
      <c r="H1369" s="24">
        <f t="shared" si="198"/>
        <v>650</v>
      </c>
      <c r="I1369" s="12">
        <f t="shared" si="201"/>
        <v>0.11305744172544376</v>
      </c>
      <c r="J1369" s="3">
        <f t="shared" si="202"/>
        <v>0.7</v>
      </c>
    </row>
    <row r="1370" spans="2:10" x14ac:dyDescent="0.25">
      <c r="B1370" s="3">
        <f t="shared" si="203"/>
        <v>6765</v>
      </c>
      <c r="C1370" s="14">
        <f t="shared" si="204"/>
        <v>112.75</v>
      </c>
      <c r="D1370" s="11">
        <f t="shared" si="205"/>
        <v>1039.7122738581595</v>
      </c>
      <c r="E1370" s="24">
        <f t="shared" si="197"/>
        <v>1037.31347382996</v>
      </c>
      <c r="F1370" s="24">
        <f t="shared" si="199"/>
        <v>59.970000704987569</v>
      </c>
      <c r="G1370" s="14">
        <f t="shared" si="200"/>
        <v>859.11870098460213</v>
      </c>
      <c r="H1370" s="24">
        <f t="shared" si="198"/>
        <v>650</v>
      </c>
      <c r="I1370" s="12">
        <f t="shared" si="201"/>
        <v>0.11297150754675488</v>
      </c>
      <c r="J1370" s="3">
        <f t="shared" si="202"/>
        <v>0.7</v>
      </c>
    </row>
    <row r="1371" spans="2:10" x14ac:dyDescent="0.25">
      <c r="B1371" s="3">
        <f t="shared" si="203"/>
        <v>6770</v>
      </c>
      <c r="C1371" s="14">
        <f t="shared" si="204"/>
        <v>112.83333333333333</v>
      </c>
      <c r="D1371" s="11">
        <f t="shared" si="205"/>
        <v>1039.8228506869837</v>
      </c>
      <c r="E1371" s="24">
        <f t="shared" si="197"/>
        <v>1037.4264453375067</v>
      </c>
      <c r="F1371" s="24">
        <f t="shared" si="199"/>
        <v>59.910133736923399</v>
      </c>
      <c r="G1371" s="14">
        <f t="shared" si="200"/>
        <v>858.48051230196006</v>
      </c>
      <c r="H1371" s="24">
        <f t="shared" si="198"/>
        <v>650</v>
      </c>
      <c r="I1371" s="12">
        <f t="shared" si="201"/>
        <v>0.11288570473026192</v>
      </c>
      <c r="J1371" s="3">
        <f t="shared" si="202"/>
        <v>0.7</v>
      </c>
    </row>
    <row r="1372" spans="2:10" x14ac:dyDescent="0.25">
      <c r="B1372" s="3">
        <f t="shared" si="203"/>
        <v>6775</v>
      </c>
      <c r="C1372" s="14">
        <f t="shared" si="204"/>
        <v>112.91666666666667</v>
      </c>
      <c r="D1372" s="11">
        <f t="shared" si="205"/>
        <v>1039.9333459694672</v>
      </c>
      <c r="E1372" s="24">
        <f t="shared" si="197"/>
        <v>1037.5393310422369</v>
      </c>
      <c r="F1372" s="24">
        <f t="shared" si="199"/>
        <v>59.850373180756833</v>
      </c>
      <c r="G1372" s="14">
        <f t="shared" si="200"/>
        <v>857.84328345301446</v>
      </c>
      <c r="H1372" s="24">
        <f t="shared" si="198"/>
        <v>650</v>
      </c>
      <c r="I1372" s="12">
        <f t="shared" si="201"/>
        <v>0.1128000329733413</v>
      </c>
      <c r="J1372" s="3">
        <f t="shared" si="202"/>
        <v>0.7</v>
      </c>
    </row>
    <row r="1373" spans="2:10" x14ac:dyDescent="0.25">
      <c r="B1373" s="3">
        <f t="shared" si="203"/>
        <v>6780</v>
      </c>
      <c r="C1373" s="14">
        <f t="shared" si="204"/>
        <v>113</v>
      </c>
      <c r="D1373" s="11">
        <f t="shared" si="205"/>
        <v>1040.043759825795</v>
      </c>
      <c r="E1373" s="24">
        <f t="shared" si="197"/>
        <v>1037.6521310752103</v>
      </c>
      <c r="F1373" s="24">
        <f t="shared" si="199"/>
        <v>59.790718764617168</v>
      </c>
      <c r="G1373" s="14">
        <f t="shared" si="200"/>
        <v>857.20701225417565</v>
      </c>
      <c r="H1373" s="24">
        <f t="shared" si="198"/>
        <v>650</v>
      </c>
      <c r="I1373" s="12">
        <f t="shared" si="201"/>
        <v>0.11271449197417552</v>
      </c>
      <c r="J1373" s="3">
        <f t="shared" si="202"/>
        <v>0.7</v>
      </c>
    </row>
    <row r="1374" spans="2:10" x14ac:dyDescent="0.25">
      <c r="B1374" s="3">
        <f t="shared" si="203"/>
        <v>6785</v>
      </c>
      <c r="C1374" s="14">
        <f t="shared" si="204"/>
        <v>113.08333333333333</v>
      </c>
      <c r="D1374" s="11">
        <f t="shared" si="205"/>
        <v>1040.1540923758887</v>
      </c>
      <c r="E1374" s="24">
        <f t="shared" si="197"/>
        <v>1037.7648455671845</v>
      </c>
      <c r="F1374" s="24">
        <f t="shared" si="199"/>
        <v>59.731170217605722</v>
      </c>
      <c r="G1374" s="14">
        <f t="shared" si="200"/>
        <v>856.57169652939297</v>
      </c>
      <c r="H1374" s="24">
        <f t="shared" si="198"/>
        <v>650</v>
      </c>
      <c r="I1374" s="12">
        <f t="shared" si="201"/>
        <v>0.11262908143199318</v>
      </c>
      <c r="J1374" s="3">
        <f t="shared" si="202"/>
        <v>0.7</v>
      </c>
    </row>
    <row r="1375" spans="2:10" x14ac:dyDescent="0.25">
      <c r="B1375" s="3">
        <f t="shared" si="203"/>
        <v>6790</v>
      </c>
      <c r="C1375" s="14">
        <f t="shared" si="204"/>
        <v>113.16666666666667</v>
      </c>
      <c r="D1375" s="11">
        <f t="shared" si="205"/>
        <v>1040.2643437394038</v>
      </c>
      <c r="E1375" s="24">
        <f t="shared" si="197"/>
        <v>1037.8774746486165</v>
      </c>
      <c r="F1375" s="24">
        <f t="shared" si="199"/>
        <v>59.671727269682151</v>
      </c>
      <c r="G1375" s="14">
        <f t="shared" si="200"/>
        <v>855.93733410872028</v>
      </c>
      <c r="H1375" s="24">
        <f t="shared" si="198"/>
        <v>650</v>
      </c>
      <c r="I1375" s="12">
        <f t="shared" si="201"/>
        <v>0.11254380104687882</v>
      </c>
      <c r="J1375" s="3">
        <f t="shared" si="202"/>
        <v>0.7</v>
      </c>
    </row>
    <row r="1376" spans="2:10" x14ac:dyDescent="0.25">
      <c r="B1376" s="3">
        <f t="shared" si="203"/>
        <v>6795</v>
      </c>
      <c r="C1376" s="14">
        <f t="shared" si="204"/>
        <v>113.25</v>
      </c>
      <c r="D1376" s="11">
        <f t="shared" si="205"/>
        <v>1040.3745140357328</v>
      </c>
      <c r="E1376" s="24">
        <f t="shared" si="197"/>
        <v>1037.9900184496635</v>
      </c>
      <c r="F1376" s="24">
        <f t="shared" si="199"/>
        <v>59.612389651732656</v>
      </c>
      <c r="G1376" s="14">
        <f t="shared" si="200"/>
        <v>855.30392282914943</v>
      </c>
      <c r="H1376" s="24">
        <f t="shared" si="198"/>
        <v>650</v>
      </c>
      <c r="I1376" s="12">
        <f t="shared" si="201"/>
        <v>0.11245865051988359</v>
      </c>
      <c r="J1376" s="3">
        <f t="shared" si="202"/>
        <v>0.7</v>
      </c>
    </row>
    <row r="1377" spans="2:10" x14ac:dyDescent="0.25">
      <c r="B1377" s="3">
        <f t="shared" si="203"/>
        <v>6800</v>
      </c>
      <c r="C1377" s="14">
        <f t="shared" si="204"/>
        <v>113.33333333333333</v>
      </c>
      <c r="D1377" s="11">
        <f t="shared" si="205"/>
        <v>1040.4846033840042</v>
      </c>
      <c r="E1377" s="24">
        <f t="shared" si="197"/>
        <v>1038.1024771001833</v>
      </c>
      <c r="F1377" s="24">
        <f t="shared" si="199"/>
        <v>59.553157095524512</v>
      </c>
      <c r="G1377" s="14">
        <f t="shared" si="200"/>
        <v>854.67146053410647</v>
      </c>
      <c r="H1377" s="24">
        <f t="shared" si="198"/>
        <v>650</v>
      </c>
      <c r="I1377" s="12">
        <f t="shared" si="201"/>
        <v>0.11237362955295786</v>
      </c>
      <c r="J1377" s="3">
        <f t="shared" si="202"/>
        <v>0.7</v>
      </c>
    </row>
    <row r="1378" spans="2:10" x14ac:dyDescent="0.25">
      <c r="B1378" s="3">
        <f t="shared" si="203"/>
        <v>6805</v>
      </c>
      <c r="C1378" s="14">
        <f t="shared" si="204"/>
        <v>113.41666666666667</v>
      </c>
      <c r="D1378" s="11">
        <f t="shared" si="205"/>
        <v>1040.5946119030843</v>
      </c>
      <c r="E1378" s="24">
        <f t="shared" si="197"/>
        <v>1038.2148507297361</v>
      </c>
      <c r="F1378" s="24">
        <f t="shared" si="199"/>
        <v>59.494029333706067</v>
      </c>
      <c r="G1378" s="14">
        <f t="shared" si="200"/>
        <v>854.03994507345158</v>
      </c>
      <c r="H1378" s="24">
        <f t="shared" si="198"/>
        <v>650</v>
      </c>
      <c r="I1378" s="12">
        <f t="shared" si="201"/>
        <v>0.11228873784895113</v>
      </c>
      <c r="J1378" s="3">
        <f t="shared" si="202"/>
        <v>0.7</v>
      </c>
    </row>
    <row r="1379" spans="2:10" x14ac:dyDescent="0.25">
      <c r="B1379" s="3">
        <f t="shared" si="203"/>
        <v>6810</v>
      </c>
      <c r="C1379" s="14">
        <f t="shared" si="204"/>
        <v>113.5</v>
      </c>
      <c r="D1379" s="11">
        <f t="shared" si="205"/>
        <v>1040.7045397115785</v>
      </c>
      <c r="E1379" s="24">
        <f t="shared" si="197"/>
        <v>1038.3271394675851</v>
      </c>
      <c r="F1379" s="24">
        <f t="shared" si="199"/>
        <v>59.435006099835164</v>
      </c>
      <c r="G1379" s="14">
        <f t="shared" si="200"/>
        <v>853.40937430378904</v>
      </c>
      <c r="H1379" s="24">
        <f t="shared" si="198"/>
        <v>650</v>
      </c>
      <c r="I1379" s="12">
        <f t="shared" si="201"/>
        <v>0.11220397511165367</v>
      </c>
      <c r="J1379" s="3">
        <f t="shared" si="202"/>
        <v>0.7</v>
      </c>
    </row>
    <row r="1380" spans="2:10" x14ac:dyDescent="0.25">
      <c r="B1380" s="3">
        <f t="shared" si="203"/>
        <v>6815</v>
      </c>
      <c r="C1380" s="14">
        <f t="shared" si="204"/>
        <v>113.58333333333333</v>
      </c>
      <c r="D1380" s="11">
        <f t="shared" si="205"/>
        <v>1040.8143869278306</v>
      </c>
      <c r="E1380" s="24">
        <f t="shared" si="197"/>
        <v>1038.4393434426968</v>
      </c>
      <c r="F1380" s="24">
        <f t="shared" si="199"/>
        <v>59.376087128345034</v>
      </c>
      <c r="G1380" s="14">
        <f t="shared" si="200"/>
        <v>852.77974608825423</v>
      </c>
      <c r="H1380" s="24">
        <f t="shared" si="198"/>
        <v>650</v>
      </c>
      <c r="I1380" s="12">
        <f t="shared" si="201"/>
        <v>0.11211934104576614</v>
      </c>
      <c r="J1380" s="3">
        <f t="shared" si="202"/>
        <v>0.7</v>
      </c>
    </row>
    <row r="1381" spans="2:10" x14ac:dyDescent="0.25">
      <c r="B1381" s="3">
        <f t="shared" si="203"/>
        <v>6820</v>
      </c>
      <c r="C1381" s="14">
        <f t="shared" si="204"/>
        <v>113.66666666666667</v>
      </c>
      <c r="D1381" s="11">
        <f t="shared" si="205"/>
        <v>1040.9241536699244</v>
      </c>
      <c r="E1381" s="24">
        <f t="shared" si="197"/>
        <v>1038.5514627837426</v>
      </c>
      <c r="F1381" s="24">
        <f t="shared" si="199"/>
        <v>59.317272154544298</v>
      </c>
      <c r="G1381" s="14">
        <f t="shared" si="200"/>
        <v>852.15105829633922</v>
      </c>
      <c r="H1381" s="24">
        <f t="shared" si="198"/>
        <v>650</v>
      </c>
      <c r="I1381" s="12">
        <f t="shared" si="201"/>
        <v>0.11203483535687812</v>
      </c>
      <c r="J1381" s="3">
        <f t="shared" si="202"/>
        <v>0.7</v>
      </c>
    </row>
    <row r="1382" spans="2:10" x14ac:dyDescent="0.25">
      <c r="B1382" s="3">
        <f t="shared" si="203"/>
        <v>6825</v>
      </c>
      <c r="C1382" s="14">
        <f t="shared" si="204"/>
        <v>113.75</v>
      </c>
      <c r="D1382" s="11">
        <f t="shared" si="205"/>
        <v>1041.0338400556843</v>
      </c>
      <c r="E1382" s="24">
        <f t="shared" si="197"/>
        <v>1038.6634976190994</v>
      </c>
      <c r="F1382" s="24">
        <f t="shared" si="199"/>
        <v>59.258560914622649</v>
      </c>
      <c r="G1382" s="14">
        <f t="shared" si="200"/>
        <v>851.52330880398927</v>
      </c>
      <c r="H1382" s="24">
        <f t="shared" si="198"/>
        <v>650</v>
      </c>
      <c r="I1382" s="12">
        <f t="shared" si="201"/>
        <v>0.11195045775148073</v>
      </c>
      <c r="J1382" s="3">
        <f t="shared" si="202"/>
        <v>0.7</v>
      </c>
    </row>
    <row r="1383" spans="2:10" x14ac:dyDescent="0.25">
      <c r="B1383" s="3">
        <f t="shared" si="203"/>
        <v>6830</v>
      </c>
      <c r="C1383" s="14">
        <f t="shared" si="204"/>
        <v>113.83333333333333</v>
      </c>
      <c r="D1383" s="11">
        <f t="shared" si="205"/>
        <v>1041.1434462026764</v>
      </c>
      <c r="E1383" s="24">
        <f t="shared" si="197"/>
        <v>1038.7754480768508</v>
      </c>
      <c r="F1383" s="24">
        <f t="shared" si="199"/>
        <v>59.199953145639483</v>
      </c>
      <c r="G1383" s="14">
        <f t="shared" si="200"/>
        <v>850.89649549368107</v>
      </c>
      <c r="H1383" s="24">
        <f t="shared" si="198"/>
        <v>650</v>
      </c>
      <c r="I1383" s="12">
        <f t="shared" si="201"/>
        <v>0.11186620793697477</v>
      </c>
      <c r="J1383" s="3">
        <f t="shared" si="202"/>
        <v>0.7</v>
      </c>
    </row>
    <row r="1384" spans="2:10" x14ac:dyDescent="0.25">
      <c r="B1384" s="3">
        <f t="shared" si="203"/>
        <v>6835</v>
      </c>
      <c r="C1384" s="14">
        <f t="shared" si="204"/>
        <v>113.91666666666667</v>
      </c>
      <c r="D1384" s="11">
        <f t="shared" si="205"/>
        <v>1041.252972228209</v>
      </c>
      <c r="E1384" s="24">
        <f t="shared" si="197"/>
        <v>1038.8873142847879</v>
      </c>
      <c r="F1384" s="24">
        <f t="shared" si="199"/>
        <v>59.141448585529588</v>
      </c>
      <c r="G1384" s="14">
        <f t="shared" si="200"/>
        <v>850.27061625428632</v>
      </c>
      <c r="H1384" s="24">
        <f t="shared" si="198"/>
        <v>650</v>
      </c>
      <c r="I1384" s="12">
        <f t="shared" si="201"/>
        <v>0.11178208562165473</v>
      </c>
      <c r="J1384" s="3">
        <f t="shared" si="202"/>
        <v>0.7</v>
      </c>
    </row>
    <row r="1385" spans="2:10" x14ac:dyDescent="0.25">
      <c r="B1385" s="3">
        <f t="shared" si="203"/>
        <v>6840</v>
      </c>
      <c r="C1385" s="14">
        <f t="shared" si="204"/>
        <v>114</v>
      </c>
      <c r="D1385" s="11">
        <f t="shared" si="205"/>
        <v>1041.3624182493331</v>
      </c>
      <c r="E1385" s="24">
        <f t="shared" si="197"/>
        <v>1038.9990963704095</v>
      </c>
      <c r="F1385" s="24">
        <f t="shared" si="199"/>
        <v>59.083046973091768</v>
      </c>
      <c r="G1385" s="14">
        <f t="shared" si="200"/>
        <v>849.64566898103351</v>
      </c>
      <c r="H1385" s="24">
        <f t="shared" si="198"/>
        <v>650</v>
      </c>
      <c r="I1385" s="12">
        <f t="shared" si="201"/>
        <v>0.11169809051470266</v>
      </c>
      <c r="J1385" s="3">
        <f t="shared" si="202"/>
        <v>0.7</v>
      </c>
    </row>
    <row r="1386" spans="2:10" x14ac:dyDescent="0.25">
      <c r="B1386" s="3">
        <f t="shared" si="203"/>
        <v>6845</v>
      </c>
      <c r="C1386" s="14">
        <f t="shared" si="204"/>
        <v>114.08333333333333</v>
      </c>
      <c r="D1386" s="11">
        <f t="shared" si="205"/>
        <v>1041.4717843828435</v>
      </c>
      <c r="E1386" s="24">
        <f t="shared" si="197"/>
        <v>1039.1107944609241</v>
      </c>
      <c r="F1386" s="24">
        <f t="shared" si="199"/>
        <v>59.024748047983167</v>
      </c>
      <c r="G1386" s="14">
        <f t="shared" si="200"/>
        <v>849.02165157558522</v>
      </c>
      <c r="H1386" s="24">
        <f t="shared" si="198"/>
        <v>650</v>
      </c>
      <c r="I1386" s="12">
        <f t="shared" si="201"/>
        <v>0.11161422232619693</v>
      </c>
      <c r="J1386" s="3">
        <f t="shared" si="202"/>
        <v>0.7</v>
      </c>
    </row>
    <row r="1387" spans="2:10" x14ac:dyDescent="0.25">
      <c r="B1387" s="3">
        <f t="shared" si="203"/>
        <v>6850</v>
      </c>
      <c r="C1387" s="14">
        <f t="shared" si="204"/>
        <v>114.16666666666667</v>
      </c>
      <c r="D1387" s="11">
        <f t="shared" si="205"/>
        <v>1041.5810707452792</v>
      </c>
      <c r="E1387" s="24">
        <f t="shared" si="197"/>
        <v>1039.2224086832503</v>
      </c>
      <c r="F1387" s="24">
        <f t="shared" si="199"/>
        <v>58.966551550724944</v>
      </c>
      <c r="G1387" s="14">
        <f t="shared" si="200"/>
        <v>848.39856194586366</v>
      </c>
      <c r="H1387" s="24">
        <f t="shared" si="198"/>
        <v>650</v>
      </c>
      <c r="I1387" s="12">
        <f t="shared" si="201"/>
        <v>0.11153048076709159</v>
      </c>
      <c r="J1387" s="3">
        <f t="shared" si="202"/>
        <v>0.7</v>
      </c>
    </row>
    <row r="1388" spans="2:10" x14ac:dyDescent="0.25">
      <c r="B1388" s="3">
        <f t="shared" si="203"/>
        <v>6855</v>
      </c>
      <c r="C1388" s="14">
        <f t="shared" si="204"/>
        <v>114.25</v>
      </c>
      <c r="D1388" s="11">
        <f t="shared" si="205"/>
        <v>1041.6902774529244</v>
      </c>
      <c r="E1388" s="24">
        <f t="shared" si="197"/>
        <v>1039.3339391640172</v>
      </c>
      <c r="F1388" s="24">
        <f t="shared" si="199"/>
        <v>58.908457222679544</v>
      </c>
      <c r="G1388" s="14">
        <f t="shared" si="200"/>
        <v>847.77639800595409</v>
      </c>
      <c r="H1388" s="24">
        <f t="shared" si="198"/>
        <v>650</v>
      </c>
      <c r="I1388" s="12">
        <f t="shared" si="201"/>
        <v>0.11144686554920158</v>
      </c>
      <c r="J1388" s="3">
        <f t="shared" si="202"/>
        <v>0.7</v>
      </c>
    </row>
    <row r="1389" spans="2:10" x14ac:dyDescent="0.25">
      <c r="B1389" s="3">
        <f t="shared" si="203"/>
        <v>6860</v>
      </c>
      <c r="C1389" s="14">
        <f t="shared" si="204"/>
        <v>114.33333333333333</v>
      </c>
      <c r="D1389" s="11">
        <f t="shared" si="205"/>
        <v>1041.7994046218103</v>
      </c>
      <c r="E1389" s="24">
        <f t="shared" si="197"/>
        <v>1039.4453860295664</v>
      </c>
      <c r="F1389" s="24">
        <f t="shared" si="199"/>
        <v>58.85046480609617</v>
      </c>
      <c r="G1389" s="14">
        <f t="shared" si="200"/>
        <v>847.15515767676311</v>
      </c>
      <c r="H1389" s="24">
        <f t="shared" si="198"/>
        <v>650</v>
      </c>
      <c r="I1389" s="12">
        <f t="shared" si="201"/>
        <v>0.11136337638528933</v>
      </c>
      <c r="J1389" s="3">
        <f t="shared" si="202"/>
        <v>0.7</v>
      </c>
    </row>
    <row r="1390" spans="2:10" x14ac:dyDescent="0.25">
      <c r="B1390" s="3">
        <f t="shared" si="203"/>
        <v>6865</v>
      </c>
      <c r="C1390" s="14">
        <f t="shared" si="204"/>
        <v>114.41666666666667</v>
      </c>
      <c r="D1390" s="11">
        <f t="shared" si="205"/>
        <v>1041.9084523677129</v>
      </c>
      <c r="E1390" s="24">
        <f t="shared" si="197"/>
        <v>1039.5567494059517</v>
      </c>
      <c r="F1390" s="24">
        <f t="shared" si="199"/>
        <v>58.792574044031198</v>
      </c>
      <c r="G1390" s="14">
        <f t="shared" si="200"/>
        <v>846.53483888487585</v>
      </c>
      <c r="H1390" s="24">
        <f t="shared" si="198"/>
        <v>650</v>
      </c>
      <c r="I1390" s="12">
        <f t="shared" si="201"/>
        <v>0.11128001298891449</v>
      </c>
      <c r="J1390" s="3">
        <f t="shared" si="202"/>
        <v>0.7</v>
      </c>
    </row>
    <row r="1391" spans="2:10" x14ac:dyDescent="0.25">
      <c r="B1391" s="3">
        <f t="shared" si="203"/>
        <v>6870</v>
      </c>
      <c r="C1391" s="14">
        <f t="shared" si="204"/>
        <v>114.5</v>
      </c>
      <c r="D1391" s="11">
        <f t="shared" si="205"/>
        <v>1042.0174208061571</v>
      </c>
      <c r="E1391" s="24">
        <f t="shared" si="197"/>
        <v>1039.6680294189407</v>
      </c>
      <c r="F1391" s="24">
        <f t="shared" si="199"/>
        <v>58.734784680410712</v>
      </c>
      <c r="G1391" s="14">
        <f t="shared" si="200"/>
        <v>845.91543956340854</v>
      </c>
      <c r="H1391" s="24">
        <f t="shared" si="198"/>
        <v>650</v>
      </c>
      <c r="I1391" s="12">
        <f t="shared" si="201"/>
        <v>0.11119677507454634</v>
      </c>
      <c r="J1391" s="3">
        <f t="shared" si="202"/>
        <v>0.7</v>
      </c>
    </row>
    <row r="1392" spans="2:10" x14ac:dyDescent="0.25">
      <c r="B1392" s="3">
        <f t="shared" si="203"/>
        <v>6875</v>
      </c>
      <c r="C1392" s="14">
        <f t="shared" si="204"/>
        <v>114.58333333333333</v>
      </c>
      <c r="D1392" s="11">
        <f t="shared" si="205"/>
        <v>1042.1263100524152</v>
      </c>
      <c r="E1392" s="24">
        <f t="shared" si="197"/>
        <v>1039.7792261940153</v>
      </c>
      <c r="F1392" s="24">
        <f t="shared" si="199"/>
        <v>58.677096459996392</v>
      </c>
      <c r="G1392" s="14">
        <f t="shared" si="200"/>
        <v>845.29695765165934</v>
      </c>
      <c r="H1392" s="24">
        <f t="shared" si="198"/>
        <v>650</v>
      </c>
      <c r="I1392" s="12">
        <f t="shared" si="201"/>
        <v>0.11111366235751677</v>
      </c>
      <c r="J1392" s="3">
        <f t="shared" si="202"/>
        <v>0.7</v>
      </c>
    </row>
    <row r="1393" spans="2:10" x14ac:dyDescent="0.25">
      <c r="B1393" s="3">
        <f t="shared" si="203"/>
        <v>6880</v>
      </c>
      <c r="C1393" s="14">
        <f t="shared" si="204"/>
        <v>114.66666666666667</v>
      </c>
      <c r="D1393" s="11">
        <f t="shared" si="205"/>
        <v>1042.2351202215086</v>
      </c>
      <c r="E1393" s="24">
        <f t="shared" si="197"/>
        <v>1039.8903398563727</v>
      </c>
      <c r="F1393" s="24">
        <f t="shared" si="199"/>
        <v>58.619509128396885</v>
      </c>
      <c r="G1393" s="14">
        <f t="shared" si="200"/>
        <v>844.67939109532188</v>
      </c>
      <c r="H1393" s="24">
        <f t="shared" si="198"/>
        <v>650</v>
      </c>
      <c r="I1393" s="12">
        <f t="shared" si="201"/>
        <v>0.11103067455404787</v>
      </c>
      <c r="J1393" s="3">
        <f t="shared" si="202"/>
        <v>0.7</v>
      </c>
    </row>
    <row r="1394" spans="2:10" x14ac:dyDescent="0.25">
      <c r="B1394" s="3">
        <f t="shared" si="203"/>
        <v>6885</v>
      </c>
      <c r="C1394" s="14">
        <f t="shared" si="204"/>
        <v>114.75</v>
      </c>
      <c r="D1394" s="11">
        <f t="shared" si="205"/>
        <v>1042.3438514282084</v>
      </c>
      <c r="E1394" s="24">
        <f t="shared" si="197"/>
        <v>1040.0013705309268</v>
      </c>
      <c r="F1394" s="24">
        <f t="shared" si="199"/>
        <v>58.562022432039385</v>
      </c>
      <c r="G1394" s="14">
        <f t="shared" si="200"/>
        <v>844.06273784584585</v>
      </c>
      <c r="H1394" s="24">
        <f t="shared" si="198"/>
        <v>650</v>
      </c>
      <c r="I1394" s="12">
        <f t="shared" si="201"/>
        <v>0.11094781138116989</v>
      </c>
      <c r="J1394" s="3">
        <f t="shared" si="202"/>
        <v>0.7</v>
      </c>
    </row>
    <row r="1395" spans="2:10" x14ac:dyDescent="0.25">
      <c r="B1395" s="3">
        <f t="shared" si="203"/>
        <v>6890</v>
      </c>
      <c r="C1395" s="14">
        <f t="shared" si="204"/>
        <v>114.83333333333333</v>
      </c>
      <c r="D1395" s="11">
        <f t="shared" si="205"/>
        <v>1042.4525037870353</v>
      </c>
      <c r="E1395" s="24">
        <f t="shared" si="197"/>
        <v>1040.1123183423081</v>
      </c>
      <c r="F1395" s="24">
        <f t="shared" si="199"/>
        <v>58.504636118180997</v>
      </c>
      <c r="G1395" s="14">
        <f t="shared" si="200"/>
        <v>843.44699586103729</v>
      </c>
      <c r="H1395" s="24">
        <f t="shared" si="198"/>
        <v>650</v>
      </c>
      <c r="I1395" s="12">
        <f t="shared" si="201"/>
        <v>0.11086507255679637</v>
      </c>
      <c r="J1395" s="3">
        <f t="shared" si="202"/>
        <v>0.7</v>
      </c>
    </row>
    <row r="1396" spans="2:10" x14ac:dyDescent="0.25">
      <c r="B1396" s="3">
        <f t="shared" si="203"/>
        <v>6895</v>
      </c>
      <c r="C1396" s="14">
        <f t="shared" si="204"/>
        <v>114.91666666666667</v>
      </c>
      <c r="D1396" s="11">
        <f t="shared" si="205"/>
        <v>1042.5610774122624</v>
      </c>
      <c r="E1396" s="24">
        <f t="shared" ref="E1396:E1459" si="206">E1395+I1395</f>
        <v>1040.2231834148649</v>
      </c>
      <c r="F1396" s="24">
        <f t="shared" si="199"/>
        <v>58.447349934937165</v>
      </c>
      <c r="G1396" s="14">
        <f t="shared" si="200"/>
        <v>842.83216310509749</v>
      </c>
      <c r="H1396" s="24">
        <f t="shared" ref="H1396:H1459" si="207">IF(E1396&lt;600,425+0.773*E1396-1.69/1000*E1396^2+2.22/1000^2*E1396^3,IF(E1396&lt;735,666+13002/(738-E1396),IF(E1396&lt;900,545+17820/(E1396-731),650)))</f>
        <v>650</v>
      </c>
      <c r="I1396" s="12">
        <f t="shared" si="201"/>
        <v>0.11078245779973242</v>
      </c>
      <c r="J1396" s="3">
        <f t="shared" si="202"/>
        <v>0.7</v>
      </c>
    </row>
    <row r="1397" spans="2:10" x14ac:dyDescent="0.25">
      <c r="B1397" s="3">
        <f t="shared" si="203"/>
        <v>6900</v>
      </c>
      <c r="C1397" s="14">
        <f t="shared" si="204"/>
        <v>115</v>
      </c>
      <c r="D1397" s="11">
        <f t="shared" si="205"/>
        <v>1042.6695724179128</v>
      </c>
      <c r="E1397" s="24">
        <f t="shared" si="206"/>
        <v>1040.3339658726647</v>
      </c>
      <c r="F1397" s="24">
        <f t="shared" si="199"/>
        <v>58.390163631202086</v>
      </c>
      <c r="G1397" s="14">
        <f t="shared" si="200"/>
        <v>842.21823754765433</v>
      </c>
      <c r="H1397" s="24">
        <f t="shared" si="207"/>
        <v>650</v>
      </c>
      <c r="I1397" s="12">
        <f t="shared" si="201"/>
        <v>0.11069996682954594</v>
      </c>
      <c r="J1397" s="3">
        <f t="shared" si="202"/>
        <v>0.7</v>
      </c>
    </row>
    <row r="1398" spans="2:10" x14ac:dyDescent="0.25">
      <c r="B1398" s="3">
        <f t="shared" si="203"/>
        <v>6905</v>
      </c>
      <c r="C1398" s="14">
        <f t="shared" si="204"/>
        <v>115.08333333333333</v>
      </c>
      <c r="D1398" s="11">
        <f t="shared" si="205"/>
        <v>1042.7779889177637</v>
      </c>
      <c r="E1398" s="24">
        <f t="shared" si="206"/>
        <v>1040.4446658394943</v>
      </c>
      <c r="F1398" s="24">
        <f t="shared" si="199"/>
        <v>58.333076956733976</v>
      </c>
      <c r="G1398" s="14">
        <f t="shared" si="200"/>
        <v>841.60521716523499</v>
      </c>
      <c r="H1398" s="24">
        <f t="shared" si="207"/>
        <v>650</v>
      </c>
      <c r="I1398" s="12">
        <f t="shared" si="201"/>
        <v>0.11061759936675902</v>
      </c>
      <c r="J1398" s="3">
        <f t="shared" si="202"/>
        <v>0.7</v>
      </c>
    </row>
    <row r="1399" spans="2:10" x14ac:dyDescent="0.25">
      <c r="B1399" s="3">
        <f t="shared" si="203"/>
        <v>6910</v>
      </c>
      <c r="C1399" s="14">
        <f t="shared" si="204"/>
        <v>115.16666666666667</v>
      </c>
      <c r="D1399" s="11">
        <f t="shared" si="205"/>
        <v>1042.8863270253448</v>
      </c>
      <c r="E1399" s="24">
        <f t="shared" si="206"/>
        <v>1040.5552834388611</v>
      </c>
      <c r="F1399" s="24">
        <f t="shared" si="199"/>
        <v>58.276089662092545</v>
      </c>
      <c r="G1399" s="14">
        <f t="shared" si="200"/>
        <v>840.99309993998656</v>
      </c>
      <c r="H1399" s="24">
        <f t="shared" si="207"/>
        <v>650</v>
      </c>
      <c r="I1399" s="12">
        <f t="shared" si="201"/>
        <v>0.11053535513268309</v>
      </c>
      <c r="J1399" s="3">
        <f t="shared" si="202"/>
        <v>0.7</v>
      </c>
    </row>
    <row r="1400" spans="2:10" x14ac:dyDescent="0.25">
      <c r="B1400" s="3">
        <f t="shared" si="203"/>
        <v>6915</v>
      </c>
      <c r="C1400" s="14">
        <f t="shared" si="204"/>
        <v>115.25</v>
      </c>
      <c r="D1400" s="11">
        <f t="shared" si="205"/>
        <v>1042.9945868539394</v>
      </c>
      <c r="E1400" s="24">
        <f t="shared" si="206"/>
        <v>1040.6658187939938</v>
      </c>
      <c r="F1400" s="24">
        <f t="shared" si="199"/>
        <v>58.219201498638995</v>
      </c>
      <c r="G1400" s="14">
        <f t="shared" si="200"/>
        <v>840.3818838599866</v>
      </c>
      <c r="H1400" s="24">
        <f t="shared" si="207"/>
        <v>650</v>
      </c>
      <c r="I1400" s="12">
        <f t="shared" si="201"/>
        <v>0.11045323384945702</v>
      </c>
      <c r="J1400" s="3">
        <f t="shared" si="202"/>
        <v>0.7</v>
      </c>
    </row>
    <row r="1401" spans="2:10" x14ac:dyDescent="0.25">
      <c r="B1401" s="3">
        <f t="shared" si="203"/>
        <v>6920</v>
      </c>
      <c r="C1401" s="14">
        <f t="shared" si="204"/>
        <v>115.33333333333333</v>
      </c>
      <c r="D1401" s="11">
        <f t="shared" si="205"/>
        <v>1043.1027685165864</v>
      </c>
      <c r="E1401" s="24">
        <f t="shared" si="206"/>
        <v>1040.7762720278433</v>
      </c>
      <c r="F1401" s="24">
        <f t="shared" si="199"/>
        <v>58.16241221857581</v>
      </c>
      <c r="G1401" s="14">
        <f t="shared" si="200"/>
        <v>839.77156691972721</v>
      </c>
      <c r="H1401" s="24">
        <f t="shared" si="207"/>
        <v>650</v>
      </c>
      <c r="I1401" s="12">
        <f t="shared" si="201"/>
        <v>0.11037123524011157</v>
      </c>
      <c r="J1401" s="3">
        <f t="shared" si="202"/>
        <v>0.7</v>
      </c>
    </row>
    <row r="1402" spans="2:10" x14ac:dyDescent="0.25">
      <c r="B1402" s="3">
        <f t="shared" si="203"/>
        <v>6925</v>
      </c>
      <c r="C1402" s="14">
        <f t="shared" si="204"/>
        <v>115.41666666666667</v>
      </c>
      <c r="D1402" s="11">
        <f t="shared" si="205"/>
        <v>1043.2108721260786</v>
      </c>
      <c r="E1402" s="24">
        <f t="shared" si="206"/>
        <v>1040.8866432630834</v>
      </c>
      <c r="F1402" s="24">
        <f t="shared" si="199"/>
        <v>58.105721574878544</v>
      </c>
      <c r="G1402" s="14">
        <f t="shared" si="200"/>
        <v>839.16214711916575</v>
      </c>
      <c r="H1402" s="24">
        <f t="shared" si="207"/>
        <v>650</v>
      </c>
      <c r="I1402" s="12">
        <f t="shared" si="201"/>
        <v>0.11028935902844429</v>
      </c>
      <c r="J1402" s="3">
        <f t="shared" si="202"/>
        <v>0.7</v>
      </c>
    </row>
    <row r="1403" spans="2:10" x14ac:dyDescent="0.25">
      <c r="B1403" s="3">
        <f t="shared" si="203"/>
        <v>6930</v>
      </c>
      <c r="C1403" s="14">
        <f t="shared" si="204"/>
        <v>115.5</v>
      </c>
      <c r="D1403" s="11">
        <f t="shared" si="205"/>
        <v>1043.318897794966</v>
      </c>
      <c r="E1403" s="24">
        <f t="shared" si="206"/>
        <v>1040.9969326221119</v>
      </c>
      <c r="F1403" s="24">
        <f t="shared" si="199"/>
        <v>58.049129321352666</v>
      </c>
      <c r="G1403" s="14">
        <f t="shared" si="200"/>
        <v>838.55362246465495</v>
      </c>
      <c r="H1403" s="24">
        <f t="shared" si="207"/>
        <v>650</v>
      </c>
      <c r="I1403" s="12">
        <f t="shared" si="201"/>
        <v>0.11020760493914082</v>
      </c>
      <c r="J1403" s="3">
        <f t="shared" si="202"/>
        <v>0.7</v>
      </c>
    </row>
    <row r="1404" spans="2:10" x14ac:dyDescent="0.25">
      <c r="B1404" s="3">
        <f t="shared" si="203"/>
        <v>6935</v>
      </c>
      <c r="C1404" s="14">
        <f t="shared" si="204"/>
        <v>115.58333333333333</v>
      </c>
      <c r="D1404" s="11">
        <f t="shared" si="205"/>
        <v>1043.4268456355551</v>
      </c>
      <c r="E1404" s="24">
        <f t="shared" si="206"/>
        <v>1041.1071402270511</v>
      </c>
      <c r="F1404" s="24">
        <f t="shared" si="199"/>
        <v>57.992635212599453</v>
      </c>
      <c r="G1404" s="14">
        <f t="shared" si="200"/>
        <v>837.9459909683228</v>
      </c>
      <c r="H1404" s="24">
        <f t="shared" si="207"/>
        <v>650</v>
      </c>
      <c r="I1404" s="12">
        <f t="shared" si="201"/>
        <v>0.11012597269769452</v>
      </c>
      <c r="J1404" s="3">
        <f t="shared" si="202"/>
        <v>0.7</v>
      </c>
    </row>
    <row r="1405" spans="2:10" x14ac:dyDescent="0.25">
      <c r="B1405" s="3">
        <f t="shared" si="203"/>
        <v>6940</v>
      </c>
      <c r="C1405" s="14">
        <f t="shared" si="204"/>
        <v>115.66666666666667</v>
      </c>
      <c r="D1405" s="11">
        <f t="shared" si="205"/>
        <v>1043.5347157599097</v>
      </c>
      <c r="E1405" s="24">
        <f t="shared" si="206"/>
        <v>1041.2172661997488</v>
      </c>
      <c r="F1405" s="24">
        <f t="shared" si="199"/>
        <v>57.936239004021672</v>
      </c>
      <c r="G1405" s="14">
        <f t="shared" si="200"/>
        <v>837.33925064834352</v>
      </c>
      <c r="H1405" s="24">
        <f t="shared" si="207"/>
        <v>650</v>
      </c>
      <c r="I1405" s="12">
        <f t="shared" si="201"/>
        <v>0.11004446203044042</v>
      </c>
      <c r="J1405" s="3">
        <f t="shared" si="202"/>
        <v>0.7</v>
      </c>
    </row>
    <row r="1406" spans="2:10" x14ac:dyDescent="0.25">
      <c r="B1406" s="3">
        <f t="shared" si="203"/>
        <v>6945</v>
      </c>
      <c r="C1406" s="14">
        <f t="shared" si="204"/>
        <v>115.75</v>
      </c>
      <c r="D1406" s="11">
        <f t="shared" si="205"/>
        <v>1043.6425082798514</v>
      </c>
      <c r="E1406" s="24">
        <f t="shared" si="206"/>
        <v>1041.3273106617792</v>
      </c>
      <c r="F1406" s="24">
        <f t="shared" si="199"/>
        <v>57.879940451806533</v>
      </c>
      <c r="G1406" s="14">
        <f t="shared" si="200"/>
        <v>836.73339952862818</v>
      </c>
      <c r="H1406" s="24">
        <f t="shared" si="207"/>
        <v>650</v>
      </c>
      <c r="I1406" s="12">
        <f t="shared" si="201"/>
        <v>0.10996307266451517</v>
      </c>
      <c r="J1406" s="3">
        <f t="shared" si="202"/>
        <v>0.7</v>
      </c>
    </row>
    <row r="1407" spans="2:10" x14ac:dyDescent="0.25">
      <c r="B1407" s="3">
        <f t="shared" si="203"/>
        <v>6950</v>
      </c>
      <c r="C1407" s="14">
        <f t="shared" si="204"/>
        <v>115.83333333333333</v>
      </c>
      <c r="D1407" s="11">
        <f t="shared" si="205"/>
        <v>1043.7502233069613</v>
      </c>
      <c r="E1407" s="24">
        <f t="shared" si="206"/>
        <v>1041.4372737344436</v>
      </c>
      <c r="F1407" s="24">
        <f t="shared" si="199"/>
        <v>57.823739312942735</v>
      </c>
      <c r="G1407" s="14">
        <f t="shared" si="200"/>
        <v>836.12843563903709</v>
      </c>
      <c r="H1407" s="24">
        <f t="shared" si="207"/>
        <v>650</v>
      </c>
      <c r="I1407" s="12">
        <f t="shared" si="201"/>
        <v>0.10988180432788518</v>
      </c>
      <c r="J1407" s="3">
        <f t="shared" si="202"/>
        <v>0.7</v>
      </c>
    </row>
    <row r="1408" spans="2:10" x14ac:dyDescent="0.25">
      <c r="B1408" s="3">
        <f t="shared" si="203"/>
        <v>6955</v>
      </c>
      <c r="C1408" s="14">
        <f t="shared" si="204"/>
        <v>115.91666666666667</v>
      </c>
      <c r="D1408" s="11">
        <f t="shared" si="205"/>
        <v>1043.8578609525794</v>
      </c>
      <c r="E1408" s="24">
        <f t="shared" si="206"/>
        <v>1041.5471555387714</v>
      </c>
      <c r="F1408" s="24">
        <f t="shared" si="199"/>
        <v>57.767635345197732</v>
      </c>
      <c r="G1408" s="14">
        <f t="shared" si="200"/>
        <v>835.52435701520608</v>
      </c>
      <c r="H1408" s="24">
        <f t="shared" si="207"/>
        <v>650</v>
      </c>
      <c r="I1408" s="12">
        <f t="shared" si="201"/>
        <v>0.10980065674932245</v>
      </c>
      <c r="J1408" s="3">
        <f t="shared" si="202"/>
        <v>0.7</v>
      </c>
    </row>
    <row r="1409" spans="2:10" x14ac:dyDescent="0.25">
      <c r="B1409" s="3">
        <f t="shared" si="203"/>
        <v>6960</v>
      </c>
      <c r="C1409" s="14">
        <f t="shared" si="204"/>
        <v>116</v>
      </c>
      <c r="D1409" s="11">
        <f t="shared" si="205"/>
        <v>1043.9654213278063</v>
      </c>
      <c r="E1409" s="24">
        <f t="shared" si="206"/>
        <v>1041.6569561955207</v>
      </c>
      <c r="F1409" s="24">
        <f t="shared" si="199"/>
        <v>57.711628307140472</v>
      </c>
      <c r="G1409" s="14">
        <f t="shared" si="200"/>
        <v>834.92116169883673</v>
      </c>
      <c r="H1409" s="24">
        <f t="shared" si="207"/>
        <v>650</v>
      </c>
      <c r="I1409" s="12">
        <f t="shared" si="201"/>
        <v>0.10971962965844315</v>
      </c>
      <c r="J1409" s="3">
        <f t="shared" si="202"/>
        <v>0.7</v>
      </c>
    </row>
    <row r="1410" spans="2:10" x14ac:dyDescent="0.25">
      <c r="B1410" s="3">
        <f t="shared" si="203"/>
        <v>6965</v>
      </c>
      <c r="C1410" s="14">
        <f t="shared" si="204"/>
        <v>116.08333333333333</v>
      </c>
      <c r="D1410" s="11">
        <f t="shared" si="205"/>
        <v>1044.0729045435035</v>
      </c>
      <c r="E1410" s="24">
        <f t="shared" si="206"/>
        <v>1041.7666758251792</v>
      </c>
      <c r="F1410" s="24">
        <f t="shared" si="199"/>
        <v>57.655717958107289</v>
      </c>
      <c r="G1410" s="14">
        <f t="shared" si="200"/>
        <v>834.31884773707634</v>
      </c>
      <c r="H1410" s="24">
        <f t="shared" si="207"/>
        <v>650</v>
      </c>
      <c r="I1410" s="12">
        <f t="shared" si="201"/>
        <v>0.1096387227856271</v>
      </c>
      <c r="J1410" s="3">
        <f t="shared" si="202"/>
        <v>0.7</v>
      </c>
    </row>
    <row r="1411" spans="2:10" x14ac:dyDescent="0.25">
      <c r="B1411" s="3">
        <f t="shared" si="203"/>
        <v>6970</v>
      </c>
      <c r="C1411" s="14">
        <f t="shared" si="204"/>
        <v>116.16666666666667</v>
      </c>
      <c r="D1411" s="11">
        <f t="shared" si="205"/>
        <v>1044.1803107102942</v>
      </c>
      <c r="E1411" s="24">
        <f t="shared" si="206"/>
        <v>1041.8763145479647</v>
      </c>
      <c r="F1411" s="24">
        <f t="shared" si="199"/>
        <v>57.599904058236007</v>
      </c>
      <c r="G1411" s="14">
        <f t="shared" si="200"/>
        <v>833.7174131834289</v>
      </c>
      <c r="H1411" s="24">
        <f t="shared" si="207"/>
        <v>650</v>
      </c>
      <c r="I1411" s="12">
        <f t="shared" si="201"/>
        <v>0.10955793586213398</v>
      </c>
      <c r="J1411" s="3">
        <f t="shared" si="202"/>
        <v>0.7</v>
      </c>
    </row>
    <row r="1412" spans="2:10" x14ac:dyDescent="0.25">
      <c r="B1412" s="3">
        <f t="shared" si="203"/>
        <v>6975</v>
      </c>
      <c r="C1412" s="14">
        <f t="shared" si="204"/>
        <v>116.25</v>
      </c>
      <c r="D1412" s="11">
        <f t="shared" si="205"/>
        <v>1044.2876399385632</v>
      </c>
      <c r="E1412" s="24">
        <f t="shared" si="206"/>
        <v>1041.9858724838268</v>
      </c>
      <c r="F1412" s="24">
        <f t="shared" si="199"/>
        <v>57.5441863684091</v>
      </c>
      <c r="G1412" s="14">
        <f t="shared" si="200"/>
        <v>833.11685609651465</v>
      </c>
      <c r="H1412" s="24">
        <f t="shared" si="207"/>
        <v>650</v>
      </c>
      <c r="I1412" s="12">
        <f t="shared" si="201"/>
        <v>0.1094772686199439</v>
      </c>
      <c r="J1412" s="3">
        <f t="shared" si="202"/>
        <v>0.7</v>
      </c>
    </row>
    <row r="1413" spans="2:10" x14ac:dyDescent="0.25">
      <c r="B1413" s="3">
        <f t="shared" si="203"/>
        <v>6980</v>
      </c>
      <c r="C1413" s="14">
        <f t="shared" si="204"/>
        <v>116.33333333333333</v>
      </c>
      <c r="D1413" s="11">
        <f t="shared" si="205"/>
        <v>1044.3948923384589</v>
      </c>
      <c r="E1413" s="24">
        <f t="shared" si="206"/>
        <v>1042.0953497524467</v>
      </c>
      <c r="F1413" s="24">
        <f t="shared" si="199"/>
        <v>57.488564650304852</v>
      </c>
      <c r="G1413" s="14">
        <f t="shared" si="200"/>
        <v>832.517174541136</v>
      </c>
      <c r="H1413" s="24">
        <f t="shared" si="207"/>
        <v>650</v>
      </c>
      <c r="I1413" s="12">
        <f t="shared" si="201"/>
        <v>0.10939672079189466</v>
      </c>
      <c r="J1413" s="3">
        <f t="shared" si="202"/>
        <v>0.7</v>
      </c>
    </row>
    <row r="1414" spans="2:10" x14ac:dyDescent="0.25">
      <c r="B1414" s="3">
        <f t="shared" si="203"/>
        <v>6985</v>
      </c>
      <c r="C1414" s="14">
        <f t="shared" si="204"/>
        <v>116.41666666666667</v>
      </c>
      <c r="D1414" s="11">
        <f t="shared" si="205"/>
        <v>1044.5020680198934</v>
      </c>
      <c r="E1414" s="24">
        <f t="shared" si="206"/>
        <v>1042.2047464732386</v>
      </c>
      <c r="F1414" s="24">
        <f t="shared" si="199"/>
        <v>57.43303866636893</v>
      </c>
      <c r="G1414" s="14">
        <f t="shared" si="200"/>
        <v>831.91836658777368</v>
      </c>
      <c r="H1414" s="24">
        <f t="shared" si="207"/>
        <v>650</v>
      </c>
      <c r="I1414" s="12">
        <f t="shared" si="201"/>
        <v>0.10931629211161636</v>
      </c>
      <c r="J1414" s="3">
        <f t="shared" si="202"/>
        <v>0.7</v>
      </c>
    </row>
    <row r="1415" spans="2:10" x14ac:dyDescent="0.25">
      <c r="B1415" s="3">
        <f t="shared" si="203"/>
        <v>6990</v>
      </c>
      <c r="C1415" s="14">
        <f t="shared" si="204"/>
        <v>116.5</v>
      </c>
      <c r="D1415" s="11">
        <f t="shared" si="205"/>
        <v>1044.6091670925423</v>
      </c>
      <c r="E1415" s="24">
        <f t="shared" si="206"/>
        <v>1042.3140627653502</v>
      </c>
      <c r="F1415" s="24">
        <f t="shared" si="199"/>
        <v>57.377608179803019</v>
      </c>
      <c r="G1415" s="14">
        <f t="shared" si="200"/>
        <v>831.32043031229603</v>
      </c>
      <c r="H1415" s="24">
        <f t="shared" si="207"/>
        <v>650</v>
      </c>
      <c r="I1415" s="12">
        <f t="shared" si="201"/>
        <v>0.10923598231349427</v>
      </c>
      <c r="J1415" s="3">
        <f t="shared" si="202"/>
        <v>0.7</v>
      </c>
    </row>
    <row r="1416" spans="2:10" x14ac:dyDescent="0.25">
      <c r="B1416" s="3">
        <f t="shared" si="203"/>
        <v>6995</v>
      </c>
      <c r="C1416" s="14">
        <f t="shared" si="204"/>
        <v>116.58333333333333</v>
      </c>
      <c r="D1416" s="11">
        <f t="shared" si="205"/>
        <v>1044.7161896658474</v>
      </c>
      <c r="E1416" s="24">
        <f t="shared" si="206"/>
        <v>1042.4232987476637</v>
      </c>
      <c r="F1416" s="24">
        <f t="shared" si="199"/>
        <v>57.322272954593245</v>
      </c>
      <c r="G1416" s="14">
        <f t="shared" si="200"/>
        <v>830.72336379683111</v>
      </c>
      <c r="H1416" s="24">
        <f t="shared" si="207"/>
        <v>650</v>
      </c>
      <c r="I1416" s="12">
        <f t="shared" si="201"/>
        <v>0.10915579113277943</v>
      </c>
      <c r="J1416" s="3">
        <f t="shared" si="202"/>
        <v>0.7</v>
      </c>
    </row>
    <row r="1417" spans="2:10" x14ac:dyDescent="0.25">
      <c r="B1417" s="3">
        <f t="shared" si="203"/>
        <v>7000</v>
      </c>
      <c r="C1417" s="14">
        <f t="shared" si="204"/>
        <v>116.66666666666667</v>
      </c>
      <c r="D1417" s="11">
        <f t="shared" si="205"/>
        <v>1044.823135849015</v>
      </c>
      <c r="E1417" s="24">
        <f t="shared" si="206"/>
        <v>1042.5324545387964</v>
      </c>
      <c r="F1417" s="24">
        <f t="shared" si="199"/>
        <v>57.267032755464697</v>
      </c>
      <c r="G1417" s="14">
        <f t="shared" si="200"/>
        <v>830.12716512862312</v>
      </c>
      <c r="H1417" s="24">
        <f t="shared" si="207"/>
        <v>650</v>
      </c>
      <c r="I1417" s="12">
        <f t="shared" si="201"/>
        <v>0.10907571830544267</v>
      </c>
      <c r="J1417" s="3">
        <f t="shared" si="202"/>
        <v>0.7</v>
      </c>
    </row>
    <row r="1418" spans="2:10" x14ac:dyDescent="0.25">
      <c r="B1418" s="3">
        <f t="shared" si="203"/>
        <v>7005</v>
      </c>
      <c r="C1418" s="14">
        <f t="shared" si="204"/>
        <v>116.75</v>
      </c>
      <c r="D1418" s="11">
        <f t="shared" si="205"/>
        <v>1044.9300057510186</v>
      </c>
      <c r="E1418" s="24">
        <f t="shared" si="206"/>
        <v>1042.6415302571017</v>
      </c>
      <c r="F1418" s="24">
        <f t="shared" si="199"/>
        <v>57.21188734792122</v>
      </c>
      <c r="G1418" s="14">
        <f t="shared" si="200"/>
        <v>829.53183240090493</v>
      </c>
      <c r="H1418" s="24">
        <f t="shared" si="207"/>
        <v>650</v>
      </c>
      <c r="I1418" s="12">
        <f t="shared" si="201"/>
        <v>0.10899576356828659</v>
      </c>
      <c r="J1418" s="3">
        <f t="shared" si="202"/>
        <v>0.7</v>
      </c>
    </row>
    <row r="1419" spans="2:10" x14ac:dyDescent="0.25">
      <c r="B1419" s="3">
        <f t="shared" si="203"/>
        <v>7010</v>
      </c>
      <c r="C1419" s="14">
        <f t="shared" si="204"/>
        <v>116.83333333333333</v>
      </c>
      <c r="D1419" s="11">
        <f t="shared" si="205"/>
        <v>1045.0367994805979</v>
      </c>
      <c r="E1419" s="24">
        <f t="shared" si="206"/>
        <v>1042.7505260206701</v>
      </c>
      <c r="F1419" s="24">
        <f t="shared" si="199"/>
        <v>57.156836498194252</v>
      </c>
      <c r="G1419" s="14">
        <f t="shared" si="200"/>
        <v>828.93736371225805</v>
      </c>
      <c r="H1419" s="24">
        <f t="shared" si="207"/>
        <v>650</v>
      </c>
      <c r="I1419" s="12">
        <f t="shared" si="201"/>
        <v>0.10891592665886068</v>
      </c>
      <c r="J1419" s="3">
        <f t="shared" si="202"/>
        <v>0.7</v>
      </c>
    </row>
    <row r="1420" spans="2:10" x14ac:dyDescent="0.25">
      <c r="B1420" s="3">
        <f t="shared" si="203"/>
        <v>7015</v>
      </c>
      <c r="C1420" s="14">
        <f t="shared" si="204"/>
        <v>116.91666666666667</v>
      </c>
      <c r="D1420" s="11">
        <f t="shared" si="205"/>
        <v>1045.1435171462608</v>
      </c>
      <c r="E1420" s="24">
        <f t="shared" si="206"/>
        <v>1042.8594419473291</v>
      </c>
      <c r="F1420" s="24">
        <f t="shared" si="199"/>
        <v>57.10187997329399</v>
      </c>
      <c r="G1420" s="14">
        <f t="shared" si="200"/>
        <v>828.34375716709735</v>
      </c>
      <c r="H1420" s="24">
        <f t="shared" si="207"/>
        <v>650</v>
      </c>
      <c r="I1420" s="12">
        <f t="shared" si="201"/>
        <v>0.10883620731552718</v>
      </c>
      <c r="J1420" s="3">
        <f t="shared" si="202"/>
        <v>0.7</v>
      </c>
    </row>
    <row r="1421" spans="2:10" x14ac:dyDescent="0.25">
      <c r="B1421" s="3">
        <f t="shared" si="203"/>
        <v>7020</v>
      </c>
      <c r="C1421" s="14">
        <f t="shared" si="204"/>
        <v>117</v>
      </c>
      <c r="D1421" s="11">
        <f t="shared" si="205"/>
        <v>1045.2501588562834</v>
      </c>
      <c r="E1421" s="24">
        <f t="shared" si="206"/>
        <v>1042.9682781546446</v>
      </c>
      <c r="F1421" s="24">
        <f t="shared" si="199"/>
        <v>57.047017540969591</v>
      </c>
      <c r="G1421" s="14">
        <f t="shared" si="200"/>
        <v>827.75101087532221</v>
      </c>
      <c r="H1421" s="24">
        <f t="shared" si="207"/>
        <v>650</v>
      </c>
      <c r="I1421" s="12">
        <f t="shared" si="201"/>
        <v>0.10875660527741328</v>
      </c>
      <c r="J1421" s="3">
        <f t="shared" si="202"/>
        <v>0.7</v>
      </c>
    </row>
    <row r="1422" spans="2:10" x14ac:dyDescent="0.25">
      <c r="B1422" s="3">
        <f t="shared" si="203"/>
        <v>7025</v>
      </c>
      <c r="C1422" s="14">
        <f t="shared" si="204"/>
        <v>117.08333333333333</v>
      </c>
      <c r="D1422" s="11">
        <f t="shared" si="205"/>
        <v>1045.3567247187107</v>
      </c>
      <c r="E1422" s="24">
        <f t="shared" si="206"/>
        <v>1043.0770347599221</v>
      </c>
      <c r="F1422" s="24">
        <f t="shared" si="199"/>
        <v>56.992248969714865</v>
      </c>
      <c r="G1422" s="14">
        <f t="shared" si="200"/>
        <v>827.15912295247165</v>
      </c>
      <c r="H1422" s="24">
        <f t="shared" si="207"/>
        <v>650</v>
      </c>
      <c r="I1422" s="12">
        <f t="shared" si="201"/>
        <v>0.1086771202844309</v>
      </c>
      <c r="J1422" s="3">
        <f t="shared" si="202"/>
        <v>0.7</v>
      </c>
    </row>
    <row r="1423" spans="2:10" x14ac:dyDescent="0.25">
      <c r="B1423" s="3">
        <f t="shared" si="203"/>
        <v>7030</v>
      </c>
      <c r="C1423" s="14">
        <f t="shared" si="204"/>
        <v>117.16666666666667</v>
      </c>
      <c r="D1423" s="11">
        <f t="shared" si="205"/>
        <v>1045.4632148413573</v>
      </c>
      <c r="E1423" s="24">
        <f t="shared" si="206"/>
        <v>1043.1857118802066</v>
      </c>
      <c r="F1423" s="24">
        <f t="shared" si="199"/>
        <v>56.937574028768267</v>
      </c>
      <c r="G1423" s="14">
        <f t="shared" si="200"/>
        <v>826.56809151945288</v>
      </c>
      <c r="H1423" s="24">
        <f t="shared" si="207"/>
        <v>650</v>
      </c>
      <c r="I1423" s="12">
        <f t="shared" si="201"/>
        <v>0.10859775207724337</v>
      </c>
      <c r="J1423" s="3">
        <f t="shared" si="202"/>
        <v>0.7</v>
      </c>
    </row>
    <row r="1424" spans="2:10" x14ac:dyDescent="0.25">
      <c r="B1424" s="3">
        <f t="shared" si="203"/>
        <v>7035</v>
      </c>
      <c r="C1424" s="14">
        <f t="shared" si="204"/>
        <v>117.25</v>
      </c>
      <c r="D1424" s="11">
        <f t="shared" si="205"/>
        <v>1045.5696293318081</v>
      </c>
      <c r="E1424" s="24">
        <f t="shared" si="206"/>
        <v>1043.2943096322838</v>
      </c>
      <c r="F1424" s="24">
        <f t="shared" si="199"/>
        <v>56.88299248810722</v>
      </c>
      <c r="G1424" s="14">
        <f t="shared" si="200"/>
        <v>825.97791470283187</v>
      </c>
      <c r="H1424" s="24">
        <f t="shared" si="207"/>
        <v>650</v>
      </c>
      <c r="I1424" s="12">
        <f t="shared" si="201"/>
        <v>0.10851850039730038</v>
      </c>
      <c r="J1424" s="3">
        <f t="shared" si="202"/>
        <v>0.7</v>
      </c>
    </row>
    <row r="1425" spans="2:10" x14ac:dyDescent="0.25">
      <c r="B1425" s="3">
        <f t="shared" si="203"/>
        <v>7040</v>
      </c>
      <c r="C1425" s="14">
        <f t="shared" si="204"/>
        <v>117.33333333333333</v>
      </c>
      <c r="D1425" s="11">
        <f t="shared" si="205"/>
        <v>1045.6759682974191</v>
      </c>
      <c r="E1425" s="24">
        <f t="shared" si="206"/>
        <v>1043.4028281326812</v>
      </c>
      <c r="F1425" s="24">
        <f t="shared" ref="F1425:F1488" si="208">AlphaC*(D1425-E1425)</f>
        <v>56.828504118448109</v>
      </c>
      <c r="G1425" s="14">
        <f t="shared" ref="G1425:G1488" si="209">Phi*EpsilonF*Botzman/10^8*J1425*((D1425+273)^4-(E1425+273)^4)</f>
        <v>825.38859063467874</v>
      </c>
      <c r="H1425" s="24">
        <f t="shared" si="207"/>
        <v>650</v>
      </c>
      <c r="I1425" s="12">
        <f t="shared" ref="I1425:I1488" si="210">ksh*Massivete/(H1425*RhoA)*DeltaT*(F1425+G1425)</f>
        <v>0.10843936498681901</v>
      </c>
      <c r="J1425" s="3">
        <f t="shared" ref="J1425:J1488" si="211">IF(E1425&lt;=500,IF(Galva=Oui,0.35,0.7),0.7)</f>
        <v>0.7</v>
      </c>
    </row>
    <row r="1426" spans="2:10" x14ac:dyDescent="0.25">
      <c r="B1426" s="3">
        <f t="shared" ref="B1426:B1489" si="212">B1425+DeltaT</f>
        <v>7045</v>
      </c>
      <c r="C1426" s="14">
        <f t="shared" ref="C1426:C1489" si="213">B1426/60</f>
        <v>117.41666666666667</v>
      </c>
      <c r="D1426" s="11">
        <f t="shared" ref="D1426:D1489" si="214">20+345*LOG(8*C1426+1,10)</f>
        <v>1045.7822318453179</v>
      </c>
      <c r="E1426" s="24">
        <f t="shared" si="206"/>
        <v>1043.5112674976681</v>
      </c>
      <c r="F1426" s="24">
        <f t="shared" si="208"/>
        <v>56.774108691246283</v>
      </c>
      <c r="G1426" s="14">
        <f t="shared" si="209"/>
        <v>824.80011745256741</v>
      </c>
      <c r="H1426" s="24">
        <f t="shared" si="207"/>
        <v>650</v>
      </c>
      <c r="I1426" s="12">
        <f t="shared" si="210"/>
        <v>0.10836034558878367</v>
      </c>
      <c r="J1426" s="3">
        <f t="shared" si="211"/>
        <v>0.7</v>
      </c>
    </row>
    <row r="1427" spans="2:10" x14ac:dyDescent="0.25">
      <c r="B1427" s="3">
        <f t="shared" si="212"/>
        <v>7050</v>
      </c>
      <c r="C1427" s="14">
        <f t="shared" si="213"/>
        <v>117.5</v>
      </c>
      <c r="D1427" s="11">
        <f t="shared" si="214"/>
        <v>1045.8884200824034</v>
      </c>
      <c r="E1427" s="24">
        <f t="shared" si="206"/>
        <v>1043.6196278432569</v>
      </c>
      <c r="F1427" s="24">
        <f t="shared" si="208"/>
        <v>56.719805978661952</v>
      </c>
      <c r="G1427" s="14">
        <f t="shared" si="209"/>
        <v>824.21249329912973</v>
      </c>
      <c r="H1427" s="24">
        <f t="shared" si="207"/>
        <v>650</v>
      </c>
      <c r="I1427" s="12">
        <f t="shared" si="210"/>
        <v>0.10828144194688713</v>
      </c>
      <c r="J1427" s="3">
        <f t="shared" si="211"/>
        <v>0.7</v>
      </c>
    </row>
    <row r="1428" spans="2:10" x14ac:dyDescent="0.25">
      <c r="B1428" s="3">
        <f t="shared" si="212"/>
        <v>7055</v>
      </c>
      <c r="C1428" s="14">
        <f t="shared" si="213"/>
        <v>117.58333333333333</v>
      </c>
      <c r="D1428" s="11">
        <f t="shared" si="214"/>
        <v>1045.9945331153492</v>
      </c>
      <c r="E1428" s="24">
        <f t="shared" si="206"/>
        <v>1043.7279092852039</v>
      </c>
      <c r="F1428" s="24">
        <f t="shared" si="208"/>
        <v>56.665595753634079</v>
      </c>
      <c r="G1428" s="14">
        <f t="shared" si="209"/>
        <v>823.62571632321885</v>
      </c>
      <c r="H1428" s="24">
        <f t="shared" si="207"/>
        <v>650</v>
      </c>
      <c r="I1428" s="12">
        <f t="shared" si="210"/>
        <v>0.10820265380568257</v>
      </c>
      <c r="J1428" s="3">
        <f t="shared" si="211"/>
        <v>0.7</v>
      </c>
    </row>
    <row r="1429" spans="2:10" x14ac:dyDescent="0.25">
      <c r="B1429" s="3">
        <f t="shared" si="212"/>
        <v>7060</v>
      </c>
      <c r="C1429" s="14">
        <f t="shared" si="213"/>
        <v>117.66666666666667</v>
      </c>
      <c r="D1429" s="11">
        <f t="shared" si="214"/>
        <v>1046.1005710506006</v>
      </c>
      <c r="E1429" s="24">
        <f t="shared" si="206"/>
        <v>1043.8361119390095</v>
      </c>
      <c r="F1429" s="24">
        <f t="shared" si="208"/>
        <v>56.611477789778064</v>
      </c>
      <c r="G1429" s="14">
        <f t="shared" si="209"/>
        <v>823.03978467833895</v>
      </c>
      <c r="H1429" s="24">
        <f t="shared" si="207"/>
        <v>650</v>
      </c>
      <c r="I1429" s="12">
        <f t="shared" si="210"/>
        <v>0.10812398091037805</v>
      </c>
      <c r="J1429" s="3">
        <f t="shared" si="211"/>
        <v>0.7</v>
      </c>
    </row>
    <row r="1430" spans="2:10" x14ac:dyDescent="0.25">
      <c r="B1430" s="3">
        <f t="shared" si="212"/>
        <v>7065</v>
      </c>
      <c r="C1430" s="14">
        <f t="shared" si="213"/>
        <v>117.75</v>
      </c>
      <c r="D1430" s="11">
        <f t="shared" si="214"/>
        <v>1046.2065339943781</v>
      </c>
      <c r="E1430" s="24">
        <f t="shared" si="206"/>
        <v>1043.9442359199199</v>
      </c>
      <c r="F1430" s="24">
        <f t="shared" si="208"/>
        <v>56.557451861453956</v>
      </c>
      <c r="G1430" s="14">
        <f t="shared" si="209"/>
        <v>822.45469652378847</v>
      </c>
      <c r="H1430" s="24">
        <f t="shared" si="207"/>
        <v>650</v>
      </c>
      <c r="I1430" s="12">
        <f t="shared" si="210"/>
        <v>0.10804542300698529</v>
      </c>
      <c r="J1430" s="3">
        <f t="shared" si="211"/>
        <v>0.7</v>
      </c>
    </row>
    <row r="1431" spans="2:10" x14ac:dyDescent="0.25">
      <c r="B1431" s="3">
        <f t="shared" si="212"/>
        <v>7070</v>
      </c>
      <c r="C1431" s="14">
        <f t="shared" si="213"/>
        <v>117.83333333333333</v>
      </c>
      <c r="D1431" s="11">
        <f t="shared" si="214"/>
        <v>1046.312422052677</v>
      </c>
      <c r="E1431" s="24">
        <f t="shared" si="206"/>
        <v>1044.052281342927</v>
      </c>
      <c r="F1431" s="24">
        <f t="shared" si="208"/>
        <v>56.503517743749399</v>
      </c>
      <c r="G1431" s="14">
        <f t="shared" si="209"/>
        <v>821.87045002431216</v>
      </c>
      <c r="H1431" s="24">
        <f t="shared" si="207"/>
        <v>650</v>
      </c>
      <c r="I1431" s="12">
        <f t="shared" si="210"/>
        <v>0.10796697984227496</v>
      </c>
      <c r="J1431" s="3">
        <f t="shared" si="211"/>
        <v>0.7</v>
      </c>
    </row>
    <row r="1432" spans="2:10" x14ac:dyDescent="0.25">
      <c r="B1432" s="3">
        <f t="shared" si="212"/>
        <v>7075</v>
      </c>
      <c r="C1432" s="14">
        <f t="shared" si="213"/>
        <v>117.91666666666667</v>
      </c>
      <c r="D1432" s="11">
        <f t="shared" si="214"/>
        <v>1046.4182353312672</v>
      </c>
      <c r="E1432" s="24">
        <f t="shared" si="206"/>
        <v>1044.1602483227693</v>
      </c>
      <c r="F1432" s="24">
        <f t="shared" si="208"/>
        <v>56.449675212445527</v>
      </c>
      <c r="G1432" s="14">
        <f t="shared" si="209"/>
        <v>821.28704334959627</v>
      </c>
      <c r="H1432" s="24">
        <f t="shared" si="207"/>
        <v>650</v>
      </c>
      <c r="I1432" s="12">
        <f t="shared" si="210"/>
        <v>0.10788865116371033</v>
      </c>
      <c r="J1432" s="3">
        <f t="shared" si="211"/>
        <v>0.7</v>
      </c>
    </row>
    <row r="1433" spans="2:10" x14ac:dyDescent="0.25">
      <c r="B1433" s="3">
        <f t="shared" si="212"/>
        <v>7080</v>
      </c>
      <c r="C1433" s="14">
        <f t="shared" si="213"/>
        <v>118</v>
      </c>
      <c r="D1433" s="11">
        <f t="shared" si="214"/>
        <v>1046.5239739356955</v>
      </c>
      <c r="E1433" s="24">
        <f t="shared" si="206"/>
        <v>1044.268136973933</v>
      </c>
      <c r="F1433" s="24">
        <f t="shared" si="208"/>
        <v>56.39592404406244</v>
      </c>
      <c r="G1433" s="14">
        <f t="shared" si="209"/>
        <v>820.70447467510246</v>
      </c>
      <c r="H1433" s="24">
        <f t="shared" si="207"/>
        <v>650</v>
      </c>
      <c r="I1433" s="12">
        <f t="shared" si="210"/>
        <v>0.10781043671955541</v>
      </c>
      <c r="J1433" s="3">
        <f t="shared" si="211"/>
        <v>0.7</v>
      </c>
    </row>
    <row r="1434" spans="2:10" x14ac:dyDescent="0.25">
      <c r="B1434" s="3">
        <f t="shared" si="212"/>
        <v>7085</v>
      </c>
      <c r="C1434" s="14">
        <f t="shared" si="213"/>
        <v>118.08333333333333</v>
      </c>
      <c r="D1434" s="11">
        <f t="shared" si="214"/>
        <v>1046.6296379712853</v>
      </c>
      <c r="E1434" s="24">
        <f t="shared" si="206"/>
        <v>1044.3759474106525</v>
      </c>
      <c r="F1434" s="24">
        <f t="shared" si="208"/>
        <v>56.34226401581941</v>
      </c>
      <c r="G1434" s="14">
        <f t="shared" si="209"/>
        <v>820.12274218146649</v>
      </c>
      <c r="H1434" s="24">
        <f t="shared" si="207"/>
        <v>650</v>
      </c>
      <c r="I1434" s="12">
        <f t="shared" si="210"/>
        <v>0.10773233625879614</v>
      </c>
      <c r="J1434" s="3">
        <f t="shared" si="211"/>
        <v>0.7</v>
      </c>
    </row>
    <row r="1435" spans="2:10" x14ac:dyDescent="0.25">
      <c r="B1435" s="3">
        <f t="shared" si="212"/>
        <v>7090</v>
      </c>
      <c r="C1435" s="14">
        <f t="shared" si="213"/>
        <v>118.16666666666667</v>
      </c>
      <c r="D1435" s="11">
        <f t="shared" si="214"/>
        <v>1046.7352275431369</v>
      </c>
      <c r="E1435" s="24">
        <f t="shared" si="206"/>
        <v>1044.4836797469113</v>
      </c>
      <c r="F1435" s="24">
        <f t="shared" si="208"/>
        <v>56.288694905640568</v>
      </c>
      <c r="G1435" s="14">
        <f t="shared" si="209"/>
        <v>819.54184405455715</v>
      </c>
      <c r="H1435" s="24">
        <f t="shared" si="207"/>
        <v>650</v>
      </c>
      <c r="I1435" s="12">
        <f t="shared" si="210"/>
        <v>0.10765434953114829</v>
      </c>
      <c r="J1435" s="3">
        <f t="shared" si="211"/>
        <v>0.7</v>
      </c>
    </row>
    <row r="1436" spans="2:10" x14ac:dyDescent="0.25">
      <c r="B1436" s="3">
        <f t="shared" si="212"/>
        <v>7095</v>
      </c>
      <c r="C1436" s="14">
        <f t="shared" si="213"/>
        <v>118.25</v>
      </c>
      <c r="D1436" s="11">
        <f t="shared" si="214"/>
        <v>1046.8407427561292</v>
      </c>
      <c r="E1436" s="24">
        <f t="shared" si="206"/>
        <v>1044.5913340964426</v>
      </c>
      <c r="F1436" s="24">
        <f t="shared" si="208"/>
        <v>56.235216492166273</v>
      </c>
      <c r="G1436" s="14">
        <f t="shared" si="209"/>
        <v>818.96177848551406</v>
      </c>
      <c r="H1436" s="24">
        <f t="shared" si="207"/>
        <v>650</v>
      </c>
      <c r="I1436" s="12">
        <f t="shared" si="210"/>
        <v>0.10757647628706359</v>
      </c>
      <c r="J1436" s="3">
        <f t="shared" si="211"/>
        <v>0.7</v>
      </c>
    </row>
    <row r="1437" spans="2:10" x14ac:dyDescent="0.25">
      <c r="B1437" s="3">
        <f t="shared" si="212"/>
        <v>7100</v>
      </c>
      <c r="C1437" s="14">
        <f t="shared" si="213"/>
        <v>118.33333333333333</v>
      </c>
      <c r="D1437" s="11">
        <f t="shared" si="214"/>
        <v>1046.9461837149188</v>
      </c>
      <c r="E1437" s="24">
        <f t="shared" si="206"/>
        <v>1044.6989105727296</v>
      </c>
      <c r="F1437" s="24">
        <f t="shared" si="208"/>
        <v>56.181828554730373</v>
      </c>
      <c r="G1437" s="14">
        <f t="shared" si="209"/>
        <v>818.38254367084562</v>
      </c>
      <c r="H1437" s="24">
        <f t="shared" si="207"/>
        <v>650</v>
      </c>
      <c r="I1437" s="12">
        <f t="shared" si="210"/>
        <v>0.1074987162777389</v>
      </c>
      <c r="J1437" s="3">
        <f t="shared" si="211"/>
        <v>0.7</v>
      </c>
    </row>
    <row r="1438" spans="2:10" x14ac:dyDescent="0.25">
      <c r="B1438" s="3">
        <f t="shared" si="212"/>
        <v>7105</v>
      </c>
      <c r="C1438" s="14">
        <f t="shared" si="213"/>
        <v>118.41666666666667</v>
      </c>
      <c r="D1438" s="11">
        <f t="shared" si="214"/>
        <v>1047.0515505239423</v>
      </c>
      <c r="E1438" s="24">
        <f t="shared" si="206"/>
        <v>1044.8064092890072</v>
      </c>
      <c r="F1438" s="24">
        <f t="shared" si="208"/>
        <v>56.128530873377258</v>
      </c>
      <c r="G1438" s="14">
        <f t="shared" si="209"/>
        <v>817.80413781231164</v>
      </c>
      <c r="H1438" s="24">
        <f t="shared" si="207"/>
        <v>650</v>
      </c>
      <c r="I1438" s="12">
        <f t="shared" si="210"/>
        <v>0.10742106925510389</v>
      </c>
      <c r="J1438" s="3">
        <f t="shared" si="211"/>
        <v>0.7</v>
      </c>
    </row>
    <row r="1439" spans="2:10" x14ac:dyDescent="0.25">
      <c r="B1439" s="3">
        <f t="shared" si="212"/>
        <v>7110</v>
      </c>
      <c r="C1439" s="14">
        <f t="shared" si="213"/>
        <v>118.5</v>
      </c>
      <c r="D1439" s="11">
        <f t="shared" si="214"/>
        <v>1047.1568432874158</v>
      </c>
      <c r="E1439" s="24">
        <f t="shared" si="206"/>
        <v>1044.9138303582622</v>
      </c>
      <c r="F1439" s="24">
        <f t="shared" si="208"/>
        <v>56.075323228839125</v>
      </c>
      <c r="G1439" s="14">
        <f t="shared" si="209"/>
        <v>817.22655911669176</v>
      </c>
      <c r="H1439" s="24">
        <f t="shared" si="207"/>
        <v>650</v>
      </c>
      <c r="I1439" s="12">
        <f t="shared" si="210"/>
        <v>0.10734353497178983</v>
      </c>
      <c r="J1439" s="3">
        <f t="shared" si="211"/>
        <v>0.7</v>
      </c>
    </row>
    <row r="1440" spans="2:10" x14ac:dyDescent="0.25">
      <c r="B1440" s="3">
        <f t="shared" si="212"/>
        <v>7115</v>
      </c>
      <c r="C1440" s="14">
        <f t="shared" si="213"/>
        <v>118.58333333333333</v>
      </c>
      <c r="D1440" s="11">
        <f t="shared" si="214"/>
        <v>1047.2620621093358</v>
      </c>
      <c r="E1440" s="24">
        <f t="shared" si="206"/>
        <v>1045.0211738932339</v>
      </c>
      <c r="F1440" s="24">
        <f t="shared" si="208"/>
        <v>56.022205402547343</v>
      </c>
      <c r="G1440" s="14">
        <f t="shared" si="209"/>
        <v>816.64980579623034</v>
      </c>
      <c r="H1440" s="24">
        <f t="shared" si="207"/>
        <v>650</v>
      </c>
      <c r="I1440" s="12">
        <f t="shared" si="210"/>
        <v>0.10726611318118562</v>
      </c>
      <c r="J1440" s="3">
        <f t="shared" si="211"/>
        <v>0.7</v>
      </c>
    </row>
    <row r="1441" spans="2:10" x14ac:dyDescent="0.25">
      <c r="B1441" s="3">
        <f t="shared" si="212"/>
        <v>7120</v>
      </c>
      <c r="C1441" s="14">
        <f t="shared" si="213"/>
        <v>118.66666666666667</v>
      </c>
      <c r="D1441" s="11">
        <f t="shared" si="214"/>
        <v>1047.3672070934801</v>
      </c>
      <c r="E1441" s="24">
        <f t="shared" si="206"/>
        <v>1045.1284400064151</v>
      </c>
      <c r="F1441" s="24">
        <f t="shared" si="208"/>
        <v>55.969177176626772</v>
      </c>
      <c r="G1441" s="14">
        <f t="shared" si="209"/>
        <v>816.07387606815269</v>
      </c>
      <c r="H1441" s="24">
        <f t="shared" si="207"/>
        <v>650</v>
      </c>
      <c r="I1441" s="12">
        <f t="shared" si="210"/>
        <v>0.10718880363737762</v>
      </c>
      <c r="J1441" s="3">
        <f t="shared" si="211"/>
        <v>0.7</v>
      </c>
    </row>
    <row r="1442" spans="2:10" x14ac:dyDescent="0.25">
      <c r="B1442" s="3">
        <f t="shared" si="212"/>
        <v>7125</v>
      </c>
      <c r="C1442" s="14">
        <f t="shared" si="213"/>
        <v>118.75</v>
      </c>
      <c r="D1442" s="11">
        <f t="shared" si="214"/>
        <v>1047.4722783434077</v>
      </c>
      <c r="E1442" s="24">
        <f t="shared" si="206"/>
        <v>1045.2356288100525</v>
      </c>
      <c r="F1442" s="24">
        <f t="shared" si="208"/>
        <v>55.916238333878709</v>
      </c>
      <c r="G1442" s="14">
        <f t="shared" si="209"/>
        <v>815.49876815483913</v>
      </c>
      <c r="H1442" s="24">
        <f t="shared" si="207"/>
        <v>650</v>
      </c>
      <c r="I1442" s="12">
        <f t="shared" si="210"/>
        <v>0.10711160609516902</v>
      </c>
      <c r="J1442" s="3">
        <f t="shared" si="211"/>
        <v>0.7</v>
      </c>
    </row>
    <row r="1443" spans="2:10" x14ac:dyDescent="0.25">
      <c r="B1443" s="3">
        <f t="shared" si="212"/>
        <v>7130</v>
      </c>
      <c r="C1443" s="14">
        <f t="shared" si="213"/>
        <v>118.83333333333333</v>
      </c>
      <c r="D1443" s="11">
        <f t="shared" si="214"/>
        <v>1047.5772759624606</v>
      </c>
      <c r="E1443" s="24">
        <f t="shared" si="206"/>
        <v>1045.3427404161478</v>
      </c>
      <c r="F1443" s="24">
        <f t="shared" si="208"/>
        <v>55.863388657820678</v>
      </c>
      <c r="G1443" s="14">
        <f t="shared" si="209"/>
        <v>814.92448028409615</v>
      </c>
      <c r="H1443" s="24">
        <f t="shared" si="207"/>
        <v>650</v>
      </c>
      <c r="I1443" s="12">
        <f t="shared" si="210"/>
        <v>0.10703452031011798</v>
      </c>
      <c r="J1443" s="3">
        <f t="shared" si="211"/>
        <v>0.7</v>
      </c>
    </row>
    <row r="1444" spans="2:10" x14ac:dyDescent="0.25">
      <c r="B1444" s="3">
        <f t="shared" si="212"/>
        <v>7135</v>
      </c>
      <c r="C1444" s="14">
        <f t="shared" si="213"/>
        <v>118.91666666666667</v>
      </c>
      <c r="D1444" s="11">
        <f t="shared" si="214"/>
        <v>1047.6822000537627</v>
      </c>
      <c r="E1444" s="24">
        <f t="shared" si="206"/>
        <v>1045.449774936458</v>
      </c>
      <c r="F1444" s="24">
        <f t="shared" si="208"/>
        <v>55.810627932618218</v>
      </c>
      <c r="G1444" s="14">
        <f t="shared" si="209"/>
        <v>814.35101068845916</v>
      </c>
      <c r="H1444" s="24">
        <f t="shared" si="207"/>
        <v>650</v>
      </c>
      <c r="I1444" s="12">
        <f t="shared" si="210"/>
        <v>0.10695754603844358</v>
      </c>
      <c r="J1444" s="3">
        <f t="shared" si="211"/>
        <v>0.7</v>
      </c>
    </row>
    <row r="1445" spans="2:10" x14ac:dyDescent="0.25">
      <c r="B1445" s="3">
        <f t="shared" si="212"/>
        <v>7140</v>
      </c>
      <c r="C1445" s="14">
        <f t="shared" si="213"/>
        <v>119</v>
      </c>
      <c r="D1445" s="11">
        <f t="shared" si="214"/>
        <v>1047.7870507202224</v>
      </c>
      <c r="E1445" s="24">
        <f t="shared" si="206"/>
        <v>1045.5567324824965</v>
      </c>
      <c r="F1445" s="24">
        <f t="shared" si="208"/>
        <v>55.757955943147408</v>
      </c>
      <c r="G1445" s="14">
        <f t="shared" si="209"/>
        <v>813.77835760594792</v>
      </c>
      <c r="H1445" s="24">
        <f t="shared" si="207"/>
        <v>650</v>
      </c>
      <c r="I1445" s="12">
        <f t="shared" si="210"/>
        <v>0.10688068303712638</v>
      </c>
      <c r="J1445" s="3">
        <f t="shared" si="211"/>
        <v>0.7</v>
      </c>
    </row>
    <row r="1446" spans="2:10" x14ac:dyDescent="0.25">
      <c r="B1446" s="3">
        <f t="shared" si="212"/>
        <v>7145</v>
      </c>
      <c r="C1446" s="14">
        <f t="shared" si="213"/>
        <v>119.08333333333333</v>
      </c>
      <c r="D1446" s="11">
        <f t="shared" si="214"/>
        <v>1047.8918280645321</v>
      </c>
      <c r="E1446" s="24">
        <f t="shared" si="206"/>
        <v>1045.6636131655337</v>
      </c>
      <c r="F1446" s="24">
        <f t="shared" si="208"/>
        <v>55.705372474960768</v>
      </c>
      <c r="G1446" s="14">
        <f t="shared" si="209"/>
        <v>813.20651927960159</v>
      </c>
      <c r="H1446" s="24">
        <f t="shared" si="207"/>
        <v>650</v>
      </c>
      <c r="I1446" s="12">
        <f t="shared" si="210"/>
        <v>0.10680393106384702</v>
      </c>
      <c r="J1446" s="3">
        <f t="shared" si="211"/>
        <v>0.7</v>
      </c>
    </row>
    <row r="1447" spans="2:10" x14ac:dyDescent="0.25">
      <c r="B1447" s="3">
        <f t="shared" si="212"/>
        <v>7150</v>
      </c>
      <c r="C1447" s="14">
        <f t="shared" si="213"/>
        <v>119.16666666666667</v>
      </c>
      <c r="D1447" s="11">
        <f t="shared" si="214"/>
        <v>1047.996532189168</v>
      </c>
      <c r="E1447" s="24">
        <f t="shared" si="206"/>
        <v>1045.7704170965976</v>
      </c>
      <c r="F1447" s="24">
        <f t="shared" si="208"/>
        <v>55.652877314258831</v>
      </c>
      <c r="G1447" s="14">
        <f t="shared" si="209"/>
        <v>812.63549395718815</v>
      </c>
      <c r="H1447" s="24">
        <f t="shared" si="207"/>
        <v>650</v>
      </c>
      <c r="I1447" s="12">
        <f t="shared" si="210"/>
        <v>0.10672728987694707</v>
      </c>
      <c r="J1447" s="3">
        <f t="shared" si="211"/>
        <v>0.7</v>
      </c>
    </row>
    <row r="1448" spans="2:10" x14ac:dyDescent="0.25">
      <c r="B1448" s="3">
        <f t="shared" si="212"/>
        <v>7155</v>
      </c>
      <c r="C1448" s="14">
        <f t="shared" si="213"/>
        <v>119.25</v>
      </c>
      <c r="D1448" s="11">
        <f t="shared" si="214"/>
        <v>1048.1011631963925</v>
      </c>
      <c r="E1448" s="24">
        <f t="shared" si="206"/>
        <v>1045.8771443864746</v>
      </c>
      <c r="F1448" s="24">
        <f t="shared" si="208"/>
        <v>55.600470247946987</v>
      </c>
      <c r="G1448" s="14">
        <f t="shared" si="209"/>
        <v>812.06527989199878</v>
      </c>
      <c r="H1448" s="24">
        <f t="shared" si="207"/>
        <v>650</v>
      </c>
      <c r="I1448" s="12">
        <f t="shared" si="210"/>
        <v>0.10665075923553362</v>
      </c>
      <c r="J1448" s="3">
        <f t="shared" si="211"/>
        <v>0.7</v>
      </c>
    </row>
    <row r="1449" spans="2:10" x14ac:dyDescent="0.25">
      <c r="B1449" s="3">
        <f t="shared" si="212"/>
        <v>7160</v>
      </c>
      <c r="C1449" s="14">
        <f t="shared" si="213"/>
        <v>119.33333333333333</v>
      </c>
      <c r="D1449" s="11">
        <f t="shared" si="214"/>
        <v>1048.2057211882534</v>
      </c>
      <c r="E1449" s="24">
        <f t="shared" si="206"/>
        <v>1045.98379514571</v>
      </c>
      <c r="F1449" s="24">
        <f t="shared" si="208"/>
        <v>55.548151063584328</v>
      </c>
      <c r="G1449" s="14">
        <f t="shared" si="209"/>
        <v>811.49587534195632</v>
      </c>
      <c r="H1449" s="24">
        <f t="shared" si="207"/>
        <v>650</v>
      </c>
      <c r="I1449" s="12">
        <f t="shared" si="210"/>
        <v>0.10657433889936344</v>
      </c>
      <c r="J1449" s="3">
        <f t="shared" si="211"/>
        <v>0.7</v>
      </c>
    </row>
    <row r="1450" spans="2:10" x14ac:dyDescent="0.25">
      <c r="B1450" s="3">
        <f t="shared" si="212"/>
        <v>7165</v>
      </c>
      <c r="C1450" s="14">
        <f t="shared" si="213"/>
        <v>119.41666666666667</v>
      </c>
      <c r="D1450" s="11">
        <f t="shared" si="214"/>
        <v>1048.310206266586</v>
      </c>
      <c r="E1450" s="24">
        <f t="shared" si="206"/>
        <v>1046.0903694846095</v>
      </c>
      <c r="F1450" s="24">
        <f t="shared" si="208"/>
        <v>55.495919549412065</v>
      </c>
      <c r="G1450" s="14">
        <f t="shared" si="209"/>
        <v>810.92727857041018</v>
      </c>
      <c r="H1450" s="24">
        <f t="shared" si="207"/>
        <v>650</v>
      </c>
      <c r="I1450" s="12">
        <f t="shared" si="210"/>
        <v>0.10649802862894411</v>
      </c>
      <c r="J1450" s="3">
        <f t="shared" si="211"/>
        <v>0.7</v>
      </c>
    </row>
    <row r="1451" spans="2:10" x14ac:dyDescent="0.25">
      <c r="B1451" s="3">
        <f t="shared" si="212"/>
        <v>7170</v>
      </c>
      <c r="C1451" s="14">
        <f t="shared" si="213"/>
        <v>119.5</v>
      </c>
      <c r="D1451" s="11">
        <f t="shared" si="214"/>
        <v>1048.414618533011</v>
      </c>
      <c r="E1451" s="24">
        <f t="shared" si="206"/>
        <v>1046.1968675132384</v>
      </c>
      <c r="F1451" s="24">
        <f t="shared" si="208"/>
        <v>55.443775494313741</v>
      </c>
      <c r="G1451" s="14">
        <f t="shared" si="209"/>
        <v>810.35948784524453</v>
      </c>
      <c r="H1451" s="24">
        <f t="shared" si="207"/>
        <v>650</v>
      </c>
      <c r="I1451" s="12">
        <f t="shared" si="210"/>
        <v>0.10642182818541962</v>
      </c>
      <c r="J1451" s="3">
        <f t="shared" si="211"/>
        <v>0.7</v>
      </c>
    </row>
    <row r="1452" spans="2:10" x14ac:dyDescent="0.25">
      <c r="B1452" s="3">
        <f t="shared" si="212"/>
        <v>7175</v>
      </c>
      <c r="C1452" s="14">
        <f t="shared" si="213"/>
        <v>119.58333333333333</v>
      </c>
      <c r="D1452" s="11">
        <f t="shared" si="214"/>
        <v>1048.5189580889382</v>
      </c>
      <c r="E1452" s="24">
        <f t="shared" si="206"/>
        <v>1046.3032893414238</v>
      </c>
      <c r="F1452" s="24">
        <f t="shared" si="208"/>
        <v>55.391718687860703</v>
      </c>
      <c r="G1452" s="14">
        <f t="shared" si="209"/>
        <v>809.79250143971183</v>
      </c>
      <c r="H1452" s="24">
        <f t="shared" si="207"/>
        <v>650</v>
      </c>
      <c r="I1452" s="12">
        <f t="shared" si="210"/>
        <v>0.10634573733067834</v>
      </c>
      <c r="J1452" s="3">
        <f t="shared" si="211"/>
        <v>0.7</v>
      </c>
    </row>
    <row r="1453" spans="2:10" x14ac:dyDescent="0.25">
      <c r="B1453" s="3">
        <f t="shared" si="212"/>
        <v>7180</v>
      </c>
      <c r="C1453" s="14">
        <f t="shared" si="213"/>
        <v>119.66666666666667</v>
      </c>
      <c r="D1453" s="11">
        <f t="shared" si="214"/>
        <v>1048.6232250355654</v>
      </c>
      <c r="E1453" s="24">
        <f t="shared" si="206"/>
        <v>1046.4096350787545</v>
      </c>
      <c r="F1453" s="24">
        <f t="shared" si="208"/>
        <v>55.339748920272314</v>
      </c>
      <c r="G1453" s="14">
        <f t="shared" si="209"/>
        <v>809.22631763181255</v>
      </c>
      <c r="H1453" s="24">
        <f t="shared" si="207"/>
        <v>650</v>
      </c>
      <c r="I1453" s="12">
        <f t="shared" si="210"/>
        <v>0.1062697558272719</v>
      </c>
      <c r="J1453" s="3">
        <f t="shared" si="211"/>
        <v>0.7</v>
      </c>
    </row>
    <row r="1454" spans="2:10" x14ac:dyDescent="0.25">
      <c r="B1454" s="3">
        <f t="shared" si="212"/>
        <v>7185</v>
      </c>
      <c r="C1454" s="14">
        <f t="shared" si="213"/>
        <v>119.75</v>
      </c>
      <c r="D1454" s="11">
        <f t="shared" si="214"/>
        <v>1048.7274194738789</v>
      </c>
      <c r="E1454" s="24">
        <f t="shared" si="206"/>
        <v>1046.5159048345818</v>
      </c>
      <c r="F1454" s="24">
        <f t="shared" si="208"/>
        <v>55.28786598242732</v>
      </c>
      <c r="G1454" s="14">
        <f t="shared" si="209"/>
        <v>808.66093470460555</v>
      </c>
      <c r="H1454" s="24">
        <f t="shared" si="207"/>
        <v>650</v>
      </c>
      <c r="I1454" s="12">
        <f t="shared" si="210"/>
        <v>0.10619388343845471</v>
      </c>
      <c r="J1454" s="3">
        <f t="shared" si="211"/>
        <v>0.7</v>
      </c>
    </row>
    <row r="1455" spans="2:10" x14ac:dyDescent="0.25">
      <c r="B1455" s="3">
        <f t="shared" si="212"/>
        <v>7190</v>
      </c>
      <c r="C1455" s="14">
        <f t="shared" si="213"/>
        <v>119.83333333333333</v>
      </c>
      <c r="D1455" s="11">
        <f t="shared" si="214"/>
        <v>1048.8315415046548</v>
      </c>
      <c r="E1455" s="24">
        <f t="shared" si="206"/>
        <v>1046.6220987180202</v>
      </c>
      <c r="F1455" s="24">
        <f t="shared" si="208"/>
        <v>55.236069665863852</v>
      </c>
      <c r="G1455" s="14">
        <f t="shared" si="209"/>
        <v>808.09635094607165</v>
      </c>
      <c r="H1455" s="24">
        <f t="shared" si="207"/>
        <v>650</v>
      </c>
      <c r="I1455" s="12">
        <f t="shared" si="210"/>
        <v>0.10611811992816726</v>
      </c>
      <c r="J1455" s="3">
        <f t="shared" si="211"/>
        <v>0.7</v>
      </c>
    </row>
    <row r="1456" spans="2:10" x14ac:dyDescent="0.25">
      <c r="B1456" s="3">
        <f t="shared" si="212"/>
        <v>7195</v>
      </c>
      <c r="C1456" s="14">
        <f t="shared" si="213"/>
        <v>119.91666666666667</v>
      </c>
      <c r="D1456" s="11">
        <f t="shared" si="214"/>
        <v>1048.9355912284589</v>
      </c>
      <c r="E1456" s="24">
        <f t="shared" si="206"/>
        <v>1046.7282168379484</v>
      </c>
      <c r="F1456" s="24">
        <f t="shared" si="208"/>
        <v>55.184359762762369</v>
      </c>
      <c r="G1456" s="14">
        <f t="shared" si="209"/>
        <v>807.53256464895969</v>
      </c>
      <c r="H1456" s="24">
        <f t="shared" si="207"/>
        <v>650</v>
      </c>
      <c r="I1456" s="12">
        <f t="shared" si="210"/>
        <v>0.10604246506101507</v>
      </c>
      <c r="J1456" s="3">
        <f t="shared" si="211"/>
        <v>0.7</v>
      </c>
    </row>
    <row r="1457" spans="2:10" x14ac:dyDescent="0.25">
      <c r="B1457" s="3">
        <f t="shared" si="212"/>
        <v>7200</v>
      </c>
      <c r="C1457" s="14">
        <f t="shared" si="213"/>
        <v>120</v>
      </c>
      <c r="D1457" s="11">
        <f t="shared" si="214"/>
        <v>1049.039568745648</v>
      </c>
      <c r="E1457" s="24">
        <f t="shared" si="206"/>
        <v>1046.8342593030093</v>
      </c>
      <c r="F1457" s="24">
        <f t="shared" si="208"/>
        <v>55.132736065968402</v>
      </c>
      <c r="G1457" s="14">
        <f t="shared" si="209"/>
        <v>806.96957411103767</v>
      </c>
      <c r="H1457" s="24">
        <f t="shared" si="207"/>
        <v>650</v>
      </c>
      <c r="I1457" s="12">
        <f t="shared" si="210"/>
        <v>0.1059669186023023</v>
      </c>
      <c r="J1457" s="3">
        <f t="shared" si="211"/>
        <v>0.7</v>
      </c>
    </row>
    <row r="1458" spans="2:10" x14ac:dyDescent="0.25">
      <c r="B1458" s="3">
        <f t="shared" si="212"/>
        <v>7205</v>
      </c>
      <c r="C1458" s="14">
        <f t="shared" si="213"/>
        <v>120.08333333333333</v>
      </c>
      <c r="D1458" s="11">
        <f t="shared" si="214"/>
        <v>1049.1434741563701</v>
      </c>
      <c r="E1458" s="24">
        <f t="shared" si="206"/>
        <v>1046.9402262216115</v>
      </c>
      <c r="F1458" s="24">
        <f t="shared" si="208"/>
        <v>55.081198368964124</v>
      </c>
      <c r="G1458" s="14">
        <f t="shared" si="209"/>
        <v>806.40737763495713</v>
      </c>
      <c r="H1458" s="24">
        <f t="shared" si="207"/>
        <v>650</v>
      </c>
      <c r="I1458" s="12">
        <f t="shared" si="210"/>
        <v>0.10589148031801168</v>
      </c>
      <c r="J1458" s="3">
        <f t="shared" si="211"/>
        <v>0.7</v>
      </c>
    </row>
    <row r="1459" spans="2:10" x14ac:dyDescent="0.25">
      <c r="B1459" s="3">
        <f t="shared" si="212"/>
        <v>7210</v>
      </c>
      <c r="C1459" s="14">
        <f t="shared" si="213"/>
        <v>120.16666666666667</v>
      </c>
      <c r="D1459" s="11">
        <f t="shared" si="214"/>
        <v>1049.2473075605649</v>
      </c>
      <c r="E1459" s="24">
        <f t="shared" si="206"/>
        <v>1047.0461177019295</v>
      </c>
      <c r="F1459" s="24">
        <f t="shared" si="208"/>
        <v>55.02974646588541</v>
      </c>
      <c r="G1459" s="14">
        <f t="shared" si="209"/>
        <v>805.84597352825369</v>
      </c>
      <c r="H1459" s="24">
        <f t="shared" si="207"/>
        <v>650</v>
      </c>
      <c r="I1459" s="12">
        <f t="shared" si="210"/>
        <v>0.10581614997480662</v>
      </c>
      <c r="J1459" s="3">
        <f t="shared" si="211"/>
        <v>0.7</v>
      </c>
    </row>
    <row r="1460" spans="2:10" x14ac:dyDescent="0.25">
      <c r="B1460" s="3">
        <f t="shared" si="212"/>
        <v>7215</v>
      </c>
      <c r="C1460" s="14">
        <f t="shared" si="213"/>
        <v>120.25</v>
      </c>
      <c r="D1460" s="11">
        <f t="shared" si="214"/>
        <v>1049.3510690579644</v>
      </c>
      <c r="E1460" s="24">
        <f t="shared" ref="E1460:E1523" si="215">E1459+I1459</f>
        <v>1047.1519338519042</v>
      </c>
      <c r="F1460" s="24">
        <f t="shared" si="208"/>
        <v>54.97838015150478</v>
      </c>
      <c r="G1460" s="14">
        <f t="shared" si="209"/>
        <v>805.2853601031527</v>
      </c>
      <c r="H1460" s="24">
        <f t="shared" ref="H1460:H1523" si="216">IF(E1460&lt;600,425+0.773*E1460-1.69/1000*E1460^2+2.22/1000^2*E1460^3,IF(E1460&lt;735,666+13002/(738-E1460),IF(E1460&lt;900,545+17820/(E1460-731),650)))</f>
        <v>650</v>
      </c>
      <c r="I1460" s="12">
        <f t="shared" si="210"/>
        <v>0.10574092734000519</v>
      </c>
      <c r="J1460" s="3">
        <f t="shared" si="211"/>
        <v>0.7</v>
      </c>
    </row>
    <row r="1461" spans="2:10" x14ac:dyDescent="0.25">
      <c r="B1461" s="3">
        <f t="shared" si="212"/>
        <v>7220</v>
      </c>
      <c r="C1461" s="14">
        <f t="shared" si="213"/>
        <v>120.33333333333333</v>
      </c>
      <c r="D1461" s="11">
        <f t="shared" si="214"/>
        <v>1049.4547587480934</v>
      </c>
      <c r="E1461" s="24">
        <f t="shared" si="215"/>
        <v>1047.2576747792443</v>
      </c>
      <c r="F1461" s="24">
        <f t="shared" si="208"/>
        <v>54.927099221225717</v>
      </c>
      <c r="G1461" s="14">
        <f t="shared" si="209"/>
        <v>804.72553567666637</v>
      </c>
      <c r="H1461" s="24">
        <f t="shared" si="216"/>
        <v>650</v>
      </c>
      <c r="I1461" s="12">
        <f t="shared" si="210"/>
        <v>0.10566581218159146</v>
      </c>
      <c r="J1461" s="3">
        <f t="shared" si="211"/>
        <v>0.7</v>
      </c>
    </row>
    <row r="1462" spans="2:10" x14ac:dyDescent="0.25">
      <c r="B1462" s="3">
        <f t="shared" si="212"/>
        <v>7225</v>
      </c>
      <c r="C1462" s="14">
        <f t="shared" si="213"/>
        <v>120.41666666666667</v>
      </c>
      <c r="D1462" s="11">
        <f t="shared" si="214"/>
        <v>1049.5583767302705</v>
      </c>
      <c r="E1462" s="24">
        <f t="shared" si="215"/>
        <v>1047.3633405914259</v>
      </c>
      <c r="F1462" s="24">
        <f t="shared" si="208"/>
        <v>54.875903471116771</v>
      </c>
      <c r="G1462" s="14">
        <f t="shared" si="209"/>
        <v>804.16649857096195</v>
      </c>
      <c r="H1462" s="24">
        <f t="shared" si="216"/>
        <v>650</v>
      </c>
      <c r="I1462" s="12">
        <f t="shared" si="210"/>
        <v>0.10559080426826485</v>
      </c>
      <c r="J1462" s="3">
        <f t="shared" si="211"/>
        <v>0.7</v>
      </c>
    </row>
    <row r="1463" spans="2:10" x14ac:dyDescent="0.25">
      <c r="B1463" s="3">
        <f t="shared" si="212"/>
        <v>7230</v>
      </c>
      <c r="C1463" s="14">
        <f t="shared" si="213"/>
        <v>120.5</v>
      </c>
      <c r="D1463" s="11">
        <f t="shared" si="214"/>
        <v>1049.6619231036084</v>
      </c>
      <c r="E1463" s="24">
        <f t="shared" si="215"/>
        <v>1047.4689313956942</v>
      </c>
      <c r="F1463" s="24">
        <f t="shared" si="208"/>
        <v>54.824792697854718</v>
      </c>
      <c r="G1463" s="14">
        <f t="shared" si="209"/>
        <v>803.60824711262535</v>
      </c>
      <c r="H1463" s="24">
        <f t="shared" si="216"/>
        <v>650</v>
      </c>
      <c r="I1463" s="12">
        <f t="shared" si="210"/>
        <v>0.10551590336934269</v>
      </c>
      <c r="J1463" s="3">
        <f t="shared" si="211"/>
        <v>0.7</v>
      </c>
    </row>
    <row r="1464" spans="2:10" x14ac:dyDescent="0.25">
      <c r="B1464" s="3">
        <f t="shared" si="212"/>
        <v>7235</v>
      </c>
      <c r="C1464" s="14">
        <f t="shared" si="213"/>
        <v>120.58333333333333</v>
      </c>
      <c r="D1464" s="11">
        <f t="shared" si="214"/>
        <v>1049.7653979670142</v>
      </c>
      <c r="E1464" s="24">
        <f t="shared" si="215"/>
        <v>1047.5744472990636</v>
      </c>
      <c r="F1464" s="24">
        <f t="shared" si="208"/>
        <v>54.773766698764348</v>
      </c>
      <c r="G1464" s="14">
        <f t="shared" si="209"/>
        <v>803.05077963318422</v>
      </c>
      <c r="H1464" s="24">
        <f t="shared" si="216"/>
        <v>650</v>
      </c>
      <c r="I1464" s="12">
        <f t="shared" si="210"/>
        <v>0.10544110925482937</v>
      </c>
      <c r="J1464" s="3">
        <f t="shared" si="211"/>
        <v>0.7</v>
      </c>
    </row>
    <row r="1465" spans="2:10" x14ac:dyDescent="0.25">
      <c r="B1465" s="3">
        <f t="shared" si="212"/>
        <v>7240</v>
      </c>
      <c r="C1465" s="14">
        <f t="shared" si="213"/>
        <v>120.66666666666667</v>
      </c>
      <c r="D1465" s="11">
        <f t="shared" si="214"/>
        <v>1049.8688014191905</v>
      </c>
      <c r="E1465" s="24">
        <f t="shared" si="215"/>
        <v>1047.6798884083184</v>
      </c>
      <c r="F1465" s="24">
        <f t="shared" si="208"/>
        <v>54.722825271801412</v>
      </c>
      <c r="G1465" s="14">
        <f t="shared" si="209"/>
        <v>802.49409446895334</v>
      </c>
      <c r="H1465" s="24">
        <f t="shared" si="216"/>
        <v>650</v>
      </c>
      <c r="I1465" s="12">
        <f t="shared" si="210"/>
        <v>0.10536642169539526</v>
      </c>
      <c r="J1465" s="3">
        <f t="shared" si="211"/>
        <v>0.7</v>
      </c>
    </row>
    <row r="1466" spans="2:10" x14ac:dyDescent="0.25">
      <c r="B1466" s="3">
        <f t="shared" si="212"/>
        <v>7245</v>
      </c>
      <c r="C1466" s="14">
        <f t="shared" si="213"/>
        <v>120.75</v>
      </c>
      <c r="D1466" s="11">
        <f t="shared" si="214"/>
        <v>1049.9721335586355</v>
      </c>
      <c r="E1466" s="24">
        <f t="shared" si="215"/>
        <v>1047.7852548300139</v>
      </c>
      <c r="F1466" s="24">
        <f t="shared" si="208"/>
        <v>54.671968215541256</v>
      </c>
      <c r="G1466" s="14">
        <f t="shared" si="209"/>
        <v>801.93818996085952</v>
      </c>
      <c r="H1466" s="24">
        <f t="shared" si="216"/>
        <v>650</v>
      </c>
      <c r="I1466" s="12">
        <f t="shared" si="210"/>
        <v>0.10529184046235379</v>
      </c>
      <c r="J1466" s="3">
        <f t="shared" si="211"/>
        <v>0.7</v>
      </c>
    </row>
    <row r="1467" spans="2:10" x14ac:dyDescent="0.25">
      <c r="B1467" s="3">
        <f t="shared" si="212"/>
        <v>7250</v>
      </c>
      <c r="C1467" s="14">
        <f t="shared" si="213"/>
        <v>120.83333333333333</v>
      </c>
      <c r="D1467" s="11">
        <f t="shared" si="214"/>
        <v>1050.0753944836438</v>
      </c>
      <c r="E1467" s="24">
        <f t="shared" si="215"/>
        <v>1047.8905466704762</v>
      </c>
      <c r="F1467" s="24">
        <f t="shared" si="208"/>
        <v>54.621195329190186</v>
      </c>
      <c r="G1467" s="14">
        <f t="shared" si="209"/>
        <v>801.3830644546747</v>
      </c>
      <c r="H1467" s="24">
        <f t="shared" si="216"/>
        <v>650</v>
      </c>
      <c r="I1467" s="12">
        <f t="shared" si="210"/>
        <v>0.10521736532769148</v>
      </c>
      <c r="J1467" s="3">
        <f t="shared" si="211"/>
        <v>0.7</v>
      </c>
    </row>
    <row r="1468" spans="2:10" x14ac:dyDescent="0.25">
      <c r="B1468" s="3">
        <f t="shared" si="212"/>
        <v>7255</v>
      </c>
      <c r="C1468" s="14">
        <f t="shared" si="213"/>
        <v>120.91666666666667</v>
      </c>
      <c r="D1468" s="11">
        <f t="shared" si="214"/>
        <v>1050.1785842923071</v>
      </c>
      <c r="E1468" s="24">
        <f t="shared" si="215"/>
        <v>1047.9957640358039</v>
      </c>
      <c r="F1468" s="24">
        <f t="shared" si="208"/>
        <v>54.570506412579789</v>
      </c>
      <c r="G1468" s="14">
        <f t="shared" si="209"/>
        <v>800.82871630072532</v>
      </c>
      <c r="H1468" s="24">
        <f t="shared" si="216"/>
        <v>650</v>
      </c>
      <c r="I1468" s="12">
        <f t="shared" si="210"/>
        <v>0.10514299606403156</v>
      </c>
      <c r="J1468" s="3">
        <f t="shared" si="211"/>
        <v>0.7</v>
      </c>
    </row>
    <row r="1469" spans="2:10" x14ac:dyDescent="0.25">
      <c r="B1469" s="3">
        <f t="shared" si="212"/>
        <v>7260</v>
      </c>
      <c r="C1469" s="14">
        <f t="shared" si="213"/>
        <v>121</v>
      </c>
      <c r="D1469" s="11">
        <f t="shared" si="214"/>
        <v>1050.281703082514</v>
      </c>
      <c r="E1469" s="24">
        <f t="shared" si="215"/>
        <v>1048.1009070318678</v>
      </c>
      <c r="F1469" s="24">
        <f t="shared" si="208"/>
        <v>54.519901266155557</v>
      </c>
      <c r="G1469" s="14">
        <f t="shared" si="209"/>
        <v>800.27514385414361</v>
      </c>
      <c r="H1469" s="24">
        <f t="shared" si="216"/>
        <v>650</v>
      </c>
      <c r="I1469" s="12">
        <f t="shared" si="210"/>
        <v>0.1050687324446634</v>
      </c>
      <c r="J1469" s="3">
        <f t="shared" si="211"/>
        <v>0.7</v>
      </c>
    </row>
    <row r="1470" spans="2:10" x14ac:dyDescent="0.25">
      <c r="B1470" s="3">
        <f t="shared" si="212"/>
        <v>7265</v>
      </c>
      <c r="C1470" s="14">
        <f t="shared" si="213"/>
        <v>121.08333333333333</v>
      </c>
      <c r="D1470" s="11">
        <f t="shared" si="214"/>
        <v>1050.3847509519517</v>
      </c>
      <c r="E1470" s="24">
        <f t="shared" si="215"/>
        <v>1048.2059757643124</v>
      </c>
      <c r="F1470" s="24">
        <f t="shared" si="208"/>
        <v>54.469379690982578</v>
      </c>
      <c r="G1470" s="14">
        <f t="shared" si="209"/>
        <v>799.72234547461642</v>
      </c>
      <c r="H1470" s="24">
        <f t="shared" si="216"/>
        <v>650</v>
      </c>
      <c r="I1470" s="12">
        <f t="shared" si="210"/>
        <v>0.10499457424351238</v>
      </c>
      <c r="J1470" s="3">
        <f t="shared" si="211"/>
        <v>0.7</v>
      </c>
    </row>
    <row r="1471" spans="2:10" x14ac:dyDescent="0.25">
      <c r="B1471" s="3">
        <f t="shared" si="212"/>
        <v>7270</v>
      </c>
      <c r="C1471" s="14">
        <f t="shared" si="213"/>
        <v>121.16666666666667</v>
      </c>
      <c r="D1471" s="11">
        <f t="shared" si="214"/>
        <v>1050.487727998106</v>
      </c>
      <c r="E1471" s="24">
        <f t="shared" si="215"/>
        <v>1048.310970338556</v>
      </c>
      <c r="F1471" s="24">
        <f t="shared" si="208"/>
        <v>54.418941488751216</v>
      </c>
      <c r="G1471" s="14">
        <f t="shared" si="209"/>
        <v>799.17031952661728</v>
      </c>
      <c r="H1471" s="24">
        <f t="shared" si="216"/>
        <v>650</v>
      </c>
      <c r="I1471" s="12">
        <f t="shared" si="210"/>
        <v>0.10492052123516912</v>
      </c>
      <c r="J1471" s="3">
        <f t="shared" si="211"/>
        <v>0.7</v>
      </c>
    </row>
    <row r="1472" spans="2:10" x14ac:dyDescent="0.25">
      <c r="B1472" s="3">
        <f t="shared" si="212"/>
        <v>7275</v>
      </c>
      <c r="C1472" s="14">
        <f t="shared" si="213"/>
        <v>121.25</v>
      </c>
      <c r="D1472" s="11">
        <f t="shared" si="214"/>
        <v>1050.5906343182617</v>
      </c>
      <c r="E1472" s="24">
        <f t="shared" si="215"/>
        <v>1048.4158908597913</v>
      </c>
      <c r="F1472" s="24">
        <f t="shared" si="208"/>
        <v>54.36858646176006</v>
      </c>
      <c r="G1472" s="14">
        <f t="shared" si="209"/>
        <v>798.61906437927087</v>
      </c>
      <c r="H1472" s="24">
        <f t="shared" si="216"/>
        <v>650</v>
      </c>
      <c r="I1472" s="12">
        <f t="shared" si="210"/>
        <v>0.10484657319487069</v>
      </c>
      <c r="J1472" s="3">
        <f t="shared" si="211"/>
        <v>0.7</v>
      </c>
    </row>
    <row r="1473" spans="2:10" x14ac:dyDescent="0.25">
      <c r="B1473" s="3">
        <f t="shared" si="212"/>
        <v>7280</v>
      </c>
      <c r="C1473" s="14">
        <f t="shared" si="213"/>
        <v>121.33333333333333</v>
      </c>
      <c r="D1473" s="11">
        <f t="shared" si="214"/>
        <v>1050.6934700095028</v>
      </c>
      <c r="E1473" s="24">
        <f t="shared" si="215"/>
        <v>1048.5207374329862</v>
      </c>
      <c r="F1473" s="24">
        <f t="shared" si="208"/>
        <v>54.318314412915925</v>
      </c>
      <c r="G1473" s="14">
        <f t="shared" si="209"/>
        <v>798.06857840613998</v>
      </c>
      <c r="H1473" s="24">
        <f t="shared" si="216"/>
        <v>650</v>
      </c>
      <c r="I1473" s="12">
        <f t="shared" si="210"/>
        <v>0.10477272989847443</v>
      </c>
      <c r="J1473" s="3">
        <f t="shared" si="211"/>
        <v>0.7</v>
      </c>
    </row>
    <row r="1474" spans="2:10" x14ac:dyDescent="0.25">
      <c r="B1474" s="3">
        <f t="shared" si="212"/>
        <v>7285</v>
      </c>
      <c r="C1474" s="14">
        <f t="shared" si="213"/>
        <v>121.41666666666667</v>
      </c>
      <c r="D1474" s="11">
        <f t="shared" si="214"/>
        <v>1050.7962351687142</v>
      </c>
      <c r="E1474" s="24">
        <f t="shared" si="215"/>
        <v>1048.6255101628847</v>
      </c>
      <c r="F1474" s="24">
        <f t="shared" si="208"/>
        <v>54.268125145739532</v>
      </c>
      <c r="G1474" s="14">
        <f t="shared" si="209"/>
        <v>797.51885998547709</v>
      </c>
      <c r="H1474" s="24">
        <f t="shared" si="216"/>
        <v>650</v>
      </c>
      <c r="I1474" s="12">
        <f t="shared" si="210"/>
        <v>0.10469899112248958</v>
      </c>
      <c r="J1474" s="3">
        <f t="shared" si="211"/>
        <v>0.7</v>
      </c>
    </row>
    <row r="1475" spans="2:10" x14ac:dyDescent="0.25">
      <c r="B1475" s="3">
        <f t="shared" si="212"/>
        <v>7290</v>
      </c>
      <c r="C1475" s="14">
        <f t="shared" si="213"/>
        <v>121.5</v>
      </c>
      <c r="D1475" s="11">
        <f t="shared" si="214"/>
        <v>1050.8989298925812</v>
      </c>
      <c r="E1475" s="24">
        <f t="shared" si="215"/>
        <v>1048.7302091540071</v>
      </c>
      <c r="F1475" s="24">
        <f t="shared" si="208"/>
        <v>54.218018464354145</v>
      </c>
      <c r="G1475" s="14">
        <f t="shared" si="209"/>
        <v>796.9699075001862</v>
      </c>
      <c r="H1475" s="24">
        <f t="shared" si="216"/>
        <v>650</v>
      </c>
      <c r="I1475" s="12">
        <f t="shared" si="210"/>
        <v>0.10462535664407122</v>
      </c>
      <c r="J1475" s="3">
        <f t="shared" si="211"/>
        <v>0.7</v>
      </c>
    </row>
    <row r="1476" spans="2:10" x14ac:dyDescent="0.25">
      <c r="B1476" s="3">
        <f t="shared" si="212"/>
        <v>7295</v>
      </c>
      <c r="C1476" s="14">
        <f t="shared" si="213"/>
        <v>121.58333333333333</v>
      </c>
      <c r="D1476" s="11">
        <f t="shared" si="214"/>
        <v>1051.0015542775909</v>
      </c>
      <c r="E1476" s="24">
        <f t="shared" si="215"/>
        <v>1048.834834510651</v>
      </c>
      <c r="F1476" s="24">
        <f t="shared" si="208"/>
        <v>54.167994173496936</v>
      </c>
      <c r="G1476" s="14">
        <f t="shared" si="209"/>
        <v>796.42171933780287</v>
      </c>
      <c r="H1476" s="24">
        <f t="shared" si="216"/>
        <v>650</v>
      </c>
      <c r="I1476" s="12">
        <f t="shared" si="210"/>
        <v>0.10455182624101916</v>
      </c>
      <c r="J1476" s="3">
        <f t="shared" si="211"/>
        <v>0.7</v>
      </c>
    </row>
    <row r="1477" spans="2:10" x14ac:dyDescent="0.25">
      <c r="B1477" s="3">
        <f t="shared" si="212"/>
        <v>7300</v>
      </c>
      <c r="C1477" s="14">
        <f t="shared" si="213"/>
        <v>121.66666666666667</v>
      </c>
      <c r="D1477" s="11">
        <f t="shared" si="214"/>
        <v>1051.1041084200319</v>
      </c>
      <c r="E1477" s="24">
        <f t="shared" si="215"/>
        <v>1048.9393863368921</v>
      </c>
      <c r="F1477" s="24">
        <f t="shared" si="208"/>
        <v>54.118052078496248</v>
      </c>
      <c r="G1477" s="14">
        <f t="shared" si="209"/>
        <v>795.87429389014562</v>
      </c>
      <c r="H1477" s="24">
        <f t="shared" si="216"/>
        <v>650</v>
      </c>
      <c r="I1477" s="12">
        <f t="shared" si="210"/>
        <v>0.10447839969173234</v>
      </c>
      <c r="J1477" s="3">
        <f t="shared" si="211"/>
        <v>0.7</v>
      </c>
    </row>
    <row r="1478" spans="2:10" x14ac:dyDescent="0.25">
      <c r="B1478" s="3">
        <f t="shared" si="212"/>
        <v>7305</v>
      </c>
      <c r="C1478" s="14">
        <f t="shared" si="213"/>
        <v>121.75</v>
      </c>
      <c r="D1478" s="11">
        <f t="shared" si="214"/>
        <v>1051.2065924159951</v>
      </c>
      <c r="E1478" s="24">
        <f t="shared" si="215"/>
        <v>1049.0438647365838</v>
      </c>
      <c r="F1478" s="24">
        <f t="shared" si="208"/>
        <v>54.068191985282965</v>
      </c>
      <c r="G1478" s="14">
        <f t="shared" si="209"/>
        <v>795.32762955381997</v>
      </c>
      <c r="H1478" s="24">
        <f t="shared" si="216"/>
        <v>650</v>
      </c>
      <c r="I1478" s="12">
        <f t="shared" si="210"/>
        <v>0.10440507677527217</v>
      </c>
      <c r="J1478" s="3">
        <f t="shared" si="211"/>
        <v>0.7</v>
      </c>
    </row>
    <row r="1479" spans="2:10" x14ac:dyDescent="0.25">
      <c r="B1479" s="3">
        <f t="shared" si="212"/>
        <v>7310</v>
      </c>
      <c r="C1479" s="14">
        <f t="shared" si="213"/>
        <v>121.83333333333333</v>
      </c>
      <c r="D1479" s="11">
        <f t="shared" si="214"/>
        <v>1051.3090063613747</v>
      </c>
      <c r="E1479" s="24">
        <f t="shared" si="215"/>
        <v>1049.1482698133591</v>
      </c>
      <c r="F1479" s="24">
        <f t="shared" si="208"/>
        <v>54.018413700390511</v>
      </c>
      <c r="G1479" s="14">
        <f t="shared" si="209"/>
        <v>794.78172472984977</v>
      </c>
      <c r="H1479" s="24">
        <f t="shared" si="216"/>
        <v>650</v>
      </c>
      <c r="I1479" s="12">
        <f t="shared" si="210"/>
        <v>0.10433185727131716</v>
      </c>
      <c r="J1479" s="3">
        <f t="shared" si="211"/>
        <v>0.7</v>
      </c>
    </row>
    <row r="1480" spans="2:10" x14ac:dyDescent="0.25">
      <c r="B1480" s="3">
        <f t="shared" si="212"/>
        <v>7315</v>
      </c>
      <c r="C1480" s="14">
        <f t="shared" si="213"/>
        <v>121.91666666666667</v>
      </c>
      <c r="D1480" s="11">
        <f t="shared" si="214"/>
        <v>1051.4113503518679</v>
      </c>
      <c r="E1480" s="24">
        <f t="shared" si="215"/>
        <v>1049.2526016706304</v>
      </c>
      <c r="F1480" s="24">
        <f t="shared" si="208"/>
        <v>53.968717030937796</v>
      </c>
      <c r="G1480" s="14">
        <f t="shared" si="209"/>
        <v>794.23657782365831</v>
      </c>
      <c r="H1480" s="24">
        <f t="shared" si="216"/>
        <v>650</v>
      </c>
      <c r="I1480" s="12">
        <f t="shared" si="210"/>
        <v>0.10425874096015864</v>
      </c>
      <c r="J1480" s="3">
        <f t="shared" si="211"/>
        <v>0.7</v>
      </c>
    </row>
    <row r="1481" spans="2:10" x14ac:dyDescent="0.25">
      <c r="B1481" s="3">
        <f t="shared" si="212"/>
        <v>7320</v>
      </c>
      <c r="C1481" s="14">
        <f t="shared" si="213"/>
        <v>122</v>
      </c>
      <c r="D1481" s="11">
        <f t="shared" si="214"/>
        <v>1051.5136244829766</v>
      </c>
      <c r="E1481" s="24">
        <f t="shared" si="215"/>
        <v>1049.3568604115906</v>
      </c>
      <c r="F1481" s="24">
        <f t="shared" si="208"/>
        <v>53.919101784651957</v>
      </c>
      <c r="G1481" s="14">
        <f t="shared" si="209"/>
        <v>793.6921872454169</v>
      </c>
      <c r="H1481" s="24">
        <f t="shared" si="216"/>
        <v>650</v>
      </c>
      <c r="I1481" s="12">
        <f t="shared" si="210"/>
        <v>0.10418572762274622</v>
      </c>
      <c r="J1481" s="3">
        <f t="shared" si="211"/>
        <v>0.7</v>
      </c>
    </row>
    <row r="1482" spans="2:10" x14ac:dyDescent="0.25">
      <c r="B1482" s="3">
        <f t="shared" si="212"/>
        <v>7325</v>
      </c>
      <c r="C1482" s="14">
        <f t="shared" si="213"/>
        <v>122.08333333333333</v>
      </c>
      <c r="D1482" s="11">
        <f t="shared" si="214"/>
        <v>1051.6158288500067</v>
      </c>
      <c r="E1482" s="24">
        <f t="shared" si="215"/>
        <v>1049.4610461392133</v>
      </c>
      <c r="F1482" s="24">
        <f t="shared" si="208"/>
        <v>53.869567769834248</v>
      </c>
      <c r="G1482" s="14">
        <f t="shared" si="209"/>
        <v>793.14855140954103</v>
      </c>
      <c r="H1482" s="24">
        <f t="shared" si="216"/>
        <v>650</v>
      </c>
      <c r="I1482" s="12">
        <f t="shared" si="210"/>
        <v>0.10411281704062184</v>
      </c>
      <c r="J1482" s="3">
        <f t="shared" si="211"/>
        <v>0.7</v>
      </c>
    </row>
    <row r="1483" spans="2:10" x14ac:dyDescent="0.25">
      <c r="B1483" s="3">
        <f t="shared" si="212"/>
        <v>7330</v>
      </c>
      <c r="C1483" s="14">
        <f t="shared" si="213"/>
        <v>122.16666666666667</v>
      </c>
      <c r="D1483" s="11">
        <f t="shared" si="214"/>
        <v>1051.7179635480697</v>
      </c>
      <c r="E1483" s="24">
        <f t="shared" si="215"/>
        <v>1049.565158956254</v>
      </c>
      <c r="F1483" s="24">
        <f t="shared" si="208"/>
        <v>53.820114795394147</v>
      </c>
      <c r="G1483" s="14">
        <f t="shared" si="209"/>
        <v>792.60566873515563</v>
      </c>
      <c r="H1483" s="24">
        <f t="shared" si="216"/>
        <v>650</v>
      </c>
      <c r="I1483" s="12">
        <f t="shared" si="210"/>
        <v>0.10404000899598101</v>
      </c>
      <c r="J1483" s="3">
        <f t="shared" si="211"/>
        <v>0.7</v>
      </c>
    </row>
    <row r="1484" spans="2:10" x14ac:dyDescent="0.25">
      <c r="B1484" s="3">
        <f t="shared" si="212"/>
        <v>7335</v>
      </c>
      <c r="C1484" s="14">
        <f t="shared" si="213"/>
        <v>122.25</v>
      </c>
      <c r="D1484" s="11">
        <f t="shared" si="214"/>
        <v>1051.8200286720826</v>
      </c>
      <c r="E1484" s="24">
        <f t="shared" si="215"/>
        <v>1049.66919896525</v>
      </c>
      <c r="F1484" s="24">
        <f t="shared" si="208"/>
        <v>53.770742670815252</v>
      </c>
      <c r="G1484" s="14">
        <f t="shared" si="209"/>
        <v>792.06353764561027</v>
      </c>
      <c r="H1484" s="24">
        <f t="shared" si="216"/>
        <v>650</v>
      </c>
      <c r="I1484" s="12">
        <f t="shared" si="210"/>
        <v>0.10396730327160911</v>
      </c>
      <c r="J1484" s="3">
        <f t="shared" si="211"/>
        <v>0.7</v>
      </c>
    </row>
    <row r="1485" spans="2:10" x14ac:dyDescent="0.25">
      <c r="B1485" s="3">
        <f t="shared" si="212"/>
        <v>7340</v>
      </c>
      <c r="C1485" s="14">
        <f t="shared" si="213"/>
        <v>122.33333333333333</v>
      </c>
      <c r="D1485" s="11">
        <f t="shared" si="214"/>
        <v>1051.9220243167676</v>
      </c>
      <c r="E1485" s="24">
        <f t="shared" si="215"/>
        <v>1049.7731662685217</v>
      </c>
      <c r="F1485" s="24">
        <f t="shared" si="208"/>
        <v>53.721451206149595</v>
      </c>
      <c r="G1485" s="14">
        <f t="shared" si="209"/>
        <v>791.52215656857618</v>
      </c>
      <c r="H1485" s="24">
        <f t="shared" si="216"/>
        <v>650</v>
      </c>
      <c r="I1485" s="12">
        <f t="shared" si="210"/>
        <v>0.10389469965089261</v>
      </c>
      <c r="J1485" s="3">
        <f t="shared" si="211"/>
        <v>0.7</v>
      </c>
    </row>
    <row r="1486" spans="2:10" x14ac:dyDescent="0.25">
      <c r="B1486" s="3">
        <f t="shared" si="212"/>
        <v>7345</v>
      </c>
      <c r="C1486" s="14">
        <f t="shared" si="213"/>
        <v>122.41666666666667</v>
      </c>
      <c r="D1486" s="11">
        <f t="shared" si="214"/>
        <v>1052.0239505766554</v>
      </c>
      <c r="E1486" s="24">
        <f t="shared" si="215"/>
        <v>1049.8770609681726</v>
      </c>
      <c r="F1486" s="24">
        <f t="shared" si="208"/>
        <v>53.6722402120688</v>
      </c>
      <c r="G1486" s="14">
        <f t="shared" si="209"/>
        <v>790.98152393649241</v>
      </c>
      <c r="H1486" s="24">
        <f t="shared" si="216"/>
        <v>650</v>
      </c>
      <c r="I1486" s="12">
        <f t="shared" si="210"/>
        <v>0.10382219791788015</v>
      </c>
      <c r="J1486" s="3">
        <f t="shared" si="211"/>
        <v>0.7</v>
      </c>
    </row>
    <row r="1487" spans="2:10" x14ac:dyDescent="0.25">
      <c r="B1487" s="3">
        <f t="shared" si="212"/>
        <v>7350</v>
      </c>
      <c r="C1487" s="14">
        <f t="shared" si="213"/>
        <v>122.5</v>
      </c>
      <c r="D1487" s="11">
        <f t="shared" si="214"/>
        <v>1052.1258075460823</v>
      </c>
      <c r="E1487" s="24">
        <f t="shared" si="215"/>
        <v>1049.9808831660905</v>
      </c>
      <c r="F1487" s="24">
        <f t="shared" si="208"/>
        <v>53.623109499795873</v>
      </c>
      <c r="G1487" s="14">
        <f t="shared" si="209"/>
        <v>790.4416381859254</v>
      </c>
      <c r="H1487" s="24">
        <f t="shared" si="216"/>
        <v>650</v>
      </c>
      <c r="I1487" s="12">
        <f t="shared" si="210"/>
        <v>0.10374979785719553</v>
      </c>
      <c r="J1487" s="3">
        <f t="shared" si="211"/>
        <v>0.7</v>
      </c>
    </row>
    <row r="1488" spans="2:10" x14ac:dyDescent="0.25">
      <c r="B1488" s="3">
        <f t="shared" si="212"/>
        <v>7355</v>
      </c>
      <c r="C1488" s="14">
        <f t="shared" si="213"/>
        <v>122.58333333333333</v>
      </c>
      <c r="D1488" s="11">
        <f t="shared" si="214"/>
        <v>1052.2275953191929</v>
      </c>
      <c r="E1488" s="24">
        <f t="shared" si="215"/>
        <v>1050.0846329639478</v>
      </c>
      <c r="F1488" s="24">
        <f t="shared" si="208"/>
        <v>53.574058881127939</v>
      </c>
      <c r="G1488" s="14">
        <f t="shared" si="209"/>
        <v>789.90249775774441</v>
      </c>
      <c r="H1488" s="24">
        <f t="shared" si="216"/>
        <v>650</v>
      </c>
      <c r="I1488" s="12">
        <f t="shared" si="210"/>
        <v>0.10367749925406193</v>
      </c>
      <c r="J1488" s="3">
        <f t="shared" si="211"/>
        <v>0.7</v>
      </c>
    </row>
    <row r="1489" spans="2:10" x14ac:dyDescent="0.25">
      <c r="B1489" s="3">
        <f t="shared" si="212"/>
        <v>7360</v>
      </c>
      <c r="C1489" s="14">
        <f t="shared" si="213"/>
        <v>122.66666666666667</v>
      </c>
      <c r="D1489" s="11">
        <f t="shared" si="214"/>
        <v>1052.3293139899406</v>
      </c>
      <c r="E1489" s="24">
        <f t="shared" si="215"/>
        <v>1050.1883104632018</v>
      </c>
      <c r="F1489" s="24">
        <f t="shared" ref="F1489:F1552" si="217">AlphaC*(D1489-E1489)</f>
        <v>53.525088168470347</v>
      </c>
      <c r="G1489" s="14">
        <f t="shared" ref="G1489:G1552" si="218">Phi*EpsilonF*Botzman/10^8*J1489*((D1489+273)^4-(E1489+273)^4)</f>
        <v>789.36410109766337</v>
      </c>
      <c r="H1489" s="24">
        <f t="shared" si="216"/>
        <v>650</v>
      </c>
      <c r="I1489" s="12">
        <f t="shared" ref="I1489:I1552" si="219">ksh*Massivete/(H1489*RhoA)*DeltaT*(F1489+G1489)</f>
        <v>0.10360530189437284</v>
      </c>
      <c r="J1489" s="3">
        <f t="shared" ref="J1489:J1552" si="220">IF(E1489&lt;=500,IF(Galva=Oui,0.35,0.7),0.7)</f>
        <v>0.7</v>
      </c>
    </row>
    <row r="1490" spans="2:10" x14ac:dyDescent="0.25">
      <c r="B1490" s="3">
        <f t="shared" ref="B1490:B1553" si="221">B1489+DeltaT</f>
        <v>7365</v>
      </c>
      <c r="C1490" s="14">
        <f t="shared" ref="C1490:C1553" si="222">B1490/60</f>
        <v>122.75</v>
      </c>
      <c r="D1490" s="11">
        <f t="shared" ref="D1490:D1553" si="223">20+345*LOG(8*C1490+1,10)</f>
        <v>1052.4309636520868</v>
      </c>
      <c r="E1490" s="24">
        <f t="shared" si="215"/>
        <v>1050.2919157650961</v>
      </c>
      <c r="F1490" s="24">
        <f t="shared" si="217"/>
        <v>53.476197174768458</v>
      </c>
      <c r="G1490" s="14">
        <f t="shared" si="218"/>
        <v>788.82644665521411</v>
      </c>
      <c r="H1490" s="24">
        <f t="shared" si="216"/>
        <v>650</v>
      </c>
      <c r="I1490" s="12">
        <f t="shared" si="219"/>
        <v>0.10353320556455739</v>
      </c>
      <c r="J1490" s="3">
        <f t="shared" si="220"/>
        <v>0.7</v>
      </c>
    </row>
    <row r="1491" spans="2:10" x14ac:dyDescent="0.25">
      <c r="B1491" s="3">
        <f t="shared" si="221"/>
        <v>7370</v>
      </c>
      <c r="C1491" s="14">
        <f t="shared" si="222"/>
        <v>122.83333333333333</v>
      </c>
      <c r="D1491" s="11">
        <f t="shared" si="223"/>
        <v>1052.5325443992024</v>
      </c>
      <c r="E1491" s="24">
        <f t="shared" si="215"/>
        <v>1050.3954489706607</v>
      </c>
      <c r="F1491" s="24">
        <f t="shared" si="217"/>
        <v>53.427385713541753</v>
      </c>
      <c r="G1491" s="14">
        <f t="shared" si="218"/>
        <v>788.28953288434718</v>
      </c>
      <c r="H1491" s="24">
        <f t="shared" si="216"/>
        <v>650</v>
      </c>
      <c r="I1491" s="12">
        <f t="shared" si="219"/>
        <v>0.10346121005165843</v>
      </c>
      <c r="J1491" s="3">
        <f t="shared" si="220"/>
        <v>0.7</v>
      </c>
    </row>
    <row r="1492" spans="2:10" x14ac:dyDescent="0.25">
      <c r="B1492" s="3">
        <f t="shared" si="221"/>
        <v>7375</v>
      </c>
      <c r="C1492" s="14">
        <f t="shared" si="222"/>
        <v>122.91666666666667</v>
      </c>
      <c r="D1492" s="11">
        <f t="shared" si="223"/>
        <v>1052.6340563246683</v>
      </c>
      <c r="E1492" s="24">
        <f t="shared" si="215"/>
        <v>1050.4989101807123</v>
      </c>
      <c r="F1492" s="24">
        <f t="shared" si="217"/>
        <v>53.378653598900883</v>
      </c>
      <c r="G1492" s="14">
        <f t="shared" si="218"/>
        <v>787.75335824362537</v>
      </c>
      <c r="H1492" s="24">
        <f t="shared" si="216"/>
        <v>650</v>
      </c>
      <c r="I1492" s="12">
        <f t="shared" si="219"/>
        <v>0.10338931514335836</v>
      </c>
      <c r="J1492" s="3">
        <f t="shared" si="220"/>
        <v>0.7</v>
      </c>
    </row>
    <row r="1493" spans="2:10" x14ac:dyDescent="0.25">
      <c r="B1493" s="3">
        <f t="shared" si="221"/>
        <v>7380</v>
      </c>
      <c r="C1493" s="14">
        <f t="shared" si="222"/>
        <v>123</v>
      </c>
      <c r="D1493" s="11">
        <f t="shared" si="223"/>
        <v>1052.735499521676</v>
      </c>
      <c r="E1493" s="24">
        <f t="shared" si="215"/>
        <v>1050.6022994958557</v>
      </c>
      <c r="F1493" s="24">
        <f t="shared" si="217"/>
        <v>53.33000064550788</v>
      </c>
      <c r="G1493" s="14">
        <f t="shared" si="218"/>
        <v>787.21792119575889</v>
      </c>
      <c r="H1493" s="24">
        <f t="shared" si="216"/>
        <v>650</v>
      </c>
      <c r="I1493" s="12">
        <f t="shared" si="219"/>
        <v>0.10331752062791717</v>
      </c>
      <c r="J1493" s="3">
        <f t="shared" si="220"/>
        <v>0.7</v>
      </c>
    </row>
    <row r="1494" spans="2:10" x14ac:dyDescent="0.25">
      <c r="B1494" s="3">
        <f t="shared" si="221"/>
        <v>7385</v>
      </c>
      <c r="C1494" s="14">
        <f t="shared" si="222"/>
        <v>123.08333333333333</v>
      </c>
      <c r="D1494" s="11">
        <f t="shared" si="223"/>
        <v>1052.836874083227</v>
      </c>
      <c r="E1494" s="24">
        <f t="shared" si="215"/>
        <v>1050.7056170164838</v>
      </c>
      <c r="F1494" s="24">
        <f t="shared" si="217"/>
        <v>53.281426668581844</v>
      </c>
      <c r="G1494" s="14">
        <f t="shared" si="218"/>
        <v>786.68322020756648</v>
      </c>
      <c r="H1494" s="24">
        <f t="shared" si="216"/>
        <v>650</v>
      </c>
      <c r="I1494" s="12">
        <f t="shared" si="219"/>
        <v>0.10324582629416834</v>
      </c>
      <c r="J1494" s="3">
        <f t="shared" si="220"/>
        <v>0.7</v>
      </c>
    </row>
    <row r="1495" spans="2:10" x14ac:dyDescent="0.25">
      <c r="B1495" s="3">
        <f t="shared" si="221"/>
        <v>7390</v>
      </c>
      <c r="C1495" s="14">
        <f t="shared" si="222"/>
        <v>123.16666666666667</v>
      </c>
      <c r="D1495" s="11">
        <f t="shared" si="223"/>
        <v>1052.9381801021348</v>
      </c>
      <c r="E1495" s="24">
        <f t="shared" si="215"/>
        <v>1050.8088628427779</v>
      </c>
      <c r="F1495" s="24">
        <f t="shared" si="217"/>
        <v>53.232931483921675</v>
      </c>
      <c r="G1495" s="14">
        <f t="shared" si="218"/>
        <v>786.14925375042105</v>
      </c>
      <c r="H1495" s="24">
        <f t="shared" si="216"/>
        <v>650</v>
      </c>
      <c r="I1495" s="12">
        <f t="shared" si="219"/>
        <v>0.10317423193157639</v>
      </c>
      <c r="J1495" s="3">
        <f t="shared" si="220"/>
        <v>0.7</v>
      </c>
    </row>
    <row r="1496" spans="2:10" x14ac:dyDescent="0.25">
      <c r="B1496" s="3">
        <f t="shared" si="221"/>
        <v>7395</v>
      </c>
      <c r="C1496" s="14">
        <f t="shared" si="222"/>
        <v>123.25</v>
      </c>
      <c r="D1496" s="11">
        <f t="shared" si="223"/>
        <v>1053.0394176710247</v>
      </c>
      <c r="E1496" s="24">
        <f t="shared" si="215"/>
        <v>1050.9120370747096</v>
      </c>
      <c r="F1496" s="24">
        <f t="shared" si="217"/>
        <v>53.184514907877656</v>
      </c>
      <c r="G1496" s="14">
        <f t="shared" si="218"/>
        <v>785.61602029976552</v>
      </c>
      <c r="H1496" s="24">
        <f t="shared" si="216"/>
        <v>650</v>
      </c>
      <c r="I1496" s="12">
        <f t="shared" si="219"/>
        <v>0.10310273733017386</v>
      </c>
      <c r="J1496" s="3">
        <f t="shared" si="220"/>
        <v>0.7</v>
      </c>
    </row>
    <row r="1497" spans="2:10" x14ac:dyDescent="0.25">
      <c r="B1497" s="3">
        <f t="shared" si="221"/>
        <v>7400</v>
      </c>
      <c r="C1497" s="14">
        <f t="shared" si="222"/>
        <v>123.33333333333333</v>
      </c>
      <c r="D1497" s="11">
        <f t="shared" si="223"/>
        <v>1053.140586882334</v>
      </c>
      <c r="E1497" s="24">
        <f t="shared" si="215"/>
        <v>1051.0151398120397</v>
      </c>
      <c r="F1497" s="24">
        <f t="shared" si="217"/>
        <v>53.136176757357134</v>
      </c>
      <c r="G1497" s="14">
        <f t="shared" si="218"/>
        <v>785.08351833542235</v>
      </c>
      <c r="H1497" s="24">
        <f t="shared" si="216"/>
        <v>650</v>
      </c>
      <c r="I1497" s="12">
        <f t="shared" si="219"/>
        <v>0.10303134228060014</v>
      </c>
      <c r="J1497" s="3">
        <f t="shared" si="220"/>
        <v>0.7</v>
      </c>
    </row>
    <row r="1498" spans="2:10" x14ac:dyDescent="0.25">
      <c r="B1498" s="3">
        <f t="shared" si="221"/>
        <v>7405</v>
      </c>
      <c r="C1498" s="14">
        <f t="shared" si="222"/>
        <v>123.41666666666667</v>
      </c>
      <c r="D1498" s="11">
        <f t="shared" si="223"/>
        <v>1053.2416878283134</v>
      </c>
      <c r="E1498" s="24">
        <f t="shared" si="215"/>
        <v>1051.1181711543204</v>
      </c>
      <c r="F1498" s="24">
        <f t="shared" si="217"/>
        <v>53.087916849824524</v>
      </c>
      <c r="G1498" s="14">
        <f t="shared" si="218"/>
        <v>784.55174634120635</v>
      </c>
      <c r="H1498" s="24">
        <f t="shared" si="216"/>
        <v>650</v>
      </c>
      <c r="I1498" s="12">
        <f t="shared" si="219"/>
        <v>0.10296004657405376</v>
      </c>
      <c r="J1498" s="3">
        <f t="shared" si="220"/>
        <v>0.7</v>
      </c>
    </row>
    <row r="1499" spans="2:10" x14ac:dyDescent="0.25">
      <c r="B1499" s="3">
        <f t="shared" si="221"/>
        <v>7410</v>
      </c>
      <c r="C1499" s="14">
        <f t="shared" si="222"/>
        <v>123.5</v>
      </c>
      <c r="D1499" s="11">
        <f t="shared" si="223"/>
        <v>1053.3427206010269</v>
      </c>
      <c r="E1499" s="24">
        <f t="shared" si="215"/>
        <v>1051.2211312008944</v>
      </c>
      <c r="F1499" s="24">
        <f t="shared" si="217"/>
        <v>53.039735003312671</v>
      </c>
      <c r="G1499" s="14">
        <f t="shared" si="218"/>
        <v>784.02070280564192</v>
      </c>
      <c r="H1499" s="24">
        <f t="shared" si="216"/>
        <v>650</v>
      </c>
      <c r="I1499" s="12">
        <f t="shared" si="219"/>
        <v>0.10288885000238204</v>
      </c>
      <c r="J1499" s="3">
        <f t="shared" si="220"/>
        <v>0.7</v>
      </c>
    </row>
    <row r="1500" spans="2:10" x14ac:dyDescent="0.25">
      <c r="B1500" s="3">
        <f t="shared" si="221"/>
        <v>7415</v>
      </c>
      <c r="C1500" s="14">
        <f t="shared" si="222"/>
        <v>123.58333333333333</v>
      </c>
      <c r="D1500" s="11">
        <f t="shared" si="223"/>
        <v>1053.4436852923518</v>
      </c>
      <c r="E1500" s="24">
        <f t="shared" si="215"/>
        <v>1051.3240200508967</v>
      </c>
      <c r="F1500" s="24">
        <f t="shared" si="217"/>
        <v>52.991631036377385</v>
      </c>
      <c r="G1500" s="14">
        <f t="shared" si="218"/>
        <v>783.4903862207608</v>
      </c>
      <c r="H1500" s="24">
        <f t="shared" si="216"/>
        <v>650</v>
      </c>
      <c r="I1500" s="12">
        <f t="shared" si="219"/>
        <v>0.10281775235792771</v>
      </c>
      <c r="J1500" s="3">
        <f t="shared" si="220"/>
        <v>0.7</v>
      </c>
    </row>
    <row r="1501" spans="2:10" x14ac:dyDescent="0.25">
      <c r="B1501" s="3">
        <f t="shared" si="221"/>
        <v>7420</v>
      </c>
      <c r="C1501" s="14">
        <f t="shared" si="222"/>
        <v>123.66666666666667</v>
      </c>
      <c r="D1501" s="11">
        <f t="shared" si="223"/>
        <v>1053.5445819939805</v>
      </c>
      <c r="E1501" s="24">
        <f t="shared" si="215"/>
        <v>1051.4268378032546</v>
      </c>
      <c r="F1501" s="24">
        <f t="shared" si="217"/>
        <v>52.943604768148589</v>
      </c>
      <c r="G1501" s="14">
        <f t="shared" si="218"/>
        <v>782.96079508332377</v>
      </c>
      <c r="H1501" s="24">
        <f t="shared" si="216"/>
        <v>650</v>
      </c>
      <c r="I1501" s="12">
        <f t="shared" si="219"/>
        <v>0.10274675343368531</v>
      </c>
      <c r="J1501" s="3">
        <f t="shared" si="220"/>
        <v>0.7</v>
      </c>
    </row>
    <row r="1502" spans="2:10" x14ac:dyDescent="0.25">
      <c r="B1502" s="3">
        <f t="shared" si="221"/>
        <v>7425</v>
      </c>
      <c r="C1502" s="14">
        <f t="shared" si="222"/>
        <v>123.75</v>
      </c>
      <c r="D1502" s="11">
        <f t="shared" si="223"/>
        <v>1053.64541079742</v>
      </c>
      <c r="E1502" s="24">
        <f t="shared" si="215"/>
        <v>1051.5295845566882</v>
      </c>
      <c r="F1502" s="24">
        <f t="shared" si="217"/>
        <v>52.895656018296222</v>
      </c>
      <c r="G1502" s="14">
        <f t="shared" si="218"/>
        <v>782.43192789404486</v>
      </c>
      <c r="H1502" s="24">
        <f t="shared" si="216"/>
        <v>650</v>
      </c>
      <c r="I1502" s="12">
        <f t="shared" si="219"/>
        <v>0.10267585302320167</v>
      </c>
      <c r="J1502" s="3">
        <f t="shared" si="220"/>
        <v>0.7</v>
      </c>
    </row>
    <row r="1503" spans="2:10" x14ac:dyDescent="0.25">
      <c r="B1503" s="3">
        <f t="shared" si="221"/>
        <v>7430</v>
      </c>
      <c r="C1503" s="14">
        <f t="shared" si="222"/>
        <v>123.83333333333333</v>
      </c>
      <c r="D1503" s="11">
        <f t="shared" si="223"/>
        <v>1053.7461717939925</v>
      </c>
      <c r="E1503" s="24">
        <f t="shared" si="215"/>
        <v>1051.6322604097113</v>
      </c>
      <c r="F1503" s="24">
        <f t="shared" si="217"/>
        <v>52.847784607030235</v>
      </c>
      <c r="G1503" s="14">
        <f t="shared" si="218"/>
        <v>781.90378315776616</v>
      </c>
      <c r="H1503" s="24">
        <f t="shared" si="216"/>
        <v>650</v>
      </c>
      <c r="I1503" s="12">
        <f t="shared" si="219"/>
        <v>0.10260505092059746</v>
      </c>
      <c r="J1503" s="3">
        <f t="shared" si="220"/>
        <v>0.7</v>
      </c>
    </row>
    <row r="1504" spans="2:10" x14ac:dyDescent="0.25">
      <c r="B1504" s="3">
        <f t="shared" si="221"/>
        <v>7435</v>
      </c>
      <c r="C1504" s="14">
        <f t="shared" si="222"/>
        <v>123.91666666666667</v>
      </c>
      <c r="D1504" s="11">
        <f t="shared" si="223"/>
        <v>1053.8468650748364</v>
      </c>
      <c r="E1504" s="24">
        <f t="shared" si="215"/>
        <v>1051.7348654606319</v>
      </c>
      <c r="F1504" s="24">
        <f t="shared" si="217"/>
        <v>52.799990355111959</v>
      </c>
      <c r="G1504" s="14">
        <f t="shared" si="218"/>
        <v>781.37635938349626</v>
      </c>
      <c r="H1504" s="24">
        <f t="shared" si="216"/>
        <v>650</v>
      </c>
      <c r="I1504" s="12">
        <f t="shared" si="219"/>
        <v>0.10253434692057321</v>
      </c>
      <c r="J1504" s="3">
        <f t="shared" si="220"/>
        <v>0.7</v>
      </c>
    </row>
    <row r="1505" spans="2:10" x14ac:dyDescent="0.25">
      <c r="B1505" s="3">
        <f t="shared" si="221"/>
        <v>7440</v>
      </c>
      <c r="C1505" s="14">
        <f t="shared" si="222"/>
        <v>124</v>
      </c>
      <c r="D1505" s="11">
        <f t="shared" si="223"/>
        <v>1053.9474907309066</v>
      </c>
      <c r="E1505" s="24">
        <f t="shared" si="215"/>
        <v>1051.8373998075524</v>
      </c>
      <c r="F1505" s="24">
        <f t="shared" si="217"/>
        <v>52.752273083854107</v>
      </c>
      <c r="G1505" s="14">
        <f t="shared" si="218"/>
        <v>780.84965508462392</v>
      </c>
      <c r="H1505" s="24">
        <f t="shared" si="216"/>
        <v>650</v>
      </c>
      <c r="I1505" s="12">
        <f t="shared" si="219"/>
        <v>0.10246374081843564</v>
      </c>
      <c r="J1505" s="3">
        <f t="shared" si="220"/>
        <v>0.7</v>
      </c>
    </row>
    <row r="1506" spans="2:10" x14ac:dyDescent="0.25">
      <c r="B1506" s="3">
        <f t="shared" si="221"/>
        <v>7445</v>
      </c>
      <c r="C1506" s="14">
        <f t="shared" si="222"/>
        <v>124.08333333333333</v>
      </c>
      <c r="D1506" s="11">
        <f t="shared" si="223"/>
        <v>1054.048048852974</v>
      </c>
      <c r="E1506" s="24">
        <f t="shared" si="215"/>
        <v>1051.9398635483708</v>
      </c>
      <c r="F1506" s="24">
        <f t="shared" si="217"/>
        <v>52.704632615080982</v>
      </c>
      <c r="G1506" s="14">
        <f t="shared" si="218"/>
        <v>780.32366877816162</v>
      </c>
      <c r="H1506" s="24">
        <f t="shared" si="216"/>
        <v>650</v>
      </c>
      <c r="I1506" s="12">
        <f t="shared" si="219"/>
        <v>0.10239323240999977</v>
      </c>
      <c r="J1506" s="3">
        <f t="shared" si="220"/>
        <v>0.7</v>
      </c>
    </row>
    <row r="1507" spans="2:10" x14ac:dyDescent="0.25">
      <c r="B1507" s="3">
        <f t="shared" si="221"/>
        <v>7450</v>
      </c>
      <c r="C1507" s="14">
        <f t="shared" si="222"/>
        <v>124.16666666666667</v>
      </c>
      <c r="D1507" s="11">
        <f t="shared" si="223"/>
        <v>1054.1485395316279</v>
      </c>
      <c r="E1507" s="24">
        <f t="shared" si="215"/>
        <v>1052.0422567807807</v>
      </c>
      <c r="F1507" s="24">
        <f t="shared" si="217"/>
        <v>52.657068771179638</v>
      </c>
      <c r="G1507" s="14">
        <f t="shared" si="218"/>
        <v>779.79839898557941</v>
      </c>
      <c r="H1507" s="24">
        <f t="shared" si="216"/>
        <v>650</v>
      </c>
      <c r="I1507" s="12">
        <f t="shared" si="219"/>
        <v>0.10232282149169768</v>
      </c>
      <c r="J1507" s="3">
        <f t="shared" si="220"/>
        <v>0.7</v>
      </c>
    </row>
    <row r="1508" spans="2:10" x14ac:dyDescent="0.25">
      <c r="B1508" s="3">
        <f t="shared" si="221"/>
        <v>7455</v>
      </c>
      <c r="C1508" s="14">
        <f t="shared" si="222"/>
        <v>124.25</v>
      </c>
      <c r="D1508" s="11">
        <f t="shared" si="223"/>
        <v>1054.2489628572753</v>
      </c>
      <c r="E1508" s="24">
        <f t="shared" si="215"/>
        <v>1052.1445796022724</v>
      </c>
      <c r="F1508" s="24">
        <f t="shared" si="217"/>
        <v>52.609581375071457</v>
      </c>
      <c r="G1508" s="14">
        <f t="shared" si="218"/>
        <v>779.27384423249453</v>
      </c>
      <c r="H1508" s="24">
        <f t="shared" si="216"/>
        <v>650</v>
      </c>
      <c r="I1508" s="12">
        <f t="shared" si="219"/>
        <v>0.10225250786053691</v>
      </c>
      <c r="J1508" s="3">
        <f t="shared" si="220"/>
        <v>0.7</v>
      </c>
    </row>
    <row r="1509" spans="2:10" x14ac:dyDescent="0.25">
      <c r="B1509" s="3">
        <f t="shared" si="221"/>
        <v>7460</v>
      </c>
      <c r="C1509" s="14">
        <f t="shared" si="222"/>
        <v>124.33333333333333</v>
      </c>
      <c r="D1509" s="11">
        <f t="shared" si="223"/>
        <v>1054.3493189201408</v>
      </c>
      <c r="E1509" s="24">
        <f t="shared" si="215"/>
        <v>1052.246832110133</v>
      </c>
      <c r="F1509" s="24">
        <f t="shared" si="217"/>
        <v>52.562170250195095</v>
      </c>
      <c r="G1509" s="14">
        <f t="shared" si="218"/>
        <v>778.75000304822584</v>
      </c>
      <c r="H1509" s="24">
        <f t="shared" si="216"/>
        <v>650</v>
      </c>
      <c r="I1509" s="12">
        <f t="shared" si="219"/>
        <v>0.10218229131404359</v>
      </c>
      <c r="J1509" s="3">
        <f t="shared" si="220"/>
        <v>0.7</v>
      </c>
    </row>
    <row r="1510" spans="2:10" x14ac:dyDescent="0.25">
      <c r="B1510" s="3">
        <f t="shared" si="221"/>
        <v>7465</v>
      </c>
      <c r="C1510" s="14">
        <f t="shared" si="222"/>
        <v>124.41666666666667</v>
      </c>
      <c r="D1510" s="11">
        <f t="shared" si="223"/>
        <v>1054.4496078102682</v>
      </c>
      <c r="E1510" s="24">
        <f t="shared" si="215"/>
        <v>1052.349014401447</v>
      </c>
      <c r="F1510" s="24">
        <f t="shared" si="217"/>
        <v>52.514835220529221</v>
      </c>
      <c r="G1510" s="14">
        <f t="shared" si="218"/>
        <v>778.22687396633626</v>
      </c>
      <c r="H1510" s="24">
        <f t="shared" si="216"/>
        <v>650</v>
      </c>
      <c r="I1510" s="12">
        <f t="shared" si="219"/>
        <v>0.10211217165033185</v>
      </c>
      <c r="J1510" s="3">
        <f t="shared" si="220"/>
        <v>0.7</v>
      </c>
    </row>
    <row r="1511" spans="2:10" x14ac:dyDescent="0.25">
      <c r="B1511" s="3">
        <f t="shared" si="221"/>
        <v>7470</v>
      </c>
      <c r="C1511" s="14">
        <f t="shared" si="222"/>
        <v>124.5</v>
      </c>
      <c r="D1511" s="11">
        <f t="shared" si="223"/>
        <v>1054.549829617521</v>
      </c>
      <c r="E1511" s="24">
        <f t="shared" si="215"/>
        <v>1052.4511265730973</v>
      </c>
      <c r="F1511" s="24">
        <f t="shared" si="217"/>
        <v>52.467576110592518</v>
      </c>
      <c r="G1511" s="14">
        <f t="shared" si="218"/>
        <v>777.70445552459432</v>
      </c>
      <c r="H1511" s="24">
        <f t="shared" si="216"/>
        <v>650</v>
      </c>
      <c r="I1511" s="12">
        <f t="shared" si="219"/>
        <v>0.10204214866809914</v>
      </c>
      <c r="J1511" s="3">
        <f t="shared" si="220"/>
        <v>0.7</v>
      </c>
    </row>
    <row r="1512" spans="2:10" x14ac:dyDescent="0.25">
      <c r="B1512" s="3">
        <f t="shared" si="221"/>
        <v>7475</v>
      </c>
      <c r="C1512" s="14">
        <f t="shared" si="222"/>
        <v>124.58333333333333</v>
      </c>
      <c r="D1512" s="11">
        <f t="shared" si="223"/>
        <v>1054.6499844315824</v>
      </c>
      <c r="E1512" s="24">
        <f t="shared" si="215"/>
        <v>1052.5531687217654</v>
      </c>
      <c r="F1512" s="24">
        <f t="shared" si="217"/>
        <v>52.420392745426625</v>
      </c>
      <c r="G1512" s="14">
        <f t="shared" si="218"/>
        <v>777.18274626468337</v>
      </c>
      <c r="H1512" s="24">
        <f t="shared" si="216"/>
        <v>650</v>
      </c>
      <c r="I1512" s="12">
        <f t="shared" si="219"/>
        <v>0.10197222216658845</v>
      </c>
      <c r="J1512" s="3">
        <f t="shared" si="220"/>
        <v>0.7</v>
      </c>
    </row>
    <row r="1513" spans="2:10" x14ac:dyDescent="0.25">
      <c r="B1513" s="3">
        <f t="shared" si="221"/>
        <v>7480</v>
      </c>
      <c r="C1513" s="14">
        <f t="shared" si="222"/>
        <v>124.66666666666667</v>
      </c>
      <c r="D1513" s="11">
        <f t="shared" si="223"/>
        <v>1054.7500723419553</v>
      </c>
      <c r="E1513" s="24">
        <f t="shared" si="215"/>
        <v>1052.6551409439319</v>
      </c>
      <c r="F1513" s="24">
        <f t="shared" si="217"/>
        <v>52.373284950584775</v>
      </c>
      <c r="G1513" s="14">
        <f t="shared" si="218"/>
        <v>776.66174473214301</v>
      </c>
      <c r="H1513" s="24">
        <f t="shared" si="216"/>
        <v>650</v>
      </c>
      <c r="I1513" s="12">
        <f t="shared" si="219"/>
        <v>0.10190239194557958</v>
      </c>
      <c r="J1513" s="3">
        <f t="shared" si="220"/>
        <v>0.7</v>
      </c>
    </row>
    <row r="1514" spans="2:10" x14ac:dyDescent="0.25">
      <c r="B1514" s="3">
        <f t="shared" si="221"/>
        <v>7485</v>
      </c>
      <c r="C1514" s="14">
        <f t="shared" si="222"/>
        <v>124.75</v>
      </c>
      <c r="D1514" s="11">
        <f t="shared" si="223"/>
        <v>1054.850093437964</v>
      </c>
      <c r="E1514" s="24">
        <f t="shared" si="215"/>
        <v>1052.7570433358774</v>
      </c>
      <c r="F1514" s="24">
        <f t="shared" si="217"/>
        <v>52.326252552165897</v>
      </c>
      <c r="G1514" s="14">
        <f t="shared" si="218"/>
        <v>776.14144947677664</v>
      </c>
      <c r="H1514" s="24">
        <f t="shared" si="216"/>
        <v>650</v>
      </c>
      <c r="I1514" s="12">
        <f t="shared" si="219"/>
        <v>0.10183265780544352</v>
      </c>
      <c r="J1514" s="3">
        <f t="shared" si="220"/>
        <v>0.7</v>
      </c>
    </row>
    <row r="1515" spans="2:10" x14ac:dyDescent="0.25">
      <c r="B1515" s="3">
        <f t="shared" si="221"/>
        <v>7490</v>
      </c>
      <c r="C1515" s="14">
        <f t="shared" si="222"/>
        <v>124.83333333333333</v>
      </c>
      <c r="D1515" s="11">
        <f t="shared" si="223"/>
        <v>1054.9500478087532</v>
      </c>
      <c r="E1515" s="24">
        <f t="shared" si="215"/>
        <v>1052.8588759936829</v>
      </c>
      <c r="F1515" s="24">
        <f t="shared" si="217"/>
        <v>52.279295376757773</v>
      </c>
      <c r="G1515" s="14">
        <f t="shared" si="218"/>
        <v>775.6218590518954</v>
      </c>
      <c r="H1515" s="24">
        <f t="shared" si="216"/>
        <v>650</v>
      </c>
      <c r="I1515" s="12">
        <f t="shared" si="219"/>
        <v>0.10176301954704255</v>
      </c>
      <c r="J1515" s="3">
        <f t="shared" si="220"/>
        <v>0.7</v>
      </c>
    </row>
    <row r="1516" spans="2:10" x14ac:dyDescent="0.25">
      <c r="B1516" s="3">
        <f t="shared" si="221"/>
        <v>7495</v>
      </c>
      <c r="C1516" s="14">
        <f t="shared" si="222"/>
        <v>124.91666666666667</v>
      </c>
      <c r="D1516" s="11">
        <f t="shared" si="223"/>
        <v>1055.0499355432905</v>
      </c>
      <c r="E1516" s="24">
        <f t="shared" si="215"/>
        <v>1052.9606390132299</v>
      </c>
      <c r="F1516" s="24">
        <f t="shared" si="217"/>
        <v>52.232413251516618</v>
      </c>
      <c r="G1516" s="14">
        <f t="shared" si="218"/>
        <v>775.10297201550043</v>
      </c>
      <c r="H1516" s="24">
        <f t="shared" si="216"/>
        <v>650</v>
      </c>
      <c r="I1516" s="12">
        <f t="shared" si="219"/>
        <v>0.10169347697188522</v>
      </c>
      <c r="J1516" s="3">
        <f t="shared" si="220"/>
        <v>0.7</v>
      </c>
    </row>
    <row r="1517" spans="2:10" x14ac:dyDescent="0.25">
      <c r="B1517" s="3">
        <f t="shared" si="221"/>
        <v>7500</v>
      </c>
      <c r="C1517" s="14">
        <f t="shared" si="222"/>
        <v>125</v>
      </c>
      <c r="D1517" s="11">
        <f t="shared" si="223"/>
        <v>1055.1497567303647</v>
      </c>
      <c r="E1517" s="24">
        <f t="shared" si="215"/>
        <v>1053.0623324902017</v>
      </c>
      <c r="F1517" s="24">
        <f t="shared" si="217"/>
        <v>52.185606004076135</v>
      </c>
      <c r="G1517" s="14">
        <f t="shared" si="218"/>
        <v>774.5847869290036</v>
      </c>
      <c r="H1517" s="24">
        <f t="shared" si="216"/>
        <v>650</v>
      </c>
      <c r="I1517" s="12">
        <f t="shared" si="219"/>
        <v>0.10162402988195807</v>
      </c>
      <c r="J1517" s="3">
        <f t="shared" si="220"/>
        <v>0.7</v>
      </c>
    </row>
    <row r="1518" spans="2:10" x14ac:dyDescent="0.25">
      <c r="B1518" s="3">
        <f t="shared" si="221"/>
        <v>7505</v>
      </c>
      <c r="C1518" s="14">
        <f t="shared" si="222"/>
        <v>125.08333333333333</v>
      </c>
      <c r="D1518" s="11">
        <f t="shared" si="223"/>
        <v>1055.2495114585879</v>
      </c>
      <c r="E1518" s="24">
        <f t="shared" si="215"/>
        <v>1053.1639565200837</v>
      </c>
      <c r="F1518" s="24">
        <f t="shared" si="217"/>
        <v>52.138873462604352</v>
      </c>
      <c r="G1518" s="14">
        <f t="shared" si="218"/>
        <v>774.06730235798341</v>
      </c>
      <c r="H1518" s="24">
        <f t="shared" si="216"/>
        <v>650</v>
      </c>
      <c r="I1518" s="12">
        <f t="shared" si="219"/>
        <v>0.10155467807982546</v>
      </c>
      <c r="J1518" s="3">
        <f t="shared" si="220"/>
        <v>0.7</v>
      </c>
    </row>
    <row r="1519" spans="2:10" x14ac:dyDescent="0.25">
      <c r="B1519" s="3">
        <f t="shared" si="221"/>
        <v>7510</v>
      </c>
      <c r="C1519" s="14">
        <f t="shared" si="222"/>
        <v>125.16666666666667</v>
      </c>
      <c r="D1519" s="11">
        <f t="shared" si="223"/>
        <v>1055.349199816395</v>
      </c>
      <c r="E1519" s="24">
        <f t="shared" si="215"/>
        <v>1053.2655111981635</v>
      </c>
      <c r="F1519" s="24">
        <f t="shared" si="217"/>
        <v>52.092215455786572</v>
      </c>
      <c r="G1519" s="14">
        <f t="shared" si="218"/>
        <v>773.55051687191394</v>
      </c>
      <c r="H1519" s="24">
        <f t="shared" si="216"/>
        <v>650</v>
      </c>
      <c r="I1519" s="12">
        <f t="shared" si="219"/>
        <v>0.10148542136859415</v>
      </c>
      <c r="J1519" s="3">
        <f t="shared" si="220"/>
        <v>0.7</v>
      </c>
    </row>
    <row r="1520" spans="2:10" x14ac:dyDescent="0.25">
      <c r="B1520" s="3">
        <f t="shared" si="221"/>
        <v>7515</v>
      </c>
      <c r="C1520" s="14">
        <f t="shared" si="222"/>
        <v>125.25</v>
      </c>
      <c r="D1520" s="11">
        <f t="shared" si="223"/>
        <v>1055.4488218920442</v>
      </c>
      <c r="E1520" s="24">
        <f t="shared" si="215"/>
        <v>1053.3669966195321</v>
      </c>
      <c r="F1520" s="24">
        <f t="shared" si="217"/>
        <v>52.04563181280264</v>
      </c>
      <c r="G1520" s="14">
        <f t="shared" si="218"/>
        <v>773.03442904408689</v>
      </c>
      <c r="H1520" s="24">
        <f t="shared" si="216"/>
        <v>650</v>
      </c>
      <c r="I1520" s="12">
        <f t="shared" si="219"/>
        <v>0.10141625955190092</v>
      </c>
      <c r="J1520" s="3">
        <f t="shared" si="220"/>
        <v>0.7</v>
      </c>
    </row>
    <row r="1521" spans="2:10" x14ac:dyDescent="0.25">
      <c r="B1521" s="3">
        <f t="shared" si="221"/>
        <v>7520</v>
      </c>
      <c r="C1521" s="14">
        <f t="shared" si="222"/>
        <v>125.33333333333333</v>
      </c>
      <c r="D1521" s="11">
        <f t="shared" si="223"/>
        <v>1055.5483777736183</v>
      </c>
      <c r="E1521" s="24">
        <f t="shared" si="215"/>
        <v>1053.4684128790839</v>
      </c>
      <c r="F1521" s="24">
        <f t="shared" si="217"/>
        <v>51.999122363361039</v>
      </c>
      <c r="G1521" s="14">
        <f t="shared" si="218"/>
        <v>772.51903745176696</v>
      </c>
      <c r="H1521" s="24">
        <f t="shared" si="216"/>
        <v>650</v>
      </c>
      <c r="I1521" s="12">
        <f t="shared" si="219"/>
        <v>0.10134719243393592</v>
      </c>
      <c r="J1521" s="3">
        <f t="shared" si="220"/>
        <v>0.7</v>
      </c>
    </row>
    <row r="1522" spans="2:10" x14ac:dyDescent="0.25">
      <c r="B1522" s="3">
        <f t="shared" si="221"/>
        <v>7525</v>
      </c>
      <c r="C1522" s="14">
        <f t="shared" si="222"/>
        <v>125.41666666666667</v>
      </c>
      <c r="D1522" s="11">
        <f t="shared" si="223"/>
        <v>1055.6478675490246</v>
      </c>
      <c r="E1522" s="24">
        <f t="shared" si="215"/>
        <v>1053.5697600715177</v>
      </c>
      <c r="F1522" s="24">
        <f t="shared" si="217"/>
        <v>51.952686937670478</v>
      </c>
      <c r="G1522" s="14">
        <f t="shared" si="218"/>
        <v>772.00434067623053</v>
      </c>
      <c r="H1522" s="24">
        <f t="shared" si="216"/>
        <v>650</v>
      </c>
      <c r="I1522" s="12">
        <f t="shared" si="219"/>
        <v>0.10127821981944386</v>
      </c>
      <c r="J1522" s="3">
        <f t="shared" si="220"/>
        <v>0.7</v>
      </c>
    </row>
    <row r="1523" spans="2:10" x14ac:dyDescent="0.25">
      <c r="B1523" s="3">
        <f t="shared" si="221"/>
        <v>7530</v>
      </c>
      <c r="C1523" s="14">
        <f t="shared" si="222"/>
        <v>125.5</v>
      </c>
      <c r="D1523" s="11">
        <f t="shared" si="223"/>
        <v>1055.7472913059951</v>
      </c>
      <c r="E1523" s="24">
        <f t="shared" si="215"/>
        <v>1053.6710382913373</v>
      </c>
      <c r="F1523" s="24">
        <f t="shared" si="217"/>
        <v>51.906325366445571</v>
      </c>
      <c r="G1523" s="14">
        <f t="shared" si="218"/>
        <v>771.49033730237772</v>
      </c>
      <c r="H1523" s="24">
        <f t="shared" si="216"/>
        <v>650</v>
      </c>
      <c r="I1523" s="12">
        <f t="shared" si="219"/>
        <v>0.10120934151367707</v>
      </c>
      <c r="J1523" s="3">
        <f t="shared" si="220"/>
        <v>0.7</v>
      </c>
    </row>
    <row r="1524" spans="2:10" x14ac:dyDescent="0.25">
      <c r="B1524" s="3">
        <f t="shared" si="221"/>
        <v>7535</v>
      </c>
      <c r="C1524" s="14">
        <f t="shared" si="222"/>
        <v>125.58333333333333</v>
      </c>
      <c r="D1524" s="11">
        <f t="shared" si="223"/>
        <v>1055.8466491320874</v>
      </c>
      <c r="E1524" s="24">
        <f t="shared" ref="E1524:E1587" si="224">E1523+I1523</f>
        <v>1053.7722476328508</v>
      </c>
      <c r="F1524" s="24">
        <f t="shared" si="217"/>
        <v>51.860037480912524</v>
      </c>
      <c r="G1524" s="14">
        <f t="shared" si="218"/>
        <v>770.97702591921757</v>
      </c>
      <c r="H1524" s="24">
        <f t="shared" ref="H1524:H1587" si="225">IF(E1524&lt;600,425+0.773*E1524-1.69/1000*E1524^2+2.22/1000^2*E1524^3,IF(E1524&lt;735,666+13002/(738-E1524),IF(E1524&lt;900,545+17820/(E1524-731),650)))</f>
        <v>650</v>
      </c>
      <c r="I1524" s="12">
        <f t="shared" si="219"/>
        <v>0.10114055732245579</v>
      </c>
      <c r="J1524" s="3">
        <f t="shared" si="220"/>
        <v>0.7</v>
      </c>
    </row>
    <row r="1525" spans="2:10" x14ac:dyDescent="0.25">
      <c r="B1525" s="3">
        <f t="shared" si="221"/>
        <v>7540</v>
      </c>
      <c r="C1525" s="14">
        <f t="shared" si="222"/>
        <v>125.66666666666667</v>
      </c>
      <c r="D1525" s="11">
        <f t="shared" si="223"/>
        <v>1055.945941114685</v>
      </c>
      <c r="E1525" s="24">
        <f t="shared" si="224"/>
        <v>1053.8733881901733</v>
      </c>
      <c r="F1525" s="24">
        <f t="shared" si="217"/>
        <v>51.813823112792079</v>
      </c>
      <c r="G1525" s="14">
        <f t="shared" si="218"/>
        <v>770.46440511946059</v>
      </c>
      <c r="H1525" s="24">
        <f t="shared" si="225"/>
        <v>650</v>
      </c>
      <c r="I1525" s="12">
        <f t="shared" si="219"/>
        <v>0.10107186705211606</v>
      </c>
      <c r="J1525" s="3">
        <f t="shared" si="220"/>
        <v>0.7</v>
      </c>
    </row>
    <row r="1526" spans="2:10" x14ac:dyDescent="0.25">
      <c r="B1526" s="3">
        <f t="shared" si="221"/>
        <v>7545</v>
      </c>
      <c r="C1526" s="14">
        <f t="shared" si="222"/>
        <v>125.75</v>
      </c>
      <c r="D1526" s="11">
        <f t="shared" si="223"/>
        <v>1056.0451673409982</v>
      </c>
      <c r="E1526" s="24">
        <f t="shared" si="224"/>
        <v>1053.9744600572253</v>
      </c>
      <c r="F1526" s="24">
        <f t="shared" si="217"/>
        <v>51.767682094322254</v>
      </c>
      <c r="G1526" s="14">
        <f t="shared" si="218"/>
        <v>769.952473499848</v>
      </c>
      <c r="H1526" s="24">
        <f t="shared" si="225"/>
        <v>650</v>
      </c>
      <c r="I1526" s="12">
        <f t="shared" si="219"/>
        <v>0.10100327050955289</v>
      </c>
      <c r="J1526" s="3">
        <f t="shared" si="220"/>
        <v>0.7</v>
      </c>
    </row>
    <row r="1527" spans="2:10" x14ac:dyDescent="0.25">
      <c r="B1527" s="3">
        <f t="shared" si="221"/>
        <v>7550</v>
      </c>
      <c r="C1527" s="14">
        <f t="shared" si="222"/>
        <v>125.83333333333333</v>
      </c>
      <c r="D1527" s="11">
        <f t="shared" si="223"/>
        <v>1056.1443278980632</v>
      </c>
      <c r="E1527" s="24">
        <f t="shared" si="224"/>
        <v>1054.075463327735</v>
      </c>
      <c r="F1527" s="24">
        <f t="shared" si="217"/>
        <v>51.721614258207183</v>
      </c>
      <c r="G1527" s="14">
        <f t="shared" si="218"/>
        <v>769.44122966047416</v>
      </c>
      <c r="H1527" s="24">
        <f t="shared" si="225"/>
        <v>650</v>
      </c>
      <c r="I1527" s="12">
        <f t="shared" si="219"/>
        <v>0.10093476750213082</v>
      </c>
      <c r="J1527" s="3">
        <f t="shared" si="220"/>
        <v>0.7</v>
      </c>
    </row>
    <row r="1528" spans="2:10" x14ac:dyDescent="0.25">
      <c r="B1528" s="3">
        <f t="shared" si="221"/>
        <v>7555</v>
      </c>
      <c r="C1528" s="14">
        <f t="shared" si="222"/>
        <v>125.91666666666667</v>
      </c>
      <c r="D1528" s="11">
        <f t="shared" si="223"/>
        <v>1056.2434228727448</v>
      </c>
      <c r="E1528" s="24">
        <f t="shared" si="224"/>
        <v>1054.1763980952371</v>
      </c>
      <c r="F1528" s="24">
        <f t="shared" si="217"/>
        <v>51.675619437691012</v>
      </c>
      <c r="G1528" s="14">
        <f t="shared" si="218"/>
        <v>768.93067220590979</v>
      </c>
      <c r="H1528" s="24">
        <f t="shared" si="225"/>
        <v>650</v>
      </c>
      <c r="I1528" s="12">
        <f t="shared" si="219"/>
        <v>0.10086635783783091</v>
      </c>
      <c r="J1528" s="3">
        <f t="shared" si="220"/>
        <v>0.7</v>
      </c>
    </row>
    <row r="1529" spans="2:10" x14ac:dyDescent="0.25">
      <c r="B1529" s="3">
        <f t="shared" si="221"/>
        <v>7560</v>
      </c>
      <c r="C1529" s="14">
        <f t="shared" si="222"/>
        <v>126</v>
      </c>
      <c r="D1529" s="11">
        <f t="shared" si="223"/>
        <v>1056.342452351734</v>
      </c>
      <c r="E1529" s="24">
        <f t="shared" si="224"/>
        <v>1054.2772644530748</v>
      </c>
      <c r="F1529" s="24">
        <f t="shared" si="217"/>
        <v>51.629697466478319</v>
      </c>
      <c r="G1529" s="14">
        <f t="shared" si="218"/>
        <v>768.42079974392368</v>
      </c>
      <c r="H1529" s="24">
        <f t="shared" si="225"/>
        <v>650</v>
      </c>
      <c r="I1529" s="12">
        <f t="shared" si="219"/>
        <v>0.10079804132508395</v>
      </c>
      <c r="J1529" s="3">
        <f t="shared" si="220"/>
        <v>0.7</v>
      </c>
    </row>
    <row r="1530" spans="2:10" x14ac:dyDescent="0.25">
      <c r="B1530" s="3">
        <f t="shared" si="221"/>
        <v>7565</v>
      </c>
      <c r="C1530" s="14">
        <f t="shared" si="222"/>
        <v>126.08333333333333</v>
      </c>
      <c r="D1530" s="11">
        <f t="shared" si="223"/>
        <v>1056.4414164215516</v>
      </c>
      <c r="E1530" s="24">
        <f t="shared" si="224"/>
        <v>1054.3780624944</v>
      </c>
      <c r="F1530" s="24">
        <f t="shared" si="217"/>
        <v>51.583848178790959</v>
      </c>
      <c r="G1530" s="14">
        <f t="shared" si="218"/>
        <v>767.91161088647038</v>
      </c>
      <c r="H1530" s="24">
        <f t="shared" si="225"/>
        <v>650</v>
      </c>
      <c r="I1530" s="12">
        <f t="shared" si="219"/>
        <v>0.10072981777289881</v>
      </c>
      <c r="J1530" s="3">
        <f t="shared" si="220"/>
        <v>0.7</v>
      </c>
    </row>
    <row r="1531" spans="2:10" x14ac:dyDescent="0.25">
      <c r="B1531" s="3">
        <f t="shared" si="221"/>
        <v>7570</v>
      </c>
      <c r="C1531" s="14">
        <f t="shared" si="222"/>
        <v>126.16666666666667</v>
      </c>
      <c r="D1531" s="11">
        <f t="shared" si="223"/>
        <v>1056.5403151685459</v>
      </c>
      <c r="E1531" s="24">
        <f t="shared" si="224"/>
        <v>1054.4787923121728</v>
      </c>
      <c r="F1531" s="24">
        <f t="shared" si="217"/>
        <v>51.538071409328268</v>
      </c>
      <c r="G1531" s="14">
        <f t="shared" si="218"/>
        <v>767.40310424910933</v>
      </c>
      <c r="H1531" s="24">
        <f t="shared" si="225"/>
        <v>650</v>
      </c>
      <c r="I1531" s="12">
        <f t="shared" si="219"/>
        <v>0.10066168699078613</v>
      </c>
      <c r="J1531" s="3">
        <f t="shared" si="220"/>
        <v>0.7</v>
      </c>
    </row>
    <row r="1532" spans="2:10" x14ac:dyDescent="0.25">
      <c r="B1532" s="3">
        <f t="shared" si="221"/>
        <v>7575</v>
      </c>
      <c r="C1532" s="14">
        <f t="shared" si="222"/>
        <v>126.25</v>
      </c>
      <c r="D1532" s="11">
        <f t="shared" si="223"/>
        <v>1056.6391486788953</v>
      </c>
      <c r="E1532" s="24">
        <f t="shared" si="224"/>
        <v>1054.5794539991637</v>
      </c>
      <c r="F1532" s="24">
        <f t="shared" si="217"/>
        <v>51.492366993289806</v>
      </c>
      <c r="G1532" s="14">
        <f t="shared" si="218"/>
        <v>766.89527845117868</v>
      </c>
      <c r="H1532" s="24">
        <f t="shared" si="225"/>
        <v>650</v>
      </c>
      <c r="I1532" s="12">
        <f t="shared" si="219"/>
        <v>0.10059364878878256</v>
      </c>
      <c r="J1532" s="3">
        <f t="shared" si="220"/>
        <v>0.7</v>
      </c>
    </row>
    <row r="1533" spans="2:10" x14ac:dyDescent="0.25">
      <c r="B1533" s="3">
        <f t="shared" si="221"/>
        <v>7580</v>
      </c>
      <c r="C1533" s="14">
        <f t="shared" si="222"/>
        <v>126.33333333333333</v>
      </c>
      <c r="D1533" s="11">
        <f t="shared" si="223"/>
        <v>1056.7379170386066</v>
      </c>
      <c r="E1533" s="24">
        <f t="shared" si="224"/>
        <v>1054.6800476479525</v>
      </c>
      <c r="F1533" s="24">
        <f t="shared" si="217"/>
        <v>51.44673476635262</v>
      </c>
      <c r="G1533" s="14">
        <f t="shared" si="218"/>
        <v>766.38813211569925</v>
      </c>
      <c r="H1533" s="24">
        <f t="shared" si="225"/>
        <v>650</v>
      </c>
      <c r="I1533" s="12">
        <f t="shared" si="219"/>
        <v>0.10052570297743602</v>
      </c>
      <c r="J1533" s="3">
        <f t="shared" si="220"/>
        <v>0.7</v>
      </c>
    </row>
    <row r="1534" spans="2:10" x14ac:dyDescent="0.25">
      <c r="B1534" s="3">
        <f t="shared" si="221"/>
        <v>7585</v>
      </c>
      <c r="C1534" s="14">
        <f t="shared" si="222"/>
        <v>126.41666666666667</v>
      </c>
      <c r="D1534" s="11">
        <f t="shared" si="223"/>
        <v>1056.8366203335177</v>
      </c>
      <c r="E1534" s="24">
        <f t="shared" si="224"/>
        <v>1054.7805733509299</v>
      </c>
      <c r="F1534" s="24">
        <f t="shared" si="217"/>
        <v>51.401174564693974</v>
      </c>
      <c r="G1534" s="14">
        <f t="shared" si="218"/>
        <v>765.88166386958676</v>
      </c>
      <c r="H1534" s="24">
        <f t="shared" si="225"/>
        <v>650</v>
      </c>
      <c r="I1534" s="12">
        <f t="shared" si="219"/>
        <v>0.10045784936783474</v>
      </c>
      <c r="J1534" s="3">
        <f t="shared" si="220"/>
        <v>0.7</v>
      </c>
    </row>
    <row r="1535" spans="2:10" x14ac:dyDescent="0.25">
      <c r="B1535" s="3">
        <f t="shared" si="221"/>
        <v>7590</v>
      </c>
      <c r="C1535" s="14">
        <f t="shared" si="222"/>
        <v>126.5</v>
      </c>
      <c r="D1535" s="11">
        <f t="shared" si="223"/>
        <v>1056.9352586492967</v>
      </c>
      <c r="E1535" s="24">
        <f t="shared" si="224"/>
        <v>1054.8810312002977</v>
      </c>
      <c r="F1535" s="24">
        <f t="shared" si="217"/>
        <v>51.355686224974306</v>
      </c>
      <c r="G1535" s="14">
        <f t="shared" si="218"/>
        <v>765.37587234347814</v>
      </c>
      <c r="H1535" s="24">
        <f t="shared" si="225"/>
        <v>650</v>
      </c>
      <c r="I1535" s="12">
        <f t="shared" si="219"/>
        <v>0.10039008777158367</v>
      </c>
      <c r="J1535" s="3">
        <f t="shared" si="220"/>
        <v>0.7</v>
      </c>
    </row>
    <row r="1536" spans="2:10" x14ac:dyDescent="0.25">
      <c r="B1536" s="3">
        <f t="shared" si="221"/>
        <v>7595</v>
      </c>
      <c r="C1536" s="14">
        <f t="shared" si="222"/>
        <v>126.58333333333333</v>
      </c>
      <c r="D1536" s="11">
        <f t="shared" si="223"/>
        <v>1057.033832071442</v>
      </c>
      <c r="E1536" s="24">
        <f t="shared" si="224"/>
        <v>1054.9814212880692</v>
      </c>
      <c r="F1536" s="24">
        <f t="shared" si="217"/>
        <v>51.310269584320167</v>
      </c>
      <c r="G1536" s="14">
        <f t="shared" si="218"/>
        <v>764.87075617144058</v>
      </c>
      <c r="H1536" s="24">
        <f t="shared" si="225"/>
        <v>650</v>
      </c>
      <c r="I1536" s="12">
        <f t="shared" si="219"/>
        <v>0.10032241800076677</v>
      </c>
      <c r="J1536" s="3">
        <f t="shared" si="220"/>
        <v>0.7</v>
      </c>
    </row>
    <row r="1537" spans="2:10" x14ac:dyDescent="0.25">
      <c r="B1537" s="3">
        <f t="shared" si="221"/>
        <v>7600</v>
      </c>
      <c r="C1537" s="14">
        <f t="shared" si="222"/>
        <v>126.66666666666667</v>
      </c>
      <c r="D1537" s="11">
        <f t="shared" si="223"/>
        <v>1057.1323406852839</v>
      </c>
      <c r="E1537" s="24">
        <f t="shared" si="224"/>
        <v>1055.08174370607</v>
      </c>
      <c r="F1537" s="24">
        <f t="shared" si="217"/>
        <v>51.264924480346963</v>
      </c>
      <c r="G1537" s="14">
        <f t="shared" si="218"/>
        <v>764.36631399135888</v>
      </c>
      <c r="H1537" s="24">
        <f t="shared" si="225"/>
        <v>650</v>
      </c>
      <c r="I1537" s="12">
        <f t="shared" si="219"/>
        <v>0.10025483986799728</v>
      </c>
      <c r="J1537" s="3">
        <f t="shared" si="220"/>
        <v>0.7</v>
      </c>
    </row>
    <row r="1538" spans="2:10" x14ac:dyDescent="0.25">
      <c r="B1538" s="3">
        <f t="shared" si="221"/>
        <v>7605</v>
      </c>
      <c r="C1538" s="14">
        <f t="shared" si="222"/>
        <v>126.75</v>
      </c>
      <c r="D1538" s="11">
        <f t="shared" si="223"/>
        <v>1057.2307845759849</v>
      </c>
      <c r="E1538" s="24">
        <f t="shared" si="224"/>
        <v>1055.1819985459381</v>
      </c>
      <c r="F1538" s="24">
        <f t="shared" si="217"/>
        <v>51.21965075117032</v>
      </c>
      <c r="G1538" s="14">
        <f t="shared" si="218"/>
        <v>763.86254444514907</v>
      </c>
      <c r="H1538" s="24">
        <f t="shared" si="225"/>
        <v>650</v>
      </c>
      <c r="I1538" s="12">
        <f t="shared" si="219"/>
        <v>0.10018735318644545</v>
      </c>
      <c r="J1538" s="3">
        <f t="shared" si="220"/>
        <v>0.7</v>
      </c>
    </row>
    <row r="1539" spans="2:10" x14ac:dyDescent="0.25">
      <c r="B1539" s="3">
        <f t="shared" si="221"/>
        <v>7610</v>
      </c>
      <c r="C1539" s="14">
        <f t="shared" si="222"/>
        <v>126.83333333333333</v>
      </c>
      <c r="D1539" s="11">
        <f t="shared" si="223"/>
        <v>1057.3291638285389</v>
      </c>
      <c r="E1539" s="24">
        <f t="shared" si="224"/>
        <v>1055.2821858991244</v>
      </c>
      <c r="F1539" s="24">
        <f t="shared" si="217"/>
        <v>51.174448235360614</v>
      </c>
      <c r="G1539" s="14">
        <f t="shared" si="218"/>
        <v>763.3594461779054</v>
      </c>
      <c r="H1539" s="24">
        <f t="shared" si="225"/>
        <v>650</v>
      </c>
      <c r="I1539" s="12">
        <f t="shared" si="219"/>
        <v>0.10011995776972807</v>
      </c>
      <c r="J1539" s="3">
        <f t="shared" si="220"/>
        <v>0.7</v>
      </c>
    </row>
    <row r="1540" spans="2:10" x14ac:dyDescent="0.25">
      <c r="B1540" s="3">
        <f t="shared" si="221"/>
        <v>7615</v>
      </c>
      <c r="C1540" s="14">
        <f t="shared" si="222"/>
        <v>126.91666666666667</v>
      </c>
      <c r="D1540" s="11">
        <f t="shared" si="223"/>
        <v>1057.4274785277728</v>
      </c>
      <c r="E1540" s="24">
        <f t="shared" si="224"/>
        <v>1055.3823058568942</v>
      </c>
      <c r="F1540" s="24">
        <f t="shared" si="217"/>
        <v>51.129316771965705</v>
      </c>
      <c r="G1540" s="14">
        <f t="shared" si="218"/>
        <v>762.85701783857871</v>
      </c>
      <c r="H1540" s="24">
        <f t="shared" si="225"/>
        <v>650</v>
      </c>
      <c r="I1540" s="12">
        <f t="shared" si="219"/>
        <v>0.10005265343199468</v>
      </c>
      <c r="J1540" s="3">
        <f t="shared" si="220"/>
        <v>0.7</v>
      </c>
    </row>
    <row r="1541" spans="2:10" x14ac:dyDescent="0.25">
      <c r="B1541" s="3">
        <f t="shared" si="221"/>
        <v>7620</v>
      </c>
      <c r="C1541" s="14">
        <f t="shared" si="222"/>
        <v>127</v>
      </c>
      <c r="D1541" s="11">
        <f t="shared" si="223"/>
        <v>1057.5257287583468</v>
      </c>
      <c r="E1541" s="24">
        <f t="shared" si="224"/>
        <v>1055.4823585103261</v>
      </c>
      <c r="F1541" s="24">
        <f t="shared" si="217"/>
        <v>51.08425620051662</v>
      </c>
      <c r="G1541" s="14">
        <f t="shared" si="218"/>
        <v>762.35525807980207</v>
      </c>
      <c r="H1541" s="24">
        <f t="shared" si="225"/>
        <v>650</v>
      </c>
      <c r="I1541" s="12">
        <f t="shared" si="219"/>
        <v>9.9985439987906793E-2</v>
      </c>
      <c r="J1541" s="3">
        <f t="shared" si="220"/>
        <v>0.7</v>
      </c>
    </row>
    <row r="1542" spans="2:10" x14ac:dyDescent="0.25">
      <c r="B1542" s="3">
        <f t="shared" si="221"/>
        <v>7625</v>
      </c>
      <c r="C1542" s="14">
        <f t="shared" si="222"/>
        <v>127.08333333333333</v>
      </c>
      <c r="D1542" s="11">
        <f t="shared" si="223"/>
        <v>1057.6239146047546</v>
      </c>
      <c r="E1542" s="24">
        <f t="shared" si="224"/>
        <v>1055.582343950314</v>
      </c>
      <c r="F1542" s="24">
        <f t="shared" si="217"/>
        <v>51.039266361016189</v>
      </c>
      <c r="G1542" s="14">
        <f t="shared" si="218"/>
        <v>761.85416555789061</v>
      </c>
      <c r="H1542" s="24">
        <f t="shared" si="225"/>
        <v>650</v>
      </c>
      <c r="I1542" s="12">
        <f t="shared" si="219"/>
        <v>9.9918317252636543E-2</v>
      </c>
      <c r="J1542" s="3">
        <f t="shared" si="220"/>
        <v>0.7</v>
      </c>
    </row>
    <row r="1543" spans="2:10" x14ac:dyDescent="0.25">
      <c r="B1543" s="3">
        <f t="shared" si="221"/>
        <v>7630</v>
      </c>
      <c r="C1543" s="14">
        <f t="shared" si="222"/>
        <v>127.16666666666667</v>
      </c>
      <c r="D1543" s="11">
        <f t="shared" si="223"/>
        <v>1057.7220361513241</v>
      </c>
      <c r="E1543" s="24">
        <f t="shared" si="224"/>
        <v>1055.6822622675666</v>
      </c>
      <c r="F1543" s="24">
        <f t="shared" si="217"/>
        <v>50.994347093939041</v>
      </c>
      <c r="G1543" s="14">
        <f t="shared" si="218"/>
        <v>761.35373893270605</v>
      </c>
      <c r="H1543" s="24">
        <f t="shared" si="225"/>
        <v>650</v>
      </c>
      <c r="I1543" s="12">
        <f t="shared" si="219"/>
        <v>9.9851285041849952E-2</v>
      </c>
      <c r="J1543" s="3">
        <f t="shared" si="220"/>
        <v>0.7</v>
      </c>
    </row>
    <row r="1544" spans="2:10" x14ac:dyDescent="0.25">
      <c r="B1544" s="3">
        <f t="shared" si="221"/>
        <v>7635</v>
      </c>
      <c r="C1544" s="14">
        <f t="shared" si="222"/>
        <v>127.25</v>
      </c>
      <c r="D1544" s="11">
        <f t="shared" si="223"/>
        <v>1057.8200934822169</v>
      </c>
      <c r="E1544" s="24">
        <f t="shared" si="224"/>
        <v>1055.7821135526085</v>
      </c>
      <c r="F1544" s="24">
        <f t="shared" si="217"/>
        <v>50.949498240208868</v>
      </c>
      <c r="G1544" s="14">
        <f t="shared" si="218"/>
        <v>760.85397686744352</v>
      </c>
      <c r="H1544" s="24">
        <f t="shared" si="225"/>
        <v>650</v>
      </c>
      <c r="I1544" s="12">
        <f t="shared" si="219"/>
        <v>9.9784343171677975E-2</v>
      </c>
      <c r="J1544" s="3">
        <f t="shared" si="220"/>
        <v>0.7</v>
      </c>
    </row>
    <row r="1545" spans="2:10" x14ac:dyDescent="0.25">
      <c r="B1545" s="3">
        <f t="shared" si="221"/>
        <v>7640</v>
      </c>
      <c r="C1545" s="14">
        <f t="shared" si="222"/>
        <v>127.33333333333333</v>
      </c>
      <c r="D1545" s="11">
        <f t="shared" si="223"/>
        <v>1057.9180866814304</v>
      </c>
      <c r="E1545" s="24">
        <f t="shared" si="224"/>
        <v>1055.8818978957802</v>
      </c>
      <c r="F1545" s="24">
        <f t="shared" si="217"/>
        <v>50.904719641255269</v>
      </c>
      <c r="G1545" s="14">
        <f t="shared" si="218"/>
        <v>760.35487802952287</v>
      </c>
      <c r="H1545" s="24">
        <f t="shared" si="225"/>
        <v>650</v>
      </c>
      <c r="I1545" s="12">
        <f t="shared" si="219"/>
        <v>9.9717491458833074E-2</v>
      </c>
      <c r="J1545" s="3">
        <f t="shared" si="220"/>
        <v>0.7</v>
      </c>
    </row>
    <row r="1546" spans="2:10" x14ac:dyDescent="0.25">
      <c r="B1546" s="3">
        <f t="shared" si="221"/>
        <v>7645</v>
      </c>
      <c r="C1546" s="14">
        <f t="shared" si="222"/>
        <v>127.41666666666667</v>
      </c>
      <c r="D1546" s="11">
        <f t="shared" si="223"/>
        <v>1058.0160158327967</v>
      </c>
      <c r="E1546" s="24">
        <f t="shared" si="224"/>
        <v>1055.9816153872391</v>
      </c>
      <c r="F1546" s="24">
        <f t="shared" si="217"/>
        <v>50.860011138939853</v>
      </c>
      <c r="G1546" s="14">
        <f t="shared" si="218"/>
        <v>759.8564410894453</v>
      </c>
      <c r="H1546" s="24">
        <f t="shared" si="225"/>
        <v>650</v>
      </c>
      <c r="I1546" s="12">
        <f t="shared" si="219"/>
        <v>9.9650729720459519E-2</v>
      </c>
      <c r="J1546" s="3">
        <f t="shared" si="220"/>
        <v>0.7</v>
      </c>
    </row>
    <row r="1547" spans="2:10" x14ac:dyDescent="0.25">
      <c r="B1547" s="3">
        <f t="shared" si="221"/>
        <v>7650</v>
      </c>
      <c r="C1547" s="14">
        <f t="shared" si="222"/>
        <v>127.5</v>
      </c>
      <c r="D1547" s="11">
        <f t="shared" si="223"/>
        <v>1058.1138810199839</v>
      </c>
      <c r="E1547" s="24">
        <f t="shared" si="224"/>
        <v>1056.0812661169596</v>
      </c>
      <c r="F1547" s="24">
        <f t="shared" si="217"/>
        <v>50.815372575607398</v>
      </c>
      <c r="G1547" s="14">
        <f t="shared" si="218"/>
        <v>759.35866472145256</v>
      </c>
      <c r="H1547" s="24">
        <f t="shared" si="225"/>
        <v>650</v>
      </c>
      <c r="I1547" s="12">
        <f t="shared" si="219"/>
        <v>9.9584057774220788E-2</v>
      </c>
      <c r="J1547" s="3">
        <f t="shared" si="220"/>
        <v>0.7</v>
      </c>
    </row>
    <row r="1548" spans="2:10" x14ac:dyDescent="0.25">
      <c r="B1548" s="3">
        <f t="shared" si="221"/>
        <v>7655</v>
      </c>
      <c r="C1548" s="14">
        <f t="shared" si="222"/>
        <v>127.58333333333333</v>
      </c>
      <c r="D1548" s="11">
        <f t="shared" si="223"/>
        <v>1058.211682326496</v>
      </c>
      <c r="E1548" s="24">
        <f t="shared" si="224"/>
        <v>1056.1808501747337</v>
      </c>
      <c r="F1548" s="24">
        <f t="shared" si="217"/>
        <v>50.770803794057429</v>
      </c>
      <c r="G1548" s="14">
        <f t="shared" si="218"/>
        <v>758.86154760331328</v>
      </c>
      <c r="H1548" s="24">
        <f t="shared" si="225"/>
        <v>650</v>
      </c>
      <c r="I1548" s="12">
        <f t="shared" si="219"/>
        <v>9.9517475438269734E-2</v>
      </c>
      <c r="J1548" s="3">
        <f t="shared" si="220"/>
        <v>0.7</v>
      </c>
    </row>
    <row r="1549" spans="2:10" x14ac:dyDescent="0.25">
      <c r="B1549" s="3">
        <f t="shared" si="221"/>
        <v>7660</v>
      </c>
      <c r="C1549" s="14">
        <f t="shared" si="222"/>
        <v>127.66666666666667</v>
      </c>
      <c r="D1549" s="11">
        <f t="shared" si="223"/>
        <v>1058.3094198356739</v>
      </c>
      <c r="E1549" s="24">
        <f t="shared" si="224"/>
        <v>1056.2803676501719</v>
      </c>
      <c r="F1549" s="24">
        <f t="shared" si="217"/>
        <v>50.726304637549902</v>
      </c>
      <c r="G1549" s="14">
        <f t="shared" si="218"/>
        <v>758.36508841638147</v>
      </c>
      <c r="H1549" s="24">
        <f t="shared" si="225"/>
        <v>650</v>
      </c>
      <c r="I1549" s="12">
        <f t="shared" si="219"/>
        <v>9.9450982531256518E-2</v>
      </c>
      <c r="J1549" s="3">
        <f t="shared" si="220"/>
        <v>0.7</v>
      </c>
    </row>
    <row r="1550" spans="2:10" x14ac:dyDescent="0.25">
      <c r="B1550" s="3">
        <f t="shared" si="221"/>
        <v>7665</v>
      </c>
      <c r="C1550" s="14">
        <f t="shared" si="222"/>
        <v>127.75</v>
      </c>
      <c r="D1550" s="11">
        <f t="shared" si="223"/>
        <v>1058.407093630695</v>
      </c>
      <c r="E1550" s="24">
        <f t="shared" si="224"/>
        <v>1056.3798186327031</v>
      </c>
      <c r="F1550" s="24">
        <f t="shared" si="217"/>
        <v>50.681874949799521</v>
      </c>
      <c r="G1550" s="14">
        <f t="shared" si="218"/>
        <v>757.86928584538339</v>
      </c>
      <c r="H1550" s="24">
        <f t="shared" si="225"/>
        <v>650</v>
      </c>
      <c r="I1550" s="12">
        <f t="shared" si="219"/>
        <v>9.9384578872301732E-2</v>
      </c>
      <c r="J1550" s="3">
        <f t="shared" si="220"/>
        <v>0.7</v>
      </c>
    </row>
    <row r="1551" spans="2:10" x14ac:dyDescent="0.25">
      <c r="B1551" s="3">
        <f t="shared" si="221"/>
        <v>7670</v>
      </c>
      <c r="C1551" s="14">
        <f t="shared" si="222"/>
        <v>127.83333333333333</v>
      </c>
      <c r="D1551" s="11">
        <f t="shared" si="223"/>
        <v>1058.5047037945751</v>
      </c>
      <c r="E1551" s="24">
        <f t="shared" si="224"/>
        <v>1056.4792032115754</v>
      </c>
      <c r="F1551" s="24">
        <f t="shared" si="217"/>
        <v>50.637514574992792</v>
      </c>
      <c r="G1551" s="14">
        <f t="shared" si="218"/>
        <v>757.37413857890147</v>
      </c>
      <c r="H1551" s="24">
        <f t="shared" si="225"/>
        <v>650</v>
      </c>
      <c r="I1551" s="12">
        <f t="shared" si="219"/>
        <v>9.9318264281057889E-2</v>
      </c>
      <c r="J1551" s="3">
        <f t="shared" si="220"/>
        <v>0.7</v>
      </c>
    </row>
    <row r="1552" spans="2:10" x14ac:dyDescent="0.25">
      <c r="B1552" s="3">
        <f t="shared" si="221"/>
        <v>7675</v>
      </c>
      <c r="C1552" s="14">
        <f t="shared" si="222"/>
        <v>127.91666666666667</v>
      </c>
      <c r="D1552" s="11">
        <f t="shared" si="223"/>
        <v>1058.6022504101668</v>
      </c>
      <c r="E1552" s="24">
        <f t="shared" si="224"/>
        <v>1056.5785214758564</v>
      </c>
      <c r="F1552" s="24">
        <f t="shared" si="217"/>
        <v>50.593223357759598</v>
      </c>
      <c r="G1552" s="14">
        <f t="shared" si="218"/>
        <v>756.8796453087358</v>
      </c>
      <c r="H1552" s="24">
        <f t="shared" si="225"/>
        <v>650</v>
      </c>
      <c r="I1552" s="12">
        <f t="shared" si="219"/>
        <v>9.9252038577627572E-2</v>
      </c>
      <c r="J1552" s="3">
        <f t="shared" si="220"/>
        <v>0.7</v>
      </c>
    </row>
    <row r="1553" spans="2:10" x14ac:dyDescent="0.25">
      <c r="B1553" s="3">
        <f t="shared" si="221"/>
        <v>7680</v>
      </c>
      <c r="C1553" s="14">
        <f t="shared" si="222"/>
        <v>128</v>
      </c>
      <c r="D1553" s="11">
        <f t="shared" si="223"/>
        <v>1058.6997335601616</v>
      </c>
      <c r="E1553" s="24">
        <f t="shared" si="224"/>
        <v>1056.677773514434</v>
      </c>
      <c r="F1553" s="24">
        <f t="shared" ref="F1553:F1616" si="226">AlphaC*(D1553-E1553)</f>
        <v>50.549001143190253</v>
      </c>
      <c r="G1553" s="14">
        <f t="shared" ref="G1553:G1616" si="227">Phi*EpsilonF*Botzman/10^8*J1553*((D1553+273)^4-(E1553+273)^4)</f>
        <v>756.38580473027116</v>
      </c>
      <c r="H1553" s="24">
        <f t="shared" si="225"/>
        <v>650</v>
      </c>
      <c r="I1553" s="12">
        <f t="shared" ref="I1553:I1616" si="228">ksh*Massivete/(H1553*RhoA)*DeltaT*(F1553+G1553)</f>
        <v>9.9185901582610522E-2</v>
      </c>
      <c r="J1553" s="3">
        <f t="shared" ref="J1553:J1616" si="229">IF(E1553&lt;=500,IF(Galva=Oui,0.35,0.7),0.7)</f>
        <v>0.7</v>
      </c>
    </row>
    <row r="1554" spans="2:10" x14ac:dyDescent="0.25">
      <c r="B1554" s="3">
        <f t="shared" ref="B1554:B1617" si="230">B1553+DeltaT</f>
        <v>7685</v>
      </c>
      <c r="C1554" s="14">
        <f t="shared" ref="C1554:C1617" si="231">B1554/60</f>
        <v>128.08333333333334</v>
      </c>
      <c r="D1554" s="11">
        <f t="shared" ref="D1554:D1617" si="232">20+345*LOG(8*C1554+1,10)</f>
        <v>1058.7971533270895</v>
      </c>
      <c r="E1554" s="24">
        <f t="shared" si="224"/>
        <v>1056.7769594160166</v>
      </c>
      <c r="F1554" s="24">
        <f t="shared" si="226"/>
        <v>50.504847776824136</v>
      </c>
      <c r="G1554" s="14">
        <f t="shared" si="227"/>
        <v>755.89261554247798</v>
      </c>
      <c r="H1554" s="24">
        <f t="shared" si="225"/>
        <v>650</v>
      </c>
      <c r="I1554" s="12">
        <f t="shared" si="228"/>
        <v>9.911985311710246E-2</v>
      </c>
      <c r="J1554" s="3">
        <f t="shared" si="229"/>
        <v>0.7</v>
      </c>
    </row>
    <row r="1555" spans="2:10" x14ac:dyDescent="0.25">
      <c r="B1555" s="3">
        <f t="shared" si="230"/>
        <v>7690</v>
      </c>
      <c r="C1555" s="14">
        <f t="shared" si="231"/>
        <v>128.16666666666666</v>
      </c>
      <c r="D1555" s="11">
        <f t="shared" si="232"/>
        <v>1058.8945097933197</v>
      </c>
      <c r="E1555" s="24">
        <f t="shared" si="224"/>
        <v>1056.8760792691337</v>
      </c>
      <c r="F1555" s="24">
        <f t="shared" si="226"/>
        <v>50.460763104649686</v>
      </c>
      <c r="G1555" s="14">
        <f t="shared" si="227"/>
        <v>755.40007644758248</v>
      </c>
      <c r="H1555" s="24">
        <f t="shared" si="225"/>
        <v>650</v>
      </c>
      <c r="I1555" s="12">
        <f t="shared" si="228"/>
        <v>9.905389300265445E-2</v>
      </c>
      <c r="J1555" s="3">
        <f t="shared" si="229"/>
        <v>0.7</v>
      </c>
    </row>
    <row r="1556" spans="2:10" x14ac:dyDescent="0.25">
      <c r="B1556" s="3">
        <f t="shared" si="230"/>
        <v>7695</v>
      </c>
      <c r="C1556" s="14">
        <f t="shared" si="231"/>
        <v>128.25</v>
      </c>
      <c r="D1556" s="11">
        <f t="shared" si="232"/>
        <v>1058.9918030410608</v>
      </c>
      <c r="E1556" s="24">
        <f t="shared" si="224"/>
        <v>1056.9751331621364</v>
      </c>
      <c r="F1556" s="24">
        <f t="shared" si="226"/>
        <v>50.416746973110094</v>
      </c>
      <c r="G1556" s="14">
        <f t="shared" si="227"/>
        <v>754.90818615155104</v>
      </c>
      <c r="H1556" s="24">
        <f t="shared" si="225"/>
        <v>650</v>
      </c>
      <c r="I1556" s="12">
        <f t="shared" si="228"/>
        <v>9.8988021061333226E-2</v>
      </c>
      <c r="J1556" s="3">
        <f t="shared" si="229"/>
        <v>0.7</v>
      </c>
    </row>
    <row r="1557" spans="2:10" x14ac:dyDescent="0.25">
      <c r="B1557" s="3">
        <f t="shared" si="230"/>
        <v>7700</v>
      </c>
      <c r="C1557" s="14">
        <f t="shared" si="231"/>
        <v>128.33333333333334</v>
      </c>
      <c r="D1557" s="11">
        <f t="shared" si="232"/>
        <v>1059.0890331523617</v>
      </c>
      <c r="E1557" s="24">
        <f t="shared" si="224"/>
        <v>1057.0741211831978</v>
      </c>
      <c r="F1557" s="24">
        <f t="shared" si="226"/>
        <v>50.372799229097609</v>
      </c>
      <c r="G1557" s="14">
        <f t="shared" si="227"/>
        <v>754.4169433636448</v>
      </c>
      <c r="H1557" s="24">
        <f t="shared" si="225"/>
        <v>650</v>
      </c>
      <c r="I1557" s="12">
        <f t="shared" si="228"/>
        <v>9.8922237115665682E-2</v>
      </c>
      <c r="J1557" s="3">
        <f t="shared" si="229"/>
        <v>0.7</v>
      </c>
    </row>
    <row r="1558" spans="2:10" x14ac:dyDescent="0.25">
      <c r="B1558" s="3">
        <f t="shared" si="230"/>
        <v>7705</v>
      </c>
      <c r="C1558" s="14">
        <f t="shared" si="231"/>
        <v>128.41666666666666</v>
      </c>
      <c r="D1558" s="11">
        <f t="shared" si="232"/>
        <v>1059.1862002091111</v>
      </c>
      <c r="E1558" s="24">
        <f t="shared" si="224"/>
        <v>1057.1730434203134</v>
      </c>
      <c r="F1558" s="24">
        <f t="shared" si="226"/>
        <v>50.328919719942178</v>
      </c>
      <c r="G1558" s="14">
        <f t="shared" si="227"/>
        <v>753.92634679655487</v>
      </c>
      <c r="H1558" s="24">
        <f t="shared" si="225"/>
        <v>650</v>
      </c>
      <c r="I1558" s="12">
        <f t="shared" si="228"/>
        <v>9.8856540988654096E-2</v>
      </c>
      <c r="J1558" s="3">
        <f t="shared" si="229"/>
        <v>0.7</v>
      </c>
    </row>
    <row r="1559" spans="2:10" x14ac:dyDescent="0.25">
      <c r="B1559" s="3">
        <f t="shared" si="230"/>
        <v>7710</v>
      </c>
      <c r="C1559" s="14">
        <f t="shared" si="231"/>
        <v>128.5</v>
      </c>
      <c r="D1559" s="11">
        <f t="shared" si="232"/>
        <v>1059.2833042930392</v>
      </c>
      <c r="E1559" s="24">
        <f t="shared" si="224"/>
        <v>1057.2718999613021</v>
      </c>
      <c r="F1559" s="24">
        <f t="shared" si="226"/>
        <v>50.285108293428493</v>
      </c>
      <c r="G1559" s="14">
        <f t="shared" si="227"/>
        <v>753.43639516651922</v>
      </c>
      <c r="H1559" s="24">
        <f t="shared" si="225"/>
        <v>650</v>
      </c>
      <c r="I1559" s="12">
        <f t="shared" si="228"/>
        <v>9.8790932503792631E-2</v>
      </c>
      <c r="J1559" s="3">
        <f t="shared" si="229"/>
        <v>0.7</v>
      </c>
    </row>
    <row r="1560" spans="2:10" x14ac:dyDescent="0.25">
      <c r="B1560" s="3">
        <f t="shared" si="230"/>
        <v>7715</v>
      </c>
      <c r="C1560" s="14">
        <f t="shared" si="231"/>
        <v>128.58333333333334</v>
      </c>
      <c r="D1560" s="11">
        <f t="shared" si="232"/>
        <v>1059.3803454857168</v>
      </c>
      <c r="E1560" s="24">
        <f t="shared" si="224"/>
        <v>1057.3706908938059</v>
      </c>
      <c r="F1560" s="24">
        <f t="shared" si="226"/>
        <v>50.241364797773258</v>
      </c>
      <c r="G1560" s="14">
        <f t="shared" si="227"/>
        <v>752.94708719301195</v>
      </c>
      <c r="H1560" s="24">
        <f t="shared" si="225"/>
        <v>650</v>
      </c>
      <c r="I1560" s="12">
        <f t="shared" si="228"/>
        <v>9.8725411485026338E-2</v>
      </c>
      <c r="J1560" s="3">
        <f t="shared" si="229"/>
        <v>0.7</v>
      </c>
    </row>
    <row r="1561" spans="2:10" x14ac:dyDescent="0.25">
      <c r="B1561" s="3">
        <f t="shared" si="230"/>
        <v>7720</v>
      </c>
      <c r="C1561" s="14">
        <f t="shared" si="231"/>
        <v>128.66666666666666</v>
      </c>
      <c r="D1561" s="11">
        <f t="shared" si="232"/>
        <v>1059.4773238685566</v>
      </c>
      <c r="E1561" s="24">
        <f t="shared" si="224"/>
        <v>1057.4694163052909</v>
      </c>
      <c r="F1561" s="24">
        <f t="shared" si="226"/>
        <v>50.197689081642238</v>
      </c>
      <c r="G1561" s="14">
        <f t="shared" si="227"/>
        <v>752.45842159909273</v>
      </c>
      <c r="H1561" s="24">
        <f t="shared" si="225"/>
        <v>650</v>
      </c>
      <c r="I1561" s="12">
        <f t="shared" si="228"/>
        <v>9.8659977756796149E-2</v>
      </c>
      <c r="J1561" s="3">
        <f t="shared" si="229"/>
        <v>0.7</v>
      </c>
    </row>
    <row r="1562" spans="2:10" x14ac:dyDescent="0.25">
      <c r="B1562" s="3">
        <f t="shared" si="230"/>
        <v>7725</v>
      </c>
      <c r="C1562" s="14">
        <f t="shared" si="231"/>
        <v>128.75</v>
      </c>
      <c r="D1562" s="11">
        <f t="shared" si="232"/>
        <v>1059.5742395228131</v>
      </c>
      <c r="E1562" s="24">
        <f t="shared" si="224"/>
        <v>1057.5680762830477</v>
      </c>
      <c r="F1562" s="24">
        <f t="shared" si="226"/>
        <v>50.15408099413321</v>
      </c>
      <c r="G1562" s="14">
        <f t="shared" si="227"/>
        <v>751.97039711113496</v>
      </c>
      <c r="H1562" s="24">
        <f t="shared" si="225"/>
        <v>650</v>
      </c>
      <c r="I1562" s="12">
        <f t="shared" si="228"/>
        <v>9.859463114400345E-2</v>
      </c>
      <c r="J1562" s="3">
        <f t="shared" si="229"/>
        <v>0.7</v>
      </c>
    </row>
    <row r="1563" spans="2:10" x14ac:dyDescent="0.25">
      <c r="B1563" s="3">
        <f t="shared" si="230"/>
        <v>7730</v>
      </c>
      <c r="C1563" s="14">
        <f t="shared" si="231"/>
        <v>128.83333333333334</v>
      </c>
      <c r="D1563" s="11">
        <f t="shared" si="232"/>
        <v>1059.6710925295833</v>
      </c>
      <c r="E1563" s="24">
        <f t="shared" si="224"/>
        <v>1057.6666709141916</v>
      </c>
      <c r="F1563" s="24">
        <f t="shared" si="226"/>
        <v>50.110540384793012</v>
      </c>
      <c r="G1563" s="14">
        <f t="shared" si="227"/>
        <v>751.4830124588841</v>
      </c>
      <c r="H1563" s="24">
        <f t="shared" si="225"/>
        <v>650</v>
      </c>
      <c r="I1563" s="12">
        <f t="shared" si="228"/>
        <v>9.8529371472019303E-2</v>
      </c>
      <c r="J1563" s="3">
        <f t="shared" si="229"/>
        <v>0.7</v>
      </c>
    </row>
    <row r="1564" spans="2:10" x14ac:dyDescent="0.25">
      <c r="B1564" s="3">
        <f t="shared" si="230"/>
        <v>7735</v>
      </c>
      <c r="C1564" s="14">
        <f t="shared" si="231"/>
        <v>128.91666666666666</v>
      </c>
      <c r="D1564" s="11">
        <f t="shared" si="232"/>
        <v>1059.7678829698077</v>
      </c>
      <c r="E1564" s="24">
        <f t="shared" si="224"/>
        <v>1057.7652002856637</v>
      </c>
      <c r="F1564" s="24">
        <f t="shared" si="226"/>
        <v>50.067067103600493</v>
      </c>
      <c r="G1564" s="14">
        <f t="shared" si="227"/>
        <v>750.9962663755357</v>
      </c>
      <c r="H1564" s="24">
        <f t="shared" si="225"/>
        <v>650</v>
      </c>
      <c r="I1564" s="12">
        <f t="shared" si="228"/>
        <v>9.8464198566691932E-2</v>
      </c>
      <c r="J1564" s="3">
        <f t="shared" si="229"/>
        <v>0.7</v>
      </c>
    </row>
    <row r="1565" spans="2:10" x14ac:dyDescent="0.25">
      <c r="B1565" s="3">
        <f t="shared" si="230"/>
        <v>7740</v>
      </c>
      <c r="C1565" s="14">
        <f t="shared" si="231"/>
        <v>129</v>
      </c>
      <c r="D1565" s="11">
        <f t="shared" si="232"/>
        <v>1059.8646109242691</v>
      </c>
      <c r="E1565" s="24">
        <f t="shared" si="224"/>
        <v>1057.8636644842304</v>
      </c>
      <c r="F1565" s="24">
        <f t="shared" si="226"/>
        <v>50.023661000966513</v>
      </c>
      <c r="G1565" s="14">
        <f t="shared" si="227"/>
        <v>750.51015759754046</v>
      </c>
      <c r="H1565" s="24">
        <f t="shared" si="225"/>
        <v>650</v>
      </c>
      <c r="I1565" s="12">
        <f t="shared" si="228"/>
        <v>9.8399112254322796E-2</v>
      </c>
      <c r="J1565" s="3">
        <f t="shared" si="229"/>
        <v>0.7</v>
      </c>
    </row>
    <row r="1566" spans="2:10" x14ac:dyDescent="0.25">
      <c r="B1566" s="3">
        <f t="shared" si="230"/>
        <v>7745</v>
      </c>
      <c r="C1566" s="14">
        <f t="shared" si="231"/>
        <v>129.08333333333334</v>
      </c>
      <c r="D1566" s="11">
        <f t="shared" si="232"/>
        <v>1059.9612764735939</v>
      </c>
      <c r="E1566" s="24">
        <f t="shared" si="224"/>
        <v>1057.9620635964848</v>
      </c>
      <c r="F1566" s="24">
        <f t="shared" si="226"/>
        <v>49.980321927728255</v>
      </c>
      <c r="G1566" s="14">
        <f t="shared" si="227"/>
        <v>750.02468486470218</v>
      </c>
      <c r="H1566" s="24">
        <f t="shared" si="225"/>
        <v>650</v>
      </c>
      <c r="I1566" s="12">
        <f t="shared" si="228"/>
        <v>9.833411236167787E-2</v>
      </c>
      <c r="J1566" s="3">
        <f t="shared" si="229"/>
        <v>0.7</v>
      </c>
    </row>
    <row r="1567" spans="2:10" x14ac:dyDescent="0.25">
      <c r="B1567" s="3">
        <f t="shared" si="230"/>
        <v>7750</v>
      </c>
      <c r="C1567" s="14">
        <f t="shared" si="231"/>
        <v>129.16666666666666</v>
      </c>
      <c r="D1567" s="11">
        <f t="shared" si="232"/>
        <v>1060.0578796982534</v>
      </c>
      <c r="E1567" s="24">
        <f t="shared" si="224"/>
        <v>1058.0603977088465</v>
      </c>
      <c r="F1567" s="24">
        <f t="shared" si="226"/>
        <v>49.937049735171968</v>
      </c>
      <c r="G1567" s="14">
        <f t="shared" si="227"/>
        <v>749.53984692029371</v>
      </c>
      <c r="H1567" s="24">
        <f t="shared" si="225"/>
        <v>650</v>
      </c>
      <c r="I1567" s="12">
        <f t="shared" si="228"/>
        <v>9.8269198716004758E-2</v>
      </c>
      <c r="J1567" s="3">
        <f t="shared" si="229"/>
        <v>0.7</v>
      </c>
    </row>
    <row r="1568" spans="2:10" x14ac:dyDescent="0.25">
      <c r="B1568" s="3">
        <f t="shared" si="230"/>
        <v>7755</v>
      </c>
      <c r="C1568" s="14">
        <f t="shared" si="231"/>
        <v>129.25</v>
      </c>
      <c r="D1568" s="11">
        <f t="shared" si="232"/>
        <v>1060.1544206785629</v>
      </c>
      <c r="E1568" s="24">
        <f t="shared" si="224"/>
        <v>1058.1586669075625</v>
      </c>
      <c r="F1568" s="24">
        <f t="shared" si="226"/>
        <v>49.893844275010224</v>
      </c>
      <c r="G1568" s="14">
        <f t="shared" si="227"/>
        <v>749.05564251092096</v>
      </c>
      <c r="H1568" s="24">
        <f t="shared" si="225"/>
        <v>650</v>
      </c>
      <c r="I1568" s="12">
        <f t="shared" si="228"/>
        <v>9.8204371145013167E-2</v>
      </c>
      <c r="J1568" s="3">
        <f t="shared" si="229"/>
        <v>0.7</v>
      </c>
    </row>
    <row r="1569" spans="2:10" x14ac:dyDescent="0.25">
      <c r="B1569" s="3">
        <f t="shared" si="230"/>
        <v>7760</v>
      </c>
      <c r="C1569" s="14">
        <f t="shared" si="231"/>
        <v>129.33333333333334</v>
      </c>
      <c r="D1569" s="11">
        <f t="shared" si="232"/>
        <v>1060.2508994946827</v>
      </c>
      <c r="E1569" s="24">
        <f t="shared" si="224"/>
        <v>1058.2568712787074</v>
      </c>
      <c r="F1569" s="24">
        <f t="shared" si="226"/>
        <v>49.850705399381923</v>
      </c>
      <c r="G1569" s="14">
        <f t="shared" si="227"/>
        <v>748.57207038644606</v>
      </c>
      <c r="H1569" s="24">
        <f t="shared" si="225"/>
        <v>650</v>
      </c>
      <c r="I1569" s="12">
        <f t="shared" si="228"/>
        <v>9.8139629476865442E-2</v>
      </c>
      <c r="J1569" s="3">
        <f t="shared" si="229"/>
        <v>0.7</v>
      </c>
    </row>
    <row r="1570" spans="2:10" x14ac:dyDescent="0.25">
      <c r="B1570" s="3">
        <f t="shared" si="230"/>
        <v>7765</v>
      </c>
      <c r="C1570" s="14">
        <f t="shared" si="231"/>
        <v>129.41666666666666</v>
      </c>
      <c r="D1570" s="11">
        <f t="shared" si="232"/>
        <v>1060.3473162266175</v>
      </c>
      <c r="E1570" s="24">
        <f t="shared" si="224"/>
        <v>1058.3550109081843</v>
      </c>
      <c r="F1570" s="24">
        <f t="shared" si="226"/>
        <v>49.807632960829551</v>
      </c>
      <c r="G1570" s="14">
        <f t="shared" si="227"/>
        <v>748.08912929965709</v>
      </c>
      <c r="H1570" s="24">
        <f t="shared" si="225"/>
        <v>650</v>
      </c>
      <c r="I1570" s="12">
        <f t="shared" si="228"/>
        <v>9.8074973540133156E-2</v>
      </c>
      <c r="J1570" s="3">
        <f t="shared" si="229"/>
        <v>0.7</v>
      </c>
    </row>
    <row r="1571" spans="2:10" x14ac:dyDescent="0.25">
      <c r="B1571" s="3">
        <f t="shared" si="230"/>
        <v>7770</v>
      </c>
      <c r="C1571" s="14">
        <f t="shared" si="231"/>
        <v>129.5</v>
      </c>
      <c r="D1571" s="11">
        <f t="shared" si="232"/>
        <v>1060.443670954219</v>
      </c>
      <c r="E1571" s="24">
        <f t="shared" si="224"/>
        <v>1058.4530858817245</v>
      </c>
      <c r="F1571" s="24">
        <f t="shared" si="226"/>
        <v>49.764626812361712</v>
      </c>
      <c r="G1571" s="14">
        <f t="shared" si="227"/>
        <v>747.60681800729583</v>
      </c>
      <c r="H1571" s="24">
        <f t="shared" si="225"/>
        <v>650</v>
      </c>
      <c r="I1571" s="12">
        <f t="shared" si="228"/>
        <v>9.8010403163931198E-2</v>
      </c>
      <c r="J1571" s="3">
        <f t="shared" si="229"/>
        <v>0.7</v>
      </c>
    </row>
    <row r="1572" spans="2:10" x14ac:dyDescent="0.25">
      <c r="B1572" s="3">
        <f t="shared" si="230"/>
        <v>7775</v>
      </c>
      <c r="C1572" s="14">
        <f t="shared" si="231"/>
        <v>129.58333333333334</v>
      </c>
      <c r="D1572" s="11">
        <f t="shared" si="232"/>
        <v>1060.5399637571841</v>
      </c>
      <c r="E1572" s="24">
        <f t="shared" si="224"/>
        <v>1058.5510962848884</v>
      </c>
      <c r="F1572" s="24">
        <f t="shared" si="226"/>
        <v>49.721686807390597</v>
      </c>
      <c r="G1572" s="14">
        <f t="shared" si="227"/>
        <v>747.12513526914665</v>
      </c>
      <c r="H1572" s="24">
        <f t="shared" si="225"/>
        <v>650</v>
      </c>
      <c r="I1572" s="12">
        <f t="shared" si="228"/>
        <v>9.7945918177798019E-2</v>
      </c>
      <c r="J1572" s="3">
        <f t="shared" si="229"/>
        <v>0.7</v>
      </c>
    </row>
    <row r="1573" spans="2:10" x14ac:dyDescent="0.25">
      <c r="B1573" s="3">
        <f t="shared" si="230"/>
        <v>7780</v>
      </c>
      <c r="C1573" s="14">
        <f t="shared" si="231"/>
        <v>129.66666666666666</v>
      </c>
      <c r="D1573" s="11">
        <f t="shared" si="232"/>
        <v>1060.6361947150563</v>
      </c>
      <c r="E1573" s="24">
        <f t="shared" si="224"/>
        <v>1058.6490422030663</v>
      </c>
      <c r="F1573" s="24">
        <f t="shared" si="226"/>
        <v>49.678812799749039</v>
      </c>
      <c r="G1573" s="14">
        <f t="shared" si="227"/>
        <v>746.64407984807553</v>
      </c>
      <c r="H1573" s="24">
        <f t="shared" si="225"/>
        <v>650</v>
      </c>
      <c r="I1573" s="12">
        <f t="shared" si="228"/>
        <v>9.7881518411702575E-2</v>
      </c>
      <c r="J1573" s="3">
        <f t="shared" si="229"/>
        <v>0.7</v>
      </c>
    </row>
    <row r="1574" spans="2:10" x14ac:dyDescent="0.25">
      <c r="B1574" s="3">
        <f t="shared" si="230"/>
        <v>7785</v>
      </c>
      <c r="C1574" s="14">
        <f t="shared" si="231"/>
        <v>129.75</v>
      </c>
      <c r="D1574" s="11">
        <f t="shared" si="232"/>
        <v>1060.732363907226</v>
      </c>
      <c r="E1574" s="24">
        <f t="shared" si="224"/>
        <v>1058.746923721478</v>
      </c>
      <c r="F1574" s="24">
        <f t="shared" si="226"/>
        <v>49.636004643701881</v>
      </c>
      <c r="G1574" s="14">
        <f t="shared" si="227"/>
        <v>746.16365051043647</v>
      </c>
      <c r="H1574" s="24">
        <f t="shared" si="225"/>
        <v>650</v>
      </c>
      <c r="I1574" s="12">
        <f t="shared" si="228"/>
        <v>9.7817203696095631E-2</v>
      </c>
      <c r="J1574" s="3">
        <f t="shared" si="229"/>
        <v>0.7</v>
      </c>
    </row>
    <row r="1575" spans="2:10" x14ac:dyDescent="0.25">
      <c r="B1575" s="3">
        <f t="shared" si="230"/>
        <v>7790</v>
      </c>
      <c r="C1575" s="14">
        <f t="shared" si="231"/>
        <v>129.83333333333334</v>
      </c>
      <c r="D1575" s="11">
        <f t="shared" si="232"/>
        <v>1060.8284714129309</v>
      </c>
      <c r="E1575" s="24">
        <f t="shared" si="224"/>
        <v>1058.8447409251742</v>
      </c>
      <c r="F1575" s="24">
        <f t="shared" si="226"/>
        <v>49.593262193917553</v>
      </c>
      <c r="G1575" s="14">
        <f t="shared" si="227"/>
        <v>745.68384602570393</v>
      </c>
      <c r="H1575" s="24">
        <f t="shared" si="225"/>
        <v>650</v>
      </c>
      <c r="I1575" s="12">
        <f t="shared" si="228"/>
        <v>9.7752973861861145E-2</v>
      </c>
      <c r="J1575" s="3">
        <f t="shared" si="229"/>
        <v>0.7</v>
      </c>
    </row>
    <row r="1576" spans="2:10" x14ac:dyDescent="0.25">
      <c r="B1576" s="3">
        <f t="shared" si="230"/>
        <v>7795</v>
      </c>
      <c r="C1576" s="14">
        <f t="shared" si="231"/>
        <v>129.91666666666666</v>
      </c>
      <c r="D1576" s="11">
        <f t="shared" si="232"/>
        <v>1060.9245173112561</v>
      </c>
      <c r="E1576" s="24">
        <f t="shared" si="224"/>
        <v>1058.942493899036</v>
      </c>
      <c r="F1576" s="24">
        <f t="shared" si="226"/>
        <v>49.550585305502182</v>
      </c>
      <c r="G1576" s="14">
        <f t="shared" si="227"/>
        <v>745.20466516664669</v>
      </c>
      <c r="H1576" s="24">
        <f t="shared" si="225"/>
        <v>650</v>
      </c>
      <c r="I1576" s="12">
        <f t="shared" si="228"/>
        <v>9.7688828740341807E-2</v>
      </c>
      <c r="J1576" s="3">
        <f t="shared" si="229"/>
        <v>0.7</v>
      </c>
    </row>
    <row r="1577" spans="2:10" x14ac:dyDescent="0.25">
      <c r="B1577" s="3">
        <f t="shared" si="230"/>
        <v>7800</v>
      </c>
      <c r="C1577" s="14">
        <f t="shared" si="231"/>
        <v>130</v>
      </c>
      <c r="D1577" s="11">
        <f t="shared" si="232"/>
        <v>1061.0205016811349</v>
      </c>
      <c r="E1577" s="24">
        <f t="shared" si="224"/>
        <v>1059.0401827277763</v>
      </c>
      <c r="F1577" s="24">
        <f t="shared" si="226"/>
        <v>49.50797383396548</v>
      </c>
      <c r="G1577" s="14">
        <f t="shared" si="227"/>
        <v>744.72610670930897</v>
      </c>
      <c r="H1577" s="24">
        <f t="shared" si="225"/>
        <v>650</v>
      </c>
      <c r="I1577" s="12">
        <f t="shared" si="228"/>
        <v>9.7624768163332487E-2</v>
      </c>
      <c r="J1577" s="3">
        <f t="shared" si="229"/>
        <v>0.7</v>
      </c>
    </row>
    <row r="1578" spans="2:10" x14ac:dyDescent="0.25">
      <c r="B1578" s="3">
        <f t="shared" si="230"/>
        <v>7805</v>
      </c>
      <c r="C1578" s="14">
        <f t="shared" si="231"/>
        <v>130.08333333333334</v>
      </c>
      <c r="D1578" s="11">
        <f t="shared" si="232"/>
        <v>1061.1164246013489</v>
      </c>
      <c r="E1578" s="24">
        <f t="shared" si="224"/>
        <v>1059.1378074959396</v>
      </c>
      <c r="F1578" s="24">
        <f t="shared" si="226"/>
        <v>49.465427635232118</v>
      </c>
      <c r="G1578" s="14">
        <f t="shared" si="227"/>
        <v>744.24816943283577</v>
      </c>
      <c r="H1578" s="24">
        <f t="shared" si="225"/>
        <v>650</v>
      </c>
      <c r="I1578" s="12">
        <f t="shared" si="228"/>
        <v>9.7560791963060237E-2</v>
      </c>
      <c r="J1578" s="3">
        <f t="shared" si="229"/>
        <v>0.7</v>
      </c>
    </row>
    <row r="1579" spans="2:10" x14ac:dyDescent="0.25">
      <c r="B1579" s="3">
        <f t="shared" si="230"/>
        <v>7810</v>
      </c>
      <c r="C1579" s="14">
        <f t="shared" si="231"/>
        <v>130.16666666666666</v>
      </c>
      <c r="D1579" s="11">
        <f t="shared" si="232"/>
        <v>1061.2122861505284</v>
      </c>
      <c r="E1579" s="24">
        <f t="shared" si="224"/>
        <v>1059.2353682879027</v>
      </c>
      <c r="F1579" s="24">
        <f t="shared" si="226"/>
        <v>49.422946565641723</v>
      </c>
      <c r="G1579" s="14">
        <f t="shared" si="227"/>
        <v>743.77085211958877</v>
      </c>
      <c r="H1579" s="24">
        <f t="shared" si="225"/>
        <v>650</v>
      </c>
      <c r="I1579" s="12">
        <f t="shared" si="228"/>
        <v>9.7496899972198472E-2</v>
      </c>
      <c r="J1579" s="3">
        <f t="shared" si="229"/>
        <v>0.7</v>
      </c>
    </row>
    <row r="1580" spans="2:10" x14ac:dyDescent="0.25">
      <c r="B1580" s="3">
        <f t="shared" si="230"/>
        <v>7815</v>
      </c>
      <c r="C1580" s="14">
        <f t="shared" si="231"/>
        <v>130.25</v>
      </c>
      <c r="D1580" s="11">
        <f t="shared" si="232"/>
        <v>1061.308086407153</v>
      </c>
      <c r="E1580" s="24">
        <f t="shared" si="224"/>
        <v>1059.3328651878749</v>
      </c>
      <c r="F1580" s="24">
        <f t="shared" si="226"/>
        <v>49.380530481954565</v>
      </c>
      <c r="G1580" s="14">
        <f t="shared" si="227"/>
        <v>743.29415355536048</v>
      </c>
      <c r="H1580" s="24">
        <f t="shared" si="225"/>
        <v>650</v>
      </c>
      <c r="I1580" s="12">
        <f t="shared" si="228"/>
        <v>9.7433092023894025E-2</v>
      </c>
      <c r="J1580" s="3">
        <f t="shared" si="229"/>
        <v>0.7</v>
      </c>
    </row>
    <row r="1581" spans="2:10" x14ac:dyDescent="0.25">
      <c r="B1581" s="3">
        <f t="shared" si="230"/>
        <v>7820</v>
      </c>
      <c r="C1581" s="14">
        <f t="shared" si="231"/>
        <v>130.33333333333334</v>
      </c>
      <c r="D1581" s="11">
        <f t="shared" si="232"/>
        <v>1061.4038254495522</v>
      </c>
      <c r="E1581" s="24">
        <f t="shared" si="224"/>
        <v>1059.4302982798988</v>
      </c>
      <c r="F1581" s="24">
        <f t="shared" si="226"/>
        <v>49.338179241334501</v>
      </c>
      <c r="G1581" s="14">
        <f t="shared" si="227"/>
        <v>742.81807252881106</v>
      </c>
      <c r="H1581" s="24">
        <f t="shared" si="225"/>
        <v>650</v>
      </c>
      <c r="I1581" s="12">
        <f t="shared" si="228"/>
        <v>9.7369367951695818E-2</v>
      </c>
      <c r="J1581" s="3">
        <f t="shared" si="229"/>
        <v>0.7</v>
      </c>
    </row>
    <row r="1582" spans="2:10" x14ac:dyDescent="0.25">
      <c r="B1582" s="3">
        <f t="shared" si="230"/>
        <v>7825</v>
      </c>
      <c r="C1582" s="14">
        <f t="shared" si="231"/>
        <v>130.41666666666666</v>
      </c>
      <c r="D1582" s="11">
        <f t="shared" si="232"/>
        <v>1061.4995033559046</v>
      </c>
      <c r="E1582" s="24">
        <f t="shared" si="224"/>
        <v>1059.5276676478504</v>
      </c>
      <c r="F1582" s="24">
        <f t="shared" si="226"/>
        <v>49.29589270135466</v>
      </c>
      <c r="G1582" s="14">
        <f t="shared" si="227"/>
        <v>742.34260783203138</v>
      </c>
      <c r="H1582" s="24">
        <f t="shared" si="225"/>
        <v>650</v>
      </c>
      <c r="I1582" s="12">
        <f t="shared" si="228"/>
        <v>9.7305727589624788E-2</v>
      </c>
      <c r="J1582" s="3">
        <f t="shared" si="229"/>
        <v>0.7</v>
      </c>
    </row>
    <row r="1583" spans="2:10" x14ac:dyDescent="0.25">
      <c r="B1583" s="3">
        <f t="shared" si="230"/>
        <v>7830</v>
      </c>
      <c r="C1583" s="14">
        <f t="shared" si="231"/>
        <v>130.5</v>
      </c>
      <c r="D1583" s="11">
        <f t="shared" si="232"/>
        <v>1061.5951202042399</v>
      </c>
      <c r="E1583" s="24">
        <f t="shared" si="224"/>
        <v>1059.62497337544</v>
      </c>
      <c r="F1583" s="24">
        <f t="shared" si="226"/>
        <v>49.253670719997444</v>
      </c>
      <c r="G1583" s="14">
        <f t="shared" si="227"/>
        <v>741.86775826011581</v>
      </c>
      <c r="H1583" s="24">
        <f t="shared" si="225"/>
        <v>650</v>
      </c>
      <c r="I1583" s="12">
        <f t="shared" si="228"/>
        <v>9.7242170772121342E-2</v>
      </c>
      <c r="J1583" s="3">
        <f t="shared" si="229"/>
        <v>0.7</v>
      </c>
    </row>
    <row r="1584" spans="2:10" x14ac:dyDescent="0.25">
      <c r="B1584" s="3">
        <f t="shared" si="230"/>
        <v>7835</v>
      </c>
      <c r="C1584" s="14">
        <f t="shared" si="231"/>
        <v>130.58333333333334</v>
      </c>
      <c r="D1584" s="11">
        <f t="shared" si="232"/>
        <v>1061.6906760724385</v>
      </c>
      <c r="E1584" s="24">
        <f t="shared" si="224"/>
        <v>1059.7222155462123</v>
      </c>
      <c r="F1584" s="24">
        <f t="shared" si="226"/>
        <v>49.211513155654529</v>
      </c>
      <c r="G1584" s="14">
        <f t="shared" si="227"/>
        <v>741.3935226113955</v>
      </c>
      <c r="H1584" s="24">
        <f t="shared" si="225"/>
        <v>650</v>
      </c>
      <c r="I1584" s="12">
        <f t="shared" si="228"/>
        <v>9.7178697334074041E-2</v>
      </c>
      <c r="J1584" s="3">
        <f t="shared" si="229"/>
        <v>0.7</v>
      </c>
    </row>
    <row r="1585" spans="2:10" x14ac:dyDescent="0.25">
      <c r="B1585" s="3">
        <f t="shared" si="230"/>
        <v>7840</v>
      </c>
      <c r="C1585" s="14">
        <f t="shared" si="231"/>
        <v>130.66666666666666</v>
      </c>
      <c r="D1585" s="11">
        <f t="shared" si="232"/>
        <v>1061.786171038231</v>
      </c>
      <c r="E1585" s="24">
        <f t="shared" si="224"/>
        <v>1059.8193942435464</v>
      </c>
      <c r="F1585" s="24">
        <f t="shared" si="226"/>
        <v>49.169419867115494</v>
      </c>
      <c r="G1585" s="14">
        <f t="shared" si="227"/>
        <v>740.91989968732162</v>
      </c>
      <c r="H1585" s="24">
        <f t="shared" si="225"/>
        <v>650</v>
      </c>
      <c r="I1585" s="12">
        <f t="shared" si="228"/>
        <v>9.7115307110803878E-2</v>
      </c>
      <c r="J1585" s="3">
        <f t="shared" si="229"/>
        <v>0.7</v>
      </c>
    </row>
    <row r="1586" spans="2:10" x14ac:dyDescent="0.25">
      <c r="B1586" s="3">
        <f t="shared" si="230"/>
        <v>7845</v>
      </c>
      <c r="C1586" s="14">
        <f t="shared" si="231"/>
        <v>130.75</v>
      </c>
      <c r="D1586" s="11">
        <f t="shared" si="232"/>
        <v>1061.8816051792005</v>
      </c>
      <c r="E1586" s="24">
        <f t="shared" si="224"/>
        <v>1059.9165095506571</v>
      </c>
      <c r="F1586" s="24">
        <f t="shared" si="226"/>
        <v>49.127390713584873</v>
      </c>
      <c r="G1586" s="14">
        <f t="shared" si="227"/>
        <v>740.44688829260087</v>
      </c>
      <c r="H1586" s="24">
        <f t="shared" si="225"/>
        <v>650</v>
      </c>
      <c r="I1586" s="12">
        <f t="shared" si="228"/>
        <v>9.7051999938083014E-2</v>
      </c>
      <c r="J1586" s="3">
        <f t="shared" si="229"/>
        <v>0.7</v>
      </c>
    </row>
    <row r="1587" spans="2:10" x14ac:dyDescent="0.25">
      <c r="B1587" s="3">
        <f t="shared" si="230"/>
        <v>7850</v>
      </c>
      <c r="C1587" s="14">
        <f t="shared" si="231"/>
        <v>130.83333333333334</v>
      </c>
      <c r="D1587" s="11">
        <f t="shared" si="232"/>
        <v>1061.9769785727815</v>
      </c>
      <c r="E1587" s="24">
        <f t="shared" si="224"/>
        <v>1060.0135615505951</v>
      </c>
      <c r="F1587" s="24">
        <f t="shared" si="226"/>
        <v>49.085425554659423</v>
      </c>
      <c r="G1587" s="14">
        <f t="shared" si="227"/>
        <v>739.97448723484752</v>
      </c>
      <c r="H1587" s="24">
        <f t="shared" si="225"/>
        <v>650</v>
      </c>
      <c r="I1587" s="12">
        <f t="shared" si="228"/>
        <v>9.6988775652089174E-2</v>
      </c>
      <c r="J1587" s="3">
        <f t="shared" si="229"/>
        <v>0.7</v>
      </c>
    </row>
    <row r="1588" spans="2:10" x14ac:dyDescent="0.25">
      <c r="B1588" s="3">
        <f t="shared" si="230"/>
        <v>7855</v>
      </c>
      <c r="C1588" s="14">
        <f t="shared" si="231"/>
        <v>130.91666666666666</v>
      </c>
      <c r="D1588" s="11">
        <f t="shared" si="232"/>
        <v>1062.0722912962608</v>
      </c>
      <c r="E1588" s="24">
        <f t="shared" ref="E1588:E1651" si="233">E1587+I1587</f>
        <v>1060.1105503262472</v>
      </c>
      <c r="F1588" s="24">
        <f t="shared" si="226"/>
        <v>49.043524250339487</v>
      </c>
      <c r="G1588" s="14">
        <f t="shared" si="227"/>
        <v>739.50269532491177</v>
      </c>
      <c r="H1588" s="24">
        <f t="shared" ref="H1588:H1651" si="234">IF(E1588&lt;600,425+0.773*E1588-1.69/1000*E1588^2+2.22/1000^2*E1588^3,IF(E1588&lt;735,666+13002/(738-E1588),IF(E1588&lt;900,545+17820/(E1588-731),650)))</f>
        <v>650</v>
      </c>
      <c r="I1588" s="12">
        <f t="shared" si="228"/>
        <v>9.6925634089447488E-2</v>
      </c>
      <c r="J1588" s="3">
        <f t="shared" si="229"/>
        <v>0.7</v>
      </c>
    </row>
    <row r="1589" spans="2:10" x14ac:dyDescent="0.25">
      <c r="B1589" s="3">
        <f t="shared" si="230"/>
        <v>7860</v>
      </c>
      <c r="C1589" s="14">
        <f t="shared" si="231"/>
        <v>131</v>
      </c>
      <c r="D1589" s="11">
        <f t="shared" si="232"/>
        <v>1062.1675434267775</v>
      </c>
      <c r="E1589" s="24">
        <f t="shared" si="233"/>
        <v>1060.2074759603368</v>
      </c>
      <c r="F1589" s="24">
        <f t="shared" si="226"/>
        <v>49.001686661017629</v>
      </c>
      <c r="G1589" s="14">
        <f t="shared" si="227"/>
        <v>739.03151137660916</v>
      </c>
      <c r="H1589" s="24">
        <f t="shared" si="234"/>
        <v>650</v>
      </c>
      <c r="I1589" s="12">
        <f t="shared" si="228"/>
        <v>9.6862575087195743E-2</v>
      </c>
      <c r="J1589" s="3">
        <f t="shared" si="229"/>
        <v>0.7</v>
      </c>
    </row>
    <row r="1590" spans="2:10" x14ac:dyDescent="0.25">
      <c r="B1590" s="3">
        <f t="shared" si="230"/>
        <v>7865</v>
      </c>
      <c r="C1590" s="14">
        <f t="shared" si="231"/>
        <v>131.08333333333334</v>
      </c>
      <c r="D1590" s="11">
        <f t="shared" si="232"/>
        <v>1062.262735041324</v>
      </c>
      <c r="E1590" s="24">
        <f t="shared" si="233"/>
        <v>1060.304338535424</v>
      </c>
      <c r="F1590" s="24">
        <f t="shared" si="226"/>
        <v>48.959912647501369</v>
      </c>
      <c r="G1590" s="14">
        <f t="shared" si="227"/>
        <v>738.56093420716604</v>
      </c>
      <c r="H1590" s="24">
        <f t="shared" si="234"/>
        <v>650</v>
      </c>
      <c r="I1590" s="12">
        <f t="shared" si="228"/>
        <v>9.6799598482842017E-2</v>
      </c>
      <c r="J1590" s="3">
        <f t="shared" si="229"/>
        <v>0.7</v>
      </c>
    </row>
    <row r="1591" spans="2:10" x14ac:dyDescent="0.25">
      <c r="B1591" s="3">
        <f t="shared" si="230"/>
        <v>7870</v>
      </c>
      <c r="C1591" s="14">
        <f t="shared" si="231"/>
        <v>131.16666666666666</v>
      </c>
      <c r="D1591" s="11">
        <f t="shared" si="232"/>
        <v>1062.3578662167461</v>
      </c>
      <c r="E1591" s="24">
        <f t="shared" si="233"/>
        <v>1060.4011381339069</v>
      </c>
      <c r="F1591" s="24">
        <f t="shared" si="226"/>
        <v>48.918202070979078</v>
      </c>
      <c r="G1591" s="14">
        <f t="shared" si="227"/>
        <v>738.09096263656079</v>
      </c>
      <c r="H1591" s="24">
        <f t="shared" si="234"/>
        <v>650</v>
      </c>
      <c r="I1591" s="12">
        <f t="shared" si="228"/>
        <v>9.6736704114279454E-2</v>
      </c>
      <c r="J1591" s="3">
        <f t="shared" si="229"/>
        <v>0.7</v>
      </c>
    </row>
    <row r="1592" spans="2:10" x14ac:dyDescent="0.25">
      <c r="B1592" s="3">
        <f t="shared" si="230"/>
        <v>7875</v>
      </c>
      <c r="C1592" s="14">
        <f t="shared" si="231"/>
        <v>131.25</v>
      </c>
      <c r="D1592" s="11">
        <f t="shared" si="232"/>
        <v>1062.4529370297435</v>
      </c>
      <c r="E1592" s="24">
        <f t="shared" si="233"/>
        <v>1060.4978748380213</v>
      </c>
      <c r="F1592" s="24">
        <f t="shared" si="226"/>
        <v>48.876554793054083</v>
      </c>
      <c r="G1592" s="14">
        <f t="shared" si="227"/>
        <v>737.62159548822137</v>
      </c>
      <c r="H1592" s="24">
        <f t="shared" si="234"/>
        <v>650</v>
      </c>
      <c r="I1592" s="12">
        <f t="shared" si="228"/>
        <v>9.6673891819876193E-2</v>
      </c>
      <c r="J1592" s="3">
        <f t="shared" si="229"/>
        <v>0.7</v>
      </c>
    </row>
    <row r="1593" spans="2:10" x14ac:dyDescent="0.25">
      <c r="B1593" s="3">
        <f t="shared" si="230"/>
        <v>7880</v>
      </c>
      <c r="C1593" s="14">
        <f t="shared" si="231"/>
        <v>131.33333333333334</v>
      </c>
      <c r="D1593" s="11">
        <f t="shared" si="232"/>
        <v>1062.5479475568693</v>
      </c>
      <c r="E1593" s="24">
        <f t="shared" si="233"/>
        <v>1060.5945487298411</v>
      </c>
      <c r="F1593" s="24">
        <f t="shared" si="226"/>
        <v>48.834970675704881</v>
      </c>
      <c r="G1593" s="14">
        <f t="shared" si="227"/>
        <v>737.15283158832756</v>
      </c>
      <c r="H1593" s="24">
        <f t="shared" si="234"/>
        <v>650</v>
      </c>
      <c r="I1593" s="12">
        <f t="shared" si="228"/>
        <v>9.6611161438384774E-2</v>
      </c>
      <c r="J1593" s="3">
        <f t="shared" si="229"/>
        <v>0.7</v>
      </c>
    </row>
    <row r="1594" spans="2:10" x14ac:dyDescent="0.25">
      <c r="B1594" s="3">
        <f t="shared" si="230"/>
        <v>7885</v>
      </c>
      <c r="C1594" s="14">
        <f t="shared" si="231"/>
        <v>131.41666666666666</v>
      </c>
      <c r="D1594" s="11">
        <f t="shared" si="232"/>
        <v>1062.6428978745314</v>
      </c>
      <c r="E1594" s="24">
        <f t="shared" si="233"/>
        <v>1060.6911598912795</v>
      </c>
      <c r="F1594" s="24">
        <f t="shared" si="226"/>
        <v>48.7934495812965</v>
      </c>
      <c r="G1594" s="14">
        <f t="shared" si="227"/>
        <v>736.6846697660244</v>
      </c>
      <c r="H1594" s="24">
        <f t="shared" si="234"/>
        <v>650</v>
      </c>
      <c r="I1594" s="12">
        <f t="shared" si="228"/>
        <v>9.6548512808969714E-2</v>
      </c>
      <c r="J1594" s="3">
        <f t="shared" si="229"/>
        <v>0.7</v>
      </c>
    </row>
    <row r="1595" spans="2:10" x14ac:dyDescent="0.25">
      <c r="B1595" s="3">
        <f t="shared" si="230"/>
        <v>7890</v>
      </c>
      <c r="C1595" s="14">
        <f t="shared" si="231"/>
        <v>131.5</v>
      </c>
      <c r="D1595" s="11">
        <f t="shared" si="232"/>
        <v>1062.7377880589927</v>
      </c>
      <c r="E1595" s="24">
        <f t="shared" si="233"/>
        <v>1060.7877084040886</v>
      </c>
      <c r="F1595" s="24">
        <f t="shared" si="226"/>
        <v>48.751991372603243</v>
      </c>
      <c r="G1595" s="14">
        <f t="shared" si="227"/>
        <v>736.2171088537516</v>
      </c>
      <c r="H1595" s="24">
        <f t="shared" si="234"/>
        <v>650</v>
      </c>
      <c r="I1595" s="12">
        <f t="shared" si="228"/>
        <v>9.6485945771250775E-2</v>
      </c>
      <c r="J1595" s="3">
        <f t="shared" si="229"/>
        <v>0.7</v>
      </c>
    </row>
    <row r="1596" spans="2:10" x14ac:dyDescent="0.25">
      <c r="B1596" s="3">
        <f t="shared" si="230"/>
        <v>7895</v>
      </c>
      <c r="C1596" s="14">
        <f t="shared" si="231"/>
        <v>131.58333333333334</v>
      </c>
      <c r="D1596" s="11">
        <f t="shared" si="232"/>
        <v>1062.8326181863713</v>
      </c>
      <c r="E1596" s="24">
        <f t="shared" si="233"/>
        <v>1060.8841943498599</v>
      </c>
      <c r="F1596" s="24">
        <f t="shared" si="226"/>
        <v>48.710595912785948</v>
      </c>
      <c r="G1596" s="14">
        <f t="shared" si="227"/>
        <v>735.75014768704921</v>
      </c>
      <c r="H1596" s="24">
        <f t="shared" si="234"/>
        <v>650</v>
      </c>
      <c r="I1596" s="12">
        <f t="shared" si="228"/>
        <v>9.6423460165276365E-2</v>
      </c>
      <c r="J1596" s="3">
        <f t="shared" si="229"/>
        <v>0.7</v>
      </c>
    </row>
    <row r="1597" spans="2:10" x14ac:dyDescent="0.25">
      <c r="B1597" s="3">
        <f t="shared" si="230"/>
        <v>7900</v>
      </c>
      <c r="C1597" s="14">
        <f t="shared" si="231"/>
        <v>131.66666666666666</v>
      </c>
      <c r="D1597" s="11">
        <f t="shared" si="232"/>
        <v>1062.9273883326409</v>
      </c>
      <c r="E1597" s="24">
        <f t="shared" si="233"/>
        <v>1060.980617810025</v>
      </c>
      <c r="F1597" s="24">
        <f t="shared" si="226"/>
        <v>48.669263065397672</v>
      </c>
      <c r="G1597" s="14">
        <f t="shared" si="227"/>
        <v>735.28378510436494</v>
      </c>
      <c r="H1597" s="24">
        <f t="shared" si="234"/>
        <v>650</v>
      </c>
      <c r="I1597" s="12">
        <f t="shared" si="228"/>
        <v>9.6361055831500467E-2</v>
      </c>
      <c r="J1597" s="3">
        <f t="shared" si="229"/>
        <v>0.7</v>
      </c>
    </row>
    <row r="1598" spans="2:10" x14ac:dyDescent="0.25">
      <c r="B1598" s="3">
        <f t="shared" si="230"/>
        <v>7905</v>
      </c>
      <c r="C1598" s="14">
        <f t="shared" si="231"/>
        <v>131.75</v>
      </c>
      <c r="D1598" s="11">
        <f t="shared" si="232"/>
        <v>1063.0220985736305</v>
      </c>
      <c r="E1598" s="24">
        <f t="shared" si="233"/>
        <v>1061.0769788658565</v>
      </c>
      <c r="F1598" s="24">
        <f t="shared" si="226"/>
        <v>48.627992694349587</v>
      </c>
      <c r="G1598" s="14">
        <f t="shared" si="227"/>
        <v>734.81801994687839</v>
      </c>
      <c r="H1598" s="24">
        <f t="shared" si="234"/>
        <v>650</v>
      </c>
      <c r="I1598" s="12">
        <f t="shared" si="228"/>
        <v>9.6298732610756888E-2</v>
      </c>
      <c r="J1598" s="3">
        <f t="shared" si="229"/>
        <v>0.7</v>
      </c>
    </row>
    <row r="1599" spans="2:10" x14ac:dyDescent="0.25">
      <c r="B1599" s="3">
        <f t="shared" si="230"/>
        <v>7910</v>
      </c>
      <c r="C1599" s="14">
        <f t="shared" si="231"/>
        <v>131.83333333333334</v>
      </c>
      <c r="D1599" s="11">
        <f t="shared" si="232"/>
        <v>1063.1167489850259</v>
      </c>
      <c r="E1599" s="24">
        <f t="shared" si="233"/>
        <v>1061.1732775984672</v>
      </c>
      <c r="F1599" s="24">
        <f t="shared" si="226"/>
        <v>48.586784663967819</v>
      </c>
      <c r="G1599" s="14">
        <f t="shared" si="227"/>
        <v>734.35285105910305</v>
      </c>
      <c r="H1599" s="24">
        <f t="shared" si="234"/>
        <v>650</v>
      </c>
      <c r="I1599" s="12">
        <f t="shared" si="228"/>
        <v>9.6236490344340245E-2</v>
      </c>
      <c r="J1599" s="3">
        <f t="shared" si="229"/>
        <v>0.7</v>
      </c>
    </row>
    <row r="1600" spans="2:10" x14ac:dyDescent="0.25">
      <c r="B1600" s="3">
        <f t="shared" si="230"/>
        <v>7915</v>
      </c>
      <c r="C1600" s="14">
        <f t="shared" si="231"/>
        <v>131.91666666666666</v>
      </c>
      <c r="D1600" s="11">
        <f t="shared" si="232"/>
        <v>1063.2113396423701</v>
      </c>
      <c r="E1600" s="24">
        <f t="shared" si="233"/>
        <v>1061.2695140888115</v>
      </c>
      <c r="F1600" s="24">
        <f t="shared" si="226"/>
        <v>48.545638838965033</v>
      </c>
      <c r="G1600" s="14">
        <f t="shared" si="227"/>
        <v>733.88827728871092</v>
      </c>
      <c r="H1600" s="24">
        <f t="shared" si="234"/>
        <v>650</v>
      </c>
      <c r="I1600" s="12">
        <f t="shared" si="228"/>
        <v>9.6174328873980891E-2</v>
      </c>
      <c r="J1600" s="3">
        <f t="shared" si="229"/>
        <v>0.7</v>
      </c>
    </row>
    <row r="1601" spans="2:10" x14ac:dyDescent="0.25">
      <c r="B1601" s="3">
        <f t="shared" si="230"/>
        <v>7920</v>
      </c>
      <c r="C1601" s="14">
        <f t="shared" si="231"/>
        <v>132</v>
      </c>
      <c r="D1601" s="11">
        <f t="shared" si="232"/>
        <v>1063.305870621062</v>
      </c>
      <c r="E1601" s="24">
        <f t="shared" si="233"/>
        <v>1061.3656884176855</v>
      </c>
      <c r="F1601" s="24">
        <f t="shared" si="226"/>
        <v>48.504555084412004</v>
      </c>
      <c r="G1601" s="14">
        <f t="shared" si="227"/>
        <v>733.42429748585482</v>
      </c>
      <c r="H1601" s="24">
        <f t="shared" si="234"/>
        <v>650</v>
      </c>
      <c r="I1601" s="12">
        <f t="shared" si="228"/>
        <v>9.6112248041758122E-2</v>
      </c>
      <c r="J1601" s="3">
        <f t="shared" si="229"/>
        <v>0.7</v>
      </c>
    </row>
    <row r="1602" spans="2:10" x14ac:dyDescent="0.25">
      <c r="B1602" s="3">
        <f t="shared" si="230"/>
        <v>7925</v>
      </c>
      <c r="C1602" s="14">
        <f t="shared" si="231"/>
        <v>132.08333333333334</v>
      </c>
      <c r="D1602" s="11">
        <f t="shared" si="232"/>
        <v>1063.4003419963585</v>
      </c>
      <c r="E1602" s="24">
        <f t="shared" si="233"/>
        <v>1061.4618006657272</v>
      </c>
      <c r="F1602" s="24">
        <f t="shared" si="226"/>
        <v>48.463533265783099</v>
      </c>
      <c r="G1602" s="14">
        <f t="shared" si="227"/>
        <v>732.96091050405971</v>
      </c>
      <c r="H1602" s="24">
        <f t="shared" si="234"/>
        <v>650</v>
      </c>
      <c r="I1602" s="12">
        <f t="shared" si="228"/>
        <v>9.6050247690215335E-2</v>
      </c>
      <c r="J1602" s="3">
        <f t="shared" si="229"/>
        <v>0.7</v>
      </c>
    </row>
    <row r="1603" spans="2:10" x14ac:dyDescent="0.25">
      <c r="B1603" s="3">
        <f t="shared" si="230"/>
        <v>7930</v>
      </c>
      <c r="C1603" s="14">
        <f t="shared" si="231"/>
        <v>132.16666666666666</v>
      </c>
      <c r="D1603" s="11">
        <f t="shared" si="232"/>
        <v>1063.4947538433744</v>
      </c>
      <c r="E1603" s="24">
        <f t="shared" si="233"/>
        <v>1061.5578509134175</v>
      </c>
      <c r="F1603" s="24">
        <f t="shared" si="226"/>
        <v>48.422573248922163</v>
      </c>
      <c r="G1603" s="14">
        <f t="shared" si="227"/>
        <v>732.49811519966056</v>
      </c>
      <c r="H1603" s="24">
        <f t="shared" si="234"/>
        <v>650</v>
      </c>
      <c r="I1603" s="12">
        <f t="shared" si="228"/>
        <v>9.5988327662286765E-2</v>
      </c>
      <c r="J1603" s="3">
        <f t="shared" si="229"/>
        <v>0.7</v>
      </c>
    </row>
    <row r="1604" spans="2:10" x14ac:dyDescent="0.25">
      <c r="B1604" s="3">
        <f t="shared" si="230"/>
        <v>7935</v>
      </c>
      <c r="C1604" s="14">
        <f t="shared" si="231"/>
        <v>132.25</v>
      </c>
      <c r="D1604" s="11">
        <f t="shared" si="232"/>
        <v>1063.5891062370822</v>
      </c>
      <c r="E1604" s="24">
        <f t="shared" si="233"/>
        <v>1061.6538392410798</v>
      </c>
      <c r="F1604" s="24">
        <f t="shared" si="226"/>
        <v>48.381674900059579</v>
      </c>
      <c r="G1604" s="14">
        <f t="shared" si="227"/>
        <v>732.03591043207359</v>
      </c>
      <c r="H1604" s="24">
        <f t="shared" si="234"/>
        <v>650</v>
      </c>
      <c r="I1604" s="12">
        <f t="shared" si="228"/>
        <v>9.592648780133288E-2</v>
      </c>
      <c r="J1604" s="3">
        <f t="shared" si="229"/>
        <v>0.7</v>
      </c>
    </row>
    <row r="1605" spans="2:10" x14ac:dyDescent="0.25">
      <c r="B1605" s="3">
        <f t="shared" si="230"/>
        <v>7940</v>
      </c>
      <c r="C1605" s="14">
        <f t="shared" si="231"/>
        <v>132.33333333333334</v>
      </c>
      <c r="D1605" s="11">
        <f t="shared" si="232"/>
        <v>1063.6833992523129</v>
      </c>
      <c r="E1605" s="24">
        <f t="shared" si="233"/>
        <v>1061.7497657288811</v>
      </c>
      <c r="F1605" s="24">
        <f t="shared" si="226"/>
        <v>48.340838085795212</v>
      </c>
      <c r="G1605" s="14">
        <f t="shared" si="227"/>
        <v>731.57429506352548</v>
      </c>
      <c r="H1605" s="24">
        <f t="shared" si="234"/>
        <v>650</v>
      </c>
      <c r="I1605" s="12">
        <f t="shared" si="228"/>
        <v>9.5864727951104997E-2</v>
      </c>
      <c r="J1605" s="3">
        <f t="shared" si="229"/>
        <v>0.7</v>
      </c>
    </row>
    <row r="1606" spans="2:10" x14ac:dyDescent="0.25">
      <c r="B1606" s="3">
        <f t="shared" si="230"/>
        <v>7945</v>
      </c>
      <c r="C1606" s="14">
        <f t="shared" si="231"/>
        <v>132.41666666666666</v>
      </c>
      <c r="D1606" s="11">
        <f t="shared" si="232"/>
        <v>1063.7776329637568</v>
      </c>
      <c r="E1606" s="24">
        <f t="shared" si="233"/>
        <v>1061.8456304568322</v>
      </c>
      <c r="F1606" s="24">
        <f t="shared" si="226"/>
        <v>48.300062673115463</v>
      </c>
      <c r="G1606" s="14">
        <f t="shared" si="227"/>
        <v>731.11326795922707</v>
      </c>
      <c r="H1606" s="24">
        <f t="shared" si="234"/>
        <v>650</v>
      </c>
      <c r="I1606" s="12">
        <f t="shared" si="228"/>
        <v>9.5803047955768786E-2</v>
      </c>
      <c r="J1606" s="3">
        <f t="shared" si="229"/>
        <v>0.7</v>
      </c>
    </row>
    <row r="1607" spans="2:10" x14ac:dyDescent="0.25">
      <c r="B1607" s="3">
        <f t="shared" si="230"/>
        <v>7950</v>
      </c>
      <c r="C1607" s="14">
        <f t="shared" si="231"/>
        <v>132.5</v>
      </c>
      <c r="D1607" s="11">
        <f t="shared" si="232"/>
        <v>1063.8718074459625</v>
      </c>
      <c r="E1607" s="24">
        <f t="shared" si="233"/>
        <v>1061.9414335047879</v>
      </c>
      <c r="F1607" s="24">
        <f t="shared" si="226"/>
        <v>48.259348529364843</v>
      </c>
      <c r="G1607" s="14">
        <f t="shared" si="227"/>
        <v>730.6528279872964</v>
      </c>
      <c r="H1607" s="24">
        <f t="shared" si="234"/>
        <v>650</v>
      </c>
      <c r="I1607" s="12">
        <f t="shared" si="228"/>
        <v>9.574144765989126E-2</v>
      </c>
      <c r="J1607" s="3">
        <f t="shared" si="229"/>
        <v>0.7</v>
      </c>
    </row>
    <row r="1608" spans="2:10" x14ac:dyDescent="0.25">
      <c r="B1608" s="3">
        <f t="shared" si="230"/>
        <v>7955</v>
      </c>
      <c r="C1608" s="14">
        <f t="shared" si="231"/>
        <v>132.58333333333334</v>
      </c>
      <c r="D1608" s="11">
        <f t="shared" si="232"/>
        <v>1063.9659227733387</v>
      </c>
      <c r="E1608" s="24">
        <f t="shared" si="233"/>
        <v>1062.0371749524479</v>
      </c>
      <c r="F1608" s="24">
        <f t="shared" si="226"/>
        <v>48.218695522268717</v>
      </c>
      <c r="G1608" s="14">
        <f t="shared" si="227"/>
        <v>730.19297401864196</v>
      </c>
      <c r="H1608" s="24">
        <f t="shared" si="234"/>
        <v>650</v>
      </c>
      <c r="I1608" s="12">
        <f t="shared" si="228"/>
        <v>9.5679926908429219E-2</v>
      </c>
      <c r="J1608" s="3">
        <f t="shared" si="229"/>
        <v>0.7</v>
      </c>
    </row>
    <row r="1609" spans="2:10" x14ac:dyDescent="0.25">
      <c r="B1609" s="3">
        <f t="shared" si="230"/>
        <v>7960</v>
      </c>
      <c r="C1609" s="14">
        <f t="shared" si="231"/>
        <v>132.66666666666666</v>
      </c>
      <c r="D1609" s="11">
        <f t="shared" si="232"/>
        <v>1064.0599790201543</v>
      </c>
      <c r="E1609" s="24">
        <f t="shared" si="233"/>
        <v>1062.1328548793563</v>
      </c>
      <c r="F1609" s="24">
        <f t="shared" si="226"/>
        <v>48.178103519950355</v>
      </c>
      <c r="G1609" s="14">
        <f t="shared" si="227"/>
        <v>729.73370492762217</v>
      </c>
      <c r="H1609" s="24">
        <f t="shared" si="234"/>
        <v>650</v>
      </c>
      <c r="I1609" s="12">
        <f t="shared" si="228"/>
        <v>9.5618485546812473E-2</v>
      </c>
      <c r="J1609" s="3">
        <f t="shared" si="229"/>
        <v>0.7</v>
      </c>
    </row>
    <row r="1610" spans="2:10" x14ac:dyDescent="0.25">
      <c r="B1610" s="3">
        <f t="shared" si="230"/>
        <v>7965</v>
      </c>
      <c r="C1610" s="14">
        <f t="shared" si="231"/>
        <v>132.75</v>
      </c>
      <c r="D1610" s="11">
        <f t="shared" si="232"/>
        <v>1064.1539762605373</v>
      </c>
      <c r="E1610" s="24">
        <f t="shared" si="233"/>
        <v>1062.228473364903</v>
      </c>
      <c r="F1610" s="24">
        <f t="shared" si="226"/>
        <v>48.137572390857031</v>
      </c>
      <c r="G1610" s="14">
        <f t="shared" si="227"/>
        <v>729.27501959076574</v>
      </c>
      <c r="H1610" s="24">
        <f t="shared" si="234"/>
        <v>650</v>
      </c>
      <c r="I1610" s="12">
        <f t="shared" si="228"/>
        <v>9.5557123420777379E-2</v>
      </c>
      <c r="J1610" s="3">
        <f t="shared" si="229"/>
        <v>0.7</v>
      </c>
    </row>
    <row r="1611" spans="2:10" x14ac:dyDescent="0.25">
      <c r="B1611" s="3">
        <f t="shared" si="230"/>
        <v>7970</v>
      </c>
      <c r="C1611" s="14">
        <f t="shared" si="231"/>
        <v>132.83333333333334</v>
      </c>
      <c r="D1611" s="11">
        <f t="shared" si="232"/>
        <v>1064.2479145684774</v>
      </c>
      <c r="E1611" s="24">
        <f t="shared" si="233"/>
        <v>1062.3240304883238</v>
      </c>
      <c r="F1611" s="24">
        <f t="shared" si="226"/>
        <v>48.097102003839609</v>
      </c>
      <c r="G1611" s="14">
        <f t="shared" si="227"/>
        <v>728.81691688785736</v>
      </c>
      <c r="H1611" s="24">
        <f t="shared" si="234"/>
        <v>650</v>
      </c>
      <c r="I1611" s="12">
        <f t="shared" si="228"/>
        <v>9.5495840376510141E-2</v>
      </c>
      <c r="J1611" s="3">
        <f t="shared" si="229"/>
        <v>0.7</v>
      </c>
    </row>
    <row r="1612" spans="2:10" x14ac:dyDescent="0.25">
      <c r="B1612" s="3">
        <f t="shared" si="230"/>
        <v>7975</v>
      </c>
      <c r="C1612" s="14">
        <f t="shared" si="231"/>
        <v>132.91666666666666</v>
      </c>
      <c r="D1612" s="11">
        <f t="shared" si="232"/>
        <v>1064.3417940178249</v>
      </c>
      <c r="E1612" s="24">
        <f t="shared" si="233"/>
        <v>1062.4195263287004</v>
      </c>
      <c r="F1612" s="24">
        <f t="shared" si="226"/>
        <v>48.056692228112752</v>
      </c>
      <c r="G1612" s="14">
        <f t="shared" si="227"/>
        <v>728.3593957017049</v>
      </c>
      <c r="H1612" s="24">
        <f t="shared" si="234"/>
        <v>650</v>
      </c>
      <c r="I1612" s="12">
        <f t="shared" si="228"/>
        <v>9.543463626061327E-2</v>
      </c>
      <c r="J1612" s="3">
        <f t="shared" si="229"/>
        <v>0.7</v>
      </c>
    </row>
    <row r="1613" spans="2:10" x14ac:dyDescent="0.25">
      <c r="B1613" s="3">
        <f t="shared" si="230"/>
        <v>7980</v>
      </c>
      <c r="C1613" s="14">
        <f t="shared" si="231"/>
        <v>133</v>
      </c>
      <c r="D1613" s="11">
        <f t="shared" si="232"/>
        <v>1064.4356146822909</v>
      </c>
      <c r="E1613" s="24">
        <f t="shared" si="233"/>
        <v>1062.5149609649609</v>
      </c>
      <c r="F1613" s="24">
        <f t="shared" si="226"/>
        <v>48.016342933249234</v>
      </c>
      <c r="G1613" s="14">
        <f t="shared" si="227"/>
        <v>727.90245491771316</v>
      </c>
      <c r="H1613" s="24">
        <f t="shared" si="234"/>
        <v>650</v>
      </c>
      <c r="I1613" s="12">
        <f t="shared" si="228"/>
        <v>9.5373510920052515E-2</v>
      </c>
      <c r="J1613" s="3">
        <f t="shared" si="229"/>
        <v>0.7</v>
      </c>
    </row>
    <row r="1614" spans="2:10" x14ac:dyDescent="0.25">
      <c r="B1614" s="3">
        <f t="shared" si="230"/>
        <v>7985</v>
      </c>
      <c r="C1614" s="14">
        <f t="shared" si="231"/>
        <v>133.08333333333334</v>
      </c>
      <c r="D1614" s="11">
        <f t="shared" si="232"/>
        <v>1064.5293766354487</v>
      </c>
      <c r="E1614" s="24">
        <f t="shared" si="233"/>
        <v>1062.610334475881</v>
      </c>
      <c r="F1614" s="24">
        <f t="shared" si="226"/>
        <v>47.976053989191314</v>
      </c>
      <c r="G1614" s="14">
        <f t="shared" si="227"/>
        <v>727.44609342423269</v>
      </c>
      <c r="H1614" s="24">
        <f t="shared" si="234"/>
        <v>650</v>
      </c>
      <c r="I1614" s="12">
        <f t="shared" si="228"/>
        <v>9.5312464202201103E-2</v>
      </c>
      <c r="J1614" s="3">
        <f t="shared" si="229"/>
        <v>0.7</v>
      </c>
    </row>
    <row r="1615" spans="2:10" x14ac:dyDescent="0.25">
      <c r="B1615" s="3">
        <f t="shared" si="230"/>
        <v>7990</v>
      </c>
      <c r="C1615" s="14">
        <f t="shared" si="231"/>
        <v>133.16666666666666</v>
      </c>
      <c r="D1615" s="11">
        <f t="shared" si="232"/>
        <v>1064.6230799507332</v>
      </c>
      <c r="E1615" s="24">
        <f t="shared" si="233"/>
        <v>1062.7056469400832</v>
      </c>
      <c r="F1615" s="24">
        <f t="shared" si="226"/>
        <v>47.935825266250731</v>
      </c>
      <c r="G1615" s="14">
        <f t="shared" si="227"/>
        <v>726.99031011255977</v>
      </c>
      <c r="H1615" s="24">
        <f t="shared" si="234"/>
        <v>650</v>
      </c>
      <c r="I1615" s="12">
        <f t="shared" si="228"/>
        <v>9.5251495954839768E-2</v>
      </c>
      <c r="J1615" s="3">
        <f t="shared" si="229"/>
        <v>0.7</v>
      </c>
    </row>
    <row r="1616" spans="2:10" x14ac:dyDescent="0.25">
      <c r="B1616" s="3">
        <f t="shared" si="230"/>
        <v>7995</v>
      </c>
      <c r="C1616" s="14">
        <f t="shared" si="231"/>
        <v>133.25</v>
      </c>
      <c r="D1616" s="11">
        <f t="shared" si="232"/>
        <v>1064.716724701442</v>
      </c>
      <c r="E1616" s="24">
        <f t="shared" si="233"/>
        <v>1062.8008984360381</v>
      </c>
      <c r="F1616" s="24">
        <f t="shared" si="226"/>
        <v>47.895656635097339</v>
      </c>
      <c r="G1616" s="14">
        <f t="shared" si="227"/>
        <v>726.53510387672327</v>
      </c>
      <c r="H1616" s="24">
        <f t="shared" si="234"/>
        <v>650</v>
      </c>
      <c r="I1616" s="12">
        <f t="shared" si="228"/>
        <v>9.5190606026129138E-2</v>
      </c>
      <c r="J1616" s="3">
        <f t="shared" si="229"/>
        <v>0.7</v>
      </c>
    </row>
    <row r="1617" spans="2:10" x14ac:dyDescent="0.25">
      <c r="B1617" s="3">
        <f t="shared" si="230"/>
        <v>8000</v>
      </c>
      <c r="C1617" s="14">
        <f t="shared" si="231"/>
        <v>133.33333333333334</v>
      </c>
      <c r="D1617" s="11">
        <f t="shared" si="232"/>
        <v>1064.8103109607348</v>
      </c>
      <c r="E1617" s="24">
        <f t="shared" si="233"/>
        <v>1062.8960890420642</v>
      </c>
      <c r="F1617" s="24">
        <f t="shared" ref="F1617:F1680" si="235">AlphaC*(D1617-E1617)</f>
        <v>47.855547966764789</v>
      </c>
      <c r="G1617" s="14">
        <f t="shared" ref="G1617:G1680" si="236">Phi*EpsilonF*Botzman/10^8*J1617*((D1617+273)^4-(E1617+273)^4)</f>
        <v>726.08047361367835</v>
      </c>
      <c r="H1617" s="24">
        <f t="shared" si="234"/>
        <v>650</v>
      </c>
      <c r="I1617" s="12">
        <f t="shared" ref="I1617:I1680" si="237">ksh*Massivete/(H1617*RhoA)*DeltaT*(F1617+G1617)</f>
        <v>9.5129794264634263E-2</v>
      </c>
      <c r="J1617" s="3">
        <f t="shared" ref="J1617:J1680" si="238">IF(E1617&lt;=500,IF(Galva=Oui,0.35,0.7),0.7)</f>
        <v>0.7</v>
      </c>
    </row>
    <row r="1618" spans="2:10" x14ac:dyDescent="0.25">
      <c r="B1618" s="3">
        <f t="shared" ref="B1618:B1681" si="239">B1617+DeltaT</f>
        <v>8005</v>
      </c>
      <c r="C1618" s="14">
        <f t="shared" ref="C1618:C1681" si="240">B1618/60</f>
        <v>133.41666666666666</v>
      </c>
      <c r="D1618" s="11">
        <f t="shared" ref="D1618:D1681" si="241">20+345*LOG(8*C1618+1,10)</f>
        <v>1064.9038388016347</v>
      </c>
      <c r="E1618" s="24">
        <f t="shared" si="233"/>
        <v>1062.9912188363289</v>
      </c>
      <c r="F1618" s="24">
        <f t="shared" si="235"/>
        <v>47.815499132644845</v>
      </c>
      <c r="G1618" s="14">
        <f t="shared" si="236"/>
        <v>725.62641822305477</v>
      </c>
      <c r="H1618" s="24">
        <f t="shared" si="234"/>
        <v>650</v>
      </c>
      <c r="I1618" s="12">
        <f t="shared" si="237"/>
        <v>9.5069060519292939E-2</v>
      </c>
      <c r="J1618" s="3">
        <f t="shared" si="238"/>
        <v>0.7</v>
      </c>
    </row>
    <row r="1619" spans="2:10" x14ac:dyDescent="0.25">
      <c r="B1619" s="3">
        <f t="shared" si="239"/>
        <v>8010</v>
      </c>
      <c r="C1619" s="14">
        <f t="shared" si="240"/>
        <v>133.5</v>
      </c>
      <c r="D1619" s="11">
        <f t="shared" si="241"/>
        <v>1064.9973082970284</v>
      </c>
      <c r="E1619" s="24">
        <f t="shared" si="233"/>
        <v>1063.0862878968483</v>
      </c>
      <c r="F1619" s="24">
        <f t="shared" si="235"/>
        <v>47.77551000450444</v>
      </c>
      <c r="G1619" s="14">
        <f t="shared" si="236"/>
        <v>725.17293660756332</v>
      </c>
      <c r="H1619" s="24">
        <f t="shared" si="234"/>
        <v>650</v>
      </c>
      <c r="I1619" s="12">
        <f t="shared" si="237"/>
        <v>9.5008404639467817E-2</v>
      </c>
      <c r="J1619" s="3">
        <f t="shared" si="238"/>
        <v>0.7</v>
      </c>
    </row>
    <row r="1620" spans="2:10" x14ac:dyDescent="0.25">
      <c r="B1620" s="3">
        <f t="shared" si="239"/>
        <v>8015</v>
      </c>
      <c r="C1620" s="14">
        <f t="shared" si="240"/>
        <v>133.58333333333334</v>
      </c>
      <c r="D1620" s="11">
        <f t="shared" si="241"/>
        <v>1065.0907195196653</v>
      </c>
      <c r="E1620" s="24">
        <f t="shared" si="233"/>
        <v>1063.1812963014877</v>
      </c>
      <c r="F1620" s="24">
        <f t="shared" si="235"/>
        <v>47.735580454440196</v>
      </c>
      <c r="G1620" s="14">
        <f t="shared" si="236"/>
        <v>724.72002767237655</v>
      </c>
      <c r="H1620" s="24">
        <f t="shared" si="234"/>
        <v>650</v>
      </c>
      <c r="I1620" s="12">
        <f t="shared" si="237"/>
        <v>9.4947826474864647E-2</v>
      </c>
      <c r="J1620" s="3">
        <f t="shared" si="238"/>
        <v>0.7</v>
      </c>
    </row>
    <row r="1621" spans="2:10" x14ac:dyDescent="0.25">
      <c r="B1621" s="3">
        <f t="shared" si="239"/>
        <v>8020</v>
      </c>
      <c r="C1621" s="14">
        <f t="shared" si="240"/>
        <v>133.66666666666666</v>
      </c>
      <c r="D1621" s="11">
        <f t="shared" si="241"/>
        <v>1065.1840725421596</v>
      </c>
      <c r="E1621" s="24">
        <f t="shared" si="233"/>
        <v>1063.2762441279626</v>
      </c>
      <c r="F1621" s="24">
        <f t="shared" si="235"/>
        <v>47.695710354923904</v>
      </c>
      <c r="G1621" s="14">
        <f t="shared" si="236"/>
        <v>724.26769032567051</v>
      </c>
      <c r="H1621" s="24">
        <f t="shared" si="234"/>
        <v>650</v>
      </c>
      <c r="I1621" s="12">
        <f t="shared" si="237"/>
        <v>9.4887325875604472E-2</v>
      </c>
      <c r="J1621" s="3">
        <f t="shared" si="238"/>
        <v>0.7</v>
      </c>
    </row>
    <row r="1622" spans="2:10" x14ac:dyDescent="0.25">
      <c r="B1622" s="3">
        <f t="shared" si="239"/>
        <v>8025</v>
      </c>
      <c r="C1622" s="14">
        <f t="shared" si="240"/>
        <v>133.75</v>
      </c>
      <c r="D1622" s="11">
        <f t="shared" si="241"/>
        <v>1065.2773674369901</v>
      </c>
      <c r="E1622" s="24">
        <f t="shared" si="233"/>
        <v>1063.3711314538382</v>
      </c>
      <c r="F1622" s="24">
        <f t="shared" si="235"/>
        <v>47.655899578796834</v>
      </c>
      <c r="G1622" s="14">
        <f t="shared" si="236"/>
        <v>723.81592347860578</v>
      </c>
      <c r="H1622" s="24">
        <f t="shared" si="234"/>
        <v>650</v>
      </c>
      <c r="I1622" s="12">
        <f t="shared" si="237"/>
        <v>9.4826902692220619E-2</v>
      </c>
      <c r="J1622" s="3">
        <f t="shared" si="238"/>
        <v>0.7</v>
      </c>
    </row>
    <row r="1623" spans="2:10" x14ac:dyDescent="0.25">
      <c r="B1623" s="3">
        <f t="shared" si="239"/>
        <v>8030</v>
      </c>
      <c r="C1623" s="14">
        <f t="shared" si="240"/>
        <v>133.83333333333334</v>
      </c>
      <c r="D1623" s="11">
        <f t="shared" si="241"/>
        <v>1065.3706042764995</v>
      </c>
      <c r="E1623" s="24">
        <f t="shared" si="233"/>
        <v>1063.4659583565303</v>
      </c>
      <c r="F1623" s="24">
        <f t="shared" si="235"/>
        <v>47.616147999229952</v>
      </c>
      <c r="G1623" s="14">
        <f t="shared" si="236"/>
        <v>723.36472604478502</v>
      </c>
      <c r="H1623" s="24">
        <f t="shared" si="234"/>
        <v>650</v>
      </c>
      <c r="I1623" s="12">
        <f t="shared" si="237"/>
        <v>9.4766556775587069E-2</v>
      </c>
      <c r="J1623" s="3">
        <f t="shared" si="238"/>
        <v>0.7</v>
      </c>
    </row>
    <row r="1624" spans="2:10" x14ac:dyDescent="0.25">
      <c r="B1624" s="3">
        <f t="shared" si="239"/>
        <v>8035</v>
      </c>
      <c r="C1624" s="14">
        <f t="shared" si="240"/>
        <v>133.91666666666666</v>
      </c>
      <c r="D1624" s="11">
        <f t="shared" si="241"/>
        <v>1065.463783132896</v>
      </c>
      <c r="E1624" s="24">
        <f t="shared" si="233"/>
        <v>1063.5607249133059</v>
      </c>
      <c r="F1624" s="24">
        <f t="shared" si="235"/>
        <v>47.576455489752334</v>
      </c>
      <c r="G1624" s="14">
        <f t="shared" si="236"/>
        <v>722.91409694056256</v>
      </c>
      <c r="H1624" s="24">
        <f t="shared" si="234"/>
        <v>650</v>
      </c>
      <c r="I1624" s="12">
        <f t="shared" si="237"/>
        <v>9.4706287976960096E-2</v>
      </c>
      <c r="J1624" s="3">
        <f t="shared" si="238"/>
        <v>0.7</v>
      </c>
    </row>
    <row r="1625" spans="2:10" x14ac:dyDescent="0.25">
      <c r="B1625" s="3">
        <f t="shared" si="239"/>
        <v>8040</v>
      </c>
      <c r="C1625" s="14">
        <f t="shared" si="240"/>
        <v>134</v>
      </c>
      <c r="D1625" s="11">
        <f t="shared" si="241"/>
        <v>1065.556904078253</v>
      </c>
      <c r="E1625" s="24">
        <f t="shared" si="233"/>
        <v>1063.6554312012829</v>
      </c>
      <c r="F1625" s="24">
        <f t="shared" si="235"/>
        <v>47.536821924251171</v>
      </c>
      <c r="G1625" s="14">
        <f t="shared" si="236"/>
        <v>722.46403508529693</v>
      </c>
      <c r="H1625" s="24">
        <f t="shared" si="234"/>
        <v>650</v>
      </c>
      <c r="I1625" s="12">
        <f t="shared" si="237"/>
        <v>9.4646096148009243E-2</v>
      </c>
      <c r="J1625" s="3">
        <f t="shared" si="238"/>
        <v>0.7</v>
      </c>
    </row>
    <row r="1626" spans="2:10" x14ac:dyDescent="0.25">
      <c r="B1626" s="3">
        <f t="shared" si="239"/>
        <v>8045</v>
      </c>
      <c r="C1626" s="14">
        <f t="shared" si="240"/>
        <v>134.08333333333334</v>
      </c>
      <c r="D1626" s="11">
        <f t="shared" si="241"/>
        <v>1065.6499671845099</v>
      </c>
      <c r="E1626" s="24">
        <f t="shared" si="233"/>
        <v>1063.7500772974308</v>
      </c>
      <c r="F1626" s="24">
        <f t="shared" si="235"/>
        <v>47.497247176977453</v>
      </c>
      <c r="G1626" s="14">
        <f t="shared" si="236"/>
        <v>722.01453940113709</v>
      </c>
      <c r="H1626" s="24">
        <f t="shared" si="234"/>
        <v>650</v>
      </c>
      <c r="I1626" s="12">
        <f t="shared" si="237"/>
        <v>9.4585981140791739E-2</v>
      </c>
      <c r="J1626" s="3">
        <f t="shared" si="238"/>
        <v>0.7</v>
      </c>
    </row>
    <row r="1627" spans="2:10" x14ac:dyDescent="0.25">
      <c r="B1627" s="3">
        <f t="shared" si="239"/>
        <v>8050</v>
      </c>
      <c r="C1627" s="14">
        <f t="shared" si="240"/>
        <v>134.16666666666666</v>
      </c>
      <c r="D1627" s="11">
        <f t="shared" si="241"/>
        <v>1065.7429725234717</v>
      </c>
      <c r="E1627" s="24">
        <f t="shared" si="233"/>
        <v>1063.8446632785717</v>
      </c>
      <c r="F1627" s="24">
        <f t="shared" si="235"/>
        <v>47.457731122500491</v>
      </c>
      <c r="G1627" s="14">
        <f t="shared" si="236"/>
        <v>721.56560881255768</v>
      </c>
      <c r="H1627" s="24">
        <f t="shared" si="234"/>
        <v>650</v>
      </c>
      <c r="I1627" s="12">
        <f t="shared" si="237"/>
        <v>9.4525942807689847E-2</v>
      </c>
      <c r="J1627" s="3">
        <f t="shared" si="238"/>
        <v>0.7</v>
      </c>
    </row>
    <row r="1628" spans="2:10" x14ac:dyDescent="0.25">
      <c r="B1628" s="3">
        <f t="shared" si="239"/>
        <v>8055</v>
      </c>
      <c r="C1628" s="14">
        <f t="shared" si="240"/>
        <v>134.25</v>
      </c>
      <c r="D1628" s="11">
        <f t="shared" si="241"/>
        <v>1065.8359201668102</v>
      </c>
      <c r="E1628" s="24">
        <f t="shared" si="233"/>
        <v>1063.9391892213794</v>
      </c>
      <c r="F1628" s="24">
        <f t="shared" si="235"/>
        <v>47.418273635770447</v>
      </c>
      <c r="G1628" s="14">
        <f t="shared" si="236"/>
        <v>721.11724224734735</v>
      </c>
      <c r="H1628" s="24">
        <f t="shared" si="234"/>
        <v>650</v>
      </c>
      <c r="I1628" s="12">
        <f t="shared" si="237"/>
        <v>9.4465981001539939E-2</v>
      </c>
      <c r="J1628" s="3">
        <f t="shared" si="238"/>
        <v>0.7</v>
      </c>
    </row>
    <row r="1629" spans="2:10" x14ac:dyDescent="0.25">
      <c r="B1629" s="3">
        <f t="shared" si="239"/>
        <v>8060</v>
      </c>
      <c r="C1629" s="14">
        <f t="shared" si="240"/>
        <v>134.33333333333334</v>
      </c>
      <c r="D1629" s="11">
        <f t="shared" si="241"/>
        <v>1065.9288101860636</v>
      </c>
      <c r="E1629" s="24">
        <f t="shared" si="233"/>
        <v>1064.0336552023809</v>
      </c>
      <c r="F1629" s="24">
        <f t="shared" si="235"/>
        <v>47.378874592067177</v>
      </c>
      <c r="G1629" s="14">
        <f t="shared" si="236"/>
        <v>720.6694386355814</v>
      </c>
      <c r="H1629" s="24">
        <f t="shared" si="234"/>
        <v>650</v>
      </c>
      <c r="I1629" s="12">
        <f t="shared" si="237"/>
        <v>9.4406095575500046E-2</v>
      </c>
      <c r="J1629" s="3">
        <f t="shared" si="238"/>
        <v>0.7</v>
      </c>
    </row>
    <row r="1630" spans="2:10" x14ac:dyDescent="0.25">
      <c r="B1630" s="3">
        <f t="shared" si="239"/>
        <v>8065</v>
      </c>
      <c r="C1630" s="14">
        <f t="shared" si="240"/>
        <v>134.41666666666666</v>
      </c>
      <c r="D1630" s="11">
        <f t="shared" si="241"/>
        <v>1066.0216426526372</v>
      </c>
      <c r="E1630" s="24">
        <f t="shared" si="233"/>
        <v>1064.1280612979565</v>
      </c>
      <c r="F1630" s="24">
        <f t="shared" si="235"/>
        <v>47.33953386701728</v>
      </c>
      <c r="G1630" s="14">
        <f t="shared" si="236"/>
        <v>720.22219691018427</v>
      </c>
      <c r="H1630" s="24">
        <f t="shared" si="234"/>
        <v>650</v>
      </c>
      <c r="I1630" s="12">
        <f t="shared" si="237"/>
        <v>9.4346286383120967E-2</v>
      </c>
      <c r="J1630" s="3">
        <f t="shared" si="238"/>
        <v>0.7</v>
      </c>
    </row>
    <row r="1631" spans="2:10" x14ac:dyDescent="0.25">
      <c r="B1631" s="3">
        <f t="shared" si="239"/>
        <v>8070</v>
      </c>
      <c r="C1631" s="14">
        <f t="shared" si="240"/>
        <v>134.5</v>
      </c>
      <c r="D1631" s="11">
        <f t="shared" si="241"/>
        <v>1066.1144176378036</v>
      </c>
      <c r="E1631" s="24">
        <f t="shared" si="233"/>
        <v>1064.2224075843396</v>
      </c>
      <c r="F1631" s="24">
        <f t="shared" si="235"/>
        <v>47.300251336599786</v>
      </c>
      <c r="G1631" s="14">
        <f t="shared" si="236"/>
        <v>719.77551600689026</v>
      </c>
      <c r="H1631" s="24">
        <f t="shared" si="234"/>
        <v>650</v>
      </c>
      <c r="I1631" s="12">
        <f t="shared" si="237"/>
        <v>9.4286553278342219E-2</v>
      </c>
      <c r="J1631" s="3">
        <f t="shared" si="238"/>
        <v>0.7</v>
      </c>
    </row>
    <row r="1632" spans="2:10" x14ac:dyDescent="0.25">
      <c r="B1632" s="3">
        <f t="shared" si="239"/>
        <v>8075</v>
      </c>
      <c r="C1632" s="14">
        <f t="shared" si="240"/>
        <v>134.58333333333334</v>
      </c>
      <c r="D1632" s="11">
        <f t="shared" si="241"/>
        <v>1066.2071352127034</v>
      </c>
      <c r="E1632" s="24">
        <f t="shared" si="233"/>
        <v>1064.316694137618</v>
      </c>
      <c r="F1632" s="24">
        <f t="shared" si="235"/>
        <v>47.261026877134782</v>
      </c>
      <c r="G1632" s="14">
        <f t="shared" si="236"/>
        <v>719.32939486404996</v>
      </c>
      <c r="H1632" s="24">
        <f t="shared" si="234"/>
        <v>650</v>
      </c>
      <c r="I1632" s="12">
        <f t="shared" si="237"/>
        <v>9.4226896115466835E-2</v>
      </c>
      <c r="J1632" s="3">
        <f t="shared" si="238"/>
        <v>0.7</v>
      </c>
    </row>
    <row r="1633" spans="2:10" x14ac:dyDescent="0.25">
      <c r="B1633" s="3">
        <f t="shared" si="239"/>
        <v>8080</v>
      </c>
      <c r="C1633" s="14">
        <f t="shared" si="240"/>
        <v>134.66666666666666</v>
      </c>
      <c r="D1633" s="11">
        <f t="shared" si="241"/>
        <v>1066.2997954483446</v>
      </c>
      <c r="E1633" s="24">
        <f t="shared" si="233"/>
        <v>1064.4109210337335</v>
      </c>
      <c r="F1633" s="24">
        <f t="shared" si="235"/>
        <v>47.221860365277735</v>
      </c>
      <c r="G1633" s="14">
        <f t="shared" si="236"/>
        <v>718.88383242259158</v>
      </c>
      <c r="H1633" s="24">
        <f t="shared" si="234"/>
        <v>650</v>
      </c>
      <c r="I1633" s="12">
        <f t="shared" si="237"/>
        <v>9.4167314749155906E-2</v>
      </c>
      <c r="J1633" s="3">
        <f t="shared" si="238"/>
        <v>0.7</v>
      </c>
    </row>
    <row r="1634" spans="2:10" x14ac:dyDescent="0.25">
      <c r="B1634" s="3">
        <f t="shared" si="239"/>
        <v>8085</v>
      </c>
      <c r="C1634" s="14">
        <f t="shared" si="240"/>
        <v>134.75</v>
      </c>
      <c r="D1634" s="11">
        <f t="shared" si="241"/>
        <v>1066.392398415604</v>
      </c>
      <c r="E1634" s="24">
        <f t="shared" si="233"/>
        <v>1064.5050883484828</v>
      </c>
      <c r="F1634" s="24">
        <f t="shared" si="235"/>
        <v>47.182751678030854</v>
      </c>
      <c r="G1634" s="14">
        <f t="shared" si="236"/>
        <v>718.43882762625333</v>
      </c>
      <c r="H1634" s="24">
        <f t="shared" si="234"/>
        <v>650</v>
      </c>
      <c r="I1634" s="12">
        <f t="shared" si="237"/>
        <v>9.4107809034458534E-2</v>
      </c>
      <c r="J1634" s="3">
        <f t="shared" si="238"/>
        <v>0.7</v>
      </c>
    </row>
    <row r="1635" spans="2:10" x14ac:dyDescent="0.25">
      <c r="B1635" s="3">
        <f t="shared" si="239"/>
        <v>8090</v>
      </c>
      <c r="C1635" s="14">
        <f t="shared" si="240"/>
        <v>134.83333333333334</v>
      </c>
      <c r="D1635" s="11">
        <f t="shared" si="241"/>
        <v>1066.4849441852275</v>
      </c>
      <c r="E1635" s="24">
        <f t="shared" si="233"/>
        <v>1064.5991961575173</v>
      </c>
      <c r="F1635" s="24">
        <f t="shared" si="235"/>
        <v>47.143700692754464</v>
      </c>
      <c r="G1635" s="14">
        <f t="shared" si="236"/>
        <v>717.99437942166116</v>
      </c>
      <c r="H1635" s="24">
        <f t="shared" si="234"/>
        <v>650</v>
      </c>
      <c r="I1635" s="12">
        <f t="shared" si="237"/>
        <v>9.4048378826822779E-2</v>
      </c>
      <c r="J1635" s="3">
        <f t="shared" si="238"/>
        <v>0.7</v>
      </c>
    </row>
    <row r="1636" spans="2:10" x14ac:dyDescent="0.25">
      <c r="B1636" s="3">
        <f t="shared" si="239"/>
        <v>8095</v>
      </c>
      <c r="C1636" s="14">
        <f t="shared" si="240"/>
        <v>134.91666666666666</v>
      </c>
      <c r="D1636" s="11">
        <f t="shared" si="241"/>
        <v>1066.5774328278287</v>
      </c>
      <c r="E1636" s="24">
        <f t="shared" si="233"/>
        <v>1064.6932445363441</v>
      </c>
      <c r="F1636" s="24">
        <f t="shared" si="235"/>
        <v>47.104707287115843</v>
      </c>
      <c r="G1636" s="14">
        <f t="shared" si="236"/>
        <v>717.55048675770831</v>
      </c>
      <c r="H1636" s="24">
        <f t="shared" si="234"/>
        <v>650</v>
      </c>
      <c r="I1636" s="12">
        <f t="shared" si="237"/>
        <v>9.3989023982013142E-2</v>
      </c>
      <c r="J1636" s="3">
        <f t="shared" si="238"/>
        <v>0.7</v>
      </c>
    </row>
    <row r="1637" spans="2:10" x14ac:dyDescent="0.25">
      <c r="B1637" s="3">
        <f t="shared" si="239"/>
        <v>8100</v>
      </c>
      <c r="C1637" s="14">
        <f t="shared" si="240"/>
        <v>135</v>
      </c>
      <c r="D1637" s="11">
        <f t="shared" si="241"/>
        <v>1066.6698644138919</v>
      </c>
      <c r="E1637" s="24">
        <f t="shared" si="233"/>
        <v>1064.7872335603261</v>
      </c>
      <c r="F1637" s="24">
        <f t="shared" si="235"/>
        <v>47.065771339146067</v>
      </c>
      <c r="G1637" s="14">
        <f t="shared" si="236"/>
        <v>717.10714858621429</v>
      </c>
      <c r="H1637" s="24">
        <f t="shared" si="234"/>
        <v>650</v>
      </c>
      <c r="I1637" s="12">
        <f t="shared" si="237"/>
        <v>9.3929744356198511E-2</v>
      </c>
      <c r="J1637" s="3">
        <f t="shared" si="238"/>
        <v>0.7</v>
      </c>
    </row>
    <row r="1638" spans="2:10" x14ac:dyDescent="0.25">
      <c r="B1638" s="3">
        <f t="shared" si="239"/>
        <v>8105</v>
      </c>
      <c r="C1638" s="14">
        <f t="shared" si="240"/>
        <v>135.08333333333334</v>
      </c>
      <c r="D1638" s="11">
        <f t="shared" si="241"/>
        <v>1066.7622390137701</v>
      </c>
      <c r="E1638" s="24">
        <f t="shared" si="233"/>
        <v>1064.8811633046823</v>
      </c>
      <c r="F1638" s="24">
        <f t="shared" si="235"/>
        <v>47.026892727194536</v>
      </c>
      <c r="G1638" s="14">
        <f t="shared" si="236"/>
        <v>716.66436386147961</v>
      </c>
      <c r="H1638" s="24">
        <f t="shared" si="234"/>
        <v>650</v>
      </c>
      <c r="I1638" s="12">
        <f t="shared" si="237"/>
        <v>9.3870539805891884E-2</v>
      </c>
      <c r="J1638" s="3">
        <f t="shared" si="238"/>
        <v>0.7</v>
      </c>
    </row>
    <row r="1639" spans="2:10" x14ac:dyDescent="0.25">
      <c r="B1639" s="3">
        <f t="shared" si="239"/>
        <v>8110</v>
      </c>
      <c r="C1639" s="14">
        <f t="shared" si="240"/>
        <v>135.16666666666666</v>
      </c>
      <c r="D1639" s="11">
        <f t="shared" si="241"/>
        <v>1066.8545566976868</v>
      </c>
      <c r="E1639" s="24">
        <f t="shared" si="233"/>
        <v>1064.9750338444883</v>
      </c>
      <c r="F1639" s="24">
        <f t="shared" si="235"/>
        <v>46.988071329963077</v>
      </c>
      <c r="G1639" s="14">
        <f t="shared" si="236"/>
        <v>716.22213154063388</v>
      </c>
      <c r="H1639" s="24">
        <f t="shared" si="234"/>
        <v>650</v>
      </c>
      <c r="I1639" s="12">
        <f t="shared" si="237"/>
        <v>9.3811410187997282E-2</v>
      </c>
      <c r="J1639" s="3">
        <f t="shared" si="238"/>
        <v>0.7</v>
      </c>
    </row>
    <row r="1640" spans="2:10" x14ac:dyDescent="0.25">
      <c r="B1640" s="3">
        <f t="shared" si="239"/>
        <v>8115</v>
      </c>
      <c r="C1640" s="14">
        <f t="shared" si="240"/>
        <v>135.25</v>
      </c>
      <c r="D1640" s="11">
        <f t="shared" si="241"/>
        <v>1066.9468175357354</v>
      </c>
      <c r="E1640" s="24">
        <f t="shared" si="233"/>
        <v>1065.0688452546763</v>
      </c>
      <c r="F1640" s="24">
        <f t="shared" si="235"/>
        <v>46.949307026477527</v>
      </c>
      <c r="G1640" s="14">
        <f t="shared" si="236"/>
        <v>715.78045058328757</v>
      </c>
      <c r="H1640" s="24">
        <f t="shared" si="234"/>
        <v>650</v>
      </c>
      <c r="I1640" s="12">
        <f t="shared" si="237"/>
        <v>9.375235535976352E-2</v>
      </c>
      <c r="J1640" s="3">
        <f t="shared" si="238"/>
        <v>0.7</v>
      </c>
    </row>
    <row r="1641" spans="2:10" x14ac:dyDescent="0.25">
      <c r="B1641" s="3">
        <f t="shared" si="239"/>
        <v>8120</v>
      </c>
      <c r="C1641" s="14">
        <f t="shared" si="240"/>
        <v>135.33333333333334</v>
      </c>
      <c r="D1641" s="11">
        <f t="shared" si="241"/>
        <v>1067.0390215978803</v>
      </c>
      <c r="E1641" s="24">
        <f t="shared" si="233"/>
        <v>1065.1625976100361</v>
      </c>
      <c r="F1641" s="24">
        <f t="shared" si="235"/>
        <v>46.910599696104782</v>
      </c>
      <c r="G1641" s="14">
        <f t="shared" si="236"/>
        <v>715.33931995178341</v>
      </c>
      <c r="H1641" s="24">
        <f t="shared" si="234"/>
        <v>650</v>
      </c>
      <c r="I1641" s="12">
        <f t="shared" si="237"/>
        <v>9.3693375178817165E-2</v>
      </c>
      <c r="J1641" s="3">
        <f t="shared" si="238"/>
        <v>0.7</v>
      </c>
    </row>
    <row r="1642" spans="2:10" x14ac:dyDescent="0.25">
      <c r="B1642" s="3">
        <f t="shared" si="239"/>
        <v>8125</v>
      </c>
      <c r="C1642" s="14">
        <f t="shared" si="240"/>
        <v>135.41666666666666</v>
      </c>
      <c r="D1642" s="11">
        <f t="shared" si="241"/>
        <v>1067.1311689539557</v>
      </c>
      <c r="E1642" s="24">
        <f t="shared" si="233"/>
        <v>1065.2562909852149</v>
      </c>
      <c r="F1642" s="24">
        <f t="shared" si="235"/>
        <v>46.871949218518694</v>
      </c>
      <c r="G1642" s="14">
        <f t="shared" si="236"/>
        <v>714.89873861069327</v>
      </c>
      <c r="H1642" s="24">
        <f t="shared" si="234"/>
        <v>650</v>
      </c>
      <c r="I1642" s="12">
        <f t="shared" si="237"/>
        <v>9.3634469503096535E-2</v>
      </c>
      <c r="J1642" s="3">
        <f t="shared" si="238"/>
        <v>0.7</v>
      </c>
    </row>
    <row r="1643" spans="2:10" x14ac:dyDescent="0.25">
      <c r="B1643" s="3">
        <f t="shared" si="239"/>
        <v>8130</v>
      </c>
      <c r="C1643" s="14">
        <f t="shared" si="240"/>
        <v>135.5</v>
      </c>
      <c r="D1643" s="11">
        <f t="shared" si="241"/>
        <v>1067.2232596736692</v>
      </c>
      <c r="E1643" s="24">
        <f t="shared" si="233"/>
        <v>1065.349925454718</v>
      </c>
      <c r="F1643" s="24">
        <f t="shared" si="235"/>
        <v>46.833355473779648</v>
      </c>
      <c r="G1643" s="14">
        <f t="shared" si="236"/>
        <v>714.45870552813528</v>
      </c>
      <c r="H1643" s="24">
        <f t="shared" si="234"/>
        <v>650</v>
      </c>
      <c r="I1643" s="12">
        <f t="shared" si="237"/>
        <v>9.3575638191023311E-2</v>
      </c>
      <c r="J1643" s="3">
        <f t="shared" si="238"/>
        <v>0.7</v>
      </c>
    </row>
    <row r="1644" spans="2:10" x14ac:dyDescent="0.25">
      <c r="B1644" s="3">
        <f t="shared" si="239"/>
        <v>8135</v>
      </c>
      <c r="C1644" s="14">
        <f t="shared" si="240"/>
        <v>135.58333333333334</v>
      </c>
      <c r="D1644" s="11">
        <f t="shared" si="241"/>
        <v>1067.3152938265976</v>
      </c>
      <c r="E1644" s="24">
        <f t="shared" si="233"/>
        <v>1065.4435010929089</v>
      </c>
      <c r="F1644" s="24">
        <f t="shared" si="235"/>
        <v>46.794818342215194</v>
      </c>
      <c r="G1644" s="14">
        <f t="shared" si="236"/>
        <v>714.01921967370015</v>
      </c>
      <c r="H1644" s="24">
        <f t="shared" si="234"/>
        <v>650</v>
      </c>
      <c r="I1644" s="12">
        <f t="shared" si="237"/>
        <v>9.3516881101233074E-2</v>
      </c>
      <c r="J1644" s="3">
        <f t="shared" si="238"/>
        <v>0.7</v>
      </c>
    </row>
    <row r="1645" spans="2:10" x14ac:dyDescent="0.25">
      <c r="B1645" s="3">
        <f t="shared" si="239"/>
        <v>8140</v>
      </c>
      <c r="C1645" s="14">
        <f t="shared" si="240"/>
        <v>135.66666666666666</v>
      </c>
      <c r="D1645" s="11">
        <f t="shared" si="241"/>
        <v>1067.4072714821912</v>
      </c>
      <c r="E1645" s="24">
        <f t="shared" si="233"/>
        <v>1065.5370179740103</v>
      </c>
      <c r="F1645" s="24">
        <f t="shared" si="235"/>
        <v>46.756337704522366</v>
      </c>
      <c r="G1645" s="14">
        <f t="shared" si="236"/>
        <v>713.58028002035132</v>
      </c>
      <c r="H1645" s="24">
        <f t="shared" si="234"/>
        <v>650</v>
      </c>
      <c r="I1645" s="12">
        <f t="shared" si="237"/>
        <v>9.3458198092821326E-2</v>
      </c>
      <c r="J1645" s="3">
        <f t="shared" si="238"/>
        <v>0.7</v>
      </c>
    </row>
    <row r="1646" spans="2:10" x14ac:dyDescent="0.25">
      <c r="B1646" s="3">
        <f t="shared" si="239"/>
        <v>8145</v>
      </c>
      <c r="C1646" s="14">
        <f t="shared" si="240"/>
        <v>135.75</v>
      </c>
      <c r="D1646" s="11">
        <f t="shared" si="241"/>
        <v>1067.4991927097715</v>
      </c>
      <c r="E1646" s="24">
        <f t="shared" si="233"/>
        <v>1065.630476172103</v>
      </c>
      <c r="F1646" s="24">
        <f t="shared" si="235"/>
        <v>46.717913441710834</v>
      </c>
      <c r="G1646" s="14">
        <f t="shared" si="236"/>
        <v>713.14188554328052</v>
      </c>
      <c r="H1646" s="24">
        <f t="shared" si="234"/>
        <v>650</v>
      </c>
      <c r="I1646" s="12">
        <f t="shared" si="237"/>
        <v>9.3399589025195948E-2</v>
      </c>
      <c r="J1646" s="3">
        <f t="shared" si="238"/>
        <v>0.7</v>
      </c>
    </row>
    <row r="1647" spans="2:10" x14ac:dyDescent="0.25">
      <c r="B1647" s="3">
        <f t="shared" si="239"/>
        <v>8150</v>
      </c>
      <c r="C1647" s="14">
        <f t="shared" si="240"/>
        <v>135.83333333333334</v>
      </c>
      <c r="D1647" s="11">
        <f t="shared" si="241"/>
        <v>1067.5910575785331</v>
      </c>
      <c r="E1647" s="24">
        <f t="shared" si="233"/>
        <v>1065.7238757611283</v>
      </c>
      <c r="F1647" s="24">
        <f t="shared" si="235"/>
        <v>46.679545435119962</v>
      </c>
      <c r="G1647" s="14">
        <f t="shared" si="236"/>
        <v>712.70403522033439</v>
      </c>
      <c r="H1647" s="24">
        <f t="shared" si="234"/>
        <v>650</v>
      </c>
      <c r="I1647" s="12">
        <f t="shared" si="237"/>
        <v>9.3341053758131634E-2</v>
      </c>
      <c r="J1647" s="3">
        <f t="shared" si="238"/>
        <v>0.7</v>
      </c>
    </row>
    <row r="1648" spans="2:10" x14ac:dyDescent="0.25">
      <c r="B1648" s="3">
        <f t="shared" si="239"/>
        <v>8155</v>
      </c>
      <c r="C1648" s="14">
        <f t="shared" si="240"/>
        <v>135.91666666666666</v>
      </c>
      <c r="D1648" s="11">
        <f t="shared" si="241"/>
        <v>1067.6828661575432</v>
      </c>
      <c r="E1648" s="24">
        <f t="shared" si="233"/>
        <v>1065.8172168148865</v>
      </c>
      <c r="F1648" s="24">
        <f t="shared" si="235"/>
        <v>46.641233566418805</v>
      </c>
      <c r="G1648" s="14">
        <f t="shared" si="236"/>
        <v>712.26672803207316</v>
      </c>
      <c r="H1648" s="24">
        <f t="shared" si="234"/>
        <v>650</v>
      </c>
      <c r="I1648" s="12">
        <f t="shared" si="237"/>
        <v>9.3282592151777172E-2</v>
      </c>
      <c r="J1648" s="3">
        <f t="shared" si="238"/>
        <v>0.7</v>
      </c>
    </row>
    <row r="1649" spans="2:10" x14ac:dyDescent="0.25">
      <c r="B1649" s="3">
        <f t="shared" si="239"/>
        <v>8160</v>
      </c>
      <c r="C1649" s="14">
        <f t="shared" si="240"/>
        <v>136</v>
      </c>
      <c r="D1649" s="11">
        <f t="shared" si="241"/>
        <v>1067.7746185157423</v>
      </c>
      <c r="E1649" s="24">
        <f t="shared" si="233"/>
        <v>1065.9104994070383</v>
      </c>
      <c r="F1649" s="24">
        <f t="shared" si="235"/>
        <v>46.602977717600425</v>
      </c>
      <c r="G1649" s="14">
        <f t="shared" si="236"/>
        <v>711.82996296151805</v>
      </c>
      <c r="H1649" s="24">
        <f t="shared" si="234"/>
        <v>650</v>
      </c>
      <c r="I1649" s="12">
        <f t="shared" si="237"/>
        <v>9.3224204066623684E-2</v>
      </c>
      <c r="J1649" s="3">
        <f t="shared" si="238"/>
        <v>0.7</v>
      </c>
    </row>
    <row r="1650" spans="2:10" x14ac:dyDescent="0.25">
      <c r="B1650" s="3">
        <f t="shared" si="239"/>
        <v>8165</v>
      </c>
      <c r="C1650" s="14">
        <f t="shared" si="240"/>
        <v>136.08333333333334</v>
      </c>
      <c r="D1650" s="11">
        <f t="shared" si="241"/>
        <v>1067.8663147219436</v>
      </c>
      <c r="E1650" s="24">
        <f t="shared" si="233"/>
        <v>1066.003723611105</v>
      </c>
      <c r="F1650" s="24">
        <f t="shared" si="235"/>
        <v>46.564777770964838</v>
      </c>
      <c r="G1650" s="14">
        <f t="shared" si="236"/>
        <v>711.39373899389966</v>
      </c>
      <c r="H1650" s="24">
        <f t="shared" si="234"/>
        <v>650</v>
      </c>
      <c r="I1650" s="12">
        <f t="shared" si="237"/>
        <v>9.3165889363471546E-2</v>
      </c>
      <c r="J1650" s="3">
        <f t="shared" si="238"/>
        <v>0.7</v>
      </c>
    </row>
    <row r="1651" spans="2:10" x14ac:dyDescent="0.25">
      <c r="B1651" s="3">
        <f t="shared" si="239"/>
        <v>8170</v>
      </c>
      <c r="C1651" s="14">
        <f t="shared" si="240"/>
        <v>136.16666666666666</v>
      </c>
      <c r="D1651" s="11">
        <f t="shared" si="241"/>
        <v>1067.9579548448351</v>
      </c>
      <c r="E1651" s="24">
        <f t="shared" si="233"/>
        <v>1066.0968895004685</v>
      </c>
      <c r="F1651" s="24">
        <f t="shared" si="235"/>
        <v>46.526633609164492</v>
      </c>
      <c r="G1651" s="14">
        <f t="shared" si="236"/>
        <v>710.95805511766559</v>
      </c>
      <c r="H1651" s="24">
        <f t="shared" si="234"/>
        <v>650</v>
      </c>
      <c r="I1651" s="12">
        <f t="shared" si="237"/>
        <v>9.3107647903559937E-2</v>
      </c>
      <c r="J1651" s="3">
        <f t="shared" si="238"/>
        <v>0.7</v>
      </c>
    </row>
    <row r="1652" spans="2:10" x14ac:dyDescent="0.25">
      <c r="B1652" s="3">
        <f t="shared" si="239"/>
        <v>8175</v>
      </c>
      <c r="C1652" s="14">
        <f t="shared" si="240"/>
        <v>136.25</v>
      </c>
      <c r="D1652" s="11">
        <f t="shared" si="241"/>
        <v>1068.0495389529779</v>
      </c>
      <c r="E1652" s="24">
        <f t="shared" ref="E1652:E1715" si="242">E1651+I1651</f>
        <v>1066.189997148372</v>
      </c>
      <c r="F1652" s="24">
        <f t="shared" si="235"/>
        <v>46.488545115147417</v>
      </c>
      <c r="G1652" s="14">
        <f t="shared" si="236"/>
        <v>710.52291032327889</v>
      </c>
      <c r="H1652" s="24">
        <f t="shared" ref="H1652:H1715" si="243">IF(E1652&lt;600,425+0.773*E1652-1.69/1000*E1652^2+2.22/1000^2*E1652^3,IF(E1652&lt;735,666+13002/(738-E1652),IF(E1652&lt;900,545+17820/(E1652-731),650)))</f>
        <v>650</v>
      </c>
      <c r="I1652" s="12">
        <f t="shared" si="237"/>
        <v>9.3049479548412056E-2</v>
      </c>
      <c r="J1652" s="3">
        <f t="shared" si="238"/>
        <v>0.7</v>
      </c>
    </row>
    <row r="1653" spans="2:10" x14ac:dyDescent="0.25">
      <c r="B1653" s="3">
        <f t="shared" si="239"/>
        <v>8180</v>
      </c>
      <c r="C1653" s="14">
        <f t="shared" si="240"/>
        <v>136.33333333333334</v>
      </c>
      <c r="D1653" s="11">
        <f t="shared" si="241"/>
        <v>1068.141067114808</v>
      </c>
      <c r="E1653" s="24">
        <f t="shared" si="242"/>
        <v>1066.2830466279204</v>
      </c>
      <c r="F1653" s="24">
        <f t="shared" si="235"/>
        <v>46.450512172191338</v>
      </c>
      <c r="G1653" s="14">
        <f t="shared" si="236"/>
        <v>710.08830360389663</v>
      </c>
      <c r="H1653" s="24">
        <f t="shared" si="243"/>
        <v>650</v>
      </c>
      <c r="I1653" s="12">
        <f t="shared" si="237"/>
        <v>9.2991384159922794E-2</v>
      </c>
      <c r="J1653" s="3">
        <f t="shared" si="238"/>
        <v>0.7</v>
      </c>
    </row>
    <row r="1654" spans="2:10" x14ac:dyDescent="0.25">
      <c r="B1654" s="3">
        <f t="shared" si="239"/>
        <v>8185</v>
      </c>
      <c r="C1654" s="14">
        <f t="shared" si="240"/>
        <v>136.41666666666666</v>
      </c>
      <c r="D1654" s="11">
        <f t="shared" si="241"/>
        <v>1068.2325393986359</v>
      </c>
      <c r="E1654" s="24">
        <f t="shared" si="242"/>
        <v>1066.3760380120802</v>
      </c>
      <c r="F1654" s="24">
        <f t="shared" si="235"/>
        <v>46.412534663892302</v>
      </c>
      <c r="G1654" s="14">
        <f t="shared" si="236"/>
        <v>709.65423395521464</v>
      </c>
      <c r="H1654" s="24">
        <f t="shared" si="243"/>
        <v>650</v>
      </c>
      <c r="I1654" s="12">
        <f t="shared" si="237"/>
        <v>9.2933361600338202E-2</v>
      </c>
      <c r="J1654" s="3">
        <f t="shared" si="238"/>
        <v>0.7</v>
      </c>
    </row>
    <row r="1655" spans="2:10" x14ac:dyDescent="0.25">
      <c r="B1655" s="3">
        <f t="shared" si="239"/>
        <v>8190</v>
      </c>
      <c r="C1655" s="14">
        <f t="shared" si="240"/>
        <v>136.5</v>
      </c>
      <c r="D1655" s="11">
        <f t="shared" si="241"/>
        <v>1068.3239558726475</v>
      </c>
      <c r="E1655" s="24">
        <f t="shared" si="242"/>
        <v>1066.4689713736807</v>
      </c>
      <c r="F1655" s="24">
        <f t="shared" si="235"/>
        <v>46.374612474170362</v>
      </c>
      <c r="G1655" s="14">
        <f t="shared" si="236"/>
        <v>709.22070037542835</v>
      </c>
      <c r="H1655" s="24">
        <f t="shared" si="243"/>
        <v>650</v>
      </c>
      <c r="I1655" s="12">
        <f t="shared" si="237"/>
        <v>9.2875411732251431E-2</v>
      </c>
      <c r="J1655" s="3">
        <f t="shared" si="238"/>
        <v>0.7</v>
      </c>
    </row>
    <row r="1656" spans="2:10" x14ac:dyDescent="0.25">
      <c r="B1656" s="3">
        <f t="shared" si="239"/>
        <v>8195</v>
      </c>
      <c r="C1656" s="14">
        <f t="shared" si="240"/>
        <v>136.58333333333334</v>
      </c>
      <c r="D1656" s="11">
        <f t="shared" si="241"/>
        <v>1068.4153166049027</v>
      </c>
      <c r="E1656" s="24">
        <f t="shared" si="242"/>
        <v>1066.5618467854129</v>
      </c>
      <c r="F1656" s="24">
        <f t="shared" si="235"/>
        <v>46.336745487246844</v>
      </c>
      <c r="G1656" s="14">
        <f t="shared" si="236"/>
        <v>708.78770186511736</v>
      </c>
      <c r="H1656" s="24">
        <f t="shared" si="243"/>
        <v>650</v>
      </c>
      <c r="I1656" s="12">
        <f t="shared" si="237"/>
        <v>9.2817534418585673E-2</v>
      </c>
      <c r="J1656" s="3">
        <f t="shared" si="238"/>
        <v>0.7</v>
      </c>
    </row>
    <row r="1657" spans="2:10" x14ac:dyDescent="0.25">
      <c r="B1657" s="3">
        <f t="shared" si="239"/>
        <v>8200</v>
      </c>
      <c r="C1657" s="14">
        <f t="shared" si="240"/>
        <v>136.66666666666666</v>
      </c>
      <c r="D1657" s="11">
        <f t="shared" si="241"/>
        <v>1068.5066216633386</v>
      </c>
      <c r="E1657" s="24">
        <f t="shared" si="242"/>
        <v>1066.6546643198315</v>
      </c>
      <c r="F1657" s="24">
        <f t="shared" si="235"/>
        <v>46.298933587678448</v>
      </c>
      <c r="G1657" s="14">
        <f t="shared" si="236"/>
        <v>708.35523742759369</v>
      </c>
      <c r="H1657" s="24">
        <f t="shared" si="243"/>
        <v>650</v>
      </c>
      <c r="I1657" s="12">
        <f t="shared" si="237"/>
        <v>9.2759729522641263E-2</v>
      </c>
      <c r="J1657" s="3">
        <f t="shared" si="238"/>
        <v>0.7</v>
      </c>
    </row>
    <row r="1658" spans="2:10" x14ac:dyDescent="0.25">
      <c r="B1658" s="3">
        <f t="shared" si="239"/>
        <v>8205</v>
      </c>
      <c r="C1658" s="14">
        <f t="shared" si="240"/>
        <v>136.75</v>
      </c>
      <c r="D1658" s="11">
        <f t="shared" si="241"/>
        <v>1068.5978711157672</v>
      </c>
      <c r="E1658" s="24">
        <f t="shared" si="242"/>
        <v>1066.7474240493541</v>
      </c>
      <c r="F1658" s="24">
        <f t="shared" si="235"/>
        <v>46.261176660328829</v>
      </c>
      <c r="G1658" s="14">
        <f t="shared" si="236"/>
        <v>707.92330606853363</v>
      </c>
      <c r="H1658" s="24">
        <f t="shared" si="243"/>
        <v>650</v>
      </c>
      <c r="I1658" s="12">
        <f t="shared" si="237"/>
        <v>9.2701996908046813E-2</v>
      </c>
      <c r="J1658" s="3">
        <f t="shared" si="238"/>
        <v>0.7</v>
      </c>
    </row>
    <row r="1659" spans="2:10" x14ac:dyDescent="0.25">
      <c r="B1659" s="3">
        <f t="shared" si="239"/>
        <v>8210</v>
      </c>
      <c r="C1659" s="14">
        <f t="shared" si="240"/>
        <v>136.83333333333334</v>
      </c>
      <c r="D1659" s="11">
        <f t="shared" si="241"/>
        <v>1068.6890650298767</v>
      </c>
      <c r="E1659" s="24">
        <f t="shared" si="242"/>
        <v>1066.8401260462622</v>
      </c>
      <c r="F1659" s="24">
        <f t="shared" si="235"/>
        <v>46.223474590362912</v>
      </c>
      <c r="G1659" s="14">
        <f t="shared" si="236"/>
        <v>707.49190679591982</v>
      </c>
      <c r="H1659" s="24">
        <f t="shared" si="243"/>
        <v>650</v>
      </c>
      <c r="I1659" s="12">
        <f t="shared" si="237"/>
        <v>9.2644336438751501E-2</v>
      </c>
      <c r="J1659" s="3">
        <f t="shared" si="238"/>
        <v>0.7</v>
      </c>
    </row>
    <row r="1660" spans="2:10" x14ac:dyDescent="0.25">
      <c r="B1660" s="3">
        <f t="shared" si="239"/>
        <v>8215</v>
      </c>
      <c r="C1660" s="14">
        <f t="shared" si="240"/>
        <v>136.91666666666666</v>
      </c>
      <c r="D1660" s="11">
        <f t="shared" si="241"/>
        <v>1068.7802034732322</v>
      </c>
      <c r="E1660" s="24">
        <f t="shared" si="242"/>
        <v>1066.9327703827009</v>
      </c>
      <c r="F1660" s="24">
        <f t="shared" si="235"/>
        <v>46.185827263280999</v>
      </c>
      <c r="G1660" s="14">
        <f t="shared" si="236"/>
        <v>707.06103862064174</v>
      </c>
      <c r="H1660" s="24">
        <f t="shared" si="243"/>
        <v>650</v>
      </c>
      <c r="I1660" s="12">
        <f t="shared" si="237"/>
        <v>9.2586747979103018E-2</v>
      </c>
      <c r="J1660" s="3">
        <f t="shared" si="238"/>
        <v>0.7</v>
      </c>
    </row>
    <row r="1661" spans="2:10" x14ac:dyDescent="0.25">
      <c r="B1661" s="3">
        <f t="shared" si="239"/>
        <v>8220</v>
      </c>
      <c r="C1661" s="14">
        <f t="shared" si="240"/>
        <v>137</v>
      </c>
      <c r="D1661" s="11">
        <f t="shared" si="241"/>
        <v>1068.8712865132752</v>
      </c>
      <c r="E1661" s="24">
        <f t="shared" si="242"/>
        <v>1067.02535713068</v>
      </c>
      <c r="F1661" s="24">
        <f t="shared" si="235"/>
        <v>46.148234564878976</v>
      </c>
      <c r="G1661" s="14">
        <f t="shared" si="236"/>
        <v>706.63070055560456</v>
      </c>
      <c r="H1661" s="24">
        <f t="shared" si="243"/>
        <v>650</v>
      </c>
      <c r="I1661" s="12">
        <f t="shared" si="237"/>
        <v>9.2529231393733133E-2</v>
      </c>
      <c r="J1661" s="3">
        <f t="shared" si="238"/>
        <v>0.7</v>
      </c>
    </row>
    <row r="1662" spans="2:10" x14ac:dyDescent="0.25">
      <c r="B1662" s="3">
        <f t="shared" si="239"/>
        <v>8225</v>
      </c>
      <c r="C1662" s="14">
        <f t="shared" si="240"/>
        <v>137.08333333333334</v>
      </c>
      <c r="D1662" s="11">
        <f t="shared" si="241"/>
        <v>1068.9623142173245</v>
      </c>
      <c r="E1662" s="24">
        <f t="shared" si="242"/>
        <v>1067.1178863620737</v>
      </c>
      <c r="F1662" s="24">
        <f t="shared" si="235"/>
        <v>46.110696381271055</v>
      </c>
      <c r="G1662" s="14">
        <f t="shared" si="236"/>
        <v>706.20089161644569</v>
      </c>
      <c r="H1662" s="24">
        <f t="shared" si="243"/>
        <v>650</v>
      </c>
      <c r="I1662" s="12">
        <f t="shared" si="237"/>
        <v>9.247178654764858E-2</v>
      </c>
      <c r="J1662" s="3">
        <f t="shared" si="238"/>
        <v>0.7</v>
      </c>
    </row>
    <row r="1663" spans="2:10" x14ac:dyDescent="0.25">
      <c r="B1663" s="3">
        <f t="shared" si="239"/>
        <v>8230</v>
      </c>
      <c r="C1663" s="14">
        <f t="shared" si="240"/>
        <v>137.16666666666666</v>
      </c>
      <c r="D1663" s="11">
        <f t="shared" si="241"/>
        <v>1069.0532866525762</v>
      </c>
      <c r="E1663" s="24">
        <f t="shared" si="242"/>
        <v>1067.2103581486213</v>
      </c>
      <c r="F1663" s="24">
        <f t="shared" si="235"/>
        <v>46.073212598872715</v>
      </c>
      <c r="G1663" s="14">
        <f t="shared" si="236"/>
        <v>705.77161082107023</v>
      </c>
      <c r="H1663" s="24">
        <f t="shared" si="243"/>
        <v>650</v>
      </c>
      <c r="I1663" s="12">
        <f t="shared" si="237"/>
        <v>9.2414413306171894E-2</v>
      </c>
      <c r="J1663" s="3">
        <f t="shared" si="238"/>
        <v>0.7</v>
      </c>
    </row>
    <row r="1664" spans="2:10" x14ac:dyDescent="0.25">
      <c r="B1664" s="3">
        <f t="shared" si="239"/>
        <v>8235</v>
      </c>
      <c r="C1664" s="14">
        <f t="shared" si="240"/>
        <v>137.25</v>
      </c>
      <c r="D1664" s="11">
        <f t="shared" si="241"/>
        <v>1069.1442038861042</v>
      </c>
      <c r="E1664" s="24">
        <f t="shared" si="242"/>
        <v>1067.3027725619274</v>
      </c>
      <c r="F1664" s="24">
        <f t="shared" si="235"/>
        <v>46.03578310441776</v>
      </c>
      <c r="G1664" s="14">
        <f t="shared" si="236"/>
        <v>705.34285718998024</v>
      </c>
      <c r="H1664" s="24">
        <f t="shared" si="243"/>
        <v>650</v>
      </c>
      <c r="I1664" s="12">
        <f t="shared" si="237"/>
        <v>9.2357111534983924E-2</v>
      </c>
      <c r="J1664" s="3">
        <f t="shared" si="238"/>
        <v>0.7</v>
      </c>
    </row>
    <row r="1665" spans="2:10" x14ac:dyDescent="0.25">
      <c r="B1665" s="3">
        <f t="shared" si="239"/>
        <v>8240</v>
      </c>
      <c r="C1665" s="14">
        <f t="shared" si="240"/>
        <v>137.33333333333334</v>
      </c>
      <c r="D1665" s="11">
        <f t="shared" si="241"/>
        <v>1069.2350659848601</v>
      </c>
      <c r="E1665" s="24">
        <f t="shared" si="242"/>
        <v>1067.3951296734624</v>
      </c>
      <c r="F1665" s="24">
        <f t="shared" si="235"/>
        <v>45.998407784941264</v>
      </c>
      <c r="G1665" s="14">
        <f t="shared" si="236"/>
        <v>704.91462974606145</v>
      </c>
      <c r="H1665" s="24">
        <f t="shared" si="243"/>
        <v>650</v>
      </c>
      <c r="I1665" s="12">
        <f t="shared" si="237"/>
        <v>9.2299881100095529E-2</v>
      </c>
      <c r="J1665" s="3">
        <f t="shared" si="238"/>
        <v>0.7</v>
      </c>
    </row>
    <row r="1666" spans="2:10" x14ac:dyDescent="0.25">
      <c r="B1666" s="3">
        <f t="shared" si="239"/>
        <v>8245</v>
      </c>
      <c r="C1666" s="14">
        <f t="shared" si="240"/>
        <v>137.41666666666666</v>
      </c>
      <c r="D1666" s="11">
        <f t="shared" si="241"/>
        <v>1069.3258730156738</v>
      </c>
      <c r="E1666" s="24">
        <f t="shared" si="242"/>
        <v>1067.4874295545626</v>
      </c>
      <c r="F1666" s="24">
        <f t="shared" si="235"/>
        <v>45.961086527779571</v>
      </c>
      <c r="G1666" s="14">
        <f t="shared" si="236"/>
        <v>704.48692751448618</v>
      </c>
      <c r="H1666" s="24">
        <f t="shared" si="243"/>
        <v>650</v>
      </c>
      <c r="I1666" s="12">
        <f t="shared" si="237"/>
        <v>9.2242721867835692E-2</v>
      </c>
      <c r="J1666" s="3">
        <f t="shared" si="238"/>
        <v>0.7</v>
      </c>
    </row>
    <row r="1667" spans="2:10" x14ac:dyDescent="0.25">
      <c r="B1667" s="3">
        <f t="shared" si="239"/>
        <v>8250</v>
      </c>
      <c r="C1667" s="14">
        <f t="shared" si="240"/>
        <v>137.5</v>
      </c>
      <c r="D1667" s="11">
        <f t="shared" si="241"/>
        <v>1069.4166250452542</v>
      </c>
      <c r="E1667" s="24">
        <f t="shared" si="242"/>
        <v>1067.5796722764305</v>
      </c>
      <c r="F1667" s="24">
        <f t="shared" si="235"/>
        <v>45.923819220593032</v>
      </c>
      <c r="G1667" s="14">
        <f t="shared" si="236"/>
        <v>704.05974952308213</v>
      </c>
      <c r="H1667" s="24">
        <f t="shared" si="243"/>
        <v>650</v>
      </c>
      <c r="I1667" s="12">
        <f t="shared" si="237"/>
        <v>9.21856337048996E-2</v>
      </c>
      <c r="J1667" s="3">
        <f t="shared" si="238"/>
        <v>0.7</v>
      </c>
    </row>
    <row r="1668" spans="2:10" x14ac:dyDescent="0.25">
      <c r="B1668" s="3">
        <f t="shared" si="239"/>
        <v>8255</v>
      </c>
      <c r="C1668" s="14">
        <f t="shared" si="240"/>
        <v>137.58333333333334</v>
      </c>
      <c r="D1668" s="11">
        <f t="shared" si="241"/>
        <v>1069.5073221401888</v>
      </c>
      <c r="E1668" s="24">
        <f t="shared" si="242"/>
        <v>1067.6718579101355</v>
      </c>
      <c r="F1668" s="24">
        <f t="shared" si="235"/>
        <v>45.886605751331899</v>
      </c>
      <c r="G1668" s="14">
        <f t="shared" si="236"/>
        <v>703.6330948020219</v>
      </c>
      <c r="H1668" s="24">
        <f t="shared" si="243"/>
        <v>650</v>
      </c>
      <c r="I1668" s="12">
        <f t="shared" si="237"/>
        <v>9.212861647830628E-2</v>
      </c>
      <c r="J1668" s="3">
        <f t="shared" si="238"/>
        <v>0.7</v>
      </c>
    </row>
    <row r="1669" spans="2:10" x14ac:dyDescent="0.25">
      <c r="B1669" s="3">
        <f t="shared" si="239"/>
        <v>8260</v>
      </c>
      <c r="C1669" s="14">
        <f t="shared" si="240"/>
        <v>137.66666666666666</v>
      </c>
      <c r="D1669" s="11">
        <f t="shared" si="241"/>
        <v>1069.5979643669436</v>
      </c>
      <c r="E1669" s="24">
        <f t="shared" si="242"/>
        <v>1067.7639865266137</v>
      </c>
      <c r="F1669" s="24">
        <f t="shared" si="235"/>
        <v>45.849446008247696</v>
      </c>
      <c r="G1669" s="14">
        <f t="shared" si="236"/>
        <v>703.20696238370647</v>
      </c>
      <c r="H1669" s="24">
        <f t="shared" si="243"/>
        <v>650</v>
      </c>
      <c r="I1669" s="12">
        <f t="shared" si="237"/>
        <v>9.2071670055385746E-2</v>
      </c>
      <c r="J1669" s="3">
        <f t="shared" si="238"/>
        <v>0.7</v>
      </c>
    </row>
    <row r="1670" spans="2:10" x14ac:dyDescent="0.25">
      <c r="B1670" s="3">
        <f t="shared" si="239"/>
        <v>8265</v>
      </c>
      <c r="C1670" s="14">
        <f t="shared" si="240"/>
        <v>137.75</v>
      </c>
      <c r="D1670" s="11">
        <f t="shared" si="241"/>
        <v>1069.6885517918656</v>
      </c>
      <c r="E1670" s="24">
        <f t="shared" si="242"/>
        <v>1067.8560581966692</v>
      </c>
      <c r="F1670" s="24">
        <f t="shared" si="235"/>
        <v>45.812339879910269</v>
      </c>
      <c r="G1670" s="14">
        <f t="shared" si="236"/>
        <v>702.78135130328917</v>
      </c>
      <c r="H1670" s="24">
        <f t="shared" si="243"/>
        <v>650</v>
      </c>
      <c r="I1670" s="12">
        <f t="shared" si="237"/>
        <v>9.2014794303845376E-2</v>
      </c>
      <c r="J1670" s="3">
        <f t="shared" si="238"/>
        <v>0.7</v>
      </c>
    </row>
    <row r="1671" spans="2:10" x14ac:dyDescent="0.25">
      <c r="B1671" s="3">
        <f t="shared" si="239"/>
        <v>8270</v>
      </c>
      <c r="C1671" s="14">
        <f t="shared" si="240"/>
        <v>137.83333333333334</v>
      </c>
      <c r="D1671" s="11">
        <f t="shared" si="241"/>
        <v>1069.77908448118</v>
      </c>
      <c r="E1671" s="24">
        <f t="shared" si="242"/>
        <v>1067.9480729909731</v>
      </c>
      <c r="F1671" s="24">
        <f t="shared" si="235"/>
        <v>45.77528725517368</v>
      </c>
      <c r="G1671" s="14">
        <f t="shared" si="236"/>
        <v>702.35626059791923</v>
      </c>
      <c r="H1671" s="24">
        <f t="shared" si="243"/>
        <v>650</v>
      </c>
      <c r="I1671" s="12">
        <f t="shared" si="237"/>
        <v>9.1957989091672895E-2</v>
      </c>
      <c r="J1671" s="3">
        <f t="shared" si="238"/>
        <v>0.7</v>
      </c>
    </row>
    <row r="1672" spans="2:10" x14ac:dyDescent="0.25">
      <c r="B1672" s="3">
        <f t="shared" si="239"/>
        <v>8275</v>
      </c>
      <c r="C1672" s="14">
        <f t="shared" si="240"/>
        <v>137.91666666666666</v>
      </c>
      <c r="D1672" s="11">
        <f t="shared" si="241"/>
        <v>1069.8695625009925</v>
      </c>
      <c r="E1672" s="24">
        <f t="shared" si="242"/>
        <v>1068.0400309800648</v>
      </c>
      <c r="F1672" s="24">
        <f t="shared" si="235"/>
        <v>45.738288023193263</v>
      </c>
      <c r="G1672" s="14">
        <f t="shared" si="236"/>
        <v>701.9316893073235</v>
      </c>
      <c r="H1672" s="24">
        <f t="shared" si="243"/>
        <v>650</v>
      </c>
      <c r="I1672" s="12">
        <f t="shared" si="237"/>
        <v>9.1901254287209827E-2</v>
      </c>
      <c r="J1672" s="3">
        <f t="shared" si="238"/>
        <v>0.7</v>
      </c>
    </row>
    <row r="1673" spans="2:10" x14ac:dyDescent="0.25">
      <c r="B1673" s="3">
        <f t="shared" si="239"/>
        <v>8280</v>
      </c>
      <c r="C1673" s="14">
        <f t="shared" si="240"/>
        <v>138</v>
      </c>
      <c r="D1673" s="11">
        <f t="shared" si="241"/>
        <v>1069.9599859172895</v>
      </c>
      <c r="E1673" s="24">
        <f t="shared" si="242"/>
        <v>1068.131932234352</v>
      </c>
      <c r="F1673" s="24">
        <f t="shared" si="235"/>
        <v>45.70134207343699</v>
      </c>
      <c r="G1673" s="14">
        <f t="shared" si="236"/>
        <v>701.50763647353483</v>
      </c>
      <c r="H1673" s="24">
        <f t="shared" si="243"/>
        <v>650</v>
      </c>
      <c r="I1673" s="12">
        <f t="shared" si="237"/>
        <v>9.1844589759119605E-2</v>
      </c>
      <c r="J1673" s="3">
        <f t="shared" si="238"/>
        <v>0.7</v>
      </c>
    </row>
    <row r="1674" spans="2:10" x14ac:dyDescent="0.25">
      <c r="B1674" s="3">
        <f t="shared" si="239"/>
        <v>8285</v>
      </c>
      <c r="C1674" s="14">
        <f t="shared" si="240"/>
        <v>138.08333333333334</v>
      </c>
      <c r="D1674" s="11">
        <f t="shared" si="241"/>
        <v>1070.0503547959379</v>
      </c>
      <c r="E1674" s="24">
        <f t="shared" si="242"/>
        <v>1068.2237768241112</v>
      </c>
      <c r="F1674" s="24">
        <f t="shared" si="235"/>
        <v>45.664449295668419</v>
      </c>
      <c r="G1674" s="14">
        <f t="shared" si="236"/>
        <v>701.0841011411834</v>
      </c>
      <c r="H1674" s="24">
        <f t="shared" si="243"/>
        <v>650</v>
      </c>
      <c r="I1674" s="12">
        <f t="shared" si="237"/>
        <v>9.1787995376421253E-2</v>
      </c>
      <c r="J1674" s="3">
        <f t="shared" si="238"/>
        <v>0.7</v>
      </c>
    </row>
    <row r="1675" spans="2:10" x14ac:dyDescent="0.25">
      <c r="B1675" s="3">
        <f t="shared" si="239"/>
        <v>8290</v>
      </c>
      <c r="C1675" s="14">
        <f t="shared" si="240"/>
        <v>138.16666666666666</v>
      </c>
      <c r="D1675" s="11">
        <f t="shared" si="241"/>
        <v>1070.1406692026846</v>
      </c>
      <c r="E1675" s="24">
        <f t="shared" si="242"/>
        <v>1068.3155648194875</v>
      </c>
      <c r="F1675" s="24">
        <f t="shared" si="235"/>
        <v>45.62760957992964</v>
      </c>
      <c r="G1675" s="14">
        <f t="shared" si="236"/>
        <v>700.66108235687568</v>
      </c>
      <c r="H1675" s="24">
        <f t="shared" si="243"/>
        <v>650</v>
      </c>
      <c r="I1675" s="12">
        <f t="shared" si="237"/>
        <v>9.173147100841092E-2</v>
      </c>
      <c r="J1675" s="3">
        <f t="shared" si="238"/>
        <v>0.7</v>
      </c>
    </row>
    <row r="1676" spans="2:10" x14ac:dyDescent="0.25">
      <c r="B1676" s="3">
        <f t="shared" si="239"/>
        <v>8295</v>
      </c>
      <c r="C1676" s="14">
        <f t="shared" si="240"/>
        <v>138.25</v>
      </c>
      <c r="D1676" s="11">
        <f t="shared" si="241"/>
        <v>1070.2309292031593</v>
      </c>
      <c r="E1676" s="24">
        <f t="shared" si="242"/>
        <v>1068.4072962904959</v>
      </c>
      <c r="F1676" s="24">
        <f t="shared" si="235"/>
        <v>45.590822816586751</v>
      </c>
      <c r="G1676" s="14">
        <f t="shared" si="236"/>
        <v>700.23857916981524</v>
      </c>
      <c r="H1676" s="24">
        <f t="shared" si="243"/>
        <v>650</v>
      </c>
      <c r="I1676" s="12">
        <f t="shared" si="237"/>
        <v>9.167501652474383E-2</v>
      </c>
      <c r="J1676" s="3">
        <f t="shared" si="238"/>
        <v>0.7</v>
      </c>
    </row>
    <row r="1677" spans="2:10" x14ac:dyDescent="0.25">
      <c r="B1677" s="3">
        <f t="shared" si="239"/>
        <v>8300</v>
      </c>
      <c r="C1677" s="14">
        <f t="shared" si="240"/>
        <v>138.33333333333334</v>
      </c>
      <c r="D1677" s="11">
        <f t="shared" si="241"/>
        <v>1070.3211348628718</v>
      </c>
      <c r="E1677" s="24">
        <f t="shared" si="242"/>
        <v>1068.4989713070206</v>
      </c>
      <c r="F1677" s="24">
        <f t="shared" si="235"/>
        <v>45.554088896278699</v>
      </c>
      <c r="G1677" s="14">
        <f t="shared" si="236"/>
        <v>699.81659063155075</v>
      </c>
      <c r="H1677" s="24">
        <f t="shared" si="243"/>
        <v>650</v>
      </c>
      <c r="I1677" s="12">
        <f t="shared" si="237"/>
        <v>9.1618631795397004E-2</v>
      </c>
      <c r="J1677" s="3">
        <f t="shared" si="238"/>
        <v>0.7</v>
      </c>
    </row>
    <row r="1678" spans="2:10" x14ac:dyDescent="0.25">
      <c r="B1678" s="3">
        <f t="shared" si="239"/>
        <v>8305</v>
      </c>
      <c r="C1678" s="14">
        <f t="shared" si="240"/>
        <v>138.41666666666666</v>
      </c>
      <c r="D1678" s="11">
        <f t="shared" si="241"/>
        <v>1070.4112862472139</v>
      </c>
      <c r="E1678" s="24">
        <f t="shared" si="242"/>
        <v>1068.590589938816</v>
      </c>
      <c r="F1678" s="24">
        <f t="shared" si="235"/>
        <v>45.517407709945701</v>
      </c>
      <c r="G1678" s="14">
        <f t="shared" si="236"/>
        <v>699.39511579578175</v>
      </c>
      <c r="H1678" s="24">
        <f t="shared" si="243"/>
        <v>650</v>
      </c>
      <c r="I1678" s="12">
        <f t="shared" si="237"/>
        <v>9.1562316690648862E-2</v>
      </c>
      <c r="J1678" s="3">
        <f t="shared" si="238"/>
        <v>0.7</v>
      </c>
    </row>
    <row r="1679" spans="2:10" x14ac:dyDescent="0.25">
      <c r="B1679" s="3">
        <f t="shared" si="239"/>
        <v>8310</v>
      </c>
      <c r="C1679" s="14">
        <f t="shared" si="240"/>
        <v>138.5</v>
      </c>
      <c r="D1679" s="11">
        <f t="shared" si="241"/>
        <v>1070.5013834214601</v>
      </c>
      <c r="E1679" s="24">
        <f t="shared" si="242"/>
        <v>1068.6821522555067</v>
      </c>
      <c r="F1679" s="24">
        <f t="shared" si="235"/>
        <v>45.480779148834927</v>
      </c>
      <c r="G1679" s="14">
        <f t="shared" si="236"/>
        <v>698.97415371888258</v>
      </c>
      <c r="H1679" s="24">
        <f t="shared" si="243"/>
        <v>650</v>
      </c>
      <c r="I1679" s="12">
        <f t="shared" si="237"/>
        <v>9.1506071081144322E-2</v>
      </c>
      <c r="J1679" s="3">
        <f t="shared" si="238"/>
        <v>0.7</v>
      </c>
    </row>
    <row r="1680" spans="2:10" x14ac:dyDescent="0.25">
      <c r="B1680" s="3">
        <f t="shared" si="239"/>
        <v>8315</v>
      </c>
      <c r="C1680" s="14">
        <f t="shared" si="240"/>
        <v>138.58333333333334</v>
      </c>
      <c r="D1680" s="11">
        <f t="shared" si="241"/>
        <v>1070.5914264507667</v>
      </c>
      <c r="E1680" s="24">
        <f t="shared" si="242"/>
        <v>1068.7736583265878</v>
      </c>
      <c r="F1680" s="24">
        <f t="shared" si="235"/>
        <v>45.444203104472081</v>
      </c>
      <c r="G1680" s="14">
        <f t="shared" si="236"/>
        <v>698.55370345928134</v>
      </c>
      <c r="H1680" s="24">
        <f t="shared" si="243"/>
        <v>650</v>
      </c>
      <c r="I1680" s="12">
        <f t="shared" si="237"/>
        <v>9.1449894837815002E-2</v>
      </c>
      <c r="J1680" s="3">
        <f t="shared" si="238"/>
        <v>0.7</v>
      </c>
    </row>
    <row r="1681" spans="2:10" x14ac:dyDescent="0.25">
      <c r="B1681" s="3">
        <f t="shared" si="239"/>
        <v>8320</v>
      </c>
      <c r="C1681" s="14">
        <f t="shared" si="240"/>
        <v>138.66666666666666</v>
      </c>
      <c r="D1681" s="11">
        <f t="shared" si="241"/>
        <v>1070.6814154001722</v>
      </c>
      <c r="E1681" s="24">
        <f t="shared" si="242"/>
        <v>1068.8651082214255</v>
      </c>
      <c r="F1681" s="24">
        <f t="shared" ref="F1681:F1744" si="244">AlphaC*(D1681-E1681)</f>
        <v>45.407679468667084</v>
      </c>
      <c r="G1681" s="14">
        <f t="shared" ref="G1681:G1744" si="245">Phi*EpsilonF*Botzman/10^8*J1681*((D1681+273)^4-(E1681+273)^4)</f>
        <v>698.13376407761598</v>
      </c>
      <c r="H1681" s="24">
        <f t="shared" si="243"/>
        <v>650</v>
      </c>
      <c r="I1681" s="12">
        <f t="shared" ref="I1681:I1744" si="246">ksh*Massivete/(H1681*RhoA)*DeltaT*(F1681+G1681)</f>
        <v>9.1393787831899068E-2</v>
      </c>
      <c r="J1681" s="3">
        <f t="shared" ref="J1681:J1744" si="247">IF(E1681&lt;=500,IF(Galva=Oui,0.35,0.7),0.7)</f>
        <v>0.7</v>
      </c>
    </row>
    <row r="1682" spans="2:10" x14ac:dyDescent="0.25">
      <c r="B1682" s="3">
        <f t="shared" ref="B1682:B1745" si="248">B1681+DeltaT</f>
        <v>8325</v>
      </c>
      <c r="C1682" s="14">
        <f t="shared" ref="C1682:C1745" si="249">B1682/60</f>
        <v>138.75</v>
      </c>
      <c r="D1682" s="11">
        <f t="shared" ref="D1682:D1745" si="250">20+345*LOG(8*C1682+1,10)</f>
        <v>1070.7713503345992</v>
      </c>
      <c r="E1682" s="24">
        <f t="shared" si="242"/>
        <v>1068.9565020092575</v>
      </c>
      <c r="F1682" s="24">
        <f t="shared" si="244"/>
        <v>45.371208133542495</v>
      </c>
      <c r="G1682" s="14">
        <f t="shared" si="245"/>
        <v>697.71433463725668</v>
      </c>
      <c r="H1682" s="24">
        <f t="shared" si="243"/>
        <v>650</v>
      </c>
      <c r="I1682" s="12">
        <f t="shared" si="246"/>
        <v>9.1337749935008955E-2</v>
      </c>
      <c r="J1682" s="3">
        <f t="shared" si="247"/>
        <v>0.7</v>
      </c>
    </row>
    <row r="1683" spans="2:10" x14ac:dyDescent="0.25">
      <c r="B1683" s="3">
        <f t="shared" si="248"/>
        <v>8330</v>
      </c>
      <c r="C1683" s="14">
        <f t="shared" si="249"/>
        <v>138.83333333333334</v>
      </c>
      <c r="D1683" s="11">
        <f t="shared" si="250"/>
        <v>1070.8612313188523</v>
      </c>
      <c r="E1683" s="24">
        <f t="shared" si="242"/>
        <v>1069.0478397591926</v>
      </c>
      <c r="F1683" s="24">
        <f t="shared" si="244"/>
        <v>45.334788991493724</v>
      </c>
      <c r="G1683" s="14">
        <f t="shared" si="245"/>
        <v>697.29541420345356</v>
      </c>
      <c r="H1683" s="24">
        <f t="shared" si="243"/>
        <v>650</v>
      </c>
      <c r="I1683" s="12">
        <f t="shared" si="246"/>
        <v>9.1281781019021707E-2</v>
      </c>
      <c r="J1683" s="3">
        <f t="shared" si="247"/>
        <v>0.7</v>
      </c>
    </row>
    <row r="1684" spans="2:10" x14ac:dyDescent="0.25">
      <c r="B1684" s="3">
        <f t="shared" si="248"/>
        <v>8335</v>
      </c>
      <c r="C1684" s="14">
        <f t="shared" si="249"/>
        <v>138.91666666666666</v>
      </c>
      <c r="D1684" s="11">
        <f t="shared" si="250"/>
        <v>1070.9510584176198</v>
      </c>
      <c r="E1684" s="24">
        <f t="shared" si="242"/>
        <v>1069.1391215402116</v>
      </c>
      <c r="F1684" s="24">
        <f t="shared" si="244"/>
        <v>45.298421935206079</v>
      </c>
      <c r="G1684" s="14">
        <f t="shared" si="245"/>
        <v>696.87700184391792</v>
      </c>
      <c r="H1684" s="24">
        <f t="shared" si="243"/>
        <v>650</v>
      </c>
      <c r="I1684" s="12">
        <f t="shared" si="246"/>
        <v>9.1225880956152541E-2</v>
      </c>
      <c r="J1684" s="3">
        <f t="shared" si="247"/>
        <v>0.7</v>
      </c>
    </row>
    <row r="1685" spans="2:10" x14ac:dyDescent="0.25">
      <c r="B1685" s="3">
        <f t="shared" si="248"/>
        <v>8340</v>
      </c>
      <c r="C1685" s="14">
        <f t="shared" si="249"/>
        <v>139</v>
      </c>
      <c r="D1685" s="11">
        <f t="shared" si="250"/>
        <v>1071.0408316954743</v>
      </c>
      <c r="E1685" s="24">
        <f t="shared" si="242"/>
        <v>1069.2303474211678</v>
      </c>
      <c r="F1685" s="24">
        <f t="shared" si="244"/>
        <v>45.262106857660456</v>
      </c>
      <c r="G1685" s="14">
        <f t="shared" si="245"/>
        <v>696.45909662874487</v>
      </c>
      <c r="H1685" s="24">
        <f t="shared" si="243"/>
        <v>650</v>
      </c>
      <c r="I1685" s="12">
        <f t="shared" si="246"/>
        <v>9.1170049618945995E-2</v>
      </c>
      <c r="J1685" s="3">
        <f t="shared" si="247"/>
        <v>0.7</v>
      </c>
    </row>
    <row r="1686" spans="2:10" x14ac:dyDescent="0.25">
      <c r="B1686" s="3">
        <f t="shared" si="248"/>
        <v>8345</v>
      </c>
      <c r="C1686" s="14">
        <f t="shared" si="249"/>
        <v>139.08333333333334</v>
      </c>
      <c r="D1686" s="11">
        <f t="shared" si="250"/>
        <v>1071.1305512168717</v>
      </c>
      <c r="E1686" s="24">
        <f t="shared" si="242"/>
        <v>1069.3215174707868</v>
      </c>
      <c r="F1686" s="24">
        <f t="shared" si="244"/>
        <v>45.225843652121966</v>
      </c>
      <c r="G1686" s="14">
        <f t="shared" si="245"/>
        <v>696.04169763018069</v>
      </c>
      <c r="H1686" s="24">
        <f t="shared" si="243"/>
        <v>650</v>
      </c>
      <c r="I1686" s="12">
        <f t="shared" si="246"/>
        <v>9.1114286880245976E-2</v>
      </c>
      <c r="J1686" s="3">
        <f t="shared" si="247"/>
        <v>0.7</v>
      </c>
    </row>
    <row r="1687" spans="2:10" x14ac:dyDescent="0.25">
      <c r="B1687" s="3">
        <f t="shared" si="248"/>
        <v>8350</v>
      </c>
      <c r="C1687" s="14">
        <f t="shared" si="249"/>
        <v>139.16666666666666</v>
      </c>
      <c r="D1687" s="11">
        <f t="shared" si="250"/>
        <v>1071.2202170461526</v>
      </c>
      <c r="E1687" s="24">
        <f t="shared" si="242"/>
        <v>1069.412631757667</v>
      </c>
      <c r="F1687" s="24">
        <f t="shared" si="244"/>
        <v>45.189632212139941</v>
      </c>
      <c r="G1687" s="14">
        <f t="shared" si="245"/>
        <v>695.62480392285545</v>
      </c>
      <c r="H1687" s="24">
        <f t="shared" si="243"/>
        <v>650</v>
      </c>
      <c r="I1687" s="12">
        <f t="shared" si="246"/>
        <v>9.1058592613224312E-2</v>
      </c>
      <c r="J1687" s="3">
        <f t="shared" si="247"/>
        <v>0.7</v>
      </c>
    </row>
    <row r="1688" spans="2:10" x14ac:dyDescent="0.25">
      <c r="B1688" s="3">
        <f t="shared" si="248"/>
        <v>8355</v>
      </c>
      <c r="C1688" s="14">
        <f t="shared" si="249"/>
        <v>139.25</v>
      </c>
      <c r="D1688" s="11">
        <f t="shared" si="250"/>
        <v>1071.309829247542</v>
      </c>
      <c r="E1688" s="24">
        <f t="shared" si="242"/>
        <v>1069.5036903502803</v>
      </c>
      <c r="F1688" s="24">
        <f t="shared" si="244"/>
        <v>45.153472431542241</v>
      </c>
      <c r="G1688" s="14">
        <f t="shared" si="245"/>
        <v>695.20841458345319</v>
      </c>
      <c r="H1688" s="24">
        <f t="shared" si="243"/>
        <v>650</v>
      </c>
      <c r="I1688" s="12">
        <f t="shared" si="246"/>
        <v>9.1002966691339546E-2</v>
      </c>
      <c r="J1688" s="3">
        <f t="shared" si="247"/>
        <v>0.7</v>
      </c>
    </row>
    <row r="1689" spans="2:10" x14ac:dyDescent="0.25">
      <c r="B1689" s="3">
        <f t="shared" si="248"/>
        <v>8360</v>
      </c>
      <c r="C1689" s="14">
        <f t="shared" si="249"/>
        <v>139.33333333333334</v>
      </c>
      <c r="D1689" s="11">
        <f t="shared" si="250"/>
        <v>1071.3993878851495</v>
      </c>
      <c r="E1689" s="24">
        <f t="shared" si="242"/>
        <v>1069.5946933169716</v>
      </c>
      <c r="F1689" s="24">
        <f t="shared" si="244"/>
        <v>45.117364204446631</v>
      </c>
      <c r="G1689" s="14">
        <f t="shared" si="245"/>
        <v>694.79252869106131</v>
      </c>
      <c r="H1689" s="24">
        <f t="shared" si="243"/>
        <v>650</v>
      </c>
      <c r="I1689" s="12">
        <f t="shared" si="246"/>
        <v>9.0947408988381273E-2</v>
      </c>
      <c r="J1689" s="3">
        <f t="shared" si="247"/>
        <v>0.7</v>
      </c>
    </row>
    <row r="1690" spans="2:10" x14ac:dyDescent="0.25">
      <c r="B1690" s="3">
        <f t="shared" si="248"/>
        <v>8365</v>
      </c>
      <c r="C1690" s="14">
        <f t="shared" si="249"/>
        <v>139.41666666666666</v>
      </c>
      <c r="D1690" s="11">
        <f t="shared" si="250"/>
        <v>1071.4888930229704</v>
      </c>
      <c r="E1690" s="24">
        <f t="shared" si="242"/>
        <v>1069.68564072596</v>
      </c>
      <c r="F1690" s="24">
        <f t="shared" si="244"/>
        <v>45.081307425260775</v>
      </c>
      <c r="G1690" s="14">
        <f t="shared" si="245"/>
        <v>694.37714532713164</v>
      </c>
      <c r="H1690" s="24">
        <f t="shared" si="243"/>
        <v>650</v>
      </c>
      <c r="I1690" s="12">
        <f t="shared" si="246"/>
        <v>9.0891919378465358E-2</v>
      </c>
      <c r="J1690" s="3">
        <f t="shared" si="247"/>
        <v>0.7</v>
      </c>
    </row>
    <row r="1691" spans="2:10" x14ac:dyDescent="0.25">
      <c r="B1691" s="3">
        <f t="shared" si="248"/>
        <v>8370</v>
      </c>
      <c r="C1691" s="14">
        <f t="shared" si="249"/>
        <v>139.5</v>
      </c>
      <c r="D1691" s="11">
        <f t="shared" si="250"/>
        <v>1071.578344724885</v>
      </c>
      <c r="E1691" s="24">
        <f t="shared" si="242"/>
        <v>1069.7765326453384</v>
      </c>
      <c r="F1691" s="24">
        <f t="shared" si="244"/>
        <v>45.045301988665187</v>
      </c>
      <c r="G1691" s="14">
        <f t="shared" si="245"/>
        <v>693.96226357517003</v>
      </c>
      <c r="H1691" s="24">
        <f t="shared" si="243"/>
        <v>650</v>
      </c>
      <c r="I1691" s="12">
        <f t="shared" si="246"/>
        <v>9.0836497735993657E-2</v>
      </c>
      <c r="J1691" s="3">
        <f t="shared" si="247"/>
        <v>0.7</v>
      </c>
    </row>
    <row r="1692" spans="2:10" x14ac:dyDescent="0.25">
      <c r="B1692" s="3">
        <f t="shared" si="248"/>
        <v>8375</v>
      </c>
      <c r="C1692" s="14">
        <f t="shared" si="249"/>
        <v>139.58333333333334</v>
      </c>
      <c r="D1692" s="11">
        <f t="shared" si="250"/>
        <v>1071.6677430546592</v>
      </c>
      <c r="E1692" s="24">
        <f t="shared" si="242"/>
        <v>1069.8673691430745</v>
      </c>
      <c r="F1692" s="24">
        <f t="shared" si="244"/>
        <v>45.009347789618914</v>
      </c>
      <c r="G1692" s="14">
        <f t="shared" si="245"/>
        <v>693.54788252098865</v>
      </c>
      <c r="H1692" s="24">
        <f t="shared" si="243"/>
        <v>650</v>
      </c>
      <c r="I1692" s="12">
        <f t="shared" si="246"/>
        <v>9.0781143935685746E-2</v>
      </c>
      <c r="J1692" s="3">
        <f t="shared" si="247"/>
        <v>0.7</v>
      </c>
    </row>
    <row r="1693" spans="2:10" x14ac:dyDescent="0.25">
      <c r="B1693" s="3">
        <f t="shared" si="248"/>
        <v>8380</v>
      </c>
      <c r="C1693" s="14">
        <f t="shared" si="249"/>
        <v>139.66666666666666</v>
      </c>
      <c r="D1693" s="11">
        <f t="shared" si="250"/>
        <v>1071.7570880759451</v>
      </c>
      <c r="E1693" s="24">
        <f t="shared" si="242"/>
        <v>1069.9581502870101</v>
      </c>
      <c r="F1693" s="24">
        <f t="shared" si="244"/>
        <v>44.973444723376588</v>
      </c>
      <c r="G1693" s="14">
        <f t="shared" si="245"/>
        <v>693.13400125272528</v>
      </c>
      <c r="H1693" s="24">
        <f t="shared" si="243"/>
        <v>650</v>
      </c>
      <c r="I1693" s="12">
        <f t="shared" si="246"/>
        <v>9.0725857852583414E-2</v>
      </c>
      <c r="J1693" s="3">
        <f t="shared" si="247"/>
        <v>0.7</v>
      </c>
    </row>
    <row r="1694" spans="2:10" x14ac:dyDescent="0.25">
      <c r="B1694" s="3">
        <f t="shared" si="248"/>
        <v>8385</v>
      </c>
      <c r="C1694" s="14">
        <f t="shared" si="249"/>
        <v>139.75</v>
      </c>
      <c r="D1694" s="11">
        <f t="shared" si="250"/>
        <v>1071.8463798522805</v>
      </c>
      <c r="E1694" s="24">
        <f t="shared" si="242"/>
        <v>1070.0488761448626</v>
      </c>
      <c r="F1694" s="24">
        <f t="shared" si="244"/>
        <v>44.937592685448635</v>
      </c>
      <c r="G1694" s="14">
        <f t="shared" si="245"/>
        <v>692.72061886049437</v>
      </c>
      <c r="H1694" s="24">
        <f t="shared" si="243"/>
        <v>650</v>
      </c>
      <c r="I1694" s="12">
        <f t="shared" si="246"/>
        <v>9.0670639362002842E-2</v>
      </c>
      <c r="J1694" s="3">
        <f t="shared" si="247"/>
        <v>0.7</v>
      </c>
    </row>
    <row r="1695" spans="2:10" x14ac:dyDescent="0.25">
      <c r="B1695" s="3">
        <f t="shared" si="248"/>
        <v>8390</v>
      </c>
      <c r="C1695" s="14">
        <f t="shared" si="249"/>
        <v>139.83333333333334</v>
      </c>
      <c r="D1695" s="11">
        <f t="shared" si="250"/>
        <v>1071.9356184470905</v>
      </c>
      <c r="E1695" s="24">
        <f t="shared" si="242"/>
        <v>1070.1395467842246</v>
      </c>
      <c r="F1695" s="24">
        <f t="shared" si="244"/>
        <v>44.901791571646754</v>
      </c>
      <c r="G1695" s="14">
        <f t="shared" si="245"/>
        <v>692.30773443698808</v>
      </c>
      <c r="H1695" s="24">
        <f t="shared" si="243"/>
        <v>650</v>
      </c>
      <c r="I1695" s="12">
        <f t="shared" si="246"/>
        <v>9.0615488339614095E-2</v>
      </c>
      <c r="J1695" s="3">
        <f t="shared" si="247"/>
        <v>0.7</v>
      </c>
    </row>
    <row r="1696" spans="2:10" x14ac:dyDescent="0.25">
      <c r="B1696" s="3">
        <f t="shared" si="248"/>
        <v>8395</v>
      </c>
      <c r="C1696" s="14">
        <f t="shared" si="249"/>
        <v>139.91666666666666</v>
      </c>
      <c r="D1696" s="11">
        <f t="shared" si="250"/>
        <v>1072.024803923686</v>
      </c>
      <c r="E1696" s="24">
        <f t="shared" si="242"/>
        <v>1070.2301622725643</v>
      </c>
      <c r="F1696" s="24">
        <f t="shared" si="244"/>
        <v>44.866041278044122</v>
      </c>
      <c r="G1696" s="14">
        <f t="shared" si="245"/>
        <v>691.89534707673931</v>
      </c>
      <c r="H1696" s="24">
        <f t="shared" si="243"/>
        <v>650</v>
      </c>
      <c r="I1696" s="12">
        <f t="shared" si="246"/>
        <v>9.0560404661345628E-2</v>
      </c>
      <c r="J1696" s="3">
        <f t="shared" si="247"/>
        <v>0.7</v>
      </c>
    </row>
    <row r="1697" spans="2:10" x14ac:dyDescent="0.25">
      <c r="B1697" s="3">
        <f t="shared" si="248"/>
        <v>8400</v>
      </c>
      <c r="C1697" s="14">
        <f t="shared" si="249"/>
        <v>140</v>
      </c>
      <c r="D1697" s="11">
        <f t="shared" si="250"/>
        <v>1072.1139363452658</v>
      </c>
      <c r="E1697" s="24">
        <f t="shared" si="242"/>
        <v>1070.3207226772256</v>
      </c>
      <c r="F1697" s="24">
        <f t="shared" si="244"/>
        <v>44.830341701003817</v>
      </c>
      <c r="G1697" s="14">
        <f t="shared" si="245"/>
        <v>691.48345587682013</v>
      </c>
      <c r="H1697" s="24">
        <f t="shared" si="243"/>
        <v>650</v>
      </c>
      <c r="I1697" s="12">
        <f t="shared" si="246"/>
        <v>9.0505388203473619E-2</v>
      </c>
      <c r="J1697" s="3">
        <f t="shared" si="247"/>
        <v>0.7</v>
      </c>
    </row>
    <row r="1698" spans="2:10" x14ac:dyDescent="0.25">
      <c r="B1698" s="3">
        <f t="shared" si="248"/>
        <v>8405</v>
      </c>
      <c r="C1698" s="14">
        <f t="shared" si="249"/>
        <v>140.08333333333334</v>
      </c>
      <c r="D1698" s="11">
        <f t="shared" si="250"/>
        <v>1072.2030157749148</v>
      </c>
      <c r="E1698" s="24">
        <f t="shared" si="242"/>
        <v>1070.411228065429</v>
      </c>
      <c r="F1698" s="24">
        <f t="shared" si="244"/>
        <v>44.794692737144715</v>
      </c>
      <c r="G1698" s="14">
        <f t="shared" si="245"/>
        <v>691.07205993612411</v>
      </c>
      <c r="H1698" s="24">
        <f t="shared" si="243"/>
        <v>650</v>
      </c>
      <c r="I1698" s="12">
        <f t="shared" si="246"/>
        <v>9.0450438842529637E-2</v>
      </c>
      <c r="J1698" s="3">
        <f t="shared" si="247"/>
        <v>0.7</v>
      </c>
    </row>
    <row r="1699" spans="2:10" x14ac:dyDescent="0.25">
      <c r="B1699" s="3">
        <f t="shared" si="248"/>
        <v>8410</v>
      </c>
      <c r="C1699" s="14">
        <f t="shared" si="249"/>
        <v>140.16666666666666</v>
      </c>
      <c r="D1699" s="11">
        <f t="shared" si="250"/>
        <v>1072.2920422756069</v>
      </c>
      <c r="E1699" s="24">
        <f t="shared" si="242"/>
        <v>1070.5016785042715</v>
      </c>
      <c r="F1699" s="24">
        <f t="shared" si="244"/>
        <v>44.759094283386958</v>
      </c>
      <c r="G1699" s="14">
        <f t="shared" si="245"/>
        <v>690.66115835618041</v>
      </c>
      <c r="H1699" s="24">
        <f t="shared" si="243"/>
        <v>650</v>
      </c>
      <c r="I1699" s="12">
        <f t="shared" si="246"/>
        <v>9.0395556455406173E-2</v>
      </c>
      <c r="J1699" s="3">
        <f t="shared" si="247"/>
        <v>0.7</v>
      </c>
    </row>
    <row r="1700" spans="2:10" x14ac:dyDescent="0.25">
      <c r="B1700" s="3">
        <f t="shared" si="248"/>
        <v>8415</v>
      </c>
      <c r="C1700" s="14">
        <f t="shared" si="249"/>
        <v>140.25</v>
      </c>
      <c r="D1700" s="11">
        <f t="shared" si="250"/>
        <v>1072.3810159102029</v>
      </c>
      <c r="E1700" s="24">
        <f t="shared" si="242"/>
        <v>1070.5920740607269</v>
      </c>
      <c r="F1700" s="24">
        <f t="shared" si="244"/>
        <v>44.723546236900802</v>
      </c>
      <c r="G1700" s="14">
        <f t="shared" si="245"/>
        <v>690.25075024037881</v>
      </c>
      <c r="H1700" s="24">
        <f t="shared" si="243"/>
        <v>650</v>
      </c>
      <c r="I1700" s="12">
        <f t="shared" si="246"/>
        <v>9.0340740919255202E-2</v>
      </c>
      <c r="J1700" s="3">
        <f t="shared" si="247"/>
        <v>0.7</v>
      </c>
    </row>
    <row r="1701" spans="2:10" x14ac:dyDescent="0.25">
      <c r="B1701" s="3">
        <f t="shared" si="248"/>
        <v>8420</v>
      </c>
      <c r="C1701" s="14">
        <f t="shared" si="249"/>
        <v>140.33333333333334</v>
      </c>
      <c r="D1701" s="11">
        <f t="shared" si="250"/>
        <v>1072.4699367414516</v>
      </c>
      <c r="E1701" s="24">
        <f t="shared" si="242"/>
        <v>1070.682414801646</v>
      </c>
      <c r="F1701" s="24">
        <f t="shared" si="244"/>
        <v>44.68804849514072</v>
      </c>
      <c r="G1701" s="14">
        <f t="shared" si="245"/>
        <v>689.84083469431835</v>
      </c>
      <c r="H1701" s="24">
        <f t="shared" si="243"/>
        <v>650</v>
      </c>
      <c r="I1701" s="12">
        <f t="shared" si="246"/>
        <v>9.0285992111535179E-2</v>
      </c>
      <c r="J1701" s="3">
        <f t="shared" si="247"/>
        <v>0.7</v>
      </c>
    </row>
    <row r="1702" spans="2:10" x14ac:dyDescent="0.25">
      <c r="B1702" s="3">
        <f t="shared" si="248"/>
        <v>8425</v>
      </c>
      <c r="C1702" s="14">
        <f t="shared" si="249"/>
        <v>140.41666666666666</v>
      </c>
      <c r="D1702" s="11">
        <f t="shared" si="250"/>
        <v>1072.558804831991</v>
      </c>
      <c r="E1702" s="24">
        <f t="shared" si="242"/>
        <v>1070.7727007937576</v>
      </c>
      <c r="F1702" s="24">
        <f t="shared" si="244"/>
        <v>44.652600955834032</v>
      </c>
      <c r="G1702" s="14">
        <f t="shared" si="245"/>
        <v>689.43141082592365</v>
      </c>
      <c r="H1702" s="24">
        <f t="shared" si="243"/>
        <v>650</v>
      </c>
      <c r="I1702" s="12">
        <f t="shared" si="246"/>
        <v>9.0231309910023969E-2</v>
      </c>
      <c r="J1702" s="3">
        <f t="shared" si="247"/>
        <v>0.7</v>
      </c>
    </row>
    <row r="1703" spans="2:10" x14ac:dyDescent="0.25">
      <c r="B1703" s="3">
        <f t="shared" si="248"/>
        <v>8430</v>
      </c>
      <c r="C1703" s="14">
        <f t="shared" si="249"/>
        <v>140.5</v>
      </c>
      <c r="D1703" s="11">
        <f t="shared" si="250"/>
        <v>1072.6476202443464</v>
      </c>
      <c r="E1703" s="24">
        <f t="shared" si="242"/>
        <v>1070.8629321036676</v>
      </c>
      <c r="F1703" s="24">
        <f t="shared" si="244"/>
        <v>44.617203516969539</v>
      </c>
      <c r="G1703" s="14">
        <f t="shared" si="245"/>
        <v>689.02247774509601</v>
      </c>
      <c r="H1703" s="24">
        <f t="shared" si="243"/>
        <v>650</v>
      </c>
      <c r="I1703" s="12">
        <f t="shared" si="246"/>
        <v>9.0176694192774506E-2</v>
      </c>
      <c r="J1703" s="3">
        <f t="shared" si="247"/>
        <v>0.7</v>
      </c>
    </row>
    <row r="1704" spans="2:10" x14ac:dyDescent="0.25">
      <c r="B1704" s="3">
        <f t="shared" si="248"/>
        <v>8435</v>
      </c>
      <c r="C1704" s="14">
        <f t="shared" si="249"/>
        <v>140.58333333333334</v>
      </c>
      <c r="D1704" s="11">
        <f t="shared" si="250"/>
        <v>1072.7363830409333</v>
      </c>
      <c r="E1704" s="24">
        <f t="shared" si="242"/>
        <v>1070.9531087978603</v>
      </c>
      <c r="F1704" s="24">
        <f t="shared" si="244"/>
        <v>44.581856076825943</v>
      </c>
      <c r="G1704" s="14">
        <f t="shared" si="245"/>
        <v>688.61403456415928</v>
      </c>
      <c r="H1704" s="24">
        <f t="shared" si="243"/>
        <v>650</v>
      </c>
      <c r="I1704" s="12">
        <f t="shared" si="246"/>
        <v>9.0122144838173157E-2</v>
      </c>
      <c r="J1704" s="3">
        <f t="shared" si="247"/>
        <v>0.7</v>
      </c>
    </row>
    <row r="1705" spans="2:10" x14ac:dyDescent="0.25">
      <c r="B1705" s="3">
        <f t="shared" si="248"/>
        <v>8440</v>
      </c>
      <c r="C1705" s="14">
        <f t="shared" si="249"/>
        <v>140.66666666666666</v>
      </c>
      <c r="D1705" s="11">
        <f t="shared" si="250"/>
        <v>1072.8250932840556</v>
      </c>
      <c r="E1705" s="24">
        <f t="shared" si="242"/>
        <v>1071.0432309426985</v>
      </c>
      <c r="F1705" s="24">
        <f t="shared" si="244"/>
        <v>44.546558533926373</v>
      </c>
      <c r="G1705" s="14">
        <f t="shared" si="245"/>
        <v>688.20608039725914</v>
      </c>
      <c r="H1705" s="24">
        <f t="shared" si="243"/>
        <v>650</v>
      </c>
      <c r="I1705" s="12">
        <f t="shared" si="246"/>
        <v>9.0067661724860262E-2</v>
      </c>
      <c r="J1705" s="3">
        <f t="shared" si="247"/>
        <v>0.7</v>
      </c>
    </row>
    <row r="1706" spans="2:10" x14ac:dyDescent="0.25">
      <c r="B1706" s="3">
        <f t="shared" si="248"/>
        <v>8445</v>
      </c>
      <c r="C1706" s="14">
        <f t="shared" si="249"/>
        <v>140.75</v>
      </c>
      <c r="D1706" s="11">
        <f t="shared" si="250"/>
        <v>1072.9137510359067</v>
      </c>
      <c r="E1706" s="24">
        <f t="shared" si="242"/>
        <v>1071.1332986044233</v>
      </c>
      <c r="F1706" s="24">
        <f t="shared" si="244"/>
        <v>44.511310787083858</v>
      </c>
      <c r="G1706" s="14">
        <f t="shared" si="245"/>
        <v>687.79861436096337</v>
      </c>
      <c r="H1706" s="24">
        <f t="shared" si="243"/>
        <v>650</v>
      </c>
      <c r="I1706" s="12">
        <f t="shared" si="246"/>
        <v>9.0013244731809522E-2</v>
      </c>
      <c r="J1706" s="3">
        <f t="shared" si="247"/>
        <v>0.7</v>
      </c>
    </row>
    <row r="1707" spans="2:10" x14ac:dyDescent="0.25">
      <c r="B1707" s="3">
        <f t="shared" si="248"/>
        <v>8450</v>
      </c>
      <c r="C1707" s="14">
        <f t="shared" si="249"/>
        <v>140.83333333333334</v>
      </c>
      <c r="D1707" s="11">
        <f t="shared" si="250"/>
        <v>1073.0023563585696</v>
      </c>
      <c r="E1707" s="24">
        <f t="shared" si="242"/>
        <v>1071.2233118491552</v>
      </c>
      <c r="F1707" s="24">
        <f t="shared" si="244"/>
        <v>44.476112735361539</v>
      </c>
      <c r="G1707" s="14">
        <f t="shared" si="245"/>
        <v>687.391635573759</v>
      </c>
      <c r="H1707" s="24">
        <f t="shared" si="243"/>
        <v>650</v>
      </c>
      <c r="I1707" s="12">
        <f t="shared" si="246"/>
        <v>8.995889373826127E-2</v>
      </c>
      <c r="J1707" s="3">
        <f t="shared" si="247"/>
        <v>0.7</v>
      </c>
    </row>
    <row r="1708" spans="2:10" x14ac:dyDescent="0.25">
      <c r="B1708" s="3">
        <f t="shared" si="248"/>
        <v>8455</v>
      </c>
      <c r="C1708" s="14">
        <f t="shared" si="249"/>
        <v>140.91666666666666</v>
      </c>
      <c r="D1708" s="11">
        <f t="shared" si="250"/>
        <v>1073.0909093140176</v>
      </c>
      <c r="E1708" s="24">
        <f t="shared" si="242"/>
        <v>1071.3132707428933</v>
      </c>
      <c r="F1708" s="24">
        <f t="shared" si="244"/>
        <v>44.440964278106776</v>
      </c>
      <c r="G1708" s="14">
        <f t="shared" si="245"/>
        <v>686.98514315647731</v>
      </c>
      <c r="H1708" s="24">
        <f t="shared" si="243"/>
        <v>650</v>
      </c>
      <c r="I1708" s="12">
        <f t="shared" si="246"/>
        <v>8.9904608623778928E-2</v>
      </c>
      <c r="J1708" s="3">
        <f t="shared" si="247"/>
        <v>0.7</v>
      </c>
    </row>
    <row r="1709" spans="2:10" x14ac:dyDescent="0.25">
      <c r="B1709" s="3">
        <f t="shared" si="248"/>
        <v>8460</v>
      </c>
      <c r="C1709" s="14">
        <f t="shared" si="249"/>
        <v>141</v>
      </c>
      <c r="D1709" s="11">
        <f t="shared" si="250"/>
        <v>1073.1794099641138</v>
      </c>
      <c r="E1709" s="24">
        <f t="shared" si="242"/>
        <v>1071.4031753515171</v>
      </c>
      <c r="F1709" s="24">
        <f t="shared" si="244"/>
        <v>44.405865314917037</v>
      </c>
      <c r="G1709" s="14">
        <f t="shared" si="245"/>
        <v>686.57913623190746</v>
      </c>
      <c r="H1709" s="24">
        <f t="shared" si="243"/>
        <v>650</v>
      </c>
      <c r="I1709" s="12">
        <f t="shared" si="246"/>
        <v>8.9850389268197314E-2</v>
      </c>
      <c r="J1709" s="3">
        <f t="shared" si="247"/>
        <v>0.7</v>
      </c>
    </row>
    <row r="1710" spans="2:10" x14ac:dyDescent="0.25">
      <c r="B1710" s="3">
        <f t="shared" si="248"/>
        <v>8465</v>
      </c>
      <c r="C1710" s="14">
        <f t="shared" si="249"/>
        <v>141.08333333333334</v>
      </c>
      <c r="D1710" s="11">
        <f t="shared" si="250"/>
        <v>1073.2678583706117</v>
      </c>
      <c r="E1710" s="24">
        <f t="shared" si="242"/>
        <v>1071.4930257407852</v>
      </c>
      <c r="F1710" s="24">
        <f t="shared" si="244"/>
        <v>44.37081574566264</v>
      </c>
      <c r="G1710" s="14">
        <f t="shared" si="245"/>
        <v>686.17361392502823</v>
      </c>
      <c r="H1710" s="24">
        <f t="shared" si="243"/>
        <v>650</v>
      </c>
      <c r="I1710" s="12">
        <f t="shared" si="246"/>
        <v>8.9796235551653933E-2</v>
      </c>
      <c r="J1710" s="3">
        <f t="shared" si="247"/>
        <v>0.7</v>
      </c>
    </row>
    <row r="1711" spans="2:10" x14ac:dyDescent="0.25">
      <c r="B1711" s="3">
        <f t="shared" si="248"/>
        <v>8470</v>
      </c>
      <c r="C1711" s="14">
        <f t="shared" si="249"/>
        <v>141.16666666666666</v>
      </c>
      <c r="D1711" s="11">
        <f t="shared" si="250"/>
        <v>1073.3562545951561</v>
      </c>
      <c r="E1711" s="24">
        <f t="shared" si="242"/>
        <v>1071.5828219763368</v>
      </c>
      <c r="F1711" s="24">
        <f t="shared" si="244"/>
        <v>44.335815470481066</v>
      </c>
      <c r="G1711" s="14">
        <f t="shared" si="245"/>
        <v>685.76857536298928</v>
      </c>
      <c r="H1711" s="24">
        <f t="shared" si="243"/>
        <v>650</v>
      </c>
      <c r="I1711" s="12">
        <f t="shared" si="246"/>
        <v>8.9742147354585966E-2</v>
      </c>
      <c r="J1711" s="3">
        <f t="shared" si="247"/>
        <v>0.7</v>
      </c>
    </row>
    <row r="1712" spans="2:10" x14ac:dyDescent="0.25">
      <c r="B1712" s="3">
        <f t="shared" si="248"/>
        <v>8475</v>
      </c>
      <c r="C1712" s="14">
        <f t="shared" si="249"/>
        <v>141.25</v>
      </c>
      <c r="D1712" s="11">
        <f t="shared" si="250"/>
        <v>1073.4445986992821</v>
      </c>
      <c r="E1712" s="24">
        <f t="shared" si="242"/>
        <v>1071.6725641236915</v>
      </c>
      <c r="F1712" s="24">
        <f t="shared" si="244"/>
        <v>44.300864389765593</v>
      </c>
      <c r="G1712" s="14">
        <f t="shared" si="245"/>
        <v>685.3640196748778</v>
      </c>
      <c r="H1712" s="24">
        <f t="shared" si="243"/>
        <v>650</v>
      </c>
      <c r="I1712" s="12">
        <f t="shared" si="246"/>
        <v>8.96881245577002E-2</v>
      </c>
      <c r="J1712" s="3">
        <f t="shared" si="247"/>
        <v>0.7</v>
      </c>
    </row>
    <row r="1713" spans="2:10" x14ac:dyDescent="0.25">
      <c r="B1713" s="3">
        <f t="shared" si="248"/>
        <v>8480</v>
      </c>
      <c r="C1713" s="14">
        <f t="shared" si="249"/>
        <v>141.33333333333334</v>
      </c>
      <c r="D1713" s="11">
        <f t="shared" si="250"/>
        <v>1073.5328907444159</v>
      </c>
      <c r="E1713" s="24">
        <f t="shared" si="242"/>
        <v>1071.7622522482491</v>
      </c>
      <c r="F1713" s="24">
        <f t="shared" si="244"/>
        <v>44.265962404170978</v>
      </c>
      <c r="G1713" s="14">
        <f t="shared" si="245"/>
        <v>684.95994599201015</v>
      </c>
      <c r="H1713" s="24">
        <f t="shared" si="243"/>
        <v>650</v>
      </c>
      <c r="I1713" s="12">
        <f t="shared" si="246"/>
        <v>8.9634167042009535E-2</v>
      </c>
      <c r="J1713" s="3">
        <f t="shared" si="247"/>
        <v>0.7</v>
      </c>
    </row>
    <row r="1714" spans="2:10" x14ac:dyDescent="0.25">
      <c r="B1714" s="3">
        <f t="shared" si="248"/>
        <v>8485</v>
      </c>
      <c r="C1714" s="14">
        <f t="shared" si="249"/>
        <v>141.41666666666666</v>
      </c>
      <c r="D1714" s="11">
        <f t="shared" si="250"/>
        <v>1073.6211307918761</v>
      </c>
      <c r="E1714" s="24">
        <f t="shared" si="242"/>
        <v>1071.8518864152911</v>
      </c>
      <c r="F1714" s="24">
        <f t="shared" si="244"/>
        <v>44.231109414624825</v>
      </c>
      <c r="G1714" s="14">
        <f t="shared" si="245"/>
        <v>684.55635344779546</v>
      </c>
      <c r="H1714" s="24">
        <f t="shared" si="243"/>
        <v>650</v>
      </c>
      <c r="I1714" s="12">
        <f t="shared" si="246"/>
        <v>8.9580274688817671E-2</v>
      </c>
      <c r="J1714" s="3">
        <f t="shared" si="247"/>
        <v>0.7</v>
      </c>
    </row>
    <row r="1715" spans="2:10" x14ac:dyDescent="0.25">
      <c r="B1715" s="3">
        <f t="shared" si="248"/>
        <v>8490</v>
      </c>
      <c r="C1715" s="14">
        <f t="shared" si="249"/>
        <v>141.5</v>
      </c>
      <c r="D1715" s="11">
        <f t="shared" si="250"/>
        <v>1073.7093189028719</v>
      </c>
      <c r="E1715" s="24">
        <f t="shared" si="242"/>
        <v>1071.94146668998</v>
      </c>
      <c r="F1715" s="24">
        <f t="shared" si="244"/>
        <v>44.196305322299168</v>
      </c>
      <c r="G1715" s="14">
        <f t="shared" si="245"/>
        <v>684.15324117758075</v>
      </c>
      <c r="H1715" s="24">
        <f t="shared" si="243"/>
        <v>650</v>
      </c>
      <c r="I1715" s="12">
        <f t="shared" si="246"/>
        <v>8.9526447379696561E-2</v>
      </c>
      <c r="J1715" s="3">
        <f t="shared" si="247"/>
        <v>0.7</v>
      </c>
    </row>
    <row r="1716" spans="2:10" x14ac:dyDescent="0.25">
      <c r="B1716" s="3">
        <f t="shared" si="248"/>
        <v>8495</v>
      </c>
      <c r="C1716" s="14">
        <f t="shared" si="249"/>
        <v>141.58333333333334</v>
      </c>
      <c r="D1716" s="11">
        <f t="shared" si="250"/>
        <v>1073.7974551385055</v>
      </c>
      <c r="E1716" s="24">
        <f t="shared" ref="E1716:E1779" si="251">E1715+I1715</f>
        <v>1072.0309931373597</v>
      </c>
      <c r="F1716" s="24">
        <f t="shared" si="244"/>
        <v>44.161550028644569</v>
      </c>
      <c r="G1716" s="14">
        <f t="shared" si="245"/>
        <v>683.75060831911628</v>
      </c>
      <c r="H1716" s="24">
        <f t="shared" ref="H1716:H1779" si="252">IF(E1716&lt;600,425+0.773*E1716-1.69/1000*E1716^2+2.22/1000^2*E1716^3,IF(E1716&lt;735,666+13002/(738-E1716),IF(E1716&lt;900,545+17820/(E1716-731),650)))</f>
        <v>650</v>
      </c>
      <c r="I1716" s="12">
        <f t="shared" si="246"/>
        <v>8.9472684996547744E-2</v>
      </c>
      <c r="J1716" s="3">
        <f t="shared" si="247"/>
        <v>0.7</v>
      </c>
    </row>
    <row r="1717" spans="2:10" x14ac:dyDescent="0.25">
      <c r="B1717" s="3">
        <f t="shared" si="248"/>
        <v>8500</v>
      </c>
      <c r="C1717" s="14">
        <f t="shared" si="249"/>
        <v>141.66666666666666</v>
      </c>
      <c r="D1717" s="11">
        <f t="shared" si="250"/>
        <v>1073.8855395597707</v>
      </c>
      <c r="E1717" s="24">
        <f t="shared" si="251"/>
        <v>1072.1204658223562</v>
      </c>
      <c r="F1717" s="24">
        <f t="shared" si="244"/>
        <v>44.126843435361707</v>
      </c>
      <c r="G1717" s="14">
        <f t="shared" si="245"/>
        <v>683.34845401201289</v>
      </c>
      <c r="H1717" s="24">
        <f t="shared" si="252"/>
        <v>650</v>
      </c>
      <c r="I1717" s="12">
        <f t="shared" si="246"/>
        <v>8.9418987421532245E-2</v>
      </c>
      <c r="J1717" s="3">
        <f t="shared" si="247"/>
        <v>0.7</v>
      </c>
    </row>
    <row r="1718" spans="2:10" x14ac:dyDescent="0.25">
      <c r="B1718" s="3">
        <f t="shared" si="248"/>
        <v>8505</v>
      </c>
      <c r="C1718" s="14">
        <f t="shared" si="249"/>
        <v>141.75</v>
      </c>
      <c r="D1718" s="11">
        <f t="shared" si="250"/>
        <v>1073.9735722275536</v>
      </c>
      <c r="E1718" s="24">
        <f t="shared" si="251"/>
        <v>1072.2098848097778</v>
      </c>
      <c r="F1718" s="24">
        <f t="shared" si="244"/>
        <v>44.092185444395682</v>
      </c>
      <c r="G1718" s="14">
        <f t="shared" si="245"/>
        <v>682.94677739770293</v>
      </c>
      <c r="H1718" s="24">
        <f t="shared" si="252"/>
        <v>650</v>
      </c>
      <c r="I1718" s="12">
        <f t="shared" si="246"/>
        <v>8.9365354537065025E-2</v>
      </c>
      <c r="J1718" s="3">
        <f t="shared" si="247"/>
        <v>0.7</v>
      </c>
    </row>
    <row r="1719" spans="2:10" x14ac:dyDescent="0.25">
      <c r="B1719" s="3">
        <f t="shared" si="248"/>
        <v>8510</v>
      </c>
      <c r="C1719" s="14">
        <f t="shared" si="249"/>
        <v>141.83333333333334</v>
      </c>
      <c r="D1719" s="11">
        <f t="shared" si="250"/>
        <v>1074.0615532026341</v>
      </c>
      <c r="E1719" s="24">
        <f t="shared" si="251"/>
        <v>1072.2992501643148</v>
      </c>
      <c r="F1719" s="24">
        <f t="shared" si="244"/>
        <v>44.057575957981499</v>
      </c>
      <c r="G1719" s="14">
        <f t="shared" si="245"/>
        <v>682.54557762029333</v>
      </c>
      <c r="H1719" s="24">
        <f t="shared" si="252"/>
        <v>650</v>
      </c>
      <c r="I1719" s="12">
        <f t="shared" si="246"/>
        <v>8.9311786225925408E-2</v>
      </c>
      <c r="J1719" s="3">
        <f t="shared" si="247"/>
        <v>0.7</v>
      </c>
    </row>
    <row r="1720" spans="2:10" x14ac:dyDescent="0.25">
      <c r="B1720" s="3">
        <f t="shared" si="248"/>
        <v>8515</v>
      </c>
      <c r="C1720" s="14">
        <f t="shared" si="249"/>
        <v>141.91666666666666</v>
      </c>
      <c r="D1720" s="11">
        <f t="shared" si="250"/>
        <v>1074.1494825456837</v>
      </c>
      <c r="E1720" s="24">
        <f t="shared" si="251"/>
        <v>1072.3885619505406</v>
      </c>
      <c r="F1720" s="24">
        <f t="shared" si="244"/>
        <v>44.02301487857585</v>
      </c>
      <c r="G1720" s="14">
        <f t="shared" si="245"/>
        <v>682.1448538253444</v>
      </c>
      <c r="H1720" s="24">
        <f t="shared" si="252"/>
        <v>650</v>
      </c>
      <c r="I1720" s="12">
        <f t="shared" si="246"/>
        <v>8.9258282371098632E-2</v>
      </c>
      <c r="J1720" s="3">
        <f t="shared" si="247"/>
        <v>0.7</v>
      </c>
    </row>
    <row r="1721" spans="2:10" x14ac:dyDescent="0.25">
      <c r="B1721" s="3">
        <f t="shared" si="248"/>
        <v>8520</v>
      </c>
      <c r="C1721" s="14">
        <f t="shared" si="249"/>
        <v>142</v>
      </c>
      <c r="D1721" s="11">
        <f t="shared" si="250"/>
        <v>1074.2373603172684</v>
      </c>
      <c r="E1721" s="24">
        <f t="shared" si="251"/>
        <v>1072.4778202329117</v>
      </c>
      <c r="F1721" s="24">
        <f t="shared" si="244"/>
        <v>43.988502108919647</v>
      </c>
      <c r="G1721" s="14">
        <f t="shared" si="245"/>
        <v>681.74460516093586</v>
      </c>
      <c r="H1721" s="24">
        <f t="shared" si="252"/>
        <v>650</v>
      </c>
      <c r="I1721" s="12">
        <f t="shared" si="246"/>
        <v>8.9204842855914526E-2</v>
      </c>
      <c r="J1721" s="3">
        <f t="shared" si="247"/>
        <v>0.7</v>
      </c>
    </row>
    <row r="1722" spans="2:10" x14ac:dyDescent="0.25">
      <c r="B1722" s="3">
        <f t="shared" si="248"/>
        <v>8525</v>
      </c>
      <c r="C1722" s="14">
        <f t="shared" si="249"/>
        <v>142.08333333333334</v>
      </c>
      <c r="D1722" s="11">
        <f t="shared" si="250"/>
        <v>1074.3251865778468</v>
      </c>
      <c r="E1722" s="24">
        <f t="shared" si="251"/>
        <v>1072.5670250757676</v>
      </c>
      <c r="F1722" s="24">
        <f t="shared" si="244"/>
        <v>43.954037551981173</v>
      </c>
      <c r="G1722" s="14">
        <f t="shared" si="245"/>
        <v>681.34483077677532</v>
      </c>
      <c r="H1722" s="24">
        <f t="shared" si="252"/>
        <v>650</v>
      </c>
      <c r="I1722" s="12">
        <f t="shared" si="246"/>
        <v>8.9151467563930969E-2</v>
      </c>
      <c r="J1722" s="3">
        <f t="shared" si="247"/>
        <v>0.7</v>
      </c>
    </row>
    <row r="1723" spans="2:10" x14ac:dyDescent="0.25">
      <c r="B1723" s="3">
        <f t="shared" si="248"/>
        <v>8530</v>
      </c>
      <c r="C1723" s="14">
        <f t="shared" si="249"/>
        <v>142.16666666666666</v>
      </c>
      <c r="D1723" s="11">
        <f t="shared" si="250"/>
        <v>1074.4129613877715</v>
      </c>
      <c r="E1723" s="24">
        <f t="shared" si="251"/>
        <v>1072.6561765433314</v>
      </c>
      <c r="F1723" s="24">
        <f t="shared" si="244"/>
        <v>43.919621111001561</v>
      </c>
      <c r="G1723" s="14">
        <f t="shared" si="245"/>
        <v>680.94552982477978</v>
      </c>
      <c r="H1723" s="24">
        <f t="shared" si="252"/>
        <v>650</v>
      </c>
      <c r="I1723" s="12">
        <f t="shared" si="246"/>
        <v>8.9098156379010973E-2</v>
      </c>
      <c r="J1723" s="3">
        <f t="shared" si="247"/>
        <v>0.7</v>
      </c>
    </row>
    <row r="1724" spans="2:10" x14ac:dyDescent="0.25">
      <c r="B1724" s="3">
        <f t="shared" si="248"/>
        <v>8535</v>
      </c>
      <c r="C1724" s="14">
        <f t="shared" si="249"/>
        <v>142.25</v>
      </c>
      <c r="D1724" s="11">
        <f t="shared" si="250"/>
        <v>1074.5006848072896</v>
      </c>
      <c r="E1724" s="24">
        <f t="shared" si="251"/>
        <v>1072.7452746997105</v>
      </c>
      <c r="F1724" s="24">
        <f t="shared" si="244"/>
        <v>43.885252689477738</v>
      </c>
      <c r="G1724" s="14">
        <f t="shared" si="245"/>
        <v>680.54670145907539</v>
      </c>
      <c r="H1724" s="24">
        <f t="shared" si="252"/>
        <v>650</v>
      </c>
      <c r="I1724" s="12">
        <f t="shared" si="246"/>
        <v>8.9044909185320514E-2</v>
      </c>
      <c r="J1724" s="3">
        <f t="shared" si="247"/>
        <v>0.7</v>
      </c>
    </row>
    <row r="1725" spans="2:10" x14ac:dyDescent="0.25">
      <c r="B1725" s="3">
        <f t="shared" si="248"/>
        <v>8540</v>
      </c>
      <c r="C1725" s="14">
        <f t="shared" si="249"/>
        <v>142.33333333333334</v>
      </c>
      <c r="D1725" s="11">
        <f t="shared" si="250"/>
        <v>1074.5883568965414</v>
      </c>
      <c r="E1725" s="24">
        <f t="shared" si="251"/>
        <v>1072.8343196088958</v>
      </c>
      <c r="F1725" s="24">
        <f t="shared" si="244"/>
        <v>43.850932191139691</v>
      </c>
      <c r="G1725" s="14">
        <f t="shared" si="245"/>
        <v>680.14834483549407</v>
      </c>
      <c r="H1725" s="24">
        <f t="shared" si="252"/>
        <v>650</v>
      </c>
      <c r="I1725" s="12">
        <f t="shared" si="246"/>
        <v>8.8991725867263879E-2</v>
      </c>
      <c r="J1725" s="3">
        <f t="shared" si="247"/>
        <v>0.7</v>
      </c>
    </row>
    <row r="1726" spans="2:10" x14ac:dyDescent="0.25">
      <c r="B1726" s="3">
        <f t="shared" si="248"/>
        <v>8545</v>
      </c>
      <c r="C1726" s="14">
        <f t="shared" si="249"/>
        <v>142.41666666666666</v>
      </c>
      <c r="D1726" s="11">
        <f t="shared" si="250"/>
        <v>1074.675977715563</v>
      </c>
      <c r="E1726" s="24">
        <f t="shared" si="251"/>
        <v>1072.9233113347632</v>
      </c>
      <c r="F1726" s="24">
        <f t="shared" si="244"/>
        <v>43.816659519995937</v>
      </c>
      <c r="G1726" s="14">
        <f t="shared" si="245"/>
        <v>679.75045911230916</v>
      </c>
      <c r="H1726" s="24">
        <f t="shared" si="252"/>
        <v>650</v>
      </c>
      <c r="I1726" s="12">
        <f t="shared" si="246"/>
        <v>8.8938606309579671E-2</v>
      </c>
      <c r="J1726" s="3">
        <f t="shared" si="247"/>
        <v>0.7</v>
      </c>
    </row>
    <row r="1727" spans="2:10" x14ac:dyDescent="0.25">
      <c r="B1727" s="3">
        <f t="shared" si="248"/>
        <v>8550</v>
      </c>
      <c r="C1727" s="14">
        <f t="shared" si="249"/>
        <v>142.5</v>
      </c>
      <c r="D1727" s="11">
        <f t="shared" si="250"/>
        <v>1074.763547324284</v>
      </c>
      <c r="E1727" s="24">
        <f t="shared" si="251"/>
        <v>1073.0122499410727</v>
      </c>
      <c r="F1727" s="24">
        <f t="shared" si="244"/>
        <v>43.78243458028237</v>
      </c>
      <c r="G1727" s="14">
        <f t="shared" si="245"/>
        <v>679.35304344932524</v>
      </c>
      <c r="H1727" s="24">
        <f t="shared" si="252"/>
        <v>650</v>
      </c>
      <c r="I1727" s="12">
        <f t="shared" si="246"/>
        <v>8.8885550397222707E-2</v>
      </c>
      <c r="J1727" s="3">
        <f t="shared" si="247"/>
        <v>0.7</v>
      </c>
    </row>
    <row r="1728" spans="2:10" x14ac:dyDescent="0.25">
      <c r="B1728" s="3">
        <f t="shared" si="248"/>
        <v>8555</v>
      </c>
      <c r="C1728" s="14">
        <f t="shared" si="249"/>
        <v>142.58333333333334</v>
      </c>
      <c r="D1728" s="11">
        <f t="shared" si="250"/>
        <v>1074.8510657825295</v>
      </c>
      <c r="E1728" s="24">
        <f t="shared" si="251"/>
        <v>1073.1011354914699</v>
      </c>
      <c r="F1728" s="24">
        <f t="shared" si="244"/>
        <v>43.748257276490676</v>
      </c>
      <c r="G1728" s="14">
        <f t="shared" si="245"/>
        <v>678.95609700857563</v>
      </c>
      <c r="H1728" s="24">
        <f t="shared" si="252"/>
        <v>650</v>
      </c>
      <c r="I1728" s="12">
        <f t="shared" si="246"/>
        <v>8.8832558015453131E-2</v>
      </c>
      <c r="J1728" s="3">
        <f t="shared" si="247"/>
        <v>0.7</v>
      </c>
    </row>
    <row r="1729" spans="2:10" x14ac:dyDescent="0.25">
      <c r="B1729" s="3">
        <f t="shared" si="248"/>
        <v>8560</v>
      </c>
      <c r="C1729" s="14">
        <f t="shared" si="249"/>
        <v>142.66666666666666</v>
      </c>
      <c r="D1729" s="11">
        <f t="shared" si="250"/>
        <v>1074.9385331500205</v>
      </c>
      <c r="E1729" s="24">
        <f t="shared" si="251"/>
        <v>1073.1899680494853</v>
      </c>
      <c r="F1729" s="24">
        <f t="shared" si="244"/>
        <v>43.714127513379708</v>
      </c>
      <c r="G1729" s="14">
        <f t="shared" si="245"/>
        <v>678.55961895436099</v>
      </c>
      <c r="H1729" s="24">
        <f t="shared" si="252"/>
        <v>650</v>
      </c>
      <c r="I1729" s="12">
        <f t="shared" si="246"/>
        <v>8.877962904984267E-2</v>
      </c>
      <c r="J1729" s="3">
        <f t="shared" si="247"/>
        <v>0.7</v>
      </c>
    </row>
    <row r="1730" spans="2:10" x14ac:dyDescent="0.25">
      <c r="B1730" s="3">
        <f t="shared" si="248"/>
        <v>8565</v>
      </c>
      <c r="C1730" s="14">
        <f t="shared" si="249"/>
        <v>142.75</v>
      </c>
      <c r="D1730" s="11">
        <f t="shared" si="250"/>
        <v>1075.0259494863719</v>
      </c>
      <c r="E1730" s="24">
        <f t="shared" si="251"/>
        <v>1073.2787476785352</v>
      </c>
      <c r="F1730" s="24">
        <f t="shared" si="244"/>
        <v>43.680045195918638</v>
      </c>
      <c r="G1730" s="14">
        <f t="shared" si="245"/>
        <v>678.16360845231918</v>
      </c>
      <c r="H1730" s="24">
        <f t="shared" si="252"/>
        <v>650</v>
      </c>
      <c r="I1730" s="12">
        <f t="shared" si="246"/>
        <v>8.8726763386153248E-2</v>
      </c>
      <c r="J1730" s="3">
        <f t="shared" si="247"/>
        <v>0.7</v>
      </c>
    </row>
    <row r="1731" spans="2:10" x14ac:dyDescent="0.25">
      <c r="B1731" s="3">
        <f t="shared" si="248"/>
        <v>8570</v>
      </c>
      <c r="C1731" s="14">
        <f t="shared" si="249"/>
        <v>142.83333333333334</v>
      </c>
      <c r="D1731" s="11">
        <f t="shared" si="250"/>
        <v>1075.1133148510962</v>
      </c>
      <c r="E1731" s="24">
        <f t="shared" si="251"/>
        <v>1073.3674744419213</v>
      </c>
      <c r="F1731" s="24">
        <f t="shared" si="244"/>
        <v>43.646010229372223</v>
      </c>
      <c r="G1731" s="14">
        <f t="shared" si="245"/>
        <v>677.76806467085953</v>
      </c>
      <c r="H1731" s="24">
        <f t="shared" si="252"/>
        <v>650</v>
      </c>
      <c r="I1731" s="12">
        <f t="shared" si="246"/>
        <v>8.8673960910523764E-2</v>
      </c>
      <c r="J1731" s="3">
        <f t="shared" si="247"/>
        <v>0.7</v>
      </c>
    </row>
    <row r="1732" spans="2:10" x14ac:dyDescent="0.25">
      <c r="B1732" s="3">
        <f t="shared" si="248"/>
        <v>8575</v>
      </c>
      <c r="C1732" s="14">
        <f t="shared" si="249"/>
        <v>142.91666666666666</v>
      </c>
      <c r="D1732" s="11">
        <f t="shared" si="250"/>
        <v>1075.2006293036002</v>
      </c>
      <c r="E1732" s="24">
        <f t="shared" si="251"/>
        <v>1073.4561484028318</v>
      </c>
      <c r="F1732" s="24">
        <f t="shared" si="244"/>
        <v>43.612022519209859</v>
      </c>
      <c r="G1732" s="14">
        <f t="shared" si="245"/>
        <v>677.37298677976719</v>
      </c>
      <c r="H1732" s="24">
        <f t="shared" si="252"/>
        <v>650</v>
      </c>
      <c r="I1732" s="12">
        <f t="shared" si="246"/>
        <v>8.8621221509287432E-2</v>
      </c>
      <c r="J1732" s="3">
        <f t="shared" si="247"/>
        <v>0.7</v>
      </c>
    </row>
    <row r="1733" spans="2:10" x14ac:dyDescent="0.25">
      <c r="B1733" s="3">
        <f t="shared" si="248"/>
        <v>8580</v>
      </c>
      <c r="C1733" s="14">
        <f t="shared" si="249"/>
        <v>143</v>
      </c>
      <c r="D1733" s="11">
        <f t="shared" si="250"/>
        <v>1075.2878929031879</v>
      </c>
      <c r="E1733" s="24">
        <f t="shared" si="251"/>
        <v>1073.5447696243411</v>
      </c>
      <c r="F1733" s="24">
        <f t="shared" si="244"/>
        <v>43.578081971168103</v>
      </c>
      <c r="G1733" s="14">
        <f t="shared" si="245"/>
        <v>676.97837395103659</v>
      </c>
      <c r="H1733" s="24">
        <f t="shared" si="252"/>
        <v>650</v>
      </c>
      <c r="I1733" s="12">
        <f t="shared" si="246"/>
        <v>8.8568545069081794E-2</v>
      </c>
      <c r="J1733" s="3">
        <f t="shared" si="247"/>
        <v>0.7</v>
      </c>
    </row>
    <row r="1734" spans="2:10" x14ac:dyDescent="0.25">
      <c r="B1734" s="3">
        <f t="shared" si="248"/>
        <v>8585</v>
      </c>
      <c r="C1734" s="14">
        <f t="shared" si="249"/>
        <v>143.08333333333334</v>
      </c>
      <c r="D1734" s="11">
        <f t="shared" si="250"/>
        <v>1075.3751057090592</v>
      </c>
      <c r="E1734" s="24">
        <f t="shared" si="251"/>
        <v>1073.6333381694103</v>
      </c>
      <c r="F1734" s="24">
        <f t="shared" si="244"/>
        <v>43.544188491222258</v>
      </c>
      <c r="G1734" s="14">
        <f t="shared" si="245"/>
        <v>676.5842253586585</v>
      </c>
      <c r="H1734" s="24">
        <f t="shared" si="252"/>
        <v>650</v>
      </c>
      <c r="I1734" s="12">
        <f t="shared" si="246"/>
        <v>8.8515931476819174E-2</v>
      </c>
      <c r="J1734" s="3">
        <f t="shared" si="247"/>
        <v>0.7</v>
      </c>
    </row>
    <row r="1735" spans="2:10" x14ac:dyDescent="0.25">
      <c r="B1735" s="3">
        <f t="shared" si="248"/>
        <v>8590</v>
      </c>
      <c r="C1735" s="14">
        <f t="shared" si="249"/>
        <v>143.16666666666666</v>
      </c>
      <c r="D1735" s="11">
        <f t="shared" si="250"/>
        <v>1075.4622677803111</v>
      </c>
      <c r="E1735" s="24">
        <f t="shared" si="251"/>
        <v>1073.7218541008872</v>
      </c>
      <c r="F1735" s="24">
        <f t="shared" si="244"/>
        <v>43.510341985597734</v>
      </c>
      <c r="G1735" s="14">
        <f t="shared" si="245"/>
        <v>676.19054017848396</v>
      </c>
      <c r="H1735" s="24">
        <f t="shared" si="252"/>
        <v>650</v>
      </c>
      <c r="I1735" s="12">
        <f t="shared" si="246"/>
        <v>8.8463380619671295E-2</v>
      </c>
      <c r="J1735" s="3">
        <f t="shared" si="247"/>
        <v>0.7</v>
      </c>
    </row>
    <row r="1736" spans="2:10" x14ac:dyDescent="0.25">
      <c r="B1736" s="3">
        <f t="shared" si="248"/>
        <v>8595</v>
      </c>
      <c r="C1736" s="14">
        <f t="shared" si="249"/>
        <v>143.25</v>
      </c>
      <c r="D1736" s="11">
        <f t="shared" si="250"/>
        <v>1075.5493791759372</v>
      </c>
      <c r="E1736" s="24">
        <f t="shared" si="251"/>
        <v>1073.8103174815069</v>
      </c>
      <c r="F1736" s="24">
        <f t="shared" si="244"/>
        <v>43.476542360758685</v>
      </c>
      <c r="G1736" s="14">
        <f t="shared" si="245"/>
        <v>675.7973175884764</v>
      </c>
      <c r="H1736" s="24">
        <f t="shared" si="252"/>
        <v>650</v>
      </c>
      <c r="I1736" s="12">
        <f t="shared" si="246"/>
        <v>8.8410892385098833E-2</v>
      </c>
      <c r="J1736" s="3">
        <f t="shared" si="247"/>
        <v>0.7</v>
      </c>
    </row>
    <row r="1737" spans="2:10" x14ac:dyDescent="0.25">
      <c r="B1737" s="3">
        <f t="shared" si="248"/>
        <v>8600</v>
      </c>
      <c r="C1737" s="14">
        <f t="shared" si="249"/>
        <v>143.33333333333334</v>
      </c>
      <c r="D1737" s="11">
        <f t="shared" si="250"/>
        <v>1075.6364399548288</v>
      </c>
      <c r="E1737" s="24">
        <f t="shared" si="251"/>
        <v>1073.898728373892</v>
      </c>
      <c r="F1737" s="24">
        <f t="shared" si="244"/>
        <v>43.442789523419378</v>
      </c>
      <c r="G1737" s="14">
        <f t="shared" si="245"/>
        <v>675.40455676851809</v>
      </c>
      <c r="H1737" s="24">
        <f t="shared" si="252"/>
        <v>650</v>
      </c>
      <c r="I1737" s="12">
        <f t="shared" si="246"/>
        <v>8.8358466660829124E-2</v>
      </c>
      <c r="J1737" s="3">
        <f t="shared" si="247"/>
        <v>0.7</v>
      </c>
    </row>
    <row r="1738" spans="2:10" x14ac:dyDescent="0.25">
      <c r="B1738" s="3">
        <f t="shared" si="248"/>
        <v>8605</v>
      </c>
      <c r="C1738" s="14">
        <f t="shared" si="249"/>
        <v>143.41666666666666</v>
      </c>
      <c r="D1738" s="11">
        <f t="shared" si="250"/>
        <v>1075.7234501757737</v>
      </c>
      <c r="E1738" s="24">
        <f t="shared" si="251"/>
        <v>1073.9870868405528</v>
      </c>
      <c r="F1738" s="24">
        <f t="shared" si="244"/>
        <v>43.409083380521452</v>
      </c>
      <c r="G1738" s="14">
        <f t="shared" si="245"/>
        <v>675.0122569002159</v>
      </c>
      <c r="H1738" s="24">
        <f t="shared" si="252"/>
        <v>650</v>
      </c>
      <c r="I1738" s="12">
        <f t="shared" si="246"/>
        <v>8.8306103334829369E-2</v>
      </c>
      <c r="J1738" s="3">
        <f t="shared" si="247"/>
        <v>0.7</v>
      </c>
    </row>
    <row r="1739" spans="2:10" x14ac:dyDescent="0.25">
      <c r="B1739" s="3">
        <f t="shared" si="248"/>
        <v>8610</v>
      </c>
      <c r="C1739" s="14">
        <f t="shared" si="249"/>
        <v>143.5</v>
      </c>
      <c r="D1739" s="11">
        <f t="shared" si="250"/>
        <v>1075.8104098974584</v>
      </c>
      <c r="E1739" s="24">
        <f t="shared" si="251"/>
        <v>1074.0753929438877</v>
      </c>
      <c r="F1739" s="24">
        <f t="shared" si="244"/>
        <v>43.375423839268024</v>
      </c>
      <c r="G1739" s="14">
        <f t="shared" si="245"/>
        <v>674.62041716754106</v>
      </c>
      <c r="H1739" s="24">
        <f t="shared" si="252"/>
        <v>650</v>
      </c>
      <c r="I1739" s="12">
        <f t="shared" si="246"/>
        <v>8.8253802295389594E-2</v>
      </c>
      <c r="J1739" s="3">
        <f t="shared" si="247"/>
        <v>0.7</v>
      </c>
    </row>
    <row r="1740" spans="2:10" x14ac:dyDescent="0.25">
      <c r="B1740" s="3">
        <f t="shared" si="248"/>
        <v>8615</v>
      </c>
      <c r="C1740" s="14">
        <f t="shared" si="249"/>
        <v>143.58333333333334</v>
      </c>
      <c r="D1740" s="11">
        <f t="shared" si="250"/>
        <v>1075.8973191784662</v>
      </c>
      <c r="E1740" s="24">
        <f t="shared" si="251"/>
        <v>1074.1636467461831</v>
      </c>
      <c r="F1740" s="24">
        <f t="shared" si="244"/>
        <v>43.341810807078218</v>
      </c>
      <c r="G1740" s="14">
        <f t="shared" si="245"/>
        <v>674.2290367559184</v>
      </c>
      <c r="H1740" s="24">
        <f t="shared" si="252"/>
        <v>650</v>
      </c>
      <c r="I1740" s="12">
        <f t="shared" si="246"/>
        <v>8.8201563431004992E-2</v>
      </c>
      <c r="J1740" s="3">
        <f t="shared" si="247"/>
        <v>0.7</v>
      </c>
    </row>
    <row r="1741" spans="2:10" x14ac:dyDescent="0.25">
      <c r="B1741" s="3">
        <f t="shared" si="248"/>
        <v>8620</v>
      </c>
      <c r="C1741" s="14">
        <f t="shared" si="249"/>
        <v>143.66666666666666</v>
      </c>
      <c r="D1741" s="11">
        <f t="shared" si="250"/>
        <v>1075.9841780772792</v>
      </c>
      <c r="E1741" s="24">
        <f t="shared" si="251"/>
        <v>1074.2518483096142</v>
      </c>
      <c r="F1741" s="24">
        <f t="shared" si="244"/>
        <v>43.308244191626954</v>
      </c>
      <c r="G1741" s="14">
        <f t="shared" si="245"/>
        <v>673.83811485292381</v>
      </c>
      <c r="H1741" s="24">
        <f t="shared" si="252"/>
        <v>650</v>
      </c>
      <c r="I1741" s="12">
        <f t="shared" si="246"/>
        <v>8.8149386630466633E-2</v>
      </c>
      <c r="J1741" s="3">
        <f t="shared" si="247"/>
        <v>0.7</v>
      </c>
    </row>
    <row r="1742" spans="2:10" x14ac:dyDescent="0.25">
      <c r="B1742" s="3">
        <f t="shared" si="248"/>
        <v>8625</v>
      </c>
      <c r="C1742" s="14">
        <f t="shared" si="249"/>
        <v>143.75</v>
      </c>
      <c r="D1742" s="11">
        <f t="shared" si="250"/>
        <v>1076.0709866522782</v>
      </c>
      <c r="E1742" s="24">
        <f t="shared" si="251"/>
        <v>1074.3399976962446</v>
      </c>
      <c r="F1742" s="24">
        <f t="shared" si="244"/>
        <v>43.274723900839263</v>
      </c>
      <c r="G1742" s="14">
        <f t="shared" si="245"/>
        <v>673.44765064838134</v>
      </c>
      <c r="H1742" s="24">
        <f t="shared" si="252"/>
        <v>650</v>
      </c>
      <c r="I1742" s="12">
        <f t="shared" si="246"/>
        <v>8.8097271782872646E-2</v>
      </c>
      <c r="J1742" s="3">
        <f t="shared" si="247"/>
        <v>0.7</v>
      </c>
    </row>
    <row r="1743" spans="2:10" x14ac:dyDescent="0.25">
      <c r="B1743" s="3">
        <f t="shared" si="248"/>
        <v>8630</v>
      </c>
      <c r="C1743" s="14">
        <f t="shared" si="249"/>
        <v>143.83333333333334</v>
      </c>
      <c r="D1743" s="11">
        <f t="shared" si="250"/>
        <v>1076.1577449617414</v>
      </c>
      <c r="E1743" s="24">
        <f t="shared" si="251"/>
        <v>1074.4280949680274</v>
      </c>
      <c r="F1743" s="24">
        <f t="shared" si="244"/>
        <v>43.241249842850493</v>
      </c>
      <c r="G1743" s="14">
        <f t="shared" si="245"/>
        <v>673.05764333345212</v>
      </c>
      <c r="H1743" s="24">
        <f t="shared" si="252"/>
        <v>650</v>
      </c>
      <c r="I1743" s="12">
        <f t="shared" si="246"/>
        <v>8.8045218777511397E-2</v>
      </c>
      <c r="J1743" s="3">
        <f t="shared" si="247"/>
        <v>0.7</v>
      </c>
    </row>
    <row r="1744" spans="2:10" x14ac:dyDescent="0.25">
      <c r="B1744" s="3">
        <f t="shared" si="248"/>
        <v>8635</v>
      </c>
      <c r="C1744" s="14">
        <f t="shared" si="249"/>
        <v>143.91666666666666</v>
      </c>
      <c r="D1744" s="11">
        <f t="shared" si="250"/>
        <v>1076.2444530638468</v>
      </c>
      <c r="E1744" s="24">
        <f t="shared" si="251"/>
        <v>1074.5161401868049</v>
      </c>
      <c r="F1744" s="24">
        <f t="shared" si="244"/>
        <v>43.207821926046108</v>
      </c>
      <c r="G1744" s="14">
        <f t="shared" si="245"/>
        <v>672.66809210146789</v>
      </c>
      <c r="H1744" s="24">
        <f t="shared" si="252"/>
        <v>650</v>
      </c>
      <c r="I1744" s="12">
        <f t="shared" si="246"/>
        <v>8.7993227503968763E-2</v>
      </c>
      <c r="J1744" s="3">
        <f t="shared" si="247"/>
        <v>0.7</v>
      </c>
    </row>
    <row r="1745" spans="2:10" x14ac:dyDescent="0.25">
      <c r="B1745" s="3">
        <f t="shared" si="248"/>
        <v>8640</v>
      </c>
      <c r="C1745" s="14">
        <f t="shared" si="249"/>
        <v>144</v>
      </c>
      <c r="D1745" s="11">
        <f t="shared" si="250"/>
        <v>1076.331111016671</v>
      </c>
      <c r="E1745" s="24">
        <f t="shared" si="251"/>
        <v>1074.604133414309</v>
      </c>
      <c r="F1745" s="24">
        <f t="shared" ref="F1745:F1808" si="253">AlphaC*(D1745-E1745)</f>
        <v>43.174440059050312</v>
      </c>
      <c r="G1745" s="14">
        <f t="shared" ref="G1745:G1808" si="254">Phi*EpsilonF*Botzman/10^8*J1745*((D1745+273)^4-(E1745+273)^4)</f>
        <v>672.27899614769854</v>
      </c>
      <c r="H1745" s="24">
        <f t="shared" si="252"/>
        <v>650</v>
      </c>
      <c r="I1745" s="12">
        <f t="shared" ref="I1745:I1808" si="255">ksh*Massivete/(H1745*RhoA)*DeltaT*(F1745+G1745)</f>
        <v>8.7941297852098199E-2</v>
      </c>
      <c r="J1745" s="3">
        <f t="shared" ref="J1745:J1808" si="256">IF(E1745&lt;=500,IF(Galva=Oui,0.35,0.7),0.7)</f>
        <v>0.7</v>
      </c>
    </row>
    <row r="1746" spans="2:10" x14ac:dyDescent="0.25">
      <c r="B1746" s="3">
        <f t="shared" ref="B1746:B1809" si="257">B1745+DeltaT</f>
        <v>8645</v>
      </c>
      <c r="C1746" s="14">
        <f t="shared" ref="C1746:C1809" si="258">B1746/60</f>
        <v>144.08333333333334</v>
      </c>
      <c r="D1746" s="11">
        <f t="shared" ref="D1746:D1809" si="259">20+345*LOG(8*C1746+1,10)</f>
        <v>1076.4177188781903</v>
      </c>
      <c r="E1746" s="24">
        <f t="shared" si="251"/>
        <v>1074.692074712161</v>
      </c>
      <c r="F1746" s="24">
        <f t="shared" si="253"/>
        <v>43.141104150731735</v>
      </c>
      <c r="G1746" s="14">
        <f t="shared" si="254"/>
        <v>671.89035466942926</v>
      </c>
      <c r="H1746" s="24">
        <f t="shared" si="252"/>
        <v>650</v>
      </c>
      <c r="I1746" s="12">
        <f t="shared" si="255"/>
        <v>8.7889429712030939E-2</v>
      </c>
      <c r="J1746" s="3">
        <f t="shared" si="256"/>
        <v>0.7</v>
      </c>
    </row>
    <row r="1747" spans="2:10" x14ac:dyDescent="0.25">
      <c r="B1747" s="3">
        <f t="shared" si="257"/>
        <v>8650</v>
      </c>
      <c r="C1747" s="14">
        <f t="shared" si="258"/>
        <v>144.16666666666666</v>
      </c>
      <c r="D1747" s="11">
        <f t="shared" si="259"/>
        <v>1076.5042767062803</v>
      </c>
      <c r="E1747" s="24">
        <f t="shared" si="251"/>
        <v>1074.7799641418731</v>
      </c>
      <c r="F1747" s="24">
        <f t="shared" si="253"/>
        <v>43.107814110180698</v>
      </c>
      <c r="G1747" s="14">
        <f t="shared" si="254"/>
        <v>671.50216686567001</v>
      </c>
      <c r="H1747" s="24">
        <f t="shared" si="252"/>
        <v>650</v>
      </c>
      <c r="I1747" s="12">
        <f t="shared" si="255"/>
        <v>8.7837622974137455E-2</v>
      </c>
      <c r="J1747" s="3">
        <f t="shared" si="256"/>
        <v>0.7</v>
      </c>
    </row>
    <row r="1748" spans="2:10" x14ac:dyDescent="0.25">
      <c r="B1748" s="3">
        <f t="shared" si="257"/>
        <v>8655</v>
      </c>
      <c r="C1748" s="14">
        <f t="shared" si="258"/>
        <v>144.25</v>
      </c>
      <c r="D1748" s="11">
        <f t="shared" si="259"/>
        <v>1076.5907845587162</v>
      </c>
      <c r="E1748" s="24">
        <f t="shared" si="251"/>
        <v>1074.8678017648472</v>
      </c>
      <c r="F1748" s="24">
        <f t="shared" si="253"/>
        <v>43.074569846726263</v>
      </c>
      <c r="G1748" s="14">
        <f t="shared" si="254"/>
        <v>671.11443193731077</v>
      </c>
      <c r="H1748" s="24">
        <f t="shared" si="252"/>
        <v>650</v>
      </c>
      <c r="I1748" s="12">
        <f t="shared" si="255"/>
        <v>8.7785877529048678E-2</v>
      </c>
      <c r="J1748" s="3">
        <f t="shared" si="256"/>
        <v>0.7</v>
      </c>
    </row>
    <row r="1749" spans="2:10" x14ac:dyDescent="0.25">
      <c r="B1749" s="3">
        <f t="shared" si="257"/>
        <v>8660</v>
      </c>
      <c r="C1749" s="14">
        <f t="shared" si="258"/>
        <v>144.33333333333334</v>
      </c>
      <c r="D1749" s="11">
        <f t="shared" si="259"/>
        <v>1076.6772424931733</v>
      </c>
      <c r="E1749" s="24">
        <f t="shared" si="251"/>
        <v>1074.9555876423763</v>
      </c>
      <c r="F1749" s="24">
        <f t="shared" si="253"/>
        <v>43.041371269924866</v>
      </c>
      <c r="G1749" s="14">
        <f t="shared" si="254"/>
        <v>670.72714908716011</v>
      </c>
      <c r="H1749" s="24">
        <f t="shared" si="252"/>
        <v>650</v>
      </c>
      <c r="I1749" s="12">
        <f t="shared" si="255"/>
        <v>8.7734193267659258E-2</v>
      </c>
      <c r="J1749" s="3">
        <f t="shared" si="256"/>
        <v>0.7</v>
      </c>
    </row>
    <row r="1750" spans="2:10" x14ac:dyDescent="0.25">
      <c r="B1750" s="3">
        <f t="shared" si="257"/>
        <v>8665</v>
      </c>
      <c r="C1750" s="14">
        <f t="shared" si="258"/>
        <v>144.41666666666666</v>
      </c>
      <c r="D1750" s="11">
        <f t="shared" si="259"/>
        <v>1076.7636505672269</v>
      </c>
      <c r="E1750" s="24">
        <f t="shared" si="251"/>
        <v>1075.0433218356438</v>
      </c>
      <c r="F1750" s="24">
        <f t="shared" si="253"/>
        <v>43.008218289577371</v>
      </c>
      <c r="G1750" s="14">
        <f t="shared" si="254"/>
        <v>670.34031752000328</v>
      </c>
      <c r="H1750" s="24">
        <f t="shared" si="252"/>
        <v>650</v>
      </c>
      <c r="I1750" s="12">
        <f t="shared" si="255"/>
        <v>8.7682570081136904E-2</v>
      </c>
      <c r="J1750" s="3">
        <f t="shared" si="256"/>
        <v>0.7</v>
      </c>
    </row>
    <row r="1751" spans="2:10" x14ac:dyDescent="0.25">
      <c r="B1751" s="3">
        <f t="shared" si="257"/>
        <v>8670</v>
      </c>
      <c r="C1751" s="14">
        <f t="shared" si="258"/>
        <v>144.5</v>
      </c>
      <c r="D1751" s="11">
        <f t="shared" si="259"/>
        <v>1076.8500088383535</v>
      </c>
      <c r="E1751" s="24">
        <f t="shared" si="251"/>
        <v>1075.131004405725</v>
      </c>
      <c r="F1751" s="24">
        <f t="shared" si="253"/>
        <v>42.975110815712014</v>
      </c>
      <c r="G1751" s="14">
        <f t="shared" si="254"/>
        <v>669.95393644233104</v>
      </c>
      <c r="H1751" s="24">
        <f t="shared" si="252"/>
        <v>650</v>
      </c>
      <c r="I1751" s="12">
        <f t="shared" si="255"/>
        <v>8.76310078608869E-2</v>
      </c>
      <c r="J1751" s="3">
        <f t="shared" si="256"/>
        <v>0.7</v>
      </c>
    </row>
    <row r="1752" spans="2:10" x14ac:dyDescent="0.25">
      <c r="B1752" s="3">
        <f t="shared" si="257"/>
        <v>8675</v>
      </c>
      <c r="C1752" s="14">
        <f t="shared" si="258"/>
        <v>144.58333333333334</v>
      </c>
      <c r="D1752" s="11">
        <f t="shared" si="259"/>
        <v>1076.9363173639292</v>
      </c>
      <c r="E1752" s="24">
        <f t="shared" si="251"/>
        <v>1075.2186354135858</v>
      </c>
      <c r="F1752" s="24">
        <f t="shared" si="253"/>
        <v>42.942048758584406</v>
      </c>
      <c r="G1752" s="14">
        <f t="shared" si="254"/>
        <v>669.56800506263005</v>
      </c>
      <c r="H1752" s="24">
        <f t="shared" si="252"/>
        <v>650</v>
      </c>
      <c r="I1752" s="12">
        <f t="shared" si="255"/>
        <v>8.7579506498587811E-2</v>
      </c>
      <c r="J1752" s="3">
        <f t="shared" si="256"/>
        <v>0.7</v>
      </c>
    </row>
    <row r="1753" spans="2:10" x14ac:dyDescent="0.25">
      <c r="B1753" s="3">
        <f t="shared" si="257"/>
        <v>8680</v>
      </c>
      <c r="C1753" s="14">
        <f t="shared" si="258"/>
        <v>144.66666666666666</v>
      </c>
      <c r="D1753" s="11">
        <f t="shared" si="259"/>
        <v>1077.0225762012321</v>
      </c>
      <c r="E1753" s="24">
        <f t="shared" si="251"/>
        <v>1075.3062149200844</v>
      </c>
      <c r="F1753" s="24">
        <f t="shared" si="253"/>
        <v>42.909032028694583</v>
      </c>
      <c r="G1753" s="14">
        <f t="shared" si="254"/>
        <v>669.18252259136398</v>
      </c>
      <c r="H1753" s="24">
        <f t="shared" si="252"/>
        <v>650</v>
      </c>
      <c r="I1753" s="12">
        <f t="shared" si="255"/>
        <v>8.752806588619122E-2</v>
      </c>
      <c r="J1753" s="3">
        <f t="shared" si="256"/>
        <v>0.7</v>
      </c>
    </row>
    <row r="1754" spans="2:10" x14ac:dyDescent="0.25">
      <c r="B1754" s="3">
        <f t="shared" si="257"/>
        <v>8685</v>
      </c>
      <c r="C1754" s="14">
        <f t="shared" si="258"/>
        <v>144.75</v>
      </c>
      <c r="D1754" s="11">
        <f t="shared" si="259"/>
        <v>1077.1087854074406</v>
      </c>
      <c r="E1754" s="24">
        <f t="shared" si="251"/>
        <v>1075.3937429859704</v>
      </c>
      <c r="F1754" s="24">
        <f t="shared" si="253"/>
        <v>42.876060536752902</v>
      </c>
      <c r="G1754" s="14">
        <f t="shared" si="254"/>
        <v>668.79748824048863</v>
      </c>
      <c r="H1754" s="24">
        <f t="shared" si="252"/>
        <v>650</v>
      </c>
      <c r="I1754" s="12">
        <f t="shared" si="255"/>
        <v>8.7476685915858027E-2</v>
      </c>
      <c r="J1754" s="3">
        <f t="shared" si="256"/>
        <v>0.7</v>
      </c>
    </row>
    <row r="1755" spans="2:10" x14ac:dyDescent="0.25">
      <c r="B1755" s="3">
        <f t="shared" si="257"/>
        <v>8690</v>
      </c>
      <c r="C1755" s="14">
        <f t="shared" si="258"/>
        <v>144.83333333333334</v>
      </c>
      <c r="D1755" s="11">
        <f t="shared" si="259"/>
        <v>1077.1949450396346</v>
      </c>
      <c r="E1755" s="24">
        <f t="shared" si="251"/>
        <v>1075.4812196718863</v>
      </c>
      <c r="F1755" s="24">
        <f t="shared" si="253"/>
        <v>42.843134193708465</v>
      </c>
      <c r="G1755" s="14">
        <f t="shared" si="254"/>
        <v>668.41290122401404</v>
      </c>
      <c r="H1755" s="24">
        <f t="shared" si="252"/>
        <v>650</v>
      </c>
      <c r="I1755" s="12">
        <f t="shared" si="255"/>
        <v>8.7425366480030922E-2</v>
      </c>
      <c r="J1755" s="3">
        <f t="shared" si="256"/>
        <v>0.7</v>
      </c>
    </row>
    <row r="1756" spans="2:10" x14ac:dyDescent="0.25">
      <c r="B1756" s="3">
        <f t="shared" si="257"/>
        <v>8695</v>
      </c>
      <c r="C1756" s="14">
        <f t="shared" si="258"/>
        <v>144.91666666666666</v>
      </c>
      <c r="D1756" s="11">
        <f t="shared" si="259"/>
        <v>1077.2810551547959</v>
      </c>
      <c r="E1756" s="24">
        <f t="shared" si="251"/>
        <v>1075.5686450383662</v>
      </c>
      <c r="F1756" s="24">
        <f t="shared" si="253"/>
        <v>42.810252910743429</v>
      </c>
      <c r="G1756" s="14">
        <f t="shared" si="254"/>
        <v>668.02876075794666</v>
      </c>
      <c r="H1756" s="24">
        <f t="shared" si="252"/>
        <v>650</v>
      </c>
      <c r="I1756" s="12">
        <f t="shared" si="255"/>
        <v>8.7374107471426668E-2</v>
      </c>
      <c r="J1756" s="3">
        <f t="shared" si="256"/>
        <v>0.7</v>
      </c>
    </row>
    <row r="1757" spans="2:10" x14ac:dyDescent="0.25">
      <c r="B1757" s="3">
        <f t="shared" si="257"/>
        <v>8700</v>
      </c>
      <c r="C1757" s="14">
        <f t="shared" si="258"/>
        <v>145</v>
      </c>
      <c r="D1757" s="11">
        <f t="shared" si="259"/>
        <v>1077.367115809808</v>
      </c>
      <c r="E1757" s="24">
        <f t="shared" si="251"/>
        <v>1075.6560191458377</v>
      </c>
      <c r="F1757" s="24">
        <f t="shared" si="253"/>
        <v>42.777416599255957</v>
      </c>
      <c r="G1757" s="14">
        <f t="shared" si="254"/>
        <v>667.64506605980409</v>
      </c>
      <c r="H1757" s="24">
        <f t="shared" si="252"/>
        <v>650</v>
      </c>
      <c r="I1757" s="12">
        <f t="shared" si="255"/>
        <v>8.7322908782974315E-2</v>
      </c>
      <c r="J1757" s="3">
        <f t="shared" si="256"/>
        <v>0.7</v>
      </c>
    </row>
    <row r="1758" spans="2:10" x14ac:dyDescent="0.25">
      <c r="B1758" s="3">
        <f t="shared" si="257"/>
        <v>8705</v>
      </c>
      <c r="C1758" s="14">
        <f t="shared" si="258"/>
        <v>145.08333333333334</v>
      </c>
      <c r="D1758" s="11">
        <f t="shared" si="259"/>
        <v>1077.4531270614561</v>
      </c>
      <c r="E1758" s="24">
        <f t="shared" si="251"/>
        <v>1075.7433420546206</v>
      </c>
      <c r="F1758" s="24">
        <f t="shared" si="253"/>
        <v>42.744625170888639</v>
      </c>
      <c r="G1758" s="14">
        <f t="shared" si="254"/>
        <v>667.2618163493911</v>
      </c>
      <c r="H1758" s="24">
        <f t="shared" si="252"/>
        <v>650</v>
      </c>
      <c r="I1758" s="12">
        <f t="shared" si="255"/>
        <v>8.7271770307914109E-2</v>
      </c>
      <c r="J1758" s="3">
        <f t="shared" si="256"/>
        <v>0.7</v>
      </c>
    </row>
    <row r="1759" spans="2:10" x14ac:dyDescent="0.25">
      <c r="B1759" s="3">
        <f t="shared" si="257"/>
        <v>8710</v>
      </c>
      <c r="C1759" s="14">
        <f t="shared" si="258"/>
        <v>145.16666666666666</v>
      </c>
      <c r="D1759" s="11">
        <f t="shared" si="259"/>
        <v>1077.5390889664282</v>
      </c>
      <c r="E1759" s="24">
        <f t="shared" si="251"/>
        <v>1075.8306138249286</v>
      </c>
      <c r="F1759" s="24">
        <f t="shared" si="253"/>
        <v>42.711878537488701</v>
      </c>
      <c r="G1759" s="14">
        <f t="shared" si="254"/>
        <v>666.87901084779151</v>
      </c>
      <c r="H1759" s="24">
        <f t="shared" si="252"/>
        <v>650</v>
      </c>
      <c r="I1759" s="12">
        <f t="shared" si="255"/>
        <v>8.722069193966861E-2</v>
      </c>
      <c r="J1759" s="3">
        <f t="shared" si="256"/>
        <v>0.7</v>
      </c>
    </row>
    <row r="1760" spans="2:10" x14ac:dyDescent="0.25">
      <c r="B1760" s="3">
        <f t="shared" si="257"/>
        <v>8715</v>
      </c>
      <c r="C1760" s="14">
        <f t="shared" si="258"/>
        <v>145.25</v>
      </c>
      <c r="D1760" s="11">
        <f t="shared" si="259"/>
        <v>1077.6250015813146</v>
      </c>
      <c r="E1760" s="24">
        <f t="shared" si="251"/>
        <v>1075.9178345168682</v>
      </c>
      <c r="F1760" s="24">
        <f t="shared" si="253"/>
        <v>42.679176611159164</v>
      </c>
      <c r="G1760" s="14">
        <f t="shared" si="254"/>
        <v>666.4966487784726</v>
      </c>
      <c r="H1760" s="24">
        <f t="shared" si="252"/>
        <v>650</v>
      </c>
      <c r="I1760" s="12">
        <f t="shared" si="255"/>
        <v>8.7169673571984865E-2</v>
      </c>
      <c r="J1760" s="3">
        <f t="shared" si="256"/>
        <v>0.7</v>
      </c>
    </row>
    <row r="1761" spans="2:10" x14ac:dyDescent="0.25">
      <c r="B1761" s="3">
        <f t="shared" si="257"/>
        <v>8720</v>
      </c>
      <c r="C1761" s="14">
        <f t="shared" si="258"/>
        <v>145.33333333333334</v>
      </c>
      <c r="D1761" s="11">
        <f t="shared" si="259"/>
        <v>1077.710864962608</v>
      </c>
      <c r="E1761" s="24">
        <f t="shared" si="251"/>
        <v>1076.0050041904401</v>
      </c>
      <c r="F1761" s="24">
        <f t="shared" si="253"/>
        <v>42.646519304196318</v>
      </c>
      <c r="G1761" s="14">
        <f t="shared" si="254"/>
        <v>666.11472936637495</v>
      </c>
      <c r="H1761" s="24">
        <f t="shared" si="252"/>
        <v>650</v>
      </c>
      <c r="I1761" s="12">
        <f t="shared" si="255"/>
        <v>8.7118715098814692E-2</v>
      </c>
      <c r="J1761" s="3">
        <f t="shared" si="256"/>
        <v>0.7</v>
      </c>
    </row>
    <row r="1762" spans="2:10" x14ac:dyDescent="0.25">
      <c r="B1762" s="3">
        <f t="shared" si="257"/>
        <v>8725</v>
      </c>
      <c r="C1762" s="14">
        <f t="shared" si="258"/>
        <v>145.41666666666666</v>
      </c>
      <c r="D1762" s="11">
        <f t="shared" si="259"/>
        <v>1077.7966791667045</v>
      </c>
      <c r="E1762" s="24">
        <f t="shared" si="251"/>
        <v>1076.0921229055389</v>
      </c>
      <c r="F1762" s="24">
        <f t="shared" si="253"/>
        <v>42.613906529140877</v>
      </c>
      <c r="G1762" s="14">
        <f t="shared" si="254"/>
        <v>665.73325183827978</v>
      </c>
      <c r="H1762" s="24">
        <f t="shared" si="252"/>
        <v>650</v>
      </c>
      <c r="I1762" s="12">
        <f t="shared" si="255"/>
        <v>8.7067816414366256E-2</v>
      </c>
      <c r="J1762" s="3">
        <f t="shared" si="256"/>
        <v>0.7</v>
      </c>
    </row>
    <row r="1763" spans="2:10" x14ac:dyDescent="0.25">
      <c r="B1763" s="3">
        <f t="shared" si="257"/>
        <v>8730</v>
      </c>
      <c r="C1763" s="14">
        <f t="shared" si="258"/>
        <v>145.5</v>
      </c>
      <c r="D1763" s="11">
        <f t="shared" si="259"/>
        <v>1077.8824442499028</v>
      </c>
      <c r="E1763" s="24">
        <f t="shared" si="251"/>
        <v>1076.1791907219533</v>
      </c>
      <c r="F1763" s="24">
        <f t="shared" si="253"/>
        <v>42.581338198738194</v>
      </c>
      <c r="G1763" s="14">
        <f t="shared" si="254"/>
        <v>665.35221542269358</v>
      </c>
      <c r="H1763" s="24">
        <f t="shared" si="252"/>
        <v>650</v>
      </c>
      <c r="I1763" s="12">
        <f t="shared" si="255"/>
        <v>8.7016977413084923E-2</v>
      </c>
      <c r="J1763" s="3">
        <f t="shared" si="256"/>
        <v>0.7</v>
      </c>
    </row>
    <row r="1764" spans="2:10" x14ac:dyDescent="0.25">
      <c r="B1764" s="3">
        <f t="shared" si="257"/>
        <v>8735</v>
      </c>
      <c r="C1764" s="14">
        <f t="shared" si="258"/>
        <v>145.58333333333334</v>
      </c>
      <c r="D1764" s="11">
        <f t="shared" si="259"/>
        <v>1077.9681602684059</v>
      </c>
      <c r="E1764" s="24">
        <f t="shared" si="251"/>
        <v>1076.2662076993663</v>
      </c>
      <c r="F1764" s="24">
        <f t="shared" si="253"/>
        <v>42.548814225989418</v>
      </c>
      <c r="G1764" s="14">
        <f t="shared" si="254"/>
        <v>664.97161935044801</v>
      </c>
      <c r="H1764" s="24">
        <f t="shared" si="252"/>
        <v>650</v>
      </c>
      <c r="I1764" s="12">
        <f t="shared" si="255"/>
        <v>8.6966197989733304E-2</v>
      </c>
      <c r="J1764" s="3">
        <f t="shared" si="256"/>
        <v>0.7</v>
      </c>
    </row>
    <row r="1765" spans="2:10" x14ac:dyDescent="0.25">
      <c r="B1765" s="3">
        <f t="shared" si="257"/>
        <v>8740</v>
      </c>
      <c r="C1765" s="14">
        <f t="shared" si="258"/>
        <v>145.66666666666666</v>
      </c>
      <c r="D1765" s="11">
        <f t="shared" si="259"/>
        <v>1078.0538272783192</v>
      </c>
      <c r="E1765" s="24">
        <f t="shared" si="251"/>
        <v>1076.3531738973561</v>
      </c>
      <c r="F1765" s="24">
        <f t="shared" si="253"/>
        <v>42.516334524077593</v>
      </c>
      <c r="G1765" s="14">
        <f t="shared" si="254"/>
        <v>664.59146285340205</v>
      </c>
      <c r="H1765" s="24">
        <f t="shared" si="252"/>
        <v>650</v>
      </c>
      <c r="I1765" s="12">
        <f t="shared" si="255"/>
        <v>8.6915478039222616E-2</v>
      </c>
      <c r="J1765" s="3">
        <f t="shared" si="256"/>
        <v>0.7</v>
      </c>
    </row>
    <row r="1766" spans="2:10" x14ac:dyDescent="0.25">
      <c r="B1766" s="3">
        <f t="shared" si="257"/>
        <v>8745</v>
      </c>
      <c r="C1766" s="14">
        <f t="shared" si="258"/>
        <v>145.75</v>
      </c>
      <c r="D1766" s="11">
        <f t="shared" si="259"/>
        <v>1078.1394453356527</v>
      </c>
      <c r="E1766" s="24">
        <f t="shared" si="251"/>
        <v>1076.4400893753952</v>
      </c>
      <c r="F1766" s="24">
        <f t="shared" si="253"/>
        <v>42.483899006435877</v>
      </c>
      <c r="G1766" s="14">
        <f t="shared" si="254"/>
        <v>664.2117451657208</v>
      </c>
      <c r="H1766" s="24">
        <f t="shared" si="252"/>
        <v>650</v>
      </c>
      <c r="I1766" s="12">
        <f t="shared" si="255"/>
        <v>8.686481745677832E-2</v>
      </c>
      <c r="J1766" s="3">
        <f t="shared" si="256"/>
        <v>0.7</v>
      </c>
    </row>
    <row r="1767" spans="2:10" x14ac:dyDescent="0.25">
      <c r="B1767" s="3">
        <f t="shared" si="257"/>
        <v>8750</v>
      </c>
      <c r="C1767" s="14">
        <f t="shared" si="258"/>
        <v>145.83333333333334</v>
      </c>
      <c r="D1767" s="11">
        <f t="shared" si="259"/>
        <v>1078.2250144963202</v>
      </c>
      <c r="E1767" s="24">
        <f t="shared" si="251"/>
        <v>1076.5269541928519</v>
      </c>
      <c r="F1767" s="24">
        <f t="shared" si="253"/>
        <v>42.451507586707748</v>
      </c>
      <c r="G1767" s="14">
        <f t="shared" si="254"/>
        <v>663.83246552325568</v>
      </c>
      <c r="H1767" s="24">
        <f t="shared" si="252"/>
        <v>650</v>
      </c>
      <c r="I1767" s="12">
        <f t="shared" si="255"/>
        <v>8.6814216137859002E-2</v>
      </c>
      <c r="J1767" s="3">
        <f t="shared" si="256"/>
        <v>0.7</v>
      </c>
    </row>
    <row r="1768" spans="2:10" x14ac:dyDescent="0.25">
      <c r="B1768" s="3">
        <f t="shared" si="257"/>
        <v>8755</v>
      </c>
      <c r="C1768" s="14">
        <f t="shared" si="258"/>
        <v>145.91666666666666</v>
      </c>
      <c r="D1768" s="11">
        <f t="shared" si="259"/>
        <v>1078.31053481614</v>
      </c>
      <c r="E1768" s="24">
        <f t="shared" si="251"/>
        <v>1076.6137684089897</v>
      </c>
      <c r="F1768" s="24">
        <f t="shared" si="253"/>
        <v>42.419160178758375</v>
      </c>
      <c r="G1768" s="14">
        <f t="shared" si="254"/>
        <v>663.45362316356318</v>
      </c>
      <c r="H1768" s="24">
        <f t="shared" si="252"/>
        <v>650</v>
      </c>
      <c r="I1768" s="12">
        <f t="shared" si="255"/>
        <v>8.6763673978160039E-2</v>
      </c>
      <c r="J1768" s="3">
        <f t="shared" si="256"/>
        <v>0.7</v>
      </c>
    </row>
    <row r="1769" spans="2:10" x14ac:dyDescent="0.25">
      <c r="B1769" s="3">
        <f t="shared" si="257"/>
        <v>8760</v>
      </c>
      <c r="C1769" s="14">
        <f t="shared" si="258"/>
        <v>146</v>
      </c>
      <c r="D1769" s="11">
        <f t="shared" si="259"/>
        <v>1078.3960063508348</v>
      </c>
      <c r="E1769" s="24">
        <f t="shared" si="251"/>
        <v>1076.7005320829678</v>
      </c>
      <c r="F1769" s="24">
        <f t="shared" si="253"/>
        <v>42.386856696674613</v>
      </c>
      <c r="G1769" s="14">
        <f t="shared" si="254"/>
        <v>663.07521732617681</v>
      </c>
      <c r="H1769" s="24">
        <f t="shared" si="252"/>
        <v>650</v>
      </c>
      <c r="I1769" s="12">
        <f t="shared" si="255"/>
        <v>8.6713190873647122E-2</v>
      </c>
      <c r="J1769" s="3">
        <f t="shared" si="256"/>
        <v>0.7</v>
      </c>
    </row>
    <row r="1770" spans="2:10" x14ac:dyDescent="0.25">
      <c r="B1770" s="3">
        <f t="shared" si="257"/>
        <v>8765</v>
      </c>
      <c r="C1770" s="14">
        <f t="shared" si="258"/>
        <v>146.08333333333334</v>
      </c>
      <c r="D1770" s="11">
        <f t="shared" si="259"/>
        <v>1078.4814291560317</v>
      </c>
      <c r="E1770" s="24">
        <f t="shared" si="251"/>
        <v>1076.7872452738416</v>
      </c>
      <c r="F1770" s="24">
        <f t="shared" si="253"/>
        <v>42.35459705475364</v>
      </c>
      <c r="G1770" s="14">
        <f t="shared" si="254"/>
        <v>662.69724725202525</v>
      </c>
      <c r="H1770" s="24">
        <f t="shared" si="252"/>
        <v>650</v>
      </c>
      <c r="I1770" s="12">
        <f t="shared" si="255"/>
        <v>8.6662766720483231E-2</v>
      </c>
      <c r="J1770" s="3">
        <f t="shared" si="256"/>
        <v>0.7</v>
      </c>
    </row>
    <row r="1771" spans="2:10" x14ac:dyDescent="0.25">
      <c r="B1771" s="3">
        <f t="shared" si="257"/>
        <v>8770</v>
      </c>
      <c r="C1771" s="14">
        <f t="shared" si="258"/>
        <v>146.16666666666666</v>
      </c>
      <c r="D1771" s="11">
        <f t="shared" si="259"/>
        <v>1078.5668032872625</v>
      </c>
      <c r="E1771" s="24">
        <f t="shared" si="251"/>
        <v>1076.8739080405621</v>
      </c>
      <c r="F1771" s="24">
        <f t="shared" si="253"/>
        <v>42.322381167508638</v>
      </c>
      <c r="G1771" s="14">
        <f t="shared" si="254"/>
        <v>662.31971218397518</v>
      </c>
      <c r="H1771" s="24">
        <f t="shared" si="252"/>
        <v>650</v>
      </c>
      <c r="I1771" s="12">
        <f t="shared" si="255"/>
        <v>8.6612401415096157E-2</v>
      </c>
      <c r="J1771" s="3">
        <f t="shared" si="256"/>
        <v>0.7</v>
      </c>
    </row>
    <row r="1772" spans="2:10" x14ac:dyDescent="0.25">
      <c r="B1772" s="3">
        <f t="shared" si="257"/>
        <v>8775</v>
      </c>
      <c r="C1772" s="14">
        <f t="shared" si="258"/>
        <v>146.25</v>
      </c>
      <c r="D1772" s="11">
        <f t="shared" si="259"/>
        <v>1078.6521287999651</v>
      </c>
      <c r="E1772" s="24">
        <f t="shared" si="251"/>
        <v>1076.9605204419772</v>
      </c>
      <c r="F1772" s="24">
        <f t="shared" si="253"/>
        <v>42.290208949697217</v>
      </c>
      <c r="G1772" s="14">
        <f t="shared" si="254"/>
        <v>661.94261136696707</v>
      </c>
      <c r="H1772" s="24">
        <f t="shared" si="252"/>
        <v>650</v>
      </c>
      <c r="I1772" s="12">
        <f t="shared" si="255"/>
        <v>8.6562094854198607E-2</v>
      </c>
      <c r="J1772" s="3">
        <f t="shared" si="256"/>
        <v>0.7</v>
      </c>
    </row>
    <row r="1773" spans="2:10" x14ac:dyDescent="0.25">
      <c r="B1773" s="3">
        <f t="shared" si="257"/>
        <v>8780</v>
      </c>
      <c r="C1773" s="14">
        <f t="shared" si="258"/>
        <v>146.33333333333334</v>
      </c>
      <c r="D1773" s="11">
        <f t="shared" si="259"/>
        <v>1078.7374057494821</v>
      </c>
      <c r="E1773" s="24">
        <f t="shared" si="251"/>
        <v>1077.0470825368313</v>
      </c>
      <c r="F1773" s="24">
        <f t="shared" si="253"/>
        <v>42.258080316270252</v>
      </c>
      <c r="G1773" s="14">
        <f t="shared" si="254"/>
        <v>661.56594404749171</v>
      </c>
      <c r="H1773" s="24">
        <f t="shared" si="252"/>
        <v>650</v>
      </c>
      <c r="I1773" s="12">
        <f t="shared" si="255"/>
        <v>8.6511846934717612E-2</v>
      </c>
      <c r="J1773" s="3">
        <f t="shared" si="256"/>
        <v>0.7</v>
      </c>
    </row>
    <row r="1774" spans="2:10" x14ac:dyDescent="0.25">
      <c r="B1774" s="3">
        <f t="shared" si="257"/>
        <v>8785</v>
      </c>
      <c r="C1774" s="14">
        <f t="shared" si="258"/>
        <v>146.41666666666666</v>
      </c>
      <c r="D1774" s="11">
        <f t="shared" si="259"/>
        <v>1078.8226341910615</v>
      </c>
      <c r="E1774" s="24">
        <f t="shared" si="251"/>
        <v>1077.133594383766</v>
      </c>
      <c r="F1774" s="24">
        <f t="shared" si="253"/>
        <v>42.225995182388942</v>
      </c>
      <c r="G1774" s="14">
        <f t="shared" si="254"/>
        <v>661.18970947347395</v>
      </c>
      <c r="H1774" s="24">
        <f t="shared" si="252"/>
        <v>650</v>
      </c>
      <c r="I1774" s="12">
        <f t="shared" si="255"/>
        <v>8.6461657553782337E-2</v>
      </c>
      <c r="J1774" s="3">
        <f t="shared" si="256"/>
        <v>0.7</v>
      </c>
    </row>
    <row r="1775" spans="2:10" x14ac:dyDescent="0.25">
      <c r="B1775" s="3">
        <f t="shared" si="257"/>
        <v>8790</v>
      </c>
      <c r="C1775" s="14">
        <f t="shared" si="258"/>
        <v>146.5</v>
      </c>
      <c r="D1775" s="11">
        <f t="shared" si="259"/>
        <v>1078.9078141798577</v>
      </c>
      <c r="E1775" s="24">
        <f t="shared" si="251"/>
        <v>1077.2200560413198</v>
      </c>
      <c r="F1775" s="24">
        <f t="shared" si="253"/>
        <v>42.193953463447542</v>
      </c>
      <c r="G1775" s="14">
        <f t="shared" si="254"/>
        <v>660.8139068949705</v>
      </c>
      <c r="H1775" s="24">
        <f t="shared" si="252"/>
        <v>650</v>
      </c>
      <c r="I1775" s="12">
        <f t="shared" si="255"/>
        <v>8.6411526608812614E-2</v>
      </c>
      <c r="J1775" s="3">
        <f t="shared" si="256"/>
        <v>0.7</v>
      </c>
    </row>
    <row r="1776" spans="2:10" x14ac:dyDescent="0.25">
      <c r="B1776" s="3">
        <f t="shared" si="257"/>
        <v>8795</v>
      </c>
      <c r="C1776" s="14">
        <f t="shared" si="258"/>
        <v>146.58333333333334</v>
      </c>
      <c r="D1776" s="11">
        <f t="shared" si="259"/>
        <v>1078.99294577093</v>
      </c>
      <c r="E1776" s="24">
        <f t="shared" si="251"/>
        <v>1077.3064675679286</v>
      </c>
      <c r="F1776" s="24">
        <f t="shared" si="253"/>
        <v>42.161955075033575</v>
      </c>
      <c r="G1776" s="14">
        <f t="shared" si="254"/>
        <v>660.43853556360773</v>
      </c>
      <c r="H1776" s="24">
        <f t="shared" si="252"/>
        <v>650</v>
      </c>
      <c r="I1776" s="12">
        <f t="shared" si="255"/>
        <v>8.6361453997444992E-2</v>
      </c>
      <c r="J1776" s="3">
        <f t="shared" si="256"/>
        <v>0.7</v>
      </c>
    </row>
    <row r="1777" spans="2:10" x14ac:dyDescent="0.25">
      <c r="B1777" s="3">
        <f t="shared" si="257"/>
        <v>8800</v>
      </c>
      <c r="C1777" s="14">
        <f t="shared" si="258"/>
        <v>146.66666666666666</v>
      </c>
      <c r="D1777" s="11">
        <f t="shared" si="259"/>
        <v>1079.0780290192449</v>
      </c>
      <c r="E1777" s="24">
        <f t="shared" si="251"/>
        <v>1077.392829021926</v>
      </c>
      <c r="F1777" s="24">
        <f t="shared" si="253"/>
        <v>42.129999932973305</v>
      </c>
      <c r="G1777" s="14">
        <f t="shared" si="254"/>
        <v>660.06359473279508</v>
      </c>
      <c r="H1777" s="24">
        <f t="shared" si="252"/>
        <v>650</v>
      </c>
      <c r="I1777" s="12">
        <f t="shared" si="255"/>
        <v>8.6311439617564517E-2</v>
      </c>
      <c r="J1777" s="3">
        <f t="shared" si="256"/>
        <v>0.7</v>
      </c>
    </row>
    <row r="1778" spans="2:10" x14ac:dyDescent="0.25">
      <c r="B1778" s="3">
        <f t="shared" si="257"/>
        <v>8805</v>
      </c>
      <c r="C1778" s="14">
        <f t="shared" si="258"/>
        <v>146.75</v>
      </c>
      <c r="D1778" s="11">
        <f t="shared" si="259"/>
        <v>1079.1630639796754</v>
      </c>
      <c r="E1778" s="24">
        <f t="shared" si="251"/>
        <v>1077.4791404615435</v>
      </c>
      <c r="F1778" s="24">
        <f t="shared" si="253"/>
        <v>42.098087953297636</v>
      </c>
      <c r="G1778" s="14">
        <f t="shared" si="254"/>
        <v>659.68908365782181</v>
      </c>
      <c r="H1778" s="24">
        <f t="shared" si="252"/>
        <v>650</v>
      </c>
      <c r="I1778" s="12">
        <f t="shared" si="255"/>
        <v>8.6261483367312458E-2</v>
      </c>
      <c r="J1778" s="3">
        <f t="shared" si="256"/>
        <v>0.7</v>
      </c>
    </row>
    <row r="1779" spans="2:10" x14ac:dyDescent="0.25">
      <c r="B1779" s="3">
        <f t="shared" si="257"/>
        <v>8810</v>
      </c>
      <c r="C1779" s="14">
        <f t="shared" si="258"/>
        <v>146.83333333333334</v>
      </c>
      <c r="D1779" s="11">
        <f t="shared" si="259"/>
        <v>1079.2480507070004</v>
      </c>
      <c r="E1779" s="24">
        <f t="shared" si="251"/>
        <v>1077.5654019449107</v>
      </c>
      <c r="F1779" s="24">
        <f t="shared" si="253"/>
        <v>42.066219052242104</v>
      </c>
      <c r="G1779" s="14">
        <f t="shared" si="254"/>
        <v>659.31500159546943</v>
      </c>
      <c r="H1779" s="24">
        <f t="shared" si="252"/>
        <v>650</v>
      </c>
      <c r="I1779" s="12">
        <f t="shared" si="255"/>
        <v>8.6211585145038655E-2</v>
      </c>
      <c r="J1779" s="3">
        <f t="shared" si="256"/>
        <v>0.7</v>
      </c>
    </row>
    <row r="1780" spans="2:10" x14ac:dyDescent="0.25">
      <c r="B1780" s="3">
        <f t="shared" si="257"/>
        <v>8815</v>
      </c>
      <c r="C1780" s="14">
        <f t="shared" si="258"/>
        <v>146.91666666666666</v>
      </c>
      <c r="D1780" s="11">
        <f t="shared" si="259"/>
        <v>1079.3329892559057</v>
      </c>
      <c r="E1780" s="24">
        <f t="shared" ref="E1780:E1843" si="260">E1779+I1779</f>
        <v>1077.6516135300558</v>
      </c>
      <c r="F1780" s="24">
        <f t="shared" si="253"/>
        <v>42.034393146246884</v>
      </c>
      <c r="G1780" s="14">
        <f t="shared" si="254"/>
        <v>658.9413478041472</v>
      </c>
      <c r="H1780" s="24">
        <f t="shared" ref="H1780:H1843" si="261">IF(E1780&lt;600,425+0.773*E1780-1.69/1000*E1780^2+2.22/1000^2*E1780^3,IF(E1780&lt;735,666+13002/(738-E1780),IF(E1780&lt;900,545+17820/(E1780-731),650)))</f>
        <v>650</v>
      </c>
      <c r="I1780" s="12">
        <f t="shared" si="255"/>
        <v>8.6161744849318184E-2</v>
      </c>
      <c r="J1780" s="3">
        <f t="shared" si="256"/>
        <v>0.7</v>
      </c>
    </row>
    <row r="1781" spans="2:10" x14ac:dyDescent="0.25">
      <c r="B1781" s="3">
        <f t="shared" si="257"/>
        <v>8820</v>
      </c>
      <c r="C1781" s="14">
        <f t="shared" si="258"/>
        <v>147</v>
      </c>
      <c r="D1781" s="11">
        <f t="shared" si="259"/>
        <v>1079.4178796809847</v>
      </c>
      <c r="E1781" s="24">
        <f t="shared" si="260"/>
        <v>1077.7377752749051</v>
      </c>
      <c r="F1781" s="24">
        <f t="shared" si="253"/>
        <v>42.002610151990893</v>
      </c>
      <c r="G1781" s="14">
        <f t="shared" si="254"/>
        <v>658.5681215443966</v>
      </c>
      <c r="H1781" s="24">
        <f t="shared" si="261"/>
        <v>650</v>
      </c>
      <c r="I1781" s="12">
        <f t="shared" si="255"/>
        <v>8.611196237901754E-2</v>
      </c>
      <c r="J1781" s="3">
        <f t="shared" si="256"/>
        <v>0.7</v>
      </c>
    </row>
    <row r="1782" spans="2:10" x14ac:dyDescent="0.25">
      <c r="B1782" s="3">
        <f t="shared" si="257"/>
        <v>8825</v>
      </c>
      <c r="C1782" s="14">
        <f t="shared" si="258"/>
        <v>147.08333333333334</v>
      </c>
      <c r="D1782" s="11">
        <f t="shared" si="259"/>
        <v>1079.5027220367381</v>
      </c>
      <c r="E1782" s="24">
        <f t="shared" si="260"/>
        <v>1077.823887237284</v>
      </c>
      <c r="F1782" s="24">
        <f t="shared" si="253"/>
        <v>41.970869986352</v>
      </c>
      <c r="G1782" s="14">
        <f t="shared" si="254"/>
        <v>658.19532207830889</v>
      </c>
      <c r="H1782" s="24">
        <f t="shared" si="261"/>
        <v>650</v>
      </c>
      <c r="I1782" s="12">
        <f t="shared" si="255"/>
        <v>8.60622376332182E-2</v>
      </c>
      <c r="J1782" s="3">
        <f t="shared" si="256"/>
        <v>0.7</v>
      </c>
    </row>
    <row r="1783" spans="2:10" x14ac:dyDescent="0.25">
      <c r="B1783" s="3">
        <f t="shared" si="257"/>
        <v>8830</v>
      </c>
      <c r="C1783" s="14">
        <f t="shared" si="258"/>
        <v>147.16666666666666</v>
      </c>
      <c r="D1783" s="11">
        <f t="shared" si="259"/>
        <v>1079.5875163775731</v>
      </c>
      <c r="E1783" s="24">
        <f t="shared" si="260"/>
        <v>1077.9099494749173</v>
      </c>
      <c r="F1783" s="24">
        <f t="shared" si="253"/>
        <v>41.939172566395655</v>
      </c>
      <c r="G1783" s="14">
        <f t="shared" si="254"/>
        <v>657.8229486693325</v>
      </c>
      <c r="H1783" s="24">
        <f t="shared" si="261"/>
        <v>650</v>
      </c>
      <c r="I1783" s="12">
        <f t="shared" si="255"/>
        <v>8.6012570511191475E-2</v>
      </c>
      <c r="J1783" s="3">
        <f t="shared" si="256"/>
        <v>0.7</v>
      </c>
    </row>
    <row r="1784" spans="2:10" x14ac:dyDescent="0.25">
      <c r="B1784" s="3">
        <f t="shared" si="257"/>
        <v>8835</v>
      </c>
      <c r="C1784" s="14">
        <f t="shared" si="258"/>
        <v>147.25</v>
      </c>
      <c r="D1784" s="11">
        <f t="shared" si="259"/>
        <v>1079.6722627578056</v>
      </c>
      <c r="E1784" s="24">
        <f t="shared" si="260"/>
        <v>1077.9959620454285</v>
      </c>
      <c r="F1784" s="24">
        <f t="shared" si="253"/>
        <v>41.907517809426054</v>
      </c>
      <c r="G1784" s="14">
        <f t="shared" si="254"/>
        <v>657.45100058296964</v>
      </c>
      <c r="H1784" s="24">
        <f t="shared" si="261"/>
        <v>650</v>
      </c>
      <c r="I1784" s="12">
        <f t="shared" si="255"/>
        <v>8.5962960912490505E-2</v>
      </c>
      <c r="J1784" s="3">
        <f t="shared" si="256"/>
        <v>0.7</v>
      </c>
    </row>
    <row r="1785" spans="2:10" x14ac:dyDescent="0.25">
      <c r="B1785" s="3">
        <f t="shared" si="257"/>
        <v>8840</v>
      </c>
      <c r="C1785" s="14">
        <f t="shared" si="258"/>
        <v>147.33333333333334</v>
      </c>
      <c r="D1785" s="11">
        <f t="shared" si="259"/>
        <v>1079.756961231659</v>
      </c>
      <c r="E1785" s="24">
        <f t="shared" si="260"/>
        <v>1078.081925006341</v>
      </c>
      <c r="F1785" s="24">
        <f t="shared" si="253"/>
        <v>41.875905632952026</v>
      </c>
      <c r="G1785" s="14">
        <f t="shared" si="254"/>
        <v>657.07947708652534</v>
      </c>
      <c r="H1785" s="24">
        <f t="shared" si="261"/>
        <v>650</v>
      </c>
      <c r="I1785" s="12">
        <f t="shared" si="255"/>
        <v>8.5913408736915137E-2</v>
      </c>
      <c r="J1785" s="3">
        <f t="shared" si="256"/>
        <v>0.7</v>
      </c>
    </row>
    <row r="1786" spans="2:10" x14ac:dyDescent="0.25">
      <c r="B1786" s="3">
        <f t="shared" si="257"/>
        <v>8845</v>
      </c>
      <c r="C1786" s="14">
        <f t="shared" si="258"/>
        <v>147.41666666666666</v>
      </c>
      <c r="D1786" s="11">
        <f t="shared" si="259"/>
        <v>1079.8416118532646</v>
      </c>
      <c r="E1786" s="24">
        <f t="shared" si="260"/>
        <v>1078.1678384150778</v>
      </c>
      <c r="F1786" s="24">
        <f t="shared" si="253"/>
        <v>41.844335954669987</v>
      </c>
      <c r="G1786" s="14">
        <f t="shared" si="254"/>
        <v>656.70837744860262</v>
      </c>
      <c r="H1786" s="24">
        <f t="shared" si="261"/>
        <v>650</v>
      </c>
      <c r="I1786" s="12">
        <f t="shared" si="255"/>
        <v>8.5863913884447848E-2</v>
      </c>
      <c r="J1786" s="3">
        <f t="shared" si="256"/>
        <v>0.7</v>
      </c>
    </row>
    <row r="1787" spans="2:10" x14ac:dyDescent="0.25">
      <c r="B1787" s="3">
        <f t="shared" si="257"/>
        <v>8850</v>
      </c>
      <c r="C1787" s="14">
        <f t="shared" si="258"/>
        <v>147.5</v>
      </c>
      <c r="D1787" s="11">
        <f t="shared" si="259"/>
        <v>1079.9262146766625</v>
      </c>
      <c r="E1787" s="24">
        <f t="shared" si="260"/>
        <v>1078.2537023289622</v>
      </c>
      <c r="F1787" s="24">
        <f t="shared" si="253"/>
        <v>41.812808692509407</v>
      </c>
      <c r="G1787" s="14">
        <f t="shared" si="254"/>
        <v>656.33770093985902</v>
      </c>
      <c r="H1787" s="24">
        <f t="shared" si="261"/>
        <v>650</v>
      </c>
      <c r="I1787" s="12">
        <f t="shared" si="255"/>
        <v>8.5814476255352309E-2</v>
      </c>
      <c r="J1787" s="3">
        <f t="shared" si="256"/>
        <v>0.7</v>
      </c>
    </row>
    <row r="1788" spans="2:10" x14ac:dyDescent="0.25">
      <c r="B1788" s="3">
        <f t="shared" si="257"/>
        <v>8855</v>
      </c>
      <c r="C1788" s="14">
        <f t="shared" si="258"/>
        <v>147.58333333333334</v>
      </c>
      <c r="D1788" s="11">
        <f t="shared" si="259"/>
        <v>1080.0107697558008</v>
      </c>
      <c r="E1788" s="24">
        <f t="shared" si="260"/>
        <v>1078.3395168052175</v>
      </c>
      <c r="F1788" s="24">
        <f t="shared" si="253"/>
        <v>41.781323764581657</v>
      </c>
      <c r="G1788" s="14">
        <f t="shared" si="254"/>
        <v>655.96744683228928</v>
      </c>
      <c r="H1788" s="24">
        <f t="shared" si="261"/>
        <v>650</v>
      </c>
      <c r="I1788" s="12">
        <f t="shared" si="255"/>
        <v>8.5765095750078874E-2</v>
      </c>
      <c r="J1788" s="3">
        <f t="shared" si="256"/>
        <v>0.7</v>
      </c>
    </row>
    <row r="1789" spans="2:10" x14ac:dyDescent="0.25">
      <c r="B1789" s="3">
        <f t="shared" si="257"/>
        <v>8860</v>
      </c>
      <c r="C1789" s="14">
        <f t="shared" si="258"/>
        <v>147.66666666666666</v>
      </c>
      <c r="D1789" s="11">
        <f t="shared" si="259"/>
        <v>1080.0952771445368</v>
      </c>
      <c r="E1789" s="24">
        <f t="shared" si="260"/>
        <v>1078.4252819009675</v>
      </c>
      <c r="F1789" s="24">
        <f t="shared" si="253"/>
        <v>41.749881089231167</v>
      </c>
      <c r="G1789" s="14">
        <f t="shared" si="254"/>
        <v>655.59761439998113</v>
      </c>
      <c r="H1789" s="24">
        <f t="shared" si="261"/>
        <v>650</v>
      </c>
      <c r="I1789" s="12">
        <f t="shared" si="255"/>
        <v>8.5715772269363846E-2</v>
      </c>
      <c r="J1789" s="3">
        <f t="shared" si="256"/>
        <v>0.7</v>
      </c>
    </row>
    <row r="1790" spans="2:10" x14ac:dyDescent="0.25">
      <c r="B1790" s="3">
        <f t="shared" si="257"/>
        <v>8865</v>
      </c>
      <c r="C1790" s="14">
        <f t="shared" si="258"/>
        <v>147.75</v>
      </c>
      <c r="D1790" s="11">
        <f t="shared" si="259"/>
        <v>1080.1797368966361</v>
      </c>
      <c r="E1790" s="24">
        <f t="shared" si="260"/>
        <v>1078.5109976732369</v>
      </c>
      <c r="F1790" s="24">
        <f t="shared" si="253"/>
        <v>41.718480584978579</v>
      </c>
      <c r="G1790" s="14">
        <f t="shared" si="254"/>
        <v>655.22820291822381</v>
      </c>
      <c r="H1790" s="24">
        <f t="shared" si="261"/>
        <v>650</v>
      </c>
      <c r="I1790" s="12">
        <f t="shared" si="255"/>
        <v>8.566650571411287E-2</v>
      </c>
      <c r="J1790" s="3">
        <f t="shared" si="256"/>
        <v>0.7</v>
      </c>
    </row>
    <row r="1791" spans="2:10" x14ac:dyDescent="0.25">
      <c r="B1791" s="3">
        <f t="shared" si="257"/>
        <v>8870</v>
      </c>
      <c r="C1791" s="14">
        <f t="shared" si="258"/>
        <v>147.83333333333334</v>
      </c>
      <c r="D1791" s="11">
        <f t="shared" si="259"/>
        <v>1080.2641490657736</v>
      </c>
      <c r="E1791" s="24">
        <f t="shared" si="260"/>
        <v>1078.596664178951</v>
      </c>
      <c r="F1791" s="24">
        <f t="shared" si="253"/>
        <v>41.687122170566226</v>
      </c>
      <c r="G1791" s="14">
        <f t="shared" si="254"/>
        <v>654.8592116642252</v>
      </c>
      <c r="H1791" s="24">
        <f t="shared" si="261"/>
        <v>650</v>
      </c>
      <c r="I1791" s="12">
        <f t="shared" si="255"/>
        <v>8.5617295985494626E-2</v>
      </c>
      <c r="J1791" s="3">
        <f t="shared" si="256"/>
        <v>0.7</v>
      </c>
    </row>
    <row r="1792" spans="2:10" x14ac:dyDescent="0.25">
      <c r="B1792" s="3">
        <f t="shared" si="257"/>
        <v>8875</v>
      </c>
      <c r="C1792" s="14">
        <f t="shared" si="258"/>
        <v>147.91666666666666</v>
      </c>
      <c r="D1792" s="11">
        <f t="shared" si="259"/>
        <v>1080.3485137055345</v>
      </c>
      <c r="E1792" s="24">
        <f t="shared" si="260"/>
        <v>1078.6822814749364</v>
      </c>
      <c r="F1792" s="24">
        <f t="shared" si="253"/>
        <v>41.655805764952447</v>
      </c>
      <c r="G1792" s="14">
        <f t="shared" si="254"/>
        <v>654.49063991709249</v>
      </c>
      <c r="H1792" s="24">
        <f t="shared" si="261"/>
        <v>650</v>
      </c>
      <c r="I1792" s="12">
        <f t="shared" si="255"/>
        <v>8.5568142984937881E-2</v>
      </c>
      <c r="J1792" s="3">
        <f t="shared" si="256"/>
        <v>0.7</v>
      </c>
    </row>
    <row r="1793" spans="2:10" x14ac:dyDescent="0.25">
      <c r="B1793" s="3">
        <f t="shared" si="257"/>
        <v>8880</v>
      </c>
      <c r="C1793" s="14">
        <f t="shared" si="258"/>
        <v>148</v>
      </c>
      <c r="D1793" s="11">
        <f t="shared" si="259"/>
        <v>1080.4328308694121</v>
      </c>
      <c r="E1793" s="24">
        <f t="shared" si="260"/>
        <v>1078.7678496179215</v>
      </c>
      <c r="F1793" s="24">
        <f t="shared" si="253"/>
        <v>41.624531287266109</v>
      </c>
      <c r="G1793" s="14">
        <f t="shared" si="254"/>
        <v>654.12248695703738</v>
      </c>
      <c r="H1793" s="24">
        <f t="shared" si="261"/>
        <v>650</v>
      </c>
      <c r="I1793" s="12">
        <f t="shared" si="255"/>
        <v>8.5519046614028038E-2</v>
      </c>
      <c r="J1793" s="3">
        <f t="shared" si="256"/>
        <v>0.7</v>
      </c>
    </row>
    <row r="1794" spans="2:10" x14ac:dyDescent="0.25">
      <c r="B1794" s="3">
        <f t="shared" si="257"/>
        <v>8885</v>
      </c>
      <c r="C1794" s="14">
        <f t="shared" si="258"/>
        <v>148.08333333333334</v>
      </c>
      <c r="D1794" s="11">
        <f t="shared" si="259"/>
        <v>1080.5171006108105</v>
      </c>
      <c r="E1794" s="24">
        <f t="shared" si="260"/>
        <v>1078.8533686645355</v>
      </c>
      <c r="F1794" s="24">
        <f t="shared" si="253"/>
        <v>41.593298656874822</v>
      </c>
      <c r="G1794" s="14">
        <f t="shared" si="254"/>
        <v>653.75475206650037</v>
      </c>
      <c r="H1794" s="24">
        <f t="shared" si="261"/>
        <v>650</v>
      </c>
      <c r="I1794" s="12">
        <f t="shared" si="255"/>
        <v>8.5470006774653884E-2</v>
      </c>
      <c r="J1794" s="3">
        <f t="shared" si="256"/>
        <v>0.7</v>
      </c>
    </row>
    <row r="1795" spans="2:10" x14ac:dyDescent="0.25">
      <c r="B1795" s="3">
        <f t="shared" si="257"/>
        <v>8890</v>
      </c>
      <c r="C1795" s="14">
        <f t="shared" si="258"/>
        <v>148.16666666666666</v>
      </c>
      <c r="D1795" s="11">
        <f t="shared" si="259"/>
        <v>1080.601322983043</v>
      </c>
      <c r="E1795" s="24">
        <f t="shared" si="260"/>
        <v>1078.9388386713101</v>
      </c>
      <c r="F1795" s="24">
        <f t="shared" si="253"/>
        <v>41.562107793322411</v>
      </c>
      <c r="G1795" s="14">
        <f t="shared" si="254"/>
        <v>653.38743452914287</v>
      </c>
      <c r="H1795" s="24">
        <f t="shared" si="261"/>
        <v>650</v>
      </c>
      <c r="I1795" s="12">
        <f t="shared" si="255"/>
        <v>8.5421023368875873E-2</v>
      </c>
      <c r="J1795" s="3">
        <f t="shared" si="256"/>
        <v>0.7</v>
      </c>
    </row>
    <row r="1796" spans="2:10" x14ac:dyDescent="0.25">
      <c r="B1796" s="3">
        <f t="shared" si="257"/>
        <v>8895</v>
      </c>
      <c r="C1796" s="14">
        <f t="shared" si="258"/>
        <v>148.25</v>
      </c>
      <c r="D1796" s="11">
        <f t="shared" si="259"/>
        <v>1080.6854980393339</v>
      </c>
      <c r="E1796" s="24">
        <f t="shared" si="260"/>
        <v>1079.0242596946789</v>
      </c>
      <c r="F1796" s="24">
        <f t="shared" si="253"/>
        <v>41.530958616374392</v>
      </c>
      <c r="G1796" s="14">
        <f t="shared" si="254"/>
        <v>653.02053363052539</v>
      </c>
      <c r="H1796" s="24">
        <f t="shared" si="261"/>
        <v>650</v>
      </c>
      <c r="I1796" s="12">
        <f t="shared" si="255"/>
        <v>8.5372096299015196E-2</v>
      </c>
      <c r="J1796" s="3">
        <f t="shared" si="256"/>
        <v>0.7</v>
      </c>
    </row>
    <row r="1797" spans="2:10" x14ac:dyDescent="0.25">
      <c r="B1797" s="3">
        <f t="shared" si="257"/>
        <v>8900</v>
      </c>
      <c r="C1797" s="14">
        <f t="shared" si="258"/>
        <v>148.33333333333334</v>
      </c>
      <c r="D1797" s="11">
        <f t="shared" si="259"/>
        <v>1080.7696258328167</v>
      </c>
      <c r="E1797" s="24">
        <f t="shared" si="260"/>
        <v>1079.109631790978</v>
      </c>
      <c r="F1797" s="24">
        <f t="shared" si="253"/>
        <v>41.499851045966807</v>
      </c>
      <c r="G1797" s="14">
        <f t="shared" si="254"/>
        <v>652.6540486575459</v>
      </c>
      <c r="H1797" s="24">
        <f t="shared" si="261"/>
        <v>650</v>
      </c>
      <c r="I1797" s="12">
        <f t="shared" si="255"/>
        <v>8.532322546757834E-2</v>
      </c>
      <c r="J1797" s="3">
        <f t="shared" si="256"/>
        <v>0.7</v>
      </c>
    </row>
    <row r="1798" spans="2:10" x14ac:dyDescent="0.25">
      <c r="B1798" s="3">
        <f t="shared" si="257"/>
        <v>8905</v>
      </c>
      <c r="C1798" s="14">
        <f t="shared" si="258"/>
        <v>148.41666666666666</v>
      </c>
      <c r="D1798" s="11">
        <f t="shared" si="259"/>
        <v>1080.8537064165364</v>
      </c>
      <c r="E1798" s="24">
        <f t="shared" si="260"/>
        <v>1079.1949550164456</v>
      </c>
      <c r="F1798" s="24">
        <f t="shared" si="253"/>
        <v>41.46878500226876</v>
      </c>
      <c r="G1798" s="14">
        <f t="shared" si="254"/>
        <v>652.28797889907889</v>
      </c>
      <c r="H1798" s="24">
        <f t="shared" si="261"/>
        <v>650</v>
      </c>
      <c r="I1798" s="12">
        <f t="shared" si="255"/>
        <v>8.5274410777343435E-2</v>
      </c>
      <c r="J1798" s="3">
        <f t="shared" si="256"/>
        <v>0.7</v>
      </c>
    </row>
    <row r="1799" spans="2:10" x14ac:dyDescent="0.25">
      <c r="B1799" s="3">
        <f t="shared" si="257"/>
        <v>8910</v>
      </c>
      <c r="C1799" s="14">
        <f t="shared" si="258"/>
        <v>148.5</v>
      </c>
      <c r="D1799" s="11">
        <f t="shared" si="259"/>
        <v>1080.9377398434485</v>
      </c>
      <c r="E1799" s="24">
        <f t="shared" si="260"/>
        <v>1079.280229427223</v>
      </c>
      <c r="F1799" s="24">
        <f t="shared" si="253"/>
        <v>41.437760405636936</v>
      </c>
      <c r="G1799" s="14">
        <f t="shared" si="254"/>
        <v>651.92232364549125</v>
      </c>
      <c r="H1799" s="24">
        <f t="shared" si="261"/>
        <v>650</v>
      </c>
      <c r="I1799" s="12">
        <f t="shared" si="255"/>
        <v>8.5225652131295099E-2</v>
      </c>
      <c r="J1799" s="3">
        <f t="shared" si="256"/>
        <v>0.7</v>
      </c>
    </row>
    <row r="1800" spans="2:10" x14ac:dyDescent="0.25">
      <c r="B1800" s="3">
        <f t="shared" si="257"/>
        <v>8915</v>
      </c>
      <c r="C1800" s="14">
        <f t="shared" si="258"/>
        <v>148.58333333333334</v>
      </c>
      <c r="D1800" s="11">
        <f t="shared" si="259"/>
        <v>1081.0217261664193</v>
      </c>
      <c r="E1800" s="24">
        <f t="shared" si="260"/>
        <v>1079.3654550793544</v>
      </c>
      <c r="F1800" s="24">
        <f t="shared" si="253"/>
        <v>41.40677717662129</v>
      </c>
      <c r="G1800" s="14">
        <f t="shared" si="254"/>
        <v>651.55708218871962</v>
      </c>
      <c r="H1800" s="24">
        <f t="shared" si="261"/>
        <v>650</v>
      </c>
      <c r="I1800" s="12">
        <f t="shared" si="255"/>
        <v>8.5176949432634624E-2</v>
      </c>
      <c r="J1800" s="3">
        <f t="shared" si="256"/>
        <v>0.7</v>
      </c>
    </row>
    <row r="1801" spans="2:10" x14ac:dyDescent="0.25">
      <c r="B1801" s="3">
        <f t="shared" si="257"/>
        <v>8920</v>
      </c>
      <c r="C1801" s="14">
        <f t="shared" si="258"/>
        <v>148.66666666666666</v>
      </c>
      <c r="D1801" s="11">
        <f t="shared" si="259"/>
        <v>1081.1056654382262</v>
      </c>
      <c r="E1801" s="24">
        <f t="shared" si="260"/>
        <v>1079.4506320287871</v>
      </c>
      <c r="F1801" s="24">
        <f t="shared" si="253"/>
        <v>41.37583523597641</v>
      </c>
      <c r="G1801" s="14">
        <f t="shared" si="254"/>
        <v>651.19225382232844</v>
      </c>
      <c r="H1801" s="24">
        <f t="shared" si="261"/>
        <v>650</v>
      </c>
      <c r="I1801" s="12">
        <f t="shared" si="255"/>
        <v>8.5128302584788595E-2</v>
      </c>
      <c r="J1801" s="3">
        <f t="shared" si="256"/>
        <v>0.7</v>
      </c>
    </row>
    <row r="1802" spans="2:10" x14ac:dyDescent="0.25">
      <c r="B1802" s="3">
        <f t="shared" si="257"/>
        <v>8925</v>
      </c>
      <c r="C1802" s="14">
        <f t="shared" si="258"/>
        <v>148.75</v>
      </c>
      <c r="D1802" s="11">
        <f t="shared" si="259"/>
        <v>1081.1895577115581</v>
      </c>
      <c r="E1802" s="24">
        <f t="shared" si="260"/>
        <v>1079.5357603313719</v>
      </c>
      <c r="F1802" s="24">
        <f t="shared" si="253"/>
        <v>41.344934504655839</v>
      </c>
      <c r="G1802" s="14">
        <f t="shared" si="254"/>
        <v>650.82783784162632</v>
      </c>
      <c r="H1802" s="24">
        <f t="shared" si="261"/>
        <v>650</v>
      </c>
      <c r="I1802" s="12">
        <f t="shared" si="255"/>
        <v>8.5079711491422377E-2</v>
      </c>
      <c r="J1802" s="3">
        <f t="shared" si="256"/>
        <v>0.7</v>
      </c>
    </row>
    <row r="1803" spans="2:10" x14ac:dyDescent="0.25">
      <c r="B1803" s="3">
        <f t="shared" si="257"/>
        <v>8930</v>
      </c>
      <c r="C1803" s="14">
        <f t="shared" si="258"/>
        <v>148.83333333333334</v>
      </c>
      <c r="D1803" s="11">
        <f t="shared" si="259"/>
        <v>1081.2734030390156</v>
      </c>
      <c r="E1803" s="24">
        <f t="shared" si="260"/>
        <v>1079.6208400428634</v>
      </c>
      <c r="F1803" s="24">
        <f t="shared" si="253"/>
        <v>41.314074903806386</v>
      </c>
      <c r="G1803" s="14">
        <f t="shared" si="254"/>
        <v>650.46383354339503</v>
      </c>
      <c r="H1803" s="24">
        <f t="shared" si="261"/>
        <v>650</v>
      </c>
      <c r="I1803" s="12">
        <f t="shared" si="255"/>
        <v>8.5031176056406213E-2</v>
      </c>
      <c r="J1803" s="3">
        <f t="shared" si="256"/>
        <v>0.7</v>
      </c>
    </row>
    <row r="1804" spans="2:10" x14ac:dyDescent="0.25">
      <c r="B1804" s="3">
        <f t="shared" si="257"/>
        <v>8935</v>
      </c>
      <c r="C1804" s="14">
        <f t="shared" si="258"/>
        <v>148.91666666666666</v>
      </c>
      <c r="D1804" s="11">
        <f t="shared" si="259"/>
        <v>1081.3572014731108</v>
      </c>
      <c r="E1804" s="24">
        <f t="shared" si="260"/>
        <v>1079.7058712189198</v>
      </c>
      <c r="F1804" s="24">
        <f t="shared" si="253"/>
        <v>41.283256354773812</v>
      </c>
      <c r="G1804" s="14">
        <f t="shared" si="254"/>
        <v>650.10024022606331</v>
      </c>
      <c r="H1804" s="24">
        <f t="shared" si="261"/>
        <v>650</v>
      </c>
      <c r="I1804" s="12">
        <f t="shared" si="255"/>
        <v>8.4982696183837234E-2</v>
      </c>
      <c r="J1804" s="3">
        <f t="shared" si="256"/>
        <v>0.7</v>
      </c>
    </row>
    <row r="1805" spans="2:10" x14ac:dyDescent="0.25">
      <c r="B1805" s="3">
        <f t="shared" si="257"/>
        <v>8940</v>
      </c>
      <c r="C1805" s="14">
        <f t="shared" si="258"/>
        <v>149</v>
      </c>
      <c r="D1805" s="11">
        <f t="shared" si="259"/>
        <v>1081.4409530662679</v>
      </c>
      <c r="E1805" s="24">
        <f t="shared" si="260"/>
        <v>1079.7908539151038</v>
      </c>
      <c r="F1805" s="24">
        <f t="shared" si="253"/>
        <v>41.25247877910283</v>
      </c>
      <c r="G1805" s="14">
        <f t="shared" si="254"/>
        <v>649.7370571896879</v>
      </c>
      <c r="H1805" s="24">
        <f t="shared" si="261"/>
        <v>650</v>
      </c>
      <c r="I1805" s="12">
        <f t="shared" si="255"/>
        <v>8.4934271778037113E-2</v>
      </c>
      <c r="J1805" s="3">
        <f t="shared" si="256"/>
        <v>0.7</v>
      </c>
    </row>
    <row r="1806" spans="2:10" x14ac:dyDescent="0.25">
      <c r="B1806" s="3">
        <f t="shared" si="257"/>
        <v>8945</v>
      </c>
      <c r="C1806" s="14">
        <f t="shared" si="258"/>
        <v>149.08333333333334</v>
      </c>
      <c r="D1806" s="11">
        <f t="shared" si="259"/>
        <v>1081.5246578708229</v>
      </c>
      <c r="E1806" s="24">
        <f t="shared" si="260"/>
        <v>1079.8757881868819</v>
      </c>
      <c r="F1806" s="24">
        <f t="shared" si="253"/>
        <v>41.221742098525738</v>
      </c>
      <c r="G1806" s="14">
        <f t="shared" si="254"/>
        <v>649.37428373583737</v>
      </c>
      <c r="H1806" s="24">
        <f t="shared" si="261"/>
        <v>650</v>
      </c>
      <c r="I1806" s="12">
        <f t="shared" si="255"/>
        <v>8.4885902743536426E-2</v>
      </c>
      <c r="J1806" s="3">
        <f t="shared" si="256"/>
        <v>0.7</v>
      </c>
    </row>
    <row r="1807" spans="2:10" x14ac:dyDescent="0.25">
      <c r="B1807" s="3">
        <f t="shared" si="257"/>
        <v>8950</v>
      </c>
      <c r="C1807" s="14">
        <f t="shared" si="258"/>
        <v>149.16666666666666</v>
      </c>
      <c r="D1807" s="11">
        <f t="shared" si="259"/>
        <v>1081.6083159390246</v>
      </c>
      <c r="E1807" s="24">
        <f t="shared" si="260"/>
        <v>1079.9606740896254</v>
      </c>
      <c r="F1807" s="24">
        <f t="shared" si="253"/>
        <v>41.191046234979467</v>
      </c>
      <c r="G1807" s="14">
        <f t="shared" si="254"/>
        <v>649.01191916788218</v>
      </c>
      <c r="H1807" s="24">
        <f t="shared" si="261"/>
        <v>650</v>
      </c>
      <c r="I1807" s="12">
        <f t="shared" si="255"/>
        <v>8.4837588985112386E-2</v>
      </c>
      <c r="J1807" s="3">
        <f t="shared" si="256"/>
        <v>0.7</v>
      </c>
    </row>
    <row r="1808" spans="2:10" x14ac:dyDescent="0.25">
      <c r="B1808" s="3">
        <f t="shared" si="257"/>
        <v>8955</v>
      </c>
      <c r="C1808" s="14">
        <f t="shared" si="258"/>
        <v>149.25</v>
      </c>
      <c r="D1808" s="11">
        <f t="shared" si="259"/>
        <v>1081.6919273230337</v>
      </c>
      <c r="E1808" s="24">
        <f t="shared" si="260"/>
        <v>1080.0455116786104</v>
      </c>
      <c r="F1808" s="24">
        <f t="shared" si="253"/>
        <v>41.16039111058285</v>
      </c>
      <c r="G1808" s="14">
        <f t="shared" si="254"/>
        <v>648.64996279039497</v>
      </c>
      <c r="H1808" s="24">
        <f t="shared" si="261"/>
        <v>650</v>
      </c>
      <c r="I1808" s="12">
        <f t="shared" si="255"/>
        <v>8.4789330407712318E-2</v>
      </c>
      <c r="J1808" s="3">
        <f t="shared" si="256"/>
        <v>0.7</v>
      </c>
    </row>
    <row r="1809" spans="2:10" x14ac:dyDescent="0.25">
      <c r="B1809" s="3">
        <f t="shared" si="257"/>
        <v>8960</v>
      </c>
      <c r="C1809" s="14">
        <f t="shared" si="258"/>
        <v>149.33333333333334</v>
      </c>
      <c r="D1809" s="11">
        <f t="shared" si="259"/>
        <v>1081.7754920749248</v>
      </c>
      <c r="E1809" s="24">
        <f t="shared" si="260"/>
        <v>1080.130301009018</v>
      </c>
      <c r="F1809" s="24">
        <f t="shared" ref="F1809:F1872" si="262">AlphaC*(D1809-E1809)</f>
        <v>41.129776647670724</v>
      </c>
      <c r="G1809" s="14">
        <f t="shared" ref="G1809:G1872" si="263">Phi*EpsilonF*Botzman/10^8*J1809*((D1809+273)^4-(E1809+273)^4)</f>
        <v>648.2884139100795</v>
      </c>
      <c r="H1809" s="24">
        <f t="shared" si="261"/>
        <v>650</v>
      </c>
      <c r="I1809" s="12">
        <f t="shared" ref="I1809:I1872" si="264">ksh*Massivete/(H1809*RhoA)*DeltaT*(F1809+G1809)</f>
        <v>8.4741126916572068E-2</v>
      </c>
      <c r="J1809" s="3">
        <f t="shared" ref="J1809:J1872" si="265">IF(E1809&lt;=500,IF(Galva=Oui,0.35,0.7),0.7)</f>
        <v>0.7</v>
      </c>
    </row>
    <row r="1810" spans="2:10" x14ac:dyDescent="0.25">
      <c r="B1810" s="3">
        <f t="shared" ref="B1810:B1873" si="266">B1809+DeltaT</f>
        <v>8965</v>
      </c>
      <c r="C1810" s="14">
        <f t="shared" ref="C1810:C1873" si="267">B1810/60</f>
        <v>149.41666666666666</v>
      </c>
      <c r="D1810" s="11">
        <f t="shared" ref="D1810:D1873" si="268">20+345*LOG(8*C1810+1,10)</f>
        <v>1081.8590102466842</v>
      </c>
      <c r="E1810" s="24">
        <f t="shared" si="260"/>
        <v>1080.2150421359345</v>
      </c>
      <c r="F1810" s="24">
        <f t="shared" si="262"/>
        <v>41.099202768742771</v>
      </c>
      <c r="G1810" s="14">
        <f t="shared" si="263"/>
        <v>647.92727183468651</v>
      </c>
      <c r="H1810" s="24">
        <f t="shared" si="261"/>
        <v>650</v>
      </c>
      <c r="I1810" s="12">
        <f t="shared" si="264"/>
        <v>8.4692978417076431E-2</v>
      </c>
      <c r="J1810" s="3">
        <f t="shared" si="265"/>
        <v>0.7</v>
      </c>
    </row>
    <row r="1811" spans="2:10" x14ac:dyDescent="0.25">
      <c r="B1811" s="3">
        <f t="shared" si="266"/>
        <v>8970</v>
      </c>
      <c r="C1811" s="14">
        <f t="shared" si="267"/>
        <v>149.5</v>
      </c>
      <c r="D1811" s="11">
        <f t="shared" si="268"/>
        <v>1081.9424818902114</v>
      </c>
      <c r="E1811" s="24">
        <f t="shared" si="260"/>
        <v>1080.2997351143515</v>
      </c>
      <c r="F1811" s="24">
        <f t="shared" si="262"/>
        <v>41.068669396497626</v>
      </c>
      <c r="G1811" s="14">
        <f t="shared" si="263"/>
        <v>647.56653587369135</v>
      </c>
      <c r="H1811" s="24">
        <f t="shared" si="261"/>
        <v>650</v>
      </c>
      <c r="I1811" s="12">
        <f t="shared" si="264"/>
        <v>8.4644884814846624E-2</v>
      </c>
      <c r="J1811" s="3">
        <f t="shared" si="265"/>
        <v>0.7</v>
      </c>
    </row>
    <row r="1812" spans="2:10" x14ac:dyDescent="0.25">
      <c r="B1812" s="3">
        <f t="shared" si="266"/>
        <v>8975</v>
      </c>
      <c r="C1812" s="14">
        <f t="shared" si="267"/>
        <v>149.58333333333334</v>
      </c>
      <c r="D1812" s="11">
        <f t="shared" si="268"/>
        <v>1082.0259070573204</v>
      </c>
      <c r="E1812" s="24">
        <f t="shared" si="260"/>
        <v>1080.3843799991664</v>
      </c>
      <c r="F1812" s="24">
        <f t="shared" si="262"/>
        <v>41.038176453849928</v>
      </c>
      <c r="G1812" s="14">
        <f t="shared" si="263"/>
        <v>647.20620533835233</v>
      </c>
      <c r="H1812" s="24">
        <f t="shared" si="261"/>
        <v>650</v>
      </c>
      <c r="I1812" s="12">
        <f t="shared" si="264"/>
        <v>8.4596846015749586E-2</v>
      </c>
      <c r="J1812" s="3">
        <f t="shared" si="265"/>
        <v>0.7</v>
      </c>
    </row>
    <row r="1813" spans="2:10" x14ac:dyDescent="0.25">
      <c r="B1813" s="3">
        <f t="shared" si="266"/>
        <v>8980</v>
      </c>
      <c r="C1813" s="14">
        <f t="shared" si="267"/>
        <v>149.66666666666666</v>
      </c>
      <c r="D1813" s="11">
        <f t="shared" si="268"/>
        <v>1082.1092857997373</v>
      </c>
      <c r="E1813" s="24">
        <f t="shared" si="260"/>
        <v>1080.4689768451822</v>
      </c>
      <c r="F1813" s="24">
        <f t="shared" si="262"/>
        <v>41.007723863879164</v>
      </c>
      <c r="G1813" s="14">
        <f t="shared" si="263"/>
        <v>646.8462795412845</v>
      </c>
      <c r="H1813" s="24">
        <f t="shared" si="261"/>
        <v>650</v>
      </c>
      <c r="I1813" s="12">
        <f t="shared" si="264"/>
        <v>8.4548861925839269E-2</v>
      </c>
      <c r="J1813" s="3">
        <f t="shared" si="265"/>
        <v>0.7</v>
      </c>
    </row>
    <row r="1814" spans="2:10" x14ac:dyDescent="0.25">
      <c r="B1814" s="3">
        <f t="shared" si="266"/>
        <v>8985</v>
      </c>
      <c r="C1814" s="14">
        <f t="shared" si="267"/>
        <v>149.75</v>
      </c>
      <c r="D1814" s="11">
        <f t="shared" si="268"/>
        <v>1082.1926181691026</v>
      </c>
      <c r="E1814" s="24">
        <f t="shared" si="260"/>
        <v>1080.5535257071081</v>
      </c>
      <c r="F1814" s="24">
        <f t="shared" si="262"/>
        <v>40.977311549863771</v>
      </c>
      <c r="G1814" s="14">
        <f t="shared" si="263"/>
        <v>646.48675779673067</v>
      </c>
      <c r="H1814" s="24">
        <f t="shared" si="261"/>
        <v>650</v>
      </c>
      <c r="I1814" s="12">
        <f t="shared" si="264"/>
        <v>8.4500932451394201E-2</v>
      </c>
      <c r="J1814" s="3">
        <f t="shared" si="265"/>
        <v>0.7</v>
      </c>
    </row>
    <row r="1815" spans="2:10" x14ac:dyDescent="0.25">
      <c r="B1815" s="3">
        <f t="shared" si="266"/>
        <v>8990</v>
      </c>
      <c r="C1815" s="14">
        <f t="shared" si="267"/>
        <v>149.83333333333334</v>
      </c>
      <c r="D1815" s="11">
        <f t="shared" si="268"/>
        <v>1082.2759042169707</v>
      </c>
      <c r="E1815" s="24">
        <f t="shared" si="260"/>
        <v>1080.6380266395595</v>
      </c>
      <c r="F1815" s="24">
        <f t="shared" si="262"/>
        <v>40.946939435281138</v>
      </c>
      <c r="G1815" s="14">
        <f t="shared" si="263"/>
        <v>646.12763942060019</v>
      </c>
      <c r="H1815" s="24">
        <f t="shared" si="261"/>
        <v>650</v>
      </c>
      <c r="I1815" s="12">
        <f t="shared" si="264"/>
        <v>8.4453057498922152E-2</v>
      </c>
      <c r="J1815" s="3">
        <f t="shared" si="265"/>
        <v>0.7</v>
      </c>
    </row>
    <row r="1816" spans="2:10" x14ac:dyDescent="0.25">
      <c r="B1816" s="3">
        <f t="shared" si="266"/>
        <v>8995</v>
      </c>
      <c r="C1816" s="14">
        <f t="shared" si="267"/>
        <v>149.91666666666666</v>
      </c>
      <c r="D1816" s="11">
        <f t="shared" si="268"/>
        <v>1082.3591439948098</v>
      </c>
      <c r="E1816" s="24">
        <f t="shared" si="260"/>
        <v>1080.7224796970584</v>
      </c>
      <c r="F1816" s="24">
        <f t="shared" si="262"/>
        <v>40.916607443784869</v>
      </c>
      <c r="G1816" s="14">
        <f t="shared" si="263"/>
        <v>645.76892373004318</v>
      </c>
      <c r="H1816" s="24">
        <f t="shared" si="261"/>
        <v>650</v>
      </c>
      <c r="I1816" s="12">
        <f t="shared" si="264"/>
        <v>8.4405236975105102E-2</v>
      </c>
      <c r="J1816" s="3">
        <f t="shared" si="265"/>
        <v>0.7</v>
      </c>
    </row>
    <row r="1817" spans="2:10" x14ac:dyDescent="0.25">
      <c r="B1817" s="3">
        <f t="shared" si="266"/>
        <v>9000</v>
      </c>
      <c r="C1817" s="14">
        <f t="shared" si="267"/>
        <v>150</v>
      </c>
      <c r="D1817" s="11">
        <f t="shared" si="268"/>
        <v>1082.4423375540025</v>
      </c>
      <c r="E1817" s="24">
        <f t="shared" si="260"/>
        <v>1080.8068849340334</v>
      </c>
      <c r="F1817" s="24">
        <f t="shared" si="262"/>
        <v>40.886315499227521</v>
      </c>
      <c r="G1817" s="14">
        <f t="shared" si="263"/>
        <v>645.41061004416656</v>
      </c>
      <c r="H1817" s="24">
        <f t="shared" si="261"/>
        <v>650</v>
      </c>
      <c r="I1817" s="12">
        <f t="shared" si="264"/>
        <v>8.4357470786889988E-2</v>
      </c>
      <c r="J1817" s="3">
        <f t="shared" si="265"/>
        <v>0.7</v>
      </c>
    </row>
    <row r="1818" spans="2:10" x14ac:dyDescent="0.25">
      <c r="B1818" s="3">
        <f t="shared" si="266"/>
        <v>9005</v>
      </c>
      <c r="C1818" s="14">
        <f t="shared" si="267"/>
        <v>150.08333333333334</v>
      </c>
      <c r="D1818" s="11">
        <f t="shared" si="268"/>
        <v>1082.5254849458458</v>
      </c>
      <c r="E1818" s="24">
        <f t="shared" si="260"/>
        <v>1080.8912424048203</v>
      </c>
      <c r="F1818" s="24">
        <f t="shared" si="262"/>
        <v>40.856063525637865</v>
      </c>
      <c r="G1818" s="14">
        <f t="shared" si="263"/>
        <v>645.05269768320181</v>
      </c>
      <c r="H1818" s="24">
        <f t="shared" si="261"/>
        <v>650</v>
      </c>
      <c r="I1818" s="12">
        <f t="shared" si="264"/>
        <v>8.430975884138367E-2</v>
      </c>
      <c r="J1818" s="3">
        <f t="shared" si="265"/>
        <v>0.7</v>
      </c>
    </row>
    <row r="1819" spans="2:10" x14ac:dyDescent="0.25">
      <c r="B1819" s="3">
        <f t="shared" si="266"/>
        <v>9010</v>
      </c>
      <c r="C1819" s="14">
        <f t="shared" si="267"/>
        <v>150.16666666666666</v>
      </c>
      <c r="D1819" s="11">
        <f t="shared" si="268"/>
        <v>1082.6085862215518</v>
      </c>
      <c r="E1819" s="24">
        <f t="shared" si="260"/>
        <v>1080.9755521636616</v>
      </c>
      <c r="F1819" s="24">
        <f t="shared" si="262"/>
        <v>40.82585144725499</v>
      </c>
      <c r="G1819" s="14">
        <f t="shared" si="263"/>
        <v>644.69518596931789</v>
      </c>
      <c r="H1819" s="24">
        <f t="shared" si="261"/>
        <v>650</v>
      </c>
      <c r="I1819" s="12">
        <f t="shared" si="264"/>
        <v>8.4262101045956952E-2</v>
      </c>
      <c r="J1819" s="3">
        <f t="shared" si="265"/>
        <v>0.7</v>
      </c>
    </row>
    <row r="1820" spans="2:10" x14ac:dyDescent="0.25">
      <c r="B1820" s="3">
        <f t="shared" si="266"/>
        <v>9015</v>
      </c>
      <c r="C1820" s="14">
        <f t="shared" si="267"/>
        <v>150.25</v>
      </c>
      <c r="D1820" s="11">
        <f t="shared" si="268"/>
        <v>1082.6916414322463</v>
      </c>
      <c r="E1820" s="24">
        <f t="shared" si="260"/>
        <v>1081.0598142647075</v>
      </c>
      <c r="F1820" s="24">
        <f t="shared" si="262"/>
        <v>40.795679188471468</v>
      </c>
      <c r="G1820" s="14">
        <f t="shared" si="263"/>
        <v>644.33807422576956</v>
      </c>
      <c r="H1820" s="24">
        <f t="shared" si="261"/>
        <v>650</v>
      </c>
      <c r="I1820" s="12">
        <f t="shared" si="264"/>
        <v>8.4214497308133018E-2</v>
      </c>
      <c r="J1820" s="3">
        <f t="shared" si="265"/>
        <v>0.7</v>
      </c>
    </row>
    <row r="1821" spans="2:10" x14ac:dyDescent="0.25">
      <c r="B1821" s="3">
        <f t="shared" si="266"/>
        <v>9020</v>
      </c>
      <c r="C1821" s="14">
        <f t="shared" si="267"/>
        <v>150.33333333333334</v>
      </c>
      <c r="D1821" s="11">
        <f t="shared" si="268"/>
        <v>1082.7746506289716</v>
      </c>
      <c r="E1821" s="24">
        <f t="shared" si="260"/>
        <v>1081.1440287620155</v>
      </c>
      <c r="F1821" s="24">
        <f t="shared" si="262"/>
        <v>40.765546673901554</v>
      </c>
      <c r="G1821" s="14">
        <f t="shared" si="263"/>
        <v>643.98136177782658</v>
      </c>
      <c r="H1821" s="24">
        <f t="shared" si="261"/>
        <v>650</v>
      </c>
      <c r="I1821" s="12">
        <f t="shared" si="264"/>
        <v>8.4166947535709954E-2</v>
      </c>
      <c r="J1821" s="3">
        <f t="shared" si="265"/>
        <v>0.7</v>
      </c>
    </row>
    <row r="1822" spans="2:10" x14ac:dyDescent="0.25">
      <c r="B1822" s="3">
        <f t="shared" si="266"/>
        <v>9025</v>
      </c>
      <c r="C1822" s="14">
        <f t="shared" si="267"/>
        <v>150.41666666666666</v>
      </c>
      <c r="D1822" s="11">
        <f t="shared" si="268"/>
        <v>1082.857613862684</v>
      </c>
      <c r="E1822" s="24">
        <f t="shared" si="260"/>
        <v>1081.2281957095513</v>
      </c>
      <c r="F1822" s="24">
        <f t="shared" si="262"/>
        <v>40.735453828318668</v>
      </c>
      <c r="G1822" s="14">
        <f t="shared" si="263"/>
        <v>643.6250479519025</v>
      </c>
      <c r="H1822" s="24">
        <f t="shared" si="261"/>
        <v>650</v>
      </c>
      <c r="I1822" s="12">
        <f t="shared" si="264"/>
        <v>8.4119451636646012E-2</v>
      </c>
      <c r="J1822" s="3">
        <f t="shared" si="265"/>
        <v>0.7</v>
      </c>
    </row>
    <row r="1823" spans="2:10" x14ac:dyDescent="0.25">
      <c r="B1823" s="3">
        <f t="shared" si="266"/>
        <v>9030</v>
      </c>
      <c r="C1823" s="14">
        <f t="shared" si="267"/>
        <v>150.5</v>
      </c>
      <c r="D1823" s="11">
        <f t="shared" si="268"/>
        <v>1082.9405311842559</v>
      </c>
      <c r="E1823" s="24">
        <f t="shared" si="260"/>
        <v>1081.3123151611881</v>
      </c>
      <c r="F1823" s="24">
        <f t="shared" si="262"/>
        <v>40.705400576695183</v>
      </c>
      <c r="G1823" s="14">
        <f t="shared" si="263"/>
        <v>643.26913207605799</v>
      </c>
      <c r="H1823" s="24">
        <f t="shared" si="261"/>
        <v>650</v>
      </c>
      <c r="I1823" s="12">
        <f t="shared" si="264"/>
        <v>8.4072009519126328E-2</v>
      </c>
      <c r="J1823" s="3">
        <f t="shared" si="265"/>
        <v>0.7</v>
      </c>
    </row>
    <row r="1824" spans="2:10" x14ac:dyDescent="0.25">
      <c r="B1824" s="3">
        <f t="shared" si="266"/>
        <v>9035</v>
      </c>
      <c r="C1824" s="14">
        <f t="shared" si="267"/>
        <v>150.58333333333334</v>
      </c>
      <c r="D1824" s="11">
        <f t="shared" si="268"/>
        <v>1083.0234026444753</v>
      </c>
      <c r="E1824" s="24">
        <f t="shared" si="260"/>
        <v>1081.3963871707072</v>
      </c>
      <c r="F1824" s="24">
        <f t="shared" si="262"/>
        <v>40.675386844202421</v>
      </c>
      <c r="G1824" s="14">
        <f t="shared" si="263"/>
        <v>642.91361348013675</v>
      </c>
      <c r="H1824" s="24">
        <f t="shared" si="261"/>
        <v>650</v>
      </c>
      <c r="I1824" s="12">
        <f t="shared" si="264"/>
        <v>8.4024621091579696E-2</v>
      </c>
      <c r="J1824" s="3">
        <f t="shared" si="265"/>
        <v>0.7</v>
      </c>
    </row>
    <row r="1825" spans="2:10" x14ac:dyDescent="0.25">
      <c r="B1825" s="3">
        <f t="shared" si="266"/>
        <v>9040</v>
      </c>
      <c r="C1825" s="14">
        <f t="shared" si="267"/>
        <v>150.66666666666666</v>
      </c>
      <c r="D1825" s="11">
        <f t="shared" si="268"/>
        <v>1083.106228294045</v>
      </c>
      <c r="E1825" s="24">
        <f t="shared" si="260"/>
        <v>1081.4804117917988</v>
      </c>
      <c r="F1825" s="24">
        <f t="shared" si="262"/>
        <v>40.645412556153815</v>
      </c>
      <c r="G1825" s="14">
        <f t="shared" si="263"/>
        <v>642.55849149489313</v>
      </c>
      <c r="H1825" s="24">
        <f t="shared" si="261"/>
        <v>650</v>
      </c>
      <c r="I1825" s="12">
        <f t="shared" si="264"/>
        <v>8.3977286262564302E-2</v>
      </c>
      <c r="J1825" s="3">
        <f t="shared" si="265"/>
        <v>0.7</v>
      </c>
    </row>
    <row r="1826" spans="2:10" x14ac:dyDescent="0.25">
      <c r="B1826" s="3">
        <f t="shared" si="266"/>
        <v>9045</v>
      </c>
      <c r="C1826" s="14">
        <f t="shared" si="267"/>
        <v>150.75</v>
      </c>
      <c r="D1826" s="11">
        <f t="shared" si="268"/>
        <v>1083.1890081835854</v>
      </c>
      <c r="E1826" s="24">
        <f t="shared" si="260"/>
        <v>1081.5643890780614</v>
      </c>
      <c r="F1826" s="24">
        <f t="shared" si="262"/>
        <v>40.615477638101538</v>
      </c>
      <c r="G1826" s="14">
        <f t="shared" si="263"/>
        <v>642.20376545336865</v>
      </c>
      <c r="H1826" s="24">
        <f t="shared" si="261"/>
        <v>650</v>
      </c>
      <c r="I1826" s="12">
        <f t="shared" si="264"/>
        <v>8.3930004940948794E-2</v>
      </c>
      <c r="J1826" s="3">
        <f t="shared" si="265"/>
        <v>0.7</v>
      </c>
    </row>
    <row r="1827" spans="2:10" x14ac:dyDescent="0.25">
      <c r="B1827" s="3">
        <f t="shared" si="266"/>
        <v>9050</v>
      </c>
      <c r="C1827" s="14">
        <f t="shared" si="267"/>
        <v>150.83333333333334</v>
      </c>
      <c r="D1827" s="11">
        <f t="shared" si="268"/>
        <v>1083.2717423636316</v>
      </c>
      <c r="E1827" s="24">
        <f t="shared" si="260"/>
        <v>1081.6483190830022</v>
      </c>
      <c r="F1827" s="24">
        <f t="shared" si="262"/>
        <v>40.58558201573419</v>
      </c>
      <c r="G1827" s="14">
        <f t="shared" si="263"/>
        <v>641.84943468937968</v>
      </c>
      <c r="H1827" s="24">
        <f t="shared" si="261"/>
        <v>650</v>
      </c>
      <c r="I1827" s="12">
        <f t="shared" si="264"/>
        <v>8.388277703571384E-2</v>
      </c>
      <c r="J1827" s="3">
        <f t="shared" si="265"/>
        <v>0.7</v>
      </c>
    </row>
    <row r="1828" spans="2:10" x14ac:dyDescent="0.25">
      <c r="B1828" s="3">
        <f t="shared" si="266"/>
        <v>9055</v>
      </c>
      <c r="C1828" s="14">
        <f t="shared" si="267"/>
        <v>150.91666666666666</v>
      </c>
      <c r="D1828" s="11">
        <f t="shared" si="268"/>
        <v>1083.3544308846356</v>
      </c>
      <c r="E1828" s="24">
        <f t="shared" si="260"/>
        <v>1081.732201860038</v>
      </c>
      <c r="F1828" s="24">
        <f t="shared" si="262"/>
        <v>40.55572561493932</v>
      </c>
      <c r="G1828" s="14">
        <f t="shared" si="263"/>
        <v>641.49549853850647</v>
      </c>
      <c r="H1828" s="24">
        <f t="shared" si="261"/>
        <v>650</v>
      </c>
      <c r="I1828" s="12">
        <f t="shared" si="264"/>
        <v>8.3835602456081362E-2</v>
      </c>
      <c r="J1828" s="3">
        <f t="shared" si="265"/>
        <v>0.7</v>
      </c>
    </row>
    <row r="1829" spans="2:10" x14ac:dyDescent="0.25">
      <c r="B1829" s="3">
        <f t="shared" si="266"/>
        <v>9060</v>
      </c>
      <c r="C1829" s="14">
        <f t="shared" si="267"/>
        <v>151</v>
      </c>
      <c r="D1829" s="11">
        <f t="shared" si="268"/>
        <v>1083.4370737969662</v>
      </c>
      <c r="E1829" s="24">
        <f t="shared" si="260"/>
        <v>1081.816037462494</v>
      </c>
      <c r="F1829" s="24">
        <f t="shared" si="262"/>
        <v>40.525908361803431</v>
      </c>
      <c r="G1829" s="14">
        <f t="shared" si="263"/>
        <v>641.14195633815075</v>
      </c>
      <c r="H1829" s="24">
        <f t="shared" si="261"/>
        <v>650</v>
      </c>
      <c r="I1829" s="12">
        <f t="shared" si="264"/>
        <v>8.3788481111521665E-2</v>
      </c>
      <c r="J1829" s="3">
        <f t="shared" si="265"/>
        <v>0.7</v>
      </c>
    </row>
    <row r="1830" spans="2:10" x14ac:dyDescent="0.25">
      <c r="B1830" s="3">
        <f t="shared" si="266"/>
        <v>9065</v>
      </c>
      <c r="C1830" s="14">
        <f t="shared" si="267"/>
        <v>151.08333333333334</v>
      </c>
      <c r="D1830" s="11">
        <f t="shared" si="268"/>
        <v>1083.5196711509084</v>
      </c>
      <c r="E1830" s="24">
        <f t="shared" si="260"/>
        <v>1081.8998259436055</v>
      </c>
      <c r="F1830" s="24">
        <f t="shared" si="262"/>
        <v>40.496130182572188</v>
      </c>
      <c r="G1830" s="14">
        <f t="shared" si="263"/>
        <v>640.78880742676085</v>
      </c>
      <c r="H1830" s="24">
        <f t="shared" si="261"/>
        <v>650</v>
      </c>
      <c r="I1830" s="12">
        <f t="shared" si="264"/>
        <v>8.3741412911653212E-2</v>
      </c>
      <c r="J1830" s="3">
        <f t="shared" si="265"/>
        <v>0.7</v>
      </c>
    </row>
    <row r="1831" spans="2:10" x14ac:dyDescent="0.25">
      <c r="B1831" s="3">
        <f t="shared" si="266"/>
        <v>9070</v>
      </c>
      <c r="C1831" s="14">
        <f t="shared" si="267"/>
        <v>151.16666666666666</v>
      </c>
      <c r="D1831" s="11">
        <f t="shared" si="268"/>
        <v>1083.6022229966643</v>
      </c>
      <c r="E1831" s="24">
        <f t="shared" si="260"/>
        <v>1081.9835673565171</v>
      </c>
      <c r="F1831" s="24">
        <f t="shared" si="262"/>
        <v>40.466391003678837</v>
      </c>
      <c r="G1831" s="14">
        <f t="shared" si="263"/>
        <v>640.43605114439367</v>
      </c>
      <c r="H1831" s="24">
        <f t="shared" si="261"/>
        <v>650</v>
      </c>
      <c r="I1831" s="12">
        <f t="shared" si="264"/>
        <v>8.3694397766315265E-2</v>
      </c>
      <c r="J1831" s="3">
        <f t="shared" si="265"/>
        <v>0.7</v>
      </c>
    </row>
    <row r="1832" spans="2:10" x14ac:dyDescent="0.25">
      <c r="B1832" s="3">
        <f t="shared" si="266"/>
        <v>9075</v>
      </c>
      <c r="C1832" s="14">
        <f t="shared" si="267"/>
        <v>151.25</v>
      </c>
      <c r="D1832" s="11">
        <f t="shared" si="268"/>
        <v>1083.684729384353</v>
      </c>
      <c r="E1832" s="24">
        <f t="shared" si="260"/>
        <v>1082.0672617542834</v>
      </c>
      <c r="F1832" s="24">
        <f t="shared" si="262"/>
        <v>40.436690751738524</v>
      </c>
      <c r="G1832" s="14">
        <f t="shared" si="263"/>
        <v>640.08368683263689</v>
      </c>
      <c r="H1832" s="24">
        <f t="shared" si="261"/>
        <v>650</v>
      </c>
      <c r="I1832" s="12">
        <f t="shared" si="264"/>
        <v>8.3647435585557622E-2</v>
      </c>
      <c r="J1832" s="3">
        <f t="shared" si="265"/>
        <v>0.7</v>
      </c>
    </row>
    <row r="1833" spans="2:10" x14ac:dyDescent="0.25">
      <c r="B1833" s="3">
        <f t="shared" si="266"/>
        <v>9080</v>
      </c>
      <c r="C1833" s="14">
        <f t="shared" si="267"/>
        <v>151.33333333333334</v>
      </c>
      <c r="D1833" s="11">
        <f t="shared" si="268"/>
        <v>1083.767190364011</v>
      </c>
      <c r="E1833" s="24">
        <f t="shared" si="260"/>
        <v>1082.150909189869</v>
      </c>
      <c r="F1833" s="24">
        <f t="shared" si="262"/>
        <v>40.407029353548296</v>
      </c>
      <c r="G1833" s="14">
        <f t="shared" si="263"/>
        <v>639.73171383457088</v>
      </c>
      <c r="H1833" s="24">
        <f t="shared" si="261"/>
        <v>650</v>
      </c>
      <c r="I1833" s="12">
        <f t="shared" si="264"/>
        <v>8.3600526279635892E-2</v>
      </c>
      <c r="J1833" s="3">
        <f t="shared" si="265"/>
        <v>0.7</v>
      </c>
    </row>
    <row r="1834" spans="2:10" x14ac:dyDescent="0.25">
      <c r="B1834" s="3">
        <f t="shared" si="266"/>
        <v>9085</v>
      </c>
      <c r="C1834" s="14">
        <f t="shared" si="267"/>
        <v>151.41666666666666</v>
      </c>
      <c r="D1834" s="11">
        <f t="shared" si="268"/>
        <v>1083.8496059855918</v>
      </c>
      <c r="E1834" s="24">
        <f t="shared" si="260"/>
        <v>1082.2345097161488</v>
      </c>
      <c r="F1834" s="24">
        <f t="shared" si="262"/>
        <v>40.377406736075727</v>
      </c>
      <c r="G1834" s="14">
        <f t="shared" si="263"/>
        <v>639.38013149459334</v>
      </c>
      <c r="H1834" s="24">
        <f t="shared" si="261"/>
        <v>650</v>
      </c>
      <c r="I1834" s="12">
        <f t="shared" si="264"/>
        <v>8.3553669758988577E-2</v>
      </c>
      <c r="J1834" s="3">
        <f t="shared" si="265"/>
        <v>0.7</v>
      </c>
    </row>
    <row r="1835" spans="2:10" x14ac:dyDescent="0.25">
      <c r="B1835" s="3">
        <f t="shared" si="266"/>
        <v>9090</v>
      </c>
      <c r="C1835" s="14">
        <f t="shared" si="267"/>
        <v>151.5</v>
      </c>
      <c r="D1835" s="11">
        <f t="shared" si="268"/>
        <v>1083.9319762989676</v>
      </c>
      <c r="E1835" s="24">
        <f t="shared" si="260"/>
        <v>1082.3180633859076</v>
      </c>
      <c r="F1835" s="24">
        <f t="shared" si="262"/>
        <v>40.347822826498714</v>
      </c>
      <c r="G1835" s="14">
        <f t="shared" si="263"/>
        <v>639.02893915905975</v>
      </c>
      <c r="H1835" s="24">
        <f t="shared" si="261"/>
        <v>650</v>
      </c>
      <c r="I1835" s="12">
        <f t="shared" si="264"/>
        <v>8.3506865934320662E-2</v>
      </c>
      <c r="J1835" s="3">
        <f t="shared" si="265"/>
        <v>0.7</v>
      </c>
    </row>
    <row r="1836" spans="2:10" x14ac:dyDescent="0.25">
      <c r="B1836" s="3">
        <f t="shared" si="266"/>
        <v>9095</v>
      </c>
      <c r="C1836" s="14">
        <f t="shared" si="267"/>
        <v>151.58333333333334</v>
      </c>
      <c r="D1836" s="11">
        <f t="shared" si="268"/>
        <v>1084.0143013539268</v>
      </c>
      <c r="E1836" s="24">
        <f t="shared" si="260"/>
        <v>1082.401570251842</v>
      </c>
      <c r="F1836" s="24">
        <f t="shared" si="262"/>
        <v>40.318277552120207</v>
      </c>
      <c r="G1836" s="14">
        <f t="shared" si="263"/>
        <v>638.67813617508125</v>
      </c>
      <c r="H1836" s="24">
        <f t="shared" si="261"/>
        <v>650</v>
      </c>
      <c r="I1836" s="12">
        <f t="shared" si="264"/>
        <v>8.3460114716445419E-2</v>
      </c>
      <c r="J1836" s="3">
        <f t="shared" si="265"/>
        <v>0.7</v>
      </c>
    </row>
    <row r="1837" spans="2:10" x14ac:dyDescent="0.25">
      <c r="B1837" s="3">
        <f t="shared" si="266"/>
        <v>9100</v>
      </c>
      <c r="C1837" s="14">
        <f t="shared" si="267"/>
        <v>151.66666666666666</v>
      </c>
      <c r="D1837" s="11">
        <f t="shared" si="268"/>
        <v>1084.0965812001773</v>
      </c>
      <c r="E1837" s="24">
        <f t="shared" si="260"/>
        <v>1082.4850303665585</v>
      </c>
      <c r="F1837" s="24">
        <f t="shared" si="262"/>
        <v>40.288770840470534</v>
      </c>
      <c r="G1837" s="14">
        <f t="shared" si="263"/>
        <v>638.32772189184243</v>
      </c>
      <c r="H1837" s="24">
        <f t="shared" si="261"/>
        <v>650</v>
      </c>
      <c r="I1837" s="12">
        <f t="shared" si="264"/>
        <v>8.341341601645888E-2</v>
      </c>
      <c r="J1837" s="3">
        <f t="shared" si="265"/>
        <v>0.7</v>
      </c>
    </row>
    <row r="1838" spans="2:10" x14ac:dyDescent="0.25">
      <c r="B1838" s="3">
        <f t="shared" si="266"/>
        <v>9105</v>
      </c>
      <c r="C1838" s="14">
        <f t="shared" si="267"/>
        <v>151.75</v>
      </c>
      <c r="D1838" s="11">
        <f t="shared" si="268"/>
        <v>1084.1788158873442</v>
      </c>
      <c r="E1838" s="24">
        <f t="shared" si="260"/>
        <v>1082.5684437825748</v>
      </c>
      <c r="F1838" s="24">
        <f t="shared" si="262"/>
        <v>40.259302619233495</v>
      </c>
      <c r="G1838" s="14">
        <f t="shared" si="263"/>
        <v>637.9776956596329</v>
      </c>
      <c r="H1838" s="24">
        <f t="shared" si="261"/>
        <v>650</v>
      </c>
      <c r="I1838" s="12">
        <f t="shared" si="264"/>
        <v>8.3366769745611816E-2</v>
      </c>
      <c r="J1838" s="3">
        <f t="shared" si="265"/>
        <v>0.7</v>
      </c>
    </row>
    <row r="1839" spans="2:10" x14ac:dyDescent="0.25">
      <c r="B1839" s="3">
        <f t="shared" si="266"/>
        <v>9110</v>
      </c>
      <c r="C1839" s="14">
        <f t="shared" si="267"/>
        <v>151.83333333333334</v>
      </c>
      <c r="D1839" s="11">
        <f t="shared" si="268"/>
        <v>1084.2610054649708</v>
      </c>
      <c r="E1839" s="24">
        <f t="shared" si="260"/>
        <v>1082.6518105523205</v>
      </c>
      <c r="F1839" s="24">
        <f t="shared" si="262"/>
        <v>40.229872816257739</v>
      </c>
      <c r="G1839" s="14">
        <f t="shared" si="263"/>
        <v>637.628056830118</v>
      </c>
      <c r="H1839" s="24">
        <f t="shared" si="261"/>
        <v>650</v>
      </c>
      <c r="I1839" s="12">
        <f t="shared" si="264"/>
        <v>8.332017581534433E-2</v>
      </c>
      <c r="J1839" s="3">
        <f t="shared" si="265"/>
        <v>0.7</v>
      </c>
    </row>
    <row r="1840" spans="2:10" x14ac:dyDescent="0.25">
      <c r="B1840" s="3">
        <f t="shared" si="266"/>
        <v>9115</v>
      </c>
      <c r="C1840" s="14">
        <f t="shared" si="267"/>
        <v>151.91666666666666</v>
      </c>
      <c r="D1840" s="11">
        <f t="shared" si="268"/>
        <v>1084.3431499825199</v>
      </c>
      <c r="E1840" s="24">
        <f t="shared" si="260"/>
        <v>1082.7351307281358</v>
      </c>
      <c r="F1840" s="24">
        <f t="shared" si="262"/>
        <v>40.200481359602236</v>
      </c>
      <c r="G1840" s="14">
        <f t="shared" si="263"/>
        <v>637.27880475680422</v>
      </c>
      <c r="H1840" s="24">
        <f t="shared" si="261"/>
        <v>650</v>
      </c>
      <c r="I1840" s="12">
        <f t="shared" si="264"/>
        <v>8.3273634137348701E-2</v>
      </c>
      <c r="J1840" s="3">
        <f t="shared" si="265"/>
        <v>0.7</v>
      </c>
    </row>
    <row r="1841" spans="2:10" x14ac:dyDescent="0.25">
      <c r="B1841" s="3">
        <f t="shared" si="266"/>
        <v>9120</v>
      </c>
      <c r="C1841" s="14">
        <f t="shared" si="267"/>
        <v>152</v>
      </c>
      <c r="D1841" s="11">
        <f t="shared" si="268"/>
        <v>1084.4252494893722</v>
      </c>
      <c r="E1841" s="24">
        <f t="shared" si="260"/>
        <v>1082.8184043622732</v>
      </c>
      <c r="F1841" s="24">
        <f t="shared" si="262"/>
        <v>40.171128177473747</v>
      </c>
      <c r="G1841" s="14">
        <f t="shared" si="263"/>
        <v>636.92993879438018</v>
      </c>
      <c r="H1841" s="24">
        <f t="shared" si="261"/>
        <v>650</v>
      </c>
      <c r="I1841" s="12">
        <f t="shared" si="264"/>
        <v>8.3227144623480687E-2</v>
      </c>
      <c r="J1841" s="3">
        <f t="shared" si="265"/>
        <v>0.7</v>
      </c>
    </row>
    <row r="1842" spans="2:10" x14ac:dyDescent="0.25">
      <c r="B1842" s="3">
        <f t="shared" si="266"/>
        <v>9125</v>
      </c>
      <c r="C1842" s="14">
        <f t="shared" si="267"/>
        <v>152.08333333333334</v>
      </c>
      <c r="D1842" s="11">
        <f t="shared" si="268"/>
        <v>1084.5073040348275</v>
      </c>
      <c r="E1842" s="24">
        <f t="shared" si="260"/>
        <v>1082.9016315068966</v>
      </c>
      <c r="F1842" s="24">
        <f t="shared" si="262"/>
        <v>40.141813198272303</v>
      </c>
      <c r="G1842" s="14">
        <f t="shared" si="263"/>
        <v>636.58145829904618</v>
      </c>
      <c r="H1842" s="24">
        <f t="shared" si="261"/>
        <v>650</v>
      </c>
      <c r="I1842" s="12">
        <f t="shared" si="264"/>
        <v>8.3180707185805572E-2</v>
      </c>
      <c r="J1842" s="3">
        <f t="shared" si="265"/>
        <v>0.7</v>
      </c>
    </row>
    <row r="1843" spans="2:10" x14ac:dyDescent="0.25">
      <c r="B1843" s="3">
        <f t="shared" si="266"/>
        <v>9130</v>
      </c>
      <c r="C1843" s="14">
        <f t="shared" si="267"/>
        <v>152.16666666666666</v>
      </c>
      <c r="D1843" s="11">
        <f t="shared" si="268"/>
        <v>1084.5893136681048</v>
      </c>
      <c r="E1843" s="24">
        <f t="shared" si="260"/>
        <v>1082.9848122140825</v>
      </c>
      <c r="F1843" s="24">
        <f t="shared" si="262"/>
        <v>40.112536350557093</v>
      </c>
      <c r="G1843" s="14">
        <f t="shared" si="263"/>
        <v>636.23336262841735</v>
      </c>
      <c r="H1843" s="24">
        <f t="shared" si="261"/>
        <v>650</v>
      </c>
      <c r="I1843" s="12">
        <f t="shared" si="264"/>
        <v>8.3134321736582154E-2</v>
      </c>
      <c r="J1843" s="3">
        <f t="shared" si="265"/>
        <v>0.7</v>
      </c>
    </row>
    <row r="1844" spans="2:10" x14ac:dyDescent="0.25">
      <c r="B1844" s="3">
        <f t="shared" si="266"/>
        <v>9135</v>
      </c>
      <c r="C1844" s="14">
        <f t="shared" si="267"/>
        <v>152.25</v>
      </c>
      <c r="D1844" s="11">
        <f t="shared" si="268"/>
        <v>1084.6712784383415</v>
      </c>
      <c r="E1844" s="24">
        <f t="shared" ref="E1844:E1907" si="269">E1843+I1843</f>
        <v>1083.0679465358191</v>
      </c>
      <c r="F1844" s="24">
        <f t="shared" si="262"/>
        <v>40.08329756305784</v>
      </c>
      <c r="G1844" s="14">
        <f t="shared" si="263"/>
        <v>635.88565114127141</v>
      </c>
      <c r="H1844" s="24">
        <f t="shared" ref="H1844:H1907" si="270">IF(E1844&lt;600,425+0.773*E1844-1.69/1000*E1844^2+2.22/1000^2*E1844^3,IF(E1844&lt;735,666+13002/(738-E1844),IF(E1844&lt;900,545+17820/(E1844-731),650)))</f>
        <v>650</v>
      </c>
      <c r="I1844" s="12">
        <f t="shared" si="264"/>
        <v>8.308798818823307E-2</v>
      </c>
      <c r="J1844" s="3">
        <f t="shared" si="265"/>
        <v>0.7</v>
      </c>
    </row>
    <row r="1845" spans="2:10" x14ac:dyDescent="0.25">
      <c r="B1845" s="3">
        <f t="shared" si="266"/>
        <v>9140</v>
      </c>
      <c r="C1845" s="14">
        <f t="shared" si="267"/>
        <v>152.33333333333334</v>
      </c>
      <c r="D1845" s="11">
        <f t="shared" si="268"/>
        <v>1084.753198394596</v>
      </c>
      <c r="E1845" s="24">
        <f t="shared" si="269"/>
        <v>1083.1510345240074</v>
      </c>
      <c r="F1845" s="24">
        <f t="shared" si="262"/>
        <v>40.054096764714586</v>
      </c>
      <c r="G1845" s="14">
        <f t="shared" si="263"/>
        <v>635.53832319859555</v>
      </c>
      <c r="H1845" s="24">
        <f t="shared" si="270"/>
        <v>650</v>
      </c>
      <c r="I1845" s="12">
        <f t="shared" si="264"/>
        <v>8.3041706453478401E-2</v>
      </c>
      <c r="J1845" s="3">
        <f t="shared" si="265"/>
        <v>0.7</v>
      </c>
    </row>
    <row r="1846" spans="2:10" x14ac:dyDescent="0.25">
      <c r="B1846" s="3">
        <f t="shared" si="266"/>
        <v>9145</v>
      </c>
      <c r="C1846" s="14">
        <f t="shared" si="267"/>
        <v>152.41666666666666</v>
      </c>
      <c r="D1846" s="11">
        <f t="shared" si="268"/>
        <v>1084.8350735858446</v>
      </c>
      <c r="E1846" s="24">
        <f t="shared" si="269"/>
        <v>1083.2340762304609</v>
      </c>
      <c r="F1846" s="24">
        <f t="shared" si="262"/>
        <v>40.024933884592429</v>
      </c>
      <c r="G1846" s="14">
        <f t="shared" si="263"/>
        <v>635.19137816186139</v>
      </c>
      <c r="H1846" s="24">
        <f t="shared" si="270"/>
        <v>650</v>
      </c>
      <c r="I1846" s="12">
        <f t="shared" si="264"/>
        <v>8.2995476445113139E-2</v>
      </c>
      <c r="J1846" s="3">
        <f t="shared" si="265"/>
        <v>0.7</v>
      </c>
    </row>
    <row r="1847" spans="2:10" x14ac:dyDescent="0.25">
      <c r="B1847" s="3">
        <f t="shared" si="266"/>
        <v>9150</v>
      </c>
      <c r="C1847" s="14">
        <f t="shared" si="267"/>
        <v>152.5</v>
      </c>
      <c r="D1847" s="11">
        <f t="shared" si="268"/>
        <v>1084.9169040609843</v>
      </c>
      <c r="E1847" s="24">
        <f t="shared" si="269"/>
        <v>1083.3170717069061</v>
      </c>
      <c r="F1847" s="24">
        <f t="shared" si="262"/>
        <v>39.995808851955417</v>
      </c>
      <c r="G1847" s="14">
        <f t="shared" si="263"/>
        <v>634.84481539453657</v>
      </c>
      <c r="H1847" s="24">
        <f t="shared" si="270"/>
        <v>650</v>
      </c>
      <c r="I1847" s="12">
        <f t="shared" si="264"/>
        <v>8.2949298076202063E-2</v>
      </c>
      <c r="J1847" s="3">
        <f t="shared" si="265"/>
        <v>0.7</v>
      </c>
    </row>
    <row r="1848" spans="2:10" x14ac:dyDescent="0.25">
      <c r="B1848" s="3">
        <f t="shared" si="266"/>
        <v>9155</v>
      </c>
      <c r="C1848" s="14">
        <f t="shared" si="267"/>
        <v>152.58333333333334</v>
      </c>
      <c r="D1848" s="11">
        <f t="shared" si="268"/>
        <v>1084.9986898688321</v>
      </c>
      <c r="E1848" s="24">
        <f t="shared" si="269"/>
        <v>1083.4000210049824</v>
      </c>
      <c r="F1848" s="24">
        <f t="shared" si="262"/>
        <v>39.966721596243815</v>
      </c>
      <c r="G1848" s="14">
        <f t="shared" si="263"/>
        <v>634.49863426150364</v>
      </c>
      <c r="H1848" s="24">
        <f t="shared" si="270"/>
        <v>650</v>
      </c>
      <c r="I1848" s="12">
        <f t="shared" si="264"/>
        <v>8.290317126000557E-2</v>
      </c>
      <c r="J1848" s="3">
        <f t="shared" si="265"/>
        <v>0.7</v>
      </c>
    </row>
    <row r="1849" spans="2:10" x14ac:dyDescent="0.25">
      <c r="B1849" s="3">
        <f t="shared" si="266"/>
        <v>9160</v>
      </c>
      <c r="C1849" s="14">
        <f t="shared" si="267"/>
        <v>152.66666666666666</v>
      </c>
      <c r="D1849" s="11">
        <f t="shared" si="268"/>
        <v>1085.0804310581243</v>
      </c>
      <c r="E1849" s="24">
        <f t="shared" si="269"/>
        <v>1083.4829241762425</v>
      </c>
      <c r="F1849" s="24">
        <f t="shared" si="262"/>
        <v>39.93767204704568</v>
      </c>
      <c r="G1849" s="14">
        <f t="shared" si="263"/>
        <v>634.15283412859469</v>
      </c>
      <c r="H1849" s="24">
        <f t="shared" si="270"/>
        <v>650</v>
      </c>
      <c r="I1849" s="12">
        <f t="shared" si="264"/>
        <v>8.2857095909918896E-2</v>
      </c>
      <c r="J1849" s="3">
        <f t="shared" si="265"/>
        <v>0.7</v>
      </c>
    </row>
    <row r="1850" spans="2:10" x14ac:dyDescent="0.25">
      <c r="B1850" s="3">
        <f t="shared" si="266"/>
        <v>9165</v>
      </c>
      <c r="C1850" s="14">
        <f t="shared" si="267"/>
        <v>152.75</v>
      </c>
      <c r="D1850" s="11">
        <f t="shared" si="268"/>
        <v>1085.1621276775184</v>
      </c>
      <c r="E1850" s="24">
        <f t="shared" si="269"/>
        <v>1083.5657812721524</v>
      </c>
      <c r="F1850" s="24">
        <f t="shared" si="262"/>
        <v>39.908660134148022</v>
      </c>
      <c r="G1850" s="14">
        <f t="shared" si="263"/>
        <v>633.80741436361848</v>
      </c>
      <c r="H1850" s="24">
        <f t="shared" si="270"/>
        <v>650</v>
      </c>
      <c r="I1850" s="12">
        <f t="shared" si="264"/>
        <v>8.28110719396047E-2</v>
      </c>
      <c r="J1850" s="3">
        <f t="shared" si="265"/>
        <v>0.7</v>
      </c>
    </row>
    <row r="1851" spans="2:10" x14ac:dyDescent="0.25">
      <c r="B1851" s="3">
        <f t="shared" si="266"/>
        <v>9170</v>
      </c>
      <c r="C1851" s="14">
        <f t="shared" si="267"/>
        <v>152.83333333333334</v>
      </c>
      <c r="D1851" s="11">
        <f t="shared" si="268"/>
        <v>1085.2437797755917</v>
      </c>
      <c r="E1851" s="24">
        <f t="shared" si="269"/>
        <v>1083.6485923440921</v>
      </c>
      <c r="F1851" s="24">
        <f t="shared" si="262"/>
        <v>39.879685787491326</v>
      </c>
      <c r="G1851" s="14">
        <f t="shared" si="263"/>
        <v>633.46237433554688</v>
      </c>
      <c r="H1851" s="24">
        <f t="shared" si="270"/>
        <v>650</v>
      </c>
      <c r="I1851" s="12">
        <f t="shared" si="264"/>
        <v>8.2765099262887498E-2</v>
      </c>
      <c r="J1851" s="3">
        <f t="shared" si="265"/>
        <v>0.7</v>
      </c>
    </row>
    <row r="1852" spans="2:10" x14ac:dyDescent="0.25">
      <c r="B1852" s="3">
        <f t="shared" si="266"/>
        <v>9175</v>
      </c>
      <c r="C1852" s="14">
        <f t="shared" si="267"/>
        <v>152.91666666666666</v>
      </c>
      <c r="D1852" s="11">
        <f t="shared" si="268"/>
        <v>1085.3253874008426</v>
      </c>
      <c r="E1852" s="24">
        <f t="shared" si="269"/>
        <v>1083.7313574433549</v>
      </c>
      <c r="F1852" s="24">
        <f t="shared" si="262"/>
        <v>39.850748937192293</v>
      </c>
      <c r="G1852" s="14">
        <f t="shared" si="263"/>
        <v>633.11771341470796</v>
      </c>
      <c r="H1852" s="24">
        <f t="shared" si="270"/>
        <v>650</v>
      </c>
      <c r="I1852" s="12">
        <f t="shared" si="264"/>
        <v>8.2719177793780144E-2</v>
      </c>
      <c r="J1852" s="3">
        <f t="shared" si="265"/>
        <v>0.7</v>
      </c>
    </row>
    <row r="1853" spans="2:10" x14ac:dyDescent="0.25">
      <c r="B1853" s="3">
        <f t="shared" si="266"/>
        <v>9180</v>
      </c>
      <c r="C1853" s="14">
        <f t="shared" si="267"/>
        <v>153</v>
      </c>
      <c r="D1853" s="11">
        <f t="shared" si="268"/>
        <v>1085.4069506016901</v>
      </c>
      <c r="E1853" s="24">
        <f t="shared" si="269"/>
        <v>1083.8140766211486</v>
      </c>
      <c r="F1853" s="24">
        <f t="shared" si="262"/>
        <v>39.821849513538154</v>
      </c>
      <c r="G1853" s="14">
        <f t="shared" si="263"/>
        <v>632.77343097294147</v>
      </c>
      <c r="H1853" s="24">
        <f t="shared" si="270"/>
        <v>650</v>
      </c>
      <c r="I1853" s="12">
        <f t="shared" si="264"/>
        <v>8.2673307446502253E-2</v>
      </c>
      <c r="J1853" s="3">
        <f t="shared" si="265"/>
        <v>0.7</v>
      </c>
    </row>
    <row r="1854" spans="2:10" x14ac:dyDescent="0.25">
      <c r="B1854" s="3">
        <f t="shared" si="266"/>
        <v>9185</v>
      </c>
      <c r="C1854" s="14">
        <f t="shared" si="267"/>
        <v>153.08333333333334</v>
      </c>
      <c r="D1854" s="11">
        <f t="shared" si="268"/>
        <v>1085.488469426474</v>
      </c>
      <c r="E1854" s="24">
        <f t="shared" si="269"/>
        <v>1083.8967499285952</v>
      </c>
      <c r="F1854" s="24">
        <f t="shared" si="262"/>
        <v>39.792987446969619</v>
      </c>
      <c r="G1854" s="14">
        <f t="shared" si="263"/>
        <v>632.42952638323095</v>
      </c>
      <c r="H1854" s="24">
        <f t="shared" si="270"/>
        <v>650</v>
      </c>
      <c r="I1854" s="12">
        <f t="shared" si="264"/>
        <v>8.2627488135432942E-2</v>
      </c>
      <c r="J1854" s="3">
        <f t="shared" si="265"/>
        <v>0.7</v>
      </c>
    </row>
    <row r="1855" spans="2:10" x14ac:dyDescent="0.25">
      <c r="B1855" s="3">
        <f t="shared" si="266"/>
        <v>9190</v>
      </c>
      <c r="C1855" s="14">
        <f t="shared" si="267"/>
        <v>153.16666666666666</v>
      </c>
      <c r="D1855" s="11">
        <f t="shared" si="268"/>
        <v>1085.5699439234552</v>
      </c>
      <c r="E1855" s="24">
        <f t="shared" si="269"/>
        <v>1083.9793774167306</v>
      </c>
      <c r="F1855" s="24">
        <f t="shared" si="262"/>
        <v>39.764162668114977</v>
      </c>
      <c r="G1855" s="14">
        <f t="shared" si="263"/>
        <v>632.08599902020671</v>
      </c>
      <c r="H1855" s="24">
        <f t="shared" si="270"/>
        <v>650</v>
      </c>
      <c r="I1855" s="12">
        <f t="shared" si="264"/>
        <v>8.2581719775176754E-2</v>
      </c>
      <c r="J1855" s="3">
        <f t="shared" si="265"/>
        <v>0.7</v>
      </c>
    </row>
    <row r="1856" spans="2:10" x14ac:dyDescent="0.25">
      <c r="B1856" s="3">
        <f t="shared" si="266"/>
        <v>9195</v>
      </c>
      <c r="C1856" s="14">
        <f t="shared" si="267"/>
        <v>153.25</v>
      </c>
      <c r="D1856" s="11">
        <f t="shared" si="268"/>
        <v>1085.6513741408164</v>
      </c>
      <c r="E1856" s="24">
        <f t="shared" si="269"/>
        <v>1084.0619591365057</v>
      </c>
      <c r="F1856" s="24">
        <f t="shared" si="262"/>
        <v>39.735375107767368</v>
      </c>
      <c r="G1856" s="14">
        <f t="shared" si="263"/>
        <v>631.7428482598948</v>
      </c>
      <c r="H1856" s="24">
        <f t="shared" si="270"/>
        <v>650</v>
      </c>
      <c r="I1856" s="12">
        <f t="shared" si="264"/>
        <v>8.2536002280530082E-2</v>
      </c>
      <c r="J1856" s="3">
        <f t="shared" si="265"/>
        <v>0.7</v>
      </c>
    </row>
    <row r="1857" spans="2:10" x14ac:dyDescent="0.25">
      <c r="B1857" s="3">
        <f t="shared" si="266"/>
        <v>9200</v>
      </c>
      <c r="C1857" s="14">
        <f t="shared" si="267"/>
        <v>153.33333333333334</v>
      </c>
      <c r="D1857" s="11">
        <f t="shared" si="268"/>
        <v>1085.7327601266613</v>
      </c>
      <c r="E1857" s="24">
        <f t="shared" si="269"/>
        <v>1084.1444951387862</v>
      </c>
      <c r="F1857" s="24">
        <f t="shared" si="262"/>
        <v>39.706624696879089</v>
      </c>
      <c r="G1857" s="14">
        <f t="shared" si="263"/>
        <v>631.40007347950325</v>
      </c>
      <c r="H1857" s="24">
        <f t="shared" si="270"/>
        <v>650</v>
      </c>
      <c r="I1857" s="12">
        <f t="shared" si="264"/>
        <v>8.2490335566454145E-2</v>
      </c>
      <c r="J1857" s="3">
        <f t="shared" si="265"/>
        <v>0.7</v>
      </c>
    </row>
    <row r="1858" spans="2:10" x14ac:dyDescent="0.25">
      <c r="B1858" s="3">
        <f t="shared" si="266"/>
        <v>9205</v>
      </c>
      <c r="C1858" s="14">
        <f t="shared" si="267"/>
        <v>153.41666666666666</v>
      </c>
      <c r="D1858" s="11">
        <f t="shared" si="268"/>
        <v>1085.8141019290156</v>
      </c>
      <c r="E1858" s="24">
        <f t="shared" si="269"/>
        <v>1084.2269854743527</v>
      </c>
      <c r="F1858" s="24">
        <f t="shared" si="262"/>
        <v>39.677911366572971</v>
      </c>
      <c r="G1858" s="14">
        <f t="shared" si="263"/>
        <v>631.05767405773236</v>
      </c>
      <c r="H1858" s="24">
        <f t="shared" si="270"/>
        <v>650</v>
      </c>
      <c r="I1858" s="12">
        <f t="shared" si="264"/>
        <v>8.2444719548114567E-2</v>
      </c>
      <c r="J1858" s="3">
        <f t="shared" si="265"/>
        <v>0.7</v>
      </c>
    </row>
    <row r="1859" spans="2:10" x14ac:dyDescent="0.25">
      <c r="B1859" s="3">
        <f t="shared" si="266"/>
        <v>9210</v>
      </c>
      <c r="C1859" s="14">
        <f t="shared" si="267"/>
        <v>153.5</v>
      </c>
      <c r="D1859" s="11">
        <f t="shared" si="268"/>
        <v>1085.8953995958263</v>
      </c>
      <c r="E1859" s="24">
        <f t="shared" si="269"/>
        <v>1084.3094301939009</v>
      </c>
      <c r="F1859" s="24">
        <f t="shared" si="262"/>
        <v>39.649235048136688</v>
      </c>
      <c r="G1859" s="14">
        <f t="shared" si="263"/>
        <v>630.71564937467804</v>
      </c>
      <c r="H1859" s="24">
        <f t="shared" si="270"/>
        <v>650</v>
      </c>
      <c r="I1859" s="12">
        <f t="shared" si="264"/>
        <v>8.2399154140868791E-2</v>
      </c>
      <c r="J1859" s="3">
        <f t="shared" si="265"/>
        <v>0.7</v>
      </c>
    </row>
    <row r="1860" spans="2:10" x14ac:dyDescent="0.25">
      <c r="B1860" s="3">
        <f t="shared" si="266"/>
        <v>9215</v>
      </c>
      <c r="C1860" s="14">
        <f t="shared" si="267"/>
        <v>153.58333333333334</v>
      </c>
      <c r="D1860" s="11">
        <f t="shared" si="268"/>
        <v>1085.9766531749635</v>
      </c>
      <c r="E1860" s="24">
        <f t="shared" si="269"/>
        <v>1084.3918293480417</v>
      </c>
      <c r="F1860" s="24">
        <f t="shared" si="262"/>
        <v>39.6205956730455</v>
      </c>
      <c r="G1860" s="14">
        <f t="shared" si="263"/>
        <v>630.3739988119861</v>
      </c>
      <c r="H1860" s="24">
        <f t="shared" si="270"/>
        <v>650</v>
      </c>
      <c r="I1860" s="12">
        <f t="shared" si="264"/>
        <v>8.2353639260287784E-2</v>
      </c>
      <c r="J1860" s="3">
        <f t="shared" si="265"/>
        <v>0.7</v>
      </c>
    </row>
    <row r="1861" spans="2:10" x14ac:dyDescent="0.25">
      <c r="B1861" s="3">
        <f t="shared" si="266"/>
        <v>9220</v>
      </c>
      <c r="C1861" s="14">
        <f t="shared" si="267"/>
        <v>153.66666666666666</v>
      </c>
      <c r="D1861" s="11">
        <f t="shared" si="268"/>
        <v>1086.0578627142181</v>
      </c>
      <c r="E1861" s="24">
        <f t="shared" si="269"/>
        <v>1084.4741829873019</v>
      </c>
      <c r="F1861" s="24">
        <f t="shared" si="262"/>
        <v>39.591993172905404</v>
      </c>
      <c r="G1861" s="14">
        <f t="shared" si="263"/>
        <v>630.03272175221355</v>
      </c>
      <c r="H1861" s="24">
        <f t="shared" si="270"/>
        <v>650</v>
      </c>
      <c r="I1861" s="12">
        <f t="shared" si="264"/>
        <v>8.2308174822070618E-2</v>
      </c>
      <c r="J1861" s="3">
        <f t="shared" si="265"/>
        <v>0.7</v>
      </c>
    </row>
    <row r="1862" spans="2:10" x14ac:dyDescent="0.25">
      <c r="B1862" s="3">
        <f t="shared" si="266"/>
        <v>9225</v>
      </c>
      <c r="C1862" s="14">
        <f t="shared" si="267"/>
        <v>153.75</v>
      </c>
      <c r="D1862" s="11">
        <f t="shared" si="268"/>
        <v>1086.139028261304</v>
      </c>
      <c r="E1862" s="24">
        <f t="shared" si="269"/>
        <v>1084.5564911621241</v>
      </c>
      <c r="F1862" s="24">
        <f t="shared" si="262"/>
        <v>39.563427479498614</v>
      </c>
      <c r="G1862" s="14">
        <f t="shared" si="263"/>
        <v>629.69181757954527</v>
      </c>
      <c r="H1862" s="24">
        <f t="shared" si="270"/>
        <v>650</v>
      </c>
      <c r="I1862" s="12">
        <f t="shared" si="264"/>
        <v>8.2262760742138105E-2</v>
      </c>
      <c r="J1862" s="3">
        <f t="shared" si="265"/>
        <v>0.7</v>
      </c>
    </row>
    <row r="1863" spans="2:10" x14ac:dyDescent="0.25">
      <c r="B1863" s="3">
        <f t="shared" si="266"/>
        <v>9230</v>
      </c>
      <c r="C1863" s="14">
        <f t="shared" si="267"/>
        <v>153.83333333333334</v>
      </c>
      <c r="D1863" s="11">
        <f t="shared" si="268"/>
        <v>1086.2201498638578</v>
      </c>
      <c r="E1863" s="24">
        <f t="shared" si="269"/>
        <v>1084.6387539228663</v>
      </c>
      <c r="F1863" s="24">
        <f t="shared" si="262"/>
        <v>39.534898524789241</v>
      </c>
      <c r="G1863" s="14">
        <f t="shared" si="263"/>
        <v>629.35128567963909</v>
      </c>
      <c r="H1863" s="24">
        <f t="shared" si="270"/>
        <v>650</v>
      </c>
      <c r="I1863" s="12">
        <f t="shared" si="264"/>
        <v>8.2217396936614479E-2</v>
      </c>
      <c r="J1863" s="3">
        <f t="shared" si="265"/>
        <v>0.7</v>
      </c>
    </row>
    <row r="1864" spans="2:10" x14ac:dyDescent="0.25">
      <c r="B1864" s="3">
        <f t="shared" si="266"/>
        <v>9235</v>
      </c>
      <c r="C1864" s="14">
        <f t="shared" si="267"/>
        <v>153.91666666666666</v>
      </c>
      <c r="D1864" s="11">
        <f t="shared" si="268"/>
        <v>1086.3012275694382</v>
      </c>
      <c r="E1864" s="24">
        <f t="shared" si="269"/>
        <v>1084.7209713198029</v>
      </c>
      <c r="F1864" s="24">
        <f t="shared" si="262"/>
        <v>39.506406240883507</v>
      </c>
      <c r="G1864" s="14">
        <f t="shared" si="263"/>
        <v>629.01112543931526</v>
      </c>
      <c r="H1864" s="24">
        <f t="shared" si="270"/>
        <v>650</v>
      </c>
      <c r="I1864" s="12">
        <f t="shared" si="264"/>
        <v>8.2172083321784301E-2</v>
      </c>
      <c r="J1864" s="3">
        <f t="shared" si="265"/>
        <v>0.7</v>
      </c>
    </row>
    <row r="1865" spans="2:10" x14ac:dyDescent="0.25">
      <c r="B1865" s="3">
        <f t="shared" si="266"/>
        <v>9240</v>
      </c>
      <c r="C1865" s="14">
        <f t="shared" si="267"/>
        <v>154</v>
      </c>
      <c r="D1865" s="11">
        <f t="shared" si="268"/>
        <v>1086.3822614255273</v>
      </c>
      <c r="E1865" s="24">
        <f t="shared" si="269"/>
        <v>1084.8031434031247</v>
      </c>
      <c r="F1865" s="24">
        <f t="shared" si="262"/>
        <v>39.477950560063846</v>
      </c>
      <c r="G1865" s="14">
        <f t="shared" si="263"/>
        <v>628.67133624680923</v>
      </c>
      <c r="H1865" s="24">
        <f t="shared" si="270"/>
        <v>650</v>
      </c>
      <c r="I1865" s="12">
        <f t="shared" si="264"/>
        <v>8.2126819814127755E-2</v>
      </c>
      <c r="J1865" s="3">
        <f t="shared" si="265"/>
        <v>0.7</v>
      </c>
    </row>
    <row r="1866" spans="2:10" x14ac:dyDescent="0.25">
      <c r="B1866" s="3">
        <f t="shared" si="266"/>
        <v>9245</v>
      </c>
      <c r="C1866" s="14">
        <f t="shared" si="267"/>
        <v>154.08333333333334</v>
      </c>
      <c r="D1866" s="11">
        <f t="shared" si="268"/>
        <v>1086.4632514795298</v>
      </c>
      <c r="E1866" s="24">
        <f t="shared" si="269"/>
        <v>1084.885270222939</v>
      </c>
      <c r="F1866" s="24">
        <f t="shared" si="262"/>
        <v>39.449531414771855</v>
      </c>
      <c r="G1866" s="14">
        <f t="shared" si="263"/>
        <v>628.33191749171272</v>
      </c>
      <c r="H1866" s="24">
        <f t="shared" si="270"/>
        <v>650</v>
      </c>
      <c r="I1866" s="12">
        <f t="shared" si="264"/>
        <v>8.2081606330311307E-2</v>
      </c>
      <c r="J1866" s="3">
        <f t="shared" si="265"/>
        <v>0.7</v>
      </c>
    </row>
    <row r="1867" spans="2:10" x14ac:dyDescent="0.25">
      <c r="B1867" s="3">
        <f t="shared" si="266"/>
        <v>9250</v>
      </c>
      <c r="C1867" s="14">
        <f t="shared" si="267"/>
        <v>154.16666666666666</v>
      </c>
      <c r="D1867" s="11">
        <f t="shared" si="268"/>
        <v>1086.5441977787739</v>
      </c>
      <c r="E1867" s="24">
        <f t="shared" si="269"/>
        <v>1084.9673518292693</v>
      </c>
      <c r="F1867" s="24">
        <f t="shared" si="262"/>
        <v>39.421148737613976</v>
      </c>
      <c r="G1867" s="14">
        <f t="shared" si="263"/>
        <v>627.99286856501294</v>
      </c>
      <c r="H1867" s="24">
        <f t="shared" si="270"/>
        <v>650</v>
      </c>
      <c r="I1867" s="12">
        <f t="shared" si="264"/>
        <v>8.2036442787193201E-2</v>
      </c>
      <c r="J1867" s="3">
        <f t="shared" si="265"/>
        <v>0.7</v>
      </c>
    </row>
    <row r="1868" spans="2:10" x14ac:dyDescent="0.25">
      <c r="B1868" s="3">
        <f t="shared" si="266"/>
        <v>9255</v>
      </c>
      <c r="C1868" s="14">
        <f t="shared" si="267"/>
        <v>154.25</v>
      </c>
      <c r="D1868" s="11">
        <f t="shared" si="268"/>
        <v>1086.6251003705111</v>
      </c>
      <c r="E1868" s="24">
        <f t="shared" si="269"/>
        <v>1085.0493882720566</v>
      </c>
      <c r="F1868" s="24">
        <f t="shared" si="262"/>
        <v>39.392802461361498</v>
      </c>
      <c r="G1868" s="14">
        <f t="shared" si="263"/>
        <v>627.65418885903432</v>
      </c>
      <c r="H1868" s="24">
        <f t="shared" si="270"/>
        <v>650</v>
      </c>
      <c r="I1868" s="12">
        <f t="shared" si="264"/>
        <v>8.1991329101816321E-2</v>
      </c>
      <c r="J1868" s="3">
        <f t="shared" si="265"/>
        <v>0.7</v>
      </c>
    </row>
    <row r="1869" spans="2:10" x14ac:dyDescent="0.25">
      <c r="B1869" s="3">
        <f t="shared" si="266"/>
        <v>9260</v>
      </c>
      <c r="C1869" s="14">
        <f t="shared" si="267"/>
        <v>154.33333333333334</v>
      </c>
      <c r="D1869" s="11">
        <f t="shared" si="268"/>
        <v>1086.7059593019158</v>
      </c>
      <c r="E1869" s="24">
        <f t="shared" si="269"/>
        <v>1085.1313796011584</v>
      </c>
      <c r="F1869" s="24">
        <f t="shared" si="262"/>
        <v>39.364492518933503</v>
      </c>
      <c r="G1869" s="14">
        <f t="shared" si="263"/>
        <v>627.31587776726394</v>
      </c>
      <c r="H1869" s="24">
        <f t="shared" si="270"/>
        <v>650</v>
      </c>
      <c r="I1869" s="12">
        <f t="shared" si="264"/>
        <v>8.1946265191384607E-2</v>
      </c>
      <c r="J1869" s="3">
        <f t="shared" si="265"/>
        <v>0.7</v>
      </c>
    </row>
    <row r="1870" spans="2:10" x14ac:dyDescent="0.25">
      <c r="B1870" s="3">
        <f t="shared" si="266"/>
        <v>9265</v>
      </c>
      <c r="C1870" s="14">
        <f t="shared" si="267"/>
        <v>154.41666666666666</v>
      </c>
      <c r="D1870" s="11">
        <f t="shared" si="268"/>
        <v>1086.7867746200868</v>
      </c>
      <c r="E1870" s="24">
        <f t="shared" si="269"/>
        <v>1085.2133258663498</v>
      </c>
      <c r="F1870" s="24">
        <f t="shared" si="262"/>
        <v>39.336218843425286</v>
      </c>
      <c r="G1870" s="14">
        <f t="shared" si="263"/>
        <v>626.97793468470081</v>
      </c>
      <c r="H1870" s="24">
        <f t="shared" si="270"/>
        <v>650</v>
      </c>
      <c r="I1870" s="12">
        <f t="shared" si="264"/>
        <v>8.1901250973309511E-2</v>
      </c>
      <c r="J1870" s="3">
        <f t="shared" si="265"/>
        <v>0.7</v>
      </c>
    </row>
    <row r="1871" spans="2:10" x14ac:dyDescent="0.25">
      <c r="B1871" s="3">
        <f t="shared" si="266"/>
        <v>9270</v>
      </c>
      <c r="C1871" s="14">
        <f t="shared" si="267"/>
        <v>154.5</v>
      </c>
      <c r="D1871" s="11">
        <f t="shared" si="268"/>
        <v>1086.8675463720465</v>
      </c>
      <c r="E1871" s="24">
        <f t="shared" si="269"/>
        <v>1085.2952271173231</v>
      </c>
      <c r="F1871" s="24">
        <f t="shared" si="262"/>
        <v>39.30798136808562</v>
      </c>
      <c r="G1871" s="14">
        <f t="shared" si="263"/>
        <v>626.64035900764202</v>
      </c>
      <c r="H1871" s="24">
        <f t="shared" si="270"/>
        <v>650</v>
      </c>
      <c r="I1871" s="12">
        <f t="shared" si="264"/>
        <v>8.1856286365180927E-2</v>
      </c>
      <c r="J1871" s="3">
        <f t="shared" si="265"/>
        <v>0.7</v>
      </c>
    </row>
    <row r="1872" spans="2:10" x14ac:dyDescent="0.25">
      <c r="B1872" s="3">
        <f t="shared" si="266"/>
        <v>9275</v>
      </c>
      <c r="C1872" s="14">
        <f t="shared" si="267"/>
        <v>154.58333333333334</v>
      </c>
      <c r="D1872" s="11">
        <f t="shared" si="268"/>
        <v>1086.9482746047413</v>
      </c>
      <c r="E1872" s="24">
        <f t="shared" si="269"/>
        <v>1085.3770834036882</v>
      </c>
      <c r="F1872" s="24">
        <f t="shared" si="262"/>
        <v>39.279780026328126</v>
      </c>
      <c r="G1872" s="14">
        <f t="shared" si="263"/>
        <v>626.3031501337415</v>
      </c>
      <c r="H1872" s="24">
        <f t="shared" si="270"/>
        <v>650</v>
      </c>
      <c r="I1872" s="12">
        <f t="shared" si="264"/>
        <v>8.1811371284775752E-2</v>
      </c>
      <c r="J1872" s="3">
        <f t="shared" si="265"/>
        <v>0.7</v>
      </c>
    </row>
    <row r="1873" spans="2:10" x14ac:dyDescent="0.25">
      <c r="B1873" s="3">
        <f t="shared" si="266"/>
        <v>9280</v>
      </c>
      <c r="C1873" s="14">
        <f t="shared" si="267"/>
        <v>154.66666666666666</v>
      </c>
      <c r="D1873" s="11">
        <f t="shared" si="268"/>
        <v>1087.0289593650411</v>
      </c>
      <c r="E1873" s="24">
        <f t="shared" si="269"/>
        <v>1085.458894774973</v>
      </c>
      <c r="F1873" s="24">
        <f t="shared" ref="F1873:F1936" si="271">AlphaC*(D1873-E1873)</f>
        <v>39.251614751702846</v>
      </c>
      <c r="G1873" s="14">
        <f t="shared" ref="G1873:G1936" si="272">Phi*EpsilonF*Botzman/10^8*J1873*((D1873+273)^4-(E1873+273)^4)</f>
        <v>625.96630746164158</v>
      </c>
      <c r="H1873" s="24">
        <f t="shared" si="270"/>
        <v>650</v>
      </c>
      <c r="I1873" s="12">
        <f t="shared" ref="I1873:I1936" si="273">ksh*Massivete/(H1873*RhoA)*DeltaT*(F1873+G1873)</f>
        <v>8.1766505650009175E-2</v>
      </c>
      <c r="J1873" s="3">
        <f t="shared" ref="J1873:J1936" si="274">IF(E1873&lt;=500,IF(Galva=Oui,0.35,0.7),0.7)</f>
        <v>0.7</v>
      </c>
    </row>
    <row r="1874" spans="2:10" x14ac:dyDescent="0.25">
      <c r="B1874" s="3">
        <f t="shared" ref="B1874:B1937" si="275">B1873+DeltaT</f>
        <v>9285</v>
      </c>
      <c r="C1874" s="14">
        <f t="shared" ref="C1874:C1937" si="276">B1874/60</f>
        <v>154.75</v>
      </c>
      <c r="D1874" s="11">
        <f t="shared" ref="D1874:D1937" si="277">20+345*LOG(8*C1874+1,10)</f>
        <v>1087.1096006997418</v>
      </c>
      <c r="E1874" s="24">
        <f t="shared" si="269"/>
        <v>1085.540661280623</v>
      </c>
      <c r="F1874" s="24">
        <f t="shared" si="271"/>
        <v>39.223485477970144</v>
      </c>
      <c r="G1874" s="14">
        <f t="shared" si="272"/>
        <v>625.6298303919998</v>
      </c>
      <c r="H1874" s="24">
        <f t="shared" si="270"/>
        <v>650</v>
      </c>
      <c r="I1874" s="12">
        <f t="shared" si="273"/>
        <v>8.1721689379069928E-2</v>
      </c>
      <c r="J1874" s="3">
        <f t="shared" si="274"/>
        <v>0.7</v>
      </c>
    </row>
    <row r="1875" spans="2:10" x14ac:dyDescent="0.25">
      <c r="B1875" s="3">
        <f t="shared" si="275"/>
        <v>9290</v>
      </c>
      <c r="C1875" s="14">
        <f t="shared" si="276"/>
        <v>154.83333333333334</v>
      </c>
      <c r="D1875" s="11">
        <f t="shared" si="277"/>
        <v>1087.190198655562</v>
      </c>
      <c r="E1875" s="24">
        <f t="shared" si="269"/>
        <v>1085.622382970002</v>
      </c>
      <c r="F1875" s="24">
        <f t="shared" si="271"/>
        <v>39.195392138998386</v>
      </c>
      <c r="G1875" s="14">
        <f t="shared" si="272"/>
        <v>625.29371832609422</v>
      </c>
      <c r="H1875" s="24">
        <f t="shared" si="270"/>
        <v>650</v>
      </c>
      <c r="I1875" s="12">
        <f t="shared" si="273"/>
        <v>8.1676922390236287E-2</v>
      </c>
      <c r="J1875" s="3">
        <f t="shared" si="274"/>
        <v>0.7</v>
      </c>
    </row>
    <row r="1876" spans="2:10" x14ac:dyDescent="0.25">
      <c r="B1876" s="3">
        <f t="shared" si="275"/>
        <v>9295</v>
      </c>
      <c r="C1876" s="14">
        <f t="shared" si="276"/>
        <v>154.91666666666666</v>
      </c>
      <c r="D1876" s="11">
        <f t="shared" si="277"/>
        <v>1087.2707532791455</v>
      </c>
      <c r="E1876" s="24">
        <f t="shared" si="269"/>
        <v>1085.7040598923923</v>
      </c>
      <c r="F1876" s="24">
        <f t="shared" si="271"/>
        <v>39.167334668832154</v>
      </c>
      <c r="G1876" s="14">
        <f t="shared" si="272"/>
        <v>624.95797066675311</v>
      </c>
      <c r="H1876" s="24">
        <f t="shared" si="270"/>
        <v>650</v>
      </c>
      <c r="I1876" s="12">
        <f t="shared" si="273"/>
        <v>8.1632204601998729E-2</v>
      </c>
      <c r="J1876" s="3">
        <f t="shared" si="274"/>
        <v>0.7</v>
      </c>
    </row>
    <row r="1877" spans="2:10" x14ac:dyDescent="0.25">
      <c r="B1877" s="3">
        <f t="shared" si="275"/>
        <v>9300</v>
      </c>
      <c r="C1877" s="14">
        <f t="shared" si="276"/>
        <v>155</v>
      </c>
      <c r="D1877" s="11">
        <f t="shared" si="277"/>
        <v>1087.3512646170616</v>
      </c>
      <c r="E1877" s="24">
        <f t="shared" si="269"/>
        <v>1085.7856920969944</v>
      </c>
      <c r="F1877" s="24">
        <f t="shared" si="271"/>
        <v>39.139313001680875</v>
      </c>
      <c r="G1877" s="14">
        <f t="shared" si="272"/>
        <v>624.62258681831634</v>
      </c>
      <c r="H1877" s="24">
        <f t="shared" si="270"/>
        <v>650</v>
      </c>
      <c r="I1877" s="12">
        <f t="shared" si="273"/>
        <v>8.1587535933053804E-2</v>
      </c>
      <c r="J1877" s="3">
        <f t="shared" si="274"/>
        <v>0.7</v>
      </c>
    </row>
    <row r="1878" spans="2:10" x14ac:dyDescent="0.25">
      <c r="B1878" s="3">
        <f t="shared" si="275"/>
        <v>9305</v>
      </c>
      <c r="C1878" s="14">
        <f t="shared" si="276"/>
        <v>155.08333333333334</v>
      </c>
      <c r="D1878" s="11">
        <f t="shared" si="277"/>
        <v>1087.4317327158039</v>
      </c>
      <c r="E1878" s="24">
        <f t="shared" si="269"/>
        <v>1085.8672796329274</v>
      </c>
      <c r="F1878" s="24">
        <f t="shared" si="271"/>
        <v>39.111327071913138</v>
      </c>
      <c r="G1878" s="14">
        <f t="shared" si="272"/>
        <v>624.28756618634475</v>
      </c>
      <c r="H1878" s="24">
        <f t="shared" si="270"/>
        <v>650</v>
      </c>
      <c r="I1878" s="12">
        <f t="shared" si="273"/>
        <v>8.1542916302267718E-2</v>
      </c>
      <c r="J1878" s="3">
        <f t="shared" si="274"/>
        <v>0.7</v>
      </c>
    </row>
    <row r="1879" spans="2:10" x14ac:dyDescent="0.25">
      <c r="B1879" s="3">
        <f t="shared" si="275"/>
        <v>9310</v>
      </c>
      <c r="C1879" s="14">
        <f t="shared" si="276"/>
        <v>155.16666666666666</v>
      </c>
      <c r="D1879" s="11">
        <f t="shared" si="277"/>
        <v>1087.5121576217909</v>
      </c>
      <c r="E1879" s="24">
        <f t="shared" si="269"/>
        <v>1085.9488225492296</v>
      </c>
      <c r="F1879" s="24">
        <f t="shared" si="271"/>
        <v>39.083376814033954</v>
      </c>
      <c r="G1879" s="14">
        <f t="shared" si="272"/>
        <v>623.95290817734895</v>
      </c>
      <c r="H1879" s="24">
        <f t="shared" si="270"/>
        <v>650</v>
      </c>
      <c r="I1879" s="12">
        <f t="shared" si="273"/>
        <v>8.1498345628640154E-2</v>
      </c>
      <c r="J1879" s="3">
        <f t="shared" si="274"/>
        <v>0.7</v>
      </c>
    </row>
    <row r="1880" spans="2:10" x14ac:dyDescent="0.25">
      <c r="B1880" s="3">
        <f t="shared" si="275"/>
        <v>9315</v>
      </c>
      <c r="C1880" s="14">
        <f t="shared" si="276"/>
        <v>155.25</v>
      </c>
      <c r="D1880" s="11">
        <f t="shared" si="277"/>
        <v>1087.5925393813673</v>
      </c>
      <c r="E1880" s="24">
        <f t="shared" si="269"/>
        <v>1086.0303208948583</v>
      </c>
      <c r="F1880" s="24">
        <f t="shared" si="271"/>
        <v>39.055462162724552</v>
      </c>
      <c r="G1880" s="14">
        <f t="shared" si="272"/>
        <v>623.61861219958337</v>
      </c>
      <c r="H1880" s="24">
        <f t="shared" si="270"/>
        <v>650</v>
      </c>
      <c r="I1880" s="12">
        <f t="shared" si="273"/>
        <v>8.1453823831406841E-2</v>
      </c>
      <c r="J1880" s="3">
        <f t="shared" si="274"/>
        <v>0.7</v>
      </c>
    </row>
    <row r="1881" spans="2:10" x14ac:dyDescent="0.25">
      <c r="B1881" s="3">
        <f t="shared" si="275"/>
        <v>9320</v>
      </c>
      <c r="C1881" s="14">
        <f t="shared" si="276"/>
        <v>155.33333333333334</v>
      </c>
      <c r="D1881" s="11">
        <f t="shared" si="277"/>
        <v>1087.6728780408025</v>
      </c>
      <c r="E1881" s="24">
        <f t="shared" si="269"/>
        <v>1086.1117747186897</v>
      </c>
      <c r="F1881" s="24">
        <f t="shared" si="271"/>
        <v>39.027583052819637</v>
      </c>
      <c r="G1881" s="14">
        <f t="shared" si="272"/>
        <v>623.28467766248502</v>
      </c>
      <c r="H1881" s="24">
        <f t="shared" si="270"/>
        <v>650</v>
      </c>
      <c r="I1881" s="12">
        <f t="shared" si="273"/>
        <v>8.1409350829967683E-2</v>
      </c>
      <c r="J1881" s="3">
        <f t="shared" si="274"/>
        <v>0.7</v>
      </c>
    </row>
    <row r="1882" spans="2:10" x14ac:dyDescent="0.25">
      <c r="B1882" s="3">
        <f t="shared" si="275"/>
        <v>9325</v>
      </c>
      <c r="C1882" s="14">
        <f t="shared" si="276"/>
        <v>155.41666666666666</v>
      </c>
      <c r="D1882" s="11">
        <f t="shared" si="277"/>
        <v>1087.7531736462915</v>
      </c>
      <c r="E1882" s="24">
        <f t="shared" si="269"/>
        <v>1086.1931840695197</v>
      </c>
      <c r="F1882" s="24">
        <f t="shared" si="271"/>
        <v>38.99973941929602</v>
      </c>
      <c r="G1882" s="14">
        <f t="shared" si="272"/>
        <v>622.95110397651786</v>
      </c>
      <c r="H1882" s="24">
        <f t="shared" si="270"/>
        <v>650</v>
      </c>
      <c r="I1882" s="12">
        <f t="shared" si="273"/>
        <v>8.1364926543866331E-2</v>
      </c>
      <c r="J1882" s="3">
        <f t="shared" si="274"/>
        <v>0.7</v>
      </c>
    </row>
    <row r="1883" spans="2:10" x14ac:dyDescent="0.25">
      <c r="B1883" s="3">
        <f t="shared" si="275"/>
        <v>9330</v>
      </c>
      <c r="C1883" s="14">
        <f t="shared" si="276"/>
        <v>155.5</v>
      </c>
      <c r="D1883" s="11">
        <f t="shared" si="277"/>
        <v>1087.8334262439553</v>
      </c>
      <c r="E1883" s="24">
        <f t="shared" si="269"/>
        <v>1086.2745489960635</v>
      </c>
      <c r="F1883" s="24">
        <f t="shared" si="271"/>
        <v>38.971931197295362</v>
      </c>
      <c r="G1883" s="14">
        <f t="shared" si="272"/>
        <v>622.61789055365739</v>
      </c>
      <c r="H1883" s="24">
        <f t="shared" si="270"/>
        <v>650</v>
      </c>
      <c r="I1883" s="12">
        <f t="shared" si="273"/>
        <v>8.1320550892852464E-2</v>
      </c>
      <c r="J1883" s="3">
        <f t="shared" si="274"/>
        <v>0.7</v>
      </c>
    </row>
    <row r="1884" spans="2:10" x14ac:dyDescent="0.25">
      <c r="B1884" s="3">
        <f t="shared" si="275"/>
        <v>9335</v>
      </c>
      <c r="C1884" s="14">
        <f t="shared" si="276"/>
        <v>155.58333333333334</v>
      </c>
      <c r="D1884" s="11">
        <f t="shared" si="277"/>
        <v>1087.9136358798414</v>
      </c>
      <c r="E1884" s="24">
        <f t="shared" si="269"/>
        <v>1086.3558695469562</v>
      </c>
      <c r="F1884" s="24">
        <f t="shared" si="271"/>
        <v>38.944158322129852</v>
      </c>
      <c r="G1884" s="14">
        <f t="shared" si="272"/>
        <v>622.28503680742972</v>
      </c>
      <c r="H1884" s="24">
        <f t="shared" si="270"/>
        <v>650</v>
      </c>
      <c r="I1884" s="12">
        <f t="shared" si="273"/>
        <v>8.1276223796887315E-2</v>
      </c>
      <c r="J1884" s="3">
        <f t="shared" si="274"/>
        <v>0.7</v>
      </c>
    </row>
    <row r="1885" spans="2:10" x14ac:dyDescent="0.25">
      <c r="B1885" s="3">
        <f t="shared" si="275"/>
        <v>9340</v>
      </c>
      <c r="C1885" s="14">
        <f t="shared" si="276"/>
        <v>155.66666666666666</v>
      </c>
      <c r="D1885" s="11">
        <f t="shared" si="277"/>
        <v>1087.9938025999222</v>
      </c>
      <c r="E1885" s="24">
        <f t="shared" si="269"/>
        <v>1086.4371457707532</v>
      </c>
      <c r="F1885" s="24">
        <f t="shared" si="271"/>
        <v>38.916420729225365</v>
      </c>
      <c r="G1885" s="14">
        <f t="shared" si="272"/>
        <v>621.952542151942</v>
      </c>
      <c r="H1885" s="24">
        <f t="shared" si="270"/>
        <v>650</v>
      </c>
      <c r="I1885" s="12">
        <f t="shared" si="273"/>
        <v>8.123194517601752E-2</v>
      </c>
      <c r="J1885" s="3">
        <f t="shared" si="274"/>
        <v>0.7</v>
      </c>
    </row>
    <row r="1886" spans="2:10" x14ac:dyDescent="0.25">
      <c r="B1886" s="3">
        <f t="shared" si="275"/>
        <v>9345</v>
      </c>
      <c r="C1886" s="14">
        <f t="shared" si="276"/>
        <v>155.75</v>
      </c>
      <c r="D1886" s="11">
        <f t="shared" si="277"/>
        <v>1088.0739264500971</v>
      </c>
      <c r="E1886" s="24">
        <f t="shared" si="269"/>
        <v>1086.5183777159293</v>
      </c>
      <c r="F1886" s="24">
        <f t="shared" si="271"/>
        <v>38.888718354195362</v>
      </c>
      <c r="G1886" s="14">
        <f t="shared" si="272"/>
        <v>621.62040600318176</v>
      </c>
      <c r="H1886" s="24">
        <f t="shared" si="270"/>
        <v>650</v>
      </c>
      <c r="I1886" s="12">
        <f t="shared" si="273"/>
        <v>8.1187714950543902E-2</v>
      </c>
      <c r="J1886" s="3">
        <f t="shared" si="274"/>
        <v>0.7</v>
      </c>
    </row>
    <row r="1887" spans="2:10" x14ac:dyDescent="0.25">
      <c r="B1887" s="3">
        <f t="shared" si="275"/>
        <v>9350</v>
      </c>
      <c r="C1887" s="14">
        <f t="shared" si="276"/>
        <v>155.83333333333334</v>
      </c>
      <c r="D1887" s="11">
        <f t="shared" si="277"/>
        <v>1088.154007476192</v>
      </c>
      <c r="E1887" s="24">
        <f t="shared" si="269"/>
        <v>1086.5995654308799</v>
      </c>
      <c r="F1887" s="24">
        <f t="shared" si="271"/>
        <v>38.861051132801094</v>
      </c>
      <c r="G1887" s="14">
        <f t="shared" si="272"/>
        <v>621.28862777820189</v>
      </c>
      <c r="H1887" s="24">
        <f t="shared" si="270"/>
        <v>650</v>
      </c>
      <c r="I1887" s="12">
        <f t="shared" si="273"/>
        <v>8.1143533040916399E-2</v>
      </c>
      <c r="J1887" s="3">
        <f t="shared" si="274"/>
        <v>0.7</v>
      </c>
    </row>
    <row r="1888" spans="2:10" x14ac:dyDescent="0.25">
      <c r="B1888" s="3">
        <f t="shared" si="275"/>
        <v>9355</v>
      </c>
      <c r="C1888" s="14">
        <f t="shared" si="276"/>
        <v>155.91666666666666</v>
      </c>
      <c r="D1888" s="11">
        <f t="shared" si="277"/>
        <v>1088.2340457239586</v>
      </c>
      <c r="E1888" s="24">
        <f t="shared" si="269"/>
        <v>1086.6807089639208</v>
      </c>
      <c r="F1888" s="24">
        <f t="shared" si="271"/>
        <v>38.833419000945923</v>
      </c>
      <c r="G1888" s="14">
        <f t="shared" si="272"/>
        <v>620.95720689529605</v>
      </c>
      <c r="H1888" s="24">
        <f t="shared" si="270"/>
        <v>650</v>
      </c>
      <c r="I1888" s="12">
        <f t="shared" si="273"/>
        <v>8.109939936775494E-2</v>
      </c>
      <c r="J1888" s="3">
        <f t="shared" si="274"/>
        <v>0.7</v>
      </c>
    </row>
    <row r="1889" spans="2:10" x14ac:dyDescent="0.25">
      <c r="B1889" s="3">
        <f t="shared" si="275"/>
        <v>9360</v>
      </c>
      <c r="C1889" s="14">
        <f t="shared" si="276"/>
        <v>156</v>
      </c>
      <c r="D1889" s="11">
        <f t="shared" si="277"/>
        <v>1088.3140412390767</v>
      </c>
      <c r="E1889" s="24">
        <f t="shared" si="269"/>
        <v>1086.7618083632885</v>
      </c>
      <c r="F1889" s="24">
        <f t="shared" si="271"/>
        <v>38.80582189470374</v>
      </c>
      <c r="G1889" s="14">
        <f t="shared" si="272"/>
        <v>620.62614277421096</v>
      </c>
      <c r="H1889" s="24">
        <f t="shared" si="270"/>
        <v>650</v>
      </c>
      <c r="I1889" s="12">
        <f t="shared" si="273"/>
        <v>8.1055313851879002E-2</v>
      </c>
      <c r="J1889" s="3">
        <f t="shared" si="274"/>
        <v>0.7</v>
      </c>
    </row>
    <row r="1890" spans="2:10" x14ac:dyDescent="0.25">
      <c r="B1890" s="3">
        <f t="shared" si="275"/>
        <v>9365</v>
      </c>
      <c r="C1890" s="14">
        <f t="shared" si="276"/>
        <v>156.08333333333334</v>
      </c>
      <c r="D1890" s="11">
        <f t="shared" si="277"/>
        <v>1088.3939940671512</v>
      </c>
      <c r="E1890" s="24">
        <f t="shared" si="269"/>
        <v>1086.8428636771405</v>
      </c>
      <c r="F1890" s="24">
        <f t="shared" si="271"/>
        <v>38.778259750267807</v>
      </c>
      <c r="G1890" s="14">
        <f t="shared" si="272"/>
        <v>620.2954348355463</v>
      </c>
      <c r="H1890" s="24">
        <f t="shared" si="270"/>
        <v>650</v>
      </c>
      <c r="I1890" s="12">
        <f t="shared" si="273"/>
        <v>8.101127641422759E-2</v>
      </c>
      <c r="J1890" s="3">
        <f t="shared" si="274"/>
        <v>0.7</v>
      </c>
    </row>
    <row r="1891" spans="2:10" x14ac:dyDescent="0.25">
      <c r="B1891" s="3">
        <f t="shared" si="275"/>
        <v>9370</v>
      </c>
      <c r="C1891" s="14">
        <f t="shared" si="276"/>
        <v>156.16666666666666</v>
      </c>
      <c r="D1891" s="11">
        <f t="shared" si="277"/>
        <v>1088.4739042537155</v>
      </c>
      <c r="E1891" s="24">
        <f t="shared" si="269"/>
        <v>1086.9238749535548</v>
      </c>
      <c r="F1891" s="24">
        <f t="shared" si="271"/>
        <v>38.75073250401897</v>
      </c>
      <c r="G1891" s="14">
        <f t="shared" si="272"/>
        <v>619.96508250156842</v>
      </c>
      <c r="H1891" s="24">
        <f t="shared" si="270"/>
        <v>650</v>
      </c>
      <c r="I1891" s="12">
        <f t="shared" si="273"/>
        <v>8.0967286975967626E-2</v>
      </c>
      <c r="J1891" s="3">
        <f t="shared" si="274"/>
        <v>0.7</v>
      </c>
    </row>
    <row r="1892" spans="2:10" x14ac:dyDescent="0.25">
      <c r="B1892" s="3">
        <f t="shared" si="275"/>
        <v>9375</v>
      </c>
      <c r="C1892" s="14">
        <f t="shared" si="276"/>
        <v>156.25</v>
      </c>
      <c r="D1892" s="11">
        <f t="shared" si="277"/>
        <v>1088.5537718442299</v>
      </c>
      <c r="E1892" s="24">
        <f t="shared" si="269"/>
        <v>1087.0048422405307</v>
      </c>
      <c r="F1892" s="24">
        <f t="shared" si="271"/>
        <v>38.723240092480182</v>
      </c>
      <c r="G1892" s="14">
        <f t="shared" si="272"/>
        <v>619.63508519584218</v>
      </c>
      <c r="H1892" s="24">
        <f t="shared" si="270"/>
        <v>650</v>
      </c>
      <c r="I1892" s="12">
        <f t="shared" si="273"/>
        <v>8.0923345458443083E-2</v>
      </c>
      <c r="J1892" s="3">
        <f t="shared" si="274"/>
        <v>0.7</v>
      </c>
    </row>
    <row r="1893" spans="2:10" x14ac:dyDescent="0.25">
      <c r="B1893" s="3">
        <f t="shared" si="275"/>
        <v>9380</v>
      </c>
      <c r="C1893" s="14">
        <f t="shared" si="276"/>
        <v>156.33333333333334</v>
      </c>
      <c r="D1893" s="11">
        <f t="shared" si="277"/>
        <v>1088.633596884081</v>
      </c>
      <c r="E1893" s="24">
        <f t="shared" si="269"/>
        <v>1087.0857655859891</v>
      </c>
      <c r="F1893" s="24">
        <f t="shared" si="271"/>
        <v>38.695782452299454</v>
      </c>
      <c r="G1893" s="14">
        <f t="shared" si="272"/>
        <v>619.30544234259116</v>
      </c>
      <c r="H1893" s="24">
        <f t="shared" si="270"/>
        <v>650</v>
      </c>
      <c r="I1893" s="12">
        <f t="shared" si="273"/>
        <v>8.087945178309433E-2</v>
      </c>
      <c r="J1893" s="3">
        <f t="shared" si="274"/>
        <v>0.7</v>
      </c>
    </row>
    <row r="1894" spans="2:10" x14ac:dyDescent="0.25">
      <c r="B1894" s="3">
        <f t="shared" si="275"/>
        <v>9385</v>
      </c>
      <c r="C1894" s="14">
        <f t="shared" si="276"/>
        <v>156.41666666666666</v>
      </c>
      <c r="D1894" s="11">
        <f t="shared" si="277"/>
        <v>1088.7133794185841</v>
      </c>
      <c r="E1894" s="24">
        <f t="shared" si="269"/>
        <v>1087.1666450377722</v>
      </c>
      <c r="F1894" s="24">
        <f t="shared" si="271"/>
        <v>38.668359520295326</v>
      </c>
      <c r="G1894" s="14">
        <f t="shared" si="272"/>
        <v>618.97615336782201</v>
      </c>
      <c r="H1894" s="24">
        <f t="shared" si="270"/>
        <v>650</v>
      </c>
      <c r="I1894" s="12">
        <f t="shared" si="273"/>
        <v>8.0835605871601809E-2</v>
      </c>
      <c r="J1894" s="3">
        <f t="shared" si="274"/>
        <v>0.7</v>
      </c>
    </row>
    <row r="1895" spans="2:10" x14ac:dyDescent="0.25">
      <c r="B1895" s="3">
        <f t="shared" si="275"/>
        <v>9390</v>
      </c>
      <c r="C1895" s="14">
        <f t="shared" si="276"/>
        <v>156.5</v>
      </c>
      <c r="D1895" s="11">
        <f t="shared" si="277"/>
        <v>1088.7931194929818</v>
      </c>
      <c r="E1895" s="24">
        <f t="shared" si="269"/>
        <v>1087.2474806436439</v>
      </c>
      <c r="F1895" s="24">
        <f t="shared" si="271"/>
        <v>38.640971233445498</v>
      </c>
      <c r="G1895" s="14">
        <f t="shared" si="272"/>
        <v>618.64721769878156</v>
      </c>
      <c r="H1895" s="24">
        <f t="shared" si="270"/>
        <v>650</v>
      </c>
      <c r="I1895" s="12">
        <f t="shared" si="273"/>
        <v>8.0791807645818003E-2</v>
      </c>
      <c r="J1895" s="3">
        <f t="shared" si="274"/>
        <v>0.7</v>
      </c>
    </row>
    <row r="1896" spans="2:10" x14ac:dyDescent="0.25">
      <c r="B1896" s="3">
        <f t="shared" si="275"/>
        <v>9395</v>
      </c>
      <c r="C1896" s="14">
        <f t="shared" si="276"/>
        <v>156.58333333333334</v>
      </c>
      <c r="D1896" s="11">
        <f t="shared" si="277"/>
        <v>1088.872817152444</v>
      </c>
      <c r="E1896" s="24">
        <f t="shared" si="269"/>
        <v>1087.3282724512896</v>
      </c>
      <c r="F1896" s="24">
        <f t="shared" si="271"/>
        <v>38.613617528858413</v>
      </c>
      <c r="G1896" s="14">
        <f t="shared" si="272"/>
        <v>618.31863476370529</v>
      </c>
      <c r="H1896" s="24">
        <f t="shared" si="270"/>
        <v>650</v>
      </c>
      <c r="I1896" s="12">
        <f t="shared" si="273"/>
        <v>8.0748057027732967E-2</v>
      </c>
      <c r="J1896" s="3">
        <f t="shared" si="274"/>
        <v>0.7</v>
      </c>
    </row>
    <row r="1897" spans="2:10" x14ac:dyDescent="0.25">
      <c r="B1897" s="3">
        <f t="shared" si="275"/>
        <v>9400</v>
      </c>
      <c r="C1897" s="14">
        <f t="shared" si="276"/>
        <v>156.66666666666666</v>
      </c>
      <c r="D1897" s="11">
        <f t="shared" si="277"/>
        <v>1088.9524724420696</v>
      </c>
      <c r="E1897" s="24">
        <f t="shared" si="269"/>
        <v>1087.4090205083173</v>
      </c>
      <c r="F1897" s="24">
        <f t="shared" si="271"/>
        <v>38.586298343807357</v>
      </c>
      <c r="G1897" s="14">
        <f t="shared" si="272"/>
        <v>617.99040399230137</v>
      </c>
      <c r="H1897" s="24">
        <f t="shared" si="270"/>
        <v>650</v>
      </c>
      <c r="I1897" s="12">
        <f t="shared" si="273"/>
        <v>8.0704353939538037E-2</v>
      </c>
      <c r="J1897" s="3">
        <f t="shared" si="274"/>
        <v>0.7</v>
      </c>
    </row>
    <row r="1898" spans="2:10" x14ac:dyDescent="0.25">
      <c r="B1898" s="3">
        <f t="shared" si="275"/>
        <v>9405</v>
      </c>
      <c r="C1898" s="14">
        <f t="shared" si="276"/>
        <v>156.75</v>
      </c>
      <c r="D1898" s="11">
        <f t="shared" si="277"/>
        <v>1089.0320854068846</v>
      </c>
      <c r="E1898" s="24">
        <f t="shared" si="269"/>
        <v>1087.4897248622569</v>
      </c>
      <c r="F1898" s="24">
        <f t="shared" si="271"/>
        <v>38.559013615690674</v>
      </c>
      <c r="G1898" s="14">
        <f t="shared" si="272"/>
        <v>617.66252481522758</v>
      </c>
      <c r="H1898" s="24">
        <f t="shared" si="270"/>
        <v>650</v>
      </c>
      <c r="I1898" s="12">
        <f t="shared" si="273"/>
        <v>8.0660698303556655E-2</v>
      </c>
      <c r="J1898" s="3">
        <f t="shared" si="274"/>
        <v>0.7</v>
      </c>
    </row>
    <row r="1899" spans="2:10" x14ac:dyDescent="0.25">
      <c r="B1899" s="3">
        <f t="shared" si="275"/>
        <v>9410</v>
      </c>
      <c r="C1899" s="14">
        <f t="shared" si="276"/>
        <v>156.83333333333334</v>
      </c>
      <c r="D1899" s="11">
        <f t="shared" si="277"/>
        <v>1089.1116560918438</v>
      </c>
      <c r="E1899" s="24">
        <f t="shared" si="269"/>
        <v>1087.5703855605605</v>
      </c>
      <c r="F1899" s="24">
        <f t="shared" si="271"/>
        <v>38.53176328208292</v>
      </c>
      <c r="G1899" s="14">
        <f t="shared" si="272"/>
        <v>617.33499666473085</v>
      </c>
      <c r="H1899" s="24">
        <f t="shared" si="270"/>
        <v>650</v>
      </c>
      <c r="I1899" s="12">
        <f t="shared" si="273"/>
        <v>8.0617090042329254E-2</v>
      </c>
      <c r="J1899" s="3">
        <f t="shared" si="274"/>
        <v>0.7</v>
      </c>
    </row>
    <row r="1900" spans="2:10" x14ac:dyDescent="0.25">
      <c r="B1900" s="3">
        <f t="shared" si="275"/>
        <v>9415</v>
      </c>
      <c r="C1900" s="14">
        <f t="shared" si="276"/>
        <v>156.91666666666666</v>
      </c>
      <c r="D1900" s="11">
        <f t="shared" si="277"/>
        <v>1089.1911845418301</v>
      </c>
      <c r="E1900" s="24">
        <f t="shared" si="269"/>
        <v>1087.6510026506028</v>
      </c>
      <c r="F1900" s="24">
        <f t="shared" si="271"/>
        <v>38.50454728068371</v>
      </c>
      <c r="G1900" s="14">
        <f t="shared" si="272"/>
        <v>617.00781897396894</v>
      </c>
      <c r="H1900" s="24">
        <f t="shared" si="270"/>
        <v>650</v>
      </c>
      <c r="I1900" s="12">
        <f t="shared" si="273"/>
        <v>8.0573529078523581E-2</v>
      </c>
      <c r="J1900" s="3">
        <f t="shared" si="274"/>
        <v>0.7</v>
      </c>
    </row>
    <row r="1901" spans="2:10" x14ac:dyDescent="0.25">
      <c r="B1901" s="3">
        <f t="shared" si="275"/>
        <v>9420</v>
      </c>
      <c r="C1901" s="14">
        <f t="shared" si="276"/>
        <v>157</v>
      </c>
      <c r="D1901" s="11">
        <f t="shared" si="277"/>
        <v>1089.2706708016553</v>
      </c>
      <c r="E1901" s="24">
        <f t="shared" si="269"/>
        <v>1087.7315761796813</v>
      </c>
      <c r="F1901" s="24">
        <f t="shared" si="271"/>
        <v>38.477365549351816</v>
      </c>
      <c r="G1901" s="14">
        <f t="shared" si="272"/>
        <v>616.68099117749512</v>
      </c>
      <c r="H1901" s="24">
        <f t="shared" si="270"/>
        <v>650</v>
      </c>
      <c r="I1901" s="12">
        <f t="shared" si="273"/>
        <v>8.0530015334998498E-2</v>
      </c>
      <c r="J1901" s="3">
        <f t="shared" si="274"/>
        <v>0.7</v>
      </c>
    </row>
    <row r="1902" spans="2:10" x14ac:dyDescent="0.25">
      <c r="B1902" s="3">
        <f t="shared" si="275"/>
        <v>9425</v>
      </c>
      <c r="C1902" s="14">
        <f t="shared" si="276"/>
        <v>157.08333333333334</v>
      </c>
      <c r="D1902" s="11">
        <f t="shared" si="277"/>
        <v>1089.35011491606</v>
      </c>
      <c r="E1902" s="24">
        <f t="shared" si="269"/>
        <v>1087.8121061950162</v>
      </c>
      <c r="F1902" s="24">
        <f t="shared" si="271"/>
        <v>38.450218026093808</v>
      </c>
      <c r="G1902" s="14">
        <f t="shared" si="272"/>
        <v>616.3545127111222</v>
      </c>
      <c r="H1902" s="24">
        <f t="shared" si="270"/>
        <v>650</v>
      </c>
      <c r="I1902" s="12">
        <f t="shared" si="273"/>
        <v>8.0486548734785821E-2</v>
      </c>
      <c r="J1902" s="3">
        <f t="shared" si="274"/>
        <v>0.7</v>
      </c>
    </row>
    <row r="1903" spans="2:10" x14ac:dyDescent="0.25">
      <c r="B1903" s="3">
        <f t="shared" si="275"/>
        <v>9430</v>
      </c>
      <c r="C1903" s="14">
        <f t="shared" si="276"/>
        <v>157.16666666666666</v>
      </c>
      <c r="D1903" s="11">
        <f t="shared" si="277"/>
        <v>1089.4295169297127</v>
      </c>
      <c r="E1903" s="24">
        <f t="shared" si="269"/>
        <v>1087.892592743751</v>
      </c>
      <c r="F1903" s="24">
        <f t="shared" si="271"/>
        <v>38.423104649041306</v>
      </c>
      <c r="G1903" s="14">
        <f t="shared" si="272"/>
        <v>616.02838301159329</v>
      </c>
      <c r="H1903" s="24">
        <f t="shared" si="270"/>
        <v>650</v>
      </c>
      <c r="I1903" s="12">
        <f t="shared" si="273"/>
        <v>8.0443129201047139E-2</v>
      </c>
      <c r="J1903" s="3">
        <f t="shared" si="274"/>
        <v>0.7</v>
      </c>
    </row>
    <row r="1904" spans="2:10" x14ac:dyDescent="0.25">
      <c r="B1904" s="3">
        <f t="shared" si="275"/>
        <v>9435</v>
      </c>
      <c r="C1904" s="14">
        <f t="shared" si="276"/>
        <v>157.25</v>
      </c>
      <c r="D1904" s="11">
        <f t="shared" si="277"/>
        <v>1089.5088768872124</v>
      </c>
      <c r="E1904" s="24">
        <f t="shared" si="269"/>
        <v>1087.9730358729521</v>
      </c>
      <c r="F1904" s="24">
        <f t="shared" si="271"/>
        <v>38.396025356507835</v>
      </c>
      <c r="G1904" s="14">
        <f t="shared" si="272"/>
        <v>615.70260151727928</v>
      </c>
      <c r="H1904" s="24">
        <f t="shared" si="270"/>
        <v>650</v>
      </c>
      <c r="I1904" s="12">
        <f t="shared" si="273"/>
        <v>8.0399756657166435E-2</v>
      </c>
      <c r="J1904" s="3">
        <f t="shared" si="274"/>
        <v>0.7</v>
      </c>
    </row>
    <row r="1905" spans="2:10" x14ac:dyDescent="0.25">
      <c r="B1905" s="3">
        <f t="shared" si="275"/>
        <v>9440</v>
      </c>
      <c r="C1905" s="14">
        <f t="shared" si="276"/>
        <v>157.33333333333334</v>
      </c>
      <c r="D1905" s="11">
        <f t="shared" si="277"/>
        <v>1089.5881948330864</v>
      </c>
      <c r="E1905" s="24">
        <f t="shared" si="269"/>
        <v>1088.0534356296093</v>
      </c>
      <c r="F1905" s="24">
        <f t="shared" si="271"/>
        <v>38.368980086926285</v>
      </c>
      <c r="G1905" s="14">
        <f t="shared" si="272"/>
        <v>615.37716766748144</v>
      </c>
      <c r="H1905" s="24">
        <f t="shared" si="270"/>
        <v>650</v>
      </c>
      <c r="I1905" s="12">
        <f t="shared" si="273"/>
        <v>8.0356431026656738E-2</v>
      </c>
      <c r="J1905" s="3">
        <f t="shared" si="274"/>
        <v>0.7</v>
      </c>
    </row>
    <row r="1906" spans="2:10" x14ac:dyDescent="0.25">
      <c r="B1906" s="3">
        <f t="shared" si="275"/>
        <v>9445</v>
      </c>
      <c r="C1906" s="14">
        <f t="shared" si="276"/>
        <v>157.41666666666666</v>
      </c>
      <c r="D1906" s="11">
        <f t="shared" si="277"/>
        <v>1089.6674708117912</v>
      </c>
      <c r="E1906" s="24">
        <f t="shared" si="269"/>
        <v>1088.1337920606361</v>
      </c>
      <c r="F1906" s="24">
        <f t="shared" si="271"/>
        <v>38.341968778877344</v>
      </c>
      <c r="G1906" s="14">
        <f t="shared" si="272"/>
        <v>615.05208090279962</v>
      </c>
      <c r="H1906" s="24">
        <f t="shared" si="270"/>
        <v>650</v>
      </c>
      <c r="I1906" s="12">
        <f t="shared" si="273"/>
        <v>8.0313152233208854E-2</v>
      </c>
      <c r="J1906" s="3">
        <f t="shared" si="274"/>
        <v>0.7</v>
      </c>
    </row>
    <row r="1907" spans="2:10" x14ac:dyDescent="0.25">
      <c r="B1907" s="3">
        <f t="shared" si="275"/>
        <v>9450</v>
      </c>
      <c r="C1907" s="14">
        <f t="shared" si="276"/>
        <v>157.5</v>
      </c>
      <c r="D1907" s="11">
        <f t="shared" si="277"/>
        <v>1089.7467048677131</v>
      </c>
      <c r="E1907" s="24">
        <f t="shared" si="269"/>
        <v>1088.2141052128693</v>
      </c>
      <c r="F1907" s="24">
        <f t="shared" si="271"/>
        <v>38.314991371095175</v>
      </c>
      <c r="G1907" s="14">
        <f t="shared" si="272"/>
        <v>614.72734066507348</v>
      </c>
      <c r="H1907" s="24">
        <f t="shared" si="270"/>
        <v>650</v>
      </c>
      <c r="I1907" s="12">
        <f t="shared" si="273"/>
        <v>8.026992020068488E-2</v>
      </c>
      <c r="J1907" s="3">
        <f t="shared" si="274"/>
        <v>0.7</v>
      </c>
    </row>
    <row r="1908" spans="2:10" x14ac:dyDescent="0.25">
      <c r="B1908" s="3">
        <f t="shared" si="275"/>
        <v>9455</v>
      </c>
      <c r="C1908" s="14">
        <f t="shared" si="276"/>
        <v>157.58333333333334</v>
      </c>
      <c r="D1908" s="11">
        <f t="shared" si="277"/>
        <v>1089.8258970451679</v>
      </c>
      <c r="E1908" s="24">
        <f t="shared" ref="E1908:E1971" si="278">E1907+I1907</f>
        <v>1088.2943751330699</v>
      </c>
      <c r="F1908" s="24">
        <f t="shared" si="271"/>
        <v>38.288047802450365</v>
      </c>
      <c r="G1908" s="14">
        <f t="shared" si="272"/>
        <v>614.402946397248</v>
      </c>
      <c r="H1908" s="24">
        <f t="shared" ref="H1908:H1971" si="279">IF(E1908&lt;600,425+0.773*E1908-1.69/1000*E1908^2+2.22/1000^2*E1908^3,IF(E1908&lt;735,666+13002/(738-E1908),IF(E1908&lt;900,545+17820/(E1908-731),650)))</f>
        <v>650</v>
      </c>
      <c r="I1908" s="12">
        <f t="shared" si="273"/>
        <v>8.0226734853099488E-2</v>
      </c>
      <c r="J1908" s="3">
        <f t="shared" si="274"/>
        <v>0.7</v>
      </c>
    </row>
    <row r="1909" spans="2:10" x14ac:dyDescent="0.25">
      <c r="B1909" s="3">
        <f t="shared" si="275"/>
        <v>9460</v>
      </c>
      <c r="C1909" s="14">
        <f t="shared" si="276"/>
        <v>157.66666666666666</v>
      </c>
      <c r="D1909" s="11">
        <f t="shared" si="277"/>
        <v>1089.9050473884015</v>
      </c>
      <c r="E1909" s="24">
        <f t="shared" si="278"/>
        <v>1088.374601867923</v>
      </c>
      <c r="F1909" s="24">
        <f t="shared" si="271"/>
        <v>38.261138011961293</v>
      </c>
      <c r="G1909" s="14">
        <f t="shared" si="272"/>
        <v>614.07889754354676</v>
      </c>
      <c r="H1909" s="24">
        <f t="shared" si="279"/>
        <v>650</v>
      </c>
      <c r="I1909" s="12">
        <f t="shared" si="273"/>
        <v>8.0183596114642736E-2</v>
      </c>
      <c r="J1909" s="3">
        <f t="shared" si="274"/>
        <v>0.7</v>
      </c>
    </row>
    <row r="1910" spans="2:10" x14ac:dyDescent="0.25">
      <c r="B1910" s="3">
        <f t="shared" si="275"/>
        <v>9465</v>
      </c>
      <c r="C1910" s="14">
        <f t="shared" si="276"/>
        <v>157.75</v>
      </c>
      <c r="D1910" s="11">
        <f t="shared" si="277"/>
        <v>1089.9841559415891</v>
      </c>
      <c r="E1910" s="24">
        <f t="shared" si="278"/>
        <v>1088.4547854640377</v>
      </c>
      <c r="F1910" s="24">
        <f t="shared" si="271"/>
        <v>38.234261938782765</v>
      </c>
      <c r="G1910" s="14">
        <f t="shared" si="272"/>
        <v>613.75519354931748</v>
      </c>
      <c r="H1910" s="24">
        <f t="shared" si="279"/>
        <v>650</v>
      </c>
      <c r="I1910" s="12">
        <f t="shared" si="273"/>
        <v>8.0140503909659586E-2</v>
      </c>
      <c r="J1910" s="3">
        <f t="shared" si="274"/>
        <v>0.7</v>
      </c>
    </row>
    <row r="1911" spans="2:10" x14ac:dyDescent="0.25">
      <c r="B1911" s="3">
        <f t="shared" si="275"/>
        <v>9470</v>
      </c>
      <c r="C1911" s="14">
        <f t="shared" si="276"/>
        <v>157.83333333333334</v>
      </c>
      <c r="D1911" s="11">
        <f t="shared" si="277"/>
        <v>1090.0632227488363</v>
      </c>
      <c r="E1911" s="24">
        <f t="shared" si="278"/>
        <v>1088.5349259679474</v>
      </c>
      <c r="F1911" s="24">
        <f t="shared" si="271"/>
        <v>38.207419522223063</v>
      </c>
      <c r="G1911" s="14">
        <f t="shared" si="272"/>
        <v>613.43183386114833</v>
      </c>
      <c r="H1911" s="24">
        <f t="shared" si="279"/>
        <v>650</v>
      </c>
      <c r="I1911" s="12">
        <f t="shared" si="273"/>
        <v>8.0097458162666363E-2</v>
      </c>
      <c r="J1911" s="3">
        <f t="shared" si="274"/>
        <v>0.7</v>
      </c>
    </row>
    <row r="1912" spans="2:10" x14ac:dyDescent="0.25">
      <c r="B1912" s="3">
        <f t="shared" si="275"/>
        <v>9475</v>
      </c>
      <c r="C1912" s="14">
        <f t="shared" si="276"/>
        <v>157.91666666666666</v>
      </c>
      <c r="D1912" s="11">
        <f t="shared" si="277"/>
        <v>1090.142247854179</v>
      </c>
      <c r="E1912" s="24">
        <f t="shared" si="278"/>
        <v>1088.6150234261102</v>
      </c>
      <c r="F1912" s="24">
        <f t="shared" si="271"/>
        <v>38.180610701721207</v>
      </c>
      <c r="G1912" s="14">
        <f t="shared" si="272"/>
        <v>613.10881792673194</v>
      </c>
      <c r="H1912" s="24">
        <f t="shared" si="279"/>
        <v>650</v>
      </c>
      <c r="I1912" s="12">
        <f t="shared" si="273"/>
        <v>8.0054458798331188E-2</v>
      </c>
      <c r="J1912" s="3">
        <f t="shared" si="274"/>
        <v>0.7</v>
      </c>
    </row>
    <row r="1913" spans="2:10" x14ac:dyDescent="0.25">
      <c r="B1913" s="3">
        <f t="shared" si="275"/>
        <v>9480</v>
      </c>
      <c r="C1913" s="14">
        <f t="shared" si="276"/>
        <v>158</v>
      </c>
      <c r="D1913" s="11">
        <f t="shared" si="277"/>
        <v>1090.2212313015837</v>
      </c>
      <c r="E1913" s="24">
        <f t="shared" si="278"/>
        <v>1088.6950778849084</v>
      </c>
      <c r="F1913" s="24">
        <f t="shared" si="271"/>
        <v>38.153835416881066</v>
      </c>
      <c r="G1913" s="14">
        <f t="shared" si="272"/>
        <v>612.78614519536961</v>
      </c>
      <c r="H1913" s="24">
        <f t="shared" si="279"/>
        <v>650</v>
      </c>
      <c r="I1913" s="12">
        <f t="shared" si="273"/>
        <v>8.0011505741540215E-2</v>
      </c>
      <c r="J1913" s="3">
        <f t="shared" si="274"/>
        <v>0.7</v>
      </c>
    </row>
    <row r="1914" spans="2:10" x14ac:dyDescent="0.25">
      <c r="B1914" s="3">
        <f t="shared" si="275"/>
        <v>9485</v>
      </c>
      <c r="C1914" s="14">
        <f t="shared" si="276"/>
        <v>158.08333333333334</v>
      </c>
      <c r="D1914" s="11">
        <f t="shared" si="277"/>
        <v>1090.3001731349464</v>
      </c>
      <c r="E1914" s="24">
        <f t="shared" si="278"/>
        <v>1088.77508939065</v>
      </c>
      <c r="F1914" s="24">
        <f t="shared" si="271"/>
        <v>38.127093607408824</v>
      </c>
      <c r="G1914" s="14">
        <f t="shared" si="272"/>
        <v>612.46381511671132</v>
      </c>
      <c r="H1914" s="24">
        <f t="shared" si="279"/>
        <v>650</v>
      </c>
      <c r="I1914" s="12">
        <f t="shared" si="273"/>
        <v>7.9968598917235012E-2</v>
      </c>
      <c r="J1914" s="3">
        <f t="shared" si="274"/>
        <v>0.7</v>
      </c>
    </row>
    <row r="1915" spans="2:10" x14ac:dyDescent="0.25">
      <c r="B1915" s="3">
        <f t="shared" si="275"/>
        <v>9490</v>
      </c>
      <c r="C1915" s="14">
        <f t="shared" si="276"/>
        <v>158.16666666666666</v>
      </c>
      <c r="D1915" s="11">
        <f t="shared" si="277"/>
        <v>1090.3790733980948</v>
      </c>
      <c r="E1915" s="24">
        <f t="shared" si="278"/>
        <v>1088.8550579895673</v>
      </c>
      <c r="F1915" s="24">
        <f t="shared" si="271"/>
        <v>38.100385213186883</v>
      </c>
      <c r="G1915" s="14">
        <f t="shared" si="272"/>
        <v>612.14182714234528</v>
      </c>
      <c r="H1915" s="24">
        <f t="shared" si="279"/>
        <v>650</v>
      </c>
      <c r="I1915" s="12">
        <f t="shared" si="273"/>
        <v>7.9925738250617037E-2</v>
      </c>
      <c r="J1915" s="3">
        <f t="shared" si="274"/>
        <v>0.7</v>
      </c>
    </row>
    <row r="1916" spans="2:10" x14ac:dyDescent="0.25">
      <c r="B1916" s="3">
        <f t="shared" si="275"/>
        <v>9495</v>
      </c>
      <c r="C1916" s="14">
        <f t="shared" si="276"/>
        <v>158.25</v>
      </c>
      <c r="D1916" s="11">
        <f t="shared" si="277"/>
        <v>1090.4579321347871</v>
      </c>
      <c r="E1916" s="24">
        <f t="shared" si="278"/>
        <v>1088.934983727818</v>
      </c>
      <c r="F1916" s="24">
        <f t="shared" si="271"/>
        <v>38.073710174228381</v>
      </c>
      <c r="G1916" s="14">
        <f t="shared" si="272"/>
        <v>611.82018072480923</v>
      </c>
      <c r="H1916" s="24">
        <f t="shared" si="279"/>
        <v>650</v>
      </c>
      <c r="I1916" s="12">
        <f t="shared" si="273"/>
        <v>7.9882923667020558E-2</v>
      </c>
      <c r="J1916" s="3">
        <f t="shared" si="274"/>
        <v>0.7</v>
      </c>
    </row>
    <row r="1917" spans="2:10" x14ac:dyDescent="0.25">
      <c r="B1917" s="3">
        <f t="shared" si="275"/>
        <v>9500</v>
      </c>
      <c r="C1917" s="14">
        <f t="shared" si="276"/>
        <v>158.33333333333334</v>
      </c>
      <c r="D1917" s="11">
        <f t="shared" si="277"/>
        <v>1090.5367493887125</v>
      </c>
      <c r="E1917" s="24">
        <f t="shared" si="278"/>
        <v>1089.0148666514851</v>
      </c>
      <c r="F1917" s="24">
        <f t="shared" si="271"/>
        <v>38.047068430682884</v>
      </c>
      <c r="G1917" s="14">
        <f t="shared" si="272"/>
        <v>611.49887531766774</v>
      </c>
      <c r="H1917" s="24">
        <f t="shared" si="279"/>
        <v>650</v>
      </c>
      <c r="I1917" s="12">
        <f t="shared" si="273"/>
        <v>7.9840155091922799E-2</v>
      </c>
      <c r="J1917" s="3">
        <f t="shared" si="274"/>
        <v>0.7</v>
      </c>
    </row>
    <row r="1918" spans="2:10" x14ac:dyDescent="0.25">
      <c r="B1918" s="3">
        <f t="shared" si="275"/>
        <v>9505</v>
      </c>
      <c r="C1918" s="14">
        <f t="shared" si="276"/>
        <v>158.41666666666666</v>
      </c>
      <c r="D1918" s="11">
        <f t="shared" si="277"/>
        <v>1090.6155252034905</v>
      </c>
      <c r="E1918" s="24">
        <f t="shared" si="278"/>
        <v>1089.0947068065771</v>
      </c>
      <c r="F1918" s="24">
        <f t="shared" si="271"/>
        <v>38.02045992283638</v>
      </c>
      <c r="G1918" s="14">
        <f t="shared" si="272"/>
        <v>611.17791037578434</v>
      </c>
      <c r="H1918" s="24">
        <f t="shared" si="279"/>
        <v>650</v>
      </c>
      <c r="I1918" s="12">
        <f t="shared" si="273"/>
        <v>7.9797432450977451E-2</v>
      </c>
      <c r="J1918" s="3">
        <f t="shared" si="274"/>
        <v>0.7</v>
      </c>
    </row>
    <row r="1919" spans="2:10" x14ac:dyDescent="0.25">
      <c r="B1919" s="3">
        <f t="shared" si="275"/>
        <v>9510</v>
      </c>
      <c r="C1919" s="14">
        <f t="shared" si="276"/>
        <v>158.5</v>
      </c>
      <c r="D1919" s="11">
        <f t="shared" si="277"/>
        <v>1090.6942596226731</v>
      </c>
      <c r="E1919" s="24">
        <f t="shared" si="278"/>
        <v>1089.174504239028</v>
      </c>
      <c r="F1919" s="24">
        <f t="shared" si="271"/>
        <v>37.993884591128335</v>
      </c>
      <c r="G1919" s="14">
        <f t="shared" si="272"/>
        <v>610.85728535520434</v>
      </c>
      <c r="H1919" s="24">
        <f t="shared" si="279"/>
        <v>650</v>
      </c>
      <c r="I1919" s="12">
        <f t="shared" si="273"/>
        <v>7.97547556700023E-2</v>
      </c>
      <c r="J1919" s="3">
        <f t="shared" si="274"/>
        <v>0.7</v>
      </c>
    </row>
    <row r="1920" spans="2:10" x14ac:dyDescent="0.25">
      <c r="B1920" s="3">
        <f t="shared" si="275"/>
        <v>9515</v>
      </c>
      <c r="C1920" s="14">
        <f t="shared" si="276"/>
        <v>158.58333333333334</v>
      </c>
      <c r="D1920" s="11">
        <f t="shared" si="277"/>
        <v>1090.7729526897429</v>
      </c>
      <c r="E1920" s="24">
        <f t="shared" si="278"/>
        <v>1089.2542589946979</v>
      </c>
      <c r="F1920" s="24">
        <f t="shared" si="271"/>
        <v>37.96734237612327</v>
      </c>
      <c r="G1920" s="14">
        <f t="shared" si="272"/>
        <v>610.53699971303911</v>
      </c>
      <c r="H1920" s="24">
        <f t="shared" si="279"/>
        <v>650</v>
      </c>
      <c r="I1920" s="12">
        <f t="shared" si="273"/>
        <v>7.971212467496154E-2</v>
      </c>
      <c r="J1920" s="3">
        <f t="shared" si="274"/>
        <v>0.7</v>
      </c>
    </row>
    <row r="1921" spans="2:10" x14ac:dyDescent="0.25">
      <c r="B1921" s="3">
        <f t="shared" si="275"/>
        <v>9520</v>
      </c>
      <c r="C1921" s="14">
        <f t="shared" si="276"/>
        <v>158.66666666666666</v>
      </c>
      <c r="D1921" s="11">
        <f t="shared" si="277"/>
        <v>1090.8516044481139</v>
      </c>
      <c r="E1921" s="24">
        <f t="shared" si="278"/>
        <v>1089.3339711193728</v>
      </c>
      <c r="F1921" s="24">
        <f t="shared" si="271"/>
        <v>37.940833218527814</v>
      </c>
      <c r="G1921" s="14">
        <f t="shared" si="272"/>
        <v>610.21705290750469</v>
      </c>
      <c r="H1921" s="24">
        <f t="shared" si="279"/>
        <v>650</v>
      </c>
      <c r="I1921" s="12">
        <f t="shared" si="273"/>
        <v>7.966953939197266E-2</v>
      </c>
      <c r="J1921" s="3">
        <f t="shared" si="274"/>
        <v>0.7</v>
      </c>
    </row>
    <row r="1922" spans="2:10" x14ac:dyDescent="0.25">
      <c r="B1922" s="3">
        <f t="shared" si="275"/>
        <v>9525</v>
      </c>
      <c r="C1922" s="14">
        <f t="shared" si="276"/>
        <v>158.75</v>
      </c>
      <c r="D1922" s="11">
        <f t="shared" si="277"/>
        <v>1090.9302149411328</v>
      </c>
      <c r="E1922" s="24">
        <f t="shared" si="278"/>
        <v>1089.4136406587647</v>
      </c>
      <c r="F1922" s="24">
        <f t="shared" si="271"/>
        <v>37.914357059202075</v>
      </c>
      <c r="G1922" s="14">
        <f t="shared" si="272"/>
        <v>609.89744439844503</v>
      </c>
      <c r="H1922" s="24">
        <f t="shared" si="279"/>
        <v>650</v>
      </c>
      <c r="I1922" s="12">
        <f t="shared" si="273"/>
        <v>7.9626999747372043E-2</v>
      </c>
      <c r="J1922" s="3">
        <f t="shared" si="274"/>
        <v>0.7</v>
      </c>
    </row>
    <row r="1923" spans="2:10" x14ac:dyDescent="0.25">
      <c r="B1923" s="3">
        <f t="shared" si="275"/>
        <v>9530</v>
      </c>
      <c r="C1923" s="14">
        <f t="shared" si="276"/>
        <v>158.83333333333334</v>
      </c>
      <c r="D1923" s="11">
        <f t="shared" si="277"/>
        <v>1091.0087842120765</v>
      </c>
      <c r="E1923" s="24">
        <f t="shared" si="278"/>
        <v>1089.4932676585122</v>
      </c>
      <c r="F1923" s="24">
        <f t="shared" si="271"/>
        <v>37.887913839108478</v>
      </c>
      <c r="G1923" s="14">
        <f t="shared" si="272"/>
        <v>609.57817364601397</v>
      </c>
      <c r="H1923" s="24">
        <f t="shared" si="279"/>
        <v>650</v>
      </c>
      <c r="I1923" s="12">
        <f t="shared" si="273"/>
        <v>7.9584505667546782E-2</v>
      </c>
      <c r="J1923" s="3">
        <f t="shared" si="274"/>
        <v>0.7</v>
      </c>
    </row>
    <row r="1924" spans="2:10" x14ac:dyDescent="0.25">
      <c r="B1924" s="3">
        <f t="shared" si="275"/>
        <v>9535</v>
      </c>
      <c r="C1924" s="14">
        <f t="shared" si="276"/>
        <v>158.91666666666666</v>
      </c>
      <c r="D1924" s="11">
        <f t="shared" si="277"/>
        <v>1091.0873123041554</v>
      </c>
      <c r="E1924" s="24">
        <f t="shared" si="278"/>
        <v>1089.5728521641797</v>
      </c>
      <c r="F1924" s="24">
        <f t="shared" si="271"/>
        <v>37.861503499391347</v>
      </c>
      <c r="G1924" s="14">
        <f t="shared" si="272"/>
        <v>609.25924011234224</v>
      </c>
      <c r="H1924" s="24">
        <f t="shared" si="279"/>
        <v>650</v>
      </c>
      <c r="I1924" s="12">
        <f t="shared" si="273"/>
        <v>7.9542057079149325E-2</v>
      </c>
      <c r="J1924" s="3">
        <f t="shared" si="274"/>
        <v>0.7</v>
      </c>
    </row>
    <row r="1925" spans="2:10" x14ac:dyDescent="0.25">
      <c r="B1925" s="3">
        <f t="shared" si="275"/>
        <v>9540</v>
      </c>
      <c r="C1925" s="14">
        <f t="shared" si="276"/>
        <v>159</v>
      </c>
      <c r="D1925" s="11">
        <f t="shared" si="277"/>
        <v>1091.165799260511</v>
      </c>
      <c r="E1925" s="24">
        <f t="shared" si="278"/>
        <v>1089.6523942212589</v>
      </c>
      <c r="F1925" s="24">
        <f t="shared" si="271"/>
        <v>37.835125981303008</v>
      </c>
      <c r="G1925" s="14">
        <f t="shared" si="272"/>
        <v>608.94064326033595</v>
      </c>
      <c r="H1925" s="24">
        <f t="shared" si="279"/>
        <v>650</v>
      </c>
      <c r="I1925" s="12">
        <f t="shared" si="273"/>
        <v>7.9499653908940676E-2</v>
      </c>
      <c r="J1925" s="3">
        <f t="shared" si="274"/>
        <v>0.7</v>
      </c>
    </row>
    <row r="1926" spans="2:10" x14ac:dyDescent="0.25">
      <c r="B1926" s="3">
        <f t="shared" si="275"/>
        <v>9545</v>
      </c>
      <c r="C1926" s="14">
        <f t="shared" si="276"/>
        <v>159.08333333333334</v>
      </c>
      <c r="D1926" s="11">
        <f t="shared" si="277"/>
        <v>1091.2442451242173</v>
      </c>
      <c r="E1926" s="24">
        <f t="shared" si="278"/>
        <v>1089.7318938751678</v>
      </c>
      <c r="F1926" s="24">
        <f t="shared" si="271"/>
        <v>37.808781226237897</v>
      </c>
      <c r="G1926" s="14">
        <f t="shared" si="272"/>
        <v>608.62238255392799</v>
      </c>
      <c r="H1926" s="24">
        <f t="shared" si="279"/>
        <v>650</v>
      </c>
      <c r="I1926" s="12">
        <f t="shared" si="273"/>
        <v>7.9457296083825554E-2</v>
      </c>
      <c r="J1926" s="3">
        <f t="shared" si="274"/>
        <v>0.7</v>
      </c>
    </row>
    <row r="1927" spans="2:10" x14ac:dyDescent="0.25">
      <c r="B1927" s="3">
        <f t="shared" si="275"/>
        <v>9550</v>
      </c>
      <c r="C1927" s="14">
        <f t="shared" si="276"/>
        <v>159.16666666666666</v>
      </c>
      <c r="D1927" s="11">
        <f t="shared" si="277"/>
        <v>1091.3226499382811</v>
      </c>
      <c r="E1927" s="24">
        <f t="shared" si="278"/>
        <v>1089.8113511712515</v>
      </c>
      <c r="F1927" s="24">
        <f t="shared" si="271"/>
        <v>37.782469175738242</v>
      </c>
      <c r="G1927" s="14">
        <f t="shared" si="272"/>
        <v>608.30445745854377</v>
      </c>
      <c r="H1927" s="24">
        <f t="shared" si="279"/>
        <v>650</v>
      </c>
      <c r="I1927" s="12">
        <f t="shared" si="273"/>
        <v>7.9414983530910255E-2</v>
      </c>
      <c r="J1927" s="3">
        <f t="shared" si="274"/>
        <v>0.7</v>
      </c>
    </row>
    <row r="1928" spans="2:10" x14ac:dyDescent="0.25">
      <c r="B1928" s="3">
        <f t="shared" si="275"/>
        <v>9555</v>
      </c>
      <c r="C1928" s="14">
        <f t="shared" si="276"/>
        <v>159.25</v>
      </c>
      <c r="D1928" s="11">
        <f t="shared" si="277"/>
        <v>1091.401013745641</v>
      </c>
      <c r="E1928" s="24">
        <f t="shared" si="278"/>
        <v>1089.8907661547826</v>
      </c>
      <c r="F1928" s="24">
        <f t="shared" si="271"/>
        <v>37.756189771459958</v>
      </c>
      <c r="G1928" s="14">
        <f t="shared" si="272"/>
        <v>607.98686744030624</v>
      </c>
      <c r="H1928" s="24">
        <f t="shared" si="279"/>
        <v>650</v>
      </c>
      <c r="I1928" s="12">
        <f t="shared" si="273"/>
        <v>7.9372716177400812E-2</v>
      </c>
      <c r="J1928" s="3">
        <f t="shared" si="274"/>
        <v>0.7</v>
      </c>
    </row>
    <row r="1929" spans="2:10" x14ac:dyDescent="0.25">
      <c r="B1929" s="3">
        <f t="shared" si="275"/>
        <v>9560</v>
      </c>
      <c r="C1929" s="14">
        <f t="shared" si="276"/>
        <v>159.33333333333334</v>
      </c>
      <c r="D1929" s="11">
        <f t="shared" si="277"/>
        <v>1091.4793365891685</v>
      </c>
      <c r="E1929" s="24">
        <f t="shared" si="278"/>
        <v>1089.97013887096</v>
      </c>
      <c r="F1929" s="24">
        <f t="shared" si="271"/>
        <v>37.729942955212437</v>
      </c>
      <c r="G1929" s="14">
        <f t="shared" si="272"/>
        <v>607.66961196683064</v>
      </c>
      <c r="H1929" s="24">
        <f t="shared" si="279"/>
        <v>650</v>
      </c>
      <c r="I1929" s="12">
        <f t="shared" si="273"/>
        <v>7.9330493950705572E-2</v>
      </c>
      <c r="J1929" s="3">
        <f t="shared" si="274"/>
        <v>0.7</v>
      </c>
    </row>
    <row r="1930" spans="2:10" x14ac:dyDescent="0.25">
      <c r="B1930" s="3">
        <f t="shared" si="275"/>
        <v>9565</v>
      </c>
      <c r="C1930" s="14">
        <f t="shared" si="276"/>
        <v>159.41666666666666</v>
      </c>
      <c r="D1930" s="11">
        <f t="shared" si="277"/>
        <v>1091.5576185116686</v>
      </c>
      <c r="E1930" s="24">
        <f t="shared" si="278"/>
        <v>1090.0494693649107</v>
      </c>
      <c r="F1930" s="24">
        <f t="shared" si="271"/>
        <v>37.703728668947178</v>
      </c>
      <c r="G1930" s="14">
        <f t="shared" si="272"/>
        <v>607.3526905068951</v>
      </c>
      <c r="H1930" s="24">
        <f t="shared" si="279"/>
        <v>650</v>
      </c>
      <c r="I1930" s="12">
        <f t="shared" si="273"/>
        <v>7.9288316778393222E-2</v>
      </c>
      <c r="J1930" s="3">
        <f t="shared" si="274"/>
        <v>0.7</v>
      </c>
    </row>
    <row r="1931" spans="2:10" x14ac:dyDescent="0.25">
      <c r="B1931" s="3">
        <f t="shared" si="275"/>
        <v>9570</v>
      </c>
      <c r="C1931" s="14">
        <f t="shared" si="276"/>
        <v>159.5</v>
      </c>
      <c r="D1931" s="11">
        <f t="shared" si="277"/>
        <v>1091.6358595558781</v>
      </c>
      <c r="E1931" s="24">
        <f t="shared" si="278"/>
        <v>1090.1287576816892</v>
      </c>
      <c r="F1931" s="24">
        <f t="shared" si="271"/>
        <v>37.677546854723687</v>
      </c>
      <c r="G1931" s="14">
        <f t="shared" si="272"/>
        <v>607.03610252999442</v>
      </c>
      <c r="H1931" s="24">
        <f t="shared" si="279"/>
        <v>650</v>
      </c>
      <c r="I1931" s="12">
        <f t="shared" si="273"/>
        <v>7.92461845881339E-2</v>
      </c>
      <c r="J1931" s="3">
        <f t="shared" si="274"/>
        <v>0.7</v>
      </c>
    </row>
    <row r="1932" spans="2:10" x14ac:dyDescent="0.25">
      <c r="B1932" s="3">
        <f t="shared" si="275"/>
        <v>9575</v>
      </c>
      <c r="C1932" s="14">
        <f t="shared" si="276"/>
        <v>159.58333333333334</v>
      </c>
      <c r="D1932" s="11">
        <f t="shared" si="277"/>
        <v>1091.7140597644679</v>
      </c>
      <c r="E1932" s="24">
        <f t="shared" si="278"/>
        <v>1090.2080038662773</v>
      </c>
      <c r="F1932" s="24">
        <f t="shared" si="271"/>
        <v>37.651397454766311</v>
      </c>
      <c r="G1932" s="14">
        <f t="shared" si="272"/>
        <v>606.71984750727131</v>
      </c>
      <c r="H1932" s="24">
        <f t="shared" si="279"/>
        <v>650</v>
      </c>
      <c r="I1932" s="12">
        <f t="shared" si="273"/>
        <v>7.9204097307820492E-2</v>
      </c>
      <c r="J1932" s="3">
        <f t="shared" si="274"/>
        <v>0.7</v>
      </c>
    </row>
    <row r="1933" spans="2:10" x14ac:dyDescent="0.25">
      <c r="B1933" s="3">
        <f t="shared" si="275"/>
        <v>9580</v>
      </c>
      <c r="C1933" s="14">
        <f t="shared" si="276"/>
        <v>159.66666666666666</v>
      </c>
      <c r="D1933" s="11">
        <f t="shared" si="277"/>
        <v>1091.7922191800412</v>
      </c>
      <c r="E1933" s="24">
        <f t="shared" si="278"/>
        <v>1090.2872079635852</v>
      </c>
      <c r="F1933" s="24">
        <f t="shared" si="271"/>
        <v>37.625280411401718</v>
      </c>
      <c r="G1933" s="14">
        <f t="shared" si="272"/>
        <v>606.40392491048817</v>
      </c>
      <c r="H1933" s="24">
        <f t="shared" si="279"/>
        <v>650</v>
      </c>
      <c r="I1933" s="12">
        <f t="shared" si="273"/>
        <v>7.9162054865434678E-2</v>
      </c>
      <c r="J1933" s="3">
        <f t="shared" si="274"/>
        <v>0.7</v>
      </c>
    </row>
    <row r="1934" spans="2:10" x14ac:dyDescent="0.25">
      <c r="B1934" s="3">
        <f t="shared" si="275"/>
        <v>9585</v>
      </c>
      <c r="C1934" s="14">
        <f t="shared" si="276"/>
        <v>159.75</v>
      </c>
      <c r="D1934" s="11">
        <f t="shared" si="277"/>
        <v>1091.8703378451355</v>
      </c>
      <c r="E1934" s="24">
        <f t="shared" si="278"/>
        <v>1090.3663700184507</v>
      </c>
      <c r="F1934" s="24">
        <f t="shared" si="271"/>
        <v>37.599195667121421</v>
      </c>
      <c r="G1934" s="14">
        <f t="shared" si="272"/>
        <v>606.08833421299664</v>
      </c>
      <c r="H1934" s="24">
        <f t="shared" si="279"/>
        <v>650</v>
      </c>
      <c r="I1934" s="12">
        <f t="shared" si="273"/>
        <v>7.9120057189173726E-2</v>
      </c>
      <c r="J1934" s="3">
        <f t="shared" si="274"/>
        <v>0.7</v>
      </c>
    </row>
    <row r="1935" spans="2:10" x14ac:dyDescent="0.25">
      <c r="B1935" s="3">
        <f t="shared" si="275"/>
        <v>9590</v>
      </c>
      <c r="C1935" s="14">
        <f t="shared" si="276"/>
        <v>159.83333333333334</v>
      </c>
      <c r="D1935" s="11">
        <f t="shared" si="277"/>
        <v>1091.948415802221</v>
      </c>
      <c r="E1935" s="24">
        <f t="shared" si="278"/>
        <v>1090.4454900756398</v>
      </c>
      <c r="F1935" s="24">
        <f t="shared" si="271"/>
        <v>37.57314316453062</v>
      </c>
      <c r="G1935" s="14">
        <f t="shared" si="272"/>
        <v>605.77307488892359</v>
      </c>
      <c r="H1935" s="24">
        <f t="shared" si="279"/>
        <v>650</v>
      </c>
      <c r="I1935" s="12">
        <f t="shared" si="273"/>
        <v>7.9078104207344138E-2</v>
      </c>
      <c r="J1935" s="3">
        <f t="shared" si="274"/>
        <v>0.7</v>
      </c>
    </row>
    <row r="1936" spans="2:10" x14ac:dyDescent="0.25">
      <c r="B1936" s="3">
        <f t="shared" si="275"/>
        <v>9595</v>
      </c>
      <c r="C1936" s="14">
        <f t="shared" si="276"/>
        <v>159.91666666666666</v>
      </c>
      <c r="D1936" s="11">
        <f t="shared" si="277"/>
        <v>1092.026453093702</v>
      </c>
      <c r="E1936" s="24">
        <f t="shared" si="278"/>
        <v>1090.5245681798472</v>
      </c>
      <c r="F1936" s="24">
        <f t="shared" si="271"/>
        <v>37.547122846370939</v>
      </c>
      <c r="G1936" s="14">
        <f t="shared" si="272"/>
        <v>605.45814641365575</v>
      </c>
      <c r="H1936" s="24">
        <f t="shared" si="279"/>
        <v>650</v>
      </c>
      <c r="I1936" s="12">
        <f t="shared" si="273"/>
        <v>7.9036195848424112E-2</v>
      </c>
      <c r="J1936" s="3">
        <f t="shared" si="274"/>
        <v>0.7</v>
      </c>
    </row>
    <row r="1937" spans="2:10" x14ac:dyDescent="0.25">
      <c r="B1937" s="3">
        <f t="shared" si="275"/>
        <v>9600</v>
      </c>
      <c r="C1937" s="14">
        <f t="shared" si="276"/>
        <v>160</v>
      </c>
      <c r="D1937" s="11">
        <f t="shared" si="277"/>
        <v>1092.1044497619166</v>
      </c>
      <c r="E1937" s="24">
        <f t="shared" si="278"/>
        <v>1090.6036043756956</v>
      </c>
      <c r="F1937" s="24">
        <f t="shared" ref="F1937:F2000" si="280">AlphaC*(D1937-E1937)</f>
        <v>37.521134655526112</v>
      </c>
      <c r="G1937" s="14">
        <f t="shared" ref="G1937:G2000" si="281">Phi*EpsilonF*Botzman/10^8*J1937*((D1937+273)^4-(E1937+273)^4)</f>
        <v>605.14354826376166</v>
      </c>
      <c r="H1937" s="24">
        <f t="shared" si="279"/>
        <v>650</v>
      </c>
      <c r="I1937" s="12">
        <f t="shared" ref="I1937:I2000" si="282">ksh*Massivete/(H1937*RhoA)*DeltaT*(F1937+G1937)</f>
        <v>7.8994332041054507E-2</v>
      </c>
      <c r="J1937" s="3">
        <f t="shared" ref="J1937:J2000" si="283">IF(E1937&lt;=500,IF(Galva=Oui,0.35,0.7),0.7)</f>
        <v>0.7</v>
      </c>
    </row>
    <row r="1938" spans="2:10" x14ac:dyDescent="0.25">
      <c r="B1938" s="3">
        <f t="shared" ref="B1938:B2001" si="284">B1937+DeltaT</f>
        <v>9605</v>
      </c>
      <c r="C1938" s="14">
        <f t="shared" ref="C1938:C2001" si="285">B1938/60</f>
        <v>160.08333333333334</v>
      </c>
      <c r="D1938" s="11">
        <f t="shared" ref="D1938:D2001" si="286">20+345*LOG(8*C1938+1,10)</f>
        <v>1092.1824058491366</v>
      </c>
      <c r="E1938" s="24">
        <f t="shared" si="278"/>
        <v>1090.6825987077366</v>
      </c>
      <c r="F1938" s="24">
        <f t="shared" si="280"/>
        <v>37.495178534999241</v>
      </c>
      <c r="G1938" s="14">
        <f t="shared" si="281"/>
        <v>604.8292799167599</v>
      </c>
      <c r="H1938" s="24">
        <f t="shared" si="279"/>
        <v>650</v>
      </c>
      <c r="I1938" s="12">
        <f t="shared" si="282"/>
        <v>7.8952512714007689E-2</v>
      </c>
      <c r="J1938" s="3">
        <f t="shared" si="283"/>
        <v>0.7</v>
      </c>
    </row>
    <row r="1939" spans="2:10" x14ac:dyDescent="0.25">
      <c r="B1939" s="3">
        <f t="shared" si="284"/>
        <v>9610</v>
      </c>
      <c r="C1939" s="14">
        <f t="shared" si="285"/>
        <v>160.16666666666666</v>
      </c>
      <c r="D1939" s="11">
        <f t="shared" si="286"/>
        <v>1092.2603213975676</v>
      </c>
      <c r="E1939" s="24">
        <f t="shared" si="278"/>
        <v>1090.7615512204507</v>
      </c>
      <c r="F1939" s="24">
        <f t="shared" si="280"/>
        <v>37.46925442792417</v>
      </c>
      <c r="G1939" s="14">
        <f t="shared" si="281"/>
        <v>604.51534085121511</v>
      </c>
      <c r="H1939" s="24">
        <f t="shared" si="279"/>
        <v>650</v>
      </c>
      <c r="I1939" s="12">
        <f t="shared" si="282"/>
        <v>7.8910737796200614E-2</v>
      </c>
      <c r="J1939" s="3">
        <f t="shared" si="283"/>
        <v>0.7</v>
      </c>
    </row>
    <row r="1940" spans="2:10" x14ac:dyDescent="0.25">
      <c r="B1940" s="3">
        <f t="shared" si="284"/>
        <v>9615</v>
      </c>
      <c r="C1940" s="14">
        <f t="shared" si="285"/>
        <v>160.25</v>
      </c>
      <c r="D1940" s="11">
        <f t="shared" si="286"/>
        <v>1092.3381964493503</v>
      </c>
      <c r="E1940" s="24">
        <f t="shared" si="278"/>
        <v>1090.8404619582468</v>
      </c>
      <c r="F1940" s="24">
        <f t="shared" si="280"/>
        <v>37.443362277588221</v>
      </c>
      <c r="G1940" s="14">
        <f t="shared" si="281"/>
        <v>604.20173054722329</v>
      </c>
      <c r="H1940" s="24">
        <f t="shared" si="279"/>
        <v>650</v>
      </c>
      <c r="I1940" s="12">
        <f t="shared" si="282"/>
        <v>7.8869007216757381E-2</v>
      </c>
      <c r="J1940" s="3">
        <f t="shared" si="283"/>
        <v>0.7</v>
      </c>
    </row>
    <row r="1941" spans="2:10" x14ac:dyDescent="0.25">
      <c r="B1941" s="3">
        <f t="shared" si="284"/>
        <v>9620</v>
      </c>
      <c r="C1941" s="14">
        <f t="shared" si="285"/>
        <v>160.33333333333334</v>
      </c>
      <c r="D1941" s="11">
        <f t="shared" si="286"/>
        <v>1092.4160310465586</v>
      </c>
      <c r="E1941" s="24">
        <f t="shared" si="278"/>
        <v>1090.9193309654636</v>
      </c>
      <c r="F1941" s="24">
        <f t="shared" si="280"/>
        <v>37.417502027375349</v>
      </c>
      <c r="G1941" s="14">
        <f t="shared" si="281"/>
        <v>603.88844848534541</v>
      </c>
      <c r="H1941" s="24">
        <f t="shared" si="279"/>
        <v>650</v>
      </c>
      <c r="I1941" s="12">
        <f t="shared" si="282"/>
        <v>7.8827320904871115E-2</v>
      </c>
      <c r="J1941" s="3">
        <f t="shared" si="283"/>
        <v>0.7</v>
      </c>
    </row>
    <row r="1942" spans="2:10" x14ac:dyDescent="0.25">
      <c r="B1942" s="3">
        <f t="shared" si="284"/>
        <v>9625</v>
      </c>
      <c r="C1942" s="14">
        <f t="shared" si="285"/>
        <v>160.41666666666666</v>
      </c>
      <c r="D1942" s="11">
        <f t="shared" si="286"/>
        <v>1092.4938252312018</v>
      </c>
      <c r="E1942" s="24">
        <f t="shared" si="278"/>
        <v>1090.9981582863684</v>
      </c>
      <c r="F1942" s="24">
        <f t="shared" si="280"/>
        <v>37.391673620834354</v>
      </c>
      <c r="G1942" s="14">
        <f t="shared" si="281"/>
        <v>603.57549414778987</v>
      </c>
      <c r="H1942" s="24">
        <f t="shared" si="279"/>
        <v>650</v>
      </c>
      <c r="I1942" s="12">
        <f t="shared" si="282"/>
        <v>7.8785678789957667E-2</v>
      </c>
      <c r="J1942" s="3">
        <f t="shared" si="283"/>
        <v>0.7</v>
      </c>
    </row>
    <row r="1943" spans="2:10" x14ac:dyDescent="0.25">
      <c r="B1943" s="3">
        <f t="shared" si="284"/>
        <v>9630</v>
      </c>
      <c r="C1943" s="14">
        <f t="shared" si="285"/>
        <v>160.5</v>
      </c>
      <c r="D1943" s="11">
        <f t="shared" si="286"/>
        <v>1092.5715790452232</v>
      </c>
      <c r="E1943" s="24">
        <f t="shared" si="278"/>
        <v>1091.0769439651583</v>
      </c>
      <c r="F1943" s="24">
        <f t="shared" si="280"/>
        <v>37.365877001622039</v>
      </c>
      <c r="G1943" s="14">
        <f t="shared" si="281"/>
        <v>603.26286701761762</v>
      </c>
      <c r="H1943" s="24">
        <f t="shared" si="279"/>
        <v>650</v>
      </c>
      <c r="I1943" s="12">
        <f t="shared" si="282"/>
        <v>7.8744080801550972E-2</v>
      </c>
      <c r="J1943" s="3">
        <f t="shared" si="283"/>
        <v>0.7</v>
      </c>
    </row>
    <row r="1944" spans="2:10" x14ac:dyDescent="0.25">
      <c r="B1944" s="3">
        <f t="shared" si="284"/>
        <v>9635</v>
      </c>
      <c r="C1944" s="14">
        <f t="shared" si="285"/>
        <v>160.58333333333334</v>
      </c>
      <c r="D1944" s="11">
        <f t="shared" si="286"/>
        <v>1092.6492925305008</v>
      </c>
      <c r="E1944" s="24">
        <f t="shared" si="278"/>
        <v>1091.1556880459598</v>
      </c>
      <c r="F1944" s="24">
        <f t="shared" si="280"/>
        <v>37.340112113525947</v>
      </c>
      <c r="G1944" s="14">
        <f t="shared" si="281"/>
        <v>602.95056657883913</v>
      </c>
      <c r="H1944" s="24">
        <f t="shared" si="279"/>
        <v>650</v>
      </c>
      <c r="I1944" s="12">
        <f t="shared" si="282"/>
        <v>7.8702526869317779E-2</v>
      </c>
      <c r="J1944" s="3">
        <f t="shared" si="283"/>
        <v>0.7</v>
      </c>
    </row>
    <row r="1945" spans="2:10" x14ac:dyDescent="0.25">
      <c r="B1945" s="3">
        <f t="shared" si="284"/>
        <v>9640</v>
      </c>
      <c r="C1945" s="14">
        <f t="shared" si="285"/>
        <v>160.66666666666666</v>
      </c>
      <c r="D1945" s="11">
        <f t="shared" si="286"/>
        <v>1092.7269657288482</v>
      </c>
      <c r="E1945" s="24">
        <f t="shared" si="278"/>
        <v>1091.2343905728292</v>
      </c>
      <c r="F1945" s="24">
        <f t="shared" si="280"/>
        <v>37.314378900475731</v>
      </c>
      <c r="G1945" s="14">
        <f t="shared" si="281"/>
        <v>602.63859231689935</v>
      </c>
      <c r="H1945" s="24">
        <f t="shared" si="279"/>
        <v>650</v>
      </c>
      <c r="I1945" s="12">
        <f t="shared" si="282"/>
        <v>7.8661016923118582E-2</v>
      </c>
      <c r="J1945" s="3">
        <f t="shared" si="283"/>
        <v>0.7</v>
      </c>
    </row>
    <row r="1946" spans="2:10" x14ac:dyDescent="0.25">
      <c r="B1946" s="3">
        <f t="shared" si="284"/>
        <v>9645</v>
      </c>
      <c r="C1946" s="14">
        <f t="shared" si="285"/>
        <v>160.75</v>
      </c>
      <c r="D1946" s="11">
        <f t="shared" si="286"/>
        <v>1092.8045986820134</v>
      </c>
      <c r="E1946" s="24">
        <f t="shared" si="278"/>
        <v>1091.3130515897524</v>
      </c>
      <c r="F1946" s="24">
        <f t="shared" si="280"/>
        <v>37.288677306526097</v>
      </c>
      <c r="G1946" s="14">
        <f t="shared" si="281"/>
        <v>602.32694371815364</v>
      </c>
      <c r="H1946" s="24">
        <f t="shared" si="279"/>
        <v>650</v>
      </c>
      <c r="I1946" s="12">
        <f t="shared" si="282"/>
        <v>7.8619550892941162E-2</v>
      </c>
      <c r="J1946" s="3">
        <f t="shared" si="283"/>
        <v>0.7</v>
      </c>
    </row>
    <row r="1947" spans="2:10" x14ac:dyDescent="0.25">
      <c r="B1947" s="3">
        <f t="shared" si="284"/>
        <v>9650</v>
      </c>
      <c r="C1947" s="14">
        <f t="shared" si="285"/>
        <v>160.83333333333334</v>
      </c>
      <c r="D1947" s="11">
        <f t="shared" si="286"/>
        <v>1092.8821914316795</v>
      </c>
      <c r="E1947" s="24">
        <f t="shared" si="278"/>
        <v>1091.3916711406453</v>
      </c>
      <c r="F1947" s="24">
        <f t="shared" si="280"/>
        <v>37.263007275856808</v>
      </c>
      <c r="G1947" s="14">
        <f t="shared" si="281"/>
        <v>602.01562026994623</v>
      </c>
      <c r="H1947" s="24">
        <f t="shared" si="279"/>
        <v>650</v>
      </c>
      <c r="I1947" s="12">
        <f t="shared" si="282"/>
        <v>7.8578128708910233E-2</v>
      </c>
      <c r="J1947" s="3">
        <f t="shared" si="283"/>
        <v>0.7</v>
      </c>
    </row>
    <row r="1948" spans="2:10" x14ac:dyDescent="0.25">
      <c r="B1948" s="3">
        <f t="shared" si="284"/>
        <v>9655</v>
      </c>
      <c r="C1948" s="14">
        <f t="shared" si="285"/>
        <v>160.91666666666666</v>
      </c>
      <c r="D1948" s="11">
        <f t="shared" si="286"/>
        <v>1092.959744019465</v>
      </c>
      <c r="E1948" s="24">
        <f t="shared" si="278"/>
        <v>1091.4702492693541</v>
      </c>
      <c r="F1948" s="24">
        <f t="shared" si="280"/>
        <v>37.237368752772682</v>
      </c>
      <c r="G1948" s="14">
        <f t="shared" si="281"/>
        <v>601.70462146082241</v>
      </c>
      <c r="H1948" s="24">
        <f t="shared" si="279"/>
        <v>650</v>
      </c>
      <c r="I1948" s="12">
        <f t="shared" si="282"/>
        <v>7.8536750301313518E-2</v>
      </c>
      <c r="J1948" s="3">
        <f t="shared" si="283"/>
        <v>0.7</v>
      </c>
    </row>
    <row r="1949" spans="2:10" x14ac:dyDescent="0.25">
      <c r="B1949" s="3">
        <f t="shared" si="284"/>
        <v>9660</v>
      </c>
      <c r="C1949" s="14">
        <f t="shared" si="285"/>
        <v>161</v>
      </c>
      <c r="D1949" s="11">
        <f t="shared" si="286"/>
        <v>1093.037256486924</v>
      </c>
      <c r="E1949" s="24">
        <f t="shared" si="278"/>
        <v>1091.5487860196554</v>
      </c>
      <c r="F1949" s="24">
        <f t="shared" si="280"/>
        <v>37.211761681714961</v>
      </c>
      <c r="G1949" s="14">
        <f t="shared" si="281"/>
        <v>601.39394678039378</v>
      </c>
      <c r="H1949" s="24">
        <f t="shared" si="279"/>
        <v>650</v>
      </c>
      <c r="I1949" s="12">
        <f t="shared" si="282"/>
        <v>7.8495415600586552E-2</v>
      </c>
      <c r="J1949" s="3">
        <f t="shared" si="283"/>
        <v>0.7</v>
      </c>
    </row>
    <row r="1950" spans="2:10" x14ac:dyDescent="0.25">
      <c r="B1950" s="3">
        <f t="shared" si="284"/>
        <v>9665</v>
      </c>
      <c r="C1950" s="14">
        <f t="shared" si="285"/>
        <v>161.08333333333334</v>
      </c>
      <c r="D1950" s="11">
        <f t="shared" si="286"/>
        <v>1093.114728875546</v>
      </c>
      <c r="E1950" s="24">
        <f t="shared" si="278"/>
        <v>1091.627281435256</v>
      </c>
      <c r="F1950" s="24">
        <f t="shared" si="280"/>
        <v>37.186186007249944</v>
      </c>
      <c r="G1950" s="14">
        <f t="shared" si="281"/>
        <v>601.08359571931805</v>
      </c>
      <c r="H1950" s="24">
        <f t="shared" si="279"/>
        <v>650</v>
      </c>
      <c r="I1950" s="12">
        <f t="shared" si="282"/>
        <v>7.8454124537308836E-2</v>
      </c>
      <c r="J1950" s="3">
        <f t="shared" si="283"/>
        <v>0.7</v>
      </c>
    </row>
    <row r="1951" spans="2:10" x14ac:dyDescent="0.25">
      <c r="B1951" s="3">
        <f t="shared" si="284"/>
        <v>9670</v>
      </c>
      <c r="C1951" s="14">
        <f t="shared" si="285"/>
        <v>161.16666666666666</v>
      </c>
      <c r="D1951" s="11">
        <f t="shared" si="286"/>
        <v>1093.1921612267558</v>
      </c>
      <c r="E1951" s="24">
        <f t="shared" si="278"/>
        <v>1091.7057355597933</v>
      </c>
      <c r="F1951" s="24">
        <f t="shared" si="280"/>
        <v>37.160641674063299</v>
      </c>
      <c r="G1951" s="14">
        <f t="shared" si="281"/>
        <v>600.77356776924159</v>
      </c>
      <c r="H1951" s="24">
        <f t="shared" si="279"/>
        <v>650</v>
      </c>
      <c r="I1951" s="12">
        <f t="shared" si="282"/>
        <v>7.8412877042196072E-2</v>
      </c>
      <c r="J1951" s="3">
        <f t="shared" si="283"/>
        <v>0.7</v>
      </c>
    </row>
    <row r="1952" spans="2:10" x14ac:dyDescent="0.25">
      <c r="B1952" s="3">
        <f t="shared" si="284"/>
        <v>9675</v>
      </c>
      <c r="C1952" s="14">
        <f t="shared" si="285"/>
        <v>161.25</v>
      </c>
      <c r="D1952" s="11">
        <f t="shared" si="286"/>
        <v>1093.2695535819148</v>
      </c>
      <c r="E1952" s="24">
        <f t="shared" si="278"/>
        <v>1091.7841484368355</v>
      </c>
      <c r="F1952" s="24">
        <f t="shared" si="280"/>
        <v>37.135128626982805</v>
      </c>
      <c r="G1952" s="14">
        <f t="shared" si="281"/>
        <v>600.46386242310916</v>
      </c>
      <c r="H1952" s="24">
        <f t="shared" si="279"/>
        <v>650</v>
      </c>
      <c r="I1952" s="12">
        <f t="shared" si="282"/>
        <v>7.8371673046141024E-2</v>
      </c>
      <c r="J1952" s="3">
        <f t="shared" si="283"/>
        <v>0.7</v>
      </c>
    </row>
    <row r="1953" spans="2:10" x14ac:dyDescent="0.25">
      <c r="B1953" s="3">
        <f t="shared" si="284"/>
        <v>9680</v>
      </c>
      <c r="C1953" s="14">
        <f t="shared" si="285"/>
        <v>161.33333333333334</v>
      </c>
      <c r="D1953" s="11">
        <f t="shared" si="286"/>
        <v>1093.3469059823199</v>
      </c>
      <c r="E1953" s="24">
        <f t="shared" si="278"/>
        <v>1091.8625201098816</v>
      </c>
      <c r="F1953" s="24">
        <f t="shared" si="280"/>
        <v>37.10964681095561</v>
      </c>
      <c r="G1953" s="14">
        <f t="shared" si="281"/>
        <v>600.1544791747765</v>
      </c>
      <c r="H1953" s="24">
        <f t="shared" si="279"/>
        <v>650</v>
      </c>
      <c r="I1953" s="12">
        <f t="shared" si="282"/>
        <v>7.8330512480163081E-2</v>
      </c>
      <c r="J1953" s="3">
        <f t="shared" si="283"/>
        <v>0.7</v>
      </c>
    </row>
    <row r="1954" spans="2:10" x14ac:dyDescent="0.25">
      <c r="B1954" s="3">
        <f t="shared" si="284"/>
        <v>9685</v>
      </c>
      <c r="C1954" s="14">
        <f t="shared" si="285"/>
        <v>161.41666666666666</v>
      </c>
      <c r="D1954" s="11">
        <f t="shared" si="286"/>
        <v>1093.4242184692039</v>
      </c>
      <c r="E1954" s="24">
        <f t="shared" si="278"/>
        <v>1091.9408506223617</v>
      </c>
      <c r="F1954" s="24">
        <f t="shared" si="280"/>
        <v>37.084196171053918</v>
      </c>
      <c r="G1954" s="14">
        <f t="shared" si="281"/>
        <v>599.84541751916481</v>
      </c>
      <c r="H1954" s="24">
        <f t="shared" si="279"/>
        <v>650</v>
      </c>
      <c r="I1954" s="12">
        <f t="shared" si="282"/>
        <v>7.8289395275427998E-2</v>
      </c>
      <c r="J1954" s="3">
        <f t="shared" si="283"/>
        <v>0.7</v>
      </c>
    </row>
    <row r="1955" spans="2:10" x14ac:dyDescent="0.25">
      <c r="B1955" s="3">
        <f t="shared" si="284"/>
        <v>9690</v>
      </c>
      <c r="C1955" s="14">
        <f t="shared" si="285"/>
        <v>161.5</v>
      </c>
      <c r="D1955" s="11">
        <f t="shared" si="286"/>
        <v>1093.5014910837358</v>
      </c>
      <c r="E1955" s="24">
        <f t="shared" si="278"/>
        <v>1092.0191400176373</v>
      </c>
      <c r="F1955" s="24">
        <f t="shared" si="280"/>
        <v>37.058776652463621</v>
      </c>
      <c r="G1955" s="14">
        <f t="shared" si="281"/>
        <v>599.53667695212607</v>
      </c>
      <c r="H1955" s="24">
        <f t="shared" si="279"/>
        <v>650</v>
      </c>
      <c r="I1955" s="12">
        <f t="shared" si="282"/>
        <v>7.82483213632299E-2</v>
      </c>
      <c r="J1955" s="3">
        <f t="shared" si="283"/>
        <v>0.7</v>
      </c>
    </row>
    <row r="1956" spans="2:10" x14ac:dyDescent="0.25">
      <c r="B1956" s="3">
        <f t="shared" si="284"/>
        <v>9695</v>
      </c>
      <c r="C1956" s="14">
        <f t="shared" si="285"/>
        <v>161.58333333333334</v>
      </c>
      <c r="D1956" s="11">
        <f t="shared" si="286"/>
        <v>1093.5787238670214</v>
      </c>
      <c r="E1956" s="24">
        <f t="shared" si="278"/>
        <v>1092.0973883390004</v>
      </c>
      <c r="F1956" s="24">
        <f t="shared" si="280"/>
        <v>37.033388200524087</v>
      </c>
      <c r="G1956" s="14">
        <f t="shared" si="281"/>
        <v>599.22825697086853</v>
      </c>
      <c r="H1956" s="24">
        <f t="shared" si="279"/>
        <v>650</v>
      </c>
      <c r="I1956" s="12">
        <f t="shared" si="282"/>
        <v>7.8207290675048474E-2</v>
      </c>
      <c r="J1956" s="3">
        <f t="shared" si="283"/>
        <v>0.7</v>
      </c>
    </row>
    <row r="1957" spans="2:10" x14ac:dyDescent="0.25">
      <c r="B1957" s="3">
        <f t="shared" si="284"/>
        <v>9700</v>
      </c>
      <c r="C1957" s="14">
        <f t="shared" si="285"/>
        <v>161.66666666666666</v>
      </c>
      <c r="D1957" s="11">
        <f t="shared" si="286"/>
        <v>1093.6559168601027</v>
      </c>
      <c r="E1957" s="24">
        <f t="shared" si="278"/>
        <v>1092.1755956296754</v>
      </c>
      <c r="F1957" s="24">
        <f t="shared" si="280"/>
        <v>37.008030760682686</v>
      </c>
      <c r="G1957" s="14">
        <f t="shared" si="281"/>
        <v>598.92015707355006</v>
      </c>
      <c r="H1957" s="24">
        <f t="shared" si="279"/>
        <v>650</v>
      </c>
      <c r="I1957" s="12">
        <f t="shared" si="282"/>
        <v>7.8166303142493426E-2</v>
      </c>
      <c r="J1957" s="3">
        <f t="shared" si="283"/>
        <v>0.7</v>
      </c>
    </row>
    <row r="1958" spans="2:10" x14ac:dyDescent="0.25">
      <c r="B1958" s="3">
        <f t="shared" si="284"/>
        <v>9705</v>
      </c>
      <c r="C1958" s="14">
        <f t="shared" si="285"/>
        <v>161.75</v>
      </c>
      <c r="D1958" s="11">
        <f t="shared" si="286"/>
        <v>1093.7330701039582</v>
      </c>
      <c r="E1958" s="24">
        <f t="shared" si="278"/>
        <v>1092.253761932818</v>
      </c>
      <c r="F1958" s="24">
        <f t="shared" si="280"/>
        <v>36.982704278506162</v>
      </c>
      <c r="G1958" s="14">
        <f t="shared" si="281"/>
        <v>598.61237675910388</v>
      </c>
      <c r="H1958" s="24">
        <f t="shared" si="279"/>
        <v>650</v>
      </c>
      <c r="I1958" s="12">
        <f t="shared" si="282"/>
        <v>7.812535869728443E-2</v>
      </c>
      <c r="J1958" s="3">
        <f t="shared" si="283"/>
        <v>0.7</v>
      </c>
    </row>
    <row r="1959" spans="2:10" x14ac:dyDescent="0.25">
      <c r="B1959" s="3">
        <f t="shared" si="284"/>
        <v>9710</v>
      </c>
      <c r="C1959" s="14">
        <f t="shared" si="285"/>
        <v>161.83333333333334</v>
      </c>
      <c r="D1959" s="11">
        <f t="shared" si="286"/>
        <v>1093.8101836395033</v>
      </c>
      <c r="E1959" s="24">
        <f t="shared" si="278"/>
        <v>1092.3318872915152</v>
      </c>
      <c r="F1959" s="24">
        <f t="shared" si="280"/>
        <v>36.957408699703365</v>
      </c>
      <c r="G1959" s="14">
        <f t="shared" si="281"/>
        <v>598.30491552799401</v>
      </c>
      <c r="H1959" s="24">
        <f t="shared" si="279"/>
        <v>650</v>
      </c>
      <c r="I1959" s="12">
        <f t="shared" si="282"/>
        <v>7.8084457271346788E-2</v>
      </c>
      <c r="J1959" s="3">
        <f t="shared" si="283"/>
        <v>0.7</v>
      </c>
    </row>
    <row r="1960" spans="2:10" x14ac:dyDescent="0.25">
      <c r="B1960" s="3">
        <f t="shared" si="284"/>
        <v>9715</v>
      </c>
      <c r="C1960" s="14">
        <f t="shared" si="285"/>
        <v>161.91666666666666</v>
      </c>
      <c r="D1960" s="11">
        <f t="shared" si="286"/>
        <v>1093.88725750759</v>
      </c>
      <c r="E1960" s="24">
        <f t="shared" si="278"/>
        <v>1092.4099717487866</v>
      </c>
      <c r="F1960" s="24">
        <f t="shared" si="280"/>
        <v>36.932143970085463</v>
      </c>
      <c r="G1960" s="14">
        <f t="shared" si="281"/>
        <v>597.99777288130497</v>
      </c>
      <c r="H1960" s="24">
        <f t="shared" si="279"/>
        <v>650</v>
      </c>
      <c r="I1960" s="12">
        <f t="shared" si="282"/>
        <v>7.8043598796694633E-2</v>
      </c>
      <c r="J1960" s="3">
        <f t="shared" si="283"/>
        <v>0.7</v>
      </c>
    </row>
    <row r="1961" spans="2:10" x14ac:dyDescent="0.25">
      <c r="B1961" s="3">
        <f t="shared" si="284"/>
        <v>9720</v>
      </c>
      <c r="C1961" s="14">
        <f t="shared" si="285"/>
        <v>162</v>
      </c>
      <c r="D1961" s="11">
        <f t="shared" si="286"/>
        <v>1093.9642917490075</v>
      </c>
      <c r="E1961" s="24">
        <f t="shared" si="278"/>
        <v>1092.4880153475833</v>
      </c>
      <c r="F1961" s="24">
        <f t="shared" si="280"/>
        <v>36.906910035605733</v>
      </c>
      <c r="G1961" s="14">
        <f t="shared" si="281"/>
        <v>597.69094832126416</v>
      </c>
      <c r="H1961" s="24">
        <f t="shared" si="279"/>
        <v>650</v>
      </c>
      <c r="I1961" s="12">
        <f t="shared" si="282"/>
        <v>7.8002783205500095E-2</v>
      </c>
      <c r="J1961" s="3">
        <f t="shared" si="283"/>
        <v>0.7</v>
      </c>
    </row>
    <row r="1962" spans="2:10" x14ac:dyDescent="0.25">
      <c r="B1962" s="3">
        <f t="shared" si="284"/>
        <v>9725</v>
      </c>
      <c r="C1962" s="14">
        <f t="shared" si="285"/>
        <v>162.08333333333334</v>
      </c>
      <c r="D1962" s="11">
        <f t="shared" si="286"/>
        <v>1094.0412864044822</v>
      </c>
      <c r="E1962" s="24">
        <f t="shared" si="278"/>
        <v>1092.5660181307887</v>
      </c>
      <c r="F1962" s="24">
        <f t="shared" si="280"/>
        <v>36.881706842336826</v>
      </c>
      <c r="G1962" s="14">
        <f t="shared" si="281"/>
        <v>597.38444135141742</v>
      </c>
      <c r="H1962" s="24">
        <f t="shared" si="279"/>
        <v>650</v>
      </c>
      <c r="I1962" s="12">
        <f t="shared" si="282"/>
        <v>7.7962010430111958E-2</v>
      </c>
      <c r="J1962" s="3">
        <f t="shared" si="283"/>
        <v>0.7</v>
      </c>
    </row>
    <row r="1963" spans="2:10" x14ac:dyDescent="0.25">
      <c r="B1963" s="3">
        <f t="shared" si="284"/>
        <v>9730</v>
      </c>
      <c r="C1963" s="14">
        <f t="shared" si="285"/>
        <v>162.16666666666666</v>
      </c>
      <c r="D1963" s="11">
        <f t="shared" si="286"/>
        <v>1094.1182415146775</v>
      </c>
      <c r="E1963" s="24">
        <f t="shared" si="278"/>
        <v>1092.6439801412189</v>
      </c>
      <c r="F1963" s="24">
        <f t="shared" si="280"/>
        <v>36.856534336465074</v>
      </c>
      <c r="G1963" s="14">
        <f t="shared" si="281"/>
        <v>597.07825147600772</v>
      </c>
      <c r="H1963" s="24">
        <f t="shared" si="279"/>
        <v>650</v>
      </c>
      <c r="I1963" s="12">
        <f t="shared" si="282"/>
        <v>7.7921280402978743E-2</v>
      </c>
      <c r="J1963" s="3">
        <f t="shared" si="283"/>
        <v>0.7</v>
      </c>
    </row>
    <row r="1964" spans="2:10" x14ac:dyDescent="0.25">
      <c r="B1964" s="3">
        <f t="shared" si="284"/>
        <v>9735</v>
      </c>
      <c r="C1964" s="14">
        <f t="shared" si="285"/>
        <v>162.25</v>
      </c>
      <c r="D1964" s="11">
        <f t="shared" si="286"/>
        <v>1094.1951571201946</v>
      </c>
      <c r="E1964" s="24">
        <f t="shared" si="278"/>
        <v>1092.7219014216219</v>
      </c>
      <c r="F1964" s="24">
        <f t="shared" si="280"/>
        <v>36.831392464318924</v>
      </c>
      <c r="G1964" s="14">
        <f t="shared" si="281"/>
        <v>596.7723782005188</v>
      </c>
      <c r="H1964" s="24">
        <f t="shared" si="279"/>
        <v>650</v>
      </c>
      <c r="I1964" s="12">
        <f t="shared" si="282"/>
        <v>7.7880593056718919E-2</v>
      </c>
      <c r="J1964" s="3">
        <f t="shared" si="283"/>
        <v>0.7</v>
      </c>
    </row>
    <row r="1965" spans="2:10" x14ac:dyDescent="0.25">
      <c r="B1965" s="3">
        <f t="shared" si="284"/>
        <v>9740</v>
      </c>
      <c r="C1965" s="14">
        <f t="shared" si="285"/>
        <v>162.33333333333334</v>
      </c>
      <c r="D1965" s="11">
        <f t="shared" si="286"/>
        <v>1094.2720332615716</v>
      </c>
      <c r="E1965" s="24">
        <f t="shared" si="278"/>
        <v>1092.7997820146786</v>
      </c>
      <c r="F1965" s="24">
        <f t="shared" si="280"/>
        <v>36.806281172323452</v>
      </c>
      <c r="G1965" s="14">
        <f t="shared" si="281"/>
        <v>596.46682103132548</v>
      </c>
      <c r="H1965" s="24">
        <f t="shared" si="279"/>
        <v>650</v>
      </c>
      <c r="I1965" s="12">
        <f t="shared" si="282"/>
        <v>7.7839948324072331E-2</v>
      </c>
      <c r="J1965" s="3">
        <f t="shared" si="283"/>
        <v>0.7</v>
      </c>
    </row>
    <row r="1966" spans="2:10" x14ac:dyDescent="0.25">
      <c r="B1966" s="3">
        <f t="shared" si="284"/>
        <v>9745</v>
      </c>
      <c r="C1966" s="14">
        <f t="shared" si="285"/>
        <v>162.41666666666666</v>
      </c>
      <c r="D1966" s="11">
        <f t="shared" si="286"/>
        <v>1094.3488699792845</v>
      </c>
      <c r="E1966" s="24">
        <f t="shared" si="278"/>
        <v>1092.8776219630026</v>
      </c>
      <c r="F1966" s="24">
        <f t="shared" si="280"/>
        <v>36.781200407045844</v>
      </c>
      <c r="G1966" s="14">
        <f t="shared" si="281"/>
        <v>596.16157947594627</v>
      </c>
      <c r="H1966" s="24">
        <f t="shared" si="279"/>
        <v>650</v>
      </c>
      <c r="I1966" s="12">
        <f t="shared" si="282"/>
        <v>7.7799346137936931E-2</v>
      </c>
      <c r="J1966" s="3">
        <f t="shared" si="283"/>
        <v>0.7</v>
      </c>
    </row>
    <row r="1967" spans="2:10" x14ac:dyDescent="0.25">
      <c r="B1967" s="3">
        <f t="shared" si="284"/>
        <v>9750</v>
      </c>
      <c r="C1967" s="14">
        <f t="shared" si="285"/>
        <v>162.5</v>
      </c>
      <c r="D1967" s="11">
        <f t="shared" si="286"/>
        <v>1094.4256673137472</v>
      </c>
      <c r="E1967" s="24">
        <f t="shared" si="278"/>
        <v>1092.9554213091405</v>
      </c>
      <c r="F1967" s="24">
        <f t="shared" si="280"/>
        <v>36.756150115166975</v>
      </c>
      <c r="G1967" s="14">
        <f t="shared" si="281"/>
        <v>595.85665304282986</v>
      </c>
      <c r="H1967" s="24">
        <f t="shared" si="279"/>
        <v>650</v>
      </c>
      <c r="I1967" s="12">
        <f t="shared" si="282"/>
        <v>7.7758786431338947E-2</v>
      </c>
      <c r="J1967" s="3">
        <f t="shared" si="283"/>
        <v>0.7</v>
      </c>
    </row>
    <row r="1968" spans="2:10" x14ac:dyDescent="0.25">
      <c r="B1968" s="3">
        <f t="shared" si="284"/>
        <v>9755</v>
      </c>
      <c r="C1968" s="14">
        <f t="shared" si="285"/>
        <v>162.58333333333334</v>
      </c>
      <c r="D1968" s="11">
        <f t="shared" si="286"/>
        <v>1094.5024253053116</v>
      </c>
      <c r="E1968" s="24">
        <f t="shared" si="278"/>
        <v>1093.0331800955719</v>
      </c>
      <c r="F1968" s="24">
        <f t="shared" si="280"/>
        <v>36.731130243492771</v>
      </c>
      <c r="G1968" s="14">
        <f t="shared" si="281"/>
        <v>595.55204124154886</v>
      </c>
      <c r="H1968" s="24">
        <f t="shared" si="279"/>
        <v>650</v>
      </c>
      <c r="I1968" s="12">
        <f t="shared" si="282"/>
        <v>7.7718269137458121E-2</v>
      </c>
      <c r="J1968" s="3">
        <f t="shared" si="283"/>
        <v>0.7</v>
      </c>
    </row>
    <row r="1969" spans="2:10" x14ac:dyDescent="0.25">
      <c r="B1969" s="3">
        <f t="shared" si="284"/>
        <v>9760</v>
      </c>
      <c r="C1969" s="14">
        <f t="shared" si="285"/>
        <v>162.66666666666666</v>
      </c>
      <c r="D1969" s="11">
        <f t="shared" si="286"/>
        <v>1094.579143994267</v>
      </c>
      <c r="E1969" s="24">
        <f t="shared" si="278"/>
        <v>1093.1108983647093</v>
      </c>
      <c r="F1969" s="24">
        <f t="shared" si="280"/>
        <v>36.70614073894285</v>
      </c>
      <c r="G1969" s="14">
        <f t="shared" si="281"/>
        <v>595.24774358256752</v>
      </c>
      <c r="H1969" s="24">
        <f t="shared" si="279"/>
        <v>650</v>
      </c>
      <c r="I1969" s="12">
        <f t="shared" si="282"/>
        <v>7.7677794189597762E-2</v>
      </c>
      <c r="J1969" s="3">
        <f t="shared" si="283"/>
        <v>0.7</v>
      </c>
    </row>
    <row r="1970" spans="2:10" x14ac:dyDescent="0.25">
      <c r="B1970" s="3">
        <f t="shared" si="284"/>
        <v>9765</v>
      </c>
      <c r="C1970" s="14">
        <f t="shared" si="285"/>
        <v>162.75</v>
      </c>
      <c r="D1970" s="11">
        <f t="shared" si="286"/>
        <v>1094.6558234208417</v>
      </c>
      <c r="E1970" s="24">
        <f t="shared" si="278"/>
        <v>1093.188576158899</v>
      </c>
      <c r="F1970" s="24">
        <f t="shared" si="280"/>
        <v>36.681181548567565</v>
      </c>
      <c r="G1970" s="14">
        <f t="shared" si="281"/>
        <v>594.94375957757086</v>
      </c>
      <c r="H1970" s="24">
        <f t="shared" si="279"/>
        <v>650</v>
      </c>
      <c r="I1970" s="12">
        <f t="shared" si="282"/>
        <v>7.7637361521227341E-2</v>
      </c>
      <c r="J1970" s="3">
        <f t="shared" si="283"/>
        <v>0.7</v>
      </c>
    </row>
    <row r="1971" spans="2:10" x14ac:dyDescent="0.25">
      <c r="B1971" s="3">
        <f t="shared" si="284"/>
        <v>9770</v>
      </c>
      <c r="C1971" s="14">
        <f t="shared" si="285"/>
        <v>162.83333333333334</v>
      </c>
      <c r="D1971" s="11">
        <f t="shared" si="286"/>
        <v>1094.7324636252015</v>
      </c>
      <c r="E1971" s="24">
        <f t="shared" si="278"/>
        <v>1093.2662135204203</v>
      </c>
      <c r="F1971" s="24">
        <f t="shared" si="280"/>
        <v>36.65625261953096</v>
      </c>
      <c r="G1971" s="14">
        <f t="shared" si="281"/>
        <v>594.64008873899979</v>
      </c>
      <c r="H1971" s="24">
        <f t="shared" si="279"/>
        <v>650</v>
      </c>
      <c r="I1971" s="12">
        <f t="shared" si="282"/>
        <v>7.7596971065923184E-2</v>
      </c>
      <c r="J1971" s="3">
        <f t="shared" si="283"/>
        <v>0.7</v>
      </c>
    </row>
    <row r="1972" spans="2:10" x14ac:dyDescent="0.25">
      <c r="B1972" s="3">
        <f t="shared" si="284"/>
        <v>9775</v>
      </c>
      <c r="C1972" s="14">
        <f t="shared" si="285"/>
        <v>162.91666666666666</v>
      </c>
      <c r="D1972" s="11">
        <f t="shared" si="286"/>
        <v>1094.8090646474511</v>
      </c>
      <c r="E1972" s="24">
        <f t="shared" ref="E1972:E2035" si="287">E1971+I1971</f>
        <v>1093.3438104914862</v>
      </c>
      <c r="F1972" s="24">
        <f t="shared" si="280"/>
        <v>36.631353899122132</v>
      </c>
      <c r="G1972" s="14">
        <f t="shared" si="281"/>
        <v>594.33673058059367</v>
      </c>
      <c r="H1972" s="24">
        <f t="shared" ref="H1972:H2035" si="288">IF(E1972&lt;600,425+0.773*E1972-1.69/1000*E1972^2+2.22/1000^2*E1972^3,IF(E1972&lt;735,666+13002/(738-E1972),IF(E1972&lt;900,545+17820/(E1972-731),650)))</f>
        <v>650</v>
      </c>
      <c r="I1972" s="12">
        <f t="shared" si="282"/>
        <v>7.7556622757436591E-2</v>
      </c>
      <c r="J1972" s="3">
        <f t="shared" si="283"/>
        <v>0.7</v>
      </c>
    </row>
    <row r="1973" spans="2:10" x14ac:dyDescent="0.25">
      <c r="B1973" s="3">
        <f t="shared" si="284"/>
        <v>9780</v>
      </c>
      <c r="C1973" s="14">
        <f t="shared" si="285"/>
        <v>163</v>
      </c>
      <c r="D1973" s="11">
        <f t="shared" si="286"/>
        <v>1094.8856265276333</v>
      </c>
      <c r="E1973" s="24">
        <f t="shared" si="287"/>
        <v>1093.4213671142436</v>
      </c>
      <c r="F1973" s="24">
        <f t="shared" si="280"/>
        <v>36.606485334743866</v>
      </c>
      <c r="G1973" s="14">
        <f t="shared" si="281"/>
        <v>594.03368461692526</v>
      </c>
      <c r="H1973" s="24">
        <f t="shared" si="288"/>
        <v>650</v>
      </c>
      <c r="I1973" s="12">
        <f t="shared" si="282"/>
        <v>7.7516316529635268E-2</v>
      </c>
      <c r="J1973" s="3">
        <f t="shared" si="283"/>
        <v>0.7</v>
      </c>
    </row>
    <row r="1974" spans="2:10" x14ac:dyDescent="0.25">
      <c r="B1974" s="3">
        <f t="shared" si="284"/>
        <v>9785</v>
      </c>
      <c r="C1974" s="14">
        <f t="shared" si="285"/>
        <v>163.08333333333334</v>
      </c>
      <c r="D1974" s="11">
        <f t="shared" si="286"/>
        <v>1094.96214930573</v>
      </c>
      <c r="E1974" s="24">
        <f t="shared" si="287"/>
        <v>1093.4988834307733</v>
      </c>
      <c r="F1974" s="24">
        <f t="shared" si="280"/>
        <v>36.581646873918316</v>
      </c>
      <c r="G1974" s="14">
        <f t="shared" si="281"/>
        <v>593.73095036341988</v>
      </c>
      <c r="H1974" s="24">
        <f t="shared" si="288"/>
        <v>650</v>
      </c>
      <c r="I1974" s="12">
        <f t="shared" si="282"/>
        <v>7.7476052316506422E-2</v>
      </c>
      <c r="J1974" s="3">
        <f t="shared" si="283"/>
        <v>0.7</v>
      </c>
    </row>
    <row r="1975" spans="2:10" x14ac:dyDescent="0.25">
      <c r="B1975" s="3">
        <f t="shared" si="284"/>
        <v>9790</v>
      </c>
      <c r="C1975" s="14">
        <f t="shared" si="285"/>
        <v>163.16666666666666</v>
      </c>
      <c r="D1975" s="11">
        <f t="shared" si="286"/>
        <v>1095.0386330216618</v>
      </c>
      <c r="E1975" s="24">
        <f t="shared" si="287"/>
        <v>1093.5763594830898</v>
      </c>
      <c r="F1975" s="24">
        <f t="shared" si="280"/>
        <v>36.55683846429838</v>
      </c>
      <c r="G1975" s="14">
        <f t="shared" si="281"/>
        <v>593.42852733705342</v>
      </c>
      <c r="H1975" s="24">
        <f t="shared" si="288"/>
        <v>650</v>
      </c>
      <c r="I1975" s="12">
        <f t="shared" si="282"/>
        <v>7.7435830052243887E-2</v>
      </c>
      <c r="J1975" s="3">
        <f t="shared" si="283"/>
        <v>0.7</v>
      </c>
    </row>
    <row r="1976" spans="2:10" x14ac:dyDescent="0.25">
      <c r="B1976" s="3">
        <f t="shared" si="284"/>
        <v>9795</v>
      </c>
      <c r="C1976" s="14">
        <f t="shared" si="285"/>
        <v>163.25</v>
      </c>
      <c r="D1976" s="11">
        <f t="shared" si="286"/>
        <v>1095.1150777152877</v>
      </c>
      <c r="E1976" s="24">
        <f t="shared" si="287"/>
        <v>1093.6537953131422</v>
      </c>
      <c r="F1976" s="24">
        <f t="shared" si="280"/>
        <v>36.53206005363927</v>
      </c>
      <c r="G1976" s="14">
        <f t="shared" si="281"/>
        <v>593.12641505511169</v>
      </c>
      <c r="H1976" s="24">
        <f t="shared" si="288"/>
        <v>650</v>
      </c>
      <c r="I1976" s="12">
        <f t="shared" si="282"/>
        <v>7.7395649671092179E-2</v>
      </c>
      <c r="J1976" s="3">
        <f t="shared" si="283"/>
        <v>0.7</v>
      </c>
    </row>
    <row r="1977" spans="2:10" x14ac:dyDescent="0.25">
      <c r="B1977" s="3">
        <f t="shared" si="284"/>
        <v>9800</v>
      </c>
      <c r="C1977" s="14">
        <f t="shared" si="285"/>
        <v>163.33333333333334</v>
      </c>
      <c r="D1977" s="11">
        <f t="shared" si="286"/>
        <v>1095.1914834264062</v>
      </c>
      <c r="E1977" s="24">
        <f t="shared" si="287"/>
        <v>1093.7311909628133</v>
      </c>
      <c r="F1977" s="24">
        <f t="shared" si="280"/>
        <v>36.507311589821256</v>
      </c>
      <c r="G1977" s="14">
        <f t="shared" si="281"/>
        <v>592.82461303639218</v>
      </c>
      <c r="H1977" s="24">
        <f t="shared" si="288"/>
        <v>650</v>
      </c>
      <c r="I1977" s="12">
        <f t="shared" si="282"/>
        <v>7.7355511107496985E-2</v>
      </c>
      <c r="J1977" s="3">
        <f t="shared" si="283"/>
        <v>0.7</v>
      </c>
    </row>
    <row r="1978" spans="2:10" x14ac:dyDescent="0.25">
      <c r="B1978" s="3">
        <f t="shared" si="284"/>
        <v>9805</v>
      </c>
      <c r="C1978" s="14">
        <f t="shared" si="285"/>
        <v>163.41666666666666</v>
      </c>
      <c r="D1978" s="11">
        <f t="shared" si="286"/>
        <v>1095.2678501947548</v>
      </c>
      <c r="E1978" s="24">
        <f t="shared" si="287"/>
        <v>1093.8085464739208</v>
      </c>
      <c r="F1978" s="24">
        <f t="shared" si="280"/>
        <v>36.482593020849663</v>
      </c>
      <c r="G1978" s="14">
        <f t="shared" si="281"/>
        <v>592.52312080048705</v>
      </c>
      <c r="H1978" s="24">
        <f t="shared" si="288"/>
        <v>650</v>
      </c>
      <c r="I1978" s="12">
        <f t="shared" si="282"/>
        <v>7.7315414296017071E-2</v>
      </c>
      <c r="J1978" s="3">
        <f t="shared" si="283"/>
        <v>0.7</v>
      </c>
    </row>
    <row r="1979" spans="2:10" x14ac:dyDescent="0.25">
      <c r="B1979" s="3">
        <f t="shared" si="284"/>
        <v>9810</v>
      </c>
      <c r="C1979" s="14">
        <f t="shared" si="285"/>
        <v>163.5</v>
      </c>
      <c r="D1979" s="11">
        <f t="shared" si="286"/>
        <v>1095.3441780600106</v>
      </c>
      <c r="E1979" s="24">
        <f t="shared" si="287"/>
        <v>1093.8858618882168</v>
      </c>
      <c r="F1979" s="24">
        <f t="shared" si="280"/>
        <v>36.457904294843502</v>
      </c>
      <c r="G1979" s="14">
        <f t="shared" si="281"/>
        <v>592.22193786813182</v>
      </c>
      <c r="H1979" s="24">
        <f t="shared" si="288"/>
        <v>650</v>
      </c>
      <c r="I1979" s="12">
        <f t="shared" si="282"/>
        <v>7.7275359171365701E-2</v>
      </c>
      <c r="J1979" s="3">
        <f t="shared" si="283"/>
        <v>0.7</v>
      </c>
    </row>
    <row r="1980" spans="2:10" x14ac:dyDescent="0.25">
      <c r="B1980" s="3">
        <f t="shared" si="284"/>
        <v>9815</v>
      </c>
      <c r="C1980" s="14">
        <f t="shared" si="285"/>
        <v>163.58333333333334</v>
      </c>
      <c r="D1980" s="11">
        <f t="shared" si="286"/>
        <v>1095.4204670617894</v>
      </c>
      <c r="E1980" s="24">
        <f t="shared" si="287"/>
        <v>1093.9631372473882</v>
      </c>
      <c r="F1980" s="24">
        <f t="shared" si="280"/>
        <v>36.433245360029787</v>
      </c>
      <c r="G1980" s="14">
        <f t="shared" si="281"/>
        <v>591.92106376074014</v>
      </c>
      <c r="H1980" s="24">
        <f t="shared" si="288"/>
        <v>650</v>
      </c>
      <c r="I1980" s="12">
        <f t="shared" si="282"/>
        <v>7.7235345668352745E-2</v>
      </c>
      <c r="J1980" s="3">
        <f t="shared" si="283"/>
        <v>0.7</v>
      </c>
    </row>
    <row r="1981" spans="2:10" x14ac:dyDescent="0.25">
      <c r="B1981" s="3">
        <f t="shared" si="284"/>
        <v>9820</v>
      </c>
      <c r="C1981" s="14">
        <f t="shared" si="285"/>
        <v>163.66666666666666</v>
      </c>
      <c r="D1981" s="11">
        <f t="shared" si="286"/>
        <v>1095.4967172396471</v>
      </c>
      <c r="E1981" s="24">
        <f t="shared" si="287"/>
        <v>1094.0403725930566</v>
      </c>
      <c r="F1981" s="24">
        <f t="shared" si="280"/>
        <v>36.408616164760588</v>
      </c>
      <c r="G1981" s="14">
        <f t="shared" si="281"/>
        <v>591.62049800098555</v>
      </c>
      <c r="H1981" s="24">
        <f t="shared" si="288"/>
        <v>650</v>
      </c>
      <c r="I1981" s="12">
        <f t="shared" si="282"/>
        <v>7.7195373721958352E-2</v>
      </c>
      <c r="J1981" s="3">
        <f t="shared" si="283"/>
        <v>0.7</v>
      </c>
    </row>
    <row r="1982" spans="2:10" x14ac:dyDescent="0.25">
      <c r="B1982" s="3">
        <f t="shared" si="284"/>
        <v>9825</v>
      </c>
      <c r="C1982" s="14">
        <f t="shared" si="285"/>
        <v>163.75</v>
      </c>
      <c r="D1982" s="11">
        <f t="shared" si="286"/>
        <v>1095.5729286330791</v>
      </c>
      <c r="E1982" s="24">
        <f t="shared" si="287"/>
        <v>1094.1175679667786</v>
      </c>
      <c r="F1982" s="24">
        <f t="shared" si="280"/>
        <v>36.38401665751303</v>
      </c>
      <c r="G1982" s="14">
        <f t="shared" si="281"/>
        <v>591.32024011251065</v>
      </c>
      <c r="H1982" s="24">
        <f t="shared" si="288"/>
        <v>650</v>
      </c>
      <c r="I1982" s="12">
        <f t="shared" si="282"/>
        <v>7.7155443267297105E-2</v>
      </c>
      <c r="J1982" s="3">
        <f t="shared" si="283"/>
        <v>0.7</v>
      </c>
    </row>
    <row r="1983" spans="2:10" x14ac:dyDescent="0.25">
      <c r="B1983" s="3">
        <f t="shared" si="284"/>
        <v>9830</v>
      </c>
      <c r="C1983" s="14">
        <f t="shared" si="285"/>
        <v>163.83333333333334</v>
      </c>
      <c r="D1983" s="11">
        <f t="shared" si="286"/>
        <v>1095.64910128152</v>
      </c>
      <c r="E1983" s="24">
        <f t="shared" si="287"/>
        <v>1094.1947234100458</v>
      </c>
      <c r="F1983" s="24">
        <f t="shared" si="280"/>
        <v>36.359446786855187</v>
      </c>
      <c r="G1983" s="14">
        <f t="shared" si="281"/>
        <v>591.0202896197718</v>
      </c>
      <c r="H1983" s="24">
        <f t="shared" si="288"/>
        <v>650</v>
      </c>
      <c r="I1983" s="12">
        <f t="shared" si="282"/>
        <v>7.7115554239594833E-2</v>
      </c>
      <c r="J1983" s="3">
        <f t="shared" si="283"/>
        <v>0.7</v>
      </c>
    </row>
    <row r="1984" spans="2:10" x14ac:dyDescent="0.25">
      <c r="B1984" s="3">
        <f t="shared" si="284"/>
        <v>9835</v>
      </c>
      <c r="C1984" s="14">
        <f t="shared" si="285"/>
        <v>163.91666666666666</v>
      </c>
      <c r="D1984" s="11">
        <f t="shared" si="286"/>
        <v>1095.7252352243456</v>
      </c>
      <c r="E1984" s="24">
        <f t="shared" si="287"/>
        <v>1094.2718389642853</v>
      </c>
      <c r="F1984" s="24">
        <f t="shared" si="280"/>
        <v>36.334906501508613</v>
      </c>
      <c r="G1984" s="14">
        <f t="shared" si="281"/>
        <v>590.72064604854313</v>
      </c>
      <c r="H1984" s="24">
        <f t="shared" si="288"/>
        <v>650</v>
      </c>
      <c r="I1984" s="12">
        <f t="shared" si="282"/>
        <v>7.7075706574258177E-2</v>
      </c>
      <c r="J1984" s="3">
        <f t="shared" si="283"/>
        <v>0.7</v>
      </c>
    </row>
    <row r="1985" spans="2:10" x14ac:dyDescent="0.25">
      <c r="B1985" s="3">
        <f t="shared" si="284"/>
        <v>9840</v>
      </c>
      <c r="C1985" s="14">
        <f t="shared" si="285"/>
        <v>164</v>
      </c>
      <c r="D1985" s="11">
        <f t="shared" si="286"/>
        <v>1095.8013305008703</v>
      </c>
      <c r="E1985" s="24">
        <f t="shared" si="287"/>
        <v>1094.3489146708596</v>
      </c>
      <c r="F1985" s="24">
        <f t="shared" si="280"/>
        <v>36.310395750268754</v>
      </c>
      <c r="G1985" s="14">
        <f t="shared" si="281"/>
        <v>590.42130892504497</v>
      </c>
      <c r="H1985" s="24">
        <f t="shared" si="288"/>
        <v>650</v>
      </c>
      <c r="I1985" s="12">
        <f t="shared" si="282"/>
        <v>7.7035900206757726E-2</v>
      </c>
      <c r="J1985" s="3">
        <f t="shared" si="283"/>
        <v>0.7</v>
      </c>
    </row>
    <row r="1986" spans="2:10" x14ac:dyDescent="0.25">
      <c r="B1986" s="3">
        <f t="shared" si="284"/>
        <v>9845</v>
      </c>
      <c r="C1986" s="14">
        <f t="shared" si="285"/>
        <v>164.08333333333334</v>
      </c>
      <c r="D1986" s="11">
        <f t="shared" si="286"/>
        <v>1095.8773871503495</v>
      </c>
      <c r="E1986" s="24">
        <f t="shared" si="287"/>
        <v>1094.4259505710663</v>
      </c>
      <c r="F1986" s="24">
        <f t="shared" si="280"/>
        <v>36.285914482078852</v>
      </c>
      <c r="G1986" s="14">
        <f t="shared" si="281"/>
        <v>590.12227777702799</v>
      </c>
      <c r="H1986" s="24">
        <f t="shared" si="288"/>
        <v>650</v>
      </c>
      <c r="I1986" s="12">
        <f t="shared" si="282"/>
        <v>7.6996135072770339E-2</v>
      </c>
      <c r="J1986" s="3">
        <f t="shared" si="283"/>
        <v>0.7</v>
      </c>
    </row>
    <row r="1987" spans="2:10" x14ac:dyDescent="0.25">
      <c r="B1987" s="3">
        <f t="shared" si="284"/>
        <v>9850</v>
      </c>
      <c r="C1987" s="14">
        <f t="shared" si="285"/>
        <v>164.16666666666666</v>
      </c>
      <c r="D1987" s="11">
        <f t="shared" si="286"/>
        <v>1095.9534052119784</v>
      </c>
      <c r="E1987" s="24">
        <f t="shared" si="287"/>
        <v>1094.502946706139</v>
      </c>
      <c r="F1987" s="24">
        <f t="shared" si="280"/>
        <v>36.261462645984466</v>
      </c>
      <c r="G1987" s="14">
        <f t="shared" si="281"/>
        <v>589.82355213288292</v>
      </c>
      <c r="H1987" s="24">
        <f t="shared" si="288"/>
        <v>650</v>
      </c>
      <c r="I1987" s="12">
        <f t="shared" si="282"/>
        <v>7.6956411108064102E-2</v>
      </c>
      <c r="J1987" s="3">
        <f t="shared" si="283"/>
        <v>0.7</v>
      </c>
    </row>
    <row r="1988" spans="2:10" x14ac:dyDescent="0.25">
      <c r="B1988" s="3">
        <f t="shared" si="284"/>
        <v>9855</v>
      </c>
      <c r="C1988" s="14">
        <f t="shared" si="285"/>
        <v>164.25</v>
      </c>
      <c r="D1988" s="11">
        <f t="shared" si="286"/>
        <v>1096.0293847248929</v>
      </c>
      <c r="E1988" s="24">
        <f t="shared" si="287"/>
        <v>1094.5799031172471</v>
      </c>
      <c r="F1988" s="24">
        <f t="shared" si="280"/>
        <v>36.237040191144843</v>
      </c>
      <c r="G1988" s="14">
        <f t="shared" si="281"/>
        <v>589.52513152210497</v>
      </c>
      <c r="H1988" s="24">
        <f t="shared" si="288"/>
        <v>650</v>
      </c>
      <c r="I1988" s="12">
        <f t="shared" si="282"/>
        <v>7.6916728248556873E-2</v>
      </c>
      <c r="J1988" s="3">
        <f t="shared" si="283"/>
        <v>0.7</v>
      </c>
    </row>
    <row r="1989" spans="2:10" x14ac:dyDescent="0.25">
      <c r="B1989" s="3">
        <f t="shared" si="284"/>
        <v>9860</v>
      </c>
      <c r="C1989" s="14">
        <f t="shared" si="285"/>
        <v>164.33333333333334</v>
      </c>
      <c r="D1989" s="11">
        <f t="shared" si="286"/>
        <v>1096.1053257281692</v>
      </c>
      <c r="E1989" s="24">
        <f t="shared" si="287"/>
        <v>1094.6568198454956</v>
      </c>
      <c r="F1989" s="24">
        <f t="shared" si="280"/>
        <v>36.212647066838599</v>
      </c>
      <c r="G1989" s="14">
        <f t="shared" si="281"/>
        <v>589.22701547513884</v>
      </c>
      <c r="H1989" s="24">
        <f t="shared" si="288"/>
        <v>650</v>
      </c>
      <c r="I1989" s="12">
        <f t="shared" si="282"/>
        <v>7.687708643029785E-2</v>
      </c>
      <c r="J1989" s="3">
        <f t="shared" si="283"/>
        <v>0.7</v>
      </c>
    </row>
    <row r="1990" spans="2:10" x14ac:dyDescent="0.25">
      <c r="B1990" s="3">
        <f t="shared" si="284"/>
        <v>9865</v>
      </c>
      <c r="C1990" s="14">
        <f t="shared" si="285"/>
        <v>164.41666666666666</v>
      </c>
      <c r="D1990" s="11">
        <f t="shared" si="286"/>
        <v>1096.1812282608241</v>
      </c>
      <c r="E1990" s="24">
        <f t="shared" si="287"/>
        <v>1094.733696931926</v>
      </c>
      <c r="F1990" s="24">
        <f t="shared" si="280"/>
        <v>36.188283222452355</v>
      </c>
      <c r="G1990" s="14">
        <f t="shared" si="281"/>
        <v>588.92920352330168</v>
      </c>
      <c r="H1990" s="24">
        <f t="shared" si="288"/>
        <v>650</v>
      </c>
      <c r="I1990" s="12">
        <f t="shared" si="282"/>
        <v>7.6837485589456786E-2</v>
      </c>
      <c r="J1990" s="3">
        <f t="shared" si="283"/>
        <v>0.7</v>
      </c>
    </row>
    <row r="1991" spans="2:10" x14ac:dyDescent="0.25">
      <c r="B1991" s="3">
        <f t="shared" si="284"/>
        <v>9870</v>
      </c>
      <c r="C1991" s="14">
        <f t="shared" si="285"/>
        <v>164.5</v>
      </c>
      <c r="D1991" s="11">
        <f t="shared" si="286"/>
        <v>1096.2570923618152</v>
      </c>
      <c r="E1991" s="24">
        <f t="shared" si="287"/>
        <v>1094.8105344175156</v>
      </c>
      <c r="F1991" s="24">
        <f t="shared" si="280"/>
        <v>36.163948607492102</v>
      </c>
      <c r="G1991" s="14">
        <f t="shared" si="281"/>
        <v>588.63169519903408</v>
      </c>
      <c r="H1991" s="24">
        <f t="shared" si="288"/>
        <v>650</v>
      </c>
      <c r="I1991" s="12">
        <f t="shared" si="282"/>
        <v>7.6797925662356159E-2</v>
      </c>
      <c r="J1991" s="3">
        <f t="shared" si="283"/>
        <v>0.7</v>
      </c>
    </row>
    <row r="1992" spans="2:10" x14ac:dyDescent="0.25">
      <c r="B1992" s="3">
        <f t="shared" si="284"/>
        <v>9875</v>
      </c>
      <c r="C1992" s="14">
        <f t="shared" si="285"/>
        <v>164.58333333333334</v>
      </c>
      <c r="D1992" s="11">
        <f t="shared" si="286"/>
        <v>1096.3329180700414</v>
      </c>
      <c r="E1992" s="24">
        <f t="shared" si="287"/>
        <v>1094.8873323431778</v>
      </c>
      <c r="F1992" s="24">
        <f t="shared" si="280"/>
        <v>36.139643171588887</v>
      </c>
      <c r="G1992" s="14">
        <f t="shared" si="281"/>
        <v>588.33449003582393</v>
      </c>
      <c r="H1992" s="24">
        <f t="shared" si="288"/>
        <v>650</v>
      </c>
      <c r="I1992" s="12">
        <f t="shared" si="282"/>
        <v>7.6758406585462569E-2</v>
      </c>
      <c r="J1992" s="3">
        <f t="shared" si="283"/>
        <v>0.7</v>
      </c>
    </row>
    <row r="1993" spans="2:10" x14ac:dyDescent="0.25">
      <c r="B1993" s="3">
        <f t="shared" si="284"/>
        <v>9880</v>
      </c>
      <c r="C1993" s="14">
        <f t="shared" si="285"/>
        <v>164.66666666666666</v>
      </c>
      <c r="D1993" s="11">
        <f t="shared" si="286"/>
        <v>1096.4087054243412</v>
      </c>
      <c r="E1993" s="24">
        <f t="shared" si="287"/>
        <v>1094.9640907497633</v>
      </c>
      <c r="F1993" s="24">
        <f t="shared" si="280"/>
        <v>36.115366864447651</v>
      </c>
      <c r="G1993" s="14">
        <f t="shared" si="281"/>
        <v>588.03758756754587</v>
      </c>
      <c r="H1993" s="24">
        <f t="shared" si="288"/>
        <v>650</v>
      </c>
      <c r="I1993" s="12">
        <f t="shared" si="282"/>
        <v>7.6718928295299249E-2</v>
      </c>
      <c r="J1993" s="3">
        <f t="shared" si="283"/>
        <v>0.7</v>
      </c>
    </row>
    <row r="1994" spans="2:10" x14ac:dyDescent="0.25">
      <c r="B1994" s="3">
        <f t="shared" si="284"/>
        <v>9885</v>
      </c>
      <c r="C1994" s="14">
        <f t="shared" si="285"/>
        <v>164.75</v>
      </c>
      <c r="D1994" s="11">
        <f t="shared" si="286"/>
        <v>1096.4844544634959</v>
      </c>
      <c r="E1994" s="24">
        <f t="shared" si="287"/>
        <v>1095.0408096780586</v>
      </c>
      <c r="F1994" s="24">
        <f t="shared" si="280"/>
        <v>36.0911196359325</v>
      </c>
      <c r="G1994" s="14">
        <f t="shared" si="281"/>
        <v>587.74098732978075</v>
      </c>
      <c r="H1994" s="24">
        <f t="shared" si="288"/>
        <v>650</v>
      </c>
      <c r="I1994" s="12">
        <f t="shared" si="282"/>
        <v>7.6679490728618682E-2</v>
      </c>
      <c r="J1994" s="3">
        <f t="shared" si="283"/>
        <v>0.7</v>
      </c>
    </row>
    <row r="1995" spans="2:10" x14ac:dyDescent="0.25">
      <c r="B1995" s="3">
        <f t="shared" si="284"/>
        <v>9890</v>
      </c>
      <c r="C1995" s="14">
        <f t="shared" si="285"/>
        <v>164.83333333333334</v>
      </c>
      <c r="D1995" s="11">
        <f t="shared" si="286"/>
        <v>1096.5601652262269</v>
      </c>
      <c r="E1995" s="24">
        <f t="shared" si="287"/>
        <v>1095.1174891687872</v>
      </c>
      <c r="F1995" s="24">
        <f t="shared" si="280"/>
        <v>36.066901435992804</v>
      </c>
      <c r="G1995" s="14">
        <f t="shared" si="281"/>
        <v>587.44468885867082</v>
      </c>
      <c r="H1995" s="24">
        <f t="shared" si="288"/>
        <v>650</v>
      </c>
      <c r="I1995" s="12">
        <f t="shared" si="282"/>
        <v>7.6640093822252855E-2</v>
      </c>
      <c r="J1995" s="3">
        <f t="shared" si="283"/>
        <v>0.7</v>
      </c>
    </row>
    <row r="1996" spans="2:10" x14ac:dyDescent="0.25">
      <c r="B1996" s="3">
        <f t="shared" si="284"/>
        <v>9895</v>
      </c>
      <c r="C1996" s="14">
        <f t="shared" si="285"/>
        <v>164.91666666666666</v>
      </c>
      <c r="D1996" s="11">
        <f t="shared" si="286"/>
        <v>1096.6358377511974</v>
      </c>
      <c r="E1996" s="24">
        <f t="shared" si="287"/>
        <v>1095.1941292626095</v>
      </c>
      <c r="F1996" s="24">
        <f t="shared" si="280"/>
        <v>36.042712214697303</v>
      </c>
      <c r="G1996" s="14">
        <f t="shared" si="281"/>
        <v>587.14869169125018</v>
      </c>
      <c r="H1996" s="24">
        <f t="shared" si="288"/>
        <v>650</v>
      </c>
      <c r="I1996" s="12">
        <f t="shared" si="282"/>
        <v>7.6600737513158088E-2</v>
      </c>
      <c r="J1996" s="3">
        <f t="shared" si="283"/>
        <v>0.7</v>
      </c>
    </row>
    <row r="1997" spans="2:10" x14ac:dyDescent="0.25">
      <c r="B1997" s="3">
        <f t="shared" si="284"/>
        <v>9900</v>
      </c>
      <c r="C1997" s="14">
        <f t="shared" si="285"/>
        <v>165</v>
      </c>
      <c r="D1997" s="11">
        <f t="shared" si="286"/>
        <v>1096.7114720770116</v>
      </c>
      <c r="E1997" s="24">
        <f t="shared" si="287"/>
        <v>1095.2707300001227</v>
      </c>
      <c r="F1997" s="24">
        <f t="shared" si="280"/>
        <v>36.018551922222741</v>
      </c>
      <c r="G1997" s="14">
        <f t="shared" si="281"/>
        <v>586.85299536567675</v>
      </c>
      <c r="H1997" s="24">
        <f t="shared" si="288"/>
        <v>650</v>
      </c>
      <c r="I1997" s="12">
        <f t="shared" si="282"/>
        <v>7.6561421738442034E-2</v>
      </c>
      <c r="J1997" s="3">
        <f t="shared" si="283"/>
        <v>0.7</v>
      </c>
    </row>
    <row r="1998" spans="2:10" x14ac:dyDescent="0.25">
      <c r="B1998" s="3">
        <f t="shared" si="284"/>
        <v>9905</v>
      </c>
      <c r="C1998" s="14">
        <f t="shared" si="285"/>
        <v>165.08333333333334</v>
      </c>
      <c r="D1998" s="11">
        <f t="shared" si="286"/>
        <v>1096.7870682422163</v>
      </c>
      <c r="E1998" s="24">
        <f t="shared" si="287"/>
        <v>1095.3472914218612</v>
      </c>
      <c r="F1998" s="24">
        <f t="shared" si="280"/>
        <v>35.994420508876601</v>
      </c>
      <c r="G1998" s="14">
        <f t="shared" si="281"/>
        <v>586.55759942113571</v>
      </c>
      <c r="H1998" s="24">
        <f t="shared" si="288"/>
        <v>650</v>
      </c>
      <c r="I1998" s="12">
        <f t="shared" si="282"/>
        <v>7.6522146435354765E-2</v>
      </c>
      <c r="J1998" s="3">
        <f t="shared" si="283"/>
        <v>0.7</v>
      </c>
    </row>
    <row r="1999" spans="2:10" x14ac:dyDescent="0.25">
      <c r="B1999" s="3">
        <f t="shared" si="284"/>
        <v>9910</v>
      </c>
      <c r="C1999" s="14">
        <f t="shared" si="285"/>
        <v>165.16666666666666</v>
      </c>
      <c r="D1999" s="11">
        <f t="shared" si="286"/>
        <v>1096.8626262852981</v>
      </c>
      <c r="E1999" s="24">
        <f t="shared" si="287"/>
        <v>1095.4238135682965</v>
      </c>
      <c r="F1999" s="24">
        <f t="shared" si="280"/>
        <v>35.970317925040263</v>
      </c>
      <c r="G1999" s="14">
        <f t="shared" si="281"/>
        <v>586.2625033973743</v>
      </c>
      <c r="H1999" s="24">
        <f t="shared" si="288"/>
        <v>650</v>
      </c>
      <c r="I1999" s="12">
        <f t="shared" si="282"/>
        <v>7.6482911541224469E-2</v>
      </c>
      <c r="J1999" s="3">
        <f t="shared" si="283"/>
        <v>0.7</v>
      </c>
    </row>
    <row r="2000" spans="2:10" x14ac:dyDescent="0.25">
      <c r="B2000" s="3">
        <f t="shared" si="284"/>
        <v>9915</v>
      </c>
      <c r="C2000" s="14">
        <f t="shared" si="285"/>
        <v>165.25</v>
      </c>
      <c r="D2000" s="11">
        <f t="shared" si="286"/>
        <v>1096.9381462446877</v>
      </c>
      <c r="E2000" s="24">
        <f t="shared" si="287"/>
        <v>1095.5002964798377</v>
      </c>
      <c r="F2000" s="24">
        <f t="shared" si="280"/>
        <v>35.946244121248583</v>
      </c>
      <c r="G2000" s="14">
        <f t="shared" si="281"/>
        <v>585.96770683559316</v>
      </c>
      <c r="H2000" s="24">
        <f t="shared" si="288"/>
        <v>650</v>
      </c>
      <c r="I2000" s="12">
        <f t="shared" si="282"/>
        <v>7.6443716993576868E-2</v>
      </c>
      <c r="J2000" s="3">
        <f t="shared" si="283"/>
        <v>0.7</v>
      </c>
    </row>
    <row r="2001" spans="2:10" x14ac:dyDescent="0.25">
      <c r="B2001" s="3">
        <f t="shared" si="284"/>
        <v>9920</v>
      </c>
      <c r="C2001" s="14">
        <f t="shared" si="285"/>
        <v>165.33333333333334</v>
      </c>
      <c r="D2001" s="11">
        <f t="shared" si="286"/>
        <v>1097.0136281587561</v>
      </c>
      <c r="E2001" s="24">
        <f t="shared" si="287"/>
        <v>1095.5767401968312</v>
      </c>
      <c r="F2001" s="24">
        <f t="shared" ref="F2001:F2064" si="289">AlphaC*(D2001-E2001)</f>
        <v>35.922199048121684</v>
      </c>
      <c r="G2001" s="14">
        <f t="shared" ref="G2001:G2064" si="290">Phi*EpsilonF*Botzman/10^8*J2001*((D2001+273)^4-(E2001+273)^4)</f>
        <v>585.67320927753553</v>
      </c>
      <c r="H2001" s="24">
        <f t="shared" si="288"/>
        <v>650</v>
      </c>
      <c r="I2001" s="12">
        <f t="shared" ref="I2001:I2064" si="291">ksh*Massivete/(H2001*RhoA)*DeltaT*(F2001+G2001)</f>
        <v>7.6404562730014849E-2</v>
      </c>
      <c r="J2001" s="3">
        <f t="shared" ref="J2001:J2064" si="292">IF(E2001&lt;=500,IF(Galva=Oui,0.35,0.7),0.7)</f>
        <v>0.7</v>
      </c>
    </row>
    <row r="2002" spans="2:10" x14ac:dyDescent="0.25">
      <c r="B2002" s="3">
        <f t="shared" ref="B2002:B2065" si="293">B2001+DeltaT</f>
        <v>9925</v>
      </c>
      <c r="C2002" s="14">
        <f t="shared" ref="C2002:C2065" si="294">B2002/60</f>
        <v>165.41666666666666</v>
      </c>
      <c r="D2002" s="11">
        <f t="shared" ref="D2002:D2065" si="295">20+345*LOG(8*C2002+1,10)</f>
        <v>1097.0890720658165</v>
      </c>
      <c r="E2002" s="24">
        <f t="shared" si="287"/>
        <v>1095.6531447595612</v>
      </c>
      <c r="F2002" s="24">
        <f t="shared" si="289"/>
        <v>35.898182656382005</v>
      </c>
      <c r="G2002" s="14">
        <f t="shared" si="290"/>
        <v>585.37901026591373</v>
      </c>
      <c r="H2002" s="24">
        <f t="shared" si="288"/>
        <v>650</v>
      </c>
      <c r="I2002" s="12">
        <f t="shared" si="291"/>
        <v>7.636544868827301E-2</v>
      </c>
      <c r="J2002" s="3">
        <f t="shared" si="292"/>
        <v>0.7</v>
      </c>
    </row>
    <row r="2003" spans="2:10" x14ac:dyDescent="0.25">
      <c r="B2003" s="3">
        <f t="shared" si="293"/>
        <v>9930</v>
      </c>
      <c r="C2003" s="14">
        <f t="shared" si="294"/>
        <v>165.5</v>
      </c>
      <c r="D2003" s="11">
        <f t="shared" si="295"/>
        <v>1097.1644780041249</v>
      </c>
      <c r="E2003" s="24">
        <f t="shared" si="287"/>
        <v>1095.7295102082494</v>
      </c>
      <c r="F2003" s="24">
        <f t="shared" si="289"/>
        <v>35.874194896888412</v>
      </c>
      <c r="G2003" s="14">
        <f t="shared" si="290"/>
        <v>585.08510934458343</v>
      </c>
      <c r="H2003" s="24">
        <f t="shared" si="288"/>
        <v>650</v>
      </c>
      <c r="I2003" s="12">
        <f t="shared" si="291"/>
        <v>7.6326374806243227E-2</v>
      </c>
      <c r="J2003" s="3">
        <f t="shared" si="292"/>
        <v>0.7</v>
      </c>
    </row>
    <row r="2004" spans="2:10" x14ac:dyDescent="0.25">
      <c r="B2004" s="3">
        <f t="shared" si="293"/>
        <v>9935</v>
      </c>
      <c r="C2004" s="14">
        <f t="shared" si="294"/>
        <v>165.58333333333334</v>
      </c>
      <c r="D2004" s="11">
        <f t="shared" si="295"/>
        <v>1097.2398460118795</v>
      </c>
      <c r="E2004" s="24">
        <f t="shared" si="287"/>
        <v>1095.8058365830557</v>
      </c>
      <c r="F2004" s="24">
        <f t="shared" si="289"/>
        <v>35.850235720596402</v>
      </c>
      <c r="G2004" s="14">
        <f t="shared" si="290"/>
        <v>584.79150605833058</v>
      </c>
      <c r="H2004" s="24">
        <f t="shared" si="288"/>
        <v>650</v>
      </c>
      <c r="I2004" s="12">
        <f t="shared" si="291"/>
        <v>7.6287341021943622E-2</v>
      </c>
      <c r="J2004" s="3">
        <f t="shared" si="292"/>
        <v>0.7</v>
      </c>
    </row>
    <row r="2005" spans="2:10" x14ac:dyDescent="0.25">
      <c r="B2005" s="3">
        <f t="shared" si="293"/>
        <v>9940</v>
      </c>
      <c r="C2005" s="14">
        <f t="shared" si="294"/>
        <v>165.66666666666666</v>
      </c>
      <c r="D2005" s="11">
        <f t="shared" si="295"/>
        <v>1097.3151761272202</v>
      </c>
      <c r="E2005" s="24">
        <f t="shared" si="287"/>
        <v>1095.8821239240776</v>
      </c>
      <c r="F2005" s="24">
        <f t="shared" si="289"/>
        <v>35.826305078563792</v>
      </c>
      <c r="G2005" s="14">
        <f t="shared" si="290"/>
        <v>584.49819995254177</v>
      </c>
      <c r="H2005" s="24">
        <f t="shared" si="288"/>
        <v>650</v>
      </c>
      <c r="I2005" s="12">
        <f t="shared" si="291"/>
        <v>7.624834727347872E-2</v>
      </c>
      <c r="J2005" s="3">
        <f t="shared" si="292"/>
        <v>0.7</v>
      </c>
    </row>
    <row r="2006" spans="2:10" x14ac:dyDescent="0.25">
      <c r="B2006" s="3">
        <f t="shared" si="293"/>
        <v>9945</v>
      </c>
      <c r="C2006" s="14">
        <f t="shared" si="294"/>
        <v>165.75</v>
      </c>
      <c r="D2006" s="11">
        <f t="shared" si="295"/>
        <v>1097.3904683882301</v>
      </c>
      <c r="E2006" s="24">
        <f t="shared" si="287"/>
        <v>1095.9583722713512</v>
      </c>
      <c r="F2006" s="24">
        <f t="shared" si="289"/>
        <v>35.802402921973453</v>
      </c>
      <c r="G2006" s="14">
        <f t="shared" si="290"/>
        <v>584.20519057394119</v>
      </c>
      <c r="H2006" s="24">
        <f t="shared" si="288"/>
        <v>650</v>
      </c>
      <c r="I2006" s="12">
        <f t="shared" si="291"/>
        <v>7.6209393499132833E-2</v>
      </c>
      <c r="J2006" s="3">
        <f t="shared" si="292"/>
        <v>0.7</v>
      </c>
    </row>
    <row r="2007" spans="2:10" x14ac:dyDescent="0.25">
      <c r="B2007" s="3">
        <f t="shared" si="293"/>
        <v>9950</v>
      </c>
      <c r="C2007" s="14">
        <f t="shared" si="294"/>
        <v>165.83333333333334</v>
      </c>
      <c r="D2007" s="11">
        <f t="shared" si="295"/>
        <v>1097.4657228329345</v>
      </c>
      <c r="E2007" s="24">
        <f t="shared" si="287"/>
        <v>1096.0345816648503</v>
      </c>
      <c r="F2007" s="24">
        <f t="shared" si="289"/>
        <v>35.778529202104892</v>
      </c>
      <c r="G2007" s="14">
        <f t="shared" si="290"/>
        <v>583.91247746996953</v>
      </c>
      <c r="H2007" s="24">
        <f t="shared" si="288"/>
        <v>650</v>
      </c>
      <c r="I2007" s="12">
        <f t="shared" si="291"/>
        <v>7.6170479637290206E-2</v>
      </c>
      <c r="J2007" s="3">
        <f t="shared" si="292"/>
        <v>0.7</v>
      </c>
    </row>
    <row r="2008" spans="2:10" x14ac:dyDescent="0.25">
      <c r="B2008" s="3">
        <f t="shared" si="293"/>
        <v>9955</v>
      </c>
      <c r="C2008" s="14">
        <f t="shared" si="294"/>
        <v>165.91666666666666</v>
      </c>
      <c r="D2008" s="11">
        <f t="shared" si="295"/>
        <v>1097.5409394993017</v>
      </c>
      <c r="E2008" s="24">
        <f t="shared" si="287"/>
        <v>1096.1107521444876</v>
      </c>
      <c r="F2008" s="24">
        <f t="shared" si="289"/>
        <v>35.7546838703513</v>
      </c>
      <c r="G2008" s="14">
        <f t="shared" si="290"/>
        <v>583.6200601889982</v>
      </c>
      <c r="H2008" s="24">
        <f t="shared" si="288"/>
        <v>650</v>
      </c>
      <c r="I2008" s="12">
        <f t="shared" si="291"/>
        <v>7.6131605626463469E-2</v>
      </c>
      <c r="J2008" s="3">
        <f t="shared" si="292"/>
        <v>0.7</v>
      </c>
    </row>
    <row r="2009" spans="2:10" x14ac:dyDescent="0.25">
      <c r="B2009" s="3">
        <f t="shared" si="293"/>
        <v>9960</v>
      </c>
      <c r="C2009" s="14">
        <f t="shared" si="294"/>
        <v>166</v>
      </c>
      <c r="D2009" s="11">
        <f t="shared" si="295"/>
        <v>1097.6161184252423</v>
      </c>
      <c r="E2009" s="24">
        <f t="shared" si="287"/>
        <v>1096.186883750114</v>
      </c>
      <c r="F2009" s="24">
        <f t="shared" si="289"/>
        <v>35.73086687820819</v>
      </c>
      <c r="G2009" s="14">
        <f t="shared" si="290"/>
        <v>583.32793828025103</v>
      </c>
      <c r="H2009" s="24">
        <f t="shared" si="288"/>
        <v>650</v>
      </c>
      <c r="I2009" s="12">
        <f t="shared" si="291"/>
        <v>7.6092771405282617E-2</v>
      </c>
      <c r="J2009" s="3">
        <f t="shared" si="292"/>
        <v>0.7</v>
      </c>
    </row>
    <row r="2010" spans="2:10" x14ac:dyDescent="0.25">
      <c r="B2010" s="3">
        <f t="shared" si="293"/>
        <v>9965</v>
      </c>
      <c r="C2010" s="14">
        <f t="shared" si="294"/>
        <v>166.08333333333334</v>
      </c>
      <c r="D2010" s="11">
        <f t="shared" si="295"/>
        <v>1097.6912596486111</v>
      </c>
      <c r="E2010" s="24">
        <f t="shared" si="287"/>
        <v>1096.2629765215192</v>
      </c>
      <c r="F2010" s="24">
        <f t="shared" si="289"/>
        <v>35.707078177296125</v>
      </c>
      <c r="G2010" s="14">
        <f t="shared" si="290"/>
        <v>583.03611129423109</v>
      </c>
      <c r="H2010" s="24">
        <f t="shared" si="288"/>
        <v>650</v>
      </c>
      <c r="I2010" s="12">
        <f t="shared" si="291"/>
        <v>7.6053976912550225E-2</v>
      </c>
      <c r="J2010" s="3">
        <f t="shared" si="292"/>
        <v>0.7</v>
      </c>
    </row>
    <row r="2011" spans="2:10" x14ac:dyDescent="0.25">
      <c r="B2011" s="3">
        <f t="shared" si="293"/>
        <v>9970</v>
      </c>
      <c r="C2011" s="14">
        <f t="shared" si="294"/>
        <v>166.16666666666666</v>
      </c>
      <c r="D2011" s="11">
        <f t="shared" si="295"/>
        <v>1097.7663632072044</v>
      </c>
      <c r="E2011" s="24">
        <f t="shared" si="287"/>
        <v>1096.3390304984318</v>
      </c>
      <c r="F2011" s="24">
        <f t="shared" si="289"/>
        <v>35.683317719315255</v>
      </c>
      <c r="G2011" s="14">
        <f t="shared" si="290"/>
        <v>582.744578781732</v>
      </c>
      <c r="H2011" s="24">
        <f t="shared" si="288"/>
        <v>650</v>
      </c>
      <c r="I2011" s="12">
        <f t="shared" si="291"/>
        <v>7.6015222087114406E-2</v>
      </c>
      <c r="J2011" s="3">
        <f t="shared" si="292"/>
        <v>0.7</v>
      </c>
    </row>
    <row r="2012" spans="2:10" x14ac:dyDescent="0.25">
      <c r="B2012" s="3">
        <f t="shared" si="293"/>
        <v>9975</v>
      </c>
      <c r="C2012" s="14">
        <f t="shared" si="294"/>
        <v>166.25</v>
      </c>
      <c r="D2012" s="11">
        <f t="shared" si="295"/>
        <v>1097.841429138763</v>
      </c>
      <c r="E2012" s="24">
        <f t="shared" si="287"/>
        <v>1096.4150457205189</v>
      </c>
      <c r="F2012" s="24">
        <f t="shared" si="289"/>
        <v>35.65958545610215</v>
      </c>
      <c r="G2012" s="14">
        <f t="shared" si="290"/>
        <v>582.45334029507842</v>
      </c>
      <c r="H2012" s="24">
        <f t="shared" si="288"/>
        <v>650</v>
      </c>
      <c r="I2012" s="12">
        <f t="shared" si="291"/>
        <v>7.5976506868028204E-2</v>
      </c>
      <c r="J2012" s="3">
        <f t="shared" si="292"/>
        <v>0.7</v>
      </c>
    </row>
    <row r="2013" spans="2:10" x14ac:dyDescent="0.25">
      <c r="B2013" s="3">
        <f t="shared" si="293"/>
        <v>9980</v>
      </c>
      <c r="C2013" s="14">
        <f t="shared" si="294"/>
        <v>166.33333333333334</v>
      </c>
      <c r="D2013" s="11">
        <f t="shared" si="295"/>
        <v>1097.9164574809699</v>
      </c>
      <c r="E2013" s="24">
        <f t="shared" si="287"/>
        <v>1096.491022227387</v>
      </c>
      <c r="F2013" s="24">
        <f t="shared" si="289"/>
        <v>35.635881339572961</v>
      </c>
      <c r="G2013" s="14">
        <f t="shared" si="290"/>
        <v>582.16239538702155</v>
      </c>
      <c r="H2013" s="24">
        <f t="shared" si="288"/>
        <v>650</v>
      </c>
      <c r="I2013" s="12">
        <f t="shared" si="291"/>
        <v>7.5937831194406863E-2</v>
      </c>
      <c r="J2013" s="3">
        <f t="shared" si="292"/>
        <v>0.7</v>
      </c>
    </row>
    <row r="2014" spans="2:10" x14ac:dyDescent="0.25">
      <c r="B2014" s="3">
        <f t="shared" si="293"/>
        <v>9985</v>
      </c>
      <c r="C2014" s="14">
        <f t="shared" si="294"/>
        <v>166.41666666666666</v>
      </c>
      <c r="D2014" s="11">
        <f t="shared" si="295"/>
        <v>1097.9914482714526</v>
      </c>
      <c r="E2014" s="24">
        <f t="shared" si="287"/>
        <v>1096.5669600585813</v>
      </c>
      <c r="F2014" s="24">
        <f t="shared" si="289"/>
        <v>35.612205321780266</v>
      </c>
      <c r="G2014" s="14">
        <f t="shared" si="290"/>
        <v>581.87174361168843</v>
      </c>
      <c r="H2014" s="24">
        <f t="shared" si="288"/>
        <v>650</v>
      </c>
      <c r="I2014" s="12">
        <f t="shared" si="291"/>
        <v>7.5899195005551548E-2</v>
      </c>
      <c r="J2014" s="3">
        <f t="shared" si="292"/>
        <v>0.7</v>
      </c>
    </row>
    <row r="2015" spans="2:10" x14ac:dyDescent="0.25">
      <c r="B2015" s="3">
        <f t="shared" si="293"/>
        <v>9990</v>
      </c>
      <c r="C2015" s="14">
        <f t="shared" si="294"/>
        <v>166.5</v>
      </c>
      <c r="D2015" s="11">
        <f t="shared" si="295"/>
        <v>1098.0664015477814</v>
      </c>
      <c r="E2015" s="24">
        <f t="shared" si="287"/>
        <v>1096.6428592535869</v>
      </c>
      <c r="F2015" s="24">
        <f t="shared" si="289"/>
        <v>35.588557354861905</v>
      </c>
      <c r="G2015" s="14">
        <f t="shared" si="290"/>
        <v>581.58138452378739</v>
      </c>
      <c r="H2015" s="24">
        <f t="shared" si="288"/>
        <v>650</v>
      </c>
      <c r="I2015" s="12">
        <f t="shared" si="291"/>
        <v>7.5860598240845317E-2</v>
      </c>
      <c r="J2015" s="3">
        <f t="shared" si="292"/>
        <v>0.7</v>
      </c>
    </row>
    <row r="2016" spans="2:10" x14ac:dyDescent="0.25">
      <c r="B2016" s="3">
        <f t="shared" si="293"/>
        <v>9995</v>
      </c>
      <c r="C2016" s="14">
        <f t="shared" si="294"/>
        <v>166.58333333333334</v>
      </c>
      <c r="D2016" s="11">
        <f t="shared" si="295"/>
        <v>1098.1413173474702</v>
      </c>
      <c r="E2016" s="24">
        <f t="shared" si="287"/>
        <v>1096.7187198518277</v>
      </c>
      <c r="F2016" s="24">
        <f t="shared" si="289"/>
        <v>35.564937391063722</v>
      </c>
      <c r="G2016" s="14">
        <f t="shared" si="290"/>
        <v>581.29131767887952</v>
      </c>
      <c r="H2016" s="24">
        <f t="shared" si="288"/>
        <v>650</v>
      </c>
      <c r="I2016" s="12">
        <f t="shared" si="291"/>
        <v>7.5822040839789356E-2</v>
      </c>
      <c r="J2016" s="3">
        <f t="shared" si="292"/>
        <v>0.7</v>
      </c>
    </row>
    <row r="2017" spans="2:10" x14ac:dyDescent="0.25">
      <c r="B2017" s="3">
        <f t="shared" si="293"/>
        <v>10000</v>
      </c>
      <c r="C2017" s="14">
        <f t="shared" si="294"/>
        <v>166.66666666666666</v>
      </c>
      <c r="D2017" s="11">
        <f t="shared" si="295"/>
        <v>1098.2161957079775</v>
      </c>
      <c r="E2017" s="24">
        <f t="shared" si="287"/>
        <v>1096.7945418926674</v>
      </c>
      <c r="F2017" s="24">
        <f t="shared" si="289"/>
        <v>35.541345382750933</v>
      </c>
      <c r="G2017" s="14">
        <f t="shared" si="290"/>
        <v>581.0015426337859</v>
      </c>
      <c r="H2017" s="24">
        <f t="shared" si="288"/>
        <v>650</v>
      </c>
      <c r="I2017" s="12">
        <f t="shared" si="291"/>
        <v>7.5783522742054368E-2</v>
      </c>
      <c r="J2017" s="3">
        <f t="shared" si="292"/>
        <v>0.7</v>
      </c>
    </row>
    <row r="2018" spans="2:10" x14ac:dyDescent="0.25">
      <c r="B2018" s="3">
        <f t="shared" si="293"/>
        <v>10005</v>
      </c>
      <c r="C2018" s="14">
        <f t="shared" si="294"/>
        <v>166.75</v>
      </c>
      <c r="D2018" s="11">
        <f t="shared" si="295"/>
        <v>1098.2910366667049</v>
      </c>
      <c r="E2018" s="24">
        <f t="shared" si="287"/>
        <v>1096.8703254154095</v>
      </c>
      <c r="F2018" s="24">
        <f t="shared" si="289"/>
        <v>35.517781282385386</v>
      </c>
      <c r="G2018" s="14">
        <f t="shared" si="290"/>
        <v>580.71205894594732</v>
      </c>
      <c r="H2018" s="24">
        <f t="shared" si="288"/>
        <v>650</v>
      </c>
      <c r="I2018" s="12">
        <f t="shared" si="291"/>
        <v>7.5745043887399111E-2</v>
      </c>
      <c r="J2018" s="3">
        <f t="shared" si="292"/>
        <v>0.7</v>
      </c>
    </row>
    <row r="2019" spans="2:10" x14ac:dyDescent="0.25">
      <c r="B2019" s="3">
        <f t="shared" si="293"/>
        <v>10010</v>
      </c>
      <c r="C2019" s="14">
        <f t="shared" si="294"/>
        <v>166.83333333333334</v>
      </c>
      <c r="D2019" s="11">
        <f t="shared" si="295"/>
        <v>1098.3658402609979</v>
      </c>
      <c r="E2019" s="24">
        <f t="shared" si="287"/>
        <v>1096.9460704592968</v>
      </c>
      <c r="F2019" s="24">
        <f t="shared" si="289"/>
        <v>35.494245042525563</v>
      </c>
      <c r="G2019" s="14">
        <f t="shared" si="290"/>
        <v>580.42286617363811</v>
      </c>
      <c r="H2019" s="24">
        <f t="shared" si="288"/>
        <v>650</v>
      </c>
      <c r="I2019" s="12">
        <f t="shared" si="291"/>
        <v>7.5706604215696693E-2</v>
      </c>
      <c r="J2019" s="3">
        <f t="shared" si="292"/>
        <v>0.7</v>
      </c>
    </row>
    <row r="2020" spans="2:10" x14ac:dyDescent="0.25">
      <c r="B2020" s="3">
        <f t="shared" si="293"/>
        <v>10015</v>
      </c>
      <c r="C2020" s="14">
        <f t="shared" si="294"/>
        <v>166.91666666666666</v>
      </c>
      <c r="D2020" s="11">
        <f t="shared" si="295"/>
        <v>1098.4406065281464</v>
      </c>
      <c r="E2020" s="24">
        <f t="shared" si="287"/>
        <v>1097.0217770635124</v>
      </c>
      <c r="F2020" s="24">
        <f t="shared" si="289"/>
        <v>35.470736615849319</v>
      </c>
      <c r="G2020" s="14">
        <f t="shared" si="290"/>
        <v>580.13396387623743</v>
      </c>
      <c r="H2020" s="24">
        <f t="shared" si="288"/>
        <v>650</v>
      </c>
      <c r="I2020" s="12">
        <f t="shared" si="291"/>
        <v>7.5668203666970704E-2</v>
      </c>
      <c r="J2020" s="3">
        <f t="shared" si="292"/>
        <v>0.7</v>
      </c>
    </row>
    <row r="2021" spans="2:10" x14ac:dyDescent="0.25">
      <c r="B2021" s="3">
        <f t="shared" si="293"/>
        <v>10020</v>
      </c>
      <c r="C2021" s="14">
        <f t="shared" si="294"/>
        <v>167</v>
      </c>
      <c r="D2021" s="11">
        <f t="shared" si="295"/>
        <v>1098.5153355053844</v>
      </c>
      <c r="E2021" s="24">
        <f t="shared" si="287"/>
        <v>1097.0974452671794</v>
      </c>
      <c r="F2021" s="24">
        <f t="shared" si="289"/>
        <v>35.447255955125456</v>
      </c>
      <c r="G2021" s="14">
        <f t="shared" si="290"/>
        <v>579.84535161386054</v>
      </c>
      <c r="H2021" s="24">
        <f t="shared" si="288"/>
        <v>650</v>
      </c>
      <c r="I2021" s="12">
        <f t="shared" si="291"/>
        <v>7.5629842181346357E-2</v>
      </c>
      <c r="J2021" s="3">
        <f t="shared" si="292"/>
        <v>0.7</v>
      </c>
    </row>
    <row r="2022" spans="2:10" x14ac:dyDescent="0.25">
      <c r="B2022" s="3">
        <f t="shared" si="293"/>
        <v>10025</v>
      </c>
      <c r="C2022" s="14">
        <f t="shared" si="294"/>
        <v>167.08333333333334</v>
      </c>
      <c r="D2022" s="11">
        <f t="shared" si="295"/>
        <v>1098.5900272298907</v>
      </c>
      <c r="E2022" s="24">
        <f t="shared" si="287"/>
        <v>1097.1730751093608</v>
      </c>
      <c r="F2022" s="24">
        <f t="shared" si="289"/>
        <v>35.423803013247834</v>
      </c>
      <c r="G2022" s="14">
        <f t="shared" si="290"/>
        <v>579.55702894768876</v>
      </c>
      <c r="H2022" s="24">
        <f t="shared" si="288"/>
        <v>650</v>
      </c>
      <c r="I2022" s="12">
        <f t="shared" si="291"/>
        <v>7.5591519699095291E-2</v>
      </c>
      <c r="J2022" s="3">
        <f t="shared" si="292"/>
        <v>0.7</v>
      </c>
    </row>
    <row r="2023" spans="2:10" x14ac:dyDescent="0.25">
      <c r="B2023" s="3">
        <f t="shared" si="293"/>
        <v>10030</v>
      </c>
      <c r="C2023" s="14">
        <f t="shared" si="294"/>
        <v>167.16666666666666</v>
      </c>
      <c r="D2023" s="11">
        <f t="shared" si="295"/>
        <v>1098.6646817387877</v>
      </c>
      <c r="E2023" s="24">
        <f t="shared" si="287"/>
        <v>1097.2486666290599</v>
      </c>
      <c r="F2023" s="24">
        <f t="shared" si="289"/>
        <v>35.400377743195577</v>
      </c>
      <c r="G2023" s="14">
        <f t="shared" si="290"/>
        <v>579.26899543962054</v>
      </c>
      <c r="H2023" s="24">
        <f t="shared" si="288"/>
        <v>650</v>
      </c>
      <c r="I2023" s="12">
        <f t="shared" si="291"/>
        <v>7.5553236160587803E-2</v>
      </c>
      <c r="J2023" s="3">
        <f t="shared" si="292"/>
        <v>0.7</v>
      </c>
    </row>
    <row r="2024" spans="2:10" x14ac:dyDescent="0.25">
      <c r="B2024" s="3">
        <f t="shared" si="293"/>
        <v>10035</v>
      </c>
      <c r="C2024" s="14">
        <f t="shared" si="294"/>
        <v>167.25</v>
      </c>
      <c r="D2024" s="11">
        <f t="shared" si="295"/>
        <v>1098.739299069143</v>
      </c>
      <c r="E2024" s="24">
        <f t="shared" si="287"/>
        <v>1097.3242198652206</v>
      </c>
      <c r="F2024" s="24">
        <f t="shared" si="289"/>
        <v>35.376980098061495</v>
      </c>
      <c r="G2024" s="14">
        <f t="shared" si="290"/>
        <v>578.98125065262013</v>
      </c>
      <c r="H2024" s="24">
        <f t="shared" si="288"/>
        <v>650</v>
      </c>
      <c r="I2024" s="12">
        <f t="shared" si="291"/>
        <v>7.5514991506339113E-2</v>
      </c>
      <c r="J2024" s="3">
        <f t="shared" si="292"/>
        <v>0.7</v>
      </c>
    </row>
    <row r="2025" spans="2:10" x14ac:dyDescent="0.25">
      <c r="B2025" s="3">
        <f t="shared" si="293"/>
        <v>10040</v>
      </c>
      <c r="C2025" s="14">
        <f t="shared" si="294"/>
        <v>167.33333333333334</v>
      </c>
      <c r="D2025" s="11">
        <f t="shared" si="295"/>
        <v>1098.8138792579684</v>
      </c>
      <c r="E2025" s="24">
        <f t="shared" si="287"/>
        <v>1097.399734856727</v>
      </c>
      <c r="F2025" s="24">
        <f t="shared" si="289"/>
        <v>35.353610031035032</v>
      </c>
      <c r="G2025" s="14">
        <f t="shared" si="290"/>
        <v>578.69379415025253</v>
      </c>
      <c r="H2025" s="24">
        <f t="shared" si="288"/>
        <v>650</v>
      </c>
      <c r="I2025" s="12">
        <f t="shared" si="291"/>
        <v>7.5476785676950195E-2</v>
      </c>
      <c r="J2025" s="3">
        <f t="shared" si="292"/>
        <v>0.7</v>
      </c>
    </row>
    <row r="2026" spans="2:10" x14ac:dyDescent="0.25">
      <c r="B2026" s="3">
        <f t="shared" si="293"/>
        <v>10045</v>
      </c>
      <c r="C2026" s="14">
        <f t="shared" si="294"/>
        <v>167.41666666666666</v>
      </c>
      <c r="D2026" s="11">
        <f t="shared" si="295"/>
        <v>1098.8884223422208</v>
      </c>
      <c r="E2026" s="24">
        <f t="shared" si="287"/>
        <v>1097.475211642404</v>
      </c>
      <c r="F2026" s="24">
        <f t="shared" si="289"/>
        <v>35.330267495419321</v>
      </c>
      <c r="G2026" s="14">
        <f t="shared" si="290"/>
        <v>578.40662549726494</v>
      </c>
      <c r="H2026" s="24">
        <f t="shared" si="288"/>
        <v>650</v>
      </c>
      <c r="I2026" s="12">
        <f t="shared" si="291"/>
        <v>7.543861861318131E-2</v>
      </c>
      <c r="J2026" s="3">
        <f t="shared" si="292"/>
        <v>0.7</v>
      </c>
    </row>
    <row r="2027" spans="2:10" x14ac:dyDescent="0.25">
      <c r="B2027" s="3">
        <f t="shared" si="293"/>
        <v>10050</v>
      </c>
      <c r="C2027" s="14">
        <f t="shared" si="294"/>
        <v>167.5</v>
      </c>
      <c r="D2027" s="11">
        <f t="shared" si="295"/>
        <v>1098.9629283588015</v>
      </c>
      <c r="E2027" s="24">
        <f t="shared" si="287"/>
        <v>1097.5506502610172</v>
      </c>
      <c r="F2027" s="24">
        <f t="shared" si="289"/>
        <v>35.306952444608442</v>
      </c>
      <c r="G2027" s="14">
        <f t="shared" si="290"/>
        <v>578.1197442591216</v>
      </c>
      <c r="H2027" s="24">
        <f t="shared" si="288"/>
        <v>650</v>
      </c>
      <c r="I2027" s="12">
        <f t="shared" si="291"/>
        <v>7.5400490255892016E-2</v>
      </c>
      <c r="J2027" s="3">
        <f t="shared" si="292"/>
        <v>0.7</v>
      </c>
    </row>
    <row r="2028" spans="2:10" x14ac:dyDescent="0.25">
      <c r="B2028" s="3">
        <f t="shared" si="293"/>
        <v>10055</v>
      </c>
      <c r="C2028" s="14">
        <f t="shared" si="294"/>
        <v>167.58333333333334</v>
      </c>
      <c r="D2028" s="11">
        <f t="shared" si="295"/>
        <v>1099.0373973445573</v>
      </c>
      <c r="E2028" s="24">
        <f t="shared" si="287"/>
        <v>1097.6260507512729</v>
      </c>
      <c r="F2028" s="24">
        <f t="shared" si="289"/>
        <v>35.283664832110162</v>
      </c>
      <c r="G2028" s="14">
        <f t="shared" si="290"/>
        <v>577.83315000223649</v>
      </c>
      <c r="H2028" s="24">
        <f t="shared" si="288"/>
        <v>650</v>
      </c>
      <c r="I2028" s="12">
        <f t="shared" si="291"/>
        <v>7.5362400546072614E-2</v>
      </c>
      <c r="J2028" s="3">
        <f t="shared" si="292"/>
        <v>0.7</v>
      </c>
    </row>
    <row r="2029" spans="2:10" x14ac:dyDescent="0.25">
      <c r="B2029" s="3">
        <f t="shared" si="293"/>
        <v>10060</v>
      </c>
      <c r="C2029" s="14">
        <f t="shared" si="294"/>
        <v>167.66666666666666</v>
      </c>
      <c r="D2029" s="11">
        <f t="shared" si="295"/>
        <v>1099.1118293362804</v>
      </c>
      <c r="E2029" s="24">
        <f t="shared" si="287"/>
        <v>1097.701413151819</v>
      </c>
      <c r="F2029" s="24">
        <f t="shared" si="289"/>
        <v>35.260404611534568</v>
      </c>
      <c r="G2029" s="14">
        <f t="shared" si="290"/>
        <v>577.54684229395377</v>
      </c>
      <c r="H2029" s="24">
        <f t="shared" si="288"/>
        <v>650</v>
      </c>
      <c r="I2029" s="12">
        <f t="shared" si="291"/>
        <v>7.5324349424840287E-2</v>
      </c>
      <c r="J2029" s="3">
        <f t="shared" si="292"/>
        <v>0.7</v>
      </c>
    </row>
    <row r="2030" spans="2:10" x14ac:dyDescent="0.25">
      <c r="B2030" s="3">
        <f t="shared" si="293"/>
        <v>10065</v>
      </c>
      <c r="C2030" s="14">
        <f t="shared" si="294"/>
        <v>167.75</v>
      </c>
      <c r="D2030" s="11">
        <f t="shared" si="295"/>
        <v>1099.1862243707067</v>
      </c>
      <c r="E2030" s="24">
        <f t="shared" si="287"/>
        <v>1097.7767375012438</v>
      </c>
      <c r="F2030" s="24">
        <f t="shared" si="289"/>
        <v>35.237171736571327</v>
      </c>
      <c r="G2030" s="14">
        <f t="shared" si="290"/>
        <v>577.2608207021018</v>
      </c>
      <c r="H2030" s="24">
        <f t="shared" si="288"/>
        <v>650</v>
      </c>
      <c r="I2030" s="12">
        <f t="shared" si="291"/>
        <v>7.528633683338154E-2</v>
      </c>
      <c r="J2030" s="3">
        <f t="shared" si="292"/>
        <v>0.7</v>
      </c>
    </row>
    <row r="2031" spans="2:10" x14ac:dyDescent="0.25">
      <c r="B2031" s="3">
        <f t="shared" si="293"/>
        <v>10070</v>
      </c>
      <c r="C2031" s="14">
        <f t="shared" si="294"/>
        <v>167.83333333333334</v>
      </c>
      <c r="D2031" s="11">
        <f t="shared" si="295"/>
        <v>1099.2605824845191</v>
      </c>
      <c r="E2031" s="24">
        <f t="shared" si="287"/>
        <v>1097.8520238380772</v>
      </c>
      <c r="F2031" s="24">
        <f t="shared" si="289"/>
        <v>35.213966161046528</v>
      </c>
      <c r="G2031" s="14">
        <f t="shared" si="290"/>
        <v>576.9750847959242</v>
      </c>
      <c r="H2031" s="24">
        <f t="shared" si="288"/>
        <v>650</v>
      </c>
      <c r="I2031" s="12">
        <f t="shared" si="291"/>
        <v>7.5248362713073572E-2</v>
      </c>
      <c r="J2031" s="3">
        <f t="shared" si="292"/>
        <v>0.7</v>
      </c>
    </row>
    <row r="2032" spans="2:10" x14ac:dyDescent="0.25">
      <c r="B2032" s="3">
        <f t="shared" si="293"/>
        <v>10075</v>
      </c>
      <c r="C2032" s="14">
        <f t="shared" si="294"/>
        <v>167.91666666666666</v>
      </c>
      <c r="D2032" s="11">
        <f t="shared" si="295"/>
        <v>1099.3349037143448</v>
      </c>
      <c r="E2032" s="24">
        <f t="shared" si="287"/>
        <v>1097.9272722007904</v>
      </c>
      <c r="F2032" s="24">
        <f t="shared" si="289"/>
        <v>35.19078783886016</v>
      </c>
      <c r="G2032" s="14">
        <f t="shared" si="290"/>
        <v>576.68963414516804</v>
      </c>
      <c r="H2032" s="24">
        <f t="shared" si="288"/>
        <v>650</v>
      </c>
      <c r="I2032" s="12">
        <f t="shared" si="291"/>
        <v>7.5210427005364594E-2</v>
      </c>
      <c r="J2032" s="3">
        <f t="shared" si="292"/>
        <v>0.7</v>
      </c>
    </row>
    <row r="2033" spans="2:10" x14ac:dyDescent="0.25">
      <c r="B2033" s="3">
        <f t="shared" si="293"/>
        <v>10080</v>
      </c>
      <c r="C2033" s="14">
        <f t="shared" si="294"/>
        <v>168</v>
      </c>
      <c r="D2033" s="11">
        <f t="shared" si="295"/>
        <v>1099.4091880967571</v>
      </c>
      <c r="E2033" s="24">
        <f t="shared" si="287"/>
        <v>1098.0024826277959</v>
      </c>
      <c r="F2033" s="24">
        <f t="shared" si="289"/>
        <v>35.167636724031581</v>
      </c>
      <c r="G2033" s="14">
        <f t="shared" si="290"/>
        <v>576.40446832058842</v>
      </c>
      <c r="H2033" s="24">
        <f t="shared" si="288"/>
        <v>650</v>
      </c>
      <c r="I2033" s="12">
        <f t="shared" si="291"/>
        <v>7.517252965184136E-2</v>
      </c>
      <c r="J2033" s="3">
        <f t="shared" si="292"/>
        <v>0.7</v>
      </c>
    </row>
    <row r="2034" spans="2:10" x14ac:dyDescent="0.25">
      <c r="B2034" s="3">
        <f t="shared" si="293"/>
        <v>10085</v>
      </c>
      <c r="C2034" s="14">
        <f t="shared" si="294"/>
        <v>168.08333333333334</v>
      </c>
      <c r="D2034" s="11">
        <f t="shared" si="295"/>
        <v>1099.4834356682748</v>
      </c>
      <c r="E2034" s="24">
        <f t="shared" si="287"/>
        <v>1098.0776551574477</v>
      </c>
      <c r="F2034" s="24">
        <f t="shared" si="289"/>
        <v>35.144512770676783</v>
      </c>
      <c r="G2034" s="14">
        <f t="shared" si="290"/>
        <v>576.11958689387029</v>
      </c>
      <c r="H2034" s="24">
        <f t="shared" si="288"/>
        <v>650</v>
      </c>
      <c r="I2034" s="12">
        <f t="shared" si="291"/>
        <v>7.5134670594216788E-2</v>
      </c>
      <c r="J2034" s="3">
        <f t="shared" si="292"/>
        <v>0.7</v>
      </c>
    </row>
    <row r="2035" spans="2:10" x14ac:dyDescent="0.25">
      <c r="B2035" s="3">
        <f t="shared" si="293"/>
        <v>10090</v>
      </c>
      <c r="C2035" s="14">
        <f t="shared" si="294"/>
        <v>168.16666666666666</v>
      </c>
      <c r="D2035" s="11">
        <f t="shared" si="295"/>
        <v>1099.5576464653623</v>
      </c>
      <c r="E2035" s="24">
        <f t="shared" si="287"/>
        <v>1098.1527898280419</v>
      </c>
      <c r="F2035" s="24">
        <f t="shared" si="289"/>
        <v>35.121415933008393</v>
      </c>
      <c r="G2035" s="14">
        <f t="shared" si="290"/>
        <v>575.8349894374162</v>
      </c>
      <c r="H2035" s="24">
        <f t="shared" si="288"/>
        <v>650</v>
      </c>
      <c r="I2035" s="12">
        <f t="shared" si="291"/>
        <v>7.509684977430392E-2</v>
      </c>
      <c r="J2035" s="3">
        <f t="shared" si="292"/>
        <v>0.7</v>
      </c>
    </row>
    <row r="2036" spans="2:10" x14ac:dyDescent="0.25">
      <c r="B2036" s="3">
        <f t="shared" si="293"/>
        <v>10095</v>
      </c>
      <c r="C2036" s="14">
        <f t="shared" si="294"/>
        <v>168.25</v>
      </c>
      <c r="D2036" s="11">
        <f t="shared" si="295"/>
        <v>1099.6318205244299</v>
      </c>
      <c r="E2036" s="24">
        <f t="shared" ref="E2036:E2099" si="296">E2035+I2035</f>
        <v>1098.2278866778163</v>
      </c>
      <c r="F2036" s="24">
        <f t="shared" si="289"/>
        <v>35.098346165341354</v>
      </c>
      <c r="G2036" s="14">
        <f t="shared" si="290"/>
        <v>575.55067552457797</v>
      </c>
      <c r="H2036" s="24">
        <f t="shared" ref="H2036:H2099" si="297">IF(E2036&lt;600,425+0.773*E2036-1.69/1000*E2036^2+2.22/1000^2*E2036^3,IF(E2036&lt;735,666+13002/(738-E2036),IF(E2036&lt;900,545+17820/(E2036-731),650)))</f>
        <v>650</v>
      </c>
      <c r="I2036" s="12">
        <f t="shared" si="291"/>
        <v>7.5059067134045032E-2</v>
      </c>
      <c r="J2036" s="3">
        <f t="shared" si="292"/>
        <v>0.7</v>
      </c>
    </row>
    <row r="2037" spans="2:10" x14ac:dyDescent="0.25">
      <c r="B2037" s="3">
        <f t="shared" si="293"/>
        <v>10100</v>
      </c>
      <c r="C2037" s="14">
        <f t="shared" si="294"/>
        <v>168.33333333333334</v>
      </c>
      <c r="D2037" s="11">
        <f t="shared" si="295"/>
        <v>1099.7059578818339</v>
      </c>
      <c r="E2037" s="24">
        <f t="shared" si="296"/>
        <v>1098.3029457449504</v>
      </c>
      <c r="F2037" s="24">
        <f t="shared" si="289"/>
        <v>35.075303422087245</v>
      </c>
      <c r="G2037" s="14">
        <f t="shared" si="290"/>
        <v>575.26664472940502</v>
      </c>
      <c r="H2037" s="24">
        <f t="shared" si="297"/>
        <v>650</v>
      </c>
      <c r="I2037" s="12">
        <f t="shared" si="291"/>
        <v>7.5021322615480016E-2</v>
      </c>
      <c r="J2037" s="3">
        <f t="shared" si="292"/>
        <v>0.7</v>
      </c>
    </row>
    <row r="2038" spans="2:10" x14ac:dyDescent="0.25">
      <c r="B2038" s="3">
        <f t="shared" si="293"/>
        <v>10105</v>
      </c>
      <c r="C2038" s="14">
        <f t="shared" si="294"/>
        <v>168.41666666666666</v>
      </c>
      <c r="D2038" s="11">
        <f t="shared" si="295"/>
        <v>1099.7800585738769</v>
      </c>
      <c r="E2038" s="24">
        <f t="shared" si="296"/>
        <v>1098.3779670675658</v>
      </c>
      <c r="F2038" s="24">
        <f t="shared" si="289"/>
        <v>35.052287657777015</v>
      </c>
      <c r="G2038" s="14">
        <f t="shared" si="290"/>
        <v>574.98289662726484</v>
      </c>
      <c r="H2038" s="24">
        <f t="shared" si="297"/>
        <v>650</v>
      </c>
      <c r="I2038" s="12">
        <f t="shared" si="291"/>
        <v>7.4983616160825453E-2</v>
      </c>
      <c r="J2038" s="3">
        <f t="shared" si="292"/>
        <v>0.7</v>
      </c>
    </row>
    <row r="2039" spans="2:10" x14ac:dyDescent="0.25">
      <c r="B2039" s="3">
        <f t="shared" si="293"/>
        <v>10110</v>
      </c>
      <c r="C2039" s="14">
        <f t="shared" si="294"/>
        <v>168.5</v>
      </c>
      <c r="D2039" s="11">
        <f t="shared" si="295"/>
        <v>1099.8541226368068</v>
      </c>
      <c r="E2039" s="24">
        <f t="shared" si="296"/>
        <v>1098.4529506837266</v>
      </c>
      <c r="F2039" s="24">
        <f t="shared" si="289"/>
        <v>35.029298827004141</v>
      </c>
      <c r="G2039" s="14">
        <f t="shared" si="290"/>
        <v>574.69943079358302</v>
      </c>
      <c r="H2039" s="24">
        <f t="shared" si="297"/>
        <v>650</v>
      </c>
      <c r="I2039" s="12">
        <f t="shared" si="291"/>
        <v>7.4945947712312777E-2</v>
      </c>
      <c r="J2039" s="3">
        <f t="shared" si="292"/>
        <v>0.7</v>
      </c>
    </row>
    <row r="2040" spans="2:10" x14ac:dyDescent="0.25">
      <c r="B2040" s="3">
        <f t="shared" si="293"/>
        <v>10115</v>
      </c>
      <c r="C2040" s="14">
        <f t="shared" si="294"/>
        <v>168.58333333333334</v>
      </c>
      <c r="D2040" s="11">
        <f t="shared" si="295"/>
        <v>1099.928150106819</v>
      </c>
      <c r="E2040" s="24">
        <f t="shared" si="296"/>
        <v>1098.527896631439</v>
      </c>
      <c r="F2040" s="24">
        <f t="shared" si="289"/>
        <v>35.006336884498523</v>
      </c>
      <c r="G2040" s="14">
        <f t="shared" si="290"/>
        <v>574.41624680541281</v>
      </c>
      <c r="H2040" s="24">
        <f t="shared" si="297"/>
        <v>650</v>
      </c>
      <c r="I2040" s="12">
        <f t="shared" si="291"/>
        <v>7.4908317212390219E-2</v>
      </c>
      <c r="J2040" s="3">
        <f t="shared" si="292"/>
        <v>0.7</v>
      </c>
    </row>
    <row r="2041" spans="2:10" x14ac:dyDescent="0.25">
      <c r="B2041" s="3">
        <f t="shared" si="293"/>
        <v>10120</v>
      </c>
      <c r="C2041" s="14">
        <f t="shared" si="294"/>
        <v>168.66666666666666</v>
      </c>
      <c r="D2041" s="11">
        <f t="shared" si="295"/>
        <v>1100.0021410200543</v>
      </c>
      <c r="E2041" s="24">
        <f t="shared" si="296"/>
        <v>1098.6028049486515</v>
      </c>
      <c r="F2041" s="24">
        <f t="shared" si="289"/>
        <v>34.983401785069645</v>
      </c>
      <c r="G2041" s="14">
        <f t="shared" si="290"/>
        <v>574.13334424023412</v>
      </c>
      <c r="H2041" s="24">
        <f t="shared" si="297"/>
        <v>650</v>
      </c>
      <c r="I2041" s="12">
        <f t="shared" si="291"/>
        <v>7.4870724603568264E-2</v>
      </c>
      <c r="J2041" s="3">
        <f t="shared" si="292"/>
        <v>0.7</v>
      </c>
    </row>
    <row r="2042" spans="2:10" x14ac:dyDescent="0.25">
      <c r="B2042" s="3">
        <f t="shared" si="293"/>
        <v>10125</v>
      </c>
      <c r="C2042" s="14">
        <f t="shared" si="294"/>
        <v>168.75</v>
      </c>
      <c r="D2042" s="11">
        <f t="shared" si="295"/>
        <v>1100.0760954126006</v>
      </c>
      <c r="E2042" s="24">
        <f t="shared" si="296"/>
        <v>1098.6776756732552</v>
      </c>
      <c r="F2042" s="24">
        <f t="shared" si="289"/>
        <v>34.960493483634991</v>
      </c>
      <c r="G2042" s="14">
        <f t="shared" si="290"/>
        <v>573.85072267651515</v>
      </c>
      <c r="H2042" s="24">
        <f t="shared" si="297"/>
        <v>650</v>
      </c>
      <c r="I2042" s="12">
        <f t="shared" si="291"/>
        <v>7.4833169828492141E-2</v>
      </c>
      <c r="J2042" s="3">
        <f t="shared" si="292"/>
        <v>0.7</v>
      </c>
    </row>
    <row r="2043" spans="2:10" x14ac:dyDescent="0.25">
      <c r="B2043" s="3">
        <f t="shared" si="293"/>
        <v>10130</v>
      </c>
      <c r="C2043" s="14">
        <f t="shared" si="294"/>
        <v>168.83333333333334</v>
      </c>
      <c r="D2043" s="11">
        <f t="shared" si="295"/>
        <v>1100.1500133204918</v>
      </c>
      <c r="E2043" s="24">
        <f t="shared" si="296"/>
        <v>1098.7525088430837</v>
      </c>
      <c r="F2043" s="24">
        <f t="shared" si="289"/>
        <v>34.937611935202995</v>
      </c>
      <c r="G2043" s="14">
        <f t="shared" si="290"/>
        <v>573.56838169357684</v>
      </c>
      <c r="H2043" s="24">
        <f t="shared" si="297"/>
        <v>650</v>
      </c>
      <c r="I2043" s="12">
        <f t="shared" si="291"/>
        <v>7.4795652829923065E-2</v>
      </c>
      <c r="J2043" s="3">
        <f t="shared" si="292"/>
        <v>0.7</v>
      </c>
    </row>
    <row r="2044" spans="2:10" x14ac:dyDescent="0.25">
      <c r="B2044" s="3">
        <f t="shared" si="293"/>
        <v>10135</v>
      </c>
      <c r="C2044" s="14">
        <f t="shared" si="294"/>
        <v>168.91666666666666</v>
      </c>
      <c r="D2044" s="11">
        <f t="shared" si="295"/>
        <v>1100.2238947797089</v>
      </c>
      <c r="E2044" s="24">
        <f t="shared" si="296"/>
        <v>1098.8273044959135</v>
      </c>
      <c r="F2044" s="24">
        <f t="shared" si="289"/>
        <v>34.914757094884408</v>
      </c>
      <c r="G2044" s="14">
        <f t="shared" si="290"/>
        <v>573.28632087147628</v>
      </c>
      <c r="H2044" s="24">
        <f t="shared" si="297"/>
        <v>650</v>
      </c>
      <c r="I2044" s="12">
        <f t="shared" si="291"/>
        <v>7.4758173550725324E-2</v>
      </c>
      <c r="J2044" s="3">
        <f t="shared" si="292"/>
        <v>0.7</v>
      </c>
    </row>
    <row r="2045" spans="2:10" x14ac:dyDescent="0.25">
      <c r="B2045" s="3">
        <f t="shared" si="293"/>
        <v>10140</v>
      </c>
      <c r="C2045" s="14">
        <f t="shared" si="294"/>
        <v>169</v>
      </c>
      <c r="D2045" s="11">
        <f t="shared" si="295"/>
        <v>1100.2977398261798</v>
      </c>
      <c r="E2045" s="24">
        <f t="shared" si="296"/>
        <v>1098.9020626694642</v>
      </c>
      <c r="F2045" s="24">
        <f t="shared" si="289"/>
        <v>34.891928917892301</v>
      </c>
      <c r="G2045" s="14">
        <f t="shared" si="290"/>
        <v>573.00453979123995</v>
      </c>
      <c r="H2045" s="24">
        <f t="shared" si="297"/>
        <v>650</v>
      </c>
      <c r="I2045" s="12">
        <f t="shared" si="291"/>
        <v>7.4720731933894946E-2</v>
      </c>
      <c r="J2045" s="3">
        <f t="shared" si="292"/>
        <v>0.7</v>
      </c>
    </row>
    <row r="2046" spans="2:10" x14ac:dyDescent="0.25">
      <c r="B2046" s="3">
        <f t="shared" si="293"/>
        <v>10145</v>
      </c>
      <c r="C2046" s="14">
        <f t="shared" si="294"/>
        <v>169.08333333333334</v>
      </c>
      <c r="D2046" s="11">
        <f t="shared" si="295"/>
        <v>1100.3715484957793</v>
      </c>
      <c r="E2046" s="24">
        <f t="shared" si="296"/>
        <v>1098.9767834013981</v>
      </c>
      <c r="F2046" s="24">
        <f t="shared" si="289"/>
        <v>34.869127359530694</v>
      </c>
      <c r="G2046" s="14">
        <f t="shared" si="290"/>
        <v>572.72303803465002</v>
      </c>
      <c r="H2046" s="24">
        <f t="shared" si="297"/>
        <v>650</v>
      </c>
      <c r="I2046" s="12">
        <f t="shared" si="291"/>
        <v>7.4683327922532003E-2</v>
      </c>
      <c r="J2046" s="3">
        <f t="shared" si="292"/>
        <v>0.7</v>
      </c>
    </row>
    <row r="2047" spans="2:10" x14ac:dyDescent="0.25">
      <c r="B2047" s="3">
        <f t="shared" si="293"/>
        <v>10150</v>
      </c>
      <c r="C2047" s="14">
        <f t="shared" si="294"/>
        <v>169.16666666666666</v>
      </c>
      <c r="D2047" s="11">
        <f t="shared" si="295"/>
        <v>1100.4453208243285</v>
      </c>
      <c r="E2047" s="24">
        <f t="shared" si="296"/>
        <v>1099.0514667293205</v>
      </c>
      <c r="F2047" s="24">
        <f t="shared" si="289"/>
        <v>34.84635237520024</v>
      </c>
      <c r="G2047" s="14">
        <f t="shared" si="290"/>
        <v>572.44181518424421</v>
      </c>
      <c r="H2047" s="24">
        <f t="shared" si="297"/>
        <v>650</v>
      </c>
      <c r="I2047" s="12">
        <f t="shared" si="291"/>
        <v>7.4645961459841328E-2</v>
      </c>
      <c r="J2047" s="3">
        <f t="shared" si="292"/>
        <v>0.7</v>
      </c>
    </row>
    <row r="2048" spans="2:10" x14ac:dyDescent="0.25">
      <c r="B2048" s="3">
        <f t="shared" si="293"/>
        <v>10155</v>
      </c>
      <c r="C2048" s="14">
        <f t="shared" si="294"/>
        <v>169.25</v>
      </c>
      <c r="D2048" s="11">
        <f t="shared" si="295"/>
        <v>1100.5190568475964</v>
      </c>
      <c r="E2048" s="24">
        <f t="shared" si="296"/>
        <v>1099.1261126907802</v>
      </c>
      <c r="F2048" s="24">
        <f t="shared" si="289"/>
        <v>34.823603920403912</v>
      </c>
      <c r="G2048" s="14">
        <f t="shared" si="290"/>
        <v>572.16087082358786</v>
      </c>
      <c r="H2048" s="24">
        <f t="shared" si="297"/>
        <v>650</v>
      </c>
      <c r="I2048" s="12">
        <f t="shared" si="291"/>
        <v>7.4608632489166646E-2</v>
      </c>
      <c r="J2048" s="3">
        <f t="shared" si="292"/>
        <v>0.7</v>
      </c>
    </row>
    <row r="2049" spans="2:10" x14ac:dyDescent="0.25">
      <c r="B2049" s="3">
        <f t="shared" si="293"/>
        <v>10160</v>
      </c>
      <c r="C2049" s="14">
        <f t="shared" si="294"/>
        <v>169.33333333333334</v>
      </c>
      <c r="D2049" s="11">
        <f t="shared" si="295"/>
        <v>1100.592756601299</v>
      </c>
      <c r="E2049" s="24">
        <f t="shared" si="296"/>
        <v>1099.2007213232694</v>
      </c>
      <c r="F2049" s="24">
        <f t="shared" si="289"/>
        <v>34.800881950741314</v>
      </c>
      <c r="G2049" s="14">
        <f t="shared" si="290"/>
        <v>571.88020453692423</v>
      </c>
      <c r="H2049" s="24">
        <f t="shared" si="297"/>
        <v>650</v>
      </c>
      <c r="I2049" s="12">
        <f t="shared" si="291"/>
        <v>7.4571340953946866E-2</v>
      </c>
      <c r="J2049" s="3">
        <f t="shared" si="292"/>
        <v>0.7</v>
      </c>
    </row>
    <row r="2050" spans="2:10" x14ac:dyDescent="0.25">
      <c r="B2050" s="3">
        <f t="shared" si="293"/>
        <v>10165</v>
      </c>
      <c r="C2050" s="14">
        <f t="shared" si="294"/>
        <v>169.41666666666666</v>
      </c>
      <c r="D2050" s="11">
        <f t="shared" si="295"/>
        <v>1100.6664201210999</v>
      </c>
      <c r="E2050" s="24">
        <f t="shared" si="296"/>
        <v>1099.2752926642233</v>
      </c>
      <c r="F2050" s="24">
        <f t="shared" si="289"/>
        <v>34.77818642191437</v>
      </c>
      <c r="G2050" s="14">
        <f t="shared" si="290"/>
        <v>571.5998159096207</v>
      </c>
      <c r="H2050" s="24">
        <f t="shared" si="297"/>
        <v>650</v>
      </c>
      <c r="I2050" s="12">
        <f t="shared" si="291"/>
        <v>7.4534086797771681E-2</v>
      </c>
      <c r="J2050" s="3">
        <f t="shared" si="292"/>
        <v>0.7</v>
      </c>
    </row>
    <row r="2051" spans="2:10" x14ac:dyDescent="0.25">
      <c r="B2051" s="3">
        <f t="shared" si="293"/>
        <v>10170</v>
      </c>
      <c r="C2051" s="14">
        <f t="shared" si="294"/>
        <v>169.5</v>
      </c>
      <c r="D2051" s="11">
        <f t="shared" si="295"/>
        <v>1100.7400474426092</v>
      </c>
      <c r="E2051" s="24">
        <f t="shared" si="296"/>
        <v>1099.3498267510211</v>
      </c>
      <c r="F2051" s="24">
        <f t="shared" si="289"/>
        <v>34.755517289704585</v>
      </c>
      <c r="G2051" s="14">
        <f t="shared" si="290"/>
        <v>571.31970452729672</v>
      </c>
      <c r="H2051" s="24">
        <f t="shared" si="297"/>
        <v>650</v>
      </c>
      <c r="I2051" s="12">
        <f t="shared" si="291"/>
        <v>7.4496869964271517E-2</v>
      </c>
      <c r="J2051" s="3">
        <f t="shared" si="292"/>
        <v>0.7</v>
      </c>
    </row>
    <row r="2052" spans="2:10" x14ac:dyDescent="0.25">
      <c r="B2052" s="3">
        <f t="shared" si="293"/>
        <v>10175</v>
      </c>
      <c r="C2052" s="14">
        <f t="shared" si="294"/>
        <v>169.58333333333334</v>
      </c>
      <c r="D2052" s="11">
        <f t="shared" si="295"/>
        <v>1100.8136386013857</v>
      </c>
      <c r="E2052" s="24">
        <f t="shared" si="296"/>
        <v>1099.4243236209854</v>
      </c>
      <c r="F2052" s="24">
        <f t="shared" si="289"/>
        <v>34.73287451000715</v>
      </c>
      <c r="G2052" s="14">
        <f t="shared" si="290"/>
        <v>571.03986997694744</v>
      </c>
      <c r="H2052" s="24">
        <f t="shared" si="297"/>
        <v>650</v>
      </c>
      <c r="I2052" s="12">
        <f t="shared" si="291"/>
        <v>7.4459690397259887E-2</v>
      </c>
      <c r="J2052" s="3">
        <f t="shared" si="292"/>
        <v>0.7</v>
      </c>
    </row>
    <row r="2053" spans="2:10" x14ac:dyDescent="0.25">
      <c r="B2053" s="3">
        <f t="shared" si="293"/>
        <v>10180</v>
      </c>
      <c r="C2053" s="14">
        <f t="shared" si="294"/>
        <v>169.66666666666666</v>
      </c>
      <c r="D2053" s="11">
        <f t="shared" si="295"/>
        <v>1100.8871936329347</v>
      </c>
      <c r="E2053" s="24">
        <f t="shared" si="296"/>
        <v>1099.4987833113828</v>
      </c>
      <c r="F2053" s="24">
        <f t="shared" si="289"/>
        <v>34.710258038796837</v>
      </c>
      <c r="G2053" s="14">
        <f t="shared" si="290"/>
        <v>570.76031184603346</v>
      </c>
      <c r="H2053" s="24">
        <f t="shared" si="297"/>
        <v>650</v>
      </c>
      <c r="I2053" s="12">
        <f t="shared" si="291"/>
        <v>7.4422548040617306E-2</v>
      </c>
      <c r="J2053" s="3">
        <f t="shared" si="292"/>
        <v>0.7</v>
      </c>
    </row>
    <row r="2054" spans="2:10" x14ac:dyDescent="0.25">
      <c r="B2054" s="3">
        <f t="shared" si="293"/>
        <v>10185</v>
      </c>
      <c r="C2054" s="14">
        <f t="shared" si="294"/>
        <v>169.75</v>
      </c>
      <c r="D2054" s="11">
        <f t="shared" si="295"/>
        <v>1100.9607125727105</v>
      </c>
      <c r="E2054" s="24">
        <f t="shared" si="296"/>
        <v>1099.5732058594235</v>
      </c>
      <c r="F2054" s="24">
        <f t="shared" si="289"/>
        <v>34.687667832173474</v>
      </c>
      <c r="G2054" s="14">
        <f t="shared" si="290"/>
        <v>570.48102972327479</v>
      </c>
      <c r="H2054" s="24">
        <f t="shared" si="297"/>
        <v>650</v>
      </c>
      <c r="I2054" s="12">
        <f t="shared" si="291"/>
        <v>7.4385442838394447E-2</v>
      </c>
      <c r="J2054" s="3">
        <f t="shared" si="292"/>
        <v>0.7</v>
      </c>
    </row>
    <row r="2055" spans="2:10" x14ac:dyDescent="0.25">
      <c r="B2055" s="3">
        <f t="shared" si="293"/>
        <v>10190</v>
      </c>
      <c r="C2055" s="14">
        <f t="shared" si="294"/>
        <v>169.83333333333334</v>
      </c>
      <c r="D2055" s="11">
        <f t="shared" si="295"/>
        <v>1101.034195456114</v>
      </c>
      <c r="E2055" s="24">
        <f t="shared" si="296"/>
        <v>1099.6475913022618</v>
      </c>
      <c r="F2055" s="24">
        <f t="shared" si="289"/>
        <v>34.665103846305101</v>
      </c>
      <c r="G2055" s="14">
        <f t="shared" si="290"/>
        <v>570.20202319779855</v>
      </c>
      <c r="H2055" s="24">
        <f t="shared" si="297"/>
        <v>650</v>
      </c>
      <c r="I2055" s="12">
        <f t="shared" si="291"/>
        <v>7.434837473470042E-2</v>
      </c>
      <c r="J2055" s="3">
        <f t="shared" si="292"/>
        <v>0.7</v>
      </c>
    </row>
    <row r="2056" spans="2:10" x14ac:dyDescent="0.25">
      <c r="B2056" s="3">
        <f t="shared" si="293"/>
        <v>10195</v>
      </c>
      <c r="C2056" s="14">
        <f t="shared" si="294"/>
        <v>169.91666666666666</v>
      </c>
      <c r="D2056" s="11">
        <f t="shared" si="295"/>
        <v>1101.1076423184948</v>
      </c>
      <c r="E2056" s="24">
        <f t="shared" si="296"/>
        <v>1099.7219396769965</v>
      </c>
      <c r="F2056" s="24">
        <f t="shared" si="289"/>
        <v>34.64256603745639</v>
      </c>
      <c r="G2056" s="14">
        <f t="shared" si="290"/>
        <v>569.92329185954588</v>
      </c>
      <c r="H2056" s="24">
        <f t="shared" si="297"/>
        <v>650</v>
      </c>
      <c r="I2056" s="12">
        <f t="shared" si="291"/>
        <v>7.4311343673756247E-2</v>
      </c>
      <c r="J2056" s="3">
        <f t="shared" si="292"/>
        <v>0.7</v>
      </c>
    </row>
    <row r="2057" spans="2:10" x14ac:dyDescent="0.25">
      <c r="B2057" s="3">
        <f t="shared" si="293"/>
        <v>10200</v>
      </c>
      <c r="C2057" s="14">
        <f t="shared" si="294"/>
        <v>170</v>
      </c>
      <c r="D2057" s="11">
        <f t="shared" si="295"/>
        <v>1101.1810531951503</v>
      </c>
      <c r="E2057" s="24">
        <f t="shared" si="296"/>
        <v>1099.7962510206703</v>
      </c>
      <c r="F2057" s="24">
        <f t="shared" si="289"/>
        <v>34.620054362000019</v>
      </c>
      <c r="G2057" s="14">
        <f t="shared" si="290"/>
        <v>569.64483529954316</v>
      </c>
      <c r="H2057" s="24">
        <f t="shared" si="297"/>
        <v>650</v>
      </c>
      <c r="I2057" s="12">
        <f t="shared" si="291"/>
        <v>7.4274349599929637E-2</v>
      </c>
      <c r="J2057" s="3">
        <f t="shared" si="292"/>
        <v>0.7</v>
      </c>
    </row>
    <row r="2058" spans="2:10" x14ac:dyDescent="0.25">
      <c r="B2058" s="3">
        <f t="shared" si="293"/>
        <v>10205</v>
      </c>
      <c r="C2058" s="14">
        <f t="shared" si="294"/>
        <v>170.08333333333334</v>
      </c>
      <c r="D2058" s="11">
        <f t="shared" si="295"/>
        <v>1101.2544281213263</v>
      </c>
      <c r="E2058" s="24">
        <f t="shared" si="296"/>
        <v>1099.8705253702701</v>
      </c>
      <c r="F2058" s="24">
        <f t="shared" si="289"/>
        <v>34.597568776405296</v>
      </c>
      <c r="G2058" s="14">
        <f t="shared" si="290"/>
        <v>569.36665310959165</v>
      </c>
      <c r="H2058" s="24">
        <f t="shared" si="297"/>
        <v>650</v>
      </c>
      <c r="I2058" s="12">
        <f t="shared" si="291"/>
        <v>7.4237392457695436E-2</v>
      </c>
      <c r="J2058" s="3">
        <f t="shared" si="292"/>
        <v>0.7</v>
      </c>
    </row>
    <row r="2059" spans="2:10" x14ac:dyDescent="0.25">
      <c r="B2059" s="3">
        <f t="shared" si="293"/>
        <v>10210</v>
      </c>
      <c r="C2059" s="14">
        <f t="shared" si="294"/>
        <v>170.16666666666666</v>
      </c>
      <c r="D2059" s="11">
        <f t="shared" si="295"/>
        <v>1101.3277671322162</v>
      </c>
      <c r="E2059" s="24">
        <f t="shared" si="296"/>
        <v>1099.9447627627278</v>
      </c>
      <c r="F2059" s="24">
        <f t="shared" si="289"/>
        <v>34.575109237209745</v>
      </c>
      <c r="G2059" s="14">
        <f t="shared" si="290"/>
        <v>569.08874488197762</v>
      </c>
      <c r="H2059" s="24">
        <f t="shared" si="297"/>
        <v>650</v>
      </c>
      <c r="I2059" s="12">
        <f t="shared" si="291"/>
        <v>7.4200472191596478E-2</v>
      </c>
      <c r="J2059" s="3">
        <f t="shared" si="292"/>
        <v>0.7</v>
      </c>
    </row>
    <row r="2060" spans="2:10" x14ac:dyDescent="0.25">
      <c r="B2060" s="3">
        <f t="shared" si="293"/>
        <v>10215</v>
      </c>
      <c r="C2060" s="14">
        <f t="shared" si="294"/>
        <v>170.25</v>
      </c>
      <c r="D2060" s="11">
        <f t="shared" si="295"/>
        <v>1101.4010702629623</v>
      </c>
      <c r="E2060" s="24">
        <f t="shared" si="296"/>
        <v>1100.0189632349195</v>
      </c>
      <c r="F2060" s="24">
        <f t="shared" si="289"/>
        <v>34.552675701070257</v>
      </c>
      <c r="G2060" s="14">
        <f t="shared" si="290"/>
        <v>568.81111021009167</v>
      </c>
      <c r="H2060" s="24">
        <f t="shared" si="297"/>
        <v>650</v>
      </c>
      <c r="I2060" s="12">
        <f t="shared" si="291"/>
        <v>7.416358874632599E-2</v>
      </c>
      <c r="J2060" s="3">
        <f t="shared" si="292"/>
        <v>0.7</v>
      </c>
    </row>
    <row r="2061" spans="2:10" x14ac:dyDescent="0.25">
      <c r="B2061" s="3">
        <f t="shared" si="293"/>
        <v>10220</v>
      </c>
      <c r="C2061" s="14">
        <f t="shared" si="294"/>
        <v>170.33333333333334</v>
      </c>
      <c r="D2061" s="11">
        <f t="shared" si="295"/>
        <v>1101.4743375486553</v>
      </c>
      <c r="E2061" s="24">
        <f t="shared" si="296"/>
        <v>1100.0931268236659</v>
      </c>
      <c r="F2061" s="24">
        <f t="shared" si="289"/>
        <v>34.530268124734675</v>
      </c>
      <c r="G2061" s="14">
        <f t="shared" si="290"/>
        <v>568.53374868809976</v>
      </c>
      <c r="H2061" s="24">
        <f t="shared" si="297"/>
        <v>650</v>
      </c>
      <c r="I2061" s="12">
        <f t="shared" si="291"/>
        <v>7.4126742066683723E-2</v>
      </c>
      <c r="J2061" s="3">
        <f t="shared" si="292"/>
        <v>0.7</v>
      </c>
    </row>
    <row r="2062" spans="2:10" x14ac:dyDescent="0.25">
      <c r="B2062" s="3">
        <f t="shared" si="293"/>
        <v>10225</v>
      </c>
      <c r="C2062" s="14">
        <f t="shared" si="294"/>
        <v>170.41666666666666</v>
      </c>
      <c r="D2062" s="11">
        <f t="shared" si="295"/>
        <v>1101.5475690243343</v>
      </c>
      <c r="E2062" s="24">
        <f t="shared" si="296"/>
        <v>1100.1672535657326</v>
      </c>
      <c r="F2062" s="24">
        <f t="shared" si="289"/>
        <v>34.507886465041793</v>
      </c>
      <c r="G2062" s="14">
        <f t="shared" si="290"/>
        <v>568.25665991098151</v>
      </c>
      <c r="H2062" s="24">
        <f t="shared" si="297"/>
        <v>650</v>
      </c>
      <c r="I2062" s="12">
        <f t="shared" si="291"/>
        <v>7.408993209758058E-2</v>
      </c>
      <c r="J2062" s="3">
        <f t="shared" si="292"/>
        <v>0.7</v>
      </c>
    </row>
    <row r="2063" spans="2:10" x14ac:dyDescent="0.25">
      <c r="B2063" s="3">
        <f t="shared" si="293"/>
        <v>10230</v>
      </c>
      <c r="C2063" s="14">
        <f t="shared" si="294"/>
        <v>170.5</v>
      </c>
      <c r="D2063" s="11">
        <f t="shared" si="295"/>
        <v>1101.6207647249873</v>
      </c>
      <c r="E2063" s="24">
        <f t="shared" si="296"/>
        <v>1100.2413434978303</v>
      </c>
      <c r="F2063" s="24">
        <f t="shared" si="289"/>
        <v>34.485530678927034</v>
      </c>
      <c r="G2063" s="14">
        <f t="shared" si="290"/>
        <v>567.97984347453087</v>
      </c>
      <c r="H2063" s="24">
        <f t="shared" si="297"/>
        <v>650</v>
      </c>
      <c r="I2063" s="12">
        <f t="shared" si="291"/>
        <v>7.4053158784039466E-2</v>
      </c>
      <c r="J2063" s="3">
        <f t="shared" si="292"/>
        <v>0.7</v>
      </c>
    </row>
    <row r="2064" spans="2:10" x14ac:dyDescent="0.25">
      <c r="B2064" s="3">
        <f t="shared" si="293"/>
        <v>10235</v>
      </c>
      <c r="C2064" s="14">
        <f t="shared" si="294"/>
        <v>170.58333333333334</v>
      </c>
      <c r="D2064" s="11">
        <f t="shared" si="295"/>
        <v>1101.6939246855507</v>
      </c>
      <c r="E2064" s="24">
        <f t="shared" si="296"/>
        <v>1100.3153966566142</v>
      </c>
      <c r="F2064" s="24">
        <f t="shared" si="289"/>
        <v>34.463200723411092</v>
      </c>
      <c r="G2064" s="14">
        <f t="shared" si="290"/>
        <v>567.70329897523936</v>
      </c>
      <c r="H2064" s="24">
        <f t="shared" si="297"/>
        <v>650</v>
      </c>
      <c r="I2064" s="12">
        <f t="shared" si="291"/>
        <v>7.4016422071179505E-2</v>
      </c>
      <c r="J2064" s="3">
        <f t="shared" si="292"/>
        <v>0.7</v>
      </c>
    </row>
    <row r="2065" spans="2:10" x14ac:dyDescent="0.25">
      <c r="B2065" s="3">
        <f t="shared" si="293"/>
        <v>10240</v>
      </c>
      <c r="C2065" s="14">
        <f t="shared" si="294"/>
        <v>170.66666666666666</v>
      </c>
      <c r="D2065" s="11">
        <f t="shared" si="295"/>
        <v>1101.7670489409095</v>
      </c>
      <c r="E2065" s="24">
        <f t="shared" si="296"/>
        <v>1100.3894130786855</v>
      </c>
      <c r="F2065" s="24">
        <f t="shared" ref="F2065:F2128" si="298">AlphaC*(D2065-E2065)</f>
        <v>34.44089655559992</v>
      </c>
      <c r="G2065" s="14">
        <f t="shared" ref="G2065:G2128" si="299">Phi*EpsilonF*Botzman/10^8*J2065*((D2065+273)^4-(E2065+273)^4)</f>
        <v>567.4270260102378</v>
      </c>
      <c r="H2065" s="24">
        <f t="shared" si="297"/>
        <v>650</v>
      </c>
      <c r="I2065" s="12">
        <f t="shared" ref="I2065:I2128" si="300">ksh*Massivete/(H2065*RhoA)*DeltaT*(F2065+G2065)</f>
        <v>7.3979721904208859E-2</v>
      </c>
      <c r="J2065" s="3">
        <f t="shared" ref="J2065:J2128" si="301">IF(E2065&lt;=500,IF(Galva=Oui,0.35,0.7),0.7)</f>
        <v>0.7</v>
      </c>
    </row>
    <row r="2066" spans="2:10" x14ac:dyDescent="0.25">
      <c r="B2066" s="3">
        <f t="shared" ref="B2066:B2129" si="302">B2065+DeltaT</f>
        <v>10245</v>
      </c>
      <c r="C2066" s="14">
        <f t="shared" ref="C2066:C2129" si="303">B2066/60</f>
        <v>170.75</v>
      </c>
      <c r="D2066" s="11">
        <f t="shared" ref="D2066:D2129" si="304">20+345*LOG(8*C2066+1,10)</f>
        <v>1101.8401375258986</v>
      </c>
      <c r="E2066" s="24">
        <f t="shared" si="296"/>
        <v>1100.4633928005896</v>
      </c>
      <c r="F2066" s="24">
        <f t="shared" si="298"/>
        <v>34.418618132724532</v>
      </c>
      <c r="G2066" s="14">
        <f t="shared" si="299"/>
        <v>567.15102417803325</v>
      </c>
      <c r="H2066" s="24">
        <f t="shared" si="297"/>
        <v>650</v>
      </c>
      <c r="I2066" s="12">
        <f t="shared" si="300"/>
        <v>7.394305822852025E-2</v>
      </c>
      <c r="J2066" s="3">
        <f t="shared" si="301"/>
        <v>0.7</v>
      </c>
    </row>
    <row r="2067" spans="2:10" x14ac:dyDescent="0.25">
      <c r="B2067" s="3">
        <f t="shared" si="302"/>
        <v>10250</v>
      </c>
      <c r="C2067" s="14">
        <f t="shared" si="303"/>
        <v>170.83333333333334</v>
      </c>
      <c r="D2067" s="11">
        <f t="shared" si="304"/>
        <v>1101.9131904753012</v>
      </c>
      <c r="E2067" s="24">
        <f t="shared" si="296"/>
        <v>1100.5373358588181</v>
      </c>
      <c r="F2067" s="24">
        <f t="shared" si="298"/>
        <v>34.396365412078467</v>
      </c>
      <c r="G2067" s="14">
        <f t="shared" si="299"/>
        <v>566.8752930773652</v>
      </c>
      <c r="H2067" s="24">
        <f t="shared" si="297"/>
        <v>650</v>
      </c>
      <c r="I2067" s="12">
        <f t="shared" si="300"/>
        <v>7.3906430989542637E-2</v>
      </c>
      <c r="J2067" s="3">
        <f t="shared" si="301"/>
        <v>0.7</v>
      </c>
    </row>
    <row r="2068" spans="2:10" x14ac:dyDescent="0.25">
      <c r="B2068" s="3">
        <f t="shared" si="302"/>
        <v>10255</v>
      </c>
      <c r="C2068" s="14">
        <f t="shared" si="303"/>
        <v>170.91666666666666</v>
      </c>
      <c r="D2068" s="11">
        <f t="shared" si="304"/>
        <v>1101.98620782385</v>
      </c>
      <c r="E2068" s="24">
        <f t="shared" si="296"/>
        <v>1100.6112422898077</v>
      </c>
      <c r="F2068" s="24">
        <f t="shared" si="298"/>
        <v>34.374138351057582</v>
      </c>
      <c r="G2068" s="14">
        <f t="shared" si="299"/>
        <v>566.59983230800037</v>
      </c>
      <c r="H2068" s="24">
        <f t="shared" si="297"/>
        <v>650</v>
      </c>
      <c r="I2068" s="12">
        <f t="shared" si="300"/>
        <v>7.3869840132843853E-2</v>
      </c>
      <c r="J2068" s="3">
        <f t="shared" si="301"/>
        <v>0.7</v>
      </c>
    </row>
    <row r="2069" spans="2:10" x14ac:dyDescent="0.25">
      <c r="B2069" s="3">
        <f t="shared" si="302"/>
        <v>10260</v>
      </c>
      <c r="C2069" s="14">
        <f t="shared" si="303"/>
        <v>171</v>
      </c>
      <c r="D2069" s="11">
        <f t="shared" si="304"/>
        <v>1102.0591896062265</v>
      </c>
      <c r="E2069" s="24">
        <f t="shared" si="296"/>
        <v>1100.6851121299405</v>
      </c>
      <c r="F2069" s="24">
        <f t="shared" si="298"/>
        <v>34.351936907148684</v>
      </c>
      <c r="G2069" s="14">
        <f t="shared" si="299"/>
        <v>566.32464147040298</v>
      </c>
      <c r="H2069" s="24">
        <f t="shared" si="297"/>
        <v>650</v>
      </c>
      <c r="I2069" s="12">
        <f t="shared" si="300"/>
        <v>7.3833285604088611E-2</v>
      </c>
      <c r="J2069" s="3">
        <f t="shared" si="301"/>
        <v>0.7</v>
      </c>
    </row>
    <row r="2070" spans="2:10" x14ac:dyDescent="0.25">
      <c r="B2070" s="3">
        <f t="shared" si="302"/>
        <v>10265</v>
      </c>
      <c r="C2070" s="14">
        <f t="shared" si="303"/>
        <v>171.08333333333334</v>
      </c>
      <c r="D2070" s="11">
        <f t="shared" si="304"/>
        <v>1102.1321358570619</v>
      </c>
      <c r="E2070" s="24">
        <f t="shared" si="296"/>
        <v>1100.7589454155445</v>
      </c>
      <c r="F2070" s="24">
        <f t="shared" si="298"/>
        <v>34.329761037935214</v>
      </c>
      <c r="G2070" s="14">
        <f t="shared" si="299"/>
        <v>566.04972016598708</v>
      </c>
      <c r="H2070" s="24">
        <f t="shared" si="297"/>
        <v>650</v>
      </c>
      <c r="I2070" s="12">
        <f t="shared" si="300"/>
        <v>7.3796767349070258E-2</v>
      </c>
      <c r="J2070" s="3">
        <f t="shared" si="301"/>
        <v>0.7</v>
      </c>
    </row>
    <row r="2071" spans="2:10" x14ac:dyDescent="0.25">
      <c r="B2071" s="3">
        <f t="shared" si="302"/>
        <v>10270</v>
      </c>
      <c r="C2071" s="14">
        <f t="shared" si="303"/>
        <v>171.16666666666666</v>
      </c>
      <c r="D2071" s="11">
        <f t="shared" si="304"/>
        <v>1102.205046610937</v>
      </c>
      <c r="E2071" s="24">
        <f t="shared" si="296"/>
        <v>1100.8327421828935</v>
      </c>
      <c r="F2071" s="24">
        <f t="shared" si="298"/>
        <v>34.307610701085878</v>
      </c>
      <c r="G2071" s="14">
        <f t="shared" si="299"/>
        <v>565.775067996845</v>
      </c>
      <c r="H2071" s="24">
        <f t="shared" si="297"/>
        <v>650</v>
      </c>
      <c r="I2071" s="12">
        <f t="shared" si="300"/>
        <v>7.3760285313675997E-2</v>
      </c>
      <c r="J2071" s="3">
        <f t="shared" si="301"/>
        <v>0.7</v>
      </c>
    </row>
    <row r="2072" spans="2:10" x14ac:dyDescent="0.25">
      <c r="B2072" s="3">
        <f t="shared" si="302"/>
        <v>10275</v>
      </c>
      <c r="C2072" s="14">
        <f t="shared" si="303"/>
        <v>171.25</v>
      </c>
      <c r="D2072" s="11">
        <f t="shared" si="304"/>
        <v>1102.2779219023816</v>
      </c>
      <c r="E2072" s="24">
        <f t="shared" si="296"/>
        <v>1100.9065024682072</v>
      </c>
      <c r="F2072" s="24">
        <f t="shared" si="298"/>
        <v>34.285485854360331</v>
      </c>
      <c r="G2072" s="14">
        <f t="shared" si="299"/>
        <v>565.50068456574706</v>
      </c>
      <c r="H2072" s="24">
        <f t="shared" si="297"/>
        <v>650</v>
      </c>
      <c r="I2072" s="12">
        <f t="shared" si="300"/>
        <v>7.3723839443887551E-2</v>
      </c>
      <c r="J2072" s="3">
        <f t="shared" si="301"/>
        <v>0.7</v>
      </c>
    </row>
    <row r="2073" spans="2:10" x14ac:dyDescent="0.25">
      <c r="B2073" s="3">
        <f t="shared" si="302"/>
        <v>10280</v>
      </c>
      <c r="C2073" s="14">
        <f t="shared" si="303"/>
        <v>171.33333333333334</v>
      </c>
      <c r="D2073" s="11">
        <f t="shared" si="304"/>
        <v>1102.3507617658761</v>
      </c>
      <c r="E2073" s="24">
        <f t="shared" si="296"/>
        <v>1100.980226307651</v>
      </c>
      <c r="F2073" s="24">
        <f t="shared" si="298"/>
        <v>34.263386455626232</v>
      </c>
      <c r="G2073" s="14">
        <f t="shared" si="299"/>
        <v>565.2265694766462</v>
      </c>
      <c r="H2073" s="24">
        <f t="shared" si="297"/>
        <v>650</v>
      </c>
      <c r="I2073" s="12">
        <f t="shared" si="300"/>
        <v>7.3687429685845268E-2</v>
      </c>
      <c r="J2073" s="3">
        <f t="shared" si="301"/>
        <v>0.7</v>
      </c>
    </row>
    <row r="2074" spans="2:10" x14ac:dyDescent="0.25">
      <c r="B2074" s="3">
        <f t="shared" si="302"/>
        <v>10285</v>
      </c>
      <c r="C2074" s="14">
        <f t="shared" si="303"/>
        <v>171.41666666666666</v>
      </c>
      <c r="D2074" s="11">
        <f t="shared" si="304"/>
        <v>1102.423566235849</v>
      </c>
      <c r="E2074" s="24">
        <f t="shared" si="296"/>
        <v>1101.0539137373369</v>
      </c>
      <c r="F2074" s="24">
        <f t="shared" si="298"/>
        <v>34.241312462802398</v>
      </c>
      <c r="G2074" s="14">
        <f t="shared" si="299"/>
        <v>564.95272233361118</v>
      </c>
      <c r="H2074" s="24">
        <f t="shared" si="297"/>
        <v>650</v>
      </c>
      <c r="I2074" s="12">
        <f t="shared" si="300"/>
        <v>7.3651055985710062E-2</v>
      </c>
      <c r="J2074" s="3">
        <f t="shared" si="301"/>
        <v>0.7</v>
      </c>
    </row>
    <row r="2075" spans="2:10" x14ac:dyDescent="0.25">
      <c r="B2075" s="3">
        <f t="shared" si="302"/>
        <v>10290</v>
      </c>
      <c r="C2075" s="14">
        <f t="shared" si="303"/>
        <v>171.5</v>
      </c>
      <c r="D2075" s="11">
        <f t="shared" si="304"/>
        <v>1102.4963353466803</v>
      </c>
      <c r="E2075" s="24">
        <f t="shared" si="296"/>
        <v>1101.1275647933226</v>
      </c>
      <c r="F2075" s="24">
        <f t="shared" si="298"/>
        <v>34.219263833944069</v>
      </c>
      <c r="G2075" s="14">
        <f t="shared" si="299"/>
        <v>564.67914274212592</v>
      </c>
      <c r="H2075" s="24">
        <f t="shared" si="297"/>
        <v>650</v>
      </c>
      <c r="I2075" s="12">
        <f t="shared" si="300"/>
        <v>7.36147182898335E-2</v>
      </c>
      <c r="J2075" s="3">
        <f t="shared" si="301"/>
        <v>0.7</v>
      </c>
    </row>
    <row r="2076" spans="2:10" x14ac:dyDescent="0.25">
      <c r="B2076" s="3">
        <f t="shared" si="302"/>
        <v>10295</v>
      </c>
      <c r="C2076" s="14">
        <f t="shared" si="303"/>
        <v>171.58333333333334</v>
      </c>
      <c r="D2076" s="11">
        <f t="shared" si="304"/>
        <v>1102.5690691326993</v>
      </c>
      <c r="E2076" s="24">
        <f t="shared" si="296"/>
        <v>1101.2011795116125</v>
      </c>
      <c r="F2076" s="24">
        <f t="shared" si="298"/>
        <v>34.197240527169015</v>
      </c>
      <c r="G2076" s="14">
        <f t="shared" si="299"/>
        <v>564.405830308178</v>
      </c>
      <c r="H2076" s="24">
        <f t="shared" si="297"/>
        <v>650</v>
      </c>
      <c r="I2076" s="12">
        <f t="shared" si="300"/>
        <v>7.3578416544636788E-2</v>
      </c>
      <c r="J2076" s="3">
        <f t="shared" si="301"/>
        <v>0.7</v>
      </c>
    </row>
    <row r="2077" spans="2:10" x14ac:dyDescent="0.25">
      <c r="B2077" s="3">
        <f t="shared" si="302"/>
        <v>10300</v>
      </c>
      <c r="C2077" s="14">
        <f t="shared" si="303"/>
        <v>171.66666666666666</v>
      </c>
      <c r="D2077" s="11">
        <f t="shared" si="304"/>
        <v>1102.6417676281849</v>
      </c>
      <c r="E2077" s="24">
        <f t="shared" si="296"/>
        <v>1101.2747579281572</v>
      </c>
      <c r="F2077" s="24">
        <f t="shared" si="298"/>
        <v>34.175242500691638</v>
      </c>
      <c r="G2077" s="14">
        <f t="shared" si="299"/>
        <v>564.13278463839447</v>
      </c>
      <c r="H2077" s="24">
        <f t="shared" si="297"/>
        <v>650</v>
      </c>
      <c r="I2077" s="12">
        <f t="shared" si="300"/>
        <v>7.35421506966316E-2</v>
      </c>
      <c r="J2077" s="3">
        <f t="shared" si="301"/>
        <v>0.7</v>
      </c>
    </row>
    <row r="2078" spans="2:10" x14ac:dyDescent="0.25">
      <c r="B2078" s="3">
        <f t="shared" si="302"/>
        <v>10305</v>
      </c>
      <c r="C2078" s="14">
        <f t="shared" si="303"/>
        <v>171.75</v>
      </c>
      <c r="D2078" s="11">
        <f t="shared" si="304"/>
        <v>1102.7144308673669</v>
      </c>
      <c r="E2078" s="24">
        <f t="shared" si="296"/>
        <v>1101.3483000788538</v>
      </c>
      <c r="F2078" s="24">
        <f t="shared" si="298"/>
        <v>34.15326971282866</v>
      </c>
      <c r="G2078" s="14">
        <f t="shared" si="299"/>
        <v>563.86000534064283</v>
      </c>
      <c r="H2078" s="24">
        <f t="shared" si="297"/>
        <v>650</v>
      </c>
      <c r="I2078" s="12">
        <f t="shared" si="300"/>
        <v>7.3505920692494647E-2</v>
      </c>
      <c r="J2078" s="3">
        <f t="shared" si="301"/>
        <v>0.7</v>
      </c>
    </row>
    <row r="2079" spans="2:10" x14ac:dyDescent="0.25">
      <c r="B2079" s="3">
        <f t="shared" si="302"/>
        <v>10310</v>
      </c>
      <c r="C2079" s="14">
        <f t="shared" si="303"/>
        <v>171.83333333333334</v>
      </c>
      <c r="D2079" s="11">
        <f t="shared" si="304"/>
        <v>1102.7870588844248</v>
      </c>
      <c r="E2079" s="24">
        <f t="shared" si="296"/>
        <v>1101.4218059995462</v>
      </c>
      <c r="F2079" s="24">
        <f t="shared" si="298"/>
        <v>34.131322121965013</v>
      </c>
      <c r="G2079" s="14">
        <f t="shared" si="299"/>
        <v>563.58749202310059</v>
      </c>
      <c r="H2079" s="24">
        <f t="shared" si="297"/>
        <v>650</v>
      </c>
      <c r="I2079" s="12">
        <f t="shared" si="300"/>
        <v>7.3469726478949157E-2</v>
      </c>
      <c r="J2079" s="3">
        <f t="shared" si="301"/>
        <v>0.7</v>
      </c>
    </row>
    <row r="2080" spans="2:10" x14ac:dyDescent="0.25">
      <c r="B2080" s="3">
        <f t="shared" si="302"/>
        <v>10315</v>
      </c>
      <c r="C2080" s="14">
        <f t="shared" si="303"/>
        <v>171.91666666666666</v>
      </c>
      <c r="D2080" s="11">
        <f t="shared" si="304"/>
        <v>1102.8596517134886</v>
      </c>
      <c r="E2080" s="24">
        <f t="shared" si="296"/>
        <v>1101.4952757260253</v>
      </c>
      <c r="F2080" s="24">
        <f t="shared" si="298"/>
        <v>34.109399686582265</v>
      </c>
      <c r="G2080" s="14">
        <f t="shared" si="299"/>
        <v>563.31524429477861</v>
      </c>
      <c r="H2080" s="24">
        <f t="shared" si="297"/>
        <v>650</v>
      </c>
      <c r="I2080" s="12">
        <f t="shared" si="300"/>
        <v>7.3433568002832642E-2</v>
      </c>
      <c r="J2080" s="3">
        <f t="shared" si="301"/>
        <v>0.7</v>
      </c>
    </row>
    <row r="2081" spans="2:10" x14ac:dyDescent="0.25">
      <c r="B2081" s="3">
        <f t="shared" si="302"/>
        <v>10320</v>
      </c>
      <c r="C2081" s="14">
        <f t="shared" si="303"/>
        <v>172</v>
      </c>
      <c r="D2081" s="11">
        <f t="shared" si="304"/>
        <v>1102.9322093886385</v>
      </c>
      <c r="E2081" s="24">
        <f t="shared" si="296"/>
        <v>1101.5687092940282</v>
      </c>
      <c r="F2081" s="24">
        <f t="shared" si="298"/>
        <v>34.087502365258615</v>
      </c>
      <c r="G2081" s="14">
        <f t="shared" si="299"/>
        <v>563.04326176563745</v>
      </c>
      <c r="H2081" s="24">
        <f t="shared" si="297"/>
        <v>650</v>
      </c>
      <c r="I2081" s="12">
        <f t="shared" si="300"/>
        <v>7.3397445211111245E-2</v>
      </c>
      <c r="J2081" s="3">
        <f t="shared" si="301"/>
        <v>0.7</v>
      </c>
    </row>
    <row r="2082" spans="2:10" x14ac:dyDescent="0.25">
      <c r="B2082" s="3">
        <f t="shared" si="302"/>
        <v>10325</v>
      </c>
      <c r="C2082" s="14">
        <f t="shared" si="303"/>
        <v>172.08333333333334</v>
      </c>
      <c r="D2082" s="11">
        <f t="shared" si="304"/>
        <v>1103.0047319439057</v>
      </c>
      <c r="E2082" s="24">
        <f t="shared" si="296"/>
        <v>1101.6421067392394</v>
      </c>
      <c r="F2082" s="24">
        <f t="shared" si="298"/>
        <v>34.06563011665753</v>
      </c>
      <c r="G2082" s="14">
        <f t="shared" si="299"/>
        <v>562.77154404637395</v>
      </c>
      <c r="H2082" s="24">
        <f t="shared" si="297"/>
        <v>650</v>
      </c>
      <c r="I2082" s="12">
        <f t="shared" si="300"/>
        <v>7.3361358050852074E-2</v>
      </c>
      <c r="J2082" s="3">
        <f t="shared" si="301"/>
        <v>0.7</v>
      </c>
    </row>
    <row r="2083" spans="2:10" x14ac:dyDescent="0.25">
      <c r="B2083" s="3">
        <f t="shared" si="302"/>
        <v>10330</v>
      </c>
      <c r="C2083" s="14">
        <f t="shared" si="303"/>
        <v>172.16666666666666</v>
      </c>
      <c r="D2083" s="11">
        <f t="shared" si="304"/>
        <v>1103.0772194132715</v>
      </c>
      <c r="E2083" s="24">
        <f t="shared" si="296"/>
        <v>1101.7154680972901</v>
      </c>
      <c r="F2083" s="24">
        <f t="shared" si="298"/>
        <v>34.043782899533426</v>
      </c>
      <c r="G2083" s="14">
        <f t="shared" si="299"/>
        <v>562.50009074840204</v>
      </c>
      <c r="H2083" s="24">
        <f t="shared" si="297"/>
        <v>650</v>
      </c>
      <c r="I2083" s="12">
        <f t="shared" si="300"/>
        <v>7.3325306469221571E-2</v>
      </c>
      <c r="J2083" s="3">
        <f t="shared" si="301"/>
        <v>0.7</v>
      </c>
    </row>
    <row r="2084" spans="2:10" x14ac:dyDescent="0.25">
      <c r="B2084" s="3">
        <f t="shared" si="302"/>
        <v>10335</v>
      </c>
      <c r="C2084" s="14">
        <f t="shared" si="303"/>
        <v>172.25</v>
      </c>
      <c r="D2084" s="11">
        <f t="shared" si="304"/>
        <v>1103.149671830668</v>
      </c>
      <c r="E2084" s="24">
        <f t="shared" si="296"/>
        <v>1101.7887934037594</v>
      </c>
      <c r="F2084" s="24">
        <f t="shared" si="298"/>
        <v>34.021960672714613</v>
      </c>
      <c r="G2084" s="14">
        <f t="shared" si="299"/>
        <v>562.22890148367844</v>
      </c>
      <c r="H2084" s="24">
        <f t="shared" si="297"/>
        <v>650</v>
      </c>
      <c r="I2084" s="12">
        <f t="shared" si="300"/>
        <v>7.328929041346198E-2</v>
      </c>
      <c r="J2084" s="3">
        <f t="shared" si="301"/>
        <v>0.7</v>
      </c>
    </row>
    <row r="2085" spans="2:10" x14ac:dyDescent="0.25">
      <c r="B2085" s="3">
        <f t="shared" si="302"/>
        <v>10340</v>
      </c>
      <c r="C2085" s="14">
        <f t="shared" si="303"/>
        <v>172.33333333333334</v>
      </c>
      <c r="D2085" s="11">
        <f t="shared" si="304"/>
        <v>1103.2220892299783</v>
      </c>
      <c r="E2085" s="24">
        <f t="shared" si="296"/>
        <v>1101.8620826941728</v>
      </c>
      <c r="F2085" s="24">
        <f t="shared" si="298"/>
        <v>34.000163395137406</v>
      </c>
      <c r="G2085" s="14">
        <f t="shared" si="299"/>
        <v>561.95797586536116</v>
      </c>
      <c r="H2085" s="24">
        <f t="shared" si="297"/>
        <v>650</v>
      </c>
      <c r="I2085" s="12">
        <f t="shared" si="300"/>
        <v>7.3253309830976457E-2</v>
      </c>
      <c r="J2085" s="3">
        <f t="shared" si="301"/>
        <v>0.7</v>
      </c>
    </row>
    <row r="2086" spans="2:10" x14ac:dyDescent="0.25">
      <c r="B2086" s="3">
        <f t="shared" si="302"/>
        <v>10345</v>
      </c>
      <c r="C2086" s="14">
        <f t="shared" si="303"/>
        <v>172.41666666666666</v>
      </c>
      <c r="D2086" s="11">
        <f t="shared" si="304"/>
        <v>1103.2944716450368</v>
      </c>
      <c r="E2086" s="24">
        <f t="shared" si="296"/>
        <v>1101.9353360040038</v>
      </c>
      <c r="F2086" s="24">
        <f t="shared" si="298"/>
        <v>33.978391025823385</v>
      </c>
      <c r="G2086" s="14">
        <f t="shared" si="299"/>
        <v>561.68731350717053</v>
      </c>
      <c r="H2086" s="24">
        <f t="shared" si="297"/>
        <v>650</v>
      </c>
      <c r="I2086" s="12">
        <f t="shared" si="300"/>
        <v>7.3217364669247789E-2</v>
      </c>
      <c r="J2086" s="3">
        <f t="shared" si="301"/>
        <v>0.7</v>
      </c>
    </row>
    <row r="2087" spans="2:10" x14ac:dyDescent="0.25">
      <c r="B2087" s="3">
        <f t="shared" si="302"/>
        <v>10350</v>
      </c>
      <c r="C2087" s="14">
        <f t="shared" si="303"/>
        <v>172.5</v>
      </c>
      <c r="D2087" s="11">
        <f t="shared" si="304"/>
        <v>1103.3668191096276</v>
      </c>
      <c r="E2087" s="24">
        <f t="shared" si="296"/>
        <v>1102.0085533686731</v>
      </c>
      <c r="F2087" s="24">
        <f t="shared" si="298"/>
        <v>33.95664352386234</v>
      </c>
      <c r="G2087" s="14">
        <f t="shared" si="299"/>
        <v>561.41691402334982</v>
      </c>
      <c r="H2087" s="24">
        <f t="shared" si="297"/>
        <v>650</v>
      </c>
      <c r="I2087" s="12">
        <f t="shared" si="300"/>
        <v>7.31814548758314E-2</v>
      </c>
      <c r="J2087" s="3">
        <f t="shared" si="301"/>
        <v>0.7</v>
      </c>
    </row>
    <row r="2088" spans="2:10" x14ac:dyDescent="0.25">
      <c r="B2088" s="3">
        <f t="shared" si="302"/>
        <v>10355</v>
      </c>
      <c r="C2088" s="14">
        <f t="shared" si="303"/>
        <v>172.58333333333334</v>
      </c>
      <c r="D2088" s="11">
        <f t="shared" si="304"/>
        <v>1103.4391316574872</v>
      </c>
      <c r="E2088" s="24">
        <f t="shared" si="296"/>
        <v>1102.0817348235489</v>
      </c>
      <c r="F2088" s="24">
        <f t="shared" si="298"/>
        <v>33.93492084845775</v>
      </c>
      <c r="G2088" s="14">
        <f t="shared" si="299"/>
        <v>561.14677702930544</v>
      </c>
      <c r="H2088" s="24">
        <f t="shared" si="297"/>
        <v>650</v>
      </c>
      <c r="I2088" s="12">
        <f t="shared" si="300"/>
        <v>7.3145580398439686E-2</v>
      </c>
      <c r="J2088" s="3">
        <f t="shared" si="301"/>
        <v>0.7</v>
      </c>
    </row>
    <row r="2089" spans="2:10" x14ac:dyDescent="0.25">
      <c r="B2089" s="3">
        <f t="shared" si="302"/>
        <v>10360</v>
      </c>
      <c r="C2089" s="14">
        <f t="shared" si="303"/>
        <v>172.66666666666666</v>
      </c>
      <c r="D2089" s="11">
        <f t="shared" si="304"/>
        <v>1103.5114093223026</v>
      </c>
      <c r="E2089" s="24">
        <f t="shared" si="296"/>
        <v>1102.1548804039473</v>
      </c>
      <c r="F2089" s="24">
        <f t="shared" si="298"/>
        <v>33.913222958881306</v>
      </c>
      <c r="G2089" s="14">
        <f t="shared" si="299"/>
        <v>560.87690214088934</v>
      </c>
      <c r="H2089" s="24">
        <f t="shared" si="297"/>
        <v>650</v>
      </c>
      <c r="I2089" s="12">
        <f t="shared" si="300"/>
        <v>7.3109741184848157E-2</v>
      </c>
      <c r="J2089" s="3">
        <f t="shared" si="301"/>
        <v>0.7</v>
      </c>
    </row>
    <row r="2090" spans="2:10" x14ac:dyDescent="0.25">
      <c r="B2090" s="3">
        <f t="shared" si="302"/>
        <v>10365</v>
      </c>
      <c r="C2090" s="14">
        <f t="shared" si="303"/>
        <v>172.75</v>
      </c>
      <c r="D2090" s="11">
        <f t="shared" si="304"/>
        <v>1103.5836521377121</v>
      </c>
      <c r="E2090" s="24">
        <f t="shared" si="296"/>
        <v>1102.2279901451323</v>
      </c>
      <c r="F2090" s="24">
        <f t="shared" si="298"/>
        <v>33.891549814495647</v>
      </c>
      <c r="G2090" s="14">
        <f t="shared" si="299"/>
        <v>560.60728897478657</v>
      </c>
      <c r="H2090" s="24">
        <f t="shared" si="297"/>
        <v>650</v>
      </c>
      <c r="I2090" s="12">
        <f t="shared" si="300"/>
        <v>7.3073937182945928E-2</v>
      </c>
      <c r="J2090" s="3">
        <f t="shared" si="301"/>
        <v>0.7</v>
      </c>
    </row>
    <row r="2091" spans="2:10" x14ac:dyDescent="0.25">
      <c r="B2091" s="3">
        <f t="shared" si="302"/>
        <v>10370</v>
      </c>
      <c r="C2091" s="14">
        <f t="shared" si="303"/>
        <v>172.83333333333334</v>
      </c>
      <c r="D2091" s="11">
        <f t="shared" si="304"/>
        <v>1103.6558601373056</v>
      </c>
      <c r="E2091" s="24">
        <f t="shared" si="296"/>
        <v>1102.3010640823152</v>
      </c>
      <c r="F2091" s="24">
        <f t="shared" si="298"/>
        <v>33.869901374760047</v>
      </c>
      <c r="G2091" s="14">
        <f t="shared" si="299"/>
        <v>560.33793714849662</v>
      </c>
      <c r="H2091" s="24">
        <f t="shared" si="297"/>
        <v>650</v>
      </c>
      <c r="I2091" s="12">
        <f t="shared" si="300"/>
        <v>7.3038168340734094E-2</v>
      </c>
      <c r="J2091" s="3">
        <f t="shared" si="301"/>
        <v>0.7</v>
      </c>
    </row>
    <row r="2092" spans="2:10" x14ac:dyDescent="0.25">
      <c r="B2092" s="3">
        <f t="shared" si="302"/>
        <v>10375</v>
      </c>
      <c r="C2092" s="14">
        <f t="shared" si="303"/>
        <v>172.91666666666666</v>
      </c>
      <c r="D2092" s="11">
        <f t="shared" si="304"/>
        <v>1103.7280333546244</v>
      </c>
      <c r="E2092" s="24">
        <f t="shared" si="296"/>
        <v>1102.3741022506558</v>
      </c>
      <c r="F2092" s="24">
        <f t="shared" si="298"/>
        <v>33.848277599213361</v>
      </c>
      <c r="G2092" s="14">
        <f t="shared" si="299"/>
        <v>560.06884628027456</v>
      </c>
      <c r="H2092" s="24">
        <f t="shared" si="297"/>
        <v>650</v>
      </c>
      <c r="I2092" s="12">
        <f t="shared" si="300"/>
        <v>7.3002434606316405E-2</v>
      </c>
      <c r="J2092" s="3">
        <f t="shared" si="301"/>
        <v>0.7</v>
      </c>
    </row>
    <row r="2093" spans="2:10" x14ac:dyDescent="0.25">
      <c r="B2093" s="3">
        <f t="shared" si="302"/>
        <v>10380</v>
      </c>
      <c r="C2093" s="14">
        <f t="shared" si="303"/>
        <v>173</v>
      </c>
      <c r="D2093" s="11">
        <f t="shared" si="304"/>
        <v>1103.800171823161</v>
      </c>
      <c r="E2093" s="24">
        <f t="shared" si="296"/>
        <v>1102.447104685262</v>
      </c>
      <c r="F2093" s="24">
        <f t="shared" si="298"/>
        <v>33.826678447474023</v>
      </c>
      <c r="G2093" s="14">
        <f t="shared" si="299"/>
        <v>559.80001598893739</v>
      </c>
      <c r="H2093" s="24">
        <f t="shared" si="297"/>
        <v>650</v>
      </c>
      <c r="I2093" s="12">
        <f t="shared" si="300"/>
        <v>7.2966735927875462E-2</v>
      </c>
      <c r="J2093" s="3">
        <f t="shared" si="301"/>
        <v>0.7</v>
      </c>
    </row>
    <row r="2094" spans="2:10" x14ac:dyDescent="0.25">
      <c r="B2094" s="3">
        <f t="shared" si="302"/>
        <v>10385</v>
      </c>
      <c r="C2094" s="14">
        <f t="shared" si="303"/>
        <v>173.08333333333334</v>
      </c>
      <c r="D2094" s="11">
        <f t="shared" si="304"/>
        <v>1103.8722755763604</v>
      </c>
      <c r="E2094" s="24">
        <f t="shared" si="296"/>
        <v>1102.5200714211899</v>
      </c>
      <c r="F2094" s="24">
        <f t="shared" si="298"/>
        <v>33.805103879262788</v>
      </c>
      <c r="G2094" s="14">
        <f t="shared" si="299"/>
        <v>559.53144589436806</v>
      </c>
      <c r="H2094" s="24">
        <f t="shared" si="297"/>
        <v>650</v>
      </c>
      <c r="I2094" s="12">
        <f t="shared" si="300"/>
        <v>7.2931072253737475E-2</v>
      </c>
      <c r="J2094" s="3">
        <f t="shared" si="301"/>
        <v>0.7</v>
      </c>
    </row>
    <row r="2095" spans="2:10" x14ac:dyDescent="0.25">
      <c r="B2095" s="3">
        <f t="shared" si="302"/>
        <v>10390</v>
      </c>
      <c r="C2095" s="14">
        <f t="shared" si="303"/>
        <v>173.16666666666666</v>
      </c>
      <c r="D2095" s="11">
        <f t="shared" si="304"/>
        <v>1103.9443446476184</v>
      </c>
      <c r="E2095" s="24">
        <f t="shared" si="296"/>
        <v>1102.5930024934437</v>
      </c>
      <c r="F2095" s="24">
        <f t="shared" si="298"/>
        <v>33.78355385436862</v>
      </c>
      <c r="G2095" s="14">
        <f t="shared" si="299"/>
        <v>559.26313561683719</v>
      </c>
      <c r="H2095" s="24">
        <f t="shared" si="297"/>
        <v>650</v>
      </c>
      <c r="I2095" s="12">
        <f t="shared" si="300"/>
        <v>7.2895443532284679E-2</v>
      </c>
      <c r="J2095" s="3">
        <f t="shared" si="301"/>
        <v>0.7</v>
      </c>
    </row>
    <row r="2096" spans="2:10" x14ac:dyDescent="0.25">
      <c r="B2096" s="3">
        <f t="shared" si="302"/>
        <v>10395</v>
      </c>
      <c r="C2096" s="14">
        <f t="shared" si="303"/>
        <v>173.25</v>
      </c>
      <c r="D2096" s="11">
        <f t="shared" si="304"/>
        <v>1104.0163790702832</v>
      </c>
      <c r="E2096" s="24">
        <f t="shared" si="296"/>
        <v>1102.6658979369761</v>
      </c>
      <c r="F2096" s="24">
        <f t="shared" si="298"/>
        <v>33.762028332677119</v>
      </c>
      <c r="G2096" s="14">
        <f t="shared" si="299"/>
        <v>558.9950847775649</v>
      </c>
      <c r="H2096" s="24">
        <f t="shared" si="297"/>
        <v>650</v>
      </c>
      <c r="I2096" s="12">
        <f t="shared" si="300"/>
        <v>7.2859849712027885E-2</v>
      </c>
      <c r="J2096" s="3">
        <f t="shared" si="301"/>
        <v>0.7</v>
      </c>
    </row>
    <row r="2097" spans="2:10" x14ac:dyDescent="0.25">
      <c r="B2097" s="3">
        <f t="shared" si="302"/>
        <v>10400</v>
      </c>
      <c r="C2097" s="14">
        <f t="shared" si="303"/>
        <v>173.33333333333334</v>
      </c>
      <c r="D2097" s="11">
        <f t="shared" si="304"/>
        <v>1104.0883788776546</v>
      </c>
      <c r="E2097" s="24">
        <f t="shared" si="296"/>
        <v>1102.7387577866882</v>
      </c>
      <c r="F2097" s="24">
        <f t="shared" si="298"/>
        <v>33.740527274159149</v>
      </c>
      <c r="G2097" s="14">
        <f t="shared" si="299"/>
        <v>558.72729299852745</v>
      </c>
      <c r="H2097" s="24">
        <f t="shared" si="297"/>
        <v>650</v>
      </c>
      <c r="I2097" s="12">
        <f t="shared" si="300"/>
        <v>7.2824290741581366E-2</v>
      </c>
      <c r="J2097" s="3">
        <f t="shared" si="301"/>
        <v>0.7</v>
      </c>
    </row>
    <row r="2098" spans="2:10" x14ac:dyDescent="0.25">
      <c r="B2098" s="3">
        <f t="shared" si="302"/>
        <v>10405</v>
      </c>
      <c r="C2098" s="14">
        <f t="shared" si="303"/>
        <v>173.41666666666666</v>
      </c>
      <c r="D2098" s="11">
        <f t="shared" si="304"/>
        <v>1104.1603441029845</v>
      </c>
      <c r="E2098" s="24">
        <f t="shared" si="296"/>
        <v>1102.8115820774299</v>
      </c>
      <c r="F2098" s="24">
        <f t="shared" si="298"/>
        <v>33.719050638865156</v>
      </c>
      <c r="G2098" s="14">
        <f t="shared" si="299"/>
        <v>558.45975990234001</v>
      </c>
      <c r="H2098" s="24">
        <f t="shared" si="297"/>
        <v>650</v>
      </c>
      <c r="I2098" s="12">
        <f t="shared" si="300"/>
        <v>7.2788766569647667E-2</v>
      </c>
      <c r="J2098" s="3">
        <f t="shared" si="301"/>
        <v>0.7</v>
      </c>
    </row>
    <row r="2099" spans="2:10" x14ac:dyDescent="0.25">
      <c r="B2099" s="3">
        <f t="shared" si="302"/>
        <v>10410</v>
      </c>
      <c r="C2099" s="14">
        <f t="shared" si="303"/>
        <v>173.5</v>
      </c>
      <c r="D2099" s="11">
        <f t="shared" si="304"/>
        <v>1104.2322747794774</v>
      </c>
      <c r="E2099" s="24">
        <f t="shared" si="296"/>
        <v>1102.8843708439995</v>
      </c>
      <c r="F2099" s="24">
        <f t="shared" si="298"/>
        <v>33.697598386947902</v>
      </c>
      <c r="G2099" s="14">
        <f t="shared" si="299"/>
        <v>558.19248511258741</v>
      </c>
      <c r="H2099" s="24">
        <f t="shared" si="297"/>
        <v>650</v>
      </c>
      <c r="I2099" s="12">
        <f t="shared" si="300"/>
        <v>7.2753277145061121E-2</v>
      </c>
      <c r="J2099" s="3">
        <f t="shared" si="301"/>
        <v>0.7</v>
      </c>
    </row>
    <row r="2100" spans="2:10" x14ac:dyDescent="0.25">
      <c r="B2100" s="3">
        <f t="shared" si="302"/>
        <v>10415</v>
      </c>
      <c r="C2100" s="14">
        <f t="shared" si="303"/>
        <v>173.58333333333334</v>
      </c>
      <c r="D2100" s="11">
        <f t="shared" si="304"/>
        <v>1104.3041709402889</v>
      </c>
      <c r="E2100" s="24">
        <f t="shared" ref="E2100:E2163" si="305">E2099+I2099</f>
        <v>1102.9571241211445</v>
      </c>
      <c r="F2100" s="24">
        <f t="shared" si="298"/>
        <v>33.676170478611311</v>
      </c>
      <c r="G2100" s="14">
        <f t="shared" si="299"/>
        <v>557.92546825310603</v>
      </c>
      <c r="H2100" s="24">
        <f t="shared" ref="H2100:H2163" si="306">IF(E2100&lt;600,425+0.773*E2100-1.69/1000*E2100^2+2.22/1000^2*E2100^3,IF(E2100&lt;735,666+13002/(738-E2100),IF(E2100&lt;900,545+17820/(E2100-731),650)))</f>
        <v>650</v>
      </c>
      <c r="I2100" s="12">
        <f t="shared" si="300"/>
        <v>7.2717822416693265E-2</v>
      </c>
      <c r="J2100" s="3">
        <f t="shared" si="301"/>
        <v>0.7</v>
      </c>
    </row>
    <row r="2101" spans="2:10" x14ac:dyDescent="0.25">
      <c r="B2101" s="3">
        <f t="shared" si="302"/>
        <v>10420</v>
      </c>
      <c r="C2101" s="14">
        <f t="shared" si="303"/>
        <v>173.66666666666666</v>
      </c>
      <c r="D2101" s="11">
        <f t="shared" si="304"/>
        <v>1104.3760326185281</v>
      </c>
      <c r="E2101" s="24">
        <f t="shared" si="305"/>
        <v>1103.0298419435612</v>
      </c>
      <c r="F2101" s="24">
        <f t="shared" si="298"/>
        <v>33.654766874172992</v>
      </c>
      <c r="G2101" s="14">
        <f t="shared" si="299"/>
        <v>557.65870894885632</v>
      </c>
      <c r="H2101" s="24">
        <f t="shared" si="306"/>
        <v>650</v>
      </c>
      <c r="I2101" s="12">
        <f t="shared" si="300"/>
        <v>7.2682402333567778E-2</v>
      </c>
      <c r="J2101" s="3">
        <f t="shared" si="301"/>
        <v>0.7</v>
      </c>
    </row>
    <row r="2102" spans="2:10" x14ac:dyDescent="0.25">
      <c r="B2102" s="3">
        <f t="shared" si="302"/>
        <v>10425</v>
      </c>
      <c r="C2102" s="14">
        <f t="shared" si="303"/>
        <v>173.75</v>
      </c>
      <c r="D2102" s="11">
        <f t="shared" si="304"/>
        <v>1104.447859847256</v>
      </c>
      <c r="E2102" s="24">
        <f t="shared" si="305"/>
        <v>1103.1025243458948</v>
      </c>
      <c r="F2102" s="24">
        <f t="shared" si="298"/>
        <v>33.633387534030135</v>
      </c>
      <c r="G2102" s="14">
        <f t="shared" si="299"/>
        <v>557.39220682553537</v>
      </c>
      <c r="H2102" s="24">
        <f t="shared" si="306"/>
        <v>650</v>
      </c>
      <c r="I2102" s="12">
        <f t="shared" si="300"/>
        <v>7.2647016844808662E-2</v>
      </c>
      <c r="J2102" s="3">
        <f t="shared" si="301"/>
        <v>0.7</v>
      </c>
    </row>
    <row r="2103" spans="2:10" x14ac:dyDescent="0.25">
      <c r="B2103" s="3">
        <f t="shared" si="302"/>
        <v>10430</v>
      </c>
      <c r="C2103" s="14">
        <f t="shared" si="303"/>
        <v>173.83333333333334</v>
      </c>
      <c r="D2103" s="11">
        <f t="shared" si="304"/>
        <v>1104.5196526594855</v>
      </c>
      <c r="E2103" s="24">
        <f t="shared" si="305"/>
        <v>1103.1751713627395</v>
      </c>
      <c r="F2103" s="24">
        <f t="shared" si="298"/>
        <v>33.612032418648141</v>
      </c>
      <c r="G2103" s="14">
        <f t="shared" si="299"/>
        <v>557.12596150928562</v>
      </c>
      <c r="H2103" s="24">
        <f t="shared" si="306"/>
        <v>650</v>
      </c>
      <c r="I2103" s="12">
        <f t="shared" si="300"/>
        <v>7.2611665899603037E-2</v>
      </c>
      <c r="J2103" s="3">
        <f t="shared" si="301"/>
        <v>0.7</v>
      </c>
    </row>
    <row r="2104" spans="2:10" x14ac:dyDescent="0.25">
      <c r="B2104" s="3">
        <f t="shared" si="302"/>
        <v>10435</v>
      </c>
      <c r="C2104" s="14">
        <f t="shared" si="303"/>
        <v>173.91666666666666</v>
      </c>
      <c r="D2104" s="11">
        <f t="shared" si="304"/>
        <v>1104.5914110881831</v>
      </c>
      <c r="E2104" s="24">
        <f t="shared" si="305"/>
        <v>1103.2477830286391</v>
      </c>
      <c r="F2104" s="24">
        <f t="shared" si="298"/>
        <v>33.590701488600416</v>
      </c>
      <c r="G2104" s="14">
        <f t="shared" si="299"/>
        <v>556.85997262737408</v>
      </c>
      <c r="H2104" s="24">
        <f t="shared" si="306"/>
        <v>650</v>
      </c>
      <c r="I2104" s="12">
        <f t="shared" si="300"/>
        <v>7.2576349447289537E-2</v>
      </c>
      <c r="J2104" s="3">
        <f t="shared" si="301"/>
        <v>0.7</v>
      </c>
    </row>
    <row r="2105" spans="2:10" x14ac:dyDescent="0.25">
      <c r="B2105" s="3">
        <f t="shared" si="302"/>
        <v>10440</v>
      </c>
      <c r="C2105" s="14">
        <f t="shared" si="303"/>
        <v>174</v>
      </c>
      <c r="D2105" s="11">
        <f t="shared" si="304"/>
        <v>1104.6631351662672</v>
      </c>
      <c r="E2105" s="24">
        <f t="shared" si="305"/>
        <v>1103.3203593780863</v>
      </c>
      <c r="F2105" s="24">
        <f t="shared" si="298"/>
        <v>33.569394704522892</v>
      </c>
      <c r="G2105" s="14">
        <f t="shared" si="299"/>
        <v>556.59423980731913</v>
      </c>
      <c r="H2105" s="24">
        <f t="shared" si="306"/>
        <v>650</v>
      </c>
      <c r="I2105" s="12">
        <f t="shared" si="300"/>
        <v>7.2541067437245407E-2</v>
      </c>
      <c r="J2105" s="3">
        <f t="shared" si="301"/>
        <v>0.7</v>
      </c>
    </row>
    <row r="2106" spans="2:10" x14ac:dyDescent="0.25">
      <c r="B2106" s="3">
        <f t="shared" si="302"/>
        <v>10445</v>
      </c>
      <c r="C2106" s="14">
        <f t="shared" si="303"/>
        <v>174.08333333333334</v>
      </c>
      <c r="D2106" s="11">
        <f t="shared" si="304"/>
        <v>1104.7348249266095</v>
      </c>
      <c r="E2106" s="24">
        <f t="shared" si="305"/>
        <v>1103.3929004455235</v>
      </c>
      <c r="F2106" s="24">
        <f t="shared" si="298"/>
        <v>33.548112027148136</v>
      </c>
      <c r="G2106" s="14">
        <f t="shared" si="299"/>
        <v>556.32876267784115</v>
      </c>
      <c r="H2106" s="24">
        <f t="shared" si="306"/>
        <v>650</v>
      </c>
      <c r="I2106" s="12">
        <f t="shared" si="300"/>
        <v>7.2505819819007444E-2</v>
      </c>
      <c r="J2106" s="3">
        <f t="shared" si="301"/>
        <v>0.7</v>
      </c>
    </row>
    <row r="2107" spans="2:10" x14ac:dyDescent="0.25">
      <c r="B2107" s="3">
        <f t="shared" si="302"/>
        <v>10450</v>
      </c>
      <c r="C2107" s="14">
        <f t="shared" si="303"/>
        <v>174.16666666666666</v>
      </c>
      <c r="D2107" s="11">
        <f t="shared" si="304"/>
        <v>1104.8064804020339</v>
      </c>
      <c r="E2107" s="24">
        <f t="shared" si="305"/>
        <v>1103.4654062653426</v>
      </c>
      <c r="F2107" s="24">
        <f t="shared" si="298"/>
        <v>33.526853417282609</v>
      </c>
      <c r="G2107" s="14">
        <f t="shared" si="299"/>
        <v>556.06354086797035</v>
      </c>
      <c r="H2107" s="24">
        <f t="shared" si="306"/>
        <v>650</v>
      </c>
      <c r="I2107" s="12">
        <f t="shared" si="300"/>
        <v>7.2470606542159699E-2</v>
      </c>
      <c r="J2107" s="3">
        <f t="shared" si="301"/>
        <v>0.7</v>
      </c>
    </row>
    <row r="2108" spans="2:10" x14ac:dyDescent="0.25">
      <c r="B2108" s="3">
        <f t="shared" si="302"/>
        <v>10455</v>
      </c>
      <c r="C2108" s="14">
        <f t="shared" si="303"/>
        <v>174.25</v>
      </c>
      <c r="D2108" s="11">
        <f t="shared" si="304"/>
        <v>1104.8781016253176</v>
      </c>
      <c r="E2108" s="24">
        <f t="shared" si="305"/>
        <v>1103.5378768718847</v>
      </c>
      <c r="F2108" s="24">
        <f t="shared" si="298"/>
        <v>33.505618835823725</v>
      </c>
      <c r="G2108" s="14">
        <f t="shared" si="299"/>
        <v>555.79857400774472</v>
      </c>
      <c r="H2108" s="24">
        <f t="shared" si="306"/>
        <v>650</v>
      </c>
      <c r="I2108" s="12">
        <f t="shared" si="300"/>
        <v>7.2435427556421197E-2</v>
      </c>
      <c r="J2108" s="3">
        <f t="shared" si="301"/>
        <v>0.7</v>
      </c>
    </row>
    <row r="2109" spans="2:10" x14ac:dyDescent="0.25">
      <c r="B2109" s="3">
        <f t="shared" si="302"/>
        <v>10460</v>
      </c>
      <c r="C2109" s="14">
        <f t="shared" si="303"/>
        <v>174.33333333333334</v>
      </c>
      <c r="D2109" s="11">
        <f t="shared" si="304"/>
        <v>1104.9496886291909</v>
      </c>
      <c r="E2109" s="24">
        <f t="shared" si="305"/>
        <v>1103.6103122994411</v>
      </c>
      <c r="F2109" s="24">
        <f t="shared" si="298"/>
        <v>33.484408243742791</v>
      </c>
      <c r="G2109" s="14">
        <f t="shared" si="299"/>
        <v>555.53386172768694</v>
      </c>
      <c r="H2109" s="24">
        <f t="shared" si="306"/>
        <v>650</v>
      </c>
      <c r="I2109" s="12">
        <f t="shared" si="300"/>
        <v>7.2400282811579675E-2</v>
      </c>
      <c r="J2109" s="3">
        <f t="shared" si="301"/>
        <v>0.7</v>
      </c>
    </row>
    <row r="2110" spans="2:10" x14ac:dyDescent="0.25">
      <c r="B2110" s="3">
        <f t="shared" si="302"/>
        <v>10465</v>
      </c>
      <c r="C2110" s="14">
        <f t="shared" si="303"/>
        <v>174.41666666666666</v>
      </c>
      <c r="D2110" s="11">
        <f t="shared" si="304"/>
        <v>1105.0212414463369</v>
      </c>
      <c r="E2110" s="24">
        <f t="shared" si="305"/>
        <v>1103.6827125822526</v>
      </c>
      <c r="F2110" s="24">
        <f t="shared" si="298"/>
        <v>33.463221602107751</v>
      </c>
      <c r="G2110" s="14">
        <f t="shared" si="299"/>
        <v>555.26940365926907</v>
      </c>
      <c r="H2110" s="24">
        <f t="shared" si="306"/>
        <v>650</v>
      </c>
      <c r="I2110" s="12">
        <f t="shared" si="300"/>
        <v>7.2365172257551416E-2</v>
      </c>
      <c r="J2110" s="3">
        <f t="shared" si="301"/>
        <v>0.7</v>
      </c>
    </row>
    <row r="2111" spans="2:10" x14ac:dyDescent="0.25">
      <c r="B2111" s="3">
        <f t="shared" si="302"/>
        <v>10470</v>
      </c>
      <c r="C2111" s="14">
        <f t="shared" si="303"/>
        <v>174.5</v>
      </c>
      <c r="D2111" s="11">
        <f t="shared" si="304"/>
        <v>1105.0927601093927</v>
      </c>
      <c r="E2111" s="24">
        <f t="shared" si="305"/>
        <v>1103.7550777545102</v>
      </c>
      <c r="F2111" s="24">
        <f t="shared" si="298"/>
        <v>33.442058872060443</v>
      </c>
      <c r="G2111" s="14">
        <f t="shared" si="299"/>
        <v>555.00519943464155</v>
      </c>
      <c r="H2111" s="24">
        <f t="shared" si="306"/>
        <v>650</v>
      </c>
      <c r="I2111" s="12">
        <f t="shared" si="300"/>
        <v>7.2330095844345188E-2</v>
      </c>
      <c r="J2111" s="3">
        <f t="shared" si="301"/>
        <v>0.7</v>
      </c>
    </row>
    <row r="2112" spans="2:10" x14ac:dyDescent="0.25">
      <c r="B2112" s="3">
        <f t="shared" si="302"/>
        <v>10475</v>
      </c>
      <c r="C2112" s="14">
        <f t="shared" si="303"/>
        <v>174.58333333333334</v>
      </c>
      <c r="D2112" s="11">
        <f t="shared" si="304"/>
        <v>1105.1642446509472</v>
      </c>
      <c r="E2112" s="24">
        <f t="shared" si="305"/>
        <v>1103.8274078503546</v>
      </c>
      <c r="F2112" s="24">
        <f t="shared" si="298"/>
        <v>33.420920014816602</v>
      </c>
      <c r="G2112" s="14">
        <f t="shared" si="299"/>
        <v>554.74124868640058</v>
      </c>
      <c r="H2112" s="24">
        <f t="shared" si="306"/>
        <v>650</v>
      </c>
      <c r="I2112" s="12">
        <f t="shared" si="300"/>
        <v>7.2295053522033609E-2</v>
      </c>
      <c r="J2112" s="3">
        <f t="shared" si="301"/>
        <v>0.7</v>
      </c>
    </row>
    <row r="2113" spans="2:10" x14ac:dyDescent="0.25">
      <c r="B2113" s="3">
        <f t="shared" si="302"/>
        <v>10480</v>
      </c>
      <c r="C2113" s="14">
        <f t="shared" si="303"/>
        <v>174.66666666666666</v>
      </c>
      <c r="D2113" s="11">
        <f t="shared" si="304"/>
        <v>1105.2356951035445</v>
      </c>
      <c r="E2113" s="24">
        <f t="shared" si="305"/>
        <v>1103.8997029038767</v>
      </c>
      <c r="F2113" s="24">
        <f t="shared" si="298"/>
        <v>33.399804991694282</v>
      </c>
      <c r="G2113" s="14">
        <f t="shared" si="299"/>
        <v>554.47755104824694</v>
      </c>
      <c r="H2113" s="24">
        <f t="shared" si="306"/>
        <v>650</v>
      </c>
      <c r="I2113" s="12">
        <f t="shared" si="300"/>
        <v>7.2260045240837678E-2</v>
      </c>
      <c r="J2113" s="3">
        <f t="shared" si="301"/>
        <v>0.7</v>
      </c>
    </row>
    <row r="2114" spans="2:10" x14ac:dyDescent="0.25">
      <c r="B2114" s="3">
        <f t="shared" si="302"/>
        <v>10485</v>
      </c>
      <c r="C2114" s="14">
        <f t="shared" si="303"/>
        <v>174.75</v>
      </c>
      <c r="D2114" s="11">
        <f t="shared" si="304"/>
        <v>1105.3071114996806</v>
      </c>
      <c r="E2114" s="24">
        <f t="shared" si="305"/>
        <v>1103.9719629491176</v>
      </c>
      <c r="F2114" s="24">
        <f t="shared" si="298"/>
        <v>33.378713764074064</v>
      </c>
      <c r="G2114" s="14">
        <f t="shared" si="299"/>
        <v>554.21410615430796</v>
      </c>
      <c r="H2114" s="24">
        <f t="shared" si="306"/>
        <v>650</v>
      </c>
      <c r="I2114" s="12">
        <f t="shared" si="300"/>
        <v>7.22250709510385E-2</v>
      </c>
      <c r="J2114" s="3">
        <f t="shared" si="301"/>
        <v>0.7</v>
      </c>
    </row>
    <row r="2115" spans="2:10" x14ac:dyDescent="0.25">
      <c r="B2115" s="3">
        <f t="shared" si="302"/>
        <v>10490</v>
      </c>
      <c r="C2115" s="14">
        <f t="shared" si="303"/>
        <v>174.83333333333334</v>
      </c>
      <c r="D2115" s="11">
        <f t="shared" si="304"/>
        <v>1105.3784938718056</v>
      </c>
      <c r="E2115" s="24">
        <f t="shared" si="305"/>
        <v>1104.0441880200685</v>
      </c>
      <c r="F2115" s="24">
        <f t="shared" si="298"/>
        <v>33.357646293427479</v>
      </c>
      <c r="G2115" s="14">
        <f t="shared" si="299"/>
        <v>553.9509136395053</v>
      </c>
      <c r="H2115" s="24">
        <f t="shared" si="306"/>
        <v>650</v>
      </c>
      <c r="I2115" s="12">
        <f t="shared" si="300"/>
        <v>7.2190130603025968E-2</v>
      </c>
      <c r="J2115" s="3">
        <f t="shared" si="301"/>
        <v>0.7</v>
      </c>
    </row>
    <row r="2116" spans="2:10" x14ac:dyDescent="0.25">
      <c r="B2116" s="3">
        <f t="shared" si="302"/>
        <v>10495</v>
      </c>
      <c r="C2116" s="14">
        <f t="shared" si="303"/>
        <v>174.91666666666666</v>
      </c>
      <c r="D2116" s="11">
        <f t="shared" si="304"/>
        <v>1105.4498422523234</v>
      </c>
      <c r="E2116" s="24">
        <f t="shared" si="305"/>
        <v>1104.1163781506716</v>
      </c>
      <c r="F2116" s="24">
        <f t="shared" si="298"/>
        <v>33.336602541294269</v>
      </c>
      <c r="G2116" s="14">
        <f t="shared" si="299"/>
        <v>553.68797313930327</v>
      </c>
      <c r="H2116" s="24">
        <f t="shared" si="306"/>
        <v>650</v>
      </c>
      <c r="I2116" s="12">
        <f t="shared" si="300"/>
        <v>7.2155224147265093E-2</v>
      </c>
      <c r="J2116" s="3">
        <f t="shared" si="301"/>
        <v>0.7</v>
      </c>
    </row>
    <row r="2117" spans="2:10" x14ac:dyDescent="0.25">
      <c r="B2117" s="3">
        <f t="shared" si="302"/>
        <v>10500</v>
      </c>
      <c r="C2117" s="14">
        <f t="shared" si="303"/>
        <v>175</v>
      </c>
      <c r="D2117" s="11">
        <f t="shared" si="304"/>
        <v>1105.521156673592</v>
      </c>
      <c r="E2117" s="24">
        <f t="shared" si="305"/>
        <v>1104.1885333748189</v>
      </c>
      <c r="F2117" s="24">
        <f t="shared" si="298"/>
        <v>33.315582469327865</v>
      </c>
      <c r="G2117" s="14">
        <f t="shared" si="299"/>
        <v>553.42528429036804</v>
      </c>
      <c r="H2117" s="24">
        <f t="shared" si="306"/>
        <v>650</v>
      </c>
      <c r="I2117" s="12">
        <f t="shared" si="300"/>
        <v>7.2120351534382565E-2</v>
      </c>
      <c r="J2117" s="3">
        <f t="shared" si="301"/>
        <v>0.7</v>
      </c>
    </row>
    <row r="2118" spans="2:10" x14ac:dyDescent="0.25">
      <c r="B2118" s="3">
        <f t="shared" si="302"/>
        <v>10505</v>
      </c>
      <c r="C2118" s="14">
        <f t="shared" si="303"/>
        <v>175.08333333333334</v>
      </c>
      <c r="D2118" s="11">
        <f t="shared" si="304"/>
        <v>1105.5924371679225</v>
      </c>
      <c r="E2118" s="24">
        <f t="shared" si="305"/>
        <v>1104.2606537263532</v>
      </c>
      <c r="F2118" s="24">
        <f t="shared" si="298"/>
        <v>33.294586039232854</v>
      </c>
      <c r="G2118" s="14">
        <f t="shared" si="299"/>
        <v>553.16284672955931</v>
      </c>
      <c r="H2118" s="24">
        <f t="shared" si="306"/>
        <v>650</v>
      </c>
      <c r="I2118" s="12">
        <f t="shared" si="300"/>
        <v>7.2085512715035174E-2</v>
      </c>
      <c r="J2118" s="3">
        <f t="shared" si="301"/>
        <v>0.7</v>
      </c>
    </row>
    <row r="2119" spans="2:10" x14ac:dyDescent="0.25">
      <c r="B2119" s="3">
        <f t="shared" si="302"/>
        <v>10510</v>
      </c>
      <c r="C2119" s="14">
        <f t="shared" si="303"/>
        <v>175.16666666666666</v>
      </c>
      <c r="D2119" s="11">
        <f t="shared" si="304"/>
        <v>1105.6636837675801</v>
      </c>
      <c r="E2119" s="24">
        <f t="shared" si="305"/>
        <v>1104.3327392390684</v>
      </c>
      <c r="F2119" s="24">
        <f t="shared" si="298"/>
        <v>33.273613212793407</v>
      </c>
      <c r="G2119" s="14">
        <f t="shared" si="299"/>
        <v>552.90066009451186</v>
      </c>
      <c r="H2119" s="24">
        <f t="shared" si="306"/>
        <v>650</v>
      </c>
      <c r="I2119" s="12">
        <f t="shared" si="300"/>
        <v>7.2050707639984765E-2</v>
      </c>
      <c r="J2119" s="3">
        <f t="shared" si="301"/>
        <v>0.7</v>
      </c>
    </row>
    <row r="2120" spans="2:10" x14ac:dyDescent="0.25">
      <c r="B2120" s="3">
        <f t="shared" si="302"/>
        <v>10515</v>
      </c>
      <c r="C2120" s="14">
        <f t="shared" si="303"/>
        <v>175.25</v>
      </c>
      <c r="D2120" s="11">
        <f t="shared" si="304"/>
        <v>1105.734896504784</v>
      </c>
      <c r="E2120" s="24">
        <f t="shared" si="305"/>
        <v>1104.4047899467084</v>
      </c>
      <c r="F2120" s="24">
        <f t="shared" si="298"/>
        <v>33.252663951890327</v>
      </c>
      <c r="G2120" s="14">
        <f t="shared" si="299"/>
        <v>552.63872402375239</v>
      </c>
      <c r="H2120" s="24">
        <f t="shared" si="306"/>
        <v>650</v>
      </c>
      <c r="I2120" s="12">
        <f t="shared" si="300"/>
        <v>7.2015936260114641E-2</v>
      </c>
      <c r="J2120" s="3">
        <f t="shared" si="301"/>
        <v>0.7</v>
      </c>
    </row>
    <row r="2121" spans="2:10" x14ac:dyDescent="0.25">
      <c r="B2121" s="3">
        <f t="shared" si="302"/>
        <v>10520</v>
      </c>
      <c r="C2121" s="14">
        <f t="shared" si="303"/>
        <v>175.33333333333334</v>
      </c>
      <c r="D2121" s="11">
        <f t="shared" si="304"/>
        <v>1105.806075411708</v>
      </c>
      <c r="E2121" s="24">
        <f t="shared" si="305"/>
        <v>1104.4768058829686</v>
      </c>
      <c r="F2121" s="24">
        <f t="shared" si="298"/>
        <v>33.231738218483997</v>
      </c>
      <c r="G2121" s="14">
        <f t="shared" si="299"/>
        <v>552.37703815648536</v>
      </c>
      <c r="H2121" s="24">
        <f t="shared" si="306"/>
        <v>650</v>
      </c>
      <c r="I2121" s="12">
        <f t="shared" si="300"/>
        <v>7.1981198526401252E-2</v>
      </c>
      <c r="J2121" s="3">
        <f t="shared" si="301"/>
        <v>0.7</v>
      </c>
    </row>
    <row r="2122" spans="2:10" x14ac:dyDescent="0.25">
      <c r="B2122" s="3">
        <f t="shared" si="302"/>
        <v>10525</v>
      </c>
      <c r="C2122" s="14">
        <f t="shared" si="303"/>
        <v>175.41666666666666</v>
      </c>
      <c r="D2122" s="11">
        <f t="shared" si="304"/>
        <v>1105.8772205204789</v>
      </c>
      <c r="E2122" s="24">
        <f t="shared" si="305"/>
        <v>1104.548787081495</v>
      </c>
      <c r="F2122" s="24">
        <f t="shared" si="298"/>
        <v>33.21083597459733</v>
      </c>
      <c r="G2122" s="14">
        <f t="shared" si="299"/>
        <v>552.11560213236135</v>
      </c>
      <c r="H2122" s="24">
        <f t="shared" si="306"/>
        <v>650</v>
      </c>
      <c r="I2122" s="12">
        <f t="shared" si="300"/>
        <v>7.194649438988357E-2</v>
      </c>
      <c r="J2122" s="3">
        <f t="shared" si="301"/>
        <v>0.7</v>
      </c>
    </row>
    <row r="2123" spans="2:10" x14ac:dyDescent="0.25">
      <c r="B2123" s="3">
        <f t="shared" si="302"/>
        <v>10530</v>
      </c>
      <c r="C2123" s="14">
        <f t="shared" si="303"/>
        <v>175.5</v>
      </c>
      <c r="D2123" s="11">
        <f t="shared" si="304"/>
        <v>1105.9483318631787</v>
      </c>
      <c r="E2123" s="24">
        <f t="shared" si="305"/>
        <v>1104.620733575885</v>
      </c>
      <c r="F2123" s="24">
        <f t="shared" si="298"/>
        <v>33.189957182344187</v>
      </c>
      <c r="G2123" s="14">
        <f t="shared" si="299"/>
        <v>551.85441559186415</v>
      </c>
      <c r="H2123" s="24">
        <f t="shared" si="306"/>
        <v>650</v>
      </c>
      <c r="I2123" s="12">
        <f t="shared" si="300"/>
        <v>7.1911823801714098E-2</v>
      </c>
      <c r="J2123" s="3">
        <f t="shared" si="301"/>
        <v>0.7</v>
      </c>
    </row>
    <row r="2124" spans="2:10" x14ac:dyDescent="0.25">
      <c r="B2124" s="3">
        <f t="shared" si="302"/>
        <v>10535</v>
      </c>
      <c r="C2124" s="14">
        <f t="shared" si="303"/>
        <v>175.58333333333334</v>
      </c>
      <c r="D2124" s="11">
        <f t="shared" si="304"/>
        <v>1106.0194094718443</v>
      </c>
      <c r="E2124" s="24">
        <f t="shared" si="305"/>
        <v>1104.6926453996866</v>
      </c>
      <c r="F2124" s="24">
        <f t="shared" si="298"/>
        <v>33.169101803940748</v>
      </c>
      <c r="G2124" s="14">
        <f t="shared" si="299"/>
        <v>551.59347817662103</v>
      </c>
      <c r="H2124" s="24">
        <f t="shared" si="306"/>
        <v>650</v>
      </c>
      <c r="I2124" s="12">
        <f t="shared" si="300"/>
        <v>7.1877186713198551E-2</v>
      </c>
      <c r="J2124" s="3">
        <f t="shared" si="301"/>
        <v>0.7</v>
      </c>
    </row>
    <row r="2125" spans="2:10" x14ac:dyDescent="0.25">
      <c r="B2125" s="3">
        <f t="shared" si="302"/>
        <v>10540</v>
      </c>
      <c r="C2125" s="14">
        <f t="shared" si="303"/>
        <v>175.66666666666666</v>
      </c>
      <c r="D2125" s="11">
        <f t="shared" si="304"/>
        <v>1106.0904533784653</v>
      </c>
      <c r="E2125" s="24">
        <f t="shared" si="305"/>
        <v>1104.7645225863998</v>
      </c>
      <c r="F2125" s="24">
        <f t="shared" si="298"/>
        <v>33.148269801637298</v>
      </c>
      <c r="G2125" s="14">
        <f t="shared" si="299"/>
        <v>551.33278952810406</v>
      </c>
      <c r="H2125" s="24">
        <f t="shared" si="306"/>
        <v>650</v>
      </c>
      <c r="I2125" s="12">
        <f t="shared" si="300"/>
        <v>7.1842583075627714E-2</v>
      </c>
      <c r="J2125" s="3">
        <f t="shared" si="301"/>
        <v>0.7</v>
      </c>
    </row>
    <row r="2126" spans="2:10" x14ac:dyDescent="0.25">
      <c r="B2126" s="3">
        <f t="shared" si="302"/>
        <v>10545</v>
      </c>
      <c r="C2126" s="14">
        <f t="shared" si="303"/>
        <v>175.75</v>
      </c>
      <c r="D2126" s="11">
        <f t="shared" si="304"/>
        <v>1106.1614636149873</v>
      </c>
      <c r="E2126" s="24">
        <f t="shared" si="305"/>
        <v>1104.8363651694754</v>
      </c>
      <c r="F2126" s="24">
        <f t="shared" si="298"/>
        <v>33.127461137797809</v>
      </c>
      <c r="G2126" s="14">
        <f t="shared" si="299"/>
        <v>551.07234928910316</v>
      </c>
      <c r="H2126" s="24">
        <f t="shared" si="306"/>
        <v>650</v>
      </c>
      <c r="I2126" s="12">
        <f t="shared" si="300"/>
        <v>7.180801284046831E-2</v>
      </c>
      <c r="J2126" s="3">
        <f t="shared" si="301"/>
        <v>0.7</v>
      </c>
    </row>
    <row r="2127" spans="2:10" x14ac:dyDescent="0.25">
      <c r="B2127" s="3">
        <f t="shared" si="302"/>
        <v>10550</v>
      </c>
      <c r="C2127" s="14">
        <f t="shared" si="303"/>
        <v>175.83333333333334</v>
      </c>
      <c r="D2127" s="11">
        <f t="shared" si="304"/>
        <v>1106.2324402133095</v>
      </c>
      <c r="E2127" s="24">
        <f t="shared" si="305"/>
        <v>1104.9081731823157</v>
      </c>
      <c r="F2127" s="24">
        <f t="shared" si="298"/>
        <v>33.106675774843097</v>
      </c>
      <c r="G2127" s="14">
        <f t="shared" si="299"/>
        <v>550.81215710271863</v>
      </c>
      <c r="H2127" s="24">
        <f t="shared" si="306"/>
        <v>650</v>
      </c>
      <c r="I2127" s="12">
        <f t="shared" si="300"/>
        <v>7.1773475959232266E-2</v>
      </c>
      <c r="J2127" s="3">
        <f t="shared" si="301"/>
        <v>0.7</v>
      </c>
    </row>
    <row r="2128" spans="2:10" x14ac:dyDescent="0.25">
      <c r="B2128" s="3">
        <f t="shared" si="302"/>
        <v>10555</v>
      </c>
      <c r="C2128" s="14">
        <f t="shared" si="303"/>
        <v>175.91666666666666</v>
      </c>
      <c r="D2128" s="11">
        <f t="shared" si="304"/>
        <v>1106.3033832052868</v>
      </c>
      <c r="E2128" s="24">
        <f t="shared" si="305"/>
        <v>1104.9799466582749</v>
      </c>
      <c r="F2128" s="24">
        <f t="shared" si="298"/>
        <v>33.085913675296297</v>
      </c>
      <c r="G2128" s="14">
        <f t="shared" si="299"/>
        <v>550.55221261307759</v>
      </c>
      <c r="H2128" s="24">
        <f t="shared" si="306"/>
        <v>650</v>
      </c>
      <c r="I2128" s="12">
        <f t="shared" si="300"/>
        <v>7.1738972383570243E-2</v>
      </c>
      <c r="J2128" s="3">
        <f t="shared" si="301"/>
        <v>0.7</v>
      </c>
    </row>
    <row r="2129" spans="2:10" x14ac:dyDescent="0.25">
      <c r="B2129" s="3">
        <f t="shared" si="302"/>
        <v>10560</v>
      </c>
      <c r="C2129" s="14">
        <f t="shared" si="303"/>
        <v>176</v>
      </c>
      <c r="D2129" s="11">
        <f t="shared" si="304"/>
        <v>1106.3742926227278</v>
      </c>
      <c r="E2129" s="24">
        <f t="shared" si="305"/>
        <v>1105.0516856306585</v>
      </c>
      <c r="F2129" s="24">
        <f t="shared" ref="F2129:F2192" si="307">AlphaC*(D2129-E2129)</f>
        <v>33.0651748017317</v>
      </c>
      <c r="G2129" s="14">
        <f t="shared" ref="G2129:G2192" si="308">Phi*EpsilonF*Botzman/10^8*J2129*((D2129+273)^4-(E2129+273)^4)</f>
        <v>550.29251546461728</v>
      </c>
      <c r="H2129" s="24">
        <f t="shared" si="306"/>
        <v>650</v>
      </c>
      <c r="I2129" s="12">
        <f t="shared" ref="I2129:I2192" si="309">ksh*Massivete/(H2129*RhoA)*DeltaT*(F2129+G2129)</f>
        <v>7.1704502065177339E-2</v>
      </c>
      <c r="J2129" s="3">
        <f t="shared" ref="J2129:J2192" si="310">IF(E2129&lt;=500,IF(Galva=Oui,0.35,0.7),0.7)</f>
        <v>0.7</v>
      </c>
    </row>
    <row r="2130" spans="2:10" x14ac:dyDescent="0.25">
      <c r="B2130" s="3">
        <f t="shared" ref="B2130:B2193" si="311">B2129+DeltaT</f>
        <v>10565</v>
      </c>
      <c r="C2130" s="14">
        <f t="shared" ref="C2130:C2193" si="312">B2130/60</f>
        <v>176.08333333333334</v>
      </c>
      <c r="D2130" s="11">
        <f t="shared" ref="D2130:D2193" si="313">20+345*LOG(8*C2130+1,10)</f>
        <v>1106.4451684973969</v>
      </c>
      <c r="E2130" s="24">
        <f t="shared" si="305"/>
        <v>1105.1233901327237</v>
      </c>
      <c r="F2130" s="24">
        <f t="shared" si="307"/>
        <v>33.044459116831604</v>
      </c>
      <c r="G2130" s="14">
        <f t="shared" si="308"/>
        <v>550.03306530291843</v>
      </c>
      <c r="H2130" s="24">
        <f t="shared" si="306"/>
        <v>650</v>
      </c>
      <c r="I2130" s="12">
        <f t="shared" si="309"/>
        <v>7.1670064955902446E-2</v>
      </c>
      <c r="J2130" s="3">
        <f t="shared" si="310"/>
        <v>0.7</v>
      </c>
    </row>
    <row r="2131" spans="2:10" x14ac:dyDescent="0.25">
      <c r="B2131" s="3">
        <f t="shared" si="311"/>
        <v>10570</v>
      </c>
      <c r="C2131" s="14">
        <f t="shared" si="312"/>
        <v>176.16666666666666</v>
      </c>
      <c r="D2131" s="11">
        <f t="shared" si="313"/>
        <v>1106.516010861013</v>
      </c>
      <c r="E2131" s="24">
        <f t="shared" si="305"/>
        <v>1105.1950601976796</v>
      </c>
      <c r="F2131" s="24">
        <f t="shared" si="307"/>
        <v>33.023766583335146</v>
      </c>
      <c r="G2131" s="14">
        <f t="shared" si="308"/>
        <v>549.77386177387177</v>
      </c>
      <c r="H2131" s="24">
        <f t="shared" si="306"/>
        <v>650</v>
      </c>
      <c r="I2131" s="12">
        <f t="shared" si="309"/>
        <v>7.1635661007639601E-2</v>
      </c>
      <c r="J2131" s="3">
        <f t="shared" si="310"/>
        <v>0.7</v>
      </c>
    </row>
    <row r="2132" spans="2:10" x14ac:dyDescent="0.25">
      <c r="B2132" s="3">
        <f t="shared" si="311"/>
        <v>10575</v>
      </c>
      <c r="C2132" s="14">
        <f t="shared" si="312"/>
        <v>176.25</v>
      </c>
      <c r="D2132" s="11">
        <f t="shared" si="313"/>
        <v>1106.5868197452501</v>
      </c>
      <c r="E2132" s="24">
        <f t="shared" si="305"/>
        <v>1105.2666958586872</v>
      </c>
      <c r="F2132" s="24">
        <f t="shared" si="307"/>
        <v>33.003097164072415</v>
      </c>
      <c r="G2132" s="14">
        <f t="shared" si="308"/>
        <v>549.51490452425969</v>
      </c>
      <c r="H2132" s="24">
        <f t="shared" si="306"/>
        <v>650</v>
      </c>
      <c r="I2132" s="12">
        <f t="shared" si="309"/>
        <v>7.1601290172403576E-2</v>
      </c>
      <c r="J2132" s="3">
        <f t="shared" si="310"/>
        <v>0.7</v>
      </c>
    </row>
    <row r="2133" spans="2:10" x14ac:dyDescent="0.25">
      <c r="B2133" s="3">
        <f t="shared" si="311"/>
        <v>10580</v>
      </c>
      <c r="C2133" s="14">
        <f t="shared" si="312"/>
        <v>176.33333333333334</v>
      </c>
      <c r="D2133" s="11">
        <f t="shared" si="313"/>
        <v>1106.6575951817367</v>
      </c>
      <c r="E2133" s="24">
        <f t="shared" si="305"/>
        <v>1105.3382971488595</v>
      </c>
      <c r="F2133" s="24">
        <f t="shared" si="307"/>
        <v>32.982450821930342</v>
      </c>
      <c r="G2133" s="14">
        <f t="shared" si="308"/>
        <v>549.25619320115504</v>
      </c>
      <c r="H2133" s="24">
        <f t="shared" si="306"/>
        <v>650</v>
      </c>
      <c r="I2133" s="12">
        <f t="shared" si="309"/>
        <v>7.1566952402251846E-2</v>
      </c>
      <c r="J2133" s="3">
        <f t="shared" si="310"/>
        <v>0.7</v>
      </c>
    </row>
    <row r="2134" spans="2:10" x14ac:dyDescent="0.25">
      <c r="B2134" s="3">
        <f t="shared" si="311"/>
        <v>10585</v>
      </c>
      <c r="C2134" s="14">
        <f t="shared" si="312"/>
        <v>176.41666666666666</v>
      </c>
      <c r="D2134" s="11">
        <f t="shared" si="313"/>
        <v>1106.7283372020579</v>
      </c>
      <c r="E2134" s="24">
        <f t="shared" si="305"/>
        <v>1105.4098641012617</v>
      </c>
      <c r="F2134" s="24">
        <f t="shared" si="307"/>
        <v>32.961827519903864</v>
      </c>
      <c r="G2134" s="14">
        <f t="shared" si="308"/>
        <v>548.99772745292933</v>
      </c>
      <c r="H2134" s="24">
        <f t="shared" si="306"/>
        <v>650</v>
      </c>
      <c r="I2134" s="12">
        <f t="shared" si="309"/>
        <v>7.1532647649414804E-2</v>
      </c>
      <c r="J2134" s="3">
        <f t="shared" si="310"/>
        <v>0.7</v>
      </c>
    </row>
    <row r="2135" spans="2:10" x14ac:dyDescent="0.25">
      <c r="B2135" s="3">
        <f t="shared" si="311"/>
        <v>10590</v>
      </c>
      <c r="C2135" s="14">
        <f t="shared" si="312"/>
        <v>176.5</v>
      </c>
      <c r="D2135" s="11">
        <f t="shared" si="313"/>
        <v>1106.7990458377526</v>
      </c>
      <c r="E2135" s="24">
        <f t="shared" si="305"/>
        <v>1105.4813967489113</v>
      </c>
      <c r="F2135" s="24">
        <f t="shared" si="307"/>
        <v>32.941227221033387</v>
      </c>
      <c r="G2135" s="14">
        <f t="shared" si="308"/>
        <v>548.73950692799258</v>
      </c>
      <c r="H2135" s="24">
        <f t="shared" si="306"/>
        <v>650</v>
      </c>
      <c r="I2135" s="12">
        <f t="shared" si="309"/>
        <v>7.149837586613314E-2</v>
      </c>
      <c r="J2135" s="3">
        <f t="shared" si="310"/>
        <v>0.7</v>
      </c>
    </row>
    <row r="2136" spans="2:10" x14ac:dyDescent="0.25">
      <c r="B2136" s="3">
        <f t="shared" si="311"/>
        <v>10595</v>
      </c>
      <c r="C2136" s="14">
        <f t="shared" si="312"/>
        <v>176.58333333333334</v>
      </c>
      <c r="D2136" s="11">
        <f t="shared" si="313"/>
        <v>1106.8697211203162</v>
      </c>
      <c r="E2136" s="24">
        <f t="shared" si="305"/>
        <v>1105.5528951247775</v>
      </c>
      <c r="F2136" s="24">
        <f t="shared" si="307"/>
        <v>32.920649888467324</v>
      </c>
      <c r="G2136" s="14">
        <f t="shared" si="308"/>
        <v>548.48153127591775</v>
      </c>
      <c r="H2136" s="24">
        <f t="shared" si="306"/>
        <v>650</v>
      </c>
      <c r="I2136" s="12">
        <f t="shared" si="309"/>
        <v>7.1464137004803779E-2</v>
      </c>
      <c r="J2136" s="3">
        <f t="shared" si="310"/>
        <v>0.7</v>
      </c>
    </row>
    <row r="2137" spans="2:10" x14ac:dyDescent="0.25">
      <c r="B2137" s="3">
        <f t="shared" si="311"/>
        <v>10600</v>
      </c>
      <c r="C2137" s="14">
        <f t="shared" si="312"/>
        <v>176.66666666666666</v>
      </c>
      <c r="D2137" s="11">
        <f t="shared" si="313"/>
        <v>1106.9403630811987</v>
      </c>
      <c r="E2137" s="24">
        <f t="shared" si="305"/>
        <v>1105.6243592617823</v>
      </c>
      <c r="F2137" s="24">
        <f t="shared" si="307"/>
        <v>32.90009548541093</v>
      </c>
      <c r="G2137" s="14">
        <f t="shared" si="308"/>
        <v>548.22380014676241</v>
      </c>
      <c r="H2137" s="24">
        <f t="shared" si="306"/>
        <v>650</v>
      </c>
      <c r="I2137" s="12">
        <f t="shared" si="309"/>
        <v>7.1429931017890205E-2</v>
      </c>
      <c r="J2137" s="3">
        <f t="shared" si="310"/>
        <v>0.7</v>
      </c>
    </row>
    <row r="2138" spans="2:10" x14ac:dyDescent="0.25">
      <c r="B2138" s="3">
        <f t="shared" si="311"/>
        <v>10605</v>
      </c>
      <c r="C2138" s="14">
        <f t="shared" si="312"/>
        <v>176.75</v>
      </c>
      <c r="D2138" s="11">
        <f t="shared" si="313"/>
        <v>1107.0109717518067</v>
      </c>
      <c r="E2138" s="24">
        <f t="shared" si="305"/>
        <v>1105.6957891928002</v>
      </c>
      <c r="F2138" s="24">
        <f t="shared" si="307"/>
        <v>32.879563975160409</v>
      </c>
      <c r="G2138" s="14">
        <f t="shared" si="308"/>
        <v>547.96631319132041</v>
      </c>
      <c r="H2138" s="24">
        <f t="shared" si="306"/>
        <v>650</v>
      </c>
      <c r="I2138" s="12">
        <f t="shared" si="309"/>
        <v>7.139575785795757E-2</v>
      </c>
      <c r="J2138" s="3">
        <f t="shared" si="310"/>
        <v>0.7</v>
      </c>
    </row>
    <row r="2139" spans="2:10" x14ac:dyDescent="0.25">
      <c r="B2139" s="3">
        <f t="shared" si="311"/>
        <v>10610</v>
      </c>
      <c r="C2139" s="14">
        <f t="shared" si="312"/>
        <v>176.83333333333334</v>
      </c>
      <c r="D2139" s="11">
        <f t="shared" si="313"/>
        <v>1107.0815471635008</v>
      </c>
      <c r="E2139" s="24">
        <f t="shared" si="305"/>
        <v>1105.7671849506582</v>
      </c>
      <c r="F2139" s="24">
        <f t="shared" si="307"/>
        <v>32.859055321063124</v>
      </c>
      <c r="G2139" s="14">
        <f t="shared" si="308"/>
        <v>547.70907006073458</v>
      </c>
      <c r="H2139" s="24">
        <f t="shared" si="306"/>
        <v>650</v>
      </c>
      <c r="I2139" s="12">
        <f t="shared" si="309"/>
        <v>7.1361617477620209E-2</v>
      </c>
      <c r="J2139" s="3">
        <f t="shared" si="310"/>
        <v>0.7</v>
      </c>
    </row>
    <row r="2140" spans="2:10" x14ac:dyDescent="0.25">
      <c r="B2140" s="3">
        <f t="shared" si="311"/>
        <v>10615</v>
      </c>
      <c r="C2140" s="14">
        <f t="shared" si="312"/>
        <v>176.91666666666666</v>
      </c>
      <c r="D2140" s="11">
        <f t="shared" si="313"/>
        <v>1107.1520893475988</v>
      </c>
      <c r="E2140" s="24">
        <f t="shared" si="305"/>
        <v>1105.8385465681358</v>
      </c>
      <c r="F2140" s="24">
        <f t="shared" si="307"/>
        <v>32.838569486574443</v>
      </c>
      <c r="G2140" s="14">
        <f t="shared" si="308"/>
        <v>547.4520704073102</v>
      </c>
      <c r="H2140" s="24">
        <f t="shared" si="306"/>
        <v>650</v>
      </c>
      <c r="I2140" s="12">
        <f t="shared" si="309"/>
        <v>7.1327509829648625E-2</v>
      </c>
      <c r="J2140" s="3">
        <f t="shared" si="310"/>
        <v>0.7</v>
      </c>
    </row>
    <row r="2141" spans="2:10" x14ac:dyDescent="0.25">
      <c r="B2141" s="3">
        <f t="shared" si="311"/>
        <v>10620</v>
      </c>
      <c r="C2141" s="14">
        <f t="shared" si="312"/>
        <v>177</v>
      </c>
      <c r="D2141" s="11">
        <f t="shared" si="313"/>
        <v>1107.2225983353737</v>
      </c>
      <c r="E2141" s="24">
        <f t="shared" si="305"/>
        <v>1105.9098740779655</v>
      </c>
      <c r="F2141" s="24">
        <f t="shared" si="307"/>
        <v>32.818106435206573</v>
      </c>
      <c r="G2141" s="14">
        <f t="shared" si="308"/>
        <v>547.19531388368239</v>
      </c>
      <c r="H2141" s="24">
        <f t="shared" si="306"/>
        <v>650</v>
      </c>
      <c r="I2141" s="12">
        <f t="shared" si="309"/>
        <v>7.1293434866860864E-2</v>
      </c>
      <c r="J2141" s="3">
        <f t="shared" si="310"/>
        <v>0.7</v>
      </c>
    </row>
    <row r="2142" spans="2:10" x14ac:dyDescent="0.25">
      <c r="B2142" s="3">
        <f t="shared" si="311"/>
        <v>10625</v>
      </c>
      <c r="C2142" s="14">
        <f t="shared" si="312"/>
        <v>177.08333333333334</v>
      </c>
      <c r="D2142" s="11">
        <f t="shared" si="313"/>
        <v>1107.2930741580544</v>
      </c>
      <c r="E2142" s="24">
        <f t="shared" si="305"/>
        <v>1105.9811675128324</v>
      </c>
      <c r="F2142" s="24">
        <f t="shared" si="307"/>
        <v>32.797666130551306</v>
      </c>
      <c r="G2142" s="14">
        <f t="shared" si="308"/>
        <v>546.93880014318393</v>
      </c>
      <c r="H2142" s="24">
        <f t="shared" si="306"/>
        <v>650</v>
      </c>
      <c r="I2142" s="12">
        <f t="shared" si="309"/>
        <v>7.1259392542170466E-2</v>
      </c>
      <c r="J2142" s="3">
        <f t="shared" si="310"/>
        <v>0.7</v>
      </c>
    </row>
    <row r="2143" spans="2:10" x14ac:dyDescent="0.25">
      <c r="B2143" s="3">
        <f t="shared" si="311"/>
        <v>10630</v>
      </c>
      <c r="C2143" s="14">
        <f t="shared" si="312"/>
        <v>177.16666666666666</v>
      </c>
      <c r="D2143" s="11">
        <f t="shared" si="313"/>
        <v>1107.3635168468259</v>
      </c>
      <c r="E2143" s="24">
        <f t="shared" si="305"/>
        <v>1106.0524269053744</v>
      </c>
      <c r="F2143" s="24">
        <f t="shared" si="307"/>
        <v>32.777248536285697</v>
      </c>
      <c r="G2143" s="14">
        <f t="shared" si="308"/>
        <v>546.68252883998059</v>
      </c>
      <c r="H2143" s="24">
        <f t="shared" si="306"/>
        <v>650</v>
      </c>
      <c r="I2143" s="12">
        <f t="shared" si="309"/>
        <v>7.1225382808603882E-2</v>
      </c>
      <c r="J2143" s="3">
        <f t="shared" si="310"/>
        <v>0.7</v>
      </c>
    </row>
    <row r="2144" spans="2:10" x14ac:dyDescent="0.25">
      <c r="B2144" s="3">
        <f t="shared" si="311"/>
        <v>10635</v>
      </c>
      <c r="C2144" s="14">
        <f t="shared" si="312"/>
        <v>177.25</v>
      </c>
      <c r="D2144" s="11">
        <f t="shared" si="313"/>
        <v>1107.4339264328285</v>
      </c>
      <c r="E2144" s="24">
        <f t="shared" si="305"/>
        <v>1106.1236522881829</v>
      </c>
      <c r="F2144" s="24">
        <f t="shared" si="307"/>
        <v>32.75685361613796</v>
      </c>
      <c r="G2144" s="14">
        <f t="shared" si="308"/>
        <v>546.42649962862606</v>
      </c>
      <c r="H2144" s="24">
        <f t="shared" si="306"/>
        <v>650</v>
      </c>
      <c r="I2144" s="12">
        <f t="shared" si="309"/>
        <v>7.1191405619241518E-2</v>
      </c>
      <c r="J2144" s="3">
        <f t="shared" si="310"/>
        <v>0.7</v>
      </c>
    </row>
    <row r="2145" spans="2:10" x14ac:dyDescent="0.25">
      <c r="B2145" s="3">
        <f t="shared" si="311"/>
        <v>10640</v>
      </c>
      <c r="C2145" s="14">
        <f t="shared" si="312"/>
        <v>177.33333333333334</v>
      </c>
      <c r="D2145" s="11">
        <f t="shared" si="313"/>
        <v>1107.5043029471597</v>
      </c>
      <c r="E2145" s="24">
        <f t="shared" si="305"/>
        <v>1106.1948436938021</v>
      </c>
      <c r="F2145" s="24">
        <f t="shared" si="307"/>
        <v>32.736481333938627</v>
      </c>
      <c r="G2145" s="14">
        <f t="shared" si="308"/>
        <v>546.17071216452666</v>
      </c>
      <c r="H2145" s="24">
        <f t="shared" si="306"/>
        <v>650</v>
      </c>
      <c r="I2145" s="12">
        <f t="shared" si="309"/>
        <v>7.1157460927281174E-2</v>
      </c>
      <c r="J2145" s="3">
        <f t="shared" si="310"/>
        <v>0.7</v>
      </c>
    </row>
    <row r="2146" spans="2:10" x14ac:dyDescent="0.25">
      <c r="B2146" s="3">
        <f t="shared" si="311"/>
        <v>10645</v>
      </c>
      <c r="C2146" s="14">
        <f t="shared" si="312"/>
        <v>177.41666666666666</v>
      </c>
      <c r="D2146" s="11">
        <f t="shared" si="313"/>
        <v>1107.5746464208728</v>
      </c>
      <c r="E2146" s="24">
        <f t="shared" si="305"/>
        <v>1106.2660011547293</v>
      </c>
      <c r="F2146" s="24">
        <f t="shared" si="307"/>
        <v>32.716131653586444</v>
      </c>
      <c r="G2146" s="14">
        <f t="shared" si="308"/>
        <v>545.91516610380563</v>
      </c>
      <c r="H2146" s="24">
        <f t="shared" si="306"/>
        <v>650</v>
      </c>
      <c r="I2146" s="12">
        <f t="shared" si="309"/>
        <v>7.1123548686017113E-2</v>
      </c>
      <c r="J2146" s="3">
        <f t="shared" si="310"/>
        <v>0.7</v>
      </c>
    </row>
    <row r="2147" spans="2:10" x14ac:dyDescent="0.25">
      <c r="B2147" s="3">
        <f t="shared" si="311"/>
        <v>10650</v>
      </c>
      <c r="C2147" s="14">
        <f t="shared" si="312"/>
        <v>177.5</v>
      </c>
      <c r="D2147" s="11">
        <f t="shared" si="313"/>
        <v>1107.6449568849769</v>
      </c>
      <c r="E2147" s="24">
        <f t="shared" si="305"/>
        <v>1106.3371247034154</v>
      </c>
      <c r="F2147" s="24">
        <f t="shared" si="307"/>
        <v>32.695804539036999</v>
      </c>
      <c r="G2147" s="14">
        <f t="shared" si="308"/>
        <v>545.65986110295478</v>
      </c>
      <c r="H2147" s="24">
        <f t="shared" si="306"/>
        <v>650</v>
      </c>
      <c r="I2147" s="12">
        <f t="shared" si="309"/>
        <v>7.1089668848795917E-2</v>
      </c>
      <c r="J2147" s="3">
        <f t="shared" si="310"/>
        <v>0.7</v>
      </c>
    </row>
    <row r="2148" spans="2:10" x14ac:dyDescent="0.25">
      <c r="B2148" s="3">
        <f t="shared" si="311"/>
        <v>10655</v>
      </c>
      <c r="C2148" s="14">
        <f t="shared" si="312"/>
        <v>177.58333333333334</v>
      </c>
      <c r="D2148" s="11">
        <f t="shared" si="313"/>
        <v>1107.7152343704383</v>
      </c>
      <c r="E2148" s="24">
        <f t="shared" si="305"/>
        <v>1106.4082143722642</v>
      </c>
      <c r="F2148" s="24">
        <f t="shared" si="307"/>
        <v>32.675499954353882</v>
      </c>
      <c r="G2148" s="14">
        <f t="shared" si="308"/>
        <v>545.40479681947318</v>
      </c>
      <c r="H2148" s="24">
        <f t="shared" si="306"/>
        <v>650</v>
      </c>
      <c r="I2148" s="12">
        <f t="shared" si="309"/>
        <v>7.1055821369101282E-2</v>
      </c>
      <c r="J2148" s="3">
        <f t="shared" si="310"/>
        <v>0.7</v>
      </c>
    </row>
    <row r="2149" spans="2:10" x14ac:dyDescent="0.25">
      <c r="B2149" s="3">
        <f t="shared" si="311"/>
        <v>10660</v>
      </c>
      <c r="C2149" s="14">
        <f t="shared" si="312"/>
        <v>177.66666666666666</v>
      </c>
      <c r="D2149" s="11">
        <f t="shared" si="313"/>
        <v>1107.7854789081791</v>
      </c>
      <c r="E2149" s="24">
        <f t="shared" si="305"/>
        <v>1106.4792701936333</v>
      </c>
      <c r="F2149" s="24">
        <f t="shared" si="307"/>
        <v>32.655217863646158</v>
      </c>
      <c r="G2149" s="14">
        <f t="shared" si="308"/>
        <v>545.14997291124803</v>
      </c>
      <c r="H2149" s="24">
        <f t="shared" si="306"/>
        <v>650</v>
      </c>
      <c r="I2149" s="12">
        <f t="shared" si="309"/>
        <v>7.1022006200470153E-2</v>
      </c>
      <c r="J2149" s="3">
        <f t="shared" si="310"/>
        <v>0.7</v>
      </c>
    </row>
    <row r="2150" spans="2:10" x14ac:dyDescent="0.25">
      <c r="B2150" s="3">
        <f t="shared" si="311"/>
        <v>10665</v>
      </c>
      <c r="C2150" s="14">
        <f t="shared" si="312"/>
        <v>177.75</v>
      </c>
      <c r="D2150" s="11">
        <f t="shared" si="313"/>
        <v>1107.8556905290779</v>
      </c>
      <c r="E2150" s="24">
        <f t="shared" si="305"/>
        <v>1106.5502921998338</v>
      </c>
      <c r="F2150" s="24">
        <f t="shared" si="307"/>
        <v>32.634958231102473</v>
      </c>
      <c r="G2150" s="14">
        <f t="shared" si="308"/>
        <v>544.89538903684434</v>
      </c>
      <c r="H2150" s="24">
        <f t="shared" si="306"/>
        <v>650</v>
      </c>
      <c r="I2150" s="12">
        <f t="shared" si="309"/>
        <v>7.0988223296532579E-2</v>
      </c>
      <c r="J2150" s="3">
        <f t="shared" si="310"/>
        <v>0.7</v>
      </c>
    </row>
    <row r="2151" spans="2:10" x14ac:dyDescent="0.25">
      <c r="B2151" s="3">
        <f t="shared" si="311"/>
        <v>10670</v>
      </c>
      <c r="C2151" s="14">
        <f t="shared" si="312"/>
        <v>177.83333333333334</v>
      </c>
      <c r="D2151" s="11">
        <f t="shared" si="313"/>
        <v>1107.9258692639705</v>
      </c>
      <c r="E2151" s="24">
        <f t="shared" si="305"/>
        <v>1106.6212804231304</v>
      </c>
      <c r="F2151" s="24">
        <f t="shared" si="307"/>
        <v>32.614721021002424</v>
      </c>
      <c r="G2151" s="14">
        <f t="shared" si="308"/>
        <v>544.64104485566065</v>
      </c>
      <c r="H2151" s="24">
        <f t="shared" si="306"/>
        <v>650</v>
      </c>
      <c r="I2151" s="12">
        <f t="shared" si="309"/>
        <v>7.0954472611032285E-2</v>
      </c>
      <c r="J2151" s="3">
        <f t="shared" si="310"/>
        <v>0.7</v>
      </c>
    </row>
    <row r="2152" spans="2:10" x14ac:dyDescent="0.25">
      <c r="B2152" s="3">
        <f t="shared" si="311"/>
        <v>10675</v>
      </c>
      <c r="C2152" s="14">
        <f t="shared" si="312"/>
        <v>177.91666666666666</v>
      </c>
      <c r="D2152" s="11">
        <f t="shared" si="313"/>
        <v>1107.9960151436492</v>
      </c>
      <c r="E2152" s="24">
        <f t="shared" si="305"/>
        <v>1106.6922348957414</v>
      </c>
      <c r="F2152" s="24">
        <f t="shared" si="307"/>
        <v>32.594506197693818</v>
      </c>
      <c r="G2152" s="14">
        <f t="shared" si="308"/>
        <v>544.38694002771592</v>
      </c>
      <c r="H2152" s="24">
        <f t="shared" si="306"/>
        <v>650</v>
      </c>
      <c r="I2152" s="12">
        <f t="shared" si="309"/>
        <v>7.0920754097797578E-2</v>
      </c>
      <c r="J2152" s="3">
        <f t="shared" si="310"/>
        <v>0.7</v>
      </c>
    </row>
    <row r="2153" spans="2:10" x14ac:dyDescent="0.25">
      <c r="B2153" s="3">
        <f t="shared" si="311"/>
        <v>10680</v>
      </c>
      <c r="C2153" s="14">
        <f t="shared" si="312"/>
        <v>178</v>
      </c>
      <c r="D2153" s="11">
        <f t="shared" si="313"/>
        <v>1108.0661281988625</v>
      </c>
      <c r="E2153" s="24">
        <f t="shared" si="305"/>
        <v>1106.7631556498393</v>
      </c>
      <c r="F2153" s="24">
        <f t="shared" si="307"/>
        <v>32.574313725581305</v>
      </c>
      <c r="G2153" s="14">
        <f t="shared" si="308"/>
        <v>544.13307421341619</v>
      </c>
      <c r="H2153" s="24">
        <f t="shared" si="306"/>
        <v>650</v>
      </c>
      <c r="I2153" s="12">
        <f t="shared" si="309"/>
        <v>7.0887067710711363E-2</v>
      </c>
      <c r="J2153" s="3">
        <f t="shared" si="310"/>
        <v>0.7</v>
      </c>
    </row>
    <row r="2154" spans="2:10" x14ac:dyDescent="0.25">
      <c r="B2154" s="3">
        <f t="shared" si="311"/>
        <v>10685</v>
      </c>
      <c r="C2154" s="14">
        <f t="shared" si="312"/>
        <v>178.08333333333334</v>
      </c>
      <c r="D2154" s="11">
        <f t="shared" si="313"/>
        <v>1108.1362084603161</v>
      </c>
      <c r="E2154" s="24">
        <f t="shared" si="305"/>
        <v>1106.8340427175499</v>
      </c>
      <c r="F2154" s="24">
        <f t="shared" si="307"/>
        <v>32.554143569154803</v>
      </c>
      <c r="G2154" s="14">
        <f t="shared" si="308"/>
        <v>543.87944707392376</v>
      </c>
      <c r="H2154" s="24">
        <f t="shared" si="306"/>
        <v>650</v>
      </c>
      <c r="I2154" s="12">
        <f t="shared" si="309"/>
        <v>7.0853413403760016E-2</v>
      </c>
      <c r="J2154" s="3">
        <f t="shared" si="310"/>
        <v>0.7</v>
      </c>
    </row>
    <row r="2155" spans="2:10" x14ac:dyDescent="0.25">
      <c r="B2155" s="3">
        <f t="shared" si="311"/>
        <v>10690</v>
      </c>
      <c r="C2155" s="14">
        <f t="shared" si="312"/>
        <v>178.16666666666666</v>
      </c>
      <c r="D2155" s="11">
        <f t="shared" si="313"/>
        <v>1108.2062559586732</v>
      </c>
      <c r="E2155" s="24">
        <f t="shared" si="305"/>
        <v>1106.9048961309536</v>
      </c>
      <c r="F2155" s="24">
        <f t="shared" si="307"/>
        <v>32.533995692989492</v>
      </c>
      <c r="G2155" s="14">
        <f t="shared" si="308"/>
        <v>543.6260582712921</v>
      </c>
      <c r="H2155" s="24">
        <f t="shared" si="306"/>
        <v>650</v>
      </c>
      <c r="I2155" s="12">
        <f t="shared" si="309"/>
        <v>7.0819791131049858E-2</v>
      </c>
      <c r="J2155" s="3">
        <f t="shared" si="310"/>
        <v>0.7</v>
      </c>
    </row>
    <row r="2156" spans="2:10" x14ac:dyDescent="0.25">
      <c r="B2156" s="3">
        <f t="shared" si="311"/>
        <v>10695</v>
      </c>
      <c r="C2156" s="14">
        <f t="shared" si="312"/>
        <v>178.25</v>
      </c>
      <c r="D2156" s="11">
        <f t="shared" si="313"/>
        <v>1108.2762707245531</v>
      </c>
      <c r="E2156" s="24">
        <f t="shared" si="305"/>
        <v>1106.9757159220846</v>
      </c>
      <c r="F2156" s="24">
        <f t="shared" si="307"/>
        <v>32.513870061711714</v>
      </c>
      <c r="G2156" s="14">
        <f t="shared" si="308"/>
        <v>543.37290746786573</v>
      </c>
      <c r="H2156" s="24">
        <f t="shared" si="306"/>
        <v>650</v>
      </c>
      <c r="I2156" s="12">
        <f t="shared" si="309"/>
        <v>7.0786200846729347E-2</v>
      </c>
      <c r="J2156" s="3">
        <f t="shared" si="310"/>
        <v>0.7</v>
      </c>
    </row>
    <row r="2157" spans="2:10" x14ac:dyDescent="0.25">
      <c r="B2157" s="3">
        <f t="shared" si="311"/>
        <v>10700</v>
      </c>
      <c r="C2157" s="14">
        <f t="shared" si="312"/>
        <v>178.33333333333334</v>
      </c>
      <c r="D2157" s="11">
        <f t="shared" si="313"/>
        <v>1108.3462527885329</v>
      </c>
      <c r="E2157" s="24">
        <f t="shared" si="305"/>
        <v>1107.0465021229313</v>
      </c>
      <c r="F2157" s="24">
        <f t="shared" si="307"/>
        <v>32.493766640038757</v>
      </c>
      <c r="G2157" s="14">
        <f t="shared" si="308"/>
        <v>543.11999432686082</v>
      </c>
      <c r="H2157" s="24">
        <f t="shared" si="306"/>
        <v>650</v>
      </c>
      <c r="I2157" s="12">
        <f t="shared" si="309"/>
        <v>7.0752642505065202E-2</v>
      </c>
      <c r="J2157" s="3">
        <f t="shared" si="310"/>
        <v>0.7</v>
      </c>
    </row>
    <row r="2158" spans="2:10" x14ac:dyDescent="0.25">
      <c r="B2158" s="3">
        <f t="shared" si="311"/>
        <v>10705</v>
      </c>
      <c r="C2158" s="14">
        <f t="shared" si="312"/>
        <v>178.41666666666666</v>
      </c>
      <c r="D2158" s="11">
        <f t="shared" si="313"/>
        <v>1108.4162021811462</v>
      </c>
      <c r="E2158" s="24">
        <f t="shared" si="305"/>
        <v>1107.1172547654364</v>
      </c>
      <c r="F2158" s="24">
        <f t="shared" si="307"/>
        <v>32.473685392744756</v>
      </c>
      <c r="G2158" s="14">
        <f t="shared" si="308"/>
        <v>542.86731851190086</v>
      </c>
      <c r="H2158" s="24">
        <f t="shared" si="306"/>
        <v>650</v>
      </c>
      <c r="I2158" s="12">
        <f t="shared" si="309"/>
        <v>7.071911606038124E-2</v>
      </c>
      <c r="J2158" s="3">
        <f t="shared" si="310"/>
        <v>0.7</v>
      </c>
    </row>
    <row r="2159" spans="2:10" x14ac:dyDescent="0.25">
      <c r="B2159" s="3">
        <f t="shared" si="311"/>
        <v>10710</v>
      </c>
      <c r="C2159" s="14">
        <f t="shared" si="312"/>
        <v>178.5</v>
      </c>
      <c r="D2159" s="11">
        <f t="shared" si="313"/>
        <v>1108.4861189328847</v>
      </c>
      <c r="E2159" s="24">
        <f t="shared" si="305"/>
        <v>1107.1879738814969</v>
      </c>
      <c r="F2159" s="24">
        <f t="shared" si="307"/>
        <v>32.453626284694792</v>
      </c>
      <c r="G2159" s="14">
        <f t="shared" si="308"/>
        <v>542.61487968757808</v>
      </c>
      <c r="H2159" s="24">
        <f t="shared" si="306"/>
        <v>650</v>
      </c>
      <c r="I2159" s="12">
        <f t="shared" si="309"/>
        <v>7.068562146713149E-2</v>
      </c>
      <c r="J2159" s="3">
        <f t="shared" si="310"/>
        <v>0.7</v>
      </c>
    </row>
    <row r="2160" spans="2:10" x14ac:dyDescent="0.25">
      <c r="B2160" s="3">
        <f t="shared" si="311"/>
        <v>10715</v>
      </c>
      <c r="C2160" s="14">
        <f t="shared" si="312"/>
        <v>178.58333333333334</v>
      </c>
      <c r="D2160" s="11">
        <f t="shared" si="313"/>
        <v>1108.5560030741967</v>
      </c>
      <c r="E2160" s="24">
        <f t="shared" si="305"/>
        <v>1107.2586595029641</v>
      </c>
      <c r="F2160" s="24">
        <f t="shared" si="307"/>
        <v>32.433589280816477</v>
      </c>
      <c r="G2160" s="14">
        <f t="shared" si="308"/>
        <v>542.36267751891148</v>
      </c>
      <c r="H2160" s="24">
        <f t="shared" si="306"/>
        <v>650</v>
      </c>
      <c r="I2160" s="12">
        <f t="shared" si="309"/>
        <v>7.0652158679830185E-2</v>
      </c>
      <c r="J2160" s="3">
        <f t="shared" si="310"/>
        <v>0.7</v>
      </c>
    </row>
    <row r="2161" spans="2:10" x14ac:dyDescent="0.25">
      <c r="B2161" s="3">
        <f t="shared" si="311"/>
        <v>10720</v>
      </c>
      <c r="C2161" s="14">
        <f t="shared" si="312"/>
        <v>178.66666666666666</v>
      </c>
      <c r="D2161" s="11">
        <f t="shared" si="313"/>
        <v>1108.6258546354882</v>
      </c>
      <c r="E2161" s="24">
        <f t="shared" si="305"/>
        <v>1107.3293116616439</v>
      </c>
      <c r="F2161" s="24">
        <f t="shared" si="307"/>
        <v>32.413574346105634</v>
      </c>
      <c r="G2161" s="14">
        <f t="shared" si="308"/>
        <v>542.11071167142336</v>
      </c>
      <c r="H2161" s="24">
        <f t="shared" si="306"/>
        <v>650</v>
      </c>
      <c r="I2161" s="12">
        <f t="shared" si="309"/>
        <v>7.0618727653061736E-2</v>
      </c>
      <c r="J2161" s="3">
        <f t="shared" si="310"/>
        <v>0.7</v>
      </c>
    </row>
    <row r="2162" spans="2:10" x14ac:dyDescent="0.25">
      <c r="B2162" s="3">
        <f t="shared" si="311"/>
        <v>10725</v>
      </c>
      <c r="C2162" s="14">
        <f t="shared" si="312"/>
        <v>178.75</v>
      </c>
      <c r="D2162" s="11">
        <f t="shared" si="313"/>
        <v>1108.6956736471227</v>
      </c>
      <c r="E2162" s="24">
        <f t="shared" si="305"/>
        <v>1107.399930389297</v>
      </c>
      <c r="F2162" s="24">
        <f t="shared" si="307"/>
        <v>32.393581445643349</v>
      </c>
      <c r="G2162" s="14">
        <f t="shared" si="308"/>
        <v>541.8589818116443</v>
      </c>
      <c r="H2162" s="24">
        <f t="shared" si="306"/>
        <v>650</v>
      </c>
      <c r="I2162" s="12">
        <f t="shared" si="309"/>
        <v>7.0585328341545017E-2</v>
      </c>
      <c r="J2162" s="3">
        <f t="shared" si="310"/>
        <v>0.7</v>
      </c>
    </row>
    <row r="2163" spans="2:10" x14ac:dyDescent="0.25">
      <c r="B2163" s="3">
        <f t="shared" si="311"/>
        <v>10730</v>
      </c>
      <c r="C2163" s="14">
        <f t="shared" si="312"/>
        <v>178.83333333333334</v>
      </c>
      <c r="D2163" s="11">
        <f t="shared" si="313"/>
        <v>1108.7654601394215</v>
      </c>
      <c r="E2163" s="24">
        <f t="shared" si="305"/>
        <v>1107.4705157176386</v>
      </c>
      <c r="F2163" s="24">
        <f t="shared" si="307"/>
        <v>32.373610544573239</v>
      </c>
      <c r="G2163" s="14">
        <f t="shared" si="308"/>
        <v>541.60748760647277</v>
      </c>
      <c r="H2163" s="24">
        <f t="shared" si="306"/>
        <v>650</v>
      </c>
      <c r="I2163" s="12">
        <f t="shared" si="309"/>
        <v>7.0551960700051777E-2</v>
      </c>
      <c r="J2163" s="3">
        <f t="shared" si="310"/>
        <v>0.7</v>
      </c>
    </row>
    <row r="2164" spans="2:10" x14ac:dyDescent="0.25">
      <c r="B2164" s="3">
        <f t="shared" si="311"/>
        <v>10735</v>
      </c>
      <c r="C2164" s="14">
        <f t="shared" si="312"/>
        <v>178.91666666666666</v>
      </c>
      <c r="D2164" s="11">
        <f t="shared" si="313"/>
        <v>1108.8352141426628</v>
      </c>
      <c r="E2164" s="24">
        <f t="shared" ref="E2164:E2227" si="314">E2163+I2163</f>
        <v>1107.5410676783385</v>
      </c>
      <c r="F2164" s="24">
        <f t="shared" si="307"/>
        <v>32.353661608107132</v>
      </c>
      <c r="G2164" s="14">
        <f t="shared" si="308"/>
        <v>541.35622872331123</v>
      </c>
      <c r="H2164" s="24">
        <f t="shared" ref="H2164:H2227" si="315">IF(E2164&lt;600,425+0.773*E2164-1.69/1000*E2164^2+2.22/1000^2*E2164^3,IF(E2164&lt;735,666+13002/(738-E2164),IF(E2164&lt;900,545+17820/(E2164-731),650)))</f>
        <v>650</v>
      </c>
      <c r="I2164" s="12">
        <f t="shared" si="309"/>
        <v>7.0518624683424139E-2</v>
      </c>
      <c r="J2164" s="3">
        <f t="shared" si="310"/>
        <v>0.7</v>
      </c>
    </row>
    <row r="2165" spans="2:10" x14ac:dyDescent="0.25">
      <c r="B2165" s="3">
        <f t="shared" si="311"/>
        <v>10740</v>
      </c>
      <c r="C2165" s="14">
        <f t="shared" si="312"/>
        <v>179</v>
      </c>
      <c r="D2165" s="11">
        <f t="shared" si="313"/>
        <v>1108.9049356870839</v>
      </c>
      <c r="E2165" s="24">
        <f t="shared" si="314"/>
        <v>1107.611586303022</v>
      </c>
      <c r="F2165" s="24">
        <f t="shared" si="307"/>
        <v>32.333734601547803</v>
      </c>
      <c r="G2165" s="14">
        <f t="shared" si="308"/>
        <v>541.10520483064749</v>
      </c>
      <c r="H2165" s="24">
        <f t="shared" si="315"/>
        <v>650</v>
      </c>
      <c r="I2165" s="12">
        <f t="shared" si="309"/>
        <v>7.0485320246648761E-2</v>
      </c>
      <c r="J2165" s="3">
        <f t="shared" si="310"/>
        <v>0.7</v>
      </c>
    </row>
    <row r="2166" spans="2:10" x14ac:dyDescent="0.25">
      <c r="B2166" s="3">
        <f t="shared" si="311"/>
        <v>10745</v>
      </c>
      <c r="C2166" s="14">
        <f t="shared" si="312"/>
        <v>179.08333333333334</v>
      </c>
      <c r="D2166" s="11">
        <f t="shared" si="313"/>
        <v>1108.974624802878</v>
      </c>
      <c r="E2166" s="24">
        <f t="shared" si="314"/>
        <v>1107.6820716232687</v>
      </c>
      <c r="F2166" s="24">
        <f t="shared" si="307"/>
        <v>32.313829490232138</v>
      </c>
      <c r="G2166" s="14">
        <f t="shared" si="308"/>
        <v>540.85441559691094</v>
      </c>
      <c r="H2166" s="24">
        <f t="shared" si="315"/>
        <v>650</v>
      </c>
      <c r="I2166" s="12">
        <f t="shared" si="309"/>
        <v>7.0452047344709362E-2</v>
      </c>
      <c r="J2166" s="3">
        <f t="shared" si="310"/>
        <v>0.7</v>
      </c>
    </row>
    <row r="2167" spans="2:10" x14ac:dyDescent="0.25">
      <c r="B2167" s="3">
        <f t="shared" si="311"/>
        <v>10750</v>
      </c>
      <c r="C2167" s="14">
        <f t="shared" si="312"/>
        <v>179.16666666666666</v>
      </c>
      <c r="D2167" s="11">
        <f t="shared" si="313"/>
        <v>1109.044281520198</v>
      </c>
      <c r="E2167" s="24">
        <f t="shared" si="314"/>
        <v>1107.7525236706135</v>
      </c>
      <c r="F2167" s="24">
        <f t="shared" si="307"/>
        <v>32.293946239610705</v>
      </c>
      <c r="G2167" s="14">
        <f t="shared" si="308"/>
        <v>540.60386069182982</v>
      </c>
      <c r="H2167" s="24">
        <f t="shared" si="315"/>
        <v>650</v>
      </c>
      <c r="I2167" s="12">
        <f t="shared" si="309"/>
        <v>7.0418805932763257E-2</v>
      </c>
      <c r="J2167" s="3">
        <f t="shared" si="310"/>
        <v>0.7</v>
      </c>
    </row>
    <row r="2168" spans="2:10" x14ac:dyDescent="0.25">
      <c r="B2168" s="3">
        <f t="shared" si="311"/>
        <v>10755</v>
      </c>
      <c r="C2168" s="14">
        <f t="shared" si="312"/>
        <v>179.25</v>
      </c>
      <c r="D2168" s="11">
        <f t="shared" si="313"/>
        <v>1109.1139058691538</v>
      </c>
      <c r="E2168" s="24">
        <f t="shared" si="314"/>
        <v>1107.8229424765464</v>
      </c>
      <c r="F2168" s="24">
        <f t="shared" si="307"/>
        <v>32.274084815185233</v>
      </c>
      <c r="G2168" s="14">
        <f t="shared" si="308"/>
        <v>540.35353978544219</v>
      </c>
      <c r="H2168" s="24">
        <f t="shared" si="315"/>
        <v>650</v>
      </c>
      <c r="I2168" s="12">
        <f t="shared" si="309"/>
        <v>7.0385595966012113E-2</v>
      </c>
      <c r="J2168" s="3">
        <f t="shared" si="310"/>
        <v>0.7</v>
      </c>
    </row>
    <row r="2169" spans="2:10" x14ac:dyDescent="0.25">
      <c r="B2169" s="3">
        <f t="shared" si="311"/>
        <v>10760</v>
      </c>
      <c r="C2169" s="14">
        <f t="shared" si="312"/>
        <v>179.33333333333334</v>
      </c>
      <c r="D2169" s="11">
        <f t="shared" si="313"/>
        <v>1109.1834978798133</v>
      </c>
      <c r="E2169" s="24">
        <f t="shared" si="314"/>
        <v>1107.8933280725123</v>
      </c>
      <c r="F2169" s="24">
        <f t="shared" si="307"/>
        <v>32.254245182525665</v>
      </c>
      <c r="G2169" s="14">
        <f t="shared" si="308"/>
        <v>540.10345254842559</v>
      </c>
      <c r="H2169" s="24">
        <f t="shared" si="315"/>
        <v>650</v>
      </c>
      <c r="I2169" s="12">
        <f t="shared" si="309"/>
        <v>7.0352417399744641E-2</v>
      </c>
      <c r="J2169" s="3">
        <f t="shared" si="310"/>
        <v>0.7</v>
      </c>
    </row>
    <row r="2170" spans="2:10" x14ac:dyDescent="0.25">
      <c r="B2170" s="3">
        <f t="shared" si="311"/>
        <v>10765</v>
      </c>
      <c r="C2170" s="14">
        <f t="shared" si="312"/>
        <v>179.41666666666666</v>
      </c>
      <c r="D2170" s="11">
        <f t="shared" si="313"/>
        <v>1109.2530575822032</v>
      </c>
      <c r="E2170" s="24">
        <f t="shared" si="314"/>
        <v>1107.9636804899121</v>
      </c>
      <c r="F2170" s="24">
        <f t="shared" si="307"/>
        <v>32.234427307275837</v>
      </c>
      <c r="G2170" s="14">
        <f t="shared" si="308"/>
        <v>539.85359865205851</v>
      </c>
      <c r="H2170" s="24">
        <f t="shared" si="315"/>
        <v>650</v>
      </c>
      <c r="I2170" s="12">
        <f t="shared" si="309"/>
        <v>7.0319270189332456E-2</v>
      </c>
      <c r="J2170" s="3">
        <f t="shared" si="310"/>
        <v>0.7</v>
      </c>
    </row>
    <row r="2171" spans="2:10" x14ac:dyDescent="0.25">
      <c r="B2171" s="3">
        <f t="shared" si="311"/>
        <v>10770</v>
      </c>
      <c r="C2171" s="14">
        <f t="shared" si="312"/>
        <v>179.5</v>
      </c>
      <c r="D2171" s="11">
        <f t="shared" si="313"/>
        <v>1109.3225850063077</v>
      </c>
      <c r="E2171" s="24">
        <f t="shared" si="314"/>
        <v>1108.0339997601016</v>
      </c>
      <c r="F2171" s="24">
        <f t="shared" si="307"/>
        <v>32.214631155153484</v>
      </c>
      <c r="G2171" s="14">
        <f t="shared" si="308"/>
        <v>539.60397776827836</v>
      </c>
      <c r="H2171" s="24">
        <f t="shared" si="315"/>
        <v>650</v>
      </c>
      <c r="I2171" s="12">
        <f t="shared" si="309"/>
        <v>7.0286154290237268E-2</v>
      </c>
      <c r="J2171" s="3">
        <f t="shared" si="310"/>
        <v>0.7</v>
      </c>
    </row>
    <row r="2172" spans="2:10" x14ac:dyDescent="0.25">
      <c r="B2172" s="3">
        <f t="shared" si="311"/>
        <v>10775</v>
      </c>
      <c r="C2172" s="14">
        <f t="shared" si="312"/>
        <v>179.58333333333334</v>
      </c>
      <c r="D2172" s="11">
        <f t="shared" si="313"/>
        <v>1109.3920801820695</v>
      </c>
      <c r="E2172" s="24">
        <f t="shared" si="314"/>
        <v>1108.1042859143918</v>
      </c>
      <c r="F2172" s="24">
        <f t="shared" si="307"/>
        <v>32.194856691944551</v>
      </c>
      <c r="G2172" s="14">
        <f t="shared" si="308"/>
        <v>539.35458956966204</v>
      </c>
      <c r="H2172" s="24">
        <f t="shared" si="315"/>
        <v>650</v>
      </c>
      <c r="I2172" s="12">
        <f t="shared" si="309"/>
        <v>7.0253069658007761E-2</v>
      </c>
      <c r="J2172" s="3">
        <f t="shared" si="310"/>
        <v>0.7</v>
      </c>
    </row>
    <row r="2173" spans="2:10" x14ac:dyDescent="0.25">
      <c r="B2173" s="3">
        <f t="shared" si="311"/>
        <v>10780</v>
      </c>
      <c r="C2173" s="14">
        <f t="shared" si="312"/>
        <v>179.66666666666666</v>
      </c>
      <c r="D2173" s="11">
        <f t="shared" si="313"/>
        <v>1109.4615431393902</v>
      </c>
      <c r="E2173" s="24">
        <f t="shared" si="314"/>
        <v>1108.1745389840498</v>
      </c>
      <c r="F2173" s="24">
        <f t="shared" si="307"/>
        <v>32.175103883508882</v>
      </c>
      <c r="G2173" s="14">
        <f t="shared" si="308"/>
        <v>539.10543372946461</v>
      </c>
      <c r="H2173" s="24">
        <f t="shared" si="315"/>
        <v>650</v>
      </c>
      <c r="I2173" s="12">
        <f t="shared" si="309"/>
        <v>7.0220016248285069E-2</v>
      </c>
      <c r="J2173" s="3">
        <f t="shared" si="310"/>
        <v>0.7</v>
      </c>
    </row>
    <row r="2174" spans="2:10" x14ac:dyDescent="0.25">
      <c r="B2174" s="3">
        <f t="shared" si="311"/>
        <v>10785</v>
      </c>
      <c r="C2174" s="14">
        <f t="shared" si="312"/>
        <v>179.75</v>
      </c>
      <c r="D2174" s="11">
        <f t="shared" si="313"/>
        <v>1109.5309739081285</v>
      </c>
      <c r="E2174" s="24">
        <f t="shared" si="314"/>
        <v>1108.244759000298</v>
      </c>
      <c r="F2174" s="24">
        <f t="shared" si="307"/>
        <v>32.155372695763162</v>
      </c>
      <c r="G2174" s="14">
        <f t="shared" si="308"/>
        <v>538.85650992123192</v>
      </c>
      <c r="H2174" s="24">
        <f t="shared" si="315"/>
        <v>650</v>
      </c>
      <c r="I2174" s="12">
        <f t="shared" si="309"/>
        <v>7.018699401675306E-2</v>
      </c>
      <c r="J2174" s="3">
        <f t="shared" si="310"/>
        <v>0.7</v>
      </c>
    </row>
    <row r="2175" spans="2:10" x14ac:dyDescent="0.25">
      <c r="B2175" s="3">
        <f t="shared" si="311"/>
        <v>10790</v>
      </c>
      <c r="C2175" s="14">
        <f t="shared" si="312"/>
        <v>179.83333333333334</v>
      </c>
      <c r="D2175" s="11">
        <f t="shared" si="313"/>
        <v>1109.6003725181033</v>
      </c>
      <c r="E2175" s="24">
        <f t="shared" si="314"/>
        <v>1108.3149459943147</v>
      </c>
      <c r="F2175" s="24">
        <f t="shared" si="307"/>
        <v>32.135663094715028</v>
      </c>
      <c r="G2175" s="14">
        <f t="shared" si="308"/>
        <v>538.60781781961464</v>
      </c>
      <c r="H2175" s="24">
        <f t="shared" si="315"/>
        <v>650</v>
      </c>
      <c r="I2175" s="12">
        <f t="shared" si="309"/>
        <v>7.0154002919242578E-2</v>
      </c>
      <c r="J2175" s="3">
        <f t="shared" si="310"/>
        <v>0.7</v>
      </c>
    </row>
    <row r="2176" spans="2:10" x14ac:dyDescent="0.25">
      <c r="B2176" s="3">
        <f t="shared" si="311"/>
        <v>10795</v>
      </c>
      <c r="C2176" s="14">
        <f t="shared" si="312"/>
        <v>179.91666666666666</v>
      </c>
      <c r="D2176" s="11">
        <f t="shared" si="313"/>
        <v>1109.6697389990909</v>
      </c>
      <c r="E2176" s="24">
        <f t="shared" si="314"/>
        <v>1108.385099997234</v>
      </c>
      <c r="F2176" s="24">
        <f t="shared" si="307"/>
        <v>32.115975046423273</v>
      </c>
      <c r="G2176" s="14">
        <f t="shared" si="308"/>
        <v>538.35935709945704</v>
      </c>
      <c r="H2176" s="24">
        <f t="shared" si="315"/>
        <v>650</v>
      </c>
      <c r="I2176" s="12">
        <f t="shared" si="309"/>
        <v>7.0121042911614542E-2</v>
      </c>
      <c r="J2176" s="3">
        <f t="shared" si="310"/>
        <v>0.7</v>
      </c>
    </row>
    <row r="2177" spans="2:10" x14ac:dyDescent="0.25">
      <c r="B2177" s="3">
        <f t="shared" si="311"/>
        <v>10800</v>
      </c>
      <c r="C2177" s="14">
        <f t="shared" si="312"/>
        <v>180</v>
      </c>
      <c r="D2177" s="11">
        <f t="shared" si="313"/>
        <v>1109.7390733808261</v>
      </c>
      <c r="E2177" s="24">
        <f t="shared" si="314"/>
        <v>1108.4552210401455</v>
      </c>
      <c r="F2177" s="24">
        <f t="shared" si="307"/>
        <v>32.096308517014904</v>
      </c>
      <c r="G2177" s="14">
        <f t="shared" si="308"/>
        <v>538.11112743624301</v>
      </c>
      <c r="H2177" s="24">
        <f t="shared" si="315"/>
        <v>650</v>
      </c>
      <c r="I2177" s="12">
        <f t="shared" si="309"/>
        <v>7.0088113949816885E-2</v>
      </c>
      <c r="J2177" s="3">
        <f t="shared" si="310"/>
        <v>0.7</v>
      </c>
    </row>
    <row r="2178" spans="2:10" x14ac:dyDescent="0.25">
      <c r="B2178" s="3">
        <f t="shared" si="311"/>
        <v>10805</v>
      </c>
      <c r="C2178" s="14">
        <f t="shared" si="312"/>
        <v>180.08333333333334</v>
      </c>
      <c r="D2178" s="11">
        <f t="shared" si="313"/>
        <v>1109.8083756930039</v>
      </c>
      <c r="E2178" s="24">
        <f t="shared" si="314"/>
        <v>1108.5253091540953</v>
      </c>
      <c r="F2178" s="24">
        <f t="shared" si="307"/>
        <v>32.076663472713562</v>
      </c>
      <c r="G2178" s="14">
        <f t="shared" si="308"/>
        <v>537.86312850652212</v>
      </c>
      <c r="H2178" s="24">
        <f t="shared" si="315"/>
        <v>650</v>
      </c>
      <c r="I2178" s="12">
        <f t="shared" si="309"/>
        <v>7.0055215989940425E-2</v>
      </c>
      <c r="J2178" s="3">
        <f t="shared" si="310"/>
        <v>0.7</v>
      </c>
    </row>
    <row r="2179" spans="2:10" x14ac:dyDescent="0.25">
      <c r="B2179" s="3">
        <f t="shared" si="311"/>
        <v>10810</v>
      </c>
      <c r="C2179" s="14">
        <f t="shared" si="312"/>
        <v>180.16666666666666</v>
      </c>
      <c r="D2179" s="11">
        <f t="shared" si="313"/>
        <v>1109.8776459652761</v>
      </c>
      <c r="E2179" s="24">
        <f t="shared" si="314"/>
        <v>1108.5953643700852</v>
      </c>
      <c r="F2179" s="24">
        <f t="shared" si="307"/>
        <v>32.05703987977131</v>
      </c>
      <c r="G2179" s="14">
        <f t="shared" si="308"/>
        <v>537.61535998676686</v>
      </c>
      <c r="H2179" s="24">
        <f t="shared" si="315"/>
        <v>650</v>
      </c>
      <c r="I2179" s="12">
        <f t="shared" si="309"/>
        <v>7.0022348988069971E-2</v>
      </c>
      <c r="J2179" s="3">
        <f t="shared" si="310"/>
        <v>0.7</v>
      </c>
    </row>
    <row r="2180" spans="2:10" x14ac:dyDescent="0.25">
      <c r="B2180" s="3">
        <f t="shared" si="311"/>
        <v>10815</v>
      </c>
      <c r="C2180" s="14">
        <f t="shared" si="312"/>
        <v>180.25</v>
      </c>
      <c r="D2180" s="11">
        <f t="shared" si="313"/>
        <v>1109.9468842272554</v>
      </c>
      <c r="E2180" s="24">
        <f t="shared" si="314"/>
        <v>1108.6653867190732</v>
      </c>
      <c r="F2180" s="24">
        <f t="shared" si="307"/>
        <v>32.037437704553895</v>
      </c>
      <c r="G2180" s="14">
        <f t="shared" si="308"/>
        <v>537.36782155478659</v>
      </c>
      <c r="H2180" s="24">
        <f t="shared" si="315"/>
        <v>650</v>
      </c>
      <c r="I2180" s="12">
        <f t="shared" si="309"/>
        <v>6.9989512900468634E-2</v>
      </c>
      <c r="J2180" s="3">
        <f t="shared" si="310"/>
        <v>0.7</v>
      </c>
    </row>
    <row r="2181" spans="2:10" x14ac:dyDescent="0.25">
      <c r="B2181" s="3">
        <f t="shared" si="311"/>
        <v>10820</v>
      </c>
      <c r="C2181" s="14">
        <f t="shared" si="312"/>
        <v>180.33333333333334</v>
      </c>
      <c r="D2181" s="11">
        <f t="shared" si="313"/>
        <v>1110.016090508512</v>
      </c>
      <c r="E2181" s="24">
        <f t="shared" si="314"/>
        <v>1108.7353762319738</v>
      </c>
      <c r="F2181" s="24">
        <f t="shared" si="307"/>
        <v>32.017856913455489</v>
      </c>
      <c r="G2181" s="14">
        <f t="shared" si="308"/>
        <v>537.12051288829377</v>
      </c>
      <c r="H2181" s="24">
        <f t="shared" si="315"/>
        <v>650</v>
      </c>
      <c r="I2181" s="12">
        <f t="shared" si="309"/>
        <v>6.9956707683391114E-2</v>
      </c>
      <c r="J2181" s="3">
        <f t="shared" si="310"/>
        <v>0.7</v>
      </c>
    </row>
    <row r="2182" spans="2:10" x14ac:dyDescent="0.25">
      <c r="B2182" s="3">
        <f t="shared" si="311"/>
        <v>10825</v>
      </c>
      <c r="C2182" s="14">
        <f t="shared" si="312"/>
        <v>180.41666666666666</v>
      </c>
      <c r="D2182" s="11">
        <f t="shared" si="313"/>
        <v>1110.0852648385755</v>
      </c>
      <c r="E2182" s="24">
        <f t="shared" si="314"/>
        <v>1108.8053329396571</v>
      </c>
      <c r="F2182" s="24">
        <f t="shared" si="307"/>
        <v>31.998297472961212</v>
      </c>
      <c r="G2182" s="14">
        <f t="shared" si="308"/>
        <v>536.87343366602818</v>
      </c>
      <c r="H2182" s="24">
        <f t="shared" si="315"/>
        <v>650</v>
      </c>
      <c r="I2182" s="12">
        <f t="shared" si="309"/>
        <v>6.9923933293229573E-2</v>
      </c>
      <c r="J2182" s="3">
        <f t="shared" si="310"/>
        <v>0.7</v>
      </c>
    </row>
    <row r="2183" spans="2:10" x14ac:dyDescent="0.25">
      <c r="B2183" s="3">
        <f t="shared" si="311"/>
        <v>10830</v>
      </c>
      <c r="C2183" s="14">
        <f t="shared" si="312"/>
        <v>180.5</v>
      </c>
      <c r="D2183" s="11">
        <f t="shared" si="313"/>
        <v>1110.1544072469355</v>
      </c>
      <c r="E2183" s="24">
        <f t="shared" si="314"/>
        <v>1108.8752568729503</v>
      </c>
      <c r="F2183" s="24">
        <f t="shared" si="307"/>
        <v>31.978759349630081</v>
      </c>
      <c r="G2183" s="14">
        <f t="shared" si="308"/>
        <v>536.62658356740781</v>
      </c>
      <c r="H2183" s="24">
        <f t="shared" si="315"/>
        <v>650</v>
      </c>
      <c r="I2183" s="12">
        <f t="shared" si="309"/>
        <v>6.9891189686468624E-2</v>
      </c>
      <c r="J2183" s="3">
        <f t="shared" si="310"/>
        <v>0.7</v>
      </c>
    </row>
    <row r="2184" spans="2:10" x14ac:dyDescent="0.25">
      <c r="B2184" s="3">
        <f t="shared" si="311"/>
        <v>10835</v>
      </c>
      <c r="C2184" s="14">
        <f t="shared" si="312"/>
        <v>180.58333333333334</v>
      </c>
      <c r="D2184" s="11">
        <f t="shared" si="313"/>
        <v>1110.2235177630394</v>
      </c>
      <c r="E2184" s="24">
        <f t="shared" si="314"/>
        <v>1108.9451480626367</v>
      </c>
      <c r="F2184" s="24">
        <f t="shared" si="307"/>
        <v>31.959242510066588</v>
      </c>
      <c r="G2184" s="14">
        <f t="shared" si="308"/>
        <v>536.37996227206372</v>
      </c>
      <c r="H2184" s="24">
        <f t="shared" si="315"/>
        <v>650</v>
      </c>
      <c r="I2184" s="12">
        <f t="shared" si="309"/>
        <v>6.9858476819624635E-2</v>
      </c>
      <c r="J2184" s="3">
        <f t="shared" si="310"/>
        <v>0.7</v>
      </c>
    </row>
    <row r="2185" spans="2:10" x14ac:dyDescent="0.25">
      <c r="B2185" s="3">
        <f t="shared" si="311"/>
        <v>10840</v>
      </c>
      <c r="C2185" s="14">
        <f t="shared" si="312"/>
        <v>180.66666666666666</v>
      </c>
      <c r="D2185" s="11">
        <f t="shared" si="313"/>
        <v>1110.2925964162944</v>
      </c>
      <c r="E2185" s="24">
        <f t="shared" si="314"/>
        <v>1109.0150065394564</v>
      </c>
      <c r="F2185" s="24">
        <f t="shared" si="307"/>
        <v>31.939746920949119</v>
      </c>
      <c r="G2185" s="14">
        <f t="shared" si="308"/>
        <v>536.13356946032479</v>
      </c>
      <c r="H2185" s="24">
        <f t="shared" si="315"/>
        <v>650</v>
      </c>
      <c r="I2185" s="12">
        <f t="shared" si="309"/>
        <v>6.9825794649308839E-2</v>
      </c>
      <c r="J2185" s="3">
        <f t="shared" si="310"/>
        <v>0.7</v>
      </c>
    </row>
    <row r="2186" spans="2:10" x14ac:dyDescent="0.25">
      <c r="B2186" s="3">
        <f t="shared" si="311"/>
        <v>10845</v>
      </c>
      <c r="C2186" s="14">
        <f t="shared" si="312"/>
        <v>180.75</v>
      </c>
      <c r="D2186" s="11">
        <f t="shared" si="313"/>
        <v>1110.3616432360677</v>
      </c>
      <c r="E2186" s="24">
        <f t="shared" si="314"/>
        <v>1109.0848323341056</v>
      </c>
      <c r="F2186" s="24">
        <f t="shared" si="307"/>
        <v>31.920272549052697</v>
      </c>
      <c r="G2186" s="14">
        <f t="shared" si="308"/>
        <v>535.88740481354705</v>
      </c>
      <c r="H2186" s="24">
        <f t="shared" si="315"/>
        <v>650</v>
      </c>
      <c r="I2186" s="12">
        <f t="shared" si="309"/>
        <v>6.9793143132270613E-2</v>
      </c>
      <c r="J2186" s="3">
        <f t="shared" si="310"/>
        <v>0.7</v>
      </c>
    </row>
    <row r="2187" spans="2:10" x14ac:dyDescent="0.25">
      <c r="B2187" s="3">
        <f t="shared" si="311"/>
        <v>10850</v>
      </c>
      <c r="C2187" s="14">
        <f t="shared" si="312"/>
        <v>180.83333333333334</v>
      </c>
      <c r="D2187" s="11">
        <f t="shared" si="313"/>
        <v>1110.4306582516856</v>
      </c>
      <c r="E2187" s="24">
        <f t="shared" si="314"/>
        <v>1109.1546254772379</v>
      </c>
      <c r="F2187" s="24">
        <f t="shared" si="307"/>
        <v>31.900819361192134</v>
      </c>
      <c r="G2187" s="14">
        <f t="shared" si="308"/>
        <v>535.64146801329957</v>
      </c>
      <c r="H2187" s="24">
        <f t="shared" si="315"/>
        <v>650</v>
      </c>
      <c r="I2187" s="12">
        <f t="shared" si="309"/>
        <v>6.9760522225290389E-2</v>
      </c>
      <c r="J2187" s="3">
        <f t="shared" si="310"/>
        <v>0.7</v>
      </c>
    </row>
    <row r="2188" spans="2:10" x14ac:dyDescent="0.25">
      <c r="B2188" s="3">
        <f t="shared" si="311"/>
        <v>10855</v>
      </c>
      <c r="C2188" s="14">
        <f t="shared" si="312"/>
        <v>180.91666666666666</v>
      </c>
      <c r="D2188" s="11">
        <f t="shared" si="313"/>
        <v>1110.4996414924328</v>
      </c>
      <c r="E2188" s="24">
        <f t="shared" si="314"/>
        <v>1109.2243859994633</v>
      </c>
      <c r="F2188" s="24">
        <f t="shared" si="307"/>
        <v>31.881387324239086</v>
      </c>
      <c r="G2188" s="14">
        <f t="shared" si="308"/>
        <v>535.39575874148102</v>
      </c>
      <c r="H2188" s="24">
        <f t="shared" si="315"/>
        <v>650</v>
      </c>
      <c r="I2188" s="12">
        <f t="shared" si="309"/>
        <v>6.9727931885196145E-2</v>
      </c>
      <c r="J2188" s="3">
        <f t="shared" si="310"/>
        <v>0.7</v>
      </c>
    </row>
    <row r="2189" spans="2:10" x14ac:dyDescent="0.25">
      <c r="B2189" s="3">
        <f t="shared" si="311"/>
        <v>10860</v>
      </c>
      <c r="C2189" s="14">
        <f t="shared" si="312"/>
        <v>181</v>
      </c>
      <c r="D2189" s="11">
        <f t="shared" si="313"/>
        <v>1110.5685929875551</v>
      </c>
      <c r="E2189" s="24">
        <f t="shared" si="314"/>
        <v>1109.2941139313484</v>
      </c>
      <c r="F2189" s="24">
        <f t="shared" si="307"/>
        <v>31.861976405167525</v>
      </c>
      <c r="G2189" s="14">
        <f t="shared" si="308"/>
        <v>535.15027668130779</v>
      </c>
      <c r="H2189" s="24">
        <f t="shared" si="315"/>
        <v>650</v>
      </c>
      <c r="I2189" s="12">
        <f t="shared" si="309"/>
        <v>6.9695372068990347E-2</v>
      </c>
      <c r="J2189" s="3">
        <f t="shared" si="310"/>
        <v>0.7</v>
      </c>
    </row>
    <row r="2190" spans="2:10" x14ac:dyDescent="0.25">
      <c r="B2190" s="3">
        <f t="shared" si="311"/>
        <v>10865</v>
      </c>
      <c r="C2190" s="14">
        <f t="shared" si="312"/>
        <v>181.08333333333334</v>
      </c>
      <c r="D2190" s="11">
        <f t="shared" si="313"/>
        <v>1110.6375127662573</v>
      </c>
      <c r="E2190" s="24">
        <f t="shared" si="314"/>
        <v>1109.3638093034174</v>
      </c>
      <c r="F2190" s="24">
        <f t="shared" si="307"/>
        <v>31.8425865709969</v>
      </c>
      <c r="G2190" s="14">
        <f t="shared" si="308"/>
        <v>534.90502151599628</v>
      </c>
      <c r="H2190" s="24">
        <f t="shared" si="315"/>
        <v>650</v>
      </c>
      <c r="I2190" s="12">
        <f t="shared" si="309"/>
        <v>6.9662842733681091E-2</v>
      </c>
      <c r="J2190" s="3">
        <f t="shared" si="310"/>
        <v>0.7</v>
      </c>
    </row>
    <row r="2191" spans="2:10" x14ac:dyDescent="0.25">
      <c r="B2191" s="3">
        <f t="shared" si="311"/>
        <v>10870</v>
      </c>
      <c r="C2191" s="14">
        <f t="shared" si="312"/>
        <v>181.16666666666666</v>
      </c>
      <c r="D2191" s="11">
        <f t="shared" si="313"/>
        <v>1110.7064008577038</v>
      </c>
      <c r="E2191" s="24">
        <f t="shared" si="314"/>
        <v>1109.433472146151</v>
      </c>
      <c r="F2191" s="24">
        <f t="shared" si="307"/>
        <v>31.823217788820557</v>
      </c>
      <c r="G2191" s="14">
        <f t="shared" si="308"/>
        <v>534.65999292965444</v>
      </c>
      <c r="H2191" s="24">
        <f t="shared" si="315"/>
        <v>650</v>
      </c>
      <c r="I2191" s="12">
        <f t="shared" si="309"/>
        <v>6.9630343836395131E-2</v>
      </c>
      <c r="J2191" s="3">
        <f t="shared" si="310"/>
        <v>0.7</v>
      </c>
    </row>
    <row r="2192" spans="2:10" x14ac:dyDescent="0.25">
      <c r="B2192" s="3">
        <f t="shared" si="311"/>
        <v>10875</v>
      </c>
      <c r="C2192" s="14">
        <f t="shared" si="312"/>
        <v>181.25</v>
      </c>
      <c r="D2192" s="11">
        <f t="shared" si="313"/>
        <v>1110.7752572910188</v>
      </c>
      <c r="E2192" s="24">
        <f t="shared" si="314"/>
        <v>1109.5031024899874</v>
      </c>
      <c r="F2192" s="24">
        <f t="shared" si="307"/>
        <v>31.803870025782999</v>
      </c>
      <c r="G2192" s="14">
        <f t="shared" si="308"/>
        <v>534.41519060664211</v>
      </c>
      <c r="H2192" s="24">
        <f t="shared" si="315"/>
        <v>650</v>
      </c>
      <c r="I2192" s="12">
        <f t="shared" si="309"/>
        <v>6.9597875334296483E-2</v>
      </c>
      <c r="J2192" s="3">
        <f t="shared" si="310"/>
        <v>0.7</v>
      </c>
    </row>
    <row r="2193" spans="2:10" x14ac:dyDescent="0.25">
      <c r="B2193" s="3">
        <f t="shared" si="311"/>
        <v>10880</v>
      </c>
      <c r="C2193" s="14">
        <f t="shared" si="312"/>
        <v>181.33333333333334</v>
      </c>
      <c r="D2193" s="11">
        <f t="shared" si="313"/>
        <v>1110.8440820952867</v>
      </c>
      <c r="E2193" s="24">
        <f t="shared" si="314"/>
        <v>1109.5727003653217</v>
      </c>
      <c r="F2193" s="24">
        <f t="shared" ref="F2193:F2256" si="316">AlphaC*(D2193-E2193)</f>
        <v>31.784543249125363</v>
      </c>
      <c r="G2193" s="14">
        <f t="shared" ref="G2193:G2256" si="317">Phi*EpsilonF*Botzman/10^8*J2193*((D2193+273)^4-(E2193+273)^4)</f>
        <v>534.17061423246253</v>
      </c>
      <c r="H2193" s="24">
        <f t="shared" si="315"/>
        <v>650</v>
      </c>
      <c r="I2193" s="12">
        <f t="shared" ref="I2193:I2256" si="318">ksh*Massivete/(H2193*RhoA)*DeltaT*(F2193+G2193)</f>
        <v>6.9565437184701553E-2</v>
      </c>
      <c r="J2193" s="3">
        <f t="shared" ref="J2193:J2256" si="319">IF(E2193&lt;=500,IF(Galva=Oui,0.35,0.7),0.7)</f>
        <v>0.7</v>
      </c>
    </row>
    <row r="2194" spans="2:10" x14ac:dyDescent="0.25">
      <c r="B2194" s="3">
        <f t="shared" ref="B2194:B2257" si="320">B2193+DeltaT</f>
        <v>10885</v>
      </c>
      <c r="C2194" s="14">
        <f t="shared" ref="C2194:C2257" si="321">B2194/60</f>
        <v>181.41666666666666</v>
      </c>
      <c r="D2194" s="11">
        <f t="shared" ref="D2194:D2257" si="322">20+345*LOG(8*C2194+1,10)</f>
        <v>1110.9128752995516</v>
      </c>
      <c r="E2194" s="24">
        <f t="shared" si="314"/>
        <v>1109.6422658025065</v>
      </c>
      <c r="F2194" s="24">
        <f t="shared" si="316"/>
        <v>31.765237426128579</v>
      </c>
      <c r="G2194" s="14">
        <f t="shared" si="317"/>
        <v>533.926263492619</v>
      </c>
      <c r="H2194" s="24">
        <f t="shared" si="315"/>
        <v>650</v>
      </c>
      <c r="I2194" s="12">
        <f t="shared" si="318"/>
        <v>6.9533029344931663E-2</v>
      </c>
      <c r="J2194" s="3">
        <f t="shared" si="319"/>
        <v>0.7</v>
      </c>
    </row>
    <row r="2195" spans="2:10" x14ac:dyDescent="0.25">
      <c r="B2195" s="3">
        <f t="shared" si="320"/>
        <v>10890</v>
      </c>
      <c r="C2195" s="14">
        <f t="shared" si="321"/>
        <v>181.5</v>
      </c>
      <c r="D2195" s="11">
        <f t="shared" si="322"/>
        <v>1110.9816369328173</v>
      </c>
      <c r="E2195" s="24">
        <f t="shared" si="314"/>
        <v>1109.7117988318514</v>
      </c>
      <c r="F2195" s="24">
        <f t="shared" si="316"/>
        <v>31.745952524147469</v>
      </c>
      <c r="G2195" s="14">
        <f t="shared" si="317"/>
        <v>533.68213807348695</v>
      </c>
      <c r="H2195" s="24">
        <f t="shared" si="315"/>
        <v>650</v>
      </c>
      <c r="I2195" s="12">
        <f t="shared" si="318"/>
        <v>6.950065177242444E-2</v>
      </c>
      <c r="J2195" s="3">
        <f t="shared" si="319"/>
        <v>0.7</v>
      </c>
    </row>
    <row r="2196" spans="2:10" x14ac:dyDescent="0.25">
      <c r="B2196" s="3">
        <f t="shared" si="320"/>
        <v>10895</v>
      </c>
      <c r="C2196" s="14">
        <f t="shared" si="321"/>
        <v>181.58333333333334</v>
      </c>
      <c r="D2196" s="11">
        <f t="shared" si="322"/>
        <v>1111.0503670240485</v>
      </c>
      <c r="E2196" s="24">
        <f t="shared" si="314"/>
        <v>1109.7812994836238</v>
      </c>
      <c r="F2196" s="24">
        <f t="shared" si="316"/>
        <v>31.726688510616441</v>
      </c>
      <c r="G2196" s="14">
        <f t="shared" si="317"/>
        <v>533.43823766219737</v>
      </c>
      <c r="H2196" s="24">
        <f t="shared" si="315"/>
        <v>650</v>
      </c>
      <c r="I2196" s="12">
        <f t="shared" si="318"/>
        <v>6.9468304424720129E-2</v>
      </c>
      <c r="J2196" s="3">
        <f t="shared" si="319"/>
        <v>0.7</v>
      </c>
    </row>
    <row r="2197" spans="2:10" x14ac:dyDescent="0.25">
      <c r="B2197" s="3">
        <f t="shared" si="320"/>
        <v>10900</v>
      </c>
      <c r="C2197" s="14">
        <f t="shared" si="321"/>
        <v>181.66666666666666</v>
      </c>
      <c r="D2197" s="11">
        <f t="shared" si="322"/>
        <v>1111.1190656021693</v>
      </c>
      <c r="E2197" s="24">
        <f t="shared" si="314"/>
        <v>1109.8507677880484</v>
      </c>
      <c r="F2197" s="24">
        <f t="shared" si="316"/>
        <v>31.707445353021058</v>
      </c>
      <c r="G2197" s="14">
        <f t="shared" si="317"/>
        <v>533.19456194609472</v>
      </c>
      <c r="H2197" s="24">
        <f t="shared" si="315"/>
        <v>650</v>
      </c>
      <c r="I2197" s="12">
        <f t="shared" si="318"/>
        <v>6.9435987259391513E-2</v>
      </c>
      <c r="J2197" s="3">
        <f t="shared" si="319"/>
        <v>0.7</v>
      </c>
    </row>
    <row r="2198" spans="2:10" x14ac:dyDescent="0.25">
      <c r="B2198" s="3">
        <f t="shared" si="320"/>
        <v>10905</v>
      </c>
      <c r="C2198" s="14">
        <f t="shared" si="321"/>
        <v>181.75</v>
      </c>
      <c r="D2198" s="11">
        <f t="shared" si="322"/>
        <v>1111.1877326960646</v>
      </c>
      <c r="E2198" s="24">
        <f t="shared" si="314"/>
        <v>1109.9202037753078</v>
      </c>
      <c r="F2198" s="24">
        <f t="shared" si="316"/>
        <v>31.68822301892078</v>
      </c>
      <c r="G2198" s="14">
        <f t="shared" si="317"/>
        <v>532.95111061341481</v>
      </c>
      <c r="H2198" s="24">
        <f t="shared" si="315"/>
        <v>650</v>
      </c>
      <c r="I2198" s="12">
        <f t="shared" si="318"/>
        <v>6.9403700234130034E-2</v>
      </c>
      <c r="J2198" s="3">
        <f t="shared" si="319"/>
        <v>0.7</v>
      </c>
    </row>
    <row r="2199" spans="2:10" x14ac:dyDescent="0.25">
      <c r="B2199" s="3">
        <f t="shared" si="320"/>
        <v>10910</v>
      </c>
      <c r="C2199" s="14">
        <f t="shared" si="321"/>
        <v>181.83333333333334</v>
      </c>
      <c r="D2199" s="11">
        <f t="shared" si="322"/>
        <v>1111.2563683345788</v>
      </c>
      <c r="E2199" s="24">
        <f t="shared" si="314"/>
        <v>1109.9896074755418</v>
      </c>
      <c r="F2199" s="24">
        <f t="shared" si="316"/>
        <v>31.669021475926229</v>
      </c>
      <c r="G2199" s="14">
        <f t="shared" si="317"/>
        <v>532.70788335258737</v>
      </c>
      <c r="H2199" s="24">
        <f t="shared" si="315"/>
        <v>650</v>
      </c>
      <c r="I2199" s="12">
        <f t="shared" si="318"/>
        <v>6.9371443306657246E-2</v>
      </c>
      <c r="J2199" s="3">
        <f t="shared" si="319"/>
        <v>0.7</v>
      </c>
    </row>
    <row r="2200" spans="2:10" x14ac:dyDescent="0.25">
      <c r="B2200" s="3">
        <f t="shared" si="320"/>
        <v>10915</v>
      </c>
      <c r="C2200" s="14">
        <f t="shared" si="321"/>
        <v>181.91666666666666</v>
      </c>
      <c r="D2200" s="11">
        <f t="shared" si="322"/>
        <v>1111.3249725465175</v>
      </c>
      <c r="E2200" s="24">
        <f t="shared" si="314"/>
        <v>1110.0589789188484</v>
      </c>
      <c r="F2200" s="24">
        <f t="shared" si="316"/>
        <v>31.649840691727604</v>
      </c>
      <c r="G2200" s="14">
        <f t="shared" si="317"/>
        <v>532.4648798529139</v>
      </c>
      <c r="H2200" s="24">
        <f t="shared" si="315"/>
        <v>650</v>
      </c>
      <c r="I2200" s="12">
        <f t="shared" si="318"/>
        <v>6.933921643481164E-2</v>
      </c>
      <c r="J2200" s="3">
        <f t="shared" si="319"/>
        <v>0.7</v>
      </c>
    </row>
    <row r="2201" spans="2:10" x14ac:dyDescent="0.25">
      <c r="B2201" s="3">
        <f t="shared" si="320"/>
        <v>10920</v>
      </c>
      <c r="C2201" s="14">
        <f t="shared" si="321"/>
        <v>182</v>
      </c>
      <c r="D2201" s="11">
        <f t="shared" si="322"/>
        <v>1111.3935453606464</v>
      </c>
      <c r="E2201" s="24">
        <f t="shared" si="314"/>
        <v>1110.1283181352833</v>
      </c>
      <c r="F2201" s="24">
        <f t="shared" si="316"/>
        <v>31.630680634077635</v>
      </c>
      <c r="G2201" s="14">
        <f t="shared" si="317"/>
        <v>532.22209980429705</v>
      </c>
      <c r="H2201" s="24">
        <f t="shared" si="315"/>
        <v>650</v>
      </c>
      <c r="I2201" s="12">
        <f t="shared" si="318"/>
        <v>6.9307019576513279E-2</v>
      </c>
      <c r="J2201" s="3">
        <f t="shared" si="319"/>
        <v>0.7</v>
      </c>
    </row>
    <row r="2202" spans="2:10" x14ac:dyDescent="0.25">
      <c r="B2202" s="3">
        <f t="shared" si="320"/>
        <v>10925</v>
      </c>
      <c r="C2202" s="14">
        <f t="shared" si="321"/>
        <v>182.08333333333334</v>
      </c>
      <c r="D2202" s="11">
        <f t="shared" si="322"/>
        <v>1111.462086805692</v>
      </c>
      <c r="E2202" s="24">
        <f t="shared" si="314"/>
        <v>1110.1976251548599</v>
      </c>
      <c r="F2202" s="24">
        <f t="shared" si="316"/>
        <v>31.611541270802945</v>
      </c>
      <c r="G2202" s="14">
        <f t="shared" si="317"/>
        <v>531.97954289727886</v>
      </c>
      <c r="H2202" s="24">
        <f t="shared" si="315"/>
        <v>650</v>
      </c>
      <c r="I2202" s="12">
        <f t="shared" si="318"/>
        <v>6.927485268976992E-2</v>
      </c>
      <c r="J2202" s="3">
        <f t="shared" si="319"/>
        <v>0.7</v>
      </c>
    </row>
    <row r="2203" spans="2:10" x14ac:dyDescent="0.25">
      <c r="B2203" s="3">
        <f t="shared" si="320"/>
        <v>10930</v>
      </c>
      <c r="C2203" s="14">
        <f t="shared" si="321"/>
        <v>182.16666666666666</v>
      </c>
      <c r="D2203" s="11">
        <f t="shared" si="322"/>
        <v>1111.5305969103408</v>
      </c>
      <c r="E2203" s="24">
        <f t="shared" si="314"/>
        <v>1110.2669000075496</v>
      </c>
      <c r="F2203" s="24">
        <f t="shared" si="316"/>
        <v>31.59242256978132</v>
      </c>
      <c r="G2203" s="14">
        <f t="shared" si="317"/>
        <v>531.73720882263387</v>
      </c>
      <c r="H2203" s="24">
        <f t="shared" si="315"/>
        <v>650</v>
      </c>
      <c r="I2203" s="12">
        <f t="shared" si="318"/>
        <v>6.9242715732624166E-2</v>
      </c>
      <c r="J2203" s="3">
        <f t="shared" si="319"/>
        <v>0.7</v>
      </c>
    </row>
    <row r="2204" spans="2:10" x14ac:dyDescent="0.25">
      <c r="B2204" s="3">
        <f t="shared" si="320"/>
        <v>10935</v>
      </c>
      <c r="C2204" s="14">
        <f t="shared" si="321"/>
        <v>182.25</v>
      </c>
      <c r="D2204" s="11">
        <f t="shared" si="322"/>
        <v>1111.5990757032407</v>
      </c>
      <c r="E2204" s="24">
        <f t="shared" si="314"/>
        <v>1110.3361427232821</v>
      </c>
      <c r="F2204" s="24">
        <f t="shared" si="316"/>
        <v>31.573324498964439</v>
      </c>
      <c r="G2204" s="14">
        <f t="shared" si="317"/>
        <v>531.49509727208624</v>
      </c>
      <c r="H2204" s="24">
        <f t="shared" si="315"/>
        <v>650</v>
      </c>
      <c r="I2204" s="12">
        <f t="shared" si="318"/>
        <v>6.9210608663244452E-2</v>
      </c>
      <c r="J2204" s="3">
        <f t="shared" si="319"/>
        <v>0.7</v>
      </c>
    </row>
    <row r="2205" spans="2:10" x14ac:dyDescent="0.25">
      <c r="B2205" s="3">
        <f t="shared" si="320"/>
        <v>10940</v>
      </c>
      <c r="C2205" s="14">
        <f t="shared" si="321"/>
        <v>182.33333333333334</v>
      </c>
      <c r="D2205" s="11">
        <f t="shared" si="322"/>
        <v>1111.6675232129996</v>
      </c>
      <c r="E2205" s="24">
        <f t="shared" si="314"/>
        <v>1110.4053533319454</v>
      </c>
      <c r="F2205" s="24">
        <f t="shared" si="316"/>
        <v>31.554247026355142</v>
      </c>
      <c r="G2205" s="14">
        <f t="shared" si="317"/>
        <v>531.25320793753463</v>
      </c>
      <c r="H2205" s="24">
        <f t="shared" si="315"/>
        <v>650</v>
      </c>
      <c r="I2205" s="12">
        <f t="shared" si="318"/>
        <v>6.9178531439826912E-2</v>
      </c>
      <c r="J2205" s="3">
        <f t="shared" si="319"/>
        <v>0.7</v>
      </c>
    </row>
    <row r="2206" spans="2:10" x14ac:dyDescent="0.25">
      <c r="B2206" s="3">
        <f t="shared" si="320"/>
        <v>10945</v>
      </c>
      <c r="C2206" s="14">
        <f t="shared" si="321"/>
        <v>182.41666666666666</v>
      </c>
      <c r="D2206" s="11">
        <f t="shared" si="322"/>
        <v>1111.7359394681869</v>
      </c>
      <c r="E2206" s="24">
        <f t="shared" si="314"/>
        <v>1110.4745318633852</v>
      </c>
      <c r="F2206" s="24">
        <f t="shared" si="316"/>
        <v>31.535190120041534</v>
      </c>
      <c r="G2206" s="14">
        <f t="shared" si="317"/>
        <v>531.01154051180788</v>
      </c>
      <c r="H2206" s="24">
        <f t="shared" si="315"/>
        <v>650</v>
      </c>
      <c r="I2206" s="12">
        <f t="shared" si="318"/>
        <v>6.9146484020692525E-2</v>
      </c>
      <c r="J2206" s="3">
        <f t="shared" si="319"/>
        <v>0.7</v>
      </c>
    </row>
    <row r="2207" spans="2:10" x14ac:dyDescent="0.25">
      <c r="B2207" s="3">
        <f t="shared" si="320"/>
        <v>10950</v>
      </c>
      <c r="C2207" s="14">
        <f t="shared" si="321"/>
        <v>182.5</v>
      </c>
      <c r="D2207" s="11">
        <f t="shared" si="322"/>
        <v>1111.8043244973323</v>
      </c>
      <c r="E2207" s="24">
        <f t="shared" si="314"/>
        <v>1110.5436783474058</v>
      </c>
      <c r="F2207" s="24">
        <f t="shared" si="316"/>
        <v>31.516153748162878</v>
      </c>
      <c r="G2207" s="14">
        <f t="shared" si="317"/>
        <v>530.7700946882195</v>
      </c>
      <c r="H2207" s="24">
        <f t="shared" si="315"/>
        <v>650</v>
      </c>
      <c r="I2207" s="12">
        <f t="shared" si="318"/>
        <v>6.9114466364228147E-2</v>
      </c>
      <c r="J2207" s="3">
        <f t="shared" si="319"/>
        <v>0.7</v>
      </c>
    </row>
    <row r="2208" spans="2:10" x14ac:dyDescent="0.25">
      <c r="B2208" s="3">
        <f t="shared" si="320"/>
        <v>10955</v>
      </c>
      <c r="C2208" s="14">
        <f t="shared" si="321"/>
        <v>182.58333333333334</v>
      </c>
      <c r="D2208" s="11">
        <f t="shared" si="322"/>
        <v>1111.8726783289267</v>
      </c>
      <c r="E2208" s="24">
        <f t="shared" si="314"/>
        <v>1110.6127928137701</v>
      </c>
      <c r="F2208" s="24">
        <f t="shared" si="316"/>
        <v>31.497137878915282</v>
      </c>
      <c r="G2208" s="14">
        <f t="shared" si="317"/>
        <v>530.52887016031514</v>
      </c>
      <c r="H2208" s="24">
        <f t="shared" si="315"/>
        <v>650</v>
      </c>
      <c r="I2208" s="12">
        <f t="shared" si="318"/>
        <v>6.9082478428856092E-2</v>
      </c>
      <c r="J2208" s="3">
        <f t="shared" si="319"/>
        <v>0.7</v>
      </c>
    </row>
    <row r="2209" spans="2:10" x14ac:dyDescent="0.25">
      <c r="B2209" s="3">
        <f t="shared" si="320"/>
        <v>10960</v>
      </c>
      <c r="C2209" s="14">
        <f t="shared" si="321"/>
        <v>182.66666666666666</v>
      </c>
      <c r="D2209" s="11">
        <f t="shared" si="322"/>
        <v>1111.9410009914225</v>
      </c>
      <c r="E2209" s="24">
        <f t="shared" si="314"/>
        <v>1110.6818752921988</v>
      </c>
      <c r="F2209" s="24">
        <f t="shared" si="316"/>
        <v>31.478142480591487</v>
      </c>
      <c r="G2209" s="14">
        <f t="shared" si="317"/>
        <v>530.28786662291998</v>
      </c>
      <c r="H2209" s="24">
        <f t="shared" si="315"/>
        <v>650</v>
      </c>
      <c r="I2209" s="12">
        <f t="shared" si="318"/>
        <v>6.9050520173167901E-2</v>
      </c>
      <c r="J2209" s="3">
        <f t="shared" si="319"/>
        <v>0.7</v>
      </c>
    </row>
    <row r="2210" spans="2:10" x14ac:dyDescent="0.25">
      <c r="B2210" s="3">
        <f t="shared" si="320"/>
        <v>10965</v>
      </c>
      <c r="C2210" s="14">
        <f t="shared" si="321"/>
        <v>182.75</v>
      </c>
      <c r="D2210" s="11">
        <f t="shared" si="322"/>
        <v>1112.0092925132321</v>
      </c>
      <c r="E2210" s="24">
        <f t="shared" si="314"/>
        <v>1110.7509258123721</v>
      </c>
      <c r="F2210" s="24">
        <f t="shared" si="316"/>
        <v>31.459167521501286</v>
      </c>
      <c r="G2210" s="14">
        <f t="shared" si="317"/>
        <v>530.04708377054885</v>
      </c>
      <c r="H2210" s="24">
        <f t="shared" si="315"/>
        <v>650</v>
      </c>
      <c r="I2210" s="12">
        <f t="shared" si="318"/>
        <v>6.901859155571903E-2</v>
      </c>
      <c r="J2210" s="3">
        <f t="shared" si="319"/>
        <v>0.7</v>
      </c>
    </row>
    <row r="2211" spans="2:10" x14ac:dyDescent="0.25">
      <c r="B2211" s="3">
        <f t="shared" si="320"/>
        <v>10970</v>
      </c>
      <c r="C2211" s="14">
        <f t="shared" si="321"/>
        <v>182.83333333333334</v>
      </c>
      <c r="D2211" s="11">
        <f t="shared" si="322"/>
        <v>1112.0775529227301</v>
      </c>
      <c r="E2211" s="24">
        <f t="shared" si="314"/>
        <v>1110.8199444039278</v>
      </c>
      <c r="F2211" s="24">
        <f t="shared" si="316"/>
        <v>31.440212970056791</v>
      </c>
      <c r="G2211" s="14">
        <f t="shared" si="317"/>
        <v>529.80652129897646</v>
      </c>
      <c r="H2211" s="24">
        <f t="shared" si="315"/>
        <v>650</v>
      </c>
      <c r="I2211" s="12">
        <f t="shared" si="318"/>
        <v>6.8986692535232361E-2</v>
      </c>
      <c r="J2211" s="3">
        <f t="shared" si="319"/>
        <v>0.7</v>
      </c>
    </row>
    <row r="2212" spans="2:10" x14ac:dyDescent="0.25">
      <c r="B2212" s="3">
        <f t="shared" si="320"/>
        <v>10975</v>
      </c>
      <c r="C2212" s="14">
        <f t="shared" si="321"/>
        <v>182.91666666666666</v>
      </c>
      <c r="D2212" s="11">
        <f t="shared" si="322"/>
        <v>1112.1457822482519</v>
      </c>
      <c r="E2212" s="24">
        <f t="shared" si="314"/>
        <v>1110.888931096463</v>
      </c>
      <c r="F2212" s="24">
        <f t="shared" si="316"/>
        <v>31.421278794721275</v>
      </c>
      <c r="G2212" s="14">
        <f t="shared" si="317"/>
        <v>529.56617890430664</v>
      </c>
      <c r="H2212" s="24">
        <f t="shared" si="315"/>
        <v>650</v>
      </c>
      <c r="I2212" s="12">
        <f t="shared" si="318"/>
        <v>6.8954823070477539E-2</v>
      </c>
      <c r="J2212" s="3">
        <f t="shared" si="319"/>
        <v>0.7</v>
      </c>
    </row>
    <row r="2213" spans="2:10" x14ac:dyDescent="0.25">
      <c r="B2213" s="3">
        <f t="shared" si="320"/>
        <v>10980</v>
      </c>
      <c r="C2213" s="14">
        <f t="shared" si="321"/>
        <v>183</v>
      </c>
      <c r="D2213" s="11">
        <f t="shared" si="322"/>
        <v>1112.2139805180941</v>
      </c>
      <c r="E2213" s="24">
        <f t="shared" si="314"/>
        <v>1110.9578859195335</v>
      </c>
      <c r="F2213" s="24">
        <f t="shared" si="316"/>
        <v>31.402364964014851</v>
      </c>
      <c r="G2213" s="14">
        <f t="shared" si="317"/>
        <v>529.32605628303122</v>
      </c>
      <c r="H2213" s="24">
        <f t="shared" si="315"/>
        <v>650</v>
      </c>
      <c r="I2213" s="12">
        <f t="shared" si="318"/>
        <v>6.8922983120278863E-2</v>
      </c>
      <c r="J2213" s="3">
        <f t="shared" si="319"/>
        <v>0.7</v>
      </c>
    </row>
    <row r="2214" spans="2:10" x14ac:dyDescent="0.25">
      <c r="B2214" s="3">
        <f t="shared" si="320"/>
        <v>10985</v>
      </c>
      <c r="C2214" s="14">
        <f t="shared" si="321"/>
        <v>183.08333333333334</v>
      </c>
      <c r="D2214" s="11">
        <f t="shared" si="322"/>
        <v>1112.282147760515</v>
      </c>
      <c r="E2214" s="24">
        <f t="shared" si="314"/>
        <v>1111.0268089026538</v>
      </c>
      <c r="F2214" s="24">
        <f t="shared" si="316"/>
        <v>31.38347144653153</v>
      </c>
      <c r="G2214" s="14">
        <f t="shared" si="317"/>
        <v>529.08615313247526</v>
      </c>
      <c r="H2214" s="24">
        <f t="shared" si="315"/>
        <v>650</v>
      </c>
      <c r="I2214" s="12">
        <f t="shared" si="318"/>
        <v>6.8891172643572182E-2</v>
      </c>
      <c r="J2214" s="3">
        <f t="shared" si="319"/>
        <v>0.7</v>
      </c>
    </row>
    <row r="2215" spans="2:10" x14ac:dyDescent="0.25">
      <c r="B2215" s="3">
        <f t="shared" si="320"/>
        <v>10990</v>
      </c>
      <c r="C2215" s="14">
        <f t="shared" si="321"/>
        <v>183.16666666666666</v>
      </c>
      <c r="D2215" s="11">
        <f t="shared" si="322"/>
        <v>1112.350284003734</v>
      </c>
      <c r="E2215" s="24">
        <f t="shared" si="314"/>
        <v>1111.0957000752974</v>
      </c>
      <c r="F2215" s="24">
        <f t="shared" si="316"/>
        <v>31.364598210916483</v>
      </c>
      <c r="G2215" s="14">
        <f t="shared" si="317"/>
        <v>528.84646915029293</v>
      </c>
      <c r="H2215" s="24">
        <f t="shared" si="315"/>
        <v>650</v>
      </c>
      <c r="I2215" s="12">
        <f t="shared" si="318"/>
        <v>6.8859391599340042E-2</v>
      </c>
      <c r="J2215" s="3">
        <f t="shared" si="319"/>
        <v>0.7</v>
      </c>
    </row>
    <row r="2216" spans="2:10" x14ac:dyDescent="0.25">
      <c r="B2216" s="3">
        <f t="shared" si="320"/>
        <v>10995</v>
      </c>
      <c r="C2216" s="14">
        <f t="shared" si="321"/>
        <v>183.25</v>
      </c>
      <c r="D2216" s="11">
        <f t="shared" si="322"/>
        <v>1112.4183892759324</v>
      </c>
      <c r="E2216" s="24">
        <f t="shared" si="314"/>
        <v>1111.1645594668967</v>
      </c>
      <c r="F2216" s="24">
        <f t="shared" si="316"/>
        <v>31.345745225894461</v>
      </c>
      <c r="G2216" s="14">
        <f t="shared" si="317"/>
        <v>528.60700403493354</v>
      </c>
      <c r="H2216" s="24">
        <f t="shared" si="315"/>
        <v>650</v>
      </c>
      <c r="I2216" s="12">
        <f t="shared" si="318"/>
        <v>6.88276399466725E-2</v>
      </c>
      <c r="J2216" s="3">
        <f t="shared" si="319"/>
        <v>0.7</v>
      </c>
    </row>
    <row r="2217" spans="2:10" x14ac:dyDescent="0.25">
      <c r="B2217" s="3">
        <f t="shared" si="320"/>
        <v>11000</v>
      </c>
      <c r="C2217" s="14">
        <f t="shared" si="321"/>
        <v>183.33333333333334</v>
      </c>
      <c r="D2217" s="11">
        <f t="shared" si="322"/>
        <v>1112.4864636052528</v>
      </c>
      <c r="E2217" s="24">
        <f t="shared" si="314"/>
        <v>1111.2333871068433</v>
      </c>
      <c r="F2217" s="24">
        <f t="shared" si="316"/>
        <v>31.32691246023569</v>
      </c>
      <c r="G2217" s="14">
        <f t="shared" si="317"/>
        <v>528.36775748511729</v>
      </c>
      <c r="H2217" s="24">
        <f t="shared" si="315"/>
        <v>650</v>
      </c>
      <c r="I2217" s="12">
        <f t="shared" si="318"/>
        <v>6.8795917644698543E-2</v>
      </c>
      <c r="J2217" s="3">
        <f t="shared" si="319"/>
        <v>0.7</v>
      </c>
    </row>
    <row r="2218" spans="2:10" x14ac:dyDescent="0.25">
      <c r="B2218" s="3">
        <f t="shared" si="320"/>
        <v>11005</v>
      </c>
      <c r="C2218" s="14">
        <f t="shared" si="321"/>
        <v>183.41666666666666</v>
      </c>
      <c r="D2218" s="11">
        <f t="shared" si="322"/>
        <v>1112.5545070197993</v>
      </c>
      <c r="E2218" s="24">
        <f t="shared" si="314"/>
        <v>1111.3021830244879</v>
      </c>
      <c r="F2218" s="24">
        <f t="shared" si="316"/>
        <v>31.30809988278429</v>
      </c>
      <c r="G2218" s="14">
        <f t="shared" si="317"/>
        <v>528.12872920039786</v>
      </c>
      <c r="H2218" s="24">
        <f t="shared" si="315"/>
        <v>650</v>
      </c>
      <c r="I2218" s="12">
        <f t="shared" si="318"/>
        <v>6.8764224652658662E-2</v>
      </c>
      <c r="J2218" s="3">
        <f t="shared" si="319"/>
        <v>0.7</v>
      </c>
    </row>
    <row r="2219" spans="2:10" x14ac:dyDescent="0.25">
      <c r="B2219" s="3">
        <f t="shared" si="320"/>
        <v>11010</v>
      </c>
      <c r="C2219" s="14">
        <f t="shared" si="321"/>
        <v>183.5</v>
      </c>
      <c r="D2219" s="11">
        <f t="shared" si="322"/>
        <v>1112.6225195476384</v>
      </c>
      <c r="E2219" s="24">
        <f t="shared" si="314"/>
        <v>1111.3709472491405</v>
      </c>
      <c r="F2219" s="24">
        <f t="shared" si="316"/>
        <v>31.289307462446914</v>
      </c>
      <c r="G2219" s="14">
        <f t="shared" si="317"/>
        <v>527.88991888069722</v>
      </c>
      <c r="H2219" s="24">
        <f t="shared" si="315"/>
        <v>650</v>
      </c>
      <c r="I2219" s="12">
        <f t="shared" si="318"/>
        <v>6.8732560929846309E-2</v>
      </c>
      <c r="J2219" s="3">
        <f t="shared" si="319"/>
        <v>0.7</v>
      </c>
    </row>
    <row r="2220" spans="2:10" x14ac:dyDescent="0.25">
      <c r="B2220" s="3">
        <f t="shared" si="320"/>
        <v>11015</v>
      </c>
      <c r="C2220" s="14">
        <f t="shared" si="321"/>
        <v>183.58333333333334</v>
      </c>
      <c r="D2220" s="11">
        <f t="shared" si="322"/>
        <v>1112.6905012167979</v>
      </c>
      <c r="E2220" s="24">
        <f t="shared" si="314"/>
        <v>1111.4396798100704</v>
      </c>
      <c r="F2220" s="24">
        <f t="shared" si="316"/>
        <v>31.270535168187052</v>
      </c>
      <c r="G2220" s="14">
        <f t="shared" si="317"/>
        <v>527.65132622659598</v>
      </c>
      <c r="H2220" s="24">
        <f t="shared" si="315"/>
        <v>650</v>
      </c>
      <c r="I2220" s="12">
        <f t="shared" si="318"/>
        <v>6.8700926435642864E-2</v>
      </c>
      <c r="J2220" s="3">
        <f t="shared" si="319"/>
        <v>0.7</v>
      </c>
    </row>
    <row r="2221" spans="2:10" x14ac:dyDescent="0.25">
      <c r="B2221" s="3">
        <f t="shared" si="320"/>
        <v>11020</v>
      </c>
      <c r="C2221" s="14">
        <f t="shared" si="321"/>
        <v>183.66666666666666</v>
      </c>
      <c r="D2221" s="11">
        <f t="shared" si="322"/>
        <v>1112.7584520552668</v>
      </c>
      <c r="E2221" s="24">
        <f t="shared" si="314"/>
        <v>1111.5083807365061</v>
      </c>
      <c r="F2221" s="24">
        <f t="shared" si="316"/>
        <v>31.251782969019359</v>
      </c>
      <c r="G2221" s="14">
        <f t="shared" si="317"/>
        <v>527.41295093888846</v>
      </c>
      <c r="H2221" s="24">
        <f t="shared" si="315"/>
        <v>650</v>
      </c>
      <c r="I2221" s="12">
        <f t="shared" si="318"/>
        <v>6.8669321129462293E-2</v>
      </c>
      <c r="J2221" s="3">
        <f t="shared" si="319"/>
        <v>0.7</v>
      </c>
    </row>
    <row r="2222" spans="2:10" x14ac:dyDescent="0.25">
      <c r="B2222" s="3">
        <f t="shared" si="320"/>
        <v>11025</v>
      </c>
      <c r="C2222" s="14">
        <f t="shared" si="321"/>
        <v>183.75</v>
      </c>
      <c r="D2222" s="11">
        <f t="shared" si="322"/>
        <v>1112.8263720909979</v>
      </c>
      <c r="E2222" s="24">
        <f t="shared" si="314"/>
        <v>1111.5770500576355</v>
      </c>
      <c r="F2222" s="24">
        <f t="shared" si="316"/>
        <v>31.233050834060805</v>
      </c>
      <c r="G2222" s="14">
        <f t="shared" si="317"/>
        <v>527.17479271964737</v>
      </c>
      <c r="H2222" s="24">
        <f t="shared" si="315"/>
        <v>650</v>
      </c>
      <c r="I2222" s="12">
        <f t="shared" si="318"/>
        <v>6.8637744970888259E-2</v>
      </c>
      <c r="J2222" s="3">
        <f t="shared" si="319"/>
        <v>0.7</v>
      </c>
    </row>
    <row r="2223" spans="2:10" x14ac:dyDescent="0.25">
      <c r="B2223" s="3">
        <f t="shared" si="320"/>
        <v>11030</v>
      </c>
      <c r="C2223" s="14">
        <f t="shared" si="321"/>
        <v>183.83333333333334</v>
      </c>
      <c r="D2223" s="11">
        <f t="shared" si="322"/>
        <v>1112.8942613519041</v>
      </c>
      <c r="E2223" s="24">
        <f t="shared" si="314"/>
        <v>1111.6456878026063</v>
      </c>
      <c r="F2223" s="24">
        <f t="shared" si="316"/>
        <v>31.214338732445412</v>
      </c>
      <c r="G2223" s="14">
        <f t="shared" si="317"/>
        <v>526.93685127082972</v>
      </c>
      <c r="H2223" s="24">
        <f t="shared" si="315"/>
        <v>650</v>
      </c>
      <c r="I2223" s="12">
        <f t="shared" si="318"/>
        <v>6.8606197919492309E-2</v>
      </c>
      <c r="J2223" s="3">
        <f t="shared" si="319"/>
        <v>0.7</v>
      </c>
    </row>
    <row r="2224" spans="2:10" x14ac:dyDescent="0.25">
      <c r="B2224" s="3">
        <f t="shared" si="320"/>
        <v>11035</v>
      </c>
      <c r="C2224" s="14">
        <f t="shared" si="321"/>
        <v>183.91666666666666</v>
      </c>
      <c r="D2224" s="11">
        <f t="shared" si="322"/>
        <v>1112.9621198658613</v>
      </c>
      <c r="E2224" s="24">
        <f t="shared" si="314"/>
        <v>1111.7142940005258</v>
      </c>
      <c r="F2224" s="24">
        <f t="shared" si="316"/>
        <v>31.195646633386787</v>
      </c>
      <c r="G2224" s="14">
        <f t="shared" si="317"/>
        <v>526.69912629499311</v>
      </c>
      <c r="H2224" s="24">
        <f t="shared" si="315"/>
        <v>650</v>
      </c>
      <c r="I2224" s="12">
        <f t="shared" si="318"/>
        <v>6.8574679934929564E-2</v>
      </c>
      <c r="J2224" s="3">
        <f t="shared" si="319"/>
        <v>0.7</v>
      </c>
    </row>
    <row r="2225" spans="2:10" x14ac:dyDescent="0.25">
      <c r="B2225" s="3">
        <f t="shared" si="320"/>
        <v>11040</v>
      </c>
      <c r="C2225" s="14">
        <f t="shared" si="321"/>
        <v>184</v>
      </c>
      <c r="D2225" s="11">
        <f t="shared" si="322"/>
        <v>1113.0299476607076</v>
      </c>
      <c r="E2225" s="24">
        <f t="shared" si="314"/>
        <v>1111.7828686804608</v>
      </c>
      <c r="F2225" s="24">
        <f t="shared" si="316"/>
        <v>31.176974506172428</v>
      </c>
      <c r="G2225" s="14">
        <f t="shared" si="317"/>
        <v>526.46161749576083</v>
      </c>
      <c r="H2225" s="24">
        <f t="shared" si="315"/>
        <v>650</v>
      </c>
      <c r="I2225" s="12">
        <f t="shared" si="318"/>
        <v>6.8543190976995252E-2</v>
      </c>
      <c r="J2225" s="3">
        <f t="shared" si="319"/>
        <v>0.7</v>
      </c>
    </row>
    <row r="2226" spans="2:10" x14ac:dyDescent="0.25">
      <c r="B2226" s="3">
        <f t="shared" si="320"/>
        <v>11045</v>
      </c>
      <c r="C2226" s="14">
        <f t="shared" si="321"/>
        <v>184.08333333333334</v>
      </c>
      <c r="D2226" s="11">
        <f t="shared" si="322"/>
        <v>1113.0977447642429</v>
      </c>
      <c r="E2226" s="24">
        <f t="shared" si="314"/>
        <v>1111.8514118714377</v>
      </c>
      <c r="F2226" s="24">
        <f t="shared" si="316"/>
        <v>31.158322320129628</v>
      </c>
      <c r="G2226" s="14">
        <f t="shared" si="317"/>
        <v>526.22432457671755</v>
      </c>
      <c r="H2226" s="24">
        <f t="shared" si="315"/>
        <v>650</v>
      </c>
      <c r="I2226" s="12">
        <f t="shared" si="318"/>
        <v>6.8511731005484744E-2</v>
      </c>
      <c r="J2226" s="3">
        <f t="shared" si="319"/>
        <v>0.7</v>
      </c>
    </row>
    <row r="2227" spans="2:10" x14ac:dyDescent="0.25">
      <c r="B2227" s="3">
        <f t="shared" si="320"/>
        <v>11050</v>
      </c>
      <c r="C2227" s="14">
        <f t="shared" si="321"/>
        <v>184.16666666666666</v>
      </c>
      <c r="D2227" s="11">
        <f t="shared" si="322"/>
        <v>1113.1655112042297</v>
      </c>
      <c r="E2227" s="24">
        <f t="shared" si="314"/>
        <v>1111.9199236024431</v>
      </c>
      <c r="F2227" s="24">
        <f t="shared" si="316"/>
        <v>31.139690044665258</v>
      </c>
      <c r="G2227" s="14">
        <f t="shared" si="317"/>
        <v>525.98724724230078</v>
      </c>
      <c r="H2227" s="24">
        <f t="shared" si="315"/>
        <v>650</v>
      </c>
      <c r="I2227" s="12">
        <f t="shared" si="318"/>
        <v>6.8480299980307996E-2</v>
      </c>
      <c r="J2227" s="3">
        <f t="shared" si="319"/>
        <v>0.7</v>
      </c>
    </row>
    <row r="2228" spans="2:10" x14ac:dyDescent="0.25">
      <c r="B2228" s="3">
        <f t="shared" si="320"/>
        <v>11055</v>
      </c>
      <c r="C2228" s="14">
        <f t="shared" si="321"/>
        <v>184.25</v>
      </c>
      <c r="D2228" s="11">
        <f t="shared" si="322"/>
        <v>1113.2332470083925</v>
      </c>
      <c r="E2228" s="24">
        <f t="shared" ref="E2228:E2291" si="323">E2227+I2227</f>
        <v>1111.9884039024234</v>
      </c>
      <c r="F2228" s="24">
        <f t="shared" si="316"/>
        <v>31.121077649225981</v>
      </c>
      <c r="G2228" s="14">
        <f t="shared" si="317"/>
        <v>525.75038519729685</v>
      </c>
      <c r="H2228" s="24">
        <f t="shared" ref="H2228:H2291" si="324">IF(E2228&lt;600,425+0.773*E2228-1.69/1000*E2228^2+2.22/1000^2*E2228^3,IF(E2228&lt;735,666+13002/(738-E2228),IF(E2228&lt;900,545+17820/(E2228-731),650)))</f>
        <v>650</v>
      </c>
      <c r="I2228" s="12">
        <f t="shared" si="318"/>
        <v>6.8448897861422761E-2</v>
      </c>
      <c r="J2228" s="3">
        <f t="shared" si="319"/>
        <v>0.7</v>
      </c>
    </row>
    <row r="2229" spans="2:10" x14ac:dyDescent="0.25">
      <c r="B2229" s="3">
        <f t="shared" si="320"/>
        <v>11060</v>
      </c>
      <c r="C2229" s="14">
        <f t="shared" si="321"/>
        <v>184.33333333333334</v>
      </c>
      <c r="D2229" s="11">
        <f t="shared" si="322"/>
        <v>1113.3009522044188</v>
      </c>
      <c r="E2229" s="24">
        <f t="shared" si="323"/>
        <v>1112.0568528002848</v>
      </c>
      <c r="F2229" s="24">
        <f t="shared" si="316"/>
        <v>31.102485103349409</v>
      </c>
      <c r="G2229" s="14">
        <f t="shared" si="317"/>
        <v>525.5137381473445</v>
      </c>
      <c r="H2229" s="24">
        <f t="shared" si="324"/>
        <v>650</v>
      </c>
      <c r="I2229" s="12">
        <f t="shared" si="318"/>
        <v>6.8417524608902727E-2</v>
      </c>
      <c r="J2229" s="3">
        <f t="shared" si="319"/>
        <v>0.7</v>
      </c>
    </row>
    <row r="2230" spans="2:10" x14ac:dyDescent="0.25">
      <c r="B2230" s="3">
        <f t="shared" si="320"/>
        <v>11065</v>
      </c>
      <c r="C2230" s="14">
        <f t="shared" si="321"/>
        <v>184.41666666666666</v>
      </c>
      <c r="D2230" s="11">
        <f t="shared" si="322"/>
        <v>1113.3686268199581</v>
      </c>
      <c r="E2230" s="24">
        <f t="shared" si="323"/>
        <v>1112.1252703248938</v>
      </c>
      <c r="F2230" s="24">
        <f t="shared" si="316"/>
        <v>31.083912376607259</v>
      </c>
      <c r="G2230" s="14">
        <f t="shared" si="317"/>
        <v>525.27730579819911</v>
      </c>
      <c r="H2230" s="24">
        <f t="shared" si="324"/>
        <v>650</v>
      </c>
      <c r="I2230" s="12">
        <f t="shared" si="318"/>
        <v>6.8386180182840123E-2</v>
      </c>
      <c r="J2230" s="3">
        <f t="shared" si="319"/>
        <v>0.7</v>
      </c>
    </row>
    <row r="2231" spans="2:10" x14ac:dyDescent="0.25">
      <c r="B2231" s="3">
        <f t="shared" si="320"/>
        <v>11070</v>
      </c>
      <c r="C2231" s="14">
        <f t="shared" si="321"/>
        <v>184.5</v>
      </c>
      <c r="D2231" s="11">
        <f t="shared" si="322"/>
        <v>1113.4362708826227</v>
      </c>
      <c r="E2231" s="24">
        <f t="shared" si="323"/>
        <v>1112.1936565050767</v>
      </c>
      <c r="F2231" s="24">
        <f t="shared" si="316"/>
        <v>31.06535943865083</v>
      </c>
      <c r="G2231" s="14">
        <f t="shared" si="317"/>
        <v>525.04108785664312</v>
      </c>
      <c r="H2231" s="24">
        <f t="shared" si="324"/>
        <v>650</v>
      </c>
      <c r="I2231" s="12">
        <f t="shared" si="318"/>
        <v>6.8354864543463179E-2</v>
      </c>
      <c r="J2231" s="3">
        <f t="shared" si="319"/>
        <v>0.7</v>
      </c>
    </row>
    <row r="2232" spans="2:10" x14ac:dyDescent="0.25">
      <c r="B2232" s="3">
        <f t="shared" si="320"/>
        <v>11075</v>
      </c>
      <c r="C2232" s="14">
        <f t="shared" si="321"/>
        <v>184.58333333333334</v>
      </c>
      <c r="D2232" s="11">
        <f t="shared" si="322"/>
        <v>1113.5038844199869</v>
      </c>
      <c r="E2232" s="24">
        <f t="shared" si="323"/>
        <v>1112.26201136962</v>
      </c>
      <c r="F2232" s="24">
        <f t="shared" si="316"/>
        <v>31.046826259171212</v>
      </c>
      <c r="G2232" s="14">
        <f t="shared" si="317"/>
        <v>524.80508402940052</v>
      </c>
      <c r="H2232" s="24">
        <f t="shared" si="324"/>
        <v>650</v>
      </c>
      <c r="I2232" s="12">
        <f t="shared" si="318"/>
        <v>6.8323577650997863E-2</v>
      </c>
      <c r="J2232" s="3">
        <f t="shared" si="319"/>
        <v>0.7</v>
      </c>
    </row>
    <row r="2233" spans="2:10" x14ac:dyDescent="0.25">
      <c r="B2233" s="3">
        <f t="shared" si="320"/>
        <v>11080</v>
      </c>
      <c r="C2233" s="14">
        <f t="shared" si="321"/>
        <v>184.66666666666666</v>
      </c>
      <c r="D2233" s="11">
        <f t="shared" si="322"/>
        <v>1113.5714674595883</v>
      </c>
      <c r="E2233" s="24">
        <f t="shared" si="323"/>
        <v>1112.330334947271</v>
      </c>
      <c r="F2233" s="24">
        <f t="shared" si="316"/>
        <v>31.028312807933389</v>
      </c>
      <c r="G2233" s="14">
        <f t="shared" si="317"/>
        <v>524.56929402418416</v>
      </c>
      <c r="H2233" s="24">
        <f t="shared" si="324"/>
        <v>650</v>
      </c>
      <c r="I2233" s="12">
        <f t="shared" si="318"/>
        <v>6.8292319465800763E-2</v>
      </c>
      <c r="J2233" s="3">
        <f t="shared" si="319"/>
        <v>0.7</v>
      </c>
    </row>
    <row r="2234" spans="2:10" x14ac:dyDescent="0.25">
      <c r="B2234" s="3">
        <f t="shared" si="320"/>
        <v>11085</v>
      </c>
      <c r="C2234" s="14">
        <f t="shared" si="321"/>
        <v>184.75</v>
      </c>
      <c r="D2234" s="11">
        <f t="shared" si="322"/>
        <v>1113.6390200289279</v>
      </c>
      <c r="E2234" s="24">
        <f t="shared" si="323"/>
        <v>1112.3986272667369</v>
      </c>
      <c r="F2234" s="24">
        <f t="shared" si="316"/>
        <v>31.009819054776244</v>
      </c>
      <c r="G2234" s="14">
        <f t="shared" si="317"/>
        <v>524.33371754932671</v>
      </c>
      <c r="H2234" s="24">
        <f t="shared" si="324"/>
        <v>650</v>
      </c>
      <c r="I2234" s="12">
        <f t="shared" si="318"/>
        <v>6.8261089948313716E-2</v>
      </c>
      <c r="J2234" s="3">
        <f t="shared" si="319"/>
        <v>0.7</v>
      </c>
    </row>
    <row r="2235" spans="2:10" x14ac:dyDescent="0.25">
      <c r="B2235" s="3">
        <f t="shared" si="320"/>
        <v>11090</v>
      </c>
      <c r="C2235" s="14">
        <f t="shared" si="321"/>
        <v>184.83333333333334</v>
      </c>
      <c r="D2235" s="11">
        <f t="shared" si="322"/>
        <v>1113.7065421554678</v>
      </c>
      <c r="E2235" s="24">
        <f t="shared" si="323"/>
        <v>1112.4668883566851</v>
      </c>
      <c r="F2235" s="24">
        <f t="shared" si="316"/>
        <v>30.991344969567081</v>
      </c>
      <c r="G2235" s="14">
        <f t="shared" si="317"/>
        <v>524.0983543131415</v>
      </c>
      <c r="H2235" s="24">
        <f t="shared" si="324"/>
        <v>650</v>
      </c>
      <c r="I2235" s="12">
        <f t="shared" si="318"/>
        <v>6.8229889058979712E-2</v>
      </c>
      <c r="J2235" s="3">
        <f t="shared" si="319"/>
        <v>0.7</v>
      </c>
    </row>
    <row r="2236" spans="2:10" x14ac:dyDescent="0.25">
      <c r="B2236" s="3">
        <f t="shared" si="320"/>
        <v>11095</v>
      </c>
      <c r="C2236" s="14">
        <f t="shared" si="321"/>
        <v>184.91666666666666</v>
      </c>
      <c r="D2236" s="11">
        <f t="shared" si="322"/>
        <v>1113.7740338666345</v>
      </c>
      <c r="E2236" s="24">
        <f t="shared" si="323"/>
        <v>1112.5351182457441</v>
      </c>
      <c r="F2236" s="24">
        <f t="shared" si="316"/>
        <v>30.972890522258467</v>
      </c>
      <c r="G2236" s="14">
        <f t="shared" si="317"/>
        <v>523.86320402504668</v>
      </c>
      <c r="H2236" s="24">
        <f t="shared" si="324"/>
        <v>650</v>
      </c>
      <c r="I2236" s="12">
        <f t="shared" si="318"/>
        <v>6.8198716758387998E-2</v>
      </c>
      <c r="J2236" s="3">
        <f t="shared" si="319"/>
        <v>0.7</v>
      </c>
    </row>
    <row r="2237" spans="2:10" x14ac:dyDescent="0.25">
      <c r="B2237" s="3">
        <f t="shared" si="320"/>
        <v>11100</v>
      </c>
      <c r="C2237" s="14">
        <f t="shared" si="321"/>
        <v>185</v>
      </c>
      <c r="D2237" s="11">
        <f t="shared" si="322"/>
        <v>1113.8414951898169</v>
      </c>
      <c r="E2237" s="24">
        <f t="shared" si="323"/>
        <v>1112.6033169625025</v>
      </c>
      <c r="F2237" s="24">
        <f t="shared" si="316"/>
        <v>30.954455682859816</v>
      </c>
      <c r="G2237" s="14">
        <f t="shared" si="317"/>
        <v>523.62826639480909</v>
      </c>
      <c r="H2237" s="24">
        <f t="shared" si="324"/>
        <v>650</v>
      </c>
      <c r="I2237" s="12">
        <f t="shared" si="318"/>
        <v>6.8167573007177656E-2</v>
      </c>
      <c r="J2237" s="3">
        <f t="shared" si="319"/>
        <v>0.7</v>
      </c>
    </row>
    <row r="2238" spans="2:10" x14ac:dyDescent="0.25">
      <c r="B2238" s="3">
        <f t="shared" si="320"/>
        <v>11105</v>
      </c>
      <c r="C2238" s="14">
        <f t="shared" si="321"/>
        <v>185.08333333333334</v>
      </c>
      <c r="D2238" s="11">
        <f t="shared" si="322"/>
        <v>1113.9089261523666</v>
      </c>
      <c r="E2238" s="24">
        <f t="shared" si="323"/>
        <v>1112.6714845355098</v>
      </c>
      <c r="F2238" s="24">
        <f t="shared" si="316"/>
        <v>30.93604042142033</v>
      </c>
      <c r="G2238" s="14">
        <f t="shared" si="317"/>
        <v>523.39354113238937</v>
      </c>
      <c r="H2238" s="24">
        <f t="shared" si="324"/>
        <v>650</v>
      </c>
      <c r="I2238" s="12">
        <f t="shared" si="318"/>
        <v>6.8136457766016525E-2</v>
      </c>
      <c r="J2238" s="3">
        <f t="shared" si="319"/>
        <v>0.7</v>
      </c>
    </row>
    <row r="2239" spans="2:10" x14ac:dyDescent="0.25">
      <c r="B2239" s="3">
        <f t="shared" si="320"/>
        <v>11110</v>
      </c>
      <c r="C2239" s="14">
        <f t="shared" si="321"/>
        <v>185.16666666666666</v>
      </c>
      <c r="D2239" s="11">
        <f t="shared" si="322"/>
        <v>1113.9763267815988</v>
      </c>
      <c r="E2239" s="24">
        <f t="shared" si="323"/>
        <v>1112.7396209932758</v>
      </c>
      <c r="F2239" s="24">
        <f t="shared" si="316"/>
        <v>30.917644708074477</v>
      </c>
      <c r="G2239" s="14">
        <f t="shared" si="317"/>
        <v>523.15902794879469</v>
      </c>
      <c r="H2239" s="24">
        <f t="shared" si="324"/>
        <v>650</v>
      </c>
      <c r="I2239" s="12">
        <f t="shared" si="318"/>
        <v>6.8105370995711512E-2</v>
      </c>
      <c r="J2239" s="3">
        <f t="shared" si="319"/>
        <v>0.7</v>
      </c>
    </row>
    <row r="2240" spans="2:10" x14ac:dyDescent="0.25">
      <c r="B2240" s="3">
        <f t="shared" si="320"/>
        <v>11115</v>
      </c>
      <c r="C2240" s="14">
        <f t="shared" si="321"/>
        <v>185.25</v>
      </c>
      <c r="D2240" s="11">
        <f t="shared" si="322"/>
        <v>1114.0436971047918</v>
      </c>
      <c r="E2240" s="24">
        <f t="shared" si="323"/>
        <v>1112.8077263642715</v>
      </c>
      <c r="F2240" s="24">
        <f t="shared" si="316"/>
        <v>30.899268513007883</v>
      </c>
      <c r="G2240" s="14">
        <f t="shared" si="317"/>
        <v>522.92472655532288</v>
      </c>
      <c r="H2240" s="24">
        <f t="shared" si="324"/>
        <v>650</v>
      </c>
      <c r="I2240" s="12">
        <f t="shared" si="318"/>
        <v>6.8074312657111558E-2</v>
      </c>
      <c r="J2240" s="3">
        <f t="shared" si="319"/>
        <v>0.7</v>
      </c>
    </row>
    <row r="2241" spans="2:10" x14ac:dyDescent="0.25">
      <c r="B2241" s="3">
        <f t="shared" si="320"/>
        <v>11120</v>
      </c>
      <c r="C2241" s="14">
        <f t="shared" si="321"/>
        <v>185.33333333333334</v>
      </c>
      <c r="D2241" s="11">
        <f t="shared" si="322"/>
        <v>1114.1110371491866</v>
      </c>
      <c r="E2241" s="24">
        <f t="shared" si="323"/>
        <v>1112.8758006769285</v>
      </c>
      <c r="F2241" s="24">
        <f t="shared" si="316"/>
        <v>30.88091180645165</v>
      </c>
      <c r="G2241" s="14">
        <f t="shared" si="317"/>
        <v>522.69063666371778</v>
      </c>
      <c r="H2241" s="24">
        <f t="shared" si="324"/>
        <v>650</v>
      </c>
      <c r="I2241" s="12">
        <f t="shared" si="318"/>
        <v>6.804328271112603E-2</v>
      </c>
      <c r="J2241" s="3">
        <f t="shared" si="319"/>
        <v>0.7</v>
      </c>
    </row>
    <row r="2242" spans="2:10" x14ac:dyDescent="0.25">
      <c r="B2242" s="3">
        <f t="shared" si="320"/>
        <v>11125</v>
      </c>
      <c r="C2242" s="14">
        <f t="shared" si="321"/>
        <v>185.41666666666666</v>
      </c>
      <c r="D2242" s="11">
        <f t="shared" si="322"/>
        <v>1114.1783469419881</v>
      </c>
      <c r="E2242" s="24">
        <f t="shared" si="323"/>
        <v>1112.9438439596397</v>
      </c>
      <c r="F2242" s="24">
        <f t="shared" si="316"/>
        <v>30.862574558710776</v>
      </c>
      <c r="G2242" s="14">
        <f t="shared" si="317"/>
        <v>522.45675798624609</v>
      </c>
      <c r="H2242" s="24">
        <f t="shared" si="324"/>
        <v>650</v>
      </c>
      <c r="I2242" s="12">
        <f t="shared" si="318"/>
        <v>6.8012281118737639E-2</v>
      </c>
      <c r="J2242" s="3">
        <f t="shared" si="319"/>
        <v>0.7</v>
      </c>
    </row>
    <row r="2243" spans="2:10" x14ac:dyDescent="0.25">
      <c r="B2243" s="3">
        <f t="shared" si="320"/>
        <v>11130</v>
      </c>
      <c r="C2243" s="14">
        <f t="shared" si="321"/>
        <v>185.5</v>
      </c>
      <c r="D2243" s="11">
        <f t="shared" si="322"/>
        <v>1114.2456265103647</v>
      </c>
      <c r="E2243" s="24">
        <f t="shared" si="323"/>
        <v>1113.0118562407583</v>
      </c>
      <c r="F2243" s="24">
        <f t="shared" si="316"/>
        <v>30.844256740158471</v>
      </c>
      <c r="G2243" s="14">
        <f t="shared" si="317"/>
        <v>522.22309023612434</v>
      </c>
      <c r="H2243" s="24">
        <f t="shared" si="324"/>
        <v>650</v>
      </c>
      <c r="I2243" s="12">
        <f t="shared" si="318"/>
        <v>6.7981307841054203E-2</v>
      </c>
      <c r="J2243" s="3">
        <f t="shared" si="319"/>
        <v>0.7</v>
      </c>
    </row>
    <row r="2244" spans="2:10" x14ac:dyDescent="0.25">
      <c r="B2244" s="3">
        <f t="shared" si="320"/>
        <v>11135</v>
      </c>
      <c r="C2244" s="14">
        <f t="shared" si="321"/>
        <v>185.58333333333334</v>
      </c>
      <c r="D2244" s="11">
        <f t="shared" si="322"/>
        <v>1114.3128758814471</v>
      </c>
      <c r="E2244" s="24">
        <f t="shared" si="323"/>
        <v>1113.0798375485995</v>
      </c>
      <c r="F2244" s="24">
        <f t="shared" si="316"/>
        <v>30.825958321190683</v>
      </c>
      <c r="G2244" s="14">
        <f t="shared" si="317"/>
        <v>521.98963312625892</v>
      </c>
      <c r="H2244" s="24">
        <f t="shared" si="324"/>
        <v>650</v>
      </c>
      <c r="I2244" s="12">
        <f t="shared" si="318"/>
        <v>6.7950362839148251E-2</v>
      </c>
      <c r="J2244" s="3">
        <f t="shared" si="319"/>
        <v>0.7</v>
      </c>
    </row>
    <row r="2245" spans="2:10" x14ac:dyDescent="0.25">
      <c r="B2245" s="3">
        <f t="shared" si="320"/>
        <v>11140</v>
      </c>
      <c r="C2245" s="14">
        <f t="shared" si="321"/>
        <v>185.66666666666666</v>
      </c>
      <c r="D2245" s="11">
        <f t="shared" si="322"/>
        <v>1114.3800950823309</v>
      </c>
      <c r="E2245" s="24">
        <f t="shared" si="323"/>
        <v>1113.1477879114386</v>
      </c>
      <c r="F2245" s="24">
        <f t="shared" si="316"/>
        <v>30.807679272305677</v>
      </c>
      <c r="G2245" s="14">
        <f t="shared" si="317"/>
        <v>521.75638637095176</v>
      </c>
      <c r="H2245" s="24">
        <f t="shared" si="324"/>
        <v>650</v>
      </c>
      <c r="I2245" s="12">
        <f t="shared" si="318"/>
        <v>6.7919446074276413E-2</v>
      </c>
      <c r="J2245" s="3">
        <f t="shared" si="319"/>
        <v>0.7</v>
      </c>
    </row>
    <row r="2246" spans="2:10" x14ac:dyDescent="0.25">
      <c r="B2246" s="3">
        <f t="shared" si="320"/>
        <v>11145</v>
      </c>
      <c r="C2246" s="14">
        <f t="shared" si="321"/>
        <v>185.75</v>
      </c>
      <c r="D2246" s="11">
        <f t="shared" si="322"/>
        <v>1114.4472841400741</v>
      </c>
      <c r="E2246" s="24">
        <f t="shared" si="323"/>
        <v>1113.2157073575129</v>
      </c>
      <c r="F2246" s="24">
        <f t="shared" si="316"/>
        <v>30.78941956403014</v>
      </c>
      <c r="G2246" s="14">
        <f t="shared" si="317"/>
        <v>521.52334968454318</v>
      </c>
      <c r="H2246" s="24">
        <f t="shared" si="324"/>
        <v>650</v>
      </c>
      <c r="I2246" s="12">
        <f t="shared" si="318"/>
        <v>6.7888557507703534E-2</v>
      </c>
      <c r="J2246" s="3">
        <f t="shared" si="319"/>
        <v>0.7</v>
      </c>
    </row>
    <row r="2247" spans="2:10" x14ac:dyDescent="0.25">
      <c r="B2247" s="3">
        <f t="shared" si="320"/>
        <v>11150</v>
      </c>
      <c r="C2247" s="14">
        <f t="shared" si="321"/>
        <v>185.83333333333334</v>
      </c>
      <c r="D2247" s="11">
        <f t="shared" si="322"/>
        <v>1114.514443081699</v>
      </c>
      <c r="E2247" s="24">
        <f t="shared" si="323"/>
        <v>1113.2835959150207</v>
      </c>
      <c r="F2247" s="24">
        <f t="shared" si="316"/>
        <v>30.771179166958973</v>
      </c>
      <c r="G2247" s="14">
        <f t="shared" si="317"/>
        <v>521.29052278189704</v>
      </c>
      <c r="H2247" s="24">
        <f t="shared" si="324"/>
        <v>650</v>
      </c>
      <c r="I2247" s="12">
        <f t="shared" si="318"/>
        <v>6.7857697100767167E-2</v>
      </c>
      <c r="J2247" s="3">
        <f t="shared" si="319"/>
        <v>0.7</v>
      </c>
    </row>
    <row r="2248" spans="2:10" x14ac:dyDescent="0.25">
      <c r="B2248" s="3">
        <f t="shared" si="320"/>
        <v>11155</v>
      </c>
      <c r="C2248" s="14">
        <f t="shared" si="321"/>
        <v>185.91666666666666</v>
      </c>
      <c r="D2248" s="11">
        <f t="shared" si="322"/>
        <v>1114.5815719341913</v>
      </c>
      <c r="E2248" s="24">
        <f t="shared" si="323"/>
        <v>1113.3514536121215</v>
      </c>
      <c r="F2248" s="24">
        <f t="shared" si="316"/>
        <v>30.752958051743917</v>
      </c>
      <c r="G2248" s="14">
        <f t="shared" si="317"/>
        <v>521.05790537845849</v>
      </c>
      <c r="H2248" s="24">
        <f t="shared" si="324"/>
        <v>650</v>
      </c>
      <c r="I2248" s="12">
        <f t="shared" si="318"/>
        <v>6.7826864814883328E-2</v>
      </c>
      <c r="J2248" s="3">
        <f t="shared" si="319"/>
        <v>0.7</v>
      </c>
    </row>
    <row r="2249" spans="2:10" x14ac:dyDescent="0.25">
      <c r="B2249" s="3">
        <f t="shared" si="320"/>
        <v>11160</v>
      </c>
      <c r="C2249" s="14">
        <f t="shared" si="321"/>
        <v>186</v>
      </c>
      <c r="D2249" s="11">
        <f t="shared" si="322"/>
        <v>1114.6486707245008</v>
      </c>
      <c r="E2249" s="24">
        <f t="shared" si="323"/>
        <v>1113.4192804769364</v>
      </c>
      <c r="F2249" s="24">
        <f t="shared" si="316"/>
        <v>30.734756189110612</v>
      </c>
      <c r="G2249" s="14">
        <f t="shared" si="317"/>
        <v>520.82549719056431</v>
      </c>
      <c r="H2249" s="24">
        <f t="shared" si="324"/>
        <v>650</v>
      </c>
      <c r="I2249" s="12">
        <f t="shared" si="318"/>
        <v>6.7796060611586731E-2</v>
      </c>
      <c r="J2249" s="3">
        <f t="shared" si="319"/>
        <v>0.7</v>
      </c>
    </row>
    <row r="2250" spans="2:10" x14ac:dyDescent="0.25">
      <c r="B2250" s="3">
        <f t="shared" si="320"/>
        <v>11165</v>
      </c>
      <c r="C2250" s="14">
        <f t="shared" si="321"/>
        <v>186.08333333333334</v>
      </c>
      <c r="D2250" s="11">
        <f t="shared" si="322"/>
        <v>1114.7157394795404</v>
      </c>
      <c r="E2250" s="24">
        <f t="shared" si="323"/>
        <v>1113.4870765375479</v>
      </c>
      <c r="F2250" s="24">
        <f t="shared" si="316"/>
        <v>30.71657354981312</v>
      </c>
      <c r="G2250" s="14">
        <f t="shared" si="317"/>
        <v>520.59329793433778</v>
      </c>
      <c r="H2250" s="24">
        <f t="shared" si="324"/>
        <v>650</v>
      </c>
      <c r="I2250" s="12">
        <f t="shared" si="318"/>
        <v>6.7765284452389288E-2</v>
      </c>
      <c r="J2250" s="3">
        <f t="shared" si="319"/>
        <v>0.7</v>
      </c>
    </row>
    <row r="2251" spans="2:10" x14ac:dyDescent="0.25">
      <c r="B2251" s="3">
        <f t="shared" si="320"/>
        <v>11170</v>
      </c>
      <c r="C2251" s="14">
        <f t="shared" si="321"/>
        <v>186.16666666666666</v>
      </c>
      <c r="D2251" s="11">
        <f t="shared" si="322"/>
        <v>1114.7827782261872</v>
      </c>
      <c r="E2251" s="24">
        <f t="shared" si="323"/>
        <v>1113.5548418220003</v>
      </c>
      <c r="F2251" s="24">
        <f t="shared" si="316"/>
        <v>30.698410104673712</v>
      </c>
      <c r="G2251" s="14">
        <f t="shared" si="317"/>
        <v>520.36130732677464</v>
      </c>
      <c r="H2251" s="24">
        <f t="shared" si="324"/>
        <v>650</v>
      </c>
      <c r="I2251" s="12">
        <f t="shared" si="318"/>
        <v>6.7734536298918596E-2</v>
      </c>
      <c r="J2251" s="3">
        <f t="shared" si="319"/>
        <v>0.7</v>
      </c>
    </row>
    <row r="2252" spans="2:10" x14ac:dyDescent="0.25">
      <c r="B2252" s="3">
        <f t="shared" si="320"/>
        <v>11175</v>
      </c>
      <c r="C2252" s="14">
        <f t="shared" si="321"/>
        <v>186.25</v>
      </c>
      <c r="D2252" s="11">
        <f t="shared" si="322"/>
        <v>1114.8497869912831</v>
      </c>
      <c r="E2252" s="24">
        <f t="shared" si="323"/>
        <v>1113.6225763582993</v>
      </c>
      <c r="F2252" s="24">
        <f t="shared" si="316"/>
        <v>30.680265824594244</v>
      </c>
      <c r="G2252" s="14">
        <f t="shared" si="317"/>
        <v>520.12952508568435</v>
      </c>
      <c r="H2252" s="24">
        <f t="shared" si="324"/>
        <v>650</v>
      </c>
      <c r="I2252" s="12">
        <f t="shared" si="318"/>
        <v>6.7703816112911999E-2</v>
      </c>
      <c r="J2252" s="3">
        <f t="shared" si="319"/>
        <v>0.7</v>
      </c>
    </row>
    <row r="2253" spans="2:10" x14ac:dyDescent="0.25">
      <c r="B2253" s="3">
        <f t="shared" si="320"/>
        <v>11180</v>
      </c>
      <c r="C2253" s="14">
        <f t="shared" si="321"/>
        <v>186.33333333333334</v>
      </c>
      <c r="D2253" s="11">
        <f t="shared" si="322"/>
        <v>1114.9167658016324</v>
      </c>
      <c r="E2253" s="24">
        <f t="shared" si="323"/>
        <v>1113.6902801744122</v>
      </c>
      <c r="F2253" s="24">
        <f t="shared" si="316"/>
        <v>30.66214068050499</v>
      </c>
      <c r="G2253" s="14">
        <f t="shared" si="317"/>
        <v>519.89795092889585</v>
      </c>
      <c r="H2253" s="24">
        <f t="shared" si="324"/>
        <v>650</v>
      </c>
      <c r="I2253" s="12">
        <f t="shared" si="318"/>
        <v>6.7673123856112766E-2</v>
      </c>
      <c r="J2253" s="3">
        <f t="shared" si="319"/>
        <v>0.7</v>
      </c>
    </row>
    <row r="2254" spans="2:10" x14ac:dyDescent="0.25">
      <c r="B2254" s="3">
        <f t="shared" si="320"/>
        <v>11185</v>
      </c>
      <c r="C2254" s="14">
        <f t="shared" si="321"/>
        <v>186.41666666666666</v>
      </c>
      <c r="D2254" s="11">
        <f t="shared" si="322"/>
        <v>1114.983714684005</v>
      </c>
      <c r="E2254" s="24">
        <f t="shared" si="323"/>
        <v>1113.7579532982684</v>
      </c>
      <c r="F2254" s="24">
        <f t="shared" si="316"/>
        <v>30.644034643415807</v>
      </c>
      <c r="G2254" s="14">
        <f t="shared" si="317"/>
        <v>519.66658457518758</v>
      </c>
      <c r="H2254" s="24">
        <f t="shared" si="324"/>
        <v>650</v>
      </c>
      <c r="I2254" s="12">
        <f t="shared" si="318"/>
        <v>6.7642459490390647E-2</v>
      </c>
      <c r="J2254" s="3">
        <f t="shared" si="319"/>
        <v>0.7</v>
      </c>
    </row>
    <row r="2255" spans="2:10" x14ac:dyDescent="0.25">
      <c r="B2255" s="3">
        <f t="shared" si="320"/>
        <v>11190</v>
      </c>
      <c r="C2255" s="14">
        <f t="shared" si="321"/>
        <v>186.5</v>
      </c>
      <c r="D2255" s="11">
        <f t="shared" si="322"/>
        <v>1115.0506336651338</v>
      </c>
      <c r="E2255" s="24">
        <f t="shared" si="323"/>
        <v>1113.8255957577587</v>
      </c>
      <c r="F2255" s="24">
        <f t="shared" si="316"/>
        <v>30.625947684376342</v>
      </c>
      <c r="G2255" s="14">
        <f t="shared" si="317"/>
        <v>519.43542574343508</v>
      </c>
      <c r="H2255" s="24">
        <f t="shared" si="324"/>
        <v>650</v>
      </c>
      <c r="I2255" s="12">
        <f t="shared" si="318"/>
        <v>6.7611822977632199E-2</v>
      </c>
      <c r="J2255" s="3">
        <f t="shared" si="319"/>
        <v>0.7</v>
      </c>
    </row>
    <row r="2256" spans="2:10" x14ac:dyDescent="0.25">
      <c r="B2256" s="3">
        <f t="shared" si="320"/>
        <v>11195</v>
      </c>
      <c r="C2256" s="14">
        <f t="shared" si="321"/>
        <v>186.58333333333334</v>
      </c>
      <c r="D2256" s="11">
        <f t="shared" si="322"/>
        <v>1115.1175227717163</v>
      </c>
      <c r="E2256" s="24">
        <f t="shared" si="323"/>
        <v>1113.8932075807363</v>
      </c>
      <c r="F2256" s="24">
        <f t="shared" si="316"/>
        <v>30.60787977449877</v>
      </c>
      <c r="G2256" s="14">
        <f t="shared" si="317"/>
        <v>519.204474153192</v>
      </c>
      <c r="H2256" s="24">
        <f t="shared" si="324"/>
        <v>650</v>
      </c>
      <c r="I2256" s="12">
        <f t="shared" si="318"/>
        <v>6.7581214279815061E-2</v>
      </c>
      <c r="J2256" s="3">
        <f t="shared" si="319"/>
        <v>0.7</v>
      </c>
    </row>
    <row r="2257" spans="2:10" x14ac:dyDescent="0.25">
      <c r="B2257" s="3">
        <f t="shared" si="320"/>
        <v>11200</v>
      </c>
      <c r="C2257" s="14">
        <f t="shared" si="321"/>
        <v>186.66666666666666</v>
      </c>
      <c r="D2257" s="11">
        <f t="shared" si="322"/>
        <v>1115.1843820304143</v>
      </c>
      <c r="E2257" s="24">
        <f t="shared" si="323"/>
        <v>1113.9607887950162</v>
      </c>
      <c r="F2257" s="24">
        <f t="shared" ref="F2257:F2320" si="325">AlphaC*(D2257-E2257)</f>
        <v>30.589830884952107</v>
      </c>
      <c r="G2257" s="14">
        <f t="shared" ref="G2257:G2320" si="326">Phi*EpsilonF*Botzman/10^8*J2257*((D2257+273)^4-(E2257+273)^4)</f>
        <v>518.97372952443834</v>
      </c>
      <c r="H2257" s="24">
        <f t="shared" si="324"/>
        <v>650</v>
      </c>
      <c r="I2257" s="12">
        <f t="shared" ref="I2257:I2320" si="327">ksh*Massivete/(H2257*RhoA)*DeltaT*(F2257+G2257)</f>
        <v>6.7550633358976209E-2</v>
      </c>
      <c r="J2257" s="3">
        <f t="shared" ref="J2257:J2320" si="328">IF(E2257&lt;=500,IF(Galva=Oui,0.35,0.7),0.7)</f>
        <v>0.7</v>
      </c>
    </row>
    <row r="2258" spans="2:10" x14ac:dyDescent="0.25">
      <c r="B2258" s="3">
        <f t="shared" ref="B2258:B2321" si="329">B2257+DeltaT</f>
        <v>11205</v>
      </c>
      <c r="C2258" s="14">
        <f t="shared" ref="C2258:C2321" si="330">B2258/60</f>
        <v>186.75</v>
      </c>
      <c r="D2258" s="11">
        <f t="shared" ref="D2258:D2321" si="331">20+345*LOG(8*C2258+1,10)</f>
        <v>1115.2512114678545</v>
      </c>
      <c r="E2258" s="24">
        <f t="shared" si="323"/>
        <v>1114.0283394283751</v>
      </c>
      <c r="F2258" s="24">
        <f t="shared" si="325"/>
        <v>30.571800986984954</v>
      </c>
      <c r="G2258" s="14">
        <f t="shared" si="326"/>
        <v>518.74319157820082</v>
      </c>
      <c r="H2258" s="24">
        <f t="shared" si="324"/>
        <v>650</v>
      </c>
      <c r="I2258" s="12">
        <f t="shared" si="327"/>
        <v>6.7520080177291109E-2</v>
      </c>
      <c r="J2258" s="3">
        <f t="shared" si="328"/>
        <v>0.7</v>
      </c>
    </row>
    <row r="2259" spans="2:10" x14ac:dyDescent="0.25">
      <c r="B2259" s="3">
        <f t="shared" si="329"/>
        <v>11210</v>
      </c>
      <c r="C2259" s="14">
        <f t="shared" si="330"/>
        <v>186.83333333333334</v>
      </c>
      <c r="D2259" s="11">
        <f t="shared" si="331"/>
        <v>1115.3180111106269</v>
      </c>
      <c r="E2259" s="24">
        <f t="shared" si="323"/>
        <v>1114.0958595085524</v>
      </c>
      <c r="F2259" s="24">
        <f t="shared" si="325"/>
        <v>30.553790051862961</v>
      </c>
      <c r="G2259" s="14">
        <f t="shared" si="326"/>
        <v>518.51286003517646</v>
      </c>
      <c r="H2259" s="24">
        <f t="shared" si="324"/>
        <v>650</v>
      </c>
      <c r="I2259" s="12">
        <f t="shared" si="327"/>
        <v>6.7489554696896756E-2</v>
      </c>
      <c r="J2259" s="3">
        <f t="shared" si="328"/>
        <v>0.7</v>
      </c>
    </row>
    <row r="2260" spans="2:10" x14ac:dyDescent="0.25">
      <c r="B2260" s="3">
        <f t="shared" si="329"/>
        <v>11215</v>
      </c>
      <c r="C2260" s="14">
        <f t="shared" si="330"/>
        <v>186.91666666666666</v>
      </c>
      <c r="D2260" s="11">
        <f t="shared" si="331"/>
        <v>1115.3847809852866</v>
      </c>
      <c r="E2260" s="24">
        <f t="shared" si="323"/>
        <v>1114.1633490632494</v>
      </c>
      <c r="F2260" s="24">
        <f t="shared" si="325"/>
        <v>30.535798050931362</v>
      </c>
      <c r="G2260" s="14">
        <f t="shared" si="326"/>
        <v>518.28273461703156</v>
      </c>
      <c r="H2260" s="24">
        <f t="shared" si="324"/>
        <v>650</v>
      </c>
      <c r="I2260" s="12">
        <f t="shared" si="327"/>
        <v>6.7459056880059112E-2</v>
      </c>
      <c r="J2260" s="3">
        <f t="shared" si="328"/>
        <v>0.7</v>
      </c>
    </row>
    <row r="2261" spans="2:10" x14ac:dyDescent="0.25">
      <c r="B2261" s="3">
        <f t="shared" si="329"/>
        <v>11220</v>
      </c>
      <c r="C2261" s="14">
        <f t="shared" si="330"/>
        <v>187</v>
      </c>
      <c r="D2261" s="11">
        <f t="shared" si="331"/>
        <v>1115.451521118353</v>
      </c>
      <c r="E2261" s="24">
        <f t="shared" si="323"/>
        <v>1114.2308081201295</v>
      </c>
      <c r="F2261" s="24">
        <f t="shared" si="325"/>
        <v>30.517824955586548</v>
      </c>
      <c r="G2261" s="14">
        <f t="shared" si="326"/>
        <v>518.05281504581956</v>
      </c>
      <c r="H2261" s="24">
        <f t="shared" si="324"/>
        <v>650</v>
      </c>
      <c r="I2261" s="12">
        <f t="shared" si="327"/>
        <v>6.7428586689097972E-2</v>
      </c>
      <c r="J2261" s="3">
        <f t="shared" si="328"/>
        <v>0.7</v>
      </c>
    </row>
    <row r="2262" spans="2:10" x14ac:dyDescent="0.25">
      <c r="B2262" s="3">
        <f t="shared" si="329"/>
        <v>11225</v>
      </c>
      <c r="C2262" s="14">
        <f t="shared" si="330"/>
        <v>187.08333333333334</v>
      </c>
      <c r="D2262" s="11">
        <f t="shared" si="331"/>
        <v>1115.5182315363102</v>
      </c>
      <c r="E2262" s="24">
        <f t="shared" si="323"/>
        <v>1114.2982367068187</v>
      </c>
      <c r="F2262" s="24">
        <f t="shared" si="325"/>
        <v>30.499870737287438</v>
      </c>
      <c r="G2262" s="14">
        <f t="shared" si="326"/>
        <v>517.82310104423391</v>
      </c>
      <c r="H2262" s="24">
        <f t="shared" si="324"/>
        <v>650</v>
      </c>
      <c r="I2262" s="12">
        <f t="shared" si="327"/>
        <v>6.7398144086419504E-2</v>
      </c>
      <c r="J2262" s="3">
        <f t="shared" si="328"/>
        <v>0.7</v>
      </c>
    </row>
    <row r="2263" spans="2:10" x14ac:dyDescent="0.25">
      <c r="B2263" s="3">
        <f t="shared" si="329"/>
        <v>11230</v>
      </c>
      <c r="C2263" s="14">
        <f t="shared" si="330"/>
        <v>187.16666666666666</v>
      </c>
      <c r="D2263" s="11">
        <f t="shared" si="331"/>
        <v>1115.5849122656066</v>
      </c>
      <c r="E2263" s="24">
        <f t="shared" si="323"/>
        <v>1114.3656348509051</v>
      </c>
      <c r="F2263" s="24">
        <f t="shared" si="325"/>
        <v>30.481935367538426</v>
      </c>
      <c r="G2263" s="14">
        <f t="shared" si="326"/>
        <v>517.59359233527789</v>
      </c>
      <c r="H2263" s="24">
        <f t="shared" si="324"/>
        <v>650</v>
      </c>
      <c r="I2263" s="12">
        <f t="shared" si="327"/>
        <v>6.736772903447355E-2</v>
      </c>
      <c r="J2263" s="3">
        <f t="shared" si="328"/>
        <v>0.7</v>
      </c>
    </row>
    <row r="2264" spans="2:10" x14ac:dyDescent="0.25">
      <c r="B2264" s="3">
        <f t="shared" si="329"/>
        <v>11235</v>
      </c>
      <c r="C2264" s="14">
        <f t="shared" si="330"/>
        <v>187.25</v>
      </c>
      <c r="D2264" s="11">
        <f t="shared" si="331"/>
        <v>1115.6515633326562</v>
      </c>
      <c r="E2264" s="24">
        <f t="shared" si="323"/>
        <v>1114.4330025799395</v>
      </c>
      <c r="F2264" s="24">
        <f t="shared" si="325"/>
        <v>30.464018817917804</v>
      </c>
      <c r="G2264" s="14">
        <f t="shared" si="326"/>
        <v>517.36428864274944</v>
      </c>
      <c r="H2264" s="24">
        <f t="shared" si="324"/>
        <v>650</v>
      </c>
      <c r="I2264" s="12">
        <f t="shared" si="327"/>
        <v>6.7337341495816716E-2</v>
      </c>
      <c r="J2264" s="3">
        <f t="shared" si="328"/>
        <v>0.7</v>
      </c>
    </row>
    <row r="2265" spans="2:10" x14ac:dyDescent="0.25">
      <c r="B2265" s="3">
        <f t="shared" si="329"/>
        <v>11240</v>
      </c>
      <c r="C2265" s="14">
        <f t="shared" si="330"/>
        <v>187.33333333333334</v>
      </c>
      <c r="D2265" s="11">
        <f t="shared" si="331"/>
        <v>1115.7181847638369</v>
      </c>
      <c r="E2265" s="24">
        <f t="shared" si="323"/>
        <v>1114.5003399214354</v>
      </c>
      <c r="F2265" s="24">
        <f t="shared" si="325"/>
        <v>30.446121060037967</v>
      </c>
      <c r="G2265" s="14">
        <f t="shared" si="326"/>
        <v>517.13518969052404</v>
      </c>
      <c r="H2265" s="24">
        <f t="shared" si="324"/>
        <v>650</v>
      </c>
      <c r="I2265" s="12">
        <f t="shared" si="327"/>
        <v>6.7306981433019317E-2</v>
      </c>
      <c r="J2265" s="3">
        <f t="shared" si="328"/>
        <v>0.7</v>
      </c>
    </row>
    <row r="2266" spans="2:10" x14ac:dyDescent="0.25">
      <c r="B2266" s="3">
        <f t="shared" si="329"/>
        <v>11245</v>
      </c>
      <c r="C2266" s="14">
        <f t="shared" si="330"/>
        <v>187.41666666666666</v>
      </c>
      <c r="D2266" s="11">
        <f t="shared" si="331"/>
        <v>1115.7847765854915</v>
      </c>
      <c r="E2266" s="24">
        <f t="shared" si="323"/>
        <v>1114.5676469028683</v>
      </c>
      <c r="F2266" s="24">
        <f t="shared" si="325"/>
        <v>30.428242065579525</v>
      </c>
      <c r="G2266" s="14">
        <f t="shared" si="326"/>
        <v>516.90629520323284</v>
      </c>
      <c r="H2266" s="24">
        <f t="shared" si="324"/>
        <v>650</v>
      </c>
      <c r="I2266" s="12">
        <f t="shared" si="327"/>
        <v>6.7276648808752948E-2</v>
      </c>
      <c r="J2266" s="3">
        <f t="shared" si="328"/>
        <v>0.7</v>
      </c>
    </row>
    <row r="2267" spans="2:10" x14ac:dyDescent="0.25">
      <c r="B2267" s="3">
        <f t="shared" si="329"/>
        <v>11250</v>
      </c>
      <c r="C2267" s="14">
        <f t="shared" si="330"/>
        <v>187.5</v>
      </c>
      <c r="D2267" s="11">
        <f t="shared" si="331"/>
        <v>1115.851338823928</v>
      </c>
      <c r="E2267" s="24">
        <f t="shared" si="323"/>
        <v>1114.634923551677</v>
      </c>
      <c r="F2267" s="24">
        <f t="shared" si="325"/>
        <v>30.410381806274245</v>
      </c>
      <c r="G2267" s="14">
        <f t="shared" si="326"/>
        <v>516.67760490599153</v>
      </c>
      <c r="H2267" s="24">
        <f t="shared" si="324"/>
        <v>650</v>
      </c>
      <c r="I2267" s="12">
        <f t="shared" si="327"/>
        <v>6.7246343585755042E-2</v>
      </c>
      <c r="J2267" s="3">
        <f t="shared" si="328"/>
        <v>0.7</v>
      </c>
    </row>
    <row r="2268" spans="2:10" x14ac:dyDescent="0.25">
      <c r="B2268" s="3">
        <f t="shared" si="329"/>
        <v>11255</v>
      </c>
      <c r="C2268" s="14">
        <f t="shared" si="330"/>
        <v>187.58333333333334</v>
      </c>
      <c r="D2268" s="11">
        <f t="shared" si="331"/>
        <v>1115.9178715054197</v>
      </c>
      <c r="E2268" s="24">
        <f t="shared" si="323"/>
        <v>1114.7021698952628</v>
      </c>
      <c r="F2268" s="24">
        <f t="shared" si="325"/>
        <v>30.392540253922107</v>
      </c>
      <c r="G2268" s="14">
        <f t="shared" si="326"/>
        <v>516.44911852447797</v>
      </c>
      <c r="H2268" s="24">
        <f t="shared" si="324"/>
        <v>650</v>
      </c>
      <c r="I2268" s="12">
        <f t="shared" si="327"/>
        <v>6.7216065726840524E-2</v>
      </c>
      <c r="J2268" s="3">
        <f t="shared" si="328"/>
        <v>0.7</v>
      </c>
    </row>
    <row r="2269" spans="2:10" x14ac:dyDescent="0.25">
      <c r="B2269" s="3">
        <f t="shared" si="329"/>
        <v>11260</v>
      </c>
      <c r="C2269" s="14">
        <f t="shared" si="330"/>
        <v>187.66666666666666</v>
      </c>
      <c r="D2269" s="11">
        <f t="shared" si="331"/>
        <v>1115.9843746562037</v>
      </c>
      <c r="E2269" s="24">
        <f t="shared" si="323"/>
        <v>1114.7693859609897</v>
      </c>
      <c r="F2269" s="24">
        <f t="shared" si="325"/>
        <v>30.374717380351512</v>
      </c>
      <c r="G2269" s="14">
        <f t="shared" si="326"/>
        <v>516.22083578454442</v>
      </c>
      <c r="H2269" s="24">
        <f t="shared" si="324"/>
        <v>650</v>
      </c>
      <c r="I2269" s="12">
        <f t="shared" si="327"/>
        <v>6.7185815194849244E-2</v>
      </c>
      <c r="J2269" s="3">
        <f t="shared" si="328"/>
        <v>0.7</v>
      </c>
    </row>
    <row r="2270" spans="2:10" x14ac:dyDescent="0.25">
      <c r="B2270" s="3">
        <f t="shared" si="329"/>
        <v>11265</v>
      </c>
      <c r="C2270" s="14">
        <f t="shared" si="330"/>
        <v>187.75</v>
      </c>
      <c r="D2270" s="11">
        <f t="shared" si="331"/>
        <v>1116.0508483024832</v>
      </c>
      <c r="E2270" s="24">
        <f t="shared" si="323"/>
        <v>1114.8365717761844</v>
      </c>
      <c r="F2270" s="24">
        <f t="shared" si="325"/>
        <v>30.356913157470444</v>
      </c>
      <c r="G2270" s="14">
        <f t="shared" si="326"/>
        <v>515.99275641281804</v>
      </c>
      <c r="H2270" s="24">
        <f t="shared" si="324"/>
        <v>650</v>
      </c>
      <c r="I2270" s="12">
        <f t="shared" si="327"/>
        <v>6.7155591952726093E-2</v>
      </c>
      <c r="J2270" s="3">
        <f t="shared" si="328"/>
        <v>0.7</v>
      </c>
    </row>
    <row r="2271" spans="2:10" x14ac:dyDescent="0.25">
      <c r="B2271" s="3">
        <f t="shared" si="329"/>
        <v>11270</v>
      </c>
      <c r="C2271" s="14">
        <f t="shared" si="330"/>
        <v>187.83333333333334</v>
      </c>
      <c r="D2271" s="11">
        <f t="shared" si="331"/>
        <v>1116.1172924704265</v>
      </c>
      <c r="E2271" s="24">
        <f t="shared" si="323"/>
        <v>1114.9037273681372</v>
      </c>
      <c r="F2271" s="24">
        <f t="shared" si="325"/>
        <v>30.339127557232359</v>
      </c>
      <c r="G2271" s="14">
        <f t="shared" si="326"/>
        <v>515.76488013641085</v>
      </c>
      <c r="H2271" s="24">
        <f t="shared" si="324"/>
        <v>650</v>
      </c>
      <c r="I2271" s="12">
        <f t="shared" si="327"/>
        <v>6.7125395963481133E-2</v>
      </c>
      <c r="J2271" s="3">
        <f t="shared" si="328"/>
        <v>0.7</v>
      </c>
    </row>
    <row r="2272" spans="2:10" x14ac:dyDescent="0.25">
      <c r="B2272" s="3">
        <f t="shared" si="329"/>
        <v>11275</v>
      </c>
      <c r="C2272" s="14">
        <f t="shared" si="330"/>
        <v>187.91666666666666</v>
      </c>
      <c r="D2272" s="11">
        <f t="shared" si="331"/>
        <v>1116.1837071861667</v>
      </c>
      <c r="E2272" s="24">
        <f t="shared" si="323"/>
        <v>1114.9708527641008</v>
      </c>
      <c r="F2272" s="24">
        <f t="shared" si="325"/>
        <v>30.321360551647558</v>
      </c>
      <c r="G2272" s="14">
        <f t="shared" si="326"/>
        <v>515.53720668282233</v>
      </c>
      <c r="H2272" s="24">
        <f t="shared" si="324"/>
        <v>650</v>
      </c>
      <c r="I2272" s="12">
        <f t="shared" si="327"/>
        <v>6.7095227190179046E-2</v>
      </c>
      <c r="J2272" s="3">
        <f t="shared" si="328"/>
        <v>0.7</v>
      </c>
    </row>
    <row r="2273" spans="2:10" x14ac:dyDescent="0.25">
      <c r="B2273" s="3">
        <f t="shared" si="329"/>
        <v>11280</v>
      </c>
      <c r="C2273" s="14">
        <f t="shared" si="330"/>
        <v>188</v>
      </c>
      <c r="D2273" s="11">
        <f t="shared" si="331"/>
        <v>1116.2500924758024</v>
      </c>
      <c r="E2273" s="24">
        <f t="shared" si="323"/>
        <v>1115.0379479912908</v>
      </c>
      <c r="F2273" s="24">
        <f t="shared" si="325"/>
        <v>30.303612112788869</v>
      </c>
      <c r="G2273" s="14">
        <f t="shared" si="326"/>
        <v>515.30973578019132</v>
      </c>
      <c r="H2273" s="24">
        <f t="shared" si="324"/>
        <v>650</v>
      </c>
      <c r="I2273" s="12">
        <f t="shared" si="327"/>
        <v>6.7065085595970797E-2</v>
      </c>
      <c r="J2273" s="3">
        <f t="shared" si="328"/>
        <v>0.7</v>
      </c>
    </row>
    <row r="2274" spans="2:10" x14ac:dyDescent="0.25">
      <c r="B2274" s="3">
        <f t="shared" si="329"/>
        <v>11285</v>
      </c>
      <c r="C2274" s="14">
        <f t="shared" si="330"/>
        <v>188.08333333333334</v>
      </c>
      <c r="D2274" s="11">
        <f t="shared" si="331"/>
        <v>1116.3164483653973</v>
      </c>
      <c r="E2274" s="24">
        <f t="shared" si="323"/>
        <v>1115.1050130768867</v>
      </c>
      <c r="F2274" s="24">
        <f t="shared" si="325"/>
        <v>30.285882212763227</v>
      </c>
      <c r="G2274" s="14">
        <f t="shared" si="326"/>
        <v>515.08246715690893</v>
      </c>
      <c r="H2274" s="24">
        <f t="shared" si="324"/>
        <v>650</v>
      </c>
      <c r="I2274" s="12">
        <f t="shared" si="327"/>
        <v>6.7034971144042541E-2</v>
      </c>
      <c r="J2274" s="3">
        <f t="shared" si="328"/>
        <v>0.7</v>
      </c>
    </row>
    <row r="2275" spans="2:10" x14ac:dyDescent="0.25">
      <c r="B2275" s="3">
        <f t="shared" si="329"/>
        <v>11290</v>
      </c>
      <c r="C2275" s="14">
        <f t="shared" si="330"/>
        <v>188.16666666666666</v>
      </c>
      <c r="D2275" s="11">
        <f t="shared" si="331"/>
        <v>1116.3827748809811</v>
      </c>
      <c r="E2275" s="24">
        <f t="shared" si="323"/>
        <v>1115.1720480480308</v>
      </c>
      <c r="F2275" s="24">
        <f t="shared" si="325"/>
        <v>30.268170823757146</v>
      </c>
      <c r="G2275" s="14">
        <f t="shared" si="326"/>
        <v>514.85540054210253</v>
      </c>
      <c r="H2275" s="24">
        <f t="shared" si="324"/>
        <v>650</v>
      </c>
      <c r="I2275" s="12">
        <f t="shared" si="327"/>
        <v>6.7004883797680714E-2</v>
      </c>
      <c r="J2275" s="3">
        <f t="shared" si="328"/>
        <v>0.7</v>
      </c>
    </row>
    <row r="2276" spans="2:10" x14ac:dyDescent="0.25">
      <c r="B2276" s="3">
        <f t="shared" si="329"/>
        <v>11295</v>
      </c>
      <c r="C2276" s="14">
        <f t="shared" si="330"/>
        <v>188.25</v>
      </c>
      <c r="D2276" s="11">
        <f t="shared" si="331"/>
        <v>1116.4490720485478</v>
      </c>
      <c r="E2276" s="24">
        <f t="shared" si="323"/>
        <v>1115.2390529318284</v>
      </c>
      <c r="F2276" s="24">
        <f t="shared" si="325"/>
        <v>30.250477917985563</v>
      </c>
      <c r="G2276" s="14">
        <f t="shared" si="326"/>
        <v>514.62853566513195</v>
      </c>
      <c r="H2276" s="24">
        <f t="shared" si="324"/>
        <v>650</v>
      </c>
      <c r="I2276" s="12">
        <f t="shared" si="327"/>
        <v>6.6974823520203813E-2</v>
      </c>
      <c r="J2276" s="3">
        <f t="shared" si="328"/>
        <v>0.7</v>
      </c>
    </row>
    <row r="2277" spans="2:10" x14ac:dyDescent="0.25">
      <c r="B2277" s="3">
        <f t="shared" si="329"/>
        <v>11300</v>
      </c>
      <c r="C2277" s="14">
        <f t="shared" si="330"/>
        <v>188.33333333333334</v>
      </c>
      <c r="D2277" s="11">
        <f t="shared" si="331"/>
        <v>1116.5153398940583</v>
      </c>
      <c r="E2277" s="24">
        <f t="shared" si="323"/>
        <v>1115.3060277553486</v>
      </c>
      <c r="F2277" s="24">
        <f t="shared" si="325"/>
        <v>30.232803467742997</v>
      </c>
      <c r="G2277" s="14">
        <f t="shared" si="326"/>
        <v>514.40187225607417</v>
      </c>
      <c r="H2277" s="24">
        <f t="shared" si="324"/>
        <v>650</v>
      </c>
      <c r="I2277" s="12">
        <f t="shared" si="327"/>
        <v>6.6944790275028268E-2</v>
      </c>
      <c r="J2277" s="3">
        <f t="shared" si="328"/>
        <v>0.7</v>
      </c>
    </row>
    <row r="2278" spans="2:10" x14ac:dyDescent="0.25">
      <c r="B2278" s="3">
        <f t="shared" si="329"/>
        <v>11305</v>
      </c>
      <c r="C2278" s="14">
        <f t="shared" si="330"/>
        <v>188.41666666666666</v>
      </c>
      <c r="D2278" s="11">
        <f t="shared" si="331"/>
        <v>1116.581578443438</v>
      </c>
      <c r="E2278" s="24">
        <f t="shared" si="323"/>
        <v>1115.3729725456237</v>
      </c>
      <c r="F2278" s="24">
        <f t="shared" si="325"/>
        <v>30.21514744535807</v>
      </c>
      <c r="G2278" s="14">
        <f t="shared" si="326"/>
        <v>514.17541004527766</v>
      </c>
      <c r="H2278" s="24">
        <f t="shared" si="324"/>
        <v>650</v>
      </c>
      <c r="I2278" s="12">
        <f t="shared" si="327"/>
        <v>6.6914784025608104E-2</v>
      </c>
      <c r="J2278" s="3">
        <f t="shared" si="328"/>
        <v>0.7</v>
      </c>
    </row>
    <row r="2279" spans="2:10" x14ac:dyDescent="0.25">
      <c r="B2279" s="3">
        <f t="shared" si="329"/>
        <v>11310</v>
      </c>
      <c r="C2279" s="14">
        <f t="shared" si="330"/>
        <v>188.5</v>
      </c>
      <c r="D2279" s="11">
        <f t="shared" si="331"/>
        <v>1116.6477877225784</v>
      </c>
      <c r="E2279" s="24">
        <f t="shared" si="323"/>
        <v>1115.4398873296493</v>
      </c>
      <c r="F2279" s="24">
        <f t="shared" si="325"/>
        <v>30.19750982322762</v>
      </c>
      <c r="G2279" s="14">
        <f t="shared" si="326"/>
        <v>513.94914876382711</v>
      </c>
      <c r="H2279" s="24">
        <f t="shared" si="324"/>
        <v>650</v>
      </c>
      <c r="I2279" s="12">
        <f t="shared" si="327"/>
        <v>6.6884804735496184E-2</v>
      </c>
      <c r="J2279" s="3">
        <f t="shared" si="328"/>
        <v>0.7</v>
      </c>
    </row>
    <row r="2280" spans="2:10" x14ac:dyDescent="0.25">
      <c r="B2280" s="3">
        <f t="shared" si="329"/>
        <v>11315</v>
      </c>
      <c r="C2280" s="14">
        <f t="shared" si="330"/>
        <v>188.58333333333334</v>
      </c>
      <c r="D2280" s="11">
        <f t="shared" si="331"/>
        <v>1116.7139677573366</v>
      </c>
      <c r="E2280" s="24">
        <f t="shared" si="323"/>
        <v>1115.5067721343848</v>
      </c>
      <c r="F2280" s="24">
        <f t="shared" si="325"/>
        <v>30.179890573793955</v>
      </c>
      <c r="G2280" s="14">
        <f t="shared" si="326"/>
        <v>513.72308814305916</v>
      </c>
      <c r="H2280" s="24">
        <f t="shared" si="324"/>
        <v>650</v>
      </c>
      <c r="I2280" s="12">
        <f t="shared" si="327"/>
        <v>6.6854852368281925E-2</v>
      </c>
      <c r="J2280" s="3">
        <f t="shared" si="328"/>
        <v>0.7</v>
      </c>
    </row>
    <row r="2281" spans="2:10" x14ac:dyDescent="0.25">
      <c r="B2281" s="3">
        <f t="shared" si="329"/>
        <v>11320</v>
      </c>
      <c r="C2281" s="14">
        <f t="shared" si="330"/>
        <v>188.66666666666666</v>
      </c>
      <c r="D2281" s="11">
        <f t="shared" si="331"/>
        <v>1116.7801185735354</v>
      </c>
      <c r="E2281" s="24">
        <f t="shared" si="323"/>
        <v>1115.5736269867532</v>
      </c>
      <c r="F2281" s="24">
        <f t="shared" si="325"/>
        <v>30.16228966955623</v>
      </c>
      <c r="G2281" s="14">
        <f t="shared" si="326"/>
        <v>513.4972279148725</v>
      </c>
      <c r="H2281" s="24">
        <f t="shared" si="324"/>
        <v>650</v>
      </c>
      <c r="I2281" s="12">
        <f t="shared" si="327"/>
        <v>6.6824926887630864E-2</v>
      </c>
      <c r="J2281" s="3">
        <f t="shared" si="328"/>
        <v>0.7</v>
      </c>
    </row>
    <row r="2282" spans="2:10" x14ac:dyDescent="0.25">
      <c r="B2282" s="3">
        <f t="shared" si="329"/>
        <v>11325</v>
      </c>
      <c r="C2282" s="14">
        <f t="shared" si="330"/>
        <v>188.75</v>
      </c>
      <c r="D2282" s="11">
        <f t="shared" si="331"/>
        <v>1116.8462401969637</v>
      </c>
      <c r="E2282" s="24">
        <f t="shared" si="323"/>
        <v>1115.6404519136408</v>
      </c>
      <c r="F2282" s="24">
        <f t="shared" si="325"/>
        <v>30.144707083070443</v>
      </c>
      <c r="G2282" s="14">
        <f t="shared" si="326"/>
        <v>513.27156781168912</v>
      </c>
      <c r="H2282" s="24">
        <f t="shared" si="324"/>
        <v>650</v>
      </c>
      <c r="I2282" s="12">
        <f t="shared" si="327"/>
        <v>6.6795028257279801E-2</v>
      </c>
      <c r="J2282" s="3">
        <f t="shared" si="328"/>
        <v>0.7</v>
      </c>
    </row>
    <row r="2283" spans="2:10" x14ac:dyDescent="0.25">
      <c r="B2283" s="3">
        <f t="shared" si="329"/>
        <v>11330</v>
      </c>
      <c r="C2283" s="14">
        <f t="shared" si="330"/>
        <v>188.83333333333334</v>
      </c>
      <c r="D2283" s="11">
        <f t="shared" si="331"/>
        <v>1116.9123326533756</v>
      </c>
      <c r="E2283" s="24">
        <f t="shared" si="323"/>
        <v>1115.7072469418981</v>
      </c>
      <c r="F2283" s="24">
        <f t="shared" si="325"/>
        <v>30.127142786938066</v>
      </c>
      <c r="G2283" s="14">
        <f t="shared" si="326"/>
        <v>513.04610756639602</v>
      </c>
      <c r="H2283" s="24">
        <f t="shared" si="324"/>
        <v>650</v>
      </c>
      <c r="I2283" s="12">
        <f t="shared" si="327"/>
        <v>6.6765156441028317E-2</v>
      </c>
      <c r="J2283" s="3">
        <f t="shared" si="328"/>
        <v>0.7</v>
      </c>
    </row>
    <row r="2284" spans="2:10" x14ac:dyDescent="0.25">
      <c r="B2284" s="3">
        <f t="shared" si="329"/>
        <v>11335</v>
      </c>
      <c r="C2284" s="14">
        <f t="shared" si="330"/>
        <v>188.91666666666666</v>
      </c>
      <c r="D2284" s="11">
        <f t="shared" si="331"/>
        <v>1116.9783959684921</v>
      </c>
      <c r="E2284" s="24">
        <f t="shared" si="323"/>
        <v>1115.7740120983392</v>
      </c>
      <c r="F2284" s="24">
        <f t="shared" si="325"/>
        <v>30.109596753823098</v>
      </c>
      <c r="G2284" s="14">
        <f t="shared" si="326"/>
        <v>512.82084691230682</v>
      </c>
      <c r="H2284" s="24">
        <f t="shared" si="324"/>
        <v>650</v>
      </c>
      <c r="I2284" s="12">
        <f t="shared" si="327"/>
        <v>6.6735311402736072E-2</v>
      </c>
      <c r="J2284" s="3">
        <f t="shared" si="328"/>
        <v>0.7</v>
      </c>
    </row>
    <row r="2285" spans="2:10" x14ac:dyDescent="0.25">
      <c r="B2285" s="3">
        <f t="shared" si="329"/>
        <v>11340</v>
      </c>
      <c r="C2285" s="14">
        <f t="shared" si="330"/>
        <v>189</v>
      </c>
      <c r="D2285" s="11">
        <f t="shared" si="331"/>
        <v>1117.0444301679993</v>
      </c>
      <c r="E2285" s="24">
        <f t="shared" si="323"/>
        <v>1115.8407474097419</v>
      </c>
      <c r="F2285" s="24">
        <f t="shared" si="325"/>
        <v>30.092068956435014</v>
      </c>
      <c r="G2285" s="14">
        <f t="shared" si="326"/>
        <v>512.59578558321925</v>
      </c>
      <c r="H2285" s="24">
        <f t="shared" si="324"/>
        <v>650</v>
      </c>
      <c r="I2285" s="12">
        <f t="shared" si="327"/>
        <v>6.6705493106327882E-2</v>
      </c>
      <c r="J2285" s="3">
        <f t="shared" si="328"/>
        <v>0.7</v>
      </c>
    </row>
    <row r="2286" spans="2:10" x14ac:dyDescent="0.25">
      <c r="B2286" s="3">
        <f t="shared" si="329"/>
        <v>11345</v>
      </c>
      <c r="C2286" s="14">
        <f t="shared" si="330"/>
        <v>189.08333333333334</v>
      </c>
      <c r="D2286" s="11">
        <f t="shared" si="331"/>
        <v>1117.1104352775499</v>
      </c>
      <c r="E2286" s="24">
        <f t="shared" si="323"/>
        <v>1115.9074529028483</v>
      </c>
      <c r="F2286" s="24">
        <f t="shared" si="325"/>
        <v>30.074559367540132</v>
      </c>
      <c r="G2286" s="14">
        <f t="shared" si="326"/>
        <v>512.37092331339647</v>
      </c>
      <c r="H2286" s="24">
        <f t="shared" si="324"/>
        <v>650</v>
      </c>
      <c r="I2286" s="12">
        <f t="shared" si="327"/>
        <v>6.6675701515792704E-2</v>
      </c>
      <c r="J2286" s="3">
        <f t="shared" si="328"/>
        <v>0.7</v>
      </c>
    </row>
    <row r="2287" spans="2:10" x14ac:dyDescent="0.25">
      <c r="B2287" s="3">
        <f t="shared" si="329"/>
        <v>11350</v>
      </c>
      <c r="C2287" s="14">
        <f t="shared" si="330"/>
        <v>189.16666666666666</v>
      </c>
      <c r="D2287" s="11">
        <f t="shared" si="331"/>
        <v>1117.1764113227623</v>
      </c>
      <c r="E2287" s="24">
        <f t="shared" si="323"/>
        <v>1115.9741286043641</v>
      </c>
      <c r="F2287" s="24">
        <f t="shared" si="325"/>
        <v>30.05706795995593</v>
      </c>
      <c r="G2287" s="14">
        <f t="shared" si="326"/>
        <v>512.14625983768281</v>
      </c>
      <c r="H2287" s="24">
        <f t="shared" si="324"/>
        <v>650</v>
      </c>
      <c r="I2287" s="12">
        <f t="shared" si="327"/>
        <v>6.6645936595197242E-2</v>
      </c>
      <c r="J2287" s="3">
        <f t="shared" si="328"/>
        <v>0.7</v>
      </c>
    </row>
    <row r="2288" spans="2:10" x14ac:dyDescent="0.25">
      <c r="B2288" s="3">
        <f t="shared" si="329"/>
        <v>11355</v>
      </c>
      <c r="C2288" s="14">
        <f t="shared" si="330"/>
        <v>189.25</v>
      </c>
      <c r="D2288" s="11">
        <f t="shared" si="331"/>
        <v>1117.2423583292216</v>
      </c>
      <c r="E2288" s="24">
        <f t="shared" si="323"/>
        <v>1116.0407745409593</v>
      </c>
      <c r="F2288" s="24">
        <f t="shared" si="325"/>
        <v>30.039594706556727</v>
      </c>
      <c r="G2288" s="14">
        <f t="shared" si="326"/>
        <v>511.92179489123299</v>
      </c>
      <c r="H2288" s="24">
        <f t="shared" si="324"/>
        <v>650</v>
      </c>
      <c r="I2288" s="12">
        <f t="shared" si="327"/>
        <v>6.6616198308653368E-2</v>
      </c>
      <c r="J2288" s="3">
        <f t="shared" si="328"/>
        <v>0.7</v>
      </c>
    </row>
    <row r="2289" spans="2:10" x14ac:dyDescent="0.25">
      <c r="B2289" s="3">
        <f t="shared" si="329"/>
        <v>11360</v>
      </c>
      <c r="C2289" s="14">
        <f t="shared" si="330"/>
        <v>189.33333333333334</v>
      </c>
      <c r="D2289" s="11">
        <f t="shared" si="331"/>
        <v>1117.3082763224786</v>
      </c>
      <c r="E2289" s="24">
        <f t="shared" si="323"/>
        <v>1116.1073907392679</v>
      </c>
      <c r="F2289" s="24">
        <f t="shared" si="325"/>
        <v>30.022139580268004</v>
      </c>
      <c r="G2289" s="14">
        <f t="shared" si="326"/>
        <v>511.69752820982148</v>
      </c>
      <c r="H2289" s="24">
        <f t="shared" si="324"/>
        <v>650</v>
      </c>
      <c r="I2289" s="12">
        <f t="shared" si="327"/>
        <v>6.6586486620355351E-2</v>
      </c>
      <c r="J2289" s="3">
        <f t="shared" si="328"/>
        <v>0.7</v>
      </c>
    </row>
    <row r="2290" spans="2:10" x14ac:dyDescent="0.25">
      <c r="B2290" s="3">
        <f t="shared" si="329"/>
        <v>11365</v>
      </c>
      <c r="C2290" s="14">
        <f t="shared" si="330"/>
        <v>189.41666666666666</v>
      </c>
      <c r="D2290" s="11">
        <f t="shared" si="331"/>
        <v>1117.3741653280508</v>
      </c>
      <c r="E2290" s="24">
        <f t="shared" si="323"/>
        <v>1116.1739772258882</v>
      </c>
      <c r="F2290" s="24">
        <f t="shared" si="325"/>
        <v>30.004702554066398</v>
      </c>
      <c r="G2290" s="14">
        <f t="shared" si="326"/>
        <v>511.47345952959131</v>
      </c>
      <c r="H2290" s="24">
        <f t="shared" si="324"/>
        <v>650</v>
      </c>
      <c r="I2290" s="12">
        <f t="shared" si="327"/>
        <v>6.6556801494549123E-2</v>
      </c>
      <c r="J2290" s="3">
        <f t="shared" si="328"/>
        <v>0.7</v>
      </c>
    </row>
    <row r="2291" spans="2:10" x14ac:dyDescent="0.25">
      <c r="B2291" s="3">
        <f t="shared" si="329"/>
        <v>11370</v>
      </c>
      <c r="C2291" s="14">
        <f t="shared" si="330"/>
        <v>189.5</v>
      </c>
      <c r="D2291" s="11">
        <f t="shared" si="331"/>
        <v>1117.4400253714218</v>
      </c>
      <c r="E2291" s="24">
        <f t="shared" si="323"/>
        <v>1116.2405340273826</v>
      </c>
      <c r="F2291" s="24">
        <f t="shared" si="325"/>
        <v>29.987283600979708</v>
      </c>
      <c r="G2291" s="14">
        <f t="shared" si="326"/>
        <v>511.24958858722795</v>
      </c>
      <c r="H2291" s="24">
        <f t="shared" si="324"/>
        <v>650</v>
      </c>
      <c r="I2291" s="12">
        <f t="shared" si="327"/>
        <v>6.6527142895553518E-2</v>
      </c>
      <c r="J2291" s="3">
        <f t="shared" si="328"/>
        <v>0.7</v>
      </c>
    </row>
    <row r="2292" spans="2:10" x14ac:dyDescent="0.25">
      <c r="B2292" s="3">
        <f t="shared" si="329"/>
        <v>11375</v>
      </c>
      <c r="C2292" s="14">
        <f t="shared" si="330"/>
        <v>189.58333333333334</v>
      </c>
      <c r="D2292" s="11">
        <f t="shared" si="331"/>
        <v>1117.5058564780418</v>
      </c>
      <c r="E2292" s="24">
        <f t="shared" ref="E2292:E2355" si="332">E2291+I2291</f>
        <v>1116.3070611702783</v>
      </c>
      <c r="F2292" s="24">
        <f t="shared" si="325"/>
        <v>29.969882694086891</v>
      </c>
      <c r="G2292" s="14">
        <f t="shared" si="326"/>
        <v>511.02591511968825</v>
      </c>
      <c r="H2292" s="24">
        <f t="shared" ref="H2292:H2355" si="333">IF(E2292&lt;600,425+0.773*E2292-1.69/1000*E2292^2+2.22/1000^2*E2292^3,IF(E2292&lt;735,666+13002/(738-E2292),IF(E2292&lt;900,545+17820/(E2292-731),650)))</f>
        <v>650</v>
      </c>
      <c r="I2292" s="12">
        <f t="shared" si="327"/>
        <v>6.6497510787727088E-2</v>
      </c>
      <c r="J2292" s="3">
        <f t="shared" si="328"/>
        <v>0.7</v>
      </c>
    </row>
    <row r="2293" spans="2:10" x14ac:dyDescent="0.25">
      <c r="B2293" s="3">
        <f t="shared" si="329"/>
        <v>11380</v>
      </c>
      <c r="C2293" s="14">
        <f t="shared" si="330"/>
        <v>189.66666666666666</v>
      </c>
      <c r="D2293" s="11">
        <f t="shared" si="331"/>
        <v>1117.5716586733272</v>
      </c>
      <c r="E2293" s="24">
        <f t="shared" si="332"/>
        <v>1116.373558681066</v>
      </c>
      <c r="F2293" s="24">
        <f t="shared" si="325"/>
        <v>29.952499806529431</v>
      </c>
      <c r="G2293" s="14">
        <f t="shared" si="326"/>
        <v>510.80243886480122</v>
      </c>
      <c r="H2293" s="24">
        <f t="shared" si="333"/>
        <v>650</v>
      </c>
      <c r="I2293" s="12">
        <f t="shared" si="327"/>
        <v>6.6467905135543182E-2</v>
      </c>
      <c r="J2293" s="3">
        <f t="shared" si="328"/>
        <v>0.7</v>
      </c>
    </row>
    <row r="2294" spans="2:10" x14ac:dyDescent="0.25">
      <c r="B2294" s="3">
        <f t="shared" si="329"/>
        <v>11385</v>
      </c>
      <c r="C2294" s="14">
        <f t="shared" si="330"/>
        <v>189.75</v>
      </c>
      <c r="D2294" s="11">
        <f t="shared" si="331"/>
        <v>1117.6374319826612</v>
      </c>
      <c r="E2294" s="24">
        <f t="shared" si="332"/>
        <v>1116.4400265862016</v>
      </c>
      <c r="F2294" s="24">
        <f t="shared" si="325"/>
        <v>29.935134911488603</v>
      </c>
      <c r="G2294" s="14">
        <f t="shared" si="326"/>
        <v>510.57915956041506</v>
      </c>
      <c r="H2294" s="24">
        <f t="shared" si="333"/>
        <v>650</v>
      </c>
      <c r="I2294" s="12">
        <f t="shared" si="327"/>
        <v>6.643832590348249E-2</v>
      </c>
      <c r="J2294" s="3">
        <f t="shared" si="328"/>
        <v>0.7</v>
      </c>
    </row>
    <row r="2295" spans="2:10" x14ac:dyDescent="0.25">
      <c r="B2295" s="3">
        <f t="shared" si="329"/>
        <v>11390</v>
      </c>
      <c r="C2295" s="14">
        <f t="shared" si="330"/>
        <v>189.83333333333334</v>
      </c>
      <c r="D2295" s="11">
        <f t="shared" si="331"/>
        <v>1117.7031764313933</v>
      </c>
      <c r="E2295" s="24">
        <f t="shared" si="332"/>
        <v>1116.506464912105</v>
      </c>
      <c r="F2295" s="24">
        <f t="shared" si="325"/>
        <v>29.91778798220821</v>
      </c>
      <c r="G2295" s="14">
        <f t="shared" si="326"/>
        <v>510.35607694521161</v>
      </c>
      <c r="H2295" s="24">
        <f t="shared" si="333"/>
        <v>650</v>
      </c>
      <c r="I2295" s="12">
        <f t="shared" si="327"/>
        <v>6.6408773056135767E-2</v>
      </c>
      <c r="J2295" s="3">
        <f t="shared" si="328"/>
        <v>0.7</v>
      </c>
    </row>
    <row r="2296" spans="2:10" x14ac:dyDescent="0.25">
      <c r="B2296" s="3">
        <f t="shared" si="329"/>
        <v>11395</v>
      </c>
      <c r="C2296" s="14">
        <f t="shared" si="330"/>
        <v>189.91666666666666</v>
      </c>
      <c r="D2296" s="11">
        <f t="shared" si="331"/>
        <v>1117.7688920448402</v>
      </c>
      <c r="E2296" s="24">
        <f t="shared" si="332"/>
        <v>1116.5728736851611</v>
      </c>
      <c r="F2296" s="24">
        <f t="shared" si="325"/>
        <v>29.90045899197753</v>
      </c>
      <c r="G2296" s="14">
        <f t="shared" si="326"/>
        <v>510.13319075810489</v>
      </c>
      <c r="H2296" s="24">
        <f t="shared" si="333"/>
        <v>650</v>
      </c>
      <c r="I2296" s="12">
        <f t="shared" si="327"/>
        <v>6.6379246558127991E-2</v>
      </c>
      <c r="J2296" s="3">
        <f t="shared" si="328"/>
        <v>0.7</v>
      </c>
    </row>
    <row r="2297" spans="2:10" x14ac:dyDescent="0.25">
      <c r="B2297" s="3">
        <f t="shared" si="329"/>
        <v>11400</v>
      </c>
      <c r="C2297" s="14">
        <f t="shared" si="330"/>
        <v>190</v>
      </c>
      <c r="D2297" s="11">
        <f t="shared" si="331"/>
        <v>1117.8345788482843</v>
      </c>
      <c r="E2297" s="24">
        <f t="shared" si="332"/>
        <v>1116.6392529317193</v>
      </c>
      <c r="F2297" s="24">
        <f t="shared" si="325"/>
        <v>29.88314791412563</v>
      </c>
      <c r="G2297" s="14">
        <f t="shared" si="326"/>
        <v>509.91050073833873</v>
      </c>
      <c r="H2297" s="24">
        <f t="shared" si="333"/>
        <v>650</v>
      </c>
      <c r="I2297" s="12">
        <f t="shared" si="327"/>
        <v>6.6349746374129479E-2</v>
      </c>
      <c r="J2297" s="3">
        <f t="shared" si="328"/>
        <v>0.7</v>
      </c>
    </row>
    <row r="2298" spans="2:10" x14ac:dyDescent="0.25">
      <c r="B2298" s="3">
        <f t="shared" si="329"/>
        <v>11405</v>
      </c>
      <c r="C2298" s="14">
        <f t="shared" si="330"/>
        <v>190.08333333333334</v>
      </c>
      <c r="D2298" s="11">
        <f t="shared" si="331"/>
        <v>1117.900236866976</v>
      </c>
      <c r="E2298" s="24">
        <f t="shared" si="332"/>
        <v>1116.7056026780933</v>
      </c>
      <c r="F2298" s="24">
        <f t="shared" si="325"/>
        <v>29.865854722066842</v>
      </c>
      <c r="G2298" s="14">
        <f t="shared" si="326"/>
        <v>509.68800662614512</v>
      </c>
      <c r="H2298" s="24">
        <f t="shared" si="333"/>
        <v>650</v>
      </c>
      <c r="I2298" s="12">
        <f t="shared" si="327"/>
        <v>6.6320272468942565E-2</v>
      </c>
      <c r="J2298" s="3">
        <f t="shared" si="328"/>
        <v>0.7</v>
      </c>
    </row>
    <row r="2299" spans="2:10" x14ac:dyDescent="0.25">
      <c r="B2299" s="3">
        <f t="shared" si="329"/>
        <v>11410</v>
      </c>
      <c r="C2299" s="14">
        <f t="shared" si="330"/>
        <v>190.16666666666666</v>
      </c>
      <c r="D2299" s="11">
        <f t="shared" si="331"/>
        <v>1117.9658661261317</v>
      </c>
      <c r="E2299" s="24">
        <f t="shared" si="332"/>
        <v>1116.7719229505622</v>
      </c>
      <c r="F2299" s="24">
        <f t="shared" si="325"/>
        <v>29.848579389238239</v>
      </c>
      <c r="G2299" s="14">
        <f t="shared" si="326"/>
        <v>509.46570816181423</v>
      </c>
      <c r="H2299" s="24">
        <f t="shared" si="333"/>
        <v>650</v>
      </c>
      <c r="I2299" s="12">
        <f t="shared" si="327"/>
        <v>6.6290824807379495E-2</v>
      </c>
      <c r="J2299" s="3">
        <f t="shared" si="328"/>
        <v>0.7</v>
      </c>
    </row>
    <row r="2300" spans="2:10" x14ac:dyDescent="0.25">
      <c r="B2300" s="3">
        <f t="shared" si="329"/>
        <v>11415</v>
      </c>
      <c r="C2300" s="14">
        <f t="shared" si="330"/>
        <v>190.25</v>
      </c>
      <c r="D2300" s="11">
        <f t="shared" si="331"/>
        <v>1118.0314666509346</v>
      </c>
      <c r="E2300" s="24">
        <f t="shared" si="332"/>
        <v>1116.8382137753695</v>
      </c>
      <c r="F2300" s="24">
        <f t="shared" si="325"/>
        <v>29.831321889128048</v>
      </c>
      <c r="G2300" s="14">
        <f t="shared" si="326"/>
        <v>509.24360508596573</v>
      </c>
      <c r="H2300" s="24">
        <f t="shared" si="333"/>
        <v>650</v>
      </c>
      <c r="I2300" s="12">
        <f t="shared" si="327"/>
        <v>6.6261403354299281E-2</v>
      </c>
      <c r="J2300" s="3">
        <f t="shared" si="328"/>
        <v>0.7</v>
      </c>
    </row>
    <row r="2301" spans="2:10" x14ac:dyDescent="0.25">
      <c r="B2301" s="3">
        <f t="shared" si="329"/>
        <v>11420</v>
      </c>
      <c r="C2301" s="14">
        <f t="shared" si="330"/>
        <v>190.33333333333334</v>
      </c>
      <c r="D2301" s="11">
        <f t="shared" si="331"/>
        <v>1118.0970384665354</v>
      </c>
      <c r="E2301" s="24">
        <f t="shared" si="332"/>
        <v>1116.9044751787237</v>
      </c>
      <c r="F2301" s="24">
        <f t="shared" si="325"/>
        <v>29.814082195292713</v>
      </c>
      <c r="G2301" s="14">
        <f t="shared" si="326"/>
        <v>509.0216971399945</v>
      </c>
      <c r="H2301" s="24">
        <f t="shared" si="333"/>
        <v>650</v>
      </c>
      <c r="I2301" s="12">
        <f t="shared" si="327"/>
        <v>6.6232008074664644E-2</v>
      </c>
      <c r="J2301" s="3">
        <f t="shared" si="328"/>
        <v>0.7</v>
      </c>
    </row>
    <row r="2302" spans="2:10" x14ac:dyDescent="0.25">
      <c r="B2302" s="3">
        <f t="shared" si="329"/>
        <v>11425</v>
      </c>
      <c r="C2302" s="14">
        <f t="shared" si="330"/>
        <v>190.41666666666666</v>
      </c>
      <c r="D2302" s="11">
        <f t="shared" si="331"/>
        <v>1118.1625815980517</v>
      </c>
      <c r="E2302" s="24">
        <f t="shared" si="332"/>
        <v>1116.9707071867983</v>
      </c>
      <c r="F2302" s="24">
        <f t="shared" si="325"/>
        <v>29.796860281334148</v>
      </c>
      <c r="G2302" s="14">
        <f t="shared" si="326"/>
        <v>508.79998406579921</v>
      </c>
      <c r="H2302" s="24">
        <f t="shared" si="333"/>
        <v>650</v>
      </c>
      <c r="I2302" s="12">
        <f t="shared" si="327"/>
        <v>6.6202638933505809E-2</v>
      </c>
      <c r="J2302" s="3">
        <f t="shared" si="328"/>
        <v>0.7</v>
      </c>
    </row>
    <row r="2303" spans="2:10" x14ac:dyDescent="0.25">
      <c r="B2303" s="3">
        <f t="shared" si="329"/>
        <v>11430</v>
      </c>
      <c r="C2303" s="14">
        <f t="shared" si="330"/>
        <v>190.5</v>
      </c>
      <c r="D2303" s="11">
        <f t="shared" si="331"/>
        <v>1118.2280960705675</v>
      </c>
      <c r="E2303" s="24">
        <f t="shared" si="332"/>
        <v>1117.0369098257318</v>
      </c>
      <c r="F2303" s="24">
        <f t="shared" si="325"/>
        <v>29.77965612089406</v>
      </c>
      <c r="G2303" s="14">
        <f t="shared" si="326"/>
        <v>508.57846560537547</v>
      </c>
      <c r="H2303" s="24">
        <f t="shared" si="333"/>
        <v>650</v>
      </c>
      <c r="I2303" s="12">
        <f t="shared" si="327"/>
        <v>6.6173295895869802E-2</v>
      </c>
      <c r="J2303" s="3">
        <f t="shared" si="328"/>
        <v>0.7</v>
      </c>
    </row>
    <row r="2304" spans="2:10" x14ac:dyDescent="0.25">
      <c r="B2304" s="3">
        <f t="shared" si="329"/>
        <v>11435</v>
      </c>
      <c r="C2304" s="14">
        <f t="shared" si="330"/>
        <v>190.58333333333334</v>
      </c>
      <c r="D2304" s="11">
        <f t="shared" si="331"/>
        <v>1118.2935819091347</v>
      </c>
      <c r="E2304" s="24">
        <f t="shared" si="332"/>
        <v>1117.1030831216276</v>
      </c>
      <c r="F2304" s="24">
        <f t="shared" si="325"/>
        <v>29.762469687676685</v>
      </c>
      <c r="G2304" s="14">
        <f t="shared" si="326"/>
        <v>508.35714150139728</v>
      </c>
      <c r="H2304" s="24">
        <f t="shared" si="333"/>
        <v>650</v>
      </c>
      <c r="I2304" s="12">
        <f t="shared" si="327"/>
        <v>6.6143978926894748E-2</v>
      </c>
      <c r="J2304" s="3">
        <f t="shared" si="328"/>
        <v>0.7</v>
      </c>
    </row>
    <row r="2305" spans="2:10" x14ac:dyDescent="0.25">
      <c r="B2305" s="3">
        <f t="shared" si="329"/>
        <v>11440</v>
      </c>
      <c r="C2305" s="14">
        <f t="shared" si="330"/>
        <v>190.66666666666666</v>
      </c>
      <c r="D2305" s="11">
        <f t="shared" si="331"/>
        <v>1118.359039138772</v>
      </c>
      <c r="E2305" s="24">
        <f t="shared" si="332"/>
        <v>1117.1692271005545</v>
      </c>
      <c r="F2305" s="24">
        <f t="shared" si="325"/>
        <v>29.745300955437415</v>
      </c>
      <c r="G2305" s="14">
        <f t="shared" si="326"/>
        <v>508.13601149713924</v>
      </c>
      <c r="H2305" s="24">
        <f t="shared" si="333"/>
        <v>650</v>
      </c>
      <c r="I2305" s="12">
        <f t="shared" si="327"/>
        <v>6.6114687991798815E-2</v>
      </c>
      <c r="J2305" s="3">
        <f t="shared" si="328"/>
        <v>0.7</v>
      </c>
    </row>
    <row r="2306" spans="2:10" x14ac:dyDescent="0.25">
      <c r="B2306" s="3">
        <f t="shared" si="329"/>
        <v>11445</v>
      </c>
      <c r="C2306" s="14">
        <f t="shared" si="330"/>
        <v>190.75</v>
      </c>
      <c r="D2306" s="11">
        <f t="shared" si="331"/>
        <v>1118.4244677844652</v>
      </c>
      <c r="E2306" s="24">
        <f t="shared" si="332"/>
        <v>1117.2353417885463</v>
      </c>
      <c r="F2306" s="24">
        <f t="shared" si="325"/>
        <v>29.728149897971434</v>
      </c>
      <c r="G2306" s="14">
        <f t="shared" si="326"/>
        <v>507.91507533595359</v>
      </c>
      <c r="H2306" s="24">
        <f t="shared" si="333"/>
        <v>650</v>
      </c>
      <c r="I2306" s="12">
        <f t="shared" si="327"/>
        <v>6.6085423055814677E-2</v>
      </c>
      <c r="J2306" s="3">
        <f t="shared" si="328"/>
        <v>0.7</v>
      </c>
    </row>
    <row r="2307" spans="2:10" x14ac:dyDescent="0.25">
      <c r="B2307" s="3">
        <f t="shared" si="329"/>
        <v>11450</v>
      </c>
      <c r="C2307" s="14">
        <f t="shared" si="330"/>
        <v>190.83333333333334</v>
      </c>
      <c r="D2307" s="11">
        <f t="shared" si="331"/>
        <v>1118.4898678711677</v>
      </c>
      <c r="E2307" s="24">
        <f t="shared" si="332"/>
        <v>1117.301427211602</v>
      </c>
      <c r="F2307" s="24">
        <f t="shared" si="325"/>
        <v>29.711016489142139</v>
      </c>
      <c r="G2307" s="14">
        <f t="shared" si="326"/>
        <v>507.69433276206468</v>
      </c>
      <c r="H2307" s="24">
        <f t="shared" si="333"/>
        <v>650</v>
      </c>
      <c r="I2307" s="12">
        <f t="shared" si="327"/>
        <v>6.6056184084290565E-2</v>
      </c>
      <c r="J2307" s="3">
        <f t="shared" si="328"/>
        <v>0.7</v>
      </c>
    </row>
    <row r="2308" spans="2:10" x14ac:dyDescent="0.25">
      <c r="B2308" s="3">
        <f t="shared" si="329"/>
        <v>11455</v>
      </c>
      <c r="C2308" s="14">
        <f t="shared" si="330"/>
        <v>190.91666666666666</v>
      </c>
      <c r="D2308" s="11">
        <f t="shared" si="331"/>
        <v>1118.5552394238</v>
      </c>
      <c r="E2308" s="24">
        <f t="shared" si="332"/>
        <v>1117.3674833956863</v>
      </c>
      <c r="F2308" s="24">
        <f t="shared" si="325"/>
        <v>29.693900702841347</v>
      </c>
      <c r="G2308" s="14">
        <f t="shared" si="326"/>
        <v>507.47378351975487</v>
      </c>
      <c r="H2308" s="24">
        <f t="shared" si="333"/>
        <v>650</v>
      </c>
      <c r="I2308" s="12">
        <f t="shared" si="327"/>
        <v>6.6026971042585314E-2</v>
      </c>
      <c r="J2308" s="3">
        <f t="shared" si="328"/>
        <v>0.7</v>
      </c>
    </row>
    <row r="2309" spans="2:10" x14ac:dyDescent="0.25">
      <c r="B2309" s="3">
        <f t="shared" si="329"/>
        <v>11460</v>
      </c>
      <c r="C2309" s="14">
        <f t="shared" si="330"/>
        <v>191</v>
      </c>
      <c r="D2309" s="11">
        <f t="shared" si="331"/>
        <v>1118.6205824672504</v>
      </c>
      <c r="E2309" s="24">
        <f t="shared" si="332"/>
        <v>1117.433510366729</v>
      </c>
      <c r="F2309" s="24">
        <f t="shared" si="325"/>
        <v>29.676802513034772</v>
      </c>
      <c r="G2309" s="14">
        <f t="shared" si="326"/>
        <v>507.25342735417877</v>
      </c>
      <c r="H2309" s="24">
        <f t="shared" si="333"/>
        <v>650</v>
      </c>
      <c r="I2309" s="12">
        <f t="shared" si="327"/>
        <v>6.599778389617407E-2</v>
      </c>
      <c r="J2309" s="3">
        <f t="shared" si="328"/>
        <v>0.7</v>
      </c>
    </row>
    <row r="2310" spans="2:10" x14ac:dyDescent="0.25">
      <c r="B2310" s="3">
        <f t="shared" si="329"/>
        <v>11465</v>
      </c>
      <c r="C2310" s="14">
        <f t="shared" si="330"/>
        <v>191.08333333333334</v>
      </c>
      <c r="D2310" s="11">
        <f t="shared" si="331"/>
        <v>1118.6858970263738</v>
      </c>
      <c r="E2310" s="24">
        <f t="shared" si="332"/>
        <v>1117.4995081506252</v>
      </c>
      <c r="F2310" s="24">
        <f t="shared" si="325"/>
        <v>29.659721893716551</v>
      </c>
      <c r="G2310" s="14">
        <f t="shared" si="326"/>
        <v>507.03326401047156</v>
      </c>
      <c r="H2310" s="24">
        <f t="shared" si="333"/>
        <v>650</v>
      </c>
      <c r="I2310" s="12">
        <f t="shared" si="327"/>
        <v>6.5968622610533129E-2</v>
      </c>
      <c r="J2310" s="3">
        <f t="shared" si="328"/>
        <v>0.7</v>
      </c>
    </row>
    <row r="2311" spans="2:10" x14ac:dyDescent="0.25">
      <c r="B2311" s="3">
        <f t="shared" si="329"/>
        <v>11470</v>
      </c>
      <c r="C2311" s="14">
        <f t="shared" si="330"/>
        <v>191.16666666666666</v>
      </c>
      <c r="D2311" s="11">
        <f t="shared" si="331"/>
        <v>1118.7511831259935</v>
      </c>
      <c r="E2311" s="24">
        <f t="shared" si="332"/>
        <v>1117.5654767732358</v>
      </c>
      <c r="F2311" s="24">
        <f t="shared" si="325"/>
        <v>29.642658818943346</v>
      </c>
      <c r="G2311" s="14">
        <f t="shared" si="326"/>
        <v>506.81329323456288</v>
      </c>
      <c r="H2311" s="24">
        <f t="shared" si="333"/>
        <v>650</v>
      </c>
      <c r="I2311" s="12">
        <f t="shared" si="327"/>
        <v>6.5939487151244036E-2</v>
      </c>
      <c r="J2311" s="3">
        <f t="shared" si="328"/>
        <v>0.7</v>
      </c>
    </row>
    <row r="2312" spans="2:10" x14ac:dyDescent="0.25">
      <c r="B2312" s="3">
        <f t="shared" si="329"/>
        <v>11475</v>
      </c>
      <c r="C2312" s="14">
        <f t="shared" si="330"/>
        <v>191.25</v>
      </c>
      <c r="D2312" s="11">
        <f t="shared" si="331"/>
        <v>1118.8164407909001</v>
      </c>
      <c r="E2312" s="24">
        <f t="shared" si="332"/>
        <v>1117.6314162603871</v>
      </c>
      <c r="F2312" s="24">
        <f t="shared" si="325"/>
        <v>29.625613262822981</v>
      </c>
      <c r="G2312" s="14">
        <f t="shared" si="326"/>
        <v>506.59351477277016</v>
      </c>
      <c r="H2312" s="24">
        <f t="shared" si="333"/>
        <v>650</v>
      </c>
      <c r="I2312" s="12">
        <f t="shared" si="327"/>
        <v>6.5910377483942337E-2</v>
      </c>
      <c r="J2312" s="3">
        <f t="shared" si="328"/>
        <v>0.7</v>
      </c>
    </row>
    <row r="2313" spans="2:10" x14ac:dyDescent="0.25">
      <c r="B2313" s="3">
        <f t="shared" si="329"/>
        <v>11480</v>
      </c>
      <c r="C2313" s="14">
        <f t="shared" si="330"/>
        <v>191.33333333333334</v>
      </c>
      <c r="D2313" s="11">
        <f t="shared" si="331"/>
        <v>1118.8816700458513</v>
      </c>
      <c r="E2313" s="24">
        <f t="shared" si="332"/>
        <v>1117.6973266378711</v>
      </c>
      <c r="F2313" s="24">
        <f t="shared" si="325"/>
        <v>29.608585199503068</v>
      </c>
      <c r="G2313" s="14">
        <f t="shared" si="326"/>
        <v>506.3739283716626</v>
      </c>
      <c r="H2313" s="24">
        <f t="shared" si="333"/>
        <v>650</v>
      </c>
      <c r="I2313" s="12">
        <f t="shared" si="327"/>
        <v>6.5881293574299449E-2</v>
      </c>
      <c r="J2313" s="3">
        <f t="shared" si="328"/>
        <v>0.7</v>
      </c>
    </row>
    <row r="2314" spans="2:10" x14ac:dyDescent="0.25">
      <c r="B2314" s="3">
        <f t="shared" si="329"/>
        <v>11485</v>
      </c>
      <c r="C2314" s="14">
        <f t="shared" si="330"/>
        <v>191.41666666666666</v>
      </c>
      <c r="D2314" s="11">
        <f t="shared" si="331"/>
        <v>1118.9468709155731</v>
      </c>
      <c r="E2314" s="24">
        <f t="shared" si="332"/>
        <v>1117.7632079314453</v>
      </c>
      <c r="F2314" s="24">
        <f t="shared" si="325"/>
        <v>29.591574603193749</v>
      </c>
      <c r="G2314" s="14">
        <f t="shared" si="326"/>
        <v>506.15453377862349</v>
      </c>
      <c r="H2314" s="24">
        <f t="shared" si="333"/>
        <v>650</v>
      </c>
      <c r="I2314" s="12">
        <f t="shared" si="327"/>
        <v>6.5852235388094496E-2</v>
      </c>
      <c r="J2314" s="3">
        <f t="shared" si="328"/>
        <v>0.7</v>
      </c>
    </row>
    <row r="2315" spans="2:10" x14ac:dyDescent="0.25">
      <c r="B2315" s="3">
        <f t="shared" si="329"/>
        <v>11490</v>
      </c>
      <c r="C2315" s="14">
        <f t="shared" si="330"/>
        <v>191.5</v>
      </c>
      <c r="D2315" s="11">
        <f t="shared" si="331"/>
        <v>1119.0120434247594</v>
      </c>
      <c r="E2315" s="24">
        <f t="shared" si="332"/>
        <v>1117.8290601668334</v>
      </c>
      <c r="F2315" s="24">
        <f t="shared" si="325"/>
        <v>29.574581448150639</v>
      </c>
      <c r="G2315" s="14">
        <f t="shared" si="326"/>
        <v>505.93533074115231</v>
      </c>
      <c r="H2315" s="24">
        <f t="shared" si="333"/>
        <v>650</v>
      </c>
      <c r="I2315" s="12">
        <f t="shared" si="327"/>
        <v>6.5823202891126475E-2</v>
      </c>
      <c r="J2315" s="3">
        <f t="shared" si="328"/>
        <v>0.7</v>
      </c>
    </row>
    <row r="2316" spans="2:10" x14ac:dyDescent="0.25">
      <c r="B2316" s="3">
        <f t="shared" si="329"/>
        <v>11495</v>
      </c>
      <c r="C2316" s="14">
        <f t="shared" si="330"/>
        <v>191.58333333333334</v>
      </c>
      <c r="D2316" s="11">
        <f t="shared" si="331"/>
        <v>1119.0771875980711</v>
      </c>
      <c r="E2316" s="24">
        <f t="shared" si="332"/>
        <v>1117.8948833697245</v>
      </c>
      <c r="F2316" s="24">
        <f t="shared" si="325"/>
        <v>29.557605708663459</v>
      </c>
      <c r="G2316" s="14">
        <f t="shared" si="326"/>
        <v>505.7163190072331</v>
      </c>
      <c r="H2316" s="24">
        <f t="shared" si="333"/>
        <v>650</v>
      </c>
      <c r="I2316" s="12">
        <f t="shared" si="327"/>
        <v>6.5794196049258152E-2</v>
      </c>
      <c r="J2316" s="3">
        <f t="shared" si="328"/>
        <v>0.7</v>
      </c>
    </row>
    <row r="2317" spans="2:10" x14ac:dyDescent="0.25">
      <c r="B2317" s="3">
        <f t="shared" si="329"/>
        <v>11500</v>
      </c>
      <c r="C2317" s="14">
        <f t="shared" si="330"/>
        <v>191.66666666666666</v>
      </c>
      <c r="D2317" s="11">
        <f t="shared" si="331"/>
        <v>1119.1423034601376</v>
      </c>
      <c r="E2317" s="24">
        <f t="shared" si="332"/>
        <v>1117.9606775657737</v>
      </c>
      <c r="F2317" s="24">
        <f t="shared" si="325"/>
        <v>29.540647359095829</v>
      </c>
      <c r="G2317" s="14">
        <f t="shared" si="326"/>
        <v>505.49749832545052</v>
      </c>
      <c r="H2317" s="24">
        <f t="shared" si="333"/>
        <v>650</v>
      </c>
      <c r="I2317" s="12">
        <f t="shared" si="327"/>
        <v>6.5765214828435212E-2</v>
      </c>
      <c r="J2317" s="3">
        <f t="shared" si="328"/>
        <v>0.7</v>
      </c>
    </row>
    <row r="2318" spans="2:10" x14ac:dyDescent="0.25">
      <c r="B2318" s="3">
        <f t="shared" si="329"/>
        <v>11505</v>
      </c>
      <c r="C2318" s="14">
        <f t="shared" si="330"/>
        <v>191.75</v>
      </c>
      <c r="D2318" s="11">
        <f t="shared" si="331"/>
        <v>1119.2073910355557</v>
      </c>
      <c r="E2318" s="24">
        <f t="shared" si="332"/>
        <v>1118.0264427806021</v>
      </c>
      <c r="F2318" s="24">
        <f t="shared" si="325"/>
        <v>29.523706373839786</v>
      </c>
      <c r="G2318" s="14">
        <f t="shared" si="326"/>
        <v>505.2788684446802</v>
      </c>
      <c r="H2318" s="24">
        <f t="shared" si="333"/>
        <v>650</v>
      </c>
      <c r="I2318" s="12">
        <f t="shared" si="327"/>
        <v>6.5736259194642557E-2</v>
      </c>
      <c r="J2318" s="3">
        <f t="shared" si="328"/>
        <v>0.7</v>
      </c>
    </row>
    <row r="2319" spans="2:10" x14ac:dyDescent="0.25">
      <c r="B2319" s="3">
        <f t="shared" si="329"/>
        <v>11510</v>
      </c>
      <c r="C2319" s="14">
        <f t="shared" si="330"/>
        <v>191.83333333333334</v>
      </c>
      <c r="D2319" s="11">
        <f t="shared" si="331"/>
        <v>1119.2724503488907</v>
      </c>
      <c r="E2319" s="24">
        <f t="shared" si="332"/>
        <v>1118.0921790397967</v>
      </c>
      <c r="F2319" s="24">
        <f t="shared" si="325"/>
        <v>29.506782727349901</v>
      </c>
      <c r="G2319" s="14">
        <f t="shared" si="326"/>
        <v>505.06042911428204</v>
      </c>
      <c r="H2319" s="24">
        <f t="shared" si="333"/>
        <v>650</v>
      </c>
      <c r="I2319" s="12">
        <f t="shared" si="327"/>
        <v>6.5707329113932317E-2</v>
      </c>
      <c r="J2319" s="3">
        <f t="shared" si="328"/>
        <v>0.7</v>
      </c>
    </row>
    <row r="2320" spans="2:10" x14ac:dyDescent="0.25">
      <c r="B2320" s="3">
        <f t="shared" si="329"/>
        <v>11515</v>
      </c>
      <c r="C2320" s="14">
        <f t="shared" si="330"/>
        <v>191.91666666666666</v>
      </c>
      <c r="D2320" s="11">
        <f t="shared" si="331"/>
        <v>1119.3374814246761</v>
      </c>
      <c r="E2320" s="24">
        <f t="shared" si="332"/>
        <v>1118.1578863689106</v>
      </c>
      <c r="F2320" s="24">
        <f t="shared" si="325"/>
        <v>29.489876394137582</v>
      </c>
      <c r="G2320" s="14">
        <f t="shared" si="326"/>
        <v>504.84218008435244</v>
      </c>
      <c r="H2320" s="24">
        <f t="shared" si="333"/>
        <v>650</v>
      </c>
      <c r="I2320" s="12">
        <f t="shared" si="327"/>
        <v>6.5678424552454179E-2</v>
      </c>
      <c r="J2320" s="3">
        <f t="shared" si="328"/>
        <v>0.7</v>
      </c>
    </row>
    <row r="2321" spans="2:10" x14ac:dyDescent="0.25">
      <c r="B2321" s="3">
        <f t="shared" si="329"/>
        <v>11520</v>
      </c>
      <c r="C2321" s="14">
        <f t="shared" si="330"/>
        <v>192</v>
      </c>
      <c r="D2321" s="11">
        <f t="shared" si="331"/>
        <v>1119.4024842874119</v>
      </c>
      <c r="E2321" s="24">
        <f t="shared" si="332"/>
        <v>1118.2235647934631</v>
      </c>
      <c r="F2321" s="24">
        <f t="shared" ref="F2321:F2384" si="334">AlphaC*(D2321-E2321)</f>
        <v>29.472987348719926</v>
      </c>
      <c r="G2321" s="14">
        <f t="shared" ref="G2321:G2384" si="335">Phi*EpsilonF*Botzman/10^8*J2321*((D2321+273)^4-(E2321+273)^4)</f>
        <v>504.62412110461958</v>
      </c>
      <c r="H2321" s="24">
        <f t="shared" si="333"/>
        <v>650</v>
      </c>
      <c r="I2321" s="12">
        <f t="shared" ref="I2321:I2384" si="336">ksh*Massivete/(H2321*RhoA)*DeltaT*(F2321+G2321)</f>
        <v>6.5649545476313229E-2</v>
      </c>
      <c r="J2321" s="3">
        <f t="shared" ref="J2321:J2384" si="337">IF(E2321&lt;=500,IF(Galva=Oui,0.35,0.7),0.7)</f>
        <v>0.7</v>
      </c>
    </row>
    <row r="2322" spans="2:10" x14ac:dyDescent="0.25">
      <c r="B2322" s="3">
        <f t="shared" ref="B2322:B2385" si="338">B2321+DeltaT</f>
        <v>11525</v>
      </c>
      <c r="C2322" s="14">
        <f t="shared" ref="C2322:C2385" si="339">B2322/60</f>
        <v>192.08333333333334</v>
      </c>
      <c r="D2322" s="11">
        <f t="shared" ref="D2322:D2385" si="340">20+345*LOG(8*C2322+1,10)</f>
        <v>1119.4674589615684</v>
      </c>
      <c r="E2322" s="24">
        <f t="shared" si="332"/>
        <v>1118.2892143389395</v>
      </c>
      <c r="F2322" s="24">
        <f t="shared" si="334"/>
        <v>29.45611556572203</v>
      </c>
      <c r="G2322" s="14">
        <f t="shared" si="335"/>
        <v>504.4062519262265</v>
      </c>
      <c r="H2322" s="24">
        <f t="shared" si="333"/>
        <v>650</v>
      </c>
      <c r="I2322" s="12">
        <f t="shared" si="336"/>
        <v>6.5620691851801735E-2</v>
      </c>
      <c r="J2322" s="3">
        <f t="shared" si="337"/>
        <v>0.7</v>
      </c>
    </row>
    <row r="2323" spans="2:10" x14ac:dyDescent="0.25">
      <c r="B2323" s="3">
        <f t="shared" si="338"/>
        <v>11530</v>
      </c>
      <c r="C2323" s="14">
        <f t="shared" si="339"/>
        <v>192.16666666666666</v>
      </c>
      <c r="D2323" s="11">
        <f t="shared" si="340"/>
        <v>1119.5324054715825</v>
      </c>
      <c r="E2323" s="24">
        <f t="shared" si="332"/>
        <v>1118.3548350307913</v>
      </c>
      <c r="F2323" s="24">
        <f t="shared" si="334"/>
        <v>29.439261019780361</v>
      </c>
      <c r="G2323" s="14">
        <f t="shared" si="335"/>
        <v>504.18857230014157</v>
      </c>
      <c r="H2323" s="24">
        <f t="shared" si="333"/>
        <v>650</v>
      </c>
      <c r="I2323" s="12">
        <f t="shared" si="336"/>
        <v>6.5591863645191886E-2</v>
      </c>
      <c r="J2323" s="3">
        <f t="shared" si="337"/>
        <v>0.7</v>
      </c>
    </row>
    <row r="2324" spans="2:10" x14ac:dyDescent="0.25">
      <c r="B2324" s="3">
        <f t="shared" si="338"/>
        <v>11535</v>
      </c>
      <c r="C2324" s="14">
        <f t="shared" si="339"/>
        <v>192.25</v>
      </c>
      <c r="D2324" s="11">
        <f t="shared" si="340"/>
        <v>1119.5973238418601</v>
      </c>
      <c r="E2324" s="24">
        <f t="shared" si="332"/>
        <v>1118.4204268944366</v>
      </c>
      <c r="F2324" s="24">
        <f t="shared" si="334"/>
        <v>29.422423685588228</v>
      </c>
      <c r="G2324" s="14">
        <f t="shared" si="335"/>
        <v>503.97108197797286</v>
      </c>
      <c r="H2324" s="24">
        <f t="shared" si="333"/>
        <v>650</v>
      </c>
      <c r="I2324" s="12">
        <f t="shared" si="336"/>
        <v>6.5563060822841537E-2</v>
      </c>
      <c r="J2324" s="3">
        <f t="shared" si="337"/>
        <v>0.7</v>
      </c>
    </row>
    <row r="2325" spans="2:10" x14ac:dyDescent="0.25">
      <c r="B2325" s="3">
        <f t="shared" si="338"/>
        <v>11540</v>
      </c>
      <c r="C2325" s="14">
        <f t="shared" si="339"/>
        <v>192.33333333333334</v>
      </c>
      <c r="D2325" s="11">
        <f t="shared" si="340"/>
        <v>1119.662214096775</v>
      </c>
      <c r="E2325" s="24">
        <f t="shared" si="332"/>
        <v>1118.4859899552594</v>
      </c>
      <c r="F2325" s="24">
        <f t="shared" si="334"/>
        <v>29.405603537890102</v>
      </c>
      <c r="G2325" s="14">
        <f t="shared" si="335"/>
        <v>503.75378071173549</v>
      </c>
      <c r="H2325" s="24">
        <f t="shared" si="333"/>
        <v>650</v>
      </c>
      <c r="I2325" s="12">
        <f t="shared" si="336"/>
        <v>6.5534283351164818E-2</v>
      </c>
      <c r="J2325" s="3">
        <f t="shared" si="337"/>
        <v>0.7</v>
      </c>
    </row>
    <row r="2326" spans="2:10" x14ac:dyDescent="0.25">
      <c r="B2326" s="3">
        <f t="shared" si="338"/>
        <v>11545</v>
      </c>
      <c r="C2326" s="14">
        <f t="shared" si="339"/>
        <v>192.41666666666666</v>
      </c>
      <c r="D2326" s="11">
        <f t="shared" si="340"/>
        <v>1119.7270762606697</v>
      </c>
      <c r="E2326" s="24">
        <f t="shared" si="332"/>
        <v>1118.5515242386105</v>
      </c>
      <c r="F2326" s="24">
        <f t="shared" si="334"/>
        <v>29.388800551481609</v>
      </c>
      <c r="G2326" s="14">
        <f t="shared" si="335"/>
        <v>503.53666825394822</v>
      </c>
      <c r="H2326" s="24">
        <f t="shared" si="333"/>
        <v>650</v>
      </c>
      <c r="I2326" s="12">
        <f t="shared" si="336"/>
        <v>6.550553119664404E-2</v>
      </c>
      <c r="J2326" s="3">
        <f t="shared" si="337"/>
        <v>0.7</v>
      </c>
    </row>
    <row r="2327" spans="2:10" x14ac:dyDescent="0.25">
      <c r="B2327" s="3">
        <f t="shared" si="338"/>
        <v>11550</v>
      </c>
      <c r="C2327" s="14">
        <f t="shared" si="339"/>
        <v>192.5</v>
      </c>
      <c r="D2327" s="11">
        <f t="shared" si="340"/>
        <v>1119.7919103578545</v>
      </c>
      <c r="E2327" s="24">
        <f t="shared" si="332"/>
        <v>1118.617029769807</v>
      </c>
      <c r="F2327" s="24">
        <f t="shared" si="334"/>
        <v>29.372014701186799</v>
      </c>
      <c r="G2327" s="14">
        <f t="shared" si="335"/>
        <v>503.31974435722691</v>
      </c>
      <c r="H2327" s="24">
        <f t="shared" si="333"/>
        <v>650</v>
      </c>
      <c r="I2327" s="12">
        <f t="shared" si="336"/>
        <v>6.547680432577703E-2</v>
      </c>
      <c r="J2327" s="3">
        <f t="shared" si="337"/>
        <v>0.7</v>
      </c>
    </row>
    <row r="2328" spans="2:10" x14ac:dyDescent="0.25">
      <c r="B2328" s="3">
        <f t="shared" si="338"/>
        <v>11555</v>
      </c>
      <c r="C2328" s="14">
        <f t="shared" si="339"/>
        <v>192.58333333333334</v>
      </c>
      <c r="D2328" s="11">
        <f t="shared" si="340"/>
        <v>1119.8567164126093</v>
      </c>
      <c r="E2328" s="24">
        <f t="shared" si="332"/>
        <v>1118.6825065741327</v>
      </c>
      <c r="F2328" s="24">
        <f t="shared" si="334"/>
        <v>29.355245961914989</v>
      </c>
      <c r="G2328" s="14">
        <f t="shared" si="335"/>
        <v>503.10300877529204</v>
      </c>
      <c r="H2328" s="24">
        <f t="shared" si="333"/>
        <v>650</v>
      </c>
      <c r="I2328" s="12">
        <f t="shared" si="336"/>
        <v>6.5448102705207747E-2</v>
      </c>
      <c r="J2328" s="3">
        <f t="shared" si="337"/>
        <v>0.7</v>
      </c>
    </row>
    <row r="2329" spans="2:10" x14ac:dyDescent="0.25">
      <c r="B2329" s="3">
        <f t="shared" si="338"/>
        <v>11560</v>
      </c>
      <c r="C2329" s="14">
        <f t="shared" si="339"/>
        <v>192.66666666666666</v>
      </c>
      <c r="D2329" s="11">
        <f t="shared" si="340"/>
        <v>1119.921494449181</v>
      </c>
      <c r="E2329" s="24">
        <f t="shared" si="332"/>
        <v>1118.7479546768379</v>
      </c>
      <c r="F2329" s="24">
        <f t="shared" si="334"/>
        <v>29.338494308575491</v>
      </c>
      <c r="G2329" s="14">
        <f t="shared" si="335"/>
        <v>502.88646126132136</v>
      </c>
      <c r="H2329" s="24">
        <f t="shared" si="333"/>
        <v>650</v>
      </c>
      <c r="I2329" s="12">
        <f t="shared" si="336"/>
        <v>6.5419426301513539E-2</v>
      </c>
      <c r="J2329" s="3">
        <f t="shared" si="337"/>
        <v>0.7</v>
      </c>
    </row>
    <row r="2330" spans="2:10" x14ac:dyDescent="0.25">
      <c r="B2330" s="3">
        <f t="shared" si="338"/>
        <v>11565</v>
      </c>
      <c r="C2330" s="14">
        <f t="shared" si="339"/>
        <v>192.75</v>
      </c>
      <c r="D2330" s="11">
        <f t="shared" si="340"/>
        <v>1119.986244491786</v>
      </c>
      <c r="E2330" s="24">
        <f t="shared" si="332"/>
        <v>1118.8133741031395</v>
      </c>
      <c r="F2330" s="24">
        <f t="shared" si="334"/>
        <v>29.321759716162887</v>
      </c>
      <c r="G2330" s="14">
        <f t="shared" si="335"/>
        <v>502.67010156990744</v>
      </c>
      <c r="H2330" s="24">
        <f t="shared" si="333"/>
        <v>650</v>
      </c>
      <c r="I2330" s="12">
        <f t="shared" si="336"/>
        <v>6.5390775081456118E-2</v>
      </c>
      <c r="J2330" s="3">
        <f t="shared" si="337"/>
        <v>0.7</v>
      </c>
    </row>
    <row r="2331" spans="2:10" x14ac:dyDescent="0.25">
      <c r="B2331" s="3">
        <f t="shared" si="338"/>
        <v>11570</v>
      </c>
      <c r="C2331" s="14">
        <f t="shared" si="339"/>
        <v>192.83333333333334</v>
      </c>
      <c r="D2331" s="11">
        <f t="shared" si="340"/>
        <v>1120.0509665646096</v>
      </c>
      <c r="E2331" s="24">
        <f t="shared" si="332"/>
        <v>1118.8787648782209</v>
      </c>
      <c r="F2331" s="24">
        <f t="shared" si="334"/>
        <v>29.305042159717232</v>
      </c>
      <c r="G2331" s="14">
        <f t="shared" si="335"/>
        <v>502.45392945560411</v>
      </c>
      <c r="H2331" s="24">
        <f t="shared" si="333"/>
        <v>650</v>
      </c>
      <c r="I2331" s="12">
        <f t="shared" si="336"/>
        <v>6.536214901179796E-2</v>
      </c>
      <c r="J2331" s="3">
        <f t="shared" si="337"/>
        <v>0.7</v>
      </c>
    </row>
    <row r="2332" spans="2:10" x14ac:dyDescent="0.25">
      <c r="B2332" s="3">
        <f t="shared" si="338"/>
        <v>11575</v>
      </c>
      <c r="C2332" s="14">
        <f t="shared" si="339"/>
        <v>192.91666666666666</v>
      </c>
      <c r="D2332" s="11">
        <f t="shared" si="340"/>
        <v>1120.1156606918048</v>
      </c>
      <c r="E2332" s="24">
        <f t="shared" si="332"/>
        <v>1118.9441270272328</v>
      </c>
      <c r="F2332" s="24">
        <f t="shared" si="334"/>
        <v>29.288341614301316</v>
      </c>
      <c r="G2332" s="14">
        <f t="shared" si="335"/>
        <v>502.23794467321699</v>
      </c>
      <c r="H2332" s="24">
        <f t="shared" si="333"/>
        <v>650</v>
      </c>
      <c r="I2332" s="12">
        <f t="shared" si="336"/>
        <v>6.5333548059335389E-2</v>
      </c>
      <c r="J2332" s="3">
        <f t="shared" si="337"/>
        <v>0.7</v>
      </c>
    </row>
    <row r="2333" spans="2:10" x14ac:dyDescent="0.25">
      <c r="B2333" s="3">
        <f t="shared" si="338"/>
        <v>11580</v>
      </c>
      <c r="C2333" s="14">
        <f t="shared" si="339"/>
        <v>193</v>
      </c>
      <c r="D2333" s="11">
        <f t="shared" si="340"/>
        <v>1120.1803268974943</v>
      </c>
      <c r="E2333" s="24">
        <f t="shared" si="332"/>
        <v>1119.009460575292</v>
      </c>
      <c r="F2333" s="24">
        <f t="shared" si="334"/>
        <v>29.271658055057515</v>
      </c>
      <c r="G2333" s="14">
        <f t="shared" si="335"/>
        <v>502.02214697855965</v>
      </c>
      <c r="H2333" s="24">
        <f t="shared" si="333"/>
        <v>650</v>
      </c>
      <c r="I2333" s="12">
        <f t="shared" si="336"/>
        <v>6.5304972190998317E-2</v>
      </c>
      <c r="J2333" s="3">
        <f t="shared" si="337"/>
        <v>0.7</v>
      </c>
    </row>
    <row r="2334" spans="2:10" x14ac:dyDescent="0.25">
      <c r="B2334" s="3">
        <f t="shared" si="338"/>
        <v>11585</v>
      </c>
      <c r="C2334" s="14">
        <f t="shared" si="339"/>
        <v>193.08333333333334</v>
      </c>
      <c r="D2334" s="11">
        <f t="shared" si="340"/>
        <v>1120.2449652057689</v>
      </c>
      <c r="E2334" s="24">
        <f t="shared" si="332"/>
        <v>1119.0747655474829</v>
      </c>
      <c r="F2334" s="24">
        <f t="shared" si="334"/>
        <v>29.254991457150936</v>
      </c>
      <c r="G2334" s="14">
        <f t="shared" si="335"/>
        <v>501.80653612730987</v>
      </c>
      <c r="H2334" s="24">
        <f t="shared" si="333"/>
        <v>650</v>
      </c>
      <c r="I2334" s="12">
        <f t="shared" si="336"/>
        <v>6.5276421373702792E-2</v>
      </c>
      <c r="J2334" s="3">
        <f t="shared" si="337"/>
        <v>0.7</v>
      </c>
    </row>
    <row r="2335" spans="2:10" x14ac:dyDescent="0.25">
      <c r="B2335" s="3">
        <f t="shared" si="338"/>
        <v>11590</v>
      </c>
      <c r="C2335" s="14">
        <f t="shared" si="339"/>
        <v>193.16666666666666</v>
      </c>
      <c r="D2335" s="11">
        <f t="shared" si="340"/>
        <v>1120.3095756406885</v>
      </c>
      <c r="E2335" s="24">
        <f t="shared" si="332"/>
        <v>1119.1400419688566</v>
      </c>
      <c r="F2335" s="24">
        <f t="shared" si="334"/>
        <v>29.238341795797851</v>
      </c>
      <c r="G2335" s="14">
        <f t="shared" si="335"/>
        <v>501.59111187572688</v>
      </c>
      <c r="H2335" s="24">
        <f t="shared" si="333"/>
        <v>650</v>
      </c>
      <c r="I2335" s="12">
        <f t="shared" si="336"/>
        <v>6.524789557444266E-2</v>
      </c>
      <c r="J2335" s="3">
        <f t="shared" si="337"/>
        <v>0.7</v>
      </c>
    </row>
    <row r="2336" spans="2:10" x14ac:dyDescent="0.25">
      <c r="B2336" s="3">
        <f t="shared" si="338"/>
        <v>11595</v>
      </c>
      <c r="C2336" s="14">
        <f t="shared" si="339"/>
        <v>193.25</v>
      </c>
      <c r="D2336" s="11">
        <f t="shared" si="340"/>
        <v>1120.3741582262817</v>
      </c>
      <c r="E2336" s="24">
        <f t="shared" si="332"/>
        <v>1119.2052898644311</v>
      </c>
      <c r="F2336" s="24">
        <f t="shared" si="334"/>
        <v>29.221709046265687</v>
      </c>
      <c r="G2336" s="14">
        <f t="shared" si="335"/>
        <v>501.37587398049624</v>
      </c>
      <c r="H2336" s="24">
        <f t="shared" si="333"/>
        <v>650</v>
      </c>
      <c r="I2336" s="12">
        <f t="shared" si="336"/>
        <v>6.5219394760270374E-2</v>
      </c>
      <c r="J2336" s="3">
        <f t="shared" si="337"/>
        <v>0.7</v>
      </c>
    </row>
    <row r="2337" spans="2:10" x14ac:dyDescent="0.25">
      <c r="B2337" s="3">
        <f t="shared" si="338"/>
        <v>11600</v>
      </c>
      <c r="C2337" s="14">
        <f t="shared" si="339"/>
        <v>193.33333333333334</v>
      </c>
      <c r="D2337" s="11">
        <f t="shared" si="340"/>
        <v>1120.4387129865465</v>
      </c>
      <c r="E2337" s="24">
        <f t="shared" si="332"/>
        <v>1119.2705092591914</v>
      </c>
      <c r="F2337" s="24">
        <f t="shared" si="334"/>
        <v>29.205093183878716</v>
      </c>
      <c r="G2337" s="14">
        <f t="shared" si="335"/>
        <v>501.16082219900119</v>
      </c>
      <c r="H2337" s="24">
        <f t="shared" si="333"/>
        <v>650</v>
      </c>
      <c r="I2337" s="12">
        <f t="shared" si="336"/>
        <v>6.5190918898331215E-2</v>
      </c>
      <c r="J2337" s="3">
        <f t="shared" si="337"/>
        <v>0.7</v>
      </c>
    </row>
    <row r="2338" spans="2:10" x14ac:dyDescent="0.25">
      <c r="B2338" s="3">
        <f t="shared" si="338"/>
        <v>11605</v>
      </c>
      <c r="C2338" s="14">
        <f t="shared" si="339"/>
        <v>193.41666666666666</v>
      </c>
      <c r="D2338" s="11">
        <f t="shared" si="340"/>
        <v>1120.5032399454492</v>
      </c>
      <c r="E2338" s="24">
        <f t="shared" si="332"/>
        <v>1119.3357001780896</v>
      </c>
      <c r="F2338" s="24">
        <f t="shared" si="334"/>
        <v>29.188494183989633</v>
      </c>
      <c r="G2338" s="14">
        <f t="shared" si="335"/>
        <v>500.94595628864431</v>
      </c>
      <c r="H2338" s="24">
        <f t="shared" si="333"/>
        <v>650</v>
      </c>
      <c r="I2338" s="12">
        <f t="shared" si="336"/>
        <v>6.5162467955776279E-2</v>
      </c>
      <c r="J2338" s="3">
        <f t="shared" si="337"/>
        <v>0.7</v>
      </c>
    </row>
    <row r="2339" spans="2:10" x14ac:dyDescent="0.25">
      <c r="B2339" s="3">
        <f t="shared" si="338"/>
        <v>11610</v>
      </c>
      <c r="C2339" s="14">
        <f t="shared" si="339"/>
        <v>193.5</v>
      </c>
      <c r="D2339" s="11">
        <f t="shared" si="340"/>
        <v>1120.567739126926</v>
      </c>
      <c r="E2339" s="24">
        <f t="shared" si="332"/>
        <v>1119.4008626460454</v>
      </c>
      <c r="F2339" s="24">
        <f t="shared" si="334"/>
        <v>29.171912022013657</v>
      </c>
      <c r="G2339" s="14">
        <f t="shared" si="335"/>
        <v>500.73127600754543</v>
      </c>
      <c r="H2339" s="24">
        <f t="shared" si="333"/>
        <v>650</v>
      </c>
      <c r="I2339" s="12">
        <f t="shared" si="336"/>
        <v>6.5134041899852529E-2</v>
      </c>
      <c r="J2339" s="3">
        <f t="shared" si="337"/>
        <v>0.7</v>
      </c>
    </row>
    <row r="2340" spans="2:10" x14ac:dyDescent="0.25">
      <c r="B2340" s="3">
        <f t="shared" si="338"/>
        <v>11615</v>
      </c>
      <c r="C2340" s="14">
        <f t="shared" si="339"/>
        <v>193.58333333333334</v>
      </c>
      <c r="D2340" s="11">
        <f t="shared" si="340"/>
        <v>1120.6322105548813</v>
      </c>
      <c r="E2340" s="24">
        <f t="shared" si="332"/>
        <v>1119.4659966879453</v>
      </c>
      <c r="F2340" s="24">
        <f t="shared" si="334"/>
        <v>29.155346673400118</v>
      </c>
      <c r="G2340" s="14">
        <f t="shared" si="335"/>
        <v>500.51678111394034</v>
      </c>
      <c r="H2340" s="24">
        <f t="shared" si="333"/>
        <v>650</v>
      </c>
      <c r="I2340" s="12">
        <f t="shared" si="336"/>
        <v>6.5105640697825387E-2</v>
      </c>
      <c r="J2340" s="3">
        <f t="shared" si="337"/>
        <v>0.7</v>
      </c>
    </row>
    <row r="2341" spans="2:10" x14ac:dyDescent="0.25">
      <c r="B2341" s="3">
        <f t="shared" si="338"/>
        <v>11620</v>
      </c>
      <c r="C2341" s="14">
        <f t="shared" si="339"/>
        <v>193.66666666666666</v>
      </c>
      <c r="D2341" s="11">
        <f t="shared" si="340"/>
        <v>1120.6966542531895</v>
      </c>
      <c r="E2341" s="24">
        <f t="shared" si="332"/>
        <v>1119.5311023286431</v>
      </c>
      <c r="F2341" s="24">
        <f t="shared" si="334"/>
        <v>29.138798113660869</v>
      </c>
      <c r="G2341" s="14">
        <f t="shared" si="335"/>
        <v>500.30247136699535</v>
      </c>
      <c r="H2341" s="24">
        <f t="shared" si="333"/>
        <v>650</v>
      </c>
      <c r="I2341" s="12">
        <f t="shared" si="336"/>
        <v>6.5077264317082315E-2</v>
      </c>
      <c r="J2341" s="3">
        <f t="shared" si="337"/>
        <v>0.7</v>
      </c>
    </row>
    <row r="2342" spans="2:10" x14ac:dyDescent="0.25">
      <c r="B2342" s="3">
        <f t="shared" si="338"/>
        <v>11625</v>
      </c>
      <c r="C2342" s="14">
        <f t="shared" si="339"/>
        <v>193.75</v>
      </c>
      <c r="D2342" s="11">
        <f t="shared" si="340"/>
        <v>1120.7610702456936</v>
      </c>
      <c r="E2342" s="24">
        <f t="shared" si="332"/>
        <v>1119.5961795929602</v>
      </c>
      <c r="F2342" s="24">
        <f t="shared" si="334"/>
        <v>29.122266318336187</v>
      </c>
      <c r="G2342" s="14">
        <f t="shared" si="335"/>
        <v>500.08834652572159</v>
      </c>
      <c r="H2342" s="24">
        <f t="shared" si="333"/>
        <v>650</v>
      </c>
      <c r="I2342" s="12">
        <f t="shared" si="336"/>
        <v>6.5048912724995175E-2</v>
      </c>
      <c r="J2342" s="3">
        <f t="shared" si="337"/>
        <v>0.7</v>
      </c>
    </row>
    <row r="2343" spans="2:10" x14ac:dyDescent="0.25">
      <c r="B2343" s="3">
        <f t="shared" si="338"/>
        <v>11630</v>
      </c>
      <c r="C2343" s="14">
        <f t="shared" si="339"/>
        <v>193.83333333333334</v>
      </c>
      <c r="D2343" s="11">
        <f t="shared" si="340"/>
        <v>1120.8254585562061</v>
      </c>
      <c r="E2343" s="24">
        <f t="shared" si="332"/>
        <v>1119.6612285056851</v>
      </c>
      <c r="F2343" s="24">
        <f t="shared" si="334"/>
        <v>29.105751263023194</v>
      </c>
      <c r="G2343" s="14">
        <f t="shared" si="335"/>
        <v>499.87440634988599</v>
      </c>
      <c r="H2343" s="24">
        <f t="shared" si="333"/>
        <v>650</v>
      </c>
      <c r="I2343" s="12">
        <f t="shared" si="336"/>
        <v>6.5020585889035781E-2</v>
      </c>
      <c r="J2343" s="3">
        <f t="shared" si="337"/>
        <v>0.7</v>
      </c>
    </row>
    <row r="2344" spans="2:10" x14ac:dyDescent="0.25">
      <c r="B2344" s="3">
        <f t="shared" si="338"/>
        <v>11635</v>
      </c>
      <c r="C2344" s="14">
        <f t="shared" si="339"/>
        <v>193.91666666666666</v>
      </c>
      <c r="D2344" s="11">
        <f t="shared" si="340"/>
        <v>1120.8898192085087</v>
      </c>
      <c r="E2344" s="24">
        <f t="shared" si="332"/>
        <v>1119.7262490915741</v>
      </c>
      <c r="F2344" s="24">
        <f t="shared" si="334"/>
        <v>29.089252923364484</v>
      </c>
      <c r="G2344" s="14">
        <f t="shared" si="335"/>
        <v>499.66065059956566</v>
      </c>
      <c r="H2344" s="24">
        <f t="shared" si="333"/>
        <v>650</v>
      </c>
      <c r="I2344" s="12">
        <f t="shared" si="336"/>
        <v>6.4992283776719617E-2</v>
      </c>
      <c r="J2344" s="3">
        <f t="shared" si="337"/>
        <v>0.7</v>
      </c>
    </row>
    <row r="2345" spans="2:10" x14ac:dyDescent="0.25">
      <c r="B2345" s="3">
        <f t="shared" si="338"/>
        <v>11640</v>
      </c>
      <c r="C2345" s="14">
        <f t="shared" si="339"/>
        <v>194</v>
      </c>
      <c r="D2345" s="11">
        <f t="shared" si="340"/>
        <v>1120.9541522263526</v>
      </c>
      <c r="E2345" s="24">
        <f t="shared" si="332"/>
        <v>1119.7912413753509</v>
      </c>
      <c r="F2345" s="24">
        <f t="shared" si="334"/>
        <v>29.072771275042442</v>
      </c>
      <c r="G2345" s="14">
        <f t="shared" si="335"/>
        <v>499.44707903526393</v>
      </c>
      <c r="H2345" s="24">
        <f t="shared" si="333"/>
        <v>650</v>
      </c>
      <c r="I2345" s="12">
        <f t="shared" si="336"/>
        <v>6.4964006355619441E-2</v>
      </c>
      <c r="J2345" s="3">
        <f t="shared" si="337"/>
        <v>0.7</v>
      </c>
    </row>
    <row r="2346" spans="2:10" x14ac:dyDescent="0.25">
      <c r="B2346" s="3">
        <f t="shared" si="338"/>
        <v>11645</v>
      </c>
      <c r="C2346" s="14">
        <f t="shared" si="339"/>
        <v>194.08333333333334</v>
      </c>
      <c r="D2346" s="11">
        <f t="shared" si="340"/>
        <v>1121.0184576334584</v>
      </c>
      <c r="E2346" s="24">
        <f t="shared" si="332"/>
        <v>1119.8562053817066</v>
      </c>
      <c r="F2346" s="24">
        <f t="shared" si="334"/>
        <v>29.056306293796297</v>
      </c>
      <c r="G2346" s="14">
        <f t="shared" si="335"/>
        <v>499.23369141789129</v>
      </c>
      <c r="H2346" s="24">
        <f t="shared" si="333"/>
        <v>650</v>
      </c>
      <c r="I2346" s="12">
        <f t="shared" si="336"/>
        <v>6.4935753593365092E-2</v>
      </c>
      <c r="J2346" s="3">
        <f t="shared" si="337"/>
        <v>0.7</v>
      </c>
    </row>
    <row r="2347" spans="2:10" x14ac:dyDescent="0.25">
      <c r="B2347" s="3">
        <f t="shared" si="338"/>
        <v>11650</v>
      </c>
      <c r="C2347" s="14">
        <f t="shared" si="339"/>
        <v>194.16666666666666</v>
      </c>
      <c r="D2347" s="11">
        <f t="shared" si="340"/>
        <v>1121.0827354535161</v>
      </c>
      <c r="E2347" s="24">
        <f t="shared" si="332"/>
        <v>1119.9211411352999</v>
      </c>
      <c r="F2347" s="24">
        <f t="shared" si="334"/>
        <v>29.039857955405068</v>
      </c>
      <c r="G2347" s="14">
        <f t="shared" si="335"/>
        <v>499.0204875089201</v>
      </c>
      <c r="H2347" s="24">
        <f t="shared" si="333"/>
        <v>650</v>
      </c>
      <c r="I2347" s="12">
        <f t="shared" si="336"/>
        <v>6.4907525457660292E-2</v>
      </c>
      <c r="J2347" s="3">
        <f t="shared" si="337"/>
        <v>0.7</v>
      </c>
    </row>
    <row r="2348" spans="2:10" x14ac:dyDescent="0.25">
      <c r="B2348" s="3">
        <f t="shared" si="338"/>
        <v>11655</v>
      </c>
      <c r="C2348" s="14">
        <f t="shared" si="339"/>
        <v>194.25</v>
      </c>
      <c r="D2348" s="11">
        <f t="shared" si="340"/>
        <v>1121.1469857101852</v>
      </c>
      <c r="E2348" s="24">
        <f t="shared" si="332"/>
        <v>1119.9860486607574</v>
      </c>
      <c r="F2348" s="24">
        <f t="shared" si="334"/>
        <v>29.02342623569325</v>
      </c>
      <c r="G2348" s="14">
        <f t="shared" si="335"/>
        <v>498.80746706997775</v>
      </c>
      <c r="H2348" s="24">
        <f t="shared" si="333"/>
        <v>650</v>
      </c>
      <c r="I2348" s="12">
        <f t="shared" si="336"/>
        <v>6.4879321916233482E-2</v>
      </c>
      <c r="J2348" s="3">
        <f t="shared" si="337"/>
        <v>0.7</v>
      </c>
    </row>
    <row r="2349" spans="2:10" x14ac:dyDescent="0.25">
      <c r="B2349" s="3">
        <f t="shared" si="338"/>
        <v>11660</v>
      </c>
      <c r="C2349" s="14">
        <f t="shared" si="339"/>
        <v>194.33333333333334</v>
      </c>
      <c r="D2349" s="11">
        <f t="shared" si="340"/>
        <v>1121.2112084270952</v>
      </c>
      <c r="E2349" s="24">
        <f t="shared" si="332"/>
        <v>1120.0509279826736</v>
      </c>
      <c r="F2349" s="24">
        <f t="shared" si="334"/>
        <v>29.00701111054218</v>
      </c>
      <c r="G2349" s="14">
        <f t="shared" si="335"/>
        <v>498.59462986352509</v>
      </c>
      <c r="H2349" s="24">
        <f t="shared" si="333"/>
        <v>650</v>
      </c>
      <c r="I2349" s="12">
        <f t="shared" si="336"/>
        <v>6.4851142936922498E-2</v>
      </c>
      <c r="J2349" s="3">
        <f t="shared" si="337"/>
        <v>0.7</v>
      </c>
    </row>
    <row r="2350" spans="2:10" x14ac:dyDescent="0.25">
      <c r="B2350" s="3">
        <f t="shared" si="338"/>
        <v>11665</v>
      </c>
      <c r="C2350" s="14">
        <f t="shared" si="339"/>
        <v>194.41666666666666</v>
      </c>
      <c r="D2350" s="11">
        <f t="shared" si="340"/>
        <v>1121.2754036278443</v>
      </c>
      <c r="E2350" s="24">
        <f t="shared" si="332"/>
        <v>1120.1157791256105</v>
      </c>
      <c r="F2350" s="24">
        <f t="shared" si="334"/>
        <v>28.990612555844564</v>
      </c>
      <c r="G2350" s="14">
        <f t="shared" si="335"/>
        <v>498.38197565165461</v>
      </c>
      <c r="H2350" s="24">
        <f t="shared" si="333"/>
        <v>650</v>
      </c>
      <c r="I2350" s="12">
        <f t="shared" si="336"/>
        <v>6.4822988487521258E-2</v>
      </c>
      <c r="J2350" s="3">
        <f t="shared" si="337"/>
        <v>0.7</v>
      </c>
    </row>
    <row r="2351" spans="2:10" x14ac:dyDescent="0.25">
      <c r="B2351" s="3">
        <f t="shared" si="338"/>
        <v>11670</v>
      </c>
      <c r="C2351" s="14">
        <f t="shared" si="339"/>
        <v>194.5</v>
      </c>
      <c r="D2351" s="11">
        <f t="shared" si="340"/>
        <v>1121.3395713360014</v>
      </c>
      <c r="E2351" s="24">
        <f t="shared" si="332"/>
        <v>1120.1806021140981</v>
      </c>
      <c r="F2351" s="24">
        <f t="shared" si="334"/>
        <v>28.974230547584057</v>
      </c>
      <c r="G2351" s="14">
        <f t="shared" si="335"/>
        <v>498.16950419781557</v>
      </c>
      <c r="H2351" s="24">
        <f t="shared" si="333"/>
        <v>650</v>
      </c>
      <c r="I2351" s="12">
        <f t="shared" si="336"/>
        <v>6.4794858536001726E-2</v>
      </c>
      <c r="J2351" s="3">
        <f t="shared" si="337"/>
        <v>0.7</v>
      </c>
    </row>
    <row r="2352" spans="2:10" x14ac:dyDescent="0.25">
      <c r="B2352" s="3">
        <f t="shared" si="338"/>
        <v>11675</v>
      </c>
      <c r="C2352" s="14">
        <f t="shared" si="339"/>
        <v>194.58333333333334</v>
      </c>
      <c r="D2352" s="11">
        <f t="shared" si="340"/>
        <v>1121.4037115751044</v>
      </c>
      <c r="E2352" s="24">
        <f t="shared" si="332"/>
        <v>1120.2453969726341</v>
      </c>
      <c r="F2352" s="24">
        <f t="shared" si="334"/>
        <v>28.957865061755683</v>
      </c>
      <c r="G2352" s="14">
        <f t="shared" si="335"/>
        <v>497.95721526506935</v>
      </c>
      <c r="H2352" s="24">
        <f t="shared" si="333"/>
        <v>650</v>
      </c>
      <c r="I2352" s="12">
        <f t="shared" si="336"/>
        <v>6.4766753050289519E-2</v>
      </c>
      <c r="J2352" s="3">
        <f t="shared" si="337"/>
        <v>0.7</v>
      </c>
    </row>
    <row r="2353" spans="2:10" x14ac:dyDescent="0.25">
      <c r="B2353" s="3">
        <f t="shared" si="338"/>
        <v>11680</v>
      </c>
      <c r="C2353" s="14">
        <f t="shared" si="339"/>
        <v>194.66666666666666</v>
      </c>
      <c r="D2353" s="11">
        <f t="shared" si="340"/>
        <v>1121.4678243686615</v>
      </c>
      <c r="E2353" s="24">
        <f t="shared" si="332"/>
        <v>1120.3101637256843</v>
      </c>
      <c r="F2353" s="24">
        <f t="shared" si="334"/>
        <v>28.941516074428364</v>
      </c>
      <c r="G2353" s="14">
        <f t="shared" si="335"/>
        <v>497.74510861760172</v>
      </c>
      <c r="H2353" s="24">
        <f t="shared" si="333"/>
        <v>650</v>
      </c>
      <c r="I2353" s="12">
        <f t="shared" si="336"/>
        <v>6.4738671998457537E-2</v>
      </c>
      <c r="J2353" s="3">
        <f t="shared" si="337"/>
        <v>0.7</v>
      </c>
    </row>
    <row r="2354" spans="2:10" x14ac:dyDescent="0.25">
      <c r="B2354" s="3">
        <f t="shared" si="338"/>
        <v>11685</v>
      </c>
      <c r="C2354" s="14">
        <f t="shared" si="339"/>
        <v>194.75</v>
      </c>
      <c r="D2354" s="11">
        <f t="shared" si="340"/>
        <v>1121.5319097401502</v>
      </c>
      <c r="E2354" s="24">
        <f t="shared" si="332"/>
        <v>1120.3749023976827</v>
      </c>
      <c r="F2354" s="24">
        <f t="shared" si="334"/>
        <v>28.925183561688073</v>
      </c>
      <c r="G2354" s="14">
        <f t="shared" si="335"/>
        <v>497.53318401940436</v>
      </c>
      <c r="H2354" s="24">
        <f t="shared" si="333"/>
        <v>650</v>
      </c>
      <c r="I2354" s="12">
        <f t="shared" si="336"/>
        <v>6.4710615348556946E-2</v>
      </c>
      <c r="J2354" s="3">
        <f t="shared" si="337"/>
        <v>0.7</v>
      </c>
    </row>
    <row r="2355" spans="2:10" x14ac:dyDescent="0.25">
      <c r="B2355" s="3">
        <f t="shared" si="338"/>
        <v>11690</v>
      </c>
      <c r="C2355" s="14">
        <f t="shared" si="339"/>
        <v>194.83333333333334</v>
      </c>
      <c r="D2355" s="11">
        <f t="shared" si="340"/>
        <v>1121.5959677130186</v>
      </c>
      <c r="E2355" s="24">
        <f t="shared" si="332"/>
        <v>1120.4396130130312</v>
      </c>
      <c r="F2355" s="24">
        <f t="shared" si="334"/>
        <v>28.908867499683311</v>
      </c>
      <c r="G2355" s="14">
        <f t="shared" si="335"/>
        <v>497.32144123514735</v>
      </c>
      <c r="H2355" s="24">
        <f t="shared" si="333"/>
        <v>650</v>
      </c>
      <c r="I2355" s="12">
        <f t="shared" si="336"/>
        <v>6.4682583068729982E-2</v>
      </c>
      <c r="J2355" s="3">
        <f t="shared" si="337"/>
        <v>0.7</v>
      </c>
    </row>
    <row r="2356" spans="2:10" x14ac:dyDescent="0.25">
      <c r="B2356" s="3">
        <f t="shared" si="338"/>
        <v>11695</v>
      </c>
      <c r="C2356" s="14">
        <f t="shared" si="339"/>
        <v>194.91666666666666</v>
      </c>
      <c r="D2356" s="11">
        <f t="shared" si="340"/>
        <v>1121.6599983106839</v>
      </c>
      <c r="E2356" s="24">
        <f t="shared" ref="E2356:E2419" si="341">E2355+I2355</f>
        <v>1120.5042955961001</v>
      </c>
      <c r="F2356" s="24">
        <f t="shared" si="334"/>
        <v>28.892567864596685</v>
      </c>
      <c r="G2356" s="14">
        <f t="shared" si="335"/>
        <v>497.10988002981088</v>
      </c>
      <c r="H2356" s="24">
        <f t="shared" ref="H2356:H2419" si="342">IF(E2356&lt;600,425+0.773*E2356-1.69/1000*E2356^2+2.22/1000^2*E2356^3,IF(E2356&lt;735,666+13002/(738-E2356),IF(E2356&lt;900,545+17820/(E2356-731),650)))</f>
        <v>650</v>
      </c>
      <c r="I2356" s="12">
        <f t="shared" si="336"/>
        <v>6.4654575127161176E-2</v>
      </c>
      <c r="J2356" s="3">
        <f t="shared" si="337"/>
        <v>0.7</v>
      </c>
    </row>
    <row r="2357" spans="2:10" x14ac:dyDescent="0.25">
      <c r="B2357" s="3">
        <f t="shared" si="338"/>
        <v>11700</v>
      </c>
      <c r="C2357" s="14">
        <f t="shared" si="339"/>
        <v>195</v>
      </c>
      <c r="D2357" s="11">
        <f t="shared" si="340"/>
        <v>1121.7240015565339</v>
      </c>
      <c r="E2357" s="24">
        <f t="shared" si="341"/>
        <v>1120.5689501712272</v>
      </c>
      <c r="F2357" s="24">
        <f t="shared" si="334"/>
        <v>28.876284632667648</v>
      </c>
      <c r="G2357" s="14">
        <f t="shared" si="335"/>
        <v>496.89850016895656</v>
      </c>
      <c r="H2357" s="24">
        <f t="shared" si="342"/>
        <v>650</v>
      </c>
      <c r="I2357" s="12">
        <f t="shared" si="336"/>
        <v>6.4626591492113541E-2</v>
      </c>
      <c r="J2357" s="3">
        <f t="shared" si="337"/>
        <v>0.7</v>
      </c>
    </row>
    <row r="2358" spans="2:10" x14ac:dyDescent="0.25">
      <c r="B2358" s="3">
        <f t="shared" si="338"/>
        <v>11705</v>
      </c>
      <c r="C2358" s="14">
        <f t="shared" si="339"/>
        <v>195.08333333333334</v>
      </c>
      <c r="D2358" s="11">
        <f t="shared" si="340"/>
        <v>1121.7879774739263</v>
      </c>
      <c r="E2358" s="24">
        <f t="shared" si="341"/>
        <v>1120.6335767627193</v>
      </c>
      <c r="F2358" s="24">
        <f t="shared" si="334"/>
        <v>28.86001778017544</v>
      </c>
      <c r="G2358" s="14">
        <f t="shared" si="335"/>
        <v>496.68730141839779</v>
      </c>
      <c r="H2358" s="24">
        <f t="shared" si="342"/>
        <v>650</v>
      </c>
      <c r="I2358" s="12">
        <f t="shared" si="336"/>
        <v>6.459863213188588E-2</v>
      </c>
      <c r="J2358" s="3">
        <f t="shared" si="337"/>
        <v>0.7</v>
      </c>
    </row>
    <row r="2359" spans="2:10" x14ac:dyDescent="0.25">
      <c r="B2359" s="3">
        <f t="shared" si="338"/>
        <v>11710</v>
      </c>
      <c r="C2359" s="14">
        <f t="shared" si="339"/>
        <v>195.16666666666666</v>
      </c>
      <c r="D2359" s="11">
        <f t="shared" si="340"/>
        <v>1121.8519260861888</v>
      </c>
      <c r="E2359" s="24">
        <f t="shared" si="341"/>
        <v>1120.6981753948512</v>
      </c>
      <c r="F2359" s="24">
        <f t="shared" si="334"/>
        <v>28.843767283439092</v>
      </c>
      <c r="G2359" s="14">
        <f t="shared" si="335"/>
        <v>496.47628354443259</v>
      </c>
      <c r="H2359" s="24">
        <f t="shared" si="342"/>
        <v>650</v>
      </c>
      <c r="I2359" s="12">
        <f t="shared" si="336"/>
        <v>6.4570697014841527E-2</v>
      </c>
      <c r="J2359" s="3">
        <f t="shared" si="337"/>
        <v>0.7</v>
      </c>
    </row>
    <row r="2360" spans="2:10" x14ac:dyDescent="0.25">
      <c r="B2360" s="3">
        <f t="shared" si="338"/>
        <v>11715</v>
      </c>
      <c r="C2360" s="14">
        <f t="shared" si="339"/>
        <v>195.25</v>
      </c>
      <c r="D2360" s="11">
        <f t="shared" si="340"/>
        <v>1121.9158474166195</v>
      </c>
      <c r="E2360" s="24">
        <f t="shared" si="341"/>
        <v>1120.7627460918661</v>
      </c>
      <c r="F2360" s="24">
        <f t="shared" si="334"/>
        <v>28.827533118834481</v>
      </c>
      <c r="G2360" s="14">
        <f t="shared" si="335"/>
        <v>496.26544631376595</v>
      </c>
      <c r="H2360" s="24">
        <f t="shared" si="342"/>
        <v>650</v>
      </c>
      <c r="I2360" s="12">
        <f t="shared" si="336"/>
        <v>6.4542786109400757E-2</v>
      </c>
      <c r="J2360" s="3">
        <f t="shared" si="337"/>
        <v>0.7</v>
      </c>
    </row>
    <row r="2361" spans="2:10" x14ac:dyDescent="0.25">
      <c r="B2361" s="3">
        <f t="shared" si="338"/>
        <v>11720</v>
      </c>
      <c r="C2361" s="14">
        <f t="shared" si="339"/>
        <v>195.33333333333334</v>
      </c>
      <c r="D2361" s="11">
        <f t="shared" si="340"/>
        <v>1121.9797414884858</v>
      </c>
      <c r="E2361" s="24">
        <f t="shared" si="341"/>
        <v>1120.8272888779754</v>
      </c>
      <c r="F2361" s="24">
        <f t="shared" si="334"/>
        <v>28.811315262760218</v>
      </c>
      <c r="G2361" s="14">
        <f t="shared" si="335"/>
        <v>496.05478949321912</v>
      </c>
      <c r="H2361" s="24">
        <f t="shared" si="342"/>
        <v>650</v>
      </c>
      <c r="I2361" s="12">
        <f t="shared" si="336"/>
        <v>6.4514899384000957E-2</v>
      </c>
      <c r="J2361" s="3">
        <f t="shared" si="337"/>
        <v>0.7</v>
      </c>
    </row>
    <row r="2362" spans="2:10" x14ac:dyDescent="0.25">
      <c r="B2362" s="3">
        <f t="shared" si="338"/>
        <v>11725</v>
      </c>
      <c r="C2362" s="14">
        <f t="shared" si="339"/>
        <v>195.41666666666666</v>
      </c>
      <c r="D2362" s="11">
        <f t="shared" si="340"/>
        <v>1122.043608325027</v>
      </c>
      <c r="E2362" s="24">
        <f t="shared" si="341"/>
        <v>1120.8918037773594</v>
      </c>
      <c r="F2362" s="24">
        <f t="shared" si="334"/>
        <v>28.795113691688812</v>
      </c>
      <c r="G2362" s="14">
        <f t="shared" si="335"/>
        <v>495.84431285062112</v>
      </c>
      <c r="H2362" s="24">
        <f t="shared" si="342"/>
        <v>650</v>
      </c>
      <c r="I2362" s="12">
        <f t="shared" si="336"/>
        <v>6.4487036807212503E-2</v>
      </c>
      <c r="J2362" s="3">
        <f t="shared" si="337"/>
        <v>0.7</v>
      </c>
    </row>
    <row r="2363" spans="2:10" x14ac:dyDescent="0.25">
      <c r="B2363" s="3">
        <f t="shared" si="338"/>
        <v>11730</v>
      </c>
      <c r="C2363" s="14">
        <f t="shared" si="339"/>
        <v>195.5</v>
      </c>
      <c r="D2363" s="11">
        <f t="shared" si="340"/>
        <v>1122.1074479494512</v>
      </c>
      <c r="E2363" s="24">
        <f t="shared" si="341"/>
        <v>1120.9562908141666</v>
      </c>
      <c r="F2363" s="24">
        <f t="shared" si="334"/>
        <v>28.77892838211551</v>
      </c>
      <c r="G2363" s="14">
        <f t="shared" si="335"/>
        <v>495.63401615362648</v>
      </c>
      <c r="H2363" s="24">
        <f t="shared" si="342"/>
        <v>650</v>
      </c>
      <c r="I2363" s="12">
        <f t="shared" si="336"/>
        <v>6.4459198347587038E-2</v>
      </c>
      <c r="J2363" s="3">
        <f t="shared" si="337"/>
        <v>0.7</v>
      </c>
    </row>
    <row r="2364" spans="2:10" x14ac:dyDescent="0.25">
      <c r="B2364" s="3">
        <f t="shared" si="338"/>
        <v>11735</v>
      </c>
      <c r="C2364" s="14">
        <f t="shared" si="339"/>
        <v>195.58333333333334</v>
      </c>
      <c r="D2364" s="11">
        <f t="shared" si="340"/>
        <v>1122.1712603849373</v>
      </c>
      <c r="E2364" s="24">
        <f t="shared" si="341"/>
        <v>1121.0207500125141</v>
      </c>
      <c r="F2364" s="24">
        <f t="shared" si="334"/>
        <v>28.762759310581032</v>
      </c>
      <c r="G2364" s="14">
        <f t="shared" si="335"/>
        <v>495.42389917050997</v>
      </c>
      <c r="H2364" s="24">
        <f t="shared" si="342"/>
        <v>650</v>
      </c>
      <c r="I2364" s="12">
        <f t="shared" si="336"/>
        <v>6.4431383973758125E-2</v>
      </c>
      <c r="J2364" s="3">
        <f t="shared" si="337"/>
        <v>0.7</v>
      </c>
    </row>
    <row r="2365" spans="2:10" x14ac:dyDescent="0.25">
      <c r="B2365" s="3">
        <f t="shared" si="338"/>
        <v>11740</v>
      </c>
      <c r="C2365" s="14">
        <f t="shared" si="339"/>
        <v>195.66666666666666</v>
      </c>
      <c r="D2365" s="11">
        <f t="shared" si="340"/>
        <v>1122.2350456546349</v>
      </c>
      <c r="E2365" s="24">
        <f t="shared" si="341"/>
        <v>1121.0851813964878</v>
      </c>
      <c r="F2365" s="24">
        <f t="shared" si="334"/>
        <v>28.746606453677259</v>
      </c>
      <c r="G2365" s="14">
        <f t="shared" si="335"/>
        <v>495.21396166995333</v>
      </c>
      <c r="H2365" s="24">
        <f t="shared" si="342"/>
        <v>650</v>
      </c>
      <c r="I2365" s="12">
        <f t="shared" si="336"/>
        <v>6.4403593654415572E-2</v>
      </c>
      <c r="J2365" s="3">
        <f t="shared" si="337"/>
        <v>0.7</v>
      </c>
    </row>
    <row r="2366" spans="2:10" x14ac:dyDescent="0.25">
      <c r="B2366" s="3">
        <f t="shared" si="338"/>
        <v>11745</v>
      </c>
      <c r="C2366" s="14">
        <f t="shared" si="339"/>
        <v>195.75</v>
      </c>
      <c r="D2366" s="11">
        <f t="shared" si="340"/>
        <v>1122.2988037816635</v>
      </c>
      <c r="E2366" s="24">
        <f t="shared" si="341"/>
        <v>1121.1495849901421</v>
      </c>
      <c r="F2366" s="24">
        <f t="shared" si="334"/>
        <v>28.730469788035862</v>
      </c>
      <c r="G2366" s="14">
        <f t="shared" si="335"/>
        <v>495.00420342094839</v>
      </c>
      <c r="H2366" s="24">
        <f t="shared" si="342"/>
        <v>650</v>
      </c>
      <c r="I2366" s="12">
        <f t="shared" si="336"/>
        <v>6.4375827358292226E-2</v>
      </c>
      <c r="J2366" s="3">
        <f t="shared" si="337"/>
        <v>0.7</v>
      </c>
    </row>
    <row r="2367" spans="2:10" x14ac:dyDescent="0.25">
      <c r="B2367" s="3">
        <f t="shared" si="338"/>
        <v>11750</v>
      </c>
      <c r="C2367" s="14">
        <f t="shared" si="339"/>
        <v>195.83333333333334</v>
      </c>
      <c r="D2367" s="11">
        <f t="shared" si="340"/>
        <v>1122.3625347891139</v>
      </c>
      <c r="E2367" s="24">
        <f t="shared" si="341"/>
        <v>1121.2139608175005</v>
      </c>
      <c r="F2367" s="24">
        <f t="shared" si="334"/>
        <v>28.714349290333985</v>
      </c>
      <c r="G2367" s="14">
        <f t="shared" si="335"/>
        <v>494.79462419306822</v>
      </c>
      <c r="H2367" s="24">
        <f t="shared" si="342"/>
        <v>650</v>
      </c>
      <c r="I2367" s="12">
        <f t="shared" si="336"/>
        <v>6.4348085054197937E-2</v>
      </c>
      <c r="J2367" s="3">
        <f t="shared" si="337"/>
        <v>0.7</v>
      </c>
    </row>
    <row r="2368" spans="2:10" x14ac:dyDescent="0.25">
      <c r="B2368" s="3">
        <f t="shared" si="338"/>
        <v>11755</v>
      </c>
      <c r="C2368" s="14">
        <f t="shared" si="339"/>
        <v>195.91666666666666</v>
      </c>
      <c r="D2368" s="11">
        <f t="shared" si="340"/>
        <v>1122.4262387000465</v>
      </c>
      <c r="E2368" s="24">
        <f t="shared" si="341"/>
        <v>1121.2783089025547</v>
      </c>
      <c r="F2368" s="24">
        <f t="shared" si="334"/>
        <v>28.698244937294248</v>
      </c>
      <c r="G2368" s="14">
        <f t="shared" si="335"/>
        <v>494.58522375611869</v>
      </c>
      <c r="H2368" s="24">
        <f t="shared" si="342"/>
        <v>650</v>
      </c>
      <c r="I2368" s="12">
        <f t="shared" si="336"/>
        <v>6.4320366710976795E-2</v>
      </c>
      <c r="J2368" s="3">
        <f t="shared" si="337"/>
        <v>0.7</v>
      </c>
    </row>
    <row r="2369" spans="2:10" x14ac:dyDescent="0.25">
      <c r="B2369" s="3">
        <f t="shared" si="338"/>
        <v>11760</v>
      </c>
      <c r="C2369" s="14">
        <f t="shared" si="339"/>
        <v>196</v>
      </c>
      <c r="D2369" s="11">
        <f t="shared" si="340"/>
        <v>1122.4899155374931</v>
      </c>
      <c r="E2369" s="24">
        <f t="shared" si="341"/>
        <v>1121.3426292692657</v>
      </c>
      <c r="F2369" s="24">
        <f t="shared" si="334"/>
        <v>28.682156705684747</v>
      </c>
      <c r="G2369" s="14">
        <f t="shared" si="335"/>
        <v>494.37600188038999</v>
      </c>
      <c r="H2369" s="24">
        <f t="shared" si="342"/>
        <v>650</v>
      </c>
      <c r="I2369" s="12">
        <f t="shared" si="336"/>
        <v>6.4292672297538003E-2</v>
      </c>
      <c r="J2369" s="3">
        <f t="shared" si="337"/>
        <v>0.7</v>
      </c>
    </row>
    <row r="2370" spans="2:10" x14ac:dyDescent="0.25">
      <c r="B2370" s="3">
        <f t="shared" si="338"/>
        <v>11765</v>
      </c>
      <c r="C2370" s="14">
        <f t="shared" si="339"/>
        <v>196.08333333333334</v>
      </c>
      <c r="D2370" s="11">
        <f t="shared" si="340"/>
        <v>1122.5535653244556</v>
      </c>
      <c r="E2370" s="24">
        <f t="shared" si="341"/>
        <v>1121.4069219415633</v>
      </c>
      <c r="F2370" s="24">
        <f t="shared" si="334"/>
        <v>28.666084572307682</v>
      </c>
      <c r="G2370" s="14">
        <f t="shared" si="335"/>
        <v>494.16695833648248</v>
      </c>
      <c r="H2370" s="24">
        <f t="shared" si="342"/>
        <v>650</v>
      </c>
      <c r="I2370" s="12">
        <f t="shared" si="336"/>
        <v>6.4265001782833064E-2</v>
      </c>
      <c r="J2370" s="3">
        <f t="shared" si="337"/>
        <v>0.7</v>
      </c>
    </row>
    <row r="2371" spans="2:10" x14ac:dyDescent="0.25">
      <c r="B2371" s="3">
        <f t="shared" si="338"/>
        <v>11770</v>
      </c>
      <c r="C2371" s="14">
        <f t="shared" si="339"/>
        <v>196.16666666666666</v>
      </c>
      <c r="D2371" s="11">
        <f t="shared" si="340"/>
        <v>1122.617188083907</v>
      </c>
      <c r="E2371" s="24">
        <f t="shared" si="341"/>
        <v>1121.4711869433461</v>
      </c>
      <c r="F2371" s="24">
        <f t="shared" si="334"/>
        <v>28.650028514022097</v>
      </c>
      <c r="G2371" s="14">
        <f t="shared" si="335"/>
        <v>493.95809289551966</v>
      </c>
      <c r="H2371" s="24">
        <f t="shared" si="342"/>
        <v>650</v>
      </c>
      <c r="I2371" s="12">
        <f t="shared" si="336"/>
        <v>6.4237355135884786E-2</v>
      </c>
      <c r="J2371" s="3">
        <f t="shared" si="337"/>
        <v>0.7</v>
      </c>
    </row>
    <row r="2372" spans="2:10" x14ac:dyDescent="0.25">
      <c r="B2372" s="3">
        <f t="shared" si="338"/>
        <v>11775</v>
      </c>
      <c r="C2372" s="14">
        <f t="shared" si="339"/>
        <v>196.25</v>
      </c>
      <c r="D2372" s="11">
        <f t="shared" si="340"/>
        <v>1122.6807838387906</v>
      </c>
      <c r="E2372" s="24">
        <f t="shared" si="341"/>
        <v>1121.535424298482</v>
      </c>
      <c r="F2372" s="24">
        <f t="shared" si="334"/>
        <v>28.633988507715458</v>
      </c>
      <c r="G2372" s="14">
        <f t="shared" si="335"/>
        <v>493.74940532887717</v>
      </c>
      <c r="H2372" s="24">
        <f t="shared" si="342"/>
        <v>650</v>
      </c>
      <c r="I2372" s="12">
        <f t="shared" si="336"/>
        <v>6.4209732325750432E-2</v>
      </c>
      <c r="J2372" s="3">
        <f t="shared" si="337"/>
        <v>0.7</v>
      </c>
    </row>
    <row r="2373" spans="2:10" x14ac:dyDescent="0.25">
      <c r="B2373" s="3">
        <f t="shared" si="338"/>
        <v>11780</v>
      </c>
      <c r="C2373" s="14">
        <f t="shared" si="339"/>
        <v>196.33333333333334</v>
      </c>
      <c r="D2373" s="11">
        <f t="shared" si="340"/>
        <v>1122.744352612021</v>
      </c>
      <c r="E2373" s="24">
        <f t="shared" si="341"/>
        <v>1121.5996340308077</v>
      </c>
      <c r="F2373" s="24">
        <f t="shared" si="334"/>
        <v>28.617964530332074</v>
      </c>
      <c r="G2373" s="14">
        <f t="shared" si="335"/>
        <v>493.54089540835685</v>
      </c>
      <c r="H2373" s="24">
        <f t="shared" si="342"/>
        <v>650</v>
      </c>
      <c r="I2373" s="12">
        <f t="shared" si="336"/>
        <v>6.4182133321546708E-2</v>
      </c>
      <c r="J2373" s="3">
        <f t="shared" si="337"/>
        <v>0.7</v>
      </c>
    </row>
    <row r="2374" spans="2:10" x14ac:dyDescent="0.25">
      <c r="B2374" s="3">
        <f t="shared" si="338"/>
        <v>11785</v>
      </c>
      <c r="C2374" s="14">
        <f t="shared" si="339"/>
        <v>196.41666666666666</v>
      </c>
      <c r="D2374" s="11">
        <f t="shared" si="340"/>
        <v>1122.8078944264835</v>
      </c>
      <c r="E2374" s="24">
        <f t="shared" si="341"/>
        <v>1121.6638161641292</v>
      </c>
      <c r="F2374" s="24">
        <f t="shared" si="334"/>
        <v>28.601956558856045</v>
      </c>
      <c r="G2374" s="14">
        <f t="shared" si="335"/>
        <v>493.33256290636132</v>
      </c>
      <c r="H2374" s="24">
        <f t="shared" si="342"/>
        <v>650</v>
      </c>
      <c r="I2374" s="12">
        <f t="shared" si="336"/>
        <v>6.4154558092468991E-2</v>
      </c>
      <c r="J2374" s="3">
        <f t="shared" si="337"/>
        <v>0.7</v>
      </c>
    </row>
    <row r="2375" spans="2:10" x14ac:dyDescent="0.25">
      <c r="B2375" s="3">
        <f t="shared" si="338"/>
        <v>11790</v>
      </c>
      <c r="C2375" s="14">
        <f t="shared" si="339"/>
        <v>196.5</v>
      </c>
      <c r="D2375" s="11">
        <f t="shared" si="340"/>
        <v>1122.8714093050337</v>
      </c>
      <c r="E2375" s="24">
        <f t="shared" si="341"/>
        <v>1121.7279707222217</v>
      </c>
      <c r="F2375" s="24">
        <f t="shared" si="334"/>
        <v>28.585964570299893</v>
      </c>
      <c r="G2375" s="14">
        <f t="shared" si="335"/>
        <v>493.12440759525452</v>
      </c>
      <c r="H2375" s="24">
        <f t="shared" si="342"/>
        <v>650</v>
      </c>
      <c r="I2375" s="12">
        <f t="shared" si="336"/>
        <v>6.4127006607711423E-2</v>
      </c>
      <c r="J2375" s="3">
        <f t="shared" si="337"/>
        <v>0.7</v>
      </c>
    </row>
    <row r="2376" spans="2:10" x14ac:dyDescent="0.25">
      <c r="B2376" s="3">
        <f t="shared" si="338"/>
        <v>11795</v>
      </c>
      <c r="C2376" s="14">
        <f t="shared" si="339"/>
        <v>196.58333333333334</v>
      </c>
      <c r="D2376" s="11">
        <f t="shared" si="340"/>
        <v>1122.9348972704993</v>
      </c>
      <c r="E2376" s="24">
        <f t="shared" si="341"/>
        <v>1121.7920977288295</v>
      </c>
      <c r="F2376" s="24">
        <f t="shared" si="334"/>
        <v>28.569988541744351</v>
      </c>
      <c r="G2376" s="14">
        <f t="shared" si="335"/>
        <v>492.9164292481949</v>
      </c>
      <c r="H2376" s="24">
        <f t="shared" si="342"/>
        <v>650</v>
      </c>
      <c r="I2376" s="12">
        <f t="shared" si="336"/>
        <v>6.4099478836574172E-2</v>
      </c>
      <c r="J2376" s="3">
        <f t="shared" si="337"/>
        <v>0.7</v>
      </c>
    </row>
    <row r="2377" spans="2:10" x14ac:dyDescent="0.25">
      <c r="B2377" s="3">
        <f t="shared" si="338"/>
        <v>11800</v>
      </c>
      <c r="C2377" s="14">
        <f t="shared" si="339"/>
        <v>196.66666666666666</v>
      </c>
      <c r="D2377" s="11">
        <f t="shared" si="340"/>
        <v>1122.9983583456778</v>
      </c>
      <c r="E2377" s="24">
        <f t="shared" si="341"/>
        <v>1121.8561972076661</v>
      </c>
      <c r="F2377" s="24">
        <f t="shared" si="334"/>
        <v>28.55402845029289</v>
      </c>
      <c r="G2377" s="14">
        <f t="shared" si="335"/>
        <v>492.70862763849595</v>
      </c>
      <c r="H2377" s="24">
        <f t="shared" si="342"/>
        <v>650</v>
      </c>
      <c r="I2377" s="12">
        <f t="shared" si="336"/>
        <v>6.4071974748379293E-2</v>
      </c>
      <c r="J2377" s="3">
        <f t="shared" si="337"/>
        <v>0.7</v>
      </c>
    </row>
    <row r="2378" spans="2:10" x14ac:dyDescent="0.25">
      <c r="B2378" s="3">
        <f t="shared" si="338"/>
        <v>11805</v>
      </c>
      <c r="C2378" s="14">
        <f t="shared" si="339"/>
        <v>196.75</v>
      </c>
      <c r="D2378" s="11">
        <f t="shared" si="340"/>
        <v>1123.0617925533386</v>
      </c>
      <c r="E2378" s="24">
        <f t="shared" si="341"/>
        <v>1121.9202691824146</v>
      </c>
      <c r="F2378" s="24">
        <f t="shared" si="334"/>
        <v>28.538084273100139</v>
      </c>
      <c r="G2378" s="14">
        <f t="shared" si="335"/>
        <v>492.50100253993634</v>
      </c>
      <c r="H2378" s="24">
        <f t="shared" si="342"/>
        <v>650</v>
      </c>
      <c r="I2378" s="12">
        <f t="shared" si="336"/>
        <v>6.4044494312512273E-2</v>
      </c>
      <c r="J2378" s="3">
        <f t="shared" si="337"/>
        <v>0.7</v>
      </c>
    </row>
    <row r="2379" spans="2:10" x14ac:dyDescent="0.25">
      <c r="B2379" s="3">
        <f t="shared" si="338"/>
        <v>11810</v>
      </c>
      <c r="C2379" s="14">
        <f t="shared" si="339"/>
        <v>196.83333333333334</v>
      </c>
      <c r="D2379" s="11">
        <f t="shared" si="340"/>
        <v>1123.1251999162216</v>
      </c>
      <c r="E2379" s="24">
        <f t="shared" si="341"/>
        <v>1121.9843136767272</v>
      </c>
      <c r="F2379" s="24">
        <f t="shared" si="334"/>
        <v>28.52215598736052</v>
      </c>
      <c r="G2379" s="14">
        <f t="shared" si="335"/>
        <v>492.29355372670165</v>
      </c>
      <c r="H2379" s="24">
        <f t="shared" si="342"/>
        <v>650</v>
      </c>
      <c r="I2379" s="12">
        <f t="shared" si="336"/>
        <v>6.4017037498413532E-2</v>
      </c>
      <c r="J2379" s="3">
        <f t="shared" si="337"/>
        <v>0.7</v>
      </c>
    </row>
    <row r="2380" spans="2:10" x14ac:dyDescent="0.25">
      <c r="B2380" s="3">
        <f t="shared" si="338"/>
        <v>11815</v>
      </c>
      <c r="C2380" s="14">
        <f t="shared" si="339"/>
        <v>196.91666666666666</v>
      </c>
      <c r="D2380" s="11">
        <f t="shared" si="340"/>
        <v>1123.1885804570384</v>
      </c>
      <c r="E2380" s="24">
        <f t="shared" si="341"/>
        <v>1122.0483307142256</v>
      </c>
      <c r="F2380" s="24">
        <f t="shared" si="334"/>
        <v>28.506243570319612</v>
      </c>
      <c r="G2380" s="14">
        <f t="shared" si="335"/>
        <v>492.08628097334571</v>
      </c>
      <c r="H2380" s="24">
        <f t="shared" si="342"/>
        <v>650</v>
      </c>
      <c r="I2380" s="12">
        <f t="shared" si="336"/>
        <v>6.3989604275575027E-2</v>
      </c>
      <c r="J2380" s="3">
        <f t="shared" si="337"/>
        <v>0.7</v>
      </c>
    </row>
    <row r="2381" spans="2:10" x14ac:dyDescent="0.25">
      <c r="B2381" s="3">
        <f t="shared" si="338"/>
        <v>11820</v>
      </c>
      <c r="C2381" s="14">
        <f t="shared" si="339"/>
        <v>197</v>
      </c>
      <c r="D2381" s="11">
        <f t="shared" si="340"/>
        <v>1123.2519341984714</v>
      </c>
      <c r="E2381" s="24">
        <f t="shared" si="341"/>
        <v>1122.1123203185011</v>
      </c>
      <c r="F2381" s="24">
        <f t="shared" si="334"/>
        <v>28.490346999257099</v>
      </c>
      <c r="G2381" s="14">
        <f t="shared" si="335"/>
        <v>491.87918405496498</v>
      </c>
      <c r="H2381" s="24">
        <f t="shared" si="342"/>
        <v>650</v>
      </c>
      <c r="I2381" s="12">
        <f t="shared" si="336"/>
        <v>6.3962194613559578E-2</v>
      </c>
      <c r="J2381" s="3">
        <f t="shared" si="337"/>
        <v>0.7</v>
      </c>
    </row>
    <row r="2382" spans="2:10" x14ac:dyDescent="0.25">
      <c r="B2382" s="3">
        <f t="shared" si="338"/>
        <v>11825</v>
      </c>
      <c r="C2382" s="14">
        <f t="shared" si="339"/>
        <v>197.08333333333334</v>
      </c>
      <c r="D2382" s="11">
        <f t="shared" si="340"/>
        <v>1123.3152611631745</v>
      </c>
      <c r="E2382" s="24">
        <f t="shared" si="341"/>
        <v>1122.1762825131148</v>
      </c>
      <c r="F2382" s="24">
        <f t="shared" si="334"/>
        <v>28.474466251492458</v>
      </c>
      <c r="G2382" s="14">
        <f t="shared" si="335"/>
        <v>491.67226274663653</v>
      </c>
      <c r="H2382" s="24">
        <f t="shared" si="342"/>
        <v>650</v>
      </c>
      <c r="I2382" s="12">
        <f t="shared" si="336"/>
        <v>6.3934808481932587E-2</v>
      </c>
      <c r="J2382" s="3">
        <f t="shared" si="337"/>
        <v>0.7</v>
      </c>
    </row>
    <row r="2383" spans="2:10" x14ac:dyDescent="0.25">
      <c r="B2383" s="3">
        <f t="shared" si="338"/>
        <v>11830</v>
      </c>
      <c r="C2383" s="14">
        <f t="shared" si="339"/>
        <v>197.16666666666666</v>
      </c>
      <c r="D2383" s="11">
        <f t="shared" si="340"/>
        <v>1123.3785613737721</v>
      </c>
      <c r="E2383" s="24">
        <f t="shared" si="341"/>
        <v>1122.2402173215967</v>
      </c>
      <c r="F2383" s="24">
        <f t="shared" si="334"/>
        <v>28.458601304384956</v>
      </c>
      <c r="G2383" s="14">
        <f t="shared" si="335"/>
        <v>491.46551682401889</v>
      </c>
      <c r="H2383" s="24">
        <f t="shared" si="342"/>
        <v>650</v>
      </c>
      <c r="I2383" s="12">
        <f t="shared" si="336"/>
        <v>6.3907445850335753E-2</v>
      </c>
      <c r="J2383" s="3">
        <f t="shared" si="337"/>
        <v>0.7</v>
      </c>
    </row>
    <row r="2384" spans="2:10" x14ac:dyDescent="0.25">
      <c r="B2384" s="3">
        <f t="shared" si="338"/>
        <v>11835</v>
      </c>
      <c r="C2384" s="14">
        <f t="shared" si="339"/>
        <v>197.25</v>
      </c>
      <c r="D2384" s="11">
        <f t="shared" si="340"/>
        <v>1123.4418348528613</v>
      </c>
      <c r="E2384" s="24">
        <f t="shared" si="341"/>
        <v>1122.3041247674471</v>
      </c>
      <c r="F2384" s="24">
        <f t="shared" si="334"/>
        <v>28.442752135356386</v>
      </c>
      <c r="G2384" s="14">
        <f t="shared" si="335"/>
        <v>491.25894606341001</v>
      </c>
      <c r="H2384" s="24">
        <f t="shared" si="342"/>
        <v>650</v>
      </c>
      <c r="I2384" s="12">
        <f t="shared" si="336"/>
        <v>6.3880106688497085E-2</v>
      </c>
      <c r="J2384" s="3">
        <f t="shared" si="337"/>
        <v>0.7</v>
      </c>
    </row>
    <row r="2385" spans="2:10" x14ac:dyDescent="0.25">
      <c r="B2385" s="3">
        <f t="shared" si="338"/>
        <v>11840</v>
      </c>
      <c r="C2385" s="14">
        <f t="shared" si="339"/>
        <v>197.33333333333334</v>
      </c>
      <c r="D2385" s="11">
        <f t="shared" si="340"/>
        <v>1123.5050816230096</v>
      </c>
      <c r="E2385" s="24">
        <f t="shared" si="341"/>
        <v>1122.3680048741355</v>
      </c>
      <c r="F2385" s="24">
        <f t="shared" ref="F2385:F2448" si="343">AlphaC*(D2385-E2385)</f>
        <v>28.42691872185128</v>
      </c>
      <c r="G2385" s="14">
        <f t="shared" ref="G2385:G2448" si="344">Phi*EpsilonF*Botzman/10^8*J2385*((D2385+273)^4-(E2385+273)^4)</f>
        <v>491.05255024126291</v>
      </c>
      <c r="H2385" s="24">
        <f t="shared" si="342"/>
        <v>650</v>
      </c>
      <c r="I2385" s="12">
        <f t="shared" ref="I2385:I2448" si="345">ksh*Massivete/(H2385*RhoA)*DeltaT*(F2385+G2385)</f>
        <v>6.3852790966166431E-2</v>
      </c>
      <c r="J2385" s="3">
        <f t="shared" ref="J2385:J2448" si="346">IF(E2385&lt;=500,IF(Galva=Oui,0.35,0.7),0.7)</f>
        <v>0.7</v>
      </c>
    </row>
    <row r="2386" spans="2:10" x14ac:dyDescent="0.25">
      <c r="B2386" s="3">
        <f t="shared" ref="B2386:B2449" si="347">B2385+DeltaT</f>
        <v>11845</v>
      </c>
      <c r="C2386" s="14">
        <f t="shared" ref="C2386:C2449" si="348">B2386/60</f>
        <v>197.41666666666666</v>
      </c>
      <c r="D2386" s="11">
        <f t="shared" ref="D2386:D2449" si="349">20+345*LOG(8*C2386+1,10)</f>
        <v>1123.5683017067563</v>
      </c>
      <c r="E2386" s="24">
        <f t="shared" si="341"/>
        <v>1122.4318576651017</v>
      </c>
      <c r="F2386" s="24">
        <f t="shared" si="343"/>
        <v>28.411101041365328</v>
      </c>
      <c r="G2386" s="14">
        <f t="shared" si="344"/>
        <v>490.84632913439896</v>
      </c>
      <c r="H2386" s="24">
        <f t="shared" si="342"/>
        <v>650</v>
      </c>
      <c r="I2386" s="12">
        <f t="shared" si="345"/>
        <v>6.3825498653145227E-2</v>
      </c>
      <c r="J2386" s="3">
        <f t="shared" si="346"/>
        <v>0.7</v>
      </c>
    </row>
    <row r="2387" spans="2:10" x14ac:dyDescent="0.25">
      <c r="B2387" s="3">
        <f t="shared" si="347"/>
        <v>11850</v>
      </c>
      <c r="C2387" s="14">
        <f t="shared" si="348"/>
        <v>197.5</v>
      </c>
      <c r="D2387" s="11">
        <f t="shared" si="349"/>
        <v>1123.631495126612</v>
      </c>
      <c r="E2387" s="24">
        <f t="shared" si="341"/>
        <v>1122.4956831637548</v>
      </c>
      <c r="F2387" s="24">
        <f t="shared" si="343"/>
        <v>28.395299071428326</v>
      </c>
      <c r="G2387" s="14">
        <f t="shared" si="344"/>
        <v>490.64028252002697</v>
      </c>
      <c r="H2387" s="24">
        <f t="shared" si="342"/>
        <v>650</v>
      </c>
      <c r="I2387" s="12">
        <f t="shared" si="345"/>
        <v>6.3798229719286684E-2</v>
      </c>
      <c r="J2387" s="3">
        <f t="shared" si="346"/>
        <v>0.7</v>
      </c>
    </row>
    <row r="2388" spans="2:10" x14ac:dyDescent="0.25">
      <c r="B2388" s="3">
        <f t="shared" si="347"/>
        <v>11855</v>
      </c>
      <c r="C2388" s="14">
        <f t="shared" si="348"/>
        <v>197.58333333333334</v>
      </c>
      <c r="D2388" s="11">
        <f t="shared" si="349"/>
        <v>1123.6946619050589</v>
      </c>
      <c r="E2388" s="24">
        <f t="shared" si="341"/>
        <v>1122.5594813934742</v>
      </c>
      <c r="F2388" s="24">
        <f t="shared" si="343"/>
        <v>28.379512789615546</v>
      </c>
      <c r="G2388" s="14">
        <f t="shared" si="344"/>
        <v>490.43441017568529</v>
      </c>
      <c r="H2388" s="24">
        <f t="shared" si="342"/>
        <v>650</v>
      </c>
      <c r="I2388" s="12">
        <f t="shared" si="345"/>
        <v>6.3770984134490172E-2</v>
      </c>
      <c r="J2388" s="3">
        <f t="shared" si="346"/>
        <v>0.7</v>
      </c>
    </row>
    <row r="2389" spans="2:10" x14ac:dyDescent="0.25">
      <c r="B2389" s="3">
        <f t="shared" si="347"/>
        <v>11860</v>
      </c>
      <c r="C2389" s="14">
        <f t="shared" si="348"/>
        <v>197.66666666666666</v>
      </c>
      <c r="D2389" s="11">
        <f t="shared" si="349"/>
        <v>1123.7578020645506</v>
      </c>
      <c r="E2389" s="24">
        <f t="shared" si="341"/>
        <v>1122.6232523776087</v>
      </c>
      <c r="F2389" s="24">
        <f t="shared" si="343"/>
        <v>28.363742173547735</v>
      </c>
      <c r="G2389" s="14">
        <f t="shared" si="344"/>
        <v>490.22871187951296</v>
      </c>
      <c r="H2389" s="24">
        <f t="shared" si="342"/>
        <v>650</v>
      </c>
      <c r="I2389" s="12">
        <f t="shared" si="345"/>
        <v>6.37437618687344E-2</v>
      </c>
      <c r="J2389" s="3">
        <f t="shared" si="346"/>
        <v>0.7</v>
      </c>
    </row>
    <row r="2390" spans="2:10" x14ac:dyDescent="0.25">
      <c r="B2390" s="3">
        <f t="shared" si="347"/>
        <v>11865</v>
      </c>
      <c r="C2390" s="14">
        <f t="shared" si="348"/>
        <v>197.75</v>
      </c>
      <c r="D2390" s="11">
        <f t="shared" si="349"/>
        <v>1123.8209156275127</v>
      </c>
      <c r="E2390" s="24">
        <f t="shared" si="341"/>
        <v>1122.6869961394773</v>
      </c>
      <c r="F2390" s="24">
        <f t="shared" si="343"/>
        <v>28.347987200885427</v>
      </c>
      <c r="G2390" s="14">
        <f t="shared" si="344"/>
        <v>490.0231874098817</v>
      </c>
      <c r="H2390" s="24">
        <f t="shared" si="342"/>
        <v>650</v>
      </c>
      <c r="I2390" s="12">
        <f t="shared" si="345"/>
        <v>6.3716562892031675E-2</v>
      </c>
      <c r="J2390" s="3">
        <f t="shared" si="346"/>
        <v>0.7</v>
      </c>
    </row>
    <row r="2391" spans="2:10" x14ac:dyDescent="0.25">
      <c r="B2391" s="3">
        <f t="shared" si="347"/>
        <v>11870</v>
      </c>
      <c r="C2391" s="14">
        <f t="shared" si="348"/>
        <v>197.83333333333334</v>
      </c>
      <c r="D2391" s="11">
        <f t="shared" si="349"/>
        <v>1123.8840026163421</v>
      </c>
      <c r="E2391" s="24">
        <f t="shared" si="341"/>
        <v>1122.7507127023694</v>
      </c>
      <c r="F2391" s="24">
        <f t="shared" si="343"/>
        <v>28.332247849317582</v>
      </c>
      <c r="G2391" s="14">
        <f t="shared" si="344"/>
        <v>489.81783654524071</v>
      </c>
      <c r="H2391" s="24">
        <f t="shared" si="342"/>
        <v>650</v>
      </c>
      <c r="I2391" s="12">
        <f t="shared" si="345"/>
        <v>6.3689387174407197E-2</v>
      </c>
      <c r="J2391" s="3">
        <f t="shared" si="346"/>
        <v>0.7</v>
      </c>
    </row>
    <row r="2392" spans="2:10" x14ac:dyDescent="0.25">
      <c r="B2392" s="3">
        <f t="shared" si="347"/>
        <v>11875</v>
      </c>
      <c r="C2392" s="14">
        <f t="shared" si="348"/>
        <v>197.91666666666666</v>
      </c>
      <c r="D2392" s="11">
        <f t="shared" si="349"/>
        <v>1123.9470630534079</v>
      </c>
      <c r="E2392" s="24">
        <f t="shared" si="341"/>
        <v>1122.8144020895438</v>
      </c>
      <c r="F2392" s="24">
        <f t="shared" si="343"/>
        <v>28.31652409660137</v>
      </c>
      <c r="G2392" s="14">
        <f t="shared" si="344"/>
        <v>489.61265906502746</v>
      </c>
      <c r="H2392" s="24">
        <f t="shared" si="342"/>
        <v>650</v>
      </c>
      <c r="I2392" s="12">
        <f t="shared" si="345"/>
        <v>6.3662234686016131E-2</v>
      </c>
      <c r="J2392" s="3">
        <f t="shared" si="346"/>
        <v>0.7</v>
      </c>
    </row>
    <row r="2393" spans="2:10" x14ac:dyDescent="0.25">
      <c r="B2393" s="3">
        <f t="shared" si="347"/>
        <v>11880</v>
      </c>
      <c r="C2393" s="14">
        <f t="shared" si="348"/>
        <v>198</v>
      </c>
      <c r="D2393" s="11">
        <f t="shared" si="349"/>
        <v>1124.0100969610507</v>
      </c>
      <c r="E2393" s="24">
        <f t="shared" si="341"/>
        <v>1122.8780643242299</v>
      </c>
      <c r="F2393" s="24">
        <f t="shared" si="343"/>
        <v>28.300815920522382</v>
      </c>
      <c r="G2393" s="14">
        <f t="shared" si="344"/>
        <v>489.40765474879589</v>
      </c>
      <c r="H2393" s="24">
        <f t="shared" si="342"/>
        <v>650</v>
      </c>
      <c r="I2393" s="12">
        <f t="shared" si="345"/>
        <v>6.3635105397031433E-2</v>
      </c>
      <c r="J2393" s="3">
        <f t="shared" si="346"/>
        <v>0.7</v>
      </c>
    </row>
    <row r="2394" spans="2:10" x14ac:dyDescent="0.25">
      <c r="B2394" s="3">
        <f t="shared" si="347"/>
        <v>11885</v>
      </c>
      <c r="C2394" s="14">
        <f t="shared" si="348"/>
        <v>198.08333333333334</v>
      </c>
      <c r="D2394" s="11">
        <f t="shared" si="349"/>
        <v>1124.0731043615826</v>
      </c>
      <c r="E2394" s="24">
        <f t="shared" si="341"/>
        <v>1122.9416994296269</v>
      </c>
      <c r="F2394" s="24">
        <f t="shared" si="343"/>
        <v>28.285123298894632</v>
      </c>
      <c r="G2394" s="14">
        <f t="shared" si="344"/>
        <v>489.20282337629351</v>
      </c>
      <c r="H2394" s="24">
        <f t="shared" si="342"/>
        <v>650</v>
      </c>
      <c r="I2394" s="12">
        <f t="shared" si="345"/>
        <v>6.3607999277653274E-2</v>
      </c>
      <c r="J2394" s="3">
        <f t="shared" si="346"/>
        <v>0.7</v>
      </c>
    </row>
    <row r="2395" spans="2:10" x14ac:dyDescent="0.25">
      <c r="B2395" s="3">
        <f t="shared" si="347"/>
        <v>11890</v>
      </c>
      <c r="C2395" s="14">
        <f t="shared" si="348"/>
        <v>198.16666666666666</v>
      </c>
      <c r="D2395" s="11">
        <f t="shared" si="349"/>
        <v>1124.1360852772877</v>
      </c>
      <c r="E2395" s="24">
        <f t="shared" si="341"/>
        <v>1123.0053074289044</v>
      </c>
      <c r="F2395" s="24">
        <f t="shared" si="343"/>
        <v>28.269446209583293</v>
      </c>
      <c r="G2395" s="14">
        <f t="shared" si="344"/>
        <v>488.9981647275975</v>
      </c>
      <c r="H2395" s="24">
        <f t="shared" si="342"/>
        <v>650</v>
      </c>
      <c r="I2395" s="12">
        <f t="shared" si="345"/>
        <v>6.3580916298128703E-2</v>
      </c>
      <c r="J2395" s="3">
        <f t="shared" si="346"/>
        <v>0.7</v>
      </c>
    </row>
    <row r="2396" spans="2:10" x14ac:dyDescent="0.25">
      <c r="B2396" s="3">
        <f t="shared" si="347"/>
        <v>11895</v>
      </c>
      <c r="C2396" s="14">
        <f t="shared" si="348"/>
        <v>198.25</v>
      </c>
      <c r="D2396" s="11">
        <f t="shared" si="349"/>
        <v>1124.1990397304226</v>
      </c>
      <c r="E2396" s="24">
        <f t="shared" si="341"/>
        <v>1123.0688883452026</v>
      </c>
      <c r="F2396" s="24">
        <f t="shared" si="343"/>
        <v>28.253784630499013</v>
      </c>
      <c r="G2396" s="14">
        <f t="shared" si="344"/>
        <v>488.79367858348263</v>
      </c>
      <c r="H2396" s="24">
        <f t="shared" si="342"/>
        <v>650</v>
      </c>
      <c r="I2396" s="12">
        <f t="shared" si="345"/>
        <v>6.3553856428796102E-2</v>
      </c>
      <c r="J2396" s="3">
        <f t="shared" si="346"/>
        <v>0.7</v>
      </c>
    </row>
    <row r="2397" spans="2:10" x14ac:dyDescent="0.25">
      <c r="B2397" s="3">
        <f t="shared" si="347"/>
        <v>11900</v>
      </c>
      <c r="C2397" s="14">
        <f t="shared" si="348"/>
        <v>198.33333333333334</v>
      </c>
      <c r="D2397" s="11">
        <f t="shared" si="349"/>
        <v>1124.2619677432149</v>
      </c>
      <c r="E2397" s="24">
        <f t="shared" si="341"/>
        <v>1123.1324422016314</v>
      </c>
      <c r="F2397" s="24">
        <f t="shared" si="343"/>
        <v>28.238138539586544</v>
      </c>
      <c r="G2397" s="14">
        <f t="shared" si="344"/>
        <v>488.58936472489802</v>
      </c>
      <c r="H2397" s="24">
        <f t="shared" si="342"/>
        <v>650</v>
      </c>
      <c r="I2397" s="12">
        <f t="shared" si="345"/>
        <v>6.3526819640019438E-2</v>
      </c>
      <c r="J2397" s="3">
        <f t="shared" si="346"/>
        <v>0.7</v>
      </c>
    </row>
    <row r="2398" spans="2:10" x14ac:dyDescent="0.25">
      <c r="B2398" s="3">
        <f t="shared" si="347"/>
        <v>11905</v>
      </c>
      <c r="C2398" s="14">
        <f t="shared" si="348"/>
        <v>198.41666666666666</v>
      </c>
      <c r="D2398" s="11">
        <f t="shared" si="349"/>
        <v>1124.3248693378655</v>
      </c>
      <c r="E2398" s="24">
        <f t="shared" si="341"/>
        <v>1123.1959690212714</v>
      </c>
      <c r="F2398" s="24">
        <f t="shared" si="343"/>
        <v>28.222507914853168</v>
      </c>
      <c r="G2398" s="14">
        <f t="shared" si="344"/>
        <v>488.38522293349052</v>
      </c>
      <c r="H2398" s="24">
        <f t="shared" si="342"/>
        <v>650</v>
      </c>
      <c r="I2398" s="12">
        <f t="shared" si="345"/>
        <v>6.3499805902256165E-2</v>
      </c>
      <c r="J2398" s="3">
        <f t="shared" si="346"/>
        <v>0.7</v>
      </c>
    </row>
    <row r="2399" spans="2:10" x14ac:dyDescent="0.25">
      <c r="B2399" s="3">
        <f t="shared" si="347"/>
        <v>11910</v>
      </c>
      <c r="C2399" s="14">
        <f t="shared" si="348"/>
        <v>198.5</v>
      </c>
      <c r="D2399" s="11">
        <f t="shared" si="349"/>
        <v>1124.3877445365458</v>
      </c>
      <c r="E2399" s="24">
        <f t="shared" si="341"/>
        <v>1123.2594688271736</v>
      </c>
      <c r="F2399" s="24">
        <f t="shared" si="343"/>
        <v>28.206892734306166</v>
      </c>
      <c r="G2399" s="14">
        <f t="shared" si="344"/>
        <v>488.18125299065514</v>
      </c>
      <c r="H2399" s="24">
        <f t="shared" si="342"/>
        <v>650</v>
      </c>
      <c r="I2399" s="12">
        <f t="shared" si="345"/>
        <v>6.3472815185932771E-2</v>
      </c>
      <c r="J2399" s="3">
        <f t="shared" si="346"/>
        <v>0.7</v>
      </c>
    </row>
    <row r="2400" spans="2:10" x14ac:dyDescent="0.25">
      <c r="B2400" s="3">
        <f t="shared" si="347"/>
        <v>11915</v>
      </c>
      <c r="C2400" s="14">
        <f t="shared" si="348"/>
        <v>198.58333333333334</v>
      </c>
      <c r="D2400" s="11">
        <f t="shared" si="349"/>
        <v>1124.4505933614005</v>
      </c>
      <c r="E2400" s="24">
        <f t="shared" si="341"/>
        <v>1123.3229416423594</v>
      </c>
      <c r="F2400" s="24">
        <f t="shared" si="343"/>
        <v>28.191292976026716</v>
      </c>
      <c r="G2400" s="14">
        <f t="shared" si="344"/>
        <v>487.97745467865889</v>
      </c>
      <c r="H2400" s="24">
        <f t="shared" si="342"/>
        <v>650</v>
      </c>
      <c r="I2400" s="12">
        <f t="shared" si="345"/>
        <v>6.3445847461591987E-2</v>
      </c>
      <c r="J2400" s="3">
        <f t="shared" si="346"/>
        <v>0.7</v>
      </c>
    </row>
    <row r="2401" spans="2:10" x14ac:dyDescent="0.25">
      <c r="B2401" s="3">
        <f t="shared" si="347"/>
        <v>11920</v>
      </c>
      <c r="C2401" s="14">
        <f t="shared" si="348"/>
        <v>198.66666666666666</v>
      </c>
      <c r="D2401" s="11">
        <f t="shared" si="349"/>
        <v>1124.5134158345459</v>
      </c>
      <c r="E2401" s="24">
        <f t="shared" si="341"/>
        <v>1123.3863874898209</v>
      </c>
      <c r="F2401" s="24">
        <f t="shared" si="343"/>
        <v>28.175708618124418</v>
      </c>
      <c r="G2401" s="14">
        <f t="shared" si="344"/>
        <v>487.77382777990437</v>
      </c>
      <c r="H2401" s="24">
        <f t="shared" si="342"/>
        <v>650</v>
      </c>
      <c r="I2401" s="12">
        <f t="shared" si="345"/>
        <v>6.3418902699796734E-2</v>
      </c>
      <c r="J2401" s="3">
        <f t="shared" si="346"/>
        <v>0.7</v>
      </c>
    </row>
    <row r="2402" spans="2:10" x14ac:dyDescent="0.25">
      <c r="B2402" s="3">
        <f t="shared" si="347"/>
        <v>11925</v>
      </c>
      <c r="C2402" s="14">
        <f t="shared" si="348"/>
        <v>198.75</v>
      </c>
      <c r="D2402" s="11">
        <f t="shared" si="349"/>
        <v>1124.5762119780704</v>
      </c>
      <c r="E2402" s="24">
        <f t="shared" si="341"/>
        <v>1123.4498063925207</v>
      </c>
      <c r="F2402" s="24">
        <f t="shared" si="343"/>
        <v>28.160139638742976</v>
      </c>
      <c r="G2402" s="14">
        <f t="shared" si="344"/>
        <v>487.57037207723999</v>
      </c>
      <c r="H2402" s="24">
        <f t="shared" si="342"/>
        <v>650</v>
      </c>
      <c r="I2402" s="12">
        <f t="shared" si="345"/>
        <v>6.3391980871168888E-2</v>
      </c>
      <c r="J2402" s="3">
        <f t="shared" si="346"/>
        <v>0.7</v>
      </c>
    </row>
    <row r="2403" spans="2:10" x14ac:dyDescent="0.25">
      <c r="B2403" s="3">
        <f t="shared" si="347"/>
        <v>11930</v>
      </c>
      <c r="C2403" s="14">
        <f t="shared" si="348"/>
        <v>198.83333333333334</v>
      </c>
      <c r="D2403" s="11">
        <f t="shared" si="349"/>
        <v>1124.6389818140353</v>
      </c>
      <c r="E2403" s="24">
        <f t="shared" si="341"/>
        <v>1123.5131983733918</v>
      </c>
      <c r="F2403" s="24">
        <f t="shared" si="343"/>
        <v>28.144586016088624</v>
      </c>
      <c r="G2403" s="14">
        <f t="shared" si="344"/>
        <v>487.36708735399878</v>
      </c>
      <c r="H2403" s="24">
        <f t="shared" si="342"/>
        <v>650</v>
      </c>
      <c r="I2403" s="12">
        <f t="shared" si="345"/>
        <v>6.3365081946397644E-2</v>
      </c>
      <c r="J2403" s="3">
        <f t="shared" si="346"/>
        <v>0.7</v>
      </c>
    </row>
    <row r="2404" spans="2:10" x14ac:dyDescent="0.25">
      <c r="B2404" s="3">
        <f t="shared" si="347"/>
        <v>11935</v>
      </c>
      <c r="C2404" s="14">
        <f t="shared" si="348"/>
        <v>198.91666666666666</v>
      </c>
      <c r="D2404" s="11">
        <f t="shared" si="349"/>
        <v>1124.7017253644735</v>
      </c>
      <c r="E2404" s="24">
        <f t="shared" si="341"/>
        <v>1123.5765634553381</v>
      </c>
      <c r="F2404" s="24">
        <f t="shared" si="343"/>
        <v>28.129047728384649</v>
      </c>
      <c r="G2404" s="14">
        <f t="shared" si="344"/>
        <v>487.16397339364914</v>
      </c>
      <c r="H2404" s="24">
        <f t="shared" si="342"/>
        <v>650</v>
      </c>
      <c r="I2404" s="12">
        <f t="shared" si="345"/>
        <v>6.3338205896190852E-2</v>
      </c>
      <c r="J2404" s="3">
        <f t="shared" si="346"/>
        <v>0.7</v>
      </c>
    </row>
    <row r="2405" spans="2:10" x14ac:dyDescent="0.25">
      <c r="B2405" s="3">
        <f t="shared" si="347"/>
        <v>11940</v>
      </c>
      <c r="C2405" s="14">
        <f t="shared" si="348"/>
        <v>199</v>
      </c>
      <c r="D2405" s="11">
        <f t="shared" si="349"/>
        <v>1124.7644426513903</v>
      </c>
      <c r="E2405" s="24">
        <f t="shared" si="341"/>
        <v>1123.6399016612343</v>
      </c>
      <c r="F2405" s="24">
        <f t="shared" si="343"/>
        <v>28.11352475389981</v>
      </c>
      <c r="G2405" s="14">
        <f t="shared" si="344"/>
        <v>486.96102998010554</v>
      </c>
      <c r="H2405" s="24">
        <f t="shared" si="342"/>
        <v>650</v>
      </c>
      <c r="I2405" s="12">
        <f t="shared" si="345"/>
        <v>6.3311352691316825E-2</v>
      </c>
      <c r="J2405" s="3">
        <f t="shared" si="346"/>
        <v>0.7</v>
      </c>
    </row>
    <row r="2406" spans="2:10" x14ac:dyDescent="0.25">
      <c r="B2406" s="3">
        <f t="shared" si="347"/>
        <v>11945</v>
      </c>
      <c r="C2406" s="14">
        <f t="shared" si="348"/>
        <v>199.08333333333334</v>
      </c>
      <c r="D2406" s="11">
        <f t="shared" si="349"/>
        <v>1124.8271336967637</v>
      </c>
      <c r="E2406" s="24">
        <f t="shared" si="341"/>
        <v>1123.7032130139255</v>
      </c>
      <c r="F2406" s="24">
        <f t="shared" si="343"/>
        <v>28.098017070954029</v>
      </c>
      <c r="G2406" s="14">
        <f t="shared" si="344"/>
        <v>486.75825689774729</v>
      </c>
      <c r="H2406" s="24">
        <f t="shared" si="342"/>
        <v>650</v>
      </c>
      <c r="I2406" s="12">
        <f t="shared" si="345"/>
        <v>6.328452230260731E-2</v>
      </c>
      <c r="J2406" s="3">
        <f t="shared" si="346"/>
        <v>0.7</v>
      </c>
    </row>
    <row r="2407" spans="2:10" x14ac:dyDescent="0.25">
      <c r="B2407" s="3">
        <f t="shared" si="347"/>
        <v>11950</v>
      </c>
      <c r="C2407" s="14">
        <f t="shared" si="348"/>
        <v>199.16666666666666</v>
      </c>
      <c r="D2407" s="11">
        <f t="shared" si="349"/>
        <v>1124.889798522544</v>
      </c>
      <c r="E2407" s="24">
        <f t="shared" si="341"/>
        <v>1123.7664975362281</v>
      </c>
      <c r="F2407" s="24">
        <f t="shared" si="343"/>
        <v>28.082524657895647</v>
      </c>
      <c r="G2407" s="14">
        <f t="shared" si="344"/>
        <v>486.55565393130274</v>
      </c>
      <c r="H2407" s="24">
        <f t="shared" si="342"/>
        <v>650</v>
      </c>
      <c r="I2407" s="12">
        <f t="shared" si="345"/>
        <v>6.3257714700940423E-2</v>
      </c>
      <c r="J2407" s="3">
        <f t="shared" si="346"/>
        <v>0.7</v>
      </c>
    </row>
    <row r="2408" spans="2:10" x14ac:dyDescent="0.25">
      <c r="B2408" s="3">
        <f t="shared" si="347"/>
        <v>11955</v>
      </c>
      <c r="C2408" s="14">
        <f t="shared" si="348"/>
        <v>199.25</v>
      </c>
      <c r="D2408" s="11">
        <f t="shared" si="349"/>
        <v>1124.9524371506539</v>
      </c>
      <c r="E2408" s="24">
        <f t="shared" si="341"/>
        <v>1123.8297552509291</v>
      </c>
      <c r="F2408" s="24">
        <f t="shared" si="343"/>
        <v>28.06704749311848</v>
      </c>
      <c r="G2408" s="14">
        <f t="shared" si="344"/>
        <v>486.35322086569386</v>
      </c>
      <c r="H2408" s="24">
        <f t="shared" si="342"/>
        <v>650</v>
      </c>
      <c r="I2408" s="12">
        <f t="shared" si="345"/>
        <v>6.3230929857223686E-2</v>
      </c>
      <c r="J2408" s="3">
        <f t="shared" si="346"/>
        <v>0.7</v>
      </c>
    </row>
    <row r="2409" spans="2:10" x14ac:dyDescent="0.25">
      <c r="B2409" s="3">
        <f t="shared" si="347"/>
        <v>11960</v>
      </c>
      <c r="C2409" s="14">
        <f t="shared" si="348"/>
        <v>199.33333333333334</v>
      </c>
      <c r="D2409" s="11">
        <f t="shared" si="349"/>
        <v>1125.0150496029887</v>
      </c>
      <c r="E2409" s="24">
        <f t="shared" si="341"/>
        <v>1123.8929861807862</v>
      </c>
      <c r="F2409" s="24">
        <f t="shared" si="343"/>
        <v>28.05158555506182</v>
      </c>
      <c r="G2409" s="14">
        <f t="shared" si="344"/>
        <v>486.15095748646291</v>
      </c>
      <c r="H2409" s="24">
        <f t="shared" si="342"/>
        <v>650</v>
      </c>
      <c r="I2409" s="12">
        <f t="shared" si="345"/>
        <v>6.3204167742446457E-2</v>
      </c>
      <c r="J2409" s="3">
        <f t="shared" si="346"/>
        <v>0.7</v>
      </c>
    </row>
    <row r="2410" spans="2:10" x14ac:dyDescent="0.25">
      <c r="B2410" s="3">
        <f t="shared" si="347"/>
        <v>11965</v>
      </c>
      <c r="C2410" s="14">
        <f t="shared" si="348"/>
        <v>199.41666666666666</v>
      </c>
      <c r="D2410" s="11">
        <f t="shared" si="349"/>
        <v>1125.077635901416</v>
      </c>
      <c r="E2410" s="24">
        <f t="shared" si="341"/>
        <v>1123.9561903485287</v>
      </c>
      <c r="F2410" s="24">
        <f t="shared" si="343"/>
        <v>28.036138822182011</v>
      </c>
      <c r="G2410" s="14">
        <f t="shared" si="344"/>
        <v>485.9488635792103</v>
      </c>
      <c r="H2410" s="24">
        <f t="shared" si="342"/>
        <v>650</v>
      </c>
      <c r="I2410" s="12">
        <f t="shared" si="345"/>
        <v>6.317742832760731E-2</v>
      </c>
      <c r="J2410" s="3">
        <f t="shared" si="346"/>
        <v>0.7</v>
      </c>
    </row>
    <row r="2411" spans="2:10" x14ac:dyDescent="0.25">
      <c r="B2411" s="3">
        <f t="shared" si="347"/>
        <v>11970</v>
      </c>
      <c r="C2411" s="14">
        <f t="shared" si="348"/>
        <v>199.5</v>
      </c>
      <c r="D2411" s="11">
        <f t="shared" si="349"/>
        <v>1125.1401960677765</v>
      </c>
      <c r="E2411" s="24">
        <f t="shared" si="341"/>
        <v>1124.0193677768564</v>
      </c>
      <c r="F2411" s="24">
        <f t="shared" si="343"/>
        <v>28.020707273003609</v>
      </c>
      <c r="G2411" s="14">
        <f t="shared" si="344"/>
        <v>485.74693893013705</v>
      </c>
      <c r="H2411" s="24">
        <f t="shared" si="342"/>
        <v>650</v>
      </c>
      <c r="I2411" s="12">
        <f t="shared" si="345"/>
        <v>6.3150711583787073E-2</v>
      </c>
      <c r="J2411" s="3">
        <f t="shared" si="346"/>
        <v>0.7</v>
      </c>
    </row>
    <row r="2412" spans="2:10" x14ac:dyDescent="0.25">
      <c r="B2412" s="3">
        <f t="shared" si="347"/>
        <v>11975</v>
      </c>
      <c r="C2412" s="14">
        <f t="shared" si="348"/>
        <v>199.58333333333334</v>
      </c>
      <c r="D2412" s="11">
        <f t="shared" si="349"/>
        <v>1125.2027301238832</v>
      </c>
      <c r="E2412" s="24">
        <f t="shared" si="341"/>
        <v>1124.0825184884402</v>
      </c>
      <c r="F2412" s="24">
        <f t="shared" si="343"/>
        <v>28.005290886073908</v>
      </c>
      <c r="G2412" s="14">
        <f t="shared" si="344"/>
        <v>485.54518332583194</v>
      </c>
      <c r="H2412" s="24">
        <f t="shared" si="342"/>
        <v>650</v>
      </c>
      <c r="I2412" s="12">
        <f t="shared" si="345"/>
        <v>6.312401748211699E-2</v>
      </c>
      <c r="J2412" s="3">
        <f t="shared" si="346"/>
        <v>0.7</v>
      </c>
    </row>
    <row r="2413" spans="2:10" x14ac:dyDescent="0.25">
      <c r="B2413" s="3">
        <f t="shared" si="347"/>
        <v>11980</v>
      </c>
      <c r="C2413" s="14">
        <f t="shared" si="348"/>
        <v>199.66666666666666</v>
      </c>
      <c r="D2413" s="11">
        <f t="shared" si="349"/>
        <v>1125.2652380915217</v>
      </c>
      <c r="E2413" s="24">
        <f t="shared" si="341"/>
        <v>1124.1456425059223</v>
      </c>
      <c r="F2413" s="24">
        <f t="shared" si="343"/>
        <v>27.989889639985677</v>
      </c>
      <c r="G2413" s="14">
        <f t="shared" si="344"/>
        <v>485.34359655303882</v>
      </c>
      <c r="H2413" s="24">
        <f t="shared" si="342"/>
        <v>650</v>
      </c>
      <c r="I2413" s="12">
        <f t="shared" si="345"/>
        <v>6.3097345993752982E-2</v>
      </c>
      <c r="J2413" s="3">
        <f t="shared" si="346"/>
        <v>0.7</v>
      </c>
    </row>
    <row r="2414" spans="2:10" x14ac:dyDescent="0.25">
      <c r="B2414" s="3">
        <f t="shared" si="347"/>
        <v>11985</v>
      </c>
      <c r="C2414" s="14">
        <f t="shared" si="348"/>
        <v>199.75</v>
      </c>
      <c r="D2414" s="11">
        <f t="shared" si="349"/>
        <v>1125.327719992451</v>
      </c>
      <c r="E2414" s="24">
        <f t="shared" si="341"/>
        <v>1124.2087398519161</v>
      </c>
      <c r="F2414" s="24">
        <f t="shared" si="343"/>
        <v>27.974503513371474</v>
      </c>
      <c r="G2414" s="14">
        <f t="shared" si="344"/>
        <v>485.14217839912146</v>
      </c>
      <c r="H2414" s="24">
        <f t="shared" si="342"/>
        <v>650</v>
      </c>
      <c r="I2414" s="12">
        <f t="shared" si="345"/>
        <v>6.3070697089932029E-2</v>
      </c>
      <c r="J2414" s="3">
        <f t="shared" si="346"/>
        <v>0.7</v>
      </c>
    </row>
    <row r="2415" spans="2:10" x14ac:dyDescent="0.25">
      <c r="B2415" s="3">
        <f t="shared" si="347"/>
        <v>11990</v>
      </c>
      <c r="C2415" s="14">
        <f t="shared" si="348"/>
        <v>199.83333333333334</v>
      </c>
      <c r="D2415" s="11">
        <f t="shared" si="349"/>
        <v>1125.3901758484017</v>
      </c>
      <c r="E2415" s="24">
        <f t="shared" si="341"/>
        <v>1124.271810549006</v>
      </c>
      <c r="F2415" s="24">
        <f t="shared" si="343"/>
        <v>27.95913248489228</v>
      </c>
      <c r="G2415" s="14">
        <f t="shared" si="344"/>
        <v>484.94092865134701</v>
      </c>
      <c r="H2415" s="24">
        <f t="shared" si="342"/>
        <v>650</v>
      </c>
      <c r="I2415" s="12">
        <f t="shared" si="345"/>
        <v>6.3044070741882785E-2</v>
      </c>
      <c r="J2415" s="3">
        <f t="shared" si="346"/>
        <v>0.7</v>
      </c>
    </row>
    <row r="2416" spans="2:10" x14ac:dyDescent="0.25">
      <c r="B2416" s="3">
        <f t="shared" si="347"/>
        <v>11995</v>
      </c>
      <c r="C2416" s="14">
        <f t="shared" si="348"/>
        <v>199.91666666666666</v>
      </c>
      <c r="D2416" s="11">
        <f t="shared" si="349"/>
        <v>1125.4526056810787</v>
      </c>
      <c r="E2416" s="24">
        <f t="shared" si="341"/>
        <v>1124.3348546197478</v>
      </c>
      <c r="F2416" s="24">
        <f t="shared" si="343"/>
        <v>27.943776533271603</v>
      </c>
      <c r="G2416" s="14">
        <f t="shared" si="344"/>
        <v>484.73984709800959</v>
      </c>
      <c r="H2416" s="24">
        <f t="shared" si="342"/>
        <v>650</v>
      </c>
      <c r="I2416" s="12">
        <f t="shared" si="345"/>
        <v>6.3017466920967755E-2</v>
      </c>
      <c r="J2416" s="3">
        <f t="shared" si="346"/>
        <v>0.7</v>
      </c>
    </row>
    <row r="2417" spans="2:10" x14ac:dyDescent="0.25">
      <c r="B2417" s="3">
        <f t="shared" si="347"/>
        <v>12000</v>
      </c>
      <c r="C2417" s="14">
        <f t="shared" si="348"/>
        <v>200</v>
      </c>
      <c r="D2417" s="11">
        <f t="shared" si="349"/>
        <v>1125.5150095121583</v>
      </c>
      <c r="E2417" s="24">
        <f t="shared" si="341"/>
        <v>1124.3978720866687</v>
      </c>
      <c r="F2417" s="24">
        <f t="shared" si="343"/>
        <v>27.928435637238636</v>
      </c>
      <c r="G2417" s="14">
        <f t="shared" si="344"/>
        <v>484.53893352703517</v>
      </c>
      <c r="H2417" s="24">
        <f t="shared" si="342"/>
        <v>650</v>
      </c>
      <c r="I2417" s="12">
        <f t="shared" si="345"/>
        <v>6.2990885598504937E-2</v>
      </c>
      <c r="J2417" s="3">
        <f t="shared" si="346"/>
        <v>0.7</v>
      </c>
    </row>
    <row r="2418" spans="2:10" x14ac:dyDescent="0.25">
      <c r="B2418" s="3">
        <f t="shared" si="347"/>
        <v>12005</v>
      </c>
      <c r="C2418" s="14">
        <f t="shared" si="348"/>
        <v>200.08333333333334</v>
      </c>
      <c r="D2418" s="11">
        <f t="shared" si="349"/>
        <v>1125.5773873632909</v>
      </c>
      <c r="E2418" s="24">
        <f t="shared" si="341"/>
        <v>1124.4608629722673</v>
      </c>
      <c r="F2418" s="24">
        <f t="shared" si="343"/>
        <v>27.913109775590783</v>
      </c>
      <c r="G2418" s="14">
        <f t="shared" si="344"/>
        <v>484.33818772727989</v>
      </c>
      <c r="H2418" s="24">
        <f t="shared" si="342"/>
        <v>650</v>
      </c>
      <c r="I2418" s="12">
        <f t="shared" si="345"/>
        <v>6.2964326745935023E-2</v>
      </c>
      <c r="J2418" s="3">
        <f t="shared" si="346"/>
        <v>0.7</v>
      </c>
    </row>
    <row r="2419" spans="2:10" x14ac:dyDescent="0.25">
      <c r="B2419" s="3">
        <f t="shared" si="347"/>
        <v>12010</v>
      </c>
      <c r="C2419" s="14">
        <f t="shared" si="348"/>
        <v>200.16666666666666</v>
      </c>
      <c r="D2419" s="11">
        <f t="shared" si="349"/>
        <v>1125.6397392560993</v>
      </c>
      <c r="E2419" s="24">
        <f t="shared" si="341"/>
        <v>1124.5238272990132</v>
      </c>
      <c r="F2419" s="24">
        <f t="shared" si="343"/>
        <v>27.897798927153872</v>
      </c>
      <c r="G2419" s="14">
        <f t="shared" si="344"/>
        <v>484.13760948767742</v>
      </c>
      <c r="H2419" s="24">
        <f t="shared" si="342"/>
        <v>650</v>
      </c>
      <c r="I2419" s="12">
        <f t="shared" si="345"/>
        <v>6.2937790334711752E-2</v>
      </c>
      <c r="J2419" s="3">
        <f t="shared" si="346"/>
        <v>0.7</v>
      </c>
    </row>
    <row r="2420" spans="2:10" x14ac:dyDescent="0.25">
      <c r="B2420" s="3">
        <f t="shared" si="347"/>
        <v>12015</v>
      </c>
      <c r="C2420" s="14">
        <f t="shared" si="348"/>
        <v>200.25</v>
      </c>
      <c r="D2420" s="11">
        <f t="shared" si="349"/>
        <v>1125.7020652121798</v>
      </c>
      <c r="E2420" s="24">
        <f t="shared" ref="E2420:E2483" si="350">E2419+I2419</f>
        <v>1124.5867650893479</v>
      </c>
      <c r="F2420" s="24">
        <f t="shared" si="343"/>
        <v>27.882503070799203</v>
      </c>
      <c r="G2420" s="14">
        <f t="shared" si="344"/>
        <v>483.93719859778167</v>
      </c>
      <c r="H2420" s="24">
        <f t="shared" ref="H2420:H2483" si="351">IF(E2420&lt;600,425+0.773*E2420-1.69/1000*E2420^2+2.22/1000^2*E2420^3,IF(E2420&lt;735,666+13002/(738-E2420),IF(E2420&lt;900,545+17820/(E2420-731),650)))</f>
        <v>650</v>
      </c>
      <c r="I2420" s="12">
        <f t="shared" si="345"/>
        <v>6.2911276336370656E-2</v>
      </c>
      <c r="J2420" s="3">
        <f t="shared" si="346"/>
        <v>0.7</v>
      </c>
    </row>
    <row r="2421" spans="2:10" x14ac:dyDescent="0.25">
      <c r="B2421" s="3">
        <f t="shared" si="347"/>
        <v>12020</v>
      </c>
      <c r="C2421" s="14">
        <f t="shared" si="348"/>
        <v>200.33333333333334</v>
      </c>
      <c r="D2421" s="11">
        <f t="shared" si="349"/>
        <v>1125.764365253101</v>
      </c>
      <c r="E2421" s="24">
        <f t="shared" si="350"/>
        <v>1124.6496763656842</v>
      </c>
      <c r="F2421" s="24">
        <f t="shared" si="343"/>
        <v>27.867222185420815</v>
      </c>
      <c r="G2421" s="14">
        <f t="shared" si="344"/>
        <v>483.73695484697208</v>
      </c>
      <c r="H2421" s="24">
        <f t="shared" si="351"/>
        <v>650</v>
      </c>
      <c r="I2421" s="12">
        <f t="shared" si="345"/>
        <v>6.2884784722428644E-2</v>
      </c>
      <c r="J2421" s="3">
        <f t="shared" si="346"/>
        <v>0.7</v>
      </c>
    </row>
    <row r="2422" spans="2:10" x14ac:dyDescent="0.25">
      <c r="B2422" s="3">
        <f t="shared" si="347"/>
        <v>12025</v>
      </c>
      <c r="C2422" s="14">
        <f t="shared" si="348"/>
        <v>200.41666666666666</v>
      </c>
      <c r="D2422" s="11">
        <f t="shared" si="349"/>
        <v>1125.8266394004049</v>
      </c>
      <c r="E2422" s="24">
        <f t="shared" si="350"/>
        <v>1124.7125611504066</v>
      </c>
      <c r="F2422" s="24">
        <f t="shared" si="343"/>
        <v>27.851956249958221</v>
      </c>
      <c r="G2422" s="14">
        <f t="shared" si="344"/>
        <v>483.53687802540321</v>
      </c>
      <c r="H2422" s="24">
        <f t="shared" si="351"/>
        <v>650</v>
      </c>
      <c r="I2422" s="12">
        <f t="shared" si="345"/>
        <v>6.2858315464503489E-2</v>
      </c>
      <c r="J2422" s="3">
        <f t="shared" si="346"/>
        <v>0.7</v>
      </c>
    </row>
    <row r="2423" spans="2:10" x14ac:dyDescent="0.25">
      <c r="B2423" s="3">
        <f t="shared" si="347"/>
        <v>12030</v>
      </c>
      <c r="C2423" s="14">
        <f t="shared" si="348"/>
        <v>200.5</v>
      </c>
      <c r="D2423" s="11">
        <f t="shared" si="349"/>
        <v>1125.8888876756073</v>
      </c>
      <c r="E2423" s="24">
        <f t="shared" si="350"/>
        <v>1124.7754194658712</v>
      </c>
      <c r="F2423" s="24">
        <f t="shared" si="343"/>
        <v>27.836705243402093</v>
      </c>
      <c r="G2423" s="14">
        <f t="shared" si="344"/>
        <v>483.33696792361735</v>
      </c>
      <c r="H2423" s="24">
        <f t="shared" si="351"/>
        <v>650</v>
      </c>
      <c r="I2423" s="12">
        <f t="shared" si="345"/>
        <v>6.2831868534266894E-2</v>
      </c>
      <c r="J2423" s="3">
        <f t="shared" si="346"/>
        <v>0.7</v>
      </c>
    </row>
    <row r="2424" spans="2:10" x14ac:dyDescent="0.25">
      <c r="B2424" s="3">
        <f t="shared" si="347"/>
        <v>12035</v>
      </c>
      <c r="C2424" s="14">
        <f t="shared" si="348"/>
        <v>200.58333333333334</v>
      </c>
      <c r="D2424" s="11">
        <f t="shared" si="349"/>
        <v>1125.951110100196</v>
      </c>
      <c r="E2424" s="24">
        <f t="shared" si="350"/>
        <v>1124.8382513344054</v>
      </c>
      <c r="F2424" s="24">
        <f t="shared" si="343"/>
        <v>27.821469144765842</v>
      </c>
      <c r="G2424" s="14">
        <f t="shared" si="344"/>
        <v>483.13722433221483</v>
      </c>
      <c r="H2424" s="24">
        <f t="shared" si="351"/>
        <v>650</v>
      </c>
      <c r="I2424" s="12">
        <f t="shared" si="345"/>
        <v>6.280544390340051E-2</v>
      </c>
      <c r="J2424" s="3">
        <f t="shared" si="346"/>
        <v>0.7</v>
      </c>
    </row>
    <row r="2425" spans="2:10" x14ac:dyDescent="0.25">
      <c r="B2425" s="3">
        <f t="shared" si="347"/>
        <v>12040</v>
      </c>
      <c r="C2425" s="14">
        <f t="shared" si="348"/>
        <v>200.66666666666666</v>
      </c>
      <c r="D2425" s="11">
        <f t="shared" si="349"/>
        <v>1126.0133066956332</v>
      </c>
      <c r="E2425" s="24">
        <f t="shared" si="350"/>
        <v>1124.9010567783089</v>
      </c>
      <c r="F2425" s="24">
        <f t="shared" si="343"/>
        <v>27.806247933108352</v>
      </c>
      <c r="G2425" s="14">
        <f t="shared" si="344"/>
        <v>482.93764704237748</v>
      </c>
      <c r="H2425" s="24">
        <f t="shared" si="351"/>
        <v>650</v>
      </c>
      <c r="I2425" s="12">
        <f t="shared" si="345"/>
        <v>6.2779041543663039E-2</v>
      </c>
      <c r="J2425" s="3">
        <f t="shared" si="346"/>
        <v>0.7</v>
      </c>
    </row>
    <row r="2426" spans="2:10" x14ac:dyDescent="0.25">
      <c r="B2426" s="3">
        <f t="shared" si="347"/>
        <v>12045</v>
      </c>
      <c r="C2426" s="14">
        <f t="shared" si="348"/>
        <v>200.75</v>
      </c>
      <c r="D2426" s="11">
        <f t="shared" si="349"/>
        <v>1126.0754774833538</v>
      </c>
      <c r="E2426" s="24">
        <f t="shared" si="350"/>
        <v>1124.9638358198526</v>
      </c>
      <c r="F2426" s="24">
        <f t="shared" si="343"/>
        <v>27.791041587528298</v>
      </c>
      <c r="G2426" s="14">
        <f t="shared" si="344"/>
        <v>482.73823584559699</v>
      </c>
      <c r="H2426" s="24">
        <f t="shared" si="351"/>
        <v>650</v>
      </c>
      <c r="I2426" s="12">
        <f t="shared" si="345"/>
        <v>6.2752661426856163E-2</v>
      </c>
      <c r="J2426" s="3">
        <f t="shared" si="346"/>
        <v>0.7</v>
      </c>
    </row>
    <row r="2427" spans="2:10" x14ac:dyDescent="0.25">
      <c r="B2427" s="3">
        <f t="shared" si="347"/>
        <v>12050</v>
      </c>
      <c r="C2427" s="14">
        <f t="shared" si="348"/>
        <v>200.83333333333334</v>
      </c>
      <c r="D2427" s="11">
        <f t="shared" si="349"/>
        <v>1126.1376224847659</v>
      </c>
      <c r="E2427" s="24">
        <f t="shared" si="350"/>
        <v>1125.0265884812795</v>
      </c>
      <c r="F2427" s="24">
        <f t="shared" si="343"/>
        <v>27.77585008715846</v>
      </c>
      <c r="G2427" s="14">
        <f t="shared" si="344"/>
        <v>482.53899053363671</v>
      </c>
      <c r="H2427" s="24">
        <f t="shared" si="351"/>
        <v>650</v>
      </c>
      <c r="I2427" s="12">
        <f t="shared" si="345"/>
        <v>6.2726303524819157E-2</v>
      </c>
      <c r="J2427" s="3">
        <f t="shared" si="346"/>
        <v>0.7</v>
      </c>
    </row>
    <row r="2428" spans="2:10" x14ac:dyDescent="0.25">
      <c r="B2428" s="3">
        <f t="shared" si="347"/>
        <v>12055</v>
      </c>
      <c r="C2428" s="14">
        <f t="shared" si="348"/>
        <v>200.91666666666666</v>
      </c>
      <c r="D2428" s="11">
        <f t="shared" si="349"/>
        <v>1126.1997417212513</v>
      </c>
      <c r="E2428" s="24">
        <f t="shared" si="350"/>
        <v>1125.0893147848044</v>
      </c>
      <c r="F2428" s="24">
        <f t="shared" si="343"/>
        <v>27.76067341117141</v>
      </c>
      <c r="G2428" s="14">
        <f t="shared" si="344"/>
        <v>482.33991089874417</v>
      </c>
      <c r="H2428" s="24">
        <f t="shared" si="351"/>
        <v>650</v>
      </c>
      <c r="I2428" s="12">
        <f t="shared" si="345"/>
        <v>6.2699967809455692E-2</v>
      </c>
      <c r="J2428" s="3">
        <f t="shared" si="346"/>
        <v>0.7</v>
      </c>
    </row>
    <row r="2429" spans="2:10" x14ac:dyDescent="0.25">
      <c r="B2429" s="3">
        <f t="shared" si="347"/>
        <v>12060</v>
      </c>
      <c r="C2429" s="14">
        <f t="shared" si="348"/>
        <v>201</v>
      </c>
      <c r="D2429" s="11">
        <f t="shared" si="349"/>
        <v>1126.2618352141651</v>
      </c>
      <c r="E2429" s="24">
        <f t="shared" si="350"/>
        <v>1125.1520147526139</v>
      </c>
      <c r="F2429" s="24">
        <f t="shared" si="343"/>
        <v>27.74551153877951</v>
      </c>
      <c r="G2429" s="14">
        <f t="shared" si="344"/>
        <v>482.14099673332208</v>
      </c>
      <c r="H2429" s="24">
        <f t="shared" si="351"/>
        <v>650</v>
      </c>
      <c r="I2429" s="12">
        <f t="shared" si="345"/>
        <v>6.2673654252693403E-2</v>
      </c>
      <c r="J2429" s="3">
        <f t="shared" si="346"/>
        <v>0.7</v>
      </c>
    </row>
    <row r="2430" spans="2:10" x14ac:dyDescent="0.25">
      <c r="B2430" s="3">
        <f t="shared" si="347"/>
        <v>12065</v>
      </c>
      <c r="C2430" s="14">
        <f t="shared" si="348"/>
        <v>201.08333333333334</v>
      </c>
      <c r="D2430" s="11">
        <f t="shared" si="349"/>
        <v>1126.3239029848357</v>
      </c>
      <c r="E2430" s="24">
        <f t="shared" si="350"/>
        <v>1125.2146884068666</v>
      </c>
      <c r="F2430" s="24">
        <f t="shared" si="343"/>
        <v>27.730364449229228</v>
      </c>
      <c r="G2430" s="14">
        <f t="shared" si="344"/>
        <v>481.94224783025766</v>
      </c>
      <c r="H2430" s="24">
        <f t="shared" si="351"/>
        <v>650</v>
      </c>
      <c r="I2430" s="12">
        <f t="shared" si="345"/>
        <v>6.2647362826523695E-2</v>
      </c>
      <c r="J2430" s="3">
        <f t="shared" si="346"/>
        <v>0.7</v>
      </c>
    </row>
    <row r="2431" spans="2:10" x14ac:dyDescent="0.25">
      <c r="B2431" s="3">
        <f t="shared" si="347"/>
        <v>12070</v>
      </c>
      <c r="C2431" s="14">
        <f t="shared" si="348"/>
        <v>201.16666666666666</v>
      </c>
      <c r="D2431" s="11">
        <f t="shared" si="349"/>
        <v>1126.3859450545656</v>
      </c>
      <c r="E2431" s="24">
        <f t="shared" si="350"/>
        <v>1125.2773357696931</v>
      </c>
      <c r="F2431" s="24">
        <f t="shared" si="343"/>
        <v>27.715232121812505</v>
      </c>
      <c r="G2431" s="14">
        <f t="shared" si="344"/>
        <v>481.74366398288385</v>
      </c>
      <c r="H2431" s="24">
        <f t="shared" si="351"/>
        <v>650</v>
      </c>
      <c r="I2431" s="12">
        <f t="shared" si="345"/>
        <v>6.2621093502998298E-2</v>
      </c>
      <c r="J2431" s="3">
        <f t="shared" si="346"/>
        <v>0.7</v>
      </c>
    </row>
    <row r="2432" spans="2:10" x14ac:dyDescent="0.25">
      <c r="B2432" s="3">
        <f t="shared" si="347"/>
        <v>12075</v>
      </c>
      <c r="C2432" s="14">
        <f t="shared" si="348"/>
        <v>201.25</v>
      </c>
      <c r="D2432" s="11">
        <f t="shared" si="349"/>
        <v>1126.44796144463</v>
      </c>
      <c r="E2432" s="24">
        <f t="shared" si="350"/>
        <v>1125.339956863196</v>
      </c>
      <c r="F2432" s="24">
        <f t="shared" si="343"/>
        <v>27.700114535849707</v>
      </c>
      <c r="G2432" s="14">
        <f t="shared" si="344"/>
        <v>481.5452449846498</v>
      </c>
      <c r="H2432" s="24">
        <f t="shared" si="351"/>
        <v>650</v>
      </c>
      <c r="I2432" s="12">
        <f t="shared" si="345"/>
        <v>6.2594846254186792E-2</v>
      </c>
      <c r="J2432" s="3">
        <f t="shared" si="346"/>
        <v>0.7</v>
      </c>
    </row>
    <row r="2433" spans="2:10" x14ac:dyDescent="0.25">
      <c r="B2433" s="3">
        <f t="shared" si="347"/>
        <v>12080</v>
      </c>
      <c r="C2433" s="14">
        <f t="shared" si="348"/>
        <v>201.33333333333334</v>
      </c>
      <c r="D2433" s="11">
        <f t="shared" si="349"/>
        <v>1126.5099521762784</v>
      </c>
      <c r="E2433" s="24">
        <f t="shared" si="350"/>
        <v>1125.4025517094501</v>
      </c>
      <c r="F2433" s="24">
        <f t="shared" si="343"/>
        <v>27.685011670706672</v>
      </c>
      <c r="G2433" s="14">
        <f t="shared" si="344"/>
        <v>481.34699062945054</v>
      </c>
      <c r="H2433" s="24">
        <f t="shared" si="351"/>
        <v>650</v>
      </c>
      <c r="I2433" s="12">
        <f t="shared" si="345"/>
        <v>6.2568621052219067E-2</v>
      </c>
      <c r="J2433" s="3">
        <f t="shared" si="346"/>
        <v>0.7</v>
      </c>
    </row>
    <row r="2434" spans="2:10" x14ac:dyDescent="0.25">
      <c r="B2434" s="3">
        <f t="shared" si="347"/>
        <v>12085</v>
      </c>
      <c r="C2434" s="14">
        <f t="shared" si="348"/>
        <v>201.41666666666666</v>
      </c>
      <c r="D2434" s="11">
        <f t="shared" si="349"/>
        <v>1126.5719172707334</v>
      </c>
      <c r="E2434" s="24">
        <f t="shared" si="350"/>
        <v>1125.4651203305023</v>
      </c>
      <c r="F2434" s="24">
        <f t="shared" si="343"/>
        <v>27.66992350577766</v>
      </c>
      <c r="G2434" s="14">
        <f t="shared" si="344"/>
        <v>481.14890071154917</v>
      </c>
      <c r="H2434" s="24">
        <f t="shared" si="351"/>
        <v>650</v>
      </c>
      <c r="I2434" s="12">
        <f t="shared" si="345"/>
        <v>6.2542417869273836E-2</v>
      </c>
      <c r="J2434" s="3">
        <f t="shared" si="346"/>
        <v>0.7</v>
      </c>
    </row>
    <row r="2435" spans="2:10" x14ac:dyDescent="0.25">
      <c r="B2435" s="3">
        <f t="shared" si="347"/>
        <v>12090</v>
      </c>
      <c r="C2435" s="14">
        <f t="shared" si="348"/>
        <v>201.5</v>
      </c>
      <c r="D2435" s="11">
        <f t="shared" si="349"/>
        <v>1126.6338567491916</v>
      </c>
      <c r="E2435" s="24">
        <f t="shared" si="350"/>
        <v>1125.5276627483715</v>
      </c>
      <c r="F2435" s="24">
        <f t="shared" si="343"/>
        <v>27.654850020502408</v>
      </c>
      <c r="G2435" s="14">
        <f t="shared" si="344"/>
        <v>480.9509750254802</v>
      </c>
      <c r="H2435" s="24">
        <f t="shared" si="351"/>
        <v>650</v>
      </c>
      <c r="I2435" s="12">
        <f t="shared" si="345"/>
        <v>6.2516236677568685E-2</v>
      </c>
      <c r="J2435" s="3">
        <f t="shared" si="346"/>
        <v>0.7</v>
      </c>
    </row>
    <row r="2436" spans="2:10" x14ac:dyDescent="0.25">
      <c r="B2436" s="3">
        <f t="shared" si="347"/>
        <v>12095</v>
      </c>
      <c r="C2436" s="14">
        <f t="shared" si="348"/>
        <v>201.58333333333334</v>
      </c>
      <c r="D2436" s="11">
        <f t="shared" si="349"/>
        <v>1126.6957706328233</v>
      </c>
      <c r="E2436" s="24">
        <f t="shared" si="350"/>
        <v>1125.5901789850491</v>
      </c>
      <c r="F2436" s="24">
        <f t="shared" si="343"/>
        <v>27.639791194354757</v>
      </c>
      <c r="G2436" s="14">
        <f t="shared" si="344"/>
        <v>480.75321336612694</v>
      </c>
      <c r="H2436" s="24">
        <f t="shared" si="351"/>
        <v>650</v>
      </c>
      <c r="I2436" s="12">
        <f t="shared" si="345"/>
        <v>6.2490077449368332E-2</v>
      </c>
      <c r="J2436" s="3">
        <f t="shared" si="346"/>
        <v>0.7</v>
      </c>
    </row>
    <row r="2437" spans="2:10" x14ac:dyDescent="0.25">
      <c r="B2437" s="3">
        <f t="shared" si="347"/>
        <v>12100</v>
      </c>
      <c r="C2437" s="14">
        <f t="shared" si="348"/>
        <v>201.66666666666666</v>
      </c>
      <c r="D2437" s="11">
        <f t="shared" si="349"/>
        <v>1126.7576589427724</v>
      </c>
      <c r="E2437" s="24">
        <f t="shared" si="350"/>
        <v>1125.6526690624985</v>
      </c>
      <c r="F2437" s="24">
        <f t="shared" si="343"/>
        <v>27.624747006848338</v>
      </c>
      <c r="G2437" s="14">
        <f t="shared" si="344"/>
        <v>480.55561552887656</v>
      </c>
      <c r="H2437" s="24">
        <f t="shared" si="351"/>
        <v>650</v>
      </c>
      <c r="I2437" s="12">
        <f t="shared" si="345"/>
        <v>6.2463940157004266E-2</v>
      </c>
      <c r="J2437" s="3">
        <f t="shared" si="346"/>
        <v>0.7</v>
      </c>
    </row>
    <row r="2438" spans="2:10" x14ac:dyDescent="0.25">
      <c r="B2438" s="3">
        <f t="shared" si="347"/>
        <v>12105</v>
      </c>
      <c r="C2438" s="14">
        <f t="shared" si="348"/>
        <v>201.75</v>
      </c>
      <c r="D2438" s="11">
        <f t="shared" si="349"/>
        <v>1126.8195217001569</v>
      </c>
      <c r="E2438" s="24">
        <f t="shared" si="350"/>
        <v>1125.7151330026554</v>
      </c>
      <c r="F2438" s="24">
        <f t="shared" si="343"/>
        <v>27.609717437536574</v>
      </c>
      <c r="G2438" s="14">
        <f t="shared" si="344"/>
        <v>480.35818130936826</v>
      </c>
      <c r="H2438" s="24">
        <f t="shared" si="351"/>
        <v>650</v>
      </c>
      <c r="I2438" s="12">
        <f t="shared" si="345"/>
        <v>6.2437824772843875E-2</v>
      </c>
      <c r="J2438" s="3">
        <f t="shared" si="346"/>
        <v>0.7</v>
      </c>
    </row>
    <row r="2439" spans="2:10" x14ac:dyDescent="0.25">
      <c r="B2439" s="3">
        <f t="shared" si="347"/>
        <v>12110</v>
      </c>
      <c r="C2439" s="14">
        <f t="shared" si="348"/>
        <v>201.83333333333334</v>
      </c>
      <c r="D2439" s="11">
        <f t="shared" si="349"/>
        <v>1126.8813589260683</v>
      </c>
      <c r="E2439" s="24">
        <f t="shared" si="350"/>
        <v>1125.7775708274282</v>
      </c>
      <c r="F2439" s="24">
        <f t="shared" si="343"/>
        <v>27.594702466001308</v>
      </c>
      <c r="G2439" s="14">
        <f t="shared" si="344"/>
        <v>480.16091050339617</v>
      </c>
      <c r="H2439" s="24">
        <f t="shared" si="351"/>
        <v>650</v>
      </c>
      <c r="I2439" s="12">
        <f t="shared" si="345"/>
        <v>6.2411731269277078E-2</v>
      </c>
      <c r="J2439" s="3">
        <f t="shared" si="346"/>
        <v>0.7</v>
      </c>
    </row>
    <row r="2440" spans="2:10" x14ac:dyDescent="0.25">
      <c r="B2440" s="3">
        <f t="shared" si="347"/>
        <v>12115</v>
      </c>
      <c r="C2440" s="14">
        <f t="shared" si="348"/>
        <v>201.91666666666666</v>
      </c>
      <c r="D2440" s="11">
        <f t="shared" si="349"/>
        <v>1126.9431706415721</v>
      </c>
      <c r="E2440" s="24">
        <f t="shared" si="350"/>
        <v>1125.8399825586976</v>
      </c>
      <c r="F2440" s="24">
        <f t="shared" si="343"/>
        <v>27.579702071864176</v>
      </c>
      <c r="G2440" s="14">
        <f t="shared" si="344"/>
        <v>479.96380290727774</v>
      </c>
      <c r="H2440" s="24">
        <f t="shared" si="351"/>
        <v>650</v>
      </c>
      <c r="I2440" s="12">
        <f t="shared" si="345"/>
        <v>6.2385659618763002E-2</v>
      </c>
      <c r="J2440" s="3">
        <f t="shared" si="346"/>
        <v>0.7</v>
      </c>
    </row>
    <row r="2441" spans="2:10" x14ac:dyDescent="0.25">
      <c r="B2441" s="3">
        <f t="shared" si="347"/>
        <v>12120</v>
      </c>
      <c r="C2441" s="14">
        <f t="shared" si="348"/>
        <v>202</v>
      </c>
      <c r="D2441" s="11">
        <f t="shared" si="349"/>
        <v>1127.0049568677084</v>
      </c>
      <c r="E2441" s="24">
        <f t="shared" si="350"/>
        <v>1125.9023682183163</v>
      </c>
      <c r="F2441" s="24">
        <f t="shared" si="343"/>
        <v>27.564716234803655</v>
      </c>
      <c r="G2441" s="14">
        <f t="shared" si="344"/>
        <v>479.76685831796993</v>
      </c>
      <c r="H2441" s="24">
        <f t="shared" si="351"/>
        <v>650</v>
      </c>
      <c r="I2441" s="12">
        <f t="shared" si="345"/>
        <v>6.2359609793846388E-2</v>
      </c>
      <c r="J2441" s="3">
        <f t="shared" si="346"/>
        <v>0.7</v>
      </c>
    </row>
    <row r="2442" spans="2:10" x14ac:dyDescent="0.25">
      <c r="B2442" s="3">
        <f t="shared" si="347"/>
        <v>12125</v>
      </c>
      <c r="C2442" s="14">
        <f t="shared" si="348"/>
        <v>202.08333333333334</v>
      </c>
      <c r="D2442" s="11">
        <f t="shared" si="349"/>
        <v>1127.0667176254899</v>
      </c>
      <c r="E2442" s="24">
        <f t="shared" si="350"/>
        <v>1125.9647278281102</v>
      </c>
      <c r="F2442" s="24">
        <f t="shared" si="343"/>
        <v>27.549744934492537</v>
      </c>
      <c r="G2442" s="14">
        <f t="shared" si="344"/>
        <v>479.57007653192585</v>
      </c>
      <c r="H2442" s="24">
        <f t="shared" si="351"/>
        <v>650</v>
      </c>
      <c r="I2442" s="12">
        <f t="shared" si="345"/>
        <v>6.2333581767009316E-2</v>
      </c>
      <c r="J2442" s="3">
        <f t="shared" si="346"/>
        <v>0.7</v>
      </c>
    </row>
    <row r="2443" spans="2:10" x14ac:dyDescent="0.25">
      <c r="B2443" s="3">
        <f t="shared" si="347"/>
        <v>12130</v>
      </c>
      <c r="C2443" s="14">
        <f t="shared" si="348"/>
        <v>202.16666666666666</v>
      </c>
      <c r="D2443" s="11">
        <f t="shared" si="349"/>
        <v>1127.1284529359045</v>
      </c>
      <c r="E2443" s="24">
        <f t="shared" si="350"/>
        <v>1126.0270614098772</v>
      </c>
      <c r="F2443" s="24">
        <f t="shared" si="343"/>
        <v>27.534788150683198</v>
      </c>
      <c r="G2443" s="14">
        <f t="shared" si="344"/>
        <v>479.37345734680008</v>
      </c>
      <c r="H2443" s="24">
        <f t="shared" si="351"/>
        <v>650</v>
      </c>
      <c r="I2443" s="12">
        <f t="shared" si="345"/>
        <v>6.2307575510891354E-2</v>
      </c>
      <c r="J2443" s="3">
        <f t="shared" si="346"/>
        <v>0.7</v>
      </c>
    </row>
    <row r="2444" spans="2:10" x14ac:dyDescent="0.25">
      <c r="B2444" s="3">
        <f t="shared" si="347"/>
        <v>12135</v>
      </c>
      <c r="C2444" s="14">
        <f t="shared" si="348"/>
        <v>202.25</v>
      </c>
      <c r="D2444" s="11">
        <f t="shared" si="349"/>
        <v>1127.1901628199139</v>
      </c>
      <c r="E2444" s="24">
        <f t="shared" si="350"/>
        <v>1126.0893689853881</v>
      </c>
      <c r="F2444" s="24">
        <f t="shared" si="343"/>
        <v>27.519845863145065</v>
      </c>
      <c r="G2444" s="14">
        <f t="shared" si="344"/>
        <v>479.17700056020857</v>
      </c>
      <c r="H2444" s="24">
        <f t="shared" si="351"/>
        <v>650</v>
      </c>
      <c r="I2444" s="12">
        <f t="shared" si="345"/>
        <v>6.2281590998129403E-2</v>
      </c>
      <c r="J2444" s="3">
        <f t="shared" si="346"/>
        <v>0.7</v>
      </c>
    </row>
    <row r="2445" spans="2:10" x14ac:dyDescent="0.25">
      <c r="B2445" s="3">
        <f t="shared" si="347"/>
        <v>12140</v>
      </c>
      <c r="C2445" s="14">
        <f t="shared" si="348"/>
        <v>202.33333333333334</v>
      </c>
      <c r="D2445" s="11">
        <f t="shared" si="349"/>
        <v>1127.2518472984534</v>
      </c>
      <c r="E2445" s="24">
        <f t="shared" si="350"/>
        <v>1126.1516505763861</v>
      </c>
      <c r="F2445" s="24">
        <f t="shared" si="343"/>
        <v>27.50491805168167</v>
      </c>
      <c r="G2445" s="14">
        <f t="shared" si="344"/>
        <v>478.98070597001913</v>
      </c>
      <c r="H2445" s="24">
        <f t="shared" si="351"/>
        <v>650</v>
      </c>
      <c r="I2445" s="12">
        <f t="shared" si="345"/>
        <v>6.2255628201395533E-2</v>
      </c>
      <c r="J2445" s="3">
        <f t="shared" si="346"/>
        <v>0.7</v>
      </c>
    </row>
    <row r="2446" spans="2:10" x14ac:dyDescent="0.25">
      <c r="B2446" s="3">
        <f t="shared" si="347"/>
        <v>12145</v>
      </c>
      <c r="C2446" s="14">
        <f t="shared" si="348"/>
        <v>202.41666666666666</v>
      </c>
      <c r="D2446" s="11">
        <f t="shared" si="349"/>
        <v>1127.3135063924335</v>
      </c>
      <c r="E2446" s="24">
        <f t="shared" si="350"/>
        <v>1126.2139062045876</v>
      </c>
      <c r="F2446" s="24">
        <f t="shared" si="343"/>
        <v>27.490004696147707</v>
      </c>
      <c r="G2446" s="14">
        <f t="shared" si="344"/>
        <v>478.78457337471974</v>
      </c>
      <c r="H2446" s="24">
        <f t="shared" si="351"/>
        <v>650</v>
      </c>
      <c r="I2446" s="12">
        <f t="shared" si="345"/>
        <v>6.2229687093444307E-2</v>
      </c>
      <c r="J2446" s="3">
        <f t="shared" si="346"/>
        <v>0.7</v>
      </c>
    </row>
    <row r="2447" spans="2:10" x14ac:dyDescent="0.25">
      <c r="B2447" s="3">
        <f t="shared" si="347"/>
        <v>12150</v>
      </c>
      <c r="C2447" s="14">
        <f t="shared" si="348"/>
        <v>202.5</v>
      </c>
      <c r="D2447" s="11">
        <f t="shared" si="349"/>
        <v>1127.3751401227375</v>
      </c>
      <c r="E2447" s="24">
        <f t="shared" si="350"/>
        <v>1126.276135891681</v>
      </c>
      <c r="F2447" s="24">
        <f t="shared" si="343"/>
        <v>27.475105776414921</v>
      </c>
      <c r="G2447" s="14">
        <f t="shared" si="344"/>
        <v>478.58860257277894</v>
      </c>
      <c r="H2447" s="24">
        <f t="shared" si="351"/>
        <v>650</v>
      </c>
      <c r="I2447" s="12">
        <f t="shared" si="345"/>
        <v>6.2203767647030006E-2</v>
      </c>
      <c r="J2447" s="3">
        <f t="shared" si="346"/>
        <v>0.7</v>
      </c>
    </row>
    <row r="2448" spans="2:10" x14ac:dyDescent="0.25">
      <c r="B2448" s="3">
        <f t="shared" si="347"/>
        <v>12155</v>
      </c>
      <c r="C2448" s="14">
        <f t="shared" si="348"/>
        <v>202.58333333333334</v>
      </c>
      <c r="D2448" s="11">
        <f t="shared" si="349"/>
        <v>1127.4367485102243</v>
      </c>
      <c r="E2448" s="24">
        <f t="shared" si="350"/>
        <v>1126.3383396593281</v>
      </c>
      <c r="F2448" s="24">
        <f t="shared" si="343"/>
        <v>27.460221272406216</v>
      </c>
      <c r="G2448" s="14">
        <f t="shared" si="344"/>
        <v>478.39279336324682</v>
      </c>
      <c r="H2448" s="24">
        <f t="shared" si="351"/>
        <v>650</v>
      </c>
      <c r="I2448" s="12">
        <f t="shared" si="345"/>
        <v>6.2177869834984689E-2</v>
      </c>
      <c r="J2448" s="3">
        <f t="shared" si="346"/>
        <v>0.7</v>
      </c>
    </row>
    <row r="2449" spans="2:10" x14ac:dyDescent="0.25">
      <c r="B2449" s="3">
        <f t="shared" si="347"/>
        <v>12160</v>
      </c>
      <c r="C2449" s="14">
        <f t="shared" si="348"/>
        <v>202.66666666666666</v>
      </c>
      <c r="D2449" s="11">
        <f t="shared" si="349"/>
        <v>1127.4983315757261</v>
      </c>
      <c r="E2449" s="24">
        <f t="shared" si="350"/>
        <v>1126.4005175291632</v>
      </c>
      <c r="F2449" s="24">
        <f t="shared" ref="F2449:F2512" si="352">AlphaC*(D2449-E2449)</f>
        <v>27.445351164072918</v>
      </c>
      <c r="G2449" s="14">
        <f t="shared" ref="G2449:G2512" si="353">Phi*EpsilonF*Botzman/10^8*J2449*((D2449+273)^4-(E2449+273)^4)</f>
        <v>478.19714554544464</v>
      </c>
      <c r="H2449" s="24">
        <f t="shared" si="351"/>
        <v>650</v>
      </c>
      <c r="I2449" s="12">
        <f t="shared" ref="I2449:I2512" si="354">ksh*Massivete/(H2449*RhoA)*DeltaT*(F2449+G2449)</f>
        <v>6.2151993630177232E-2</v>
      </c>
      <c r="J2449" s="3">
        <f t="shared" ref="J2449:J2512" si="355">IF(E2449&lt;=500,IF(Galva=Oui,0.35,0.7),0.7)</f>
        <v>0.7</v>
      </c>
    </row>
    <row r="2450" spans="2:10" x14ac:dyDescent="0.25">
      <c r="B2450" s="3">
        <f t="shared" ref="B2450:B2513" si="356">B2449+DeltaT</f>
        <v>12165</v>
      </c>
      <c r="C2450" s="14">
        <f t="shared" ref="C2450:C2513" si="357">B2450/60</f>
        <v>202.75</v>
      </c>
      <c r="D2450" s="11">
        <f t="shared" ref="D2450:D2513" si="358">20+345*LOG(8*C2450+1,10)</f>
        <v>1127.5598893400497</v>
      </c>
      <c r="E2450" s="24">
        <f t="shared" si="350"/>
        <v>1126.4626695227932</v>
      </c>
      <c r="F2450" s="24">
        <f t="shared" si="352"/>
        <v>27.430495431411828</v>
      </c>
      <c r="G2450" s="14">
        <f t="shared" si="353"/>
        <v>478.00165891908131</v>
      </c>
      <c r="H2450" s="24">
        <f t="shared" si="351"/>
        <v>650</v>
      </c>
      <c r="I2450" s="12">
        <f t="shared" si="354"/>
        <v>6.2126139005529747E-2</v>
      </c>
      <c r="J2450" s="3">
        <f t="shared" si="355"/>
        <v>0.7</v>
      </c>
    </row>
    <row r="2451" spans="2:10" x14ac:dyDescent="0.25">
      <c r="B2451" s="3">
        <f t="shared" si="356"/>
        <v>12170</v>
      </c>
      <c r="C2451" s="14">
        <f t="shared" si="357"/>
        <v>202.83333333333334</v>
      </c>
      <c r="D2451" s="11">
        <f t="shared" si="358"/>
        <v>1127.621421823977</v>
      </c>
      <c r="E2451" s="24">
        <f t="shared" si="350"/>
        <v>1126.5247956617989</v>
      </c>
      <c r="F2451" s="24">
        <f t="shared" si="352"/>
        <v>27.415654054453853</v>
      </c>
      <c r="G2451" s="14">
        <f t="shared" si="353"/>
        <v>477.80633328421459</v>
      </c>
      <c r="H2451" s="24">
        <f t="shared" si="351"/>
        <v>650</v>
      </c>
      <c r="I2451" s="12">
        <f t="shared" si="354"/>
        <v>6.2100305934011418E-2</v>
      </c>
      <c r="J2451" s="3">
        <f t="shared" si="355"/>
        <v>0.7</v>
      </c>
    </row>
    <row r="2452" spans="2:10" x14ac:dyDescent="0.25">
      <c r="B2452" s="3">
        <f t="shared" si="356"/>
        <v>12175</v>
      </c>
      <c r="C2452" s="14">
        <f t="shared" si="357"/>
        <v>202.91666666666666</v>
      </c>
      <c r="D2452" s="11">
        <f t="shared" si="358"/>
        <v>1127.6829290482631</v>
      </c>
      <c r="E2452" s="24">
        <f t="shared" si="350"/>
        <v>1126.586895967733</v>
      </c>
      <c r="F2452" s="24">
        <f t="shared" si="352"/>
        <v>27.400827013252638</v>
      </c>
      <c r="G2452" s="14">
        <f t="shared" si="353"/>
        <v>477.61116844101849</v>
      </c>
      <c r="H2452" s="24">
        <f t="shared" si="351"/>
        <v>650</v>
      </c>
      <c r="I2452" s="12">
        <f t="shared" si="354"/>
        <v>6.2074494388608528E-2</v>
      </c>
      <c r="J2452" s="3">
        <f t="shared" si="355"/>
        <v>0.7</v>
      </c>
    </row>
    <row r="2453" spans="2:10" x14ac:dyDescent="0.25">
      <c r="B2453" s="3">
        <f t="shared" si="356"/>
        <v>12180</v>
      </c>
      <c r="C2453" s="14">
        <f t="shared" si="357"/>
        <v>203</v>
      </c>
      <c r="D2453" s="11">
        <f t="shared" si="358"/>
        <v>1127.744411033638</v>
      </c>
      <c r="E2453" s="24">
        <f t="shared" si="350"/>
        <v>1126.6489704621215</v>
      </c>
      <c r="F2453" s="24">
        <f t="shared" si="352"/>
        <v>27.386014287912985</v>
      </c>
      <c r="G2453" s="14">
        <f t="shared" si="353"/>
        <v>477.41616419019033</v>
      </c>
      <c r="H2453" s="24">
        <f t="shared" si="351"/>
        <v>650</v>
      </c>
      <c r="I2453" s="12">
        <f t="shared" si="354"/>
        <v>6.2048704342377942E-2</v>
      </c>
      <c r="J2453" s="3">
        <f t="shared" si="355"/>
        <v>0.7</v>
      </c>
    </row>
    <row r="2454" spans="2:10" x14ac:dyDescent="0.25">
      <c r="B2454" s="3">
        <f t="shared" si="356"/>
        <v>12185</v>
      </c>
      <c r="C2454" s="14">
        <f t="shared" si="357"/>
        <v>203.08333333333334</v>
      </c>
      <c r="D2454" s="11">
        <f t="shared" si="358"/>
        <v>1127.8058678008067</v>
      </c>
      <c r="E2454" s="24">
        <f t="shared" si="350"/>
        <v>1126.711019166464</v>
      </c>
      <c r="F2454" s="24">
        <f t="shared" si="352"/>
        <v>27.371215858568121</v>
      </c>
      <c r="G2454" s="14">
        <f t="shared" si="353"/>
        <v>477.22132033271805</v>
      </c>
      <c r="H2454" s="24">
        <f t="shared" si="351"/>
        <v>650</v>
      </c>
      <c r="I2454" s="12">
        <f t="shared" si="354"/>
        <v>6.2022935768415777E-2</v>
      </c>
      <c r="J2454" s="3">
        <f t="shared" si="355"/>
        <v>0.7</v>
      </c>
    </row>
    <row r="2455" spans="2:10" x14ac:dyDescent="0.25">
      <c r="B2455" s="3">
        <f t="shared" si="356"/>
        <v>12190</v>
      </c>
      <c r="C2455" s="14">
        <f t="shared" si="357"/>
        <v>203.16666666666666</v>
      </c>
      <c r="D2455" s="11">
        <f t="shared" si="358"/>
        <v>1127.8672993704481</v>
      </c>
      <c r="E2455" s="24">
        <f t="shared" si="350"/>
        <v>1126.7730421022325</v>
      </c>
      <c r="F2455" s="24">
        <f t="shared" si="352"/>
        <v>27.35643170539106</v>
      </c>
      <c r="G2455" s="14">
        <f t="shared" si="353"/>
        <v>477.02663666991913</v>
      </c>
      <c r="H2455" s="24">
        <f t="shared" si="351"/>
        <v>650</v>
      </c>
      <c r="I2455" s="12">
        <f t="shared" si="354"/>
        <v>6.1997188639863511E-2</v>
      </c>
      <c r="J2455" s="3">
        <f t="shared" si="355"/>
        <v>0.7</v>
      </c>
    </row>
    <row r="2456" spans="2:10" x14ac:dyDescent="0.25">
      <c r="B2456" s="3">
        <f t="shared" si="356"/>
        <v>12195</v>
      </c>
      <c r="C2456" s="14">
        <f t="shared" si="357"/>
        <v>203.25</v>
      </c>
      <c r="D2456" s="11">
        <f t="shared" si="358"/>
        <v>1127.9287057632162</v>
      </c>
      <c r="E2456" s="24">
        <f t="shared" si="350"/>
        <v>1126.8350392908724</v>
      </c>
      <c r="F2456" s="24">
        <f t="shared" si="352"/>
        <v>27.341661808594608</v>
      </c>
      <c r="G2456" s="14">
        <f t="shared" si="353"/>
        <v>476.83211300347921</v>
      </c>
      <c r="H2456" s="24">
        <f t="shared" si="351"/>
        <v>650</v>
      </c>
      <c r="I2456" s="12">
        <f t="shared" si="354"/>
        <v>6.1971462929912798E-2</v>
      </c>
      <c r="J2456" s="3">
        <f t="shared" si="355"/>
        <v>0.7</v>
      </c>
    </row>
    <row r="2457" spans="2:10" x14ac:dyDescent="0.25">
      <c r="B2457" s="3">
        <f t="shared" si="356"/>
        <v>12200</v>
      </c>
      <c r="C2457" s="14">
        <f t="shared" si="357"/>
        <v>203.33333333333334</v>
      </c>
      <c r="D2457" s="11">
        <f t="shared" si="358"/>
        <v>1127.9900869997391</v>
      </c>
      <c r="E2457" s="24">
        <f t="shared" si="350"/>
        <v>1126.8970107538023</v>
      </c>
      <c r="F2457" s="24">
        <f t="shared" si="352"/>
        <v>27.326906148419994</v>
      </c>
      <c r="G2457" s="14">
        <f t="shared" si="353"/>
        <v>476.6377491354134</v>
      </c>
      <c r="H2457" s="24">
        <f t="shared" si="351"/>
        <v>650</v>
      </c>
      <c r="I2457" s="12">
        <f t="shared" si="354"/>
        <v>6.1945758611799261E-2</v>
      </c>
      <c r="J2457" s="3">
        <f t="shared" si="355"/>
        <v>0.7</v>
      </c>
    </row>
    <row r="2458" spans="2:10" x14ac:dyDescent="0.25">
      <c r="B2458" s="3">
        <f t="shared" si="356"/>
        <v>12205</v>
      </c>
      <c r="C2458" s="14">
        <f t="shared" si="357"/>
        <v>203.41666666666666</v>
      </c>
      <c r="D2458" s="11">
        <f t="shared" si="358"/>
        <v>1128.0514431006195</v>
      </c>
      <c r="E2458" s="24">
        <f t="shared" si="350"/>
        <v>1126.958956512414</v>
      </c>
      <c r="F2458" s="24">
        <f t="shared" si="352"/>
        <v>27.312164705136865</v>
      </c>
      <c r="G2458" s="14">
        <f t="shared" si="353"/>
        <v>476.44354486779497</v>
      </c>
      <c r="H2458" s="24">
        <f t="shared" si="351"/>
        <v>650</v>
      </c>
      <c r="I2458" s="12">
        <f t="shared" si="354"/>
        <v>6.1920075658769176E-2</v>
      </c>
      <c r="J2458" s="3">
        <f t="shared" si="355"/>
        <v>0.7</v>
      </c>
    </row>
    <row r="2459" spans="2:10" x14ac:dyDescent="0.25">
      <c r="B2459" s="3">
        <f t="shared" si="356"/>
        <v>12210</v>
      </c>
      <c r="C2459" s="14">
        <f t="shared" si="357"/>
        <v>203.5</v>
      </c>
      <c r="D2459" s="11">
        <f t="shared" si="358"/>
        <v>1128.1127740864358</v>
      </c>
      <c r="E2459" s="24">
        <f t="shared" si="350"/>
        <v>1127.0208765880727</v>
      </c>
      <c r="F2459" s="24">
        <f t="shared" si="352"/>
        <v>27.2974374590774</v>
      </c>
      <c r="G2459" s="14">
        <f t="shared" si="353"/>
        <v>476.24950000360803</v>
      </c>
      <c r="H2459" s="24">
        <f t="shared" si="351"/>
        <v>650</v>
      </c>
      <c r="I2459" s="12">
        <f t="shared" si="354"/>
        <v>6.1894414044188453E-2</v>
      </c>
      <c r="J2459" s="3">
        <f t="shared" si="355"/>
        <v>0.7</v>
      </c>
    </row>
    <row r="2460" spans="2:10" x14ac:dyDescent="0.25">
      <c r="B2460" s="3">
        <f t="shared" si="356"/>
        <v>12215</v>
      </c>
      <c r="C2460" s="14">
        <f t="shared" si="357"/>
        <v>203.58333333333334</v>
      </c>
      <c r="D2460" s="11">
        <f t="shared" si="358"/>
        <v>1128.1740799777397</v>
      </c>
      <c r="E2460" s="24">
        <f t="shared" si="350"/>
        <v>1127.0827710021169</v>
      </c>
      <c r="F2460" s="24">
        <f t="shared" si="352"/>
        <v>27.282724390568092</v>
      </c>
      <c r="G2460" s="14">
        <f t="shared" si="353"/>
        <v>476.05561434531342</v>
      </c>
      <c r="H2460" s="24">
        <f t="shared" si="351"/>
        <v>650</v>
      </c>
      <c r="I2460" s="12">
        <f t="shared" si="354"/>
        <v>6.1868773741357998E-2</v>
      </c>
      <c r="J2460" s="3">
        <f t="shared" si="355"/>
        <v>0.7</v>
      </c>
    </row>
    <row r="2461" spans="2:10" x14ac:dyDescent="0.25">
      <c r="B2461" s="3">
        <f t="shared" si="356"/>
        <v>12220</v>
      </c>
      <c r="C2461" s="14">
        <f t="shared" si="357"/>
        <v>203.66666666666666</v>
      </c>
      <c r="D2461" s="11">
        <f t="shared" si="358"/>
        <v>1128.2353607950588</v>
      </c>
      <c r="E2461" s="24">
        <f t="shared" si="350"/>
        <v>1127.1446397758582</v>
      </c>
      <c r="F2461" s="24">
        <f t="shared" si="352"/>
        <v>27.268025480015012</v>
      </c>
      <c r="G2461" s="14">
        <f t="shared" si="353"/>
        <v>475.86188769663175</v>
      </c>
      <c r="H2461" s="24">
        <f t="shared" si="351"/>
        <v>650</v>
      </c>
      <c r="I2461" s="12">
        <f t="shared" si="354"/>
        <v>6.1843154723743334E-2</v>
      </c>
      <c r="J2461" s="3">
        <f t="shared" si="355"/>
        <v>0.7</v>
      </c>
    </row>
    <row r="2462" spans="2:10" x14ac:dyDescent="0.25">
      <c r="B2462" s="3">
        <f t="shared" si="356"/>
        <v>12225</v>
      </c>
      <c r="C2462" s="14">
        <f t="shared" si="357"/>
        <v>203.75</v>
      </c>
      <c r="D2462" s="11">
        <f t="shared" si="358"/>
        <v>1128.296616558895</v>
      </c>
      <c r="E2462" s="24">
        <f t="shared" si="350"/>
        <v>1127.2064829305818</v>
      </c>
      <c r="F2462" s="24">
        <f t="shared" si="352"/>
        <v>27.253340707829921</v>
      </c>
      <c r="G2462" s="14">
        <f t="shared" si="353"/>
        <v>475.66831986099277</v>
      </c>
      <c r="H2462" s="24">
        <f t="shared" si="351"/>
        <v>650</v>
      </c>
      <c r="I2462" s="12">
        <f t="shared" si="354"/>
        <v>6.1817556964774936E-2</v>
      </c>
      <c r="J2462" s="3">
        <f t="shared" si="355"/>
        <v>0.7</v>
      </c>
    </row>
    <row r="2463" spans="2:10" x14ac:dyDescent="0.25">
      <c r="B2463" s="3">
        <f t="shared" si="356"/>
        <v>12230</v>
      </c>
      <c r="C2463" s="14">
        <f t="shared" si="357"/>
        <v>203.83333333333334</v>
      </c>
      <c r="D2463" s="11">
        <f t="shared" si="358"/>
        <v>1128.3578472897254</v>
      </c>
      <c r="E2463" s="24">
        <f t="shared" si="350"/>
        <v>1127.2683004875466</v>
      </c>
      <c r="F2463" s="24">
        <f t="shared" si="352"/>
        <v>27.238670054470049</v>
      </c>
      <c r="G2463" s="14">
        <f t="shared" si="353"/>
        <v>475.47491064233026</v>
      </c>
      <c r="H2463" s="24">
        <f t="shared" si="351"/>
        <v>650</v>
      </c>
      <c r="I2463" s="12">
        <f t="shared" si="354"/>
        <v>6.1791980437950818E-2</v>
      </c>
      <c r="J2463" s="3">
        <f t="shared" si="355"/>
        <v>0.7</v>
      </c>
    </row>
    <row r="2464" spans="2:10" x14ac:dyDescent="0.25">
      <c r="B2464" s="3">
        <f t="shared" si="356"/>
        <v>12235</v>
      </c>
      <c r="C2464" s="14">
        <f t="shared" si="357"/>
        <v>203.91666666666666</v>
      </c>
      <c r="D2464" s="11">
        <f t="shared" si="358"/>
        <v>1128.4190530080016</v>
      </c>
      <c r="E2464" s="24">
        <f t="shared" si="350"/>
        <v>1127.3300924679845</v>
      </c>
      <c r="F2464" s="24">
        <f t="shared" si="352"/>
        <v>27.224013500426736</v>
      </c>
      <c r="G2464" s="14">
        <f t="shared" si="353"/>
        <v>475.2816598448299</v>
      </c>
      <c r="H2464" s="24">
        <f t="shared" si="351"/>
        <v>650</v>
      </c>
      <c r="I2464" s="12">
        <f t="shared" si="354"/>
        <v>6.1766425116804163E-2</v>
      </c>
      <c r="J2464" s="3">
        <f t="shared" si="355"/>
        <v>0.7</v>
      </c>
    </row>
    <row r="2465" spans="2:10" x14ac:dyDescent="0.25">
      <c r="B2465" s="3">
        <f t="shared" si="356"/>
        <v>12240</v>
      </c>
      <c r="C2465" s="14">
        <f t="shared" si="357"/>
        <v>204</v>
      </c>
      <c r="D2465" s="11">
        <f t="shared" si="358"/>
        <v>1128.4802337341505</v>
      </c>
      <c r="E2465" s="24">
        <f t="shared" si="350"/>
        <v>1127.3918588931012</v>
      </c>
      <c r="F2465" s="24">
        <f t="shared" si="352"/>
        <v>27.209371026231111</v>
      </c>
      <c r="G2465" s="14">
        <f t="shared" si="353"/>
        <v>475.08856727323933</v>
      </c>
      <c r="H2465" s="24">
        <f t="shared" si="351"/>
        <v>650</v>
      </c>
      <c r="I2465" s="12">
        <f t="shared" si="354"/>
        <v>6.1740890974942099E-2</v>
      </c>
      <c r="J2465" s="3">
        <f t="shared" si="355"/>
        <v>0.7</v>
      </c>
    </row>
    <row r="2466" spans="2:10" x14ac:dyDescent="0.25">
      <c r="B2466" s="3">
        <f t="shared" si="356"/>
        <v>12245</v>
      </c>
      <c r="C2466" s="14">
        <f t="shared" si="357"/>
        <v>204.08333333333334</v>
      </c>
      <c r="D2466" s="11">
        <f t="shared" si="358"/>
        <v>1128.5413894885735</v>
      </c>
      <c r="E2466" s="24">
        <f t="shared" si="350"/>
        <v>1127.4535997840762</v>
      </c>
      <c r="F2466" s="24">
        <f t="shared" si="352"/>
        <v>27.194742612431355</v>
      </c>
      <c r="G2466" s="14">
        <f t="shared" si="353"/>
        <v>474.89563273217061</v>
      </c>
      <c r="H2466" s="24">
        <f t="shared" si="351"/>
        <v>650</v>
      </c>
      <c r="I2466" s="12">
        <f t="shared" si="354"/>
        <v>6.17153779859572E-2</v>
      </c>
      <c r="J2466" s="3">
        <f t="shared" si="355"/>
        <v>0.7</v>
      </c>
    </row>
    <row r="2467" spans="2:10" x14ac:dyDescent="0.25">
      <c r="B2467" s="3">
        <f t="shared" si="356"/>
        <v>12250</v>
      </c>
      <c r="C2467" s="14">
        <f t="shared" si="357"/>
        <v>204.16666666666666</v>
      </c>
      <c r="D2467" s="11">
        <f t="shared" si="358"/>
        <v>1128.602520291648</v>
      </c>
      <c r="E2467" s="24">
        <f t="shared" si="350"/>
        <v>1127.5153151620623</v>
      </c>
      <c r="F2467" s="24">
        <f t="shared" si="352"/>
        <v>27.180128239643864</v>
      </c>
      <c r="G2467" s="14">
        <f t="shared" si="353"/>
        <v>474.70285602718536</v>
      </c>
      <c r="H2467" s="24">
        <f t="shared" si="351"/>
        <v>650</v>
      </c>
      <c r="I2467" s="12">
        <f t="shared" si="354"/>
        <v>6.1689886123567142E-2</v>
      </c>
      <c r="J2467" s="3">
        <f t="shared" si="355"/>
        <v>0.7</v>
      </c>
    </row>
    <row r="2468" spans="2:10" x14ac:dyDescent="0.25">
      <c r="B2468" s="3">
        <f t="shared" si="356"/>
        <v>12255</v>
      </c>
      <c r="C2468" s="14">
        <f t="shared" si="357"/>
        <v>204.25</v>
      </c>
      <c r="D2468" s="11">
        <f t="shared" si="358"/>
        <v>1128.6636261637252</v>
      </c>
      <c r="E2468" s="24">
        <f t="shared" si="350"/>
        <v>1127.5770050481858</v>
      </c>
      <c r="F2468" s="24">
        <f t="shared" si="352"/>
        <v>27.16552788848503</v>
      </c>
      <c r="G2468" s="14">
        <f t="shared" si="353"/>
        <v>474.51023696353514</v>
      </c>
      <c r="H2468" s="24">
        <f t="shared" si="351"/>
        <v>650</v>
      </c>
      <c r="I2468" s="12">
        <f t="shared" si="354"/>
        <v>6.1664415361451466E-2</v>
      </c>
      <c r="J2468" s="3">
        <f t="shared" si="355"/>
        <v>0.7</v>
      </c>
    </row>
    <row r="2469" spans="2:10" x14ac:dyDescent="0.25">
      <c r="B2469" s="3">
        <f t="shared" si="356"/>
        <v>12260</v>
      </c>
      <c r="C2469" s="14">
        <f t="shared" si="357"/>
        <v>204.33333333333334</v>
      </c>
      <c r="D2469" s="11">
        <f t="shared" si="358"/>
        <v>1128.724707125132</v>
      </c>
      <c r="E2469" s="24">
        <f t="shared" si="350"/>
        <v>1127.6386694635473</v>
      </c>
      <c r="F2469" s="24">
        <f t="shared" si="352"/>
        <v>27.150941539616724</v>
      </c>
      <c r="G2469" s="14">
        <f t="shared" si="353"/>
        <v>474.31777534707226</v>
      </c>
      <c r="H2469" s="24">
        <f t="shared" si="351"/>
        <v>650</v>
      </c>
      <c r="I2469" s="12">
        <f t="shared" si="354"/>
        <v>6.1638965673369184E-2</v>
      </c>
      <c r="J2469" s="3">
        <f t="shared" si="355"/>
        <v>0.7</v>
      </c>
    </row>
    <row r="2470" spans="2:10" x14ac:dyDescent="0.25">
      <c r="B2470" s="3">
        <f t="shared" si="356"/>
        <v>12265</v>
      </c>
      <c r="C2470" s="14">
        <f t="shared" si="357"/>
        <v>204.41666666666666</v>
      </c>
      <c r="D2470" s="11">
        <f t="shared" si="358"/>
        <v>1128.7857631961713</v>
      </c>
      <c r="E2470" s="24">
        <f t="shared" si="350"/>
        <v>1127.7003084292207</v>
      </c>
      <c r="F2470" s="24">
        <f t="shared" si="352"/>
        <v>27.136369173763342</v>
      </c>
      <c r="G2470" s="14">
        <f t="shared" si="353"/>
        <v>474.12547098432736</v>
      </c>
      <c r="H2470" s="24">
        <f t="shared" si="351"/>
        <v>650</v>
      </c>
      <c r="I2470" s="12">
        <f t="shared" si="354"/>
        <v>6.1613537033170337E-2</v>
      </c>
      <c r="J2470" s="3">
        <f t="shared" si="355"/>
        <v>0.7</v>
      </c>
    </row>
    <row r="2471" spans="2:10" x14ac:dyDescent="0.25">
      <c r="B2471" s="3">
        <f t="shared" si="356"/>
        <v>12270</v>
      </c>
      <c r="C2471" s="14">
        <f t="shared" si="357"/>
        <v>204.5</v>
      </c>
      <c r="D2471" s="11">
        <f t="shared" si="358"/>
        <v>1128.8467943971195</v>
      </c>
      <c r="E2471" s="24">
        <f t="shared" si="350"/>
        <v>1127.761921966254</v>
      </c>
      <c r="F2471" s="24">
        <f t="shared" si="352"/>
        <v>27.121810771637911</v>
      </c>
      <c r="G2471" s="14">
        <f t="shared" si="353"/>
        <v>473.93332368138539</v>
      </c>
      <c r="H2471" s="24">
        <f t="shared" si="351"/>
        <v>650</v>
      </c>
      <c r="I2471" s="12">
        <f t="shared" si="354"/>
        <v>6.1588129414648807E-2</v>
      </c>
      <c r="J2471" s="3">
        <f t="shared" si="355"/>
        <v>0.7</v>
      </c>
    </row>
    <row r="2472" spans="2:10" x14ac:dyDescent="0.25">
      <c r="B2472" s="3">
        <f t="shared" si="356"/>
        <v>12275</v>
      </c>
      <c r="C2472" s="14">
        <f t="shared" si="357"/>
        <v>204.58333333333334</v>
      </c>
      <c r="D2472" s="11">
        <f t="shared" si="358"/>
        <v>1128.9078007482299</v>
      </c>
      <c r="E2472" s="24">
        <f t="shared" si="350"/>
        <v>1127.8235100956688</v>
      </c>
      <c r="F2472" s="24">
        <f t="shared" si="352"/>
        <v>27.107266314027356</v>
      </c>
      <c r="G2472" s="14">
        <f t="shared" si="353"/>
        <v>473.74133324545517</v>
      </c>
      <c r="H2472" s="24">
        <f t="shared" si="351"/>
        <v>650</v>
      </c>
      <c r="I2472" s="12">
        <f t="shared" si="354"/>
        <v>6.1562742791745687E-2</v>
      </c>
      <c r="J2472" s="3">
        <f t="shared" si="355"/>
        <v>0.7</v>
      </c>
    </row>
    <row r="2473" spans="2:10" x14ac:dyDescent="0.25">
      <c r="B2473" s="3">
        <f t="shared" si="356"/>
        <v>12280</v>
      </c>
      <c r="C2473" s="14">
        <f t="shared" si="357"/>
        <v>204.66666666666666</v>
      </c>
      <c r="D2473" s="11">
        <f t="shared" si="358"/>
        <v>1128.9687822697297</v>
      </c>
      <c r="E2473" s="24">
        <f t="shared" si="350"/>
        <v>1127.8850728384605</v>
      </c>
      <c r="F2473" s="24">
        <f t="shared" si="352"/>
        <v>27.092735781729971</v>
      </c>
      <c r="G2473" s="14">
        <f t="shared" si="353"/>
        <v>473.54949948341624</v>
      </c>
      <c r="H2473" s="24">
        <f t="shared" si="351"/>
        <v>650</v>
      </c>
      <c r="I2473" s="12">
        <f t="shared" si="354"/>
        <v>6.1537377138363006E-2</v>
      </c>
      <c r="J2473" s="3">
        <f t="shared" si="355"/>
        <v>0.7</v>
      </c>
    </row>
    <row r="2474" spans="2:10" x14ac:dyDescent="0.25">
      <c r="B2474" s="3">
        <f t="shared" si="356"/>
        <v>12285</v>
      </c>
      <c r="C2474" s="14">
        <f t="shared" si="357"/>
        <v>204.75</v>
      </c>
      <c r="D2474" s="11">
        <f t="shared" si="358"/>
        <v>1129.0297389818222</v>
      </c>
      <c r="E2474" s="24">
        <f t="shared" si="350"/>
        <v>1127.9466102155989</v>
      </c>
      <c r="F2474" s="24">
        <f t="shared" si="352"/>
        <v>27.078219155583838</v>
      </c>
      <c r="G2474" s="14">
        <f t="shared" si="353"/>
        <v>473.35782220278759</v>
      </c>
      <c r="H2474" s="24">
        <f t="shared" si="351"/>
        <v>650</v>
      </c>
      <c r="I2474" s="12">
        <f t="shared" si="354"/>
        <v>6.1512032428486275E-2</v>
      </c>
      <c r="J2474" s="3">
        <f t="shared" si="355"/>
        <v>0.7</v>
      </c>
    </row>
    <row r="2475" spans="2:10" x14ac:dyDescent="0.25">
      <c r="B2475" s="3">
        <f t="shared" si="356"/>
        <v>12290</v>
      </c>
      <c r="C2475" s="14">
        <f t="shared" si="357"/>
        <v>204.83333333333334</v>
      </c>
      <c r="D2475" s="11">
        <f t="shared" si="358"/>
        <v>1129.0906709046856</v>
      </c>
      <c r="E2475" s="24">
        <f t="shared" si="350"/>
        <v>1128.0081222480273</v>
      </c>
      <c r="F2475" s="24">
        <f t="shared" si="352"/>
        <v>27.063716416455463</v>
      </c>
      <c r="G2475" s="14">
        <f t="shared" si="353"/>
        <v>473.16630121118516</v>
      </c>
      <c r="H2475" s="24">
        <f t="shared" si="351"/>
        <v>650</v>
      </c>
      <c r="I2475" s="12">
        <f t="shared" si="354"/>
        <v>6.1486708636116424E-2</v>
      </c>
      <c r="J2475" s="3">
        <f t="shared" si="355"/>
        <v>0.7</v>
      </c>
    </row>
    <row r="2476" spans="2:10" x14ac:dyDescent="0.25">
      <c r="B2476" s="3">
        <f t="shared" si="356"/>
        <v>12295</v>
      </c>
      <c r="C2476" s="14">
        <f t="shared" si="357"/>
        <v>204.91666666666666</v>
      </c>
      <c r="D2476" s="11">
        <f t="shared" si="358"/>
        <v>1129.1515780584743</v>
      </c>
      <c r="E2476" s="24">
        <f t="shared" si="350"/>
        <v>1128.0696089566634</v>
      </c>
      <c r="F2476" s="24">
        <f t="shared" si="352"/>
        <v>27.04922754527388</v>
      </c>
      <c r="G2476" s="14">
        <f t="shared" si="353"/>
        <v>472.97493631705811</v>
      </c>
      <c r="H2476" s="24">
        <f t="shared" si="351"/>
        <v>650</v>
      </c>
      <c r="I2476" s="12">
        <f t="shared" si="354"/>
        <v>6.1461405735364474E-2</v>
      </c>
      <c r="J2476" s="3">
        <f t="shared" si="355"/>
        <v>0.7</v>
      </c>
    </row>
    <row r="2477" spans="2:10" x14ac:dyDescent="0.25">
      <c r="B2477" s="3">
        <f t="shared" si="356"/>
        <v>12300</v>
      </c>
      <c r="C2477" s="14">
        <f t="shared" si="357"/>
        <v>205</v>
      </c>
      <c r="D2477" s="11">
        <f t="shared" si="358"/>
        <v>1129.212460463317</v>
      </c>
      <c r="E2477" s="24">
        <f t="shared" si="350"/>
        <v>1128.1310703623988</v>
      </c>
      <c r="F2477" s="24">
        <f t="shared" si="352"/>
        <v>27.034752522956751</v>
      </c>
      <c r="G2477" s="14">
        <f t="shared" si="353"/>
        <v>472.78372732837119</v>
      </c>
      <c r="H2477" s="24">
        <f t="shared" si="351"/>
        <v>650</v>
      </c>
      <c r="I2477" s="12">
        <f t="shared" si="354"/>
        <v>6.1436123700280509E-2</v>
      </c>
      <c r="J2477" s="3">
        <f t="shared" si="355"/>
        <v>0.7</v>
      </c>
    </row>
    <row r="2478" spans="2:10" x14ac:dyDescent="0.25">
      <c r="B2478" s="3">
        <f t="shared" si="356"/>
        <v>12305</v>
      </c>
      <c r="C2478" s="14">
        <f t="shared" si="357"/>
        <v>205.08333333333334</v>
      </c>
      <c r="D2478" s="11">
        <f t="shared" si="358"/>
        <v>1129.2733181393189</v>
      </c>
      <c r="E2478" s="24">
        <f t="shared" si="350"/>
        <v>1128.1925064860991</v>
      </c>
      <c r="F2478" s="24">
        <f t="shared" si="352"/>
        <v>27.020291330495638</v>
      </c>
      <c r="G2478" s="14">
        <f t="shared" si="353"/>
        <v>472.59267405411634</v>
      </c>
      <c r="H2478" s="24">
        <f t="shared" si="351"/>
        <v>650</v>
      </c>
      <c r="I2478" s="12">
        <f t="shared" si="354"/>
        <v>6.1410862505049964E-2</v>
      </c>
      <c r="J2478" s="3">
        <f t="shared" si="355"/>
        <v>0.7</v>
      </c>
    </row>
    <row r="2479" spans="2:10" x14ac:dyDescent="0.25">
      <c r="B2479" s="3">
        <f t="shared" si="356"/>
        <v>12310</v>
      </c>
      <c r="C2479" s="14">
        <f t="shared" si="357"/>
        <v>205.16666666666666</v>
      </c>
      <c r="D2479" s="11">
        <f t="shared" si="358"/>
        <v>1129.3341511065601</v>
      </c>
      <c r="E2479" s="24">
        <f t="shared" si="350"/>
        <v>1128.2539173486041</v>
      </c>
      <c r="F2479" s="24">
        <f t="shared" si="352"/>
        <v>27.005843948899155</v>
      </c>
      <c r="G2479" s="14">
        <f t="shared" si="353"/>
        <v>472.40177630324666</v>
      </c>
      <c r="H2479" s="24">
        <f t="shared" si="351"/>
        <v>650</v>
      </c>
      <c r="I2479" s="12">
        <f t="shared" si="354"/>
        <v>6.1385622123855586E-2</v>
      </c>
      <c r="J2479" s="3">
        <f t="shared" si="355"/>
        <v>0.7</v>
      </c>
    </row>
    <row r="2480" spans="2:10" x14ac:dyDescent="0.25">
      <c r="B2480" s="3">
        <f t="shared" si="356"/>
        <v>12315</v>
      </c>
      <c r="C2480" s="14">
        <f t="shared" si="357"/>
        <v>205.25</v>
      </c>
      <c r="D2480" s="11">
        <f t="shared" si="358"/>
        <v>1129.3949593850962</v>
      </c>
      <c r="E2480" s="24">
        <f t="shared" si="350"/>
        <v>1128.315302970728</v>
      </c>
      <c r="F2480" s="24">
        <f t="shared" si="352"/>
        <v>26.991410359204338</v>
      </c>
      <c r="G2480" s="14">
        <f t="shared" si="353"/>
        <v>472.21103388506407</v>
      </c>
      <c r="H2480" s="24">
        <f t="shared" si="351"/>
        <v>650</v>
      </c>
      <c r="I2480" s="12">
        <f t="shared" si="354"/>
        <v>6.1360402530926499E-2</v>
      </c>
      <c r="J2480" s="3">
        <f t="shared" si="355"/>
        <v>0.7</v>
      </c>
    </row>
    <row r="2481" spans="2:10" x14ac:dyDescent="0.25">
      <c r="B2481" s="3">
        <f t="shared" si="356"/>
        <v>12320</v>
      </c>
      <c r="C2481" s="14">
        <f t="shared" si="357"/>
        <v>205.33333333333334</v>
      </c>
      <c r="D2481" s="11">
        <f t="shared" si="358"/>
        <v>1129.4557429949589</v>
      </c>
      <c r="E2481" s="24">
        <f t="shared" si="350"/>
        <v>1128.3766633732589</v>
      </c>
      <c r="F2481" s="24">
        <f t="shared" si="352"/>
        <v>26.976990542499379</v>
      </c>
      <c r="G2481" s="14">
        <f t="shared" si="353"/>
        <v>472.0204466092581</v>
      </c>
      <c r="H2481" s="24">
        <f t="shared" si="351"/>
        <v>650</v>
      </c>
      <c r="I2481" s="12">
        <f t="shared" si="354"/>
        <v>6.1335203700545751E-2</v>
      </c>
      <c r="J2481" s="3">
        <f t="shared" si="355"/>
        <v>0.7</v>
      </c>
    </row>
    <row r="2482" spans="2:10" x14ac:dyDescent="0.25">
      <c r="B2482" s="3">
        <f t="shared" si="356"/>
        <v>12325</v>
      </c>
      <c r="C2482" s="14">
        <f t="shared" si="357"/>
        <v>205.41666666666666</v>
      </c>
      <c r="D2482" s="11">
        <f t="shared" si="358"/>
        <v>1129.516501956155</v>
      </c>
      <c r="E2482" s="24">
        <f t="shared" si="350"/>
        <v>1128.4379985769594</v>
      </c>
      <c r="F2482" s="24">
        <f t="shared" si="352"/>
        <v>26.962584479889529</v>
      </c>
      <c r="G2482" s="14">
        <f t="shared" si="353"/>
        <v>471.83001428586721</v>
      </c>
      <c r="H2482" s="24">
        <f t="shared" si="351"/>
        <v>650</v>
      </c>
      <c r="I2482" s="12">
        <f t="shared" si="354"/>
        <v>6.1310025607041387E-2</v>
      </c>
      <c r="J2482" s="3">
        <f t="shared" si="355"/>
        <v>0.7</v>
      </c>
    </row>
    <row r="2483" spans="2:10" x14ac:dyDescent="0.25">
      <c r="B2483" s="3">
        <f t="shared" si="356"/>
        <v>12330</v>
      </c>
      <c r="C2483" s="14">
        <f t="shared" si="357"/>
        <v>205.5</v>
      </c>
      <c r="D2483" s="11">
        <f t="shared" si="358"/>
        <v>1129.5772362886676</v>
      </c>
      <c r="E2483" s="24">
        <f t="shared" si="350"/>
        <v>1128.4993086025665</v>
      </c>
      <c r="F2483" s="24">
        <f t="shared" si="352"/>
        <v>26.948192152525507</v>
      </c>
      <c r="G2483" s="14">
        <f t="shared" si="353"/>
        <v>471.63973672504608</v>
      </c>
      <c r="H2483" s="24">
        <f t="shared" si="351"/>
        <v>650</v>
      </c>
      <c r="I2483" s="12">
        <f t="shared" si="354"/>
        <v>6.1284868224761313E-2</v>
      </c>
      <c r="J2483" s="3">
        <f t="shared" si="355"/>
        <v>0.7</v>
      </c>
    </row>
    <row r="2484" spans="2:10" x14ac:dyDescent="0.25">
      <c r="B2484" s="3">
        <f t="shared" si="356"/>
        <v>12335</v>
      </c>
      <c r="C2484" s="14">
        <f t="shared" si="357"/>
        <v>205.58333333333334</v>
      </c>
      <c r="D2484" s="11">
        <f t="shared" si="358"/>
        <v>1129.6379460124544</v>
      </c>
      <c r="E2484" s="24">
        <f t="shared" ref="E2484:E2547" si="359">E2483+I2483</f>
        <v>1128.5605934707912</v>
      </c>
      <c r="F2484" s="24">
        <f t="shared" si="352"/>
        <v>26.933813541580776</v>
      </c>
      <c r="G2484" s="14">
        <f t="shared" si="353"/>
        <v>471.44961373735623</v>
      </c>
      <c r="H2484" s="24">
        <f t="shared" ref="H2484:H2547" si="360">IF(E2484&lt;600,425+0.773*E2484-1.69/1000*E2484^2+2.22/1000^2*E2484^3,IF(E2484&lt;735,666+13002/(738-E2484),IF(E2484&lt;900,545+17820/(E2484-731),650)))</f>
        <v>650</v>
      </c>
      <c r="I2484" s="12">
        <f t="shared" si="354"/>
        <v>6.1259731528106244E-2</v>
      </c>
      <c r="J2484" s="3">
        <f t="shared" si="355"/>
        <v>0.7</v>
      </c>
    </row>
    <row r="2485" spans="2:10" x14ac:dyDescent="0.25">
      <c r="B2485" s="3">
        <f t="shared" si="356"/>
        <v>12340</v>
      </c>
      <c r="C2485" s="14">
        <f t="shared" si="357"/>
        <v>205.66666666666666</v>
      </c>
      <c r="D2485" s="11">
        <f t="shared" si="358"/>
        <v>1129.6986311474504</v>
      </c>
      <c r="E2485" s="24">
        <f t="shared" si="359"/>
        <v>1128.6218532023192</v>
      </c>
      <c r="F2485" s="24">
        <f t="shared" si="352"/>
        <v>26.919448628279952</v>
      </c>
      <c r="G2485" s="14">
        <f t="shared" si="353"/>
        <v>471.25964513392142</v>
      </c>
      <c r="H2485" s="24">
        <f t="shared" si="360"/>
        <v>650</v>
      </c>
      <c r="I2485" s="12">
        <f t="shared" si="354"/>
        <v>6.1234615491552298E-2</v>
      </c>
      <c r="J2485" s="3">
        <f t="shared" si="355"/>
        <v>0.7</v>
      </c>
    </row>
    <row r="2486" spans="2:10" x14ac:dyDescent="0.25">
      <c r="B2486" s="3">
        <f t="shared" si="356"/>
        <v>12345</v>
      </c>
      <c r="C2486" s="14">
        <f t="shared" si="357"/>
        <v>205.75</v>
      </c>
      <c r="D2486" s="11">
        <f t="shared" si="358"/>
        <v>1129.7592917135651</v>
      </c>
      <c r="E2486" s="24">
        <f t="shared" si="359"/>
        <v>1128.6830878178107</v>
      </c>
      <c r="F2486" s="24">
        <f t="shared" si="352"/>
        <v>26.905097393859023</v>
      </c>
      <c r="G2486" s="14">
        <f t="shared" si="353"/>
        <v>471.06983072567152</v>
      </c>
      <c r="H2486" s="24">
        <f t="shared" si="360"/>
        <v>650</v>
      </c>
      <c r="I2486" s="12">
        <f t="shared" si="354"/>
        <v>6.1209520089553146E-2</v>
      </c>
      <c r="J2486" s="3">
        <f t="shared" si="355"/>
        <v>0.7</v>
      </c>
    </row>
    <row r="2487" spans="2:10" x14ac:dyDescent="0.25">
      <c r="B2487" s="3">
        <f t="shared" si="356"/>
        <v>12350</v>
      </c>
      <c r="C2487" s="14">
        <f t="shared" si="357"/>
        <v>205.83333333333334</v>
      </c>
      <c r="D2487" s="11">
        <f t="shared" si="358"/>
        <v>1129.8199277306842</v>
      </c>
      <c r="E2487" s="24">
        <f t="shared" si="359"/>
        <v>1128.7442973379002</v>
      </c>
      <c r="F2487" s="24">
        <f t="shared" si="352"/>
        <v>26.890759819599452</v>
      </c>
      <c r="G2487" s="14">
        <f t="shared" si="353"/>
        <v>470.88017032433089</v>
      </c>
      <c r="H2487" s="24">
        <f t="shared" si="360"/>
        <v>650</v>
      </c>
      <c r="I2487" s="12">
        <f t="shared" si="354"/>
        <v>6.1184445296665724E-2</v>
      </c>
      <c r="J2487" s="3">
        <f t="shared" si="355"/>
        <v>0.7</v>
      </c>
    </row>
    <row r="2488" spans="2:10" x14ac:dyDescent="0.25">
      <c r="B2488" s="3">
        <f t="shared" si="356"/>
        <v>12355</v>
      </c>
      <c r="C2488" s="14">
        <f t="shared" si="357"/>
        <v>205.91666666666666</v>
      </c>
      <c r="D2488" s="11">
        <f t="shared" si="358"/>
        <v>1129.8805392186698</v>
      </c>
      <c r="E2488" s="24">
        <f t="shared" si="359"/>
        <v>1128.8054817831969</v>
      </c>
      <c r="F2488" s="24">
        <f t="shared" si="352"/>
        <v>26.876435886822492</v>
      </c>
      <c r="G2488" s="14">
        <f t="shared" si="353"/>
        <v>470.69066374162406</v>
      </c>
      <c r="H2488" s="24">
        <f t="shared" si="360"/>
        <v>650</v>
      </c>
      <c r="I2488" s="12">
        <f t="shared" si="354"/>
        <v>6.1159391087451852E-2</v>
      </c>
      <c r="J2488" s="3">
        <f t="shared" si="355"/>
        <v>0.7</v>
      </c>
    </row>
    <row r="2489" spans="2:10" x14ac:dyDescent="0.25">
      <c r="B2489" s="3">
        <f t="shared" si="356"/>
        <v>12360</v>
      </c>
      <c r="C2489" s="14">
        <f t="shared" si="357"/>
        <v>206</v>
      </c>
      <c r="D2489" s="11">
        <f t="shared" si="358"/>
        <v>1129.9411261973589</v>
      </c>
      <c r="E2489" s="24">
        <f t="shared" si="359"/>
        <v>1128.8666411742843</v>
      </c>
      <c r="F2489" s="24">
        <f t="shared" si="352"/>
        <v>26.862125576866447</v>
      </c>
      <c r="G2489" s="14">
        <f t="shared" si="353"/>
        <v>470.50131078968241</v>
      </c>
      <c r="H2489" s="24">
        <f t="shared" si="360"/>
        <v>650</v>
      </c>
      <c r="I2489" s="12">
        <f t="shared" si="354"/>
        <v>6.1134357436525476E-2</v>
      </c>
      <c r="J2489" s="3">
        <f t="shared" si="355"/>
        <v>0.7</v>
      </c>
    </row>
    <row r="2490" spans="2:10" x14ac:dyDescent="0.25">
      <c r="B2490" s="3">
        <f t="shared" si="356"/>
        <v>12365</v>
      </c>
      <c r="C2490" s="14">
        <f t="shared" si="357"/>
        <v>206.08333333333334</v>
      </c>
      <c r="D2490" s="11">
        <f t="shared" si="358"/>
        <v>1130.0016886865653</v>
      </c>
      <c r="E2490" s="24">
        <f t="shared" si="359"/>
        <v>1128.9277755317207</v>
      </c>
      <c r="F2490" s="24">
        <f t="shared" si="352"/>
        <v>26.847828871115098</v>
      </c>
      <c r="G2490" s="14">
        <f t="shared" si="353"/>
        <v>470.31211128092804</v>
      </c>
      <c r="H2490" s="24">
        <f t="shared" si="360"/>
        <v>650</v>
      </c>
      <c r="I2490" s="12">
        <f t="shared" si="354"/>
        <v>6.1109344318541862E-2</v>
      </c>
      <c r="J2490" s="3">
        <f t="shared" si="355"/>
        <v>0.7</v>
      </c>
    </row>
    <row r="2491" spans="2:10" x14ac:dyDescent="0.25">
      <c r="B2491" s="3">
        <f t="shared" si="356"/>
        <v>12370</v>
      </c>
      <c r="C2491" s="14">
        <f t="shared" si="357"/>
        <v>206.16666666666666</v>
      </c>
      <c r="D2491" s="11">
        <f t="shared" si="358"/>
        <v>1130.0622267060783</v>
      </c>
      <c r="E2491" s="24">
        <f t="shared" si="359"/>
        <v>1128.9888848760393</v>
      </c>
      <c r="F2491" s="24">
        <f t="shared" si="352"/>
        <v>26.833545750974963</v>
      </c>
      <c r="G2491" s="14">
        <f t="shared" si="353"/>
        <v>470.12306502801562</v>
      </c>
      <c r="H2491" s="24">
        <f t="shared" si="360"/>
        <v>650</v>
      </c>
      <c r="I2491" s="12">
        <f t="shared" si="354"/>
        <v>6.1084351708187649E-2</v>
      </c>
      <c r="J2491" s="3">
        <f t="shared" si="355"/>
        <v>0.7</v>
      </c>
    </row>
    <row r="2492" spans="2:10" x14ac:dyDescent="0.25">
      <c r="B2492" s="3">
        <f t="shared" si="356"/>
        <v>12375</v>
      </c>
      <c r="C2492" s="14">
        <f t="shared" si="357"/>
        <v>206.25</v>
      </c>
      <c r="D2492" s="11">
        <f t="shared" si="358"/>
        <v>1130.1227402756638</v>
      </c>
      <c r="E2492" s="24">
        <f t="shared" si="359"/>
        <v>1129.0499692277474</v>
      </c>
      <c r="F2492" s="24">
        <f t="shared" si="352"/>
        <v>26.819276197909403</v>
      </c>
      <c r="G2492" s="14">
        <f t="shared" si="353"/>
        <v>469.93417184427813</v>
      </c>
      <c r="H2492" s="24">
        <f t="shared" si="360"/>
        <v>650</v>
      </c>
      <c r="I2492" s="12">
        <f t="shared" si="354"/>
        <v>6.105937958023986E-2</v>
      </c>
      <c r="J2492" s="3">
        <f t="shared" si="355"/>
        <v>0.7</v>
      </c>
    </row>
    <row r="2493" spans="2:10" x14ac:dyDescent="0.25">
      <c r="B2493" s="3">
        <f t="shared" si="356"/>
        <v>12380</v>
      </c>
      <c r="C2493" s="14">
        <f t="shared" si="357"/>
        <v>206.33333333333334</v>
      </c>
      <c r="D2493" s="11">
        <f t="shared" si="358"/>
        <v>1130.1832294150629</v>
      </c>
      <c r="E2493" s="24">
        <f t="shared" si="359"/>
        <v>1129.1110286073276</v>
      </c>
      <c r="F2493" s="24">
        <f t="shared" si="352"/>
        <v>26.805020193381779</v>
      </c>
      <c r="G2493" s="14">
        <f t="shared" si="353"/>
        <v>469.74543154277723</v>
      </c>
      <c r="H2493" s="24">
        <f t="shared" si="360"/>
        <v>650</v>
      </c>
      <c r="I2493" s="12">
        <f t="shared" si="354"/>
        <v>6.1034427909442135E-2</v>
      </c>
      <c r="J2493" s="3">
        <f t="shared" si="355"/>
        <v>0.7</v>
      </c>
    </row>
    <row r="2494" spans="2:10" x14ac:dyDescent="0.25">
      <c r="B2494" s="3">
        <f t="shared" si="356"/>
        <v>12385</v>
      </c>
      <c r="C2494" s="14">
        <f t="shared" si="357"/>
        <v>206.41666666666666</v>
      </c>
      <c r="D2494" s="11">
        <f t="shared" si="358"/>
        <v>1130.2436941439935</v>
      </c>
      <c r="E2494" s="24">
        <f t="shared" si="359"/>
        <v>1129.172063035237</v>
      </c>
      <c r="F2494" s="24">
        <f t="shared" si="352"/>
        <v>26.790777718912295</v>
      </c>
      <c r="G2494" s="14">
        <f t="shared" si="353"/>
        <v>469.55684393733037</v>
      </c>
      <c r="H2494" s="24">
        <f t="shared" si="360"/>
        <v>650</v>
      </c>
      <c r="I2494" s="12">
        <f t="shared" si="354"/>
        <v>6.1009496670638028E-2</v>
      </c>
      <c r="J2494" s="3">
        <f t="shared" si="355"/>
        <v>0.7</v>
      </c>
    </row>
    <row r="2495" spans="2:10" x14ac:dyDescent="0.25">
      <c r="B2495" s="3">
        <f t="shared" si="356"/>
        <v>12390</v>
      </c>
      <c r="C2495" s="14">
        <f t="shared" si="357"/>
        <v>206.5</v>
      </c>
      <c r="D2495" s="11">
        <f t="shared" si="358"/>
        <v>1130.3041344821493</v>
      </c>
      <c r="E2495" s="24">
        <f t="shared" si="359"/>
        <v>1129.2330725319077</v>
      </c>
      <c r="F2495" s="24">
        <f t="shared" si="352"/>
        <v>26.77654875603821</v>
      </c>
      <c r="G2495" s="14">
        <f t="shared" si="353"/>
        <v>469.36840884173569</v>
      </c>
      <c r="H2495" s="24">
        <f t="shared" si="360"/>
        <v>650</v>
      </c>
      <c r="I2495" s="12">
        <f t="shared" si="354"/>
        <v>6.0984585838670807E-2</v>
      </c>
      <c r="J2495" s="3">
        <f t="shared" si="355"/>
        <v>0.7</v>
      </c>
    </row>
    <row r="2496" spans="2:10" x14ac:dyDescent="0.25">
      <c r="B2496" s="3">
        <f t="shared" si="356"/>
        <v>12395</v>
      </c>
      <c r="C2496" s="14">
        <f t="shared" si="357"/>
        <v>206.58333333333334</v>
      </c>
      <c r="D2496" s="11">
        <f t="shared" si="358"/>
        <v>1130.3645504492004</v>
      </c>
      <c r="E2496" s="24">
        <f t="shared" si="359"/>
        <v>1129.2940571177464</v>
      </c>
      <c r="F2496" s="24">
        <f t="shared" si="352"/>
        <v>26.762333286347939</v>
      </c>
      <c r="G2496" s="14">
        <f t="shared" si="353"/>
        <v>469.18012607043067</v>
      </c>
      <c r="H2496" s="24">
        <f t="shared" si="360"/>
        <v>650</v>
      </c>
      <c r="I2496" s="12">
        <f t="shared" si="354"/>
        <v>6.0959695388468613E-2</v>
      </c>
      <c r="J2496" s="3">
        <f t="shared" si="355"/>
        <v>0.7</v>
      </c>
    </row>
    <row r="2497" spans="2:10" x14ac:dyDescent="0.25">
      <c r="B2497" s="3">
        <f t="shared" si="356"/>
        <v>12400</v>
      </c>
      <c r="C2497" s="14">
        <f t="shared" si="357"/>
        <v>206.66666666666666</v>
      </c>
      <c r="D2497" s="11">
        <f t="shared" si="358"/>
        <v>1130.424942064793</v>
      </c>
      <c r="E2497" s="24">
        <f t="shared" si="359"/>
        <v>1129.3550168131349</v>
      </c>
      <c r="F2497" s="24">
        <f t="shared" si="352"/>
        <v>26.748131291452637</v>
      </c>
      <c r="G2497" s="14">
        <f t="shared" si="353"/>
        <v>468.99199543802752</v>
      </c>
      <c r="H2497" s="24">
        <f t="shared" si="360"/>
        <v>650</v>
      </c>
      <c r="I2497" s="12">
        <f t="shared" si="354"/>
        <v>6.0934825294983862E-2</v>
      </c>
      <c r="J2497" s="3">
        <f t="shared" si="355"/>
        <v>0.7</v>
      </c>
    </row>
    <row r="2498" spans="2:10" x14ac:dyDescent="0.25">
      <c r="B2498" s="3">
        <f t="shared" si="356"/>
        <v>12405</v>
      </c>
      <c r="C2498" s="14">
        <f t="shared" si="357"/>
        <v>206.75</v>
      </c>
      <c r="D2498" s="11">
        <f t="shared" si="358"/>
        <v>1130.4853093485494</v>
      </c>
      <c r="E2498" s="24">
        <f t="shared" si="359"/>
        <v>1129.4159516384298</v>
      </c>
      <c r="F2498" s="24">
        <f t="shared" si="352"/>
        <v>26.733942752991879</v>
      </c>
      <c r="G2498" s="14">
        <f t="shared" si="353"/>
        <v>468.804016759332</v>
      </c>
      <c r="H2498" s="24">
        <f t="shared" si="360"/>
        <v>650</v>
      </c>
      <c r="I2498" s="12">
        <f t="shared" si="354"/>
        <v>6.0909975533196242E-2</v>
      </c>
      <c r="J2498" s="3">
        <f t="shared" si="355"/>
        <v>0.7</v>
      </c>
    </row>
    <row r="2499" spans="2:10" x14ac:dyDescent="0.25">
      <c r="B2499" s="3">
        <f t="shared" si="356"/>
        <v>12410</v>
      </c>
      <c r="C2499" s="14">
        <f t="shared" si="357"/>
        <v>206.83333333333334</v>
      </c>
      <c r="D2499" s="11">
        <f t="shared" si="358"/>
        <v>1130.5456523200685</v>
      </c>
      <c r="E2499" s="24">
        <f t="shared" si="359"/>
        <v>1129.4768616139629</v>
      </c>
      <c r="F2499" s="24">
        <f t="shared" si="352"/>
        <v>26.719767652639348</v>
      </c>
      <c r="G2499" s="14">
        <f t="shared" si="353"/>
        <v>468.61618984934375</v>
      </c>
      <c r="H2499" s="24">
        <f t="shared" si="360"/>
        <v>650</v>
      </c>
      <c r="I2499" s="12">
        <f t="shared" si="354"/>
        <v>6.0885146078113482E-2</v>
      </c>
      <c r="J2499" s="3">
        <f t="shared" si="355"/>
        <v>0.7</v>
      </c>
    </row>
    <row r="2500" spans="2:10" x14ac:dyDescent="0.25">
      <c r="B2500" s="3">
        <f t="shared" si="356"/>
        <v>12415</v>
      </c>
      <c r="C2500" s="14">
        <f t="shared" si="357"/>
        <v>206.91666666666666</v>
      </c>
      <c r="D2500" s="11">
        <f t="shared" si="358"/>
        <v>1130.6059709989252</v>
      </c>
      <c r="E2500" s="24">
        <f t="shared" si="359"/>
        <v>1129.537746760041</v>
      </c>
      <c r="F2500" s="24">
        <f t="shared" si="352"/>
        <v>26.70560597210283</v>
      </c>
      <c r="G2500" s="14">
        <f t="shared" si="353"/>
        <v>468.42851452368257</v>
      </c>
      <c r="H2500" s="24">
        <f t="shared" si="360"/>
        <v>650</v>
      </c>
      <c r="I2500" s="12">
        <f t="shared" si="354"/>
        <v>6.0860336904823724E-2</v>
      </c>
      <c r="J2500" s="3">
        <f t="shared" si="355"/>
        <v>0.7</v>
      </c>
    </row>
    <row r="2501" spans="2:10" x14ac:dyDescent="0.25">
      <c r="B2501" s="3">
        <f t="shared" si="356"/>
        <v>12420</v>
      </c>
      <c r="C2501" s="14">
        <f t="shared" si="357"/>
        <v>207</v>
      </c>
      <c r="D2501" s="11">
        <f t="shared" si="358"/>
        <v>1130.6662654046711</v>
      </c>
      <c r="E2501" s="24">
        <f t="shared" si="359"/>
        <v>1129.5986070969459</v>
      </c>
      <c r="F2501" s="24">
        <f t="shared" si="352"/>
        <v>26.691457693129905</v>
      </c>
      <c r="G2501" s="14">
        <f t="shared" si="353"/>
        <v>468.24099059812329</v>
      </c>
      <c r="H2501" s="24">
        <f t="shared" si="360"/>
        <v>650</v>
      </c>
      <c r="I2501" s="12">
        <f t="shared" si="354"/>
        <v>6.083554798843905E-2</v>
      </c>
      <c r="J2501" s="3">
        <f t="shared" si="355"/>
        <v>0.7</v>
      </c>
    </row>
    <row r="2502" spans="2:10" x14ac:dyDescent="0.25">
      <c r="B2502" s="3">
        <f t="shared" si="356"/>
        <v>12425</v>
      </c>
      <c r="C2502" s="14">
        <f t="shared" si="357"/>
        <v>207.08333333333334</v>
      </c>
      <c r="D2502" s="11">
        <f t="shared" si="358"/>
        <v>1130.7265355568338</v>
      </c>
      <c r="E2502" s="24">
        <f t="shared" si="359"/>
        <v>1129.6594426449344</v>
      </c>
      <c r="F2502" s="24">
        <f t="shared" si="352"/>
        <v>26.677322797485203</v>
      </c>
      <c r="G2502" s="14">
        <f t="shared" si="353"/>
        <v>468.0536178885958</v>
      </c>
      <c r="H2502" s="24">
        <f t="shared" si="360"/>
        <v>650</v>
      </c>
      <c r="I2502" s="12">
        <f t="shared" si="354"/>
        <v>6.0810779304092712E-2</v>
      </c>
      <c r="J2502" s="3">
        <f t="shared" si="355"/>
        <v>0.7</v>
      </c>
    </row>
    <row r="2503" spans="2:10" x14ac:dyDescent="0.25">
      <c r="B2503" s="3">
        <f t="shared" si="356"/>
        <v>12430</v>
      </c>
      <c r="C2503" s="14">
        <f t="shared" si="357"/>
        <v>207.16666666666666</v>
      </c>
      <c r="D2503" s="11">
        <f t="shared" si="358"/>
        <v>1130.7867814749181</v>
      </c>
      <c r="E2503" s="24">
        <f t="shared" si="359"/>
        <v>1129.7202534242385</v>
      </c>
      <c r="F2503" s="24">
        <f t="shared" si="352"/>
        <v>26.6632012669902</v>
      </c>
      <c r="G2503" s="14">
        <f t="shared" si="353"/>
        <v>467.86639621180512</v>
      </c>
      <c r="H2503" s="24">
        <f t="shared" si="360"/>
        <v>650</v>
      </c>
      <c r="I2503" s="12">
        <f t="shared" si="354"/>
        <v>6.0786030827020207E-2</v>
      </c>
      <c r="J2503" s="3">
        <f t="shared" si="355"/>
        <v>0.7</v>
      </c>
    </row>
    <row r="2504" spans="2:10" x14ac:dyDescent="0.25">
      <c r="B2504" s="3">
        <f t="shared" si="356"/>
        <v>12435</v>
      </c>
      <c r="C2504" s="14">
        <f t="shared" si="357"/>
        <v>207.25</v>
      </c>
      <c r="D2504" s="11">
        <f t="shared" si="358"/>
        <v>1130.8470031784043</v>
      </c>
      <c r="E2504" s="24">
        <f t="shared" si="359"/>
        <v>1129.7810394550656</v>
      </c>
      <c r="F2504" s="24">
        <f t="shared" si="352"/>
        <v>26.649093083466369</v>
      </c>
      <c r="G2504" s="14">
        <f t="shared" si="353"/>
        <v>467.67932538404943</v>
      </c>
      <c r="H2504" s="24">
        <f t="shared" si="360"/>
        <v>650</v>
      </c>
      <c r="I2504" s="12">
        <f t="shared" si="354"/>
        <v>6.0761302532407038E-2</v>
      </c>
      <c r="J2504" s="3">
        <f t="shared" si="355"/>
        <v>0.7</v>
      </c>
    </row>
    <row r="2505" spans="2:10" x14ac:dyDescent="0.25">
      <c r="B2505" s="3">
        <f t="shared" si="356"/>
        <v>12440</v>
      </c>
      <c r="C2505" s="14">
        <f t="shared" si="357"/>
        <v>207.33333333333334</v>
      </c>
      <c r="D2505" s="11">
        <f t="shared" si="358"/>
        <v>1130.9072006867498</v>
      </c>
      <c r="E2505" s="24">
        <f t="shared" si="359"/>
        <v>1129.8418007575981</v>
      </c>
      <c r="F2505" s="24">
        <f t="shared" si="352"/>
        <v>26.634998228792028</v>
      </c>
      <c r="G2505" s="14">
        <f t="shared" si="353"/>
        <v>467.49240522244071</v>
      </c>
      <c r="H2505" s="24">
        <f t="shared" si="360"/>
        <v>650</v>
      </c>
      <c r="I2505" s="12">
        <f t="shared" si="354"/>
        <v>6.0736594395545726E-2</v>
      </c>
      <c r="J2505" s="3">
        <f t="shared" si="355"/>
        <v>0.7</v>
      </c>
    </row>
    <row r="2506" spans="2:10" x14ac:dyDescent="0.25">
      <c r="B2506" s="3">
        <f t="shared" si="356"/>
        <v>12445</v>
      </c>
      <c r="C2506" s="14">
        <f t="shared" si="357"/>
        <v>207.41666666666666</v>
      </c>
      <c r="D2506" s="11">
        <f t="shared" si="358"/>
        <v>1130.9673740193887</v>
      </c>
      <c r="E2506" s="24">
        <f t="shared" si="359"/>
        <v>1129.9025373519937</v>
      </c>
      <c r="F2506" s="24">
        <f t="shared" si="352"/>
        <v>26.620916684873919</v>
      </c>
      <c r="G2506" s="14">
        <f t="shared" si="353"/>
        <v>467.3056355443623</v>
      </c>
      <c r="H2506" s="24">
        <f t="shared" si="360"/>
        <v>650</v>
      </c>
      <c r="I2506" s="12">
        <f t="shared" si="354"/>
        <v>6.071190639176563E-2</v>
      </c>
      <c r="J2506" s="3">
        <f t="shared" si="355"/>
        <v>0.7</v>
      </c>
    </row>
    <row r="2507" spans="2:10" x14ac:dyDescent="0.25">
      <c r="B2507" s="3">
        <f t="shared" si="356"/>
        <v>12450</v>
      </c>
      <c r="C2507" s="14">
        <f t="shared" si="357"/>
        <v>207.5</v>
      </c>
      <c r="D2507" s="11">
        <f t="shared" si="358"/>
        <v>1131.027523195731</v>
      </c>
      <c r="E2507" s="24">
        <f t="shared" si="359"/>
        <v>1129.9632492583855</v>
      </c>
      <c r="F2507" s="24">
        <f t="shared" si="352"/>
        <v>26.606848433635832</v>
      </c>
      <c r="G2507" s="14">
        <f t="shared" si="353"/>
        <v>467.11901616717824</v>
      </c>
      <c r="H2507" s="24">
        <f t="shared" si="360"/>
        <v>650</v>
      </c>
      <c r="I2507" s="12">
        <f t="shared" si="354"/>
        <v>6.0687238496395846E-2</v>
      </c>
      <c r="J2507" s="3">
        <f t="shared" si="355"/>
        <v>0.7</v>
      </c>
    </row>
    <row r="2508" spans="2:10" x14ac:dyDescent="0.25">
      <c r="B2508" s="3">
        <f t="shared" si="356"/>
        <v>12455</v>
      </c>
      <c r="C2508" s="14">
        <f t="shared" si="357"/>
        <v>207.58333333333334</v>
      </c>
      <c r="D2508" s="11">
        <f t="shared" si="358"/>
        <v>1131.0876482351639</v>
      </c>
      <c r="E2508" s="24">
        <f t="shared" si="359"/>
        <v>1130.023936496882</v>
      </c>
      <c r="F2508" s="24">
        <f t="shared" si="352"/>
        <v>26.592793457047037</v>
      </c>
      <c r="G2508" s="14">
        <f t="shared" si="353"/>
        <v>466.93254690875636</v>
      </c>
      <c r="H2508" s="24">
        <f t="shared" si="360"/>
        <v>650</v>
      </c>
      <c r="I2508" s="12">
        <f t="shared" si="354"/>
        <v>6.0662590684832964E-2</v>
      </c>
      <c r="J2508" s="3">
        <f t="shared" si="355"/>
        <v>0.7</v>
      </c>
    </row>
    <row r="2509" spans="2:10" x14ac:dyDescent="0.25">
      <c r="B2509" s="3">
        <f t="shared" si="356"/>
        <v>12460</v>
      </c>
      <c r="C2509" s="14">
        <f t="shared" si="357"/>
        <v>207.66666666666666</v>
      </c>
      <c r="D2509" s="11">
        <f t="shared" si="358"/>
        <v>1131.1477491570517</v>
      </c>
      <c r="E2509" s="24">
        <f t="shared" si="359"/>
        <v>1130.0845990875669</v>
      </c>
      <c r="F2509" s="24">
        <f t="shared" si="352"/>
        <v>26.578751737122275</v>
      </c>
      <c r="G2509" s="14">
        <f t="shared" si="353"/>
        <v>466.74622758756533</v>
      </c>
      <c r="H2509" s="24">
        <f t="shared" si="360"/>
        <v>650</v>
      </c>
      <c r="I2509" s="12">
        <f t="shared" si="354"/>
        <v>6.0637962932553038E-2</v>
      </c>
      <c r="J2509" s="3">
        <f t="shared" si="355"/>
        <v>0.7</v>
      </c>
    </row>
    <row r="2510" spans="2:10" x14ac:dyDescent="0.25">
      <c r="B2510" s="3">
        <f t="shared" si="356"/>
        <v>12465</v>
      </c>
      <c r="C2510" s="14">
        <f t="shared" si="357"/>
        <v>207.75</v>
      </c>
      <c r="D2510" s="11">
        <f t="shared" si="358"/>
        <v>1131.207825980734</v>
      </c>
      <c r="E2510" s="24">
        <f t="shared" si="359"/>
        <v>1130.1452370504994</v>
      </c>
      <c r="F2510" s="24">
        <f t="shared" si="352"/>
        <v>26.564723255864919</v>
      </c>
      <c r="G2510" s="14">
        <f t="shared" si="353"/>
        <v>466.5600580215505</v>
      </c>
      <c r="H2510" s="24">
        <f t="shared" si="360"/>
        <v>650</v>
      </c>
      <c r="I2510" s="12">
        <f t="shared" si="354"/>
        <v>6.0613355214966393E-2</v>
      </c>
      <c r="J2510" s="3">
        <f t="shared" si="355"/>
        <v>0.7</v>
      </c>
    </row>
    <row r="2511" spans="2:10" x14ac:dyDescent="0.25">
      <c r="B2511" s="3">
        <f t="shared" si="356"/>
        <v>12470</v>
      </c>
      <c r="C2511" s="14">
        <f t="shared" si="357"/>
        <v>207.83333333333334</v>
      </c>
      <c r="D2511" s="11">
        <f t="shared" si="358"/>
        <v>1131.2678787255286</v>
      </c>
      <c r="E2511" s="24">
        <f t="shared" si="359"/>
        <v>1130.2058504057143</v>
      </c>
      <c r="F2511" s="24">
        <f t="shared" si="352"/>
        <v>26.550707995357925</v>
      </c>
      <c r="G2511" s="14">
        <f t="shared" si="353"/>
        <v>466.3740380298201</v>
      </c>
      <c r="H2511" s="24">
        <f t="shared" si="360"/>
        <v>650</v>
      </c>
      <c r="I2511" s="12">
        <f t="shared" si="354"/>
        <v>6.0588767507636067E-2</v>
      </c>
      <c r="J2511" s="3">
        <f t="shared" si="355"/>
        <v>0.7</v>
      </c>
    </row>
    <row r="2512" spans="2:10" x14ac:dyDescent="0.25">
      <c r="B2512" s="3">
        <f t="shared" si="356"/>
        <v>12475</v>
      </c>
      <c r="C2512" s="14">
        <f t="shared" si="357"/>
        <v>207.91666666666666</v>
      </c>
      <c r="D2512" s="11">
        <f t="shared" si="358"/>
        <v>1131.327907410729</v>
      </c>
      <c r="E2512" s="24">
        <f t="shared" si="359"/>
        <v>1130.2664391732219</v>
      </c>
      <c r="F2512" s="24">
        <f t="shared" si="352"/>
        <v>26.536705937678562</v>
      </c>
      <c r="G2512" s="14">
        <f t="shared" si="353"/>
        <v>466.18816743115275</v>
      </c>
      <c r="H2512" s="24">
        <f t="shared" si="360"/>
        <v>650</v>
      </c>
      <c r="I2512" s="12">
        <f t="shared" si="354"/>
        <v>6.0564199786083892E-2</v>
      </c>
      <c r="J2512" s="3">
        <f t="shared" si="355"/>
        <v>0.7</v>
      </c>
    </row>
    <row r="2513" spans="2:10" x14ac:dyDescent="0.25">
      <c r="B2513" s="3">
        <f t="shared" si="356"/>
        <v>12480</v>
      </c>
      <c r="C2513" s="14">
        <f t="shared" si="357"/>
        <v>208</v>
      </c>
      <c r="D2513" s="11">
        <f t="shared" si="358"/>
        <v>1131.3879120556069</v>
      </c>
      <c r="E2513" s="24">
        <f t="shared" si="359"/>
        <v>1130.327003373008</v>
      </c>
      <c r="F2513" s="24">
        <f t="shared" ref="F2513:F2576" si="361">AlphaC*(D2513-E2513)</f>
        <v>26.522717064972312</v>
      </c>
      <c r="G2513" s="14">
        <f t="shared" ref="G2513:G2576" si="362">Phi*EpsilonF*Botzman/10^8*J2513*((D2513+273)^4-(E2513+273)^4)</f>
        <v>466.00244604523806</v>
      </c>
      <c r="H2513" s="24">
        <f t="shared" si="360"/>
        <v>650</v>
      </c>
      <c r="I2513" s="12">
        <f t="shared" ref="I2513:I2576" si="363">ksh*Massivete/(H2513*RhoA)*DeltaT*(F2513+G2513)</f>
        <v>6.0539652025952052E-2</v>
      </c>
      <c r="J2513" s="3">
        <f t="shared" ref="J2513:J2576" si="364">IF(E2513&lt;=500,IF(Galva=Oui,0.35,0.7),0.7)</f>
        <v>0.7</v>
      </c>
    </row>
    <row r="2514" spans="2:10" x14ac:dyDescent="0.25">
      <c r="B2514" s="3">
        <f t="shared" ref="B2514:B2577" si="365">B2513+DeltaT</f>
        <v>12485</v>
      </c>
      <c r="C2514" s="14">
        <f t="shared" ref="C2514:C2577" si="366">B2514/60</f>
        <v>208.08333333333334</v>
      </c>
      <c r="D2514" s="11">
        <f t="shared" ref="D2514:D2577" si="367">20+345*LOG(8*C2514+1,10)</f>
        <v>1131.4478926794088</v>
      </c>
      <c r="E2514" s="24">
        <f t="shared" si="359"/>
        <v>1130.3875430250339</v>
      </c>
      <c r="F2514" s="24">
        <f t="shared" si="361"/>
        <v>26.508741359373289</v>
      </c>
      <c r="G2514" s="14">
        <f t="shared" si="362"/>
        <v>465.81687369122301</v>
      </c>
      <c r="H2514" s="24">
        <f t="shared" si="360"/>
        <v>650</v>
      </c>
      <c r="I2514" s="12">
        <f t="shared" si="363"/>
        <v>6.0515124202814644E-2</v>
      </c>
      <c r="J2514" s="3">
        <f t="shared" si="364"/>
        <v>0.7</v>
      </c>
    </row>
    <row r="2515" spans="2:10" x14ac:dyDescent="0.25">
      <c r="B2515" s="3">
        <f t="shared" si="365"/>
        <v>12490</v>
      </c>
      <c r="C2515" s="14">
        <f t="shared" si="366"/>
        <v>208.16666666666666</v>
      </c>
      <c r="D2515" s="11">
        <f t="shared" si="367"/>
        <v>1131.50784930136</v>
      </c>
      <c r="E2515" s="24">
        <f t="shared" si="359"/>
        <v>1130.4480581492367</v>
      </c>
      <c r="F2515" s="24">
        <f t="shared" si="361"/>
        <v>26.494778803083818</v>
      </c>
      <c r="G2515" s="14">
        <f t="shared" si="362"/>
        <v>465.63145018933977</v>
      </c>
      <c r="H2515" s="24">
        <f t="shared" si="360"/>
        <v>650</v>
      </c>
      <c r="I2515" s="12">
        <f t="shared" si="363"/>
        <v>6.0490616292387535E-2</v>
      </c>
      <c r="J2515" s="3">
        <f t="shared" si="364"/>
        <v>0.7</v>
      </c>
    </row>
    <row r="2516" spans="2:10" x14ac:dyDescent="0.25">
      <c r="B2516" s="3">
        <f t="shared" si="365"/>
        <v>12495</v>
      </c>
      <c r="C2516" s="14">
        <f t="shared" si="366"/>
        <v>208.25</v>
      </c>
      <c r="D2516" s="11">
        <f t="shared" si="367"/>
        <v>1131.5677819406619</v>
      </c>
      <c r="E2516" s="24">
        <f t="shared" si="359"/>
        <v>1130.508548765529</v>
      </c>
      <c r="F2516" s="24">
        <f t="shared" si="361"/>
        <v>26.480829378323278</v>
      </c>
      <c r="G2516" s="14">
        <f t="shared" si="362"/>
        <v>465.44617535970423</v>
      </c>
      <c r="H2516" s="24">
        <f t="shared" si="360"/>
        <v>650</v>
      </c>
      <c r="I2516" s="12">
        <f t="shared" si="363"/>
        <v>6.046612827037439E-2</v>
      </c>
      <c r="J2516" s="3">
        <f t="shared" si="364"/>
        <v>0.7</v>
      </c>
    </row>
    <row r="2517" spans="2:10" x14ac:dyDescent="0.25">
      <c r="B2517" s="3">
        <f t="shared" si="365"/>
        <v>12500</v>
      </c>
      <c r="C2517" s="14">
        <f t="shared" si="366"/>
        <v>208.33333333333334</v>
      </c>
      <c r="D2517" s="11">
        <f t="shared" si="367"/>
        <v>1131.6276906164926</v>
      </c>
      <c r="E2517" s="24">
        <f t="shared" si="359"/>
        <v>1130.5690148937992</v>
      </c>
      <c r="F2517" s="24">
        <f t="shared" si="361"/>
        <v>26.466893067333785</v>
      </c>
      <c r="G2517" s="14">
        <f t="shared" si="362"/>
        <v>465.2610490227425</v>
      </c>
      <c r="H2517" s="24">
        <f t="shared" si="360"/>
        <v>650</v>
      </c>
      <c r="I2517" s="12">
        <f t="shared" si="363"/>
        <v>6.0441660112519814E-2</v>
      </c>
      <c r="J2517" s="3">
        <f t="shared" si="364"/>
        <v>0.7</v>
      </c>
    </row>
    <row r="2518" spans="2:10" x14ac:dyDescent="0.25">
      <c r="B2518" s="3">
        <f t="shared" si="365"/>
        <v>12505</v>
      </c>
      <c r="C2518" s="14">
        <f t="shared" si="366"/>
        <v>208.41666666666666</v>
      </c>
      <c r="D2518" s="11">
        <f t="shared" si="367"/>
        <v>1131.6875753480076</v>
      </c>
      <c r="E2518" s="24">
        <f t="shared" si="359"/>
        <v>1130.6294565539117</v>
      </c>
      <c r="F2518" s="24">
        <f t="shared" si="361"/>
        <v>26.452969852397246</v>
      </c>
      <c r="G2518" s="14">
        <f t="shared" si="362"/>
        <v>465.07607099917118</v>
      </c>
      <c r="H2518" s="24">
        <f t="shared" si="360"/>
        <v>650</v>
      </c>
      <c r="I2518" s="12">
        <f t="shared" si="363"/>
        <v>6.0417211794608995E-2</v>
      </c>
      <c r="J2518" s="3">
        <f t="shared" si="364"/>
        <v>0.7</v>
      </c>
    </row>
    <row r="2519" spans="2:10" x14ac:dyDescent="0.25">
      <c r="B2519" s="3">
        <f t="shared" si="365"/>
        <v>12510</v>
      </c>
      <c r="C2519" s="14">
        <f t="shared" si="366"/>
        <v>208.5</v>
      </c>
      <c r="D2519" s="11">
        <f t="shared" si="367"/>
        <v>1131.7474361543398</v>
      </c>
      <c r="E2519" s="24">
        <f t="shared" si="359"/>
        <v>1130.6898737657064</v>
      </c>
      <c r="F2519" s="24">
        <f t="shared" si="361"/>
        <v>26.439059715835356</v>
      </c>
      <c r="G2519" s="14">
        <f t="shared" si="362"/>
        <v>464.89124111023023</v>
      </c>
      <c r="H2519" s="24">
        <f t="shared" si="360"/>
        <v>650</v>
      </c>
      <c r="I2519" s="12">
        <f t="shared" si="363"/>
        <v>6.0392783292496345E-2</v>
      </c>
      <c r="J2519" s="3">
        <f t="shared" si="364"/>
        <v>0.7</v>
      </c>
    </row>
    <row r="2520" spans="2:10" x14ac:dyDescent="0.25">
      <c r="B2520" s="3">
        <f t="shared" si="365"/>
        <v>12515</v>
      </c>
      <c r="C2520" s="14">
        <f t="shared" si="366"/>
        <v>208.58333333333334</v>
      </c>
      <c r="D2520" s="11">
        <f t="shared" si="367"/>
        <v>1131.8072730545987</v>
      </c>
      <c r="E2520" s="24">
        <f t="shared" si="359"/>
        <v>1130.7502665489988</v>
      </c>
      <c r="F2520" s="24">
        <f t="shared" si="361"/>
        <v>26.425162639998234</v>
      </c>
      <c r="G2520" s="14">
        <f t="shared" si="362"/>
        <v>464.70655917729539</v>
      </c>
      <c r="H2520" s="24">
        <f t="shared" si="360"/>
        <v>650</v>
      </c>
      <c r="I2520" s="12">
        <f t="shared" si="363"/>
        <v>6.0368374582056468E-2</v>
      </c>
      <c r="J2520" s="3">
        <f t="shared" si="364"/>
        <v>0.7</v>
      </c>
    </row>
    <row r="2521" spans="2:10" x14ac:dyDescent="0.25">
      <c r="B2521" s="3">
        <f t="shared" si="365"/>
        <v>12520</v>
      </c>
      <c r="C2521" s="14">
        <f t="shared" si="366"/>
        <v>208.66666666666666</v>
      </c>
      <c r="D2521" s="11">
        <f t="shared" si="367"/>
        <v>1131.867086067871</v>
      </c>
      <c r="E2521" s="24">
        <f t="shared" si="359"/>
        <v>1130.8106349235809</v>
      </c>
      <c r="F2521" s="24">
        <f t="shared" si="361"/>
        <v>26.411278607253053</v>
      </c>
      <c r="G2521" s="14">
        <f t="shared" si="362"/>
        <v>464.5220250219553</v>
      </c>
      <c r="H2521" s="24">
        <f t="shared" si="360"/>
        <v>650</v>
      </c>
      <c r="I2521" s="12">
        <f t="shared" si="363"/>
        <v>6.0343985639192209E-2</v>
      </c>
      <c r="J2521" s="3">
        <f t="shared" si="364"/>
        <v>0.7</v>
      </c>
    </row>
    <row r="2522" spans="2:10" x14ac:dyDescent="0.25">
      <c r="B2522" s="3">
        <f t="shared" si="365"/>
        <v>12525</v>
      </c>
      <c r="C2522" s="14">
        <f t="shared" si="366"/>
        <v>208.75</v>
      </c>
      <c r="D2522" s="11">
        <f t="shared" si="367"/>
        <v>1131.92687521322</v>
      </c>
      <c r="E2522" s="24">
        <f t="shared" si="359"/>
        <v>1130.8709789092202</v>
      </c>
      <c r="F2522" s="24">
        <f t="shared" si="361"/>
        <v>26.397407599995404</v>
      </c>
      <c r="G2522" s="14">
        <f t="shared" si="362"/>
        <v>464.33763846595394</v>
      </c>
      <c r="H2522" s="24">
        <f t="shared" si="360"/>
        <v>650</v>
      </c>
      <c r="I2522" s="12">
        <f t="shared" si="363"/>
        <v>6.0319616439829034E-2</v>
      </c>
      <c r="J2522" s="3">
        <f t="shared" si="364"/>
        <v>0.7</v>
      </c>
    </row>
    <row r="2523" spans="2:10" x14ac:dyDescent="0.25">
      <c r="B2523" s="3">
        <f t="shared" si="365"/>
        <v>12530</v>
      </c>
      <c r="C2523" s="14">
        <f t="shared" si="366"/>
        <v>208.83333333333334</v>
      </c>
      <c r="D2523" s="11">
        <f t="shared" si="367"/>
        <v>1131.986640509687</v>
      </c>
      <c r="E2523" s="24">
        <f t="shared" si="359"/>
        <v>1130.9312985256599</v>
      </c>
      <c r="F2523" s="24">
        <f t="shared" si="361"/>
        <v>26.383549600677725</v>
      </c>
      <c r="G2523" s="14">
        <f t="shared" si="362"/>
        <v>464.15339933167462</v>
      </c>
      <c r="H2523" s="24">
        <f t="shared" si="360"/>
        <v>650</v>
      </c>
      <c r="I2523" s="12">
        <f t="shared" si="363"/>
        <v>6.0295266959977958E-2</v>
      </c>
      <c r="J2523" s="3">
        <f t="shared" si="364"/>
        <v>0.7</v>
      </c>
    </row>
    <row r="2524" spans="2:10" x14ac:dyDescent="0.25">
      <c r="B2524" s="3">
        <f t="shared" si="365"/>
        <v>12535</v>
      </c>
      <c r="C2524" s="14">
        <f t="shared" si="366"/>
        <v>208.91666666666666</v>
      </c>
      <c r="D2524" s="11">
        <f t="shared" si="367"/>
        <v>1132.0463819762906</v>
      </c>
      <c r="E2524" s="24">
        <f t="shared" si="359"/>
        <v>1130.9915937926198</v>
      </c>
      <c r="F2524" s="24">
        <f t="shared" si="361"/>
        <v>26.369704591769505</v>
      </c>
      <c r="G2524" s="14">
        <f t="shared" si="362"/>
        <v>463.96930744169447</v>
      </c>
      <c r="H2524" s="24">
        <f t="shared" si="360"/>
        <v>650</v>
      </c>
      <c r="I2524" s="12">
        <f t="shared" si="363"/>
        <v>6.0270937175675915E-2</v>
      </c>
      <c r="J2524" s="3">
        <f t="shared" si="364"/>
        <v>0.7</v>
      </c>
    </row>
    <row r="2525" spans="2:10" x14ac:dyDescent="0.25">
      <c r="B2525" s="3">
        <f t="shared" si="365"/>
        <v>12540</v>
      </c>
      <c r="C2525" s="14">
        <f t="shared" si="366"/>
        <v>209</v>
      </c>
      <c r="D2525" s="11">
        <f t="shared" si="367"/>
        <v>1132.1060996320259</v>
      </c>
      <c r="E2525" s="24">
        <f t="shared" si="359"/>
        <v>1131.0518647297954</v>
      </c>
      <c r="F2525" s="24">
        <f t="shared" si="361"/>
        <v>26.355872555762971</v>
      </c>
      <c r="G2525" s="14">
        <f t="shared" si="362"/>
        <v>463.78536261870704</v>
      </c>
      <c r="H2525" s="24">
        <f t="shared" si="360"/>
        <v>650</v>
      </c>
      <c r="I2525" s="12">
        <f t="shared" si="363"/>
        <v>6.0246627062976961E-2</v>
      </c>
      <c r="J2525" s="3">
        <f t="shared" si="364"/>
        <v>0.7</v>
      </c>
    </row>
    <row r="2526" spans="2:10" x14ac:dyDescent="0.25">
      <c r="B2526" s="3">
        <f t="shared" si="365"/>
        <v>12545</v>
      </c>
      <c r="C2526" s="14">
        <f t="shared" si="366"/>
        <v>209.08333333333334</v>
      </c>
      <c r="D2526" s="11">
        <f t="shared" si="367"/>
        <v>1132.1657934958662</v>
      </c>
      <c r="E2526" s="24">
        <f t="shared" si="359"/>
        <v>1131.1121113568583</v>
      </c>
      <c r="F2526" s="24">
        <f t="shared" si="361"/>
        <v>26.342053475195826</v>
      </c>
      <c r="G2526" s="14">
        <f t="shared" si="362"/>
        <v>463.60156468587081</v>
      </c>
      <c r="H2526" s="24">
        <f t="shared" si="360"/>
        <v>650</v>
      </c>
      <c r="I2526" s="12">
        <f t="shared" si="363"/>
        <v>6.0222336597997875E-2</v>
      </c>
      <c r="J2526" s="3">
        <f t="shared" si="364"/>
        <v>0.7</v>
      </c>
    </row>
    <row r="2527" spans="2:10" x14ac:dyDescent="0.25">
      <c r="B2527" s="3">
        <f t="shared" si="365"/>
        <v>12550</v>
      </c>
      <c r="C2527" s="14">
        <f t="shared" si="366"/>
        <v>209.16666666666666</v>
      </c>
      <c r="D2527" s="11">
        <f t="shared" si="367"/>
        <v>1132.225463586761</v>
      </c>
      <c r="E2527" s="24">
        <f t="shared" si="359"/>
        <v>1131.1723336934563</v>
      </c>
      <c r="F2527" s="24">
        <f t="shared" si="361"/>
        <v>26.328247332617138</v>
      </c>
      <c r="G2527" s="14">
        <f t="shared" si="362"/>
        <v>463.41791346642191</v>
      </c>
      <c r="H2527" s="24">
        <f t="shared" si="360"/>
        <v>650</v>
      </c>
      <c r="I2527" s="12">
        <f t="shared" si="363"/>
        <v>6.0198065756866377E-2</v>
      </c>
      <c r="J2527" s="3">
        <f t="shared" si="364"/>
        <v>0.7</v>
      </c>
    </row>
    <row r="2528" spans="2:10" x14ac:dyDescent="0.25">
      <c r="B2528" s="3">
        <f t="shared" si="365"/>
        <v>12555</v>
      </c>
      <c r="C2528" s="14">
        <f t="shared" si="366"/>
        <v>209.25</v>
      </c>
      <c r="D2528" s="11">
        <f t="shared" si="367"/>
        <v>1132.2851099236379</v>
      </c>
      <c r="E2528" s="24">
        <f t="shared" si="359"/>
        <v>1131.2325317592131</v>
      </c>
      <c r="F2528" s="24">
        <f t="shared" si="361"/>
        <v>26.314454110621455</v>
      </c>
      <c r="G2528" s="14">
        <f t="shared" si="362"/>
        <v>463.23440878394524</v>
      </c>
      <c r="H2528" s="24">
        <f t="shared" si="360"/>
        <v>650</v>
      </c>
      <c r="I2528" s="12">
        <f t="shared" si="363"/>
        <v>6.0173814515758657E-2</v>
      </c>
      <c r="J2528" s="3">
        <f t="shared" si="364"/>
        <v>0.7</v>
      </c>
    </row>
    <row r="2529" spans="2:10" x14ac:dyDescent="0.25">
      <c r="B2529" s="3">
        <f t="shared" si="365"/>
        <v>12560</v>
      </c>
      <c r="C2529" s="14">
        <f t="shared" si="366"/>
        <v>209.33333333333334</v>
      </c>
      <c r="D2529" s="11">
        <f t="shared" si="367"/>
        <v>1132.3447325254024</v>
      </c>
      <c r="E2529" s="24">
        <f t="shared" si="359"/>
        <v>1131.2927055737289</v>
      </c>
      <c r="F2529" s="24">
        <f t="shared" si="361"/>
        <v>26.300673791837426</v>
      </c>
      <c r="G2529" s="14">
        <f t="shared" si="362"/>
        <v>463.05105046260718</v>
      </c>
      <c r="H2529" s="24">
        <f t="shared" si="360"/>
        <v>650</v>
      </c>
      <c r="I2529" s="12">
        <f t="shared" si="363"/>
        <v>6.0149582850926558E-2</v>
      </c>
      <c r="J2529" s="3">
        <f t="shared" si="364"/>
        <v>0.7</v>
      </c>
    </row>
    <row r="2530" spans="2:10" x14ac:dyDescent="0.25">
      <c r="B2530" s="3">
        <f t="shared" si="365"/>
        <v>12565</v>
      </c>
      <c r="C2530" s="14">
        <f t="shared" si="366"/>
        <v>209.41666666666666</v>
      </c>
      <c r="D2530" s="11">
        <f t="shared" si="367"/>
        <v>1132.404331410936</v>
      </c>
      <c r="E2530" s="24">
        <f t="shared" si="359"/>
        <v>1131.3528551565798</v>
      </c>
      <c r="F2530" s="24">
        <f t="shared" si="361"/>
        <v>26.286906358905071</v>
      </c>
      <c r="G2530" s="14">
        <f t="shared" si="362"/>
        <v>462.86783832634143</v>
      </c>
      <c r="H2530" s="24">
        <f t="shared" si="360"/>
        <v>650</v>
      </c>
      <c r="I2530" s="12">
        <f t="shared" si="363"/>
        <v>6.0125370738594731E-2</v>
      </c>
      <c r="J2530" s="3">
        <f t="shared" si="364"/>
        <v>0.7</v>
      </c>
    </row>
    <row r="2531" spans="2:10" x14ac:dyDescent="0.25">
      <c r="B2531" s="3">
        <f t="shared" si="365"/>
        <v>12570</v>
      </c>
      <c r="C2531" s="14">
        <f t="shared" si="366"/>
        <v>209.5</v>
      </c>
      <c r="D2531" s="11">
        <f t="shared" si="367"/>
        <v>1132.4639065990996</v>
      </c>
      <c r="E2531" s="24">
        <f t="shared" si="359"/>
        <v>1131.4129805273185</v>
      </c>
      <c r="F2531" s="24">
        <f t="shared" si="361"/>
        <v>26.273151794526939</v>
      </c>
      <c r="G2531" s="14">
        <f t="shared" si="362"/>
        <v>462.68477220001205</v>
      </c>
      <c r="H2531" s="24">
        <f t="shared" si="360"/>
        <v>650</v>
      </c>
      <c r="I2531" s="12">
        <f t="shared" si="363"/>
        <v>6.0101178155109868E-2</v>
      </c>
      <c r="J2531" s="3">
        <f t="shared" si="364"/>
        <v>0.7</v>
      </c>
    </row>
    <row r="2532" spans="2:10" x14ac:dyDescent="0.25">
      <c r="B2532" s="3">
        <f t="shared" si="365"/>
        <v>12575</v>
      </c>
      <c r="C2532" s="14">
        <f t="shared" si="366"/>
        <v>209.58333333333334</v>
      </c>
      <c r="D2532" s="11">
        <f t="shared" si="367"/>
        <v>1132.5234581087295</v>
      </c>
      <c r="E2532" s="24">
        <f t="shared" si="359"/>
        <v>1131.4730817054735</v>
      </c>
      <c r="F2532" s="24">
        <f t="shared" si="361"/>
        <v>26.259410081399892</v>
      </c>
      <c r="G2532" s="14">
        <f t="shared" si="362"/>
        <v>462.50185190809538</v>
      </c>
      <c r="H2532" s="24">
        <f t="shared" si="360"/>
        <v>650</v>
      </c>
      <c r="I2532" s="12">
        <f t="shared" si="363"/>
        <v>6.0077005076770294E-2</v>
      </c>
      <c r="J2532" s="3">
        <f t="shared" si="364"/>
        <v>0.7</v>
      </c>
    </row>
    <row r="2533" spans="2:10" x14ac:dyDescent="0.25">
      <c r="B2533" s="3">
        <f t="shared" si="365"/>
        <v>12580</v>
      </c>
      <c r="C2533" s="14">
        <f t="shared" si="366"/>
        <v>209.66666666666666</v>
      </c>
      <c r="D2533" s="11">
        <f t="shared" si="367"/>
        <v>1132.5829859586411</v>
      </c>
      <c r="E2533" s="24">
        <f t="shared" si="359"/>
        <v>1131.5331587105502</v>
      </c>
      <c r="F2533" s="24">
        <f t="shared" si="361"/>
        <v>26.245681202271953</v>
      </c>
      <c r="G2533" s="14">
        <f t="shared" si="362"/>
        <v>462.31907727574617</v>
      </c>
      <c r="H2533" s="24">
        <f t="shared" si="360"/>
        <v>650</v>
      </c>
      <c r="I2533" s="12">
        <f t="shared" si="363"/>
        <v>6.0052851479964031E-2</v>
      </c>
      <c r="J2533" s="3">
        <f t="shared" si="364"/>
        <v>0.7</v>
      </c>
    </row>
    <row r="2534" spans="2:10" x14ac:dyDescent="0.25">
      <c r="B2534" s="3">
        <f t="shared" si="365"/>
        <v>12585</v>
      </c>
      <c r="C2534" s="14">
        <f t="shared" si="366"/>
        <v>209.75</v>
      </c>
      <c r="D2534" s="11">
        <f t="shared" si="367"/>
        <v>1132.6424901676266</v>
      </c>
      <c r="E2534" s="24">
        <f t="shared" si="359"/>
        <v>1131.5932115620301</v>
      </c>
      <c r="F2534" s="24">
        <f t="shared" si="361"/>
        <v>26.231965139913882</v>
      </c>
      <c r="G2534" s="14">
        <f t="shared" si="362"/>
        <v>462.13644812819655</v>
      </c>
      <c r="H2534" s="24">
        <f t="shared" si="360"/>
        <v>650</v>
      </c>
      <c r="I2534" s="12">
        <f t="shared" si="363"/>
        <v>6.0028717341091387E-2</v>
      </c>
      <c r="J2534" s="3">
        <f t="shared" si="364"/>
        <v>0.7</v>
      </c>
    </row>
    <row r="2535" spans="2:10" x14ac:dyDescent="0.25">
      <c r="B2535" s="3">
        <f t="shared" si="365"/>
        <v>12590</v>
      </c>
      <c r="C2535" s="14">
        <f t="shared" si="366"/>
        <v>209.83333333333334</v>
      </c>
      <c r="D2535" s="11">
        <f t="shared" si="367"/>
        <v>1132.7019707544566</v>
      </c>
      <c r="E2535" s="24">
        <f t="shared" si="359"/>
        <v>1131.6532402793712</v>
      </c>
      <c r="F2535" s="24">
        <f t="shared" si="361"/>
        <v>26.218261877136229</v>
      </c>
      <c r="G2535" s="14">
        <f t="shared" si="362"/>
        <v>461.95396429127965</v>
      </c>
      <c r="H2535" s="24">
        <f t="shared" si="360"/>
        <v>650</v>
      </c>
      <c r="I2535" s="12">
        <f t="shared" si="363"/>
        <v>6.0004602636631439E-2</v>
      </c>
      <c r="J2535" s="3">
        <f t="shared" si="364"/>
        <v>0.7</v>
      </c>
    </row>
    <row r="2536" spans="2:10" x14ac:dyDescent="0.25">
      <c r="B2536" s="3">
        <f t="shared" si="365"/>
        <v>12595</v>
      </c>
      <c r="C2536" s="14">
        <f t="shared" si="366"/>
        <v>209.91666666666666</v>
      </c>
      <c r="D2536" s="11">
        <f t="shared" si="367"/>
        <v>1132.7614277378784</v>
      </c>
      <c r="E2536" s="24">
        <f t="shared" si="359"/>
        <v>1131.7132448820078</v>
      </c>
      <c r="F2536" s="24">
        <f t="shared" si="361"/>
        <v>26.204571396766596</v>
      </c>
      <c r="G2536" s="14">
        <f t="shared" si="362"/>
        <v>461.7716255906733</v>
      </c>
      <c r="H2536" s="24">
        <f t="shared" si="360"/>
        <v>650</v>
      </c>
      <c r="I2536" s="12">
        <f t="shared" si="363"/>
        <v>5.9980507343046281E-2</v>
      </c>
      <c r="J2536" s="3">
        <f t="shared" si="364"/>
        <v>0.7</v>
      </c>
    </row>
    <row r="2537" spans="2:10" x14ac:dyDescent="0.25">
      <c r="B2537" s="3">
        <f t="shared" si="365"/>
        <v>12600</v>
      </c>
      <c r="C2537" s="14">
        <f t="shared" si="366"/>
        <v>210</v>
      </c>
      <c r="D2537" s="11">
        <f t="shared" si="367"/>
        <v>1132.8208611366174</v>
      </c>
      <c r="E2537" s="24">
        <f t="shared" si="359"/>
        <v>1131.7732253893507</v>
      </c>
      <c r="F2537" s="24">
        <f t="shared" si="361"/>
        <v>26.190893681666694</v>
      </c>
      <c r="G2537" s="14">
        <f t="shared" si="362"/>
        <v>461.58943185263695</v>
      </c>
      <c r="H2537" s="24">
        <f t="shared" si="360"/>
        <v>650</v>
      </c>
      <c r="I2537" s="12">
        <f t="shared" si="363"/>
        <v>5.9956431436873681E-2</v>
      </c>
      <c r="J2537" s="3">
        <f t="shared" si="364"/>
        <v>0.7</v>
      </c>
    </row>
    <row r="2538" spans="2:10" x14ac:dyDescent="0.25">
      <c r="B2538" s="3">
        <f t="shared" si="365"/>
        <v>12605</v>
      </c>
      <c r="C2538" s="14">
        <f t="shared" si="366"/>
        <v>210.08333333333334</v>
      </c>
      <c r="D2538" s="11">
        <f t="shared" si="367"/>
        <v>1132.8802709693771</v>
      </c>
      <c r="E2538" s="24">
        <f t="shared" si="359"/>
        <v>1131.8331818207876</v>
      </c>
      <c r="F2538" s="24">
        <f t="shared" si="361"/>
        <v>26.177228714738021</v>
      </c>
      <c r="G2538" s="14">
        <f t="shared" si="362"/>
        <v>461.40738290368182</v>
      </c>
      <c r="H2538" s="24">
        <f t="shared" si="360"/>
        <v>650</v>
      </c>
      <c r="I2538" s="12">
        <f t="shared" si="363"/>
        <v>5.9932374894687244E-2</v>
      </c>
      <c r="J2538" s="3">
        <f t="shared" si="364"/>
        <v>0.7</v>
      </c>
    </row>
    <row r="2539" spans="2:10" x14ac:dyDescent="0.25">
      <c r="B2539" s="3">
        <f t="shared" si="365"/>
        <v>12610</v>
      </c>
      <c r="C2539" s="14">
        <f t="shared" si="366"/>
        <v>210.16666666666666</v>
      </c>
      <c r="D2539" s="11">
        <f t="shared" si="367"/>
        <v>1132.939657254838</v>
      </c>
      <c r="E2539" s="24">
        <f t="shared" si="359"/>
        <v>1131.8931141956823</v>
      </c>
      <c r="F2539" s="24">
        <f t="shared" si="361"/>
        <v>26.163576478893447</v>
      </c>
      <c r="G2539" s="14">
        <f t="shared" si="362"/>
        <v>461.2254785704161</v>
      </c>
      <c r="H2539" s="24">
        <f t="shared" si="360"/>
        <v>650</v>
      </c>
      <c r="I2539" s="12">
        <f t="shared" si="363"/>
        <v>5.9908337693073903E-2</v>
      </c>
      <c r="J2539" s="3">
        <f t="shared" si="364"/>
        <v>0.7</v>
      </c>
    </row>
    <row r="2540" spans="2:10" x14ac:dyDescent="0.25">
      <c r="B2540" s="3">
        <f t="shared" si="365"/>
        <v>12615</v>
      </c>
      <c r="C2540" s="14">
        <f t="shared" si="366"/>
        <v>210.25</v>
      </c>
      <c r="D2540" s="11">
        <f t="shared" si="367"/>
        <v>1132.999020011659</v>
      </c>
      <c r="E2540" s="24">
        <f t="shared" si="359"/>
        <v>1131.9530225333754</v>
      </c>
      <c r="F2540" s="24">
        <f t="shared" si="361"/>
        <v>26.149936957091313</v>
      </c>
      <c r="G2540" s="14">
        <f t="shared" si="362"/>
        <v>461.04371867983565</v>
      </c>
      <c r="H2540" s="24">
        <f t="shared" si="360"/>
        <v>650</v>
      </c>
      <c r="I2540" s="12">
        <f t="shared" si="363"/>
        <v>5.9884319808673807E-2</v>
      </c>
      <c r="J2540" s="3">
        <f t="shared" si="364"/>
        <v>0.7</v>
      </c>
    </row>
    <row r="2541" spans="2:10" x14ac:dyDescent="0.25">
      <c r="B2541" s="3">
        <f t="shared" si="365"/>
        <v>12620</v>
      </c>
      <c r="C2541" s="14">
        <f t="shared" si="366"/>
        <v>210.33333333333334</v>
      </c>
      <c r="D2541" s="11">
        <f t="shared" si="367"/>
        <v>1133.0583592584769</v>
      </c>
      <c r="E2541" s="24">
        <f t="shared" si="359"/>
        <v>1132.0129068531839</v>
      </c>
      <c r="F2541" s="24">
        <f t="shared" si="361"/>
        <v>26.13631013232407</v>
      </c>
      <c r="G2541" s="14">
        <f t="shared" si="362"/>
        <v>460.86210305951755</v>
      </c>
      <c r="H2541" s="24">
        <f t="shared" si="360"/>
        <v>650</v>
      </c>
      <c r="I2541" s="12">
        <f t="shared" si="363"/>
        <v>5.9860321218202776E-2</v>
      </c>
      <c r="J2541" s="3">
        <f t="shared" si="364"/>
        <v>0.7</v>
      </c>
    </row>
    <row r="2542" spans="2:10" x14ac:dyDescent="0.25">
      <c r="B2542" s="3">
        <f t="shared" si="365"/>
        <v>12625</v>
      </c>
      <c r="C2542" s="14">
        <f t="shared" si="366"/>
        <v>210.41666666666666</v>
      </c>
      <c r="D2542" s="11">
        <f t="shared" si="367"/>
        <v>1133.1176750139059</v>
      </c>
      <c r="E2542" s="24">
        <f t="shared" si="359"/>
        <v>1132.0727671744021</v>
      </c>
      <c r="F2542" s="24">
        <f t="shared" si="361"/>
        <v>26.122695987595534</v>
      </c>
      <c r="G2542" s="14">
        <f t="shared" si="362"/>
        <v>460.68063153670954</v>
      </c>
      <c r="H2542" s="24">
        <f t="shared" si="360"/>
        <v>650</v>
      </c>
      <c r="I2542" s="12">
        <f t="shared" si="363"/>
        <v>5.9836341898337503E-2</v>
      </c>
      <c r="J2542" s="3">
        <f t="shared" si="364"/>
        <v>0.7</v>
      </c>
    </row>
    <row r="2543" spans="2:10" x14ac:dyDescent="0.25">
      <c r="B2543" s="3">
        <f t="shared" si="365"/>
        <v>12630</v>
      </c>
      <c r="C2543" s="14">
        <f t="shared" si="366"/>
        <v>210.5</v>
      </c>
      <c r="D2543" s="11">
        <f t="shared" si="367"/>
        <v>1133.1769672965384</v>
      </c>
      <c r="E2543" s="24">
        <f t="shared" si="359"/>
        <v>1132.1326035163004</v>
      </c>
      <c r="F2543" s="24">
        <f t="shared" si="361"/>
        <v>26.109094505949315</v>
      </c>
      <c r="G2543" s="14">
        <f t="shared" si="362"/>
        <v>460.49930393943464</v>
      </c>
      <c r="H2543" s="24">
        <f t="shared" si="360"/>
        <v>650</v>
      </c>
      <c r="I2543" s="12">
        <f t="shared" si="363"/>
        <v>5.981238182585491E-2</v>
      </c>
      <c r="J2543" s="3">
        <f t="shared" si="364"/>
        <v>0.7</v>
      </c>
    </row>
    <row r="2544" spans="2:10" x14ac:dyDescent="0.25">
      <c r="B2544" s="3">
        <f t="shared" si="365"/>
        <v>12635</v>
      </c>
      <c r="C2544" s="14">
        <f t="shared" si="366"/>
        <v>210.58333333333334</v>
      </c>
      <c r="D2544" s="11">
        <f t="shared" si="367"/>
        <v>1133.2362361249441</v>
      </c>
      <c r="E2544" s="24">
        <f t="shared" si="359"/>
        <v>1132.1924158981262</v>
      </c>
      <c r="F2544" s="24">
        <f t="shared" si="361"/>
        <v>26.095505670446073</v>
      </c>
      <c r="G2544" s="14">
        <f t="shared" si="362"/>
        <v>460.31812009544439</v>
      </c>
      <c r="H2544" s="24">
        <f t="shared" si="360"/>
        <v>650</v>
      </c>
      <c r="I2544" s="12">
        <f t="shared" si="363"/>
        <v>5.9788440977500606E-2</v>
      </c>
      <c r="J2544" s="3">
        <f t="shared" si="364"/>
        <v>0.7</v>
      </c>
    </row>
    <row r="2545" spans="2:10" x14ac:dyDescent="0.25">
      <c r="B2545" s="3">
        <f t="shared" si="365"/>
        <v>12640</v>
      </c>
      <c r="C2545" s="14">
        <f t="shared" si="366"/>
        <v>210.66666666666666</v>
      </c>
      <c r="D2545" s="11">
        <f t="shared" si="367"/>
        <v>1133.2954815176722</v>
      </c>
      <c r="E2545" s="24">
        <f t="shared" si="359"/>
        <v>1132.2522043391036</v>
      </c>
      <c r="F2545" s="24">
        <f t="shared" si="361"/>
        <v>26.081929464214682</v>
      </c>
      <c r="G2545" s="14">
        <f t="shared" si="362"/>
        <v>460.13707983375002</v>
      </c>
      <c r="H2545" s="24">
        <f t="shared" si="360"/>
        <v>650</v>
      </c>
      <c r="I2545" s="12">
        <f t="shared" si="363"/>
        <v>5.9764519330183452E-2</v>
      </c>
      <c r="J2545" s="3">
        <f t="shared" si="364"/>
        <v>0.7</v>
      </c>
    </row>
    <row r="2546" spans="2:10" x14ac:dyDescent="0.25">
      <c r="B2546" s="3">
        <f t="shared" si="365"/>
        <v>12645</v>
      </c>
      <c r="C2546" s="14">
        <f t="shared" si="366"/>
        <v>210.75</v>
      </c>
      <c r="D2546" s="11">
        <f t="shared" si="367"/>
        <v>1133.3547034932481</v>
      </c>
      <c r="E2546" s="24">
        <f t="shared" si="359"/>
        <v>1132.3119688584338</v>
      </c>
      <c r="F2546" s="24">
        <f t="shared" si="361"/>
        <v>26.068365870355592</v>
      </c>
      <c r="G2546" s="14">
        <f t="shared" si="362"/>
        <v>459.9561829823939</v>
      </c>
      <c r="H2546" s="24">
        <f t="shared" si="360"/>
        <v>650</v>
      </c>
      <c r="I2546" s="12">
        <f t="shared" si="363"/>
        <v>5.9740616860689717E-2</v>
      </c>
      <c r="J2546" s="3">
        <f t="shared" si="364"/>
        <v>0.7</v>
      </c>
    </row>
    <row r="2547" spans="2:10" x14ac:dyDescent="0.25">
      <c r="B2547" s="3">
        <f t="shared" si="365"/>
        <v>12650</v>
      </c>
      <c r="C2547" s="14">
        <f t="shared" si="366"/>
        <v>210.83333333333334</v>
      </c>
      <c r="D2547" s="11">
        <f t="shared" si="367"/>
        <v>1133.4139020701766</v>
      </c>
      <c r="E2547" s="24">
        <f t="shared" si="359"/>
        <v>1132.3717094752944</v>
      </c>
      <c r="F2547" s="24">
        <f t="shared" si="361"/>
        <v>26.054814872054521</v>
      </c>
      <c r="G2547" s="14">
        <f t="shared" si="362"/>
        <v>459.77542937079431</v>
      </c>
      <c r="H2547" s="24">
        <f t="shared" si="360"/>
        <v>650</v>
      </c>
      <c r="I2547" s="12">
        <f t="shared" si="363"/>
        <v>5.9716733545985265E-2</v>
      </c>
      <c r="J2547" s="3">
        <f t="shared" si="364"/>
        <v>0.7</v>
      </c>
    </row>
    <row r="2548" spans="2:10" x14ac:dyDescent="0.25">
      <c r="B2548" s="3">
        <f t="shared" si="365"/>
        <v>12655</v>
      </c>
      <c r="C2548" s="14">
        <f t="shared" si="366"/>
        <v>210.91666666666666</v>
      </c>
      <c r="D2548" s="11">
        <f t="shared" si="367"/>
        <v>1133.4730772669395</v>
      </c>
      <c r="E2548" s="24">
        <f t="shared" ref="E2548:E2611" si="368">E2547+I2547</f>
        <v>1132.4314262088403</v>
      </c>
      <c r="F2548" s="24">
        <f t="shared" si="361"/>
        <v>26.041276452480133</v>
      </c>
      <c r="G2548" s="14">
        <f t="shared" si="362"/>
        <v>459.59481882776873</v>
      </c>
      <c r="H2548" s="24">
        <f t="shared" ref="H2548:H2611" si="369">IF(E2548&lt;600,425+0.773*E2548-1.69/1000*E2548^2+2.22/1000^2*E2548^3,IF(E2548&lt;735,666+13002/(738-E2548),IF(E2548&lt;900,545+17820/(E2548-731),650)))</f>
        <v>650</v>
      </c>
      <c r="I2548" s="12">
        <f t="shared" si="363"/>
        <v>5.9692869362960012E-2</v>
      </c>
      <c r="J2548" s="3">
        <f t="shared" si="364"/>
        <v>0.7</v>
      </c>
    </row>
    <row r="2549" spans="2:10" x14ac:dyDescent="0.25">
      <c r="B2549" s="3">
        <f t="shared" si="365"/>
        <v>12660</v>
      </c>
      <c r="C2549" s="14">
        <f t="shared" si="366"/>
        <v>211</v>
      </c>
      <c r="D2549" s="11">
        <f t="shared" si="367"/>
        <v>1133.5322291019979</v>
      </c>
      <c r="E2549" s="24">
        <f t="shared" si="368"/>
        <v>1132.4911190782034</v>
      </c>
      <c r="F2549" s="24">
        <f t="shared" si="361"/>
        <v>26.027750594863619</v>
      </c>
      <c r="G2549" s="14">
        <f t="shared" si="362"/>
        <v>459.41435118296795</v>
      </c>
      <c r="H2549" s="24">
        <f t="shared" si="369"/>
        <v>650</v>
      </c>
      <c r="I2549" s="12">
        <f t="shared" si="363"/>
        <v>5.9669024288614016E-2</v>
      </c>
      <c r="J2549" s="3">
        <f t="shared" si="364"/>
        <v>0.7</v>
      </c>
    </row>
    <row r="2550" spans="2:10" x14ac:dyDescent="0.25">
      <c r="B2550" s="3">
        <f t="shared" si="365"/>
        <v>12665</v>
      </c>
      <c r="C2550" s="14">
        <f t="shared" si="366"/>
        <v>211.08333333333334</v>
      </c>
      <c r="D2550" s="11">
        <f t="shared" si="367"/>
        <v>1133.59135759379</v>
      </c>
      <c r="E2550" s="24">
        <f t="shared" si="368"/>
        <v>1132.5507881024921</v>
      </c>
      <c r="F2550" s="24">
        <f t="shared" si="361"/>
        <v>26.014237282447539</v>
      </c>
      <c r="G2550" s="14">
        <f t="shared" si="362"/>
        <v>459.23402626617849</v>
      </c>
      <c r="H2550" s="24">
        <f t="shared" si="369"/>
        <v>650</v>
      </c>
      <c r="I2550" s="12">
        <f t="shared" si="363"/>
        <v>5.9645198299965382E-2</v>
      </c>
      <c r="J2550" s="3">
        <f t="shared" si="364"/>
        <v>0.7</v>
      </c>
    </row>
    <row r="2551" spans="2:10" x14ac:dyDescent="0.25">
      <c r="B2551" s="3">
        <f t="shared" si="365"/>
        <v>12670</v>
      </c>
      <c r="C2551" s="14">
        <f t="shared" si="366"/>
        <v>211.16666666666666</v>
      </c>
      <c r="D2551" s="11">
        <f t="shared" si="367"/>
        <v>1133.6504627607326</v>
      </c>
      <c r="E2551" s="24">
        <f t="shared" si="368"/>
        <v>1132.610433300792</v>
      </c>
      <c r="F2551" s="24">
        <f t="shared" si="361"/>
        <v>26.000736498514243</v>
      </c>
      <c r="G2551" s="14">
        <f t="shared" si="362"/>
        <v>459.0538439073419</v>
      </c>
      <c r="H2551" s="24">
        <f t="shared" si="369"/>
        <v>650</v>
      </c>
      <c r="I2551" s="12">
        <f t="shared" si="363"/>
        <v>5.9621391374056178E-2</v>
      </c>
      <c r="J2551" s="3">
        <f t="shared" si="364"/>
        <v>0.7</v>
      </c>
    </row>
    <row r="2552" spans="2:10" x14ac:dyDescent="0.25">
      <c r="B2552" s="3">
        <f t="shared" si="365"/>
        <v>12675</v>
      </c>
      <c r="C2552" s="14">
        <f t="shared" si="366"/>
        <v>211.25</v>
      </c>
      <c r="D2552" s="11">
        <f t="shared" si="367"/>
        <v>1133.7095446212206</v>
      </c>
      <c r="E2552" s="24">
        <f t="shared" si="368"/>
        <v>1132.6700546921661</v>
      </c>
      <c r="F2552" s="24">
        <f t="shared" si="361"/>
        <v>25.987248226363135</v>
      </c>
      <c r="G2552" s="14">
        <f t="shared" si="362"/>
        <v>458.87380393674857</v>
      </c>
      <c r="H2552" s="24">
        <f t="shared" si="369"/>
        <v>650</v>
      </c>
      <c r="I2552" s="12">
        <f t="shared" si="363"/>
        <v>5.9597603487973452E-2</v>
      </c>
      <c r="J2552" s="3">
        <f t="shared" si="364"/>
        <v>0.7</v>
      </c>
    </row>
    <row r="2553" spans="2:10" x14ac:dyDescent="0.25">
      <c r="B2553" s="3">
        <f t="shared" si="365"/>
        <v>12680</v>
      </c>
      <c r="C2553" s="14">
        <f t="shared" si="366"/>
        <v>211.33333333333334</v>
      </c>
      <c r="D2553" s="11">
        <f t="shared" si="367"/>
        <v>1133.7686031936278</v>
      </c>
      <c r="E2553" s="24">
        <f t="shared" si="368"/>
        <v>1132.729652295654</v>
      </c>
      <c r="F2553" s="24">
        <f t="shared" si="361"/>
        <v>25.973772449344779</v>
      </c>
      <c r="G2553" s="14">
        <f t="shared" si="362"/>
        <v>458.69390618521203</v>
      </c>
      <c r="H2553" s="24">
        <f t="shared" si="369"/>
        <v>650</v>
      </c>
      <c r="I2553" s="12">
        <f t="shared" si="363"/>
        <v>5.9573834618874832E-2</v>
      </c>
      <c r="J2553" s="3">
        <f t="shared" si="364"/>
        <v>0.7</v>
      </c>
    </row>
    <row r="2554" spans="2:10" x14ac:dyDescent="0.25">
      <c r="B2554" s="3">
        <f t="shared" si="365"/>
        <v>12685</v>
      </c>
      <c r="C2554" s="14">
        <f t="shared" si="366"/>
        <v>211.41666666666666</v>
      </c>
      <c r="D2554" s="11">
        <f t="shared" si="367"/>
        <v>1133.8276384963051</v>
      </c>
      <c r="E2554" s="24">
        <f t="shared" si="368"/>
        <v>1132.7892261302729</v>
      </c>
      <c r="F2554" s="24">
        <f t="shared" si="361"/>
        <v>25.960309150804051</v>
      </c>
      <c r="G2554" s="14">
        <f t="shared" si="362"/>
        <v>458.51415048325526</v>
      </c>
      <c r="H2554" s="24">
        <f t="shared" si="369"/>
        <v>650</v>
      </c>
      <c r="I2554" s="12">
        <f t="shared" si="363"/>
        <v>5.9550084743881536E-2</v>
      </c>
      <c r="J2554" s="3">
        <f t="shared" si="364"/>
        <v>0.7</v>
      </c>
    </row>
    <row r="2555" spans="2:10" x14ac:dyDescent="0.25">
      <c r="B2555" s="3">
        <f t="shared" si="365"/>
        <v>12690</v>
      </c>
      <c r="C2555" s="14">
        <f t="shared" si="366"/>
        <v>211.5</v>
      </c>
      <c r="D2555" s="11">
        <f t="shared" si="367"/>
        <v>1133.8866505475826</v>
      </c>
      <c r="E2555" s="24">
        <f t="shared" si="368"/>
        <v>1132.8487762150169</v>
      </c>
      <c r="F2555" s="24">
        <f t="shared" si="361"/>
        <v>25.946858314142673</v>
      </c>
      <c r="G2555" s="14">
        <f t="shared" si="362"/>
        <v>458.3345366620407</v>
      </c>
      <c r="H2555" s="24">
        <f t="shared" si="369"/>
        <v>650</v>
      </c>
      <c r="I2555" s="12">
        <f t="shared" si="363"/>
        <v>5.9526353840200372E-2</v>
      </c>
      <c r="J2555" s="3">
        <f t="shared" si="364"/>
        <v>0.7</v>
      </c>
    </row>
    <row r="2556" spans="2:10" x14ac:dyDescent="0.25">
      <c r="B2556" s="3">
        <f t="shared" si="365"/>
        <v>12695</v>
      </c>
      <c r="C2556" s="14">
        <f t="shared" si="366"/>
        <v>211.58333333333334</v>
      </c>
      <c r="D2556" s="11">
        <f t="shared" si="367"/>
        <v>1133.9456393657686</v>
      </c>
      <c r="E2556" s="24">
        <f t="shared" si="368"/>
        <v>1132.9083025688572</v>
      </c>
      <c r="F2556" s="24">
        <f t="shared" si="361"/>
        <v>25.933419922785106</v>
      </c>
      <c r="G2556" s="14">
        <f t="shared" si="362"/>
        <v>458.15506455302159</v>
      </c>
      <c r="H2556" s="24">
        <f t="shared" si="369"/>
        <v>650</v>
      </c>
      <c r="I2556" s="12">
        <f t="shared" si="363"/>
        <v>5.9502641885076681E-2</v>
      </c>
      <c r="J2556" s="3">
        <f t="shared" si="364"/>
        <v>0.7</v>
      </c>
    </row>
    <row r="2557" spans="2:10" x14ac:dyDescent="0.25">
      <c r="B2557" s="3">
        <f t="shared" si="365"/>
        <v>12700</v>
      </c>
      <c r="C2557" s="14">
        <f t="shared" si="366"/>
        <v>211.66666666666666</v>
      </c>
      <c r="D2557" s="11">
        <f t="shared" si="367"/>
        <v>1134.0046049691491</v>
      </c>
      <c r="E2557" s="24">
        <f t="shared" si="368"/>
        <v>1132.9678052107422</v>
      </c>
      <c r="F2557" s="24">
        <f t="shared" si="361"/>
        <v>25.91999396017286</v>
      </c>
      <c r="G2557" s="14">
        <f t="shared" si="362"/>
        <v>457.97573398768975</v>
      </c>
      <c r="H2557" s="24">
        <f t="shared" si="369"/>
        <v>650</v>
      </c>
      <c r="I2557" s="12">
        <f t="shared" si="363"/>
        <v>5.9478948855762652E-2</v>
      </c>
      <c r="J2557" s="3">
        <f t="shared" si="364"/>
        <v>0.7</v>
      </c>
    </row>
    <row r="2558" spans="2:10" x14ac:dyDescent="0.25">
      <c r="B2558" s="3">
        <f t="shared" si="365"/>
        <v>12705</v>
      </c>
      <c r="C2558" s="14">
        <f t="shared" si="366"/>
        <v>211.75</v>
      </c>
      <c r="D2558" s="11">
        <f t="shared" si="367"/>
        <v>1134.0635473759896</v>
      </c>
      <c r="E2558" s="24">
        <f t="shared" si="368"/>
        <v>1133.0272841595979</v>
      </c>
      <c r="F2558" s="24">
        <f t="shared" si="361"/>
        <v>25.906580409792923</v>
      </c>
      <c r="G2558" s="14">
        <f t="shared" si="362"/>
        <v>457.79654479809915</v>
      </c>
      <c r="H2558" s="24">
        <f t="shared" si="369"/>
        <v>650</v>
      </c>
      <c r="I2558" s="12">
        <f t="shared" si="363"/>
        <v>5.9455274729585166E-2</v>
      </c>
      <c r="J2558" s="3">
        <f t="shared" si="364"/>
        <v>0.7</v>
      </c>
    </row>
    <row r="2559" spans="2:10" x14ac:dyDescent="0.25">
      <c r="B2559" s="3">
        <f t="shared" si="365"/>
        <v>12710</v>
      </c>
      <c r="C2559" s="14">
        <f t="shared" si="366"/>
        <v>211.83333333333334</v>
      </c>
      <c r="D2559" s="11">
        <f t="shared" si="367"/>
        <v>1134.1224666045337</v>
      </c>
      <c r="E2559" s="24">
        <f t="shared" si="368"/>
        <v>1133.0867394343275</v>
      </c>
      <c r="F2559" s="24">
        <f t="shared" si="361"/>
        <v>25.893179255155019</v>
      </c>
      <c r="G2559" s="14">
        <f t="shared" si="362"/>
        <v>457.61749681641999</v>
      </c>
      <c r="H2559" s="24">
        <f t="shared" si="369"/>
        <v>650</v>
      </c>
      <c r="I2559" s="12">
        <f t="shared" si="363"/>
        <v>5.9431619483888157E-2</v>
      </c>
      <c r="J2559" s="3">
        <f t="shared" si="364"/>
        <v>0.7</v>
      </c>
    </row>
    <row r="2560" spans="2:10" x14ac:dyDescent="0.25">
      <c r="B2560" s="3">
        <f t="shared" si="365"/>
        <v>12715</v>
      </c>
      <c r="C2560" s="14">
        <f t="shared" si="366"/>
        <v>211.91666666666666</v>
      </c>
      <c r="D2560" s="11">
        <f t="shared" si="367"/>
        <v>1134.1813626730029</v>
      </c>
      <c r="E2560" s="24">
        <f t="shared" si="368"/>
        <v>1133.1461710538113</v>
      </c>
      <c r="F2560" s="24">
        <f t="shared" si="361"/>
        <v>25.879790479791609</v>
      </c>
      <c r="G2560" s="14">
        <f t="shared" si="362"/>
        <v>457.43858987503569</v>
      </c>
      <c r="H2560" s="24">
        <f t="shared" si="369"/>
        <v>650</v>
      </c>
      <c r="I2560" s="12">
        <f t="shared" si="363"/>
        <v>5.9407983096044593E-2</v>
      </c>
      <c r="J2560" s="3">
        <f t="shared" si="364"/>
        <v>0.7</v>
      </c>
    </row>
    <row r="2561" spans="2:10" x14ac:dyDescent="0.25">
      <c r="B2561" s="3">
        <f t="shared" si="365"/>
        <v>12720</v>
      </c>
      <c r="C2561" s="14">
        <f t="shared" si="366"/>
        <v>212</v>
      </c>
      <c r="D2561" s="11">
        <f t="shared" si="367"/>
        <v>1134.240235599598</v>
      </c>
      <c r="E2561" s="24">
        <f t="shared" si="368"/>
        <v>1133.2055790369072</v>
      </c>
      <c r="F2561" s="24">
        <f t="shared" si="361"/>
        <v>25.866414067269261</v>
      </c>
      <c r="G2561" s="14">
        <f t="shared" si="362"/>
        <v>457.25982380671724</v>
      </c>
      <c r="H2561" s="24">
        <f t="shared" si="369"/>
        <v>650</v>
      </c>
      <c r="I2561" s="12">
        <f t="shared" si="363"/>
        <v>5.9384365543479256E-2</v>
      </c>
      <c r="J2561" s="3">
        <f t="shared" si="364"/>
        <v>0.7</v>
      </c>
    </row>
    <row r="2562" spans="2:10" x14ac:dyDescent="0.25">
      <c r="B2562" s="3">
        <f t="shared" si="365"/>
        <v>12725</v>
      </c>
      <c r="C2562" s="14">
        <f t="shared" si="366"/>
        <v>212.08333333333334</v>
      </c>
      <c r="D2562" s="11">
        <f t="shared" si="367"/>
        <v>1134.2990854024977</v>
      </c>
      <c r="E2562" s="24">
        <f t="shared" si="368"/>
        <v>1133.2649634024508</v>
      </c>
      <c r="F2562" s="24">
        <f t="shared" si="361"/>
        <v>25.853050001171596</v>
      </c>
      <c r="G2562" s="14">
        <f t="shared" si="362"/>
        <v>457.08119844413869</v>
      </c>
      <c r="H2562" s="24">
        <f t="shared" si="369"/>
        <v>650</v>
      </c>
      <c r="I2562" s="12">
        <f t="shared" si="363"/>
        <v>5.9360766803607121E-2</v>
      </c>
      <c r="J2562" s="3">
        <f t="shared" si="364"/>
        <v>0.7</v>
      </c>
    </row>
    <row r="2563" spans="2:10" x14ac:dyDescent="0.25">
      <c r="B2563" s="3">
        <f t="shared" si="365"/>
        <v>12730</v>
      </c>
      <c r="C2563" s="14">
        <f t="shared" si="366"/>
        <v>212.16666666666666</v>
      </c>
      <c r="D2563" s="11">
        <f t="shared" si="367"/>
        <v>1134.35791209986</v>
      </c>
      <c r="E2563" s="24">
        <f t="shared" si="368"/>
        <v>1133.3243241692544</v>
      </c>
      <c r="F2563" s="24">
        <f t="shared" si="361"/>
        <v>25.839698265139077</v>
      </c>
      <c r="G2563" s="14">
        <f t="shared" si="362"/>
        <v>456.90271362104005</v>
      </c>
      <c r="H2563" s="24">
        <f t="shared" si="369"/>
        <v>650</v>
      </c>
      <c r="I2563" s="12">
        <f t="shared" si="363"/>
        <v>5.9337186853981164E-2</v>
      </c>
      <c r="J2563" s="3">
        <f t="shared" si="364"/>
        <v>0.7</v>
      </c>
    </row>
    <row r="2564" spans="2:10" x14ac:dyDescent="0.25">
      <c r="B2564" s="3">
        <f t="shared" si="365"/>
        <v>12735</v>
      </c>
      <c r="C2564" s="14">
        <f t="shared" si="366"/>
        <v>212.25</v>
      </c>
      <c r="D2564" s="11">
        <f t="shared" si="367"/>
        <v>1134.4167157098207</v>
      </c>
      <c r="E2564" s="24">
        <f t="shared" si="368"/>
        <v>1133.3836613561084</v>
      </c>
      <c r="F2564" s="24">
        <f t="shared" si="361"/>
        <v>25.826358842806485</v>
      </c>
      <c r="G2564" s="14">
        <f t="shared" si="362"/>
        <v>456.72436917052181</v>
      </c>
      <c r="H2564" s="24">
        <f t="shared" si="369"/>
        <v>650</v>
      </c>
      <c r="I2564" s="12">
        <f t="shared" si="363"/>
        <v>5.931362567207505E-2</v>
      </c>
      <c r="J2564" s="3">
        <f t="shared" si="364"/>
        <v>0.7</v>
      </c>
    </row>
    <row r="2565" spans="2:10" x14ac:dyDescent="0.25">
      <c r="B2565" s="3">
        <f t="shared" si="365"/>
        <v>12740</v>
      </c>
      <c r="C2565" s="14">
        <f t="shared" si="366"/>
        <v>212.33333333333334</v>
      </c>
      <c r="D2565" s="11">
        <f t="shared" si="367"/>
        <v>1134.4754962504946</v>
      </c>
      <c r="E2565" s="24">
        <f t="shared" si="368"/>
        <v>1133.4429749817805</v>
      </c>
      <c r="F2565" s="24">
        <f t="shared" si="361"/>
        <v>25.813031717854074</v>
      </c>
      <c r="G2565" s="14">
        <f t="shared" si="362"/>
        <v>456.54616492642083</v>
      </c>
      <c r="H2565" s="24">
        <f t="shared" si="369"/>
        <v>650</v>
      </c>
      <c r="I2565" s="12">
        <f t="shared" si="363"/>
        <v>5.929008323545857E-2</v>
      </c>
      <c r="J2565" s="3">
        <f t="shared" si="364"/>
        <v>0.7</v>
      </c>
    </row>
    <row r="2566" spans="2:10" x14ac:dyDescent="0.25">
      <c r="B2566" s="3">
        <f t="shared" si="365"/>
        <v>12745</v>
      </c>
      <c r="C2566" s="14">
        <f t="shared" si="366"/>
        <v>212.41666666666666</v>
      </c>
      <c r="D2566" s="11">
        <f t="shared" si="367"/>
        <v>1134.5342537399758</v>
      </c>
      <c r="E2566" s="24">
        <f t="shared" si="368"/>
        <v>1133.502265065016</v>
      </c>
      <c r="F2566" s="24">
        <f t="shared" si="361"/>
        <v>25.799716873996204</v>
      </c>
      <c r="G2566" s="14">
        <f t="shared" si="362"/>
        <v>456.36810072288404</v>
      </c>
      <c r="H2566" s="24">
        <f t="shared" si="369"/>
        <v>650</v>
      </c>
      <c r="I2566" s="12">
        <f t="shared" si="363"/>
        <v>5.9266559521743784E-2</v>
      </c>
      <c r="J2566" s="3">
        <f t="shared" si="364"/>
        <v>0.7</v>
      </c>
    </row>
    <row r="2567" spans="2:10" x14ac:dyDescent="0.25">
      <c r="B2567" s="3">
        <f t="shared" si="365"/>
        <v>12750</v>
      </c>
      <c r="C2567" s="14">
        <f t="shared" si="366"/>
        <v>212.5</v>
      </c>
      <c r="D2567" s="11">
        <f t="shared" si="367"/>
        <v>1134.5929881963361</v>
      </c>
      <c r="E2567" s="24">
        <f t="shared" si="368"/>
        <v>1133.5615316245378</v>
      </c>
      <c r="F2567" s="24">
        <f t="shared" si="361"/>
        <v>25.786414294958604</v>
      </c>
      <c r="G2567" s="14">
        <f t="shared" si="362"/>
        <v>456.19017639407781</v>
      </c>
      <c r="H2567" s="24">
        <f t="shared" si="369"/>
        <v>650</v>
      </c>
      <c r="I2567" s="12">
        <f t="shared" si="363"/>
        <v>5.9243054508546576E-2</v>
      </c>
      <c r="J2567" s="3">
        <f t="shared" si="364"/>
        <v>0.7</v>
      </c>
    </row>
    <row r="2568" spans="2:10" x14ac:dyDescent="0.25">
      <c r="B2568" s="3">
        <f t="shared" si="365"/>
        <v>12755</v>
      </c>
      <c r="C2568" s="14">
        <f t="shared" si="366"/>
        <v>212.58333333333334</v>
      </c>
      <c r="D2568" s="11">
        <f t="shared" si="367"/>
        <v>1134.651699637627</v>
      </c>
      <c r="E2568" s="24">
        <f t="shared" si="368"/>
        <v>1133.6207746790462</v>
      </c>
      <c r="F2568" s="24">
        <f t="shared" si="361"/>
        <v>25.773123964518163</v>
      </c>
      <c r="G2568" s="14">
        <f t="shared" si="362"/>
        <v>456.01239177474986</v>
      </c>
      <c r="H2568" s="24">
        <f t="shared" si="369"/>
        <v>650</v>
      </c>
      <c r="I2568" s="12">
        <f t="shared" si="363"/>
        <v>5.9219568173560541E-2</v>
      </c>
      <c r="J2568" s="3">
        <f t="shared" si="364"/>
        <v>0.7</v>
      </c>
    </row>
    <row r="2569" spans="2:10" x14ac:dyDescent="0.25">
      <c r="B2569" s="3">
        <f t="shared" si="365"/>
        <v>12760</v>
      </c>
      <c r="C2569" s="14">
        <f t="shared" si="366"/>
        <v>212.66666666666666</v>
      </c>
      <c r="D2569" s="11">
        <f t="shared" si="367"/>
        <v>1134.7103880818777</v>
      </c>
      <c r="E2569" s="24">
        <f t="shared" si="368"/>
        <v>1133.6799942472198</v>
      </c>
      <c r="F2569" s="24">
        <f t="shared" si="361"/>
        <v>25.759845866446085</v>
      </c>
      <c r="G2569" s="14">
        <f t="shared" si="362"/>
        <v>455.83474669937669</v>
      </c>
      <c r="H2569" s="24">
        <f t="shared" si="369"/>
        <v>650</v>
      </c>
      <c r="I2569" s="12">
        <f t="shared" si="363"/>
        <v>5.9196100494445278E-2</v>
      </c>
      <c r="J2569" s="3">
        <f t="shared" si="364"/>
        <v>0.7</v>
      </c>
    </row>
    <row r="2570" spans="2:10" x14ac:dyDescent="0.25">
      <c r="B2570" s="3">
        <f t="shared" si="365"/>
        <v>12765</v>
      </c>
      <c r="C2570" s="14">
        <f t="shared" si="366"/>
        <v>212.75</v>
      </c>
      <c r="D2570" s="11">
        <f t="shared" si="367"/>
        <v>1134.7690535470974</v>
      </c>
      <c r="E2570" s="24">
        <f t="shared" si="368"/>
        <v>1133.7391903477144</v>
      </c>
      <c r="F2570" s="24">
        <f t="shared" si="361"/>
        <v>25.746579984576101</v>
      </c>
      <c r="G2570" s="14">
        <f t="shared" si="362"/>
        <v>455.65724100332608</v>
      </c>
      <c r="H2570" s="24">
        <f t="shared" si="369"/>
        <v>650</v>
      </c>
      <c r="I2570" s="12">
        <f t="shared" si="363"/>
        <v>5.9172651448977584E-2</v>
      </c>
      <c r="J2570" s="3">
        <f t="shared" si="364"/>
        <v>0.7</v>
      </c>
    </row>
    <row r="2571" spans="2:10" x14ac:dyDescent="0.25">
      <c r="B2571" s="3">
        <f t="shared" si="365"/>
        <v>12770</v>
      </c>
      <c r="C2571" s="14">
        <f t="shared" si="366"/>
        <v>212.83333333333334</v>
      </c>
      <c r="D2571" s="11">
        <f t="shared" si="367"/>
        <v>1134.8276960512731</v>
      </c>
      <c r="E2571" s="24">
        <f t="shared" si="368"/>
        <v>1133.7983629991634</v>
      </c>
      <c r="F2571" s="24">
        <f t="shared" si="361"/>
        <v>25.733326302741943</v>
      </c>
      <c r="G2571" s="14">
        <f t="shared" si="362"/>
        <v>455.47987452165592</v>
      </c>
      <c r="H2571" s="24">
        <f t="shared" si="369"/>
        <v>650</v>
      </c>
      <c r="I2571" s="12">
        <f t="shared" si="363"/>
        <v>5.914922101489619E-2</v>
      </c>
      <c r="J2571" s="3">
        <f t="shared" si="364"/>
        <v>0.7</v>
      </c>
    </row>
    <row r="2572" spans="2:10" x14ac:dyDescent="0.25">
      <c r="B2572" s="3">
        <f t="shared" si="365"/>
        <v>12775</v>
      </c>
      <c r="C2572" s="14">
        <f t="shared" si="366"/>
        <v>212.91666666666666</v>
      </c>
      <c r="D2572" s="11">
        <f t="shared" si="367"/>
        <v>1134.8863156123716</v>
      </c>
      <c r="E2572" s="24">
        <f t="shared" si="368"/>
        <v>1133.8575122201783</v>
      </c>
      <c r="F2572" s="24">
        <f t="shared" si="361"/>
        <v>25.720084804834187</v>
      </c>
      <c r="G2572" s="14">
        <f t="shared" si="362"/>
        <v>455.30264709033486</v>
      </c>
      <c r="H2572" s="24">
        <f t="shared" si="369"/>
        <v>650</v>
      </c>
      <c r="I2572" s="12">
        <f t="shared" si="363"/>
        <v>5.9125809170058753E-2</v>
      </c>
      <c r="J2572" s="3">
        <f t="shared" si="364"/>
        <v>0.7</v>
      </c>
    </row>
    <row r="2573" spans="2:10" x14ac:dyDescent="0.25">
      <c r="B2573" s="3">
        <f t="shared" si="365"/>
        <v>12780</v>
      </c>
      <c r="C2573" s="14">
        <f t="shared" si="366"/>
        <v>213</v>
      </c>
      <c r="D2573" s="11">
        <f t="shared" si="367"/>
        <v>1134.9449122483381</v>
      </c>
      <c r="E2573" s="24">
        <f t="shared" si="368"/>
        <v>1133.9166380293484</v>
      </c>
      <c r="F2573" s="24">
        <f t="shared" si="361"/>
        <v>25.706855474743406</v>
      </c>
      <c r="G2573" s="14">
        <f t="shared" si="362"/>
        <v>455.12555854486641</v>
      </c>
      <c r="H2573" s="24">
        <f t="shared" si="369"/>
        <v>650</v>
      </c>
      <c r="I2573" s="12">
        <f t="shared" si="363"/>
        <v>5.9102415892265767E-2</v>
      </c>
      <c r="J2573" s="3">
        <f t="shared" si="364"/>
        <v>0.7</v>
      </c>
    </row>
    <row r="2574" spans="2:10" x14ac:dyDescent="0.25">
      <c r="B2574" s="3">
        <f t="shared" si="365"/>
        <v>12785</v>
      </c>
      <c r="C2574" s="14">
        <f t="shared" si="366"/>
        <v>213.08333333333334</v>
      </c>
      <c r="D2574" s="11">
        <f t="shared" si="367"/>
        <v>1135.0034859770969</v>
      </c>
      <c r="E2574" s="24">
        <f t="shared" si="368"/>
        <v>1133.9757404452407</v>
      </c>
      <c r="F2574" s="24">
        <f t="shared" si="361"/>
        <v>25.693638296405652</v>
      </c>
      <c r="G2574" s="14">
        <f t="shared" si="362"/>
        <v>454.94860872160694</v>
      </c>
      <c r="H2574" s="24">
        <f t="shared" si="369"/>
        <v>650</v>
      </c>
      <c r="I2574" s="12">
        <f t="shared" si="363"/>
        <v>5.9079041159428129E-2</v>
      </c>
      <c r="J2574" s="3">
        <f t="shared" si="364"/>
        <v>0.7</v>
      </c>
    </row>
    <row r="2575" spans="2:10" x14ac:dyDescent="0.25">
      <c r="B2575" s="3">
        <f t="shared" si="365"/>
        <v>12790</v>
      </c>
      <c r="C2575" s="14">
        <f t="shared" si="366"/>
        <v>213.16666666666666</v>
      </c>
      <c r="D2575" s="11">
        <f t="shared" si="367"/>
        <v>1135.062036816551</v>
      </c>
      <c r="E2575" s="24">
        <f t="shared" si="368"/>
        <v>1134.0348194864002</v>
      </c>
      <c r="F2575" s="24">
        <f t="shared" si="361"/>
        <v>25.680433253768342</v>
      </c>
      <c r="G2575" s="14">
        <f t="shared" si="362"/>
        <v>454.77179745669946</v>
      </c>
      <c r="H2575" s="24">
        <f t="shared" si="369"/>
        <v>650</v>
      </c>
      <c r="I2575" s="12">
        <f t="shared" si="363"/>
        <v>5.9055684949431919E-2</v>
      </c>
      <c r="J2575" s="3">
        <f t="shared" si="364"/>
        <v>0.7</v>
      </c>
    </row>
    <row r="2576" spans="2:10" x14ac:dyDescent="0.25">
      <c r="B2576" s="3">
        <f t="shared" si="365"/>
        <v>12795</v>
      </c>
      <c r="C2576" s="14">
        <f t="shared" si="366"/>
        <v>213.25</v>
      </c>
      <c r="D2576" s="11">
        <f t="shared" si="367"/>
        <v>1135.1205647845832</v>
      </c>
      <c r="E2576" s="24">
        <f t="shared" si="368"/>
        <v>1134.0938751713497</v>
      </c>
      <c r="F2576" s="24">
        <f t="shared" si="361"/>
        <v>25.667240330835739</v>
      </c>
      <c r="G2576" s="14">
        <f t="shared" si="362"/>
        <v>454.59512458706229</v>
      </c>
      <c r="H2576" s="24">
        <f t="shared" si="369"/>
        <v>650</v>
      </c>
      <c r="I2576" s="12">
        <f t="shared" si="363"/>
        <v>5.9032347240265508E-2</v>
      </c>
      <c r="J2576" s="3">
        <f t="shared" si="364"/>
        <v>0.7</v>
      </c>
    </row>
    <row r="2577" spans="2:10" x14ac:dyDescent="0.25">
      <c r="B2577" s="3">
        <f t="shared" si="365"/>
        <v>12800</v>
      </c>
      <c r="C2577" s="14">
        <f t="shared" si="366"/>
        <v>213.33333333333334</v>
      </c>
      <c r="D2577" s="11">
        <f t="shared" si="367"/>
        <v>1135.179069899054</v>
      </c>
      <c r="E2577" s="24">
        <f t="shared" si="368"/>
        <v>1134.1529075185899</v>
      </c>
      <c r="F2577" s="24">
        <f t="shared" ref="F2577:F2640" si="370">AlphaC*(D2577-E2577)</f>
        <v>25.654059511600735</v>
      </c>
      <c r="G2577" s="14">
        <f t="shared" ref="G2577:G2640" si="371">Phi*EpsilonF*Botzman/10^8*J2577*((D2577+273)^4-(E2577+273)^4)</f>
        <v>454.41858994924547</v>
      </c>
      <c r="H2577" s="24">
        <f t="shared" si="369"/>
        <v>650</v>
      </c>
      <c r="I2577" s="12">
        <f t="shared" ref="I2577:I2640" si="372">ksh*Massivete/(H2577*RhoA)*DeltaT*(F2577+G2577)</f>
        <v>5.9009028009870595E-2</v>
      </c>
      <c r="J2577" s="3">
        <f t="shared" ref="J2577:J2640" si="373">IF(E2577&lt;=500,IF(Galva=Oui,0.35,0.7),0.7)</f>
        <v>0.7</v>
      </c>
    </row>
    <row r="2578" spans="2:10" x14ac:dyDescent="0.25">
      <c r="B2578" s="3">
        <f t="shared" ref="B2578:B2641" si="374">B2577+DeltaT</f>
        <v>12805</v>
      </c>
      <c r="C2578" s="14">
        <f t="shared" ref="C2578:C2641" si="375">B2578/60</f>
        <v>213.41666666666666</v>
      </c>
      <c r="D2578" s="11">
        <f t="shared" ref="D2578:D2641" si="376">20+345*LOG(8*C2578+1,10)</f>
        <v>1135.2375521778044</v>
      </c>
      <c r="E2578" s="24">
        <f t="shared" si="368"/>
        <v>1134.2119165465997</v>
      </c>
      <c r="F2578" s="24">
        <f t="shared" si="370"/>
        <v>25.640890780118752</v>
      </c>
      <c r="G2578" s="14">
        <f t="shared" si="371"/>
        <v>454.24219338070998</v>
      </c>
      <c r="H2578" s="24">
        <f t="shared" si="369"/>
        <v>650</v>
      </c>
      <c r="I2578" s="12">
        <f t="shared" si="372"/>
        <v>5.8985727236308523E-2</v>
      </c>
      <c r="J2578" s="3">
        <f t="shared" si="373"/>
        <v>0.7</v>
      </c>
    </row>
    <row r="2579" spans="2:10" x14ac:dyDescent="0.25">
      <c r="B2579" s="3">
        <f t="shared" si="374"/>
        <v>12810</v>
      </c>
      <c r="C2579" s="14">
        <f t="shared" si="375"/>
        <v>213.5</v>
      </c>
      <c r="D2579" s="11">
        <f t="shared" si="376"/>
        <v>1135.2960116386541</v>
      </c>
      <c r="E2579" s="24">
        <f t="shared" si="368"/>
        <v>1134.2709022738361</v>
      </c>
      <c r="F2579" s="24">
        <f t="shared" si="370"/>
        <v>25.627734120450896</v>
      </c>
      <c r="G2579" s="14">
        <f t="shared" si="371"/>
        <v>454.06593471868416</v>
      </c>
      <c r="H2579" s="24">
        <f t="shared" si="369"/>
        <v>650</v>
      </c>
      <c r="I2579" s="12">
        <f t="shared" si="372"/>
        <v>5.8962444897612758E-2</v>
      </c>
      <c r="J2579" s="3">
        <f t="shared" si="373"/>
        <v>0.7</v>
      </c>
    </row>
    <row r="2580" spans="2:10" x14ac:dyDescent="0.25">
      <c r="B2580" s="3">
        <f t="shared" si="374"/>
        <v>12815</v>
      </c>
      <c r="C2580" s="14">
        <f t="shared" si="375"/>
        <v>213.58333333333334</v>
      </c>
      <c r="D2580" s="11">
        <f t="shared" si="376"/>
        <v>1135.3544482994014</v>
      </c>
      <c r="E2580" s="24">
        <f t="shared" si="368"/>
        <v>1134.3298647187337</v>
      </c>
      <c r="F2580" s="24">
        <f t="shared" si="370"/>
        <v>25.614589516692376</v>
      </c>
      <c r="G2580" s="14">
        <f t="shared" si="371"/>
        <v>453.88981380084209</v>
      </c>
      <c r="H2580" s="24">
        <f t="shared" si="369"/>
        <v>650</v>
      </c>
      <c r="I2580" s="12">
        <f t="shared" si="372"/>
        <v>5.8939180971875733E-2</v>
      </c>
      <c r="J2580" s="3">
        <f t="shared" si="373"/>
        <v>0.7</v>
      </c>
    </row>
    <row r="2581" spans="2:10" x14ac:dyDescent="0.25">
      <c r="B2581" s="3">
        <f t="shared" si="374"/>
        <v>12820</v>
      </c>
      <c r="C2581" s="14">
        <f t="shared" si="375"/>
        <v>213.66666666666666</v>
      </c>
      <c r="D2581" s="11">
        <f t="shared" si="376"/>
        <v>1135.4128621778241</v>
      </c>
      <c r="E2581" s="24">
        <f t="shared" si="368"/>
        <v>1134.3888038997056</v>
      </c>
      <c r="F2581" s="24">
        <f t="shared" si="370"/>
        <v>25.601456952961144</v>
      </c>
      <c r="G2581" s="14">
        <f t="shared" si="371"/>
        <v>453.71383046497414</v>
      </c>
      <c r="H2581" s="24">
        <f t="shared" si="369"/>
        <v>650</v>
      </c>
      <c r="I2581" s="12">
        <f t="shared" si="372"/>
        <v>5.8915935437206989E-2</v>
      </c>
      <c r="J2581" s="3">
        <f t="shared" si="373"/>
        <v>0.7</v>
      </c>
    </row>
    <row r="2582" spans="2:10" x14ac:dyDescent="0.25">
      <c r="B2582" s="3">
        <f t="shared" si="374"/>
        <v>12825</v>
      </c>
      <c r="C2582" s="14">
        <f t="shared" si="375"/>
        <v>213.75</v>
      </c>
      <c r="D2582" s="11">
        <f t="shared" si="376"/>
        <v>1135.4712532916794</v>
      </c>
      <c r="E2582" s="24">
        <f t="shared" si="368"/>
        <v>1134.4477198351428</v>
      </c>
      <c r="F2582" s="24">
        <f t="shared" si="370"/>
        <v>25.588336413414936</v>
      </c>
      <c r="G2582" s="14">
        <f t="shared" si="371"/>
        <v>453.53798454947145</v>
      </c>
      <c r="H2582" s="24">
        <f t="shared" si="369"/>
        <v>650</v>
      </c>
      <c r="I2582" s="12">
        <f t="shared" si="372"/>
        <v>5.8892708271794776E-2</v>
      </c>
      <c r="J2582" s="3">
        <f t="shared" si="373"/>
        <v>0.7</v>
      </c>
    </row>
    <row r="2583" spans="2:10" x14ac:dyDescent="0.25">
      <c r="B2583" s="3">
        <f t="shared" si="374"/>
        <v>12830</v>
      </c>
      <c r="C2583" s="14">
        <f t="shared" si="375"/>
        <v>213.83333333333334</v>
      </c>
      <c r="D2583" s="11">
        <f t="shared" si="376"/>
        <v>1135.5296216587039</v>
      </c>
      <c r="E2583" s="24">
        <f t="shared" si="368"/>
        <v>1134.5066125434146</v>
      </c>
      <c r="F2583" s="24">
        <f t="shared" si="370"/>
        <v>25.57522788223423</v>
      </c>
      <c r="G2583" s="14">
        <f t="shared" si="371"/>
        <v>453.36227589278343</v>
      </c>
      <c r="H2583" s="24">
        <f t="shared" si="369"/>
        <v>650</v>
      </c>
      <c r="I2583" s="12">
        <f t="shared" si="372"/>
        <v>5.8869499453837321E-2</v>
      </c>
      <c r="J2583" s="3">
        <f t="shared" si="373"/>
        <v>0.7</v>
      </c>
    </row>
    <row r="2584" spans="2:10" x14ac:dyDescent="0.25">
      <c r="B2584" s="3">
        <f t="shared" si="374"/>
        <v>12835</v>
      </c>
      <c r="C2584" s="14">
        <f t="shared" si="375"/>
        <v>213.91666666666666</v>
      </c>
      <c r="D2584" s="11">
        <f t="shared" si="376"/>
        <v>1135.5879672966128</v>
      </c>
      <c r="E2584" s="24">
        <f t="shared" si="368"/>
        <v>1134.5654820428683</v>
      </c>
      <c r="F2584" s="24">
        <f t="shared" si="370"/>
        <v>25.562131343610872</v>
      </c>
      <c r="G2584" s="14">
        <f t="shared" si="371"/>
        <v>453.18670433333989</v>
      </c>
      <c r="H2584" s="24">
        <f t="shared" si="369"/>
        <v>650</v>
      </c>
      <c r="I2584" s="12">
        <f t="shared" si="372"/>
        <v>5.8846308961531826E-2</v>
      </c>
      <c r="J2584" s="3">
        <f t="shared" si="373"/>
        <v>0.7</v>
      </c>
    </row>
    <row r="2585" spans="2:10" x14ac:dyDescent="0.25">
      <c r="B2585" s="3">
        <f t="shared" si="374"/>
        <v>12840</v>
      </c>
      <c r="C2585" s="14">
        <f t="shared" si="375"/>
        <v>214</v>
      </c>
      <c r="D2585" s="11">
        <f t="shared" si="376"/>
        <v>1135.646290223101</v>
      </c>
      <c r="E2585" s="24">
        <f t="shared" si="368"/>
        <v>1134.6243283518299</v>
      </c>
      <c r="F2585" s="24">
        <f t="shared" si="370"/>
        <v>25.549046781776497</v>
      </c>
      <c r="G2585" s="14">
        <f t="shared" si="371"/>
        <v>453.01126971015219</v>
      </c>
      <c r="H2585" s="24">
        <f t="shared" si="369"/>
        <v>650</v>
      </c>
      <c r="I2585" s="12">
        <f t="shared" si="372"/>
        <v>5.8823136773151881E-2</v>
      </c>
      <c r="J2585" s="3">
        <f t="shared" si="373"/>
        <v>0.7</v>
      </c>
    </row>
    <row r="2586" spans="2:10" x14ac:dyDescent="0.25">
      <c r="B2586" s="3">
        <f t="shared" si="374"/>
        <v>12845</v>
      </c>
      <c r="C2586" s="14">
        <f t="shared" si="375"/>
        <v>214.08333333333334</v>
      </c>
      <c r="D2586" s="11">
        <f t="shared" si="376"/>
        <v>1135.7045904558431</v>
      </c>
      <c r="E2586" s="24">
        <f t="shared" si="368"/>
        <v>1134.683151488603</v>
      </c>
      <c r="F2586" s="24">
        <f t="shared" si="370"/>
        <v>25.53597418100253</v>
      </c>
      <c r="G2586" s="14">
        <f t="shared" si="371"/>
        <v>452.83597186248352</v>
      </c>
      <c r="H2586" s="24">
        <f t="shared" si="369"/>
        <v>650</v>
      </c>
      <c r="I2586" s="12">
        <f t="shared" si="372"/>
        <v>5.8799982867006911E-2</v>
      </c>
      <c r="J2586" s="3">
        <f t="shared" si="373"/>
        <v>0.7</v>
      </c>
    </row>
    <row r="2587" spans="2:10" x14ac:dyDescent="0.25">
      <c r="B2587" s="3">
        <f t="shared" si="374"/>
        <v>12850</v>
      </c>
      <c r="C2587" s="14">
        <f t="shared" si="375"/>
        <v>214.16666666666666</v>
      </c>
      <c r="D2587" s="11">
        <f t="shared" si="376"/>
        <v>1135.7628680124924</v>
      </c>
      <c r="E2587" s="24">
        <f t="shared" si="368"/>
        <v>1134.74195147147</v>
      </c>
      <c r="F2587" s="24">
        <f t="shared" si="370"/>
        <v>25.522913525560398</v>
      </c>
      <c r="G2587" s="14">
        <f t="shared" si="371"/>
        <v>452.66081062969414</v>
      </c>
      <c r="H2587" s="24">
        <f t="shared" si="369"/>
        <v>650</v>
      </c>
      <c r="I2587" s="12">
        <f t="shared" si="372"/>
        <v>5.8776847221418273E-2</v>
      </c>
      <c r="J2587" s="3">
        <f t="shared" si="373"/>
        <v>0.7</v>
      </c>
    </row>
    <row r="2588" spans="2:10" x14ac:dyDescent="0.25">
      <c r="B2588" s="3">
        <f t="shared" si="374"/>
        <v>12855</v>
      </c>
      <c r="C2588" s="14">
        <f t="shared" si="375"/>
        <v>214.25</v>
      </c>
      <c r="D2588" s="11">
        <f t="shared" si="376"/>
        <v>1135.8211229106823</v>
      </c>
      <c r="E2588" s="24">
        <f t="shared" si="368"/>
        <v>1134.8007283186914</v>
      </c>
      <c r="F2588" s="24">
        <f t="shared" si="370"/>
        <v>25.509864799772686</v>
      </c>
      <c r="G2588" s="14">
        <f t="shared" si="371"/>
        <v>452.48578585157043</v>
      </c>
      <c r="H2588" s="24">
        <f t="shared" si="369"/>
        <v>650</v>
      </c>
      <c r="I2588" s="12">
        <f t="shared" si="372"/>
        <v>5.8753729814765995E-2</v>
      </c>
      <c r="J2588" s="3">
        <f t="shared" si="373"/>
        <v>0.7</v>
      </c>
    </row>
    <row r="2589" spans="2:10" x14ac:dyDescent="0.25">
      <c r="B2589" s="3">
        <f t="shared" si="374"/>
        <v>12860</v>
      </c>
      <c r="C2589" s="14">
        <f t="shared" si="375"/>
        <v>214.33333333333334</v>
      </c>
      <c r="D2589" s="11">
        <f t="shared" si="376"/>
        <v>1135.8793551680249</v>
      </c>
      <c r="E2589" s="24">
        <f t="shared" si="368"/>
        <v>1134.8594820485062</v>
      </c>
      <c r="F2589" s="24">
        <f t="shared" si="370"/>
        <v>25.496827987967663</v>
      </c>
      <c r="G2589" s="14">
        <f t="shared" si="371"/>
        <v>452.31089736786026</v>
      </c>
      <c r="H2589" s="24">
        <f t="shared" si="369"/>
        <v>650</v>
      </c>
      <c r="I2589" s="12">
        <f t="shared" si="372"/>
        <v>5.8730630625426064E-2</v>
      </c>
      <c r="J2589" s="3">
        <f t="shared" si="373"/>
        <v>0.7</v>
      </c>
    </row>
    <row r="2590" spans="2:10" x14ac:dyDescent="0.25">
      <c r="B2590" s="3">
        <f t="shared" si="374"/>
        <v>12865</v>
      </c>
      <c r="C2590" s="14">
        <f t="shared" si="375"/>
        <v>214.41666666666666</v>
      </c>
      <c r="D2590" s="11">
        <f t="shared" si="376"/>
        <v>1135.9375648021123</v>
      </c>
      <c r="E2590" s="24">
        <f t="shared" si="368"/>
        <v>1134.9182126791316</v>
      </c>
      <c r="F2590" s="24">
        <f t="shared" si="370"/>
        <v>25.483803074519074</v>
      </c>
      <c r="G2590" s="14">
        <f t="shared" si="371"/>
        <v>452.13614501895086</v>
      </c>
      <c r="H2590" s="24">
        <f t="shared" si="369"/>
        <v>650</v>
      </c>
      <c r="I2590" s="12">
        <f t="shared" si="372"/>
        <v>5.8707549631858646E-2</v>
      </c>
      <c r="J2590" s="3">
        <f t="shared" si="373"/>
        <v>0.7</v>
      </c>
    </row>
    <row r="2591" spans="2:10" x14ac:dyDescent="0.25">
      <c r="B2591" s="3">
        <f t="shared" si="374"/>
        <v>12870</v>
      </c>
      <c r="C2591" s="14">
        <f t="shared" si="375"/>
        <v>214.5</v>
      </c>
      <c r="D2591" s="11">
        <f t="shared" si="376"/>
        <v>1135.9957518305162</v>
      </c>
      <c r="E2591" s="24">
        <f t="shared" si="368"/>
        <v>1134.9769202287634</v>
      </c>
      <c r="F2591" s="24">
        <f t="shared" si="370"/>
        <v>25.470790043817715</v>
      </c>
      <c r="G2591" s="14">
        <f t="shared" si="371"/>
        <v>451.96152864517137</v>
      </c>
      <c r="H2591" s="24">
        <f t="shared" si="369"/>
        <v>650</v>
      </c>
      <c r="I2591" s="12">
        <f t="shared" si="372"/>
        <v>5.8684486812518866E-2</v>
      </c>
      <c r="J2591" s="3">
        <f t="shared" si="373"/>
        <v>0.7</v>
      </c>
    </row>
    <row r="2592" spans="2:10" x14ac:dyDescent="0.25">
      <c r="B2592" s="3">
        <f t="shared" si="374"/>
        <v>12875</v>
      </c>
      <c r="C2592" s="14">
        <f t="shared" si="375"/>
        <v>214.58333333333334</v>
      </c>
      <c r="D2592" s="11">
        <f t="shared" si="376"/>
        <v>1136.0539162707871</v>
      </c>
      <c r="E2592" s="24">
        <f t="shared" si="368"/>
        <v>1135.035604715576</v>
      </c>
      <c r="F2592" s="24">
        <f t="shared" si="370"/>
        <v>25.457788880277121</v>
      </c>
      <c r="G2592" s="14">
        <f t="shared" si="371"/>
        <v>451.78704808714161</v>
      </c>
      <c r="H2592" s="24">
        <f t="shared" si="369"/>
        <v>650</v>
      </c>
      <c r="I2592" s="12">
        <f t="shared" si="372"/>
        <v>5.8661442145900369E-2</v>
      </c>
      <c r="J2592" s="3">
        <f t="shared" si="373"/>
        <v>0.7</v>
      </c>
    </row>
    <row r="2593" spans="2:10" x14ac:dyDescent="0.25">
      <c r="B2593" s="3">
        <f t="shared" si="374"/>
        <v>12880</v>
      </c>
      <c r="C2593" s="14">
        <f t="shared" si="375"/>
        <v>214.66666666666666</v>
      </c>
      <c r="D2593" s="11">
        <f t="shared" si="376"/>
        <v>1136.1120581404562</v>
      </c>
      <c r="E2593" s="24">
        <f t="shared" si="368"/>
        <v>1135.0942661577219</v>
      </c>
      <c r="F2593" s="24">
        <f t="shared" si="370"/>
        <v>25.444799568356302</v>
      </c>
      <c r="G2593" s="14">
        <f t="shared" si="371"/>
        <v>451.6127031860629</v>
      </c>
      <c r="H2593" s="24">
        <f t="shared" si="369"/>
        <v>650</v>
      </c>
      <c r="I2593" s="12">
        <f t="shared" si="372"/>
        <v>5.8638415610573869E-2</v>
      </c>
      <c r="J2593" s="3">
        <f t="shared" si="373"/>
        <v>0.7</v>
      </c>
    </row>
    <row r="2594" spans="2:10" x14ac:dyDescent="0.25">
      <c r="B2594" s="3">
        <f t="shared" si="374"/>
        <v>12885</v>
      </c>
      <c r="C2594" s="14">
        <f t="shared" si="375"/>
        <v>214.75</v>
      </c>
      <c r="D2594" s="11">
        <f t="shared" si="376"/>
        <v>1136.1701774570329</v>
      </c>
      <c r="E2594" s="24">
        <f t="shared" si="368"/>
        <v>1135.1529045733325</v>
      </c>
      <c r="F2594" s="24">
        <f t="shared" si="370"/>
        <v>25.431822092508583</v>
      </c>
      <c r="G2594" s="14">
        <f t="shared" si="371"/>
        <v>451.43849378274876</v>
      </c>
      <c r="H2594" s="24">
        <f t="shared" si="369"/>
        <v>650</v>
      </c>
      <c r="I2594" s="12">
        <f t="shared" si="372"/>
        <v>5.861540718506171E-2</v>
      </c>
      <c r="J2594" s="3">
        <f t="shared" si="373"/>
        <v>0.7</v>
      </c>
    </row>
    <row r="2595" spans="2:10" x14ac:dyDescent="0.25">
      <c r="B2595" s="3">
        <f t="shared" si="374"/>
        <v>12890</v>
      </c>
      <c r="C2595" s="14">
        <f t="shared" si="375"/>
        <v>214.83333333333334</v>
      </c>
      <c r="D2595" s="11">
        <f t="shared" si="376"/>
        <v>1136.2282742380075</v>
      </c>
      <c r="E2595" s="24">
        <f t="shared" si="368"/>
        <v>1135.2115199805176</v>
      </c>
      <c r="F2595" s="24">
        <f t="shared" si="370"/>
        <v>25.418856437249815</v>
      </c>
      <c r="G2595" s="14">
        <f t="shared" si="371"/>
        <v>451.2644197189432</v>
      </c>
      <c r="H2595" s="24">
        <f t="shared" si="369"/>
        <v>650</v>
      </c>
      <c r="I2595" s="12">
        <f t="shared" si="372"/>
        <v>5.8592416848008311E-2</v>
      </c>
      <c r="J2595" s="3">
        <f t="shared" si="373"/>
        <v>0.7</v>
      </c>
    </row>
    <row r="2596" spans="2:10" x14ac:dyDescent="0.25">
      <c r="B2596" s="3">
        <f t="shared" si="374"/>
        <v>12895</v>
      </c>
      <c r="C2596" s="14">
        <f t="shared" si="375"/>
        <v>214.91666666666666</v>
      </c>
      <c r="D2596" s="11">
        <f t="shared" si="376"/>
        <v>1136.2863485008497</v>
      </c>
      <c r="E2596" s="24">
        <f t="shared" si="368"/>
        <v>1135.2701123973657</v>
      </c>
      <c r="F2596" s="24">
        <f t="shared" si="370"/>
        <v>25.405902587101536</v>
      </c>
      <c r="G2596" s="14">
        <f t="shared" si="371"/>
        <v>451.09048083631251</v>
      </c>
      <c r="H2596" s="24">
        <f t="shared" si="369"/>
        <v>650</v>
      </c>
      <c r="I2596" s="12">
        <f t="shared" si="372"/>
        <v>5.8569444578049211E-2</v>
      </c>
      <c r="J2596" s="3">
        <f t="shared" si="373"/>
        <v>0.7</v>
      </c>
    </row>
    <row r="2597" spans="2:10" x14ac:dyDescent="0.25">
      <c r="B2597" s="3">
        <f t="shared" si="374"/>
        <v>12900</v>
      </c>
      <c r="C2597" s="14">
        <f t="shared" si="375"/>
        <v>215</v>
      </c>
      <c r="D2597" s="11">
        <f t="shared" si="376"/>
        <v>1136.3444002630081</v>
      </c>
      <c r="E2597" s="24">
        <f t="shared" si="368"/>
        <v>1135.3286818419438</v>
      </c>
      <c r="F2597" s="24">
        <f t="shared" si="370"/>
        <v>25.392960526608022</v>
      </c>
      <c r="G2597" s="14">
        <f t="shared" si="371"/>
        <v>450.9166769765618</v>
      </c>
      <c r="H2597" s="24">
        <f t="shared" si="369"/>
        <v>650</v>
      </c>
      <c r="I2597" s="12">
        <f t="shared" si="372"/>
        <v>5.8546490353827529E-2</v>
      </c>
      <c r="J2597" s="3">
        <f t="shared" si="373"/>
        <v>0.7</v>
      </c>
    </row>
    <row r="2598" spans="2:10" x14ac:dyDescent="0.25">
      <c r="B2598" s="3">
        <f t="shared" si="374"/>
        <v>12905</v>
      </c>
      <c r="C2598" s="14">
        <f t="shared" si="375"/>
        <v>215.08333333333334</v>
      </c>
      <c r="D2598" s="11">
        <f t="shared" si="376"/>
        <v>1136.4024295419119</v>
      </c>
      <c r="E2598" s="24">
        <f t="shared" si="368"/>
        <v>1135.3872283322976</v>
      </c>
      <c r="F2598" s="24">
        <f t="shared" si="370"/>
        <v>25.380030240359019</v>
      </c>
      <c r="G2598" s="14">
        <f t="shared" si="371"/>
        <v>450.74300798215205</v>
      </c>
      <c r="H2598" s="24">
        <f t="shared" si="369"/>
        <v>650</v>
      </c>
      <c r="I2598" s="12">
        <f t="shared" si="372"/>
        <v>5.8523554154084882E-2</v>
      </c>
      <c r="J2598" s="3">
        <f t="shared" si="373"/>
        <v>0.7</v>
      </c>
    </row>
    <row r="2599" spans="2:10" x14ac:dyDescent="0.25">
      <c r="B2599" s="3">
        <f t="shared" si="374"/>
        <v>12910</v>
      </c>
      <c r="C2599" s="14">
        <f t="shared" si="375"/>
        <v>215.16666666666666</v>
      </c>
      <c r="D2599" s="11">
        <f t="shared" si="376"/>
        <v>1136.4604363549697</v>
      </c>
      <c r="E2599" s="24">
        <f t="shared" si="368"/>
        <v>1135.4457518864517</v>
      </c>
      <c r="F2599" s="24">
        <f t="shared" si="370"/>
        <v>25.367111712949963</v>
      </c>
      <c r="G2599" s="14">
        <f t="shared" si="371"/>
        <v>450.56947369531156</v>
      </c>
      <c r="H2599" s="24">
        <f t="shared" si="369"/>
        <v>650</v>
      </c>
      <c r="I2599" s="12">
        <f t="shared" si="372"/>
        <v>5.8500635957534991E-2</v>
      </c>
      <c r="J2599" s="3">
        <f t="shared" si="373"/>
        <v>0.7</v>
      </c>
    </row>
    <row r="2600" spans="2:10" x14ac:dyDescent="0.25">
      <c r="B2600" s="3">
        <f t="shared" si="374"/>
        <v>12915</v>
      </c>
      <c r="C2600" s="14">
        <f t="shared" si="375"/>
        <v>215.25</v>
      </c>
      <c r="D2600" s="11">
        <f t="shared" si="376"/>
        <v>1136.5184207195698</v>
      </c>
      <c r="E2600" s="24">
        <f t="shared" si="368"/>
        <v>1135.5042525224092</v>
      </c>
      <c r="F2600" s="24">
        <f t="shared" si="370"/>
        <v>25.354204929016078</v>
      </c>
      <c r="G2600" s="14">
        <f t="shared" si="371"/>
        <v>450.3960739588502</v>
      </c>
      <c r="H2600" s="24">
        <f t="shared" si="369"/>
        <v>650</v>
      </c>
      <c r="I2600" s="12">
        <f t="shared" si="372"/>
        <v>5.8477735742967947E-2</v>
      </c>
      <c r="J2600" s="3">
        <f t="shared" si="373"/>
        <v>0.7</v>
      </c>
    </row>
    <row r="2601" spans="2:10" x14ac:dyDescent="0.25">
      <c r="B2601" s="3">
        <f t="shared" si="374"/>
        <v>12920</v>
      </c>
      <c r="C2601" s="14">
        <f t="shared" si="375"/>
        <v>215.33333333333334</v>
      </c>
      <c r="D2601" s="11">
        <f t="shared" si="376"/>
        <v>1136.5763826530804</v>
      </c>
      <c r="E2601" s="24">
        <f t="shared" si="368"/>
        <v>1135.5627302581522</v>
      </c>
      <c r="F2601" s="24">
        <f t="shared" si="370"/>
        <v>25.341309873203954</v>
      </c>
      <c r="G2601" s="14">
        <f t="shared" si="371"/>
        <v>450.22280861542259</v>
      </c>
      <c r="H2601" s="24">
        <f t="shared" si="369"/>
        <v>650</v>
      </c>
      <c r="I2601" s="12">
        <f t="shared" si="372"/>
        <v>5.8454853489156147E-2</v>
      </c>
      <c r="J2601" s="3">
        <f t="shared" si="373"/>
        <v>0.7</v>
      </c>
    </row>
    <row r="2602" spans="2:10" x14ac:dyDescent="0.25">
      <c r="B2602" s="3">
        <f t="shared" si="374"/>
        <v>12925</v>
      </c>
      <c r="C2602" s="14">
        <f t="shared" si="375"/>
        <v>215.41666666666666</v>
      </c>
      <c r="D2602" s="11">
        <f t="shared" si="376"/>
        <v>1136.6343221728498</v>
      </c>
      <c r="E2602" s="24">
        <f t="shared" si="368"/>
        <v>1135.6211851116414</v>
      </c>
      <c r="F2602" s="24">
        <f t="shared" si="370"/>
        <v>25.328426530211345</v>
      </c>
      <c r="G2602" s="14">
        <f t="shared" si="371"/>
        <v>450.0496775084975</v>
      </c>
      <c r="H2602" s="24">
        <f t="shared" si="369"/>
        <v>650</v>
      </c>
      <c r="I2602" s="12">
        <f t="shared" si="372"/>
        <v>5.8431989174978362E-2</v>
      </c>
      <c r="J2602" s="3">
        <f t="shared" si="373"/>
        <v>0.7</v>
      </c>
    </row>
    <row r="2603" spans="2:10" x14ac:dyDescent="0.25">
      <c r="B2603" s="3">
        <f t="shared" si="374"/>
        <v>12930</v>
      </c>
      <c r="C2603" s="14">
        <f t="shared" si="375"/>
        <v>215.5</v>
      </c>
      <c r="D2603" s="11">
        <f t="shared" si="376"/>
        <v>1136.6922392962058</v>
      </c>
      <c r="E2603" s="24">
        <f t="shared" si="368"/>
        <v>1135.6796171008164</v>
      </c>
      <c r="F2603" s="24">
        <f t="shared" si="370"/>
        <v>25.315554884736002</v>
      </c>
      <c r="G2603" s="14">
        <f t="shared" si="371"/>
        <v>449.87668048125289</v>
      </c>
      <c r="H2603" s="24">
        <f t="shared" si="369"/>
        <v>650</v>
      </c>
      <c r="I2603" s="12">
        <f t="shared" si="372"/>
        <v>5.8409142779277612E-2</v>
      </c>
      <c r="J2603" s="3">
        <f t="shared" si="373"/>
        <v>0.7</v>
      </c>
    </row>
    <row r="2604" spans="2:10" x14ac:dyDescent="0.25">
      <c r="B2604" s="3">
        <f t="shared" si="374"/>
        <v>12935</v>
      </c>
      <c r="C2604" s="14">
        <f t="shared" si="375"/>
        <v>215.58333333333334</v>
      </c>
      <c r="D2604" s="11">
        <f t="shared" si="376"/>
        <v>1136.7501340404567</v>
      </c>
      <c r="E2604" s="24">
        <f t="shared" si="368"/>
        <v>1135.7380262435956</v>
      </c>
      <c r="F2604" s="24">
        <f t="shared" si="370"/>
        <v>25.302694921526836</v>
      </c>
      <c r="G2604" s="14">
        <f t="shared" si="371"/>
        <v>449.70381737760317</v>
      </c>
      <c r="H2604" s="24">
        <f t="shared" si="369"/>
        <v>650</v>
      </c>
      <c r="I2604" s="12">
        <f t="shared" si="372"/>
        <v>5.838631428099373E-2</v>
      </c>
      <c r="J2604" s="3">
        <f t="shared" si="373"/>
        <v>0.7</v>
      </c>
    </row>
    <row r="2605" spans="2:10" x14ac:dyDescent="0.25">
      <c r="B2605" s="3">
        <f t="shared" si="374"/>
        <v>12940</v>
      </c>
      <c r="C2605" s="14">
        <f t="shared" si="375"/>
        <v>215.66666666666666</v>
      </c>
      <c r="D2605" s="11">
        <f t="shared" si="376"/>
        <v>1136.8080064228898</v>
      </c>
      <c r="E2605" s="24">
        <f t="shared" si="368"/>
        <v>1135.7964125578767</v>
      </c>
      <c r="F2605" s="24">
        <f t="shared" si="370"/>
        <v>25.289846625327073</v>
      </c>
      <c r="G2605" s="14">
        <f t="shared" si="371"/>
        <v>449.53108804119142</v>
      </c>
      <c r="H2605" s="24">
        <f t="shared" si="369"/>
        <v>650</v>
      </c>
      <c r="I2605" s="12">
        <f t="shared" si="372"/>
        <v>5.8363503659032499E-2</v>
      </c>
      <c r="J2605" s="3">
        <f t="shared" si="373"/>
        <v>0.7</v>
      </c>
    </row>
    <row r="2606" spans="2:10" x14ac:dyDescent="0.25">
      <c r="B2606" s="3">
        <f t="shared" si="374"/>
        <v>12945</v>
      </c>
      <c r="C2606" s="14">
        <f t="shared" si="375"/>
        <v>215.75</v>
      </c>
      <c r="D2606" s="11">
        <f t="shared" si="376"/>
        <v>1136.8658564607731</v>
      </c>
      <c r="E2606" s="24">
        <f t="shared" si="368"/>
        <v>1135.8547760615356</v>
      </c>
      <c r="F2606" s="24">
        <f t="shared" si="370"/>
        <v>25.277009980936782</v>
      </c>
      <c r="G2606" s="14">
        <f t="shared" si="371"/>
        <v>449.35849231624223</v>
      </c>
      <c r="H2606" s="24">
        <f t="shared" si="369"/>
        <v>650</v>
      </c>
      <c r="I2606" s="12">
        <f t="shared" si="372"/>
        <v>5.8340710892378161E-2</v>
      </c>
      <c r="J2606" s="3">
        <f t="shared" si="373"/>
        <v>0.7</v>
      </c>
    </row>
    <row r="2607" spans="2:10" x14ac:dyDescent="0.25">
      <c r="B2607" s="3">
        <f t="shared" si="374"/>
        <v>12950</v>
      </c>
      <c r="C2607" s="14">
        <f t="shared" si="375"/>
        <v>215.83333333333334</v>
      </c>
      <c r="D2607" s="11">
        <f t="shared" si="376"/>
        <v>1136.9236841713548</v>
      </c>
      <c r="E2607" s="24">
        <f t="shared" si="368"/>
        <v>1135.9131167724281</v>
      </c>
      <c r="F2607" s="24">
        <f t="shared" si="370"/>
        <v>25.264184973167403</v>
      </c>
      <c r="G2607" s="14">
        <f t="shared" si="371"/>
        <v>449.18603004725134</v>
      </c>
      <c r="H2607" s="24">
        <f t="shared" si="369"/>
        <v>650</v>
      </c>
      <c r="I2607" s="12">
        <f t="shared" si="372"/>
        <v>5.8317935960049694E-2</v>
      </c>
      <c r="J2607" s="3">
        <f t="shared" si="373"/>
        <v>0.7</v>
      </c>
    </row>
    <row r="2608" spans="2:10" x14ac:dyDescent="0.25">
      <c r="B2608" s="3">
        <f t="shared" si="374"/>
        <v>12955</v>
      </c>
      <c r="C2608" s="14">
        <f t="shared" si="375"/>
        <v>215.91666666666666</v>
      </c>
      <c r="D2608" s="11">
        <f t="shared" si="376"/>
        <v>1136.9814895718619</v>
      </c>
      <c r="E2608" s="24">
        <f t="shared" si="368"/>
        <v>1135.9714347083882</v>
      </c>
      <c r="F2608" s="24">
        <f t="shared" si="370"/>
        <v>25.251371586841742</v>
      </c>
      <c r="G2608" s="14">
        <f t="shared" si="371"/>
        <v>449.01370107852085</v>
      </c>
      <c r="H2608" s="24">
        <f t="shared" si="369"/>
        <v>650</v>
      </c>
      <c r="I2608" s="12">
        <f t="shared" si="372"/>
        <v>5.8295178841043661E-2</v>
      </c>
      <c r="J2608" s="3">
        <f t="shared" si="373"/>
        <v>0.7</v>
      </c>
    </row>
    <row r="2609" spans="2:10" x14ac:dyDescent="0.25">
      <c r="B2609" s="3">
        <f t="shared" si="374"/>
        <v>12960</v>
      </c>
      <c r="C2609" s="14">
        <f t="shared" si="375"/>
        <v>216</v>
      </c>
      <c r="D2609" s="11">
        <f t="shared" si="376"/>
        <v>1137.0392726795033</v>
      </c>
      <c r="E2609" s="24">
        <f t="shared" si="368"/>
        <v>1136.0297298872292</v>
      </c>
      <c r="F2609" s="24">
        <f t="shared" si="370"/>
        <v>25.238569806850819</v>
      </c>
      <c r="G2609" s="14">
        <f t="shared" si="371"/>
        <v>448.84150525536046</v>
      </c>
      <c r="H2609" s="24">
        <f t="shared" si="369"/>
        <v>650</v>
      </c>
      <c r="I2609" s="12">
        <f t="shared" si="372"/>
        <v>5.827243951448887E-2</v>
      </c>
      <c r="J2609" s="3">
        <f t="shared" si="373"/>
        <v>0.7</v>
      </c>
    </row>
    <row r="2610" spans="2:10" x14ac:dyDescent="0.25">
      <c r="B2610" s="3">
        <f t="shared" si="374"/>
        <v>12965</v>
      </c>
      <c r="C2610" s="14">
        <f t="shared" si="375"/>
        <v>216.08333333333334</v>
      </c>
      <c r="D2610" s="11">
        <f t="shared" si="376"/>
        <v>1137.0970335114664</v>
      </c>
      <c r="E2610" s="24">
        <f t="shared" si="368"/>
        <v>1136.0880023267437</v>
      </c>
      <c r="F2610" s="24">
        <f t="shared" si="370"/>
        <v>25.2257796180686</v>
      </c>
      <c r="G2610" s="14">
        <f t="shared" si="371"/>
        <v>448.66944242259547</v>
      </c>
      <c r="H2610" s="24">
        <f t="shared" si="369"/>
        <v>650</v>
      </c>
      <c r="I2610" s="12">
        <f t="shared" si="372"/>
        <v>5.8249717959452482E-2</v>
      </c>
      <c r="J2610" s="3">
        <f t="shared" si="373"/>
        <v>0.7</v>
      </c>
    </row>
    <row r="2611" spans="2:10" x14ac:dyDescent="0.25">
      <c r="B2611" s="3">
        <f t="shared" si="374"/>
        <v>12970</v>
      </c>
      <c r="C2611" s="14">
        <f t="shared" si="375"/>
        <v>216.16666666666666</v>
      </c>
      <c r="D2611" s="11">
        <f t="shared" si="376"/>
        <v>1137.1547720849194</v>
      </c>
      <c r="E2611" s="24">
        <f t="shared" si="368"/>
        <v>1136.146252044703</v>
      </c>
      <c r="F2611" s="24">
        <f t="shared" si="370"/>
        <v>25.213001005408842</v>
      </c>
      <c r="G2611" s="14">
        <f t="shared" si="371"/>
        <v>448.49751242551628</v>
      </c>
      <c r="H2611" s="24">
        <f t="shared" si="369"/>
        <v>650</v>
      </c>
      <c r="I2611" s="12">
        <f t="shared" si="372"/>
        <v>5.8227014155063726E-2</v>
      </c>
      <c r="J2611" s="3">
        <f t="shared" si="373"/>
        <v>0.7</v>
      </c>
    </row>
    <row r="2612" spans="2:10" x14ac:dyDescent="0.25">
      <c r="B2612" s="3">
        <f t="shared" si="374"/>
        <v>12975</v>
      </c>
      <c r="C2612" s="14">
        <f t="shared" si="375"/>
        <v>216.25</v>
      </c>
      <c r="D2612" s="11">
        <f t="shared" si="376"/>
        <v>1137.2124884170107</v>
      </c>
      <c r="E2612" s="24">
        <f t="shared" ref="E2612:E2675" si="377">E2611+I2611</f>
        <v>1136.2044790588582</v>
      </c>
      <c r="F2612" s="24">
        <f t="shared" si="370"/>
        <v>25.200233953813722</v>
      </c>
      <c r="G2612" s="14">
        <f t="shared" si="371"/>
        <v>448.32571510982024</v>
      </c>
      <c r="H2612" s="24">
        <f t="shared" ref="H2612:H2675" si="378">IF(E2612&lt;600,425+0.773*E2612-1.69/1000*E2612^2+2.22/1000^2*E2612^3,IF(E2612&lt;735,666+13002/(738-E2612),IF(E2612&lt;900,545+17820/(E2612-731),650)))</f>
        <v>650</v>
      </c>
      <c r="I2612" s="12">
        <f t="shared" si="372"/>
        <v>5.8204328080505345E-2</v>
      </c>
      <c r="J2612" s="3">
        <f t="shared" si="373"/>
        <v>0.7</v>
      </c>
    </row>
    <row r="2613" spans="2:10" x14ac:dyDescent="0.25">
      <c r="B2613" s="3">
        <f t="shared" si="374"/>
        <v>12980</v>
      </c>
      <c r="C2613" s="14">
        <f t="shared" si="375"/>
        <v>216.33333333333334</v>
      </c>
      <c r="D2613" s="11">
        <f t="shared" si="376"/>
        <v>1137.2701825248689</v>
      </c>
      <c r="E2613" s="24">
        <f t="shared" si="377"/>
        <v>1136.2626833869388</v>
      </c>
      <c r="F2613" s="24">
        <f t="shared" si="370"/>
        <v>25.187478448253842</v>
      </c>
      <c r="G2613" s="14">
        <f t="shared" si="371"/>
        <v>448.15405032130167</v>
      </c>
      <c r="H2613" s="24">
        <f t="shared" si="378"/>
        <v>650</v>
      </c>
      <c r="I2613" s="12">
        <f t="shared" si="372"/>
        <v>5.8181659714975492E-2</v>
      </c>
      <c r="J2613" s="3">
        <f t="shared" si="373"/>
        <v>0.7</v>
      </c>
    </row>
    <row r="2614" spans="2:10" x14ac:dyDescent="0.25">
      <c r="B2614" s="3">
        <f t="shared" si="374"/>
        <v>12985</v>
      </c>
      <c r="C2614" s="14">
        <f t="shared" si="375"/>
        <v>216.41666666666666</v>
      </c>
      <c r="D2614" s="11">
        <f t="shared" si="376"/>
        <v>1137.3278544256029</v>
      </c>
      <c r="E2614" s="24">
        <f t="shared" si="377"/>
        <v>1136.3208650466538</v>
      </c>
      <c r="F2614" s="24">
        <f t="shared" si="370"/>
        <v>25.174734473728222</v>
      </c>
      <c r="G2614" s="14">
        <f t="shared" si="371"/>
        <v>447.98251790621993</v>
      </c>
      <c r="H2614" s="24">
        <f t="shared" si="378"/>
        <v>650</v>
      </c>
      <c r="I2614" s="12">
        <f t="shared" si="372"/>
        <v>5.8159009037732974E-2</v>
      </c>
      <c r="J2614" s="3">
        <f t="shared" si="373"/>
        <v>0.7</v>
      </c>
    </row>
    <row r="2615" spans="2:10" x14ac:dyDescent="0.25">
      <c r="B2615" s="3">
        <f t="shared" si="374"/>
        <v>12990</v>
      </c>
      <c r="C2615" s="14">
        <f t="shared" si="375"/>
        <v>216.5</v>
      </c>
      <c r="D2615" s="11">
        <f t="shared" si="376"/>
        <v>1137.3855041363011</v>
      </c>
      <c r="E2615" s="24">
        <f t="shared" si="377"/>
        <v>1136.3790240556916</v>
      </c>
      <c r="F2615" s="24">
        <f t="shared" si="370"/>
        <v>25.162002015235885</v>
      </c>
      <c r="G2615" s="14">
        <f t="shared" si="371"/>
        <v>447.81111771046619</v>
      </c>
      <c r="H2615" s="24">
        <f t="shared" si="378"/>
        <v>650</v>
      </c>
      <c r="I2615" s="12">
        <f t="shared" si="372"/>
        <v>5.8136376027991342E-2</v>
      </c>
      <c r="J2615" s="3">
        <f t="shared" si="373"/>
        <v>0.7</v>
      </c>
    </row>
    <row r="2616" spans="2:10" x14ac:dyDescent="0.25">
      <c r="B2616" s="3">
        <f t="shared" si="374"/>
        <v>12995</v>
      </c>
      <c r="C2616" s="14">
        <f t="shared" si="375"/>
        <v>216.58333333333334</v>
      </c>
      <c r="D2616" s="11">
        <f t="shared" si="376"/>
        <v>1137.4431316740333</v>
      </c>
      <c r="E2616" s="24">
        <f t="shared" si="377"/>
        <v>1136.4371604317196</v>
      </c>
      <c r="F2616" s="24">
        <f t="shared" si="370"/>
        <v>25.149281057844064</v>
      </c>
      <c r="G2616" s="14">
        <f t="shared" si="371"/>
        <v>447.63984958117197</v>
      </c>
      <c r="H2616" s="24">
        <f t="shared" si="378"/>
        <v>650</v>
      </c>
      <c r="I2616" s="12">
        <f t="shared" si="372"/>
        <v>5.8113760665124997E-2</v>
      </c>
      <c r="J2616" s="3">
        <f t="shared" si="373"/>
        <v>0.7</v>
      </c>
    </row>
    <row r="2617" spans="2:10" x14ac:dyDescent="0.25">
      <c r="B2617" s="3">
        <f t="shared" si="374"/>
        <v>13000</v>
      </c>
      <c r="C2617" s="14">
        <f t="shared" si="375"/>
        <v>216.66666666666666</v>
      </c>
      <c r="D2617" s="11">
        <f t="shared" si="376"/>
        <v>1137.500737055849</v>
      </c>
      <c r="E2617" s="24">
        <f t="shared" si="377"/>
        <v>1136.4952741923846</v>
      </c>
      <c r="F2617" s="24">
        <f t="shared" si="370"/>
        <v>25.136571586608625</v>
      </c>
      <c r="G2617" s="14">
        <f t="shared" si="371"/>
        <v>447.46871336467416</v>
      </c>
      <c r="H2617" s="24">
        <f t="shared" si="378"/>
        <v>650</v>
      </c>
      <c r="I2617" s="12">
        <f t="shared" si="372"/>
        <v>5.8091162928409254E-2</v>
      </c>
      <c r="J2617" s="3">
        <f t="shared" si="373"/>
        <v>0.7</v>
      </c>
    </row>
    <row r="2618" spans="2:10" x14ac:dyDescent="0.25">
      <c r="B2618" s="3">
        <f t="shared" si="374"/>
        <v>13005</v>
      </c>
      <c r="C2618" s="14">
        <f t="shared" si="375"/>
        <v>216.75</v>
      </c>
      <c r="D2618" s="11">
        <f t="shared" si="376"/>
        <v>1137.5583202987777</v>
      </c>
      <c r="E2618" s="24">
        <f t="shared" si="377"/>
        <v>1136.553365355313</v>
      </c>
      <c r="F2618" s="24">
        <f t="shared" si="370"/>
        <v>25.123873586619538</v>
      </c>
      <c r="G2618" s="14">
        <f t="shared" si="371"/>
        <v>447.29770890808481</v>
      </c>
      <c r="H2618" s="24">
        <f t="shared" si="378"/>
        <v>650</v>
      </c>
      <c r="I2618" s="12">
        <f t="shared" si="372"/>
        <v>5.8068582797218916E-2</v>
      </c>
      <c r="J2618" s="3">
        <f t="shared" si="373"/>
        <v>0.7</v>
      </c>
    </row>
    <row r="2619" spans="2:10" x14ac:dyDescent="0.25">
      <c r="B2619" s="3">
        <f t="shared" si="374"/>
        <v>13010</v>
      </c>
      <c r="C2619" s="14">
        <f t="shared" si="375"/>
        <v>216.83333333333334</v>
      </c>
      <c r="D2619" s="11">
        <f t="shared" si="376"/>
        <v>1137.6158814198302</v>
      </c>
      <c r="E2619" s="24">
        <f t="shared" si="377"/>
        <v>1136.6114339381102</v>
      </c>
      <c r="F2619" s="24">
        <f t="shared" si="370"/>
        <v>25.111187043000882</v>
      </c>
      <c r="G2619" s="14">
        <f t="shared" si="371"/>
        <v>447.1268360587099</v>
      </c>
      <c r="H2619" s="24">
        <f t="shared" si="378"/>
        <v>650</v>
      </c>
      <c r="I2619" s="12">
        <f t="shared" si="372"/>
        <v>5.8046020250956808E-2</v>
      </c>
      <c r="J2619" s="3">
        <f t="shared" si="373"/>
        <v>0.7</v>
      </c>
    </row>
    <row r="2620" spans="2:10" x14ac:dyDescent="0.25">
      <c r="B2620" s="3">
        <f t="shared" si="374"/>
        <v>13015</v>
      </c>
      <c r="C2620" s="14">
        <f t="shared" si="375"/>
        <v>216.91666666666666</v>
      </c>
      <c r="D2620" s="11">
        <f t="shared" si="376"/>
        <v>1137.6734204359968</v>
      </c>
      <c r="E2620" s="24">
        <f t="shared" si="377"/>
        <v>1136.6694799583611</v>
      </c>
      <c r="F2620" s="24">
        <f t="shared" si="370"/>
        <v>25.098511940893786</v>
      </c>
      <c r="G2620" s="14">
        <f t="shared" si="371"/>
        <v>446.95609466397156</v>
      </c>
      <c r="H2620" s="24">
        <f t="shared" si="378"/>
        <v>650</v>
      </c>
      <c r="I2620" s="12">
        <f t="shared" si="372"/>
        <v>5.8023475269042134E-2</v>
      </c>
      <c r="J2620" s="3">
        <f t="shared" si="373"/>
        <v>0.7</v>
      </c>
    </row>
    <row r="2621" spans="2:10" x14ac:dyDescent="0.25">
      <c r="B2621" s="3">
        <f t="shared" si="374"/>
        <v>13020</v>
      </c>
      <c r="C2621" s="14">
        <f t="shared" si="375"/>
        <v>217</v>
      </c>
      <c r="D2621" s="11">
        <f t="shared" si="376"/>
        <v>1137.7309373642488</v>
      </c>
      <c r="E2621" s="24">
        <f t="shared" si="377"/>
        <v>1136.7275034336301</v>
      </c>
      <c r="F2621" s="24">
        <f t="shared" si="370"/>
        <v>25.085848265467803</v>
      </c>
      <c r="G2621" s="14">
        <f t="shared" si="371"/>
        <v>446.78548457166022</v>
      </c>
      <c r="H2621" s="24">
        <f t="shared" si="378"/>
        <v>650</v>
      </c>
      <c r="I2621" s="12">
        <f t="shared" si="372"/>
        <v>5.8000947830942853E-2</v>
      </c>
      <c r="J2621" s="3">
        <f t="shared" si="373"/>
        <v>0.7</v>
      </c>
    </row>
    <row r="2622" spans="2:10" x14ac:dyDescent="0.25">
      <c r="B2622" s="3">
        <f t="shared" si="374"/>
        <v>13025</v>
      </c>
      <c r="C2622" s="14">
        <f t="shared" si="375"/>
        <v>217.08333333333334</v>
      </c>
      <c r="D2622" s="11">
        <f t="shared" si="376"/>
        <v>1137.788432221538</v>
      </c>
      <c r="E2622" s="24">
        <f t="shared" si="377"/>
        <v>1136.7855043814611</v>
      </c>
      <c r="F2622" s="24">
        <f t="shared" si="370"/>
        <v>25.073196001920905</v>
      </c>
      <c r="G2622" s="14">
        <f t="shared" si="371"/>
        <v>446.61500562972134</v>
      </c>
      <c r="H2622" s="24">
        <f t="shared" si="378"/>
        <v>650</v>
      </c>
      <c r="I2622" s="12">
        <f t="shared" si="372"/>
        <v>5.7978437916149483E-2</v>
      </c>
      <c r="J2622" s="3">
        <f t="shared" si="373"/>
        <v>0.7</v>
      </c>
    </row>
    <row r="2623" spans="2:10" x14ac:dyDescent="0.25">
      <c r="B2623" s="3">
        <f t="shared" si="374"/>
        <v>13030</v>
      </c>
      <c r="C2623" s="14">
        <f t="shared" si="375"/>
        <v>217.16666666666666</v>
      </c>
      <c r="D2623" s="11">
        <f t="shared" si="376"/>
        <v>1137.8459050247961</v>
      </c>
      <c r="E2623" s="24">
        <f t="shared" si="377"/>
        <v>1136.8434828193772</v>
      </c>
      <c r="F2623" s="24">
        <f t="shared" si="370"/>
        <v>25.060555135473805</v>
      </c>
      <c r="G2623" s="14">
        <f t="shared" si="371"/>
        <v>446.44465768648791</v>
      </c>
      <c r="H2623" s="24">
        <f t="shared" si="378"/>
        <v>650</v>
      </c>
      <c r="I2623" s="12">
        <f t="shared" si="372"/>
        <v>5.7955945504202959E-2</v>
      </c>
      <c r="J2623" s="3">
        <f t="shared" si="373"/>
        <v>0.7</v>
      </c>
    </row>
    <row r="2624" spans="2:10" x14ac:dyDescent="0.25">
      <c r="B2624" s="3">
        <f t="shared" si="374"/>
        <v>13035</v>
      </c>
      <c r="C2624" s="14">
        <f t="shared" si="375"/>
        <v>217.25</v>
      </c>
      <c r="D2624" s="11">
        <f t="shared" si="376"/>
        <v>1137.9033557909356</v>
      </c>
      <c r="E2624" s="24">
        <f t="shared" si="377"/>
        <v>1136.9014387648813</v>
      </c>
      <c r="F2624" s="24">
        <f t="shared" si="370"/>
        <v>25.047925651358582</v>
      </c>
      <c r="G2624" s="14">
        <f t="shared" si="371"/>
        <v>446.27444059009918</v>
      </c>
      <c r="H2624" s="24">
        <f t="shared" si="378"/>
        <v>650</v>
      </c>
      <c r="I2624" s="12">
        <f t="shared" si="372"/>
        <v>5.7933470574621816E-2</v>
      </c>
      <c r="J2624" s="3">
        <f t="shared" si="373"/>
        <v>0.7</v>
      </c>
    </row>
    <row r="2625" spans="2:10" x14ac:dyDescent="0.25">
      <c r="B2625" s="3">
        <f t="shared" si="374"/>
        <v>13040</v>
      </c>
      <c r="C2625" s="14">
        <f t="shared" si="375"/>
        <v>217.33333333333334</v>
      </c>
      <c r="D2625" s="11">
        <f t="shared" si="376"/>
        <v>1137.9607845368503</v>
      </c>
      <c r="E2625" s="24">
        <f t="shared" si="377"/>
        <v>1136.9593722354559</v>
      </c>
      <c r="F2625" s="24">
        <f t="shared" si="370"/>
        <v>25.035307534858475</v>
      </c>
      <c r="G2625" s="14">
        <f t="shared" si="371"/>
        <v>446.10435418954711</v>
      </c>
      <c r="H2625" s="24">
        <f t="shared" si="378"/>
        <v>650</v>
      </c>
      <c r="I2625" s="12">
        <f t="shared" si="372"/>
        <v>5.7911013107035669E-2</v>
      </c>
      <c r="J2625" s="3">
        <f t="shared" si="373"/>
        <v>0.7</v>
      </c>
    </row>
    <row r="2626" spans="2:10" x14ac:dyDescent="0.25">
      <c r="B2626" s="3">
        <f t="shared" si="374"/>
        <v>13045</v>
      </c>
      <c r="C2626" s="14">
        <f t="shared" si="375"/>
        <v>217.41666666666666</v>
      </c>
      <c r="D2626" s="11">
        <f t="shared" si="376"/>
        <v>1138.0181912794133</v>
      </c>
      <c r="E2626" s="24">
        <f t="shared" si="377"/>
        <v>1137.017283248563</v>
      </c>
      <c r="F2626" s="24">
        <f t="shared" si="370"/>
        <v>25.022700771256723</v>
      </c>
      <c r="G2626" s="14">
        <f t="shared" si="371"/>
        <v>445.93439833345548</v>
      </c>
      <c r="H2626" s="24">
        <f t="shared" si="378"/>
        <v>650</v>
      </c>
      <c r="I2626" s="12">
        <f t="shared" si="372"/>
        <v>5.7888573081028898E-2</v>
      </c>
      <c r="J2626" s="3">
        <f t="shared" si="373"/>
        <v>0.7</v>
      </c>
    </row>
    <row r="2627" spans="2:10" x14ac:dyDescent="0.25">
      <c r="B2627" s="3">
        <f t="shared" si="374"/>
        <v>13050</v>
      </c>
      <c r="C2627" s="14">
        <f t="shared" si="375"/>
        <v>217.5</v>
      </c>
      <c r="D2627" s="11">
        <f t="shared" si="376"/>
        <v>1138.0755760354791</v>
      </c>
      <c r="E2627" s="24">
        <f t="shared" si="377"/>
        <v>1137.0751718216441</v>
      </c>
      <c r="F2627" s="24">
        <f t="shared" si="370"/>
        <v>25.010105345876354</v>
      </c>
      <c r="G2627" s="14">
        <f t="shared" si="371"/>
        <v>445.76457287108747</v>
      </c>
      <c r="H2627" s="24">
        <f t="shared" si="378"/>
        <v>650</v>
      </c>
      <c r="I2627" s="12">
        <f t="shared" si="372"/>
        <v>5.7866150476269348E-2</v>
      </c>
      <c r="J2627" s="3">
        <f t="shared" si="373"/>
        <v>0.7</v>
      </c>
    </row>
    <row r="2628" spans="2:10" x14ac:dyDescent="0.25">
      <c r="B2628" s="3">
        <f t="shared" si="374"/>
        <v>13055</v>
      </c>
      <c r="C2628" s="14">
        <f t="shared" si="375"/>
        <v>217.58333333333334</v>
      </c>
      <c r="D2628" s="11">
        <f t="shared" si="376"/>
        <v>1138.1329388218828</v>
      </c>
      <c r="E2628" s="24">
        <f t="shared" si="377"/>
        <v>1137.1330379721203</v>
      </c>
      <c r="F2628" s="24">
        <f t="shared" si="370"/>
        <v>24.997521244063137</v>
      </c>
      <c r="G2628" s="14">
        <f t="shared" si="371"/>
        <v>445.59487765188078</v>
      </c>
      <c r="H2628" s="24">
        <f t="shared" si="378"/>
        <v>650</v>
      </c>
      <c r="I2628" s="12">
        <f t="shared" si="372"/>
        <v>5.7843745272449128E-2</v>
      </c>
      <c r="J2628" s="3">
        <f t="shared" si="373"/>
        <v>0.7</v>
      </c>
    </row>
    <row r="2629" spans="2:10" x14ac:dyDescent="0.25">
      <c r="B2629" s="3">
        <f t="shared" si="374"/>
        <v>13060</v>
      </c>
      <c r="C2629" s="14">
        <f t="shared" si="375"/>
        <v>217.66666666666666</v>
      </c>
      <c r="D2629" s="11">
        <f t="shared" si="376"/>
        <v>1138.1902796554402</v>
      </c>
      <c r="E2629" s="24">
        <f t="shared" si="377"/>
        <v>1137.1908817173928</v>
      </c>
      <c r="F2629" s="24">
        <f t="shared" si="370"/>
        <v>24.984948451185574</v>
      </c>
      <c r="G2629" s="14">
        <f t="shared" si="371"/>
        <v>445.42531252540886</v>
      </c>
      <c r="H2629" s="24">
        <f t="shared" si="378"/>
        <v>650</v>
      </c>
      <c r="I2629" s="12">
        <f t="shared" si="372"/>
        <v>5.7821357449279812E-2</v>
      </c>
      <c r="J2629" s="3">
        <f t="shared" si="373"/>
        <v>0.7</v>
      </c>
    </row>
    <row r="2630" spans="2:10" x14ac:dyDescent="0.25">
      <c r="B2630" s="3">
        <f t="shared" si="374"/>
        <v>13065</v>
      </c>
      <c r="C2630" s="14">
        <f t="shared" si="375"/>
        <v>217.75</v>
      </c>
      <c r="D2630" s="11">
        <f t="shared" si="376"/>
        <v>1138.2475985529475</v>
      </c>
      <c r="E2630" s="24">
        <f t="shared" si="377"/>
        <v>1137.2487030748421</v>
      </c>
      <c r="F2630" s="24">
        <f t="shared" si="370"/>
        <v>24.972386952634906</v>
      </c>
      <c r="G2630" s="14">
        <f t="shared" si="371"/>
        <v>445.25587734147757</v>
      </c>
      <c r="H2630" s="24">
        <f t="shared" si="378"/>
        <v>650</v>
      </c>
      <c r="I2630" s="12">
        <f t="shared" si="372"/>
        <v>5.7798986986504354E-2</v>
      </c>
      <c r="J2630" s="3">
        <f t="shared" si="373"/>
        <v>0.7</v>
      </c>
    </row>
    <row r="2631" spans="2:10" x14ac:dyDescent="0.25">
      <c r="B2631" s="3">
        <f t="shared" si="374"/>
        <v>13070</v>
      </c>
      <c r="C2631" s="14">
        <f t="shared" si="375"/>
        <v>217.83333333333334</v>
      </c>
      <c r="D2631" s="11">
        <f t="shared" si="376"/>
        <v>1138.304895531182</v>
      </c>
      <c r="E2631" s="24">
        <f t="shared" si="377"/>
        <v>1137.3065020618285</v>
      </c>
      <c r="F2631" s="24">
        <f t="shared" si="370"/>
        <v>24.959836733836482</v>
      </c>
      <c r="G2631" s="14">
        <f t="shared" si="371"/>
        <v>445.08657195033851</v>
      </c>
      <c r="H2631" s="24">
        <f t="shared" si="378"/>
        <v>650</v>
      </c>
      <c r="I2631" s="12">
        <f t="shared" si="372"/>
        <v>5.7776633863924662E-2</v>
      </c>
      <c r="J2631" s="3">
        <f t="shared" si="373"/>
        <v>0.7</v>
      </c>
    </row>
    <row r="2632" spans="2:10" x14ac:dyDescent="0.25">
      <c r="B2632" s="3">
        <f t="shared" si="374"/>
        <v>13075</v>
      </c>
      <c r="C2632" s="14">
        <f t="shared" si="375"/>
        <v>217.91666666666666</v>
      </c>
      <c r="D2632" s="11">
        <f t="shared" si="376"/>
        <v>1138.3621706069009</v>
      </c>
      <c r="E2632" s="24">
        <f t="shared" si="377"/>
        <v>1137.3642786956925</v>
      </c>
      <c r="F2632" s="24">
        <f t="shared" si="370"/>
        <v>24.947297780209965</v>
      </c>
      <c r="G2632" s="14">
        <f t="shared" si="371"/>
        <v>444.91739620183637</v>
      </c>
      <c r="H2632" s="24">
        <f t="shared" si="378"/>
        <v>650</v>
      </c>
      <c r="I2632" s="12">
        <f t="shared" si="372"/>
        <v>5.775429806129196E-2</v>
      </c>
      <c r="J2632" s="3">
        <f t="shared" si="373"/>
        <v>0.7</v>
      </c>
    </row>
    <row r="2633" spans="2:10" x14ac:dyDescent="0.25">
      <c r="B2633" s="3">
        <f t="shared" si="374"/>
        <v>13080</v>
      </c>
      <c r="C2633" s="14">
        <f t="shared" si="375"/>
        <v>218</v>
      </c>
      <c r="D2633" s="11">
        <f t="shared" si="376"/>
        <v>1138.4194237968434</v>
      </c>
      <c r="E2633" s="24">
        <f t="shared" si="377"/>
        <v>1137.4220329937539</v>
      </c>
      <c r="F2633" s="24">
        <f t="shared" si="370"/>
        <v>24.934770077237545</v>
      </c>
      <c r="G2633" s="14">
        <f t="shared" si="371"/>
        <v>444.7483499467848</v>
      </c>
      <c r="H2633" s="24">
        <f t="shared" si="378"/>
        <v>650</v>
      </c>
      <c r="I2633" s="12">
        <f t="shared" si="372"/>
        <v>5.7731979558484248E-2</v>
      </c>
      <c r="J2633" s="3">
        <f t="shared" si="373"/>
        <v>0.7</v>
      </c>
    </row>
    <row r="2634" spans="2:10" x14ac:dyDescent="0.25">
      <c r="B2634" s="3">
        <f t="shared" si="374"/>
        <v>13085</v>
      </c>
      <c r="C2634" s="14">
        <f t="shared" si="375"/>
        <v>218.08333333333334</v>
      </c>
      <c r="D2634" s="11">
        <f t="shared" si="376"/>
        <v>1138.476655117729</v>
      </c>
      <c r="E2634" s="24">
        <f t="shared" si="377"/>
        <v>1137.4797649733123</v>
      </c>
      <c r="F2634" s="24">
        <f t="shared" si="370"/>
        <v>24.922253610418466</v>
      </c>
      <c r="G2634" s="14">
        <f t="shared" si="371"/>
        <v>444.57943303615258</v>
      </c>
      <c r="H2634" s="24">
        <f t="shared" si="378"/>
        <v>650</v>
      </c>
      <c r="I2634" s="12">
        <f t="shared" si="372"/>
        <v>5.7709678335400673E-2</v>
      </c>
      <c r="J2634" s="3">
        <f t="shared" si="373"/>
        <v>0.7</v>
      </c>
    </row>
    <row r="2635" spans="2:10" x14ac:dyDescent="0.25">
      <c r="B2635" s="3">
        <f t="shared" si="374"/>
        <v>13090</v>
      </c>
      <c r="C2635" s="14">
        <f t="shared" si="375"/>
        <v>218.16666666666666</v>
      </c>
      <c r="D2635" s="11">
        <f t="shared" si="376"/>
        <v>1138.5338645862578</v>
      </c>
      <c r="E2635" s="24">
        <f t="shared" si="377"/>
        <v>1137.5374746516477</v>
      </c>
      <c r="F2635" s="24">
        <f t="shared" si="370"/>
        <v>24.909748365251971</v>
      </c>
      <c r="G2635" s="14">
        <f t="shared" si="371"/>
        <v>444.41064532059823</v>
      </c>
      <c r="H2635" s="24">
        <f t="shared" si="378"/>
        <v>650</v>
      </c>
      <c r="I2635" s="12">
        <f t="shared" si="372"/>
        <v>5.7687394371902262E-2</v>
      </c>
      <c r="J2635" s="3">
        <f t="shared" si="373"/>
        <v>0.7</v>
      </c>
    </row>
    <row r="2636" spans="2:10" x14ac:dyDescent="0.25">
      <c r="B2636" s="3">
        <f t="shared" si="374"/>
        <v>13095</v>
      </c>
      <c r="C2636" s="14">
        <f t="shared" si="375"/>
        <v>218.25</v>
      </c>
      <c r="D2636" s="11">
        <f t="shared" si="376"/>
        <v>1138.5910522191109</v>
      </c>
      <c r="E2636" s="24">
        <f t="shared" si="377"/>
        <v>1137.5951620460196</v>
      </c>
      <c r="F2636" s="24">
        <f t="shared" si="370"/>
        <v>24.897254327282781</v>
      </c>
      <c r="G2636" s="14">
        <f t="shared" si="371"/>
        <v>444.2419866514781</v>
      </c>
      <c r="H2636" s="24">
        <f t="shared" si="378"/>
        <v>650</v>
      </c>
      <c r="I2636" s="12">
        <f t="shared" si="372"/>
        <v>5.7665127647941419E-2</v>
      </c>
      <c r="J2636" s="3">
        <f t="shared" si="373"/>
        <v>0.7</v>
      </c>
    </row>
    <row r="2637" spans="2:10" x14ac:dyDescent="0.25">
      <c r="B2637" s="3">
        <f t="shared" si="374"/>
        <v>13100</v>
      </c>
      <c r="C2637" s="14">
        <f t="shared" si="375"/>
        <v>218.33333333333334</v>
      </c>
      <c r="D2637" s="11">
        <f t="shared" si="376"/>
        <v>1138.648218032951</v>
      </c>
      <c r="E2637" s="24">
        <f t="shared" si="377"/>
        <v>1137.6528271736674</v>
      </c>
      <c r="F2637" s="24">
        <f t="shared" si="370"/>
        <v>24.884771482089718</v>
      </c>
      <c r="G2637" s="14">
        <f t="shared" si="371"/>
        <v>444.07345688038106</v>
      </c>
      <c r="H2637" s="24">
        <f t="shared" si="378"/>
        <v>650</v>
      </c>
      <c r="I2637" s="12">
        <f t="shared" si="372"/>
        <v>5.7642878143503287E-2</v>
      </c>
      <c r="J2637" s="3">
        <f t="shared" si="373"/>
        <v>0.7</v>
      </c>
    </row>
    <row r="2638" spans="2:10" x14ac:dyDescent="0.25">
      <c r="B2638" s="3">
        <f t="shared" si="374"/>
        <v>13105</v>
      </c>
      <c r="C2638" s="14">
        <f t="shared" si="375"/>
        <v>218.41666666666666</v>
      </c>
      <c r="D2638" s="11">
        <f t="shared" si="376"/>
        <v>1138.7053620444203</v>
      </c>
      <c r="E2638" s="24">
        <f t="shared" si="377"/>
        <v>1137.7104700518109</v>
      </c>
      <c r="F2638" s="24">
        <f t="shared" si="370"/>
        <v>24.872299815234555</v>
      </c>
      <c r="G2638" s="14">
        <f t="shared" si="371"/>
        <v>443.90505585862462</v>
      </c>
      <c r="H2638" s="24">
        <f t="shared" si="378"/>
        <v>650</v>
      </c>
      <c r="I2638" s="12">
        <f t="shared" si="372"/>
        <v>5.7620645838537592E-2</v>
      </c>
      <c r="J2638" s="3">
        <f t="shared" si="373"/>
        <v>0.7</v>
      </c>
    </row>
    <row r="2639" spans="2:10" x14ac:dyDescent="0.25">
      <c r="B2639" s="3">
        <f t="shared" si="374"/>
        <v>13110</v>
      </c>
      <c r="C2639" s="14">
        <f t="shared" si="375"/>
        <v>218.5</v>
      </c>
      <c r="D2639" s="11">
        <f t="shared" si="376"/>
        <v>1138.7624842701432</v>
      </c>
      <c r="E2639" s="24">
        <f t="shared" si="377"/>
        <v>1137.7680906976495</v>
      </c>
      <c r="F2639" s="24">
        <f t="shared" si="370"/>
        <v>24.859839312341592</v>
      </c>
      <c r="G2639" s="14">
        <f t="shared" si="371"/>
        <v>443.73678343835962</v>
      </c>
      <c r="H2639" s="24">
        <f t="shared" si="378"/>
        <v>650</v>
      </c>
      <c r="I2639" s="12">
        <f t="shared" si="372"/>
        <v>5.7598430713104158E-2</v>
      </c>
      <c r="J2639" s="3">
        <f t="shared" si="373"/>
        <v>0.7</v>
      </c>
    </row>
    <row r="2640" spans="2:10" x14ac:dyDescent="0.25">
      <c r="B2640" s="3">
        <f t="shared" si="374"/>
        <v>13115</v>
      </c>
      <c r="C2640" s="14">
        <f t="shared" si="375"/>
        <v>218.58333333333334</v>
      </c>
      <c r="D2640" s="11">
        <f t="shared" si="376"/>
        <v>1138.8195847267248</v>
      </c>
      <c r="E2640" s="24">
        <f t="shared" si="377"/>
        <v>1137.8256891283627</v>
      </c>
      <c r="F2640" s="24">
        <f t="shared" si="370"/>
        <v>24.84738995905218</v>
      </c>
      <c r="G2640" s="14">
        <f t="shared" si="371"/>
        <v>443.56863947165954</v>
      </c>
      <c r="H2640" s="24">
        <f t="shared" si="378"/>
        <v>650</v>
      </c>
      <c r="I2640" s="12">
        <f t="shared" si="372"/>
        <v>5.7576232747255401E-2</v>
      </c>
      <c r="J2640" s="3">
        <f t="shared" si="373"/>
        <v>0.7</v>
      </c>
    </row>
    <row r="2641" spans="2:10" x14ac:dyDescent="0.25">
      <c r="B2641" s="3">
        <f t="shared" si="374"/>
        <v>13120</v>
      </c>
      <c r="C2641" s="14">
        <f t="shared" si="375"/>
        <v>218.66666666666666</v>
      </c>
      <c r="D2641" s="11">
        <f t="shared" si="376"/>
        <v>1138.876663430751</v>
      </c>
      <c r="E2641" s="24">
        <f t="shared" si="377"/>
        <v>1137.88326536111</v>
      </c>
      <c r="F2641" s="24">
        <f t="shared" ref="F2641:F2704" si="379">AlphaC*(D2641-E2641)</f>
        <v>24.834951741024724</v>
      </c>
      <c r="G2641" s="14">
        <f t="shared" ref="G2641:G2704" si="380">Phi*EpsilonF*Botzman/10^8*J2641*((D2641+273)^4-(E2641+273)^4)</f>
        <v>443.40062381098522</v>
      </c>
      <c r="H2641" s="24">
        <f t="shared" si="378"/>
        <v>650</v>
      </c>
      <c r="I2641" s="12">
        <f t="shared" ref="I2641:I2704" si="381">ksh*Massivete/(H2641*RhoA)*DeltaT*(F2641+G2641)</f>
        <v>5.755405192109344E-2</v>
      </c>
      <c r="J2641" s="3">
        <f t="shared" ref="J2641:J2704" si="382">IF(E2641&lt;=500,IF(Galva=Oui,0.35,0.7),0.7)</f>
        <v>0.7</v>
      </c>
    </row>
    <row r="2642" spans="2:10" x14ac:dyDescent="0.25">
      <c r="B2642" s="3">
        <f t="shared" ref="B2642:B2705" si="383">B2641+DeltaT</f>
        <v>13125</v>
      </c>
      <c r="C2642" s="14">
        <f t="shared" ref="C2642:C2705" si="384">B2642/60</f>
        <v>218.75</v>
      </c>
      <c r="D2642" s="11">
        <f t="shared" ref="D2642:D2705" si="385">20+345*LOG(8*C2642+1,10)</f>
        <v>1138.9337203987889</v>
      </c>
      <c r="E2642" s="24">
        <f t="shared" si="377"/>
        <v>1137.940819413031</v>
      </c>
      <c r="F2642" s="24">
        <f t="shared" si="379"/>
        <v>24.822524643946053</v>
      </c>
      <c r="G2642" s="14">
        <f t="shared" si="380"/>
        <v>443.23273630889452</v>
      </c>
      <c r="H2642" s="24">
        <f t="shared" si="378"/>
        <v>650</v>
      </c>
      <c r="I2642" s="12">
        <f t="shared" si="381"/>
        <v>5.7531888214735823E-2</v>
      </c>
      <c r="J2642" s="3">
        <f t="shared" si="382"/>
        <v>0.7</v>
      </c>
    </row>
    <row r="2643" spans="2:10" x14ac:dyDescent="0.25">
      <c r="B2643" s="3">
        <f t="shared" si="383"/>
        <v>13130</v>
      </c>
      <c r="C2643" s="14">
        <f t="shared" si="384"/>
        <v>218.83333333333334</v>
      </c>
      <c r="D2643" s="11">
        <f t="shared" si="385"/>
        <v>1138.9907556473863</v>
      </c>
      <c r="E2643" s="24">
        <f t="shared" si="377"/>
        <v>1137.9983513012457</v>
      </c>
      <c r="F2643" s="24">
        <f t="shared" si="379"/>
        <v>24.810108653514362</v>
      </c>
      <c r="G2643" s="14">
        <f t="shared" si="380"/>
        <v>443.06497681806161</v>
      </c>
      <c r="H2643" s="24">
        <f t="shared" si="378"/>
        <v>650</v>
      </c>
      <c r="I2643" s="12">
        <f t="shared" si="381"/>
        <v>5.7509741608315783E-2</v>
      </c>
      <c r="J2643" s="3">
        <f t="shared" si="382"/>
        <v>0.7</v>
      </c>
    </row>
    <row r="2644" spans="2:10" x14ac:dyDescent="0.25">
      <c r="B2644" s="3">
        <f t="shared" si="383"/>
        <v>13135</v>
      </c>
      <c r="C2644" s="14">
        <f t="shared" si="384"/>
        <v>218.91666666666666</v>
      </c>
      <c r="D2644" s="11">
        <f t="shared" si="385"/>
        <v>1139.047769193073</v>
      </c>
      <c r="E2644" s="24">
        <f t="shared" si="377"/>
        <v>1138.0558610428541</v>
      </c>
      <c r="F2644" s="24">
        <f t="shared" si="379"/>
        <v>24.797703755473322</v>
      </c>
      <c r="G2644" s="14">
        <f t="shared" si="380"/>
        <v>442.89734519168388</v>
      </c>
      <c r="H2644" s="24">
        <f t="shared" si="378"/>
        <v>650</v>
      </c>
      <c r="I2644" s="12">
        <f t="shared" si="381"/>
        <v>5.7487612082036461E-2</v>
      </c>
      <c r="J2644" s="3">
        <f t="shared" si="382"/>
        <v>0.7</v>
      </c>
    </row>
    <row r="2645" spans="2:10" x14ac:dyDescent="0.25">
      <c r="B2645" s="3">
        <f t="shared" si="383"/>
        <v>13140</v>
      </c>
      <c r="C2645" s="14">
        <f t="shared" si="384"/>
        <v>219</v>
      </c>
      <c r="D2645" s="11">
        <f t="shared" si="385"/>
        <v>1139.104761052359</v>
      </c>
      <c r="E2645" s="24">
        <f t="shared" si="377"/>
        <v>1138.1133486549361</v>
      </c>
      <c r="F2645" s="24">
        <f t="shared" si="379"/>
        <v>24.785309935572286</v>
      </c>
      <c r="G2645" s="14">
        <f t="shared" si="380"/>
        <v>442.72984128286174</v>
      </c>
      <c r="H2645" s="24">
        <f t="shared" si="378"/>
        <v>650</v>
      </c>
      <c r="I2645" s="12">
        <f t="shared" si="381"/>
        <v>5.7465499616089773E-2</v>
      </c>
      <c r="J2645" s="3">
        <f t="shared" si="382"/>
        <v>0.7</v>
      </c>
    </row>
    <row r="2646" spans="2:10" x14ac:dyDescent="0.25">
      <c r="B2646" s="3">
        <f t="shared" si="383"/>
        <v>13145</v>
      </c>
      <c r="C2646" s="14">
        <f t="shared" si="384"/>
        <v>219.08333333333334</v>
      </c>
      <c r="D2646" s="11">
        <f t="shared" si="385"/>
        <v>1139.1617312417361</v>
      </c>
      <c r="E2646" s="24">
        <f t="shared" si="377"/>
        <v>1138.1708141545521</v>
      </c>
      <c r="F2646" s="24">
        <f t="shared" si="379"/>
        <v>24.772927179600401</v>
      </c>
      <c r="G2646" s="14">
        <f t="shared" si="380"/>
        <v>442.56246494531598</v>
      </c>
      <c r="H2646" s="24">
        <f t="shared" si="378"/>
        <v>650</v>
      </c>
      <c r="I2646" s="12">
        <f t="shared" si="381"/>
        <v>5.7443404190748788E-2</v>
      </c>
      <c r="J2646" s="3">
        <f t="shared" si="382"/>
        <v>0.7</v>
      </c>
    </row>
    <row r="2647" spans="2:10" x14ac:dyDescent="0.25">
      <c r="B2647" s="3">
        <f t="shared" si="383"/>
        <v>13150</v>
      </c>
      <c r="C2647" s="14">
        <f t="shared" si="384"/>
        <v>219.16666666666666</v>
      </c>
      <c r="D2647" s="11">
        <f t="shared" si="385"/>
        <v>1139.2186797776769</v>
      </c>
      <c r="E2647" s="24">
        <f t="shared" si="377"/>
        <v>1138.2282575587428</v>
      </c>
      <c r="F2647" s="24">
        <f t="shared" si="379"/>
        <v>24.760555473352497</v>
      </c>
      <c r="G2647" s="14">
        <f t="shared" si="380"/>
        <v>442.39521603255389</v>
      </c>
      <c r="H2647" s="24">
        <f t="shared" si="378"/>
        <v>650</v>
      </c>
      <c r="I2647" s="12">
        <f t="shared" si="381"/>
        <v>5.7421325786261024E-2</v>
      </c>
      <c r="J2647" s="3">
        <f t="shared" si="382"/>
        <v>0.7</v>
      </c>
    </row>
    <row r="2648" spans="2:10" x14ac:dyDescent="0.25">
      <c r="B2648" s="3">
        <f t="shared" si="383"/>
        <v>13155</v>
      </c>
      <c r="C2648" s="14">
        <f t="shared" si="384"/>
        <v>219.25</v>
      </c>
      <c r="D2648" s="11">
        <f t="shared" si="385"/>
        <v>1139.2756066766358</v>
      </c>
      <c r="E2648" s="24">
        <f t="shared" si="377"/>
        <v>1138.285678884529</v>
      </c>
      <c r="F2648" s="24">
        <f t="shared" si="379"/>
        <v>24.748194802668877</v>
      </c>
      <c r="G2648" s="14">
        <f t="shared" si="380"/>
        <v>442.22809439880012</v>
      </c>
      <c r="H2648" s="24">
        <f t="shared" si="378"/>
        <v>650</v>
      </c>
      <c r="I2648" s="12">
        <f t="shared" si="381"/>
        <v>5.7399264382967753E-2</v>
      </c>
      <c r="J2648" s="3">
        <f t="shared" si="382"/>
        <v>0.7</v>
      </c>
    </row>
    <row r="2649" spans="2:10" x14ac:dyDescent="0.25">
      <c r="B2649" s="3">
        <f t="shared" si="383"/>
        <v>13160</v>
      </c>
      <c r="C2649" s="14">
        <f t="shared" si="384"/>
        <v>219.33333333333334</v>
      </c>
      <c r="D2649" s="11">
        <f t="shared" si="385"/>
        <v>1139.3325119550473</v>
      </c>
      <c r="E2649" s="24">
        <f t="shared" si="377"/>
        <v>1138.3430781489119</v>
      </c>
      <c r="F2649" s="24">
        <f t="shared" si="379"/>
        <v>24.735845153384162</v>
      </c>
      <c r="G2649" s="14">
        <f t="shared" si="380"/>
        <v>442.06109989785284</v>
      </c>
      <c r="H2649" s="24">
        <f t="shared" si="378"/>
        <v>650</v>
      </c>
      <c r="I2649" s="12">
        <f t="shared" si="381"/>
        <v>5.7377219961157161E-2</v>
      </c>
      <c r="J2649" s="3">
        <f t="shared" si="382"/>
        <v>0.7</v>
      </c>
    </row>
    <row r="2650" spans="2:10" x14ac:dyDescent="0.25">
      <c r="B2650" s="3">
        <f t="shared" si="383"/>
        <v>13165</v>
      </c>
      <c r="C2650" s="14">
        <f t="shared" si="384"/>
        <v>219.41666666666666</v>
      </c>
      <c r="D2650" s="11">
        <f t="shared" si="385"/>
        <v>1139.3893956293284</v>
      </c>
      <c r="E2650" s="24">
        <f t="shared" si="377"/>
        <v>1138.4004553688731</v>
      </c>
      <c r="F2650" s="24">
        <f t="shared" si="379"/>
        <v>24.72350651138413</v>
      </c>
      <c r="G2650" s="14">
        <f t="shared" si="380"/>
        <v>441.89423238428532</v>
      </c>
      <c r="H2650" s="24">
        <f t="shared" si="378"/>
        <v>650</v>
      </c>
      <c r="I2650" s="12">
        <f t="shared" si="381"/>
        <v>5.7355192501218955E-2</v>
      </c>
      <c r="J2650" s="3">
        <f t="shared" si="382"/>
        <v>0.7</v>
      </c>
    </row>
    <row r="2651" spans="2:10" x14ac:dyDescent="0.25">
      <c r="B2651" s="3">
        <f t="shared" si="383"/>
        <v>13170</v>
      </c>
      <c r="C2651" s="14">
        <f t="shared" si="384"/>
        <v>219.5</v>
      </c>
      <c r="D2651" s="11">
        <f t="shared" si="385"/>
        <v>1139.4462577158765</v>
      </c>
      <c r="E2651" s="24">
        <f t="shared" si="377"/>
        <v>1138.4578105613743</v>
      </c>
      <c r="F2651" s="24">
        <f t="shared" si="379"/>
        <v>24.711178862554561</v>
      </c>
      <c r="G2651" s="14">
        <f t="shared" si="380"/>
        <v>441.72749171249654</v>
      </c>
      <c r="H2651" s="24">
        <f t="shared" si="378"/>
        <v>650</v>
      </c>
      <c r="I2651" s="12">
        <f t="shared" si="381"/>
        <v>5.7333181983521442E-2</v>
      </c>
      <c r="J2651" s="3">
        <f t="shared" si="382"/>
        <v>0.7</v>
      </c>
    </row>
    <row r="2652" spans="2:10" x14ac:dyDescent="0.25">
      <c r="B2652" s="3">
        <f t="shared" si="383"/>
        <v>13175</v>
      </c>
      <c r="C2652" s="14">
        <f t="shared" si="384"/>
        <v>219.58333333333334</v>
      </c>
      <c r="D2652" s="11">
        <f t="shared" si="385"/>
        <v>1139.5030982310714</v>
      </c>
      <c r="E2652" s="24">
        <f t="shared" si="377"/>
        <v>1138.5151437433578</v>
      </c>
      <c r="F2652" s="24">
        <f t="shared" si="379"/>
        <v>24.698862192838078</v>
      </c>
      <c r="G2652" s="14">
        <f t="shared" si="380"/>
        <v>441.56087773766063</v>
      </c>
      <c r="H2652" s="24">
        <f t="shared" si="378"/>
        <v>650</v>
      </c>
      <c r="I2652" s="12">
        <f t="shared" si="381"/>
        <v>5.7311188388535196E-2</v>
      </c>
      <c r="J2652" s="3">
        <f t="shared" si="382"/>
        <v>0.7</v>
      </c>
    </row>
    <row r="2653" spans="2:10" x14ac:dyDescent="0.25">
      <c r="B2653" s="3">
        <f t="shared" si="383"/>
        <v>13180</v>
      </c>
      <c r="C2653" s="14">
        <f t="shared" si="384"/>
        <v>219.66666666666666</v>
      </c>
      <c r="D2653" s="11">
        <f t="shared" si="385"/>
        <v>1139.5599171912734</v>
      </c>
      <c r="E2653" s="24">
        <f t="shared" si="377"/>
        <v>1138.5724549317463</v>
      </c>
      <c r="F2653" s="24">
        <f t="shared" si="379"/>
        <v>24.686556488177303</v>
      </c>
      <c r="G2653" s="14">
        <f t="shared" si="380"/>
        <v>441.39439031485489</v>
      </c>
      <c r="H2653" s="24">
        <f t="shared" si="378"/>
        <v>650</v>
      </c>
      <c r="I2653" s="12">
        <f t="shared" si="381"/>
        <v>5.7289211696718877E-2</v>
      </c>
      <c r="J2653" s="3">
        <f t="shared" si="382"/>
        <v>0.7</v>
      </c>
    </row>
    <row r="2654" spans="2:10" x14ac:dyDescent="0.25">
      <c r="B2654" s="3">
        <f t="shared" si="383"/>
        <v>13185</v>
      </c>
      <c r="C2654" s="14">
        <f t="shared" si="384"/>
        <v>219.75</v>
      </c>
      <c r="D2654" s="11">
        <f t="shared" si="385"/>
        <v>1139.6167146128239</v>
      </c>
      <c r="E2654" s="24">
        <f t="shared" si="377"/>
        <v>1138.6297441434431</v>
      </c>
      <c r="F2654" s="24">
        <f t="shared" si="379"/>
        <v>24.674261734520542</v>
      </c>
      <c r="G2654" s="14">
        <f t="shared" si="380"/>
        <v>441.22802929886575</v>
      </c>
      <c r="H2654" s="24">
        <f t="shared" si="378"/>
        <v>650</v>
      </c>
      <c r="I2654" s="12">
        <f t="shared" si="381"/>
        <v>5.7267251888496101E-2</v>
      </c>
      <c r="J2654" s="3">
        <f t="shared" si="382"/>
        <v>0.7</v>
      </c>
    </row>
    <row r="2655" spans="2:10" x14ac:dyDescent="0.25">
      <c r="B2655" s="3">
        <f t="shared" si="383"/>
        <v>13190</v>
      </c>
      <c r="C2655" s="14">
        <f t="shared" si="384"/>
        <v>219.83333333333334</v>
      </c>
      <c r="D2655" s="11">
        <f t="shared" si="385"/>
        <v>1139.673490512047</v>
      </c>
      <c r="E2655" s="24">
        <f t="shared" si="377"/>
        <v>1138.6870113953316</v>
      </c>
      <c r="F2655" s="24">
        <f t="shared" si="379"/>
        <v>24.661977917884315</v>
      </c>
      <c r="G2655" s="14">
        <f t="shared" si="380"/>
        <v>441.061794545662</v>
      </c>
      <c r="H2655" s="24">
        <f t="shared" si="378"/>
        <v>650</v>
      </c>
      <c r="I2655" s="12">
        <f t="shared" si="381"/>
        <v>5.7245308944444198E-2</v>
      </c>
      <c r="J2655" s="3">
        <f t="shared" si="382"/>
        <v>0.7</v>
      </c>
    </row>
    <row r="2656" spans="2:10" x14ac:dyDescent="0.25">
      <c r="B2656" s="3">
        <f t="shared" si="383"/>
        <v>13195</v>
      </c>
      <c r="C2656" s="14">
        <f t="shared" si="384"/>
        <v>219.91666666666666</v>
      </c>
      <c r="D2656" s="11">
        <f t="shared" si="385"/>
        <v>1139.730244905247</v>
      </c>
      <c r="E2656" s="24">
        <f t="shared" si="377"/>
        <v>1138.744256704276</v>
      </c>
      <c r="F2656" s="24">
        <f t="shared" si="379"/>
        <v>24.649705024273771</v>
      </c>
      <c r="G2656" s="14">
        <f t="shared" si="380"/>
        <v>440.89568591080535</v>
      </c>
      <c r="H2656" s="24">
        <f t="shared" si="378"/>
        <v>650</v>
      </c>
      <c r="I2656" s="12">
        <f t="shared" si="381"/>
        <v>5.7223382845089057E-2</v>
      </c>
      <c r="J2656" s="3">
        <f t="shared" si="382"/>
        <v>0.7</v>
      </c>
    </row>
    <row r="2657" spans="2:10" x14ac:dyDescent="0.25">
      <c r="B2657" s="3">
        <f t="shared" si="383"/>
        <v>13200</v>
      </c>
      <c r="C2657" s="14">
        <f t="shared" si="384"/>
        <v>220</v>
      </c>
      <c r="D2657" s="11">
        <f t="shared" si="385"/>
        <v>1139.7869778087104</v>
      </c>
      <c r="E2657" s="24">
        <f t="shared" si="377"/>
        <v>1138.801480087121</v>
      </c>
      <c r="F2657" s="24">
        <f t="shared" si="379"/>
        <v>24.637443039733853</v>
      </c>
      <c r="G2657" s="14">
        <f t="shared" si="380"/>
        <v>440.72970325030326</v>
      </c>
      <c r="H2657" s="24">
        <f t="shared" si="378"/>
        <v>650</v>
      </c>
      <c r="I2657" s="12">
        <f t="shared" si="381"/>
        <v>5.7201473571016258E-2</v>
      </c>
      <c r="J2657" s="3">
        <f t="shared" si="382"/>
        <v>0.7</v>
      </c>
    </row>
    <row r="2658" spans="2:10" x14ac:dyDescent="0.25">
      <c r="B2658" s="3">
        <f t="shared" si="383"/>
        <v>13205</v>
      </c>
      <c r="C2658" s="14">
        <f t="shared" si="384"/>
        <v>220.08333333333334</v>
      </c>
      <c r="D2658" s="11">
        <f t="shared" si="385"/>
        <v>1139.8436892387049</v>
      </c>
      <c r="E2658" s="24">
        <f t="shared" si="377"/>
        <v>1138.858681560692</v>
      </c>
      <c r="F2658" s="24">
        <f t="shared" si="379"/>
        <v>24.625191950320868</v>
      </c>
      <c r="G2658" s="14">
        <f t="shared" si="380"/>
        <v>440.56384642014388</v>
      </c>
      <c r="H2658" s="24">
        <f t="shared" si="378"/>
        <v>650</v>
      </c>
      <c r="I2658" s="12">
        <f t="shared" si="381"/>
        <v>5.7179581102810392E-2</v>
      </c>
      <c r="J2658" s="3">
        <f t="shared" si="382"/>
        <v>0.7</v>
      </c>
    </row>
    <row r="2659" spans="2:10" x14ac:dyDescent="0.25">
      <c r="B2659" s="3">
        <f t="shared" si="383"/>
        <v>13210</v>
      </c>
      <c r="C2659" s="14">
        <f t="shared" si="384"/>
        <v>220.16666666666666</v>
      </c>
      <c r="D2659" s="11">
        <f t="shared" si="385"/>
        <v>1139.9003792114797</v>
      </c>
      <c r="E2659" s="24">
        <f t="shared" si="377"/>
        <v>1138.9158611417949</v>
      </c>
      <c r="F2659" s="24">
        <f t="shared" si="379"/>
        <v>24.612951742119549</v>
      </c>
      <c r="G2659" s="14">
        <f t="shared" si="380"/>
        <v>440.39811527678035</v>
      </c>
      <c r="H2659" s="24">
        <f t="shared" si="378"/>
        <v>650</v>
      </c>
      <c r="I2659" s="12">
        <f t="shared" si="381"/>
        <v>5.7157705421116721E-2</v>
      </c>
      <c r="J2659" s="3">
        <f t="shared" si="382"/>
        <v>0.7</v>
      </c>
    </row>
    <row r="2660" spans="2:10" x14ac:dyDescent="0.25">
      <c r="B2660" s="3">
        <f t="shared" si="383"/>
        <v>13215</v>
      </c>
      <c r="C2660" s="14">
        <f t="shared" si="384"/>
        <v>220.25</v>
      </c>
      <c r="D2660" s="11">
        <f t="shared" si="385"/>
        <v>1139.957047743266</v>
      </c>
      <c r="E2660" s="24">
        <f t="shared" si="377"/>
        <v>1138.9730188472161</v>
      </c>
      <c r="F2660" s="24">
        <f t="shared" si="379"/>
        <v>24.600722401248731</v>
      </c>
      <c r="G2660" s="14">
        <f t="shared" si="380"/>
        <v>440.2325096769178</v>
      </c>
      <c r="H2660" s="24">
        <f t="shared" si="378"/>
        <v>650</v>
      </c>
      <c r="I2660" s="12">
        <f t="shared" si="381"/>
        <v>5.7135846506615642E-2</v>
      </c>
      <c r="J2660" s="3">
        <f t="shared" si="382"/>
        <v>0.7</v>
      </c>
    </row>
    <row r="2661" spans="2:10" x14ac:dyDescent="0.25">
      <c r="B2661" s="3">
        <f t="shared" si="383"/>
        <v>13220</v>
      </c>
      <c r="C2661" s="14">
        <f t="shared" si="384"/>
        <v>220.33333333333334</v>
      </c>
      <c r="D2661" s="11">
        <f t="shared" si="385"/>
        <v>1140.0136948502759</v>
      </c>
      <c r="E2661" s="24">
        <f t="shared" si="377"/>
        <v>1139.0301546937226</v>
      </c>
      <c r="F2661" s="24">
        <f t="shared" si="379"/>
        <v>24.588503913832938</v>
      </c>
      <c r="G2661" s="14">
        <f t="shared" si="380"/>
        <v>440.0670294773002</v>
      </c>
      <c r="H2661" s="24">
        <f t="shared" si="378"/>
        <v>650</v>
      </c>
      <c r="I2661" s="12">
        <f t="shared" si="381"/>
        <v>5.7114004339993057E-2</v>
      </c>
      <c r="J2661" s="3">
        <f t="shared" si="382"/>
        <v>0.7</v>
      </c>
    </row>
    <row r="2662" spans="2:10" x14ac:dyDescent="0.25">
      <c r="B2662" s="3">
        <f t="shared" si="383"/>
        <v>13225</v>
      </c>
      <c r="C2662" s="14">
        <f t="shared" si="384"/>
        <v>220.41666666666666</v>
      </c>
      <c r="D2662" s="11">
        <f t="shared" si="385"/>
        <v>1140.0703205487039</v>
      </c>
      <c r="E2662" s="24">
        <f t="shared" si="377"/>
        <v>1139.0872686980626</v>
      </c>
      <c r="F2662" s="24">
        <f t="shared" si="379"/>
        <v>24.576296266030795</v>
      </c>
      <c r="G2662" s="14">
        <f t="shared" si="380"/>
        <v>439.9016745349233</v>
      </c>
      <c r="H2662" s="24">
        <f t="shared" si="378"/>
        <v>650</v>
      </c>
      <c r="I2662" s="12">
        <f t="shared" si="381"/>
        <v>5.7092178901969985E-2</v>
      </c>
      <c r="J2662" s="3">
        <f t="shared" si="382"/>
        <v>0.7</v>
      </c>
    </row>
    <row r="2663" spans="2:10" x14ac:dyDescent="0.25">
      <c r="B2663" s="3">
        <f t="shared" si="383"/>
        <v>13230</v>
      </c>
      <c r="C2663" s="14">
        <f t="shared" si="384"/>
        <v>220.5</v>
      </c>
      <c r="D2663" s="11">
        <f t="shared" si="385"/>
        <v>1140.1269248547251</v>
      </c>
      <c r="E2663" s="24">
        <f t="shared" si="377"/>
        <v>1139.1443608769646</v>
      </c>
      <c r="F2663" s="24">
        <f t="shared" si="379"/>
        <v>24.5640994440123</v>
      </c>
      <c r="G2663" s="14">
        <f t="shared" si="380"/>
        <v>439.73644470701566</v>
      </c>
      <c r="H2663" s="24">
        <f t="shared" si="378"/>
        <v>650</v>
      </c>
      <c r="I2663" s="12">
        <f t="shared" si="381"/>
        <v>5.7070370173297462E-2</v>
      </c>
      <c r="J2663" s="3">
        <f t="shared" si="382"/>
        <v>0.7</v>
      </c>
    </row>
    <row r="2664" spans="2:10" x14ac:dyDescent="0.25">
      <c r="B2664" s="3">
        <f t="shared" si="383"/>
        <v>13235</v>
      </c>
      <c r="C2664" s="14">
        <f t="shared" si="384"/>
        <v>220.58333333333334</v>
      </c>
      <c r="D2664" s="11">
        <f t="shared" si="385"/>
        <v>1140.1835077844976</v>
      </c>
      <c r="E2664" s="24">
        <f t="shared" si="377"/>
        <v>1139.2014312471379</v>
      </c>
      <c r="F2664" s="24">
        <f t="shared" si="379"/>
        <v>24.551913433992922</v>
      </c>
      <c r="G2664" s="14">
        <f t="shared" si="380"/>
        <v>439.57133985121254</v>
      </c>
      <c r="H2664" s="24">
        <f t="shared" si="378"/>
        <v>650</v>
      </c>
      <c r="I2664" s="12">
        <f t="shared" si="381"/>
        <v>5.7048578134782119E-2</v>
      </c>
      <c r="J2664" s="3">
        <f t="shared" si="382"/>
        <v>0.7</v>
      </c>
    </row>
    <row r="2665" spans="2:10" x14ac:dyDescent="0.25">
      <c r="B2665" s="3">
        <f t="shared" si="383"/>
        <v>13240</v>
      </c>
      <c r="C2665" s="14">
        <f t="shared" si="384"/>
        <v>220.66666666666666</v>
      </c>
      <c r="D2665" s="11">
        <f t="shared" si="385"/>
        <v>1140.2400693541599</v>
      </c>
      <c r="E2665" s="24">
        <f t="shared" si="377"/>
        <v>1139.2584798252726</v>
      </c>
      <c r="F2665" s="24">
        <f t="shared" si="379"/>
        <v>24.53973822218245</v>
      </c>
      <c r="G2665" s="14">
        <f t="shared" si="380"/>
        <v>439.40635982503306</v>
      </c>
      <c r="H2665" s="24">
        <f t="shared" si="378"/>
        <v>650</v>
      </c>
      <c r="I2665" s="12">
        <f t="shared" si="381"/>
        <v>5.7026802767215598E-2</v>
      </c>
      <c r="J2665" s="3">
        <f t="shared" si="382"/>
        <v>0.7</v>
      </c>
    </row>
    <row r="2666" spans="2:10" x14ac:dyDescent="0.25">
      <c r="B2666" s="3">
        <f t="shared" si="383"/>
        <v>13245</v>
      </c>
      <c r="C2666" s="14">
        <f t="shared" si="384"/>
        <v>220.75</v>
      </c>
      <c r="D2666" s="11">
        <f t="shared" si="385"/>
        <v>1140.2966095798336</v>
      </c>
      <c r="E2666" s="24">
        <f t="shared" si="377"/>
        <v>1139.3155066280399</v>
      </c>
      <c r="F2666" s="24">
        <f t="shared" si="379"/>
        <v>24.527573794841828</v>
      </c>
      <c r="G2666" s="14">
        <f t="shared" si="380"/>
        <v>439.2415044865196</v>
      </c>
      <c r="H2666" s="24">
        <f t="shared" si="378"/>
        <v>650</v>
      </c>
      <c r="I2666" s="12">
        <f t="shared" si="381"/>
        <v>5.7005044051460146E-2</v>
      </c>
      <c r="J2666" s="3">
        <f t="shared" si="382"/>
        <v>0.7</v>
      </c>
    </row>
    <row r="2667" spans="2:10" x14ac:dyDescent="0.25">
      <c r="B2667" s="3">
        <f t="shared" si="383"/>
        <v>13250</v>
      </c>
      <c r="C2667" s="14">
        <f t="shared" si="384"/>
        <v>220.83333333333334</v>
      </c>
      <c r="D2667" s="11">
        <f t="shared" si="385"/>
        <v>1140.3531284776204</v>
      </c>
      <c r="E2667" s="24">
        <f t="shared" si="377"/>
        <v>1139.3725116720914</v>
      </c>
      <c r="F2667" s="24">
        <f t="shared" si="379"/>
        <v>24.515420138226318</v>
      </c>
      <c r="G2667" s="14">
        <f t="shared" si="380"/>
        <v>439.07677369354008</v>
      </c>
      <c r="H2667" s="24">
        <f t="shared" si="378"/>
        <v>650</v>
      </c>
      <c r="I2667" s="12">
        <f t="shared" si="381"/>
        <v>5.6983301968355882E-2</v>
      </c>
      <c r="J2667" s="3">
        <f t="shared" si="382"/>
        <v>0.7</v>
      </c>
    </row>
    <row r="2668" spans="2:10" x14ac:dyDescent="0.25">
      <c r="B2668" s="3">
        <f t="shared" si="383"/>
        <v>13255</v>
      </c>
      <c r="C2668" s="14">
        <f t="shared" si="384"/>
        <v>220.91666666666666</v>
      </c>
      <c r="D2668" s="11">
        <f t="shared" si="385"/>
        <v>1140.4096260636054</v>
      </c>
      <c r="E2668" s="24">
        <f t="shared" si="377"/>
        <v>1139.4294949740597</v>
      </c>
      <c r="F2668" s="24">
        <f t="shared" si="379"/>
        <v>24.50327723864234</v>
      </c>
      <c r="G2668" s="14">
        <f t="shared" si="380"/>
        <v>438.91216730479579</v>
      </c>
      <c r="H2668" s="24">
        <f t="shared" si="378"/>
        <v>650</v>
      </c>
      <c r="I2668" s="12">
        <f t="shared" si="381"/>
        <v>5.6961576498851627E-2</v>
      </c>
      <c r="J2668" s="3">
        <f t="shared" si="382"/>
        <v>0.7</v>
      </c>
    </row>
    <row r="2669" spans="2:10" x14ac:dyDescent="0.25">
      <c r="B2669" s="3">
        <f t="shared" si="383"/>
        <v>13260</v>
      </c>
      <c r="C2669" s="14">
        <f t="shared" si="384"/>
        <v>221</v>
      </c>
      <c r="D2669" s="11">
        <f t="shared" si="385"/>
        <v>1140.4661023538545</v>
      </c>
      <c r="E2669" s="24">
        <f t="shared" si="377"/>
        <v>1139.4864565505586</v>
      </c>
      <c r="F2669" s="24">
        <f t="shared" si="379"/>
        <v>24.491145082396315</v>
      </c>
      <c r="G2669" s="14">
        <f t="shared" si="380"/>
        <v>438.74768517854227</v>
      </c>
      <c r="H2669" s="24">
        <f t="shared" si="378"/>
        <v>650</v>
      </c>
      <c r="I2669" s="12">
        <f t="shared" si="381"/>
        <v>5.6939867623841435E-2</v>
      </c>
      <c r="J2669" s="3">
        <f t="shared" si="382"/>
        <v>0.7</v>
      </c>
    </row>
    <row r="2670" spans="2:10" x14ac:dyDescent="0.25">
      <c r="B2670" s="3">
        <f t="shared" si="383"/>
        <v>13265</v>
      </c>
      <c r="C2670" s="14">
        <f t="shared" si="384"/>
        <v>221.08333333333334</v>
      </c>
      <c r="D2670" s="11">
        <f t="shared" si="385"/>
        <v>1140.5225573644154</v>
      </c>
      <c r="E2670" s="24">
        <f t="shared" si="377"/>
        <v>1139.5433964181825</v>
      </c>
      <c r="F2670" s="24">
        <f t="shared" si="379"/>
        <v>24.479023655823084</v>
      </c>
      <c r="G2670" s="14">
        <f t="shared" si="380"/>
        <v>438.58332717357769</v>
      </c>
      <c r="H2670" s="24">
        <f t="shared" si="378"/>
        <v>650</v>
      </c>
      <c r="I2670" s="12">
        <f t="shared" si="381"/>
        <v>5.6918175324289527E-2</v>
      </c>
      <c r="J2670" s="3">
        <f t="shared" si="382"/>
        <v>0.7</v>
      </c>
    </row>
    <row r="2671" spans="2:10" x14ac:dyDescent="0.25">
      <c r="B2671" s="3">
        <f t="shared" si="383"/>
        <v>13270</v>
      </c>
      <c r="C2671" s="14">
        <f t="shared" si="384"/>
        <v>221.16666666666666</v>
      </c>
      <c r="D2671" s="11">
        <f t="shared" si="385"/>
        <v>1140.5789911113186</v>
      </c>
      <c r="E2671" s="24">
        <f t="shared" si="377"/>
        <v>1139.6003145935067</v>
      </c>
      <c r="F2671" s="24">
        <f t="shared" si="379"/>
        <v>24.466912945297281</v>
      </c>
      <c r="G2671" s="14">
        <f t="shared" si="380"/>
        <v>438.41909314908781</v>
      </c>
      <c r="H2671" s="24">
        <f t="shared" si="378"/>
        <v>650</v>
      </c>
      <c r="I2671" s="12">
        <f t="shared" si="381"/>
        <v>5.6896499581212685E-2</v>
      </c>
      <c r="J2671" s="3">
        <f t="shared" si="382"/>
        <v>0.7</v>
      </c>
    </row>
    <row r="2672" spans="2:10" x14ac:dyDescent="0.25">
      <c r="B2672" s="3">
        <f t="shared" si="383"/>
        <v>13275</v>
      </c>
      <c r="C2672" s="14">
        <f t="shared" si="384"/>
        <v>221.25</v>
      </c>
      <c r="D2672" s="11">
        <f t="shared" si="385"/>
        <v>1140.6354036105756</v>
      </c>
      <c r="E2672" s="24">
        <f t="shared" si="377"/>
        <v>1139.6572110930879</v>
      </c>
      <c r="F2672" s="24">
        <f t="shared" si="379"/>
        <v>24.454812937193537</v>
      </c>
      <c r="G2672" s="14">
        <f t="shared" si="380"/>
        <v>438.25498296412275</v>
      </c>
      <c r="H2672" s="24">
        <f t="shared" si="378"/>
        <v>650</v>
      </c>
      <c r="I2672" s="12">
        <f t="shared" si="381"/>
        <v>5.687484037561099E-2</v>
      </c>
      <c r="J2672" s="3">
        <f t="shared" si="382"/>
        <v>0.7</v>
      </c>
    </row>
    <row r="2673" spans="2:10" x14ac:dyDescent="0.25">
      <c r="B2673" s="3">
        <f t="shared" si="383"/>
        <v>13280</v>
      </c>
      <c r="C2673" s="14">
        <f t="shared" si="384"/>
        <v>221.33333333333334</v>
      </c>
      <c r="D2673" s="11">
        <f t="shared" si="385"/>
        <v>1140.6917948781802</v>
      </c>
      <c r="E2673" s="24">
        <f t="shared" si="377"/>
        <v>1139.7140859334636</v>
      </c>
      <c r="F2673" s="24">
        <f t="shared" si="379"/>
        <v>24.442723617914908</v>
      </c>
      <c r="G2673" s="14">
        <f t="shared" si="380"/>
        <v>438.09099647804265</v>
      </c>
      <c r="H2673" s="24">
        <f t="shared" si="378"/>
        <v>650</v>
      </c>
      <c r="I2673" s="12">
        <f t="shared" si="381"/>
        <v>5.6853197688526147E-2</v>
      </c>
      <c r="J2673" s="3">
        <f t="shared" si="382"/>
        <v>0.7</v>
      </c>
    </row>
    <row r="2674" spans="2:10" x14ac:dyDescent="0.25">
      <c r="B2674" s="3">
        <f t="shared" si="383"/>
        <v>13285</v>
      </c>
      <c r="C2674" s="14">
        <f t="shared" si="384"/>
        <v>221.41666666666666</v>
      </c>
      <c r="D2674" s="11">
        <f t="shared" si="385"/>
        <v>1140.748164930108</v>
      </c>
      <c r="E2674" s="24">
        <f t="shared" si="377"/>
        <v>1139.7709391311521</v>
      </c>
      <c r="F2674" s="24">
        <f t="shared" si="379"/>
        <v>24.430644973898552</v>
      </c>
      <c r="G2674" s="14">
        <f t="shared" si="380"/>
        <v>437.92713355065354</v>
      </c>
      <c r="H2674" s="24">
        <f t="shared" si="378"/>
        <v>650</v>
      </c>
      <c r="I2674" s="12">
        <f t="shared" si="381"/>
        <v>5.6831571501058838E-2</v>
      </c>
      <c r="J2674" s="3">
        <f t="shared" si="382"/>
        <v>0.7</v>
      </c>
    </row>
    <row r="2675" spans="2:10" x14ac:dyDescent="0.25">
      <c r="B2675" s="3">
        <f t="shared" si="383"/>
        <v>13290</v>
      </c>
      <c r="C2675" s="14">
        <f t="shared" si="384"/>
        <v>221.5</v>
      </c>
      <c r="D2675" s="11">
        <f t="shared" si="385"/>
        <v>1140.8045137823165</v>
      </c>
      <c r="E2675" s="24">
        <f t="shared" si="377"/>
        <v>1139.8277707026532</v>
      </c>
      <c r="F2675" s="24">
        <f t="shared" si="379"/>
        <v>24.418576991581631</v>
      </c>
      <c r="G2675" s="14">
        <f t="shared" si="380"/>
        <v>437.76339404147063</v>
      </c>
      <c r="H2675" s="24">
        <f t="shared" si="378"/>
        <v>650</v>
      </c>
      <c r="I2675" s="12">
        <f t="shared" si="381"/>
        <v>5.6809961794274028E-2</v>
      </c>
      <c r="J2675" s="3">
        <f t="shared" si="382"/>
        <v>0.7</v>
      </c>
    </row>
    <row r="2676" spans="2:10" x14ac:dyDescent="0.25">
      <c r="B2676" s="3">
        <f t="shared" si="383"/>
        <v>13295</v>
      </c>
      <c r="C2676" s="14">
        <f t="shared" si="384"/>
        <v>221.58333333333334</v>
      </c>
      <c r="D2676" s="11">
        <f t="shared" si="385"/>
        <v>1140.8608414507457</v>
      </c>
      <c r="E2676" s="24">
        <f t="shared" ref="E2676:E2739" si="386">E2675+I2675</f>
        <v>1139.8845806644474</v>
      </c>
      <c r="F2676" s="24">
        <f t="shared" si="379"/>
        <v>24.406519657458148</v>
      </c>
      <c r="G2676" s="14">
        <f t="shared" si="380"/>
        <v>437.5997778109587</v>
      </c>
      <c r="H2676" s="24">
        <f t="shared" ref="H2676:H2739" si="387">IF(E2676&lt;600,425+0.773*E2676-1.69/1000*E2676^2+2.22/1000^2*E2676^3,IF(E2676&lt;735,666+13002/(738-E2676),IF(E2676&lt;900,545+17820/(E2676-731),650)))</f>
        <v>650</v>
      </c>
      <c r="I2676" s="12">
        <f t="shared" si="381"/>
        <v>5.6788368549360348E-2</v>
      </c>
      <c r="J2676" s="3">
        <f t="shared" si="382"/>
        <v>0.7</v>
      </c>
    </row>
    <row r="2677" spans="2:10" x14ac:dyDescent="0.25">
      <c r="B2677" s="3">
        <f t="shared" si="383"/>
        <v>13300</v>
      </c>
      <c r="C2677" s="14">
        <f t="shared" si="384"/>
        <v>221.66666666666666</v>
      </c>
      <c r="D2677" s="11">
        <f t="shared" si="385"/>
        <v>1140.9171479513168</v>
      </c>
      <c r="E2677" s="24">
        <f t="shared" si="386"/>
        <v>1139.9413690329968</v>
      </c>
      <c r="F2677" s="24">
        <f t="shared" si="379"/>
        <v>24.394472957999369</v>
      </c>
      <c r="G2677" s="14">
        <f t="shared" si="380"/>
        <v>437.43628471894306</v>
      </c>
      <c r="H2677" s="24">
        <f t="shared" si="387"/>
        <v>650</v>
      </c>
      <c r="I2677" s="12">
        <f t="shared" si="381"/>
        <v>5.676679174742507E-2</v>
      </c>
      <c r="J2677" s="3">
        <f t="shared" si="382"/>
        <v>0.7</v>
      </c>
    </row>
    <row r="2678" spans="2:10" x14ac:dyDescent="0.25">
      <c r="B2678" s="3">
        <f t="shared" si="383"/>
        <v>13305</v>
      </c>
      <c r="C2678" s="14">
        <f t="shared" si="384"/>
        <v>221.75</v>
      </c>
      <c r="D2678" s="11">
        <f t="shared" si="385"/>
        <v>1140.9734332999337</v>
      </c>
      <c r="E2678" s="24">
        <f t="shared" si="386"/>
        <v>1139.9981358247442</v>
      </c>
      <c r="F2678" s="24">
        <f t="shared" si="379"/>
        <v>24.382436879739089</v>
      </c>
      <c r="G2678" s="14">
        <f t="shared" si="380"/>
        <v>437.27291462621804</v>
      </c>
      <c r="H2678" s="24">
        <f t="shared" si="387"/>
        <v>650</v>
      </c>
      <c r="I2678" s="12">
        <f t="shared" si="381"/>
        <v>5.6745231369702241E-2</v>
      </c>
      <c r="J2678" s="3">
        <f t="shared" si="382"/>
        <v>0.7</v>
      </c>
    </row>
    <row r="2679" spans="2:10" x14ac:dyDescent="0.25">
      <c r="B2679" s="3">
        <f t="shared" si="383"/>
        <v>13310</v>
      </c>
      <c r="C2679" s="14">
        <f t="shared" si="384"/>
        <v>221.83333333333334</v>
      </c>
      <c r="D2679" s="11">
        <f t="shared" si="385"/>
        <v>1141.0296975124827</v>
      </c>
      <c r="E2679" s="24">
        <f t="shared" si="386"/>
        <v>1140.0548810561138</v>
      </c>
      <c r="F2679" s="24">
        <f t="shared" si="379"/>
        <v>24.37041140922247</v>
      </c>
      <c r="G2679" s="14">
        <f t="shared" si="380"/>
        <v>437.10966739348106</v>
      </c>
      <c r="H2679" s="24">
        <f t="shared" si="387"/>
        <v>650</v>
      </c>
      <c r="I2679" s="12">
        <f t="shared" si="381"/>
        <v>5.6723687397415394E-2</v>
      </c>
      <c r="J2679" s="3">
        <f t="shared" si="382"/>
        <v>0.7</v>
      </c>
    </row>
    <row r="2680" spans="2:10" x14ac:dyDescent="0.25">
      <c r="B2680" s="3">
        <f t="shared" si="383"/>
        <v>13315</v>
      </c>
      <c r="C2680" s="14">
        <f t="shared" si="384"/>
        <v>221.91666666666666</v>
      </c>
      <c r="D2680" s="11">
        <f t="shared" si="385"/>
        <v>1141.085940604831</v>
      </c>
      <c r="E2680" s="24">
        <f t="shared" si="386"/>
        <v>1140.1116047435112</v>
      </c>
      <c r="F2680" s="24">
        <f t="shared" si="379"/>
        <v>24.358396532994675</v>
      </c>
      <c r="G2680" s="14">
        <f t="shared" si="380"/>
        <v>436.946542881352</v>
      </c>
      <c r="H2680" s="24">
        <f t="shared" si="387"/>
        <v>650</v>
      </c>
      <c r="I2680" s="12">
        <f t="shared" si="381"/>
        <v>5.6702159811778535E-2</v>
      </c>
      <c r="J2680" s="3">
        <f t="shared" si="382"/>
        <v>0.7</v>
      </c>
    </row>
    <row r="2681" spans="2:10" x14ac:dyDescent="0.25">
      <c r="B2681" s="3">
        <f t="shared" si="383"/>
        <v>13320</v>
      </c>
      <c r="C2681" s="14">
        <f t="shared" si="384"/>
        <v>222</v>
      </c>
      <c r="D2681" s="11">
        <f t="shared" si="385"/>
        <v>1141.142162592829</v>
      </c>
      <c r="E2681" s="24">
        <f t="shared" si="386"/>
        <v>1140.1683069033229</v>
      </c>
      <c r="F2681" s="24">
        <f t="shared" si="379"/>
        <v>24.346392237652026</v>
      </c>
      <c r="G2681" s="14">
        <f t="shared" si="380"/>
        <v>436.783540951129</v>
      </c>
      <c r="H2681" s="24">
        <f t="shared" si="387"/>
        <v>650</v>
      </c>
      <c r="I2681" s="12">
        <f t="shared" si="381"/>
        <v>5.6680648594095336E-2</v>
      </c>
      <c r="J2681" s="3">
        <f t="shared" si="382"/>
        <v>0.7</v>
      </c>
    </row>
    <row r="2682" spans="2:10" x14ac:dyDescent="0.25">
      <c r="B2682" s="3">
        <f t="shared" si="383"/>
        <v>13325</v>
      </c>
      <c r="C2682" s="14">
        <f t="shared" si="384"/>
        <v>222.08333333333334</v>
      </c>
      <c r="D2682" s="11">
        <f t="shared" si="385"/>
        <v>1141.1983634923088</v>
      </c>
      <c r="E2682" s="24">
        <f t="shared" si="386"/>
        <v>1140.2249875519169</v>
      </c>
      <c r="F2682" s="24">
        <f t="shared" si="379"/>
        <v>24.334398509796529</v>
      </c>
      <c r="G2682" s="14">
        <f t="shared" si="380"/>
        <v>436.62066146405215</v>
      </c>
      <c r="H2682" s="24">
        <f t="shared" si="387"/>
        <v>650</v>
      </c>
      <c r="I2682" s="12">
        <f t="shared" si="381"/>
        <v>5.6659153725663006E-2</v>
      </c>
      <c r="J2682" s="3">
        <f t="shared" si="382"/>
        <v>0.7</v>
      </c>
    </row>
    <row r="2683" spans="2:10" x14ac:dyDescent="0.25">
      <c r="B2683" s="3">
        <f t="shared" si="383"/>
        <v>13330</v>
      </c>
      <c r="C2683" s="14">
        <f t="shared" si="384"/>
        <v>222.16666666666666</v>
      </c>
      <c r="D2683" s="11">
        <f t="shared" si="385"/>
        <v>1141.2545433190849</v>
      </c>
      <c r="E2683" s="24">
        <f t="shared" si="386"/>
        <v>1140.2816467056425</v>
      </c>
      <c r="F2683" s="24">
        <f t="shared" si="379"/>
        <v>24.322415336058612</v>
      </c>
      <c r="G2683" s="14">
        <f t="shared" si="380"/>
        <v>436.45790428167152</v>
      </c>
      <c r="H2683" s="24">
        <f t="shared" si="387"/>
        <v>650</v>
      </c>
      <c r="I2683" s="12">
        <f t="shared" si="381"/>
        <v>5.6637675187820383E-2</v>
      </c>
      <c r="J2683" s="3">
        <f t="shared" si="382"/>
        <v>0.7</v>
      </c>
    </row>
    <row r="2684" spans="2:10" x14ac:dyDescent="0.25">
      <c r="B2684" s="3">
        <f t="shared" si="383"/>
        <v>13335</v>
      </c>
      <c r="C2684" s="14">
        <f t="shared" si="384"/>
        <v>222.25</v>
      </c>
      <c r="D2684" s="11">
        <f t="shared" si="385"/>
        <v>1141.310702088954</v>
      </c>
      <c r="E2684" s="24">
        <f t="shared" si="386"/>
        <v>1140.3382843808304</v>
      </c>
      <c r="F2684" s="24">
        <f t="shared" si="379"/>
        <v>24.310442703091439</v>
      </c>
      <c r="G2684" s="14">
        <f t="shared" si="380"/>
        <v>436.29526926578922</v>
      </c>
      <c r="H2684" s="24">
        <f t="shared" si="387"/>
        <v>650</v>
      </c>
      <c r="I2684" s="12">
        <f t="shared" si="381"/>
        <v>5.6616212961940054E-2</v>
      </c>
      <c r="J2684" s="3">
        <f t="shared" si="382"/>
        <v>0.7</v>
      </c>
    </row>
    <row r="2685" spans="2:10" x14ac:dyDescent="0.25">
      <c r="B2685" s="3">
        <f t="shared" si="383"/>
        <v>13340</v>
      </c>
      <c r="C2685" s="14">
        <f t="shared" si="384"/>
        <v>222.33333333333334</v>
      </c>
      <c r="D2685" s="11">
        <f t="shared" si="385"/>
        <v>1141.3668398176949</v>
      </c>
      <c r="E2685" s="24">
        <f t="shared" si="386"/>
        <v>1140.3949005937923</v>
      </c>
      <c r="F2685" s="24">
        <f t="shared" si="379"/>
        <v>24.298480597565231</v>
      </c>
      <c r="G2685" s="14">
        <f t="shared" si="380"/>
        <v>436.13275627822662</v>
      </c>
      <c r="H2685" s="24">
        <f t="shared" si="387"/>
        <v>650</v>
      </c>
      <c r="I2685" s="12">
        <f t="shared" si="381"/>
        <v>5.6594767029399085E-2</v>
      </c>
      <c r="J2685" s="3">
        <f t="shared" si="382"/>
        <v>0.7</v>
      </c>
    </row>
    <row r="2686" spans="2:10" x14ac:dyDescent="0.25">
      <c r="B2686" s="3">
        <f t="shared" si="383"/>
        <v>13345</v>
      </c>
      <c r="C2686" s="14">
        <f t="shared" si="384"/>
        <v>222.41666666666666</v>
      </c>
      <c r="D2686" s="11">
        <f t="shared" si="385"/>
        <v>1141.4229565210687</v>
      </c>
      <c r="E2686" s="24">
        <f t="shared" si="386"/>
        <v>1140.4514953608216</v>
      </c>
      <c r="F2686" s="24">
        <f t="shared" si="379"/>
        <v>24.286529006178625</v>
      </c>
      <c r="G2686" s="14">
        <f t="shared" si="380"/>
        <v>435.97036518128965</v>
      </c>
      <c r="H2686" s="24">
        <f t="shared" si="387"/>
        <v>650</v>
      </c>
      <c r="I2686" s="12">
        <f t="shared" si="381"/>
        <v>5.6573337371637583E-2</v>
      </c>
      <c r="J2686" s="3">
        <f t="shared" si="382"/>
        <v>0.7</v>
      </c>
    </row>
    <row r="2687" spans="2:10" x14ac:dyDescent="0.25">
      <c r="B2687" s="3">
        <f t="shared" si="383"/>
        <v>13350</v>
      </c>
      <c r="C2687" s="14">
        <f t="shared" si="384"/>
        <v>222.5</v>
      </c>
      <c r="D2687" s="11">
        <f t="shared" si="385"/>
        <v>1141.4790522148189</v>
      </c>
      <c r="E2687" s="24">
        <f t="shared" si="386"/>
        <v>1140.5080686981933</v>
      </c>
      <c r="F2687" s="24">
        <f t="shared" si="379"/>
        <v>24.274587915641632</v>
      </c>
      <c r="G2687" s="14">
        <f t="shared" si="380"/>
        <v>435.80809583709055</v>
      </c>
      <c r="H2687" s="24">
        <f t="shared" si="387"/>
        <v>650</v>
      </c>
      <c r="I2687" s="12">
        <f t="shared" si="381"/>
        <v>5.6551923970073262E-2</v>
      </c>
      <c r="J2687" s="3">
        <f t="shared" si="382"/>
        <v>0.7</v>
      </c>
    </row>
    <row r="2688" spans="2:10" x14ac:dyDescent="0.25">
      <c r="B2688" s="3">
        <f t="shared" si="383"/>
        <v>13355</v>
      </c>
      <c r="C2688" s="14">
        <f t="shared" si="384"/>
        <v>222.58333333333334</v>
      </c>
      <c r="D2688" s="11">
        <f t="shared" si="385"/>
        <v>1141.5351269146713</v>
      </c>
      <c r="E2688" s="24">
        <f t="shared" si="386"/>
        <v>1140.5646206221634</v>
      </c>
      <c r="F2688" s="24">
        <f t="shared" si="379"/>
        <v>24.262657312698366</v>
      </c>
      <c r="G2688" s="14">
        <f t="shared" si="380"/>
        <v>435.64594810843897</v>
      </c>
      <c r="H2688" s="24">
        <f t="shared" si="387"/>
        <v>650</v>
      </c>
      <c r="I2688" s="12">
        <f t="shared" si="381"/>
        <v>5.6530526806213732E-2</v>
      </c>
      <c r="J2688" s="3">
        <f t="shared" si="382"/>
        <v>0.7</v>
      </c>
    </row>
    <row r="2689" spans="2:10" x14ac:dyDescent="0.25">
      <c r="B2689" s="3">
        <f t="shared" si="383"/>
        <v>13360</v>
      </c>
      <c r="C2689" s="14">
        <f t="shared" si="384"/>
        <v>222.66666666666666</v>
      </c>
      <c r="D2689" s="11">
        <f t="shared" si="385"/>
        <v>1141.5911806363338</v>
      </c>
      <c r="E2689" s="24">
        <f t="shared" si="386"/>
        <v>1140.6211511489696</v>
      </c>
      <c r="F2689" s="24">
        <f t="shared" si="379"/>
        <v>24.25073718410431</v>
      </c>
      <c r="G2689" s="14">
        <f t="shared" si="380"/>
        <v>435.48392185791232</v>
      </c>
      <c r="H2689" s="24">
        <f t="shared" si="387"/>
        <v>650</v>
      </c>
      <c r="I2689" s="12">
        <f t="shared" si="381"/>
        <v>5.6509145861539468E-2</v>
      </c>
      <c r="J2689" s="3">
        <f t="shared" si="382"/>
        <v>0.7</v>
      </c>
    </row>
    <row r="2690" spans="2:10" x14ac:dyDescent="0.25">
      <c r="B2690" s="3">
        <f t="shared" si="383"/>
        <v>13365</v>
      </c>
      <c r="C2690" s="14">
        <f t="shared" si="384"/>
        <v>222.75</v>
      </c>
      <c r="D2690" s="11">
        <f t="shared" si="385"/>
        <v>1141.6472133954971</v>
      </c>
      <c r="E2690" s="24">
        <f t="shared" si="386"/>
        <v>1140.6776602948312</v>
      </c>
      <c r="F2690" s="24">
        <f t="shared" si="379"/>
        <v>24.238827516649053</v>
      </c>
      <c r="G2690" s="14">
        <f t="shared" si="380"/>
        <v>435.32201694870793</v>
      </c>
      <c r="H2690" s="24">
        <f t="shared" si="387"/>
        <v>650</v>
      </c>
      <c r="I2690" s="12">
        <f t="shared" si="381"/>
        <v>5.6487781117611331E-2</v>
      </c>
      <c r="J2690" s="3">
        <f t="shared" si="382"/>
        <v>0.7</v>
      </c>
    </row>
    <row r="2691" spans="2:10" x14ac:dyDescent="0.25">
      <c r="B2691" s="3">
        <f t="shared" si="383"/>
        <v>13370</v>
      </c>
      <c r="C2691" s="14">
        <f t="shared" si="384"/>
        <v>222.83333333333334</v>
      </c>
      <c r="D2691" s="11">
        <f t="shared" si="385"/>
        <v>1141.7032252078343</v>
      </c>
      <c r="E2691" s="24">
        <f t="shared" si="386"/>
        <v>1140.7341480759487</v>
      </c>
      <c r="F2691" s="24">
        <f t="shared" si="379"/>
        <v>24.226928297139239</v>
      </c>
      <c r="G2691" s="14">
        <f t="shared" si="380"/>
        <v>435.16023324392631</v>
      </c>
      <c r="H2691" s="24">
        <f t="shared" si="387"/>
        <v>650</v>
      </c>
      <c r="I2691" s="12">
        <f t="shared" si="381"/>
        <v>5.6466432555980384E-2</v>
      </c>
      <c r="J2691" s="3">
        <f t="shared" si="382"/>
        <v>0.7</v>
      </c>
    </row>
    <row r="2692" spans="2:10" x14ac:dyDescent="0.25">
      <c r="B2692" s="3">
        <f t="shared" si="383"/>
        <v>13375</v>
      </c>
      <c r="C2692" s="14">
        <f t="shared" si="384"/>
        <v>222.91666666666666</v>
      </c>
      <c r="D2692" s="11">
        <f t="shared" si="385"/>
        <v>1141.7592160890001</v>
      </c>
      <c r="E2692" s="24">
        <f t="shared" si="386"/>
        <v>1140.7906145085046</v>
      </c>
      <c r="F2692" s="24">
        <f t="shared" si="379"/>
        <v>24.215039512387193</v>
      </c>
      <c r="G2692" s="14">
        <f t="shared" si="380"/>
        <v>434.99857060686173</v>
      </c>
      <c r="H2692" s="24">
        <f t="shared" si="387"/>
        <v>650</v>
      </c>
      <c r="I2692" s="12">
        <f t="shared" si="381"/>
        <v>5.6445100158222183E-2</v>
      </c>
      <c r="J2692" s="3">
        <f t="shared" si="382"/>
        <v>0.7</v>
      </c>
    </row>
    <row r="2693" spans="2:10" x14ac:dyDescent="0.25">
      <c r="B2693" s="3">
        <f t="shared" si="383"/>
        <v>13380</v>
      </c>
      <c r="C2693" s="14">
        <f t="shared" si="384"/>
        <v>223</v>
      </c>
      <c r="D2693" s="11">
        <f t="shared" si="385"/>
        <v>1141.8151860546329</v>
      </c>
      <c r="E2693" s="24">
        <f t="shared" si="386"/>
        <v>1140.8470596086629</v>
      </c>
      <c r="F2693" s="24">
        <f t="shared" si="379"/>
        <v>24.203161149250718</v>
      </c>
      <c r="G2693" s="14">
        <f t="shared" si="380"/>
        <v>434.83702890119616</v>
      </c>
      <c r="H2693" s="24">
        <f t="shared" si="387"/>
        <v>650</v>
      </c>
      <c r="I2693" s="12">
        <f t="shared" si="381"/>
        <v>5.6423783905965558E-2</v>
      </c>
      <c r="J2693" s="3">
        <f t="shared" si="382"/>
        <v>0.7</v>
      </c>
    </row>
    <row r="2694" spans="2:10" x14ac:dyDescent="0.25">
      <c r="B2694" s="3">
        <f t="shared" si="383"/>
        <v>13385</v>
      </c>
      <c r="C2694" s="14">
        <f t="shared" si="384"/>
        <v>223.08333333333334</v>
      </c>
      <c r="D2694" s="11">
        <f t="shared" si="385"/>
        <v>1141.8711351203528</v>
      </c>
      <c r="E2694" s="24">
        <f t="shared" si="386"/>
        <v>1140.9034833925689</v>
      </c>
      <c r="F2694" s="24">
        <f t="shared" si="379"/>
        <v>24.191293194598984</v>
      </c>
      <c r="G2694" s="14">
        <f t="shared" si="380"/>
        <v>434.67560799078592</v>
      </c>
      <c r="H2694" s="24">
        <f t="shared" si="387"/>
        <v>650</v>
      </c>
      <c r="I2694" s="12">
        <f t="shared" si="381"/>
        <v>5.6402483780862149E-2</v>
      </c>
      <c r="J2694" s="3">
        <f t="shared" si="382"/>
        <v>0.7</v>
      </c>
    </row>
    <row r="2695" spans="2:10" x14ac:dyDescent="0.25">
      <c r="B2695" s="3">
        <f t="shared" si="383"/>
        <v>13390</v>
      </c>
      <c r="C2695" s="14">
        <f t="shared" si="384"/>
        <v>223.16666666666666</v>
      </c>
      <c r="D2695" s="11">
        <f t="shared" si="385"/>
        <v>1141.9270633017625</v>
      </c>
      <c r="E2695" s="24">
        <f t="shared" si="386"/>
        <v>1140.9598858763497</v>
      </c>
      <c r="F2695" s="24">
        <f t="shared" si="379"/>
        <v>24.179435635318214</v>
      </c>
      <c r="G2695" s="14">
        <f t="shared" si="380"/>
        <v>434.51430773964233</v>
      </c>
      <c r="H2695" s="24">
        <f t="shared" si="387"/>
        <v>650</v>
      </c>
      <c r="I2695" s="12">
        <f t="shared" si="381"/>
        <v>5.638119976458475E-2</v>
      </c>
      <c r="J2695" s="3">
        <f t="shared" si="382"/>
        <v>0.7</v>
      </c>
    </row>
    <row r="2696" spans="2:10" x14ac:dyDescent="0.25">
      <c r="B2696" s="3">
        <f t="shared" si="383"/>
        <v>13395</v>
      </c>
      <c r="C2696" s="14">
        <f t="shared" si="384"/>
        <v>223.25</v>
      </c>
      <c r="D2696" s="11">
        <f t="shared" si="385"/>
        <v>1141.9829706144471</v>
      </c>
      <c r="E2696" s="24">
        <f t="shared" si="386"/>
        <v>1141.0162670761142</v>
      </c>
      <c r="F2696" s="24">
        <f t="shared" si="379"/>
        <v>24.167588458323053</v>
      </c>
      <c r="G2696" s="14">
        <f t="shared" si="380"/>
        <v>434.35312801181556</v>
      </c>
      <c r="H2696" s="24">
        <f t="shared" si="387"/>
        <v>650</v>
      </c>
      <c r="I2696" s="12">
        <f t="shared" si="381"/>
        <v>5.6359931838814423E-2</v>
      </c>
      <c r="J2696" s="3">
        <f t="shared" si="382"/>
        <v>0.7</v>
      </c>
    </row>
    <row r="2697" spans="2:10" x14ac:dyDescent="0.25">
      <c r="B2697" s="3">
        <f t="shared" si="383"/>
        <v>13400</v>
      </c>
      <c r="C2697" s="14">
        <f t="shared" si="384"/>
        <v>223.33333333333334</v>
      </c>
      <c r="D2697" s="11">
        <f t="shared" si="385"/>
        <v>1142.0388570739749</v>
      </c>
      <c r="E2697" s="24">
        <f t="shared" si="386"/>
        <v>1141.0726270079531</v>
      </c>
      <c r="F2697" s="24">
        <f t="shared" si="379"/>
        <v>24.155751650545199</v>
      </c>
      <c r="G2697" s="14">
        <f t="shared" si="380"/>
        <v>434.19206867189831</v>
      </c>
      <c r="H2697" s="24">
        <f t="shared" si="387"/>
        <v>650</v>
      </c>
      <c r="I2697" s="12">
        <f t="shared" si="381"/>
        <v>5.633867998530101E-2</v>
      </c>
      <c r="J2697" s="3">
        <f t="shared" si="382"/>
        <v>0.7</v>
      </c>
    </row>
    <row r="2698" spans="2:10" x14ac:dyDescent="0.25">
      <c r="B2698" s="3">
        <f t="shared" si="383"/>
        <v>13405</v>
      </c>
      <c r="C2698" s="14">
        <f t="shared" si="384"/>
        <v>223.41666666666666</v>
      </c>
      <c r="D2698" s="11">
        <f t="shared" si="385"/>
        <v>1142.0947226958961</v>
      </c>
      <c r="E2698" s="24">
        <f t="shared" si="386"/>
        <v>1141.1289656879385</v>
      </c>
      <c r="F2698" s="24">
        <f t="shared" si="379"/>
        <v>24.143925198939087</v>
      </c>
      <c r="G2698" s="14">
        <f t="shared" si="380"/>
        <v>434.03112958438646</v>
      </c>
      <c r="H2698" s="24">
        <f t="shared" si="387"/>
        <v>650</v>
      </c>
      <c r="I2698" s="12">
        <f t="shared" si="381"/>
        <v>5.6317444185785243E-2</v>
      </c>
      <c r="J2698" s="3">
        <f t="shared" si="382"/>
        <v>0.7</v>
      </c>
    </row>
    <row r="2699" spans="2:10" x14ac:dyDescent="0.25">
      <c r="B2699" s="3">
        <f t="shared" si="383"/>
        <v>13410</v>
      </c>
      <c r="C2699" s="14">
        <f t="shared" si="384"/>
        <v>223.5</v>
      </c>
      <c r="D2699" s="11">
        <f t="shared" si="385"/>
        <v>1142.1505674957436</v>
      </c>
      <c r="E2699" s="24">
        <f t="shared" si="386"/>
        <v>1141.1852831321244</v>
      </c>
      <c r="F2699" s="24">
        <f t="shared" si="379"/>
        <v>24.13210909048189</v>
      </c>
      <c r="G2699" s="14">
        <f t="shared" si="380"/>
        <v>433.87031061416349</v>
      </c>
      <c r="H2699" s="24">
        <f t="shared" si="387"/>
        <v>650</v>
      </c>
      <c r="I2699" s="12">
        <f t="shared" si="381"/>
        <v>5.6296224422058304E-2</v>
      </c>
      <c r="J2699" s="3">
        <f t="shared" si="382"/>
        <v>0.7</v>
      </c>
    </row>
    <row r="2700" spans="2:10" x14ac:dyDescent="0.25">
      <c r="B2700" s="3">
        <f t="shared" si="383"/>
        <v>13415</v>
      </c>
      <c r="C2700" s="14">
        <f t="shared" si="384"/>
        <v>223.58333333333334</v>
      </c>
      <c r="D2700" s="11">
        <f t="shared" si="385"/>
        <v>1142.2063914890334</v>
      </c>
      <c r="E2700" s="24">
        <f t="shared" si="386"/>
        <v>1141.2415793565465</v>
      </c>
      <c r="F2700" s="24">
        <f t="shared" si="379"/>
        <v>24.120303312173519</v>
      </c>
      <c r="G2700" s="14">
        <f t="shared" si="380"/>
        <v>433.70961162620972</v>
      </c>
      <c r="H2700" s="24">
        <f t="shared" si="387"/>
        <v>650</v>
      </c>
      <c r="I2700" s="12">
        <f t="shared" si="381"/>
        <v>5.6275020675926067E-2</v>
      </c>
      <c r="J2700" s="3">
        <f t="shared" si="382"/>
        <v>0.7</v>
      </c>
    </row>
    <row r="2701" spans="2:10" x14ac:dyDescent="0.25">
      <c r="B2701" s="3">
        <f t="shared" si="383"/>
        <v>13420</v>
      </c>
      <c r="C2701" s="14">
        <f t="shared" si="384"/>
        <v>223.66666666666666</v>
      </c>
      <c r="D2701" s="11">
        <f t="shared" si="385"/>
        <v>1142.2621946912639</v>
      </c>
      <c r="E2701" s="24">
        <f t="shared" si="386"/>
        <v>1141.2978543772224</v>
      </c>
      <c r="F2701" s="24">
        <f t="shared" si="379"/>
        <v>24.10850785103662</v>
      </c>
      <c r="G2701" s="14">
        <f t="shared" si="380"/>
        <v>433.5490324859901</v>
      </c>
      <c r="H2701" s="24">
        <f t="shared" si="387"/>
        <v>650</v>
      </c>
      <c r="I2701" s="12">
        <f t="shared" si="381"/>
        <v>5.6253832929256765E-2</v>
      </c>
      <c r="J2701" s="3">
        <f t="shared" si="382"/>
        <v>0.7</v>
      </c>
    </row>
    <row r="2702" spans="2:10" x14ac:dyDescent="0.25">
      <c r="B2702" s="3">
        <f t="shared" si="383"/>
        <v>13425</v>
      </c>
      <c r="C2702" s="14">
        <f t="shared" si="384"/>
        <v>223.75</v>
      </c>
      <c r="D2702" s="11">
        <f t="shared" si="385"/>
        <v>1142.3179771179157</v>
      </c>
      <c r="E2702" s="24">
        <f t="shared" si="386"/>
        <v>1141.3541082101517</v>
      </c>
      <c r="F2702" s="24">
        <f t="shared" si="379"/>
        <v>24.096722694099526</v>
      </c>
      <c r="G2702" s="14">
        <f t="shared" si="380"/>
        <v>433.38857305856237</v>
      </c>
      <c r="H2702" s="24">
        <f t="shared" si="387"/>
        <v>650</v>
      </c>
      <c r="I2702" s="12">
        <f t="shared" si="381"/>
        <v>5.6232661163869282E-2</v>
      </c>
      <c r="J2702" s="3">
        <f t="shared" si="382"/>
        <v>0.7</v>
      </c>
    </row>
    <row r="2703" spans="2:10" x14ac:dyDescent="0.25">
      <c r="B2703" s="3">
        <f t="shared" si="383"/>
        <v>13430</v>
      </c>
      <c r="C2703" s="14">
        <f t="shared" si="384"/>
        <v>223.83333333333334</v>
      </c>
      <c r="D2703" s="11">
        <f t="shared" si="385"/>
        <v>1142.3737387844533</v>
      </c>
      <c r="E2703" s="24">
        <f t="shared" si="386"/>
        <v>1141.4103408713156</v>
      </c>
      <c r="F2703" s="24">
        <f t="shared" si="379"/>
        <v>24.084947828441727</v>
      </c>
      <c r="G2703" s="14">
        <f t="shared" si="380"/>
        <v>433.22823321001158</v>
      </c>
      <c r="H2703" s="24">
        <f t="shared" si="387"/>
        <v>650</v>
      </c>
      <c r="I2703" s="12">
        <f t="shared" si="381"/>
        <v>5.6211505361715063E-2</v>
      </c>
      <c r="J2703" s="3">
        <f t="shared" si="382"/>
        <v>0.7</v>
      </c>
    </row>
    <row r="2704" spans="2:10" x14ac:dyDescent="0.25">
      <c r="B2704" s="3">
        <f t="shared" si="383"/>
        <v>13435</v>
      </c>
      <c r="C2704" s="14">
        <f t="shared" si="384"/>
        <v>223.91666666666666</v>
      </c>
      <c r="D2704" s="11">
        <f t="shared" si="385"/>
        <v>1142.4294797063226</v>
      </c>
      <c r="E2704" s="24">
        <f t="shared" si="386"/>
        <v>1141.4665523766773</v>
      </c>
      <c r="F2704" s="24">
        <f t="shared" si="379"/>
        <v>24.073183241131346</v>
      </c>
      <c r="G2704" s="14">
        <f t="shared" si="380"/>
        <v>433.06801280576389</v>
      </c>
      <c r="H2704" s="24">
        <f t="shared" si="387"/>
        <v>650</v>
      </c>
      <c r="I2704" s="12">
        <f t="shared" si="381"/>
        <v>5.6190365504663164E-2</v>
      </c>
      <c r="J2704" s="3">
        <f t="shared" si="382"/>
        <v>0.7</v>
      </c>
    </row>
    <row r="2705" spans="2:10" x14ac:dyDescent="0.25">
      <c r="B2705" s="3">
        <f t="shared" si="383"/>
        <v>13440</v>
      </c>
      <c r="C2705" s="14">
        <f t="shared" si="384"/>
        <v>224</v>
      </c>
      <c r="D2705" s="11">
        <f t="shared" si="385"/>
        <v>1142.4851998989529</v>
      </c>
      <c r="E2705" s="24">
        <f t="shared" si="386"/>
        <v>1141.5227427421819</v>
      </c>
      <c r="F2705" s="24">
        <f t="shared" ref="F2705:F2768" si="388">AlphaC*(D2705-E2705)</f>
        <v>24.061428919276295</v>
      </c>
      <c r="G2705" s="14">
        <f t="shared" ref="G2705:G2768" si="389">Phi*EpsilonF*Botzman/10^8*J2705*((D2705+273)^4-(E2705+273)^4)</f>
        <v>432.90791171207871</v>
      </c>
      <c r="H2705" s="24">
        <f t="shared" si="387"/>
        <v>650</v>
      </c>
      <c r="I2705" s="12">
        <f t="shared" ref="I2705:I2768" si="390">ksh*Massivete/(H2705*RhoA)*DeltaT*(F2705+G2705)</f>
        <v>5.6169241574689964E-2</v>
      </c>
      <c r="J2705" s="3">
        <f t="shared" ref="J2705:J2768" si="391">IF(E2705&lt;=500,IF(Galva=Oui,0.35,0.7),0.7)</f>
        <v>0.7</v>
      </c>
    </row>
    <row r="2706" spans="2:10" x14ac:dyDescent="0.25">
      <c r="B2706" s="3">
        <f t="shared" ref="B2706:B2769" si="392">B2705+DeltaT</f>
        <v>13445</v>
      </c>
      <c r="C2706" s="14">
        <f t="shared" ref="C2706:C2769" si="393">B2706/60</f>
        <v>224.08333333333334</v>
      </c>
      <c r="D2706" s="11">
        <f t="shared" ref="D2706:D2769" si="394">20+345*LOG(8*C2706+1,10)</f>
        <v>1142.5408993777569</v>
      </c>
      <c r="E2706" s="24">
        <f t="shared" si="386"/>
        <v>1141.5789119837566</v>
      </c>
      <c r="F2706" s="24">
        <f t="shared" si="388"/>
        <v>24.049684850007225</v>
      </c>
      <c r="G2706" s="14">
        <f t="shared" si="389"/>
        <v>432.74792979525415</v>
      </c>
      <c r="H2706" s="24">
        <f t="shared" si="387"/>
        <v>650</v>
      </c>
      <c r="I2706" s="12">
        <f t="shared" si="390"/>
        <v>5.6148133553779372E-2</v>
      </c>
      <c r="J2706" s="3">
        <f t="shared" si="391"/>
        <v>0.7</v>
      </c>
    </row>
    <row r="2707" spans="2:10" x14ac:dyDescent="0.25">
      <c r="B2707" s="3">
        <f t="shared" si="392"/>
        <v>13450</v>
      </c>
      <c r="C2707" s="14">
        <f t="shared" si="393"/>
        <v>224.16666666666666</v>
      </c>
      <c r="D2707" s="11">
        <f t="shared" si="394"/>
        <v>1142.5965781581288</v>
      </c>
      <c r="E2707" s="24">
        <f t="shared" si="386"/>
        <v>1141.6350601173103</v>
      </c>
      <c r="F2707" s="24">
        <f t="shared" si="388"/>
        <v>24.037951020460468</v>
      </c>
      <c r="G2707" s="14">
        <f t="shared" si="389"/>
        <v>432.58806692149159</v>
      </c>
      <c r="H2707" s="24">
        <f t="shared" si="387"/>
        <v>650</v>
      </c>
      <c r="I2707" s="12">
        <f t="shared" si="390"/>
        <v>5.612704142390413E-2</v>
      </c>
      <c r="J2707" s="3">
        <f t="shared" si="391"/>
        <v>0.7</v>
      </c>
    </row>
    <row r="2708" spans="2:10" x14ac:dyDescent="0.25">
      <c r="B2708" s="3">
        <f t="shared" si="392"/>
        <v>13455</v>
      </c>
      <c r="C2708" s="14">
        <f t="shared" si="393"/>
        <v>224.25</v>
      </c>
      <c r="D2708" s="11">
        <f t="shared" si="394"/>
        <v>1142.6522362554465</v>
      </c>
      <c r="E2708" s="24">
        <f t="shared" si="386"/>
        <v>1141.6911871587342</v>
      </c>
      <c r="F2708" s="24">
        <f t="shared" si="388"/>
        <v>24.026227417806467</v>
      </c>
      <c r="G2708" s="14">
        <f t="shared" si="389"/>
        <v>432.42832295751555</v>
      </c>
      <c r="H2708" s="24">
        <f t="shared" si="387"/>
        <v>650</v>
      </c>
      <c r="I2708" s="12">
        <f t="shared" si="390"/>
        <v>5.6105965167105455E-2</v>
      </c>
      <c r="J2708" s="3">
        <f t="shared" si="391"/>
        <v>0.7</v>
      </c>
    </row>
    <row r="2709" spans="2:10" x14ac:dyDescent="0.25">
      <c r="B2709" s="3">
        <f t="shared" si="392"/>
        <v>13460</v>
      </c>
      <c r="C2709" s="14">
        <f t="shared" si="393"/>
        <v>224.33333333333334</v>
      </c>
      <c r="D2709" s="11">
        <f t="shared" si="394"/>
        <v>1142.7078736850708</v>
      </c>
      <c r="E2709" s="24">
        <f t="shared" si="386"/>
        <v>1141.7472931239013</v>
      </c>
      <c r="F2709" s="24">
        <f t="shared" si="388"/>
        <v>24.014514029238399</v>
      </c>
      <c r="G2709" s="14">
        <f t="shared" si="389"/>
        <v>432.26869777034119</v>
      </c>
      <c r="H2709" s="24">
        <f t="shared" si="387"/>
        <v>650</v>
      </c>
      <c r="I2709" s="12">
        <f t="shared" si="390"/>
        <v>5.6084904765463094E-2</v>
      </c>
      <c r="J2709" s="3">
        <f t="shared" si="391"/>
        <v>0.7</v>
      </c>
    </row>
    <row r="2710" spans="2:10" x14ac:dyDescent="0.25">
      <c r="B2710" s="3">
        <f t="shared" si="392"/>
        <v>13465</v>
      </c>
      <c r="C2710" s="14">
        <f t="shared" si="393"/>
        <v>224.41666666666666</v>
      </c>
      <c r="D2710" s="11">
        <f t="shared" si="394"/>
        <v>1142.7634904623451</v>
      </c>
      <c r="E2710" s="24">
        <f t="shared" si="386"/>
        <v>1141.8033780286667</v>
      </c>
      <c r="F2710" s="24">
        <f t="shared" si="388"/>
        <v>24.002810841960809</v>
      </c>
      <c r="G2710" s="14">
        <f t="shared" si="389"/>
        <v>432.10919122684822</v>
      </c>
      <c r="H2710" s="24">
        <f t="shared" si="387"/>
        <v>650</v>
      </c>
      <c r="I2710" s="12">
        <f t="shared" si="390"/>
        <v>5.6063860201041545E-2</v>
      </c>
      <c r="J2710" s="3">
        <f t="shared" si="391"/>
        <v>0.7</v>
      </c>
    </row>
    <row r="2711" spans="2:10" x14ac:dyDescent="0.25">
      <c r="B2711" s="3">
        <f t="shared" si="392"/>
        <v>13470</v>
      </c>
      <c r="C2711" s="14">
        <f t="shared" si="393"/>
        <v>224.5</v>
      </c>
      <c r="D2711" s="11">
        <f t="shared" si="394"/>
        <v>1142.8190866025959</v>
      </c>
      <c r="E2711" s="24">
        <f t="shared" si="386"/>
        <v>1141.8594418888677</v>
      </c>
      <c r="F2711" s="24">
        <f t="shared" si="388"/>
        <v>23.991117843206666</v>
      </c>
      <c r="G2711" s="14">
        <f t="shared" si="389"/>
        <v>431.94980319434256</v>
      </c>
      <c r="H2711" s="24">
        <f t="shared" si="387"/>
        <v>650</v>
      </c>
      <c r="I2711" s="12">
        <f t="shared" si="390"/>
        <v>5.6042831455961187E-2</v>
      </c>
      <c r="J2711" s="3">
        <f t="shared" si="391"/>
        <v>0.7</v>
      </c>
    </row>
    <row r="2712" spans="2:10" x14ac:dyDescent="0.25">
      <c r="B2712" s="3">
        <f t="shared" si="392"/>
        <v>13475</v>
      </c>
      <c r="C2712" s="14">
        <f t="shared" si="393"/>
        <v>224.58333333333334</v>
      </c>
      <c r="D2712" s="11">
        <f t="shared" si="394"/>
        <v>1142.8746621211324</v>
      </c>
      <c r="E2712" s="24">
        <f t="shared" si="386"/>
        <v>1141.9154847203235</v>
      </c>
      <c r="F2712" s="24">
        <f t="shared" si="388"/>
        <v>23.979435020220308</v>
      </c>
      <c r="G2712" s="14">
        <f t="shared" si="389"/>
        <v>431.79053354016884</v>
      </c>
      <c r="H2712" s="24">
        <f t="shared" si="387"/>
        <v>650</v>
      </c>
      <c r="I2712" s="12">
        <f t="shared" si="390"/>
        <v>5.6021818512348533E-2</v>
      </c>
      <c r="J2712" s="3">
        <f t="shared" si="391"/>
        <v>0.7</v>
      </c>
    </row>
    <row r="2713" spans="2:10" x14ac:dyDescent="0.25">
      <c r="B2713" s="3">
        <f t="shared" si="392"/>
        <v>13480</v>
      </c>
      <c r="C2713" s="14">
        <f t="shared" si="393"/>
        <v>224.66666666666666</v>
      </c>
      <c r="D2713" s="11">
        <f t="shared" si="394"/>
        <v>1142.9302170332471</v>
      </c>
      <c r="E2713" s="24">
        <f t="shared" si="386"/>
        <v>1141.9715065388359</v>
      </c>
      <c r="F2713" s="24">
        <f t="shared" si="388"/>
        <v>23.967762360280176</v>
      </c>
      <c r="G2713" s="14">
        <f t="shared" si="389"/>
        <v>431.6313821320594</v>
      </c>
      <c r="H2713" s="24">
        <f t="shared" si="387"/>
        <v>650</v>
      </c>
      <c r="I2713" s="12">
        <f t="shared" si="390"/>
        <v>5.6000821352381977E-2</v>
      </c>
      <c r="J2713" s="3">
        <f t="shared" si="391"/>
        <v>0.7</v>
      </c>
    </row>
    <row r="2714" spans="2:10" x14ac:dyDescent="0.25">
      <c r="B2714" s="3">
        <f t="shared" si="392"/>
        <v>13485</v>
      </c>
      <c r="C2714" s="14">
        <f t="shared" si="393"/>
        <v>224.75</v>
      </c>
      <c r="D2714" s="11">
        <f t="shared" si="394"/>
        <v>1142.9857513542152</v>
      </c>
      <c r="E2714" s="24">
        <f t="shared" si="386"/>
        <v>1142.0275073601883</v>
      </c>
      <c r="F2714" s="24">
        <f t="shared" si="388"/>
        <v>23.956099850670398</v>
      </c>
      <c r="G2714" s="14">
        <f t="shared" si="389"/>
        <v>431.47234883772717</v>
      </c>
      <c r="H2714" s="24">
        <f t="shared" si="387"/>
        <v>650</v>
      </c>
      <c r="I2714" s="12">
        <f t="shared" si="390"/>
        <v>5.5979839958238208E-2</v>
      </c>
      <c r="J2714" s="3">
        <f t="shared" si="391"/>
        <v>0.7</v>
      </c>
    </row>
    <row r="2715" spans="2:10" x14ac:dyDescent="0.25">
      <c r="B2715" s="3">
        <f t="shared" si="392"/>
        <v>13490</v>
      </c>
      <c r="C2715" s="14">
        <f t="shared" si="393"/>
        <v>224.83333333333334</v>
      </c>
      <c r="D2715" s="11">
        <f t="shared" si="394"/>
        <v>1143.0412650992948</v>
      </c>
      <c r="E2715" s="24">
        <f t="shared" si="386"/>
        <v>1142.0834872001465</v>
      </c>
      <c r="F2715" s="24">
        <f t="shared" si="388"/>
        <v>23.944447478709208</v>
      </c>
      <c r="G2715" s="14">
        <f t="shared" si="389"/>
        <v>431.31343352525329</v>
      </c>
      <c r="H2715" s="24">
        <f t="shared" si="387"/>
        <v>650</v>
      </c>
      <c r="I2715" s="12">
        <f t="shared" si="390"/>
        <v>5.5958874312143372E-2</v>
      </c>
      <c r="J2715" s="3">
        <f t="shared" si="391"/>
        <v>0.7</v>
      </c>
    </row>
    <row r="2716" spans="2:10" x14ac:dyDescent="0.25">
      <c r="B2716" s="3">
        <f t="shared" si="392"/>
        <v>13495</v>
      </c>
      <c r="C2716" s="14">
        <f t="shared" si="393"/>
        <v>224.91666666666666</v>
      </c>
      <c r="D2716" s="11">
        <f t="shared" si="394"/>
        <v>1143.0967582837279</v>
      </c>
      <c r="E2716" s="24">
        <f t="shared" si="386"/>
        <v>1142.1394460744586</v>
      </c>
      <c r="F2716" s="24">
        <f t="shared" si="388"/>
        <v>23.932805231731891</v>
      </c>
      <c r="G2716" s="14">
        <f t="shared" si="389"/>
        <v>431.15463606302899</v>
      </c>
      <c r="H2716" s="24">
        <f t="shared" si="387"/>
        <v>650</v>
      </c>
      <c r="I2716" s="12">
        <f t="shared" si="390"/>
        <v>5.5937924396363817E-2</v>
      </c>
      <c r="J2716" s="3">
        <f t="shared" si="391"/>
        <v>0.7</v>
      </c>
    </row>
    <row r="2717" spans="2:10" x14ac:dyDescent="0.25">
      <c r="B2717" s="3">
        <f t="shared" si="392"/>
        <v>13500</v>
      </c>
      <c r="C2717" s="14">
        <f t="shared" si="393"/>
        <v>225</v>
      </c>
      <c r="D2717" s="11">
        <f t="shared" si="394"/>
        <v>1143.1522309227389</v>
      </c>
      <c r="E2717" s="24">
        <f t="shared" si="386"/>
        <v>1142.195383998855</v>
      </c>
      <c r="F2717" s="24">
        <f t="shared" si="388"/>
        <v>23.921173097096471</v>
      </c>
      <c r="G2717" s="14">
        <f t="shared" si="389"/>
        <v>430.99595631934852</v>
      </c>
      <c r="H2717" s="24">
        <f t="shared" si="387"/>
        <v>650</v>
      </c>
      <c r="I2717" s="12">
        <f t="shared" si="390"/>
        <v>5.5916990193156775E-2</v>
      </c>
      <c r="J2717" s="3">
        <f t="shared" si="391"/>
        <v>0.7</v>
      </c>
    </row>
    <row r="2718" spans="2:10" x14ac:dyDescent="0.25">
      <c r="B2718" s="3">
        <f t="shared" si="392"/>
        <v>13505</v>
      </c>
      <c r="C2718" s="14">
        <f t="shared" si="393"/>
        <v>225.08333333333334</v>
      </c>
      <c r="D2718" s="11">
        <f t="shared" si="394"/>
        <v>1143.2076830315348</v>
      </c>
      <c r="E2718" s="24">
        <f t="shared" si="386"/>
        <v>1142.2513009890481</v>
      </c>
      <c r="F2718" s="24">
        <f t="shared" si="388"/>
        <v>23.909551062166656</v>
      </c>
      <c r="G2718" s="14">
        <f t="shared" si="389"/>
        <v>430.83739416279695</v>
      </c>
      <c r="H2718" s="24">
        <f t="shared" si="387"/>
        <v>650</v>
      </c>
      <c r="I2718" s="12">
        <f t="shared" si="390"/>
        <v>5.5896071684815925E-2</v>
      </c>
      <c r="J2718" s="3">
        <f t="shared" si="391"/>
        <v>0.7</v>
      </c>
    </row>
    <row r="2719" spans="2:10" x14ac:dyDescent="0.25">
      <c r="B2719" s="3">
        <f t="shared" si="392"/>
        <v>13510</v>
      </c>
      <c r="C2719" s="14">
        <f t="shared" si="393"/>
        <v>225.16666666666666</v>
      </c>
      <c r="D2719" s="11">
        <f t="shared" si="394"/>
        <v>1143.2631146253068</v>
      </c>
      <c r="E2719" s="24">
        <f t="shared" si="386"/>
        <v>1142.307197060733</v>
      </c>
      <c r="F2719" s="24">
        <f t="shared" si="388"/>
        <v>23.897939114345945</v>
      </c>
      <c r="G2719" s="14">
        <f t="shared" si="389"/>
        <v>430.67894946223061</v>
      </c>
      <c r="H2719" s="24">
        <f t="shared" si="387"/>
        <v>650</v>
      </c>
      <c r="I2719" s="12">
        <f t="shared" si="390"/>
        <v>5.5875168853673163E-2</v>
      </c>
      <c r="J2719" s="3">
        <f t="shared" si="391"/>
        <v>0.7</v>
      </c>
    </row>
    <row r="2720" spans="2:10" x14ac:dyDescent="0.25">
      <c r="B2720" s="3">
        <f t="shared" si="392"/>
        <v>13515</v>
      </c>
      <c r="C2720" s="14">
        <f t="shared" si="393"/>
        <v>225.25</v>
      </c>
      <c r="D2720" s="11">
        <f t="shared" si="394"/>
        <v>1143.3185257192285</v>
      </c>
      <c r="E2720" s="24">
        <f t="shared" si="386"/>
        <v>1142.3630722295866</v>
      </c>
      <c r="F2720" s="24">
        <f t="shared" si="388"/>
        <v>23.886337241049205</v>
      </c>
      <c r="G2720" s="14">
        <f t="shared" si="389"/>
        <v>430.52062208671896</v>
      </c>
      <c r="H2720" s="24">
        <f t="shared" si="387"/>
        <v>650</v>
      </c>
      <c r="I2720" s="12">
        <f t="shared" si="390"/>
        <v>5.5854281682088003E-2</v>
      </c>
      <c r="J2720" s="3">
        <f t="shared" si="391"/>
        <v>0.7</v>
      </c>
    </row>
    <row r="2721" spans="2:10" x14ac:dyDescent="0.25">
      <c r="B2721" s="3">
        <f t="shared" si="392"/>
        <v>13520</v>
      </c>
      <c r="C2721" s="14">
        <f t="shared" si="393"/>
        <v>225.33333333333334</v>
      </c>
      <c r="D2721" s="11">
        <f t="shared" si="394"/>
        <v>1143.3739163284572</v>
      </c>
      <c r="E2721" s="24">
        <f t="shared" si="386"/>
        <v>1142.4189265112686</v>
      </c>
      <c r="F2721" s="24">
        <f t="shared" si="388"/>
        <v>23.874745429714039</v>
      </c>
      <c r="G2721" s="14">
        <f t="shared" si="389"/>
        <v>430.36241190548662</v>
      </c>
      <c r="H2721" s="24">
        <f t="shared" si="387"/>
        <v>650</v>
      </c>
      <c r="I2721" s="12">
        <f t="shared" si="390"/>
        <v>5.5833410152441816E-2</v>
      </c>
      <c r="J2721" s="3">
        <f t="shared" si="391"/>
        <v>0.7</v>
      </c>
    </row>
    <row r="2722" spans="2:10" x14ac:dyDescent="0.25">
      <c r="B2722" s="3">
        <f t="shared" si="392"/>
        <v>13525</v>
      </c>
      <c r="C2722" s="14">
        <f t="shared" si="393"/>
        <v>225.41666666666666</v>
      </c>
      <c r="D2722" s="11">
        <f t="shared" si="394"/>
        <v>1143.4292864681324</v>
      </c>
      <c r="E2722" s="24">
        <f t="shared" si="386"/>
        <v>1142.4747599214211</v>
      </c>
      <c r="F2722" s="24">
        <f t="shared" si="388"/>
        <v>23.863163667783738</v>
      </c>
      <c r="G2722" s="14">
        <f t="shared" si="389"/>
        <v>430.20431878764185</v>
      </c>
      <c r="H2722" s="24">
        <f t="shared" si="387"/>
        <v>650</v>
      </c>
      <c r="I2722" s="12">
        <f t="shared" si="390"/>
        <v>5.5812554247102353E-2</v>
      </c>
      <c r="J2722" s="3">
        <f t="shared" si="391"/>
        <v>0.7</v>
      </c>
    </row>
    <row r="2723" spans="2:10" x14ac:dyDescent="0.25">
      <c r="B2723" s="3">
        <f t="shared" si="392"/>
        <v>13530</v>
      </c>
      <c r="C2723" s="14">
        <f t="shared" si="393"/>
        <v>225.5</v>
      </c>
      <c r="D2723" s="11">
        <f t="shared" si="394"/>
        <v>1143.4846361533785</v>
      </c>
      <c r="E2723" s="24">
        <f t="shared" si="386"/>
        <v>1142.5305724756681</v>
      </c>
      <c r="F2723" s="24">
        <f t="shared" si="388"/>
        <v>23.851591942758432</v>
      </c>
      <c r="G2723" s="14">
        <f t="shared" si="389"/>
        <v>430.04634260318437</v>
      </c>
      <c r="H2723" s="24">
        <f t="shared" si="387"/>
        <v>650</v>
      </c>
      <c r="I2723" s="12">
        <f t="shared" si="390"/>
        <v>5.5791713948553957E-2</v>
      </c>
      <c r="J2723" s="3">
        <f t="shared" si="391"/>
        <v>0.7</v>
      </c>
    </row>
    <row r="2724" spans="2:10" x14ac:dyDescent="0.25">
      <c r="B2724" s="3">
        <f t="shared" si="392"/>
        <v>13535</v>
      </c>
      <c r="C2724" s="14">
        <f t="shared" si="393"/>
        <v>225.58333333333334</v>
      </c>
      <c r="D2724" s="11">
        <f t="shared" si="394"/>
        <v>1143.5399653993013</v>
      </c>
      <c r="E2724" s="24">
        <f t="shared" si="386"/>
        <v>1142.5863641896167</v>
      </c>
      <c r="F2724" s="24">
        <f t="shared" si="388"/>
        <v>23.840030242115517</v>
      </c>
      <c r="G2724" s="14">
        <f t="shared" si="389"/>
        <v>429.88848322161004</v>
      </c>
      <c r="H2724" s="24">
        <f t="shared" si="387"/>
        <v>650</v>
      </c>
      <c r="I2724" s="12">
        <f t="shared" si="390"/>
        <v>5.577088923921622E-2</v>
      </c>
      <c r="J2724" s="3">
        <f t="shared" si="391"/>
        <v>0.7</v>
      </c>
    </row>
    <row r="2725" spans="2:10" x14ac:dyDescent="0.25">
      <c r="B2725" s="3">
        <f t="shared" si="392"/>
        <v>13540</v>
      </c>
      <c r="C2725" s="14">
        <f t="shared" si="393"/>
        <v>225.66666666666666</v>
      </c>
      <c r="D2725" s="11">
        <f t="shared" si="394"/>
        <v>1143.5952742209913</v>
      </c>
      <c r="E2725" s="24">
        <f t="shared" si="386"/>
        <v>1142.642135078856</v>
      </c>
      <c r="F2725" s="24">
        <f t="shared" si="388"/>
        <v>23.828478553383547</v>
      </c>
      <c r="G2725" s="14">
        <f t="shared" si="389"/>
        <v>429.73074051305429</v>
      </c>
      <c r="H2725" s="24">
        <f t="shared" si="387"/>
        <v>650</v>
      </c>
      <c r="I2725" s="12">
        <f t="shared" si="390"/>
        <v>5.5750080101593644E-2</v>
      </c>
      <c r="J2725" s="3">
        <f t="shared" si="391"/>
        <v>0.7</v>
      </c>
    </row>
    <row r="2726" spans="2:10" x14ac:dyDescent="0.25">
      <c r="B2726" s="3">
        <f t="shared" si="392"/>
        <v>13545</v>
      </c>
      <c r="C2726" s="14">
        <f t="shared" si="393"/>
        <v>225.75</v>
      </c>
      <c r="D2726" s="11">
        <f t="shared" si="394"/>
        <v>1143.6505626335213</v>
      </c>
      <c r="E2726" s="24">
        <f t="shared" si="386"/>
        <v>1142.6978851589577</v>
      </c>
      <c r="F2726" s="24">
        <f t="shared" si="388"/>
        <v>23.816936864091076</v>
      </c>
      <c r="G2726" s="14">
        <f t="shared" si="389"/>
        <v>429.57311434757503</v>
      </c>
      <c r="H2726" s="24">
        <f t="shared" si="387"/>
        <v>650</v>
      </c>
      <c r="I2726" s="12">
        <f t="shared" si="390"/>
        <v>5.5729286518181202E-2</v>
      </c>
      <c r="J2726" s="3">
        <f t="shared" si="391"/>
        <v>0.7</v>
      </c>
    </row>
    <row r="2727" spans="2:10" x14ac:dyDescent="0.25">
      <c r="B2727" s="3">
        <f t="shared" si="392"/>
        <v>13550</v>
      </c>
      <c r="C2727" s="14">
        <f t="shared" si="393"/>
        <v>225.83333333333334</v>
      </c>
      <c r="D2727" s="11">
        <f t="shared" si="394"/>
        <v>1143.7058306519484</v>
      </c>
      <c r="E2727" s="24">
        <f t="shared" si="386"/>
        <v>1142.7536144454759</v>
      </c>
      <c r="F2727" s="24">
        <f t="shared" si="388"/>
        <v>23.805405161812132</v>
      </c>
      <c r="G2727" s="14">
        <f t="shared" si="389"/>
        <v>429.41560459575334</v>
      </c>
      <c r="H2727" s="24">
        <f t="shared" si="387"/>
        <v>650</v>
      </c>
      <c r="I2727" s="12">
        <f t="shared" si="390"/>
        <v>5.5708508471543773E-2</v>
      </c>
      <c r="J2727" s="3">
        <f t="shared" si="391"/>
        <v>0.7</v>
      </c>
    </row>
    <row r="2728" spans="2:10" x14ac:dyDescent="0.25">
      <c r="B2728" s="3">
        <f t="shared" si="392"/>
        <v>13555</v>
      </c>
      <c r="C2728" s="14">
        <f t="shared" si="393"/>
        <v>225.91666666666666</v>
      </c>
      <c r="D2728" s="11">
        <f t="shared" si="394"/>
        <v>1143.7610782913121</v>
      </c>
      <c r="E2728" s="24">
        <f t="shared" si="386"/>
        <v>1142.8093229539475</v>
      </c>
      <c r="F2728" s="24">
        <f t="shared" si="388"/>
        <v>23.79388343411506</v>
      </c>
      <c r="G2728" s="14">
        <f t="shared" si="389"/>
        <v>429.25821112803476</v>
      </c>
      <c r="H2728" s="24">
        <f t="shared" si="387"/>
        <v>650</v>
      </c>
      <c r="I2728" s="12">
        <f t="shared" si="390"/>
        <v>5.5687745944228852E-2</v>
      </c>
      <c r="J2728" s="3">
        <f t="shared" si="391"/>
        <v>0.7</v>
      </c>
    </row>
    <row r="2729" spans="2:10" x14ac:dyDescent="0.25">
      <c r="B2729" s="3">
        <f t="shared" si="392"/>
        <v>13560</v>
      </c>
      <c r="C2729" s="14">
        <f t="shared" si="393"/>
        <v>226</v>
      </c>
      <c r="D2729" s="11">
        <f t="shared" si="394"/>
        <v>1143.8163055666357</v>
      </c>
      <c r="E2729" s="24">
        <f t="shared" si="386"/>
        <v>1142.8650106998916</v>
      </c>
      <c r="F2729" s="24">
        <f t="shared" si="388"/>
        <v>23.782371668602309</v>
      </c>
      <c r="G2729" s="14">
        <f t="shared" si="389"/>
        <v>429.10093381519414</v>
      </c>
      <c r="H2729" s="24">
        <f t="shared" si="387"/>
        <v>650</v>
      </c>
      <c r="I2729" s="12">
        <f t="shared" si="390"/>
        <v>5.5666998918828633E-2</v>
      </c>
      <c r="J2729" s="3">
        <f t="shared" si="391"/>
        <v>0.7</v>
      </c>
    </row>
    <row r="2730" spans="2:10" x14ac:dyDescent="0.25">
      <c r="B2730" s="3">
        <f t="shared" si="392"/>
        <v>13565</v>
      </c>
      <c r="C2730" s="14">
        <f t="shared" si="393"/>
        <v>226.08333333333334</v>
      </c>
      <c r="D2730" s="11">
        <f t="shared" si="394"/>
        <v>1143.8715124929261</v>
      </c>
      <c r="E2730" s="24">
        <f t="shared" si="386"/>
        <v>1142.9206776988106</v>
      </c>
      <c r="F2730" s="24">
        <f t="shared" si="388"/>
        <v>23.770869852887699</v>
      </c>
      <c r="G2730" s="14">
        <f t="shared" si="389"/>
        <v>428.94377252812285</v>
      </c>
      <c r="H2730" s="24">
        <f t="shared" si="387"/>
        <v>650</v>
      </c>
      <c r="I2730" s="12">
        <f t="shared" si="390"/>
        <v>5.5646267377951017E-2</v>
      </c>
      <c r="J2730" s="3">
        <f t="shared" si="391"/>
        <v>0.7</v>
      </c>
    </row>
    <row r="2731" spans="2:10" x14ac:dyDescent="0.25">
      <c r="B2731" s="3">
        <f t="shared" si="392"/>
        <v>13570</v>
      </c>
      <c r="C2731" s="14">
        <f t="shared" si="393"/>
        <v>226.16666666666666</v>
      </c>
      <c r="D2731" s="11">
        <f t="shared" si="394"/>
        <v>1143.9266990851729</v>
      </c>
      <c r="E2731" s="24">
        <f t="shared" si="386"/>
        <v>1142.9763239661886</v>
      </c>
      <c r="F2731" s="24">
        <f t="shared" si="388"/>
        <v>23.759377974607787</v>
      </c>
      <c r="G2731" s="14">
        <f t="shared" si="389"/>
        <v>428.78672713798329</v>
      </c>
      <c r="H2731" s="24">
        <f t="shared" si="387"/>
        <v>650</v>
      </c>
      <c r="I2731" s="12">
        <f t="shared" si="390"/>
        <v>5.5625551304240003E-2</v>
      </c>
      <c r="J2731" s="3">
        <f t="shared" si="391"/>
        <v>0.7</v>
      </c>
    </row>
    <row r="2732" spans="2:10" x14ac:dyDescent="0.25">
      <c r="B2732" s="3">
        <f t="shared" si="392"/>
        <v>13575</v>
      </c>
      <c r="C2732" s="14">
        <f t="shared" si="393"/>
        <v>226.25</v>
      </c>
      <c r="D2732" s="11">
        <f t="shared" si="394"/>
        <v>1143.98186535835</v>
      </c>
      <c r="E2732" s="24">
        <f t="shared" si="386"/>
        <v>1143.0319495174929</v>
      </c>
      <c r="F2732" s="24">
        <f t="shared" si="388"/>
        <v>23.74789602142755</v>
      </c>
      <c r="G2732" s="14">
        <f t="shared" si="389"/>
        <v>428.62979751609316</v>
      </c>
      <c r="H2732" s="24">
        <f t="shared" si="387"/>
        <v>650</v>
      </c>
      <c r="I2732" s="12">
        <f t="shared" si="390"/>
        <v>5.5604850680362194E-2</v>
      </c>
      <c r="J2732" s="3">
        <f t="shared" si="391"/>
        <v>0.7</v>
      </c>
    </row>
    <row r="2733" spans="2:10" x14ac:dyDescent="0.25">
      <c r="B2733" s="3">
        <f t="shared" si="392"/>
        <v>13580</v>
      </c>
      <c r="C2733" s="14">
        <f t="shared" si="393"/>
        <v>226.33333333333334</v>
      </c>
      <c r="D2733" s="11">
        <f t="shared" si="394"/>
        <v>1144.0370113274143</v>
      </c>
      <c r="E2733" s="24">
        <f t="shared" si="386"/>
        <v>1143.0875543681732</v>
      </c>
      <c r="F2733" s="24">
        <f t="shared" si="388"/>
        <v>23.73642398102902</v>
      </c>
      <c r="G2733" s="14">
        <f t="shared" si="389"/>
        <v>428.47298353408002</v>
      </c>
      <c r="H2733" s="24">
        <f t="shared" si="387"/>
        <v>650</v>
      </c>
      <c r="I2733" s="12">
        <f t="shared" si="390"/>
        <v>5.5584165489024354E-2</v>
      </c>
      <c r="J2733" s="3">
        <f t="shared" si="391"/>
        <v>0.7</v>
      </c>
    </row>
    <row r="2734" spans="2:10" x14ac:dyDescent="0.25">
      <c r="B2734" s="3">
        <f t="shared" si="392"/>
        <v>13585</v>
      </c>
      <c r="C2734" s="14">
        <f t="shared" si="393"/>
        <v>226.41666666666666</v>
      </c>
      <c r="D2734" s="11">
        <f t="shared" si="394"/>
        <v>1144.0921370073065</v>
      </c>
      <c r="E2734" s="24">
        <f t="shared" si="386"/>
        <v>1143.1431385336623</v>
      </c>
      <c r="F2734" s="24">
        <f t="shared" si="388"/>
        <v>23.724961841105596</v>
      </c>
      <c r="G2734" s="14">
        <f t="shared" si="389"/>
        <v>428.31628506364905</v>
      </c>
      <c r="H2734" s="24">
        <f t="shared" si="387"/>
        <v>650</v>
      </c>
      <c r="I2734" s="12">
        <f t="shared" si="390"/>
        <v>5.5563495712944208E-2</v>
      </c>
      <c r="J2734" s="3">
        <f t="shared" si="391"/>
        <v>0.7</v>
      </c>
    </row>
    <row r="2735" spans="2:10" x14ac:dyDescent="0.25">
      <c r="B2735" s="3">
        <f t="shared" si="392"/>
        <v>13590</v>
      </c>
      <c r="C2735" s="14">
        <f t="shared" si="393"/>
        <v>226.5</v>
      </c>
      <c r="D2735" s="11">
        <f t="shared" si="394"/>
        <v>1144.1472424129504</v>
      </c>
      <c r="E2735" s="24">
        <f t="shared" si="386"/>
        <v>1143.1987020293752</v>
      </c>
      <c r="F2735" s="24">
        <f t="shared" si="388"/>
        <v>23.7135095893791</v>
      </c>
      <c r="G2735" s="14">
        <f t="shared" si="389"/>
        <v>428.15970197658299</v>
      </c>
      <c r="H2735" s="24">
        <f t="shared" si="387"/>
        <v>650</v>
      </c>
      <c r="I2735" s="12">
        <f t="shared" si="390"/>
        <v>5.5542841334852489E-2</v>
      </c>
      <c r="J2735" s="3">
        <f t="shared" si="391"/>
        <v>0.7</v>
      </c>
    </row>
    <row r="2736" spans="2:10" x14ac:dyDescent="0.25">
      <c r="B2736" s="3">
        <f t="shared" si="392"/>
        <v>13595</v>
      </c>
      <c r="C2736" s="14">
        <f t="shared" si="393"/>
        <v>226.58333333333334</v>
      </c>
      <c r="D2736" s="11">
        <f t="shared" si="394"/>
        <v>1144.2023275592535</v>
      </c>
      <c r="E2736" s="24">
        <f t="shared" si="386"/>
        <v>1143.2542448707102</v>
      </c>
      <c r="F2736" s="24">
        <f t="shared" si="388"/>
        <v>23.702067213582723</v>
      </c>
      <c r="G2736" s="14">
        <f t="shared" si="389"/>
        <v>428.00323414505215</v>
      </c>
      <c r="H2736" s="24">
        <f t="shared" si="387"/>
        <v>650</v>
      </c>
      <c r="I2736" s="12">
        <f t="shared" si="390"/>
        <v>5.552220233752897E-2</v>
      </c>
      <c r="J2736" s="3">
        <f t="shared" si="391"/>
        <v>0.7</v>
      </c>
    </row>
    <row r="2737" spans="2:10" x14ac:dyDescent="0.25">
      <c r="B2737" s="3">
        <f t="shared" si="392"/>
        <v>13600</v>
      </c>
      <c r="C2737" s="14">
        <f t="shared" si="393"/>
        <v>226.66666666666666</v>
      </c>
      <c r="D2737" s="11">
        <f t="shared" si="394"/>
        <v>1144.257392461107</v>
      </c>
      <c r="E2737" s="24">
        <f t="shared" si="386"/>
        <v>1143.3097670730476</v>
      </c>
      <c r="F2737" s="24">
        <f t="shared" si="388"/>
        <v>23.690634701483759</v>
      </c>
      <c r="G2737" s="14">
        <f t="shared" si="389"/>
        <v>427.84688144140114</v>
      </c>
      <c r="H2737" s="24">
        <f t="shared" si="387"/>
        <v>650</v>
      </c>
      <c r="I2737" s="12">
        <f t="shared" si="390"/>
        <v>5.5501578703779059E-2</v>
      </c>
      <c r="J2737" s="3">
        <f t="shared" si="391"/>
        <v>0.7</v>
      </c>
    </row>
    <row r="2738" spans="2:10" x14ac:dyDescent="0.25">
      <c r="B2738" s="3">
        <f t="shared" si="392"/>
        <v>13605</v>
      </c>
      <c r="C2738" s="14">
        <f t="shared" si="393"/>
        <v>226.75</v>
      </c>
      <c r="D2738" s="11">
        <f t="shared" si="394"/>
        <v>1144.3124371333852</v>
      </c>
      <c r="E2738" s="24">
        <f t="shared" si="386"/>
        <v>1143.3652686517514</v>
      </c>
      <c r="F2738" s="24">
        <f t="shared" si="388"/>
        <v>23.679212040843822</v>
      </c>
      <c r="G2738" s="14">
        <f t="shared" si="389"/>
        <v>427.69064373787791</v>
      </c>
      <c r="H2738" s="24">
        <f t="shared" si="387"/>
        <v>650</v>
      </c>
      <c r="I2738" s="12">
        <f t="shared" si="390"/>
        <v>5.5480970416395554E-2</v>
      </c>
      <c r="J2738" s="3">
        <f t="shared" si="391"/>
        <v>0.7</v>
      </c>
    </row>
    <row r="2739" spans="2:10" x14ac:dyDescent="0.25">
      <c r="B2739" s="3">
        <f t="shared" si="392"/>
        <v>13610</v>
      </c>
      <c r="C2739" s="14">
        <f t="shared" si="393"/>
        <v>226.83333333333334</v>
      </c>
      <c r="D2739" s="11">
        <f t="shared" si="394"/>
        <v>1144.367461590947</v>
      </c>
      <c r="E2739" s="24">
        <f t="shared" si="386"/>
        <v>1143.4207496221677</v>
      </c>
      <c r="F2739" s="24">
        <f t="shared" si="388"/>
        <v>23.667799219481367</v>
      </c>
      <c r="G2739" s="14">
        <f t="shared" si="389"/>
        <v>427.53452090748596</v>
      </c>
      <c r="H2739" s="24">
        <f t="shared" si="387"/>
        <v>650</v>
      </c>
      <c r="I2739" s="12">
        <f t="shared" si="390"/>
        <v>5.5460377458271128E-2</v>
      </c>
      <c r="J2739" s="3">
        <f t="shared" si="391"/>
        <v>0.7</v>
      </c>
    </row>
    <row r="2740" spans="2:10" x14ac:dyDescent="0.25">
      <c r="B2740" s="3">
        <f t="shared" si="392"/>
        <v>13615</v>
      </c>
      <c r="C2740" s="14">
        <f t="shared" si="393"/>
        <v>226.91666666666666</v>
      </c>
      <c r="D2740" s="11">
        <f t="shared" si="394"/>
        <v>1144.4224658486339</v>
      </c>
      <c r="E2740" s="24">
        <f t="shared" ref="E2740:E2803" si="395">E2739+I2739</f>
        <v>1143.476209999626</v>
      </c>
      <c r="F2740" s="24">
        <f t="shared" si="388"/>
        <v>23.656396225197796</v>
      </c>
      <c r="G2740" s="14">
        <f t="shared" si="389"/>
        <v>427.37851282272516</v>
      </c>
      <c r="H2740" s="24">
        <f t="shared" ref="H2740:H2803" si="396">IF(E2740&lt;600,425+0.773*E2740-1.69/1000*E2740^2+2.22/1000^2*E2740^3,IF(E2740&lt;735,666+13002/(738-E2740),IF(E2740&lt;900,545+17820/(E2740-731),650)))</f>
        <v>650</v>
      </c>
      <c r="I2740" s="12">
        <f t="shared" si="390"/>
        <v>5.5439799812234458E-2</v>
      </c>
      <c r="J2740" s="3">
        <f t="shared" si="391"/>
        <v>0.7</v>
      </c>
    </row>
    <row r="2741" spans="2:10" x14ac:dyDescent="0.25">
      <c r="B2741" s="3">
        <f t="shared" si="392"/>
        <v>13620</v>
      </c>
      <c r="C2741" s="14">
        <f t="shared" si="393"/>
        <v>227</v>
      </c>
      <c r="D2741" s="11">
        <f t="shared" si="394"/>
        <v>1144.4774499212717</v>
      </c>
      <c r="E2741" s="24">
        <f t="shared" si="395"/>
        <v>1143.5316497994384</v>
      </c>
      <c r="F2741" s="24">
        <f t="shared" si="388"/>
        <v>23.645003045834301</v>
      </c>
      <c r="G2741" s="14">
        <f t="shared" si="389"/>
        <v>427.22261935681223</v>
      </c>
      <c r="H2741" s="24">
        <f t="shared" si="396"/>
        <v>650</v>
      </c>
      <c r="I2741" s="12">
        <f t="shared" si="390"/>
        <v>5.5419237461207214E-2</v>
      </c>
      <c r="J2741" s="3">
        <f t="shared" si="391"/>
        <v>0.7</v>
      </c>
    </row>
    <row r="2742" spans="2:10" x14ac:dyDescent="0.25">
      <c r="B2742" s="3">
        <f t="shared" si="392"/>
        <v>13625</v>
      </c>
      <c r="C2742" s="14">
        <f t="shared" si="393"/>
        <v>227.08333333333334</v>
      </c>
      <c r="D2742" s="11">
        <f t="shared" si="394"/>
        <v>1144.5324138236697</v>
      </c>
      <c r="E2742" s="24">
        <f t="shared" si="395"/>
        <v>1143.5870690368995</v>
      </c>
      <c r="F2742" s="24">
        <f t="shared" si="388"/>
        <v>23.633619669254813</v>
      </c>
      <c r="G2742" s="14">
        <f t="shared" si="389"/>
        <v>427.06684038302211</v>
      </c>
      <c r="H2742" s="24">
        <f t="shared" si="396"/>
        <v>650</v>
      </c>
      <c r="I2742" s="12">
        <f t="shared" si="390"/>
        <v>5.5398690388121015E-2</v>
      </c>
      <c r="J2742" s="3">
        <f t="shared" si="391"/>
        <v>0.7</v>
      </c>
    </row>
    <row r="2743" spans="2:10" x14ac:dyDescent="0.25">
      <c r="B2743" s="3">
        <f t="shared" si="392"/>
        <v>13630</v>
      </c>
      <c r="C2743" s="14">
        <f t="shared" si="393"/>
        <v>227.16666666666666</v>
      </c>
      <c r="D2743" s="11">
        <f t="shared" si="394"/>
        <v>1144.5873575706207</v>
      </c>
      <c r="E2743" s="24">
        <f t="shared" si="395"/>
        <v>1143.6424677272876</v>
      </c>
      <c r="F2743" s="24">
        <f t="shared" si="388"/>
        <v>23.622246083328946</v>
      </c>
      <c r="G2743" s="14">
        <f t="shared" si="389"/>
        <v>426.91117577464917</v>
      </c>
      <c r="H2743" s="24">
        <f t="shared" si="396"/>
        <v>650</v>
      </c>
      <c r="I2743" s="12">
        <f t="shared" si="390"/>
        <v>5.537815857591058E-2</v>
      </c>
      <c r="J2743" s="3">
        <f t="shared" si="391"/>
        <v>0.7</v>
      </c>
    </row>
    <row r="2744" spans="2:10" x14ac:dyDescent="0.25">
      <c r="B2744" s="3">
        <f t="shared" si="392"/>
        <v>13635</v>
      </c>
      <c r="C2744" s="14">
        <f t="shared" si="393"/>
        <v>227.25</v>
      </c>
      <c r="D2744" s="11">
        <f t="shared" si="394"/>
        <v>1144.6422811769016</v>
      </c>
      <c r="E2744" s="24">
        <f t="shared" si="395"/>
        <v>1143.6978458858634</v>
      </c>
      <c r="F2744" s="24">
        <f t="shared" si="388"/>
        <v>23.610882275954737</v>
      </c>
      <c r="G2744" s="14">
        <f t="shared" si="389"/>
        <v>426.75562540535594</v>
      </c>
      <c r="H2744" s="24">
        <f t="shared" si="396"/>
        <v>650</v>
      </c>
      <c r="I2744" s="12">
        <f t="shared" si="390"/>
        <v>5.5357642007559361E-2</v>
      </c>
      <c r="J2744" s="3">
        <f t="shared" si="391"/>
        <v>0.7</v>
      </c>
    </row>
    <row r="2745" spans="2:10" x14ac:dyDescent="0.25">
      <c r="B2745" s="3">
        <f t="shared" si="392"/>
        <v>13640</v>
      </c>
      <c r="C2745" s="14">
        <f t="shared" si="393"/>
        <v>227.33333333333334</v>
      </c>
      <c r="D2745" s="11">
        <f t="shared" si="394"/>
        <v>1144.6971846572731</v>
      </c>
      <c r="E2745" s="24">
        <f t="shared" si="395"/>
        <v>1143.7532035278709</v>
      </c>
      <c r="F2745" s="24">
        <f t="shared" si="388"/>
        <v>23.599528235052958</v>
      </c>
      <c r="G2745" s="14">
        <f t="shared" si="389"/>
        <v>426.60018914903753</v>
      </c>
      <c r="H2745" s="24">
        <f t="shared" si="396"/>
        <v>650</v>
      </c>
      <c r="I2745" s="12">
        <f t="shared" si="390"/>
        <v>5.5337140666082203E-2</v>
      </c>
      <c r="J2745" s="3">
        <f t="shared" si="391"/>
        <v>0.7</v>
      </c>
    </row>
    <row r="2746" spans="2:10" x14ac:dyDescent="0.25">
      <c r="B2746" s="3">
        <f t="shared" si="392"/>
        <v>13645</v>
      </c>
      <c r="C2746" s="14">
        <f t="shared" si="393"/>
        <v>227.41666666666666</v>
      </c>
      <c r="D2746" s="11">
        <f t="shared" si="394"/>
        <v>1144.7520680264788</v>
      </c>
      <c r="E2746" s="24">
        <f t="shared" si="395"/>
        <v>1143.808540668537</v>
      </c>
      <c r="F2746" s="24">
        <f t="shared" si="388"/>
        <v>23.588183948544383</v>
      </c>
      <c r="G2746" s="14">
        <f t="shared" si="389"/>
        <v>426.44486687937587</v>
      </c>
      <c r="H2746" s="24">
        <f t="shared" si="396"/>
        <v>650</v>
      </c>
      <c r="I2746" s="12">
        <f t="shared" si="390"/>
        <v>5.5316654534467741E-2</v>
      </c>
      <c r="J2746" s="3">
        <f t="shared" si="391"/>
        <v>0.7</v>
      </c>
    </row>
    <row r="2747" spans="2:10" x14ac:dyDescent="0.25">
      <c r="B2747" s="3">
        <f t="shared" si="392"/>
        <v>13650</v>
      </c>
      <c r="C2747" s="14">
        <f t="shared" si="393"/>
        <v>227.5</v>
      </c>
      <c r="D2747" s="11">
        <f t="shared" si="394"/>
        <v>1144.8069312992475</v>
      </c>
      <c r="E2747" s="24">
        <f t="shared" si="395"/>
        <v>1143.8638573230714</v>
      </c>
      <c r="F2747" s="24">
        <f t="shared" si="388"/>
        <v>23.576849404400946</v>
      </c>
      <c r="G2747" s="14">
        <f t="shared" si="389"/>
        <v>426.2896584708862</v>
      </c>
      <c r="H2747" s="24">
        <f t="shared" si="396"/>
        <v>650</v>
      </c>
      <c r="I2747" s="12">
        <f t="shared" si="390"/>
        <v>5.5296183595813335E-2</v>
      </c>
      <c r="J2747" s="3">
        <f t="shared" si="391"/>
        <v>0.7</v>
      </c>
    </row>
    <row r="2748" spans="2:10" x14ac:dyDescent="0.25">
      <c r="B2748" s="3">
        <f t="shared" si="392"/>
        <v>13655</v>
      </c>
      <c r="C2748" s="14">
        <f t="shared" si="393"/>
        <v>227.58333333333334</v>
      </c>
      <c r="D2748" s="11">
        <f t="shared" si="394"/>
        <v>1144.8617744902904</v>
      </c>
      <c r="E2748" s="24">
        <f t="shared" si="395"/>
        <v>1143.9191535066673</v>
      </c>
      <c r="F2748" s="24">
        <f t="shared" si="388"/>
        <v>23.565524590577525</v>
      </c>
      <c r="G2748" s="14">
        <f t="shared" si="389"/>
        <v>426.13456379756053</v>
      </c>
      <c r="H2748" s="24">
        <f t="shared" si="396"/>
        <v>650</v>
      </c>
      <c r="I2748" s="12">
        <f t="shared" si="390"/>
        <v>5.5275727833149914E-2</v>
      </c>
      <c r="J2748" s="3">
        <f t="shared" si="391"/>
        <v>0.7</v>
      </c>
    </row>
    <row r="2749" spans="2:10" x14ac:dyDescent="0.25">
      <c r="B2749" s="3">
        <f t="shared" si="392"/>
        <v>13660</v>
      </c>
      <c r="C2749" s="14">
        <f t="shared" si="393"/>
        <v>227.66666666666666</v>
      </c>
      <c r="D2749" s="11">
        <f t="shared" si="394"/>
        <v>1144.9165976143036</v>
      </c>
      <c r="E2749" s="24">
        <f t="shared" si="395"/>
        <v>1143.9744292345003</v>
      </c>
      <c r="F2749" s="24">
        <f t="shared" si="388"/>
        <v>23.554209495080158</v>
      </c>
      <c r="G2749" s="14">
        <f t="shared" si="389"/>
        <v>425.97958273412735</v>
      </c>
      <c r="H2749" s="24">
        <f t="shared" si="396"/>
        <v>650</v>
      </c>
      <c r="I2749" s="12">
        <f t="shared" si="390"/>
        <v>5.5255287229605252E-2</v>
      </c>
      <c r="J2749" s="3">
        <f t="shared" si="391"/>
        <v>0.7</v>
      </c>
    </row>
    <row r="2750" spans="2:10" x14ac:dyDescent="0.25">
      <c r="B2750" s="3">
        <f t="shared" si="392"/>
        <v>13665</v>
      </c>
      <c r="C2750" s="14">
        <f t="shared" si="393"/>
        <v>227.75</v>
      </c>
      <c r="D2750" s="11">
        <f t="shared" si="394"/>
        <v>1144.9714006859667</v>
      </c>
      <c r="E2750" s="24">
        <f t="shared" si="395"/>
        <v>1144.0296845217299</v>
      </c>
      <c r="F2750" s="24">
        <f t="shared" si="388"/>
        <v>23.54290410592057</v>
      </c>
      <c r="G2750" s="14">
        <f t="shared" si="389"/>
        <v>425.8247151553731</v>
      </c>
      <c r="H2750" s="24">
        <f t="shared" si="396"/>
        <v>650</v>
      </c>
      <c r="I2750" s="12">
        <f t="shared" si="390"/>
        <v>5.5234861768314915E-2</v>
      </c>
      <c r="J2750" s="3">
        <f t="shared" si="391"/>
        <v>0.7</v>
      </c>
    </row>
    <row r="2751" spans="2:10" x14ac:dyDescent="0.25">
      <c r="B2751" s="3">
        <f t="shared" si="392"/>
        <v>13670</v>
      </c>
      <c r="C2751" s="14">
        <f t="shared" si="393"/>
        <v>227.83333333333334</v>
      </c>
      <c r="D2751" s="11">
        <f t="shared" si="394"/>
        <v>1145.0261837199432</v>
      </c>
      <c r="E2751" s="24">
        <f t="shared" si="395"/>
        <v>1144.0849193834981</v>
      </c>
      <c r="F2751" s="24">
        <f t="shared" si="388"/>
        <v>23.531608411127536</v>
      </c>
      <c r="G2751" s="14">
        <f t="shared" si="389"/>
        <v>425.66996093600693</v>
      </c>
      <c r="H2751" s="24">
        <f t="shared" si="396"/>
        <v>650</v>
      </c>
      <c r="I2751" s="12">
        <f t="shared" si="390"/>
        <v>5.5214451432407087E-2</v>
      </c>
      <c r="J2751" s="3">
        <f t="shared" si="391"/>
        <v>0.7</v>
      </c>
    </row>
    <row r="2752" spans="2:10" x14ac:dyDescent="0.25">
      <c r="B2752" s="3">
        <f t="shared" si="392"/>
        <v>13675</v>
      </c>
      <c r="C2752" s="14">
        <f t="shared" si="393"/>
        <v>227.91666666666666</v>
      </c>
      <c r="D2752" s="11">
        <f t="shared" si="394"/>
        <v>1145.0809467308807</v>
      </c>
      <c r="E2752" s="24">
        <f t="shared" si="395"/>
        <v>1144.1401338349306</v>
      </c>
      <c r="F2752" s="24">
        <f t="shared" si="388"/>
        <v>23.520322398752569</v>
      </c>
      <c r="G2752" s="14">
        <f t="shared" si="389"/>
        <v>425.51531995129994</v>
      </c>
      <c r="H2752" s="24">
        <f t="shared" si="396"/>
        <v>650</v>
      </c>
      <c r="I2752" s="12">
        <f t="shared" si="390"/>
        <v>5.5194056205081811E-2</v>
      </c>
      <c r="J2752" s="3">
        <f t="shared" si="391"/>
        <v>0.7</v>
      </c>
    </row>
    <row r="2753" spans="2:10" x14ac:dyDescent="0.25">
      <c r="B2753" s="3">
        <f t="shared" si="392"/>
        <v>13680</v>
      </c>
      <c r="C2753" s="14">
        <f t="shared" si="393"/>
        <v>228</v>
      </c>
      <c r="D2753" s="11">
        <f t="shared" si="394"/>
        <v>1145.1356897334101</v>
      </c>
      <c r="E2753" s="24">
        <f t="shared" si="395"/>
        <v>1144.1953278911355</v>
      </c>
      <c r="F2753" s="24">
        <f t="shared" si="388"/>
        <v>23.509046056864236</v>
      </c>
      <c r="G2753" s="14">
        <f t="shared" si="389"/>
        <v>425.36079207634873</v>
      </c>
      <c r="H2753" s="24">
        <f t="shared" si="396"/>
        <v>650</v>
      </c>
      <c r="I2753" s="12">
        <f t="shared" si="390"/>
        <v>5.517367606951977E-2</v>
      </c>
      <c r="J2753" s="3">
        <f t="shared" si="391"/>
        <v>0.7</v>
      </c>
    </row>
    <row r="2754" spans="2:10" x14ac:dyDescent="0.25">
      <c r="B2754" s="3">
        <f t="shared" si="392"/>
        <v>13685</v>
      </c>
      <c r="C2754" s="14">
        <f t="shared" si="393"/>
        <v>228.08333333333334</v>
      </c>
      <c r="D2754" s="11">
        <f t="shared" si="394"/>
        <v>1145.1904127421471</v>
      </c>
      <c r="E2754" s="24">
        <f t="shared" si="395"/>
        <v>1144.250501567205</v>
      </c>
      <c r="F2754" s="24">
        <f t="shared" si="388"/>
        <v>23.49777937355384</v>
      </c>
      <c r="G2754" s="14">
        <f t="shared" si="389"/>
        <v>425.20637718669576</v>
      </c>
      <c r="H2754" s="24">
        <f t="shared" si="396"/>
        <v>650</v>
      </c>
      <c r="I2754" s="12">
        <f t="shared" si="390"/>
        <v>5.515331100895926E-2</v>
      </c>
      <c r="J2754" s="3">
        <f t="shared" si="391"/>
        <v>0.7</v>
      </c>
    </row>
    <row r="2755" spans="2:10" x14ac:dyDescent="0.25">
      <c r="B2755" s="3">
        <f t="shared" si="392"/>
        <v>13690</v>
      </c>
      <c r="C2755" s="14">
        <f t="shared" si="393"/>
        <v>228.16666666666666</v>
      </c>
      <c r="D2755" s="11">
        <f t="shared" si="394"/>
        <v>1145.2451157716912</v>
      </c>
      <c r="E2755" s="24">
        <f t="shared" si="395"/>
        <v>1144.305654878214</v>
      </c>
      <c r="F2755" s="24">
        <f t="shared" si="388"/>
        <v>23.486522336929738</v>
      </c>
      <c r="G2755" s="14">
        <f t="shared" si="389"/>
        <v>425.0520751579802</v>
      </c>
      <c r="H2755" s="24">
        <f t="shared" si="396"/>
        <v>650</v>
      </c>
      <c r="I2755" s="12">
        <f t="shared" si="390"/>
        <v>5.5132961006652548E-2</v>
      </c>
      <c r="J2755" s="3">
        <f t="shared" si="391"/>
        <v>0.7</v>
      </c>
    </row>
    <row r="2756" spans="2:10" x14ac:dyDescent="0.25">
      <c r="B2756" s="3">
        <f t="shared" si="392"/>
        <v>13695</v>
      </c>
      <c r="C2756" s="14">
        <f t="shared" si="393"/>
        <v>228.25</v>
      </c>
      <c r="D2756" s="11">
        <f t="shared" si="394"/>
        <v>1145.2997988366253</v>
      </c>
      <c r="E2756" s="24">
        <f t="shared" si="395"/>
        <v>1144.3607878392206</v>
      </c>
      <c r="F2756" s="24">
        <f t="shared" si="388"/>
        <v>23.475274935117341</v>
      </c>
      <c r="G2756" s="14">
        <f t="shared" si="389"/>
        <v>424.8978858659965</v>
      </c>
      <c r="H2756" s="24">
        <f t="shared" si="396"/>
        <v>650</v>
      </c>
      <c r="I2756" s="12">
        <f t="shared" si="390"/>
        <v>5.5112626045873095E-2</v>
      </c>
      <c r="J2756" s="3">
        <f t="shared" si="391"/>
        <v>0.7</v>
      </c>
    </row>
    <row r="2757" spans="2:10" x14ac:dyDescent="0.25">
      <c r="B2757" s="3">
        <f t="shared" si="392"/>
        <v>13700</v>
      </c>
      <c r="C2757" s="14">
        <f t="shared" si="393"/>
        <v>228.33333333333334</v>
      </c>
      <c r="D2757" s="11">
        <f t="shared" si="394"/>
        <v>1145.3544619515174</v>
      </c>
      <c r="E2757" s="24">
        <f t="shared" si="395"/>
        <v>1144.4159004652665</v>
      </c>
      <c r="F2757" s="24">
        <f t="shared" si="388"/>
        <v>23.464037156270479</v>
      </c>
      <c r="G2757" s="14">
        <f t="shared" si="389"/>
        <v>424.74380918682965</v>
      </c>
      <c r="H2757" s="24">
        <f t="shared" si="396"/>
        <v>650</v>
      </c>
      <c r="I2757" s="12">
        <f t="shared" si="390"/>
        <v>5.5092306109933563E-2</v>
      </c>
      <c r="J2757" s="3">
        <f t="shared" si="391"/>
        <v>0.7</v>
      </c>
    </row>
    <row r="2758" spans="2:10" x14ac:dyDescent="0.25">
      <c r="B2758" s="3">
        <f t="shared" si="392"/>
        <v>13705</v>
      </c>
      <c r="C2758" s="14">
        <f t="shared" si="393"/>
        <v>228.41666666666666</v>
      </c>
      <c r="D2758" s="11">
        <f t="shared" si="394"/>
        <v>1145.4091051309181</v>
      </c>
      <c r="E2758" s="24">
        <f t="shared" si="395"/>
        <v>1144.4709927713764</v>
      </c>
      <c r="F2758" s="24">
        <f t="shared" si="388"/>
        <v>23.452808988542984</v>
      </c>
      <c r="G2758" s="14">
        <f t="shared" si="389"/>
        <v>424.58984499650654</v>
      </c>
      <c r="H2758" s="24">
        <f t="shared" si="396"/>
        <v>650</v>
      </c>
      <c r="I2758" s="12">
        <f t="shared" si="390"/>
        <v>5.5072001182139459E-2</v>
      </c>
      <c r="J2758" s="3">
        <f t="shared" si="391"/>
        <v>0.7</v>
      </c>
    </row>
    <row r="2759" spans="2:10" x14ac:dyDescent="0.25">
      <c r="B2759" s="3">
        <f t="shared" si="392"/>
        <v>13710</v>
      </c>
      <c r="C2759" s="14">
        <f t="shared" si="393"/>
        <v>228.5</v>
      </c>
      <c r="D2759" s="11">
        <f t="shared" si="394"/>
        <v>1145.4637283893637</v>
      </c>
      <c r="E2759" s="24">
        <f t="shared" si="395"/>
        <v>1144.5260647725586</v>
      </c>
      <c r="F2759" s="24">
        <f t="shared" si="388"/>
        <v>23.441590420128477</v>
      </c>
      <c r="G2759" s="14">
        <f t="shared" si="389"/>
        <v>424.43599317148039</v>
      </c>
      <c r="H2759" s="24">
        <f t="shared" si="396"/>
        <v>650</v>
      </c>
      <c r="I2759" s="12">
        <f t="shared" si="390"/>
        <v>5.5051711245853611E-2</v>
      </c>
      <c r="J2759" s="3">
        <f t="shared" si="391"/>
        <v>0.7</v>
      </c>
    </row>
    <row r="2760" spans="2:10" x14ac:dyDescent="0.25">
      <c r="B2760" s="3">
        <f t="shared" si="392"/>
        <v>13715</v>
      </c>
      <c r="C2760" s="14">
        <f t="shared" si="393"/>
        <v>228.58333333333334</v>
      </c>
      <c r="D2760" s="11">
        <f t="shared" si="394"/>
        <v>1145.5183317413735</v>
      </c>
      <c r="E2760" s="24">
        <f t="shared" si="395"/>
        <v>1144.5811164838044</v>
      </c>
      <c r="F2760" s="24">
        <f t="shared" si="388"/>
        <v>23.430381439226267</v>
      </c>
      <c r="G2760" s="14">
        <f t="shared" si="389"/>
        <v>424.282253588282</v>
      </c>
      <c r="H2760" s="24">
        <f t="shared" si="396"/>
        <v>650</v>
      </c>
      <c r="I2760" s="12">
        <f t="shared" si="390"/>
        <v>5.5031436284449058E-2</v>
      </c>
      <c r="J2760" s="3">
        <f t="shared" si="391"/>
        <v>0.7</v>
      </c>
    </row>
    <row r="2761" spans="2:10" x14ac:dyDescent="0.25">
      <c r="B2761" s="3">
        <f t="shared" si="392"/>
        <v>13720</v>
      </c>
      <c r="C2761" s="14">
        <f t="shared" si="393"/>
        <v>228.66666666666666</v>
      </c>
      <c r="D2761" s="11">
        <f t="shared" si="394"/>
        <v>1145.5729152014515</v>
      </c>
      <c r="E2761" s="24">
        <f t="shared" si="395"/>
        <v>1144.6361479200889</v>
      </c>
      <c r="F2761" s="24">
        <f t="shared" si="388"/>
        <v>23.419182034064079</v>
      </c>
      <c r="G2761" s="14">
        <f t="shared" si="389"/>
        <v>424.12862612379098</v>
      </c>
      <c r="H2761" s="24">
        <f t="shared" si="396"/>
        <v>650</v>
      </c>
      <c r="I2761" s="12">
        <f t="shared" si="390"/>
        <v>5.501117628134522E-2</v>
      </c>
      <c r="J2761" s="3">
        <f t="shared" si="391"/>
        <v>0.7</v>
      </c>
    </row>
    <row r="2762" spans="2:10" x14ac:dyDescent="0.25">
      <c r="B2762" s="3">
        <f t="shared" si="392"/>
        <v>13725</v>
      </c>
      <c r="C2762" s="14">
        <f t="shared" si="393"/>
        <v>228.75</v>
      </c>
      <c r="D2762" s="11">
        <f t="shared" si="394"/>
        <v>1145.627478784085</v>
      </c>
      <c r="E2762" s="24">
        <f t="shared" si="395"/>
        <v>1144.6911590963703</v>
      </c>
      <c r="F2762" s="24">
        <f t="shared" si="388"/>
        <v>23.407992192869642</v>
      </c>
      <c r="G2762" s="14">
        <f t="shared" si="389"/>
        <v>423.97511065453801</v>
      </c>
      <c r="H2762" s="24">
        <f t="shared" si="396"/>
        <v>650</v>
      </c>
      <c r="I2762" s="12">
        <f t="shared" si="390"/>
        <v>5.4990931219918618E-2</v>
      </c>
      <c r="J2762" s="3">
        <f t="shared" si="391"/>
        <v>0.7</v>
      </c>
    </row>
    <row r="2763" spans="2:10" x14ac:dyDescent="0.25">
      <c r="B2763" s="3">
        <f t="shared" si="392"/>
        <v>13730</v>
      </c>
      <c r="C2763" s="14">
        <f t="shared" si="393"/>
        <v>228.83333333333334</v>
      </c>
      <c r="D2763" s="11">
        <f t="shared" si="394"/>
        <v>1145.682022503747</v>
      </c>
      <c r="E2763" s="24">
        <f t="shared" si="395"/>
        <v>1144.7461500275901</v>
      </c>
      <c r="F2763" s="24">
        <f t="shared" si="388"/>
        <v>23.396811903921844</v>
      </c>
      <c r="G2763" s="14">
        <f t="shared" si="389"/>
        <v>423.82170705806175</v>
      </c>
      <c r="H2763" s="24">
        <f t="shared" si="396"/>
        <v>650</v>
      </c>
      <c r="I2763" s="12">
        <f t="shared" si="390"/>
        <v>5.4970701083675973E-2</v>
      </c>
      <c r="J2763" s="3">
        <f t="shared" si="391"/>
        <v>0.7</v>
      </c>
    </row>
    <row r="2764" spans="2:10" x14ac:dyDescent="0.25">
      <c r="B2764" s="3">
        <f t="shared" si="392"/>
        <v>13735</v>
      </c>
      <c r="C2764" s="14">
        <f t="shared" si="393"/>
        <v>228.91666666666666</v>
      </c>
      <c r="D2764" s="11">
        <f t="shared" si="394"/>
        <v>1145.7365463748934</v>
      </c>
      <c r="E2764" s="24">
        <f t="shared" si="395"/>
        <v>1144.8011207286738</v>
      </c>
      <c r="F2764" s="24">
        <f t="shared" si="388"/>
        <v>23.385641155488202</v>
      </c>
      <c r="G2764" s="14">
        <f t="shared" si="389"/>
        <v>423.66841521135802</v>
      </c>
      <c r="H2764" s="24">
        <f t="shared" si="396"/>
        <v>650</v>
      </c>
      <c r="I2764" s="12">
        <f t="shared" si="390"/>
        <v>5.4950485856055865E-2</v>
      </c>
      <c r="J2764" s="3">
        <f t="shared" si="391"/>
        <v>0.7</v>
      </c>
    </row>
    <row r="2765" spans="2:10" x14ac:dyDescent="0.25">
      <c r="B2765" s="3">
        <f t="shared" si="392"/>
        <v>13740</v>
      </c>
      <c r="C2765" s="14">
        <f t="shared" si="393"/>
        <v>229</v>
      </c>
      <c r="D2765" s="11">
        <f t="shared" si="394"/>
        <v>1145.7910504119645</v>
      </c>
      <c r="E2765" s="24">
        <f t="shared" si="395"/>
        <v>1144.8560712145299</v>
      </c>
      <c r="F2765" s="24">
        <f t="shared" si="388"/>
        <v>23.374479935864656</v>
      </c>
      <c r="G2765" s="14">
        <f t="shared" si="389"/>
        <v>423.51523499188778</v>
      </c>
      <c r="H2765" s="24">
        <f t="shared" si="396"/>
        <v>650</v>
      </c>
      <c r="I2765" s="12">
        <f t="shared" si="390"/>
        <v>5.4930285520557565E-2</v>
      </c>
      <c r="J2765" s="3">
        <f t="shared" si="391"/>
        <v>0.7</v>
      </c>
    </row>
    <row r="2766" spans="2:10" x14ac:dyDescent="0.25">
      <c r="B2766" s="3">
        <f t="shared" si="392"/>
        <v>13745</v>
      </c>
      <c r="C2766" s="14">
        <f t="shared" si="393"/>
        <v>229.08333333333334</v>
      </c>
      <c r="D2766" s="11">
        <f t="shared" si="394"/>
        <v>1145.8455346293858</v>
      </c>
      <c r="E2766" s="24">
        <f t="shared" si="395"/>
        <v>1144.9110015000506</v>
      </c>
      <c r="F2766" s="24">
        <f t="shared" si="388"/>
        <v>23.363328233381253</v>
      </c>
      <c r="G2766" s="14">
        <f t="shared" si="389"/>
        <v>423.36216627753845</v>
      </c>
      <c r="H2766" s="24">
        <f t="shared" si="396"/>
        <v>650</v>
      </c>
      <c r="I2766" s="12">
        <f t="shared" si="390"/>
        <v>5.4910100060736933E-2</v>
      </c>
      <c r="J2766" s="3">
        <f t="shared" si="391"/>
        <v>0.7</v>
      </c>
    </row>
    <row r="2767" spans="2:10" x14ac:dyDescent="0.25">
      <c r="B2767" s="3">
        <f t="shared" si="392"/>
        <v>13750</v>
      </c>
      <c r="C2767" s="14">
        <f t="shared" si="393"/>
        <v>229.16666666666666</v>
      </c>
      <c r="D2767" s="11">
        <f t="shared" si="394"/>
        <v>1145.8999990415655</v>
      </c>
      <c r="E2767" s="24">
        <f t="shared" si="395"/>
        <v>1144.9659116001112</v>
      </c>
      <c r="F2767" s="24">
        <f t="shared" si="388"/>
        <v>23.35218603635667</v>
      </c>
      <c r="G2767" s="14">
        <f t="shared" si="389"/>
        <v>423.20920894580973</v>
      </c>
      <c r="H2767" s="24">
        <f t="shared" si="396"/>
        <v>650</v>
      </c>
      <c r="I2767" s="12">
        <f t="shared" si="390"/>
        <v>5.4889929460100788E-2</v>
      </c>
      <c r="J2767" s="3">
        <f t="shared" si="391"/>
        <v>0.7</v>
      </c>
    </row>
    <row r="2768" spans="2:10" x14ac:dyDescent="0.25">
      <c r="B2768" s="3">
        <f t="shared" si="392"/>
        <v>13755</v>
      </c>
      <c r="C2768" s="14">
        <f t="shared" si="393"/>
        <v>229.25</v>
      </c>
      <c r="D2768" s="11">
        <f t="shared" si="394"/>
        <v>1145.9544436628971</v>
      </c>
      <c r="E2768" s="24">
        <f t="shared" si="395"/>
        <v>1145.0208015295714</v>
      </c>
      <c r="F2768" s="24">
        <f t="shared" si="388"/>
        <v>23.341053333143691</v>
      </c>
      <c r="G2768" s="14">
        <f t="shared" si="389"/>
        <v>423.05636287464716</v>
      </c>
      <c r="H2768" s="24">
        <f t="shared" si="396"/>
        <v>650</v>
      </c>
      <c r="I2768" s="12">
        <f t="shared" si="390"/>
        <v>5.4869773702214943E-2</v>
      </c>
      <c r="J2768" s="3">
        <f t="shared" si="391"/>
        <v>0.7</v>
      </c>
    </row>
    <row r="2769" spans="2:10" x14ac:dyDescent="0.25">
      <c r="B2769" s="3">
        <f t="shared" si="392"/>
        <v>13760</v>
      </c>
      <c r="C2769" s="14">
        <f t="shared" si="393"/>
        <v>229.33333333333334</v>
      </c>
      <c r="D2769" s="11">
        <f t="shared" si="394"/>
        <v>1146.0088685077587</v>
      </c>
      <c r="E2769" s="24">
        <f t="shared" si="395"/>
        <v>1145.0756713032736</v>
      </c>
      <c r="F2769" s="24">
        <f t="shared" ref="F2769:F2832" si="397">AlphaC*(D2769-E2769)</f>
        <v>23.329930112129205</v>
      </c>
      <c r="G2769" s="14">
        <f t="shared" ref="G2769:G2832" si="398">Phi*EpsilonF*Botzman/10^8*J2769*((D2769+273)^4-(E2769+273)^4)</f>
        <v>422.90362794255827</v>
      </c>
      <c r="H2769" s="24">
        <f t="shared" si="396"/>
        <v>650</v>
      </c>
      <c r="I2769" s="12">
        <f t="shared" ref="I2769:I2832" si="399">ksh*Massivete/(H2769*RhoA)*DeltaT*(F2769+G2769)</f>
        <v>5.4849632770718464E-2</v>
      </c>
      <c r="J2769" s="3">
        <f t="shared" ref="J2769:J2832" si="400">IF(E2769&lt;=500,IF(Galva=Oui,0.35,0.7),0.7)</f>
        <v>0.7</v>
      </c>
    </row>
    <row r="2770" spans="2:10" x14ac:dyDescent="0.25">
      <c r="B2770" s="3">
        <f t="shared" ref="B2770:B2833" si="401">B2769+DeltaT</f>
        <v>13765</v>
      </c>
      <c r="C2770" s="14">
        <f t="shared" ref="C2770:C2833" si="402">B2770/60</f>
        <v>229.41666666666666</v>
      </c>
      <c r="D2770" s="11">
        <f t="shared" ref="D2770:D2833" si="403">20+345*LOG(8*C2770+1,10)</f>
        <v>1146.0632735905122</v>
      </c>
      <c r="E2770" s="24">
        <f t="shared" si="395"/>
        <v>1145.1305209360444</v>
      </c>
      <c r="F2770" s="24">
        <f t="shared" si="397"/>
        <v>23.318816361694417</v>
      </c>
      <c r="G2770" s="14">
        <f t="shared" si="398"/>
        <v>422.75100402760478</v>
      </c>
      <c r="H2770" s="24">
        <f t="shared" si="396"/>
        <v>650</v>
      </c>
      <c r="I2770" s="12">
        <f t="shared" si="399"/>
        <v>5.4829506649194941E-2</v>
      </c>
      <c r="J2770" s="3">
        <f t="shared" si="400"/>
        <v>0.7</v>
      </c>
    </row>
    <row r="2771" spans="2:10" x14ac:dyDescent="0.25">
      <c r="B2771" s="3">
        <f t="shared" si="401"/>
        <v>13770</v>
      </c>
      <c r="C2771" s="14">
        <f t="shared" si="402"/>
        <v>229.5</v>
      </c>
      <c r="D2771" s="11">
        <f t="shared" si="403"/>
        <v>1146.1176589255037</v>
      </c>
      <c r="E2771" s="24">
        <f t="shared" si="395"/>
        <v>1145.1853504426936</v>
      </c>
      <c r="F2771" s="24">
        <f t="shared" si="397"/>
        <v>23.307712070254638</v>
      </c>
      <c r="G2771" s="14">
        <f t="shared" si="398"/>
        <v>422.5984910085462</v>
      </c>
      <c r="H2771" s="24">
        <f t="shared" si="396"/>
        <v>650</v>
      </c>
      <c r="I2771" s="12">
        <f t="shared" si="399"/>
        <v>5.4809395321317921E-2</v>
      </c>
      <c r="J2771" s="3">
        <f t="shared" si="400"/>
        <v>0.7</v>
      </c>
    </row>
    <row r="2772" spans="2:10" x14ac:dyDescent="0.25">
      <c r="B2772" s="3">
        <f t="shared" si="401"/>
        <v>13775</v>
      </c>
      <c r="C2772" s="14">
        <f t="shared" si="402"/>
        <v>229.58333333333334</v>
      </c>
      <c r="D2772" s="11">
        <f t="shared" si="403"/>
        <v>1146.1720245270642</v>
      </c>
      <c r="E2772" s="24">
        <f t="shared" si="395"/>
        <v>1145.240159838015</v>
      </c>
      <c r="F2772" s="24">
        <f t="shared" si="397"/>
        <v>23.296617226230865</v>
      </c>
      <c r="G2772" s="14">
        <f t="shared" si="398"/>
        <v>422.44608876383188</v>
      </c>
      <c r="H2772" s="24">
        <f t="shared" si="396"/>
        <v>650</v>
      </c>
      <c r="I2772" s="12">
        <f t="shared" si="399"/>
        <v>5.478929877072352E-2</v>
      </c>
      <c r="J2772" s="3">
        <f t="shared" si="400"/>
        <v>0.7</v>
      </c>
    </row>
    <row r="2773" spans="2:10" x14ac:dyDescent="0.25">
      <c r="B2773" s="3">
        <f t="shared" si="401"/>
        <v>13780</v>
      </c>
      <c r="C2773" s="14">
        <f t="shared" si="402"/>
        <v>229.66666666666666</v>
      </c>
      <c r="D2773" s="11">
        <f t="shared" si="403"/>
        <v>1146.2263704095085</v>
      </c>
      <c r="E2773" s="24">
        <f t="shared" si="395"/>
        <v>1145.2949491367856</v>
      </c>
      <c r="F2773" s="24">
        <f t="shared" si="397"/>
        <v>23.285531818072513</v>
      </c>
      <c r="G2773" s="14">
        <f t="shared" si="398"/>
        <v>422.29379717249265</v>
      </c>
      <c r="H2773" s="24">
        <f t="shared" si="396"/>
        <v>650</v>
      </c>
      <c r="I2773" s="12">
        <f t="shared" si="399"/>
        <v>5.4769216981122824E-2</v>
      </c>
      <c r="J2773" s="3">
        <f t="shared" si="400"/>
        <v>0.7</v>
      </c>
    </row>
    <row r="2774" spans="2:10" x14ac:dyDescent="0.25">
      <c r="B2774" s="3">
        <f t="shared" si="401"/>
        <v>13785</v>
      </c>
      <c r="C2774" s="14">
        <f t="shared" si="402"/>
        <v>229.75</v>
      </c>
      <c r="D2774" s="11">
        <f t="shared" si="403"/>
        <v>1146.2806965871366</v>
      </c>
      <c r="E2774" s="24">
        <f t="shared" si="395"/>
        <v>1145.3497183537668</v>
      </c>
      <c r="F2774" s="24">
        <f t="shared" si="397"/>
        <v>23.274455834246055</v>
      </c>
      <c r="G2774" s="14">
        <f t="shared" si="398"/>
        <v>422.14161611353978</v>
      </c>
      <c r="H2774" s="24">
        <f t="shared" si="396"/>
        <v>650</v>
      </c>
      <c r="I2774" s="12">
        <f t="shared" si="399"/>
        <v>5.4749149936226614E-2</v>
      </c>
      <c r="J2774" s="3">
        <f t="shared" si="400"/>
        <v>0.7</v>
      </c>
    </row>
    <row r="2775" spans="2:10" x14ac:dyDescent="0.25">
      <c r="B2775" s="3">
        <f t="shared" si="401"/>
        <v>13790</v>
      </c>
      <c r="C2775" s="14">
        <f t="shared" si="402"/>
        <v>229.83333333333334</v>
      </c>
      <c r="D2775" s="11">
        <f t="shared" si="403"/>
        <v>1146.3350030742324</v>
      </c>
      <c r="E2775" s="24">
        <f t="shared" si="395"/>
        <v>1145.404467503703</v>
      </c>
      <c r="F2775" s="24">
        <f t="shared" si="397"/>
        <v>23.263389263235013</v>
      </c>
      <c r="G2775" s="14">
        <f t="shared" si="398"/>
        <v>421.98954546629483</v>
      </c>
      <c r="H2775" s="24">
        <f t="shared" si="396"/>
        <v>650</v>
      </c>
      <c r="I2775" s="12">
        <f t="shared" si="399"/>
        <v>5.4729097619785901E-2</v>
      </c>
      <c r="J2775" s="3">
        <f t="shared" si="400"/>
        <v>0.7</v>
      </c>
    </row>
    <row r="2776" spans="2:10" x14ac:dyDescent="0.25">
      <c r="B2776" s="3">
        <f t="shared" si="401"/>
        <v>13795</v>
      </c>
      <c r="C2776" s="14">
        <f t="shared" si="402"/>
        <v>229.91666666666666</v>
      </c>
      <c r="D2776" s="11">
        <f t="shared" si="403"/>
        <v>1146.389289885064</v>
      </c>
      <c r="E2776" s="24">
        <f t="shared" si="395"/>
        <v>1145.4591966013229</v>
      </c>
      <c r="F2776" s="24">
        <f t="shared" si="397"/>
        <v>23.252332093528594</v>
      </c>
      <c r="G2776" s="14">
        <f t="shared" si="398"/>
        <v>421.83758510986604</v>
      </c>
      <c r="H2776" s="24">
        <f t="shared" si="396"/>
        <v>650</v>
      </c>
      <c r="I2776" s="12">
        <f t="shared" si="399"/>
        <v>5.4709060015526181E-2</v>
      </c>
      <c r="J2776" s="3">
        <f t="shared" si="400"/>
        <v>0.7</v>
      </c>
    </row>
    <row r="2777" spans="2:10" x14ac:dyDescent="0.25">
      <c r="B2777" s="3">
        <f t="shared" si="401"/>
        <v>13800</v>
      </c>
      <c r="C2777" s="14">
        <f t="shared" si="402"/>
        <v>230</v>
      </c>
      <c r="D2777" s="11">
        <f t="shared" si="403"/>
        <v>1146.4435570338851</v>
      </c>
      <c r="E2777" s="24">
        <f t="shared" si="395"/>
        <v>1145.5139056613384</v>
      </c>
      <c r="F2777" s="24">
        <f t="shared" si="397"/>
        <v>23.241284313667165</v>
      </c>
      <c r="G2777" s="14">
        <f t="shared" si="398"/>
        <v>421.68573492431136</v>
      </c>
      <c r="H2777" s="24">
        <f t="shared" si="396"/>
        <v>650</v>
      </c>
      <c r="I2777" s="12">
        <f t="shared" si="399"/>
        <v>5.4689037107295967E-2</v>
      </c>
      <c r="J2777" s="3">
        <f t="shared" si="400"/>
        <v>0.7</v>
      </c>
    </row>
    <row r="2778" spans="2:10" x14ac:dyDescent="0.25">
      <c r="B2778" s="3">
        <f t="shared" si="401"/>
        <v>13805</v>
      </c>
      <c r="C2778" s="14">
        <f t="shared" si="402"/>
        <v>230.08333333333334</v>
      </c>
      <c r="D2778" s="11">
        <f t="shared" si="403"/>
        <v>1146.4978045349326</v>
      </c>
      <c r="E2778" s="24">
        <f t="shared" si="395"/>
        <v>1145.5685946984456</v>
      </c>
      <c r="F2778" s="24">
        <f t="shared" si="397"/>
        <v>23.230245912174041</v>
      </c>
      <c r="G2778" s="14">
        <f t="shared" si="398"/>
        <v>421.53399478901036</v>
      </c>
      <c r="H2778" s="24">
        <f t="shared" si="396"/>
        <v>650</v>
      </c>
      <c r="I2778" s="12">
        <f t="shared" si="399"/>
        <v>5.4669028878858293E-2</v>
      </c>
      <c r="J2778" s="3">
        <f t="shared" si="400"/>
        <v>0.7</v>
      </c>
    </row>
    <row r="2779" spans="2:10" x14ac:dyDescent="0.25">
      <c r="B2779" s="3">
        <f t="shared" si="401"/>
        <v>13810</v>
      </c>
      <c r="C2779" s="14">
        <f t="shared" si="402"/>
        <v>230.16666666666666</v>
      </c>
      <c r="D2779" s="11">
        <f t="shared" si="403"/>
        <v>1146.5520324024287</v>
      </c>
      <c r="E2779" s="24">
        <f t="shared" si="395"/>
        <v>1145.6232637273245</v>
      </c>
      <c r="F2779" s="24">
        <f t="shared" si="397"/>
        <v>23.219216877606641</v>
      </c>
      <c r="G2779" s="14">
        <f t="shared" si="398"/>
        <v>421.38236458402099</v>
      </c>
      <c r="H2779" s="24">
        <f t="shared" si="396"/>
        <v>650</v>
      </c>
      <c r="I2779" s="12">
        <f t="shared" si="399"/>
        <v>5.4649035314063781E-2</v>
      </c>
      <c r="J2779" s="3">
        <f t="shared" si="400"/>
        <v>0.7</v>
      </c>
    </row>
    <row r="2780" spans="2:10" x14ac:dyDescent="0.25">
      <c r="B2780" s="3">
        <f t="shared" si="401"/>
        <v>13815</v>
      </c>
      <c r="C2780" s="14">
        <f t="shared" si="402"/>
        <v>230.25</v>
      </c>
      <c r="D2780" s="11">
        <f t="shared" si="403"/>
        <v>1146.6062406505805</v>
      </c>
      <c r="E2780" s="24">
        <f t="shared" si="395"/>
        <v>1145.6779127626385</v>
      </c>
      <c r="F2780" s="24">
        <f t="shared" si="397"/>
        <v>23.208197198550806</v>
      </c>
      <c r="G2780" s="14">
        <f t="shared" si="398"/>
        <v>421.23084418953681</v>
      </c>
      <c r="H2780" s="24">
        <f t="shared" si="396"/>
        <v>650</v>
      </c>
      <c r="I2780" s="12">
        <f t="shared" si="399"/>
        <v>5.4629056396783199E-2</v>
      </c>
      <c r="J2780" s="3">
        <f t="shared" si="400"/>
        <v>0.7</v>
      </c>
    </row>
    <row r="2781" spans="2:10" x14ac:dyDescent="0.25">
      <c r="B2781" s="3">
        <f t="shared" si="401"/>
        <v>13820</v>
      </c>
      <c r="C2781" s="14">
        <f t="shared" si="402"/>
        <v>230.33333333333334</v>
      </c>
      <c r="D2781" s="11">
        <f t="shared" si="403"/>
        <v>1146.6604292935783</v>
      </c>
      <c r="E2781" s="24">
        <f t="shared" si="395"/>
        <v>1145.7325418190353</v>
      </c>
      <c r="F2781" s="24">
        <f t="shared" si="397"/>
        <v>23.197186863575325</v>
      </c>
      <c r="G2781" s="14">
        <f t="shared" si="398"/>
        <v>421.07943348553812</v>
      </c>
      <c r="H2781" s="24">
        <f t="shared" si="396"/>
        <v>650</v>
      </c>
      <c r="I2781" s="12">
        <f t="shared" si="399"/>
        <v>5.4609092110859007E-2</v>
      </c>
      <c r="J2781" s="3">
        <f t="shared" si="400"/>
        <v>0.7</v>
      </c>
    </row>
    <row r="2782" spans="2:10" x14ac:dyDescent="0.25">
      <c r="B2782" s="3">
        <f t="shared" si="401"/>
        <v>13825</v>
      </c>
      <c r="C2782" s="14">
        <f t="shared" si="402"/>
        <v>230.41666666666666</v>
      </c>
      <c r="D2782" s="11">
        <f t="shared" si="403"/>
        <v>1146.7145983455989</v>
      </c>
      <c r="E2782" s="24">
        <f t="shared" si="395"/>
        <v>1145.7871509111462</v>
      </c>
      <c r="F2782" s="24">
        <f t="shared" si="397"/>
        <v>23.186185861317199</v>
      </c>
      <c r="G2782" s="14">
        <f t="shared" si="398"/>
        <v>420.92813235295506</v>
      </c>
      <c r="H2782" s="24">
        <f t="shared" si="396"/>
        <v>650</v>
      </c>
      <c r="I2782" s="12">
        <f t="shared" si="399"/>
        <v>5.4589142440258816E-2</v>
      </c>
      <c r="J2782" s="3">
        <f t="shared" si="400"/>
        <v>0.7</v>
      </c>
    </row>
    <row r="2783" spans="2:10" x14ac:dyDescent="0.25">
      <c r="B2783" s="3">
        <f t="shared" si="401"/>
        <v>13830</v>
      </c>
      <c r="C2783" s="14">
        <f t="shared" si="402"/>
        <v>230.5</v>
      </c>
      <c r="D2783" s="11">
        <f t="shared" si="403"/>
        <v>1146.7687478208022</v>
      </c>
      <c r="E2783" s="24">
        <f t="shared" si="395"/>
        <v>1145.8417400535866</v>
      </c>
      <c r="F2783" s="24">
        <f t="shared" si="397"/>
        <v>23.17519418039069</v>
      </c>
      <c r="G2783" s="14">
        <f t="shared" si="398"/>
        <v>420.77694067203925</v>
      </c>
      <c r="H2783" s="24">
        <f t="shared" si="396"/>
        <v>650</v>
      </c>
      <c r="I2783" s="12">
        <f t="shared" si="399"/>
        <v>5.4569207368864024E-2</v>
      </c>
      <c r="J2783" s="3">
        <f t="shared" si="400"/>
        <v>0.7</v>
      </c>
    </row>
    <row r="2784" spans="2:10" x14ac:dyDescent="0.25">
      <c r="B2784" s="3">
        <f t="shared" si="401"/>
        <v>13835</v>
      </c>
      <c r="C2784" s="14">
        <f t="shared" si="402"/>
        <v>230.58333333333334</v>
      </c>
      <c r="D2784" s="11">
        <f t="shared" si="403"/>
        <v>1146.8228777333334</v>
      </c>
      <c r="E2784" s="24">
        <f t="shared" si="395"/>
        <v>1145.8963092609554</v>
      </c>
      <c r="F2784" s="24">
        <f t="shared" si="397"/>
        <v>23.164211809449853</v>
      </c>
      <c r="G2784" s="14">
        <f t="shared" si="398"/>
        <v>420.62585832383695</v>
      </c>
      <c r="H2784" s="24">
        <f t="shared" si="396"/>
        <v>650</v>
      </c>
      <c r="I2784" s="12">
        <f t="shared" si="399"/>
        <v>5.4549286880658604E-2</v>
      </c>
      <c r="J2784" s="3">
        <f t="shared" si="400"/>
        <v>0.7</v>
      </c>
    </row>
    <row r="2785" spans="2:10" x14ac:dyDescent="0.25">
      <c r="B2785" s="3">
        <f t="shared" si="401"/>
        <v>13840</v>
      </c>
      <c r="C2785" s="14">
        <f t="shared" si="402"/>
        <v>230.66666666666666</v>
      </c>
      <c r="D2785" s="11">
        <f t="shared" si="403"/>
        <v>1146.8769880973223</v>
      </c>
      <c r="E2785" s="24">
        <f t="shared" si="395"/>
        <v>1145.9508585478361</v>
      </c>
      <c r="F2785" s="24">
        <f t="shared" si="397"/>
        <v>23.153238737154425</v>
      </c>
      <c r="G2785" s="14">
        <f t="shared" si="398"/>
        <v>420.47488518918129</v>
      </c>
      <c r="H2785" s="24">
        <f t="shared" si="396"/>
        <v>650</v>
      </c>
      <c r="I2785" s="12">
        <f t="shared" si="399"/>
        <v>5.4529380959601033E-2</v>
      </c>
      <c r="J2785" s="3">
        <f t="shared" si="400"/>
        <v>0.7</v>
      </c>
    </row>
    <row r="2786" spans="2:10" x14ac:dyDescent="0.25">
      <c r="B2786" s="3">
        <f t="shared" si="401"/>
        <v>13845</v>
      </c>
      <c r="C2786" s="14">
        <f t="shared" si="402"/>
        <v>230.75</v>
      </c>
      <c r="D2786" s="11">
        <f t="shared" si="403"/>
        <v>1146.9310789268832</v>
      </c>
      <c r="E2786" s="24">
        <f t="shared" si="395"/>
        <v>1146.0053879287957</v>
      </c>
      <c r="F2786" s="24">
        <f t="shared" si="397"/>
        <v>23.142274952186881</v>
      </c>
      <c r="G2786" s="14">
        <f t="shared" si="398"/>
        <v>420.32402114923485</v>
      </c>
      <c r="H2786" s="24">
        <f t="shared" si="396"/>
        <v>650</v>
      </c>
      <c r="I2786" s="12">
        <f t="shared" si="399"/>
        <v>5.450948958969306E-2</v>
      </c>
      <c r="J2786" s="3">
        <f t="shared" si="400"/>
        <v>0.7</v>
      </c>
    </row>
    <row r="2787" spans="2:10" x14ac:dyDescent="0.25">
      <c r="B2787" s="3">
        <f t="shared" si="401"/>
        <v>13850</v>
      </c>
      <c r="C2787" s="14">
        <f t="shared" si="402"/>
        <v>230.83333333333334</v>
      </c>
      <c r="D2787" s="11">
        <f t="shared" si="403"/>
        <v>1146.9851502361155</v>
      </c>
      <c r="E2787" s="24">
        <f t="shared" si="395"/>
        <v>1146.0598974183854</v>
      </c>
      <c r="F2787" s="24">
        <f t="shared" si="397"/>
        <v>23.131320443252434</v>
      </c>
      <c r="G2787" s="14">
        <f t="shared" si="398"/>
        <v>420.17326608543146</v>
      </c>
      <c r="H2787" s="24">
        <f t="shared" si="396"/>
        <v>650</v>
      </c>
      <c r="I2787" s="12">
        <f t="shared" si="399"/>
        <v>5.4489612754972591E-2</v>
      </c>
      <c r="J2787" s="3">
        <f t="shared" si="400"/>
        <v>0.7</v>
      </c>
    </row>
    <row r="2788" spans="2:10" x14ac:dyDescent="0.25">
      <c r="B2788" s="3">
        <f t="shared" si="401"/>
        <v>13855</v>
      </c>
      <c r="C2788" s="14">
        <f t="shared" si="402"/>
        <v>230.91666666666666</v>
      </c>
      <c r="D2788" s="11">
        <f t="shared" si="403"/>
        <v>1147.0392020391032</v>
      </c>
      <c r="E2788" s="24">
        <f t="shared" si="395"/>
        <v>1146.1143870311403</v>
      </c>
      <c r="F2788" s="24">
        <f t="shared" si="397"/>
        <v>23.120375199073351</v>
      </c>
      <c r="G2788" s="14">
        <f t="shared" si="398"/>
        <v>420.02261987932133</v>
      </c>
      <c r="H2788" s="24">
        <f t="shared" si="396"/>
        <v>650</v>
      </c>
      <c r="I2788" s="12">
        <f t="shared" si="399"/>
        <v>5.4469750439493918E-2</v>
      </c>
      <c r="J2788" s="3">
        <f t="shared" si="400"/>
        <v>0.7</v>
      </c>
    </row>
    <row r="2789" spans="2:10" x14ac:dyDescent="0.25">
      <c r="B2789" s="3">
        <f t="shared" si="401"/>
        <v>13860</v>
      </c>
      <c r="C2789" s="14">
        <f t="shared" si="402"/>
        <v>231</v>
      </c>
      <c r="D2789" s="11">
        <f t="shared" si="403"/>
        <v>1147.0932343499146</v>
      </c>
      <c r="E2789" s="24">
        <f t="shared" si="395"/>
        <v>1146.1688567815797</v>
      </c>
      <c r="F2789" s="24">
        <f t="shared" si="397"/>
        <v>23.109439208371896</v>
      </c>
      <c r="G2789" s="14">
        <f t="shared" si="398"/>
        <v>419.87208241226074</v>
      </c>
      <c r="H2789" s="24">
        <f t="shared" si="396"/>
        <v>650</v>
      </c>
      <c r="I2789" s="12">
        <f t="shared" si="399"/>
        <v>5.4449902627287515E-2</v>
      </c>
      <c r="J2789" s="3">
        <f t="shared" si="400"/>
        <v>0.7</v>
      </c>
    </row>
    <row r="2790" spans="2:10" x14ac:dyDescent="0.25">
      <c r="B2790" s="3">
        <f t="shared" si="401"/>
        <v>13865</v>
      </c>
      <c r="C2790" s="14">
        <f t="shared" si="402"/>
        <v>231.08333333333334</v>
      </c>
      <c r="D2790" s="11">
        <f t="shared" si="403"/>
        <v>1147.1472471826035</v>
      </c>
      <c r="E2790" s="24">
        <f t="shared" si="395"/>
        <v>1146.223306684207</v>
      </c>
      <c r="F2790" s="24">
        <f t="shared" si="397"/>
        <v>23.098512459910125</v>
      </c>
      <c r="G2790" s="14">
        <f t="shared" si="398"/>
        <v>419.72165356630381</v>
      </c>
      <c r="H2790" s="24">
        <f t="shared" si="396"/>
        <v>650</v>
      </c>
      <c r="I2790" s="12">
        <f t="shared" si="399"/>
        <v>5.4430069302474494E-2</v>
      </c>
      <c r="J2790" s="3">
        <f t="shared" si="400"/>
        <v>0.7</v>
      </c>
    </row>
    <row r="2791" spans="2:10" x14ac:dyDescent="0.25">
      <c r="B2791" s="3">
        <f t="shared" si="401"/>
        <v>13870</v>
      </c>
      <c r="C2791" s="14">
        <f t="shared" si="402"/>
        <v>231.16666666666666</v>
      </c>
      <c r="D2791" s="11">
        <f t="shared" si="403"/>
        <v>1147.2012405512082</v>
      </c>
      <c r="E2791" s="24">
        <f t="shared" si="395"/>
        <v>1146.2777367535095</v>
      </c>
      <c r="F2791" s="24">
        <f t="shared" si="397"/>
        <v>23.087594942467149</v>
      </c>
      <c r="G2791" s="14">
        <f t="shared" si="398"/>
        <v>419.57133322358209</v>
      </c>
      <c r="H2791" s="24">
        <f t="shared" si="396"/>
        <v>650</v>
      </c>
      <c r="I2791" s="12">
        <f t="shared" si="399"/>
        <v>5.4410250449187611E-2</v>
      </c>
      <c r="J2791" s="3">
        <f t="shared" si="400"/>
        <v>0.7</v>
      </c>
    </row>
    <row r="2792" spans="2:10" x14ac:dyDescent="0.25">
      <c r="B2792" s="3">
        <f t="shared" si="401"/>
        <v>13875</v>
      </c>
      <c r="C2792" s="14">
        <f t="shared" si="402"/>
        <v>231.25</v>
      </c>
      <c r="D2792" s="11">
        <f t="shared" si="403"/>
        <v>1147.2552144697518</v>
      </c>
      <c r="E2792" s="24">
        <f t="shared" si="395"/>
        <v>1146.3321470039587</v>
      </c>
      <c r="F2792" s="24">
        <f t="shared" si="397"/>
        <v>23.07668664482776</v>
      </c>
      <c r="G2792" s="14">
        <f t="shared" si="398"/>
        <v>419.4211212660914</v>
      </c>
      <c r="H2792" s="24">
        <f t="shared" si="396"/>
        <v>650</v>
      </c>
      <c r="I2792" s="12">
        <f t="shared" si="399"/>
        <v>5.4390446051543619E-2</v>
      </c>
      <c r="J2792" s="3">
        <f t="shared" si="400"/>
        <v>0.7</v>
      </c>
    </row>
    <row r="2793" spans="2:10" x14ac:dyDescent="0.25">
      <c r="B2793" s="3">
        <f t="shared" si="401"/>
        <v>13880</v>
      </c>
      <c r="C2793" s="14">
        <f t="shared" si="402"/>
        <v>231.33333333333334</v>
      </c>
      <c r="D2793" s="11">
        <f t="shared" si="403"/>
        <v>1147.3091689522421</v>
      </c>
      <c r="E2793" s="24">
        <f t="shared" si="395"/>
        <v>1146.3865374500101</v>
      </c>
      <c r="F2793" s="24">
        <f t="shared" si="397"/>
        <v>23.065787555799488</v>
      </c>
      <c r="G2793" s="14">
        <f t="shared" si="398"/>
        <v>419.27101757627344</v>
      </c>
      <c r="H2793" s="24">
        <f t="shared" si="396"/>
        <v>650</v>
      </c>
      <c r="I2793" s="12">
        <f t="shared" si="399"/>
        <v>5.4370656093716871E-2</v>
      </c>
      <c r="J2793" s="3">
        <f t="shared" si="400"/>
        <v>0.7</v>
      </c>
    </row>
    <row r="2794" spans="2:10" x14ac:dyDescent="0.25">
      <c r="B2794" s="3">
        <f t="shared" si="401"/>
        <v>13885</v>
      </c>
      <c r="C2794" s="14">
        <f t="shared" si="402"/>
        <v>231.41666666666666</v>
      </c>
      <c r="D2794" s="11">
        <f t="shared" si="403"/>
        <v>1147.3631040126722</v>
      </c>
      <c r="E2794" s="24">
        <f t="shared" si="395"/>
        <v>1146.4409081061037</v>
      </c>
      <c r="F2794" s="24">
        <f t="shared" si="397"/>
        <v>23.054897664212604</v>
      </c>
      <c r="G2794" s="14">
        <f t="shared" si="398"/>
        <v>419.12102203674419</v>
      </c>
      <c r="H2794" s="24">
        <f t="shared" si="396"/>
        <v>650</v>
      </c>
      <c r="I2794" s="12">
        <f t="shared" si="399"/>
        <v>5.4350880559905952E-2</v>
      </c>
      <c r="J2794" s="3">
        <f t="shared" si="400"/>
        <v>0.7</v>
      </c>
    </row>
    <row r="2795" spans="2:10" x14ac:dyDescent="0.25">
      <c r="B2795" s="3">
        <f t="shared" si="401"/>
        <v>13890</v>
      </c>
      <c r="C2795" s="14">
        <f t="shared" si="402"/>
        <v>231.5</v>
      </c>
      <c r="D2795" s="11">
        <f t="shared" si="403"/>
        <v>1147.4170196650196</v>
      </c>
      <c r="E2795" s="24">
        <f t="shared" si="395"/>
        <v>1146.4952589866637</v>
      </c>
      <c r="F2795" s="24">
        <f t="shared" si="397"/>
        <v>23.044016958897373</v>
      </c>
      <c r="G2795" s="14">
        <f t="shared" si="398"/>
        <v>418.97113452994535</v>
      </c>
      <c r="H2795" s="24">
        <f t="shared" si="396"/>
        <v>650</v>
      </c>
      <c r="I2795" s="12">
        <f t="shared" si="399"/>
        <v>5.4331119434288005E-2</v>
      </c>
      <c r="J2795" s="3">
        <f t="shared" si="400"/>
        <v>0.7</v>
      </c>
    </row>
    <row r="2796" spans="2:10" x14ac:dyDescent="0.25">
      <c r="B2796" s="3">
        <f t="shared" si="401"/>
        <v>13895</v>
      </c>
      <c r="C2796" s="14">
        <f t="shared" si="402"/>
        <v>231.58333333333334</v>
      </c>
      <c r="D2796" s="11">
        <f t="shared" si="403"/>
        <v>1147.470915923247</v>
      </c>
      <c r="E2796" s="24">
        <f t="shared" si="395"/>
        <v>1146.5495901060979</v>
      </c>
      <c r="F2796" s="24">
        <f t="shared" si="397"/>
        <v>23.03314542872954</v>
      </c>
      <c r="G2796" s="14">
        <f t="shared" si="398"/>
        <v>418.82135493899676</v>
      </c>
      <c r="H2796" s="24">
        <f t="shared" si="396"/>
        <v>650</v>
      </c>
      <c r="I2796" s="12">
        <f t="shared" si="399"/>
        <v>5.4311372701129131E-2</v>
      </c>
      <c r="J2796" s="3">
        <f t="shared" si="400"/>
        <v>0.7</v>
      </c>
    </row>
    <row r="2797" spans="2:10" x14ac:dyDescent="0.25">
      <c r="B2797" s="3">
        <f t="shared" si="401"/>
        <v>13900</v>
      </c>
      <c r="C2797" s="14">
        <f t="shared" si="402"/>
        <v>231.66666666666666</v>
      </c>
      <c r="D2797" s="11">
        <f t="shared" si="403"/>
        <v>1147.5247928013021</v>
      </c>
      <c r="E2797" s="24">
        <f t="shared" si="395"/>
        <v>1146.6039014787989</v>
      </c>
      <c r="F2797" s="24">
        <f t="shared" si="397"/>
        <v>23.022283062579163</v>
      </c>
      <c r="G2797" s="14">
        <f t="shared" si="398"/>
        <v>418.67168314678594</v>
      </c>
      <c r="H2797" s="24">
        <f t="shared" si="396"/>
        <v>650</v>
      </c>
      <c r="I2797" s="12">
        <f t="shared" si="399"/>
        <v>5.4291640344666173E-2</v>
      </c>
      <c r="J2797" s="3">
        <f t="shared" si="400"/>
        <v>0.7</v>
      </c>
    </row>
    <row r="2798" spans="2:10" x14ac:dyDescent="0.25">
      <c r="B2798" s="3">
        <f t="shared" si="401"/>
        <v>13905</v>
      </c>
      <c r="C2798" s="14">
        <f t="shared" si="402"/>
        <v>231.75</v>
      </c>
      <c r="D2798" s="11">
        <f t="shared" si="403"/>
        <v>1147.5786503131171</v>
      </c>
      <c r="E2798" s="24">
        <f t="shared" si="395"/>
        <v>1146.6581931191436</v>
      </c>
      <c r="F2798" s="24">
        <f t="shared" si="397"/>
        <v>23.011429849339038</v>
      </c>
      <c r="G2798" s="14">
        <f t="shared" si="398"/>
        <v>418.52211903652955</v>
      </c>
      <c r="H2798" s="24">
        <f t="shared" si="396"/>
        <v>650</v>
      </c>
      <c r="I2798" s="12">
        <f t="shared" si="399"/>
        <v>5.4271922349179227E-2</v>
      </c>
      <c r="J2798" s="3">
        <f t="shared" si="400"/>
        <v>0.7</v>
      </c>
    </row>
    <row r="2799" spans="2:10" x14ac:dyDescent="0.25">
      <c r="B2799" s="3">
        <f t="shared" si="401"/>
        <v>13910</v>
      </c>
      <c r="C2799" s="14">
        <f t="shared" si="402"/>
        <v>231.83333333333334</v>
      </c>
      <c r="D2799" s="11">
        <f t="shared" si="403"/>
        <v>1147.6324884726102</v>
      </c>
      <c r="E2799" s="24">
        <f t="shared" si="395"/>
        <v>1146.7124650414928</v>
      </c>
      <c r="F2799" s="24">
        <f t="shared" si="397"/>
        <v>23.000585777936067</v>
      </c>
      <c r="G2799" s="14">
        <f t="shared" si="398"/>
        <v>418.37266249177395</v>
      </c>
      <c r="H2799" s="24">
        <f t="shared" si="396"/>
        <v>650</v>
      </c>
      <c r="I2799" s="12">
        <f t="shared" si="399"/>
        <v>5.4252218698993111E-2</v>
      </c>
      <c r="J2799" s="3">
        <f t="shared" si="400"/>
        <v>0.7</v>
      </c>
    </row>
    <row r="2800" spans="2:10" x14ac:dyDescent="0.25">
      <c r="B2800" s="3">
        <f t="shared" si="401"/>
        <v>13915</v>
      </c>
      <c r="C2800" s="14">
        <f t="shared" si="402"/>
        <v>231.91666666666666</v>
      </c>
      <c r="D2800" s="11">
        <f t="shared" si="403"/>
        <v>1147.6863072936833</v>
      </c>
      <c r="E2800" s="24">
        <f t="shared" si="395"/>
        <v>1146.7667172601919</v>
      </c>
      <c r="F2800" s="24">
        <f t="shared" si="397"/>
        <v>22.989750837285783</v>
      </c>
      <c r="G2800" s="14">
        <f t="shared" si="398"/>
        <v>418.22331339575538</v>
      </c>
      <c r="H2800" s="24">
        <f t="shared" si="396"/>
        <v>650</v>
      </c>
      <c r="I2800" s="12">
        <f t="shared" si="399"/>
        <v>5.423252937839311E-2</v>
      </c>
      <c r="J2800" s="3">
        <f t="shared" si="400"/>
        <v>0.7</v>
      </c>
    </row>
    <row r="2801" spans="2:10" x14ac:dyDescent="0.25">
      <c r="B2801" s="3">
        <f t="shared" si="401"/>
        <v>13920</v>
      </c>
      <c r="C2801" s="14">
        <f t="shared" si="402"/>
        <v>232</v>
      </c>
      <c r="D2801" s="11">
        <f t="shared" si="403"/>
        <v>1147.7401067902242</v>
      </c>
      <c r="E2801" s="24">
        <f t="shared" si="395"/>
        <v>1146.8209497895702</v>
      </c>
      <c r="F2801" s="24">
        <f t="shared" si="397"/>
        <v>22.978925016349194</v>
      </c>
      <c r="G2801" s="14">
        <f t="shared" si="398"/>
        <v>418.07407163252395</v>
      </c>
      <c r="H2801" s="24">
        <f t="shared" si="396"/>
        <v>650</v>
      </c>
      <c r="I2801" s="12">
        <f t="shared" si="399"/>
        <v>5.4212854371770154E-2</v>
      </c>
      <c r="J2801" s="3">
        <f t="shared" si="400"/>
        <v>0.7</v>
      </c>
    </row>
    <row r="2802" spans="2:10" x14ac:dyDescent="0.25">
      <c r="B2802" s="3">
        <f t="shared" si="401"/>
        <v>13925</v>
      </c>
      <c r="C2802" s="14">
        <f t="shared" si="402"/>
        <v>232.08333333333334</v>
      </c>
      <c r="D2802" s="11">
        <f t="shared" si="403"/>
        <v>1147.7938869761056</v>
      </c>
      <c r="E2802" s="24">
        <f t="shared" si="395"/>
        <v>1146.8751626439421</v>
      </c>
      <c r="F2802" s="24">
        <f t="shared" si="397"/>
        <v>22.968108304087309</v>
      </c>
      <c r="G2802" s="14">
        <f t="shared" si="398"/>
        <v>417.9249370857616</v>
      </c>
      <c r="H2802" s="24">
        <f t="shared" si="396"/>
        <v>650</v>
      </c>
      <c r="I2802" s="12">
        <f t="shared" si="399"/>
        <v>5.4193193663469905E-2</v>
      </c>
      <c r="J2802" s="3">
        <f t="shared" si="400"/>
        <v>0.7</v>
      </c>
    </row>
    <row r="2803" spans="2:10" x14ac:dyDescent="0.25">
      <c r="B2803" s="3">
        <f t="shared" si="401"/>
        <v>13930</v>
      </c>
      <c r="C2803" s="14">
        <f t="shared" si="402"/>
        <v>232.16666666666666</v>
      </c>
      <c r="D2803" s="11">
        <f t="shared" si="403"/>
        <v>1147.8476478651849</v>
      </c>
      <c r="E2803" s="24">
        <f t="shared" si="395"/>
        <v>1146.9293558376055</v>
      </c>
      <c r="F2803" s="24">
        <f t="shared" si="397"/>
        <v>22.957300689483873</v>
      </c>
      <c r="G2803" s="14">
        <f t="shared" si="398"/>
        <v>417.77590963955726</v>
      </c>
      <c r="H2803" s="24">
        <f t="shared" si="396"/>
        <v>650</v>
      </c>
      <c r="I2803" s="12">
        <f t="shared" si="399"/>
        <v>5.4173547237890869E-2</v>
      </c>
      <c r="J2803" s="3">
        <f t="shared" si="400"/>
        <v>0.7</v>
      </c>
    </row>
    <row r="2804" spans="2:10" x14ac:dyDescent="0.25">
      <c r="B2804" s="3">
        <f t="shared" si="401"/>
        <v>13935</v>
      </c>
      <c r="C2804" s="14">
        <f t="shared" si="402"/>
        <v>232.25</v>
      </c>
      <c r="D2804" s="11">
        <f t="shared" si="403"/>
        <v>1147.901389471305</v>
      </c>
      <c r="E2804" s="24">
        <f t="shared" ref="E2804:E2867" si="404">E2803+I2803</f>
        <v>1146.9835293848435</v>
      </c>
      <c r="F2804" s="24">
        <f t="shared" si="397"/>
        <v>22.946502161539684</v>
      </c>
      <c r="G2804" s="14">
        <f t="shared" si="398"/>
        <v>417.62698917821308</v>
      </c>
      <c r="H2804" s="24">
        <f t="shared" ref="H2804:H2867" si="405">IF(E2804&lt;600,425+0.773*E2804-1.69/1000*E2804^2+2.22/1000^2*E2804^3,IF(E2804&lt;735,666+13002/(738-E2804),IF(E2804&lt;900,545+17820/(E2804-731),650)))</f>
        <v>650</v>
      </c>
      <c r="I2804" s="12">
        <f t="shared" si="399"/>
        <v>5.4153915079459825E-2</v>
      </c>
      <c r="J2804" s="3">
        <f t="shared" si="400"/>
        <v>0.7</v>
      </c>
    </row>
    <row r="2805" spans="2:10" x14ac:dyDescent="0.25">
      <c r="B2805" s="3">
        <f t="shared" si="401"/>
        <v>13940</v>
      </c>
      <c r="C2805" s="14">
        <f t="shared" si="402"/>
        <v>232.33333333333334</v>
      </c>
      <c r="D2805" s="11">
        <f t="shared" si="403"/>
        <v>1147.9551118082939</v>
      </c>
      <c r="E2805" s="24">
        <f t="shared" si="404"/>
        <v>1147.0376832999229</v>
      </c>
      <c r="F2805" s="24">
        <f t="shared" si="397"/>
        <v>22.935712709272593</v>
      </c>
      <c r="G2805" s="14">
        <f t="shared" si="398"/>
        <v>417.47817558599235</v>
      </c>
      <c r="H2805" s="24">
        <f t="shared" si="405"/>
        <v>650</v>
      </c>
      <c r="I2805" s="12">
        <f t="shared" si="399"/>
        <v>5.4134297172600897E-2</v>
      </c>
      <c r="J2805" s="3">
        <f t="shared" si="400"/>
        <v>0.7</v>
      </c>
    </row>
    <row r="2806" spans="2:10" x14ac:dyDescent="0.25">
      <c r="B2806" s="3">
        <f t="shared" si="401"/>
        <v>13945</v>
      </c>
      <c r="C2806" s="14">
        <f t="shared" si="402"/>
        <v>232.41666666666666</v>
      </c>
      <c r="D2806" s="11">
        <f t="shared" si="403"/>
        <v>1148.0088148899642</v>
      </c>
      <c r="E2806" s="24">
        <f t="shared" si="404"/>
        <v>1147.0918175970955</v>
      </c>
      <c r="F2806" s="24">
        <f t="shared" si="397"/>
        <v>22.924932321717506</v>
      </c>
      <c r="G2806" s="14">
        <f t="shared" si="398"/>
        <v>417.32946874744908</v>
      </c>
      <c r="H2806" s="24">
        <f t="shared" si="405"/>
        <v>650</v>
      </c>
      <c r="I2806" s="12">
        <f t="shared" si="399"/>
        <v>5.4114693501776022E-2</v>
      </c>
      <c r="J2806" s="3">
        <f t="shared" si="400"/>
        <v>0.7</v>
      </c>
    </row>
    <row r="2807" spans="2:10" x14ac:dyDescent="0.25">
      <c r="B2807" s="3">
        <f t="shared" si="401"/>
        <v>13950</v>
      </c>
      <c r="C2807" s="14">
        <f t="shared" si="402"/>
        <v>232.5</v>
      </c>
      <c r="D2807" s="11">
        <f t="shared" si="403"/>
        <v>1148.0624987301146</v>
      </c>
      <c r="E2807" s="24">
        <f t="shared" si="404"/>
        <v>1147.1459322905973</v>
      </c>
      <c r="F2807" s="24">
        <f t="shared" si="397"/>
        <v>22.914160987932064</v>
      </c>
      <c r="G2807" s="14">
        <f t="shared" si="398"/>
        <v>417.18086854748617</v>
      </c>
      <c r="H2807" s="24">
        <f t="shared" si="405"/>
        <v>650</v>
      </c>
      <c r="I2807" s="12">
        <f t="shared" si="399"/>
        <v>5.4095104051492836E-2</v>
      </c>
      <c r="J2807" s="3">
        <f t="shared" si="400"/>
        <v>0.7</v>
      </c>
    </row>
    <row r="2808" spans="2:10" x14ac:dyDescent="0.25">
      <c r="B2808" s="3">
        <f t="shared" si="401"/>
        <v>13955</v>
      </c>
      <c r="C2808" s="14">
        <f t="shared" si="402"/>
        <v>232.58333333333334</v>
      </c>
      <c r="D2808" s="11">
        <f t="shared" si="403"/>
        <v>1148.1161633425279</v>
      </c>
      <c r="E2808" s="24">
        <f t="shared" si="404"/>
        <v>1147.2000273946487</v>
      </c>
      <c r="F2808" s="24">
        <f t="shared" si="397"/>
        <v>22.903398696979593</v>
      </c>
      <c r="G2808" s="14">
        <f t="shared" si="398"/>
        <v>417.03237487079338</v>
      </c>
      <c r="H2808" s="24">
        <f t="shared" si="405"/>
        <v>650</v>
      </c>
      <c r="I2808" s="12">
        <f t="shared" si="399"/>
        <v>5.4075528806233446E-2</v>
      </c>
      <c r="J2808" s="3">
        <f t="shared" si="400"/>
        <v>0.7</v>
      </c>
    </row>
    <row r="2809" spans="2:10" x14ac:dyDescent="0.25">
      <c r="B2809" s="3">
        <f t="shared" si="401"/>
        <v>13960</v>
      </c>
      <c r="C2809" s="14">
        <f t="shared" si="402"/>
        <v>232.66666666666666</v>
      </c>
      <c r="D2809" s="11">
        <f t="shared" si="403"/>
        <v>1148.1698087409732</v>
      </c>
      <c r="E2809" s="24">
        <f t="shared" si="404"/>
        <v>1147.2541029234549</v>
      </c>
      <c r="F2809" s="24">
        <f t="shared" si="397"/>
        <v>22.892645437957526</v>
      </c>
      <c r="G2809" s="14">
        <f t="shared" si="398"/>
        <v>416.88398760260299</v>
      </c>
      <c r="H2809" s="24">
        <f t="shared" si="405"/>
        <v>650</v>
      </c>
      <c r="I2809" s="12">
        <f t="shared" si="399"/>
        <v>5.4055967750550875E-2</v>
      </c>
      <c r="J2809" s="3">
        <f t="shared" si="400"/>
        <v>0.7</v>
      </c>
    </row>
    <row r="2810" spans="2:10" x14ac:dyDescent="0.25">
      <c r="B2810" s="3">
        <f t="shared" si="401"/>
        <v>13965</v>
      </c>
      <c r="C2810" s="14">
        <f t="shared" si="402"/>
        <v>232.75</v>
      </c>
      <c r="D2810" s="11">
        <f t="shared" si="403"/>
        <v>1148.2234349392038</v>
      </c>
      <c r="E2810" s="24">
        <f t="shared" si="404"/>
        <v>1147.3081588912055</v>
      </c>
      <c r="F2810" s="24">
        <f t="shared" si="397"/>
        <v>22.881901199957611</v>
      </c>
      <c r="G2810" s="14">
        <f t="shared" si="398"/>
        <v>416.73570662793412</v>
      </c>
      <c r="H2810" s="24">
        <f t="shared" si="405"/>
        <v>650</v>
      </c>
      <c r="I2810" s="12">
        <f t="shared" si="399"/>
        <v>5.4036420868971209E-2</v>
      </c>
      <c r="J2810" s="3">
        <f t="shared" si="400"/>
        <v>0.7</v>
      </c>
    </row>
    <row r="2811" spans="2:10" x14ac:dyDescent="0.25">
      <c r="B2811" s="3">
        <f t="shared" si="401"/>
        <v>13970</v>
      </c>
      <c r="C2811" s="14">
        <f t="shared" si="402"/>
        <v>232.83333333333334</v>
      </c>
      <c r="D2811" s="11">
        <f t="shared" si="403"/>
        <v>1148.2770419509586</v>
      </c>
      <c r="E2811" s="24">
        <f t="shared" si="404"/>
        <v>1147.3621953120744</v>
      </c>
      <c r="F2811" s="24">
        <f t="shared" si="397"/>
        <v>22.8711659721057</v>
      </c>
      <c r="G2811" s="14">
        <f t="shared" si="398"/>
        <v>416.58753183225173</v>
      </c>
      <c r="H2811" s="24">
        <f t="shared" si="405"/>
        <v>650</v>
      </c>
      <c r="I2811" s="12">
        <f t="shared" si="399"/>
        <v>5.4016888146079543E-2</v>
      </c>
      <c r="J2811" s="3">
        <f t="shared" si="400"/>
        <v>0.7</v>
      </c>
    </row>
    <row r="2812" spans="2:10" x14ac:dyDescent="0.25">
      <c r="B2812" s="3">
        <f t="shared" si="401"/>
        <v>13975</v>
      </c>
      <c r="C2812" s="14">
        <f t="shared" si="402"/>
        <v>232.91666666666666</v>
      </c>
      <c r="D2812" s="11">
        <f t="shared" si="403"/>
        <v>1148.3306297899619</v>
      </c>
      <c r="E2812" s="24">
        <f t="shared" si="404"/>
        <v>1147.4162122002206</v>
      </c>
      <c r="F2812" s="24">
        <f t="shared" si="397"/>
        <v>22.860439743533334</v>
      </c>
      <c r="G2812" s="14">
        <f t="shared" si="398"/>
        <v>416.43946310094316</v>
      </c>
      <c r="H2812" s="24">
        <f t="shared" si="405"/>
        <v>650</v>
      </c>
      <c r="I2812" s="12">
        <f t="shared" si="399"/>
        <v>5.3997369566452139E-2</v>
      </c>
      <c r="J2812" s="3">
        <f t="shared" si="400"/>
        <v>0.7</v>
      </c>
    </row>
    <row r="2813" spans="2:10" x14ac:dyDescent="0.25">
      <c r="B2813" s="3">
        <f t="shared" si="401"/>
        <v>13980</v>
      </c>
      <c r="C2813" s="14">
        <f t="shared" si="402"/>
        <v>233</v>
      </c>
      <c r="D2813" s="11">
        <f t="shared" si="403"/>
        <v>1148.3841984699236</v>
      </c>
      <c r="E2813" s="24">
        <f t="shared" si="404"/>
        <v>1147.4702095697871</v>
      </c>
      <c r="F2813" s="24">
        <f t="shared" si="397"/>
        <v>22.84972250341184</v>
      </c>
      <c r="G2813" s="14">
        <f t="shared" si="398"/>
        <v>416.29150032003531</v>
      </c>
      <c r="H2813" s="24">
        <f t="shared" si="405"/>
        <v>650</v>
      </c>
      <c r="I2813" s="12">
        <f t="shared" si="399"/>
        <v>5.3977865114748752E-2</v>
      </c>
      <c r="J2813" s="3">
        <f t="shared" si="400"/>
        <v>0.7</v>
      </c>
    </row>
    <row r="2814" spans="2:10" x14ac:dyDescent="0.25">
      <c r="B2814" s="3">
        <f t="shared" si="401"/>
        <v>13985</v>
      </c>
      <c r="C2814" s="14">
        <f t="shared" si="402"/>
        <v>233.08333333333334</v>
      </c>
      <c r="D2814" s="11">
        <f t="shared" si="403"/>
        <v>1148.4377480045382</v>
      </c>
      <c r="E2814" s="24">
        <f t="shared" si="404"/>
        <v>1147.5241874349019</v>
      </c>
      <c r="F2814" s="24">
        <f t="shared" si="397"/>
        <v>22.839014240906863</v>
      </c>
      <c r="G2814" s="14">
        <f t="shared" si="398"/>
        <v>416.14364337528377</v>
      </c>
      <c r="H2814" s="24">
        <f t="shared" si="405"/>
        <v>650</v>
      </c>
      <c r="I2814" s="12">
        <f t="shared" si="399"/>
        <v>5.3958374775595085E-2</v>
      </c>
      <c r="J2814" s="3">
        <f t="shared" si="400"/>
        <v>0.7</v>
      </c>
    </row>
    <row r="2815" spans="2:10" x14ac:dyDescent="0.25">
      <c r="B2815" s="3">
        <f t="shared" si="401"/>
        <v>13990</v>
      </c>
      <c r="C2815" s="14">
        <f t="shared" si="402"/>
        <v>233.16666666666666</v>
      </c>
      <c r="D2815" s="11">
        <f t="shared" si="403"/>
        <v>1148.4912784074859</v>
      </c>
      <c r="E2815" s="24">
        <f t="shared" si="404"/>
        <v>1147.5781458096776</v>
      </c>
      <c r="F2815" s="24">
        <f t="shared" si="397"/>
        <v>22.828314945206785</v>
      </c>
      <c r="G2815" s="14">
        <f t="shared" si="398"/>
        <v>415.99589215267673</v>
      </c>
      <c r="H2815" s="24">
        <f t="shared" si="405"/>
        <v>650</v>
      </c>
      <c r="I2815" s="12">
        <f t="shared" si="399"/>
        <v>5.3938898533648236E-2</v>
      </c>
      <c r="J2815" s="3">
        <f t="shared" si="400"/>
        <v>0.7</v>
      </c>
    </row>
    <row r="2816" spans="2:10" x14ac:dyDescent="0.25">
      <c r="B2816" s="3">
        <f t="shared" si="401"/>
        <v>13995</v>
      </c>
      <c r="C2816" s="14">
        <f t="shared" si="402"/>
        <v>233.25</v>
      </c>
      <c r="D2816" s="11">
        <f t="shared" si="403"/>
        <v>1148.5447896924318</v>
      </c>
      <c r="E2816" s="24">
        <f t="shared" si="404"/>
        <v>1147.6320847082113</v>
      </c>
      <c r="F2816" s="24">
        <f t="shared" si="397"/>
        <v>22.817624605511355</v>
      </c>
      <c r="G2816" s="14">
        <f t="shared" si="398"/>
        <v>415.84824653835733</v>
      </c>
      <c r="H2816" s="24">
        <f t="shared" si="405"/>
        <v>650</v>
      </c>
      <c r="I2816" s="12">
        <f t="shared" si="399"/>
        <v>5.3919436373585747E-2</v>
      </c>
      <c r="J2816" s="3">
        <f t="shared" si="400"/>
        <v>0.7</v>
      </c>
    </row>
    <row r="2817" spans="2:10" x14ac:dyDescent="0.25">
      <c r="B2817" s="3">
        <f t="shared" si="401"/>
        <v>14000</v>
      </c>
      <c r="C2817" s="14">
        <f t="shared" si="402"/>
        <v>233.33333333333334</v>
      </c>
      <c r="D2817" s="11">
        <f t="shared" si="403"/>
        <v>1148.5982818730274</v>
      </c>
      <c r="E2817" s="24">
        <f t="shared" si="404"/>
        <v>1147.686004144585</v>
      </c>
      <c r="F2817" s="24">
        <f t="shared" si="397"/>
        <v>22.806943211060116</v>
      </c>
      <c r="G2817" s="14">
        <f t="shared" si="398"/>
        <v>415.70070641887577</v>
      </c>
      <c r="H2817" s="24">
        <f t="shared" si="405"/>
        <v>650</v>
      </c>
      <c r="I2817" s="12">
        <f t="shared" si="399"/>
        <v>5.3899988280140081E-2</v>
      </c>
      <c r="J2817" s="3">
        <f t="shared" si="400"/>
        <v>0.7</v>
      </c>
    </row>
    <row r="2818" spans="2:10" x14ac:dyDescent="0.25">
      <c r="B2818" s="3">
        <f t="shared" si="401"/>
        <v>14005</v>
      </c>
      <c r="C2818" s="14">
        <f t="shared" si="402"/>
        <v>233.41666666666666</v>
      </c>
      <c r="D2818" s="11">
        <f t="shared" si="403"/>
        <v>1148.6517549629086</v>
      </c>
      <c r="E2818" s="24">
        <f t="shared" si="404"/>
        <v>1147.7399041328651</v>
      </c>
      <c r="F2818" s="24">
        <f t="shared" si="397"/>
        <v>22.796270751086922</v>
      </c>
      <c r="G2818" s="14">
        <f t="shared" si="398"/>
        <v>415.55327168080157</v>
      </c>
      <c r="H2818" s="24">
        <f t="shared" si="405"/>
        <v>650</v>
      </c>
      <c r="I2818" s="12">
        <f t="shared" si="399"/>
        <v>5.3880554238045372E-2</v>
      </c>
      <c r="J2818" s="3">
        <f t="shared" si="400"/>
        <v>0.7</v>
      </c>
    </row>
    <row r="2819" spans="2:10" x14ac:dyDescent="0.25">
      <c r="B2819" s="3">
        <f t="shared" si="401"/>
        <v>14010</v>
      </c>
      <c r="C2819" s="14">
        <f t="shared" si="402"/>
        <v>233.5</v>
      </c>
      <c r="D2819" s="11">
        <f t="shared" si="403"/>
        <v>1148.7052089756969</v>
      </c>
      <c r="E2819" s="24">
        <f t="shared" si="404"/>
        <v>1147.7937846871032</v>
      </c>
      <c r="F2819" s="24">
        <f t="shared" si="397"/>
        <v>22.785607214842685</v>
      </c>
      <c r="G2819" s="14">
        <f t="shared" si="398"/>
        <v>415.40594221058802</v>
      </c>
      <c r="H2819" s="24">
        <f t="shared" si="405"/>
        <v>650</v>
      </c>
      <c r="I2819" s="12">
        <f t="shared" si="399"/>
        <v>5.3861134232023572E-2</v>
      </c>
      <c r="J2819" s="3">
        <f t="shared" si="400"/>
        <v>0.7</v>
      </c>
    </row>
    <row r="2820" spans="2:10" x14ac:dyDescent="0.25">
      <c r="B2820" s="3">
        <f t="shared" si="401"/>
        <v>14015</v>
      </c>
      <c r="C2820" s="14">
        <f t="shared" si="402"/>
        <v>233.58333333333334</v>
      </c>
      <c r="D2820" s="11">
        <f t="shared" si="403"/>
        <v>1148.7586439249997</v>
      </c>
      <c r="E2820" s="24">
        <f t="shared" si="404"/>
        <v>1147.8476458213352</v>
      </c>
      <c r="F2820" s="24">
        <f t="shared" si="397"/>
        <v>22.774952591612418</v>
      </c>
      <c r="G2820" s="14">
        <f t="shared" si="398"/>
        <v>415.25871789530856</v>
      </c>
      <c r="H2820" s="24">
        <f t="shared" si="405"/>
        <v>650</v>
      </c>
      <c r="I2820" s="12">
        <f t="shared" si="399"/>
        <v>5.3841728246877045E-2</v>
      </c>
      <c r="J2820" s="3">
        <f t="shared" si="400"/>
        <v>0.7</v>
      </c>
    </row>
    <row r="2821" spans="2:10" x14ac:dyDescent="0.25">
      <c r="B2821" s="3">
        <f t="shared" si="401"/>
        <v>14020</v>
      </c>
      <c r="C2821" s="14">
        <f t="shared" si="402"/>
        <v>233.66666666666666</v>
      </c>
      <c r="D2821" s="11">
        <f t="shared" si="403"/>
        <v>1148.8120598244091</v>
      </c>
      <c r="E2821" s="24">
        <f t="shared" si="404"/>
        <v>1147.901487549582</v>
      </c>
      <c r="F2821" s="24">
        <f t="shared" si="397"/>
        <v>22.764306870675455</v>
      </c>
      <c r="G2821" s="14">
        <f t="shared" si="398"/>
        <v>415.11159862182336</v>
      </c>
      <c r="H2821" s="24">
        <f t="shared" si="405"/>
        <v>650</v>
      </c>
      <c r="I2821" s="12">
        <f t="shared" si="399"/>
        <v>5.3822336267381254E-2</v>
      </c>
      <c r="J2821" s="3">
        <f t="shared" si="400"/>
        <v>0.7</v>
      </c>
    </row>
    <row r="2822" spans="2:10" x14ac:dyDescent="0.25">
      <c r="B2822" s="3">
        <f t="shared" si="401"/>
        <v>14025</v>
      </c>
      <c r="C2822" s="14">
        <f t="shared" si="402"/>
        <v>233.75</v>
      </c>
      <c r="D2822" s="11">
        <f t="shared" si="403"/>
        <v>1148.8654566875032</v>
      </c>
      <c r="E2822" s="24">
        <f t="shared" si="404"/>
        <v>1147.9553098858494</v>
      </c>
      <c r="F2822" s="24">
        <f t="shared" si="397"/>
        <v>22.753670041345231</v>
      </c>
      <c r="G2822" s="14">
        <f t="shared" si="398"/>
        <v>414.96458427736093</v>
      </c>
      <c r="H2822" s="24">
        <f t="shared" si="405"/>
        <v>650</v>
      </c>
      <c r="I2822" s="12">
        <f t="shared" si="399"/>
        <v>5.3802958278361117E-2</v>
      </c>
      <c r="J2822" s="3">
        <f t="shared" si="400"/>
        <v>0.7</v>
      </c>
    </row>
    <row r="2823" spans="2:10" x14ac:dyDescent="0.25">
      <c r="B2823" s="3">
        <f t="shared" si="401"/>
        <v>14030</v>
      </c>
      <c r="C2823" s="14">
        <f t="shared" si="402"/>
        <v>233.83333333333334</v>
      </c>
      <c r="D2823" s="11">
        <f t="shared" si="403"/>
        <v>1148.9188345278458</v>
      </c>
      <c r="E2823" s="24">
        <f t="shared" si="404"/>
        <v>1148.0091128441277</v>
      </c>
      <c r="F2823" s="24">
        <f t="shared" si="397"/>
        <v>22.743042092952237</v>
      </c>
      <c r="G2823" s="14">
        <f t="shared" si="398"/>
        <v>414.81767474936294</v>
      </c>
      <c r="H2823" s="24">
        <f t="shared" si="405"/>
        <v>650</v>
      </c>
      <c r="I2823" s="12">
        <f t="shared" si="399"/>
        <v>5.3783594264669859E-2</v>
      </c>
      <c r="J2823" s="3">
        <f t="shared" si="400"/>
        <v>0.7</v>
      </c>
    </row>
    <row r="2824" spans="2:10" x14ac:dyDescent="0.25">
      <c r="B2824" s="3">
        <f t="shared" si="401"/>
        <v>14035</v>
      </c>
      <c r="C2824" s="14">
        <f t="shared" si="402"/>
        <v>233.91666666666666</v>
      </c>
      <c r="D2824" s="11">
        <f t="shared" si="403"/>
        <v>1148.9721933589854</v>
      </c>
      <c r="E2824" s="24">
        <f t="shared" si="404"/>
        <v>1148.0628964383923</v>
      </c>
      <c r="F2824" s="24">
        <f t="shared" si="397"/>
        <v>22.732423014826963</v>
      </c>
      <c r="G2824" s="14">
        <f t="shared" si="398"/>
        <v>414.67086992529039</v>
      </c>
      <c r="H2824" s="24">
        <f t="shared" si="405"/>
        <v>650</v>
      </c>
      <c r="I2824" s="12">
        <f t="shared" si="399"/>
        <v>5.3764244211163069E-2</v>
      </c>
      <c r="J2824" s="3">
        <f t="shared" si="400"/>
        <v>0.7</v>
      </c>
    </row>
    <row r="2825" spans="2:10" x14ac:dyDescent="0.25">
      <c r="B2825" s="3">
        <f t="shared" si="401"/>
        <v>14040</v>
      </c>
      <c r="C2825" s="14">
        <f t="shared" si="402"/>
        <v>234</v>
      </c>
      <c r="D2825" s="11">
        <f t="shared" si="403"/>
        <v>1149.0255331944568</v>
      </c>
      <c r="E2825" s="24">
        <f t="shared" si="404"/>
        <v>1148.1166606826034</v>
      </c>
      <c r="F2825" s="24">
        <f t="shared" si="397"/>
        <v>22.721812796334007</v>
      </c>
      <c r="G2825" s="14">
        <f t="shared" si="398"/>
        <v>414.5241696927593</v>
      </c>
      <c r="H2825" s="24">
        <f t="shared" si="405"/>
        <v>650</v>
      </c>
      <c r="I2825" s="12">
        <f t="shared" si="399"/>
        <v>5.3744908102719591E-2</v>
      </c>
      <c r="J2825" s="3">
        <f t="shared" si="400"/>
        <v>0.7</v>
      </c>
    </row>
    <row r="2826" spans="2:10" x14ac:dyDescent="0.25">
      <c r="B2826" s="3">
        <f t="shared" si="401"/>
        <v>14045</v>
      </c>
      <c r="C2826" s="14">
        <f t="shared" si="402"/>
        <v>234.08333333333334</v>
      </c>
      <c r="D2826" s="11">
        <f t="shared" si="403"/>
        <v>1149.0788540477799</v>
      </c>
      <c r="E2826" s="24">
        <f t="shared" si="404"/>
        <v>1148.1704055907062</v>
      </c>
      <c r="F2826" s="24">
        <f t="shared" si="397"/>
        <v>22.711211426843647</v>
      </c>
      <c r="G2826" s="14">
        <f t="shared" si="398"/>
        <v>414.37757393961829</v>
      </c>
      <c r="H2826" s="24">
        <f t="shared" si="405"/>
        <v>650</v>
      </c>
      <c r="I2826" s="12">
        <f t="shared" si="399"/>
        <v>5.3725585924247553E-2</v>
      </c>
      <c r="J2826" s="3">
        <f t="shared" si="400"/>
        <v>0.7</v>
      </c>
    </row>
    <row r="2827" spans="2:10" x14ac:dyDescent="0.25">
      <c r="B2827" s="3">
        <f t="shared" si="401"/>
        <v>14050</v>
      </c>
      <c r="C2827" s="14">
        <f t="shared" si="402"/>
        <v>234.16666666666666</v>
      </c>
      <c r="D2827" s="11">
        <f t="shared" si="403"/>
        <v>1149.1321559324604</v>
      </c>
      <c r="E2827" s="24">
        <f t="shared" si="404"/>
        <v>1148.2241311766304</v>
      </c>
      <c r="F2827" s="24">
        <f t="shared" si="397"/>
        <v>22.700618895748903</v>
      </c>
      <c r="G2827" s="14">
        <f t="shared" si="398"/>
        <v>414.23108255383232</v>
      </c>
      <c r="H2827" s="24">
        <f t="shared" si="405"/>
        <v>650</v>
      </c>
      <c r="I2827" s="12">
        <f t="shared" si="399"/>
        <v>5.3706277660672187E-2</v>
      </c>
      <c r="J2827" s="3">
        <f t="shared" si="400"/>
        <v>0.7</v>
      </c>
    </row>
    <row r="2828" spans="2:10" x14ac:dyDescent="0.25">
      <c r="B2828" s="3">
        <f t="shared" si="401"/>
        <v>14055</v>
      </c>
      <c r="C2828" s="14">
        <f t="shared" si="402"/>
        <v>234.25</v>
      </c>
      <c r="D2828" s="11">
        <f t="shared" si="403"/>
        <v>1149.1854388619893</v>
      </c>
      <c r="E2828" s="24">
        <f t="shared" si="404"/>
        <v>1148.2778374542911</v>
      </c>
      <c r="F2828" s="24">
        <f t="shared" si="397"/>
        <v>22.690035192454161</v>
      </c>
      <c r="G2828" s="14">
        <f t="shared" si="398"/>
        <v>414.08469542354067</v>
      </c>
      <c r="H2828" s="24">
        <f t="shared" si="405"/>
        <v>650</v>
      </c>
      <c r="I2828" s="12">
        <f t="shared" si="399"/>
        <v>5.3686983296941541E-2</v>
      </c>
      <c r="J2828" s="3">
        <f t="shared" si="400"/>
        <v>0.7</v>
      </c>
    </row>
    <row r="2829" spans="2:10" x14ac:dyDescent="0.25">
      <c r="B2829" s="3">
        <f t="shared" si="401"/>
        <v>14060</v>
      </c>
      <c r="C2829" s="14">
        <f t="shared" si="402"/>
        <v>234.33333333333334</v>
      </c>
      <c r="D2829" s="11">
        <f t="shared" si="403"/>
        <v>1149.2387028498438</v>
      </c>
      <c r="E2829" s="24">
        <f t="shared" si="404"/>
        <v>1148.3315244375881</v>
      </c>
      <c r="F2829" s="24">
        <f t="shared" si="397"/>
        <v>22.67946030639223</v>
      </c>
      <c r="G2829" s="14">
        <f t="shared" si="398"/>
        <v>413.938412437154</v>
      </c>
      <c r="H2829" s="24">
        <f t="shared" si="405"/>
        <v>650</v>
      </c>
      <c r="I2829" s="12">
        <f t="shared" si="399"/>
        <v>5.3667702818040515E-2</v>
      </c>
      <c r="J2829" s="3">
        <f t="shared" si="400"/>
        <v>0.7</v>
      </c>
    </row>
    <row r="2830" spans="2:10" x14ac:dyDescent="0.25">
      <c r="B2830" s="3">
        <f t="shared" si="401"/>
        <v>14065</v>
      </c>
      <c r="C2830" s="14">
        <f t="shared" si="402"/>
        <v>234.41666666666666</v>
      </c>
      <c r="D2830" s="11">
        <f t="shared" si="403"/>
        <v>1149.291947909486</v>
      </c>
      <c r="E2830" s="24">
        <f t="shared" si="404"/>
        <v>1148.3851921404062</v>
      </c>
      <c r="F2830" s="24">
        <f t="shared" si="397"/>
        <v>22.668894226995917</v>
      </c>
      <c r="G2830" s="14">
        <f t="shared" si="398"/>
        <v>413.79223348306351</v>
      </c>
      <c r="H2830" s="24">
        <f t="shared" si="405"/>
        <v>650</v>
      </c>
      <c r="I2830" s="12">
        <f t="shared" si="399"/>
        <v>5.3648436208951628E-2</v>
      </c>
      <c r="J2830" s="3">
        <f t="shared" si="400"/>
        <v>0.7</v>
      </c>
    </row>
    <row r="2831" spans="2:10" x14ac:dyDescent="0.25">
      <c r="B2831" s="3">
        <f t="shared" si="401"/>
        <v>14070</v>
      </c>
      <c r="C2831" s="14">
        <f t="shared" si="402"/>
        <v>234.5</v>
      </c>
      <c r="D2831" s="11">
        <f t="shared" si="403"/>
        <v>1149.3451740543644</v>
      </c>
      <c r="E2831" s="24">
        <f t="shared" si="404"/>
        <v>1148.4388405766151</v>
      </c>
      <c r="F2831" s="24">
        <f t="shared" si="397"/>
        <v>22.658336943732138</v>
      </c>
      <c r="G2831" s="14">
        <f t="shared" si="398"/>
        <v>413.64615845008683</v>
      </c>
      <c r="H2831" s="24">
        <f t="shared" si="405"/>
        <v>650</v>
      </c>
      <c r="I2831" s="12">
        <f t="shared" si="399"/>
        <v>5.3629183454713979E-2</v>
      </c>
      <c r="J2831" s="3">
        <f t="shared" si="400"/>
        <v>0.7</v>
      </c>
    </row>
    <row r="2832" spans="2:10" x14ac:dyDescent="0.25">
      <c r="B2832" s="3">
        <f t="shared" si="401"/>
        <v>14075</v>
      </c>
      <c r="C2832" s="14">
        <f t="shared" si="402"/>
        <v>234.58333333333334</v>
      </c>
      <c r="D2832" s="11">
        <f t="shared" si="403"/>
        <v>1149.3983812979125</v>
      </c>
      <c r="E2832" s="24">
        <f t="shared" si="404"/>
        <v>1148.4924697600698</v>
      </c>
      <c r="F2832" s="24">
        <f t="shared" si="397"/>
        <v>22.647788446067807</v>
      </c>
      <c r="G2832" s="14">
        <f t="shared" si="398"/>
        <v>413.50018722682847</v>
      </c>
      <c r="H2832" s="24">
        <f t="shared" si="405"/>
        <v>650</v>
      </c>
      <c r="I2832" s="12">
        <f t="shared" si="399"/>
        <v>5.3609944540340508E-2</v>
      </c>
      <c r="J2832" s="3">
        <f t="shared" si="400"/>
        <v>0.7</v>
      </c>
    </row>
    <row r="2833" spans="2:10" x14ac:dyDescent="0.25">
      <c r="B2833" s="3">
        <f t="shared" si="401"/>
        <v>14080</v>
      </c>
      <c r="C2833" s="14">
        <f t="shared" si="402"/>
        <v>234.66666666666666</v>
      </c>
      <c r="D2833" s="11">
        <f t="shared" si="403"/>
        <v>1149.4515696535495</v>
      </c>
      <c r="E2833" s="24">
        <f t="shared" si="404"/>
        <v>1148.5460797046101</v>
      </c>
      <c r="F2833" s="24">
        <f t="shared" ref="F2833:F2896" si="406">AlphaC*(D2833-E2833)</f>
        <v>22.637248723486891</v>
      </c>
      <c r="G2833" s="14">
        <f t="shared" ref="G2833:G2896" si="407">Phi*EpsilonF*Botzman/10^8*J2833*((D2833+273)^4-(E2833+273)^4)</f>
        <v>413.35431970216405</v>
      </c>
      <c r="H2833" s="24">
        <f t="shared" si="405"/>
        <v>650</v>
      </c>
      <c r="I2833" s="12">
        <f t="shared" ref="I2833:I2896" si="408">ksh*Massivete/(H2833*RhoA)*DeltaT*(F2833+G2833)</f>
        <v>5.3590719450879544E-2</v>
      </c>
      <c r="J2833" s="3">
        <f t="shared" ref="J2833:J2896" si="409">IF(E2833&lt;=500,IF(Galva=Oui,0.35,0.7),0.7)</f>
        <v>0.7</v>
      </c>
    </row>
    <row r="2834" spans="2:10" x14ac:dyDescent="0.25">
      <c r="B2834" s="3">
        <f t="shared" ref="B2834:B2897" si="410">B2833+DeltaT</f>
        <v>14085</v>
      </c>
      <c r="C2834" s="14">
        <f t="shared" ref="C2834:C2897" si="411">B2834/60</f>
        <v>234.75</v>
      </c>
      <c r="D2834" s="11">
        <f t="shared" ref="D2834:D2897" si="412">20+345*LOG(8*C2834+1,10)</f>
        <v>1149.5047391346811</v>
      </c>
      <c r="E2834" s="24">
        <f t="shared" si="404"/>
        <v>1148.5996704240608</v>
      </c>
      <c r="F2834" s="24">
        <f t="shared" si="406"/>
        <v>22.626717765507465</v>
      </c>
      <c r="G2834" s="14">
        <f t="shared" si="407"/>
        <v>413.20855576531824</v>
      </c>
      <c r="H2834" s="24">
        <f t="shared" si="405"/>
        <v>650</v>
      </c>
      <c r="I2834" s="12">
        <f t="shared" si="408"/>
        <v>5.357150817142653E-2</v>
      </c>
      <c r="J2834" s="3">
        <f t="shared" si="409"/>
        <v>0.7</v>
      </c>
    </row>
    <row r="2835" spans="2:10" x14ac:dyDescent="0.25">
      <c r="B2835" s="3">
        <f t="shared" si="410"/>
        <v>14090</v>
      </c>
      <c r="C2835" s="14">
        <f t="shared" si="411"/>
        <v>234.83333333333334</v>
      </c>
      <c r="D2835" s="11">
        <f t="shared" si="412"/>
        <v>1149.5578897546982</v>
      </c>
      <c r="E2835" s="24">
        <f t="shared" si="404"/>
        <v>1148.6532419322323</v>
      </c>
      <c r="F2835" s="24">
        <f t="shared" si="406"/>
        <v>22.616195561647601</v>
      </c>
      <c r="G2835" s="14">
        <f t="shared" si="407"/>
        <v>413.06289530561253</v>
      </c>
      <c r="H2835" s="24">
        <f t="shared" si="405"/>
        <v>650</v>
      </c>
      <c r="I2835" s="12">
        <f t="shared" si="408"/>
        <v>5.3552310687088794E-2</v>
      </c>
      <c r="J2835" s="3">
        <f t="shared" si="409"/>
        <v>0.7</v>
      </c>
    </row>
    <row r="2836" spans="2:10" x14ac:dyDescent="0.25">
      <c r="B2836" s="3">
        <f t="shared" si="410"/>
        <v>14095</v>
      </c>
      <c r="C2836" s="14">
        <f t="shared" si="411"/>
        <v>234.91666666666666</v>
      </c>
      <c r="D2836" s="11">
        <f t="shared" si="412"/>
        <v>1149.6110215269771</v>
      </c>
      <c r="E2836" s="24">
        <f t="shared" si="404"/>
        <v>1148.7067942429194</v>
      </c>
      <c r="F2836" s="24">
        <f t="shared" si="406"/>
        <v>22.605682101442426</v>
      </c>
      <c r="G2836" s="14">
        <f t="shared" si="407"/>
        <v>412.91733821232964</v>
      </c>
      <c r="H2836" s="24">
        <f t="shared" si="405"/>
        <v>650</v>
      </c>
      <c r="I2836" s="12">
        <f t="shared" si="408"/>
        <v>5.3533126982971024E-2</v>
      </c>
      <c r="J2836" s="3">
        <f t="shared" si="409"/>
        <v>0.7</v>
      </c>
    </row>
    <row r="2837" spans="2:10" x14ac:dyDescent="0.25">
      <c r="B2837" s="3">
        <f t="shared" si="410"/>
        <v>14100</v>
      </c>
      <c r="C2837" s="14">
        <f t="shared" si="411"/>
        <v>235</v>
      </c>
      <c r="D2837" s="11">
        <f t="shared" si="412"/>
        <v>1149.6641344648806</v>
      </c>
      <c r="E2837" s="24">
        <f t="shared" si="404"/>
        <v>1148.7603273699024</v>
      </c>
      <c r="F2837" s="24">
        <f t="shared" si="406"/>
        <v>22.595177374455488</v>
      </c>
      <c r="G2837" s="14">
        <f t="shared" si="407"/>
        <v>412.77188437523682</v>
      </c>
      <c r="H2837" s="24">
        <f t="shared" si="405"/>
        <v>650</v>
      </c>
      <c r="I2837" s="12">
        <f t="shared" si="408"/>
        <v>5.3513957044240924E-2</v>
      </c>
      <c r="J2837" s="3">
        <f t="shared" si="409"/>
        <v>0.7</v>
      </c>
    </row>
    <row r="2838" spans="2:10" x14ac:dyDescent="0.25">
      <c r="B2838" s="3">
        <f t="shared" si="410"/>
        <v>14105</v>
      </c>
      <c r="C2838" s="14">
        <f t="shared" si="411"/>
        <v>235.08333333333334</v>
      </c>
      <c r="D2838" s="11">
        <f t="shared" si="412"/>
        <v>1149.7172285817569</v>
      </c>
      <c r="E2838" s="24">
        <f t="shared" si="404"/>
        <v>1148.8138413269467</v>
      </c>
      <c r="F2838" s="24">
        <f t="shared" si="406"/>
        <v>22.584681370256021</v>
      </c>
      <c r="G2838" s="14">
        <f t="shared" si="407"/>
        <v>412.62653368390744</v>
      </c>
      <c r="H2838" s="24">
        <f t="shared" si="405"/>
        <v>650</v>
      </c>
      <c r="I2838" s="12">
        <f t="shared" si="408"/>
        <v>5.3494800856043079E-2</v>
      </c>
      <c r="J2838" s="3">
        <f t="shared" si="409"/>
        <v>0.7</v>
      </c>
    </row>
    <row r="2839" spans="2:10" x14ac:dyDescent="0.25">
      <c r="B2839" s="3">
        <f t="shared" si="410"/>
        <v>14110</v>
      </c>
      <c r="C2839" s="14">
        <f t="shared" si="411"/>
        <v>235.16666666666666</v>
      </c>
      <c r="D2839" s="11">
        <f t="shared" si="412"/>
        <v>1149.7703038909397</v>
      </c>
      <c r="E2839" s="24">
        <f t="shared" si="404"/>
        <v>1148.8673361278027</v>
      </c>
      <c r="F2839" s="24">
        <f t="shared" si="406"/>
        <v>22.574194078424625</v>
      </c>
      <c r="G2839" s="14">
        <f t="shared" si="407"/>
        <v>412.48128602824443</v>
      </c>
      <c r="H2839" s="24">
        <f t="shared" si="405"/>
        <v>650</v>
      </c>
      <c r="I2839" s="12">
        <f t="shared" si="408"/>
        <v>5.3475658403563997E-2</v>
      </c>
      <c r="J2839" s="3">
        <f t="shared" si="409"/>
        <v>0.7</v>
      </c>
    </row>
    <row r="2840" spans="2:10" x14ac:dyDescent="0.25">
      <c r="B2840" s="3">
        <f t="shared" si="410"/>
        <v>14115</v>
      </c>
      <c r="C2840" s="14">
        <f t="shared" si="411"/>
        <v>235.25</v>
      </c>
      <c r="D2840" s="11">
        <f t="shared" si="412"/>
        <v>1149.8233604057493</v>
      </c>
      <c r="E2840" s="24">
        <f t="shared" si="404"/>
        <v>1148.9208117862063</v>
      </c>
      <c r="F2840" s="24">
        <f t="shared" si="406"/>
        <v>22.563715488576008</v>
      </c>
      <c r="G2840" s="14">
        <f t="shared" si="407"/>
        <v>412.33614129838321</v>
      </c>
      <c r="H2840" s="24">
        <f t="shared" si="405"/>
        <v>650</v>
      </c>
      <c r="I2840" s="12">
        <f t="shared" si="408"/>
        <v>5.3456529672022926E-2</v>
      </c>
      <c r="J2840" s="3">
        <f t="shared" si="409"/>
        <v>0.7</v>
      </c>
    </row>
    <row r="2841" spans="2:10" x14ac:dyDescent="0.25">
      <c r="B2841" s="3">
        <f t="shared" si="410"/>
        <v>14120</v>
      </c>
      <c r="C2841" s="14">
        <f t="shared" si="411"/>
        <v>235.33333333333334</v>
      </c>
      <c r="D2841" s="11">
        <f t="shared" si="412"/>
        <v>1149.8763981394914</v>
      </c>
      <c r="E2841" s="24">
        <f t="shared" si="404"/>
        <v>1148.9742683158784</v>
      </c>
      <c r="F2841" s="24">
        <f t="shared" si="406"/>
        <v>22.553245590324877</v>
      </c>
      <c r="G2841" s="14">
        <f t="shared" si="407"/>
        <v>412.19109938459491</v>
      </c>
      <c r="H2841" s="24">
        <f t="shared" si="405"/>
        <v>650</v>
      </c>
      <c r="I2841" s="12">
        <f t="shared" si="408"/>
        <v>5.3437414646655815E-2</v>
      </c>
      <c r="J2841" s="3">
        <f t="shared" si="409"/>
        <v>0.7</v>
      </c>
    </row>
    <row r="2842" spans="2:10" x14ac:dyDescent="0.25">
      <c r="B2842" s="3">
        <f t="shared" si="410"/>
        <v>14125</v>
      </c>
      <c r="C2842" s="14">
        <f t="shared" si="411"/>
        <v>235.41666666666666</v>
      </c>
      <c r="D2842" s="11">
        <f t="shared" si="412"/>
        <v>1149.9294171054573</v>
      </c>
      <c r="E2842" s="24">
        <f t="shared" si="404"/>
        <v>1149.027705730525</v>
      </c>
      <c r="F2842" s="24">
        <f t="shared" si="406"/>
        <v>22.542784373308677</v>
      </c>
      <c r="G2842" s="14">
        <f t="shared" si="407"/>
        <v>412.04616017709247</v>
      </c>
      <c r="H2842" s="24">
        <f t="shared" si="405"/>
        <v>650</v>
      </c>
      <c r="I2842" s="12">
        <f t="shared" si="408"/>
        <v>5.3418313312694247E-2</v>
      </c>
      <c r="J2842" s="3">
        <f t="shared" si="409"/>
        <v>0.7</v>
      </c>
    </row>
    <row r="2843" spans="2:10" x14ac:dyDescent="0.25">
      <c r="B2843" s="3">
        <f t="shared" si="410"/>
        <v>14130</v>
      </c>
      <c r="C2843" s="14">
        <f t="shared" si="411"/>
        <v>235.5</v>
      </c>
      <c r="D2843" s="11">
        <f t="shared" si="412"/>
        <v>1149.982417316925</v>
      </c>
      <c r="E2843" s="24">
        <f t="shared" si="404"/>
        <v>1149.0811240438377</v>
      </c>
      <c r="F2843" s="24">
        <f t="shared" si="406"/>
        <v>22.532331827181906</v>
      </c>
      <c r="G2843" s="14">
        <f t="shared" si="407"/>
        <v>411.90132356649582</v>
      </c>
      <c r="H2843" s="24">
        <f t="shared" si="405"/>
        <v>650</v>
      </c>
      <c r="I2843" s="12">
        <f t="shared" si="408"/>
        <v>5.3399225655421927E-2</v>
      </c>
      <c r="J2843" s="3">
        <f t="shared" si="409"/>
        <v>0.7</v>
      </c>
    </row>
    <row r="2844" spans="2:10" x14ac:dyDescent="0.25">
      <c r="B2844" s="3">
        <f t="shared" si="410"/>
        <v>14135</v>
      </c>
      <c r="C2844" s="14">
        <f t="shared" si="411"/>
        <v>235.58333333333334</v>
      </c>
      <c r="D2844" s="11">
        <f t="shared" si="412"/>
        <v>1150.0353987871576</v>
      </c>
      <c r="E2844" s="24">
        <f t="shared" si="404"/>
        <v>1149.134523269493</v>
      </c>
      <c r="F2844" s="24">
        <f t="shared" si="406"/>
        <v>22.521887941616114</v>
      </c>
      <c r="G2844" s="14">
        <f t="shared" si="407"/>
        <v>411.7565894435412</v>
      </c>
      <c r="H2844" s="24">
        <f t="shared" si="405"/>
        <v>650</v>
      </c>
      <c r="I2844" s="12">
        <f t="shared" si="408"/>
        <v>5.3380151660138965E-2</v>
      </c>
      <c r="J2844" s="3">
        <f t="shared" si="409"/>
        <v>0.7</v>
      </c>
    </row>
    <row r="2845" spans="2:10" x14ac:dyDescent="0.25">
      <c r="B2845" s="3">
        <f t="shared" si="410"/>
        <v>14140</v>
      </c>
      <c r="C2845" s="14">
        <f t="shared" si="411"/>
        <v>235.66666666666666</v>
      </c>
      <c r="D2845" s="11">
        <f t="shared" si="412"/>
        <v>1150.0883615294044</v>
      </c>
      <c r="E2845" s="24">
        <f t="shared" si="404"/>
        <v>1149.1879034211531</v>
      </c>
      <c r="F2845" s="24">
        <f t="shared" si="406"/>
        <v>22.511452706282853</v>
      </c>
      <c r="G2845" s="14">
        <f t="shared" si="407"/>
        <v>411.6119576988292</v>
      </c>
      <c r="H2845" s="24">
        <f t="shared" si="405"/>
        <v>650</v>
      </c>
      <c r="I2845" s="12">
        <f t="shared" si="408"/>
        <v>5.3361091312128774E-2</v>
      </c>
      <c r="J2845" s="3">
        <f t="shared" si="409"/>
        <v>0.7</v>
      </c>
    </row>
    <row r="2846" spans="2:10" x14ac:dyDescent="0.25">
      <c r="B2846" s="3">
        <f t="shared" si="410"/>
        <v>14145</v>
      </c>
      <c r="C2846" s="14">
        <f t="shared" si="411"/>
        <v>235.75</v>
      </c>
      <c r="D2846" s="11">
        <f t="shared" si="412"/>
        <v>1150.1413055569012</v>
      </c>
      <c r="E2846" s="24">
        <f t="shared" si="404"/>
        <v>1149.2412645124652</v>
      </c>
      <c r="F2846" s="24">
        <f t="shared" si="406"/>
        <v>22.501026110899147</v>
      </c>
      <c r="G2846" s="14">
        <f t="shared" si="407"/>
        <v>411.46742822361927</v>
      </c>
      <c r="H2846" s="24">
        <f t="shared" si="405"/>
        <v>650</v>
      </c>
      <c r="I2846" s="12">
        <f t="shared" si="408"/>
        <v>5.3342044596761368E-2</v>
      </c>
      <c r="J2846" s="3">
        <f t="shared" si="409"/>
        <v>0.7</v>
      </c>
    </row>
    <row r="2847" spans="2:10" x14ac:dyDescent="0.25">
      <c r="B2847" s="3">
        <f t="shared" si="410"/>
        <v>14150</v>
      </c>
      <c r="C2847" s="14">
        <f t="shared" si="411"/>
        <v>235.83333333333334</v>
      </c>
      <c r="D2847" s="11">
        <f t="shared" si="412"/>
        <v>1150.1942308828689</v>
      </c>
      <c r="E2847" s="24">
        <f t="shared" si="404"/>
        <v>1149.294606557062</v>
      </c>
      <c r="F2847" s="24">
        <f t="shared" si="406"/>
        <v>22.490608145170654</v>
      </c>
      <c r="G2847" s="14">
        <f t="shared" si="407"/>
        <v>411.32300090893835</v>
      </c>
      <c r="H2847" s="24">
        <f t="shared" si="405"/>
        <v>650</v>
      </c>
      <c r="I2847" s="12">
        <f t="shared" si="408"/>
        <v>5.3323011499376759E-2</v>
      </c>
      <c r="J2847" s="3">
        <f t="shared" si="409"/>
        <v>0.7</v>
      </c>
    </row>
    <row r="2848" spans="2:10" x14ac:dyDescent="0.25">
      <c r="B2848" s="3">
        <f t="shared" si="410"/>
        <v>14155</v>
      </c>
      <c r="C2848" s="14">
        <f t="shared" si="411"/>
        <v>235.91666666666666</v>
      </c>
      <c r="D2848" s="11">
        <f t="shared" si="412"/>
        <v>1150.247137520515</v>
      </c>
      <c r="E2848" s="24">
        <f t="shared" si="404"/>
        <v>1149.3479295685613</v>
      </c>
      <c r="F2848" s="24">
        <f t="shared" si="406"/>
        <v>22.480198798842821</v>
      </c>
      <c r="G2848" s="14">
        <f t="shared" si="407"/>
        <v>411.17867564618149</v>
      </c>
      <c r="H2848" s="24">
        <f t="shared" si="405"/>
        <v>650</v>
      </c>
      <c r="I2848" s="12">
        <f t="shared" si="408"/>
        <v>5.3303992005365113E-2</v>
      </c>
      <c r="J2848" s="3">
        <f t="shared" si="409"/>
        <v>0.7</v>
      </c>
    </row>
    <row r="2849" spans="2:10" x14ac:dyDescent="0.25">
      <c r="B2849" s="3">
        <f t="shared" si="410"/>
        <v>14160</v>
      </c>
      <c r="C2849" s="14">
        <f t="shared" si="411"/>
        <v>236</v>
      </c>
      <c r="D2849" s="11">
        <f t="shared" si="412"/>
        <v>1150.3000254830324</v>
      </c>
      <c r="E2849" s="24">
        <f t="shared" si="404"/>
        <v>1149.4012335605667</v>
      </c>
      <c r="F2849" s="24">
        <f t="shared" si="406"/>
        <v>22.469798061644042</v>
      </c>
      <c r="G2849" s="14">
        <f t="shared" si="407"/>
        <v>411.03445232655014</v>
      </c>
      <c r="H2849" s="24">
        <f t="shared" si="405"/>
        <v>650</v>
      </c>
      <c r="I2849" s="12">
        <f t="shared" si="408"/>
        <v>5.3284986100090699E-2</v>
      </c>
      <c r="J2849" s="3">
        <f t="shared" si="409"/>
        <v>0.7</v>
      </c>
    </row>
    <row r="2850" spans="2:10" x14ac:dyDescent="0.25">
      <c r="B2850" s="3">
        <f t="shared" si="410"/>
        <v>14165</v>
      </c>
      <c r="C2850" s="14">
        <f t="shared" si="411"/>
        <v>236.08333333333334</v>
      </c>
      <c r="D2850" s="11">
        <f t="shared" si="412"/>
        <v>1150.352894783601</v>
      </c>
      <c r="E2850" s="24">
        <f t="shared" si="404"/>
        <v>1149.4545185466668</v>
      </c>
      <c r="F2850" s="24">
        <f t="shared" si="406"/>
        <v>22.45940592335387</v>
      </c>
      <c r="G2850" s="14">
        <f t="shared" si="407"/>
        <v>410.89033084188515</v>
      </c>
      <c r="H2850" s="24">
        <f t="shared" si="405"/>
        <v>650</v>
      </c>
      <c r="I2850" s="12">
        <f t="shared" si="408"/>
        <v>5.3265993769002672E-2</v>
      </c>
      <c r="J2850" s="3">
        <f t="shared" si="409"/>
        <v>0.7</v>
      </c>
    </row>
    <row r="2851" spans="2:10" x14ac:dyDescent="0.25">
      <c r="B2851" s="3">
        <f t="shared" si="410"/>
        <v>14170</v>
      </c>
      <c r="C2851" s="14">
        <f t="shared" si="411"/>
        <v>236.16666666666666</v>
      </c>
      <c r="D2851" s="11">
        <f t="shared" si="412"/>
        <v>1150.4057454353858</v>
      </c>
      <c r="E2851" s="24">
        <f t="shared" si="404"/>
        <v>1149.5077845404358</v>
      </c>
      <c r="F2851" s="24">
        <f t="shared" si="406"/>
        <v>22.449022373751859</v>
      </c>
      <c r="G2851" s="14">
        <f t="shared" si="407"/>
        <v>410.7463110839692</v>
      </c>
      <c r="H2851" s="24">
        <f t="shared" si="405"/>
        <v>650</v>
      </c>
      <c r="I2851" s="12">
        <f t="shared" si="408"/>
        <v>5.3247014997543023E-2</v>
      </c>
      <c r="J2851" s="3">
        <f t="shared" si="409"/>
        <v>0.7</v>
      </c>
    </row>
    <row r="2852" spans="2:10" x14ac:dyDescent="0.25">
      <c r="B2852" s="3">
        <f t="shared" si="410"/>
        <v>14175</v>
      </c>
      <c r="C2852" s="14">
        <f t="shared" si="411"/>
        <v>236.25</v>
      </c>
      <c r="D2852" s="11">
        <f t="shared" si="412"/>
        <v>1150.4585774515385</v>
      </c>
      <c r="E2852" s="24">
        <f t="shared" si="404"/>
        <v>1149.5610315554334</v>
      </c>
      <c r="F2852" s="24">
        <f t="shared" si="406"/>
        <v>22.438647402628931</v>
      </c>
      <c r="G2852" s="14">
        <f t="shared" si="407"/>
        <v>410.6023929445463</v>
      </c>
      <c r="H2852" s="24">
        <f t="shared" si="405"/>
        <v>650</v>
      </c>
      <c r="I2852" s="12">
        <f t="shared" si="408"/>
        <v>5.3228049771150407E-2</v>
      </c>
      <c r="J2852" s="3">
        <f t="shared" si="409"/>
        <v>0.7</v>
      </c>
    </row>
    <row r="2853" spans="2:10" x14ac:dyDescent="0.25">
      <c r="B2853" s="3">
        <f t="shared" si="410"/>
        <v>14180</v>
      </c>
      <c r="C2853" s="14">
        <f t="shared" si="411"/>
        <v>236.33333333333334</v>
      </c>
      <c r="D2853" s="11">
        <f t="shared" si="412"/>
        <v>1150.5113908451967</v>
      </c>
      <c r="E2853" s="24">
        <f t="shared" si="404"/>
        <v>1149.6142596052046</v>
      </c>
      <c r="F2853" s="24">
        <f t="shared" si="406"/>
        <v>22.428280999804429</v>
      </c>
      <c r="G2853" s="14">
        <f t="shared" si="407"/>
        <v>410.45857631588365</v>
      </c>
      <c r="H2853" s="24">
        <f t="shared" si="405"/>
        <v>650</v>
      </c>
      <c r="I2853" s="12">
        <f t="shared" si="408"/>
        <v>5.3209098075331265E-2</v>
      </c>
      <c r="J2853" s="3">
        <f t="shared" si="409"/>
        <v>0.7</v>
      </c>
    </row>
    <row r="2854" spans="2:10" x14ac:dyDescent="0.25">
      <c r="B2854" s="3">
        <f t="shared" si="410"/>
        <v>14185</v>
      </c>
      <c r="C2854" s="14">
        <f t="shared" si="411"/>
        <v>236.41666666666666</v>
      </c>
      <c r="D2854" s="11">
        <f t="shared" si="412"/>
        <v>1150.5641856294837</v>
      </c>
      <c r="E2854" s="24">
        <f t="shared" si="404"/>
        <v>1149.6674687032798</v>
      </c>
      <c r="F2854" s="24">
        <f t="shared" si="406"/>
        <v>22.417923155097697</v>
      </c>
      <c r="G2854" s="14">
        <f t="shared" si="407"/>
        <v>410.31486109005476</v>
      </c>
      <c r="H2854" s="24">
        <f t="shared" si="405"/>
        <v>650</v>
      </c>
      <c r="I2854" s="12">
        <f t="shared" si="408"/>
        <v>5.3190159895568231E-2</v>
      </c>
      <c r="J2854" s="3">
        <f t="shared" si="409"/>
        <v>0.7</v>
      </c>
    </row>
    <row r="2855" spans="2:10" x14ac:dyDescent="0.25">
      <c r="B2855" s="3">
        <f t="shared" si="410"/>
        <v>14190</v>
      </c>
      <c r="C2855" s="14">
        <f t="shared" si="411"/>
        <v>236.5</v>
      </c>
      <c r="D2855" s="11">
        <f t="shared" si="412"/>
        <v>1150.6169618175097</v>
      </c>
      <c r="E2855" s="24">
        <f t="shared" si="404"/>
        <v>1149.7206588631755</v>
      </c>
      <c r="F2855" s="24">
        <f t="shared" si="406"/>
        <v>22.4075738583565</v>
      </c>
      <c r="G2855" s="14">
        <f t="shared" si="407"/>
        <v>410.17124715950121</v>
      </c>
      <c r="H2855" s="24">
        <f t="shared" si="405"/>
        <v>650</v>
      </c>
      <c r="I2855" s="12">
        <f t="shared" si="408"/>
        <v>5.3171235217392691E-2</v>
      </c>
      <c r="J2855" s="3">
        <f t="shared" si="409"/>
        <v>0.7</v>
      </c>
    </row>
    <row r="2856" spans="2:10" x14ac:dyDescent="0.25">
      <c r="B2856" s="3">
        <f t="shared" si="410"/>
        <v>14195</v>
      </c>
      <c r="C2856" s="14">
        <f t="shared" si="411"/>
        <v>236.58333333333334</v>
      </c>
      <c r="D2856" s="11">
        <f t="shared" si="412"/>
        <v>1150.6697194223705</v>
      </c>
      <c r="E2856" s="24">
        <f t="shared" si="404"/>
        <v>1149.7738300983929</v>
      </c>
      <c r="F2856" s="24">
        <f t="shared" si="406"/>
        <v>22.397233099439973</v>
      </c>
      <c r="G2856" s="14">
        <f t="shared" si="407"/>
        <v>410.02773441676158</v>
      </c>
      <c r="H2856" s="24">
        <f t="shared" si="405"/>
        <v>650</v>
      </c>
      <c r="I2856" s="12">
        <f t="shared" si="408"/>
        <v>5.3152324026349333E-2</v>
      </c>
      <c r="J2856" s="3">
        <f t="shared" si="409"/>
        <v>0.7</v>
      </c>
    </row>
    <row r="2857" spans="2:10" x14ac:dyDescent="0.25">
      <c r="B2857" s="3">
        <f t="shared" si="410"/>
        <v>14200</v>
      </c>
      <c r="C2857" s="14">
        <f t="shared" si="411"/>
        <v>236.66666666666666</v>
      </c>
      <c r="D2857" s="11">
        <f t="shared" si="412"/>
        <v>1150.7224584571484</v>
      </c>
      <c r="E2857" s="24">
        <f t="shared" si="404"/>
        <v>1149.8269824224192</v>
      </c>
      <c r="F2857" s="24">
        <f t="shared" si="406"/>
        <v>22.386900868229986</v>
      </c>
      <c r="G2857" s="14">
        <f t="shared" si="407"/>
        <v>409.88432275460696</v>
      </c>
      <c r="H2857" s="24">
        <f t="shared" si="405"/>
        <v>650</v>
      </c>
      <c r="I2857" s="12">
        <f t="shared" si="408"/>
        <v>5.313342630801423E-2</v>
      </c>
      <c r="J2857" s="3">
        <f t="shared" si="409"/>
        <v>0.7</v>
      </c>
    </row>
    <row r="2858" spans="2:10" x14ac:dyDescent="0.25">
      <c r="B2858" s="3">
        <f t="shared" si="410"/>
        <v>14205</v>
      </c>
      <c r="C2858" s="14">
        <f t="shared" si="411"/>
        <v>236.75</v>
      </c>
      <c r="D2858" s="11">
        <f t="shared" si="412"/>
        <v>1150.7751789349113</v>
      </c>
      <c r="E2858" s="24">
        <f t="shared" si="404"/>
        <v>1149.8801158487272</v>
      </c>
      <c r="F2858" s="24">
        <f t="shared" si="406"/>
        <v>22.376577154602728</v>
      </c>
      <c r="G2858" s="14">
        <f t="shared" si="407"/>
        <v>409.74101206567281</v>
      </c>
      <c r="H2858" s="24">
        <f t="shared" si="405"/>
        <v>650</v>
      </c>
      <c r="I2858" s="12">
        <f t="shared" si="408"/>
        <v>5.3114542047946078E-2</v>
      </c>
      <c r="J2858" s="3">
        <f t="shared" si="409"/>
        <v>0.7</v>
      </c>
    </row>
    <row r="2859" spans="2:10" x14ac:dyDescent="0.25">
      <c r="B2859" s="3">
        <f t="shared" si="410"/>
        <v>14210</v>
      </c>
      <c r="C2859" s="14">
        <f t="shared" si="411"/>
        <v>236.83333333333334</v>
      </c>
      <c r="D2859" s="11">
        <f t="shared" si="412"/>
        <v>1150.8278808687141</v>
      </c>
      <c r="E2859" s="24">
        <f t="shared" si="404"/>
        <v>1149.9332303907752</v>
      </c>
      <c r="F2859" s="24">
        <f t="shared" si="406"/>
        <v>22.366261948474175</v>
      </c>
      <c r="G2859" s="14">
        <f t="shared" si="407"/>
        <v>409.59780224298214</v>
      </c>
      <c r="H2859" s="24">
        <f t="shared" si="405"/>
        <v>650</v>
      </c>
      <c r="I2859" s="12">
        <f t="shared" si="408"/>
        <v>5.3095671231756104E-2</v>
      </c>
      <c r="J2859" s="3">
        <f t="shared" si="409"/>
        <v>0.7</v>
      </c>
    </row>
    <row r="2860" spans="2:10" x14ac:dyDescent="0.25">
      <c r="B2860" s="3">
        <f t="shared" si="410"/>
        <v>14215</v>
      </c>
      <c r="C2860" s="14">
        <f t="shared" si="411"/>
        <v>236.91666666666666</v>
      </c>
      <c r="D2860" s="11">
        <f t="shared" si="412"/>
        <v>1150.8805642715974</v>
      </c>
      <c r="E2860" s="24">
        <f t="shared" si="404"/>
        <v>1149.986326062007</v>
      </c>
      <c r="F2860" s="24">
        <f t="shared" si="406"/>
        <v>22.355955239760306</v>
      </c>
      <c r="G2860" s="14">
        <f t="shared" si="407"/>
        <v>409.45469317981002</v>
      </c>
      <c r="H2860" s="24">
        <f t="shared" si="405"/>
        <v>650</v>
      </c>
      <c r="I2860" s="12">
        <f t="shared" si="408"/>
        <v>5.3076813845086515E-2</v>
      </c>
      <c r="J2860" s="3">
        <f t="shared" si="409"/>
        <v>0.7</v>
      </c>
    </row>
    <row r="2861" spans="2:10" x14ac:dyDescent="0.25">
      <c r="B2861" s="3">
        <f t="shared" si="410"/>
        <v>14220</v>
      </c>
      <c r="C2861" s="14">
        <f t="shared" si="411"/>
        <v>237</v>
      </c>
      <c r="D2861" s="11">
        <f t="shared" si="412"/>
        <v>1150.9332291565886</v>
      </c>
      <c r="E2861" s="24">
        <f t="shared" si="404"/>
        <v>1150.0394028758521</v>
      </c>
      <c r="F2861" s="24">
        <f t="shared" si="406"/>
        <v>22.345657018411202</v>
      </c>
      <c r="G2861" s="14">
        <f t="shared" si="407"/>
        <v>409.31168476943139</v>
      </c>
      <c r="H2861" s="24">
        <f t="shared" si="405"/>
        <v>650</v>
      </c>
      <c r="I2861" s="12">
        <f t="shared" si="408"/>
        <v>5.3057969873583702E-2</v>
      </c>
      <c r="J2861" s="3">
        <f t="shared" si="409"/>
        <v>0.7</v>
      </c>
    </row>
    <row r="2862" spans="2:10" x14ac:dyDescent="0.25">
      <c r="B2862" s="3">
        <f t="shared" si="410"/>
        <v>14225</v>
      </c>
      <c r="C2862" s="14">
        <f t="shared" si="411"/>
        <v>237.08333333333334</v>
      </c>
      <c r="D2862" s="11">
        <f t="shared" si="412"/>
        <v>1150.9858755367002</v>
      </c>
      <c r="E2862" s="24">
        <f t="shared" si="404"/>
        <v>1150.0924608457258</v>
      </c>
      <c r="F2862" s="24">
        <f t="shared" si="406"/>
        <v>22.335367274359896</v>
      </c>
      <c r="G2862" s="14">
        <f t="shared" si="407"/>
        <v>409.16877690504367</v>
      </c>
      <c r="H2862" s="24">
        <f t="shared" si="405"/>
        <v>650</v>
      </c>
      <c r="I2862" s="12">
        <f t="shared" si="408"/>
        <v>5.303913930288242E-2</v>
      </c>
      <c r="J2862" s="3">
        <f t="shared" si="409"/>
        <v>0.7</v>
      </c>
    </row>
    <row r="2863" spans="2:10" x14ac:dyDescent="0.25">
      <c r="B2863" s="3">
        <f t="shared" si="410"/>
        <v>14230</v>
      </c>
      <c r="C2863" s="14">
        <f t="shared" si="411"/>
        <v>237.16666666666666</v>
      </c>
      <c r="D2863" s="11">
        <f t="shared" si="412"/>
        <v>1151.0385034249325</v>
      </c>
      <c r="E2863" s="24">
        <f t="shared" si="404"/>
        <v>1150.1454999850287</v>
      </c>
      <c r="F2863" s="24">
        <f t="shared" si="406"/>
        <v>22.325085997596261</v>
      </c>
      <c r="G2863" s="14">
        <f t="shared" si="407"/>
        <v>409.02596948065838</v>
      </c>
      <c r="H2863" s="24">
        <f t="shared" si="405"/>
        <v>650</v>
      </c>
      <c r="I2863" s="12">
        <f t="shared" si="408"/>
        <v>5.302032211872449E-2</v>
      </c>
      <c r="J2863" s="3">
        <f t="shared" si="409"/>
        <v>0.7</v>
      </c>
    </row>
    <row r="2864" spans="2:10" x14ac:dyDescent="0.25">
      <c r="B2864" s="3">
        <f t="shared" si="410"/>
        <v>14235</v>
      </c>
      <c r="C2864" s="14">
        <f t="shared" si="411"/>
        <v>237.25</v>
      </c>
      <c r="D2864" s="11">
        <f t="shared" si="412"/>
        <v>1151.0911128342709</v>
      </c>
      <c r="E2864" s="24">
        <f t="shared" si="404"/>
        <v>1150.1985203071474</v>
      </c>
      <c r="F2864" s="24">
        <f t="shared" si="406"/>
        <v>22.314813178087434</v>
      </c>
      <c r="G2864" s="14">
        <f t="shared" si="407"/>
        <v>408.88326238962793</v>
      </c>
      <c r="H2864" s="24">
        <f t="shared" si="405"/>
        <v>650</v>
      </c>
      <c r="I2864" s="12">
        <f t="shared" si="408"/>
        <v>5.3001518306767907E-2</v>
      </c>
      <c r="J2864" s="3">
        <f t="shared" si="409"/>
        <v>0.7</v>
      </c>
    </row>
    <row r="2865" spans="2:10" x14ac:dyDescent="0.25">
      <c r="B2865" s="3">
        <f t="shared" si="410"/>
        <v>14240</v>
      </c>
      <c r="C2865" s="14">
        <f t="shared" si="411"/>
        <v>237.33333333333334</v>
      </c>
      <c r="D2865" s="11">
        <f t="shared" si="412"/>
        <v>1151.143703777688</v>
      </c>
      <c r="E2865" s="24">
        <f t="shared" si="404"/>
        <v>1150.2515218254541</v>
      </c>
      <c r="F2865" s="24">
        <f t="shared" si="406"/>
        <v>22.304548805846025</v>
      </c>
      <c r="G2865" s="14">
        <f t="shared" si="407"/>
        <v>408.7406555261382</v>
      </c>
      <c r="H2865" s="24">
        <f t="shared" si="405"/>
        <v>650</v>
      </c>
      <c r="I2865" s="12">
        <f t="shared" si="408"/>
        <v>5.2982727852778716E-2</v>
      </c>
      <c r="J2865" s="3">
        <f t="shared" si="409"/>
        <v>0.7</v>
      </c>
    </row>
    <row r="2866" spans="2:10" x14ac:dyDescent="0.25">
      <c r="B2866" s="3">
        <f t="shared" si="410"/>
        <v>14245</v>
      </c>
      <c r="C2866" s="14">
        <f t="shared" si="411"/>
        <v>237.41666666666666</v>
      </c>
      <c r="D2866" s="11">
        <f t="shared" si="412"/>
        <v>1151.1962762681419</v>
      </c>
      <c r="E2866" s="24">
        <f t="shared" si="404"/>
        <v>1150.304504553307</v>
      </c>
      <c r="F2866" s="24">
        <f t="shared" si="406"/>
        <v>22.294292870873278</v>
      </c>
      <c r="G2866" s="14">
        <f t="shared" si="407"/>
        <v>408.59814878396804</v>
      </c>
      <c r="H2866" s="24">
        <f t="shared" si="405"/>
        <v>650</v>
      </c>
      <c r="I2866" s="12">
        <f t="shared" si="408"/>
        <v>5.2963950742471531E-2</v>
      </c>
      <c r="J2866" s="3">
        <f t="shared" si="409"/>
        <v>0.7</v>
      </c>
    </row>
    <row r="2867" spans="2:10" x14ac:dyDescent="0.25">
      <c r="B2867" s="3">
        <f t="shared" si="410"/>
        <v>14250</v>
      </c>
      <c r="C2867" s="14">
        <f t="shared" si="411"/>
        <v>237.5</v>
      </c>
      <c r="D2867" s="11">
        <f t="shared" si="412"/>
        <v>1151.2488303185778</v>
      </c>
      <c r="E2867" s="24">
        <f t="shared" si="404"/>
        <v>1150.3574685040494</v>
      </c>
      <c r="F2867" s="24">
        <f t="shared" si="406"/>
        <v>22.284045363210225</v>
      </c>
      <c r="G2867" s="14">
        <f t="shared" si="407"/>
        <v>408.4557420574971</v>
      </c>
      <c r="H2867" s="24">
        <f t="shared" si="405"/>
        <v>650</v>
      </c>
      <c r="I2867" s="12">
        <f t="shared" si="408"/>
        <v>5.2945186961639704E-2</v>
      </c>
      <c r="J2867" s="3">
        <f t="shared" si="409"/>
        <v>0.7</v>
      </c>
    </row>
    <row r="2868" spans="2:10" x14ac:dyDescent="0.25">
      <c r="B2868" s="3">
        <f t="shared" si="410"/>
        <v>14255</v>
      </c>
      <c r="C2868" s="14">
        <f t="shared" si="411"/>
        <v>237.58333333333334</v>
      </c>
      <c r="D2868" s="11">
        <f t="shared" si="412"/>
        <v>1151.3013659419269</v>
      </c>
      <c r="E2868" s="24">
        <f t="shared" ref="E2868:E2931" si="413">E2867+I2867</f>
        <v>1150.4104136910109</v>
      </c>
      <c r="F2868" s="24">
        <f t="shared" si="406"/>
        <v>22.2738062728979</v>
      </c>
      <c r="G2868" s="14">
        <f t="shared" si="407"/>
        <v>408.31343524108564</v>
      </c>
      <c r="H2868" s="24">
        <f t="shared" ref="H2868:H2931" si="414">IF(E2868&lt;600,425+0.773*E2868-1.69/1000*E2868^2+2.22/1000^2*E2868^3,IF(E2868&lt;735,666+13002/(738-E2868),IF(E2868&lt;900,545+17820/(E2868-731),650)))</f>
        <v>650</v>
      </c>
      <c r="I2868" s="12">
        <f t="shared" si="408"/>
        <v>5.2926436496074203E-2</v>
      </c>
      <c r="J2868" s="3">
        <f t="shared" si="409"/>
        <v>0.7</v>
      </c>
    </row>
    <row r="2869" spans="2:10" x14ac:dyDescent="0.25">
      <c r="B2869" s="3">
        <f t="shared" si="410"/>
        <v>14260</v>
      </c>
      <c r="C2869" s="14">
        <f t="shared" si="411"/>
        <v>237.66666666666666</v>
      </c>
      <c r="D2869" s="11">
        <f t="shared" si="412"/>
        <v>1151.3538831511071</v>
      </c>
      <c r="E2869" s="24">
        <f t="shared" si="413"/>
        <v>1150.4633401275071</v>
      </c>
      <c r="F2869" s="24">
        <f t="shared" si="406"/>
        <v>22.263575590000073</v>
      </c>
      <c r="G2869" s="14">
        <f t="shared" si="407"/>
        <v>408.17122822907459</v>
      </c>
      <c r="H2869" s="24">
        <f t="shared" si="414"/>
        <v>650</v>
      </c>
      <c r="I2869" s="12">
        <f t="shared" si="408"/>
        <v>5.2907699331566416E-2</v>
      </c>
      <c r="J2869" s="3">
        <f t="shared" si="409"/>
        <v>0.7</v>
      </c>
    </row>
    <row r="2870" spans="2:10" x14ac:dyDescent="0.25">
      <c r="B2870" s="3">
        <f t="shared" si="410"/>
        <v>14265</v>
      </c>
      <c r="C2870" s="14">
        <f t="shared" si="411"/>
        <v>237.75</v>
      </c>
      <c r="D2870" s="11">
        <f t="shared" si="412"/>
        <v>1151.4063819590219</v>
      </c>
      <c r="E2870" s="24">
        <f t="shared" si="413"/>
        <v>1150.5162478268387</v>
      </c>
      <c r="F2870" s="24">
        <f t="shared" si="406"/>
        <v>22.253353304580514</v>
      </c>
      <c r="G2870" s="14">
        <f t="shared" si="407"/>
        <v>408.02912091611478</v>
      </c>
      <c r="H2870" s="24">
        <f t="shared" si="414"/>
        <v>650</v>
      </c>
      <c r="I2870" s="12">
        <f t="shared" si="408"/>
        <v>5.2888975453945816E-2</v>
      </c>
      <c r="J2870" s="3">
        <f t="shared" si="409"/>
        <v>0.7</v>
      </c>
    </row>
    <row r="2871" spans="2:10" x14ac:dyDescent="0.25">
      <c r="B2871" s="3">
        <f t="shared" si="410"/>
        <v>14270</v>
      </c>
      <c r="C2871" s="14">
        <f t="shared" si="411"/>
        <v>237.83333333333334</v>
      </c>
      <c r="D2871" s="11">
        <f t="shared" si="412"/>
        <v>1151.4588623785626</v>
      </c>
      <c r="E2871" s="24">
        <f t="shared" si="413"/>
        <v>1150.5691368022926</v>
      </c>
      <c r="F2871" s="24">
        <f t="shared" si="406"/>
        <v>22.243139406748469</v>
      </c>
      <c r="G2871" s="14">
        <f t="shared" si="407"/>
        <v>407.88711319710922</v>
      </c>
      <c r="H2871" s="24">
        <f t="shared" si="414"/>
        <v>650</v>
      </c>
      <c r="I2871" s="12">
        <f t="shared" si="408"/>
        <v>5.2870264849078481E-2</v>
      </c>
      <c r="J2871" s="3">
        <f t="shared" si="409"/>
        <v>0.7</v>
      </c>
    </row>
    <row r="2872" spans="2:10" x14ac:dyDescent="0.25">
      <c r="B2872" s="3">
        <f t="shared" si="410"/>
        <v>14275</v>
      </c>
      <c r="C2872" s="14">
        <f t="shared" si="411"/>
        <v>237.91666666666666</v>
      </c>
      <c r="D2872" s="11">
        <f t="shared" si="412"/>
        <v>1151.5113244226059</v>
      </c>
      <c r="E2872" s="24">
        <f t="shared" si="413"/>
        <v>1150.6220070671418</v>
      </c>
      <c r="F2872" s="24">
        <f t="shared" si="406"/>
        <v>22.232933886601813</v>
      </c>
      <c r="G2872" s="14">
        <f t="shared" si="407"/>
        <v>407.74520496698011</v>
      </c>
      <c r="H2872" s="24">
        <f t="shared" si="414"/>
        <v>650</v>
      </c>
      <c r="I2872" s="12">
        <f t="shared" si="408"/>
        <v>5.2851567502831424E-2</v>
      </c>
      <c r="J2872" s="3">
        <f t="shared" si="409"/>
        <v>0.7</v>
      </c>
    </row>
    <row r="2873" spans="2:10" x14ac:dyDescent="0.25">
      <c r="B2873" s="3">
        <f t="shared" si="410"/>
        <v>14280</v>
      </c>
      <c r="C2873" s="14">
        <f t="shared" si="411"/>
        <v>238</v>
      </c>
      <c r="D2873" s="11">
        <f t="shared" si="412"/>
        <v>1151.5637681040153</v>
      </c>
      <c r="E2873" s="24">
        <f t="shared" si="413"/>
        <v>1150.6748586346446</v>
      </c>
      <c r="F2873" s="24">
        <f t="shared" si="406"/>
        <v>22.222736734266846</v>
      </c>
      <c r="G2873" s="14">
        <f t="shared" si="407"/>
        <v>407.60339612080486</v>
      </c>
      <c r="H2873" s="24">
        <f t="shared" si="414"/>
        <v>650</v>
      </c>
      <c r="I2873" s="12">
        <f t="shared" si="408"/>
        <v>5.2832883401094259E-2</v>
      </c>
      <c r="J2873" s="3">
        <f t="shared" si="409"/>
        <v>0.7</v>
      </c>
    </row>
    <row r="2874" spans="2:10" x14ac:dyDescent="0.25">
      <c r="B2874" s="3">
        <f t="shared" si="410"/>
        <v>14285</v>
      </c>
      <c r="C2874" s="14">
        <f t="shared" si="411"/>
        <v>238.08333333333334</v>
      </c>
      <c r="D2874" s="11">
        <f t="shared" si="412"/>
        <v>1151.6161934356405</v>
      </c>
      <c r="E2874" s="24">
        <f t="shared" si="413"/>
        <v>1150.7276915180457</v>
      </c>
      <c r="F2874" s="24">
        <f t="shared" si="406"/>
        <v>22.212547939869864</v>
      </c>
      <c r="G2874" s="14">
        <f t="shared" si="407"/>
        <v>407.46168655369945</v>
      </c>
      <c r="H2874" s="24">
        <f t="shared" si="414"/>
        <v>650</v>
      </c>
      <c r="I2874" s="12">
        <f t="shared" si="408"/>
        <v>5.2814212529761317E-2</v>
      </c>
      <c r="J2874" s="3">
        <f t="shared" si="409"/>
        <v>0.7</v>
      </c>
    </row>
    <row r="2875" spans="2:10" x14ac:dyDescent="0.25">
      <c r="B2875" s="3">
        <f t="shared" si="410"/>
        <v>14290</v>
      </c>
      <c r="C2875" s="14">
        <f t="shared" si="411"/>
        <v>238.16666666666666</v>
      </c>
      <c r="D2875" s="11">
        <f t="shared" si="412"/>
        <v>1151.6686004303183</v>
      </c>
      <c r="E2875" s="24">
        <f t="shared" si="413"/>
        <v>1150.7805057305754</v>
      </c>
      <c r="F2875" s="24">
        <f t="shared" si="406"/>
        <v>22.202367493571273</v>
      </c>
      <c r="G2875" s="14">
        <f t="shared" si="407"/>
        <v>407.32007616112878</v>
      </c>
      <c r="H2875" s="24">
        <f t="shared" si="414"/>
        <v>650</v>
      </c>
      <c r="I2875" s="12">
        <f t="shared" si="408"/>
        <v>5.2795554874774019E-2</v>
      </c>
      <c r="J2875" s="3">
        <f t="shared" si="409"/>
        <v>0.7</v>
      </c>
    </row>
    <row r="2876" spans="2:10" x14ac:dyDescent="0.25">
      <c r="B2876" s="3">
        <f t="shared" si="410"/>
        <v>14295</v>
      </c>
      <c r="C2876" s="14">
        <f t="shared" si="411"/>
        <v>238.25</v>
      </c>
      <c r="D2876" s="11">
        <f t="shared" si="412"/>
        <v>1151.7209891008717</v>
      </c>
      <c r="E2876" s="24">
        <f t="shared" si="413"/>
        <v>1150.8333012854503</v>
      </c>
      <c r="F2876" s="24">
        <f t="shared" si="406"/>
        <v>22.192195385537161</v>
      </c>
      <c r="G2876" s="14">
        <f t="shared" si="407"/>
        <v>407.17856483859663</v>
      </c>
      <c r="H2876" s="24">
        <f t="shared" si="414"/>
        <v>650</v>
      </c>
      <c r="I2876" s="12">
        <f t="shared" si="408"/>
        <v>5.2776910422079264E-2</v>
      </c>
      <c r="J2876" s="3">
        <f t="shared" si="409"/>
        <v>0.7</v>
      </c>
    </row>
    <row r="2877" spans="2:10" x14ac:dyDescent="0.25">
      <c r="B2877" s="3">
        <f t="shared" si="410"/>
        <v>14300</v>
      </c>
      <c r="C2877" s="14">
        <f t="shared" si="411"/>
        <v>238.33333333333334</v>
      </c>
      <c r="D2877" s="11">
        <f t="shared" si="412"/>
        <v>1151.7733594601107</v>
      </c>
      <c r="E2877" s="24">
        <f t="shared" si="413"/>
        <v>1150.8860781958724</v>
      </c>
      <c r="F2877" s="24">
        <f t="shared" si="406"/>
        <v>22.182031605956354</v>
      </c>
      <c r="G2877" s="14">
        <f t="shared" si="407"/>
        <v>407.03715248195545</v>
      </c>
      <c r="H2877" s="24">
        <f t="shared" si="414"/>
        <v>650</v>
      </c>
      <c r="I2877" s="12">
        <f t="shared" si="408"/>
        <v>5.2758279157669605E-2</v>
      </c>
      <c r="J2877" s="3">
        <f t="shared" si="409"/>
        <v>0.7</v>
      </c>
    </row>
    <row r="2878" spans="2:10" x14ac:dyDescent="0.25">
      <c r="B2878" s="3">
        <f t="shared" si="410"/>
        <v>14305</v>
      </c>
      <c r="C2878" s="14">
        <f t="shared" si="411"/>
        <v>238.41666666666666</v>
      </c>
      <c r="D2878" s="11">
        <f t="shared" si="412"/>
        <v>1151.8257115208307</v>
      </c>
      <c r="E2878" s="24">
        <f t="shared" si="413"/>
        <v>1150.93883647503</v>
      </c>
      <c r="F2878" s="24">
        <f t="shared" si="406"/>
        <v>22.171876145017677</v>
      </c>
      <c r="G2878" s="14">
        <f t="shared" si="407"/>
        <v>406.89583898678637</v>
      </c>
      <c r="H2878" s="24">
        <f t="shared" si="414"/>
        <v>650</v>
      </c>
      <c r="I2878" s="12">
        <f t="shared" si="408"/>
        <v>5.2739661067504238E-2</v>
      </c>
      <c r="J2878" s="3">
        <f t="shared" si="409"/>
        <v>0.7</v>
      </c>
    </row>
    <row r="2879" spans="2:10" x14ac:dyDescent="0.25">
      <c r="B2879" s="3">
        <f t="shared" si="410"/>
        <v>14310</v>
      </c>
      <c r="C2879" s="14">
        <f t="shared" si="411"/>
        <v>238.5</v>
      </c>
      <c r="D2879" s="11">
        <f t="shared" si="412"/>
        <v>1151.8780452958151</v>
      </c>
      <c r="E2879" s="24">
        <f t="shared" si="413"/>
        <v>1150.9915761360976</v>
      </c>
      <c r="F2879" s="24">
        <f t="shared" si="406"/>
        <v>22.161728992938379</v>
      </c>
      <c r="G2879" s="14">
        <f t="shared" si="407"/>
        <v>406.75462424919391</v>
      </c>
      <c r="H2879" s="24">
        <f t="shared" si="414"/>
        <v>650</v>
      </c>
      <c r="I2879" s="12">
        <f t="shared" si="408"/>
        <v>5.2721056137610196E-2</v>
      </c>
      <c r="J2879" s="3">
        <f t="shared" si="409"/>
        <v>0.7</v>
      </c>
    </row>
    <row r="2880" spans="2:10" x14ac:dyDescent="0.25">
      <c r="B2880" s="3">
        <f t="shared" si="410"/>
        <v>14315</v>
      </c>
      <c r="C2880" s="14">
        <f t="shared" si="411"/>
        <v>238.58333333333334</v>
      </c>
      <c r="D2880" s="11">
        <f t="shared" si="412"/>
        <v>1151.9303607978327</v>
      </c>
      <c r="E2880" s="24">
        <f t="shared" si="413"/>
        <v>1151.0442971922353</v>
      </c>
      <c r="F2880" s="24">
        <f t="shared" si="406"/>
        <v>22.151590139935706</v>
      </c>
      <c r="G2880" s="14">
        <f t="shared" si="407"/>
        <v>406.61350816512748</v>
      </c>
      <c r="H2880" s="24">
        <f t="shared" si="414"/>
        <v>650</v>
      </c>
      <c r="I2880" s="12">
        <f t="shared" si="408"/>
        <v>5.2702464353995435E-2</v>
      </c>
      <c r="J2880" s="3">
        <f t="shared" si="409"/>
        <v>0.7</v>
      </c>
    </row>
    <row r="2881" spans="2:10" x14ac:dyDescent="0.25">
      <c r="B2881" s="3">
        <f t="shared" si="410"/>
        <v>14320</v>
      </c>
      <c r="C2881" s="14">
        <f t="shared" si="411"/>
        <v>238.66666666666666</v>
      </c>
      <c r="D2881" s="11">
        <f t="shared" si="412"/>
        <v>1151.9826580396398</v>
      </c>
      <c r="E2881" s="24">
        <f t="shared" si="413"/>
        <v>1151.0969996565893</v>
      </c>
      <c r="F2881" s="24">
        <f t="shared" si="406"/>
        <v>22.141459576261013</v>
      </c>
      <c r="G2881" s="14">
        <f t="shared" si="407"/>
        <v>406.47249063092409</v>
      </c>
      <c r="H2881" s="24">
        <f t="shared" si="414"/>
        <v>650</v>
      </c>
      <c r="I2881" s="12">
        <f t="shared" si="408"/>
        <v>5.268388570271975E-2</v>
      </c>
      <c r="J2881" s="3">
        <f t="shared" si="409"/>
        <v>0.7</v>
      </c>
    </row>
    <row r="2882" spans="2:10" x14ac:dyDescent="0.25">
      <c r="B2882" s="3">
        <f t="shared" si="410"/>
        <v>14325</v>
      </c>
      <c r="C2882" s="14">
        <f t="shared" si="411"/>
        <v>238.75</v>
      </c>
      <c r="D2882" s="11">
        <f t="shared" si="412"/>
        <v>1152.0349370339793</v>
      </c>
      <c r="E2882" s="24">
        <f t="shared" si="413"/>
        <v>1151.149683542292</v>
      </c>
      <c r="F2882" s="24">
        <f t="shared" si="406"/>
        <v>22.131337292182707</v>
      </c>
      <c r="G2882" s="14">
        <f t="shared" si="407"/>
        <v>406.33157154330831</v>
      </c>
      <c r="H2882" s="24">
        <f t="shared" si="414"/>
        <v>650</v>
      </c>
      <c r="I2882" s="12">
        <f t="shared" si="408"/>
        <v>5.2665320169892678E-2</v>
      </c>
      <c r="J2882" s="3">
        <f t="shared" si="409"/>
        <v>0.7</v>
      </c>
    </row>
    <row r="2883" spans="2:10" x14ac:dyDescent="0.25">
      <c r="B2883" s="3">
        <f t="shared" si="410"/>
        <v>14330</v>
      </c>
      <c r="C2883" s="14">
        <f t="shared" si="411"/>
        <v>238.83333333333334</v>
      </c>
      <c r="D2883" s="11">
        <f t="shared" si="412"/>
        <v>1152.0871977935801</v>
      </c>
      <c r="E2883" s="24">
        <f t="shared" si="413"/>
        <v>1151.2023488624618</v>
      </c>
      <c r="F2883" s="24">
        <f t="shared" si="406"/>
        <v>22.121223277957824</v>
      </c>
      <c r="G2883" s="14">
        <f t="shared" si="407"/>
        <v>406.19075079844276</v>
      </c>
      <c r="H2883" s="24">
        <f t="shared" si="414"/>
        <v>650</v>
      </c>
      <c r="I2883" s="12">
        <f t="shared" si="408"/>
        <v>5.2646767741553274E-2</v>
      </c>
      <c r="J2883" s="3">
        <f t="shared" si="409"/>
        <v>0.7</v>
      </c>
    </row>
    <row r="2884" spans="2:10" x14ac:dyDescent="0.25">
      <c r="B2884" s="3">
        <f t="shared" si="410"/>
        <v>14335</v>
      </c>
      <c r="C2884" s="14">
        <f t="shared" si="411"/>
        <v>238.91666666666666</v>
      </c>
      <c r="D2884" s="11">
        <f t="shared" si="412"/>
        <v>1152.1394403311585</v>
      </c>
      <c r="E2884" s="24">
        <f t="shared" si="413"/>
        <v>1151.2549956302034</v>
      </c>
      <c r="F2884" s="24">
        <f t="shared" si="406"/>
        <v>22.11111752387751</v>
      </c>
      <c r="G2884" s="14">
        <f t="shared" si="407"/>
        <v>406.0500282931489</v>
      </c>
      <c r="H2884" s="24">
        <f t="shared" si="414"/>
        <v>650</v>
      </c>
      <c r="I2884" s="12">
        <f t="shared" si="408"/>
        <v>5.2628228403825771E-2</v>
      </c>
      <c r="J2884" s="3">
        <f t="shared" si="409"/>
        <v>0.7</v>
      </c>
    </row>
    <row r="2885" spans="2:10" x14ac:dyDescent="0.25">
      <c r="B2885" s="3">
        <f t="shared" si="410"/>
        <v>14340</v>
      </c>
      <c r="C2885" s="14">
        <f t="shared" si="411"/>
        <v>239</v>
      </c>
      <c r="D2885" s="11">
        <f t="shared" si="412"/>
        <v>1152.1916646594168</v>
      </c>
      <c r="E2885" s="24">
        <f t="shared" si="413"/>
        <v>1151.3076238586073</v>
      </c>
      <c r="F2885" s="24">
        <f t="shared" si="406"/>
        <v>22.101020020238593</v>
      </c>
      <c r="G2885" s="14">
        <f t="shared" si="407"/>
        <v>405.90940392415138</v>
      </c>
      <c r="H2885" s="24">
        <f t="shared" si="414"/>
        <v>650</v>
      </c>
      <c r="I2885" s="12">
        <f t="shared" si="408"/>
        <v>5.2609702142823206E-2</v>
      </c>
      <c r="J2885" s="3">
        <f t="shared" si="409"/>
        <v>0.7</v>
      </c>
    </row>
    <row r="2886" spans="2:10" x14ac:dyDescent="0.25">
      <c r="B2886" s="3">
        <f t="shared" si="410"/>
        <v>14345</v>
      </c>
      <c r="C2886" s="14">
        <f t="shared" si="411"/>
        <v>239.08333333333334</v>
      </c>
      <c r="D2886" s="11">
        <f t="shared" si="412"/>
        <v>1152.2438707910451</v>
      </c>
      <c r="E2886" s="24">
        <f t="shared" si="413"/>
        <v>1151.36023356075</v>
      </c>
      <c r="F2886" s="24">
        <f t="shared" si="406"/>
        <v>22.090930757377691</v>
      </c>
      <c r="G2886" s="14">
        <f t="shared" si="407"/>
        <v>405.76887758885312</v>
      </c>
      <c r="H2886" s="24">
        <f t="shared" si="414"/>
        <v>650</v>
      </c>
      <c r="I2886" s="12">
        <f t="shared" si="408"/>
        <v>5.2591188944746875E-2</v>
      </c>
      <c r="J2886" s="3">
        <f t="shared" si="409"/>
        <v>0.7</v>
      </c>
    </row>
    <row r="2887" spans="2:10" x14ac:dyDescent="0.25">
      <c r="B2887" s="3">
        <f t="shared" si="410"/>
        <v>14350</v>
      </c>
      <c r="C2887" s="14">
        <f t="shared" si="411"/>
        <v>239.16666666666666</v>
      </c>
      <c r="D2887" s="11">
        <f t="shared" si="412"/>
        <v>1152.2960587387188</v>
      </c>
      <c r="E2887" s="24">
        <f t="shared" si="413"/>
        <v>1151.4128247496947</v>
      </c>
      <c r="F2887" s="24">
        <f t="shared" si="406"/>
        <v>22.080849725603002</v>
      </c>
      <c r="G2887" s="14">
        <f t="shared" si="407"/>
        <v>405.62844918384297</v>
      </c>
      <c r="H2887" s="24">
        <f t="shared" si="414"/>
        <v>650</v>
      </c>
      <c r="I2887" s="12">
        <f t="shared" si="408"/>
        <v>5.2572688795694517E-2</v>
      </c>
      <c r="J2887" s="3">
        <f t="shared" si="409"/>
        <v>0.7</v>
      </c>
    </row>
    <row r="2888" spans="2:10" x14ac:dyDescent="0.25">
      <c r="B2888" s="3">
        <f t="shared" si="410"/>
        <v>14355</v>
      </c>
      <c r="C2888" s="14">
        <f t="shared" si="411"/>
        <v>239.25</v>
      </c>
      <c r="D2888" s="11">
        <f t="shared" si="412"/>
        <v>1152.3482285151013</v>
      </c>
      <c r="E2888" s="24">
        <f t="shared" si="413"/>
        <v>1151.4653974384903</v>
      </c>
      <c r="F2888" s="24">
        <f t="shared" si="406"/>
        <v>22.070776915273882</v>
      </c>
      <c r="G2888" s="14">
        <f t="shared" si="407"/>
        <v>405.48811860669832</v>
      </c>
      <c r="H2888" s="24">
        <f t="shared" si="414"/>
        <v>650</v>
      </c>
      <c r="I2888" s="12">
        <f t="shared" si="408"/>
        <v>5.2554201681891663E-2</v>
      </c>
      <c r="J2888" s="3">
        <f t="shared" si="409"/>
        <v>0.7</v>
      </c>
    </row>
    <row r="2889" spans="2:10" x14ac:dyDescent="0.25">
      <c r="B2889" s="3">
        <f t="shared" si="410"/>
        <v>14360</v>
      </c>
      <c r="C2889" s="14">
        <f t="shared" si="411"/>
        <v>239.33333333333334</v>
      </c>
      <c r="D2889" s="11">
        <f t="shared" si="412"/>
        <v>1152.400380132842</v>
      </c>
      <c r="E2889" s="24">
        <f t="shared" si="413"/>
        <v>1151.5179516401722</v>
      </c>
      <c r="F2889" s="24">
        <f t="shared" si="406"/>
        <v>22.060712316744002</v>
      </c>
      <c r="G2889" s="14">
        <f t="shared" si="407"/>
        <v>405.34788575470583</v>
      </c>
      <c r="H2889" s="24">
        <f t="shared" si="414"/>
        <v>650</v>
      </c>
      <c r="I2889" s="12">
        <f t="shared" si="408"/>
        <v>5.2535727589527424E-2</v>
      </c>
      <c r="J2889" s="3">
        <f t="shared" si="409"/>
        <v>0.7</v>
      </c>
    </row>
    <row r="2890" spans="2:10" x14ac:dyDescent="0.25">
      <c r="B2890" s="3">
        <f t="shared" si="410"/>
        <v>14365</v>
      </c>
      <c r="C2890" s="14">
        <f t="shared" si="411"/>
        <v>239.41666666666666</v>
      </c>
      <c r="D2890" s="11">
        <f t="shared" si="412"/>
        <v>1152.4525136045777</v>
      </c>
      <c r="E2890" s="24">
        <f t="shared" si="413"/>
        <v>1151.5704873677616</v>
      </c>
      <c r="F2890" s="24">
        <f t="shared" si="406"/>
        <v>22.050655920401141</v>
      </c>
      <c r="G2890" s="14">
        <f t="shared" si="407"/>
        <v>405.20775052563653</v>
      </c>
      <c r="H2890" s="24">
        <f t="shared" si="414"/>
        <v>650</v>
      </c>
      <c r="I2890" s="12">
        <f t="shared" si="408"/>
        <v>5.2517266504854616E-2</v>
      </c>
      <c r="J2890" s="3">
        <f t="shared" si="409"/>
        <v>0.7</v>
      </c>
    </row>
    <row r="2891" spans="2:10" x14ac:dyDescent="0.25">
      <c r="B2891" s="3">
        <f t="shared" si="410"/>
        <v>14370</v>
      </c>
      <c r="C2891" s="14">
        <f t="shared" si="411"/>
        <v>239.5</v>
      </c>
      <c r="D2891" s="11">
        <f t="shared" si="412"/>
        <v>1152.5046289429315</v>
      </c>
      <c r="E2891" s="24">
        <f t="shared" si="413"/>
        <v>1151.6230046342664</v>
      </c>
      <c r="F2891" s="24">
        <f t="shared" si="406"/>
        <v>22.040607716627392</v>
      </c>
      <c r="G2891" s="14">
        <f t="shared" si="407"/>
        <v>405.06771281697087</v>
      </c>
      <c r="H2891" s="24">
        <f t="shared" si="414"/>
        <v>650</v>
      </c>
      <c r="I2891" s="12">
        <f t="shared" si="408"/>
        <v>5.2498818414089668E-2</v>
      </c>
      <c r="J2891" s="3">
        <f t="shared" si="409"/>
        <v>0.7</v>
      </c>
    </row>
    <row r="2892" spans="2:10" x14ac:dyDescent="0.25">
      <c r="B2892" s="3">
        <f t="shared" si="410"/>
        <v>14375</v>
      </c>
      <c r="C2892" s="14">
        <f t="shared" si="411"/>
        <v>239.58333333333334</v>
      </c>
      <c r="D2892" s="11">
        <f t="shared" si="412"/>
        <v>1152.5567261605136</v>
      </c>
      <c r="E2892" s="24">
        <f t="shared" si="413"/>
        <v>1151.6755034526805</v>
      </c>
      <c r="F2892" s="24">
        <f t="shared" si="406"/>
        <v>22.030567695827585</v>
      </c>
      <c r="G2892" s="14">
        <f t="shared" si="407"/>
        <v>404.92777252665439</v>
      </c>
      <c r="H2892" s="24">
        <f t="shared" si="414"/>
        <v>650</v>
      </c>
      <c r="I2892" s="12">
        <f t="shared" si="408"/>
        <v>5.2480383303508946E-2</v>
      </c>
      <c r="J2892" s="3">
        <f t="shared" si="409"/>
        <v>0.7</v>
      </c>
    </row>
    <row r="2893" spans="2:10" x14ac:dyDescent="0.25">
      <c r="B2893" s="3">
        <f t="shared" si="410"/>
        <v>14380</v>
      </c>
      <c r="C2893" s="14">
        <f t="shared" si="411"/>
        <v>239.66666666666666</v>
      </c>
      <c r="D2893" s="11">
        <f t="shared" si="412"/>
        <v>1152.608805269921</v>
      </c>
      <c r="E2893" s="24">
        <f t="shared" si="413"/>
        <v>1151.7279838359839</v>
      </c>
      <c r="F2893" s="24">
        <f t="shared" si="406"/>
        <v>22.02053584842929</v>
      </c>
      <c r="G2893" s="14">
        <f t="shared" si="407"/>
        <v>404.78792955272957</v>
      </c>
      <c r="H2893" s="24">
        <f t="shared" si="414"/>
        <v>650</v>
      </c>
      <c r="I2893" s="12">
        <f t="shared" si="408"/>
        <v>5.2461961159403547E-2</v>
      </c>
      <c r="J2893" s="3">
        <f t="shared" si="409"/>
        <v>0.7</v>
      </c>
    </row>
    <row r="2894" spans="2:10" x14ac:dyDescent="0.25">
      <c r="B2894" s="3">
        <f t="shared" si="410"/>
        <v>14385</v>
      </c>
      <c r="C2894" s="14">
        <f t="shared" si="411"/>
        <v>239.75</v>
      </c>
      <c r="D2894" s="11">
        <f t="shared" si="412"/>
        <v>1152.6608662837375</v>
      </c>
      <c r="E2894" s="24">
        <f t="shared" si="413"/>
        <v>1151.7804457971433</v>
      </c>
      <c r="F2894" s="24">
        <f t="shared" si="406"/>
        <v>22.01051216485439</v>
      </c>
      <c r="G2894" s="14">
        <f t="shared" si="407"/>
        <v>404.64818379318058</v>
      </c>
      <c r="H2894" s="24">
        <f t="shared" si="414"/>
        <v>650</v>
      </c>
      <c r="I2894" s="12">
        <f t="shared" si="408"/>
        <v>5.2443551968056681E-2</v>
      </c>
      <c r="J2894" s="3">
        <f t="shared" si="409"/>
        <v>0.7</v>
      </c>
    </row>
    <row r="2895" spans="2:10" x14ac:dyDescent="0.25">
      <c r="B2895" s="3">
        <f t="shared" si="410"/>
        <v>14390</v>
      </c>
      <c r="C2895" s="14">
        <f t="shared" si="411"/>
        <v>239.83333333333334</v>
      </c>
      <c r="D2895" s="11">
        <f t="shared" si="412"/>
        <v>1152.7129092145342</v>
      </c>
      <c r="E2895" s="24">
        <f t="shared" si="413"/>
        <v>1151.8328893491114</v>
      </c>
      <c r="F2895" s="24">
        <f t="shared" si="406"/>
        <v>22.000496635570244</v>
      </c>
      <c r="G2895" s="14">
        <f t="shared" si="407"/>
        <v>404.50853514649577</v>
      </c>
      <c r="H2895" s="24">
        <f t="shared" si="414"/>
        <v>650</v>
      </c>
      <c r="I2895" s="12">
        <f t="shared" si="408"/>
        <v>5.2425155715819141E-2</v>
      </c>
      <c r="J2895" s="3">
        <f t="shared" si="409"/>
        <v>0.7</v>
      </c>
    </row>
    <row r="2896" spans="2:10" x14ac:dyDescent="0.25">
      <c r="B2896" s="3">
        <f t="shared" si="410"/>
        <v>14395</v>
      </c>
      <c r="C2896" s="14">
        <f t="shared" si="411"/>
        <v>239.91666666666666</v>
      </c>
      <c r="D2896" s="11">
        <f t="shared" si="412"/>
        <v>1152.7649340748681</v>
      </c>
      <c r="E2896" s="24">
        <f t="shared" si="413"/>
        <v>1151.8853145048272</v>
      </c>
      <c r="F2896" s="24">
        <f t="shared" si="406"/>
        <v>21.990489251021472</v>
      </c>
      <c r="G2896" s="14">
        <f t="shared" si="407"/>
        <v>404.36898351083374</v>
      </c>
      <c r="H2896" s="24">
        <f t="shared" si="414"/>
        <v>650</v>
      </c>
      <c r="I2896" s="12">
        <f t="shared" si="408"/>
        <v>5.2406772388998379E-2</v>
      </c>
      <c r="J2896" s="3">
        <f t="shared" si="409"/>
        <v>0.7</v>
      </c>
    </row>
    <row r="2897" spans="2:10" x14ac:dyDescent="0.25">
      <c r="B2897" s="3">
        <f t="shared" si="410"/>
        <v>14400</v>
      </c>
      <c r="C2897" s="14">
        <f t="shared" si="411"/>
        <v>240</v>
      </c>
      <c r="D2897" s="11">
        <f t="shared" si="412"/>
        <v>1152.8169408772842</v>
      </c>
      <c r="E2897" s="24">
        <f t="shared" si="413"/>
        <v>1151.9377212772163</v>
      </c>
      <c r="F2897" s="24">
        <f t="shared" ref="F2897:F2960" si="415">AlphaC*(D2897-E2897)</f>
        <v>21.980490001698172</v>
      </c>
      <c r="G2897" s="14">
        <f t="shared" ref="G2897:G2960" si="416">Phi*EpsilonF*Botzman/10^8*J2897*((D2897+273)^4-(E2897+273)^4)</f>
        <v>404.22952878497341</v>
      </c>
      <c r="H2897" s="24">
        <f t="shared" si="414"/>
        <v>650</v>
      </c>
      <c r="I2897" s="12">
        <f t="shared" ref="I2897:I2960" si="417">ksh*Massivete/(H2897*RhoA)*DeltaT*(F2897+G2897)</f>
        <v>5.2388401973983686E-2</v>
      </c>
      <c r="J2897" s="3">
        <f t="shared" ref="J2897:J2960" si="418">IF(E2897&lt;=500,IF(Galva=Oui,0.35,0.7),0.7)</f>
        <v>0.7</v>
      </c>
    </row>
    <row r="2898" spans="2:10" x14ac:dyDescent="0.25">
      <c r="B2898" s="3">
        <f t="shared" ref="B2898:B2961" si="419">B2897+DeltaT</f>
        <v>14405</v>
      </c>
      <c r="C2898" s="14">
        <f t="shared" ref="C2898:C2961" si="420">B2898/60</f>
        <v>240.08333333333334</v>
      </c>
      <c r="D2898" s="11">
        <f t="shared" ref="D2898:D2961" si="421">20+345*LOG(8*C2898+1,10)</f>
        <v>1152.8689296343141</v>
      </c>
      <c r="E2898" s="24">
        <f t="shared" si="413"/>
        <v>1151.9901096791903</v>
      </c>
      <c r="F2898" s="24">
        <f t="shared" si="415"/>
        <v>21.970498878096123</v>
      </c>
      <c r="G2898" s="14">
        <f t="shared" si="416"/>
        <v>404.09017086765482</v>
      </c>
      <c r="H2898" s="24">
        <f t="shared" si="414"/>
        <v>650</v>
      </c>
      <c r="I2898" s="12">
        <f t="shared" si="417"/>
        <v>5.2370044457160286E-2</v>
      </c>
      <c r="J2898" s="3">
        <f t="shared" si="418"/>
        <v>0.7</v>
      </c>
    </row>
    <row r="2899" spans="2:10" x14ac:dyDescent="0.25">
      <c r="B2899" s="3">
        <f t="shared" si="419"/>
        <v>14410</v>
      </c>
      <c r="C2899" s="14">
        <f t="shared" si="420"/>
        <v>240.16666666666666</v>
      </c>
      <c r="D2899" s="11">
        <f t="shared" si="421"/>
        <v>1152.920900358476</v>
      </c>
      <c r="E2899" s="24">
        <f t="shared" si="413"/>
        <v>1152.0424797236474</v>
      </c>
      <c r="F2899" s="24">
        <f t="shared" si="415"/>
        <v>21.96051587071679</v>
      </c>
      <c r="G2899" s="14">
        <f t="shared" si="416"/>
        <v>403.95090965754065</v>
      </c>
      <c r="H2899" s="24">
        <f t="shared" si="414"/>
        <v>650</v>
      </c>
      <c r="I2899" s="12">
        <f t="shared" si="417"/>
        <v>5.235169982490457E-2</v>
      </c>
      <c r="J2899" s="3">
        <f t="shared" si="418"/>
        <v>0.7</v>
      </c>
    </row>
    <row r="2900" spans="2:10" x14ac:dyDescent="0.25">
      <c r="B2900" s="3">
        <f t="shared" si="419"/>
        <v>14415</v>
      </c>
      <c r="C2900" s="14">
        <f t="shared" si="420"/>
        <v>240.25</v>
      </c>
      <c r="D2900" s="11">
        <f t="shared" si="421"/>
        <v>1152.9728530622754</v>
      </c>
      <c r="E2900" s="24">
        <f t="shared" si="413"/>
        <v>1152.0948314234722</v>
      </c>
      <c r="F2900" s="24">
        <f t="shared" si="415"/>
        <v>21.950540970078691</v>
      </c>
      <c r="G2900" s="14">
        <f t="shared" si="416"/>
        <v>403.81174505370041</v>
      </c>
      <c r="H2900" s="24">
        <f t="shared" si="414"/>
        <v>650</v>
      </c>
      <c r="I2900" s="12">
        <f t="shared" si="417"/>
        <v>5.2333368063645053E-2</v>
      </c>
      <c r="J2900" s="3">
        <f t="shared" si="418"/>
        <v>0.7</v>
      </c>
    </row>
    <row r="2901" spans="2:10" x14ac:dyDescent="0.25">
      <c r="B2901" s="3">
        <f t="shared" si="419"/>
        <v>14420</v>
      </c>
      <c r="C2901" s="14">
        <f t="shared" si="420"/>
        <v>240.33333333333334</v>
      </c>
      <c r="D2901" s="11">
        <f t="shared" si="421"/>
        <v>1153.0247877582049</v>
      </c>
      <c r="E2901" s="24">
        <f t="shared" si="413"/>
        <v>1152.1471647915359</v>
      </c>
      <c r="F2901" s="24">
        <f t="shared" si="415"/>
        <v>21.940574166723081</v>
      </c>
      <c r="G2901" s="14">
        <f t="shared" si="416"/>
        <v>403.67267695524248</v>
      </c>
      <c r="H2901" s="24">
        <f t="shared" si="414"/>
        <v>650</v>
      </c>
      <c r="I2901" s="12">
        <f t="shared" si="417"/>
        <v>5.2315049159817807E-2</v>
      </c>
      <c r="J2901" s="3">
        <f t="shared" si="418"/>
        <v>0.7</v>
      </c>
    </row>
    <row r="2902" spans="2:10" x14ac:dyDescent="0.25">
      <c r="B2902" s="3">
        <f t="shared" si="419"/>
        <v>14425</v>
      </c>
      <c r="C2902" s="14">
        <f t="shared" si="420"/>
        <v>240.41666666666666</v>
      </c>
      <c r="D2902" s="11">
        <f t="shared" si="421"/>
        <v>1153.0767044587442</v>
      </c>
      <c r="E2902" s="24">
        <f t="shared" si="413"/>
        <v>1152.1994798406959</v>
      </c>
      <c r="F2902" s="24">
        <f t="shared" si="415"/>
        <v>21.930615451208268</v>
      </c>
      <c r="G2902" s="14">
        <f t="shared" si="416"/>
        <v>403.53370526158528</v>
      </c>
      <c r="H2902" s="24">
        <f t="shared" si="414"/>
        <v>650</v>
      </c>
      <c r="I2902" s="12">
        <f t="shared" si="417"/>
        <v>5.2296743099899123E-2</v>
      </c>
      <c r="J2902" s="3">
        <f t="shared" si="418"/>
        <v>0.7</v>
      </c>
    </row>
    <row r="2903" spans="2:10" x14ac:dyDescent="0.25">
      <c r="B2903" s="3">
        <f t="shared" si="419"/>
        <v>14430</v>
      </c>
      <c r="C2903" s="14">
        <f t="shared" si="420"/>
        <v>240.5</v>
      </c>
      <c r="D2903" s="11">
        <f t="shared" si="421"/>
        <v>1153.1286031763591</v>
      </c>
      <c r="E2903" s="24">
        <f t="shared" si="413"/>
        <v>1152.2517765837958</v>
      </c>
      <c r="F2903" s="24">
        <f t="shared" si="415"/>
        <v>21.920664814081192</v>
      </c>
      <c r="G2903" s="14">
        <f t="shared" si="416"/>
        <v>403.39482987181765</v>
      </c>
      <c r="H2903" s="24">
        <f t="shared" si="414"/>
        <v>650</v>
      </c>
      <c r="I2903" s="12">
        <f t="shared" si="417"/>
        <v>5.2278449870323367E-2</v>
      </c>
      <c r="J2903" s="3">
        <f t="shared" si="418"/>
        <v>0.7</v>
      </c>
    </row>
    <row r="2904" spans="2:10" x14ac:dyDescent="0.25">
      <c r="B2904" s="3">
        <f t="shared" si="419"/>
        <v>14435</v>
      </c>
      <c r="C2904" s="14">
        <f t="shared" si="420"/>
        <v>240.58333333333334</v>
      </c>
      <c r="D2904" s="11">
        <f t="shared" si="421"/>
        <v>1153.1804839235037</v>
      </c>
      <c r="E2904" s="24">
        <f t="shared" si="413"/>
        <v>1152.3040550336661</v>
      </c>
      <c r="F2904" s="24">
        <f t="shared" si="415"/>
        <v>21.910722245939951</v>
      </c>
      <c r="G2904" s="14">
        <f t="shared" si="416"/>
        <v>403.25605068586196</v>
      </c>
      <c r="H2904" s="24">
        <f t="shared" si="414"/>
        <v>650</v>
      </c>
      <c r="I2904" s="12">
        <f t="shared" si="417"/>
        <v>5.2260169457633669E-2</v>
      </c>
      <c r="J2904" s="3">
        <f t="shared" si="418"/>
        <v>0.7</v>
      </c>
    </row>
    <row r="2905" spans="2:10" x14ac:dyDescent="0.25">
      <c r="B2905" s="3">
        <f t="shared" si="419"/>
        <v>14440</v>
      </c>
      <c r="C2905" s="14">
        <f t="shared" si="420"/>
        <v>240.66666666666666</v>
      </c>
      <c r="D2905" s="11">
        <f t="shared" si="421"/>
        <v>1153.2323467126184</v>
      </c>
      <c r="E2905" s="24">
        <f t="shared" si="413"/>
        <v>1152.3563152031238</v>
      </c>
      <c r="F2905" s="24">
        <f t="shared" si="415"/>
        <v>21.90078773736559</v>
      </c>
      <c r="G2905" s="14">
        <f t="shared" si="416"/>
        <v>403.11736760309788</v>
      </c>
      <c r="H2905" s="24">
        <f t="shared" si="414"/>
        <v>650</v>
      </c>
      <c r="I2905" s="12">
        <f t="shared" si="417"/>
        <v>5.224190184830433E-2</v>
      </c>
      <c r="J2905" s="3">
        <f t="shared" si="418"/>
        <v>0.7</v>
      </c>
    </row>
    <row r="2906" spans="2:10" x14ac:dyDescent="0.25">
      <c r="B2906" s="3">
        <f t="shared" si="419"/>
        <v>14445</v>
      </c>
      <c r="C2906" s="14">
        <f t="shared" si="420"/>
        <v>240.75</v>
      </c>
      <c r="D2906" s="11">
        <f t="shared" si="421"/>
        <v>1153.2841915561312</v>
      </c>
      <c r="E2906" s="24">
        <f t="shared" si="413"/>
        <v>1152.408557104972</v>
      </c>
      <c r="F2906" s="24">
        <f t="shared" si="415"/>
        <v>21.890861278978946</v>
      </c>
      <c r="G2906" s="14">
        <f t="shared" si="416"/>
        <v>402.9787805236802</v>
      </c>
      <c r="H2906" s="24">
        <f t="shared" si="414"/>
        <v>650</v>
      </c>
      <c r="I2906" s="12">
        <f t="shared" si="417"/>
        <v>5.2223647028909845E-2</v>
      </c>
      <c r="J2906" s="3">
        <f t="shared" si="418"/>
        <v>0.7</v>
      </c>
    </row>
    <row r="2907" spans="2:10" x14ac:dyDescent="0.25">
      <c r="B2907" s="3">
        <f t="shared" si="419"/>
        <v>14450</v>
      </c>
      <c r="C2907" s="14">
        <f t="shared" si="420"/>
        <v>240.83333333333334</v>
      </c>
      <c r="D2907" s="11">
        <f t="shared" si="421"/>
        <v>1153.3360184664564</v>
      </c>
      <c r="E2907" s="24">
        <f t="shared" si="413"/>
        <v>1152.460780752001</v>
      </c>
      <c r="F2907" s="24">
        <f t="shared" si="415"/>
        <v>21.880942861383801</v>
      </c>
      <c r="G2907" s="14">
        <f t="shared" si="416"/>
        <v>402.84028934718242</v>
      </c>
      <c r="H2907" s="24">
        <f t="shared" si="414"/>
        <v>650</v>
      </c>
      <c r="I2907" s="12">
        <f t="shared" si="417"/>
        <v>5.2205404985951144E-2</v>
      </c>
      <c r="J2907" s="3">
        <f t="shared" si="418"/>
        <v>0.7</v>
      </c>
    </row>
    <row r="2908" spans="2:10" x14ac:dyDescent="0.25">
      <c r="B2908" s="3">
        <f t="shared" si="419"/>
        <v>14455</v>
      </c>
      <c r="C2908" s="14">
        <f t="shared" si="420"/>
        <v>240.91666666666666</v>
      </c>
      <c r="D2908" s="11">
        <f t="shared" si="421"/>
        <v>1153.3878274559963</v>
      </c>
      <c r="E2908" s="24">
        <f t="shared" si="413"/>
        <v>1152.5129861569869</v>
      </c>
      <c r="F2908" s="24">
        <f t="shared" si="415"/>
        <v>21.871032475235097</v>
      </c>
      <c r="G2908" s="14">
        <f t="shared" si="416"/>
        <v>402.70189397408882</v>
      </c>
      <c r="H2908" s="24">
        <f t="shared" si="414"/>
        <v>650</v>
      </c>
      <c r="I2908" s="12">
        <f t="shared" si="417"/>
        <v>5.2187175706047396E-2</v>
      </c>
      <c r="J2908" s="3">
        <f t="shared" si="418"/>
        <v>0.7</v>
      </c>
    </row>
    <row r="2909" spans="2:10" x14ac:dyDescent="0.25">
      <c r="B2909" s="3">
        <f t="shared" si="419"/>
        <v>14460</v>
      </c>
      <c r="C2909" s="14">
        <f t="shared" si="420"/>
        <v>241</v>
      </c>
      <c r="D2909" s="11">
        <f t="shared" si="421"/>
        <v>1153.4396185371399</v>
      </c>
      <c r="E2909" s="24">
        <f t="shared" si="413"/>
        <v>1152.5651733326929</v>
      </c>
      <c r="F2909" s="24">
        <f t="shared" si="415"/>
        <v>21.861130111176408</v>
      </c>
      <c r="G2909" s="14">
        <f t="shared" si="416"/>
        <v>402.56359430447668</v>
      </c>
      <c r="H2909" s="24">
        <f t="shared" si="414"/>
        <v>650</v>
      </c>
      <c r="I2909" s="12">
        <f t="shared" si="417"/>
        <v>5.2168959175766361E-2</v>
      </c>
      <c r="J2909" s="3">
        <f t="shared" si="418"/>
        <v>0.7</v>
      </c>
    </row>
    <row r="2910" spans="2:10" x14ac:dyDescent="0.25">
      <c r="B2910" s="3">
        <f t="shared" si="419"/>
        <v>14465</v>
      </c>
      <c r="C2910" s="14">
        <f t="shared" si="420"/>
        <v>241.08333333333334</v>
      </c>
      <c r="D2910" s="11">
        <f t="shared" si="421"/>
        <v>1153.4913917222634</v>
      </c>
      <c r="E2910" s="24">
        <f t="shared" si="413"/>
        <v>1152.6173422918687</v>
      </c>
      <c r="F2910" s="24">
        <f t="shared" si="415"/>
        <v>21.851235759868359</v>
      </c>
      <c r="G2910" s="14">
        <f t="shared" si="416"/>
        <v>402.42539023865589</v>
      </c>
      <c r="H2910" s="24">
        <f t="shared" si="414"/>
        <v>650</v>
      </c>
      <c r="I2910" s="12">
        <f t="shared" si="417"/>
        <v>5.2150755381706465E-2</v>
      </c>
      <c r="J2910" s="3">
        <f t="shared" si="418"/>
        <v>0.7</v>
      </c>
    </row>
    <row r="2911" spans="2:10" x14ac:dyDescent="0.25">
      <c r="B2911" s="3">
        <f t="shared" si="419"/>
        <v>14470</v>
      </c>
      <c r="C2911" s="14">
        <f t="shared" si="420"/>
        <v>241.16666666666666</v>
      </c>
      <c r="D2911" s="11">
        <f t="shared" si="421"/>
        <v>1153.5431470237304</v>
      </c>
      <c r="E2911" s="24">
        <f t="shared" si="413"/>
        <v>1152.6694930472504</v>
      </c>
      <c r="F2911" s="24">
        <f t="shared" si="415"/>
        <v>21.841349412</v>
      </c>
      <c r="G2911" s="14">
        <f t="shared" si="416"/>
        <v>402.28728167730463</v>
      </c>
      <c r="H2911" s="24">
        <f t="shared" si="414"/>
        <v>650</v>
      </c>
      <c r="I2911" s="12">
        <f t="shared" si="417"/>
        <v>5.2132564310514919E-2</v>
      </c>
      <c r="J2911" s="3">
        <f t="shared" si="418"/>
        <v>0.7</v>
      </c>
    </row>
    <row r="2912" spans="2:10" x14ac:dyDescent="0.25">
      <c r="B2912" s="3">
        <f t="shared" si="419"/>
        <v>14475</v>
      </c>
      <c r="C2912" s="14">
        <f t="shared" si="420"/>
        <v>241.25</v>
      </c>
      <c r="D2912" s="11">
        <f t="shared" si="421"/>
        <v>1153.5948844538912</v>
      </c>
      <c r="E2912" s="24">
        <f t="shared" si="413"/>
        <v>1152.721625611561</v>
      </c>
      <c r="F2912" s="24">
        <f t="shared" si="415"/>
        <v>21.831471058254692</v>
      </c>
      <c r="G2912" s="14">
        <f t="shared" si="416"/>
        <v>402.14926852096522</v>
      </c>
      <c r="H2912" s="24">
        <f t="shared" si="414"/>
        <v>650</v>
      </c>
      <c r="I2912" s="12">
        <f t="shared" si="417"/>
        <v>5.2114385948821507E-2</v>
      </c>
      <c r="J2912" s="3">
        <f t="shared" si="418"/>
        <v>0.7</v>
      </c>
    </row>
    <row r="2913" spans="2:10" x14ac:dyDescent="0.25">
      <c r="B2913" s="3">
        <f t="shared" si="419"/>
        <v>14480</v>
      </c>
      <c r="C2913" s="14">
        <f t="shared" si="420"/>
        <v>241.33333333333334</v>
      </c>
      <c r="D2913" s="11">
        <f t="shared" si="421"/>
        <v>1153.6466040250834</v>
      </c>
      <c r="E2913" s="24">
        <f t="shared" si="413"/>
        <v>1152.7737399975099</v>
      </c>
      <c r="F2913" s="24">
        <f t="shared" si="415"/>
        <v>21.821600689338538</v>
      </c>
      <c r="G2913" s="14">
        <f t="shared" si="416"/>
        <v>402.01135067039343</v>
      </c>
      <c r="H2913" s="24">
        <f t="shared" si="414"/>
        <v>650</v>
      </c>
      <c r="I2913" s="12">
        <f t="shared" si="417"/>
        <v>5.2096220283285082E-2</v>
      </c>
      <c r="J2913" s="3">
        <f t="shared" si="418"/>
        <v>0.7</v>
      </c>
    </row>
    <row r="2914" spans="2:10" x14ac:dyDescent="0.25">
      <c r="B2914" s="3">
        <f t="shared" si="419"/>
        <v>14485</v>
      </c>
      <c r="C2914" s="14">
        <f t="shared" si="420"/>
        <v>241.41666666666666</v>
      </c>
      <c r="D2914" s="11">
        <f t="shared" si="421"/>
        <v>1153.6983057496327</v>
      </c>
      <c r="E2914" s="24">
        <f t="shared" si="413"/>
        <v>1152.8258362177933</v>
      </c>
      <c r="F2914" s="24">
        <f t="shared" si="415"/>
        <v>21.811738295986061</v>
      </c>
      <c r="G2914" s="14">
        <f t="shared" si="416"/>
        <v>401.87352802677111</v>
      </c>
      <c r="H2914" s="24">
        <f t="shared" si="414"/>
        <v>650</v>
      </c>
      <c r="I2914" s="12">
        <f t="shared" si="417"/>
        <v>5.2078067300620326E-2</v>
      </c>
      <c r="J2914" s="3">
        <f t="shared" si="418"/>
        <v>0.7</v>
      </c>
    </row>
    <row r="2915" spans="2:10" x14ac:dyDescent="0.25">
      <c r="B2915" s="3">
        <f t="shared" si="419"/>
        <v>14490</v>
      </c>
      <c r="C2915" s="14">
        <f t="shared" si="420"/>
        <v>241.5</v>
      </c>
      <c r="D2915" s="11">
        <f t="shared" si="421"/>
        <v>1153.7499896398506</v>
      </c>
      <c r="E2915" s="24">
        <f t="shared" si="413"/>
        <v>1152.877914285094</v>
      </c>
      <c r="F2915" s="24">
        <f t="shared" si="415"/>
        <v>21.801883868914729</v>
      </c>
      <c r="G2915" s="14">
        <f t="shared" si="416"/>
        <v>401.73580049085393</v>
      </c>
      <c r="H2915" s="24">
        <f t="shared" si="414"/>
        <v>650</v>
      </c>
      <c r="I2915" s="12">
        <f t="shared" si="417"/>
        <v>5.2059926987487466E-2</v>
      </c>
      <c r="J2915" s="3">
        <f t="shared" si="418"/>
        <v>0.7</v>
      </c>
    </row>
    <row r="2916" spans="2:10" x14ac:dyDescent="0.25">
      <c r="B2916" s="3">
        <f t="shared" si="419"/>
        <v>14495</v>
      </c>
      <c r="C2916" s="14">
        <f t="shared" si="420"/>
        <v>241.58333333333334</v>
      </c>
      <c r="D2916" s="11">
        <f t="shared" si="421"/>
        <v>1153.8016557080373</v>
      </c>
      <c r="E2916" s="24">
        <f t="shared" si="413"/>
        <v>1152.9299742120816</v>
      </c>
      <c r="F2916" s="24">
        <f t="shared" si="415"/>
        <v>21.792037398893171</v>
      </c>
      <c r="G2916" s="14">
        <f t="shared" si="416"/>
        <v>401.59816796417272</v>
      </c>
      <c r="H2916" s="24">
        <f t="shared" si="414"/>
        <v>650</v>
      </c>
      <c r="I2916" s="12">
        <f t="shared" si="417"/>
        <v>5.2041799330648293E-2</v>
      </c>
      <c r="J2916" s="3">
        <f t="shared" si="418"/>
        <v>0.7</v>
      </c>
    </row>
    <row r="2917" spans="2:10" x14ac:dyDescent="0.25">
      <c r="B2917" s="3">
        <f t="shared" si="419"/>
        <v>14500</v>
      </c>
      <c r="C2917" s="14">
        <f t="shared" si="420"/>
        <v>241.66666666666666</v>
      </c>
      <c r="D2917" s="11">
        <f t="shared" si="421"/>
        <v>1153.8533039664794</v>
      </c>
      <c r="E2917" s="24">
        <f t="shared" si="413"/>
        <v>1152.9820160114123</v>
      </c>
      <c r="F2917" s="24">
        <f t="shared" si="415"/>
        <v>21.782198876678649</v>
      </c>
      <c r="G2917" s="14">
        <f t="shared" si="416"/>
        <v>401.46063034794815</v>
      </c>
      <c r="H2917" s="24">
        <f t="shared" si="414"/>
        <v>650</v>
      </c>
      <c r="I2917" s="12">
        <f t="shared" si="417"/>
        <v>5.202368431682506E-2</v>
      </c>
      <c r="J2917" s="3">
        <f t="shared" si="418"/>
        <v>0.7</v>
      </c>
    </row>
    <row r="2918" spans="2:10" x14ac:dyDescent="0.25">
      <c r="B2918" s="3">
        <f t="shared" si="419"/>
        <v>14505</v>
      </c>
      <c r="C2918" s="14">
        <f t="shared" si="420"/>
        <v>241.75</v>
      </c>
      <c r="D2918" s="11">
        <f t="shared" si="421"/>
        <v>1153.9049344274508</v>
      </c>
      <c r="E2918" s="24">
        <f t="shared" si="413"/>
        <v>1153.034039695729</v>
      </c>
      <c r="F2918" s="24">
        <f t="shared" si="415"/>
        <v>21.772368293045474</v>
      </c>
      <c r="G2918" s="14">
        <f t="shared" si="416"/>
        <v>401.3231875436918</v>
      </c>
      <c r="H2918" s="24">
        <f t="shared" si="414"/>
        <v>650</v>
      </c>
      <c r="I2918" s="12">
        <f t="shared" si="417"/>
        <v>5.2005581932777892E-2</v>
      </c>
      <c r="J2918" s="3">
        <f t="shared" si="418"/>
        <v>0.7</v>
      </c>
    </row>
    <row r="2919" spans="2:10" x14ac:dyDescent="0.25">
      <c r="B2919" s="3">
        <f t="shared" si="419"/>
        <v>14510</v>
      </c>
      <c r="C2919" s="14">
        <f t="shared" si="420"/>
        <v>241.83333333333334</v>
      </c>
      <c r="D2919" s="11">
        <f t="shared" si="421"/>
        <v>1153.9565471032131</v>
      </c>
      <c r="E2919" s="24">
        <f t="shared" si="413"/>
        <v>1153.0860452776617</v>
      </c>
      <c r="F2919" s="24">
        <f t="shared" si="415"/>
        <v>21.762545638785014</v>
      </c>
      <c r="G2919" s="14">
        <f t="shared" si="416"/>
        <v>401.18583945293432</v>
      </c>
      <c r="H2919" s="24">
        <f t="shared" si="414"/>
        <v>650</v>
      </c>
      <c r="I2919" s="12">
        <f t="shared" si="417"/>
        <v>5.1987492165271348E-2</v>
      </c>
      <c r="J2919" s="3">
        <f t="shared" si="418"/>
        <v>0.7</v>
      </c>
    </row>
    <row r="2920" spans="2:10" x14ac:dyDescent="0.25">
      <c r="B2920" s="3">
        <f t="shared" si="419"/>
        <v>14515</v>
      </c>
      <c r="C2920" s="14">
        <f t="shared" si="420"/>
        <v>241.91666666666666</v>
      </c>
      <c r="D2920" s="11">
        <f t="shared" si="421"/>
        <v>1154.0081420060153</v>
      </c>
      <c r="E2920" s="24">
        <f t="shared" si="413"/>
        <v>1153.1380327698271</v>
      </c>
      <c r="F2920" s="24">
        <f t="shared" si="415"/>
        <v>21.752730904705686</v>
      </c>
      <c r="G2920" s="14">
        <f t="shared" si="416"/>
        <v>401.04858597751667</v>
      </c>
      <c r="H2920" s="24">
        <f t="shared" si="414"/>
        <v>650</v>
      </c>
      <c r="I2920" s="12">
        <f t="shared" si="417"/>
        <v>5.1969415001110221E-2</v>
      </c>
      <c r="J2920" s="3">
        <f t="shared" si="418"/>
        <v>0.7</v>
      </c>
    </row>
    <row r="2921" spans="2:10" x14ac:dyDescent="0.25">
      <c r="B2921" s="3">
        <f t="shared" si="419"/>
        <v>14520</v>
      </c>
      <c r="C2921" s="14">
        <f t="shared" si="420"/>
        <v>242</v>
      </c>
      <c r="D2921" s="11">
        <f t="shared" si="421"/>
        <v>1154.0597191480931</v>
      </c>
      <c r="E2921" s="24">
        <f t="shared" si="413"/>
        <v>1153.1900021848282</v>
      </c>
      <c r="F2921" s="24">
        <f t="shared" si="415"/>
        <v>21.742924081621595</v>
      </c>
      <c r="G2921" s="14">
        <f t="shared" si="416"/>
        <v>400.91142701927976</v>
      </c>
      <c r="H2921" s="24">
        <f t="shared" si="414"/>
        <v>650</v>
      </c>
      <c r="I2921" s="12">
        <f t="shared" si="417"/>
        <v>5.1951350427100015E-2</v>
      </c>
      <c r="J2921" s="3">
        <f t="shared" si="418"/>
        <v>0.7</v>
      </c>
    </row>
    <row r="2922" spans="2:10" x14ac:dyDescent="0.25">
      <c r="B2922" s="3">
        <f t="shared" si="419"/>
        <v>14525</v>
      </c>
      <c r="C2922" s="14">
        <f t="shared" si="420"/>
        <v>242.08333333333334</v>
      </c>
      <c r="D2922" s="11">
        <f t="shared" si="421"/>
        <v>1154.1112785416703</v>
      </c>
      <c r="E2922" s="24">
        <f t="shared" si="413"/>
        <v>1153.2419535352553</v>
      </c>
      <c r="F2922" s="24">
        <f t="shared" si="415"/>
        <v>21.733125160375266</v>
      </c>
      <c r="G2922" s="14">
        <f t="shared" si="416"/>
        <v>400.77436248039396</v>
      </c>
      <c r="H2922" s="24">
        <f t="shared" si="414"/>
        <v>650</v>
      </c>
      <c r="I2922" s="12">
        <f t="shared" si="417"/>
        <v>5.1933298430090195E-2</v>
      </c>
      <c r="J2922" s="3">
        <f t="shared" si="418"/>
        <v>0.7</v>
      </c>
    </row>
    <row r="2923" spans="2:10" x14ac:dyDescent="0.25">
      <c r="B2923" s="3">
        <f t="shared" si="419"/>
        <v>14530</v>
      </c>
      <c r="C2923" s="14">
        <f t="shared" si="420"/>
        <v>242.16666666666666</v>
      </c>
      <c r="D2923" s="11">
        <f t="shared" si="421"/>
        <v>1154.1628201989574</v>
      </c>
      <c r="E2923" s="24">
        <f t="shared" si="413"/>
        <v>1153.2938868336855</v>
      </c>
      <c r="F2923" s="24">
        <f t="shared" si="415"/>
        <v>21.723334131797856</v>
      </c>
      <c r="G2923" s="14">
        <f t="shared" si="416"/>
        <v>400.63739226275823</v>
      </c>
      <c r="H2923" s="24">
        <f t="shared" si="414"/>
        <v>650</v>
      </c>
      <c r="I2923" s="12">
        <f t="shared" si="417"/>
        <v>5.1915258996895489E-2</v>
      </c>
      <c r="J2923" s="3">
        <f t="shared" si="418"/>
        <v>0.7</v>
      </c>
    </row>
    <row r="2924" spans="2:10" x14ac:dyDescent="0.25">
      <c r="B2924" s="3">
        <f t="shared" si="419"/>
        <v>14535</v>
      </c>
      <c r="C2924" s="14">
        <f t="shared" si="420"/>
        <v>242.25</v>
      </c>
      <c r="D2924" s="11">
        <f t="shared" si="421"/>
        <v>1154.2143441321532</v>
      </c>
      <c r="E2924" s="24">
        <f t="shared" si="413"/>
        <v>1153.3458020926823</v>
      </c>
      <c r="F2924" s="24">
        <f t="shared" si="415"/>
        <v>21.713550986771679</v>
      </c>
      <c r="G2924" s="14">
        <f t="shared" si="416"/>
        <v>400.50051626906622</v>
      </c>
      <c r="H2924" s="24">
        <f t="shared" si="414"/>
        <v>650</v>
      </c>
      <c r="I2924" s="12">
        <f t="shared" si="417"/>
        <v>5.1897232114434588E-2</v>
      </c>
      <c r="J2924" s="3">
        <f t="shared" si="418"/>
        <v>0.7</v>
      </c>
    </row>
    <row r="2925" spans="2:10" x14ac:dyDescent="0.25">
      <c r="B2925" s="3">
        <f t="shared" si="419"/>
        <v>14540</v>
      </c>
      <c r="C2925" s="14">
        <f t="shared" si="420"/>
        <v>242.33333333333334</v>
      </c>
      <c r="D2925" s="11">
        <f t="shared" si="421"/>
        <v>1154.2658503534431</v>
      </c>
      <c r="E2925" s="24">
        <f t="shared" si="413"/>
        <v>1153.3976993247968</v>
      </c>
      <c r="F2925" s="24">
        <f t="shared" si="415"/>
        <v>21.703775716156315</v>
      </c>
      <c r="G2925" s="14">
        <f t="shared" si="416"/>
        <v>400.3637344014108</v>
      </c>
      <c r="H2925" s="24">
        <f t="shared" si="414"/>
        <v>650</v>
      </c>
      <c r="I2925" s="12">
        <f t="shared" si="417"/>
        <v>5.1879217769549534E-2</v>
      </c>
      <c r="J2925" s="3">
        <f t="shared" si="418"/>
        <v>0.7</v>
      </c>
    </row>
    <row r="2926" spans="2:10" x14ac:dyDescent="0.25">
      <c r="B2926" s="3">
        <f t="shared" si="419"/>
        <v>14545</v>
      </c>
      <c r="C2926" s="14">
        <f t="shared" si="420"/>
        <v>242.41666666666666</v>
      </c>
      <c r="D2926" s="11">
        <f t="shared" si="421"/>
        <v>1154.3173388750001</v>
      </c>
      <c r="E2926" s="24">
        <f t="shared" si="413"/>
        <v>1153.4495785425663</v>
      </c>
      <c r="F2926" s="24">
        <f t="shared" si="415"/>
        <v>21.694008310845447</v>
      </c>
      <c r="G2926" s="14">
        <f t="shared" si="416"/>
        <v>400.22704656256303</v>
      </c>
      <c r="H2926" s="24">
        <f t="shared" si="414"/>
        <v>650</v>
      </c>
      <c r="I2926" s="12">
        <f t="shared" si="417"/>
        <v>5.1861215949169939E-2</v>
      </c>
      <c r="J2926" s="3">
        <f t="shared" si="418"/>
        <v>0.7</v>
      </c>
    </row>
    <row r="2927" spans="2:10" x14ac:dyDescent="0.25">
      <c r="B2927" s="3">
        <f t="shared" si="419"/>
        <v>14550</v>
      </c>
      <c r="C2927" s="14">
        <f t="shared" si="420"/>
        <v>242.5</v>
      </c>
      <c r="D2927" s="11">
        <f t="shared" si="421"/>
        <v>1154.3688097089851</v>
      </c>
      <c r="E2927" s="24">
        <f t="shared" si="413"/>
        <v>1153.5014397585155</v>
      </c>
      <c r="F2927" s="24">
        <f t="shared" si="415"/>
        <v>21.684248761738445</v>
      </c>
      <c r="G2927" s="14">
        <f t="shared" si="416"/>
        <v>400.09045265513907</v>
      </c>
      <c r="H2927" s="24">
        <f t="shared" si="414"/>
        <v>650</v>
      </c>
      <c r="I2927" s="12">
        <f t="shared" si="417"/>
        <v>5.1843226640207067E-2</v>
      </c>
      <c r="J2927" s="3">
        <f t="shared" si="418"/>
        <v>0.7</v>
      </c>
    </row>
    <row r="2928" spans="2:10" x14ac:dyDescent="0.25">
      <c r="B2928" s="3">
        <f t="shared" si="419"/>
        <v>14555</v>
      </c>
      <c r="C2928" s="14">
        <f t="shared" si="420"/>
        <v>242.58333333333334</v>
      </c>
      <c r="D2928" s="11">
        <f t="shared" si="421"/>
        <v>1154.4202628675459</v>
      </c>
      <c r="E2928" s="24">
        <f t="shared" si="413"/>
        <v>1153.5532829851556</v>
      </c>
      <c r="F2928" s="24">
        <f t="shared" si="415"/>
        <v>21.674497059757414</v>
      </c>
      <c r="G2928" s="14">
        <f t="shared" si="416"/>
        <v>399.95395258210374</v>
      </c>
      <c r="H2928" s="24">
        <f t="shared" si="414"/>
        <v>650</v>
      </c>
      <c r="I2928" s="12">
        <f t="shared" si="417"/>
        <v>5.1825249829617823E-2</v>
      </c>
      <c r="J2928" s="3">
        <f t="shared" si="418"/>
        <v>0.7</v>
      </c>
    </row>
    <row r="2929" spans="2:10" x14ac:dyDescent="0.25">
      <c r="B2929" s="3">
        <f t="shared" si="419"/>
        <v>14560</v>
      </c>
      <c r="C2929" s="14">
        <f t="shared" si="420"/>
        <v>242.66666666666666</v>
      </c>
      <c r="D2929" s="11">
        <f t="shared" si="421"/>
        <v>1154.4716983628182</v>
      </c>
      <c r="E2929" s="24">
        <f t="shared" si="413"/>
        <v>1153.6051082349852</v>
      </c>
      <c r="F2929" s="24">
        <f t="shared" si="415"/>
        <v>21.66475319582446</v>
      </c>
      <c r="G2929" s="14">
        <f t="shared" si="416"/>
        <v>399.81754624628644</v>
      </c>
      <c r="H2929" s="24">
        <f t="shared" si="414"/>
        <v>650</v>
      </c>
      <c r="I2929" s="12">
        <f t="shared" si="417"/>
        <v>5.1807285504342479E-2</v>
      </c>
      <c r="J2929" s="3">
        <f t="shared" si="418"/>
        <v>0.7</v>
      </c>
    </row>
    <row r="2930" spans="2:10" x14ac:dyDescent="0.25">
      <c r="B2930" s="3">
        <f t="shared" si="419"/>
        <v>14565</v>
      </c>
      <c r="C2930" s="14">
        <f t="shared" si="420"/>
        <v>242.75</v>
      </c>
      <c r="D2930" s="11">
        <f t="shared" si="421"/>
        <v>1154.5231162069249</v>
      </c>
      <c r="E2930" s="24">
        <f t="shared" si="413"/>
        <v>1153.6569155204895</v>
      </c>
      <c r="F2930" s="24">
        <f t="shared" si="415"/>
        <v>21.655017160884427</v>
      </c>
      <c r="G2930" s="14">
        <f t="shared" si="416"/>
        <v>399.68123355086516</v>
      </c>
      <c r="H2930" s="24">
        <f t="shared" si="414"/>
        <v>650</v>
      </c>
      <c r="I2930" s="12">
        <f t="shared" si="417"/>
        <v>5.1789333651366946E-2</v>
      </c>
      <c r="J2930" s="3">
        <f t="shared" si="418"/>
        <v>0.7</v>
      </c>
    </row>
    <row r="2931" spans="2:10" x14ac:dyDescent="0.25">
      <c r="B2931" s="3">
        <f t="shared" si="419"/>
        <v>14570</v>
      </c>
      <c r="C2931" s="14">
        <f t="shared" si="420"/>
        <v>242.83333333333334</v>
      </c>
      <c r="D2931" s="11">
        <f t="shared" si="421"/>
        <v>1154.5745164119767</v>
      </c>
      <c r="E2931" s="24">
        <f t="shared" si="413"/>
        <v>1153.7087048541409</v>
      </c>
      <c r="F2931" s="24">
        <f t="shared" si="415"/>
        <v>21.645288945893526</v>
      </c>
      <c r="G2931" s="14">
        <f t="shared" si="416"/>
        <v>399.54501439897933</v>
      </c>
      <c r="H2931" s="24">
        <f t="shared" si="414"/>
        <v>650</v>
      </c>
      <c r="I2931" s="12">
        <f t="shared" si="417"/>
        <v>5.1771394257673783E-2</v>
      </c>
      <c r="J2931" s="3">
        <f t="shared" si="418"/>
        <v>0.7</v>
      </c>
    </row>
    <row r="2932" spans="2:10" x14ac:dyDescent="0.25">
      <c r="B2932" s="3">
        <f t="shared" si="419"/>
        <v>14575</v>
      </c>
      <c r="C2932" s="14">
        <f t="shared" si="420"/>
        <v>242.91666666666666</v>
      </c>
      <c r="D2932" s="11">
        <f t="shared" si="421"/>
        <v>1154.6258989900716</v>
      </c>
      <c r="E2932" s="24">
        <f t="shared" ref="E2932:E2969" si="422">E2931+I2931</f>
        <v>1153.7604762483986</v>
      </c>
      <c r="F2932" s="24">
        <f t="shared" si="415"/>
        <v>21.635568541825023</v>
      </c>
      <c r="G2932" s="14">
        <f t="shared" si="416"/>
        <v>399.40888869419462</v>
      </c>
      <c r="H2932" s="24">
        <f t="shared" ref="H2932:H2969" si="423">IF(E2932&lt;600,425+0.773*E2932-1.69/1000*E2932^2+2.22/1000^2*E2932^3,IF(E2932&lt;735,666+13002/(738-E2932),IF(E2932&lt;900,545+17820/(E2932-731),650)))</f>
        <v>650</v>
      </c>
      <c r="I2932" s="12">
        <f t="shared" si="417"/>
        <v>5.1753467310300061E-2</v>
      </c>
      <c r="J2932" s="3">
        <f t="shared" si="418"/>
        <v>0.7</v>
      </c>
    </row>
    <row r="2933" spans="2:10" x14ac:dyDescent="0.25">
      <c r="B2933" s="3">
        <f t="shared" si="419"/>
        <v>14580</v>
      </c>
      <c r="C2933" s="14">
        <f t="shared" si="420"/>
        <v>243</v>
      </c>
      <c r="D2933" s="11">
        <f t="shared" si="421"/>
        <v>1154.6772639532956</v>
      </c>
      <c r="E2933" s="24">
        <f t="shared" si="422"/>
        <v>1153.812229715709</v>
      </c>
      <c r="F2933" s="24">
        <f t="shared" si="415"/>
        <v>21.625855939663552</v>
      </c>
      <c r="G2933" s="14">
        <f t="shared" si="416"/>
        <v>399.27285633990226</v>
      </c>
      <c r="H2933" s="24">
        <f t="shared" si="423"/>
        <v>650</v>
      </c>
      <c r="I2933" s="12">
        <f t="shared" si="417"/>
        <v>5.1735552796262775E-2</v>
      </c>
      <c r="J2933" s="3">
        <f t="shared" si="418"/>
        <v>0.7</v>
      </c>
    </row>
    <row r="2934" spans="2:10" x14ac:dyDescent="0.25">
      <c r="B2934" s="3">
        <f t="shared" si="419"/>
        <v>14585</v>
      </c>
      <c r="C2934" s="14">
        <f t="shared" si="420"/>
        <v>243.08333333333334</v>
      </c>
      <c r="D2934" s="11">
        <f t="shared" si="421"/>
        <v>1154.7286113137216</v>
      </c>
      <c r="E2934" s="24">
        <f t="shared" si="422"/>
        <v>1153.8639652685054</v>
      </c>
      <c r="F2934" s="24">
        <f t="shared" si="415"/>
        <v>21.616151130405115</v>
      </c>
      <c r="G2934" s="14">
        <f t="shared" si="416"/>
        <v>399.13691723978434</v>
      </c>
      <c r="H2934" s="24">
        <f t="shared" si="423"/>
        <v>650</v>
      </c>
      <c r="I2934" s="12">
        <f t="shared" si="417"/>
        <v>5.1717650702616101E-2</v>
      </c>
      <c r="J2934" s="3">
        <f t="shared" si="418"/>
        <v>0.7</v>
      </c>
    </row>
    <row r="2935" spans="2:10" x14ac:dyDescent="0.25">
      <c r="B2935" s="3">
        <f t="shared" si="419"/>
        <v>14590</v>
      </c>
      <c r="C2935" s="14">
        <f t="shared" si="420"/>
        <v>243.16666666666666</v>
      </c>
      <c r="D2935" s="11">
        <f t="shared" si="421"/>
        <v>1154.7799410834104</v>
      </c>
      <c r="E2935" s="24">
        <f t="shared" si="422"/>
        <v>1153.9156829192079</v>
      </c>
      <c r="F2935" s="24">
        <f t="shared" si="415"/>
        <v>21.606454105062767</v>
      </c>
      <c r="G2935" s="14">
        <f t="shared" si="416"/>
        <v>399.00107129767781</v>
      </c>
      <c r="H2935" s="24">
        <f t="shared" si="423"/>
        <v>650</v>
      </c>
      <c r="I2935" s="12">
        <f t="shared" si="417"/>
        <v>5.1699761016435322E-2</v>
      </c>
      <c r="J2935" s="3">
        <f t="shared" si="418"/>
        <v>0.7</v>
      </c>
    </row>
    <row r="2936" spans="2:10" x14ac:dyDescent="0.25">
      <c r="B2936" s="3">
        <f t="shared" si="419"/>
        <v>14595</v>
      </c>
      <c r="C2936" s="14">
        <f t="shared" si="420"/>
        <v>243.25</v>
      </c>
      <c r="D2936" s="11">
        <f t="shared" si="421"/>
        <v>1154.8312532744108</v>
      </c>
      <c r="E2936" s="24">
        <f t="shared" si="422"/>
        <v>1153.9673826802243</v>
      </c>
      <c r="F2936" s="24">
        <f t="shared" si="415"/>
        <v>21.596764854660933</v>
      </c>
      <c r="G2936" s="14">
        <f t="shared" si="416"/>
        <v>398.86531841743908</v>
      </c>
      <c r="H2936" s="24">
        <f t="shared" si="423"/>
        <v>650</v>
      </c>
      <c r="I2936" s="12">
        <f t="shared" si="417"/>
        <v>5.1681883724799517E-2</v>
      </c>
      <c r="J2936" s="3">
        <f t="shared" si="418"/>
        <v>0.7</v>
      </c>
    </row>
    <row r="2937" spans="2:10" x14ac:dyDescent="0.25">
      <c r="B2937" s="3">
        <f t="shared" si="419"/>
        <v>14600</v>
      </c>
      <c r="C2937" s="14">
        <f t="shared" si="420"/>
        <v>243.33333333333334</v>
      </c>
      <c r="D2937" s="11">
        <f t="shared" si="421"/>
        <v>1154.8825478987587</v>
      </c>
      <c r="E2937" s="24">
        <f t="shared" si="422"/>
        <v>1154.0190645639491</v>
      </c>
      <c r="F2937" s="24">
        <f t="shared" si="415"/>
        <v>21.587083370241089</v>
      </c>
      <c r="G2937" s="14">
        <f t="shared" si="416"/>
        <v>398.72965850317649</v>
      </c>
      <c r="H2937" s="24">
        <f t="shared" si="423"/>
        <v>650</v>
      </c>
      <c r="I2937" s="12">
        <f t="shared" si="417"/>
        <v>5.1664018814820835E-2</v>
      </c>
      <c r="J2937" s="3">
        <f t="shared" si="418"/>
        <v>0.7</v>
      </c>
    </row>
    <row r="2938" spans="2:10" x14ac:dyDescent="0.25">
      <c r="B2938" s="3">
        <f t="shared" si="419"/>
        <v>14605</v>
      </c>
      <c r="C2938" s="14">
        <f t="shared" si="420"/>
        <v>243.41666666666666</v>
      </c>
      <c r="D2938" s="11">
        <f t="shared" si="421"/>
        <v>1154.9338249684777</v>
      </c>
      <c r="E2938" s="24">
        <f t="shared" si="422"/>
        <v>1154.0707285827639</v>
      </c>
      <c r="F2938" s="24">
        <f t="shared" si="415"/>
        <v>21.577409642844714</v>
      </c>
      <c r="G2938" s="14">
        <f t="shared" si="416"/>
        <v>398.59409145895967</v>
      </c>
      <c r="H2938" s="24">
        <f t="shared" si="423"/>
        <v>650</v>
      </c>
      <c r="I2938" s="12">
        <f t="shared" si="417"/>
        <v>5.1646166273606658E-2</v>
      </c>
      <c r="J2938" s="3">
        <f t="shared" si="418"/>
        <v>0.7</v>
      </c>
    </row>
    <row r="2939" spans="2:10" x14ac:dyDescent="0.25">
      <c r="B2939" s="3">
        <f t="shared" si="419"/>
        <v>14610</v>
      </c>
      <c r="C2939" s="14">
        <f t="shared" si="420"/>
        <v>243.5</v>
      </c>
      <c r="D2939" s="11">
        <f t="shared" si="421"/>
        <v>1154.9850844955793</v>
      </c>
      <c r="E2939" s="24">
        <f t="shared" si="422"/>
        <v>1154.1223747490376</v>
      </c>
      <c r="F2939" s="24">
        <f t="shared" si="415"/>
        <v>21.567743663541705</v>
      </c>
      <c r="G2939" s="14">
        <f t="shared" si="416"/>
        <v>398.45861718905189</v>
      </c>
      <c r="H2939" s="24">
        <f t="shared" si="423"/>
        <v>650</v>
      </c>
      <c r="I2939" s="12">
        <f t="shared" si="417"/>
        <v>5.1628326088291668E-2</v>
      </c>
      <c r="J2939" s="3">
        <f t="shared" si="418"/>
        <v>0.7</v>
      </c>
    </row>
    <row r="2940" spans="2:10" x14ac:dyDescent="0.25">
      <c r="B2940" s="3">
        <f t="shared" si="419"/>
        <v>14615</v>
      </c>
      <c r="C2940" s="14">
        <f t="shared" si="420"/>
        <v>243.58333333333334</v>
      </c>
      <c r="D2940" s="11">
        <f t="shared" si="421"/>
        <v>1155.0363264920625</v>
      </c>
      <c r="E2940" s="24">
        <f t="shared" si="422"/>
        <v>1154.1740030751259</v>
      </c>
      <c r="F2940" s="24">
        <f t="shared" si="415"/>
        <v>21.558085423413331</v>
      </c>
      <c r="G2940" s="14">
        <f t="shared" si="416"/>
        <v>398.32323559808486</v>
      </c>
      <c r="H2940" s="24">
        <f t="shared" si="423"/>
        <v>650</v>
      </c>
      <c r="I2940" s="12">
        <f t="shared" si="417"/>
        <v>5.1610498246057235E-2</v>
      </c>
      <c r="J2940" s="3">
        <f t="shared" si="418"/>
        <v>0.7</v>
      </c>
    </row>
    <row r="2941" spans="2:10" x14ac:dyDescent="0.25">
      <c r="B2941" s="3">
        <f t="shared" si="419"/>
        <v>14620</v>
      </c>
      <c r="C2941" s="14">
        <f t="shared" si="420"/>
        <v>243.66666666666666</v>
      </c>
      <c r="D2941" s="11">
        <f t="shared" si="421"/>
        <v>1155.0875509699142</v>
      </c>
      <c r="E2941" s="24">
        <f t="shared" si="422"/>
        <v>1154.2256135733719</v>
      </c>
      <c r="F2941" s="24">
        <f t="shared" si="415"/>
        <v>21.548434913557912</v>
      </c>
      <c r="G2941" s="14">
        <f t="shared" si="416"/>
        <v>398.18794659059324</v>
      </c>
      <c r="H2941" s="24">
        <f t="shared" si="423"/>
        <v>650</v>
      </c>
      <c r="I2941" s="12">
        <f t="shared" si="417"/>
        <v>5.1592682734074885E-2</v>
      </c>
      <c r="J2941" s="3">
        <f t="shared" si="418"/>
        <v>0.7</v>
      </c>
    </row>
    <row r="2942" spans="2:10" x14ac:dyDescent="0.25">
      <c r="B2942" s="3">
        <f t="shared" si="419"/>
        <v>14625</v>
      </c>
      <c r="C2942" s="14">
        <f t="shared" si="420"/>
        <v>243.75</v>
      </c>
      <c r="D2942" s="11">
        <f t="shared" si="421"/>
        <v>1155.1387579411087</v>
      </c>
      <c r="E2942" s="24">
        <f t="shared" si="422"/>
        <v>1154.277206256106</v>
      </c>
      <c r="F2942" s="24">
        <f t="shared" si="415"/>
        <v>21.538792125068085</v>
      </c>
      <c r="G2942" s="14">
        <f t="shared" si="416"/>
        <v>398.05275007116984</v>
      </c>
      <c r="H2942" s="24">
        <f t="shared" si="423"/>
        <v>650</v>
      </c>
      <c r="I2942" s="12">
        <f t="shared" si="417"/>
        <v>5.1574879539522597E-2</v>
      </c>
      <c r="J2942" s="3">
        <f t="shared" si="418"/>
        <v>0.7</v>
      </c>
    </row>
    <row r="2943" spans="2:10" x14ac:dyDescent="0.25">
      <c r="B2943" s="3">
        <f t="shared" si="419"/>
        <v>14630</v>
      </c>
      <c r="C2943" s="14">
        <f t="shared" si="420"/>
        <v>243.83333333333334</v>
      </c>
      <c r="D2943" s="11">
        <f t="shared" si="421"/>
        <v>1155.189947417608</v>
      </c>
      <c r="E2943" s="24">
        <f t="shared" si="422"/>
        <v>1154.3287811356454</v>
      </c>
      <c r="F2943" s="24">
        <f t="shared" si="415"/>
        <v>21.529157049064906</v>
      </c>
      <c r="G2943" s="14">
        <f t="shared" si="416"/>
        <v>397.91764594464007</v>
      </c>
      <c r="H2943" s="24">
        <f t="shared" si="423"/>
        <v>650</v>
      </c>
      <c r="I2943" s="12">
        <f t="shared" si="417"/>
        <v>5.155708864961045E-2</v>
      </c>
      <c r="J2943" s="3">
        <f t="shared" si="418"/>
        <v>0.7</v>
      </c>
    </row>
    <row r="2944" spans="2:10" x14ac:dyDescent="0.25">
      <c r="B2944" s="3">
        <f t="shared" si="419"/>
        <v>14635</v>
      </c>
      <c r="C2944" s="14">
        <f t="shared" si="420"/>
        <v>243.91666666666666</v>
      </c>
      <c r="D2944" s="11">
        <f t="shared" si="421"/>
        <v>1155.2411194113627</v>
      </c>
      <c r="E2944" s="24">
        <f t="shared" si="422"/>
        <v>1154.380338224295</v>
      </c>
      <c r="F2944" s="24">
        <f t="shared" si="415"/>
        <v>21.519529676692173</v>
      </c>
      <c r="G2944" s="14">
        <f t="shared" si="416"/>
        <v>397.7826341162363</v>
      </c>
      <c r="H2944" s="24">
        <f t="shared" si="423"/>
        <v>650</v>
      </c>
      <c r="I2944" s="12">
        <f t="shared" si="417"/>
        <v>5.1539310051601311E-2</v>
      </c>
      <c r="J2944" s="3">
        <f t="shared" si="418"/>
        <v>0.7</v>
      </c>
    </row>
    <row r="2945" spans="2:10" x14ac:dyDescent="0.25">
      <c r="B2945" s="3">
        <f t="shared" si="419"/>
        <v>14640</v>
      </c>
      <c r="C2945" s="14">
        <f t="shared" si="420"/>
        <v>244</v>
      </c>
      <c r="D2945" s="11">
        <f t="shared" si="421"/>
        <v>1155.2922739343096</v>
      </c>
      <c r="E2945" s="24">
        <f t="shared" si="422"/>
        <v>1154.4318775343465</v>
      </c>
      <c r="F2945" s="24">
        <f t="shared" si="415"/>
        <v>21.509909999076626</v>
      </c>
      <c r="G2945" s="14">
        <f t="shared" si="416"/>
        <v>397.64771449060953</v>
      </c>
      <c r="H2945" s="24">
        <f t="shared" si="423"/>
        <v>650</v>
      </c>
      <c r="I2945" s="12">
        <f t="shared" si="417"/>
        <v>5.1521543732684513E-2</v>
      </c>
      <c r="J2945" s="3">
        <f t="shared" si="418"/>
        <v>0.7</v>
      </c>
    </row>
    <row r="2946" spans="2:10" x14ac:dyDescent="0.25">
      <c r="B2946" s="3">
        <f t="shared" si="419"/>
        <v>14645</v>
      </c>
      <c r="C2946" s="14">
        <f t="shared" si="420"/>
        <v>244.08333333333334</v>
      </c>
      <c r="D2946" s="11">
        <f t="shared" si="421"/>
        <v>1155.3434109983748</v>
      </c>
      <c r="E2946" s="24">
        <f t="shared" si="422"/>
        <v>1154.4833990780792</v>
      </c>
      <c r="F2946" s="24">
        <f t="shared" si="415"/>
        <v>21.500298007390484</v>
      </c>
      <c r="G2946" s="14">
        <f t="shared" si="416"/>
        <v>397.51288697332154</v>
      </c>
      <c r="H2946" s="24">
        <f t="shared" si="423"/>
        <v>650</v>
      </c>
      <c r="I2946" s="12">
        <f t="shared" si="417"/>
        <v>5.1503789680166924E-2</v>
      </c>
      <c r="J2946" s="3">
        <f t="shared" si="418"/>
        <v>0.7</v>
      </c>
    </row>
    <row r="2947" spans="2:10" x14ac:dyDescent="0.25">
      <c r="B2947" s="3">
        <f t="shared" si="419"/>
        <v>14650</v>
      </c>
      <c r="C2947" s="14">
        <f t="shared" si="420"/>
        <v>244.16666666666666</v>
      </c>
      <c r="D2947" s="11">
        <f t="shared" si="421"/>
        <v>1155.3945306154712</v>
      </c>
      <c r="E2947" s="24">
        <f t="shared" si="422"/>
        <v>1154.5349028677592</v>
      </c>
      <c r="F2947" s="24">
        <f t="shared" si="415"/>
        <v>21.490693692800278</v>
      </c>
      <c r="G2947" s="14">
        <f t="shared" si="416"/>
        <v>397.37815146960475</v>
      </c>
      <c r="H2947" s="24">
        <f t="shared" si="423"/>
        <v>650</v>
      </c>
      <c r="I2947" s="12">
        <f t="shared" si="417"/>
        <v>5.1486047881314223E-2</v>
      </c>
      <c r="J2947" s="3">
        <f t="shared" si="418"/>
        <v>0.7</v>
      </c>
    </row>
    <row r="2948" spans="2:10" x14ac:dyDescent="0.25">
      <c r="B2948" s="3">
        <f t="shared" si="419"/>
        <v>14655</v>
      </c>
      <c r="C2948" s="14">
        <f t="shared" si="420"/>
        <v>244.25</v>
      </c>
      <c r="D2948" s="11">
        <f t="shared" si="421"/>
        <v>1155.4456327975006</v>
      </c>
      <c r="E2948" s="24">
        <f t="shared" si="422"/>
        <v>1154.5863889156406</v>
      </c>
      <c r="F2948" s="24">
        <f t="shared" si="415"/>
        <v>21.481097046500963</v>
      </c>
      <c r="G2948" s="14">
        <f t="shared" si="416"/>
        <v>397.24350788519541</v>
      </c>
      <c r="H2948" s="24">
        <f t="shared" si="423"/>
        <v>650</v>
      </c>
      <c r="I2948" s="12">
        <f t="shared" si="417"/>
        <v>5.1468318323457517E-2</v>
      </c>
      <c r="J2948" s="3">
        <f t="shared" si="418"/>
        <v>0.7</v>
      </c>
    </row>
    <row r="2949" spans="2:10" x14ac:dyDescent="0.25">
      <c r="B2949" s="3">
        <f t="shared" si="419"/>
        <v>14660</v>
      </c>
      <c r="C2949" s="14">
        <f t="shared" si="420"/>
        <v>244.33333333333334</v>
      </c>
      <c r="D2949" s="11">
        <f t="shared" si="421"/>
        <v>1155.4967175563506</v>
      </c>
      <c r="E2949" s="24">
        <f t="shared" si="422"/>
        <v>1154.637857233964</v>
      </c>
      <c r="F2949" s="24">
        <f t="shared" si="415"/>
        <v>21.471508059664757</v>
      </c>
      <c r="G2949" s="14">
        <f t="shared" si="416"/>
        <v>397.10895612511268</v>
      </c>
      <c r="H2949" s="24">
        <f t="shared" si="423"/>
        <v>650</v>
      </c>
      <c r="I2949" s="12">
        <f t="shared" si="417"/>
        <v>5.1450600993836984E-2</v>
      </c>
      <c r="J2949" s="3">
        <f t="shared" si="418"/>
        <v>0.7</v>
      </c>
    </row>
    <row r="2950" spans="2:10" x14ac:dyDescent="0.25">
      <c r="B2950" s="3">
        <f t="shared" si="419"/>
        <v>14665</v>
      </c>
      <c r="C2950" s="14">
        <f t="shared" si="420"/>
        <v>244.41666666666666</v>
      </c>
      <c r="D2950" s="11">
        <f t="shared" si="421"/>
        <v>1155.5477849038991</v>
      </c>
      <c r="E2950" s="24">
        <f t="shared" si="422"/>
        <v>1154.6893078349578</v>
      </c>
      <c r="F2950" s="24">
        <f t="shared" si="415"/>
        <v>21.461926723532088</v>
      </c>
      <c r="G2950" s="14">
        <f t="shared" si="416"/>
        <v>396.97449609569361</v>
      </c>
      <c r="H2950" s="24">
        <f t="shared" si="423"/>
        <v>650</v>
      </c>
      <c r="I2950" s="12">
        <f t="shared" si="417"/>
        <v>5.1432895879863154E-2</v>
      </c>
      <c r="J2950" s="3">
        <f t="shared" si="418"/>
        <v>0.7</v>
      </c>
    </row>
    <row r="2951" spans="2:10" x14ac:dyDescent="0.25">
      <c r="B2951" s="3">
        <f t="shared" si="419"/>
        <v>14670</v>
      </c>
      <c r="C2951" s="14">
        <f t="shared" si="420"/>
        <v>244.5</v>
      </c>
      <c r="D2951" s="11">
        <f t="shared" si="421"/>
        <v>1155.5988348520102</v>
      </c>
      <c r="E2951" s="24">
        <f t="shared" si="422"/>
        <v>1154.7407407308376</v>
      </c>
      <c r="F2951" s="24">
        <f t="shared" si="415"/>
        <v>21.452353029314963</v>
      </c>
      <c r="G2951" s="14">
        <f t="shared" si="416"/>
        <v>396.84012770265508</v>
      </c>
      <c r="H2951" s="24">
        <f t="shared" si="423"/>
        <v>650</v>
      </c>
      <c r="I2951" s="12">
        <f t="shared" si="417"/>
        <v>5.1415202968866855E-2</v>
      </c>
      <c r="J2951" s="3">
        <f t="shared" si="418"/>
        <v>0.7</v>
      </c>
    </row>
    <row r="2952" spans="2:10" x14ac:dyDescent="0.25">
      <c r="B2952" s="3">
        <f t="shared" si="419"/>
        <v>14675</v>
      </c>
      <c r="C2952" s="14">
        <f t="shared" si="420"/>
        <v>244.58333333333334</v>
      </c>
      <c r="D2952" s="11">
        <f t="shared" si="421"/>
        <v>1155.6498674125367</v>
      </c>
      <c r="E2952" s="24">
        <f t="shared" si="422"/>
        <v>1154.7921559338065</v>
      </c>
      <c r="F2952" s="24">
        <f t="shared" si="415"/>
        <v>21.442786968253813</v>
      </c>
      <c r="G2952" s="14">
        <f t="shared" si="416"/>
        <v>396.70585085190777</v>
      </c>
      <c r="H2952" s="24">
        <f t="shared" si="423"/>
        <v>650</v>
      </c>
      <c r="I2952" s="12">
        <f t="shared" si="417"/>
        <v>5.1397522248206221E-2</v>
      </c>
      <c r="J2952" s="3">
        <f t="shared" si="418"/>
        <v>0.7</v>
      </c>
    </row>
    <row r="2953" spans="2:10" x14ac:dyDescent="0.25">
      <c r="B2953" s="3">
        <f t="shared" si="419"/>
        <v>14680</v>
      </c>
      <c r="C2953" s="14">
        <f t="shared" si="420"/>
        <v>244.66666666666666</v>
      </c>
      <c r="D2953" s="11">
        <f t="shared" si="421"/>
        <v>1155.7008825973182</v>
      </c>
      <c r="E2953" s="24">
        <f t="shared" si="422"/>
        <v>1154.8435534560547</v>
      </c>
      <c r="F2953" s="24">
        <f t="shared" si="415"/>
        <v>21.433228531589066</v>
      </c>
      <c r="G2953" s="14">
        <f t="shared" si="416"/>
        <v>396.57166544951735</v>
      </c>
      <c r="H2953" s="24">
        <f t="shared" si="423"/>
        <v>650</v>
      </c>
      <c r="I2953" s="12">
        <f t="shared" si="417"/>
        <v>5.1379853705258445E-2</v>
      </c>
      <c r="J2953" s="3">
        <f t="shared" si="418"/>
        <v>0.7</v>
      </c>
    </row>
    <row r="2954" spans="2:10" x14ac:dyDescent="0.25">
      <c r="B2954" s="3">
        <f t="shared" si="419"/>
        <v>14685</v>
      </c>
      <c r="C2954" s="14">
        <f t="shared" si="420"/>
        <v>244.75</v>
      </c>
      <c r="D2954" s="11">
        <f t="shared" si="421"/>
        <v>1155.7518804181839</v>
      </c>
      <c r="E2954" s="24">
        <f t="shared" si="422"/>
        <v>1154.8949333097598</v>
      </c>
      <c r="F2954" s="24">
        <f t="shared" si="415"/>
        <v>21.423677710600941</v>
      </c>
      <c r="G2954" s="14">
        <f t="shared" si="416"/>
        <v>396.43757140201467</v>
      </c>
      <c r="H2954" s="24">
        <f t="shared" si="423"/>
        <v>650</v>
      </c>
      <c r="I2954" s="12">
        <f t="shared" si="417"/>
        <v>5.1362197327462771E-2</v>
      </c>
      <c r="J2954" s="3">
        <f t="shared" si="418"/>
        <v>0.7</v>
      </c>
    </row>
    <row r="2955" spans="2:10" x14ac:dyDescent="0.25">
      <c r="B2955" s="3">
        <f t="shared" si="419"/>
        <v>14690</v>
      </c>
      <c r="C2955" s="14">
        <f t="shared" si="420"/>
        <v>244.83333333333334</v>
      </c>
      <c r="D2955" s="11">
        <f t="shared" si="421"/>
        <v>1155.8028608869495</v>
      </c>
      <c r="E2955" s="24">
        <f t="shared" si="422"/>
        <v>1154.9462955070874</v>
      </c>
      <c r="F2955" s="24">
        <f t="shared" si="415"/>
        <v>21.414134496552606</v>
      </c>
      <c r="G2955" s="14">
        <f t="shared" si="416"/>
        <v>396.30356861550416</v>
      </c>
      <c r="H2955" s="24">
        <f t="shared" si="423"/>
        <v>650</v>
      </c>
      <c r="I2955" s="12">
        <f t="shared" si="417"/>
        <v>5.1344553102203962E-2</v>
      </c>
      <c r="J2955" s="3">
        <f t="shared" si="418"/>
        <v>0.7</v>
      </c>
    </row>
    <row r="2956" spans="2:10" x14ac:dyDescent="0.25">
      <c r="B2956" s="3">
        <f t="shared" si="419"/>
        <v>14695</v>
      </c>
      <c r="C2956" s="14">
        <f t="shared" si="420"/>
        <v>244.91666666666666</v>
      </c>
      <c r="D2956" s="11">
        <f t="shared" si="421"/>
        <v>1155.8538240154194</v>
      </c>
      <c r="E2956" s="24">
        <f t="shared" si="422"/>
        <v>1154.9976400601895</v>
      </c>
      <c r="F2956" s="24">
        <f t="shared" si="415"/>
        <v>21.404598880747017</v>
      </c>
      <c r="G2956" s="14">
        <f t="shared" si="416"/>
        <v>396.16965699678798</v>
      </c>
      <c r="H2956" s="24">
        <f t="shared" si="423"/>
        <v>650</v>
      </c>
      <c r="I2956" s="12">
        <f t="shared" si="417"/>
        <v>5.1326921016957405E-2</v>
      </c>
      <c r="J2956" s="3">
        <f t="shared" si="418"/>
        <v>0.7</v>
      </c>
    </row>
    <row r="2957" spans="2:10" x14ac:dyDescent="0.25">
      <c r="B2957" s="3">
        <f t="shared" si="419"/>
        <v>14700</v>
      </c>
      <c r="C2957" s="14">
        <f t="shared" si="420"/>
        <v>245</v>
      </c>
      <c r="D2957" s="11">
        <f t="shared" si="421"/>
        <v>1155.9047698153854</v>
      </c>
      <c r="E2957" s="24">
        <f t="shared" si="422"/>
        <v>1155.0489669812064</v>
      </c>
      <c r="F2957" s="24">
        <f t="shared" si="415"/>
        <v>21.395070854475762</v>
      </c>
      <c r="G2957" s="14">
        <f t="shared" si="416"/>
        <v>396.03583645226132</v>
      </c>
      <c r="H2957" s="24">
        <f t="shared" si="423"/>
        <v>650</v>
      </c>
      <c r="I2957" s="12">
        <f t="shared" si="417"/>
        <v>5.1309301059147085E-2</v>
      </c>
      <c r="J2957" s="3">
        <f t="shared" si="418"/>
        <v>0.7</v>
      </c>
    </row>
    <row r="2958" spans="2:10" x14ac:dyDescent="0.25">
      <c r="B2958" s="3">
        <f t="shared" si="419"/>
        <v>14705</v>
      </c>
      <c r="C2958" s="14">
        <f t="shared" si="420"/>
        <v>245.08333333333334</v>
      </c>
      <c r="D2958" s="11">
        <f t="shared" si="421"/>
        <v>1155.9556982986278</v>
      </c>
      <c r="E2958" s="24">
        <f t="shared" si="422"/>
        <v>1155.1002762822654</v>
      </c>
      <c r="F2958" s="24">
        <f t="shared" si="415"/>
        <v>21.385550409058851</v>
      </c>
      <c r="G2958" s="14">
        <f t="shared" si="416"/>
        <v>395.90210688878443</v>
      </c>
      <c r="H2958" s="24">
        <f t="shared" si="423"/>
        <v>650</v>
      </c>
      <c r="I2958" s="12">
        <f t="shared" si="417"/>
        <v>5.1291693216257636E-2</v>
      </c>
      <c r="J2958" s="3">
        <f t="shared" si="418"/>
        <v>0.7</v>
      </c>
    </row>
    <row r="2959" spans="2:10" x14ac:dyDescent="0.25">
      <c r="B2959" s="3">
        <f t="shared" si="419"/>
        <v>14710</v>
      </c>
      <c r="C2959" s="14">
        <f t="shared" si="420"/>
        <v>245.16666666666666</v>
      </c>
      <c r="D2959" s="11">
        <f t="shared" si="421"/>
        <v>1156.0066094769147</v>
      </c>
      <c r="E2959" s="24">
        <f t="shared" si="422"/>
        <v>1155.1515679754816</v>
      </c>
      <c r="F2959" s="24">
        <f t="shared" si="415"/>
        <v>21.376037535827663</v>
      </c>
      <c r="G2959" s="14">
        <f t="shared" si="416"/>
        <v>395.76846821329519</v>
      </c>
      <c r="H2959" s="24">
        <f t="shared" si="423"/>
        <v>650</v>
      </c>
      <c r="I2959" s="12">
        <f t="shared" si="417"/>
        <v>5.1274097475784632E-2</v>
      </c>
      <c r="J2959" s="3">
        <f t="shared" si="418"/>
        <v>0.7</v>
      </c>
    </row>
    <row r="2960" spans="2:10" x14ac:dyDescent="0.25">
      <c r="B2960" s="3">
        <f t="shared" si="419"/>
        <v>14715</v>
      </c>
      <c r="C2960" s="14">
        <f t="shared" si="420"/>
        <v>245.25</v>
      </c>
      <c r="D2960" s="11">
        <f t="shared" si="421"/>
        <v>1156.0575033620021</v>
      </c>
      <c r="E2960" s="24">
        <f t="shared" si="422"/>
        <v>1155.2028420729573</v>
      </c>
      <c r="F2960" s="24">
        <f t="shared" si="415"/>
        <v>21.366532226119261</v>
      </c>
      <c r="G2960" s="14">
        <f t="shared" si="416"/>
        <v>395.6349203328088</v>
      </c>
      <c r="H2960" s="24">
        <f t="shared" si="423"/>
        <v>650</v>
      </c>
      <c r="I2960" s="12">
        <f t="shared" si="417"/>
        <v>5.1256513825233857E-2</v>
      </c>
      <c r="J2960" s="3">
        <f t="shared" si="418"/>
        <v>0.7</v>
      </c>
    </row>
    <row r="2961" spans="2:10" x14ac:dyDescent="0.25">
      <c r="B2961" s="3">
        <f t="shared" si="419"/>
        <v>14720</v>
      </c>
      <c r="C2961" s="14">
        <f t="shared" si="420"/>
        <v>245.33333333333334</v>
      </c>
      <c r="D2961" s="11">
        <f t="shared" si="421"/>
        <v>1156.1083799656342</v>
      </c>
      <c r="E2961" s="24">
        <f t="shared" si="422"/>
        <v>1155.2540985867824</v>
      </c>
      <c r="F2961" s="24">
        <f t="shared" ref="F2961:F2969" si="424">AlphaC*(D2961-E2961)</f>
        <v>21.357034471293446</v>
      </c>
      <c r="G2961" s="14">
        <f t="shared" ref="G2961:G2969" si="425">Phi*EpsilonF*Botzman/10^8*J2961*((D2961+273)^4-(E2961+273)^4)</f>
        <v>395.50146315449575</v>
      </c>
      <c r="H2961" s="24">
        <f t="shared" si="423"/>
        <v>650</v>
      </c>
      <c r="I2961" s="12">
        <f t="shared" ref="I2961:I2969" si="426">ksh*Massivete/(H2961*RhoA)*DeltaT*(F2961+G2961)</f>
        <v>5.1238942252132963E-2</v>
      </c>
      <c r="J2961" s="3">
        <f t="shared" ref="J2961:J2969" si="427">IF(E2961&lt;=500,IF(Galva=Oui,0.35,0.7),0.7)</f>
        <v>0.7</v>
      </c>
    </row>
    <row r="2962" spans="2:10" x14ac:dyDescent="0.25">
      <c r="B2962" s="3">
        <f t="shared" ref="B2962:B2969" si="428">B2961+DeltaT</f>
        <v>14725</v>
      </c>
      <c r="C2962" s="14">
        <f t="shared" ref="C2962:C2969" si="429">B2962/60</f>
        <v>245.41666666666666</v>
      </c>
      <c r="D2962" s="11">
        <f t="shared" ref="D2962:D2969" si="430">20+345*LOG(8*C2962+1,10)</f>
        <v>1156.1592392995428</v>
      </c>
      <c r="E2962" s="24">
        <f t="shared" si="422"/>
        <v>1155.3053375290347</v>
      </c>
      <c r="F2962" s="24">
        <f t="shared" si="424"/>
        <v>21.347544262704332</v>
      </c>
      <c r="G2962" s="14">
        <f t="shared" si="425"/>
        <v>395.36809658548754</v>
      </c>
      <c r="H2962" s="24">
        <f t="shared" si="423"/>
        <v>650</v>
      </c>
      <c r="I2962" s="12">
        <f t="shared" si="426"/>
        <v>5.1221382744004125E-2</v>
      </c>
      <c r="J2962" s="3">
        <f t="shared" si="427"/>
        <v>0.7</v>
      </c>
    </row>
    <row r="2963" spans="2:10" x14ac:dyDescent="0.25">
      <c r="B2963" s="3">
        <f t="shared" si="428"/>
        <v>14730</v>
      </c>
      <c r="C2963" s="14">
        <f t="shared" si="429"/>
        <v>245.5</v>
      </c>
      <c r="D2963" s="11">
        <f t="shared" si="430"/>
        <v>1156.2100813754487</v>
      </c>
      <c r="E2963" s="24">
        <f t="shared" si="422"/>
        <v>1155.3565589117786</v>
      </c>
      <c r="F2963" s="24">
        <f t="shared" si="424"/>
        <v>21.338061591751512</v>
      </c>
      <c r="G2963" s="14">
        <f t="shared" si="425"/>
        <v>395.2348205334003</v>
      </c>
      <c r="H2963" s="24">
        <f t="shared" si="423"/>
        <v>650</v>
      </c>
      <c r="I2963" s="12">
        <f t="shared" si="426"/>
        <v>5.1203835288434668E-2</v>
      </c>
      <c r="J2963" s="3">
        <f t="shared" si="427"/>
        <v>0.7</v>
      </c>
    </row>
    <row r="2964" spans="2:10" x14ac:dyDescent="0.25">
      <c r="B2964" s="3">
        <f t="shared" si="428"/>
        <v>14735</v>
      </c>
      <c r="C2964" s="14">
        <f t="shared" si="429"/>
        <v>245.58333333333334</v>
      </c>
      <c r="D2964" s="11">
        <f t="shared" si="430"/>
        <v>1156.2609062050597</v>
      </c>
      <c r="E2964" s="24">
        <f t="shared" si="422"/>
        <v>1155.407762747067</v>
      </c>
      <c r="F2964" s="24">
        <f t="shared" si="424"/>
        <v>21.328586449817521</v>
      </c>
      <c r="G2964" s="14">
        <f t="shared" si="425"/>
        <v>395.10163490571449</v>
      </c>
      <c r="H2964" s="24">
        <f t="shared" si="423"/>
        <v>650</v>
      </c>
      <c r="I2964" s="12">
        <f t="shared" si="426"/>
        <v>5.1186299872993155E-2</v>
      </c>
      <c r="J2964" s="3">
        <f t="shared" si="427"/>
        <v>0.7</v>
      </c>
    </row>
    <row r="2965" spans="2:10" x14ac:dyDescent="0.25">
      <c r="B2965" s="3">
        <f t="shared" si="428"/>
        <v>14740</v>
      </c>
      <c r="C2965" s="14">
        <f t="shared" si="429"/>
        <v>245.66666666666666</v>
      </c>
      <c r="D2965" s="11">
        <f t="shared" si="430"/>
        <v>1156.3117138000721</v>
      </c>
      <c r="E2965" s="24">
        <f t="shared" si="422"/>
        <v>1155.45894904694</v>
      </c>
      <c r="F2965" s="24">
        <f t="shared" si="424"/>
        <v>21.319118828301953</v>
      </c>
      <c r="G2965" s="14">
        <f t="shared" si="425"/>
        <v>394.96853960985243</v>
      </c>
      <c r="H2965" s="24">
        <f t="shared" si="423"/>
        <v>650</v>
      </c>
      <c r="I2965" s="12">
        <f t="shared" si="426"/>
        <v>5.1168776485243088E-2</v>
      </c>
      <c r="J2965" s="3">
        <f t="shared" si="427"/>
        <v>0.7</v>
      </c>
    </row>
    <row r="2966" spans="2:10" x14ac:dyDescent="0.25">
      <c r="B2966" s="3">
        <f t="shared" si="428"/>
        <v>14745</v>
      </c>
      <c r="C2966" s="14">
        <f t="shared" si="429"/>
        <v>245.75</v>
      </c>
      <c r="D2966" s="11">
        <f t="shared" si="430"/>
        <v>1156.3625041721709</v>
      </c>
      <c r="E2966" s="24">
        <f t="shared" si="422"/>
        <v>1155.5101178234252</v>
      </c>
      <c r="F2966" s="24">
        <f t="shared" si="424"/>
        <v>21.309658718644187</v>
      </c>
      <c r="G2966" s="14">
        <f t="shared" si="425"/>
        <v>394.83553455406968</v>
      </c>
      <c r="H2966" s="24">
        <f t="shared" si="423"/>
        <v>650</v>
      </c>
      <c r="I2966" s="12">
        <f t="shared" si="426"/>
        <v>5.1151265112855275E-2</v>
      </c>
      <c r="J2966" s="3">
        <f t="shared" si="427"/>
        <v>0.7</v>
      </c>
    </row>
    <row r="2967" spans="2:10" x14ac:dyDescent="0.25">
      <c r="B2967" s="3">
        <f t="shared" si="428"/>
        <v>14750</v>
      </c>
      <c r="C2967" s="14">
        <f t="shared" si="429"/>
        <v>245.83333333333334</v>
      </c>
      <c r="D2967" s="11">
        <f t="shared" si="430"/>
        <v>1156.4132773330286</v>
      </c>
      <c r="E2967" s="24">
        <f t="shared" si="422"/>
        <v>1155.561269088538</v>
      </c>
      <c r="F2967" s="24">
        <f t="shared" si="424"/>
        <v>21.300206112266551</v>
      </c>
      <c r="G2967" s="14">
        <f t="shared" si="425"/>
        <v>394.70261964607926</v>
      </c>
      <c r="H2967" s="24">
        <f t="shared" si="423"/>
        <v>650</v>
      </c>
      <c r="I2967" s="12">
        <f t="shared" si="426"/>
        <v>5.1133765743431765E-2</v>
      </c>
      <c r="J2967" s="3">
        <f t="shared" si="427"/>
        <v>0.7</v>
      </c>
    </row>
    <row r="2968" spans="2:10" x14ac:dyDescent="0.25">
      <c r="B2968" s="3">
        <f t="shared" si="428"/>
        <v>14755</v>
      </c>
      <c r="C2968" s="14">
        <f t="shared" si="429"/>
        <v>245.91666666666666</v>
      </c>
      <c r="D2968" s="11">
        <f t="shared" si="430"/>
        <v>1156.4640332943054</v>
      </c>
      <c r="E2968" s="24">
        <f t="shared" si="422"/>
        <v>1155.6124028542815</v>
      </c>
      <c r="F2968" s="24">
        <f t="shared" si="424"/>
        <v>21.290761000597058</v>
      </c>
      <c r="G2968" s="14">
        <f t="shared" si="425"/>
        <v>394.5697947936136</v>
      </c>
      <c r="H2968" s="24">
        <f t="shared" si="423"/>
        <v>650</v>
      </c>
      <c r="I2968" s="12">
        <f t="shared" si="426"/>
        <v>5.1116278364577661E-2</v>
      </c>
      <c r="J2968" s="3">
        <f t="shared" si="427"/>
        <v>0.7</v>
      </c>
    </row>
    <row r="2969" spans="2:10" x14ac:dyDescent="0.25">
      <c r="B2969" s="3">
        <f t="shared" si="428"/>
        <v>14760</v>
      </c>
      <c r="C2969" s="14">
        <f t="shared" si="429"/>
        <v>246</v>
      </c>
      <c r="D2969" s="11">
        <f t="shared" si="430"/>
        <v>1156.5147720676507</v>
      </c>
      <c r="E2969" s="24">
        <f t="shared" si="422"/>
        <v>1155.6635191326461</v>
      </c>
      <c r="F2969" s="24">
        <f t="shared" si="424"/>
        <v>21.28132337511488</v>
      </c>
      <c r="G2969" s="14">
        <f t="shared" si="425"/>
        <v>394.43705990527712</v>
      </c>
      <c r="H2969" s="24">
        <f t="shared" si="423"/>
        <v>650</v>
      </c>
      <c r="I2969" s="12">
        <f t="shared" si="426"/>
        <v>5.1098802964011557E-2</v>
      </c>
      <c r="J2969" s="3">
        <f t="shared" si="427"/>
        <v>0.7</v>
      </c>
    </row>
  </sheetData>
  <dataValidations count="2">
    <dataValidation type="list" allowBlank="1" showInputMessage="1" showErrorMessage="1" sqref="M5">
      <formula1>ListExpo</formula1>
    </dataValidation>
    <dataValidation type="list" allowBlank="1" showInputMessage="1" showErrorMessage="1" sqref="I11">
      <formula1>ListeOuiNon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3:R10"/>
  <sheetViews>
    <sheetView tabSelected="1" workbookViewId="0">
      <selection activeCell="R7" sqref="R7"/>
    </sheetView>
  </sheetViews>
  <sheetFormatPr baseColWidth="10" defaultRowHeight="15" x14ac:dyDescent="0.25"/>
  <sheetData>
    <row r="3" spans="3:18" x14ac:dyDescent="0.25">
      <c r="C3" s="3" t="s">
        <v>54</v>
      </c>
      <c r="D3" s="8" t="s">
        <v>55</v>
      </c>
      <c r="E3" s="18" t="s">
        <v>56</v>
      </c>
      <c r="F3" s="41"/>
      <c r="G3" s="42"/>
      <c r="H3" s="45" t="s">
        <v>66</v>
      </c>
      <c r="I3" s="46" t="s">
        <v>70</v>
      </c>
      <c r="J3" s="49" t="s">
        <v>71</v>
      </c>
      <c r="K3" s="50" t="s">
        <v>70</v>
      </c>
      <c r="L3" s="53" t="s">
        <v>83</v>
      </c>
      <c r="M3" s="54" t="s">
        <v>70</v>
      </c>
      <c r="O3" s="3"/>
      <c r="P3" s="3"/>
      <c r="Q3" s="3"/>
      <c r="R3" s="3"/>
    </row>
    <row r="4" spans="3:18" x14ac:dyDescent="0.25">
      <c r="C4" s="3" t="s">
        <v>14</v>
      </c>
      <c r="D4" s="10" t="s">
        <v>13</v>
      </c>
      <c r="E4" s="20" t="s">
        <v>13</v>
      </c>
      <c r="F4" s="43" t="s">
        <v>77</v>
      </c>
      <c r="G4" s="44" t="s">
        <v>78</v>
      </c>
      <c r="H4" s="47" t="s">
        <v>69</v>
      </c>
      <c r="I4" s="48"/>
      <c r="J4" s="51" t="s">
        <v>72</v>
      </c>
      <c r="K4" s="52"/>
      <c r="L4" s="55" t="s">
        <v>62</v>
      </c>
      <c r="M4" s="56"/>
      <c r="O4" s="3" t="s">
        <v>82</v>
      </c>
      <c r="P4" s="3" t="s">
        <v>84</v>
      </c>
      <c r="Q4" s="3" t="s">
        <v>85</v>
      </c>
      <c r="R4" s="3"/>
    </row>
    <row r="5" spans="3:18" x14ac:dyDescent="0.25">
      <c r="C5" s="3">
        <v>30</v>
      </c>
      <c r="D5" s="24">
        <f>VLOOKUP(C5,Calculs!$C$17:$E$2920,2)</f>
        <v>841.79587968832948</v>
      </c>
      <c r="E5" s="24">
        <f>VLOOKUP(C5,Calculs!$C$17:$E$2920,3)</f>
        <v>797.85710678533542</v>
      </c>
      <c r="F5" s="13">
        <f>reductionky(E5)</f>
        <v>0.1125714718575975</v>
      </c>
      <c r="G5" s="13">
        <f>reductionke(E5)</f>
        <v>9.0857157285865825E-2</v>
      </c>
      <c r="H5" s="14">
        <f t="shared" ref="H5:H10" si="0">Wpl*Fy*F5/GammaM/1000</f>
        <v>19.441093189807088</v>
      </c>
      <c r="I5" s="14">
        <f t="shared" ref="I5:I10" si="1">MEd/H5</f>
        <v>2.604020232079467</v>
      </c>
      <c r="J5" s="13">
        <f t="shared" ref="J5:J10" si="2">Av*Fy*F5/SQRT(3)/GammaM/10</f>
        <v>45.898176357435759</v>
      </c>
      <c r="K5" s="39">
        <f>VEd/Echauffements!J5</f>
        <v>0.49021555507520453</v>
      </c>
      <c r="L5" s="14">
        <f t="shared" ref="L5:L10" si="3">Q5*MRk*F5</f>
        <v>7.8664919405329394</v>
      </c>
      <c r="M5" s="12">
        <f t="shared" ref="M5:M10" si="4">MEd/L5</f>
        <v>6.435524295035413</v>
      </c>
      <c r="O5" s="12">
        <f t="shared" ref="O5:O10" si="5">LambdaLT*SQRT(F5/G5)</f>
        <v>1.1464459077925853</v>
      </c>
      <c r="P5" s="12">
        <f>0.5*(1+AlphaLT*(O5)+O5^2)</f>
        <v>1.5016019188274901</v>
      </c>
      <c r="Q5" s="12">
        <f>MIN(1,1/(P5+SQRT(P5^2-O5^2)))</f>
        <v>0.40463218110889565</v>
      </c>
    </row>
    <row r="6" spans="3:18" x14ac:dyDescent="0.25">
      <c r="C6" s="3">
        <v>60</v>
      </c>
      <c r="D6" s="24">
        <f>VLOOKUP(C6,Calculs!$C$17:$E$2920,2)</f>
        <v>945.34005134897188</v>
      </c>
      <c r="E6" s="24">
        <f>VLOOKUP(C6,Calculs!$C$17:$E$2920,3)</f>
        <v>939.59683917995255</v>
      </c>
      <c r="F6" s="12">
        <f t="shared" ref="F6:F10" si="6">reductionky(E6)</f>
        <v>5.2080632164009488E-2</v>
      </c>
      <c r="G6" s="13">
        <f t="shared" ref="G6:G10" si="7">reductionke(E6)</f>
        <v>5.8590711184510674E-2</v>
      </c>
      <c r="H6" s="14">
        <f t="shared" si="0"/>
        <v>8.9943251747244393</v>
      </c>
      <c r="I6" s="14">
        <f t="shared" si="1"/>
        <v>5.6285490035722452</v>
      </c>
      <c r="J6" s="13">
        <f t="shared" si="2"/>
        <v>21.234563255016365</v>
      </c>
      <c r="K6" s="39">
        <f>VEd/Echauffements!J6</f>
        <v>1.0595932550995459</v>
      </c>
      <c r="L6" s="14">
        <f t="shared" si="3"/>
        <v>4.3426861216511954</v>
      </c>
      <c r="M6" s="12">
        <f t="shared" si="4"/>
        <v>11.657531440644654</v>
      </c>
      <c r="O6" s="12">
        <f t="shared" si="5"/>
        <v>0.97105249237255076</v>
      </c>
      <c r="P6" s="12">
        <f>0.5*(1+AlphaLT*(O6)+O6^2)</f>
        <v>1.2632099088795645</v>
      </c>
      <c r="Q6" s="12">
        <f t="shared" ref="Q6:Q10" si="8">MIN(1,1/(P6+SQRT(P6^2-O6^2)))</f>
        <v>0.48282511887104901</v>
      </c>
    </row>
    <row r="7" spans="3:18" x14ac:dyDescent="0.25">
      <c r="C7" s="3">
        <v>90</v>
      </c>
      <c r="D7" s="24">
        <f>VLOOKUP(C7,Calculs!$C$17:$E$2920,2)</f>
        <v>1005.987666328203</v>
      </c>
      <c r="E7" s="24">
        <f>VLOOKUP(C7,Calculs!$C$17:$E$2920,3)</f>
        <v>1002.7275427866718</v>
      </c>
      <c r="F7" s="12">
        <f t="shared" si="6"/>
        <v>3.9454491442665635E-2</v>
      </c>
      <c r="G7" s="13">
        <f t="shared" si="7"/>
        <v>4.4386302872998835E-2</v>
      </c>
      <c r="H7" s="14">
        <f t="shared" si="0"/>
        <v>6.8137906721483548</v>
      </c>
      <c r="I7" s="14">
        <f t="shared" si="1"/>
        <v>7.4297850397623364</v>
      </c>
      <c r="J7" s="13">
        <f t="shared" si="2"/>
        <v>16.086573058395963</v>
      </c>
      <c r="K7" s="39">
        <f>VEd/Echauffements!J7</f>
        <v>1.3986819889060658</v>
      </c>
      <c r="L7" s="14">
        <f t="shared" si="3"/>
        <v>3.2898692912424745</v>
      </c>
      <c r="M7" s="12">
        <f t="shared" si="4"/>
        <v>15.388149351332014</v>
      </c>
      <c r="O7" s="12">
        <f t="shared" si="5"/>
        <v>0.97105249237255076</v>
      </c>
      <c r="P7" s="12">
        <f>0.5*(1+AlphaLT*(O7)+O7^2)</f>
        <v>1.2632099088795645</v>
      </c>
      <c r="Q7" s="12">
        <f t="shared" si="8"/>
        <v>0.48282511887104901</v>
      </c>
    </row>
    <row r="8" spans="3:18" x14ac:dyDescent="0.25">
      <c r="C8" s="3">
        <v>120</v>
      </c>
      <c r="D8" s="24">
        <f>VLOOKUP(C8,Calculs!$C$17:$E$2920,2)</f>
        <v>1049.039568745648</v>
      </c>
      <c r="E8" s="24">
        <f>VLOOKUP(C8,Calculs!$C$17:$E$2920,3)</f>
        <v>1046.8342593030093</v>
      </c>
      <c r="F8" s="12">
        <f t="shared" si="6"/>
        <v>3.0633148139398145E-2</v>
      </c>
      <c r="G8" s="13">
        <f t="shared" si="7"/>
        <v>3.4462291656822915E-2</v>
      </c>
      <c r="H8" s="14">
        <f t="shared" si="0"/>
        <v>5.2903446836740597</v>
      </c>
      <c r="I8" s="14">
        <f t="shared" si="1"/>
        <v>9.5693197753689176</v>
      </c>
      <c r="J8" s="13">
        <f t="shared" si="2"/>
        <v>12.489892976296368</v>
      </c>
      <c r="K8" s="39">
        <f>VEd/Echauffements!J8</f>
        <v>1.801456589155813</v>
      </c>
      <c r="L8" s="14">
        <f t="shared" si="3"/>
        <v>2.5543113007637501</v>
      </c>
      <c r="M8" s="12">
        <f t="shared" si="4"/>
        <v>19.81943233969286</v>
      </c>
      <c r="O8" s="12">
        <f t="shared" si="5"/>
        <v>0.97105249237255076</v>
      </c>
      <c r="P8" s="12">
        <f>0.5*(1+AlphaLT*(O8)+O8^2)</f>
        <v>1.2632099088795645</v>
      </c>
      <c r="Q8" s="12">
        <f t="shared" si="8"/>
        <v>0.48282511887104901</v>
      </c>
    </row>
    <row r="9" spans="3:18" x14ac:dyDescent="0.25">
      <c r="C9" s="3">
        <v>180</v>
      </c>
      <c r="D9" s="24">
        <f>VLOOKUP(C9,Calculs!$C$17:$E$2920,2)</f>
        <v>1109.7390733808261</v>
      </c>
      <c r="E9" s="24">
        <f>VLOOKUP(C9,Calculs!$C$17:$E$2920,3)</f>
        <v>1108.4552210401455</v>
      </c>
      <c r="F9" s="12">
        <f t="shared" si="6"/>
        <v>1.8308955791970904E-2</v>
      </c>
      <c r="G9" s="13">
        <f t="shared" si="7"/>
        <v>2.0597575265967265E-2</v>
      </c>
      <c r="H9" s="14">
        <f t="shared" si="0"/>
        <v>3.161956665273375</v>
      </c>
      <c r="I9" s="14">
        <f t="shared" si="1"/>
        <v>16.010655856228531</v>
      </c>
      <c r="J9" s="13">
        <f t="shared" si="2"/>
        <v>7.4650146079942203</v>
      </c>
      <c r="K9" s="39">
        <f>VEd/Echauffements!J9</f>
        <v>3.0140597415449051</v>
      </c>
      <c r="L9" s="14">
        <f t="shared" si="3"/>
        <v>1.5266721027757231</v>
      </c>
      <c r="M9" s="12">
        <f t="shared" si="4"/>
        <v>33.160362272917688</v>
      </c>
      <c r="O9" s="12">
        <f t="shared" si="5"/>
        <v>0.97105249237255076</v>
      </c>
      <c r="P9" s="12">
        <f>0.5*(1+AlphaLT*(O9)+O9^2)</f>
        <v>1.2632099088795645</v>
      </c>
      <c r="Q9" s="12">
        <f t="shared" si="8"/>
        <v>0.48282511887104901</v>
      </c>
    </row>
    <row r="10" spans="3:18" x14ac:dyDescent="0.25">
      <c r="C10" s="3">
        <v>240</v>
      </c>
      <c r="D10" s="24">
        <f>VLOOKUP(C10,Calculs!$C$17:$E$2920,2)</f>
        <v>1152.8169408772842</v>
      </c>
      <c r="E10" s="24">
        <f>VLOOKUP(C10,Calculs!$C$17:$E$2920,3)</f>
        <v>1151.9377212772163</v>
      </c>
      <c r="F10" s="12">
        <f t="shared" si="6"/>
        <v>9.6124557445567468E-3</v>
      </c>
      <c r="G10" s="13">
        <f t="shared" si="7"/>
        <v>1.0814012712626339E-2</v>
      </c>
      <c r="H10" s="14">
        <f t="shared" si="0"/>
        <v>1.6600711070849501</v>
      </c>
      <c r="I10" s="14">
        <f t="shared" si="1"/>
        <v>30.495681651189287</v>
      </c>
      <c r="J10" s="13">
        <f t="shared" si="2"/>
        <v>3.9192362124377405</v>
      </c>
      <c r="K10" s="39">
        <f>VEd/Echauffements!J10</f>
        <v>5.740914499768091</v>
      </c>
      <c r="L10" s="14">
        <f t="shared" si="3"/>
        <v>0.80152402961268499</v>
      </c>
      <c r="M10" s="12">
        <f t="shared" si="4"/>
        <v>63.160926097827875</v>
      </c>
      <c r="O10" s="12">
        <f t="shared" si="5"/>
        <v>0.97105249237255076</v>
      </c>
      <c r="P10" s="12">
        <f>0.5*(1+AlphaLT*(O10)+O10^2)</f>
        <v>1.2632099088795645</v>
      </c>
      <c r="Q10" s="12">
        <f t="shared" si="8"/>
        <v>0.48282511887104901</v>
      </c>
    </row>
  </sheetData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J37"/>
  <sheetViews>
    <sheetView workbookViewId="0">
      <selection activeCell="I5" sqref="I5"/>
    </sheetView>
  </sheetViews>
  <sheetFormatPr baseColWidth="10" defaultRowHeight="15" x14ac:dyDescent="0.25"/>
  <sheetData>
    <row r="3" spans="3:10" x14ac:dyDescent="0.25">
      <c r="C3" s="2" t="s">
        <v>57</v>
      </c>
      <c r="D3" s="4">
        <v>9</v>
      </c>
      <c r="E3" t="s">
        <v>60</v>
      </c>
      <c r="H3" t="s">
        <v>79</v>
      </c>
    </row>
    <row r="4" spans="3:10" x14ac:dyDescent="0.25">
      <c r="C4" s="2" t="s">
        <v>58</v>
      </c>
      <c r="D4" s="4">
        <v>5</v>
      </c>
      <c r="E4" t="s">
        <v>59</v>
      </c>
      <c r="H4" s="2" t="s">
        <v>80</v>
      </c>
      <c r="I4" s="4">
        <v>162.80000000000001</v>
      </c>
      <c r="J4" t="s">
        <v>62</v>
      </c>
    </row>
    <row r="5" spans="3:10" x14ac:dyDescent="0.25">
      <c r="H5" s="2" t="s">
        <v>81</v>
      </c>
      <c r="I5" s="31">
        <f>Wpl*Fy/1000</f>
        <v>172.7</v>
      </c>
      <c r="J5" t="s">
        <v>62</v>
      </c>
    </row>
    <row r="6" spans="3:10" x14ac:dyDescent="0.25">
      <c r="C6" s="2" t="s">
        <v>61</v>
      </c>
      <c r="D6" s="31">
        <f>q*LL^2/8</f>
        <v>50.625</v>
      </c>
      <c r="E6" t="s">
        <v>62</v>
      </c>
      <c r="H6" s="2" t="s">
        <v>82</v>
      </c>
      <c r="I6" s="40">
        <f>SQRT(MRk/Mcr)</f>
        <v>1.0299567033670933</v>
      </c>
    </row>
    <row r="7" spans="3:10" x14ac:dyDescent="0.25">
      <c r="C7" s="25" t="s">
        <v>73</v>
      </c>
      <c r="D7" s="31">
        <f>q*LL/2</f>
        <v>22.5</v>
      </c>
      <c r="E7" t="s">
        <v>74</v>
      </c>
      <c r="H7" s="2" t="s">
        <v>86</v>
      </c>
      <c r="I7" s="57">
        <f>0.65*SQRT(235/Fy)</f>
        <v>0.60087058052916398</v>
      </c>
    </row>
    <row r="8" spans="3:10" x14ac:dyDescent="0.25">
      <c r="H8" s="2" t="s">
        <v>87</v>
      </c>
      <c r="I8" s="31">
        <f>h/b</f>
        <v>2</v>
      </c>
    </row>
    <row r="9" spans="3:10" x14ac:dyDescent="0.25">
      <c r="C9" s="25" t="s">
        <v>75</v>
      </c>
      <c r="D9" s="4">
        <v>25.68</v>
      </c>
      <c r="E9" t="s">
        <v>76</v>
      </c>
      <c r="H9" s="2"/>
    </row>
    <row r="10" spans="3:10" x14ac:dyDescent="0.25">
      <c r="C10" s="25" t="s">
        <v>63</v>
      </c>
      <c r="D10" s="4">
        <v>628</v>
      </c>
      <c r="E10" t="s">
        <v>65</v>
      </c>
      <c r="H10" s="2"/>
    </row>
    <row r="11" spans="3:10" x14ac:dyDescent="0.25">
      <c r="C11" s="2" t="s">
        <v>64</v>
      </c>
      <c r="D11" s="4">
        <v>1</v>
      </c>
      <c r="H11" s="2"/>
    </row>
    <row r="12" spans="3:10" x14ac:dyDescent="0.25">
      <c r="C12" s="25" t="s">
        <v>67</v>
      </c>
      <c r="D12" s="4">
        <v>275</v>
      </c>
      <c r="E12" t="s">
        <v>68</v>
      </c>
      <c r="H12" s="2"/>
    </row>
    <row r="13" spans="3:10" x14ac:dyDescent="0.25">
      <c r="H13" s="2"/>
    </row>
    <row r="14" spans="3:10" x14ac:dyDescent="0.25">
      <c r="C14" s="25" t="s">
        <v>100</v>
      </c>
      <c r="D14" s="4">
        <v>1</v>
      </c>
      <c r="H14" s="2"/>
    </row>
    <row r="15" spans="3:10" x14ac:dyDescent="0.25">
      <c r="C15" s="25" t="s">
        <v>101</v>
      </c>
      <c r="D15" s="4">
        <v>5.34</v>
      </c>
      <c r="H15" s="2"/>
    </row>
    <row r="16" spans="3:10" x14ac:dyDescent="0.25">
      <c r="H16" s="2"/>
    </row>
    <row r="17" spans="3:8" x14ac:dyDescent="0.25">
      <c r="H17" s="2"/>
    </row>
    <row r="18" spans="3:8" x14ac:dyDescent="0.25">
      <c r="H18" s="2"/>
    </row>
    <row r="19" spans="3:8" x14ac:dyDescent="0.25">
      <c r="H19" s="2"/>
    </row>
    <row r="20" spans="3:8" x14ac:dyDescent="0.25">
      <c r="H20" s="2"/>
    </row>
    <row r="21" spans="3:8" x14ac:dyDescent="0.25">
      <c r="H21" s="2"/>
    </row>
    <row r="22" spans="3:8" x14ac:dyDescent="0.25">
      <c r="C22" t="s">
        <v>88</v>
      </c>
      <c r="H22" s="2"/>
    </row>
    <row r="23" spans="3:8" x14ac:dyDescent="0.25">
      <c r="C23" s="2" t="s">
        <v>89</v>
      </c>
      <c r="D23" s="61">
        <f>hw/tw</f>
        <v>39.239436619718312</v>
      </c>
      <c r="H23" s="2"/>
    </row>
    <row r="24" spans="3:8" x14ac:dyDescent="0.25">
      <c r="C24" s="2" t="s">
        <v>90</v>
      </c>
      <c r="D24" s="4">
        <v>0.5</v>
      </c>
      <c r="H24" s="2"/>
    </row>
    <row r="25" spans="3:8" x14ac:dyDescent="0.25">
      <c r="C25" s="2" t="s">
        <v>91</v>
      </c>
      <c r="D25" s="4">
        <v>-1</v>
      </c>
    </row>
    <row r="26" spans="3:8" x14ac:dyDescent="0.25">
      <c r="D26" s="3" t="s">
        <v>92</v>
      </c>
      <c r="E26" s="3" t="s">
        <v>93</v>
      </c>
    </row>
    <row r="27" spans="3:8" x14ac:dyDescent="0.25">
      <c r="C27" s="2" t="s">
        <v>94</v>
      </c>
      <c r="D27" s="58">
        <f>SQRT(235/Fy)</f>
        <v>0.92441627773717538</v>
      </c>
      <c r="E27" s="58">
        <f>D27*0.85</f>
        <v>0.7857538360765991</v>
      </c>
    </row>
    <row r="28" spans="3:8" x14ac:dyDescent="0.25">
      <c r="C28" s="2" t="s">
        <v>95</v>
      </c>
      <c r="D28" s="59">
        <f>41.5*D27/$D$24</f>
        <v>76.726551052185556</v>
      </c>
      <c r="E28" s="59">
        <f>41.5*E27/$D$24</f>
        <v>65.217568394357727</v>
      </c>
    </row>
    <row r="29" spans="3:8" x14ac:dyDescent="0.25">
      <c r="C29" s="2" t="s">
        <v>96</v>
      </c>
      <c r="D29" s="59">
        <f>62*D27*(1-$D$25)*SQRT(-$D$25)</f>
        <v>114.62761843940974</v>
      </c>
      <c r="E29" s="59">
        <f>62*E27*(1-$D$25)*SQRT(-$D$25)</f>
        <v>97.433475673498293</v>
      </c>
    </row>
    <row r="30" spans="3:8" x14ac:dyDescent="0.25">
      <c r="D30" s="3"/>
    </row>
    <row r="31" spans="3:8" x14ac:dyDescent="0.25">
      <c r="C31" s="25" t="s">
        <v>97</v>
      </c>
      <c r="D31" s="4">
        <v>2</v>
      </c>
      <c r="E31" s="60">
        <v>3</v>
      </c>
    </row>
    <row r="32" spans="3:8" x14ac:dyDescent="0.25">
      <c r="D32" s="3"/>
    </row>
    <row r="34" spans="3:5" x14ac:dyDescent="0.25">
      <c r="C34" s="2" t="s">
        <v>98</v>
      </c>
      <c r="D34" s="61">
        <f>72*D27/Eta</f>
        <v>66.557971997076635</v>
      </c>
      <c r="E34" s="61">
        <f>72*E27/Eta</f>
        <v>56.574276197515132</v>
      </c>
    </row>
    <row r="37" spans="3:5" x14ac:dyDescent="0.25">
      <c r="C37" s="2" t="s">
        <v>99</v>
      </c>
      <c r="D37" s="40">
        <f>hw/tw/(37.4*EpsilonFi*SQRT(kTau))</f>
        <v>0.57782193289585737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40</vt:i4>
      </vt:variant>
    </vt:vector>
  </HeadingPairs>
  <TitlesOfParts>
    <vt:vector size="43" baseType="lpstr">
      <vt:lpstr>Calculs</vt:lpstr>
      <vt:lpstr>Echauffements</vt:lpstr>
      <vt:lpstr>Poutre</vt:lpstr>
      <vt:lpstr>Aa</vt:lpstr>
      <vt:lpstr>AlphaC</vt:lpstr>
      <vt:lpstr>AlphaLT</vt:lpstr>
      <vt:lpstr>Av</vt:lpstr>
      <vt:lpstr>b</vt:lpstr>
      <vt:lpstr>Botzman</vt:lpstr>
      <vt:lpstr>DeltaT</vt:lpstr>
      <vt:lpstr>EpsilonF</vt:lpstr>
      <vt:lpstr>EpsilonFi</vt:lpstr>
      <vt:lpstr>Eta</vt:lpstr>
      <vt:lpstr>Expo</vt:lpstr>
      <vt:lpstr>Fy</vt:lpstr>
      <vt:lpstr>Galva</vt:lpstr>
      <vt:lpstr>GammaM</vt:lpstr>
      <vt:lpstr>h</vt:lpstr>
      <vt:lpstr>hw</vt:lpstr>
      <vt:lpstr>ksh</vt:lpstr>
      <vt:lpstr>kTau</vt:lpstr>
      <vt:lpstr>LambdaLT</vt:lpstr>
      <vt:lpstr>ListeOuiNon</vt:lpstr>
      <vt:lpstr>ListExpo</vt:lpstr>
      <vt:lpstr>LL</vt:lpstr>
      <vt:lpstr>Massivete</vt:lpstr>
      <vt:lpstr>MassiveteBox</vt:lpstr>
      <vt:lpstr>Mcr</vt:lpstr>
      <vt:lpstr>MEd</vt:lpstr>
      <vt:lpstr>MRk</vt:lpstr>
      <vt:lpstr>Oui</vt:lpstr>
      <vt:lpstr>p</vt:lpstr>
      <vt:lpstr>pb</vt:lpstr>
      <vt:lpstr>Phi</vt:lpstr>
      <vt:lpstr>q</vt:lpstr>
      <vt:lpstr>RhoA</vt:lpstr>
      <vt:lpstr>rr</vt:lpstr>
      <vt:lpstr>tf</vt:lpstr>
      <vt:lpstr>Theta0</vt:lpstr>
      <vt:lpstr>tw</vt:lpstr>
      <vt:lpstr>VEd</vt:lpstr>
      <vt:lpstr>Wpl</vt:lpstr>
      <vt:lpstr>Echauffements!Zone_d_impression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cp:lastPrinted>2024-10-31T13:39:10Z</cp:lastPrinted>
  <dcterms:created xsi:type="dcterms:W3CDTF">2024-10-21T13:00:30Z</dcterms:created>
  <dcterms:modified xsi:type="dcterms:W3CDTF">2024-10-31T14:51:31Z</dcterms:modified>
</cp:coreProperties>
</file>