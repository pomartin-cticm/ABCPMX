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1\"/>
    </mc:Choice>
  </mc:AlternateContent>
  <xr:revisionPtr revIDLastSave="0" documentId="13_ncr:1_{11775A93-1D1C-4099-88D3-B14065673A9D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Calculs" sheetId="1" r:id="rId1"/>
    <sheet name="Echauffements" sheetId="2" r:id="rId2"/>
    <sheet name="Poutre" sheetId="3" r:id="rId3"/>
  </sheets>
  <functionGroups builtInGroupCount="19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kTau">Poutre!$D$15</definedName>
    <definedName name="LambdaLT">Poutre!$I$6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_xlnm.Print_Area" localSheetId="1">Echauffements!$C$2:$Q$11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3" l="1"/>
  <c r="D34" i="3" s="1"/>
  <c r="I7" i="3"/>
  <c r="F6" i="2"/>
  <c r="F9" i="2"/>
  <c r="F10" i="2"/>
  <c r="F7" i="2"/>
  <c r="F8" i="2"/>
  <c r="D29" i="3" l="1"/>
  <c r="E27" i="3"/>
  <c r="D28" i="3"/>
  <c r="I8" i="3"/>
  <c r="I5" i="3"/>
  <c r="I6" i="3" s="1"/>
  <c r="E29" i="3" l="1"/>
  <c r="E28" i="3"/>
  <c r="E34" i="3"/>
  <c r="D7" i="3"/>
  <c r="G8" i="2"/>
  <c r="G6" i="2"/>
  <c r="G7" i="2"/>
  <c r="G9" i="2"/>
  <c r="G10" i="2"/>
  <c r="G5" i="2"/>
  <c r="O10" i="2" l="1"/>
  <c r="P10" i="2" s="1"/>
  <c r="O9" i="2"/>
  <c r="P9" i="2" s="1"/>
  <c r="O7" i="2"/>
  <c r="P7" i="2" s="1"/>
  <c r="O6" i="2"/>
  <c r="P6" i="2" s="1"/>
  <c r="Q6" i="2" s="1"/>
  <c r="L6" i="2" s="1"/>
  <c r="O8" i="2"/>
  <c r="P8" i="2" s="1"/>
  <c r="Q9" i="2"/>
  <c r="L9" i="2" s="1"/>
  <c r="Q10" i="2"/>
  <c r="L10" i="2" s="1"/>
  <c r="Q7" i="2"/>
  <c r="L7" i="2" s="1"/>
  <c r="Q8" i="2"/>
  <c r="L8" i="2" s="1"/>
  <c r="D6" i="3"/>
  <c r="M9" i="1"/>
  <c r="I10" i="1"/>
  <c r="M6" i="1"/>
  <c r="E17" i="1"/>
  <c r="H17" i="1" s="1"/>
  <c r="C17" i="1"/>
  <c r="D17" i="1" s="1"/>
  <c r="B18" i="1"/>
  <c r="B19" i="1" s="1"/>
  <c r="M7" i="1" l="1"/>
  <c r="D23" i="3"/>
  <c r="D37" i="3"/>
  <c r="M8" i="2"/>
  <c r="M7" i="2"/>
  <c r="M10" i="2"/>
  <c r="M6" i="2"/>
  <c r="M9" i="2"/>
  <c r="J17" i="1"/>
  <c r="G17" i="1" s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I17" i="1" l="1"/>
  <c r="E18" i="1" s="1"/>
  <c r="B22" i="1"/>
  <c r="C22" i="1" s="1"/>
  <c r="D22" i="1" s="1"/>
  <c r="J18" i="1" l="1"/>
  <c r="G18" i="1" s="1"/>
  <c r="H18" i="1"/>
  <c r="F18" i="1"/>
  <c r="B23" i="1"/>
  <c r="C23" i="1" s="1"/>
  <c r="D23" i="1" s="1"/>
  <c r="I18" i="1" l="1"/>
  <c r="E19" i="1" s="1"/>
  <c r="J19" i="1" s="1"/>
  <c r="G19" i="1" s="1"/>
  <c r="B24" i="1"/>
  <c r="C24" i="1" s="1"/>
  <c r="D24" i="1" s="1"/>
  <c r="H19" i="1" l="1"/>
  <c r="F19" i="1"/>
  <c r="B25" i="1"/>
  <c r="C25" i="1" s="1"/>
  <c r="D25" i="1" s="1"/>
  <c r="I19" i="1" l="1"/>
  <c r="E20" i="1" s="1"/>
  <c r="H20" i="1" s="1"/>
  <c r="B26" i="1"/>
  <c r="C26" i="1" s="1"/>
  <c r="D26" i="1" s="1"/>
  <c r="J20" i="1" l="1"/>
  <c r="G20" i="1" s="1"/>
  <c r="F20" i="1"/>
  <c r="B27" i="1"/>
  <c r="C27" i="1" s="1"/>
  <c r="D27" i="1" s="1"/>
  <c r="I20" i="1" l="1"/>
  <c r="E21" i="1" s="1"/>
  <c r="B28" i="1"/>
  <c r="C28" i="1" s="1"/>
  <c r="D28" i="1" s="1"/>
  <c r="F21" i="1" l="1"/>
  <c r="J21" i="1"/>
  <c r="G21" i="1" s="1"/>
  <c r="H21" i="1"/>
  <c r="B29" i="1"/>
  <c r="C29" i="1" s="1"/>
  <c r="D29" i="1" s="1"/>
  <c r="I21" i="1" l="1"/>
  <c r="E22" i="1" s="1"/>
  <c r="F22" i="1" s="1"/>
  <c r="B30" i="1"/>
  <c r="C30" i="1" s="1"/>
  <c r="D30" i="1" s="1"/>
  <c r="J22" i="1" l="1"/>
  <c r="H22" i="1"/>
  <c r="B31" i="1"/>
  <c r="C31" i="1" s="1"/>
  <c r="D31" i="1" s="1"/>
  <c r="G22" i="1" l="1"/>
  <c r="I22" i="1" s="1"/>
  <c r="E23" i="1" s="1"/>
  <c r="B32" i="1"/>
  <c r="C32" i="1" s="1"/>
  <c r="D32" i="1" s="1"/>
  <c r="J23" i="1" l="1"/>
  <c r="G23" i="1" s="1"/>
  <c r="H23" i="1"/>
  <c r="F23" i="1"/>
  <c r="B33" i="1"/>
  <c r="C33" i="1" s="1"/>
  <c r="D33" i="1" s="1"/>
  <c r="I23" i="1" l="1"/>
  <c r="E24" i="1" s="1"/>
  <c r="B34" i="1"/>
  <c r="C34" i="1" s="1"/>
  <c r="D34" i="1" s="1"/>
  <c r="F24" i="1" l="1"/>
  <c r="J24" i="1"/>
  <c r="G24" i="1" s="1"/>
  <c r="H24" i="1"/>
  <c r="B35" i="1"/>
  <c r="C35" i="1" s="1"/>
  <c r="D35" i="1" s="1"/>
  <c r="I24" i="1" l="1"/>
  <c r="E25" i="1" s="1"/>
  <c r="B36" i="1"/>
  <c r="C36" i="1" s="1"/>
  <c r="D36" i="1" s="1"/>
  <c r="H25" i="1" l="1"/>
  <c r="F25" i="1"/>
  <c r="J25" i="1"/>
  <c r="G25" i="1" s="1"/>
  <c r="B37" i="1"/>
  <c r="C37" i="1" s="1"/>
  <c r="D37" i="1" s="1"/>
  <c r="I25" i="1" l="1"/>
  <c r="E26" i="1" s="1"/>
  <c r="B38" i="1"/>
  <c r="C38" i="1" s="1"/>
  <c r="D38" i="1" s="1"/>
  <c r="J26" i="1" l="1"/>
  <c r="G26" i="1" s="1"/>
  <c r="F26" i="1"/>
  <c r="H26" i="1"/>
  <c r="B39" i="1"/>
  <c r="I26" i="1" l="1"/>
  <c r="E27" i="1" s="1"/>
  <c r="C39" i="1"/>
  <c r="D39" i="1" s="1"/>
  <c r="B40" i="1"/>
  <c r="H27" i="1" l="1"/>
  <c r="J27" i="1"/>
  <c r="G27" i="1" s="1"/>
  <c r="F27" i="1"/>
  <c r="C40" i="1"/>
  <c r="D40" i="1" s="1"/>
  <c r="B41" i="1"/>
  <c r="I27" i="1" l="1"/>
  <c r="E28" i="1" s="1"/>
  <c r="C41" i="1"/>
  <c r="D41" i="1" s="1"/>
  <c r="B42" i="1"/>
  <c r="J28" i="1" l="1"/>
  <c r="G28" i="1" s="1"/>
  <c r="H28" i="1"/>
  <c r="F28" i="1"/>
  <c r="C42" i="1"/>
  <c r="D42" i="1" s="1"/>
  <c r="B43" i="1"/>
  <c r="I28" i="1" l="1"/>
  <c r="E29" i="1" s="1"/>
  <c r="C43" i="1"/>
  <c r="D43" i="1" s="1"/>
  <c r="B44" i="1"/>
  <c r="J29" i="1" l="1"/>
  <c r="G29" i="1" s="1"/>
  <c r="F29" i="1"/>
  <c r="H29" i="1"/>
  <c r="C44" i="1"/>
  <c r="D44" i="1" s="1"/>
  <c r="B45" i="1"/>
  <c r="I29" i="1" l="1"/>
  <c r="E30" i="1" s="1"/>
  <c r="C45" i="1"/>
  <c r="D45" i="1" s="1"/>
  <c r="B46" i="1"/>
  <c r="H30" i="1" l="1"/>
  <c r="J30" i="1"/>
  <c r="G30" i="1" s="1"/>
  <c r="F30" i="1"/>
  <c r="B47" i="1"/>
  <c r="C46" i="1"/>
  <c r="D46" i="1" s="1"/>
  <c r="I30" i="1" l="1"/>
  <c r="E31" i="1" s="1"/>
  <c r="B48" i="1"/>
  <c r="C47" i="1"/>
  <c r="D47" i="1" s="1"/>
  <c r="F31" i="1" l="1"/>
  <c r="J31" i="1"/>
  <c r="G31" i="1" s="1"/>
  <c r="H31" i="1"/>
  <c r="C48" i="1"/>
  <c r="D48" i="1" s="1"/>
  <c r="B49" i="1"/>
  <c r="I31" i="1" l="1"/>
  <c r="E32" i="1" s="1"/>
  <c r="B50" i="1"/>
  <c r="C49" i="1"/>
  <c r="D49" i="1" s="1"/>
  <c r="J32" i="1" l="1"/>
  <c r="G32" i="1" s="1"/>
  <c r="H32" i="1"/>
  <c r="F32" i="1"/>
  <c r="B51" i="1"/>
  <c r="C50" i="1"/>
  <c r="D50" i="1" s="1"/>
  <c r="I32" i="1" l="1"/>
  <c r="E33" i="1" s="1"/>
  <c r="C51" i="1"/>
  <c r="D51" i="1" s="1"/>
  <c r="B52" i="1"/>
  <c r="F33" i="1" l="1"/>
  <c r="J33" i="1"/>
  <c r="G33" i="1" s="1"/>
  <c r="H33" i="1"/>
  <c r="C52" i="1"/>
  <c r="D52" i="1" s="1"/>
  <c r="B53" i="1"/>
  <c r="I33" i="1" l="1"/>
  <c r="E34" i="1" s="1"/>
  <c r="C53" i="1"/>
  <c r="D53" i="1" s="1"/>
  <c r="B54" i="1"/>
  <c r="J34" i="1" l="1"/>
  <c r="G34" i="1" s="1"/>
  <c r="F34" i="1"/>
  <c r="H34" i="1"/>
  <c r="C54" i="1"/>
  <c r="D54" i="1" s="1"/>
  <c r="B55" i="1"/>
  <c r="I34" i="1" l="1"/>
  <c r="E35" i="1" s="1"/>
  <c r="B56" i="1"/>
  <c r="C55" i="1"/>
  <c r="D55" i="1" s="1"/>
  <c r="F35" i="1" l="1"/>
  <c r="H35" i="1"/>
  <c r="J35" i="1"/>
  <c r="G35" i="1" s="1"/>
  <c r="C56" i="1"/>
  <c r="D56" i="1" s="1"/>
  <c r="B57" i="1"/>
  <c r="I35" i="1" l="1"/>
  <c r="E36" i="1" s="1"/>
  <c r="C57" i="1"/>
  <c r="D57" i="1" s="1"/>
  <c r="B58" i="1"/>
  <c r="J36" i="1" l="1"/>
  <c r="G36" i="1" s="1"/>
  <c r="H36" i="1"/>
  <c r="F36" i="1"/>
  <c r="C58" i="1"/>
  <c r="D58" i="1" s="1"/>
  <c r="B59" i="1"/>
  <c r="I36" i="1" l="1"/>
  <c r="E37" i="1" s="1"/>
  <c r="C59" i="1"/>
  <c r="D59" i="1" s="1"/>
  <c r="B60" i="1"/>
  <c r="H37" i="1" l="1"/>
  <c r="F37" i="1"/>
  <c r="J37" i="1"/>
  <c r="G37" i="1" s="1"/>
  <c r="C60" i="1"/>
  <c r="D60" i="1" s="1"/>
  <c r="B61" i="1"/>
  <c r="I37" i="1" l="1"/>
  <c r="E38" i="1" s="1"/>
  <c r="C61" i="1"/>
  <c r="D61" i="1" s="1"/>
  <c r="B62" i="1"/>
  <c r="H38" i="1" l="1"/>
  <c r="F38" i="1"/>
  <c r="J38" i="1"/>
  <c r="G38" i="1" s="1"/>
  <c r="C62" i="1"/>
  <c r="D62" i="1" s="1"/>
  <c r="B63" i="1"/>
  <c r="I38" i="1" l="1"/>
  <c r="E39" i="1" s="1"/>
  <c r="C63" i="1"/>
  <c r="D63" i="1" s="1"/>
  <c r="B64" i="1"/>
  <c r="H39" i="1" l="1"/>
  <c r="J39" i="1"/>
  <c r="G39" i="1" s="1"/>
  <c r="F39" i="1"/>
  <c r="C64" i="1"/>
  <c r="D64" i="1" s="1"/>
  <c r="B65" i="1"/>
  <c r="I39" i="1" l="1"/>
  <c r="E40" i="1" s="1"/>
  <c r="C65" i="1"/>
  <c r="D65" i="1" s="1"/>
  <c r="B66" i="1"/>
  <c r="F40" i="1" l="1"/>
  <c r="J40" i="1"/>
  <c r="G40" i="1" s="1"/>
  <c r="H40" i="1"/>
  <c r="C66" i="1"/>
  <c r="D66" i="1" s="1"/>
  <c r="B67" i="1"/>
  <c r="I40" i="1" l="1"/>
  <c r="E41" i="1" s="1"/>
  <c r="C67" i="1"/>
  <c r="D67" i="1" s="1"/>
  <c r="B68" i="1"/>
  <c r="H41" i="1" l="1"/>
  <c r="F41" i="1"/>
  <c r="J41" i="1"/>
  <c r="G41" i="1" s="1"/>
  <c r="B69" i="1"/>
  <c r="C68" i="1"/>
  <c r="D68" i="1" s="1"/>
  <c r="I41" i="1" l="1"/>
  <c r="E42" i="1" s="1"/>
  <c r="C69" i="1"/>
  <c r="D69" i="1" s="1"/>
  <c r="B70" i="1"/>
  <c r="H42" i="1" l="1"/>
  <c r="J42" i="1"/>
  <c r="F42" i="1"/>
  <c r="C70" i="1"/>
  <c r="D70" i="1" s="1"/>
  <c r="B71" i="1"/>
  <c r="G42" i="1" l="1"/>
  <c r="I42" i="1" s="1"/>
  <c r="E43" i="1" s="1"/>
  <c r="C71" i="1"/>
  <c r="D71" i="1" s="1"/>
  <c r="B72" i="1"/>
  <c r="H43" i="1" l="1"/>
  <c r="J43" i="1"/>
  <c r="G43" i="1" s="1"/>
  <c r="F43" i="1"/>
  <c r="C72" i="1"/>
  <c r="D72" i="1" s="1"/>
  <c r="B73" i="1"/>
  <c r="I43" i="1" l="1"/>
  <c r="E44" i="1" s="1"/>
  <c r="C73" i="1"/>
  <c r="D73" i="1" s="1"/>
  <c r="B74" i="1"/>
  <c r="J44" i="1" l="1"/>
  <c r="G44" i="1" s="1"/>
  <c r="H44" i="1"/>
  <c r="F44" i="1"/>
  <c r="C74" i="1"/>
  <c r="D74" i="1" s="1"/>
  <c r="B75" i="1"/>
  <c r="I44" i="1" l="1"/>
  <c r="E45" i="1" s="1"/>
  <c r="C75" i="1"/>
  <c r="D75" i="1" s="1"/>
  <c r="B76" i="1"/>
  <c r="J45" i="1" l="1"/>
  <c r="G45" i="1" s="1"/>
  <c r="H45" i="1"/>
  <c r="F45" i="1"/>
  <c r="B77" i="1"/>
  <c r="C76" i="1"/>
  <c r="D76" i="1" s="1"/>
  <c r="I45" i="1" l="1"/>
  <c r="E46" i="1" s="1"/>
  <c r="C77" i="1"/>
  <c r="D77" i="1" s="1"/>
  <c r="B78" i="1"/>
  <c r="J46" i="1" l="1"/>
  <c r="G46" i="1" s="1"/>
  <c r="H46" i="1"/>
  <c r="F46" i="1"/>
  <c r="C78" i="1"/>
  <c r="D78" i="1" s="1"/>
  <c r="B79" i="1"/>
  <c r="I46" i="1" l="1"/>
  <c r="E47" i="1" s="1"/>
  <c r="C79" i="1"/>
  <c r="D79" i="1" s="1"/>
  <c r="B80" i="1"/>
  <c r="J47" i="1" l="1"/>
  <c r="G47" i="1" s="1"/>
  <c r="H47" i="1"/>
  <c r="F47" i="1"/>
  <c r="B81" i="1"/>
  <c r="C80" i="1"/>
  <c r="D80" i="1" s="1"/>
  <c r="I47" i="1" l="1"/>
  <c r="E48" i="1" s="1"/>
  <c r="C81" i="1"/>
  <c r="D81" i="1" s="1"/>
  <c r="B82" i="1"/>
  <c r="F48" i="1" l="1"/>
  <c r="H48" i="1"/>
  <c r="J48" i="1"/>
  <c r="G48" i="1" s="1"/>
  <c r="C82" i="1"/>
  <c r="D82" i="1" s="1"/>
  <c r="B83" i="1"/>
  <c r="I48" i="1" l="1"/>
  <c r="E49" i="1" s="1"/>
  <c r="C83" i="1"/>
  <c r="D83" i="1" s="1"/>
  <c r="B84" i="1"/>
  <c r="H49" i="1" l="1"/>
  <c r="F49" i="1"/>
  <c r="J49" i="1"/>
  <c r="G49" i="1" s="1"/>
  <c r="C84" i="1"/>
  <c r="D84" i="1" s="1"/>
  <c r="B85" i="1"/>
  <c r="I49" i="1" l="1"/>
  <c r="E50" i="1" s="1"/>
  <c r="C85" i="1"/>
  <c r="D85" i="1" s="1"/>
  <c r="B86" i="1"/>
  <c r="J50" i="1" l="1"/>
  <c r="G50" i="1" s="1"/>
  <c r="H50" i="1"/>
  <c r="F50" i="1"/>
  <c r="C86" i="1"/>
  <c r="D86" i="1" s="1"/>
  <c r="B87" i="1"/>
  <c r="I50" i="1" l="1"/>
  <c r="E51" i="1" s="1"/>
  <c r="C87" i="1"/>
  <c r="D87" i="1" s="1"/>
  <c r="B88" i="1"/>
  <c r="J51" i="1" l="1"/>
  <c r="G51" i="1" s="1"/>
  <c r="H51" i="1"/>
  <c r="F51" i="1"/>
  <c r="B89" i="1"/>
  <c r="C88" i="1"/>
  <c r="D88" i="1" s="1"/>
  <c r="I51" i="1" l="1"/>
  <c r="E52" i="1" s="1"/>
  <c r="C89" i="1"/>
  <c r="D89" i="1" s="1"/>
  <c r="B90" i="1"/>
  <c r="J52" i="1" l="1"/>
  <c r="G52" i="1" s="1"/>
  <c r="F52" i="1"/>
  <c r="H52" i="1"/>
  <c r="B91" i="1"/>
  <c r="C90" i="1"/>
  <c r="D90" i="1" s="1"/>
  <c r="I52" i="1" l="1"/>
  <c r="E53" i="1" s="1"/>
  <c r="C91" i="1"/>
  <c r="D91" i="1" s="1"/>
  <c r="B92" i="1"/>
  <c r="J53" i="1" l="1"/>
  <c r="G53" i="1" s="1"/>
  <c r="H53" i="1"/>
  <c r="F53" i="1"/>
  <c r="B93" i="1"/>
  <c r="C92" i="1"/>
  <c r="D92" i="1" s="1"/>
  <c r="I53" i="1" l="1"/>
  <c r="E54" i="1" s="1"/>
  <c r="C93" i="1"/>
  <c r="D93" i="1" s="1"/>
  <c r="B94" i="1"/>
  <c r="H54" i="1" l="1"/>
  <c r="J54" i="1"/>
  <c r="G54" i="1" s="1"/>
  <c r="F54" i="1"/>
  <c r="C94" i="1"/>
  <c r="D94" i="1" s="1"/>
  <c r="B95" i="1"/>
  <c r="I54" i="1" l="1"/>
  <c r="E55" i="1" s="1"/>
  <c r="C95" i="1"/>
  <c r="D95" i="1" s="1"/>
  <c r="B96" i="1"/>
  <c r="H55" i="1" l="1"/>
  <c r="F55" i="1"/>
  <c r="J55" i="1"/>
  <c r="G55" i="1" s="1"/>
  <c r="B97" i="1"/>
  <c r="C96" i="1"/>
  <c r="D96" i="1" s="1"/>
  <c r="I55" i="1" l="1"/>
  <c r="E56" i="1" s="1"/>
  <c r="B98" i="1"/>
  <c r="C97" i="1"/>
  <c r="D97" i="1" s="1"/>
  <c r="H56" i="1" l="1"/>
  <c r="J56" i="1"/>
  <c r="G56" i="1" s="1"/>
  <c r="F56" i="1"/>
  <c r="B99" i="1"/>
  <c r="C98" i="1"/>
  <c r="D98" i="1" s="1"/>
  <c r="I56" i="1" l="1"/>
  <c r="E57" i="1" s="1"/>
  <c r="C99" i="1"/>
  <c r="D99" i="1" s="1"/>
  <c r="B100" i="1"/>
  <c r="H57" i="1" l="1"/>
  <c r="F57" i="1"/>
  <c r="J57" i="1"/>
  <c r="G57" i="1" s="1"/>
  <c r="C100" i="1"/>
  <c r="D100" i="1" s="1"/>
  <c r="B101" i="1"/>
  <c r="I57" i="1" l="1"/>
  <c r="E58" i="1" s="1"/>
  <c r="C101" i="1"/>
  <c r="D101" i="1" s="1"/>
  <c r="B102" i="1"/>
  <c r="H58" i="1" l="1"/>
  <c r="F58" i="1"/>
  <c r="J58" i="1"/>
  <c r="G58" i="1" s="1"/>
  <c r="B103" i="1"/>
  <c r="C102" i="1"/>
  <c r="D102" i="1" s="1"/>
  <c r="I58" i="1" l="1"/>
  <c r="E59" i="1" s="1"/>
  <c r="C103" i="1"/>
  <c r="D103" i="1" s="1"/>
  <c r="B104" i="1"/>
  <c r="J59" i="1" l="1"/>
  <c r="G59" i="1" s="1"/>
  <c r="H59" i="1"/>
  <c r="F59" i="1"/>
  <c r="B105" i="1"/>
  <c r="C104" i="1"/>
  <c r="D104" i="1" s="1"/>
  <c r="I59" i="1" l="1"/>
  <c r="E60" i="1" s="1"/>
  <c r="H60" i="1"/>
  <c r="J60" i="1"/>
  <c r="G60" i="1" s="1"/>
  <c r="F60" i="1"/>
  <c r="B106" i="1"/>
  <c r="C105" i="1"/>
  <c r="D105" i="1" s="1"/>
  <c r="I60" i="1" l="1"/>
  <c r="E61" i="1" s="1"/>
  <c r="B107" i="1"/>
  <c r="C106" i="1"/>
  <c r="D106" i="1" s="1"/>
  <c r="H61" i="1" l="1"/>
  <c r="J61" i="1"/>
  <c r="G61" i="1" s="1"/>
  <c r="F61" i="1"/>
  <c r="C107" i="1"/>
  <c r="D107" i="1" s="1"/>
  <c r="B108" i="1"/>
  <c r="I61" i="1" l="1"/>
  <c r="E62" i="1" s="1"/>
  <c r="B109" i="1"/>
  <c r="C108" i="1"/>
  <c r="D108" i="1" s="1"/>
  <c r="F62" i="1" l="1"/>
  <c r="H62" i="1"/>
  <c r="J62" i="1"/>
  <c r="G62" i="1" s="1"/>
  <c r="C109" i="1"/>
  <c r="D109" i="1" s="1"/>
  <c r="B110" i="1"/>
  <c r="I62" i="1" l="1"/>
  <c r="E63" i="1" s="1"/>
  <c r="C110" i="1"/>
  <c r="D110" i="1" s="1"/>
  <c r="B111" i="1"/>
  <c r="H63" i="1" l="1"/>
  <c r="J63" i="1"/>
  <c r="G63" i="1" s="1"/>
  <c r="F63" i="1"/>
  <c r="B112" i="1"/>
  <c r="C111" i="1"/>
  <c r="D111" i="1" s="1"/>
  <c r="I63" i="1" l="1"/>
  <c r="E64" i="1" s="1"/>
  <c r="C112" i="1"/>
  <c r="D112" i="1" s="1"/>
  <c r="B113" i="1"/>
  <c r="H64" i="1" l="1"/>
  <c r="J64" i="1"/>
  <c r="G64" i="1" s="1"/>
  <c r="F64" i="1"/>
  <c r="C113" i="1"/>
  <c r="D113" i="1" s="1"/>
  <c r="B114" i="1"/>
  <c r="I64" i="1" l="1"/>
  <c r="E65" i="1" s="1"/>
  <c r="C114" i="1"/>
  <c r="D114" i="1" s="1"/>
  <c r="B115" i="1"/>
  <c r="J65" i="1" l="1"/>
  <c r="G65" i="1" s="1"/>
  <c r="H65" i="1"/>
  <c r="F65" i="1"/>
  <c r="B116" i="1"/>
  <c r="C115" i="1"/>
  <c r="D115" i="1" s="1"/>
  <c r="I65" i="1" l="1"/>
  <c r="E66" i="1" s="1"/>
  <c r="C116" i="1"/>
  <c r="D116" i="1" s="1"/>
  <c r="B117" i="1"/>
  <c r="F66" i="1" l="1"/>
  <c r="H66" i="1"/>
  <c r="J66" i="1"/>
  <c r="G66" i="1" s="1"/>
  <c r="B118" i="1"/>
  <c r="C117" i="1"/>
  <c r="D117" i="1" s="1"/>
  <c r="I66" i="1" l="1"/>
  <c r="E67" i="1" s="1"/>
  <c r="C118" i="1"/>
  <c r="D118" i="1" s="1"/>
  <c r="B119" i="1"/>
  <c r="H67" i="1" l="1"/>
  <c r="F67" i="1"/>
  <c r="J67" i="1"/>
  <c r="G67" i="1" s="1"/>
  <c r="B120" i="1"/>
  <c r="C119" i="1"/>
  <c r="D119" i="1" s="1"/>
  <c r="I67" i="1" l="1"/>
  <c r="E68" i="1" s="1"/>
  <c r="C120" i="1"/>
  <c r="D120" i="1" s="1"/>
  <c r="B121" i="1"/>
  <c r="F68" i="1" l="1"/>
  <c r="J68" i="1"/>
  <c r="G68" i="1" s="1"/>
  <c r="H68" i="1"/>
  <c r="C121" i="1"/>
  <c r="D121" i="1" s="1"/>
  <c r="B122" i="1"/>
  <c r="I68" i="1" l="1"/>
  <c r="E69" i="1" s="1"/>
  <c r="B123" i="1"/>
  <c r="C122" i="1"/>
  <c r="D122" i="1" s="1"/>
  <c r="J69" i="1" l="1"/>
  <c r="G69" i="1" s="1"/>
  <c r="H69" i="1"/>
  <c r="F69" i="1"/>
  <c r="C123" i="1"/>
  <c r="D123" i="1" s="1"/>
  <c r="B124" i="1"/>
  <c r="I69" i="1" l="1"/>
  <c r="E70" i="1" s="1"/>
  <c r="B125" i="1"/>
  <c r="C124" i="1"/>
  <c r="D124" i="1" s="1"/>
  <c r="F70" i="1" l="1"/>
  <c r="J70" i="1"/>
  <c r="G70" i="1" s="1"/>
  <c r="H70" i="1"/>
  <c r="C125" i="1"/>
  <c r="D125" i="1" s="1"/>
  <c r="B126" i="1"/>
  <c r="I70" i="1" l="1"/>
  <c r="E71" i="1" s="1"/>
  <c r="B127" i="1"/>
  <c r="C126" i="1"/>
  <c r="D126" i="1" s="1"/>
  <c r="F71" i="1" l="1"/>
  <c r="H71" i="1"/>
  <c r="J71" i="1"/>
  <c r="G71" i="1" s="1"/>
  <c r="B128" i="1"/>
  <c r="C127" i="1"/>
  <c r="D127" i="1" s="1"/>
  <c r="I71" i="1" l="1"/>
  <c r="E72" i="1" s="1"/>
  <c r="C128" i="1"/>
  <c r="D128" i="1" s="1"/>
  <c r="B129" i="1"/>
  <c r="J72" i="1" l="1"/>
  <c r="G72" i="1" s="1"/>
  <c r="H72" i="1"/>
  <c r="F72" i="1"/>
  <c r="C129" i="1"/>
  <c r="D129" i="1" s="1"/>
  <c r="B130" i="1"/>
  <c r="I72" i="1" l="1"/>
  <c r="E73" i="1" s="1"/>
  <c r="C130" i="1"/>
  <c r="D130" i="1" s="1"/>
  <c r="B131" i="1"/>
  <c r="H73" i="1" l="1"/>
  <c r="J73" i="1"/>
  <c r="G73" i="1" s="1"/>
  <c r="F73" i="1"/>
  <c r="C131" i="1"/>
  <c r="D131" i="1" s="1"/>
  <c r="B132" i="1"/>
  <c r="I73" i="1" l="1"/>
  <c r="E74" i="1" s="1"/>
  <c r="C132" i="1"/>
  <c r="D132" i="1" s="1"/>
  <c r="B133" i="1"/>
  <c r="J74" i="1" l="1"/>
  <c r="G74" i="1" s="1"/>
  <c r="H74" i="1"/>
  <c r="F74" i="1"/>
  <c r="C133" i="1"/>
  <c r="D133" i="1" s="1"/>
  <c r="B134" i="1"/>
  <c r="I74" i="1" l="1"/>
  <c r="E75" i="1" s="1"/>
  <c r="J75" i="1" s="1"/>
  <c r="G75" i="1" s="1"/>
  <c r="F75" i="1"/>
  <c r="H75" i="1"/>
  <c r="C134" i="1"/>
  <c r="D134" i="1" s="1"/>
  <c r="B135" i="1"/>
  <c r="I75" i="1" l="1"/>
  <c r="E76" i="1" s="1"/>
  <c r="J76" i="1"/>
  <c r="G76" i="1" s="1"/>
  <c r="H76" i="1"/>
  <c r="F76" i="1"/>
  <c r="C135" i="1"/>
  <c r="D135" i="1" s="1"/>
  <c r="B136" i="1"/>
  <c r="C136" i="1" l="1"/>
  <c r="D136" i="1" s="1"/>
  <c r="B137" i="1"/>
  <c r="I76" i="1"/>
  <c r="E77" i="1" s="1"/>
  <c r="H77" i="1" l="1"/>
  <c r="J77" i="1"/>
  <c r="G77" i="1" s="1"/>
  <c r="F77" i="1"/>
  <c r="B138" i="1"/>
  <c r="C137" i="1"/>
  <c r="D137" i="1" s="1"/>
  <c r="B139" i="1" l="1"/>
  <c r="C138" i="1"/>
  <c r="D138" i="1" s="1"/>
  <c r="I77" i="1"/>
  <c r="E78" i="1" s="1"/>
  <c r="F78" i="1" l="1"/>
  <c r="H78" i="1"/>
  <c r="J78" i="1"/>
  <c r="G78" i="1" s="1"/>
  <c r="C139" i="1"/>
  <c r="D139" i="1" s="1"/>
  <c r="B140" i="1"/>
  <c r="C140" i="1" l="1"/>
  <c r="D140" i="1" s="1"/>
  <c r="B141" i="1"/>
  <c r="I78" i="1"/>
  <c r="E79" i="1" s="1"/>
  <c r="H79" i="1" l="1"/>
  <c r="F79" i="1"/>
  <c r="J79" i="1"/>
  <c r="G79" i="1" s="1"/>
  <c r="C141" i="1"/>
  <c r="D141" i="1" s="1"/>
  <c r="B142" i="1"/>
  <c r="C142" i="1" l="1"/>
  <c r="D142" i="1" s="1"/>
  <c r="B143" i="1"/>
  <c r="I79" i="1"/>
  <c r="E80" i="1" s="1"/>
  <c r="F80" i="1" l="1"/>
  <c r="J80" i="1"/>
  <c r="G80" i="1" s="1"/>
  <c r="H80" i="1"/>
  <c r="C143" i="1"/>
  <c r="D143" i="1" s="1"/>
  <c r="B144" i="1"/>
  <c r="C144" i="1" l="1"/>
  <c r="D144" i="1" s="1"/>
  <c r="B145" i="1"/>
  <c r="I80" i="1"/>
  <c r="E81" i="1" s="1"/>
  <c r="J81" i="1" l="1"/>
  <c r="G81" i="1" s="1"/>
  <c r="F81" i="1"/>
  <c r="H81" i="1"/>
  <c r="B146" i="1"/>
  <c r="C145" i="1"/>
  <c r="D145" i="1" s="1"/>
  <c r="I81" i="1" l="1"/>
  <c r="E82" i="1" s="1"/>
  <c r="C146" i="1"/>
  <c r="D146" i="1" s="1"/>
  <c r="B147" i="1"/>
  <c r="C147" i="1" l="1"/>
  <c r="D147" i="1" s="1"/>
  <c r="B148" i="1"/>
  <c r="H82" i="1"/>
  <c r="F82" i="1"/>
  <c r="J82" i="1"/>
  <c r="G82" i="1" s="1"/>
  <c r="I82" i="1" l="1"/>
  <c r="E83" i="1" s="1"/>
  <c r="C148" i="1"/>
  <c r="D148" i="1" s="1"/>
  <c r="B149" i="1"/>
  <c r="C149" i="1" l="1"/>
  <c r="D149" i="1" s="1"/>
  <c r="B150" i="1"/>
  <c r="F83" i="1"/>
  <c r="J83" i="1"/>
  <c r="G83" i="1" s="1"/>
  <c r="H83" i="1"/>
  <c r="C150" i="1" l="1"/>
  <c r="D150" i="1" s="1"/>
  <c r="B151" i="1"/>
  <c r="I83" i="1"/>
  <c r="E84" i="1" s="1"/>
  <c r="H84" i="1" l="1"/>
  <c r="F84" i="1"/>
  <c r="J84" i="1"/>
  <c r="G84" i="1" s="1"/>
  <c r="C151" i="1"/>
  <c r="D151" i="1" s="1"/>
  <c r="B152" i="1"/>
  <c r="C152" i="1" l="1"/>
  <c r="D152" i="1" s="1"/>
  <c r="B153" i="1"/>
  <c r="I84" i="1"/>
  <c r="E85" i="1" s="1"/>
  <c r="H85" i="1" l="1"/>
  <c r="F85" i="1"/>
  <c r="J85" i="1"/>
  <c r="G85" i="1" s="1"/>
  <c r="B154" i="1"/>
  <c r="C153" i="1"/>
  <c r="D153" i="1" s="1"/>
  <c r="C154" i="1" l="1"/>
  <c r="D154" i="1" s="1"/>
  <c r="B155" i="1"/>
  <c r="I85" i="1"/>
  <c r="E86" i="1" s="1"/>
  <c r="J86" i="1" l="1"/>
  <c r="G86" i="1" s="1"/>
  <c r="F86" i="1"/>
  <c r="H86" i="1"/>
  <c r="C155" i="1"/>
  <c r="D155" i="1" s="1"/>
  <c r="B156" i="1"/>
  <c r="C156" i="1" l="1"/>
  <c r="D156" i="1" s="1"/>
  <c r="B157" i="1"/>
  <c r="I86" i="1"/>
  <c r="E87" i="1" s="1"/>
  <c r="J87" i="1" l="1"/>
  <c r="G87" i="1" s="1"/>
  <c r="H87" i="1"/>
  <c r="F87" i="1"/>
  <c r="C157" i="1"/>
  <c r="D157" i="1" s="1"/>
  <c r="B158" i="1"/>
  <c r="C158" i="1" l="1"/>
  <c r="D158" i="1" s="1"/>
  <c r="B159" i="1"/>
  <c r="I87" i="1"/>
  <c r="E88" i="1" s="1"/>
  <c r="H88" i="1" l="1"/>
  <c r="J88" i="1"/>
  <c r="G88" i="1" s="1"/>
  <c r="F88" i="1"/>
  <c r="B160" i="1"/>
  <c r="C159" i="1"/>
  <c r="D159" i="1" s="1"/>
  <c r="C160" i="1" l="1"/>
  <c r="D160" i="1" s="1"/>
  <c r="B161" i="1"/>
  <c r="I88" i="1"/>
  <c r="E89" i="1" s="1"/>
  <c r="H89" i="1" l="1"/>
  <c r="F89" i="1"/>
  <c r="J89" i="1"/>
  <c r="G89" i="1" s="1"/>
  <c r="C161" i="1"/>
  <c r="D161" i="1" s="1"/>
  <c r="B162" i="1"/>
  <c r="C162" i="1" l="1"/>
  <c r="D162" i="1" s="1"/>
  <c r="B163" i="1"/>
  <c r="I89" i="1"/>
  <c r="E90" i="1" s="1"/>
  <c r="J90" i="1" l="1"/>
  <c r="G90" i="1" s="1"/>
  <c r="H90" i="1"/>
  <c r="F90" i="1"/>
  <c r="C163" i="1"/>
  <c r="D163" i="1" s="1"/>
  <c r="B164" i="1"/>
  <c r="C164" i="1" l="1"/>
  <c r="D164" i="1" s="1"/>
  <c r="B165" i="1"/>
  <c r="I90" i="1"/>
  <c r="E91" i="1" s="1"/>
  <c r="F91" i="1" l="1"/>
  <c r="H91" i="1"/>
  <c r="J91" i="1"/>
  <c r="G91" i="1" s="1"/>
  <c r="C165" i="1"/>
  <c r="D165" i="1" s="1"/>
  <c r="B166" i="1"/>
  <c r="C166" i="1" l="1"/>
  <c r="D166" i="1" s="1"/>
  <c r="B167" i="1"/>
  <c r="I91" i="1"/>
  <c r="E92" i="1" s="1"/>
  <c r="J92" i="1" l="1"/>
  <c r="G92" i="1" s="1"/>
  <c r="F92" i="1"/>
  <c r="H92" i="1"/>
  <c r="C167" i="1"/>
  <c r="D167" i="1" s="1"/>
  <c r="B168" i="1"/>
  <c r="C168" i="1" l="1"/>
  <c r="D168" i="1" s="1"/>
  <c r="B169" i="1"/>
  <c r="I92" i="1"/>
  <c r="E93" i="1" s="1"/>
  <c r="H93" i="1" l="1"/>
  <c r="J93" i="1"/>
  <c r="G93" i="1" s="1"/>
  <c r="F93" i="1"/>
  <c r="C169" i="1"/>
  <c r="D169" i="1" s="1"/>
  <c r="B170" i="1"/>
  <c r="C170" i="1" l="1"/>
  <c r="D170" i="1" s="1"/>
  <c r="B171" i="1"/>
  <c r="I93" i="1"/>
  <c r="E94" i="1" s="1"/>
  <c r="J94" i="1" l="1"/>
  <c r="G94" i="1" s="1"/>
  <c r="F94" i="1"/>
  <c r="H94" i="1"/>
  <c r="C171" i="1"/>
  <c r="D171" i="1" s="1"/>
  <c r="B172" i="1"/>
  <c r="C172" i="1" l="1"/>
  <c r="D172" i="1" s="1"/>
  <c r="B173" i="1"/>
  <c r="I94" i="1"/>
  <c r="E95" i="1" s="1"/>
  <c r="J95" i="1" l="1"/>
  <c r="G95" i="1" s="1"/>
  <c r="H95" i="1"/>
  <c r="F95" i="1"/>
  <c r="B174" i="1"/>
  <c r="C173" i="1"/>
  <c r="D173" i="1" s="1"/>
  <c r="C174" i="1" l="1"/>
  <c r="D174" i="1" s="1"/>
  <c r="B175" i="1"/>
  <c r="I95" i="1"/>
  <c r="E96" i="1" s="1"/>
  <c r="F96" i="1" l="1"/>
  <c r="J96" i="1"/>
  <c r="G96" i="1" s="1"/>
  <c r="H96" i="1"/>
  <c r="C175" i="1"/>
  <c r="D175" i="1" s="1"/>
  <c r="B176" i="1"/>
  <c r="C176" i="1" l="1"/>
  <c r="D176" i="1" s="1"/>
  <c r="B177" i="1"/>
  <c r="I96" i="1"/>
  <c r="E97" i="1" s="1"/>
  <c r="H97" i="1" l="1"/>
  <c r="J97" i="1"/>
  <c r="G97" i="1" s="1"/>
  <c r="F97" i="1"/>
  <c r="C177" i="1"/>
  <c r="D177" i="1" s="1"/>
  <c r="B178" i="1"/>
  <c r="C178" i="1" l="1"/>
  <c r="D178" i="1" s="1"/>
  <c r="B179" i="1"/>
  <c r="I97" i="1"/>
  <c r="E98" i="1" s="1"/>
  <c r="J98" i="1" l="1"/>
  <c r="G98" i="1" s="1"/>
  <c r="H98" i="1"/>
  <c r="F98" i="1"/>
  <c r="C179" i="1"/>
  <c r="D179" i="1" s="1"/>
  <c r="B180" i="1"/>
  <c r="C180" i="1" l="1"/>
  <c r="D180" i="1" s="1"/>
  <c r="B181" i="1"/>
  <c r="I98" i="1"/>
  <c r="E99" i="1" s="1"/>
  <c r="F99" i="1" l="1"/>
  <c r="H99" i="1"/>
  <c r="J99" i="1"/>
  <c r="G99" i="1" s="1"/>
  <c r="C181" i="1"/>
  <c r="D181" i="1" s="1"/>
  <c r="B182" i="1"/>
  <c r="C182" i="1" l="1"/>
  <c r="D182" i="1" s="1"/>
  <c r="B183" i="1"/>
  <c r="I99" i="1"/>
  <c r="E100" i="1" s="1"/>
  <c r="F100" i="1" l="1"/>
  <c r="H100" i="1"/>
  <c r="J100" i="1"/>
  <c r="G100" i="1" s="1"/>
  <c r="C183" i="1"/>
  <c r="D183" i="1" s="1"/>
  <c r="B184" i="1"/>
  <c r="C184" i="1" l="1"/>
  <c r="D184" i="1" s="1"/>
  <c r="B185" i="1"/>
  <c r="I100" i="1"/>
  <c r="E101" i="1" s="1"/>
  <c r="F101" i="1" l="1"/>
  <c r="H101" i="1"/>
  <c r="J101" i="1"/>
  <c r="G101" i="1" s="1"/>
  <c r="C185" i="1"/>
  <c r="D185" i="1" s="1"/>
  <c r="B186" i="1"/>
  <c r="C186" i="1" l="1"/>
  <c r="D186" i="1" s="1"/>
  <c r="B187" i="1"/>
  <c r="I101" i="1"/>
  <c r="E102" i="1" s="1"/>
  <c r="H102" i="1" l="1"/>
  <c r="J102" i="1"/>
  <c r="G102" i="1" s="1"/>
  <c r="F102" i="1"/>
  <c r="C187" i="1"/>
  <c r="D187" i="1" s="1"/>
  <c r="B188" i="1"/>
  <c r="B189" i="1" l="1"/>
  <c r="C188" i="1"/>
  <c r="D188" i="1" s="1"/>
  <c r="I102" i="1"/>
  <c r="E103" i="1" s="1"/>
  <c r="J103" i="1" l="1"/>
  <c r="G103" i="1" s="1"/>
  <c r="H103" i="1"/>
  <c r="F103" i="1"/>
  <c r="B190" i="1"/>
  <c r="C189" i="1"/>
  <c r="D189" i="1" s="1"/>
  <c r="C190" i="1" l="1"/>
  <c r="D190" i="1" s="1"/>
  <c r="B191" i="1"/>
  <c r="I103" i="1"/>
  <c r="E104" i="1" s="1"/>
  <c r="H104" i="1" l="1"/>
  <c r="J104" i="1"/>
  <c r="G104" i="1" s="1"/>
  <c r="F104" i="1"/>
  <c r="B192" i="1"/>
  <c r="C191" i="1"/>
  <c r="D191" i="1" s="1"/>
  <c r="C192" i="1" l="1"/>
  <c r="D192" i="1" s="1"/>
  <c r="B193" i="1"/>
  <c r="I104" i="1"/>
  <c r="E105" i="1" s="1"/>
  <c r="H105" i="1" l="1"/>
  <c r="J105" i="1"/>
  <c r="G105" i="1" s="1"/>
  <c r="F105" i="1"/>
  <c r="C193" i="1"/>
  <c r="D193" i="1" s="1"/>
  <c r="B194" i="1"/>
  <c r="C194" i="1" l="1"/>
  <c r="D194" i="1" s="1"/>
  <c r="B195" i="1"/>
  <c r="I105" i="1"/>
  <c r="E106" i="1" s="1"/>
  <c r="H106" i="1" l="1"/>
  <c r="J106" i="1"/>
  <c r="G106" i="1" s="1"/>
  <c r="F106" i="1"/>
  <c r="C195" i="1"/>
  <c r="D195" i="1" s="1"/>
  <c r="B196" i="1"/>
  <c r="B197" i="1" l="1"/>
  <c r="C196" i="1"/>
  <c r="D196" i="1" s="1"/>
  <c r="I106" i="1"/>
  <c r="E107" i="1" s="1"/>
  <c r="J107" i="1" l="1"/>
  <c r="G107" i="1" s="1"/>
  <c r="F107" i="1"/>
  <c r="H107" i="1"/>
  <c r="C197" i="1"/>
  <c r="D197" i="1" s="1"/>
  <c r="B198" i="1"/>
  <c r="C198" i="1" l="1"/>
  <c r="D198" i="1" s="1"/>
  <c r="B199" i="1"/>
  <c r="I107" i="1"/>
  <c r="E108" i="1" s="1"/>
  <c r="J108" i="1" l="1"/>
  <c r="G108" i="1" s="1"/>
  <c r="F108" i="1"/>
  <c r="H108" i="1"/>
  <c r="C199" i="1"/>
  <c r="D199" i="1" s="1"/>
  <c r="B200" i="1"/>
  <c r="C200" i="1" l="1"/>
  <c r="D200" i="1" s="1"/>
  <c r="B201" i="1"/>
  <c r="I108" i="1"/>
  <c r="E109" i="1" s="1"/>
  <c r="H109" i="1" l="1"/>
  <c r="F109" i="1"/>
  <c r="J109" i="1"/>
  <c r="G109" i="1" s="1"/>
  <c r="C201" i="1"/>
  <c r="D201" i="1" s="1"/>
  <c r="B202" i="1"/>
  <c r="B203" i="1" l="1"/>
  <c r="C202" i="1"/>
  <c r="D202" i="1" s="1"/>
  <c r="I109" i="1"/>
  <c r="E110" i="1" s="1"/>
  <c r="F110" i="1" l="1"/>
  <c r="H110" i="1"/>
  <c r="J110" i="1"/>
  <c r="G110" i="1" s="1"/>
  <c r="C203" i="1"/>
  <c r="D203" i="1" s="1"/>
  <c r="B204" i="1"/>
  <c r="C204" i="1" l="1"/>
  <c r="D204" i="1" s="1"/>
  <c r="B205" i="1"/>
  <c r="I110" i="1"/>
  <c r="E111" i="1" s="1"/>
  <c r="H111" i="1" l="1"/>
  <c r="F111" i="1"/>
  <c r="J111" i="1"/>
  <c r="G111" i="1" s="1"/>
  <c r="C205" i="1"/>
  <c r="D205" i="1" s="1"/>
  <c r="B206" i="1"/>
  <c r="C206" i="1" l="1"/>
  <c r="D206" i="1" s="1"/>
  <c r="B207" i="1"/>
  <c r="I111" i="1"/>
  <c r="E112" i="1" s="1"/>
  <c r="J112" i="1" l="1"/>
  <c r="G112" i="1" s="1"/>
  <c r="F112" i="1"/>
  <c r="H112" i="1"/>
  <c r="C207" i="1"/>
  <c r="D207" i="1" s="1"/>
  <c r="B208" i="1"/>
  <c r="C208" i="1" l="1"/>
  <c r="D208" i="1" s="1"/>
  <c r="B209" i="1"/>
  <c r="I112" i="1"/>
  <c r="E113" i="1" s="1"/>
  <c r="F113" i="1" l="1"/>
  <c r="H113" i="1"/>
  <c r="J113" i="1"/>
  <c r="G113" i="1" s="1"/>
  <c r="B210" i="1"/>
  <c r="C209" i="1"/>
  <c r="D209" i="1" s="1"/>
  <c r="B211" i="1" l="1"/>
  <c r="C210" i="1"/>
  <c r="D210" i="1" s="1"/>
  <c r="I113" i="1"/>
  <c r="E114" i="1" s="1"/>
  <c r="J114" i="1" l="1"/>
  <c r="G114" i="1" s="1"/>
  <c r="H114" i="1"/>
  <c r="F114" i="1"/>
  <c r="C211" i="1"/>
  <c r="D211" i="1" s="1"/>
  <c r="B212" i="1"/>
  <c r="C212" i="1" l="1"/>
  <c r="D212" i="1" s="1"/>
  <c r="B213" i="1"/>
  <c r="I114" i="1"/>
  <c r="E115" i="1" s="1"/>
  <c r="C213" i="1" l="1"/>
  <c r="D213" i="1" s="1"/>
  <c r="B214" i="1"/>
  <c r="J115" i="1"/>
  <c r="G115" i="1" s="1"/>
  <c r="H115" i="1"/>
  <c r="F115" i="1"/>
  <c r="I115" i="1" l="1"/>
  <c r="E116" i="1" s="1"/>
  <c r="H116" i="1" s="1"/>
  <c r="C214" i="1"/>
  <c r="D214" i="1" s="1"/>
  <c r="B215" i="1"/>
  <c r="F116" i="1" l="1"/>
  <c r="J116" i="1"/>
  <c r="G116" i="1" s="1"/>
  <c r="C215" i="1"/>
  <c r="D215" i="1" s="1"/>
  <c r="B216" i="1"/>
  <c r="I116" i="1" l="1"/>
  <c r="E117" i="1" s="1"/>
  <c r="H117" i="1" s="1"/>
  <c r="C216" i="1"/>
  <c r="D216" i="1" s="1"/>
  <c r="B217" i="1"/>
  <c r="J117" i="1" l="1"/>
  <c r="G117" i="1" s="1"/>
  <c r="I117" i="1" s="1"/>
  <c r="E118" i="1" s="1"/>
  <c r="F117" i="1"/>
  <c r="C217" i="1"/>
  <c r="D217" i="1" s="1"/>
  <c r="B218" i="1"/>
  <c r="H118" i="1" l="1"/>
  <c r="J118" i="1"/>
  <c r="G118" i="1" s="1"/>
  <c r="F118" i="1"/>
  <c r="C218" i="1"/>
  <c r="D218" i="1" s="1"/>
  <c r="B219" i="1"/>
  <c r="C219" i="1" l="1"/>
  <c r="D219" i="1" s="1"/>
  <c r="B220" i="1"/>
  <c r="I118" i="1"/>
  <c r="E119" i="1" s="1"/>
  <c r="J119" i="1" l="1"/>
  <c r="G119" i="1" s="1"/>
  <c r="H119" i="1"/>
  <c r="F119" i="1"/>
  <c r="C220" i="1"/>
  <c r="D220" i="1" s="1"/>
  <c r="B221" i="1"/>
  <c r="C221" i="1" l="1"/>
  <c r="D221" i="1" s="1"/>
  <c r="B222" i="1"/>
  <c r="I119" i="1"/>
  <c r="E120" i="1" s="1"/>
  <c r="H120" i="1" l="1"/>
  <c r="J120" i="1"/>
  <c r="G120" i="1" s="1"/>
  <c r="F120" i="1"/>
  <c r="C222" i="1"/>
  <c r="D222" i="1" s="1"/>
  <c r="B223" i="1"/>
  <c r="C223" i="1" l="1"/>
  <c r="D223" i="1" s="1"/>
  <c r="B224" i="1"/>
  <c r="I120" i="1"/>
  <c r="E121" i="1" s="1"/>
  <c r="J121" i="1" l="1"/>
  <c r="G121" i="1" s="1"/>
  <c r="H121" i="1"/>
  <c r="F121" i="1"/>
  <c r="C224" i="1"/>
  <c r="D224" i="1" s="1"/>
  <c r="B225" i="1"/>
  <c r="C225" i="1" l="1"/>
  <c r="D225" i="1" s="1"/>
  <c r="B226" i="1"/>
  <c r="I121" i="1"/>
  <c r="E122" i="1" s="1"/>
  <c r="B227" i="1" l="1"/>
  <c r="C226" i="1"/>
  <c r="D226" i="1" s="1"/>
  <c r="J122" i="1"/>
  <c r="G122" i="1" s="1"/>
  <c r="H122" i="1"/>
  <c r="F122" i="1"/>
  <c r="I122" i="1" l="1"/>
  <c r="E123" i="1" s="1"/>
  <c r="B228" i="1"/>
  <c r="C227" i="1"/>
  <c r="D227" i="1" s="1"/>
  <c r="C228" i="1" l="1"/>
  <c r="D228" i="1" s="1"/>
  <c r="B229" i="1"/>
  <c r="J123" i="1"/>
  <c r="G123" i="1" s="1"/>
  <c r="H123" i="1"/>
  <c r="F123" i="1"/>
  <c r="I123" i="1" l="1"/>
  <c r="E124" i="1" s="1"/>
  <c r="C229" i="1"/>
  <c r="D229" i="1" s="1"/>
  <c r="B230" i="1"/>
  <c r="C230" i="1" l="1"/>
  <c r="D230" i="1" s="1"/>
  <c r="B231" i="1"/>
  <c r="J124" i="1"/>
  <c r="G124" i="1" s="1"/>
  <c r="H124" i="1"/>
  <c r="F124" i="1"/>
  <c r="I124" i="1" l="1"/>
  <c r="E125" i="1" s="1"/>
  <c r="H125" i="1" s="1"/>
  <c r="C231" i="1"/>
  <c r="D231" i="1" s="1"/>
  <c r="B232" i="1"/>
  <c r="F125" i="1" l="1"/>
  <c r="J125" i="1"/>
  <c r="G125" i="1" s="1"/>
  <c r="B233" i="1"/>
  <c r="C232" i="1"/>
  <c r="D232" i="1" s="1"/>
  <c r="I125" i="1" l="1"/>
  <c r="E126" i="1" s="1"/>
  <c r="F126" i="1" s="1"/>
  <c r="C233" i="1"/>
  <c r="D233" i="1" s="1"/>
  <c r="B234" i="1"/>
  <c r="J126" i="1" l="1"/>
  <c r="H126" i="1"/>
  <c r="B235" i="1"/>
  <c r="C234" i="1"/>
  <c r="D234" i="1" s="1"/>
  <c r="G126" i="1" l="1"/>
  <c r="I126" i="1" s="1"/>
  <c r="E127" i="1" s="1"/>
  <c r="C235" i="1"/>
  <c r="D235" i="1" s="1"/>
  <c r="B236" i="1"/>
  <c r="H127" i="1" l="1"/>
  <c r="F127" i="1"/>
  <c r="J127" i="1"/>
  <c r="G127" i="1" s="1"/>
  <c r="I127" i="1" s="1"/>
  <c r="E128" i="1" s="1"/>
  <c r="C236" i="1"/>
  <c r="D236" i="1" s="1"/>
  <c r="B237" i="1"/>
  <c r="C237" i="1" l="1"/>
  <c r="D237" i="1" s="1"/>
  <c r="B238" i="1"/>
  <c r="H128" i="1"/>
  <c r="J128" i="1"/>
  <c r="G128" i="1" s="1"/>
  <c r="F128" i="1"/>
  <c r="I128" i="1" l="1"/>
  <c r="E129" i="1" s="1"/>
  <c r="C238" i="1"/>
  <c r="D238" i="1" s="1"/>
  <c r="B239" i="1"/>
  <c r="C239" i="1" l="1"/>
  <c r="D239" i="1" s="1"/>
  <c r="B240" i="1"/>
  <c r="H129" i="1"/>
  <c r="J129" i="1"/>
  <c r="G129" i="1" s="1"/>
  <c r="F129" i="1"/>
  <c r="I129" i="1" l="1"/>
  <c r="E130" i="1" s="1"/>
  <c r="C240" i="1"/>
  <c r="D240" i="1" s="1"/>
  <c r="B241" i="1"/>
  <c r="C241" i="1" l="1"/>
  <c r="D241" i="1" s="1"/>
  <c r="B242" i="1"/>
  <c r="J130" i="1"/>
  <c r="G130" i="1" s="1"/>
  <c r="H130" i="1"/>
  <c r="F130" i="1"/>
  <c r="I130" i="1" l="1"/>
  <c r="E131" i="1" s="1"/>
  <c r="C242" i="1"/>
  <c r="D242" i="1" s="1"/>
  <c r="B243" i="1"/>
  <c r="C243" i="1" l="1"/>
  <c r="D243" i="1" s="1"/>
  <c r="B244" i="1"/>
  <c r="J131" i="1"/>
  <c r="G131" i="1" s="1"/>
  <c r="H131" i="1"/>
  <c r="F131" i="1"/>
  <c r="I131" i="1" l="1"/>
  <c r="E132" i="1" s="1"/>
  <c r="H132" i="1" s="1"/>
  <c r="B245" i="1"/>
  <c r="C244" i="1"/>
  <c r="D244" i="1" s="1"/>
  <c r="F132" i="1" l="1"/>
  <c r="J132" i="1"/>
  <c r="G132" i="1" s="1"/>
  <c r="C245" i="1"/>
  <c r="D245" i="1" s="1"/>
  <c r="B246" i="1"/>
  <c r="I132" i="1" l="1"/>
  <c r="E133" i="1" s="1"/>
  <c r="B247" i="1"/>
  <c r="C246" i="1"/>
  <c r="D246" i="1" s="1"/>
  <c r="H133" i="1" l="1"/>
  <c r="F133" i="1"/>
  <c r="J133" i="1"/>
  <c r="G133" i="1" s="1"/>
  <c r="C247" i="1"/>
  <c r="D247" i="1" s="1"/>
  <c r="B248" i="1"/>
  <c r="I133" i="1" l="1"/>
  <c r="E134" i="1" s="1"/>
  <c r="H134" i="1" s="1"/>
  <c r="B249" i="1"/>
  <c r="C248" i="1"/>
  <c r="D248" i="1" s="1"/>
  <c r="F134" i="1" l="1"/>
  <c r="J134" i="1"/>
  <c r="B250" i="1"/>
  <c r="C249" i="1"/>
  <c r="D249" i="1" s="1"/>
  <c r="G134" i="1" l="1"/>
  <c r="I134" i="1" s="1"/>
  <c r="E135" i="1" s="1"/>
  <c r="C250" i="1"/>
  <c r="D250" i="1" s="1"/>
  <c r="B251" i="1"/>
  <c r="H135" i="1" l="1"/>
  <c r="J135" i="1"/>
  <c r="G135" i="1" s="1"/>
  <c r="I135" i="1" s="1"/>
  <c r="E136" i="1" s="1"/>
  <c r="F135" i="1"/>
  <c r="C251" i="1"/>
  <c r="D251" i="1" s="1"/>
  <c r="B252" i="1"/>
  <c r="H136" i="1" l="1"/>
  <c r="J136" i="1"/>
  <c r="G136" i="1" s="1"/>
  <c r="F136" i="1"/>
  <c r="B253" i="1"/>
  <c r="C252" i="1"/>
  <c r="D252" i="1" s="1"/>
  <c r="C253" i="1" l="1"/>
  <c r="D253" i="1" s="1"/>
  <c r="B254" i="1"/>
  <c r="I136" i="1"/>
  <c r="E137" i="1" s="1"/>
  <c r="J137" i="1" l="1"/>
  <c r="G137" i="1" s="1"/>
  <c r="H137" i="1"/>
  <c r="F137" i="1"/>
  <c r="B255" i="1"/>
  <c r="C254" i="1"/>
  <c r="D254" i="1" s="1"/>
  <c r="B256" i="1" l="1"/>
  <c r="C255" i="1"/>
  <c r="D255" i="1" s="1"/>
  <c r="I137" i="1"/>
  <c r="E138" i="1" s="1"/>
  <c r="J138" i="1" l="1"/>
  <c r="G138" i="1" s="1"/>
  <c r="H138" i="1"/>
  <c r="F138" i="1"/>
  <c r="C256" i="1"/>
  <c r="D256" i="1" s="1"/>
  <c r="B257" i="1"/>
  <c r="B258" i="1" l="1"/>
  <c r="C257" i="1"/>
  <c r="D257" i="1" s="1"/>
  <c r="I138" i="1"/>
  <c r="E139" i="1" s="1"/>
  <c r="J139" i="1" l="1"/>
  <c r="G139" i="1" s="1"/>
  <c r="H139" i="1"/>
  <c r="F139" i="1"/>
  <c r="B259" i="1"/>
  <c r="C258" i="1"/>
  <c r="D258" i="1" s="1"/>
  <c r="C259" i="1" l="1"/>
  <c r="D259" i="1" s="1"/>
  <c r="B260" i="1"/>
  <c r="I139" i="1"/>
  <c r="E140" i="1" s="1"/>
  <c r="H140" i="1" l="1"/>
  <c r="J140" i="1"/>
  <c r="G140" i="1" s="1"/>
  <c r="F140" i="1"/>
  <c r="C260" i="1"/>
  <c r="D260" i="1" s="1"/>
  <c r="B261" i="1"/>
  <c r="C261" i="1" l="1"/>
  <c r="D261" i="1" s="1"/>
  <c r="B262" i="1"/>
  <c r="I140" i="1"/>
  <c r="E141" i="1" s="1"/>
  <c r="C262" i="1" l="1"/>
  <c r="D262" i="1" s="1"/>
  <c r="B263" i="1"/>
  <c r="H141" i="1"/>
  <c r="J141" i="1"/>
  <c r="G141" i="1" s="1"/>
  <c r="F141" i="1"/>
  <c r="I141" i="1" l="1"/>
  <c r="E142" i="1" s="1"/>
  <c r="C263" i="1"/>
  <c r="D263" i="1" s="1"/>
  <c r="B264" i="1"/>
  <c r="B265" i="1" l="1"/>
  <c r="C264" i="1"/>
  <c r="D264" i="1" s="1"/>
  <c r="H142" i="1"/>
  <c r="J142" i="1"/>
  <c r="G142" i="1" s="1"/>
  <c r="F142" i="1"/>
  <c r="I142" i="1" l="1"/>
  <c r="E143" i="1" s="1"/>
  <c r="B266" i="1"/>
  <c r="C265" i="1"/>
  <c r="D265" i="1" s="1"/>
  <c r="C266" i="1" l="1"/>
  <c r="D266" i="1" s="1"/>
  <c r="B267" i="1"/>
  <c r="H143" i="1"/>
  <c r="J143" i="1"/>
  <c r="G143" i="1" s="1"/>
  <c r="F143" i="1"/>
  <c r="I143" i="1" l="1"/>
  <c r="E144" i="1" s="1"/>
  <c r="H144" i="1" s="1"/>
  <c r="C267" i="1"/>
  <c r="D267" i="1" s="1"/>
  <c r="B268" i="1"/>
  <c r="F144" i="1" l="1"/>
  <c r="J144" i="1"/>
  <c r="B269" i="1"/>
  <c r="C268" i="1"/>
  <c r="D268" i="1" s="1"/>
  <c r="G144" i="1" l="1"/>
  <c r="I144" i="1" s="1"/>
  <c r="E145" i="1" s="1"/>
  <c r="C269" i="1"/>
  <c r="D269" i="1" s="1"/>
  <c r="B270" i="1"/>
  <c r="J145" i="1" l="1"/>
  <c r="G145" i="1" s="1"/>
  <c r="H145" i="1"/>
  <c r="I145" i="1" s="1"/>
  <c r="E146" i="1" s="1"/>
  <c r="J146" i="1" s="1"/>
  <c r="G146" i="1" s="1"/>
  <c r="F145" i="1"/>
  <c r="B271" i="1"/>
  <c r="C270" i="1"/>
  <c r="D270" i="1" s="1"/>
  <c r="F146" i="1" l="1"/>
  <c r="H146" i="1"/>
  <c r="I146" i="1" s="1"/>
  <c r="E147" i="1" s="1"/>
  <c r="J147" i="1" s="1"/>
  <c r="G147" i="1" s="1"/>
  <c r="C271" i="1"/>
  <c r="D271" i="1" s="1"/>
  <c r="B272" i="1"/>
  <c r="F147" i="1" l="1"/>
  <c r="H147" i="1"/>
  <c r="B273" i="1"/>
  <c r="C272" i="1"/>
  <c r="D272" i="1" s="1"/>
  <c r="I147" i="1" l="1"/>
  <c r="E148" i="1" s="1"/>
  <c r="H148" i="1" s="1"/>
  <c r="C273" i="1"/>
  <c r="D273" i="1" s="1"/>
  <c r="B274" i="1"/>
  <c r="F148" i="1" l="1"/>
  <c r="J148" i="1"/>
  <c r="B275" i="1"/>
  <c r="C274" i="1"/>
  <c r="D274" i="1" s="1"/>
  <c r="G148" i="1" l="1"/>
  <c r="I148" i="1" s="1"/>
  <c r="E149" i="1" s="1"/>
  <c r="C275" i="1"/>
  <c r="D275" i="1" s="1"/>
  <c r="B276" i="1"/>
  <c r="H149" i="1" l="1"/>
  <c r="J149" i="1"/>
  <c r="G149" i="1" s="1"/>
  <c r="I149" i="1" s="1"/>
  <c r="E150" i="1" s="1"/>
  <c r="F149" i="1"/>
  <c r="B277" i="1"/>
  <c r="C276" i="1"/>
  <c r="D276" i="1" s="1"/>
  <c r="H150" i="1" l="1"/>
  <c r="J150" i="1"/>
  <c r="G150" i="1" s="1"/>
  <c r="F150" i="1"/>
  <c r="C277" i="1"/>
  <c r="D277" i="1" s="1"/>
  <c r="B278" i="1"/>
  <c r="C278" i="1" l="1"/>
  <c r="D278" i="1" s="1"/>
  <c r="B279" i="1"/>
  <c r="I150" i="1"/>
  <c r="E151" i="1" s="1"/>
  <c r="C279" i="1" l="1"/>
  <c r="D279" i="1" s="1"/>
  <c r="B280" i="1"/>
  <c r="H151" i="1"/>
  <c r="J151" i="1"/>
  <c r="G151" i="1" s="1"/>
  <c r="F151" i="1"/>
  <c r="I151" i="1" l="1"/>
  <c r="E152" i="1" s="1"/>
  <c r="C280" i="1"/>
  <c r="D280" i="1" s="1"/>
  <c r="B281" i="1"/>
  <c r="C281" i="1" l="1"/>
  <c r="D281" i="1" s="1"/>
  <c r="B282" i="1"/>
  <c r="H152" i="1"/>
  <c r="J152" i="1"/>
  <c r="G152" i="1" s="1"/>
  <c r="F152" i="1"/>
  <c r="B283" i="1" l="1"/>
  <c r="C282" i="1"/>
  <c r="D282" i="1" s="1"/>
  <c r="I152" i="1"/>
  <c r="E153" i="1" s="1"/>
  <c r="J153" i="1" l="1"/>
  <c r="G153" i="1" s="1"/>
  <c r="H153" i="1"/>
  <c r="F153" i="1"/>
  <c r="C283" i="1"/>
  <c r="D283" i="1" s="1"/>
  <c r="B284" i="1"/>
  <c r="I153" i="1" l="1"/>
  <c r="E154" i="1" s="1"/>
  <c r="J154" i="1" s="1"/>
  <c r="G154" i="1" s="1"/>
  <c r="B285" i="1"/>
  <c r="C284" i="1"/>
  <c r="D284" i="1" s="1"/>
  <c r="F154" i="1" l="1"/>
  <c r="H154" i="1"/>
  <c r="C285" i="1"/>
  <c r="D285" i="1" s="1"/>
  <c r="B286" i="1"/>
  <c r="I154" i="1" l="1"/>
  <c r="E155" i="1" s="1"/>
  <c r="J155" i="1" s="1"/>
  <c r="G155" i="1" s="1"/>
  <c r="B287" i="1"/>
  <c r="C286" i="1"/>
  <c r="D286" i="1" s="1"/>
  <c r="H155" i="1" l="1"/>
  <c r="F155" i="1"/>
  <c r="C287" i="1"/>
  <c r="D287" i="1" s="1"/>
  <c r="B288" i="1"/>
  <c r="I155" i="1" l="1"/>
  <c r="E156" i="1" s="1"/>
  <c r="C288" i="1"/>
  <c r="D288" i="1" s="1"/>
  <c r="B289" i="1"/>
  <c r="F156" i="1" l="1"/>
  <c r="H156" i="1"/>
  <c r="J156" i="1"/>
  <c r="G156" i="1" s="1"/>
  <c r="B290" i="1"/>
  <c r="C289" i="1"/>
  <c r="D289" i="1" s="1"/>
  <c r="I156" i="1" l="1"/>
  <c r="E157" i="1" s="1"/>
  <c r="B291" i="1"/>
  <c r="C290" i="1"/>
  <c r="D290" i="1" s="1"/>
  <c r="H157" i="1" l="1"/>
  <c r="J157" i="1"/>
  <c r="F157" i="1"/>
  <c r="C291" i="1"/>
  <c r="D291" i="1" s="1"/>
  <c r="B292" i="1"/>
  <c r="G157" i="1" l="1"/>
  <c r="I157" i="1" s="1"/>
  <c r="E158" i="1" s="1"/>
  <c r="C292" i="1"/>
  <c r="D292" i="1" s="1"/>
  <c r="B293" i="1"/>
  <c r="H158" i="1" l="1"/>
  <c r="J158" i="1"/>
  <c r="G158" i="1" s="1"/>
  <c r="F158" i="1"/>
  <c r="B294" i="1"/>
  <c r="C293" i="1"/>
  <c r="D293" i="1" s="1"/>
  <c r="I158" i="1" l="1"/>
  <c r="E159" i="1" s="1"/>
  <c r="H159" i="1" s="1"/>
  <c r="B295" i="1"/>
  <c r="C294" i="1"/>
  <c r="D294" i="1" s="1"/>
  <c r="F159" i="1" l="1"/>
  <c r="J159" i="1"/>
  <c r="G159" i="1" s="1"/>
  <c r="I159" i="1"/>
  <c r="E160" i="1" s="1"/>
  <c r="C295" i="1"/>
  <c r="D295" i="1" s="1"/>
  <c r="B296" i="1"/>
  <c r="H160" i="1" l="1"/>
  <c r="J160" i="1"/>
  <c r="G160" i="1" s="1"/>
  <c r="F160" i="1"/>
  <c r="B297" i="1"/>
  <c r="C296" i="1"/>
  <c r="D296" i="1" s="1"/>
  <c r="I160" i="1" l="1"/>
  <c r="E161" i="1" s="1"/>
  <c r="C297" i="1"/>
  <c r="D297" i="1" s="1"/>
  <c r="B298" i="1"/>
  <c r="J161" i="1" l="1"/>
  <c r="G161" i="1" s="1"/>
  <c r="H161" i="1"/>
  <c r="F161" i="1"/>
  <c r="B299" i="1"/>
  <c r="C298" i="1"/>
  <c r="D298" i="1" s="1"/>
  <c r="I161" i="1" l="1"/>
  <c r="E162" i="1" s="1"/>
  <c r="B300" i="1"/>
  <c r="C299" i="1"/>
  <c r="D299" i="1" s="1"/>
  <c r="J162" i="1" l="1"/>
  <c r="G162" i="1" s="1"/>
  <c r="H162" i="1"/>
  <c r="F162" i="1"/>
  <c r="C300" i="1"/>
  <c r="D300" i="1" s="1"/>
  <c r="B301" i="1"/>
  <c r="I162" i="1" l="1"/>
  <c r="E163" i="1" s="1"/>
  <c r="C301" i="1"/>
  <c r="D301" i="1" s="1"/>
  <c r="B302" i="1"/>
  <c r="J163" i="1" l="1"/>
  <c r="G163" i="1" s="1"/>
  <c r="H163" i="1"/>
  <c r="F163" i="1"/>
  <c r="B303" i="1"/>
  <c r="C302" i="1"/>
  <c r="D302" i="1" s="1"/>
  <c r="I163" i="1" l="1"/>
  <c r="E164" i="1" s="1"/>
  <c r="H164" i="1" s="1"/>
  <c r="B304" i="1"/>
  <c r="C303" i="1"/>
  <c r="D303" i="1" s="1"/>
  <c r="F164" i="1" l="1"/>
  <c r="J164" i="1"/>
  <c r="G164" i="1" s="1"/>
  <c r="I164" i="1" s="1"/>
  <c r="E165" i="1" s="1"/>
  <c r="C304" i="1"/>
  <c r="D304" i="1" s="1"/>
  <c r="B305" i="1"/>
  <c r="H165" i="1" l="1"/>
  <c r="F165" i="1"/>
  <c r="J165" i="1"/>
  <c r="G165" i="1" s="1"/>
  <c r="C305" i="1"/>
  <c r="D305" i="1" s="1"/>
  <c r="B306" i="1"/>
  <c r="I165" i="1" l="1"/>
  <c r="E166" i="1" s="1"/>
  <c r="B307" i="1"/>
  <c r="C306" i="1"/>
  <c r="D306" i="1" s="1"/>
  <c r="H166" i="1" l="1"/>
  <c r="J166" i="1"/>
  <c r="G166" i="1" s="1"/>
  <c r="F166" i="1"/>
  <c r="C307" i="1"/>
  <c r="D307" i="1" s="1"/>
  <c r="B308" i="1"/>
  <c r="I166" i="1" l="1"/>
  <c r="E167" i="1" s="1"/>
  <c r="B309" i="1"/>
  <c r="C308" i="1"/>
  <c r="D308" i="1" s="1"/>
  <c r="H167" i="1" l="1"/>
  <c r="F167" i="1"/>
  <c r="J167" i="1"/>
  <c r="G167" i="1" s="1"/>
  <c r="B310" i="1"/>
  <c r="C309" i="1"/>
  <c r="D309" i="1" s="1"/>
  <c r="I167" i="1" l="1"/>
  <c r="E168" i="1" s="1"/>
  <c r="C310" i="1"/>
  <c r="D310" i="1" s="1"/>
  <c r="B311" i="1"/>
  <c r="H168" i="1" l="1"/>
  <c r="J168" i="1"/>
  <c r="G168" i="1" s="1"/>
  <c r="F168" i="1"/>
  <c r="C311" i="1"/>
  <c r="D311" i="1" s="1"/>
  <c r="B312" i="1"/>
  <c r="I168" i="1" l="1"/>
  <c r="E169" i="1" s="1"/>
  <c r="C312" i="1"/>
  <c r="D312" i="1" s="1"/>
  <c r="B313" i="1"/>
  <c r="J169" i="1" l="1"/>
  <c r="G169" i="1" s="1"/>
  <c r="F169" i="1"/>
  <c r="H169" i="1"/>
  <c r="C313" i="1"/>
  <c r="D313" i="1" s="1"/>
  <c r="B314" i="1"/>
  <c r="I169" i="1" l="1"/>
  <c r="E170" i="1" s="1"/>
  <c r="J170" i="1" s="1"/>
  <c r="G170" i="1" s="1"/>
  <c r="C314" i="1"/>
  <c r="D314" i="1" s="1"/>
  <c r="B315" i="1"/>
  <c r="F170" i="1" l="1"/>
  <c r="H170" i="1"/>
  <c r="I170" i="1" s="1"/>
  <c r="E171" i="1" s="1"/>
  <c r="C315" i="1"/>
  <c r="D315" i="1" s="1"/>
  <c r="B316" i="1"/>
  <c r="H171" i="1" l="1"/>
  <c r="F171" i="1"/>
  <c r="J171" i="1"/>
  <c r="G171" i="1" s="1"/>
  <c r="C316" i="1"/>
  <c r="D316" i="1" s="1"/>
  <c r="B317" i="1"/>
  <c r="I171" i="1" l="1"/>
  <c r="E172" i="1" s="1"/>
  <c r="C317" i="1"/>
  <c r="D317" i="1" s="1"/>
  <c r="B318" i="1"/>
  <c r="H172" i="1" l="1"/>
  <c r="F172" i="1"/>
  <c r="J172" i="1"/>
  <c r="G172" i="1" s="1"/>
  <c r="C318" i="1"/>
  <c r="D318" i="1" s="1"/>
  <c r="B319" i="1"/>
  <c r="I172" i="1" l="1"/>
  <c r="E173" i="1" s="1"/>
  <c r="C319" i="1"/>
  <c r="D319" i="1" s="1"/>
  <c r="B320" i="1"/>
  <c r="H173" i="1" l="1"/>
  <c r="F173" i="1"/>
  <c r="J173" i="1"/>
  <c r="G173" i="1" s="1"/>
  <c r="C320" i="1"/>
  <c r="D320" i="1" s="1"/>
  <c r="B321" i="1"/>
  <c r="I173" i="1" l="1"/>
  <c r="E174" i="1" s="1"/>
  <c r="C321" i="1"/>
  <c r="D321" i="1" s="1"/>
  <c r="B322" i="1"/>
  <c r="J174" i="1" l="1"/>
  <c r="G174" i="1" s="1"/>
  <c r="H174" i="1"/>
  <c r="F174" i="1"/>
  <c r="C322" i="1"/>
  <c r="D322" i="1" s="1"/>
  <c r="B323" i="1"/>
  <c r="I174" i="1" l="1"/>
  <c r="E175" i="1" s="1"/>
  <c r="H175" i="1" s="1"/>
  <c r="C323" i="1"/>
  <c r="D323" i="1" s="1"/>
  <c r="B324" i="1"/>
  <c r="J175" i="1" l="1"/>
  <c r="G175" i="1" s="1"/>
  <c r="F175" i="1"/>
  <c r="I175" i="1"/>
  <c r="E176" i="1" s="1"/>
  <c r="B325" i="1"/>
  <c r="C324" i="1"/>
  <c r="D324" i="1" s="1"/>
  <c r="J176" i="1" l="1"/>
  <c r="G176" i="1" s="1"/>
  <c r="H176" i="1"/>
  <c r="F176" i="1"/>
  <c r="C325" i="1"/>
  <c r="D325" i="1" s="1"/>
  <c r="B326" i="1"/>
  <c r="I176" i="1" l="1"/>
  <c r="E177" i="1" s="1"/>
  <c r="B327" i="1"/>
  <c r="C326" i="1"/>
  <c r="D326" i="1" s="1"/>
  <c r="F177" i="1" l="1"/>
  <c r="H177" i="1"/>
  <c r="J177" i="1"/>
  <c r="G177" i="1" s="1"/>
  <c r="C327" i="1"/>
  <c r="D327" i="1" s="1"/>
  <c r="B328" i="1"/>
  <c r="I177" i="1" l="1"/>
  <c r="E178" i="1" s="1"/>
  <c r="C328" i="1"/>
  <c r="D328" i="1" s="1"/>
  <c r="B329" i="1"/>
  <c r="J178" i="1" l="1"/>
  <c r="G178" i="1" s="1"/>
  <c r="H178" i="1"/>
  <c r="F178" i="1"/>
  <c r="B330" i="1"/>
  <c r="C329" i="1"/>
  <c r="D329" i="1" s="1"/>
  <c r="I178" i="1" l="1"/>
  <c r="E179" i="1" s="1"/>
  <c r="B331" i="1"/>
  <c r="C330" i="1"/>
  <c r="D330" i="1" s="1"/>
  <c r="F179" i="1" l="1"/>
  <c r="J179" i="1"/>
  <c r="H179" i="1"/>
  <c r="C331" i="1"/>
  <c r="D331" i="1" s="1"/>
  <c r="B332" i="1"/>
  <c r="G179" i="1" l="1"/>
  <c r="I179" i="1" s="1"/>
  <c r="E180" i="1" s="1"/>
  <c r="C332" i="1"/>
  <c r="D332" i="1" s="1"/>
  <c r="B333" i="1"/>
  <c r="H180" i="1" l="1"/>
  <c r="J180" i="1"/>
  <c r="G180" i="1" s="1"/>
  <c r="F180" i="1"/>
  <c r="C333" i="1"/>
  <c r="D333" i="1" s="1"/>
  <c r="B334" i="1"/>
  <c r="I180" i="1" l="1"/>
  <c r="E181" i="1" s="1"/>
  <c r="H181" i="1" s="1"/>
  <c r="F181" i="1"/>
  <c r="J181" i="1"/>
  <c r="C334" i="1"/>
  <c r="D334" i="1" s="1"/>
  <c r="B335" i="1"/>
  <c r="G181" i="1" l="1"/>
  <c r="I181" i="1" s="1"/>
  <c r="E182" i="1" s="1"/>
  <c r="B336" i="1"/>
  <c r="C335" i="1"/>
  <c r="D335" i="1" s="1"/>
  <c r="H182" i="1" l="1"/>
  <c r="F182" i="1"/>
  <c r="J182" i="1"/>
  <c r="C336" i="1"/>
  <c r="D336" i="1" s="1"/>
  <c r="B337" i="1"/>
  <c r="G182" i="1" l="1"/>
  <c r="I182" i="1" s="1"/>
  <c r="E183" i="1" s="1"/>
  <c r="C337" i="1"/>
  <c r="D337" i="1" s="1"/>
  <c r="B338" i="1"/>
  <c r="H183" i="1" l="1"/>
  <c r="J183" i="1"/>
  <c r="G183" i="1" s="1"/>
  <c r="F183" i="1"/>
  <c r="C338" i="1"/>
  <c r="D338" i="1" s="1"/>
  <c r="B339" i="1"/>
  <c r="I183" i="1" l="1"/>
  <c r="E184" i="1" s="1"/>
  <c r="C339" i="1"/>
  <c r="D339" i="1" s="1"/>
  <c r="B340" i="1"/>
  <c r="H184" i="1" l="1"/>
  <c r="J184" i="1"/>
  <c r="F184" i="1"/>
  <c r="C340" i="1"/>
  <c r="D340" i="1" s="1"/>
  <c r="B341" i="1"/>
  <c r="G184" i="1" l="1"/>
  <c r="I184" i="1" s="1"/>
  <c r="E185" i="1" s="1"/>
  <c r="B342" i="1"/>
  <c r="C341" i="1"/>
  <c r="D341" i="1" s="1"/>
  <c r="J185" i="1" l="1"/>
  <c r="G185" i="1" s="1"/>
  <c r="F185" i="1"/>
  <c r="H185" i="1"/>
  <c r="C342" i="1"/>
  <c r="D342" i="1" s="1"/>
  <c r="B343" i="1"/>
  <c r="I185" i="1" l="1"/>
  <c r="E186" i="1" s="1"/>
  <c r="C343" i="1"/>
  <c r="D343" i="1" s="1"/>
  <c r="B344" i="1"/>
  <c r="F186" i="1" l="1"/>
  <c r="H186" i="1"/>
  <c r="J186" i="1"/>
  <c r="B345" i="1"/>
  <c r="C344" i="1"/>
  <c r="D344" i="1" s="1"/>
  <c r="G186" i="1" l="1"/>
  <c r="I186" i="1" s="1"/>
  <c r="E187" i="1" s="1"/>
  <c r="C345" i="1"/>
  <c r="D345" i="1" s="1"/>
  <c r="B346" i="1"/>
  <c r="F187" i="1" l="1"/>
  <c r="J187" i="1"/>
  <c r="G187" i="1" s="1"/>
  <c r="H187" i="1"/>
  <c r="C346" i="1"/>
  <c r="D346" i="1" s="1"/>
  <c r="B347" i="1"/>
  <c r="I187" i="1" l="1"/>
  <c r="E188" i="1" s="1"/>
  <c r="C347" i="1"/>
  <c r="D347" i="1" s="1"/>
  <c r="B348" i="1"/>
  <c r="H188" i="1" l="1"/>
  <c r="J188" i="1"/>
  <c r="G188" i="1" s="1"/>
  <c r="F188" i="1"/>
  <c r="C348" i="1"/>
  <c r="D348" i="1" s="1"/>
  <c r="B349" i="1"/>
  <c r="I188" i="1" l="1"/>
  <c r="E189" i="1" s="1"/>
  <c r="C349" i="1"/>
  <c r="D349" i="1" s="1"/>
  <c r="B350" i="1"/>
  <c r="H189" i="1" l="1"/>
  <c r="F189" i="1"/>
  <c r="J189" i="1"/>
  <c r="G189" i="1" s="1"/>
  <c r="C350" i="1"/>
  <c r="D350" i="1" s="1"/>
  <c r="B351" i="1"/>
  <c r="I189" i="1" l="1"/>
  <c r="E190" i="1" s="1"/>
  <c r="C351" i="1"/>
  <c r="D351" i="1" s="1"/>
  <c r="B352" i="1"/>
  <c r="J190" i="1" l="1"/>
  <c r="G190" i="1" s="1"/>
  <c r="H190" i="1"/>
  <c r="F190" i="1"/>
  <c r="B353" i="1"/>
  <c r="C352" i="1"/>
  <c r="D352" i="1" s="1"/>
  <c r="I190" i="1" l="1"/>
  <c r="E191" i="1" s="1"/>
  <c r="C353" i="1"/>
  <c r="D353" i="1" s="1"/>
  <c r="B354" i="1"/>
  <c r="J191" i="1" l="1"/>
  <c r="G191" i="1" s="1"/>
  <c r="H191" i="1"/>
  <c r="F191" i="1"/>
  <c r="C354" i="1"/>
  <c r="D354" i="1" s="1"/>
  <c r="B355" i="1"/>
  <c r="I191" i="1" l="1"/>
  <c r="E192" i="1" s="1"/>
  <c r="C355" i="1"/>
  <c r="D355" i="1" s="1"/>
  <c r="B356" i="1"/>
  <c r="J192" i="1" l="1"/>
  <c r="G192" i="1" s="1"/>
  <c r="H192" i="1"/>
  <c r="F192" i="1"/>
  <c r="C356" i="1"/>
  <c r="D356" i="1" s="1"/>
  <c r="B357" i="1"/>
  <c r="I192" i="1" l="1"/>
  <c r="E193" i="1" s="1"/>
  <c r="J193" i="1" s="1"/>
  <c r="G193" i="1" s="1"/>
  <c r="C357" i="1"/>
  <c r="D357" i="1" s="1"/>
  <c r="B358" i="1"/>
  <c r="F193" i="1" l="1"/>
  <c r="H193" i="1"/>
  <c r="I193" i="1" s="1"/>
  <c r="E194" i="1" s="1"/>
  <c r="C358" i="1"/>
  <c r="D358" i="1" s="1"/>
  <c r="B359" i="1"/>
  <c r="J194" i="1" l="1"/>
  <c r="G194" i="1" s="1"/>
  <c r="H194" i="1"/>
  <c r="F194" i="1"/>
  <c r="C359" i="1"/>
  <c r="D359" i="1" s="1"/>
  <c r="B360" i="1"/>
  <c r="I194" i="1" l="1"/>
  <c r="E195" i="1" s="1"/>
  <c r="H195" i="1" s="1"/>
  <c r="B361" i="1"/>
  <c r="C360" i="1"/>
  <c r="D360" i="1" s="1"/>
  <c r="F195" i="1" l="1"/>
  <c r="J195" i="1"/>
  <c r="G195" i="1" s="1"/>
  <c r="I195" i="1"/>
  <c r="E196" i="1" s="1"/>
  <c r="C361" i="1"/>
  <c r="D361" i="1" s="1"/>
  <c r="B362" i="1"/>
  <c r="J196" i="1" l="1"/>
  <c r="G196" i="1" s="1"/>
  <c r="H196" i="1"/>
  <c r="F196" i="1"/>
  <c r="B363" i="1"/>
  <c r="C362" i="1"/>
  <c r="D362" i="1" s="1"/>
  <c r="I196" i="1" l="1"/>
  <c r="E197" i="1" s="1"/>
  <c r="H197" i="1"/>
  <c r="J197" i="1"/>
  <c r="G197" i="1" s="1"/>
  <c r="F197" i="1"/>
  <c r="C363" i="1"/>
  <c r="D363" i="1" s="1"/>
  <c r="B364" i="1"/>
  <c r="I197" i="1" l="1"/>
  <c r="E198" i="1" s="1"/>
  <c r="C364" i="1"/>
  <c r="D364" i="1" s="1"/>
  <c r="B365" i="1"/>
  <c r="H198" i="1" l="1"/>
  <c r="J198" i="1"/>
  <c r="G198" i="1" s="1"/>
  <c r="F198" i="1"/>
  <c r="C365" i="1"/>
  <c r="D365" i="1" s="1"/>
  <c r="B366" i="1"/>
  <c r="I198" i="1" l="1"/>
  <c r="E199" i="1" s="1"/>
  <c r="C366" i="1"/>
  <c r="D366" i="1" s="1"/>
  <c r="B367" i="1"/>
  <c r="H199" i="1" l="1"/>
  <c r="F199" i="1"/>
  <c r="J199" i="1"/>
  <c r="B368" i="1"/>
  <c r="C367" i="1"/>
  <c r="D367" i="1" s="1"/>
  <c r="G199" i="1" l="1"/>
  <c r="I199" i="1" s="1"/>
  <c r="E200" i="1" s="1"/>
  <c r="B369" i="1"/>
  <c r="C368" i="1"/>
  <c r="D368" i="1" s="1"/>
  <c r="F200" i="1" l="1"/>
  <c r="H200" i="1"/>
  <c r="J200" i="1"/>
  <c r="G200" i="1" s="1"/>
  <c r="B370" i="1"/>
  <c r="C369" i="1"/>
  <c r="D369" i="1" s="1"/>
  <c r="I200" i="1" l="1"/>
  <c r="E201" i="1" s="1"/>
  <c r="C370" i="1"/>
  <c r="D370" i="1" s="1"/>
  <c r="B371" i="1"/>
  <c r="J201" i="1" l="1"/>
  <c r="G201" i="1" s="1"/>
  <c r="H201" i="1"/>
  <c r="F201" i="1"/>
  <c r="B372" i="1"/>
  <c r="C371" i="1"/>
  <c r="D371" i="1" s="1"/>
  <c r="I201" i="1" l="1"/>
  <c r="E202" i="1" s="1"/>
  <c r="H202" i="1"/>
  <c r="F202" i="1"/>
  <c r="J202" i="1"/>
  <c r="G202" i="1" s="1"/>
  <c r="C372" i="1"/>
  <c r="D372" i="1" s="1"/>
  <c r="B373" i="1"/>
  <c r="I202" i="1" l="1"/>
  <c r="E203" i="1" s="1"/>
  <c r="C373" i="1"/>
  <c r="D373" i="1" s="1"/>
  <c r="B374" i="1"/>
  <c r="J203" i="1" l="1"/>
  <c r="G203" i="1" s="1"/>
  <c r="H203" i="1"/>
  <c r="F203" i="1"/>
  <c r="C374" i="1"/>
  <c r="D374" i="1" s="1"/>
  <c r="B375" i="1"/>
  <c r="I203" i="1" l="1"/>
  <c r="E204" i="1" s="1"/>
  <c r="C375" i="1"/>
  <c r="D375" i="1" s="1"/>
  <c r="B376" i="1"/>
  <c r="F204" i="1" l="1"/>
  <c r="H204" i="1"/>
  <c r="J204" i="1"/>
  <c r="G204" i="1" s="1"/>
  <c r="C376" i="1"/>
  <c r="D376" i="1" s="1"/>
  <c r="B377" i="1"/>
  <c r="I204" i="1" l="1"/>
  <c r="E205" i="1" s="1"/>
  <c r="C377" i="1"/>
  <c r="D377" i="1" s="1"/>
  <c r="B378" i="1"/>
  <c r="J205" i="1" l="1"/>
  <c r="G205" i="1" s="1"/>
  <c r="H205" i="1"/>
  <c r="F205" i="1"/>
  <c r="C378" i="1"/>
  <c r="D378" i="1" s="1"/>
  <c r="B379" i="1"/>
  <c r="I205" i="1" l="1"/>
  <c r="E206" i="1" s="1"/>
  <c r="J206" i="1" s="1"/>
  <c r="G206" i="1" s="1"/>
  <c r="F206" i="1"/>
  <c r="B380" i="1"/>
  <c r="C379" i="1"/>
  <c r="D379" i="1" s="1"/>
  <c r="H206" i="1" l="1"/>
  <c r="I206" i="1" s="1"/>
  <c r="E207" i="1" s="1"/>
  <c r="F207" i="1" s="1"/>
  <c r="C380" i="1"/>
  <c r="D380" i="1" s="1"/>
  <c r="B381" i="1"/>
  <c r="J207" i="1" l="1"/>
  <c r="G207" i="1" s="1"/>
  <c r="I207" i="1" s="1"/>
  <c r="E208" i="1" s="1"/>
  <c r="H207" i="1"/>
  <c r="C381" i="1"/>
  <c r="D381" i="1" s="1"/>
  <c r="B382" i="1"/>
  <c r="F208" i="1" l="1"/>
  <c r="H208" i="1"/>
  <c r="J208" i="1"/>
  <c r="G208" i="1" s="1"/>
  <c r="C382" i="1"/>
  <c r="D382" i="1" s="1"/>
  <c r="B383" i="1"/>
  <c r="I208" i="1" l="1"/>
  <c r="E209" i="1" s="1"/>
  <c r="C383" i="1"/>
  <c r="D383" i="1" s="1"/>
  <c r="B384" i="1"/>
  <c r="H209" i="1" l="1"/>
  <c r="J209" i="1"/>
  <c r="G209" i="1" s="1"/>
  <c r="F209" i="1"/>
  <c r="B385" i="1"/>
  <c r="C384" i="1"/>
  <c r="D384" i="1" s="1"/>
  <c r="I209" i="1" l="1"/>
  <c r="E210" i="1" s="1"/>
  <c r="B386" i="1"/>
  <c r="C385" i="1"/>
  <c r="D385" i="1" s="1"/>
  <c r="H210" i="1" l="1"/>
  <c r="J210" i="1"/>
  <c r="G210" i="1" s="1"/>
  <c r="F210" i="1"/>
  <c r="C386" i="1"/>
  <c r="D386" i="1" s="1"/>
  <c r="B387" i="1"/>
  <c r="I210" i="1" l="1"/>
  <c r="E211" i="1" s="1"/>
  <c r="C387" i="1"/>
  <c r="D387" i="1" s="1"/>
  <c r="B388" i="1"/>
  <c r="H211" i="1" l="1"/>
  <c r="J211" i="1"/>
  <c r="G211" i="1" s="1"/>
  <c r="F211" i="1"/>
  <c r="C388" i="1"/>
  <c r="D388" i="1" s="1"/>
  <c r="B389" i="1"/>
  <c r="I211" i="1" l="1"/>
  <c r="E212" i="1" s="1"/>
  <c r="C389" i="1"/>
  <c r="D389" i="1" s="1"/>
  <c r="B390" i="1"/>
  <c r="H212" i="1" l="1"/>
  <c r="J212" i="1"/>
  <c r="G212" i="1" s="1"/>
  <c r="F212" i="1"/>
  <c r="C390" i="1"/>
  <c r="D390" i="1" s="1"/>
  <c r="B391" i="1"/>
  <c r="I212" i="1" l="1"/>
  <c r="E213" i="1" s="1"/>
  <c r="C391" i="1"/>
  <c r="D391" i="1" s="1"/>
  <c r="B392" i="1"/>
  <c r="F213" i="1" l="1"/>
  <c r="H213" i="1"/>
  <c r="J213" i="1"/>
  <c r="G213" i="1" s="1"/>
  <c r="C392" i="1"/>
  <c r="D392" i="1" s="1"/>
  <c r="B393" i="1"/>
  <c r="I213" i="1" l="1"/>
  <c r="E214" i="1" s="1"/>
  <c r="C393" i="1"/>
  <c r="D393" i="1" s="1"/>
  <c r="B394" i="1"/>
  <c r="H214" i="1" l="1"/>
  <c r="J214" i="1"/>
  <c r="G214" i="1" s="1"/>
  <c r="F214" i="1"/>
  <c r="C394" i="1"/>
  <c r="D394" i="1" s="1"/>
  <c r="B395" i="1"/>
  <c r="I214" i="1" l="1"/>
  <c r="E215" i="1" s="1"/>
  <c r="B396" i="1"/>
  <c r="C395" i="1"/>
  <c r="D395" i="1" s="1"/>
  <c r="J215" i="1" l="1"/>
  <c r="G215" i="1" s="1"/>
  <c r="H215" i="1"/>
  <c r="F215" i="1"/>
  <c r="B397" i="1"/>
  <c r="C396" i="1"/>
  <c r="D396" i="1" s="1"/>
  <c r="I215" i="1" l="1"/>
  <c r="E216" i="1" s="1"/>
  <c r="H216" i="1" s="1"/>
  <c r="C397" i="1"/>
  <c r="D397" i="1" s="1"/>
  <c r="B398" i="1"/>
  <c r="J216" i="1" l="1"/>
  <c r="F216" i="1"/>
  <c r="G216" i="1"/>
  <c r="I216" i="1" s="1"/>
  <c r="E217" i="1" s="1"/>
  <c r="C398" i="1"/>
  <c r="D398" i="1" s="1"/>
  <c r="B399" i="1"/>
  <c r="H217" i="1" l="1"/>
  <c r="J217" i="1"/>
  <c r="G217" i="1" s="1"/>
  <c r="F217" i="1"/>
  <c r="C399" i="1"/>
  <c r="D399" i="1" s="1"/>
  <c r="B400" i="1"/>
  <c r="I217" i="1" l="1"/>
  <c r="E218" i="1" s="1"/>
  <c r="B401" i="1"/>
  <c r="C400" i="1"/>
  <c r="D400" i="1" s="1"/>
  <c r="H218" i="1" l="1"/>
  <c r="J218" i="1"/>
  <c r="G218" i="1" s="1"/>
  <c r="F218" i="1"/>
  <c r="B402" i="1"/>
  <c r="C401" i="1"/>
  <c r="D401" i="1" s="1"/>
  <c r="I218" i="1" l="1"/>
  <c r="E219" i="1" s="1"/>
  <c r="B403" i="1"/>
  <c r="C402" i="1"/>
  <c r="D402" i="1" s="1"/>
  <c r="J219" i="1" l="1"/>
  <c r="G219" i="1" s="1"/>
  <c r="F219" i="1"/>
  <c r="H219" i="1"/>
  <c r="C403" i="1"/>
  <c r="D403" i="1" s="1"/>
  <c r="B404" i="1"/>
  <c r="I219" i="1" l="1"/>
  <c r="E220" i="1" s="1"/>
  <c r="C404" i="1"/>
  <c r="D404" i="1" s="1"/>
  <c r="B405" i="1"/>
  <c r="H220" i="1" l="1"/>
  <c r="J220" i="1"/>
  <c r="G220" i="1" s="1"/>
  <c r="F220" i="1"/>
  <c r="C405" i="1"/>
  <c r="D405" i="1" s="1"/>
  <c r="B406" i="1"/>
  <c r="I220" i="1" l="1"/>
  <c r="E221" i="1" s="1"/>
  <c r="B407" i="1"/>
  <c r="C406" i="1"/>
  <c r="D406" i="1" s="1"/>
  <c r="J221" i="1" l="1"/>
  <c r="G221" i="1" s="1"/>
  <c r="F221" i="1"/>
  <c r="H221" i="1"/>
  <c r="C407" i="1"/>
  <c r="D407" i="1" s="1"/>
  <c r="B408" i="1"/>
  <c r="I221" i="1" l="1"/>
  <c r="E222" i="1" s="1"/>
  <c r="H222" i="1"/>
  <c r="J222" i="1"/>
  <c r="G222" i="1" s="1"/>
  <c r="F222" i="1"/>
  <c r="C408" i="1"/>
  <c r="D408" i="1" s="1"/>
  <c r="B409" i="1"/>
  <c r="I222" i="1" l="1"/>
  <c r="E223" i="1" s="1"/>
  <c r="C409" i="1"/>
  <c r="D409" i="1" s="1"/>
  <c r="B410" i="1"/>
  <c r="H223" i="1" l="1"/>
  <c r="J223" i="1"/>
  <c r="G223" i="1" s="1"/>
  <c r="F223" i="1"/>
  <c r="C410" i="1"/>
  <c r="D410" i="1" s="1"/>
  <c r="B411" i="1"/>
  <c r="I223" i="1" l="1"/>
  <c r="E224" i="1" s="1"/>
  <c r="B412" i="1"/>
  <c r="C411" i="1"/>
  <c r="D411" i="1" s="1"/>
  <c r="J224" i="1" l="1"/>
  <c r="G224" i="1" s="1"/>
  <c r="H224" i="1"/>
  <c r="F224" i="1"/>
  <c r="B413" i="1"/>
  <c r="C412" i="1"/>
  <c r="D412" i="1" s="1"/>
  <c r="I224" i="1" l="1"/>
  <c r="E225" i="1" s="1"/>
  <c r="J225" i="1" s="1"/>
  <c r="G225" i="1" s="1"/>
  <c r="B414" i="1"/>
  <c r="C413" i="1"/>
  <c r="D413" i="1" s="1"/>
  <c r="H225" i="1" l="1"/>
  <c r="F225" i="1"/>
  <c r="I225" i="1"/>
  <c r="E226" i="1" s="1"/>
  <c r="J226" i="1"/>
  <c r="G226" i="1" s="1"/>
  <c r="F226" i="1"/>
  <c r="H226" i="1"/>
  <c r="C414" i="1"/>
  <c r="D414" i="1" s="1"/>
  <c r="B415" i="1"/>
  <c r="I226" i="1" l="1"/>
  <c r="E227" i="1" s="1"/>
  <c r="H227" i="1"/>
  <c r="F227" i="1"/>
  <c r="J227" i="1"/>
  <c r="B416" i="1"/>
  <c r="C415" i="1"/>
  <c r="D415" i="1" s="1"/>
  <c r="G227" i="1" l="1"/>
  <c r="I227" i="1" s="1"/>
  <c r="E228" i="1" s="1"/>
  <c r="C416" i="1"/>
  <c r="D416" i="1" s="1"/>
  <c r="B417" i="1"/>
  <c r="J228" i="1" l="1"/>
  <c r="G228" i="1" s="1"/>
  <c r="F228" i="1"/>
  <c r="H228" i="1"/>
  <c r="B418" i="1"/>
  <c r="C417" i="1"/>
  <c r="D417" i="1" s="1"/>
  <c r="I228" i="1" l="1"/>
  <c r="E229" i="1" s="1"/>
  <c r="B419" i="1"/>
  <c r="C418" i="1"/>
  <c r="D418" i="1" s="1"/>
  <c r="J229" i="1" l="1"/>
  <c r="G229" i="1" s="1"/>
  <c r="F229" i="1"/>
  <c r="H229" i="1"/>
  <c r="I229" i="1" s="1"/>
  <c r="E230" i="1" s="1"/>
  <c r="B420" i="1"/>
  <c r="C419" i="1"/>
  <c r="D419" i="1" s="1"/>
  <c r="F230" i="1" l="1"/>
  <c r="H230" i="1"/>
  <c r="J230" i="1"/>
  <c r="G230" i="1" s="1"/>
  <c r="B421" i="1"/>
  <c r="C420" i="1"/>
  <c r="D420" i="1" s="1"/>
  <c r="I230" i="1" l="1"/>
  <c r="E231" i="1" s="1"/>
  <c r="C421" i="1"/>
  <c r="D421" i="1" s="1"/>
  <c r="B422" i="1"/>
  <c r="H231" i="1" l="1"/>
  <c r="F231" i="1"/>
  <c r="J231" i="1"/>
  <c r="G231" i="1" s="1"/>
  <c r="C422" i="1"/>
  <c r="D422" i="1" s="1"/>
  <c r="B423" i="1"/>
  <c r="I231" i="1" l="1"/>
  <c r="E232" i="1" s="1"/>
  <c r="B424" i="1"/>
  <c r="C423" i="1"/>
  <c r="D423" i="1" s="1"/>
  <c r="J232" i="1" l="1"/>
  <c r="G232" i="1" s="1"/>
  <c r="H232" i="1"/>
  <c r="F232" i="1"/>
  <c r="C424" i="1"/>
  <c r="D424" i="1" s="1"/>
  <c r="B425" i="1"/>
  <c r="I232" i="1" l="1"/>
  <c r="E233" i="1" s="1"/>
  <c r="J233" i="1" s="1"/>
  <c r="G233" i="1" s="1"/>
  <c r="C425" i="1"/>
  <c r="D425" i="1" s="1"/>
  <c r="B426" i="1"/>
  <c r="F233" i="1" l="1"/>
  <c r="H233" i="1"/>
  <c r="I233" i="1" s="1"/>
  <c r="E234" i="1" s="1"/>
  <c r="F234" i="1"/>
  <c r="H234" i="1"/>
  <c r="J234" i="1"/>
  <c r="G234" i="1" s="1"/>
  <c r="C426" i="1"/>
  <c r="D426" i="1" s="1"/>
  <c r="B427" i="1"/>
  <c r="I234" i="1" l="1"/>
  <c r="E235" i="1" s="1"/>
  <c r="B428" i="1"/>
  <c r="C427" i="1"/>
  <c r="D427" i="1" s="1"/>
  <c r="F235" i="1" l="1"/>
  <c r="H235" i="1"/>
  <c r="J235" i="1"/>
  <c r="G235" i="1" s="1"/>
  <c r="C428" i="1"/>
  <c r="D428" i="1" s="1"/>
  <c r="B429" i="1"/>
  <c r="I235" i="1" l="1"/>
  <c r="E236" i="1" s="1"/>
  <c r="C429" i="1"/>
  <c r="D429" i="1" s="1"/>
  <c r="B430" i="1"/>
  <c r="J236" i="1" l="1"/>
  <c r="G236" i="1" s="1"/>
  <c r="H236" i="1"/>
  <c r="F236" i="1"/>
  <c r="C430" i="1"/>
  <c r="D430" i="1" s="1"/>
  <c r="B431" i="1"/>
  <c r="I236" i="1" l="1"/>
  <c r="E237" i="1" s="1"/>
  <c r="C431" i="1"/>
  <c r="D431" i="1" s="1"/>
  <c r="B432" i="1"/>
  <c r="F237" i="1" l="1"/>
  <c r="H237" i="1"/>
  <c r="J237" i="1"/>
  <c r="G237" i="1" s="1"/>
  <c r="B433" i="1"/>
  <c r="C432" i="1"/>
  <c r="D432" i="1" s="1"/>
  <c r="I237" i="1" l="1"/>
  <c r="E238" i="1" s="1"/>
  <c r="B434" i="1"/>
  <c r="C433" i="1"/>
  <c r="D433" i="1" s="1"/>
  <c r="H238" i="1" l="1"/>
  <c r="J238" i="1"/>
  <c r="G238" i="1" s="1"/>
  <c r="F238" i="1"/>
  <c r="C434" i="1"/>
  <c r="D434" i="1" s="1"/>
  <c r="B435" i="1"/>
  <c r="I238" i="1" l="1"/>
  <c r="E239" i="1" s="1"/>
  <c r="C435" i="1"/>
  <c r="D435" i="1" s="1"/>
  <c r="B436" i="1"/>
  <c r="J239" i="1" l="1"/>
  <c r="G239" i="1" s="1"/>
  <c r="H239" i="1"/>
  <c r="I239" i="1" s="1"/>
  <c r="E240" i="1" s="1"/>
  <c r="F239" i="1"/>
  <c r="B437" i="1"/>
  <c r="C436" i="1"/>
  <c r="D436" i="1" s="1"/>
  <c r="H240" i="1" l="1"/>
  <c r="J240" i="1"/>
  <c r="F240" i="1"/>
  <c r="C437" i="1"/>
  <c r="D437" i="1" s="1"/>
  <c r="B438" i="1"/>
  <c r="G240" i="1" l="1"/>
  <c r="I240" i="1" s="1"/>
  <c r="E241" i="1" s="1"/>
  <c r="B439" i="1"/>
  <c r="C438" i="1"/>
  <c r="D438" i="1" s="1"/>
  <c r="J241" i="1" l="1"/>
  <c r="G241" i="1" s="1"/>
  <c r="H241" i="1"/>
  <c r="F241" i="1"/>
  <c r="B440" i="1"/>
  <c r="C439" i="1"/>
  <c r="D439" i="1" s="1"/>
  <c r="I241" i="1" l="1"/>
  <c r="E242" i="1" s="1"/>
  <c r="C440" i="1"/>
  <c r="D440" i="1" s="1"/>
  <c r="B441" i="1"/>
  <c r="J242" i="1" l="1"/>
  <c r="G242" i="1" s="1"/>
  <c r="H242" i="1"/>
  <c r="F242" i="1"/>
  <c r="C441" i="1"/>
  <c r="D441" i="1" s="1"/>
  <c r="B442" i="1"/>
  <c r="I242" i="1" l="1"/>
  <c r="E243" i="1" s="1"/>
  <c r="H243" i="1"/>
  <c r="J243" i="1"/>
  <c r="G243" i="1" s="1"/>
  <c r="F243" i="1"/>
  <c r="C442" i="1"/>
  <c r="D442" i="1" s="1"/>
  <c r="B443" i="1"/>
  <c r="I243" i="1" l="1"/>
  <c r="E244" i="1" s="1"/>
  <c r="C443" i="1"/>
  <c r="D443" i="1" s="1"/>
  <c r="B444" i="1"/>
  <c r="H244" i="1" l="1"/>
  <c r="F244" i="1"/>
  <c r="J244" i="1"/>
  <c r="G244" i="1" s="1"/>
  <c r="C444" i="1"/>
  <c r="D444" i="1" s="1"/>
  <c r="B445" i="1"/>
  <c r="I244" i="1" l="1"/>
  <c r="E245" i="1" s="1"/>
  <c r="C445" i="1"/>
  <c r="D445" i="1" s="1"/>
  <c r="B446" i="1"/>
  <c r="H245" i="1" l="1"/>
  <c r="F245" i="1"/>
  <c r="J245" i="1"/>
  <c r="G245" i="1" s="1"/>
  <c r="C446" i="1"/>
  <c r="D446" i="1" s="1"/>
  <c r="B447" i="1"/>
  <c r="I245" i="1" l="1"/>
  <c r="E246" i="1" s="1"/>
  <c r="C447" i="1"/>
  <c r="D447" i="1" s="1"/>
  <c r="B448" i="1"/>
  <c r="H246" i="1" l="1"/>
  <c r="F246" i="1"/>
  <c r="J246" i="1"/>
  <c r="B449" i="1"/>
  <c r="C448" i="1"/>
  <c r="D448" i="1" s="1"/>
  <c r="G246" i="1" l="1"/>
  <c r="I246" i="1" s="1"/>
  <c r="E247" i="1" s="1"/>
  <c r="C449" i="1"/>
  <c r="D449" i="1" s="1"/>
  <c r="B450" i="1"/>
  <c r="J247" i="1" l="1"/>
  <c r="G247" i="1" s="1"/>
  <c r="F247" i="1"/>
  <c r="H247" i="1"/>
  <c r="C450" i="1"/>
  <c r="D450" i="1" s="1"/>
  <c r="B451" i="1"/>
  <c r="I247" i="1" l="1"/>
  <c r="E248" i="1" s="1"/>
  <c r="F248" i="1" s="1"/>
  <c r="C451" i="1"/>
  <c r="D451" i="1" s="1"/>
  <c r="B452" i="1"/>
  <c r="J248" i="1" l="1"/>
  <c r="G248" i="1" s="1"/>
  <c r="H248" i="1"/>
  <c r="I248" i="1" s="1"/>
  <c r="E249" i="1" s="1"/>
  <c r="C452" i="1"/>
  <c r="D452" i="1" s="1"/>
  <c r="B453" i="1"/>
  <c r="H249" i="1" l="1"/>
  <c r="F249" i="1"/>
  <c r="J249" i="1"/>
  <c r="C453" i="1"/>
  <c r="D453" i="1" s="1"/>
  <c r="B454" i="1"/>
  <c r="G249" i="1" l="1"/>
  <c r="I249" i="1" s="1"/>
  <c r="E250" i="1" s="1"/>
  <c r="B455" i="1"/>
  <c r="C454" i="1"/>
  <c r="D454" i="1" s="1"/>
  <c r="F250" i="1" l="1"/>
  <c r="H250" i="1"/>
  <c r="J250" i="1"/>
  <c r="G250" i="1" s="1"/>
  <c r="B456" i="1"/>
  <c r="C455" i="1"/>
  <c r="D455" i="1" s="1"/>
  <c r="I250" i="1" l="1"/>
  <c r="E251" i="1" s="1"/>
  <c r="B457" i="1"/>
  <c r="C456" i="1"/>
  <c r="D456" i="1" s="1"/>
  <c r="H251" i="1" l="1"/>
  <c r="F251" i="1"/>
  <c r="J251" i="1"/>
  <c r="G251" i="1" s="1"/>
  <c r="B458" i="1"/>
  <c r="C457" i="1"/>
  <c r="D457" i="1" s="1"/>
  <c r="I251" i="1" l="1"/>
  <c r="E252" i="1" s="1"/>
  <c r="C458" i="1"/>
  <c r="D458" i="1" s="1"/>
  <c r="B459" i="1"/>
  <c r="F252" i="1" l="1"/>
  <c r="H252" i="1"/>
  <c r="J252" i="1"/>
  <c r="G252" i="1" s="1"/>
  <c r="B460" i="1"/>
  <c r="C459" i="1"/>
  <c r="D459" i="1" s="1"/>
  <c r="I252" i="1" l="1"/>
  <c r="E253" i="1" s="1"/>
  <c r="C460" i="1"/>
  <c r="D460" i="1" s="1"/>
  <c r="B461" i="1"/>
  <c r="F253" i="1" l="1"/>
  <c r="H253" i="1"/>
  <c r="J253" i="1"/>
  <c r="G253" i="1" s="1"/>
  <c r="B462" i="1"/>
  <c r="C461" i="1"/>
  <c r="D461" i="1" s="1"/>
  <c r="I253" i="1" l="1"/>
  <c r="E254" i="1" s="1"/>
  <c r="C462" i="1"/>
  <c r="D462" i="1" s="1"/>
  <c r="B463" i="1"/>
  <c r="F254" i="1" l="1"/>
  <c r="H254" i="1"/>
  <c r="J254" i="1"/>
  <c r="G254" i="1" s="1"/>
  <c r="C463" i="1"/>
  <c r="D463" i="1" s="1"/>
  <c r="B464" i="1"/>
  <c r="I254" i="1" l="1"/>
  <c r="E255" i="1" s="1"/>
  <c r="C464" i="1"/>
  <c r="D464" i="1" s="1"/>
  <c r="B465" i="1"/>
  <c r="J255" i="1" l="1"/>
  <c r="G255" i="1" s="1"/>
  <c r="F255" i="1"/>
  <c r="H255" i="1"/>
  <c r="B466" i="1"/>
  <c r="C465" i="1"/>
  <c r="D465" i="1" s="1"/>
  <c r="I255" i="1" l="1"/>
  <c r="E256" i="1" s="1"/>
  <c r="F256" i="1"/>
  <c r="H256" i="1"/>
  <c r="J256" i="1"/>
  <c r="G256" i="1" s="1"/>
  <c r="C466" i="1"/>
  <c r="D466" i="1" s="1"/>
  <c r="B467" i="1"/>
  <c r="I256" i="1" l="1"/>
  <c r="E257" i="1" s="1"/>
  <c r="C467" i="1"/>
  <c r="D467" i="1" s="1"/>
  <c r="B468" i="1"/>
  <c r="H257" i="1" l="1"/>
  <c r="J257" i="1"/>
  <c r="G257" i="1" s="1"/>
  <c r="F257" i="1"/>
  <c r="C468" i="1"/>
  <c r="D468" i="1" s="1"/>
  <c r="B469" i="1"/>
  <c r="I257" i="1" l="1"/>
  <c r="E258" i="1" s="1"/>
  <c r="C469" i="1"/>
  <c r="D469" i="1" s="1"/>
  <c r="B470" i="1"/>
  <c r="J258" i="1" l="1"/>
  <c r="G258" i="1" s="1"/>
  <c r="H258" i="1"/>
  <c r="F258" i="1"/>
  <c r="C470" i="1"/>
  <c r="D470" i="1" s="1"/>
  <c r="B471" i="1"/>
  <c r="I258" i="1" l="1"/>
  <c r="E259" i="1" s="1"/>
  <c r="J259" i="1"/>
  <c r="G259" i="1" s="1"/>
  <c r="H259" i="1"/>
  <c r="F259" i="1"/>
  <c r="B472" i="1"/>
  <c r="C471" i="1"/>
  <c r="D471" i="1" s="1"/>
  <c r="I259" i="1" l="1"/>
  <c r="E260" i="1" s="1"/>
  <c r="J260" i="1"/>
  <c r="G260" i="1" s="1"/>
  <c r="F260" i="1"/>
  <c r="H260" i="1"/>
  <c r="B473" i="1"/>
  <c r="C472" i="1"/>
  <c r="D472" i="1" s="1"/>
  <c r="I260" i="1" l="1"/>
  <c r="E261" i="1" s="1"/>
  <c r="F261" i="1"/>
  <c r="J261" i="1"/>
  <c r="G261" i="1" s="1"/>
  <c r="H261" i="1"/>
  <c r="B474" i="1"/>
  <c r="C473" i="1"/>
  <c r="D473" i="1" s="1"/>
  <c r="I261" i="1" l="1"/>
  <c r="E262" i="1" s="1"/>
  <c r="C474" i="1"/>
  <c r="D474" i="1" s="1"/>
  <c r="B475" i="1"/>
  <c r="H262" i="1" l="1"/>
  <c r="F262" i="1"/>
  <c r="J262" i="1"/>
  <c r="B476" i="1"/>
  <c r="C475" i="1"/>
  <c r="D475" i="1" s="1"/>
  <c r="G262" i="1" l="1"/>
  <c r="I262" i="1" s="1"/>
  <c r="E263" i="1" s="1"/>
  <c r="C476" i="1"/>
  <c r="D476" i="1" s="1"/>
  <c r="B477" i="1"/>
  <c r="J263" i="1" l="1"/>
  <c r="G263" i="1" s="1"/>
  <c r="H263" i="1"/>
  <c r="F263" i="1"/>
  <c r="B478" i="1"/>
  <c r="C477" i="1"/>
  <c r="D477" i="1" s="1"/>
  <c r="I263" i="1" l="1"/>
  <c r="E264" i="1" s="1"/>
  <c r="H264" i="1" s="1"/>
  <c r="B479" i="1"/>
  <c r="C478" i="1"/>
  <c r="D478" i="1" s="1"/>
  <c r="J264" i="1" l="1"/>
  <c r="G264" i="1" s="1"/>
  <c r="I264" i="1" s="1"/>
  <c r="E265" i="1" s="1"/>
  <c r="F264" i="1"/>
  <c r="C479" i="1"/>
  <c r="D479" i="1" s="1"/>
  <c r="B480" i="1"/>
  <c r="H265" i="1" l="1"/>
  <c r="F265" i="1"/>
  <c r="J265" i="1"/>
  <c r="G265" i="1" s="1"/>
  <c r="C480" i="1"/>
  <c r="D480" i="1" s="1"/>
  <c r="B481" i="1"/>
  <c r="I265" i="1" l="1"/>
  <c r="E266" i="1" s="1"/>
  <c r="C481" i="1"/>
  <c r="D481" i="1" s="1"/>
  <c r="B482" i="1"/>
  <c r="F266" i="1" l="1"/>
  <c r="H266" i="1"/>
  <c r="J266" i="1"/>
  <c r="G266" i="1" s="1"/>
  <c r="C482" i="1"/>
  <c r="D482" i="1" s="1"/>
  <c r="B483" i="1"/>
  <c r="I266" i="1" l="1"/>
  <c r="E267" i="1" s="1"/>
  <c r="B484" i="1"/>
  <c r="C483" i="1"/>
  <c r="D483" i="1" s="1"/>
  <c r="J267" i="1" l="1"/>
  <c r="G267" i="1" s="1"/>
  <c r="H267" i="1"/>
  <c r="F267" i="1"/>
  <c r="C484" i="1"/>
  <c r="D484" i="1" s="1"/>
  <c r="B485" i="1"/>
  <c r="I267" i="1" l="1"/>
  <c r="E268" i="1" s="1"/>
  <c r="C485" i="1"/>
  <c r="D485" i="1" s="1"/>
  <c r="B486" i="1"/>
  <c r="H268" i="1" l="1"/>
  <c r="J268" i="1"/>
  <c r="G268" i="1" s="1"/>
  <c r="F268" i="1"/>
  <c r="B487" i="1"/>
  <c r="C486" i="1"/>
  <c r="D486" i="1" s="1"/>
  <c r="I268" i="1" l="1"/>
  <c r="E269" i="1" s="1"/>
  <c r="B488" i="1"/>
  <c r="C487" i="1"/>
  <c r="D487" i="1" s="1"/>
  <c r="J269" i="1" l="1"/>
  <c r="G269" i="1" s="1"/>
  <c r="F269" i="1"/>
  <c r="H269" i="1"/>
  <c r="C488" i="1"/>
  <c r="D488" i="1" s="1"/>
  <c r="B489" i="1"/>
  <c r="I269" i="1" l="1"/>
  <c r="E270" i="1" s="1"/>
  <c r="H270" i="1"/>
  <c r="F270" i="1"/>
  <c r="J270" i="1"/>
  <c r="G270" i="1" s="1"/>
  <c r="B490" i="1"/>
  <c r="C489" i="1"/>
  <c r="D489" i="1" s="1"/>
  <c r="I270" i="1" l="1"/>
  <c r="E271" i="1" s="1"/>
  <c r="C490" i="1"/>
  <c r="D490" i="1" s="1"/>
  <c r="B491" i="1"/>
  <c r="F271" i="1" l="1"/>
  <c r="H271" i="1"/>
  <c r="J271" i="1"/>
  <c r="G271" i="1" s="1"/>
  <c r="B492" i="1"/>
  <c r="C491" i="1"/>
  <c r="D491" i="1" s="1"/>
  <c r="I271" i="1" l="1"/>
  <c r="E272" i="1" s="1"/>
  <c r="B493" i="1"/>
  <c r="C492" i="1"/>
  <c r="D492" i="1" s="1"/>
  <c r="H272" i="1" l="1"/>
  <c r="F272" i="1"/>
  <c r="J272" i="1"/>
  <c r="G272" i="1" s="1"/>
  <c r="C493" i="1"/>
  <c r="D493" i="1" s="1"/>
  <c r="B494" i="1"/>
  <c r="I272" i="1" l="1"/>
  <c r="E273" i="1" s="1"/>
  <c r="B495" i="1"/>
  <c r="C494" i="1"/>
  <c r="D494" i="1" s="1"/>
  <c r="H273" i="1" l="1"/>
  <c r="J273" i="1"/>
  <c r="G273" i="1" s="1"/>
  <c r="F273" i="1"/>
  <c r="B496" i="1"/>
  <c r="C495" i="1"/>
  <c r="D495" i="1" s="1"/>
  <c r="I273" i="1" l="1"/>
  <c r="E274" i="1" s="1"/>
  <c r="B497" i="1"/>
  <c r="C496" i="1"/>
  <c r="D496" i="1" s="1"/>
  <c r="J274" i="1" l="1"/>
  <c r="G274" i="1" s="1"/>
  <c r="F274" i="1"/>
  <c r="H274" i="1"/>
  <c r="B498" i="1"/>
  <c r="C497" i="1"/>
  <c r="D497" i="1" s="1"/>
  <c r="I274" i="1" l="1"/>
  <c r="E275" i="1" s="1"/>
  <c r="J275" i="1"/>
  <c r="G275" i="1" s="1"/>
  <c r="F275" i="1"/>
  <c r="H275" i="1"/>
  <c r="C498" i="1"/>
  <c r="D498" i="1" s="1"/>
  <c r="B499" i="1"/>
  <c r="I275" i="1" l="1"/>
  <c r="E276" i="1" s="1"/>
  <c r="C499" i="1"/>
  <c r="D499" i="1" s="1"/>
  <c r="B500" i="1"/>
  <c r="H276" i="1" l="1"/>
  <c r="J276" i="1"/>
  <c r="G276" i="1" s="1"/>
  <c r="F276" i="1"/>
  <c r="B501" i="1"/>
  <c r="C500" i="1"/>
  <c r="D500" i="1" s="1"/>
  <c r="I276" i="1" l="1"/>
  <c r="E277" i="1" s="1"/>
  <c r="B502" i="1"/>
  <c r="C501" i="1"/>
  <c r="D501" i="1" s="1"/>
  <c r="H277" i="1" l="1"/>
  <c r="J277" i="1"/>
  <c r="G277" i="1" s="1"/>
  <c r="F277" i="1"/>
  <c r="C502" i="1"/>
  <c r="D502" i="1" s="1"/>
  <c r="B503" i="1"/>
  <c r="I277" i="1" l="1"/>
  <c r="E278" i="1" s="1"/>
  <c r="C503" i="1"/>
  <c r="D503" i="1" s="1"/>
  <c r="B504" i="1"/>
  <c r="H278" i="1" l="1"/>
  <c r="F278" i="1"/>
  <c r="J278" i="1"/>
  <c r="G278" i="1" s="1"/>
  <c r="B505" i="1"/>
  <c r="C504" i="1"/>
  <c r="D504" i="1" s="1"/>
  <c r="I278" i="1" l="1"/>
  <c r="E279" i="1" s="1"/>
  <c r="B506" i="1"/>
  <c r="C505" i="1"/>
  <c r="D505" i="1" s="1"/>
  <c r="H279" i="1" l="1"/>
  <c r="F279" i="1"/>
  <c r="J279" i="1"/>
  <c r="G279" i="1" s="1"/>
  <c r="C506" i="1"/>
  <c r="D506" i="1" s="1"/>
  <c r="B507" i="1"/>
  <c r="I279" i="1" l="1"/>
  <c r="E280" i="1" s="1"/>
  <c r="B508" i="1"/>
  <c r="C507" i="1"/>
  <c r="D507" i="1" s="1"/>
  <c r="F280" i="1" l="1"/>
  <c r="H280" i="1"/>
  <c r="J280" i="1"/>
  <c r="G280" i="1" s="1"/>
  <c r="B509" i="1"/>
  <c r="C508" i="1"/>
  <c r="D508" i="1" s="1"/>
  <c r="I280" i="1" l="1"/>
  <c r="E281" i="1" s="1"/>
  <c r="B510" i="1"/>
  <c r="C509" i="1"/>
  <c r="D509" i="1" s="1"/>
  <c r="F281" i="1" l="1"/>
  <c r="H281" i="1"/>
  <c r="J281" i="1"/>
  <c r="G281" i="1" s="1"/>
  <c r="C510" i="1"/>
  <c r="D510" i="1" s="1"/>
  <c r="B511" i="1"/>
  <c r="I281" i="1" l="1"/>
  <c r="E282" i="1" s="1"/>
  <c r="B512" i="1"/>
  <c r="C511" i="1"/>
  <c r="D511" i="1" s="1"/>
  <c r="J282" i="1" l="1"/>
  <c r="G282" i="1" s="1"/>
  <c r="H282" i="1"/>
  <c r="F282" i="1"/>
  <c r="C512" i="1"/>
  <c r="D512" i="1" s="1"/>
  <c r="B513" i="1"/>
  <c r="I282" i="1" l="1"/>
  <c r="E283" i="1" s="1"/>
  <c r="C513" i="1"/>
  <c r="D513" i="1" s="1"/>
  <c r="B514" i="1"/>
  <c r="H283" i="1" l="1"/>
  <c r="J283" i="1"/>
  <c r="G283" i="1" s="1"/>
  <c r="F283" i="1"/>
  <c r="C514" i="1"/>
  <c r="D514" i="1" s="1"/>
  <c r="B515" i="1"/>
  <c r="I283" i="1" l="1"/>
  <c r="E284" i="1" s="1"/>
  <c r="C515" i="1"/>
  <c r="D515" i="1" s="1"/>
  <c r="B516" i="1"/>
  <c r="F284" i="1" l="1"/>
  <c r="H284" i="1"/>
  <c r="J284" i="1"/>
  <c r="G284" i="1" s="1"/>
  <c r="C516" i="1"/>
  <c r="D516" i="1" s="1"/>
  <c r="B517" i="1"/>
  <c r="I284" i="1" l="1"/>
  <c r="E285" i="1" s="1"/>
  <c r="B518" i="1"/>
  <c r="C517" i="1"/>
  <c r="D517" i="1" s="1"/>
  <c r="F285" i="1" l="1"/>
  <c r="J285" i="1"/>
  <c r="G285" i="1" s="1"/>
  <c r="H285" i="1"/>
  <c r="I285" i="1" s="1"/>
  <c r="E286" i="1" s="1"/>
  <c r="C518" i="1"/>
  <c r="D518" i="1" s="1"/>
  <c r="B519" i="1"/>
  <c r="F286" i="1" l="1"/>
  <c r="H286" i="1"/>
  <c r="J286" i="1"/>
  <c r="G286" i="1" s="1"/>
  <c r="C519" i="1"/>
  <c r="D519" i="1" s="1"/>
  <c r="B520" i="1"/>
  <c r="I286" i="1" l="1"/>
  <c r="E287" i="1" s="1"/>
  <c r="B521" i="1"/>
  <c r="C520" i="1"/>
  <c r="D520" i="1" s="1"/>
  <c r="F287" i="1" l="1"/>
  <c r="H287" i="1"/>
  <c r="J287" i="1"/>
  <c r="G287" i="1" s="1"/>
  <c r="C521" i="1"/>
  <c r="D521" i="1" s="1"/>
  <c r="B522" i="1"/>
  <c r="I287" i="1" l="1"/>
  <c r="E288" i="1" s="1"/>
  <c r="H288" i="1" s="1"/>
  <c r="B523" i="1"/>
  <c r="C522" i="1"/>
  <c r="D522" i="1" s="1"/>
  <c r="F288" i="1" l="1"/>
  <c r="J288" i="1"/>
  <c r="G288" i="1" s="1"/>
  <c r="I288" i="1" s="1"/>
  <c r="E289" i="1" s="1"/>
  <c r="B524" i="1"/>
  <c r="C523" i="1"/>
  <c r="D523" i="1" s="1"/>
  <c r="F289" i="1" l="1"/>
  <c r="J289" i="1"/>
  <c r="G289" i="1" s="1"/>
  <c r="H289" i="1"/>
  <c r="C524" i="1"/>
  <c r="D524" i="1" s="1"/>
  <c r="B525" i="1"/>
  <c r="I289" i="1" l="1"/>
  <c r="E290" i="1" s="1"/>
  <c r="J290" i="1" s="1"/>
  <c r="G290" i="1" s="1"/>
  <c r="F290" i="1"/>
  <c r="H290" i="1"/>
  <c r="C525" i="1"/>
  <c r="D525" i="1" s="1"/>
  <c r="B526" i="1"/>
  <c r="I290" i="1" l="1"/>
  <c r="E291" i="1" s="1"/>
  <c r="C526" i="1"/>
  <c r="D526" i="1" s="1"/>
  <c r="B527" i="1"/>
  <c r="J291" i="1" l="1"/>
  <c r="G291" i="1" s="1"/>
  <c r="H291" i="1"/>
  <c r="F291" i="1"/>
  <c r="C527" i="1"/>
  <c r="D527" i="1" s="1"/>
  <c r="B528" i="1"/>
  <c r="I291" i="1" l="1"/>
  <c r="E292" i="1" s="1"/>
  <c r="H292" i="1"/>
  <c r="F292" i="1"/>
  <c r="J292" i="1"/>
  <c r="G292" i="1" s="1"/>
  <c r="B529" i="1"/>
  <c r="C528" i="1"/>
  <c r="D528" i="1" s="1"/>
  <c r="I292" i="1" l="1"/>
  <c r="E293" i="1" s="1"/>
  <c r="C529" i="1"/>
  <c r="D529" i="1" s="1"/>
  <c r="B530" i="1"/>
  <c r="H293" i="1" l="1"/>
  <c r="F293" i="1"/>
  <c r="J293" i="1"/>
  <c r="G293" i="1" s="1"/>
  <c r="B531" i="1"/>
  <c r="C530" i="1"/>
  <c r="D530" i="1" s="1"/>
  <c r="I293" i="1" l="1"/>
  <c r="E294" i="1" s="1"/>
  <c r="C531" i="1"/>
  <c r="D531" i="1" s="1"/>
  <c r="B532" i="1"/>
  <c r="F294" i="1" l="1"/>
  <c r="J294" i="1"/>
  <c r="G294" i="1" s="1"/>
  <c r="H294" i="1"/>
  <c r="C532" i="1"/>
  <c r="D532" i="1" s="1"/>
  <c r="B533" i="1"/>
  <c r="I294" i="1" l="1"/>
  <c r="E295" i="1" s="1"/>
  <c r="F295" i="1"/>
  <c r="H295" i="1"/>
  <c r="J295" i="1"/>
  <c r="G295" i="1" s="1"/>
  <c r="C533" i="1"/>
  <c r="D533" i="1" s="1"/>
  <c r="B534" i="1"/>
  <c r="I295" i="1" l="1"/>
  <c r="E296" i="1" s="1"/>
  <c r="B535" i="1"/>
  <c r="C534" i="1"/>
  <c r="D534" i="1" s="1"/>
  <c r="H296" i="1" l="1"/>
  <c r="F296" i="1"/>
  <c r="J296" i="1"/>
  <c r="G296" i="1" s="1"/>
  <c r="C535" i="1"/>
  <c r="D535" i="1" s="1"/>
  <c r="B536" i="1"/>
  <c r="I296" i="1" l="1"/>
  <c r="E297" i="1" s="1"/>
  <c r="C536" i="1"/>
  <c r="D536" i="1" s="1"/>
  <c r="B537" i="1"/>
  <c r="F297" i="1" l="1"/>
  <c r="J297" i="1"/>
  <c r="G297" i="1" s="1"/>
  <c r="H297" i="1"/>
  <c r="C537" i="1"/>
  <c r="D537" i="1" s="1"/>
  <c r="B538" i="1"/>
  <c r="I297" i="1" l="1"/>
  <c r="E298" i="1" s="1"/>
  <c r="H298" i="1"/>
  <c r="F298" i="1"/>
  <c r="J298" i="1"/>
  <c r="G298" i="1" s="1"/>
  <c r="B539" i="1"/>
  <c r="C538" i="1"/>
  <c r="D538" i="1" s="1"/>
  <c r="I298" i="1" l="1"/>
  <c r="E299" i="1" s="1"/>
  <c r="C539" i="1"/>
  <c r="D539" i="1" s="1"/>
  <c r="B540" i="1"/>
  <c r="F299" i="1" l="1"/>
  <c r="H299" i="1"/>
  <c r="J299" i="1"/>
  <c r="G299" i="1" s="1"/>
  <c r="B541" i="1"/>
  <c r="C540" i="1"/>
  <c r="D540" i="1" s="1"/>
  <c r="I299" i="1" l="1"/>
  <c r="E300" i="1" s="1"/>
  <c r="C541" i="1"/>
  <c r="D541" i="1" s="1"/>
  <c r="B542" i="1"/>
  <c r="J300" i="1" l="1"/>
  <c r="G300" i="1" s="1"/>
  <c r="H300" i="1"/>
  <c r="F300" i="1"/>
  <c r="C542" i="1"/>
  <c r="D542" i="1" s="1"/>
  <c r="B543" i="1"/>
  <c r="I300" i="1" l="1"/>
  <c r="E301" i="1" s="1"/>
  <c r="B544" i="1"/>
  <c r="C543" i="1"/>
  <c r="D543" i="1" s="1"/>
  <c r="H301" i="1" l="1"/>
  <c r="F301" i="1"/>
  <c r="J301" i="1"/>
  <c r="G301" i="1" s="1"/>
  <c r="B545" i="1"/>
  <c r="C544" i="1"/>
  <c r="D544" i="1" s="1"/>
  <c r="I301" i="1" l="1"/>
  <c r="E302" i="1" s="1"/>
  <c r="B546" i="1"/>
  <c r="C545" i="1"/>
  <c r="D545" i="1" s="1"/>
  <c r="J302" i="1" l="1"/>
  <c r="G302" i="1" s="1"/>
  <c r="H302" i="1"/>
  <c r="F302" i="1"/>
  <c r="C546" i="1"/>
  <c r="D546" i="1" s="1"/>
  <c r="B547" i="1"/>
  <c r="I302" i="1" l="1"/>
  <c r="E303" i="1" s="1"/>
  <c r="C547" i="1"/>
  <c r="D547" i="1" s="1"/>
  <c r="B548" i="1"/>
  <c r="J303" i="1" l="1"/>
  <c r="G303" i="1" s="1"/>
  <c r="H303" i="1"/>
  <c r="F303" i="1"/>
  <c r="B549" i="1"/>
  <c r="C548" i="1"/>
  <c r="D548" i="1" s="1"/>
  <c r="I303" i="1" l="1"/>
  <c r="E304" i="1" s="1"/>
  <c r="C549" i="1"/>
  <c r="D549" i="1" s="1"/>
  <c r="B550" i="1"/>
  <c r="H304" i="1" l="1"/>
  <c r="J304" i="1"/>
  <c r="G304" i="1" s="1"/>
  <c r="F304" i="1"/>
  <c r="C550" i="1"/>
  <c r="D550" i="1" s="1"/>
  <c r="B551" i="1"/>
  <c r="I304" i="1" l="1"/>
  <c r="E305" i="1" s="1"/>
  <c r="B552" i="1"/>
  <c r="C551" i="1"/>
  <c r="D551" i="1" s="1"/>
  <c r="J305" i="1" l="1"/>
  <c r="G305" i="1" s="1"/>
  <c r="H305" i="1"/>
  <c r="F305" i="1"/>
  <c r="B553" i="1"/>
  <c r="C552" i="1"/>
  <c r="D552" i="1" s="1"/>
  <c r="I305" i="1" l="1"/>
  <c r="E306" i="1" s="1"/>
  <c r="B554" i="1"/>
  <c r="C553" i="1"/>
  <c r="D553" i="1" s="1"/>
  <c r="F306" i="1" l="1"/>
  <c r="J306" i="1"/>
  <c r="G306" i="1" s="1"/>
  <c r="H306" i="1"/>
  <c r="B555" i="1"/>
  <c r="C554" i="1"/>
  <c r="D554" i="1" s="1"/>
  <c r="I306" i="1" l="1"/>
  <c r="E307" i="1" s="1"/>
  <c r="J307" i="1" s="1"/>
  <c r="G307" i="1" s="1"/>
  <c r="F307" i="1"/>
  <c r="H307" i="1"/>
  <c r="B556" i="1"/>
  <c r="C555" i="1"/>
  <c r="D555" i="1" s="1"/>
  <c r="I307" i="1" l="1"/>
  <c r="E308" i="1" s="1"/>
  <c r="C556" i="1"/>
  <c r="D556" i="1" s="1"/>
  <c r="B557" i="1"/>
  <c r="J308" i="1" l="1"/>
  <c r="G308" i="1" s="1"/>
  <c r="F308" i="1"/>
  <c r="H308" i="1"/>
  <c r="C557" i="1"/>
  <c r="D557" i="1" s="1"/>
  <c r="B558" i="1"/>
  <c r="I308" i="1" l="1"/>
  <c r="E309" i="1" s="1"/>
  <c r="C558" i="1"/>
  <c r="D558" i="1" s="1"/>
  <c r="B559" i="1"/>
  <c r="J309" i="1" l="1"/>
  <c r="G309" i="1" s="1"/>
  <c r="F309" i="1"/>
  <c r="H309" i="1"/>
  <c r="B560" i="1"/>
  <c r="C559" i="1"/>
  <c r="D559" i="1" s="1"/>
  <c r="I309" i="1" l="1"/>
  <c r="E310" i="1" s="1"/>
  <c r="H310" i="1" s="1"/>
  <c r="C560" i="1"/>
  <c r="D560" i="1" s="1"/>
  <c r="B561" i="1"/>
  <c r="F310" i="1" l="1"/>
  <c r="J310" i="1"/>
  <c r="G310" i="1" s="1"/>
  <c r="B562" i="1"/>
  <c r="C561" i="1"/>
  <c r="D561" i="1" s="1"/>
  <c r="I310" i="1" l="1"/>
  <c r="E311" i="1" s="1"/>
  <c r="H311" i="1"/>
  <c r="F311" i="1"/>
  <c r="J311" i="1"/>
  <c r="G311" i="1" s="1"/>
  <c r="I311" i="1" s="1"/>
  <c r="E312" i="1" s="1"/>
  <c r="C562" i="1"/>
  <c r="D562" i="1" s="1"/>
  <c r="B563" i="1"/>
  <c r="H312" i="1" l="1"/>
  <c r="J312" i="1"/>
  <c r="G312" i="1" s="1"/>
  <c r="F312" i="1"/>
  <c r="C563" i="1"/>
  <c r="D563" i="1" s="1"/>
  <c r="B564" i="1"/>
  <c r="I312" i="1" l="1"/>
  <c r="E313" i="1" s="1"/>
  <c r="B565" i="1"/>
  <c r="C564" i="1"/>
  <c r="D564" i="1" s="1"/>
  <c r="J313" i="1" l="1"/>
  <c r="G313" i="1" s="1"/>
  <c r="H313" i="1"/>
  <c r="F313" i="1"/>
  <c r="B566" i="1"/>
  <c r="C565" i="1"/>
  <c r="D565" i="1" s="1"/>
  <c r="I313" i="1" l="1"/>
  <c r="E314" i="1" s="1"/>
  <c r="J314" i="1"/>
  <c r="G314" i="1" s="1"/>
  <c r="H314" i="1"/>
  <c r="F314" i="1"/>
  <c r="C566" i="1"/>
  <c r="D566" i="1" s="1"/>
  <c r="B567" i="1"/>
  <c r="I314" i="1" l="1"/>
  <c r="E315" i="1" s="1"/>
  <c r="F315" i="1" s="1"/>
  <c r="C567" i="1"/>
  <c r="D567" i="1" s="1"/>
  <c r="B568" i="1"/>
  <c r="J315" i="1" l="1"/>
  <c r="G315" i="1" s="1"/>
  <c r="H315" i="1"/>
  <c r="C568" i="1"/>
  <c r="D568" i="1" s="1"/>
  <c r="B569" i="1"/>
  <c r="I315" i="1" l="1"/>
  <c r="E316" i="1" s="1"/>
  <c r="B570" i="1"/>
  <c r="C569" i="1"/>
  <c r="D569" i="1" s="1"/>
  <c r="H316" i="1" l="1"/>
  <c r="J316" i="1"/>
  <c r="G316" i="1" s="1"/>
  <c r="F316" i="1"/>
  <c r="B571" i="1"/>
  <c r="C570" i="1"/>
  <c r="D570" i="1" s="1"/>
  <c r="I316" i="1" l="1"/>
  <c r="E317" i="1" s="1"/>
  <c r="C571" i="1"/>
  <c r="D571" i="1" s="1"/>
  <c r="B572" i="1"/>
  <c r="H317" i="1" l="1"/>
  <c r="J317" i="1"/>
  <c r="G317" i="1" s="1"/>
  <c r="F317" i="1"/>
  <c r="C572" i="1"/>
  <c r="D572" i="1" s="1"/>
  <c r="B573" i="1"/>
  <c r="I317" i="1" l="1"/>
  <c r="E318" i="1" s="1"/>
  <c r="B574" i="1"/>
  <c r="C573" i="1"/>
  <c r="D573" i="1" s="1"/>
  <c r="J318" i="1" l="1"/>
  <c r="G318" i="1" s="1"/>
  <c r="F318" i="1"/>
  <c r="H318" i="1"/>
  <c r="C574" i="1"/>
  <c r="D574" i="1" s="1"/>
  <c r="B575" i="1"/>
  <c r="I318" i="1" l="1"/>
  <c r="E319" i="1" s="1"/>
  <c r="C575" i="1"/>
  <c r="D575" i="1" s="1"/>
  <c r="B576" i="1"/>
  <c r="J319" i="1" l="1"/>
  <c r="G319" i="1" s="1"/>
  <c r="F319" i="1"/>
  <c r="H319" i="1"/>
  <c r="B577" i="1"/>
  <c r="C576" i="1"/>
  <c r="D576" i="1" s="1"/>
  <c r="I319" i="1" l="1"/>
  <c r="E320" i="1" s="1"/>
  <c r="B578" i="1"/>
  <c r="C577" i="1"/>
  <c r="D577" i="1" s="1"/>
  <c r="J320" i="1" l="1"/>
  <c r="G320" i="1" s="1"/>
  <c r="H320" i="1"/>
  <c r="F320" i="1"/>
  <c r="C578" i="1"/>
  <c r="D578" i="1" s="1"/>
  <c r="B579" i="1"/>
  <c r="I320" i="1" l="1"/>
  <c r="E321" i="1" s="1"/>
  <c r="C579" i="1"/>
  <c r="D579" i="1" s="1"/>
  <c r="B580" i="1"/>
  <c r="F321" i="1" l="1"/>
  <c r="H321" i="1"/>
  <c r="J321" i="1"/>
  <c r="G321" i="1" s="1"/>
  <c r="C580" i="1"/>
  <c r="D580" i="1" s="1"/>
  <c r="B581" i="1"/>
  <c r="I321" i="1" l="1"/>
  <c r="E322" i="1" s="1"/>
  <c r="C581" i="1"/>
  <c r="D581" i="1" s="1"/>
  <c r="B582" i="1"/>
  <c r="J322" i="1" l="1"/>
  <c r="G322" i="1" s="1"/>
  <c r="H322" i="1"/>
  <c r="F322" i="1"/>
  <c r="C582" i="1"/>
  <c r="D582" i="1" s="1"/>
  <c r="B583" i="1"/>
  <c r="I322" i="1" l="1"/>
  <c r="E323" i="1" s="1"/>
  <c r="C583" i="1"/>
  <c r="D583" i="1" s="1"/>
  <c r="B584" i="1"/>
  <c r="J323" i="1" l="1"/>
  <c r="G323" i="1" s="1"/>
  <c r="H323" i="1"/>
  <c r="F323" i="1"/>
  <c r="B585" i="1"/>
  <c r="C584" i="1"/>
  <c r="D584" i="1" s="1"/>
  <c r="I323" i="1" l="1"/>
  <c r="E324" i="1" s="1"/>
  <c r="F324" i="1"/>
  <c r="H324" i="1"/>
  <c r="J324" i="1"/>
  <c r="G324" i="1" s="1"/>
  <c r="C585" i="1"/>
  <c r="D585" i="1" s="1"/>
  <c r="B586" i="1"/>
  <c r="I324" i="1" l="1"/>
  <c r="E325" i="1" s="1"/>
  <c r="C586" i="1"/>
  <c r="D586" i="1" s="1"/>
  <c r="B587" i="1"/>
  <c r="F325" i="1" l="1"/>
  <c r="J325" i="1"/>
  <c r="G325" i="1" s="1"/>
  <c r="H325" i="1"/>
  <c r="I325" i="1" s="1"/>
  <c r="E326" i="1" s="1"/>
  <c r="C587" i="1"/>
  <c r="D587" i="1" s="1"/>
  <c r="B588" i="1"/>
  <c r="H326" i="1" l="1"/>
  <c r="F326" i="1"/>
  <c r="J326" i="1"/>
  <c r="G326" i="1" s="1"/>
  <c r="B589" i="1"/>
  <c r="C588" i="1"/>
  <c r="D588" i="1" s="1"/>
  <c r="I326" i="1" l="1"/>
  <c r="E327" i="1" s="1"/>
  <c r="B590" i="1"/>
  <c r="C589" i="1"/>
  <c r="D589" i="1" s="1"/>
  <c r="F327" i="1" l="1"/>
  <c r="H327" i="1"/>
  <c r="J327" i="1"/>
  <c r="G327" i="1" s="1"/>
  <c r="C590" i="1"/>
  <c r="D590" i="1" s="1"/>
  <c r="B591" i="1"/>
  <c r="I327" i="1" l="1"/>
  <c r="E328" i="1" s="1"/>
  <c r="C591" i="1"/>
  <c r="D591" i="1" s="1"/>
  <c r="B592" i="1"/>
  <c r="H328" i="1" l="1"/>
  <c r="J328" i="1"/>
  <c r="G328" i="1" s="1"/>
  <c r="F328" i="1"/>
  <c r="B593" i="1"/>
  <c r="C592" i="1"/>
  <c r="D592" i="1" s="1"/>
  <c r="I328" i="1" l="1"/>
  <c r="E329" i="1" s="1"/>
  <c r="C593" i="1"/>
  <c r="D593" i="1" s="1"/>
  <c r="B594" i="1"/>
  <c r="H329" i="1" l="1"/>
  <c r="F329" i="1"/>
  <c r="J329" i="1"/>
  <c r="G329" i="1" s="1"/>
  <c r="C594" i="1"/>
  <c r="D594" i="1" s="1"/>
  <c r="B595" i="1"/>
  <c r="I329" i="1" l="1"/>
  <c r="E330" i="1" s="1"/>
  <c r="H330" i="1"/>
  <c r="J330" i="1"/>
  <c r="G330" i="1" s="1"/>
  <c r="F330" i="1"/>
  <c r="B596" i="1"/>
  <c r="C595" i="1"/>
  <c r="D595" i="1" s="1"/>
  <c r="I330" i="1" l="1"/>
  <c r="E331" i="1" s="1"/>
  <c r="C596" i="1"/>
  <c r="D596" i="1" s="1"/>
  <c r="B597" i="1"/>
  <c r="H331" i="1" l="1"/>
  <c r="J331" i="1"/>
  <c r="G331" i="1" s="1"/>
  <c r="F331" i="1"/>
  <c r="C597" i="1"/>
  <c r="D597" i="1" s="1"/>
  <c r="B598" i="1"/>
  <c r="I331" i="1" l="1"/>
  <c r="E332" i="1" s="1"/>
  <c r="J332" i="1" s="1"/>
  <c r="G332" i="1" s="1"/>
  <c r="B599" i="1"/>
  <c r="C598" i="1"/>
  <c r="D598" i="1" s="1"/>
  <c r="F332" i="1" l="1"/>
  <c r="H332" i="1"/>
  <c r="I332" i="1"/>
  <c r="E333" i="1" s="1"/>
  <c r="B600" i="1"/>
  <c r="C599" i="1"/>
  <c r="D599" i="1" s="1"/>
  <c r="F333" i="1" l="1"/>
  <c r="J333" i="1"/>
  <c r="G333" i="1" s="1"/>
  <c r="H333" i="1"/>
  <c r="I333" i="1" s="1"/>
  <c r="E334" i="1" s="1"/>
  <c r="C600" i="1"/>
  <c r="D600" i="1" s="1"/>
  <c r="B601" i="1"/>
  <c r="J334" i="1" l="1"/>
  <c r="G334" i="1" s="1"/>
  <c r="F334" i="1"/>
  <c r="H334" i="1"/>
  <c r="B602" i="1"/>
  <c r="C601" i="1"/>
  <c r="D601" i="1" s="1"/>
  <c r="I334" i="1" l="1"/>
  <c r="E335" i="1" s="1"/>
  <c r="F335" i="1" s="1"/>
  <c r="H335" i="1"/>
  <c r="J335" i="1"/>
  <c r="G335" i="1" s="1"/>
  <c r="C602" i="1"/>
  <c r="D602" i="1" s="1"/>
  <c r="B603" i="1"/>
  <c r="I335" i="1" l="1"/>
  <c r="E336" i="1" s="1"/>
  <c r="J336" i="1" s="1"/>
  <c r="G336" i="1" s="1"/>
  <c r="C603" i="1"/>
  <c r="D603" i="1" s="1"/>
  <c r="B604" i="1"/>
  <c r="F336" i="1" l="1"/>
  <c r="H336" i="1"/>
  <c r="I336" i="1" s="1"/>
  <c r="E337" i="1" s="1"/>
  <c r="C604" i="1"/>
  <c r="D604" i="1" s="1"/>
  <c r="B605" i="1"/>
  <c r="F337" i="1" l="1"/>
  <c r="H337" i="1"/>
  <c r="J337" i="1"/>
  <c r="G337" i="1" s="1"/>
  <c r="B606" i="1"/>
  <c r="C605" i="1"/>
  <c r="D605" i="1" s="1"/>
  <c r="I337" i="1" l="1"/>
  <c r="E338" i="1" s="1"/>
  <c r="B607" i="1"/>
  <c r="C606" i="1"/>
  <c r="D606" i="1" s="1"/>
  <c r="J338" i="1" l="1"/>
  <c r="G338" i="1" s="1"/>
  <c r="H338" i="1"/>
  <c r="F338" i="1"/>
  <c r="C607" i="1"/>
  <c r="D607" i="1" s="1"/>
  <c r="B608" i="1"/>
  <c r="I338" i="1" l="1"/>
  <c r="E339" i="1" s="1"/>
  <c r="C608" i="1"/>
  <c r="D608" i="1" s="1"/>
  <c r="B609" i="1"/>
  <c r="J339" i="1" l="1"/>
  <c r="G339" i="1" s="1"/>
  <c r="H339" i="1"/>
  <c r="F339" i="1"/>
  <c r="C609" i="1"/>
  <c r="D609" i="1" s="1"/>
  <c r="B610" i="1"/>
  <c r="I339" i="1" l="1"/>
  <c r="E340" i="1" s="1"/>
  <c r="C610" i="1"/>
  <c r="D610" i="1" s="1"/>
  <c r="B611" i="1"/>
  <c r="H340" i="1" l="1"/>
  <c r="F340" i="1"/>
  <c r="J340" i="1"/>
  <c r="G340" i="1" s="1"/>
  <c r="C611" i="1"/>
  <c r="D611" i="1" s="1"/>
  <c r="B612" i="1"/>
  <c r="I340" i="1" l="1"/>
  <c r="E341" i="1" s="1"/>
  <c r="C612" i="1"/>
  <c r="D612" i="1" s="1"/>
  <c r="B613" i="1"/>
  <c r="H341" i="1" l="1"/>
  <c r="F341" i="1"/>
  <c r="J341" i="1"/>
  <c r="G341" i="1" s="1"/>
  <c r="B614" i="1"/>
  <c r="C613" i="1"/>
  <c r="D613" i="1" s="1"/>
  <c r="I341" i="1" l="1"/>
  <c r="E342" i="1" s="1"/>
  <c r="B615" i="1"/>
  <c r="C614" i="1"/>
  <c r="D614" i="1" s="1"/>
  <c r="H342" i="1" l="1"/>
  <c r="J342" i="1"/>
  <c r="G342" i="1" s="1"/>
  <c r="F342" i="1"/>
  <c r="B616" i="1"/>
  <c r="C615" i="1"/>
  <c r="D615" i="1" s="1"/>
  <c r="I342" i="1" l="1"/>
  <c r="E343" i="1" s="1"/>
  <c r="H343" i="1"/>
  <c r="J343" i="1"/>
  <c r="G343" i="1" s="1"/>
  <c r="F343" i="1"/>
  <c r="C616" i="1"/>
  <c r="D616" i="1" s="1"/>
  <c r="B617" i="1"/>
  <c r="I343" i="1" l="1"/>
  <c r="E344" i="1" s="1"/>
  <c r="H344" i="1"/>
  <c r="J344" i="1"/>
  <c r="G344" i="1" s="1"/>
  <c r="F344" i="1"/>
  <c r="C617" i="1"/>
  <c r="D617" i="1" s="1"/>
  <c r="B618" i="1"/>
  <c r="I344" i="1" l="1"/>
  <c r="E345" i="1" s="1"/>
  <c r="C618" i="1"/>
  <c r="D618" i="1" s="1"/>
  <c r="B619" i="1"/>
  <c r="F345" i="1" l="1"/>
  <c r="J345" i="1"/>
  <c r="G345" i="1" s="1"/>
  <c r="H345" i="1"/>
  <c r="B620" i="1"/>
  <c r="C619" i="1"/>
  <c r="D619" i="1" s="1"/>
  <c r="I345" i="1" l="1"/>
  <c r="E346" i="1" s="1"/>
  <c r="H346" i="1"/>
  <c r="F346" i="1"/>
  <c r="J346" i="1"/>
  <c r="G346" i="1" s="1"/>
  <c r="B621" i="1"/>
  <c r="C620" i="1"/>
  <c r="D620" i="1" s="1"/>
  <c r="I346" i="1" l="1"/>
  <c r="E347" i="1" s="1"/>
  <c r="J347" i="1"/>
  <c r="G347" i="1" s="1"/>
  <c r="H347" i="1"/>
  <c r="F347" i="1"/>
  <c r="C621" i="1"/>
  <c r="D621" i="1" s="1"/>
  <c r="B622" i="1"/>
  <c r="I347" i="1" l="1"/>
  <c r="E348" i="1" s="1"/>
  <c r="C622" i="1"/>
  <c r="D622" i="1" s="1"/>
  <c r="B623" i="1"/>
  <c r="J348" i="1" l="1"/>
  <c r="G348" i="1" s="1"/>
  <c r="F348" i="1"/>
  <c r="H348" i="1"/>
  <c r="B624" i="1"/>
  <c r="C623" i="1"/>
  <c r="D623" i="1" s="1"/>
  <c r="I348" i="1" l="1"/>
  <c r="E349" i="1" s="1"/>
  <c r="B625" i="1"/>
  <c r="C624" i="1"/>
  <c r="D624" i="1" s="1"/>
  <c r="F349" i="1" l="1"/>
  <c r="J349" i="1"/>
  <c r="G349" i="1" s="1"/>
  <c r="H349" i="1"/>
  <c r="C625" i="1"/>
  <c r="D625" i="1" s="1"/>
  <c r="B626" i="1"/>
  <c r="I349" i="1" l="1"/>
  <c r="E350" i="1" s="1"/>
  <c r="B627" i="1"/>
  <c r="C626" i="1"/>
  <c r="D626" i="1" s="1"/>
  <c r="J350" i="1" l="1"/>
  <c r="G350" i="1" s="1"/>
  <c r="F350" i="1"/>
  <c r="H350" i="1"/>
  <c r="B628" i="1"/>
  <c r="C627" i="1"/>
  <c r="D627" i="1" s="1"/>
  <c r="I350" i="1" l="1"/>
  <c r="E351" i="1" s="1"/>
  <c r="C628" i="1"/>
  <c r="D628" i="1" s="1"/>
  <c r="B629" i="1"/>
  <c r="H351" i="1" l="1"/>
  <c r="F351" i="1"/>
  <c r="J351" i="1"/>
  <c r="G351" i="1" s="1"/>
  <c r="C629" i="1"/>
  <c r="D629" i="1" s="1"/>
  <c r="B630" i="1"/>
  <c r="I351" i="1" l="1"/>
  <c r="E352" i="1" s="1"/>
  <c r="F352" i="1"/>
  <c r="J352" i="1"/>
  <c r="G352" i="1" s="1"/>
  <c r="H352" i="1"/>
  <c r="B631" i="1"/>
  <c r="C630" i="1"/>
  <c r="D630" i="1" s="1"/>
  <c r="I352" i="1" l="1"/>
  <c r="E353" i="1" s="1"/>
  <c r="C631" i="1"/>
  <c r="D631" i="1" s="1"/>
  <c r="B632" i="1"/>
  <c r="H353" i="1" l="1"/>
  <c r="J353" i="1"/>
  <c r="G353" i="1" s="1"/>
  <c r="F353" i="1"/>
  <c r="B633" i="1"/>
  <c r="C632" i="1"/>
  <c r="D632" i="1" s="1"/>
  <c r="I353" i="1" l="1"/>
  <c r="E354" i="1" s="1"/>
  <c r="H354" i="1"/>
  <c r="J354" i="1"/>
  <c r="G354" i="1" s="1"/>
  <c r="F354" i="1"/>
  <c r="C633" i="1"/>
  <c r="D633" i="1" s="1"/>
  <c r="B634" i="1"/>
  <c r="I354" i="1" l="1"/>
  <c r="E355" i="1" s="1"/>
  <c r="H355" i="1"/>
  <c r="J355" i="1"/>
  <c r="G355" i="1" s="1"/>
  <c r="F355" i="1"/>
  <c r="B635" i="1"/>
  <c r="C634" i="1"/>
  <c r="D634" i="1" s="1"/>
  <c r="I355" i="1" l="1"/>
  <c r="E356" i="1" s="1"/>
  <c r="H356" i="1"/>
  <c r="J356" i="1"/>
  <c r="F356" i="1"/>
  <c r="C635" i="1"/>
  <c r="D635" i="1" s="1"/>
  <c r="B636" i="1"/>
  <c r="G356" i="1" l="1"/>
  <c r="I356" i="1" s="1"/>
  <c r="E357" i="1" s="1"/>
  <c r="B637" i="1"/>
  <c r="C636" i="1"/>
  <c r="D636" i="1" s="1"/>
  <c r="J357" i="1" l="1"/>
  <c r="G357" i="1" s="1"/>
  <c r="H357" i="1"/>
  <c r="F357" i="1"/>
  <c r="C637" i="1"/>
  <c r="D637" i="1" s="1"/>
  <c r="B638" i="1"/>
  <c r="I357" i="1" l="1"/>
  <c r="E358" i="1" s="1"/>
  <c r="B639" i="1"/>
  <c r="C638" i="1"/>
  <c r="D638" i="1" s="1"/>
  <c r="F358" i="1" l="1"/>
  <c r="J358" i="1"/>
  <c r="G358" i="1" s="1"/>
  <c r="H358" i="1"/>
  <c r="B640" i="1"/>
  <c r="C639" i="1"/>
  <c r="D639" i="1" s="1"/>
  <c r="I358" i="1" l="1"/>
  <c r="E359" i="1" s="1"/>
  <c r="B641" i="1"/>
  <c r="C640" i="1"/>
  <c r="D640" i="1" s="1"/>
  <c r="H359" i="1" l="1"/>
  <c r="F359" i="1"/>
  <c r="J359" i="1"/>
  <c r="G359" i="1" s="1"/>
  <c r="B642" i="1"/>
  <c r="C641" i="1"/>
  <c r="D641" i="1" s="1"/>
  <c r="I359" i="1" l="1"/>
  <c r="E360" i="1" s="1"/>
  <c r="J360" i="1" s="1"/>
  <c r="G360" i="1" s="1"/>
  <c r="H360" i="1"/>
  <c r="C642" i="1"/>
  <c r="D642" i="1" s="1"/>
  <c r="B643" i="1"/>
  <c r="F360" i="1" l="1"/>
  <c r="I360" i="1" s="1"/>
  <c r="E361" i="1" s="1"/>
  <c r="B644" i="1"/>
  <c r="C643" i="1"/>
  <c r="D643" i="1" s="1"/>
  <c r="J361" i="1" l="1"/>
  <c r="G361" i="1" s="1"/>
  <c r="F361" i="1"/>
  <c r="H361" i="1"/>
  <c r="B645" i="1"/>
  <c r="C644" i="1"/>
  <c r="D644" i="1" s="1"/>
  <c r="I361" i="1" l="1"/>
  <c r="E362" i="1" s="1"/>
  <c r="B646" i="1"/>
  <c r="C645" i="1"/>
  <c r="D645" i="1" s="1"/>
  <c r="H362" i="1" l="1"/>
  <c r="J362" i="1"/>
  <c r="G362" i="1" s="1"/>
  <c r="F362" i="1"/>
  <c r="B647" i="1"/>
  <c r="C646" i="1"/>
  <c r="D646" i="1" s="1"/>
  <c r="I362" i="1" l="1"/>
  <c r="E363" i="1" s="1"/>
  <c r="J363" i="1"/>
  <c r="G363" i="1" s="1"/>
  <c r="H363" i="1"/>
  <c r="F363" i="1"/>
  <c r="B648" i="1"/>
  <c r="C647" i="1"/>
  <c r="D647" i="1" s="1"/>
  <c r="I363" i="1" l="1"/>
  <c r="E364" i="1" s="1"/>
  <c r="B649" i="1"/>
  <c r="C648" i="1"/>
  <c r="D648" i="1" s="1"/>
  <c r="J364" i="1" l="1"/>
  <c r="G364" i="1" s="1"/>
  <c r="H364" i="1"/>
  <c r="F364" i="1"/>
  <c r="C649" i="1"/>
  <c r="D649" i="1" s="1"/>
  <c r="B650" i="1"/>
  <c r="I364" i="1" l="1"/>
  <c r="E365" i="1" s="1"/>
  <c r="C650" i="1"/>
  <c r="D650" i="1" s="1"/>
  <c r="B651" i="1"/>
  <c r="J365" i="1" l="1"/>
  <c r="G365" i="1" s="1"/>
  <c r="F365" i="1"/>
  <c r="H365" i="1"/>
  <c r="B652" i="1"/>
  <c r="C651" i="1"/>
  <c r="D651" i="1" s="1"/>
  <c r="I365" i="1" l="1"/>
  <c r="E366" i="1" s="1"/>
  <c r="C652" i="1"/>
  <c r="D652" i="1" s="1"/>
  <c r="B653" i="1"/>
  <c r="F366" i="1" l="1"/>
  <c r="J366" i="1"/>
  <c r="G366" i="1" s="1"/>
  <c r="H366" i="1"/>
  <c r="C653" i="1"/>
  <c r="D653" i="1" s="1"/>
  <c r="B654" i="1"/>
  <c r="I366" i="1" l="1"/>
  <c r="E367" i="1" s="1"/>
  <c r="C654" i="1"/>
  <c r="D654" i="1" s="1"/>
  <c r="B655" i="1"/>
  <c r="H367" i="1" l="1"/>
  <c r="F367" i="1"/>
  <c r="J367" i="1"/>
  <c r="G367" i="1" s="1"/>
  <c r="B656" i="1"/>
  <c r="C655" i="1"/>
  <c r="D655" i="1" s="1"/>
  <c r="I367" i="1" l="1"/>
  <c r="E368" i="1" s="1"/>
  <c r="H368" i="1" s="1"/>
  <c r="B657" i="1"/>
  <c r="C656" i="1"/>
  <c r="D656" i="1" s="1"/>
  <c r="F368" i="1" l="1"/>
  <c r="J368" i="1"/>
  <c r="G368" i="1" s="1"/>
  <c r="I368" i="1" s="1"/>
  <c r="E369" i="1" s="1"/>
  <c r="B658" i="1"/>
  <c r="C657" i="1"/>
  <c r="D657" i="1" s="1"/>
  <c r="H369" i="1" l="1"/>
  <c r="J369" i="1"/>
  <c r="G369" i="1" s="1"/>
  <c r="F369" i="1"/>
  <c r="C658" i="1"/>
  <c r="D658" i="1" s="1"/>
  <c r="B659" i="1"/>
  <c r="I369" i="1" l="1"/>
  <c r="E370" i="1" s="1"/>
  <c r="J370" i="1"/>
  <c r="G370" i="1" s="1"/>
  <c r="F370" i="1"/>
  <c r="H370" i="1"/>
  <c r="C659" i="1"/>
  <c r="D659" i="1" s="1"/>
  <c r="B660" i="1"/>
  <c r="I370" i="1" l="1"/>
  <c r="E371" i="1" s="1"/>
  <c r="C660" i="1"/>
  <c r="D660" i="1" s="1"/>
  <c r="B661" i="1"/>
  <c r="F371" i="1" l="1"/>
  <c r="H371" i="1"/>
  <c r="J371" i="1"/>
  <c r="G371" i="1" s="1"/>
  <c r="C661" i="1"/>
  <c r="D661" i="1" s="1"/>
  <c r="B662" i="1"/>
  <c r="I371" i="1" l="1"/>
  <c r="E372" i="1" s="1"/>
  <c r="B663" i="1"/>
  <c r="C662" i="1"/>
  <c r="D662" i="1" s="1"/>
  <c r="H372" i="1" l="1"/>
  <c r="J372" i="1"/>
  <c r="G372" i="1" s="1"/>
  <c r="F372" i="1"/>
  <c r="B664" i="1"/>
  <c r="C663" i="1"/>
  <c r="D663" i="1" s="1"/>
  <c r="I372" i="1" l="1"/>
  <c r="E373" i="1" s="1"/>
  <c r="H373" i="1"/>
  <c r="F373" i="1"/>
  <c r="J373" i="1"/>
  <c r="G373" i="1" s="1"/>
  <c r="C664" i="1"/>
  <c r="D664" i="1" s="1"/>
  <c r="B665" i="1"/>
  <c r="I373" i="1" l="1"/>
  <c r="E374" i="1" s="1"/>
  <c r="H374" i="1"/>
  <c r="F374" i="1"/>
  <c r="J374" i="1"/>
  <c r="G374" i="1" s="1"/>
  <c r="B666" i="1"/>
  <c r="C665" i="1"/>
  <c r="D665" i="1" s="1"/>
  <c r="I374" i="1" l="1"/>
  <c r="E375" i="1" s="1"/>
  <c r="C666" i="1"/>
  <c r="D666" i="1" s="1"/>
  <c r="B667" i="1"/>
  <c r="H375" i="1" l="1"/>
  <c r="J375" i="1"/>
  <c r="G375" i="1" s="1"/>
  <c r="F375" i="1"/>
  <c r="B668" i="1"/>
  <c r="C667" i="1"/>
  <c r="D667" i="1" s="1"/>
  <c r="I375" i="1" l="1"/>
  <c r="E376" i="1" s="1"/>
  <c r="H376" i="1"/>
  <c r="F376" i="1"/>
  <c r="J376" i="1"/>
  <c r="G376" i="1" s="1"/>
  <c r="B669" i="1"/>
  <c r="C668" i="1"/>
  <c r="D668" i="1" s="1"/>
  <c r="F5" i="2"/>
  <c r="O5" i="2" l="1"/>
  <c r="P5" i="2" s="1"/>
  <c r="Q5" i="2" s="1"/>
  <c r="L5" i="2" s="1"/>
  <c r="M5" i="2" s="1"/>
  <c r="I376" i="1"/>
  <c r="E377" i="1" s="1"/>
  <c r="J5" i="2"/>
  <c r="K5" i="2" s="1"/>
  <c r="H5" i="2"/>
  <c r="I5" i="2" s="1"/>
  <c r="H377" i="1"/>
  <c r="F377" i="1"/>
  <c r="J377" i="1"/>
  <c r="B670" i="1"/>
  <c r="C669" i="1"/>
  <c r="D669" i="1" s="1"/>
  <c r="G377" i="1" l="1"/>
  <c r="I377" i="1" s="1"/>
  <c r="E378" i="1" s="1"/>
  <c r="C670" i="1"/>
  <c r="D670" i="1" s="1"/>
  <c r="B671" i="1"/>
  <c r="H378" i="1" l="1"/>
  <c r="J378" i="1"/>
  <c r="G378" i="1" s="1"/>
  <c r="F378" i="1"/>
  <c r="C671" i="1"/>
  <c r="D671" i="1" s="1"/>
  <c r="B672" i="1"/>
  <c r="I378" i="1" l="1"/>
  <c r="E379" i="1" s="1"/>
  <c r="H379" i="1" s="1"/>
  <c r="C672" i="1"/>
  <c r="D672" i="1" s="1"/>
  <c r="B673" i="1"/>
  <c r="F379" i="1" l="1"/>
  <c r="I379" i="1" s="1"/>
  <c r="E380" i="1" s="1"/>
  <c r="J379" i="1"/>
  <c r="G379" i="1" s="1"/>
  <c r="B674" i="1"/>
  <c r="C673" i="1"/>
  <c r="D673" i="1" s="1"/>
  <c r="H380" i="1" l="1"/>
  <c r="J380" i="1"/>
  <c r="G380" i="1" s="1"/>
  <c r="F380" i="1"/>
  <c r="C674" i="1"/>
  <c r="D674" i="1" s="1"/>
  <c r="B675" i="1"/>
  <c r="I380" i="1" l="1"/>
  <c r="E381" i="1" s="1"/>
  <c r="B676" i="1"/>
  <c r="C675" i="1"/>
  <c r="D675" i="1" s="1"/>
  <c r="H381" i="1" l="1"/>
  <c r="F381" i="1"/>
  <c r="J381" i="1"/>
  <c r="G381" i="1" s="1"/>
  <c r="C676" i="1"/>
  <c r="D676" i="1" s="1"/>
  <c r="B677" i="1"/>
  <c r="I381" i="1" l="1"/>
  <c r="E382" i="1" s="1"/>
  <c r="B678" i="1"/>
  <c r="C677" i="1"/>
  <c r="D677" i="1" s="1"/>
  <c r="H382" i="1" l="1"/>
  <c r="F382" i="1"/>
  <c r="J382" i="1"/>
  <c r="G382" i="1" s="1"/>
  <c r="C678" i="1"/>
  <c r="D678" i="1" s="1"/>
  <c r="B679" i="1"/>
  <c r="I382" i="1" l="1"/>
  <c r="E383" i="1" s="1"/>
  <c r="C679" i="1"/>
  <c r="D679" i="1" s="1"/>
  <c r="B680" i="1"/>
  <c r="H383" i="1" l="1"/>
  <c r="F383" i="1"/>
  <c r="J383" i="1"/>
  <c r="G383" i="1" s="1"/>
  <c r="B681" i="1"/>
  <c r="C680" i="1"/>
  <c r="D680" i="1" s="1"/>
  <c r="I383" i="1" l="1"/>
  <c r="E384" i="1" s="1"/>
  <c r="C681" i="1"/>
  <c r="D681" i="1" s="1"/>
  <c r="B682" i="1"/>
  <c r="H384" i="1" l="1"/>
  <c r="F384" i="1"/>
  <c r="J384" i="1"/>
  <c r="G384" i="1" s="1"/>
  <c r="I384" i="1" s="1"/>
  <c r="E385" i="1" s="1"/>
  <c r="H385" i="1" s="1"/>
  <c r="J385" i="1"/>
  <c r="G385" i="1" s="1"/>
  <c r="F385" i="1"/>
  <c r="C682" i="1"/>
  <c r="D682" i="1" s="1"/>
  <c r="B683" i="1"/>
  <c r="I385" i="1" l="1"/>
  <c r="E386" i="1" s="1"/>
  <c r="J386" i="1"/>
  <c r="G386" i="1" s="1"/>
  <c r="H386" i="1"/>
  <c r="F386" i="1"/>
  <c r="B684" i="1"/>
  <c r="C683" i="1"/>
  <c r="D683" i="1" s="1"/>
  <c r="I386" i="1" l="1"/>
  <c r="E387" i="1" s="1"/>
  <c r="C684" i="1"/>
  <c r="D684" i="1" s="1"/>
  <c r="B685" i="1"/>
  <c r="H387" i="1" l="1"/>
  <c r="J387" i="1"/>
  <c r="G387" i="1" s="1"/>
  <c r="F387" i="1"/>
  <c r="B686" i="1"/>
  <c r="C685" i="1"/>
  <c r="D685" i="1" s="1"/>
  <c r="I387" i="1" l="1"/>
  <c r="E388" i="1" s="1"/>
  <c r="B687" i="1"/>
  <c r="C686" i="1"/>
  <c r="D686" i="1" s="1"/>
  <c r="J388" i="1" l="1"/>
  <c r="G388" i="1" s="1"/>
  <c r="F388" i="1"/>
  <c r="H388" i="1"/>
  <c r="B688" i="1"/>
  <c r="C687" i="1"/>
  <c r="D687" i="1" s="1"/>
  <c r="I388" i="1" l="1"/>
  <c r="E389" i="1" s="1"/>
  <c r="C688" i="1"/>
  <c r="D688" i="1" s="1"/>
  <c r="B689" i="1"/>
  <c r="F389" i="1" l="1"/>
  <c r="H389" i="1"/>
  <c r="J389" i="1"/>
  <c r="G389" i="1" s="1"/>
  <c r="C689" i="1"/>
  <c r="D689" i="1" s="1"/>
  <c r="B690" i="1"/>
  <c r="I389" i="1" l="1"/>
  <c r="E390" i="1" s="1"/>
  <c r="C690" i="1"/>
  <c r="D690" i="1" s="1"/>
  <c r="B691" i="1"/>
  <c r="J390" i="1" l="1"/>
  <c r="G390" i="1" s="1"/>
  <c r="H390" i="1"/>
  <c r="F390" i="1"/>
  <c r="C691" i="1"/>
  <c r="D691" i="1" s="1"/>
  <c r="B692" i="1"/>
  <c r="I390" i="1" l="1"/>
  <c r="E391" i="1" s="1"/>
  <c r="C692" i="1"/>
  <c r="D692" i="1" s="1"/>
  <c r="B693" i="1"/>
  <c r="J391" i="1" l="1"/>
  <c r="G391" i="1" s="1"/>
  <c r="F391" i="1"/>
  <c r="H391" i="1"/>
  <c r="B694" i="1"/>
  <c r="C693" i="1"/>
  <c r="D693" i="1" s="1"/>
  <c r="I391" i="1" l="1"/>
  <c r="E392" i="1" s="1"/>
  <c r="J392" i="1" s="1"/>
  <c r="G392" i="1" s="1"/>
  <c r="C694" i="1"/>
  <c r="D694" i="1" s="1"/>
  <c r="B695" i="1"/>
  <c r="F392" i="1" l="1"/>
  <c r="H392" i="1"/>
  <c r="I392" i="1" s="1"/>
  <c r="E393" i="1" s="1"/>
  <c r="C695" i="1"/>
  <c r="D695" i="1" s="1"/>
  <c r="B696" i="1"/>
  <c r="H393" i="1" l="1"/>
  <c r="J393" i="1"/>
  <c r="G393" i="1" s="1"/>
  <c r="F393" i="1"/>
  <c r="B697" i="1"/>
  <c r="C696" i="1"/>
  <c r="D696" i="1" s="1"/>
  <c r="I393" i="1" l="1"/>
  <c r="E394" i="1" s="1"/>
  <c r="C697" i="1"/>
  <c r="D697" i="1" s="1"/>
  <c r="B698" i="1"/>
  <c r="J394" i="1" l="1"/>
  <c r="G394" i="1" s="1"/>
  <c r="H394" i="1"/>
  <c r="F394" i="1"/>
  <c r="B699" i="1"/>
  <c r="C698" i="1"/>
  <c r="D698" i="1" s="1"/>
  <c r="I394" i="1" l="1"/>
  <c r="E395" i="1" s="1"/>
  <c r="B700" i="1"/>
  <c r="C699" i="1"/>
  <c r="D699" i="1" s="1"/>
  <c r="H395" i="1" l="1"/>
  <c r="J395" i="1"/>
  <c r="G395" i="1" s="1"/>
  <c r="F395" i="1"/>
  <c r="B701" i="1"/>
  <c r="C700" i="1"/>
  <c r="D700" i="1" s="1"/>
  <c r="I395" i="1" l="1"/>
  <c r="E396" i="1" s="1"/>
  <c r="H396" i="1" s="1"/>
  <c r="C701" i="1"/>
  <c r="D701" i="1" s="1"/>
  <c r="B702" i="1"/>
  <c r="F396" i="1" l="1"/>
  <c r="J396" i="1"/>
  <c r="G396" i="1" s="1"/>
  <c r="C702" i="1"/>
  <c r="D702" i="1" s="1"/>
  <c r="B703" i="1"/>
  <c r="I396" i="1" l="1"/>
  <c r="E397" i="1" s="1"/>
  <c r="J397" i="1" s="1"/>
  <c r="G397" i="1" s="1"/>
  <c r="B704" i="1"/>
  <c r="C703" i="1"/>
  <c r="D703" i="1" s="1"/>
  <c r="H397" i="1" l="1"/>
  <c r="F397" i="1"/>
  <c r="B705" i="1"/>
  <c r="C704" i="1"/>
  <c r="D704" i="1" s="1"/>
  <c r="I397" i="1" l="1"/>
  <c r="E398" i="1" s="1"/>
  <c r="F398" i="1" s="1"/>
  <c r="C705" i="1"/>
  <c r="D705" i="1" s="1"/>
  <c r="B706" i="1"/>
  <c r="J398" i="1" l="1"/>
  <c r="H398" i="1"/>
  <c r="C706" i="1"/>
  <c r="D706" i="1" s="1"/>
  <c r="B707" i="1"/>
  <c r="G398" i="1" l="1"/>
  <c r="I398" i="1" s="1"/>
  <c r="E399" i="1" s="1"/>
  <c r="B708" i="1"/>
  <c r="C707" i="1"/>
  <c r="D707" i="1" s="1"/>
  <c r="J399" i="1" l="1"/>
  <c r="G399" i="1" s="1"/>
  <c r="H399" i="1"/>
  <c r="F399" i="1"/>
  <c r="C708" i="1"/>
  <c r="D708" i="1" s="1"/>
  <c r="B709" i="1"/>
  <c r="I399" i="1" l="1"/>
  <c r="E400" i="1" s="1"/>
  <c r="B710" i="1"/>
  <c r="C709" i="1"/>
  <c r="D709" i="1" s="1"/>
  <c r="H400" i="1" l="1"/>
  <c r="J400" i="1"/>
  <c r="G400" i="1" s="1"/>
  <c r="F400" i="1"/>
  <c r="B711" i="1"/>
  <c r="C710" i="1"/>
  <c r="D710" i="1" s="1"/>
  <c r="I400" i="1" l="1"/>
  <c r="E401" i="1" s="1"/>
  <c r="C711" i="1"/>
  <c r="D711" i="1" s="1"/>
  <c r="B712" i="1"/>
  <c r="J401" i="1" l="1"/>
  <c r="G401" i="1" s="1"/>
  <c r="F401" i="1"/>
  <c r="H401" i="1"/>
  <c r="C712" i="1"/>
  <c r="D712" i="1" s="1"/>
  <c r="B713" i="1"/>
  <c r="I401" i="1" l="1"/>
  <c r="E402" i="1" s="1"/>
  <c r="B714" i="1"/>
  <c r="C713" i="1"/>
  <c r="D713" i="1" s="1"/>
  <c r="J402" i="1" l="1"/>
  <c r="G402" i="1" s="1"/>
  <c r="H402" i="1"/>
  <c r="F402" i="1"/>
  <c r="B715" i="1"/>
  <c r="C714" i="1"/>
  <c r="D714" i="1" s="1"/>
  <c r="I402" i="1" l="1"/>
  <c r="E403" i="1" s="1"/>
  <c r="B716" i="1"/>
  <c r="C715" i="1"/>
  <c r="D715" i="1" s="1"/>
  <c r="J403" i="1" l="1"/>
  <c r="G403" i="1" s="1"/>
  <c r="H403" i="1"/>
  <c r="F403" i="1"/>
  <c r="C716" i="1"/>
  <c r="D716" i="1" s="1"/>
  <c r="B717" i="1"/>
  <c r="I403" i="1" l="1"/>
  <c r="E404" i="1" s="1"/>
  <c r="C717" i="1"/>
  <c r="D717" i="1" s="1"/>
  <c r="B718" i="1"/>
  <c r="F404" i="1" l="1"/>
  <c r="H404" i="1"/>
  <c r="J404" i="1"/>
  <c r="G404" i="1" s="1"/>
  <c r="B719" i="1"/>
  <c r="C718" i="1"/>
  <c r="D718" i="1" s="1"/>
  <c r="I404" i="1" l="1"/>
  <c r="E405" i="1" s="1"/>
  <c r="B720" i="1"/>
  <c r="C719" i="1"/>
  <c r="D719" i="1" s="1"/>
  <c r="H405" i="1" l="1"/>
  <c r="J405" i="1"/>
  <c r="G405" i="1" s="1"/>
  <c r="F405" i="1"/>
  <c r="B721" i="1"/>
  <c r="C720" i="1"/>
  <c r="D720" i="1" s="1"/>
  <c r="I405" i="1" l="1"/>
  <c r="E406" i="1" s="1"/>
  <c r="H406" i="1"/>
  <c r="J406" i="1"/>
  <c r="G406" i="1" s="1"/>
  <c r="F406" i="1"/>
  <c r="C721" i="1"/>
  <c r="D721" i="1" s="1"/>
  <c r="B722" i="1"/>
  <c r="I406" i="1" l="1"/>
  <c r="E407" i="1" s="1"/>
  <c r="F407" i="1" s="1"/>
  <c r="B723" i="1"/>
  <c r="C722" i="1"/>
  <c r="D722" i="1" s="1"/>
  <c r="H407" i="1" l="1"/>
  <c r="J407" i="1"/>
  <c r="G407" i="1" s="1"/>
  <c r="C723" i="1"/>
  <c r="D723" i="1" s="1"/>
  <c r="B724" i="1"/>
  <c r="I407" i="1" l="1"/>
  <c r="E408" i="1" s="1"/>
  <c r="C724" i="1"/>
  <c r="D724" i="1" s="1"/>
  <c r="B725" i="1"/>
  <c r="J408" i="1" l="1"/>
  <c r="G408" i="1" s="1"/>
  <c r="F408" i="1"/>
  <c r="H408" i="1"/>
  <c r="I408" i="1" s="1"/>
  <c r="E409" i="1" s="1"/>
  <c r="J409" i="1" s="1"/>
  <c r="G409" i="1" s="1"/>
  <c r="C725" i="1"/>
  <c r="D725" i="1" s="1"/>
  <c r="B726" i="1"/>
  <c r="F409" i="1" l="1"/>
  <c r="H409" i="1"/>
  <c r="I409" i="1" s="1"/>
  <c r="E410" i="1" s="1"/>
  <c r="C726" i="1"/>
  <c r="D726" i="1" s="1"/>
  <c r="B727" i="1"/>
  <c r="H410" i="1" l="1"/>
  <c r="F410" i="1"/>
  <c r="J410" i="1"/>
  <c r="G410" i="1" s="1"/>
  <c r="B728" i="1"/>
  <c r="C727" i="1"/>
  <c r="D727" i="1" s="1"/>
  <c r="I410" i="1" l="1"/>
  <c r="E411" i="1" s="1"/>
  <c r="C728" i="1"/>
  <c r="D728" i="1" s="1"/>
  <c r="B729" i="1"/>
  <c r="J411" i="1" l="1"/>
  <c r="G411" i="1" s="1"/>
  <c r="H411" i="1"/>
  <c r="F411" i="1"/>
  <c r="B730" i="1"/>
  <c r="C729" i="1"/>
  <c r="D729" i="1" s="1"/>
  <c r="I411" i="1" l="1"/>
  <c r="E412" i="1" s="1"/>
  <c r="B731" i="1"/>
  <c r="C730" i="1"/>
  <c r="D730" i="1" s="1"/>
  <c r="J412" i="1" l="1"/>
  <c r="G412" i="1" s="1"/>
  <c r="F412" i="1"/>
  <c r="H412" i="1"/>
  <c r="I412" i="1" s="1"/>
  <c r="E413" i="1" s="1"/>
  <c r="J413" i="1" s="1"/>
  <c r="G413" i="1" s="1"/>
  <c r="C731" i="1"/>
  <c r="D731" i="1" s="1"/>
  <c r="B732" i="1"/>
  <c r="H413" i="1" l="1"/>
  <c r="F413" i="1"/>
  <c r="I413" i="1"/>
  <c r="E414" i="1" s="1"/>
  <c r="C732" i="1"/>
  <c r="D732" i="1" s="1"/>
  <c r="B733" i="1"/>
  <c r="J414" i="1" l="1"/>
  <c r="G414" i="1" s="1"/>
  <c r="F414" i="1"/>
  <c r="H414" i="1"/>
  <c r="B734" i="1"/>
  <c r="C733" i="1"/>
  <c r="D733" i="1" s="1"/>
  <c r="I414" i="1" l="1"/>
  <c r="E415" i="1" s="1"/>
  <c r="C734" i="1"/>
  <c r="D734" i="1" s="1"/>
  <c r="B735" i="1"/>
  <c r="J415" i="1" l="1"/>
  <c r="G415" i="1" s="1"/>
  <c r="F415" i="1"/>
  <c r="H415" i="1"/>
  <c r="C735" i="1"/>
  <c r="D735" i="1" s="1"/>
  <c r="B736" i="1"/>
  <c r="I415" i="1" l="1"/>
  <c r="E416" i="1" s="1"/>
  <c r="H416" i="1" s="1"/>
  <c r="F416" i="1"/>
  <c r="J416" i="1"/>
  <c r="G416" i="1" s="1"/>
  <c r="C736" i="1"/>
  <c r="D736" i="1" s="1"/>
  <c r="B737" i="1"/>
  <c r="I416" i="1" l="1"/>
  <c r="E417" i="1" s="1"/>
  <c r="C737" i="1"/>
  <c r="D737" i="1" s="1"/>
  <c r="B738" i="1"/>
  <c r="H417" i="1" l="1"/>
  <c r="F417" i="1"/>
  <c r="J417" i="1"/>
  <c r="G417" i="1" s="1"/>
  <c r="C738" i="1"/>
  <c r="D738" i="1" s="1"/>
  <c r="B739" i="1"/>
  <c r="I417" i="1" l="1"/>
  <c r="E418" i="1" s="1"/>
  <c r="C739" i="1"/>
  <c r="D739" i="1" s="1"/>
  <c r="B740" i="1"/>
  <c r="H418" i="1" l="1"/>
  <c r="J418" i="1"/>
  <c r="G418" i="1" s="1"/>
  <c r="F418" i="1"/>
  <c r="B741" i="1"/>
  <c r="C740" i="1"/>
  <c r="D740" i="1" s="1"/>
  <c r="I418" i="1" l="1"/>
  <c r="E419" i="1" s="1"/>
  <c r="J419" i="1" s="1"/>
  <c r="G419" i="1" s="1"/>
  <c r="B742" i="1"/>
  <c r="C741" i="1"/>
  <c r="D741" i="1" s="1"/>
  <c r="H419" i="1" l="1"/>
  <c r="F419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743" i="1"/>
  <c r="D743" i="1" s="1"/>
  <c r="B744" i="1"/>
  <c r="F421" i="1" l="1"/>
  <c r="H421" i="1"/>
  <c r="J421" i="1"/>
  <c r="G421" i="1" s="1"/>
  <c r="C744" i="1"/>
  <c r="D744" i="1" s="1"/>
  <c r="B745" i="1"/>
  <c r="I421" i="1" l="1"/>
  <c r="E422" i="1" s="1"/>
  <c r="B746" i="1"/>
  <c r="C745" i="1"/>
  <c r="D745" i="1" s="1"/>
  <c r="H422" i="1" l="1"/>
  <c r="J422" i="1"/>
  <c r="G422" i="1" s="1"/>
  <c r="F422" i="1"/>
  <c r="B747" i="1"/>
  <c r="C746" i="1"/>
  <c r="D746" i="1" s="1"/>
  <c r="I422" i="1" l="1"/>
  <c r="E423" i="1" s="1"/>
  <c r="B748" i="1"/>
  <c r="C747" i="1"/>
  <c r="D747" i="1" s="1"/>
  <c r="J423" i="1" l="1"/>
  <c r="G423" i="1" s="1"/>
  <c r="H423" i="1"/>
  <c r="F423" i="1"/>
  <c r="B749" i="1"/>
  <c r="C748" i="1"/>
  <c r="D748" i="1" s="1"/>
  <c r="I423" i="1" l="1"/>
  <c r="E424" i="1" s="1"/>
  <c r="H424" i="1" s="1"/>
  <c r="C749" i="1"/>
  <c r="D749" i="1" s="1"/>
  <c r="B750" i="1"/>
  <c r="F424" i="1" l="1"/>
  <c r="J424" i="1"/>
  <c r="G424" i="1" s="1"/>
  <c r="I424" i="1" s="1"/>
  <c r="E425" i="1" s="1"/>
  <c r="B751" i="1"/>
  <c r="C750" i="1"/>
  <c r="D750" i="1" s="1"/>
  <c r="H425" i="1" l="1"/>
  <c r="F425" i="1"/>
  <c r="J425" i="1"/>
  <c r="G425" i="1" s="1"/>
  <c r="C751" i="1"/>
  <c r="D751" i="1" s="1"/>
  <c r="B752" i="1"/>
  <c r="I425" i="1" l="1"/>
  <c r="E426" i="1" s="1"/>
  <c r="C752" i="1"/>
  <c r="D752" i="1" s="1"/>
  <c r="B753" i="1"/>
  <c r="H426" i="1" l="1"/>
  <c r="J426" i="1"/>
  <c r="G426" i="1" s="1"/>
  <c r="F426" i="1"/>
  <c r="C753" i="1"/>
  <c r="D753" i="1" s="1"/>
  <c r="B754" i="1"/>
  <c r="C754" i="1" l="1"/>
  <c r="D754" i="1" s="1"/>
  <c r="B755" i="1"/>
  <c r="I426" i="1"/>
  <c r="E427" i="1" s="1"/>
  <c r="B756" i="1" l="1"/>
  <c r="C755" i="1"/>
  <c r="D755" i="1" s="1"/>
  <c r="J427" i="1"/>
  <c r="G427" i="1" s="1"/>
  <c r="H427" i="1"/>
  <c r="F427" i="1"/>
  <c r="C756" i="1" l="1"/>
  <c r="D756" i="1" s="1"/>
  <c r="B757" i="1"/>
  <c r="I427" i="1"/>
  <c r="E428" i="1" s="1"/>
  <c r="B758" i="1" l="1"/>
  <c r="C757" i="1"/>
  <c r="D757" i="1" s="1"/>
  <c r="J428" i="1"/>
  <c r="G428" i="1" s="1"/>
  <c r="H428" i="1"/>
  <c r="F428" i="1"/>
  <c r="B759" i="1" l="1"/>
  <c r="C758" i="1"/>
  <c r="D758" i="1" s="1"/>
  <c r="I428" i="1"/>
  <c r="E429" i="1" s="1"/>
  <c r="H429" i="1" s="1"/>
  <c r="B760" i="1" l="1"/>
  <c r="C759" i="1"/>
  <c r="D759" i="1" s="1"/>
  <c r="F429" i="1"/>
  <c r="I429" i="1" s="1"/>
  <c r="E430" i="1" s="1"/>
  <c r="J429" i="1"/>
  <c r="G429" i="1" s="1"/>
  <c r="C760" i="1" l="1"/>
  <c r="D760" i="1" s="1"/>
  <c r="B761" i="1"/>
  <c r="J430" i="1"/>
  <c r="G430" i="1" s="1"/>
  <c r="F430" i="1"/>
  <c r="H430" i="1"/>
  <c r="C761" i="1" l="1"/>
  <c r="D761" i="1" s="1"/>
  <c r="B762" i="1"/>
  <c r="I430" i="1"/>
  <c r="E431" i="1" s="1"/>
  <c r="B763" i="1" l="1"/>
  <c r="C762" i="1"/>
  <c r="D762" i="1" s="1"/>
  <c r="J431" i="1"/>
  <c r="G431" i="1" s="1"/>
  <c r="H431" i="1"/>
  <c r="F431" i="1"/>
  <c r="C763" i="1" l="1"/>
  <c r="D763" i="1" s="1"/>
  <c r="B764" i="1"/>
  <c r="I431" i="1"/>
  <c r="E432" i="1" s="1"/>
  <c r="J432" i="1" s="1"/>
  <c r="G432" i="1" s="1"/>
  <c r="C764" i="1" l="1"/>
  <c r="D764" i="1" s="1"/>
  <c r="B765" i="1"/>
  <c r="F432" i="1"/>
  <c r="H432" i="1"/>
  <c r="I432" i="1" s="1"/>
  <c r="E433" i="1" s="1"/>
  <c r="J433" i="1" s="1"/>
  <c r="G433" i="1" s="1"/>
  <c r="B766" i="1" l="1"/>
  <c r="C765" i="1"/>
  <c r="D765" i="1" s="1"/>
  <c r="F433" i="1"/>
  <c r="H433" i="1"/>
  <c r="I433" i="1" s="1"/>
  <c r="E434" i="1" s="1"/>
  <c r="C766" i="1" l="1"/>
  <c r="D766" i="1" s="1"/>
  <c r="B767" i="1"/>
  <c r="J434" i="1"/>
  <c r="G434" i="1" s="1"/>
  <c r="F434" i="1"/>
  <c r="H434" i="1"/>
  <c r="C767" i="1" l="1"/>
  <c r="D767" i="1" s="1"/>
  <c r="B768" i="1"/>
  <c r="I434" i="1"/>
  <c r="E435" i="1" s="1"/>
  <c r="C768" i="1" l="1"/>
  <c r="D768" i="1" s="1"/>
  <c r="B769" i="1"/>
  <c r="F435" i="1"/>
  <c r="H435" i="1"/>
  <c r="J435" i="1"/>
  <c r="G435" i="1" s="1"/>
  <c r="B770" i="1" l="1"/>
  <c r="C769" i="1"/>
  <c r="D769" i="1" s="1"/>
  <c r="I435" i="1"/>
  <c r="E436" i="1" s="1"/>
  <c r="B771" i="1" l="1"/>
  <c r="C770" i="1"/>
  <c r="D770" i="1" s="1"/>
  <c r="H436" i="1"/>
  <c r="J436" i="1"/>
  <c r="G436" i="1" s="1"/>
  <c r="F436" i="1"/>
  <c r="B772" i="1" l="1"/>
  <c r="C771" i="1"/>
  <c r="D771" i="1" s="1"/>
  <c r="I436" i="1"/>
  <c r="E437" i="1" s="1"/>
  <c r="B773" i="1" l="1"/>
  <c r="C772" i="1"/>
  <c r="D772" i="1" s="1"/>
  <c r="H437" i="1"/>
  <c r="F437" i="1"/>
  <c r="J437" i="1"/>
  <c r="G437" i="1" s="1"/>
  <c r="C773" i="1" l="1"/>
  <c r="D773" i="1" s="1"/>
  <c r="B774" i="1"/>
  <c r="I437" i="1"/>
  <c r="E438" i="1" s="1"/>
  <c r="C774" i="1" l="1"/>
  <c r="D774" i="1" s="1"/>
  <c r="B775" i="1"/>
  <c r="J438" i="1"/>
  <c r="G438" i="1" s="1"/>
  <c r="H438" i="1"/>
  <c r="F438" i="1"/>
  <c r="B776" i="1" l="1"/>
  <c r="C775" i="1"/>
  <c r="D775" i="1" s="1"/>
  <c r="I438" i="1"/>
  <c r="E439" i="1" s="1"/>
  <c r="C776" i="1" l="1"/>
  <c r="D776" i="1" s="1"/>
  <c r="B777" i="1"/>
  <c r="J439" i="1"/>
  <c r="G439" i="1" s="1"/>
  <c r="H439" i="1"/>
  <c r="F439" i="1"/>
  <c r="C777" i="1" l="1"/>
  <c r="D777" i="1" s="1"/>
  <c r="B778" i="1"/>
  <c r="I439" i="1"/>
  <c r="E440" i="1" s="1"/>
  <c r="B779" i="1" l="1"/>
  <c r="C778" i="1"/>
  <c r="D778" i="1" s="1"/>
  <c r="H440" i="1"/>
  <c r="J440" i="1"/>
  <c r="G440" i="1" s="1"/>
  <c r="F440" i="1"/>
  <c r="B780" i="1" l="1"/>
  <c r="C779" i="1"/>
  <c r="D779" i="1" s="1"/>
  <c r="I440" i="1"/>
  <c r="E441" i="1" s="1"/>
  <c r="B781" i="1" l="1"/>
  <c r="C780" i="1"/>
  <c r="D780" i="1" s="1"/>
  <c r="H441" i="1"/>
  <c r="J441" i="1"/>
  <c r="G441" i="1" s="1"/>
  <c r="F441" i="1"/>
  <c r="C781" i="1" l="1"/>
  <c r="D781" i="1" s="1"/>
  <c r="B782" i="1"/>
  <c r="I441" i="1"/>
  <c r="E442" i="1" s="1"/>
  <c r="C782" i="1" l="1"/>
  <c r="D782" i="1" s="1"/>
  <c r="B783" i="1"/>
  <c r="F442" i="1"/>
  <c r="H442" i="1"/>
  <c r="J442" i="1"/>
  <c r="G442" i="1" s="1"/>
  <c r="C783" i="1" l="1"/>
  <c r="D783" i="1" s="1"/>
  <c r="B784" i="1"/>
  <c r="I442" i="1"/>
  <c r="E443" i="1" s="1"/>
  <c r="C784" i="1" l="1"/>
  <c r="D784" i="1" s="1"/>
  <c r="B785" i="1"/>
  <c r="H443" i="1"/>
  <c r="J443" i="1"/>
  <c r="G443" i="1" s="1"/>
  <c r="F443" i="1"/>
  <c r="C785" i="1" l="1"/>
  <c r="D785" i="1" s="1"/>
  <c r="B786" i="1"/>
  <c r="I443" i="1"/>
  <c r="E444" i="1" s="1"/>
  <c r="B787" i="1" l="1"/>
  <c r="C786" i="1"/>
  <c r="D786" i="1" s="1"/>
  <c r="H444" i="1"/>
  <c r="J444" i="1"/>
  <c r="G444" i="1" s="1"/>
  <c r="F444" i="1"/>
  <c r="C787" i="1" l="1"/>
  <c r="D787" i="1" s="1"/>
  <c r="B788" i="1"/>
  <c r="I444" i="1"/>
  <c r="E445" i="1" s="1"/>
  <c r="B789" i="1" l="1"/>
  <c r="C788" i="1"/>
  <c r="D788" i="1" s="1"/>
  <c r="F445" i="1"/>
  <c r="H445" i="1"/>
  <c r="J445" i="1"/>
  <c r="G445" i="1" s="1"/>
  <c r="C789" i="1" l="1"/>
  <c r="D789" i="1" s="1"/>
  <c r="B790" i="1"/>
  <c r="I445" i="1"/>
  <c r="E446" i="1" s="1"/>
  <c r="C790" i="1" l="1"/>
  <c r="D790" i="1" s="1"/>
  <c r="B791" i="1"/>
  <c r="J446" i="1"/>
  <c r="G446" i="1" s="1"/>
  <c r="H446" i="1"/>
  <c r="F446" i="1"/>
  <c r="C791" i="1" l="1"/>
  <c r="D791" i="1" s="1"/>
  <c r="B792" i="1"/>
  <c r="I446" i="1"/>
  <c r="E447" i="1" s="1"/>
  <c r="C792" i="1" l="1"/>
  <c r="D792" i="1" s="1"/>
  <c r="B793" i="1"/>
  <c r="H447" i="1"/>
  <c r="J447" i="1"/>
  <c r="G447" i="1" s="1"/>
  <c r="F447" i="1"/>
  <c r="B794" i="1" l="1"/>
  <c r="C793" i="1"/>
  <c r="D793" i="1" s="1"/>
  <c r="I447" i="1"/>
  <c r="E448" i="1" s="1"/>
  <c r="C794" i="1" l="1"/>
  <c r="D794" i="1" s="1"/>
  <c r="B795" i="1"/>
  <c r="H448" i="1"/>
  <c r="J448" i="1"/>
  <c r="G448" i="1" s="1"/>
  <c r="F448" i="1"/>
  <c r="B796" i="1" l="1"/>
  <c r="C795" i="1"/>
  <c r="D795" i="1" s="1"/>
  <c r="I448" i="1"/>
  <c r="E449" i="1" s="1"/>
  <c r="B797" i="1" l="1"/>
  <c r="C796" i="1"/>
  <c r="D796" i="1" s="1"/>
  <c r="J449" i="1"/>
  <c r="G449" i="1" s="1"/>
  <c r="H449" i="1"/>
  <c r="F449" i="1"/>
  <c r="B798" i="1" l="1"/>
  <c r="C797" i="1"/>
  <c r="D797" i="1" s="1"/>
  <c r="I449" i="1"/>
  <c r="E450" i="1" s="1"/>
  <c r="B799" i="1" l="1"/>
  <c r="C798" i="1"/>
  <c r="D798" i="1" s="1"/>
  <c r="H450" i="1"/>
  <c r="F450" i="1"/>
  <c r="J450" i="1"/>
  <c r="G450" i="1" s="1"/>
  <c r="B800" i="1" l="1"/>
  <c r="C799" i="1"/>
  <c r="D799" i="1" s="1"/>
  <c r="I450" i="1"/>
  <c r="E451" i="1" s="1"/>
  <c r="B801" i="1" l="1"/>
  <c r="C800" i="1"/>
  <c r="D800" i="1" s="1"/>
  <c r="H451" i="1"/>
  <c r="F451" i="1"/>
  <c r="J451" i="1"/>
  <c r="G451" i="1" s="1"/>
  <c r="C801" i="1" l="1"/>
  <c r="D801" i="1" s="1"/>
  <c r="B802" i="1"/>
  <c r="I451" i="1"/>
  <c r="E452" i="1" s="1"/>
  <c r="C802" i="1" l="1"/>
  <c r="D802" i="1" s="1"/>
  <c r="B803" i="1"/>
  <c r="H452" i="1"/>
  <c r="J452" i="1"/>
  <c r="G452" i="1" s="1"/>
  <c r="F452" i="1"/>
  <c r="B804" i="1" l="1"/>
  <c r="C803" i="1"/>
  <c r="D803" i="1" s="1"/>
  <c r="I452" i="1"/>
  <c r="E453" i="1" s="1"/>
  <c r="B805" i="1" l="1"/>
  <c r="C804" i="1"/>
  <c r="D804" i="1" s="1"/>
  <c r="H453" i="1"/>
  <c r="J453" i="1"/>
  <c r="G453" i="1" s="1"/>
  <c r="F453" i="1"/>
  <c r="B806" i="1" l="1"/>
  <c r="C805" i="1"/>
  <c r="D805" i="1" s="1"/>
  <c r="I453" i="1"/>
  <c r="E454" i="1" s="1"/>
  <c r="B807" i="1" l="1"/>
  <c r="C806" i="1"/>
  <c r="D806" i="1" s="1"/>
  <c r="J454" i="1"/>
  <c r="G454" i="1" s="1"/>
  <c r="H454" i="1"/>
  <c r="F454" i="1"/>
  <c r="C807" i="1" l="1"/>
  <c r="D807" i="1" s="1"/>
  <c r="B808" i="1"/>
  <c r="I454" i="1"/>
  <c r="E455" i="1" s="1"/>
  <c r="C808" i="1" l="1"/>
  <c r="D808" i="1" s="1"/>
  <c r="B809" i="1"/>
  <c r="H455" i="1"/>
  <c r="J455" i="1"/>
  <c r="G455" i="1" s="1"/>
  <c r="F455" i="1"/>
  <c r="C809" i="1" l="1"/>
  <c r="D809" i="1" s="1"/>
  <c r="B810" i="1"/>
  <c r="I455" i="1"/>
  <c r="E456" i="1" s="1"/>
  <c r="B811" i="1" l="1"/>
  <c r="C810" i="1"/>
  <c r="D810" i="1" s="1"/>
  <c r="F456" i="1"/>
  <c r="J456" i="1"/>
  <c r="G456" i="1" s="1"/>
  <c r="H456" i="1"/>
  <c r="C811" i="1" l="1"/>
  <c r="D811" i="1" s="1"/>
  <c r="B812" i="1"/>
  <c r="I456" i="1"/>
  <c r="E457" i="1" s="1"/>
  <c r="B813" i="1" l="1"/>
  <c r="C812" i="1"/>
  <c r="D812" i="1" s="1"/>
  <c r="H457" i="1"/>
  <c r="F457" i="1"/>
  <c r="J457" i="1"/>
  <c r="G457" i="1" s="1"/>
  <c r="C813" i="1" l="1"/>
  <c r="D813" i="1" s="1"/>
  <c r="B814" i="1"/>
  <c r="I457" i="1"/>
  <c r="E458" i="1" s="1"/>
  <c r="C814" i="1" l="1"/>
  <c r="D814" i="1" s="1"/>
  <c r="B815" i="1"/>
  <c r="J458" i="1"/>
  <c r="G458" i="1" s="1"/>
  <c r="H458" i="1"/>
  <c r="F458" i="1"/>
  <c r="C815" i="1" l="1"/>
  <c r="D815" i="1" s="1"/>
  <c r="B816" i="1"/>
  <c r="I458" i="1"/>
  <c r="E459" i="1" s="1"/>
  <c r="C816" i="1" l="1"/>
  <c r="D816" i="1" s="1"/>
  <c r="B817" i="1"/>
  <c r="H459" i="1"/>
  <c r="J459" i="1"/>
  <c r="G459" i="1" s="1"/>
  <c r="F459" i="1"/>
  <c r="C817" i="1" l="1"/>
  <c r="D817" i="1" s="1"/>
  <c r="B818" i="1"/>
  <c r="I459" i="1"/>
  <c r="E460" i="1" s="1"/>
  <c r="B819" i="1" l="1"/>
  <c r="C818" i="1"/>
  <c r="D818" i="1" s="1"/>
  <c r="H460" i="1"/>
  <c r="J460" i="1"/>
  <c r="G460" i="1" s="1"/>
  <c r="F460" i="1"/>
  <c r="C819" i="1" l="1"/>
  <c r="D819" i="1" s="1"/>
  <c r="B820" i="1"/>
  <c r="I460" i="1"/>
  <c r="E461" i="1" s="1"/>
  <c r="B821" i="1" l="1"/>
  <c r="C820" i="1"/>
  <c r="D820" i="1" s="1"/>
  <c r="H461" i="1"/>
  <c r="J461" i="1"/>
  <c r="G461" i="1" s="1"/>
  <c r="F461" i="1"/>
  <c r="B822" i="1" l="1"/>
  <c r="C821" i="1"/>
  <c r="D821" i="1" s="1"/>
  <c r="I461" i="1"/>
  <c r="E462" i="1" s="1"/>
  <c r="B823" i="1" l="1"/>
  <c r="C822" i="1"/>
  <c r="D822" i="1" s="1"/>
  <c r="H462" i="1"/>
  <c r="F462" i="1"/>
  <c r="J462" i="1"/>
  <c r="G462" i="1" s="1"/>
  <c r="B824" i="1" l="1"/>
  <c r="C823" i="1"/>
  <c r="D823" i="1" s="1"/>
  <c r="I462" i="1"/>
  <c r="E463" i="1" s="1"/>
  <c r="C824" i="1" l="1"/>
  <c r="D824" i="1" s="1"/>
  <c r="B825" i="1"/>
  <c r="J463" i="1"/>
  <c r="G463" i="1" s="1"/>
  <c r="H463" i="1"/>
  <c r="F463" i="1"/>
  <c r="C825" i="1" l="1"/>
  <c r="D825" i="1" s="1"/>
  <c r="B826" i="1"/>
  <c r="I463" i="1"/>
  <c r="E464" i="1" s="1"/>
  <c r="C826" i="1" l="1"/>
  <c r="D826" i="1" s="1"/>
  <c r="B827" i="1"/>
  <c r="J464" i="1"/>
  <c r="G464" i="1" s="1"/>
  <c r="H464" i="1"/>
  <c r="F464" i="1"/>
  <c r="B828" i="1" l="1"/>
  <c r="C827" i="1"/>
  <c r="D827" i="1" s="1"/>
  <c r="I464" i="1"/>
  <c r="E465" i="1" s="1"/>
  <c r="C828" i="1" l="1"/>
  <c r="D828" i="1" s="1"/>
  <c r="B829" i="1"/>
  <c r="J465" i="1"/>
  <c r="G465" i="1" s="1"/>
  <c r="H465" i="1"/>
  <c r="F465" i="1"/>
  <c r="B830" i="1" l="1"/>
  <c r="C829" i="1"/>
  <c r="D829" i="1" s="1"/>
  <c r="I465" i="1"/>
  <c r="E466" i="1" s="1"/>
  <c r="B831" i="1" l="1"/>
  <c r="C830" i="1"/>
  <c r="D830" i="1" s="1"/>
  <c r="J466" i="1"/>
  <c r="G466" i="1" s="1"/>
  <c r="H466" i="1"/>
  <c r="F466" i="1"/>
  <c r="B832" i="1" l="1"/>
  <c r="C831" i="1"/>
  <c r="D831" i="1" s="1"/>
  <c r="I466" i="1"/>
  <c r="E467" i="1" s="1"/>
  <c r="B833" i="1" l="1"/>
  <c r="C832" i="1"/>
  <c r="D832" i="1" s="1"/>
  <c r="H467" i="1"/>
  <c r="J467" i="1"/>
  <c r="G467" i="1" s="1"/>
  <c r="F467" i="1"/>
  <c r="B834" i="1" l="1"/>
  <c r="C833" i="1"/>
  <c r="D833" i="1" s="1"/>
  <c r="I467" i="1"/>
  <c r="E468" i="1" s="1"/>
  <c r="H468" i="1" s="1"/>
  <c r="C834" i="1" l="1"/>
  <c r="D834" i="1" s="1"/>
  <c r="B835" i="1"/>
  <c r="F468" i="1"/>
  <c r="J468" i="1"/>
  <c r="G468" i="1" s="1"/>
  <c r="I468" i="1" s="1"/>
  <c r="E469" i="1" s="1"/>
  <c r="J469" i="1" s="1"/>
  <c r="G469" i="1" s="1"/>
  <c r="C835" i="1" l="1"/>
  <c r="D835" i="1" s="1"/>
  <c r="B836" i="1"/>
  <c r="H469" i="1"/>
  <c r="I469" i="1" s="1"/>
  <c r="E470" i="1" s="1"/>
  <c r="F469" i="1"/>
  <c r="B837" i="1" l="1"/>
  <c r="C836" i="1"/>
  <c r="D836" i="1" s="1"/>
  <c r="H470" i="1"/>
  <c r="J470" i="1"/>
  <c r="G470" i="1" s="1"/>
  <c r="F470" i="1"/>
  <c r="C837" i="1" l="1"/>
  <c r="D837" i="1" s="1"/>
  <c r="B838" i="1"/>
  <c r="I470" i="1"/>
  <c r="E471" i="1" s="1"/>
  <c r="C838" i="1" l="1"/>
  <c r="D838" i="1" s="1"/>
  <c r="B839" i="1"/>
  <c r="H471" i="1"/>
  <c r="F471" i="1"/>
  <c r="J471" i="1"/>
  <c r="G471" i="1" s="1"/>
  <c r="B840" i="1" l="1"/>
  <c r="C839" i="1"/>
  <c r="D839" i="1" s="1"/>
  <c r="I471" i="1"/>
  <c r="E472" i="1" s="1"/>
  <c r="B841" i="1" l="1"/>
  <c r="C840" i="1"/>
  <c r="D840" i="1" s="1"/>
  <c r="J472" i="1"/>
  <c r="G472" i="1" s="1"/>
  <c r="H472" i="1"/>
  <c r="F472" i="1"/>
  <c r="B842" i="1" l="1"/>
  <c r="C841" i="1"/>
  <c r="D841" i="1" s="1"/>
  <c r="I472" i="1"/>
  <c r="E473" i="1" s="1"/>
  <c r="C842" i="1" l="1"/>
  <c r="D842" i="1" s="1"/>
  <c r="B843" i="1"/>
  <c r="J473" i="1"/>
  <c r="G473" i="1" s="1"/>
  <c r="F473" i="1"/>
  <c r="H473" i="1"/>
  <c r="B844" i="1" l="1"/>
  <c r="C843" i="1"/>
  <c r="D843" i="1" s="1"/>
  <c r="I473" i="1"/>
  <c r="E474" i="1" s="1"/>
  <c r="C844" i="1" l="1"/>
  <c r="D844" i="1" s="1"/>
  <c r="B845" i="1"/>
  <c r="H474" i="1"/>
  <c r="J474" i="1"/>
  <c r="G474" i="1" s="1"/>
  <c r="F474" i="1"/>
  <c r="B846" i="1" l="1"/>
  <c r="C845" i="1"/>
  <c r="D845" i="1" s="1"/>
  <c r="I474" i="1"/>
  <c r="E475" i="1" s="1"/>
  <c r="C846" i="1" l="1"/>
  <c r="D846" i="1" s="1"/>
  <c r="B847" i="1"/>
  <c r="J475" i="1"/>
  <c r="G475" i="1" s="1"/>
  <c r="F475" i="1"/>
  <c r="H475" i="1"/>
  <c r="B848" i="1" l="1"/>
  <c r="C847" i="1"/>
  <c r="D847" i="1" s="1"/>
  <c r="I475" i="1"/>
  <c r="E476" i="1" s="1"/>
  <c r="C848" i="1" l="1"/>
  <c r="D848" i="1" s="1"/>
  <c r="B849" i="1"/>
  <c r="J476" i="1"/>
  <c r="G476" i="1" s="1"/>
  <c r="H476" i="1"/>
  <c r="F476" i="1"/>
  <c r="B850" i="1" l="1"/>
  <c r="C849" i="1"/>
  <c r="D849" i="1" s="1"/>
  <c r="I476" i="1"/>
  <c r="E477" i="1" s="1"/>
  <c r="B851" i="1" l="1"/>
  <c r="C850" i="1"/>
  <c r="D850" i="1" s="1"/>
  <c r="H477" i="1"/>
  <c r="J477" i="1"/>
  <c r="G477" i="1" s="1"/>
  <c r="F477" i="1"/>
  <c r="B852" i="1" l="1"/>
  <c r="C851" i="1"/>
  <c r="D851" i="1" s="1"/>
  <c r="I477" i="1"/>
  <c r="E478" i="1" s="1"/>
  <c r="B853" i="1" l="1"/>
  <c r="C852" i="1"/>
  <c r="D852" i="1" s="1"/>
  <c r="J478" i="1"/>
  <c r="G478" i="1" s="1"/>
  <c r="F478" i="1"/>
  <c r="H478" i="1"/>
  <c r="B854" i="1" l="1"/>
  <c r="C853" i="1"/>
  <c r="D853" i="1" s="1"/>
  <c r="I478" i="1"/>
  <c r="E479" i="1" s="1"/>
  <c r="C854" i="1" l="1"/>
  <c r="D854" i="1" s="1"/>
  <c r="B855" i="1"/>
  <c r="J479" i="1"/>
  <c r="G479" i="1" s="1"/>
  <c r="H479" i="1"/>
  <c r="F479" i="1"/>
  <c r="C855" i="1" l="1"/>
  <c r="D855" i="1" s="1"/>
  <c r="B856" i="1"/>
  <c r="I479" i="1"/>
  <c r="E480" i="1" s="1"/>
  <c r="H480" i="1" s="1"/>
  <c r="C856" i="1" l="1"/>
  <c r="D856" i="1" s="1"/>
  <c r="B857" i="1"/>
  <c r="F480" i="1"/>
  <c r="J480" i="1"/>
  <c r="G480" i="1" s="1"/>
  <c r="I480" i="1" s="1"/>
  <c r="E481" i="1" s="1"/>
  <c r="C857" i="1" l="1"/>
  <c r="D857" i="1" s="1"/>
  <c r="B858" i="1"/>
  <c r="J481" i="1"/>
  <c r="G481" i="1" s="1"/>
  <c r="F481" i="1"/>
  <c r="H481" i="1"/>
  <c r="C858" i="1" l="1"/>
  <c r="D858" i="1" s="1"/>
  <c r="B859" i="1"/>
  <c r="I481" i="1"/>
  <c r="E482" i="1" s="1"/>
  <c r="J482" i="1" s="1"/>
  <c r="G482" i="1" s="1"/>
  <c r="B860" i="1" l="1"/>
  <c r="C859" i="1"/>
  <c r="D859" i="1" s="1"/>
  <c r="F482" i="1"/>
  <c r="H482" i="1"/>
  <c r="I482" i="1" s="1"/>
  <c r="E483" i="1" s="1"/>
  <c r="B861" i="1" l="1"/>
  <c r="C860" i="1"/>
  <c r="D860" i="1" s="1"/>
  <c r="H483" i="1"/>
  <c r="F483" i="1"/>
  <c r="J483" i="1"/>
  <c r="G483" i="1" s="1"/>
  <c r="I483" i="1" l="1"/>
  <c r="E484" i="1" s="1"/>
  <c r="C861" i="1"/>
  <c r="D861" i="1" s="1"/>
  <c r="B862" i="1"/>
  <c r="J484" i="1"/>
  <c r="G484" i="1" s="1"/>
  <c r="H484" i="1"/>
  <c r="F484" i="1"/>
  <c r="B863" i="1" l="1"/>
  <c r="C862" i="1"/>
  <c r="D862" i="1" s="1"/>
  <c r="I484" i="1"/>
  <c r="E485" i="1" s="1"/>
  <c r="J485" i="1" s="1"/>
  <c r="G485" i="1" s="1"/>
  <c r="C863" i="1" l="1"/>
  <c r="D863" i="1" s="1"/>
  <c r="B864" i="1"/>
  <c r="H485" i="1"/>
  <c r="F485" i="1"/>
  <c r="I485" i="1" s="1"/>
  <c r="E486" i="1" s="1"/>
  <c r="C864" i="1" l="1"/>
  <c r="D864" i="1" s="1"/>
  <c r="B865" i="1"/>
  <c r="J486" i="1"/>
  <c r="G486" i="1" s="1"/>
  <c r="H486" i="1"/>
  <c r="F486" i="1"/>
  <c r="B866" i="1" l="1"/>
  <c r="C865" i="1"/>
  <c r="D865" i="1" s="1"/>
  <c r="I486" i="1"/>
  <c r="E487" i="1" s="1"/>
  <c r="H487" i="1" s="1"/>
  <c r="C866" i="1" l="1"/>
  <c r="D866" i="1" s="1"/>
  <c r="B867" i="1"/>
  <c r="J487" i="1"/>
  <c r="G487" i="1" s="1"/>
  <c r="F487" i="1"/>
  <c r="B868" i="1" l="1"/>
  <c r="C867" i="1"/>
  <c r="D867" i="1" s="1"/>
  <c r="I487" i="1"/>
  <c r="E488" i="1" s="1"/>
  <c r="H488" i="1" s="1"/>
  <c r="B869" i="1" l="1"/>
  <c r="C868" i="1"/>
  <c r="D868" i="1" s="1"/>
  <c r="J488" i="1"/>
  <c r="G488" i="1" s="1"/>
  <c r="F488" i="1"/>
  <c r="I488" i="1"/>
  <c r="E489" i="1" s="1"/>
  <c r="C869" i="1" l="1"/>
  <c r="D869" i="1" s="1"/>
  <c r="B870" i="1"/>
  <c r="J489" i="1"/>
  <c r="G489" i="1" s="1"/>
  <c r="F489" i="1"/>
  <c r="H489" i="1"/>
  <c r="B871" i="1" l="1"/>
  <c r="C870" i="1"/>
  <c r="D870" i="1" s="1"/>
  <c r="I489" i="1"/>
  <c r="E490" i="1" s="1"/>
  <c r="J490" i="1" s="1"/>
  <c r="G490" i="1" s="1"/>
  <c r="B872" i="1" l="1"/>
  <c r="C871" i="1"/>
  <c r="D871" i="1" s="1"/>
  <c r="H490" i="1"/>
  <c r="F490" i="1"/>
  <c r="I490" i="1"/>
  <c r="E491" i="1" s="1"/>
  <c r="C872" i="1" l="1"/>
  <c r="D872" i="1" s="1"/>
  <c r="B873" i="1"/>
  <c r="J491" i="1"/>
  <c r="G491" i="1" s="1"/>
  <c r="H491" i="1"/>
  <c r="F491" i="1"/>
  <c r="C873" i="1" l="1"/>
  <c r="D873" i="1" s="1"/>
  <c r="B874" i="1"/>
  <c r="I491" i="1"/>
  <c r="E492" i="1" s="1"/>
  <c r="J492" i="1" s="1"/>
  <c r="G492" i="1" s="1"/>
  <c r="C874" i="1" l="1"/>
  <c r="D874" i="1" s="1"/>
  <c r="B875" i="1"/>
  <c r="H492" i="1"/>
  <c r="F492" i="1"/>
  <c r="C875" i="1" l="1"/>
  <c r="D875" i="1" s="1"/>
  <c r="B876" i="1"/>
  <c r="I492" i="1"/>
  <c r="E493" i="1" s="1"/>
  <c r="H493" i="1" s="1"/>
  <c r="J493" i="1"/>
  <c r="G493" i="1" s="1"/>
  <c r="F493" i="1"/>
  <c r="B877" i="1" l="1"/>
  <c r="C876" i="1"/>
  <c r="D876" i="1" s="1"/>
  <c r="I493" i="1"/>
  <c r="E494" i="1" s="1"/>
  <c r="H494" i="1" s="1"/>
  <c r="C877" i="1" l="1"/>
  <c r="D877" i="1" s="1"/>
  <c r="B878" i="1"/>
  <c r="F494" i="1"/>
  <c r="J494" i="1"/>
  <c r="G494" i="1" s="1"/>
  <c r="I494" i="1" s="1"/>
  <c r="E495" i="1" s="1"/>
  <c r="B879" i="1" l="1"/>
  <c r="C878" i="1"/>
  <c r="D878" i="1" s="1"/>
  <c r="J495" i="1"/>
  <c r="G495" i="1" s="1"/>
  <c r="H495" i="1"/>
  <c r="F495" i="1"/>
  <c r="B880" i="1" l="1"/>
  <c r="C879" i="1"/>
  <c r="D879" i="1" s="1"/>
  <c r="I495" i="1"/>
  <c r="E496" i="1" s="1"/>
  <c r="C880" i="1" l="1"/>
  <c r="D880" i="1" s="1"/>
  <c r="B881" i="1"/>
  <c r="J496" i="1"/>
  <c r="G496" i="1" s="1"/>
  <c r="F496" i="1"/>
  <c r="H496" i="1"/>
  <c r="C881" i="1" l="1"/>
  <c r="D881" i="1" s="1"/>
  <c r="B882" i="1"/>
  <c r="I496" i="1"/>
  <c r="E497" i="1" s="1"/>
  <c r="C882" i="1" l="1"/>
  <c r="D882" i="1" s="1"/>
  <c r="B883" i="1"/>
  <c r="H497" i="1"/>
  <c r="F497" i="1"/>
  <c r="J497" i="1"/>
  <c r="G497" i="1" s="1"/>
  <c r="B884" i="1" l="1"/>
  <c r="C883" i="1"/>
  <c r="D883" i="1" s="1"/>
  <c r="I497" i="1"/>
  <c r="E498" i="1" s="1"/>
  <c r="B885" i="1" l="1"/>
  <c r="C884" i="1"/>
  <c r="D884" i="1" s="1"/>
  <c r="H498" i="1"/>
  <c r="J498" i="1"/>
  <c r="G498" i="1" s="1"/>
  <c r="F498" i="1"/>
  <c r="C885" i="1" l="1"/>
  <c r="D885" i="1" s="1"/>
  <c r="B886" i="1"/>
  <c r="I498" i="1"/>
  <c r="E499" i="1" s="1"/>
  <c r="C886" i="1" l="1"/>
  <c r="D886" i="1" s="1"/>
  <c r="B887" i="1"/>
  <c r="J499" i="1"/>
  <c r="G499" i="1" s="1"/>
  <c r="F499" i="1"/>
  <c r="H499" i="1"/>
  <c r="C887" i="1" l="1"/>
  <c r="D887" i="1" s="1"/>
  <c r="B888" i="1"/>
  <c r="I499" i="1"/>
  <c r="E500" i="1" s="1"/>
  <c r="B889" i="1" l="1"/>
  <c r="C888" i="1"/>
  <c r="D888" i="1" s="1"/>
  <c r="J500" i="1"/>
  <c r="G500" i="1" s="1"/>
  <c r="F500" i="1"/>
  <c r="H500" i="1"/>
  <c r="C889" i="1" l="1"/>
  <c r="D889" i="1" s="1"/>
  <c r="B890" i="1"/>
  <c r="I500" i="1"/>
  <c r="E501" i="1" s="1"/>
  <c r="C890" i="1" l="1"/>
  <c r="D890" i="1" s="1"/>
  <c r="B891" i="1"/>
  <c r="H501" i="1"/>
  <c r="J501" i="1"/>
  <c r="G501" i="1" s="1"/>
  <c r="F501" i="1"/>
  <c r="C891" i="1" l="1"/>
  <c r="D891" i="1" s="1"/>
  <c r="B892" i="1"/>
  <c r="I501" i="1"/>
  <c r="E502" i="1" s="1"/>
  <c r="C892" i="1" l="1"/>
  <c r="D892" i="1" s="1"/>
  <c r="B893" i="1"/>
  <c r="H502" i="1"/>
  <c r="J502" i="1"/>
  <c r="G502" i="1" s="1"/>
  <c r="F502" i="1"/>
  <c r="C893" i="1" l="1"/>
  <c r="D893" i="1" s="1"/>
  <c r="B894" i="1"/>
  <c r="I502" i="1"/>
  <c r="E503" i="1" s="1"/>
  <c r="B895" i="1" l="1"/>
  <c r="C894" i="1"/>
  <c r="D894" i="1" s="1"/>
  <c r="H503" i="1"/>
  <c r="F503" i="1"/>
  <c r="J503" i="1"/>
  <c r="G503" i="1" s="1"/>
  <c r="C895" i="1" l="1"/>
  <c r="D895" i="1" s="1"/>
  <c r="B896" i="1"/>
  <c r="I503" i="1"/>
  <c r="E504" i="1" s="1"/>
  <c r="B897" i="1" l="1"/>
  <c r="C896" i="1"/>
  <c r="D896" i="1" s="1"/>
  <c r="J504" i="1"/>
  <c r="G504" i="1" s="1"/>
  <c r="H504" i="1"/>
  <c r="F504" i="1"/>
  <c r="B898" i="1" l="1"/>
  <c r="C897" i="1"/>
  <c r="D897" i="1" s="1"/>
  <c r="I504" i="1"/>
  <c r="E505" i="1" s="1"/>
  <c r="H505" i="1" s="1"/>
  <c r="C898" i="1" l="1"/>
  <c r="D898" i="1" s="1"/>
  <c r="B899" i="1"/>
  <c r="J505" i="1"/>
  <c r="G505" i="1" s="1"/>
  <c r="I505" i="1" s="1"/>
  <c r="E506" i="1" s="1"/>
  <c r="F505" i="1"/>
  <c r="C899" i="1" l="1"/>
  <c r="D899" i="1" s="1"/>
  <c r="B900" i="1"/>
  <c r="H506" i="1"/>
  <c r="F506" i="1"/>
  <c r="J506" i="1"/>
  <c r="G506" i="1" s="1"/>
  <c r="C900" i="1" l="1"/>
  <c r="D900" i="1" s="1"/>
  <c r="B901" i="1"/>
  <c r="I506" i="1"/>
  <c r="E507" i="1" s="1"/>
  <c r="C901" i="1" l="1"/>
  <c r="D901" i="1" s="1"/>
  <c r="B902" i="1"/>
  <c r="H507" i="1"/>
  <c r="J507" i="1"/>
  <c r="G507" i="1" s="1"/>
  <c r="F507" i="1"/>
  <c r="C902" i="1" l="1"/>
  <c r="D902" i="1" s="1"/>
  <c r="B903" i="1"/>
  <c r="I507" i="1"/>
  <c r="E508" i="1" s="1"/>
  <c r="B904" i="1" l="1"/>
  <c r="C903" i="1"/>
  <c r="D903" i="1" s="1"/>
  <c r="H508" i="1"/>
  <c r="J508" i="1"/>
  <c r="G508" i="1" s="1"/>
  <c r="F508" i="1"/>
  <c r="B905" i="1" l="1"/>
  <c r="C904" i="1"/>
  <c r="D904" i="1" s="1"/>
  <c r="I508" i="1"/>
  <c r="E509" i="1" s="1"/>
  <c r="J509" i="1" s="1"/>
  <c r="G509" i="1" s="1"/>
  <c r="F509" i="1"/>
  <c r="H509" i="1"/>
  <c r="C905" i="1" l="1"/>
  <c r="D905" i="1" s="1"/>
  <c r="B906" i="1"/>
  <c r="I509" i="1"/>
  <c r="E510" i="1" s="1"/>
  <c r="B907" i="1" l="1"/>
  <c r="C906" i="1"/>
  <c r="D906" i="1" s="1"/>
  <c r="F510" i="1"/>
  <c r="J510" i="1"/>
  <c r="G510" i="1" s="1"/>
  <c r="H510" i="1"/>
  <c r="B908" i="1" l="1"/>
  <c r="C907" i="1"/>
  <c r="D907" i="1" s="1"/>
  <c r="I510" i="1"/>
  <c r="E511" i="1" s="1"/>
  <c r="B909" i="1" l="1"/>
  <c r="C908" i="1"/>
  <c r="D908" i="1" s="1"/>
  <c r="H511" i="1"/>
  <c r="F511" i="1"/>
  <c r="J511" i="1"/>
  <c r="G511" i="1" s="1"/>
  <c r="C909" i="1" l="1"/>
  <c r="D909" i="1" s="1"/>
  <c r="B910" i="1"/>
  <c r="I511" i="1"/>
  <c r="E512" i="1" s="1"/>
  <c r="C910" i="1" l="1"/>
  <c r="D910" i="1" s="1"/>
  <c r="B911" i="1"/>
  <c r="J512" i="1"/>
  <c r="G512" i="1" s="1"/>
  <c r="H512" i="1"/>
  <c r="F512" i="1"/>
  <c r="C911" i="1" l="1"/>
  <c r="D911" i="1" s="1"/>
  <c r="B912" i="1"/>
  <c r="I512" i="1"/>
  <c r="E513" i="1" s="1"/>
  <c r="C912" i="1" l="1"/>
  <c r="D912" i="1" s="1"/>
  <c r="B913" i="1"/>
  <c r="J513" i="1"/>
  <c r="G513" i="1" s="1"/>
  <c r="F513" i="1"/>
  <c r="H513" i="1"/>
  <c r="B914" i="1" l="1"/>
  <c r="C913" i="1"/>
  <c r="D913" i="1" s="1"/>
  <c r="I513" i="1"/>
  <c r="E514" i="1" s="1"/>
  <c r="C914" i="1" l="1"/>
  <c r="D914" i="1" s="1"/>
  <c r="B915" i="1"/>
  <c r="H514" i="1"/>
  <c r="F514" i="1"/>
  <c r="J514" i="1"/>
  <c r="G514" i="1" s="1"/>
  <c r="B916" i="1" l="1"/>
  <c r="C915" i="1"/>
  <c r="D915" i="1" s="1"/>
  <c r="I514" i="1"/>
  <c r="E515" i="1" s="1"/>
  <c r="B917" i="1" l="1"/>
  <c r="C916" i="1"/>
  <c r="D916" i="1" s="1"/>
  <c r="J515" i="1"/>
  <c r="G515" i="1" s="1"/>
  <c r="F515" i="1"/>
  <c r="H515" i="1"/>
  <c r="C917" i="1" l="1"/>
  <c r="D917" i="1" s="1"/>
  <c r="B918" i="1"/>
  <c r="I515" i="1"/>
  <c r="E516" i="1" s="1"/>
  <c r="H516" i="1" s="1"/>
  <c r="B919" i="1" l="1"/>
  <c r="C918" i="1"/>
  <c r="D918" i="1" s="1"/>
  <c r="J516" i="1"/>
  <c r="F516" i="1"/>
  <c r="C919" i="1" l="1"/>
  <c r="D919" i="1" s="1"/>
  <c r="B920" i="1"/>
  <c r="G516" i="1"/>
  <c r="I516" i="1" s="1"/>
  <c r="E517" i="1" s="1"/>
  <c r="C920" i="1" l="1"/>
  <c r="D920" i="1" s="1"/>
  <c r="B921" i="1"/>
  <c r="F517" i="1"/>
  <c r="H517" i="1"/>
  <c r="J517" i="1"/>
  <c r="G517" i="1" s="1"/>
  <c r="C921" i="1" l="1"/>
  <c r="D921" i="1" s="1"/>
  <c r="B922" i="1"/>
  <c r="I517" i="1"/>
  <c r="E518" i="1" s="1"/>
  <c r="J518" i="1"/>
  <c r="G518" i="1" s="1"/>
  <c r="H518" i="1"/>
  <c r="F518" i="1"/>
  <c r="B923" i="1" l="1"/>
  <c r="C922" i="1"/>
  <c r="D922" i="1" s="1"/>
  <c r="I518" i="1"/>
  <c r="E519" i="1" s="1"/>
  <c r="C923" i="1" l="1"/>
  <c r="D923" i="1" s="1"/>
  <c r="B924" i="1"/>
  <c r="J519" i="1"/>
  <c r="G519" i="1" s="1"/>
  <c r="H519" i="1"/>
  <c r="F519" i="1"/>
  <c r="B925" i="1" l="1"/>
  <c r="C924" i="1"/>
  <c r="D924" i="1" s="1"/>
  <c r="I519" i="1"/>
  <c r="E520" i="1" s="1"/>
  <c r="C925" i="1" l="1"/>
  <c r="D925" i="1" s="1"/>
  <c r="B926" i="1"/>
  <c r="H520" i="1"/>
  <c r="F520" i="1"/>
  <c r="J520" i="1"/>
  <c r="G520" i="1" s="1"/>
  <c r="B927" i="1" l="1"/>
  <c r="C926" i="1"/>
  <c r="D926" i="1" s="1"/>
  <c r="I520" i="1"/>
  <c r="E521" i="1" s="1"/>
  <c r="C927" i="1" l="1"/>
  <c r="D927" i="1" s="1"/>
  <c r="B928" i="1"/>
  <c r="H521" i="1"/>
  <c r="J521" i="1"/>
  <c r="G521" i="1" s="1"/>
  <c r="F521" i="1"/>
  <c r="B929" i="1" l="1"/>
  <c r="C928" i="1"/>
  <c r="D928" i="1" s="1"/>
  <c r="I521" i="1"/>
  <c r="E522" i="1" s="1"/>
  <c r="H522" i="1" s="1"/>
  <c r="F522" i="1" l="1"/>
  <c r="C929" i="1"/>
  <c r="D929" i="1" s="1"/>
  <c r="B930" i="1"/>
  <c r="J522" i="1"/>
  <c r="G522" i="1" s="1"/>
  <c r="I522" i="1" s="1"/>
  <c r="E523" i="1" s="1"/>
  <c r="C930" i="1" l="1"/>
  <c r="D930" i="1" s="1"/>
  <c r="B931" i="1"/>
  <c r="J523" i="1"/>
  <c r="G523" i="1" s="1"/>
  <c r="H523" i="1"/>
  <c r="F523" i="1"/>
  <c r="C931" i="1" l="1"/>
  <c r="D931" i="1" s="1"/>
  <c r="B932" i="1"/>
  <c r="I523" i="1"/>
  <c r="E524" i="1" s="1"/>
  <c r="B933" i="1" l="1"/>
  <c r="C932" i="1"/>
  <c r="D932" i="1" s="1"/>
  <c r="H524" i="1"/>
  <c r="J524" i="1"/>
  <c r="G524" i="1" s="1"/>
  <c r="F524" i="1"/>
  <c r="C933" i="1" l="1"/>
  <c r="D933" i="1" s="1"/>
  <c r="B934" i="1"/>
  <c r="I524" i="1"/>
  <c r="E525" i="1" s="1"/>
  <c r="B935" i="1" l="1"/>
  <c r="C934" i="1"/>
  <c r="D934" i="1" s="1"/>
  <c r="H525" i="1"/>
  <c r="F525" i="1"/>
  <c r="J525" i="1"/>
  <c r="G525" i="1" s="1"/>
  <c r="C935" i="1" l="1"/>
  <c r="D935" i="1" s="1"/>
  <c r="B936" i="1"/>
  <c r="I525" i="1"/>
  <c r="E526" i="1" s="1"/>
  <c r="C936" i="1" l="1"/>
  <c r="D936" i="1" s="1"/>
  <c r="B937" i="1"/>
  <c r="J526" i="1"/>
  <c r="G526" i="1" s="1"/>
  <c r="H526" i="1"/>
  <c r="F526" i="1"/>
  <c r="C937" i="1" l="1"/>
  <c r="D937" i="1" s="1"/>
  <c r="B938" i="1"/>
  <c r="I526" i="1"/>
  <c r="E527" i="1" s="1"/>
  <c r="H527" i="1" s="1"/>
  <c r="F527" i="1" l="1"/>
  <c r="B939" i="1"/>
  <c r="C938" i="1"/>
  <c r="D938" i="1" s="1"/>
  <c r="J527" i="1"/>
  <c r="G527" i="1" s="1"/>
  <c r="I527" i="1" s="1"/>
  <c r="E528" i="1" s="1"/>
  <c r="B940" i="1" l="1"/>
  <c r="C939" i="1"/>
  <c r="D939" i="1" s="1"/>
  <c r="H528" i="1"/>
  <c r="J528" i="1"/>
  <c r="G528" i="1" s="1"/>
  <c r="F528" i="1"/>
  <c r="C940" i="1" l="1"/>
  <c r="D940" i="1" s="1"/>
  <c r="B941" i="1"/>
  <c r="I528" i="1"/>
  <c r="E529" i="1" s="1"/>
  <c r="C941" i="1" l="1"/>
  <c r="D941" i="1" s="1"/>
  <c r="B942" i="1"/>
  <c r="J529" i="1"/>
  <c r="G529" i="1" s="1"/>
  <c r="H529" i="1"/>
  <c r="F529" i="1"/>
  <c r="B943" i="1" l="1"/>
  <c r="C942" i="1"/>
  <c r="D942" i="1" s="1"/>
  <c r="I529" i="1"/>
  <c r="E530" i="1" s="1"/>
  <c r="H530" i="1" s="1"/>
  <c r="B944" i="1" l="1"/>
  <c r="C943" i="1"/>
  <c r="D943" i="1" s="1"/>
  <c r="F530" i="1"/>
  <c r="J530" i="1"/>
  <c r="G530" i="1" s="1"/>
  <c r="I530" i="1" s="1"/>
  <c r="E531" i="1" s="1"/>
  <c r="B945" i="1" l="1"/>
  <c r="C944" i="1"/>
  <c r="D944" i="1" s="1"/>
  <c r="J531" i="1"/>
  <c r="G531" i="1" s="1"/>
  <c r="H531" i="1"/>
  <c r="F531" i="1"/>
  <c r="C945" i="1" l="1"/>
  <c r="D945" i="1" s="1"/>
  <c r="B946" i="1"/>
  <c r="I531" i="1"/>
  <c r="E532" i="1" s="1"/>
  <c r="B947" i="1" l="1"/>
  <c r="C946" i="1"/>
  <c r="D946" i="1" s="1"/>
  <c r="J532" i="1"/>
  <c r="G532" i="1" s="1"/>
  <c r="F532" i="1"/>
  <c r="H532" i="1"/>
  <c r="B948" i="1" l="1"/>
  <c r="C947" i="1"/>
  <c r="D947" i="1" s="1"/>
  <c r="I532" i="1"/>
  <c r="E533" i="1" s="1"/>
  <c r="J533" i="1" s="1"/>
  <c r="G533" i="1" s="1"/>
  <c r="C948" i="1" l="1"/>
  <c r="D948" i="1" s="1"/>
  <c r="B949" i="1"/>
  <c r="F533" i="1"/>
  <c r="H533" i="1"/>
  <c r="I533" i="1"/>
  <c r="E534" i="1" s="1"/>
  <c r="C949" i="1" l="1"/>
  <c r="D949" i="1" s="1"/>
  <c r="B950" i="1"/>
  <c r="J534" i="1"/>
  <c r="G534" i="1" s="1"/>
  <c r="F534" i="1"/>
  <c r="H534" i="1"/>
  <c r="B951" i="1" l="1"/>
  <c r="C950" i="1"/>
  <c r="D950" i="1" s="1"/>
  <c r="I534" i="1"/>
  <c r="E535" i="1" s="1"/>
  <c r="C951" i="1" l="1"/>
  <c r="D951" i="1" s="1"/>
  <c r="B952" i="1"/>
  <c r="H535" i="1"/>
  <c r="F535" i="1"/>
  <c r="J535" i="1"/>
  <c r="G535" i="1" s="1"/>
  <c r="C952" i="1" l="1"/>
  <c r="D952" i="1" s="1"/>
  <c r="B953" i="1"/>
  <c r="I535" i="1"/>
  <c r="E536" i="1" s="1"/>
  <c r="B954" i="1" l="1"/>
  <c r="C953" i="1"/>
  <c r="D953" i="1" s="1"/>
  <c r="F536" i="1"/>
  <c r="H536" i="1"/>
  <c r="J536" i="1"/>
  <c r="G536" i="1" s="1"/>
  <c r="C954" i="1" l="1"/>
  <c r="D954" i="1" s="1"/>
  <c r="B955" i="1"/>
  <c r="I536" i="1"/>
  <c r="E537" i="1" s="1"/>
  <c r="C955" i="1" l="1"/>
  <c r="D955" i="1" s="1"/>
  <c r="B956" i="1"/>
  <c r="H537" i="1"/>
  <c r="J537" i="1"/>
  <c r="G537" i="1" s="1"/>
  <c r="F537" i="1"/>
  <c r="C956" i="1" l="1"/>
  <c r="D956" i="1" s="1"/>
  <c r="B957" i="1"/>
  <c r="I537" i="1"/>
  <c r="E538" i="1" s="1"/>
  <c r="C957" i="1" l="1"/>
  <c r="D957" i="1" s="1"/>
  <c r="B958" i="1"/>
  <c r="J538" i="1"/>
  <c r="G538" i="1" s="1"/>
  <c r="H538" i="1"/>
  <c r="F538" i="1"/>
  <c r="C958" i="1" l="1"/>
  <c r="D958" i="1" s="1"/>
  <c r="B959" i="1"/>
  <c r="I538" i="1"/>
  <c r="E539" i="1" s="1"/>
  <c r="H539" i="1" s="1"/>
  <c r="B960" i="1" l="1"/>
  <c r="C959" i="1"/>
  <c r="D959" i="1" s="1"/>
  <c r="F539" i="1"/>
  <c r="J539" i="1"/>
  <c r="C960" i="1" l="1"/>
  <c r="D960" i="1" s="1"/>
  <c r="B961" i="1"/>
  <c r="G539" i="1"/>
  <c r="I539" i="1" s="1"/>
  <c r="E540" i="1" s="1"/>
  <c r="C961" i="1" l="1"/>
  <c r="D961" i="1" s="1"/>
  <c r="B962" i="1"/>
  <c r="J540" i="1"/>
  <c r="G540" i="1" s="1"/>
  <c r="H540" i="1"/>
  <c r="F540" i="1"/>
  <c r="B963" i="1" l="1"/>
  <c r="C962" i="1"/>
  <c r="D962" i="1" s="1"/>
  <c r="I540" i="1"/>
  <c r="E541" i="1" s="1"/>
  <c r="J541" i="1"/>
  <c r="G541" i="1" s="1"/>
  <c r="F541" i="1"/>
  <c r="H541" i="1"/>
  <c r="C963" i="1" l="1"/>
  <c r="D963" i="1" s="1"/>
  <c r="B964" i="1"/>
  <c r="I541" i="1"/>
  <c r="E542" i="1" s="1"/>
  <c r="C964" i="1" l="1"/>
  <c r="D964" i="1" s="1"/>
  <c r="B965" i="1"/>
  <c r="J542" i="1"/>
  <c r="G542" i="1" s="1"/>
  <c r="F542" i="1"/>
  <c r="H542" i="1"/>
  <c r="C965" i="1" l="1"/>
  <c r="D965" i="1" s="1"/>
  <c r="B966" i="1"/>
  <c r="I542" i="1"/>
  <c r="E543" i="1" s="1"/>
  <c r="C966" i="1" l="1"/>
  <c r="D966" i="1" s="1"/>
  <c r="B967" i="1"/>
  <c r="H543" i="1"/>
  <c r="F543" i="1"/>
  <c r="J543" i="1"/>
  <c r="G543" i="1" s="1"/>
  <c r="C967" i="1" l="1"/>
  <c r="D967" i="1" s="1"/>
  <c r="B968" i="1"/>
  <c r="I543" i="1"/>
  <c r="E544" i="1" s="1"/>
  <c r="C968" i="1" l="1"/>
  <c r="D968" i="1" s="1"/>
  <c r="B969" i="1"/>
  <c r="H544" i="1"/>
  <c r="J544" i="1"/>
  <c r="G544" i="1" s="1"/>
  <c r="F544" i="1"/>
  <c r="C969" i="1" l="1"/>
  <c r="D969" i="1" s="1"/>
  <c r="B970" i="1"/>
  <c r="I544" i="1"/>
  <c r="E545" i="1" s="1"/>
  <c r="B971" i="1" l="1"/>
  <c r="C970" i="1"/>
  <c r="D970" i="1" s="1"/>
  <c r="J545" i="1"/>
  <c r="G545" i="1" s="1"/>
  <c r="H545" i="1"/>
  <c r="F545" i="1"/>
  <c r="C971" i="1" l="1"/>
  <c r="D971" i="1" s="1"/>
  <c r="B972" i="1"/>
  <c r="I545" i="1"/>
  <c r="E546" i="1" s="1"/>
  <c r="B973" i="1" l="1"/>
  <c r="C972" i="1"/>
  <c r="D972" i="1" s="1"/>
  <c r="H546" i="1"/>
  <c r="J546" i="1"/>
  <c r="G546" i="1" s="1"/>
  <c r="F546" i="1"/>
  <c r="C973" i="1" l="1"/>
  <c r="D973" i="1" s="1"/>
  <c r="B974" i="1"/>
  <c r="I546" i="1"/>
  <c r="E547" i="1" s="1"/>
  <c r="C974" i="1" l="1"/>
  <c r="D974" i="1" s="1"/>
  <c r="B975" i="1"/>
  <c r="H547" i="1"/>
  <c r="J547" i="1"/>
  <c r="G547" i="1" s="1"/>
  <c r="F547" i="1"/>
  <c r="C975" i="1" l="1"/>
  <c r="D975" i="1" s="1"/>
  <c r="B976" i="1"/>
  <c r="I547" i="1"/>
  <c r="E548" i="1" s="1"/>
  <c r="C976" i="1" l="1"/>
  <c r="D976" i="1" s="1"/>
  <c r="B977" i="1"/>
  <c r="H548" i="1"/>
  <c r="F548" i="1"/>
  <c r="J548" i="1"/>
  <c r="G548" i="1" s="1"/>
  <c r="C977" i="1" l="1"/>
  <c r="D977" i="1" s="1"/>
  <c r="B978" i="1"/>
  <c r="I548" i="1"/>
  <c r="E549" i="1" s="1"/>
  <c r="C978" i="1" l="1"/>
  <c r="D978" i="1" s="1"/>
  <c r="B979" i="1"/>
  <c r="H549" i="1"/>
  <c r="F549" i="1"/>
  <c r="J549" i="1"/>
  <c r="G549" i="1" s="1"/>
  <c r="C979" i="1" l="1"/>
  <c r="D979" i="1" s="1"/>
  <c r="B980" i="1"/>
  <c r="I549" i="1"/>
  <c r="E550" i="1" s="1"/>
  <c r="B981" i="1" l="1"/>
  <c r="C980" i="1"/>
  <c r="D980" i="1" s="1"/>
  <c r="H550" i="1"/>
  <c r="J550" i="1"/>
  <c r="G550" i="1" s="1"/>
  <c r="F550" i="1"/>
  <c r="C981" i="1" l="1"/>
  <c r="D981" i="1" s="1"/>
  <c r="B982" i="1"/>
  <c r="I550" i="1"/>
  <c r="E551" i="1" s="1"/>
  <c r="C982" i="1" l="1"/>
  <c r="D982" i="1" s="1"/>
  <c r="B983" i="1"/>
  <c r="H551" i="1"/>
  <c r="J551" i="1"/>
  <c r="G551" i="1" s="1"/>
  <c r="F551" i="1"/>
  <c r="C983" i="1" l="1"/>
  <c r="D983" i="1" s="1"/>
  <c r="B984" i="1"/>
  <c r="I551" i="1"/>
  <c r="E552" i="1" s="1"/>
  <c r="C984" i="1" l="1"/>
  <c r="D984" i="1" s="1"/>
  <c r="B985" i="1"/>
  <c r="J552" i="1"/>
  <c r="G552" i="1" s="1"/>
  <c r="H552" i="1"/>
  <c r="F552" i="1"/>
  <c r="C985" i="1" l="1"/>
  <c r="D985" i="1" s="1"/>
  <c r="B986" i="1"/>
  <c r="I552" i="1"/>
  <c r="E553" i="1" s="1"/>
  <c r="H553" i="1" s="1"/>
  <c r="C986" i="1" l="1"/>
  <c r="D986" i="1" s="1"/>
  <c r="B987" i="1"/>
  <c r="J553" i="1"/>
  <c r="F553" i="1"/>
  <c r="B988" i="1" l="1"/>
  <c r="C987" i="1"/>
  <c r="D987" i="1" s="1"/>
  <c r="G553" i="1"/>
  <c r="I553" i="1" s="1"/>
  <c r="E554" i="1" s="1"/>
  <c r="C988" i="1" l="1"/>
  <c r="D988" i="1" s="1"/>
  <c r="B989" i="1"/>
  <c r="H554" i="1"/>
  <c r="J554" i="1"/>
  <c r="G554" i="1" s="1"/>
  <c r="I554" i="1" s="1"/>
  <c r="E555" i="1" s="1"/>
  <c r="F554" i="1"/>
  <c r="C989" i="1" l="1"/>
  <c r="D989" i="1" s="1"/>
  <c r="B990" i="1"/>
  <c r="H555" i="1"/>
  <c r="J555" i="1"/>
  <c r="G555" i="1" s="1"/>
  <c r="F555" i="1"/>
  <c r="B991" i="1" l="1"/>
  <c r="C990" i="1"/>
  <c r="D990" i="1" s="1"/>
  <c r="I555" i="1"/>
  <c r="E556" i="1" s="1"/>
  <c r="C991" i="1" l="1"/>
  <c r="D991" i="1" s="1"/>
  <c r="B992" i="1"/>
  <c r="J556" i="1"/>
  <c r="G556" i="1" s="1"/>
  <c r="F556" i="1"/>
  <c r="H556" i="1"/>
  <c r="B993" i="1" l="1"/>
  <c r="C992" i="1"/>
  <c r="D992" i="1" s="1"/>
  <c r="I556" i="1"/>
  <c r="E557" i="1" s="1"/>
  <c r="B994" i="1" l="1"/>
  <c r="C993" i="1"/>
  <c r="D993" i="1" s="1"/>
  <c r="J557" i="1"/>
  <c r="G557" i="1" s="1"/>
  <c r="H557" i="1"/>
  <c r="F557" i="1"/>
  <c r="C994" i="1" l="1"/>
  <c r="D994" i="1" s="1"/>
  <c r="B995" i="1"/>
  <c r="I557" i="1"/>
  <c r="E558" i="1" s="1"/>
  <c r="C995" i="1" l="1"/>
  <c r="D995" i="1" s="1"/>
  <c r="B996" i="1"/>
  <c r="H558" i="1"/>
  <c r="J558" i="1"/>
  <c r="G558" i="1" s="1"/>
  <c r="F558" i="1"/>
  <c r="C996" i="1" l="1"/>
  <c r="D996" i="1" s="1"/>
  <c r="B997" i="1"/>
  <c r="I558" i="1"/>
  <c r="E559" i="1" s="1"/>
  <c r="B998" i="1" l="1"/>
  <c r="C997" i="1"/>
  <c r="D997" i="1" s="1"/>
  <c r="H559" i="1"/>
  <c r="J559" i="1"/>
  <c r="G559" i="1" s="1"/>
  <c r="F559" i="1"/>
  <c r="C998" i="1" l="1"/>
  <c r="D998" i="1" s="1"/>
  <c r="B999" i="1"/>
  <c r="I559" i="1"/>
  <c r="E560" i="1" s="1"/>
  <c r="B1000" i="1" l="1"/>
  <c r="C999" i="1"/>
  <c r="D999" i="1" s="1"/>
  <c r="H560" i="1"/>
  <c r="J560" i="1"/>
  <c r="G560" i="1" s="1"/>
  <c r="F560" i="1"/>
  <c r="B1001" i="1" l="1"/>
  <c r="C1000" i="1"/>
  <c r="D1000" i="1" s="1"/>
  <c r="I560" i="1"/>
  <c r="E561" i="1" s="1"/>
  <c r="C1001" i="1" l="1"/>
  <c r="D1001" i="1" s="1"/>
  <c r="B1002" i="1"/>
  <c r="H561" i="1"/>
  <c r="J561" i="1"/>
  <c r="G561" i="1" s="1"/>
  <c r="F561" i="1"/>
  <c r="C1002" i="1" l="1"/>
  <c r="D1002" i="1" s="1"/>
  <c r="B1003" i="1"/>
  <c r="I561" i="1"/>
  <c r="E562" i="1" s="1"/>
  <c r="B1004" i="1" l="1"/>
  <c r="C1003" i="1"/>
  <c r="D1003" i="1" s="1"/>
  <c r="H562" i="1"/>
  <c r="J562" i="1"/>
  <c r="G562" i="1" s="1"/>
  <c r="F562" i="1"/>
  <c r="C1004" i="1" l="1"/>
  <c r="D1004" i="1" s="1"/>
  <c r="B1005" i="1"/>
  <c r="I562" i="1"/>
  <c r="E563" i="1" s="1"/>
  <c r="C1005" i="1" l="1"/>
  <c r="D1005" i="1" s="1"/>
  <c r="B1006" i="1"/>
  <c r="H563" i="1"/>
  <c r="F563" i="1"/>
  <c r="J563" i="1"/>
  <c r="G563" i="1" s="1"/>
  <c r="C1006" i="1" l="1"/>
  <c r="D1006" i="1" s="1"/>
  <c r="B1007" i="1"/>
  <c r="I563" i="1"/>
  <c r="E564" i="1" s="1"/>
  <c r="B1008" i="1" l="1"/>
  <c r="C1007" i="1"/>
  <c r="D1007" i="1" s="1"/>
  <c r="H564" i="1"/>
  <c r="F564" i="1"/>
  <c r="J564" i="1"/>
  <c r="G564" i="1" s="1"/>
  <c r="C1008" i="1" l="1"/>
  <c r="D1008" i="1" s="1"/>
  <c r="B1009" i="1"/>
  <c r="I564" i="1"/>
  <c r="E565" i="1" s="1"/>
  <c r="B1010" i="1" l="1"/>
  <c r="C1009" i="1"/>
  <c r="D1009" i="1" s="1"/>
  <c r="J565" i="1"/>
  <c r="G565" i="1" s="1"/>
  <c r="H565" i="1"/>
  <c r="F565" i="1"/>
  <c r="C1010" i="1" l="1"/>
  <c r="D1010" i="1" s="1"/>
  <c r="B1011" i="1"/>
  <c r="I565" i="1"/>
  <c r="E566" i="1" s="1"/>
  <c r="C1011" i="1" l="1"/>
  <c r="D1011" i="1" s="1"/>
  <c r="B1012" i="1"/>
  <c r="H566" i="1"/>
  <c r="J566" i="1"/>
  <c r="G566" i="1" s="1"/>
  <c r="F566" i="1"/>
  <c r="C1012" i="1" l="1"/>
  <c r="D1012" i="1" s="1"/>
  <c r="B1013" i="1"/>
  <c r="I566" i="1"/>
  <c r="E567" i="1" s="1"/>
  <c r="B1014" i="1" l="1"/>
  <c r="C1013" i="1"/>
  <c r="D1013" i="1" s="1"/>
  <c r="H567" i="1"/>
  <c r="F567" i="1"/>
  <c r="J567" i="1"/>
  <c r="G567" i="1" s="1"/>
  <c r="C1014" i="1" l="1"/>
  <c r="D1014" i="1" s="1"/>
  <c r="B1015" i="1"/>
  <c r="I567" i="1"/>
  <c r="E568" i="1" s="1"/>
  <c r="B1016" i="1" l="1"/>
  <c r="C1015" i="1"/>
  <c r="D1015" i="1" s="1"/>
  <c r="H568" i="1"/>
  <c r="J568" i="1"/>
  <c r="G568" i="1" s="1"/>
  <c r="F568" i="1"/>
  <c r="B1017" i="1" l="1"/>
  <c r="C1016" i="1"/>
  <c r="D1016" i="1" s="1"/>
  <c r="I568" i="1"/>
  <c r="E569" i="1" s="1"/>
  <c r="B1018" i="1" l="1"/>
  <c r="C1017" i="1"/>
  <c r="D1017" i="1" s="1"/>
  <c r="J569" i="1"/>
  <c r="G569" i="1" s="1"/>
  <c r="F569" i="1"/>
  <c r="H569" i="1"/>
  <c r="C1018" i="1" l="1"/>
  <c r="D1018" i="1" s="1"/>
  <c r="B1019" i="1"/>
  <c r="I569" i="1"/>
  <c r="E570" i="1" s="1"/>
  <c r="C1019" i="1" l="1"/>
  <c r="D1019" i="1" s="1"/>
  <c r="B1020" i="1"/>
  <c r="J570" i="1"/>
  <c r="G570" i="1" s="1"/>
  <c r="F570" i="1"/>
  <c r="H570" i="1"/>
  <c r="C1020" i="1" l="1"/>
  <c r="D1020" i="1" s="1"/>
  <c r="B1021" i="1"/>
  <c r="I570" i="1"/>
  <c r="E571" i="1" s="1"/>
  <c r="B1022" i="1" l="1"/>
  <c r="C1021" i="1"/>
  <c r="D1021" i="1" s="1"/>
  <c r="J571" i="1"/>
  <c r="G571" i="1" s="1"/>
  <c r="F571" i="1"/>
  <c r="H571" i="1"/>
  <c r="B1023" i="1" l="1"/>
  <c r="C1022" i="1"/>
  <c r="D1022" i="1" s="1"/>
  <c r="I571" i="1"/>
  <c r="E572" i="1" s="1"/>
  <c r="J572" i="1" s="1"/>
  <c r="G572" i="1" s="1"/>
  <c r="C1023" i="1" l="1"/>
  <c r="D1023" i="1" s="1"/>
  <c r="B1024" i="1"/>
  <c r="H572" i="1"/>
  <c r="F572" i="1"/>
  <c r="I572" i="1"/>
  <c r="E573" i="1" s="1"/>
  <c r="J573" i="1" s="1"/>
  <c r="G573" i="1" s="1"/>
  <c r="B1025" i="1" l="1"/>
  <c r="C1024" i="1"/>
  <c r="D1024" i="1" s="1"/>
  <c r="H573" i="1"/>
  <c r="F573" i="1"/>
  <c r="I573" i="1"/>
  <c r="E574" i="1" s="1"/>
  <c r="B1026" i="1" l="1"/>
  <c r="C1025" i="1"/>
  <c r="D1025" i="1" s="1"/>
  <c r="J574" i="1"/>
  <c r="G574" i="1" s="1"/>
  <c r="F574" i="1"/>
  <c r="H574" i="1"/>
  <c r="B1027" i="1" l="1"/>
  <c r="C1026" i="1"/>
  <c r="D1026" i="1" s="1"/>
  <c r="I574" i="1"/>
  <c r="E575" i="1" s="1"/>
  <c r="H575" i="1" s="1"/>
  <c r="B1028" i="1" l="1"/>
  <c r="C1027" i="1"/>
  <c r="D1027" i="1" s="1"/>
  <c r="F575" i="1"/>
  <c r="J575" i="1"/>
  <c r="G575" i="1" s="1"/>
  <c r="I575" i="1" s="1"/>
  <c r="E576" i="1" s="1"/>
  <c r="B1029" i="1" l="1"/>
  <c r="C1028" i="1"/>
  <c r="D1028" i="1" s="1"/>
  <c r="J576" i="1"/>
  <c r="G576" i="1" s="1"/>
  <c r="H576" i="1"/>
  <c r="F576" i="1"/>
  <c r="C1029" i="1" l="1"/>
  <c r="D1029" i="1" s="1"/>
  <c r="B1030" i="1"/>
  <c r="I576" i="1"/>
  <c r="E577" i="1" s="1"/>
  <c r="J577" i="1" s="1"/>
  <c r="G577" i="1" s="1"/>
  <c r="C1030" i="1" l="1"/>
  <c r="D1030" i="1" s="1"/>
  <c r="B1031" i="1"/>
  <c r="H577" i="1"/>
  <c r="I577" i="1" s="1"/>
  <c r="E578" i="1" s="1"/>
  <c r="F577" i="1"/>
  <c r="B1032" i="1" l="1"/>
  <c r="C1031" i="1"/>
  <c r="D1031" i="1" s="1"/>
  <c r="H578" i="1"/>
  <c r="J578" i="1"/>
  <c r="G578" i="1" s="1"/>
  <c r="F578" i="1"/>
  <c r="B1033" i="1" l="1"/>
  <c r="C1032" i="1"/>
  <c r="D1032" i="1" s="1"/>
  <c r="I578" i="1"/>
  <c r="E579" i="1" s="1"/>
  <c r="C1033" i="1" l="1"/>
  <c r="D1033" i="1" s="1"/>
  <c r="B1034" i="1"/>
  <c r="H579" i="1"/>
  <c r="F579" i="1"/>
  <c r="J579" i="1"/>
  <c r="G579" i="1" s="1"/>
  <c r="C1034" i="1" l="1"/>
  <c r="D1034" i="1" s="1"/>
  <c r="B1035" i="1"/>
  <c r="I579" i="1"/>
  <c r="E580" i="1" s="1"/>
  <c r="C1035" i="1" l="1"/>
  <c r="D1035" i="1" s="1"/>
  <c r="B1036" i="1"/>
  <c r="J580" i="1"/>
  <c r="G580" i="1" s="1"/>
  <c r="H580" i="1"/>
  <c r="F580" i="1"/>
  <c r="C1036" i="1" l="1"/>
  <c r="D1036" i="1" s="1"/>
  <c r="B1037" i="1"/>
  <c r="I580" i="1"/>
  <c r="E581" i="1" s="1"/>
  <c r="C1037" i="1" l="1"/>
  <c r="D1037" i="1" s="1"/>
  <c r="B1038" i="1"/>
  <c r="H581" i="1"/>
  <c r="J581" i="1"/>
  <c r="G581" i="1" s="1"/>
  <c r="F581" i="1"/>
  <c r="C1038" i="1" l="1"/>
  <c r="D1038" i="1" s="1"/>
  <c r="B1039" i="1"/>
  <c r="I581" i="1"/>
  <c r="E582" i="1" s="1"/>
  <c r="B1040" i="1" l="1"/>
  <c r="C1039" i="1"/>
  <c r="D1039" i="1" s="1"/>
  <c r="J582" i="1"/>
  <c r="G582" i="1" s="1"/>
  <c r="F582" i="1"/>
  <c r="H582" i="1"/>
  <c r="C1040" i="1" l="1"/>
  <c r="D1040" i="1" s="1"/>
  <c r="B1041" i="1"/>
  <c r="I582" i="1"/>
  <c r="E583" i="1" s="1"/>
  <c r="B1042" i="1" l="1"/>
  <c r="C1041" i="1"/>
  <c r="D1041" i="1" s="1"/>
  <c r="J583" i="1"/>
  <c r="G583" i="1" s="1"/>
  <c r="F583" i="1"/>
  <c r="H583" i="1"/>
  <c r="C1042" i="1" l="1"/>
  <c r="D1042" i="1" s="1"/>
  <c r="B1043" i="1"/>
  <c r="I583" i="1"/>
  <c r="E584" i="1" s="1"/>
  <c r="H584" i="1" s="1"/>
  <c r="B1044" i="1" l="1"/>
  <c r="C1043" i="1"/>
  <c r="D1043" i="1" s="1"/>
  <c r="F584" i="1"/>
  <c r="J584" i="1"/>
  <c r="G584" i="1" s="1"/>
  <c r="I584" i="1" s="1"/>
  <c r="E585" i="1" s="1"/>
  <c r="C1044" i="1" l="1"/>
  <c r="D1044" i="1" s="1"/>
  <c r="B1045" i="1"/>
  <c r="H585" i="1"/>
  <c r="J585" i="1"/>
  <c r="G585" i="1" s="1"/>
  <c r="F585" i="1"/>
  <c r="C1045" i="1" l="1"/>
  <c r="D1045" i="1" s="1"/>
  <c r="B1046" i="1"/>
  <c r="I585" i="1"/>
  <c r="E586" i="1" s="1"/>
  <c r="C1046" i="1" l="1"/>
  <c r="D1046" i="1" s="1"/>
  <c r="B1047" i="1"/>
  <c r="J586" i="1"/>
  <c r="G586" i="1" s="1"/>
  <c r="H586" i="1"/>
  <c r="F586" i="1"/>
  <c r="C1047" i="1" l="1"/>
  <c r="D1047" i="1" s="1"/>
  <c r="B1048" i="1"/>
  <c r="I586" i="1"/>
  <c r="E587" i="1" s="1"/>
  <c r="B1049" i="1" l="1"/>
  <c r="C1048" i="1"/>
  <c r="D1048" i="1" s="1"/>
  <c r="J587" i="1"/>
  <c r="G587" i="1" s="1"/>
  <c r="H587" i="1"/>
  <c r="F587" i="1"/>
  <c r="C1049" i="1" l="1"/>
  <c r="D1049" i="1" s="1"/>
  <c r="B1050" i="1"/>
  <c r="I587" i="1"/>
  <c r="E588" i="1" s="1"/>
  <c r="C1050" i="1" l="1"/>
  <c r="D1050" i="1" s="1"/>
  <c r="B1051" i="1"/>
  <c r="H588" i="1"/>
  <c r="J588" i="1"/>
  <c r="G588" i="1" s="1"/>
  <c r="F588" i="1"/>
  <c r="B1052" i="1" l="1"/>
  <c r="C1051" i="1"/>
  <c r="D1051" i="1" s="1"/>
  <c r="I588" i="1"/>
  <c r="E589" i="1" s="1"/>
  <c r="C1052" i="1" l="1"/>
  <c r="D1052" i="1" s="1"/>
  <c r="B1053" i="1"/>
  <c r="F589" i="1"/>
  <c r="J589" i="1"/>
  <c r="G589" i="1" s="1"/>
  <c r="H589" i="1"/>
  <c r="C1053" i="1" l="1"/>
  <c r="D1053" i="1" s="1"/>
  <c r="B1054" i="1"/>
  <c r="I589" i="1"/>
  <c r="E590" i="1" s="1"/>
  <c r="B1055" i="1" l="1"/>
  <c r="C1054" i="1"/>
  <c r="D1054" i="1" s="1"/>
  <c r="H590" i="1"/>
  <c r="J590" i="1"/>
  <c r="G590" i="1" s="1"/>
  <c r="F590" i="1"/>
  <c r="B1056" i="1" l="1"/>
  <c r="C1055" i="1"/>
  <c r="D1055" i="1" s="1"/>
  <c r="I590" i="1"/>
  <c r="E591" i="1" s="1"/>
  <c r="C1056" i="1" l="1"/>
  <c r="D1056" i="1" s="1"/>
  <c r="B1057" i="1"/>
  <c r="H591" i="1"/>
  <c r="J591" i="1"/>
  <c r="G591" i="1" s="1"/>
  <c r="F591" i="1"/>
  <c r="B1058" i="1" l="1"/>
  <c r="C1057" i="1"/>
  <c r="D1057" i="1" s="1"/>
  <c r="I591" i="1"/>
  <c r="E592" i="1" s="1"/>
  <c r="C1058" i="1" l="1"/>
  <c r="D1058" i="1" s="1"/>
  <c r="B1059" i="1"/>
  <c r="J592" i="1"/>
  <c r="G592" i="1" s="1"/>
  <c r="H592" i="1"/>
  <c r="F592" i="1"/>
  <c r="B1060" i="1" l="1"/>
  <c r="C1059" i="1"/>
  <c r="D1059" i="1" s="1"/>
  <c r="I592" i="1"/>
  <c r="E593" i="1" s="1"/>
  <c r="H593" i="1" s="1"/>
  <c r="B1061" i="1" l="1"/>
  <c r="C1060" i="1"/>
  <c r="D1060" i="1" s="1"/>
  <c r="F593" i="1"/>
  <c r="J593" i="1"/>
  <c r="G593" i="1" s="1"/>
  <c r="I593" i="1" s="1"/>
  <c r="E594" i="1" s="1"/>
  <c r="C1061" i="1" l="1"/>
  <c r="D1061" i="1" s="1"/>
  <c r="B1062" i="1"/>
  <c r="H594" i="1"/>
  <c r="J594" i="1"/>
  <c r="G594" i="1" s="1"/>
  <c r="F594" i="1"/>
  <c r="C1062" i="1" l="1"/>
  <c r="D1062" i="1" s="1"/>
  <c r="B1063" i="1"/>
  <c r="I594" i="1"/>
  <c r="E595" i="1" s="1"/>
  <c r="C1063" i="1" l="1"/>
  <c r="D1063" i="1" s="1"/>
  <c r="B1064" i="1"/>
  <c r="J595" i="1"/>
  <c r="G595" i="1" s="1"/>
  <c r="H595" i="1"/>
  <c r="F595" i="1"/>
  <c r="C1064" i="1" l="1"/>
  <c r="D1064" i="1" s="1"/>
  <c r="B1065" i="1"/>
  <c r="I595" i="1"/>
  <c r="E596" i="1" s="1"/>
  <c r="C1065" i="1" l="1"/>
  <c r="D1065" i="1" s="1"/>
  <c r="B1066" i="1"/>
  <c r="H596" i="1"/>
  <c r="J596" i="1"/>
  <c r="G596" i="1" s="1"/>
  <c r="F596" i="1"/>
  <c r="B1067" i="1" l="1"/>
  <c r="C1066" i="1"/>
  <c r="D1066" i="1" s="1"/>
  <c r="I596" i="1"/>
  <c r="E597" i="1" s="1"/>
  <c r="B1068" i="1" l="1"/>
  <c r="C1067" i="1"/>
  <c r="D1067" i="1" s="1"/>
  <c r="H597" i="1"/>
  <c r="J597" i="1"/>
  <c r="G597" i="1" s="1"/>
  <c r="F597" i="1"/>
  <c r="C1068" i="1" l="1"/>
  <c r="D1068" i="1" s="1"/>
  <c r="B1069" i="1"/>
  <c r="I597" i="1"/>
  <c r="E598" i="1" s="1"/>
  <c r="C1069" i="1" l="1"/>
  <c r="D1069" i="1" s="1"/>
  <c r="B1070" i="1"/>
  <c r="H598" i="1"/>
  <c r="F598" i="1"/>
  <c r="J598" i="1"/>
  <c r="G598" i="1" s="1"/>
  <c r="C1070" i="1" l="1"/>
  <c r="D1070" i="1" s="1"/>
  <c r="B1071" i="1"/>
  <c r="I598" i="1"/>
  <c r="E599" i="1" s="1"/>
  <c r="B1072" i="1" l="1"/>
  <c r="C1071" i="1"/>
  <c r="D1071" i="1" s="1"/>
  <c r="H599" i="1"/>
  <c r="J599" i="1"/>
  <c r="G599" i="1" s="1"/>
  <c r="F599" i="1"/>
  <c r="C1072" i="1" l="1"/>
  <c r="D1072" i="1" s="1"/>
  <c r="B1073" i="1"/>
  <c r="I599" i="1"/>
  <c r="E600" i="1" s="1"/>
  <c r="B1074" i="1" l="1"/>
  <c r="C1073" i="1"/>
  <c r="D1073" i="1" s="1"/>
  <c r="H600" i="1"/>
  <c r="J600" i="1"/>
  <c r="G600" i="1" s="1"/>
  <c r="F600" i="1"/>
  <c r="B1075" i="1" l="1"/>
  <c r="C1074" i="1"/>
  <c r="D1074" i="1" s="1"/>
  <c r="I600" i="1"/>
  <c r="E601" i="1" s="1"/>
  <c r="H601" i="1" s="1"/>
  <c r="C1075" i="1" l="1"/>
  <c r="D1075" i="1" s="1"/>
  <c r="B1076" i="1"/>
  <c r="F601" i="1"/>
  <c r="J601" i="1"/>
  <c r="G601" i="1" s="1"/>
  <c r="I601" i="1" s="1"/>
  <c r="E602" i="1" s="1"/>
  <c r="J602" i="1" s="1"/>
  <c r="G602" i="1" s="1"/>
  <c r="C1076" i="1" l="1"/>
  <c r="D1076" i="1" s="1"/>
  <c r="B1077" i="1"/>
  <c r="F602" i="1"/>
  <c r="H602" i="1"/>
  <c r="I602" i="1"/>
  <c r="E603" i="1" s="1"/>
  <c r="J603" i="1" s="1"/>
  <c r="G603" i="1" s="1"/>
  <c r="B1078" i="1" l="1"/>
  <c r="C1077" i="1"/>
  <c r="D1077" i="1" s="1"/>
  <c r="F603" i="1"/>
  <c r="H603" i="1"/>
  <c r="I603" i="1" l="1"/>
  <c r="E604" i="1" s="1"/>
  <c r="C1078" i="1"/>
  <c r="D1078" i="1" s="1"/>
  <c r="B1079" i="1"/>
  <c r="H604" i="1"/>
  <c r="J604" i="1"/>
  <c r="G604" i="1" s="1"/>
  <c r="F604" i="1"/>
  <c r="C1079" i="1" l="1"/>
  <c r="D1079" i="1" s="1"/>
  <c r="B1080" i="1"/>
  <c r="I604" i="1"/>
  <c r="E605" i="1" s="1"/>
  <c r="C1080" i="1" l="1"/>
  <c r="D1080" i="1" s="1"/>
  <c r="B1081" i="1"/>
  <c r="H605" i="1"/>
  <c r="J605" i="1"/>
  <c r="G605" i="1" s="1"/>
  <c r="F605" i="1"/>
  <c r="B1082" i="1" l="1"/>
  <c r="C1081" i="1"/>
  <c r="D1081" i="1" s="1"/>
  <c r="I605" i="1"/>
  <c r="E606" i="1" s="1"/>
  <c r="C1082" i="1" l="1"/>
  <c r="D1082" i="1" s="1"/>
  <c r="B1083" i="1"/>
  <c r="H606" i="1"/>
  <c r="J606" i="1"/>
  <c r="G606" i="1" s="1"/>
  <c r="F606" i="1"/>
  <c r="B1084" i="1" l="1"/>
  <c r="C1083" i="1"/>
  <c r="D1083" i="1" s="1"/>
  <c r="I606" i="1"/>
  <c r="E607" i="1" s="1"/>
  <c r="C1084" i="1" l="1"/>
  <c r="D1084" i="1" s="1"/>
  <c r="B1085" i="1"/>
  <c r="H607" i="1"/>
  <c r="J607" i="1"/>
  <c r="G607" i="1" s="1"/>
  <c r="F607" i="1"/>
  <c r="B1086" i="1" l="1"/>
  <c r="C1085" i="1"/>
  <c r="D1085" i="1" s="1"/>
  <c r="I607" i="1"/>
  <c r="E608" i="1" s="1"/>
  <c r="B1087" i="1" l="1"/>
  <c r="C1086" i="1"/>
  <c r="D1086" i="1" s="1"/>
  <c r="H608" i="1"/>
  <c r="F608" i="1"/>
  <c r="J608" i="1"/>
  <c r="G608" i="1" s="1"/>
  <c r="C1087" i="1" l="1"/>
  <c r="D1087" i="1" s="1"/>
  <c r="B1088" i="1"/>
  <c r="I608" i="1"/>
  <c r="E609" i="1" s="1"/>
  <c r="C1088" i="1" l="1"/>
  <c r="D1088" i="1" s="1"/>
  <c r="B1089" i="1"/>
  <c r="H609" i="1"/>
  <c r="J609" i="1"/>
  <c r="G609" i="1" s="1"/>
  <c r="F609" i="1"/>
  <c r="B1090" i="1" l="1"/>
  <c r="C1089" i="1"/>
  <c r="D1089" i="1" s="1"/>
  <c r="I609" i="1"/>
  <c r="E610" i="1" s="1"/>
  <c r="B1091" i="1" l="1"/>
  <c r="C1090" i="1"/>
  <c r="D1090" i="1" s="1"/>
  <c r="J610" i="1"/>
  <c r="G610" i="1" s="1"/>
  <c r="H610" i="1"/>
  <c r="F610" i="1"/>
  <c r="B1092" i="1" l="1"/>
  <c r="C1091" i="1"/>
  <c r="D1091" i="1" s="1"/>
  <c r="I610" i="1"/>
  <c r="E611" i="1" s="1"/>
  <c r="C1092" i="1" l="1"/>
  <c r="D1092" i="1" s="1"/>
  <c r="B1093" i="1"/>
  <c r="J611" i="1"/>
  <c r="G611" i="1" s="1"/>
  <c r="H611" i="1"/>
  <c r="F611" i="1"/>
  <c r="B1094" i="1" l="1"/>
  <c r="C1093" i="1"/>
  <c r="D1093" i="1" s="1"/>
  <c r="I611" i="1"/>
  <c r="E612" i="1" s="1"/>
  <c r="J612" i="1" s="1"/>
  <c r="G612" i="1" s="1"/>
  <c r="B1095" i="1" l="1"/>
  <c r="C1094" i="1"/>
  <c r="D1094" i="1" s="1"/>
  <c r="H612" i="1"/>
  <c r="F612" i="1"/>
  <c r="I612" i="1" s="1"/>
  <c r="E613" i="1" s="1"/>
  <c r="C1095" i="1" l="1"/>
  <c r="D1095" i="1" s="1"/>
  <c r="B1096" i="1"/>
  <c r="J613" i="1"/>
  <c r="G613" i="1" s="1"/>
  <c r="H613" i="1"/>
  <c r="F613" i="1"/>
  <c r="C1096" i="1" l="1"/>
  <c r="D1096" i="1" s="1"/>
  <c r="B1097" i="1"/>
  <c r="I613" i="1"/>
  <c r="E614" i="1" s="1"/>
  <c r="B1098" i="1" l="1"/>
  <c r="C1097" i="1"/>
  <c r="D1097" i="1" s="1"/>
  <c r="J614" i="1"/>
  <c r="G614" i="1" s="1"/>
  <c r="H614" i="1"/>
  <c r="F614" i="1"/>
  <c r="B1099" i="1" l="1"/>
  <c r="C1098" i="1"/>
  <c r="D1098" i="1" s="1"/>
  <c r="I614" i="1"/>
  <c r="E615" i="1" s="1"/>
  <c r="B1100" i="1" l="1"/>
  <c r="C1099" i="1"/>
  <c r="D1099" i="1" s="1"/>
  <c r="H615" i="1"/>
  <c r="J615" i="1"/>
  <c r="G615" i="1" s="1"/>
  <c r="F615" i="1"/>
  <c r="C1100" i="1" l="1"/>
  <c r="D1100" i="1" s="1"/>
  <c r="B1101" i="1"/>
  <c r="I615" i="1"/>
  <c r="E616" i="1" s="1"/>
  <c r="C1101" i="1" l="1"/>
  <c r="D1101" i="1" s="1"/>
  <c r="B1102" i="1"/>
  <c r="H616" i="1"/>
  <c r="J616" i="1"/>
  <c r="G616" i="1" s="1"/>
  <c r="F616" i="1"/>
  <c r="C1102" i="1" l="1"/>
  <c r="D1102" i="1" s="1"/>
  <c r="B1103" i="1"/>
  <c r="I616" i="1"/>
  <c r="E617" i="1" s="1"/>
  <c r="C1103" i="1" l="1"/>
  <c r="D1103" i="1" s="1"/>
  <c r="B1104" i="1"/>
  <c r="H617" i="1"/>
  <c r="J617" i="1"/>
  <c r="G617" i="1" s="1"/>
  <c r="F617" i="1"/>
  <c r="C1104" i="1" l="1"/>
  <c r="D1104" i="1" s="1"/>
  <c r="B1105" i="1"/>
  <c r="I617" i="1"/>
  <c r="E618" i="1" s="1"/>
  <c r="B1106" i="1" l="1"/>
  <c r="C1105" i="1"/>
  <c r="D1105" i="1" s="1"/>
  <c r="J618" i="1"/>
  <c r="G618" i="1" s="1"/>
  <c r="H618" i="1"/>
  <c r="F618" i="1"/>
  <c r="C1106" i="1" l="1"/>
  <c r="D1106" i="1" s="1"/>
  <c r="B1107" i="1"/>
  <c r="I618" i="1"/>
  <c r="E619" i="1" s="1"/>
  <c r="C1107" i="1" l="1"/>
  <c r="D1107" i="1" s="1"/>
  <c r="B1108" i="1"/>
  <c r="J619" i="1"/>
  <c r="G619" i="1" s="1"/>
  <c r="H619" i="1"/>
  <c r="F619" i="1"/>
  <c r="C1108" i="1" l="1"/>
  <c r="D1108" i="1" s="1"/>
  <c r="B1109" i="1"/>
  <c r="I619" i="1"/>
  <c r="E620" i="1" s="1"/>
  <c r="B1110" i="1" l="1"/>
  <c r="C1109" i="1"/>
  <c r="D1109" i="1" s="1"/>
  <c r="H620" i="1"/>
  <c r="J620" i="1"/>
  <c r="G620" i="1" s="1"/>
  <c r="F620" i="1"/>
  <c r="C1110" i="1" l="1"/>
  <c r="D1110" i="1" s="1"/>
  <c r="B1111" i="1"/>
  <c r="I620" i="1"/>
  <c r="E621" i="1" s="1"/>
  <c r="C1111" i="1" l="1"/>
  <c r="D1111" i="1" s="1"/>
  <c r="B1112" i="1"/>
  <c r="F621" i="1"/>
  <c r="H621" i="1"/>
  <c r="J621" i="1"/>
  <c r="G621" i="1" s="1"/>
  <c r="C1112" i="1" l="1"/>
  <c r="D1112" i="1" s="1"/>
  <c r="B1113" i="1"/>
  <c r="I621" i="1"/>
  <c r="E622" i="1" s="1"/>
  <c r="C1113" i="1" l="1"/>
  <c r="D1113" i="1" s="1"/>
  <c r="B1114" i="1"/>
  <c r="H622" i="1"/>
  <c r="J622" i="1"/>
  <c r="G622" i="1" s="1"/>
  <c r="F622" i="1"/>
  <c r="C1114" i="1" l="1"/>
  <c r="D1114" i="1" s="1"/>
  <c r="B1115" i="1"/>
  <c r="I622" i="1"/>
  <c r="E623" i="1" s="1"/>
  <c r="C1115" i="1" l="1"/>
  <c r="D1115" i="1" s="1"/>
  <c r="B1116" i="1"/>
  <c r="J623" i="1"/>
  <c r="G623" i="1" s="1"/>
  <c r="F623" i="1"/>
  <c r="H623" i="1"/>
  <c r="C1116" i="1" l="1"/>
  <c r="D1116" i="1" s="1"/>
  <c r="B1117" i="1"/>
  <c r="I623" i="1"/>
  <c r="E624" i="1" s="1"/>
  <c r="B1118" i="1" l="1"/>
  <c r="C1117" i="1"/>
  <c r="D1117" i="1" s="1"/>
  <c r="H624" i="1"/>
  <c r="F624" i="1"/>
  <c r="J624" i="1"/>
  <c r="G624" i="1" s="1"/>
  <c r="C1118" i="1" l="1"/>
  <c r="D1118" i="1" s="1"/>
  <c r="B1119" i="1"/>
  <c r="I624" i="1"/>
  <c r="E625" i="1" s="1"/>
  <c r="B1120" i="1" l="1"/>
  <c r="C1119" i="1"/>
  <c r="D1119" i="1" s="1"/>
  <c r="J625" i="1"/>
  <c r="G625" i="1" s="1"/>
  <c r="F625" i="1"/>
  <c r="H625" i="1"/>
  <c r="C1120" i="1" l="1"/>
  <c r="D1120" i="1" s="1"/>
  <c r="B1121" i="1"/>
  <c r="I625" i="1"/>
  <c r="E626" i="1" s="1"/>
  <c r="C1121" i="1" l="1"/>
  <c r="D1121" i="1" s="1"/>
  <c r="B1122" i="1"/>
  <c r="J626" i="1"/>
  <c r="G626" i="1" s="1"/>
  <c r="H626" i="1"/>
  <c r="F626" i="1"/>
  <c r="C1122" i="1" l="1"/>
  <c r="D1122" i="1" s="1"/>
  <c r="B1123" i="1"/>
  <c r="I626" i="1"/>
  <c r="E627" i="1" s="1"/>
  <c r="C1123" i="1" l="1"/>
  <c r="D1123" i="1" s="1"/>
  <c r="B1124" i="1"/>
  <c r="H627" i="1"/>
  <c r="J627" i="1"/>
  <c r="G627" i="1" s="1"/>
  <c r="F627" i="1"/>
  <c r="C1124" i="1" l="1"/>
  <c r="D1124" i="1" s="1"/>
  <c r="B1125" i="1"/>
  <c r="I627" i="1"/>
  <c r="E628" i="1" s="1"/>
  <c r="C1125" i="1" l="1"/>
  <c r="D1125" i="1" s="1"/>
  <c r="B1126" i="1"/>
  <c r="J628" i="1"/>
  <c r="G628" i="1" s="1"/>
  <c r="F628" i="1"/>
  <c r="H628" i="1"/>
  <c r="C1126" i="1" l="1"/>
  <c r="D1126" i="1" s="1"/>
  <c r="B1127" i="1"/>
  <c r="I628" i="1"/>
  <c r="E629" i="1" s="1"/>
  <c r="H629" i="1" s="1"/>
  <c r="C1127" i="1" l="1"/>
  <c r="D1127" i="1" s="1"/>
  <c r="B1128" i="1"/>
  <c r="J629" i="1"/>
  <c r="G629" i="1" s="1"/>
  <c r="I629" i="1" s="1"/>
  <c r="E630" i="1" s="1"/>
  <c r="F629" i="1"/>
  <c r="C1128" i="1" l="1"/>
  <c r="D1128" i="1" s="1"/>
  <c r="B1129" i="1"/>
  <c r="J630" i="1"/>
  <c r="G630" i="1" s="1"/>
  <c r="H630" i="1"/>
  <c r="F630" i="1"/>
  <c r="C1129" i="1" l="1"/>
  <c r="D1129" i="1" s="1"/>
  <c r="B1130" i="1"/>
  <c r="I630" i="1"/>
  <c r="E631" i="1" s="1"/>
  <c r="C1130" i="1" l="1"/>
  <c r="D1130" i="1" s="1"/>
  <c r="B1131" i="1"/>
  <c r="H631" i="1"/>
  <c r="F631" i="1"/>
  <c r="J631" i="1"/>
  <c r="G631" i="1" s="1"/>
  <c r="B1132" i="1" l="1"/>
  <c r="C1131" i="1"/>
  <c r="D1131" i="1" s="1"/>
  <c r="I631" i="1"/>
  <c r="E632" i="1" s="1"/>
  <c r="C1132" i="1" l="1"/>
  <c r="D1132" i="1" s="1"/>
  <c r="B1133" i="1"/>
  <c r="H632" i="1"/>
  <c r="J632" i="1"/>
  <c r="G632" i="1" s="1"/>
  <c r="F632" i="1"/>
  <c r="B1134" i="1" l="1"/>
  <c r="C1133" i="1"/>
  <c r="D1133" i="1" s="1"/>
  <c r="I632" i="1"/>
  <c r="E633" i="1" s="1"/>
  <c r="C1134" i="1" l="1"/>
  <c r="D1134" i="1" s="1"/>
  <c r="B1135" i="1"/>
  <c r="H633" i="1"/>
  <c r="J633" i="1"/>
  <c r="G633" i="1" s="1"/>
  <c r="F633" i="1"/>
  <c r="B1136" i="1" l="1"/>
  <c r="C1135" i="1"/>
  <c r="D1135" i="1" s="1"/>
  <c r="I633" i="1"/>
  <c r="E634" i="1" s="1"/>
  <c r="C1136" i="1" l="1"/>
  <c r="D1136" i="1" s="1"/>
  <c r="B1137" i="1"/>
  <c r="H634" i="1"/>
  <c r="F634" i="1"/>
  <c r="J634" i="1"/>
  <c r="G634" i="1" s="1"/>
  <c r="C1137" i="1" l="1"/>
  <c r="D1137" i="1" s="1"/>
  <c r="B1138" i="1"/>
  <c r="I634" i="1"/>
  <c r="E635" i="1" s="1"/>
  <c r="C1138" i="1" l="1"/>
  <c r="D1138" i="1" s="1"/>
  <c r="B1139" i="1"/>
  <c r="H635" i="1"/>
  <c r="F635" i="1"/>
  <c r="J635" i="1"/>
  <c r="G635" i="1" s="1"/>
  <c r="C1139" i="1" l="1"/>
  <c r="D1139" i="1" s="1"/>
  <c r="B1140" i="1"/>
  <c r="I635" i="1"/>
  <c r="E636" i="1" s="1"/>
  <c r="B1141" i="1" l="1"/>
  <c r="C1140" i="1"/>
  <c r="D1140" i="1" s="1"/>
  <c r="J636" i="1"/>
  <c r="G636" i="1" s="1"/>
  <c r="H636" i="1"/>
  <c r="F636" i="1"/>
  <c r="B1142" i="1" l="1"/>
  <c r="C1141" i="1"/>
  <c r="D1141" i="1" s="1"/>
  <c r="I636" i="1"/>
  <c r="E637" i="1" s="1"/>
  <c r="C1142" i="1" l="1"/>
  <c r="D1142" i="1" s="1"/>
  <c r="B1143" i="1"/>
  <c r="J637" i="1"/>
  <c r="G637" i="1" s="1"/>
  <c r="F637" i="1"/>
  <c r="H637" i="1"/>
  <c r="C1143" i="1" l="1"/>
  <c r="D1143" i="1" s="1"/>
  <c r="B1144" i="1"/>
  <c r="I637" i="1"/>
  <c r="E638" i="1" s="1"/>
  <c r="J638" i="1" s="1"/>
  <c r="G638" i="1" s="1"/>
  <c r="C1144" i="1" l="1"/>
  <c r="D1144" i="1" s="1"/>
  <c r="B1145" i="1"/>
  <c r="H638" i="1"/>
  <c r="F638" i="1"/>
  <c r="I638" i="1"/>
  <c r="E639" i="1" s="1"/>
  <c r="B1146" i="1" l="1"/>
  <c r="C1145" i="1"/>
  <c r="D1145" i="1" s="1"/>
  <c r="J639" i="1"/>
  <c r="G639" i="1" s="1"/>
  <c r="F639" i="1"/>
  <c r="H639" i="1"/>
  <c r="C1146" i="1" l="1"/>
  <c r="D1146" i="1" s="1"/>
  <c r="B1147" i="1"/>
  <c r="I639" i="1"/>
  <c r="E640" i="1" s="1"/>
  <c r="H640" i="1" s="1"/>
  <c r="B1148" i="1" l="1"/>
  <c r="C1147" i="1"/>
  <c r="D1147" i="1" s="1"/>
  <c r="F640" i="1"/>
  <c r="J640" i="1"/>
  <c r="G640" i="1" s="1"/>
  <c r="I640" i="1" s="1"/>
  <c r="E641" i="1" s="1"/>
  <c r="B1149" i="1" l="1"/>
  <c r="C1148" i="1"/>
  <c r="D1148" i="1" s="1"/>
  <c r="J641" i="1"/>
  <c r="G641" i="1" s="1"/>
  <c r="H641" i="1"/>
  <c r="F641" i="1"/>
  <c r="C1149" i="1" l="1"/>
  <c r="D1149" i="1" s="1"/>
  <c r="B1150" i="1"/>
  <c r="I641" i="1"/>
  <c r="E642" i="1" s="1"/>
  <c r="J642" i="1" s="1"/>
  <c r="G642" i="1" s="1"/>
  <c r="C1150" i="1" l="1"/>
  <c r="D1150" i="1" s="1"/>
  <c r="B1151" i="1"/>
  <c r="F642" i="1"/>
  <c r="H642" i="1"/>
  <c r="I642" i="1"/>
  <c r="E643" i="1" s="1"/>
  <c r="J643" i="1" s="1"/>
  <c r="G643" i="1" s="1"/>
  <c r="C1151" i="1" l="1"/>
  <c r="D1151" i="1" s="1"/>
  <c r="B1152" i="1"/>
  <c r="F643" i="1"/>
  <c r="H643" i="1"/>
  <c r="I643" i="1"/>
  <c r="E644" i="1" s="1"/>
  <c r="C1152" i="1" l="1"/>
  <c r="D1152" i="1" s="1"/>
  <c r="B1153" i="1"/>
  <c r="H644" i="1"/>
  <c r="F644" i="1"/>
  <c r="J644" i="1"/>
  <c r="G644" i="1" s="1"/>
  <c r="C1153" i="1" l="1"/>
  <c r="D1153" i="1" s="1"/>
  <c r="B1154" i="1"/>
  <c r="I644" i="1"/>
  <c r="E645" i="1" s="1"/>
  <c r="C1154" i="1" l="1"/>
  <c r="D1154" i="1" s="1"/>
  <c r="B1155" i="1"/>
  <c r="H645" i="1"/>
  <c r="J645" i="1"/>
  <c r="G645" i="1" s="1"/>
  <c r="F645" i="1"/>
  <c r="B1156" i="1" l="1"/>
  <c r="C1155" i="1"/>
  <c r="D1155" i="1" s="1"/>
  <c r="I645" i="1"/>
  <c r="E646" i="1" s="1"/>
  <c r="C1156" i="1" l="1"/>
  <c r="D1156" i="1" s="1"/>
  <c r="B1157" i="1"/>
  <c r="H646" i="1"/>
  <c r="F646" i="1"/>
  <c r="J646" i="1"/>
  <c r="G646" i="1" s="1"/>
  <c r="B1158" i="1" l="1"/>
  <c r="C1157" i="1"/>
  <c r="D1157" i="1" s="1"/>
  <c r="I646" i="1"/>
  <c r="E647" i="1" s="1"/>
  <c r="C1158" i="1" l="1"/>
  <c r="D1158" i="1" s="1"/>
  <c r="B1159" i="1"/>
  <c r="J647" i="1"/>
  <c r="G647" i="1" s="1"/>
  <c r="H647" i="1"/>
  <c r="F647" i="1"/>
  <c r="C1159" i="1" l="1"/>
  <c r="D1159" i="1" s="1"/>
  <c r="B1160" i="1"/>
  <c r="I647" i="1"/>
  <c r="E648" i="1" s="1"/>
  <c r="C1160" i="1" l="1"/>
  <c r="D1160" i="1" s="1"/>
  <c r="B1161" i="1"/>
  <c r="J648" i="1"/>
  <c r="G648" i="1" s="1"/>
  <c r="H648" i="1"/>
  <c r="F648" i="1"/>
  <c r="C1161" i="1" l="1"/>
  <c r="D1161" i="1" s="1"/>
  <c r="B1162" i="1"/>
  <c r="I648" i="1"/>
  <c r="E649" i="1" s="1"/>
  <c r="C1162" i="1" l="1"/>
  <c r="D1162" i="1" s="1"/>
  <c r="B1163" i="1"/>
  <c r="H649" i="1"/>
  <c r="J649" i="1"/>
  <c r="G649" i="1" s="1"/>
  <c r="F649" i="1"/>
  <c r="B1164" i="1" l="1"/>
  <c r="C1163" i="1"/>
  <c r="D1163" i="1" s="1"/>
  <c r="I649" i="1"/>
  <c r="E650" i="1" s="1"/>
  <c r="B1165" i="1" l="1"/>
  <c r="C1164" i="1"/>
  <c r="D1164" i="1" s="1"/>
  <c r="J650" i="1"/>
  <c r="G650" i="1" s="1"/>
  <c r="H650" i="1"/>
  <c r="F650" i="1"/>
  <c r="B1166" i="1" l="1"/>
  <c r="C1165" i="1"/>
  <c r="D1165" i="1" s="1"/>
  <c r="I650" i="1"/>
  <c r="E651" i="1" s="1"/>
  <c r="C1166" i="1" l="1"/>
  <c r="D1166" i="1" s="1"/>
  <c r="B1167" i="1"/>
  <c r="J651" i="1"/>
  <c r="G651" i="1" s="1"/>
  <c r="F651" i="1"/>
  <c r="H651" i="1"/>
  <c r="B1168" i="1" l="1"/>
  <c r="C1167" i="1"/>
  <c r="D1167" i="1" s="1"/>
  <c r="I651" i="1"/>
  <c r="E652" i="1" s="1"/>
  <c r="B1169" i="1" l="1"/>
  <c r="C1168" i="1"/>
  <c r="D1168" i="1" s="1"/>
  <c r="F652" i="1"/>
  <c r="J652" i="1"/>
  <c r="G652" i="1" s="1"/>
  <c r="H652" i="1"/>
  <c r="B1170" i="1" l="1"/>
  <c r="C1169" i="1"/>
  <c r="D1169" i="1" s="1"/>
  <c r="I652" i="1"/>
  <c r="E653" i="1" s="1"/>
  <c r="C1170" i="1" l="1"/>
  <c r="D1170" i="1" s="1"/>
  <c r="B1171" i="1"/>
  <c r="H653" i="1"/>
  <c r="F653" i="1"/>
  <c r="J653" i="1"/>
  <c r="G653" i="1" s="1"/>
  <c r="B1172" i="1" l="1"/>
  <c r="C1171" i="1"/>
  <c r="D1171" i="1" s="1"/>
  <c r="I653" i="1"/>
  <c r="E654" i="1" s="1"/>
  <c r="C1172" i="1" l="1"/>
  <c r="D1172" i="1" s="1"/>
  <c r="B1173" i="1"/>
  <c r="H654" i="1"/>
  <c r="F654" i="1"/>
  <c r="J654" i="1"/>
  <c r="G654" i="1" s="1"/>
  <c r="C1173" i="1" l="1"/>
  <c r="D1173" i="1" s="1"/>
  <c r="B1174" i="1"/>
  <c r="I654" i="1"/>
  <c r="E655" i="1" s="1"/>
  <c r="C1174" i="1" l="1"/>
  <c r="D1174" i="1" s="1"/>
  <c r="B1175" i="1"/>
  <c r="J655" i="1"/>
  <c r="G655" i="1" s="1"/>
  <c r="H655" i="1"/>
  <c r="F655" i="1"/>
  <c r="B1176" i="1" l="1"/>
  <c r="C1175" i="1"/>
  <c r="D1175" i="1" s="1"/>
  <c r="I655" i="1"/>
  <c r="E656" i="1" s="1"/>
  <c r="B1177" i="1" l="1"/>
  <c r="C1176" i="1"/>
  <c r="D1176" i="1" s="1"/>
  <c r="J656" i="1"/>
  <c r="G656" i="1" s="1"/>
  <c r="F656" i="1"/>
  <c r="H656" i="1"/>
  <c r="B1178" i="1" l="1"/>
  <c r="C1177" i="1"/>
  <c r="D1177" i="1" s="1"/>
  <c r="I656" i="1"/>
  <c r="E657" i="1" s="1"/>
  <c r="B1179" i="1" l="1"/>
  <c r="C1178" i="1"/>
  <c r="D1178" i="1" s="1"/>
  <c r="H657" i="1"/>
  <c r="F657" i="1"/>
  <c r="J657" i="1"/>
  <c r="G657" i="1" s="1"/>
  <c r="C1179" i="1" l="1"/>
  <c r="D1179" i="1" s="1"/>
  <c r="B1180" i="1"/>
  <c r="I657" i="1"/>
  <c r="E658" i="1" s="1"/>
  <c r="B1181" i="1" l="1"/>
  <c r="C1180" i="1"/>
  <c r="D1180" i="1" s="1"/>
  <c r="H658" i="1"/>
  <c r="F658" i="1"/>
  <c r="J658" i="1"/>
  <c r="G658" i="1" s="1"/>
  <c r="B1182" i="1" l="1"/>
  <c r="C1181" i="1"/>
  <c r="D1181" i="1" s="1"/>
  <c r="I658" i="1"/>
  <c r="E659" i="1" s="1"/>
  <c r="C1182" i="1" l="1"/>
  <c r="D1182" i="1" s="1"/>
  <c r="B1183" i="1"/>
  <c r="J659" i="1"/>
  <c r="G659" i="1" s="1"/>
  <c r="H659" i="1"/>
  <c r="F659" i="1"/>
  <c r="B1184" i="1" l="1"/>
  <c r="C1183" i="1"/>
  <c r="D1183" i="1" s="1"/>
  <c r="I659" i="1"/>
  <c r="E660" i="1" s="1"/>
  <c r="J660" i="1" s="1"/>
  <c r="G660" i="1" s="1"/>
  <c r="C1184" i="1" l="1"/>
  <c r="D1184" i="1" s="1"/>
  <c r="B1185" i="1"/>
  <c r="F660" i="1"/>
  <c r="H660" i="1"/>
  <c r="I660" i="1" s="1"/>
  <c r="E661" i="1" s="1"/>
  <c r="J661" i="1" s="1"/>
  <c r="G661" i="1" s="1"/>
  <c r="C1185" i="1" l="1"/>
  <c r="D1185" i="1" s="1"/>
  <c r="B1186" i="1"/>
  <c r="F661" i="1"/>
  <c r="H661" i="1"/>
  <c r="I661" i="1" s="1"/>
  <c r="E662" i="1" s="1"/>
  <c r="B1187" i="1" l="1"/>
  <c r="C1186" i="1"/>
  <c r="D1186" i="1" s="1"/>
  <c r="J662" i="1"/>
  <c r="G662" i="1" s="1"/>
  <c r="F662" i="1"/>
  <c r="H662" i="1"/>
  <c r="C1187" i="1" l="1"/>
  <c r="D1187" i="1" s="1"/>
  <c r="B1188" i="1"/>
  <c r="I662" i="1"/>
  <c r="E663" i="1" s="1"/>
  <c r="C1188" i="1" l="1"/>
  <c r="D1188" i="1" s="1"/>
  <c r="B1189" i="1"/>
  <c r="H663" i="1"/>
  <c r="F663" i="1"/>
  <c r="J663" i="1"/>
  <c r="G663" i="1" s="1"/>
  <c r="C1189" i="1" l="1"/>
  <c r="D1189" i="1" s="1"/>
  <c r="B1190" i="1"/>
  <c r="I663" i="1"/>
  <c r="E664" i="1" s="1"/>
  <c r="B1191" i="1" l="1"/>
  <c r="C1190" i="1"/>
  <c r="D1190" i="1" s="1"/>
  <c r="H664" i="1"/>
  <c r="J664" i="1"/>
  <c r="G664" i="1" s="1"/>
  <c r="F664" i="1"/>
  <c r="C1191" i="1" l="1"/>
  <c r="D1191" i="1" s="1"/>
  <c r="B1192" i="1"/>
  <c r="I664" i="1"/>
  <c r="E665" i="1" s="1"/>
  <c r="B1193" i="1" l="1"/>
  <c r="C1192" i="1"/>
  <c r="D1192" i="1" s="1"/>
  <c r="H665" i="1"/>
  <c r="J665" i="1"/>
  <c r="G665" i="1" s="1"/>
  <c r="F665" i="1"/>
  <c r="C1193" i="1" l="1"/>
  <c r="D1193" i="1" s="1"/>
  <c r="B1194" i="1"/>
  <c r="I665" i="1"/>
  <c r="E666" i="1" s="1"/>
  <c r="B1195" i="1" l="1"/>
  <c r="C1194" i="1"/>
  <c r="D1194" i="1" s="1"/>
  <c r="H666" i="1"/>
  <c r="J666" i="1"/>
  <c r="G666" i="1" s="1"/>
  <c r="F666" i="1"/>
  <c r="C1195" i="1" l="1"/>
  <c r="D1195" i="1" s="1"/>
  <c r="B1196" i="1"/>
  <c r="I666" i="1"/>
  <c r="E667" i="1" s="1"/>
  <c r="H667" i="1" s="1"/>
  <c r="C1196" i="1" l="1"/>
  <c r="D1196" i="1" s="1"/>
  <c r="B1197" i="1"/>
  <c r="F667" i="1"/>
  <c r="J667" i="1"/>
  <c r="G667" i="1" s="1"/>
  <c r="I667" i="1" s="1"/>
  <c r="E668" i="1" s="1"/>
  <c r="C1197" i="1" l="1"/>
  <c r="D1197" i="1" s="1"/>
  <c r="B1198" i="1"/>
  <c r="H668" i="1"/>
  <c r="J668" i="1"/>
  <c r="G668" i="1" s="1"/>
  <c r="F668" i="1"/>
  <c r="B1199" i="1" l="1"/>
  <c r="C1198" i="1"/>
  <c r="D1198" i="1" s="1"/>
  <c r="I668" i="1"/>
  <c r="E669" i="1" s="1"/>
  <c r="C1199" i="1" l="1"/>
  <c r="D1199" i="1" s="1"/>
  <c r="B1200" i="1"/>
  <c r="H669" i="1"/>
  <c r="F669" i="1"/>
  <c r="J669" i="1"/>
  <c r="G669" i="1" s="1"/>
  <c r="C1200" i="1" l="1"/>
  <c r="D1200" i="1" s="1"/>
  <c r="B1201" i="1"/>
  <c r="I669" i="1"/>
  <c r="E670" i="1" s="1"/>
  <c r="C1201" i="1" l="1"/>
  <c r="D1201" i="1" s="1"/>
  <c r="B1202" i="1"/>
  <c r="H670" i="1"/>
  <c r="J670" i="1"/>
  <c r="G670" i="1" s="1"/>
  <c r="F670" i="1"/>
  <c r="C1202" i="1" l="1"/>
  <c r="D1202" i="1" s="1"/>
  <c r="B1203" i="1"/>
  <c r="I670" i="1"/>
  <c r="E671" i="1" s="1"/>
  <c r="C1203" i="1" l="1"/>
  <c r="D1203" i="1" s="1"/>
  <c r="B1204" i="1"/>
  <c r="H671" i="1"/>
  <c r="J671" i="1"/>
  <c r="G671" i="1" s="1"/>
  <c r="F671" i="1"/>
  <c r="C1204" i="1" l="1"/>
  <c r="D1204" i="1" s="1"/>
  <c r="B1205" i="1"/>
  <c r="I671" i="1"/>
  <c r="E672" i="1" s="1"/>
  <c r="C1205" i="1" l="1"/>
  <c r="D1205" i="1" s="1"/>
  <c r="B1206" i="1"/>
  <c r="J672" i="1"/>
  <c r="G672" i="1" s="1"/>
  <c r="H672" i="1"/>
  <c r="F672" i="1"/>
  <c r="C1206" i="1" l="1"/>
  <c r="D1206" i="1" s="1"/>
  <c r="B1207" i="1"/>
  <c r="I672" i="1"/>
  <c r="E673" i="1" s="1"/>
  <c r="J673" i="1" s="1"/>
  <c r="G673" i="1" s="1"/>
  <c r="C1207" i="1" l="1"/>
  <c r="D1207" i="1" s="1"/>
  <c r="B1208" i="1"/>
  <c r="H673" i="1"/>
  <c r="F673" i="1"/>
  <c r="B1209" i="1" l="1"/>
  <c r="C1208" i="1"/>
  <c r="D1208" i="1" s="1"/>
  <c r="I673" i="1"/>
  <c r="E674" i="1" s="1"/>
  <c r="H674" i="1" s="1"/>
  <c r="C1209" i="1" l="1"/>
  <c r="D1209" i="1" s="1"/>
  <c r="B1210" i="1"/>
  <c r="J674" i="1"/>
  <c r="G674" i="1" s="1"/>
  <c r="F674" i="1"/>
  <c r="I674" i="1" l="1"/>
  <c r="E675" i="1" s="1"/>
  <c r="C1210" i="1"/>
  <c r="D1210" i="1" s="1"/>
  <c r="B1211" i="1"/>
  <c r="H675" i="1"/>
  <c r="J675" i="1"/>
  <c r="G675" i="1" s="1"/>
  <c r="F675" i="1"/>
  <c r="C1211" i="1" l="1"/>
  <c r="D1211" i="1" s="1"/>
  <c r="B1212" i="1"/>
  <c r="I675" i="1"/>
  <c r="E676" i="1" s="1"/>
  <c r="C1212" i="1" l="1"/>
  <c r="D1212" i="1" s="1"/>
  <c r="B1213" i="1"/>
  <c r="J676" i="1"/>
  <c r="G676" i="1" s="1"/>
  <c r="H676" i="1"/>
  <c r="F676" i="1"/>
  <c r="C1213" i="1" l="1"/>
  <c r="D1213" i="1" s="1"/>
  <c r="B1214" i="1"/>
  <c r="I676" i="1"/>
  <c r="E677" i="1" s="1"/>
  <c r="J677" i="1" s="1"/>
  <c r="G677" i="1" s="1"/>
  <c r="B1215" i="1" l="1"/>
  <c r="C1214" i="1"/>
  <c r="D1214" i="1" s="1"/>
  <c r="F677" i="1"/>
  <c r="H677" i="1"/>
  <c r="I677" i="1"/>
  <c r="E678" i="1" s="1"/>
  <c r="B1216" i="1" l="1"/>
  <c r="C1215" i="1"/>
  <c r="D1215" i="1" s="1"/>
  <c r="H678" i="1"/>
  <c r="J678" i="1"/>
  <c r="G678" i="1" s="1"/>
  <c r="F678" i="1"/>
  <c r="C1216" i="1" l="1"/>
  <c r="D1216" i="1" s="1"/>
  <c r="B1217" i="1"/>
  <c r="I678" i="1"/>
  <c r="E679" i="1" s="1"/>
  <c r="C1217" i="1" l="1"/>
  <c r="D1217" i="1" s="1"/>
  <c r="B1218" i="1"/>
  <c r="F679" i="1"/>
  <c r="J679" i="1"/>
  <c r="G679" i="1" s="1"/>
  <c r="H679" i="1"/>
  <c r="B1219" i="1" l="1"/>
  <c r="C1218" i="1"/>
  <c r="D1218" i="1" s="1"/>
  <c r="I679" i="1"/>
  <c r="E680" i="1" s="1"/>
  <c r="C1219" i="1" l="1"/>
  <c r="D1219" i="1" s="1"/>
  <c r="B1220" i="1"/>
  <c r="H680" i="1"/>
  <c r="F680" i="1"/>
  <c r="J680" i="1"/>
  <c r="G680" i="1" s="1"/>
  <c r="C1220" i="1" l="1"/>
  <c r="D1220" i="1" s="1"/>
  <c r="B1221" i="1"/>
  <c r="I680" i="1"/>
  <c r="E681" i="1" s="1"/>
  <c r="C1221" i="1" l="1"/>
  <c r="D1221" i="1" s="1"/>
  <c r="B1222" i="1"/>
  <c r="J681" i="1"/>
  <c r="G681" i="1" s="1"/>
  <c r="H681" i="1"/>
  <c r="F681" i="1"/>
  <c r="B1223" i="1" l="1"/>
  <c r="C1222" i="1"/>
  <c r="D1222" i="1" s="1"/>
  <c r="I681" i="1"/>
  <c r="E682" i="1" s="1"/>
  <c r="B1224" i="1" l="1"/>
  <c r="C1223" i="1"/>
  <c r="D1223" i="1" s="1"/>
  <c r="H682" i="1"/>
  <c r="J682" i="1"/>
  <c r="G682" i="1" s="1"/>
  <c r="F682" i="1"/>
  <c r="B1225" i="1" l="1"/>
  <c r="C1224" i="1"/>
  <c r="D1224" i="1" s="1"/>
  <c r="I682" i="1"/>
  <c r="E683" i="1" s="1"/>
  <c r="B1226" i="1" l="1"/>
  <c r="C1225" i="1"/>
  <c r="D1225" i="1" s="1"/>
  <c r="J683" i="1"/>
  <c r="G683" i="1" s="1"/>
  <c r="H683" i="1"/>
  <c r="F683" i="1"/>
  <c r="B1227" i="1" l="1"/>
  <c r="C1226" i="1"/>
  <c r="D1226" i="1" s="1"/>
  <c r="I683" i="1"/>
  <c r="E684" i="1" s="1"/>
  <c r="C1227" i="1" l="1"/>
  <c r="D1227" i="1" s="1"/>
  <c r="B1228" i="1"/>
  <c r="F684" i="1"/>
  <c r="H684" i="1"/>
  <c r="J684" i="1"/>
  <c r="G684" i="1" s="1"/>
  <c r="C1228" i="1" l="1"/>
  <c r="D1228" i="1" s="1"/>
  <c r="B1229" i="1"/>
  <c r="I684" i="1"/>
  <c r="E685" i="1" s="1"/>
  <c r="C1229" i="1" l="1"/>
  <c r="D1229" i="1" s="1"/>
  <c r="B1230" i="1"/>
  <c r="F685" i="1"/>
  <c r="J685" i="1"/>
  <c r="G685" i="1" s="1"/>
  <c r="H685" i="1"/>
  <c r="C1230" i="1" l="1"/>
  <c r="D1230" i="1" s="1"/>
  <c r="B1231" i="1"/>
  <c r="I685" i="1"/>
  <c r="E686" i="1" s="1"/>
  <c r="H686" i="1" s="1"/>
  <c r="C1231" i="1" l="1"/>
  <c r="D1231" i="1" s="1"/>
  <c r="B1232" i="1"/>
  <c r="F686" i="1"/>
  <c r="J686" i="1"/>
  <c r="G686" i="1" s="1"/>
  <c r="I686" i="1" s="1"/>
  <c r="E687" i="1" s="1"/>
  <c r="C1232" i="1" l="1"/>
  <c r="D1232" i="1" s="1"/>
  <c r="B1233" i="1"/>
  <c r="F687" i="1"/>
  <c r="J687" i="1"/>
  <c r="G687" i="1" s="1"/>
  <c r="H687" i="1"/>
  <c r="C1233" i="1" l="1"/>
  <c r="D1233" i="1" s="1"/>
  <c r="B1234" i="1"/>
  <c r="I687" i="1"/>
  <c r="E688" i="1" s="1"/>
  <c r="C1234" i="1" l="1"/>
  <c r="D1234" i="1" s="1"/>
  <c r="B1235" i="1"/>
  <c r="J688" i="1"/>
  <c r="G688" i="1" s="1"/>
  <c r="H688" i="1"/>
  <c r="F688" i="1"/>
  <c r="C1235" i="1" l="1"/>
  <c r="D1235" i="1" s="1"/>
  <c r="B1236" i="1"/>
  <c r="I688" i="1"/>
  <c r="E689" i="1" s="1"/>
  <c r="H689" i="1" s="1"/>
  <c r="C1236" i="1" l="1"/>
  <c r="D1236" i="1" s="1"/>
  <c r="B1237" i="1"/>
  <c r="F689" i="1"/>
  <c r="J689" i="1"/>
  <c r="G689" i="1" s="1"/>
  <c r="I689" i="1" s="1"/>
  <c r="E690" i="1" s="1"/>
  <c r="B1238" i="1" l="1"/>
  <c r="C1237" i="1"/>
  <c r="D1237" i="1" s="1"/>
  <c r="J690" i="1"/>
  <c r="G690" i="1" s="1"/>
  <c r="F690" i="1"/>
  <c r="H690" i="1"/>
  <c r="C1238" i="1" l="1"/>
  <c r="D1238" i="1" s="1"/>
  <c r="B1239" i="1"/>
  <c r="I690" i="1"/>
  <c r="E691" i="1" s="1"/>
  <c r="J691" i="1" s="1"/>
  <c r="G691" i="1" s="1"/>
  <c r="C1239" i="1" l="1"/>
  <c r="D1239" i="1" s="1"/>
  <c r="B1240" i="1"/>
  <c r="F691" i="1"/>
  <c r="H691" i="1"/>
  <c r="I691" i="1"/>
  <c r="E692" i="1" s="1"/>
  <c r="B1241" i="1" l="1"/>
  <c r="C1240" i="1"/>
  <c r="D1240" i="1" s="1"/>
  <c r="H692" i="1"/>
  <c r="J692" i="1"/>
  <c r="G692" i="1" s="1"/>
  <c r="F692" i="1"/>
  <c r="B1242" i="1" l="1"/>
  <c r="C1241" i="1"/>
  <c r="D1241" i="1" s="1"/>
  <c r="I692" i="1"/>
  <c r="E693" i="1" s="1"/>
  <c r="C1242" i="1" l="1"/>
  <c r="D1242" i="1" s="1"/>
  <c r="B1243" i="1"/>
  <c r="H693" i="1"/>
  <c r="J693" i="1"/>
  <c r="G693" i="1" s="1"/>
  <c r="F693" i="1"/>
  <c r="C1243" i="1" l="1"/>
  <c r="D1243" i="1" s="1"/>
  <c r="B1244" i="1"/>
  <c r="I693" i="1"/>
  <c r="E694" i="1" s="1"/>
  <c r="C1244" i="1" l="1"/>
  <c r="D1244" i="1" s="1"/>
  <c r="B1245" i="1"/>
  <c r="J694" i="1"/>
  <c r="G694" i="1" s="1"/>
  <c r="H694" i="1"/>
  <c r="F694" i="1"/>
  <c r="B1246" i="1" l="1"/>
  <c r="C1245" i="1"/>
  <c r="D1245" i="1" s="1"/>
  <c r="I694" i="1"/>
  <c r="E695" i="1" s="1"/>
  <c r="C1246" i="1" l="1"/>
  <c r="D1246" i="1" s="1"/>
  <c r="B1247" i="1"/>
  <c r="J695" i="1"/>
  <c r="G695" i="1" s="1"/>
  <c r="F695" i="1"/>
  <c r="H695" i="1"/>
  <c r="B1248" i="1" l="1"/>
  <c r="C1247" i="1"/>
  <c r="D1247" i="1" s="1"/>
  <c r="I695" i="1"/>
  <c r="E696" i="1" s="1"/>
  <c r="J696" i="1" s="1"/>
  <c r="G696" i="1" s="1"/>
  <c r="F696" i="1" l="1"/>
  <c r="C1248" i="1"/>
  <c r="D1248" i="1" s="1"/>
  <c r="B1249" i="1"/>
  <c r="H696" i="1"/>
  <c r="I696" i="1"/>
  <c r="E697" i="1" s="1"/>
  <c r="C1249" i="1" l="1"/>
  <c r="D1249" i="1" s="1"/>
  <c r="B1250" i="1"/>
  <c r="H697" i="1"/>
  <c r="F697" i="1"/>
  <c r="J697" i="1"/>
  <c r="G697" i="1" s="1"/>
  <c r="C1250" i="1" l="1"/>
  <c r="D1250" i="1" s="1"/>
  <c r="B1251" i="1"/>
  <c r="I697" i="1"/>
  <c r="E698" i="1" s="1"/>
  <c r="C1251" i="1" l="1"/>
  <c r="D1251" i="1" s="1"/>
  <c r="B1252" i="1"/>
  <c r="J698" i="1"/>
  <c r="G698" i="1" s="1"/>
  <c r="H698" i="1"/>
  <c r="F698" i="1"/>
  <c r="C1252" i="1" l="1"/>
  <c r="D1252" i="1" s="1"/>
  <c r="B1253" i="1"/>
  <c r="I698" i="1"/>
  <c r="E699" i="1" s="1"/>
  <c r="B1254" i="1" l="1"/>
  <c r="C1253" i="1"/>
  <c r="D1253" i="1" s="1"/>
  <c r="J699" i="1"/>
  <c r="G699" i="1" s="1"/>
  <c r="H699" i="1"/>
  <c r="F699" i="1"/>
  <c r="C1254" i="1" l="1"/>
  <c r="D1254" i="1" s="1"/>
  <c r="B1255" i="1"/>
  <c r="I699" i="1"/>
  <c r="E700" i="1" s="1"/>
  <c r="B1256" i="1" l="1"/>
  <c r="C1255" i="1"/>
  <c r="D1255" i="1" s="1"/>
  <c r="H700" i="1"/>
  <c r="F700" i="1"/>
  <c r="J700" i="1"/>
  <c r="G700" i="1" s="1"/>
  <c r="C1256" i="1" l="1"/>
  <c r="D1256" i="1" s="1"/>
  <c r="B1257" i="1"/>
  <c r="I700" i="1"/>
  <c r="E701" i="1" s="1"/>
  <c r="C1257" i="1" l="1"/>
  <c r="D1257" i="1" s="1"/>
  <c r="B1258" i="1"/>
  <c r="J701" i="1"/>
  <c r="G701" i="1" s="1"/>
  <c r="H701" i="1"/>
  <c r="F701" i="1"/>
  <c r="C1258" i="1" l="1"/>
  <c r="D1258" i="1" s="1"/>
  <c r="B1259" i="1"/>
  <c r="I701" i="1"/>
  <c r="E702" i="1" s="1"/>
  <c r="C1259" i="1" l="1"/>
  <c r="D1259" i="1" s="1"/>
  <c r="B1260" i="1"/>
  <c r="J702" i="1"/>
  <c r="G702" i="1" s="1"/>
  <c r="F702" i="1"/>
  <c r="H702" i="1"/>
  <c r="C1260" i="1" l="1"/>
  <c r="D1260" i="1" s="1"/>
  <c r="B1261" i="1"/>
  <c r="I702" i="1"/>
  <c r="E703" i="1" s="1"/>
  <c r="B1262" i="1" l="1"/>
  <c r="C1261" i="1"/>
  <c r="D1261" i="1" s="1"/>
  <c r="H703" i="1"/>
  <c r="F703" i="1"/>
  <c r="J703" i="1"/>
  <c r="G703" i="1" s="1"/>
  <c r="B1263" i="1" l="1"/>
  <c r="C1262" i="1"/>
  <c r="D1262" i="1" s="1"/>
  <c r="I703" i="1"/>
  <c r="E704" i="1" s="1"/>
  <c r="C1263" i="1" l="1"/>
  <c r="D1263" i="1" s="1"/>
  <c r="B1264" i="1"/>
  <c r="F704" i="1"/>
  <c r="J704" i="1"/>
  <c r="G704" i="1" s="1"/>
  <c r="H704" i="1"/>
  <c r="C1264" i="1" l="1"/>
  <c r="D1264" i="1" s="1"/>
  <c r="B1265" i="1"/>
  <c r="I704" i="1"/>
  <c r="E705" i="1" s="1"/>
  <c r="H705" i="1" s="1"/>
  <c r="C1265" i="1" l="1"/>
  <c r="D1265" i="1" s="1"/>
  <c r="B1266" i="1"/>
  <c r="J705" i="1"/>
  <c r="G705" i="1" s="1"/>
  <c r="I705" i="1" s="1"/>
  <c r="E706" i="1" s="1"/>
  <c r="F705" i="1"/>
  <c r="C1266" i="1" l="1"/>
  <c r="D1266" i="1" s="1"/>
  <c r="B1267" i="1"/>
  <c r="H706" i="1"/>
  <c r="J706" i="1"/>
  <c r="G706" i="1" s="1"/>
  <c r="F706" i="1"/>
  <c r="C1267" i="1" l="1"/>
  <c r="D1267" i="1" s="1"/>
  <c r="B1268" i="1"/>
  <c r="I706" i="1"/>
  <c r="E707" i="1" s="1"/>
  <c r="C1268" i="1" l="1"/>
  <c r="D1268" i="1" s="1"/>
  <c r="B1269" i="1"/>
  <c r="J707" i="1"/>
  <c r="G707" i="1" s="1"/>
  <c r="F707" i="1"/>
  <c r="H707" i="1"/>
  <c r="C1269" i="1" l="1"/>
  <c r="D1269" i="1" s="1"/>
  <c r="B1270" i="1"/>
  <c r="I707" i="1"/>
  <c r="E708" i="1" s="1"/>
  <c r="C1270" i="1" l="1"/>
  <c r="D1270" i="1" s="1"/>
  <c r="B1271" i="1"/>
  <c r="H708" i="1"/>
  <c r="J708" i="1"/>
  <c r="G708" i="1" s="1"/>
  <c r="F708" i="1"/>
  <c r="B1272" i="1" l="1"/>
  <c r="C1271" i="1"/>
  <c r="D1271" i="1" s="1"/>
  <c r="I708" i="1"/>
  <c r="E709" i="1" s="1"/>
  <c r="C1272" i="1" l="1"/>
  <c r="D1272" i="1" s="1"/>
  <c r="B1273" i="1"/>
  <c r="H709" i="1"/>
  <c r="J709" i="1"/>
  <c r="G709" i="1" s="1"/>
  <c r="F709" i="1"/>
  <c r="B1274" i="1" l="1"/>
  <c r="C1273" i="1"/>
  <c r="D1273" i="1" s="1"/>
  <c r="I709" i="1"/>
  <c r="E710" i="1" s="1"/>
  <c r="C1274" i="1" l="1"/>
  <c r="D1274" i="1" s="1"/>
  <c r="B1275" i="1"/>
  <c r="H710" i="1"/>
  <c r="J710" i="1"/>
  <c r="G710" i="1" s="1"/>
  <c r="F710" i="1"/>
  <c r="C1275" i="1" l="1"/>
  <c r="D1275" i="1" s="1"/>
  <c r="B1276" i="1"/>
  <c r="I710" i="1"/>
  <c r="E711" i="1" s="1"/>
  <c r="C1276" i="1" l="1"/>
  <c r="D1276" i="1" s="1"/>
  <c r="B1277" i="1"/>
  <c r="F711" i="1"/>
  <c r="H711" i="1"/>
  <c r="J711" i="1"/>
  <c r="G711" i="1" s="1"/>
  <c r="C1277" i="1" l="1"/>
  <c r="D1277" i="1" s="1"/>
  <c r="B1278" i="1"/>
  <c r="I711" i="1"/>
  <c r="E712" i="1" s="1"/>
  <c r="C1278" i="1" l="1"/>
  <c r="D1278" i="1" s="1"/>
  <c r="B1279" i="1"/>
  <c r="J712" i="1"/>
  <c r="G712" i="1" s="1"/>
  <c r="F712" i="1"/>
  <c r="H712" i="1"/>
  <c r="C1279" i="1" l="1"/>
  <c r="D1279" i="1" s="1"/>
  <c r="B1280" i="1"/>
  <c r="I712" i="1"/>
  <c r="E713" i="1" s="1"/>
  <c r="C1280" i="1" l="1"/>
  <c r="D1280" i="1" s="1"/>
  <c r="B1281" i="1"/>
  <c r="H713" i="1"/>
  <c r="J713" i="1"/>
  <c r="G713" i="1" s="1"/>
  <c r="F713" i="1"/>
  <c r="C1281" i="1" l="1"/>
  <c r="D1281" i="1" s="1"/>
  <c r="B1282" i="1"/>
  <c r="I713" i="1"/>
  <c r="E714" i="1" s="1"/>
  <c r="C1282" i="1" l="1"/>
  <c r="D1282" i="1" s="1"/>
  <c r="B1283" i="1"/>
  <c r="F714" i="1"/>
  <c r="J714" i="1"/>
  <c r="G714" i="1" s="1"/>
  <c r="H714" i="1"/>
  <c r="B1284" i="1" l="1"/>
  <c r="C1283" i="1"/>
  <c r="D1283" i="1" s="1"/>
  <c r="I714" i="1"/>
  <c r="E715" i="1" s="1"/>
  <c r="C1284" i="1" l="1"/>
  <c r="D1284" i="1" s="1"/>
  <c r="B1285" i="1"/>
  <c r="H715" i="1"/>
  <c r="J715" i="1"/>
  <c r="G715" i="1" s="1"/>
  <c r="F715" i="1"/>
  <c r="C1285" i="1" l="1"/>
  <c r="D1285" i="1" s="1"/>
  <c r="B1286" i="1"/>
  <c r="I715" i="1"/>
  <c r="E716" i="1" s="1"/>
  <c r="C1286" i="1" l="1"/>
  <c r="D1286" i="1" s="1"/>
  <c r="B1287" i="1"/>
  <c r="H716" i="1"/>
  <c r="J716" i="1"/>
  <c r="G716" i="1" s="1"/>
  <c r="F716" i="1"/>
  <c r="C1287" i="1" l="1"/>
  <c r="D1287" i="1" s="1"/>
  <c r="B1288" i="1"/>
  <c r="I716" i="1"/>
  <c r="E717" i="1" s="1"/>
  <c r="C1288" i="1" l="1"/>
  <c r="D1288" i="1" s="1"/>
  <c r="B1289" i="1"/>
  <c r="F717" i="1"/>
  <c r="H717" i="1"/>
  <c r="J717" i="1"/>
  <c r="G717" i="1" s="1"/>
  <c r="B1290" i="1" l="1"/>
  <c r="C1289" i="1"/>
  <c r="D1289" i="1" s="1"/>
  <c r="I717" i="1"/>
  <c r="E718" i="1" s="1"/>
  <c r="C1290" i="1" l="1"/>
  <c r="D1290" i="1" s="1"/>
  <c r="B1291" i="1"/>
  <c r="H718" i="1"/>
  <c r="J718" i="1"/>
  <c r="G718" i="1" s="1"/>
  <c r="F718" i="1"/>
  <c r="B1292" i="1" l="1"/>
  <c r="C1291" i="1"/>
  <c r="D1291" i="1" s="1"/>
  <c r="I718" i="1"/>
  <c r="E719" i="1" s="1"/>
  <c r="C1292" i="1" l="1"/>
  <c r="D1292" i="1" s="1"/>
  <c r="B1293" i="1"/>
  <c r="H719" i="1"/>
  <c r="F719" i="1"/>
  <c r="J719" i="1"/>
  <c r="G719" i="1" s="1"/>
  <c r="C1293" i="1" l="1"/>
  <c r="D1293" i="1" s="1"/>
  <c r="B1294" i="1"/>
  <c r="I719" i="1"/>
  <c r="E720" i="1" s="1"/>
  <c r="C1294" i="1" l="1"/>
  <c r="D1294" i="1" s="1"/>
  <c r="B1295" i="1"/>
  <c r="J720" i="1"/>
  <c r="G720" i="1" s="1"/>
  <c r="F720" i="1"/>
  <c r="H720" i="1"/>
  <c r="B1296" i="1" l="1"/>
  <c r="C1295" i="1"/>
  <c r="D1295" i="1" s="1"/>
  <c r="I720" i="1"/>
  <c r="E721" i="1" s="1"/>
  <c r="J721" i="1" s="1"/>
  <c r="G721" i="1" s="1"/>
  <c r="B1297" i="1" l="1"/>
  <c r="C1296" i="1"/>
  <c r="D1296" i="1" s="1"/>
  <c r="H721" i="1"/>
  <c r="F721" i="1"/>
  <c r="I721" i="1"/>
  <c r="E722" i="1" s="1"/>
  <c r="H722" i="1" s="1"/>
  <c r="B1298" i="1" l="1"/>
  <c r="C1297" i="1"/>
  <c r="D1297" i="1" s="1"/>
  <c r="J722" i="1"/>
  <c r="F722" i="1"/>
  <c r="C1298" i="1" l="1"/>
  <c r="D1298" i="1" s="1"/>
  <c r="B1299" i="1"/>
  <c r="G722" i="1"/>
  <c r="I722" i="1" s="1"/>
  <c r="E723" i="1" s="1"/>
  <c r="C1299" i="1" l="1"/>
  <c r="D1299" i="1" s="1"/>
  <c r="B1300" i="1"/>
  <c r="H723" i="1"/>
  <c r="J723" i="1"/>
  <c r="G723" i="1" s="1"/>
  <c r="I723" i="1" s="1"/>
  <c r="E724" i="1" s="1"/>
  <c r="F723" i="1"/>
  <c r="C1300" i="1" l="1"/>
  <c r="D1300" i="1" s="1"/>
  <c r="B1301" i="1"/>
  <c r="H724" i="1"/>
  <c r="F724" i="1"/>
  <c r="J724" i="1"/>
  <c r="G724" i="1" s="1"/>
  <c r="C1301" i="1" l="1"/>
  <c r="D1301" i="1" s="1"/>
  <c r="B1302" i="1"/>
  <c r="I724" i="1"/>
  <c r="E725" i="1" s="1"/>
  <c r="C1302" i="1" l="1"/>
  <c r="D1302" i="1" s="1"/>
  <c r="B1303" i="1"/>
  <c r="J725" i="1"/>
  <c r="G725" i="1" s="1"/>
  <c r="F725" i="1"/>
  <c r="H725" i="1"/>
  <c r="C1303" i="1" l="1"/>
  <c r="D1303" i="1" s="1"/>
  <c r="B1304" i="1"/>
  <c r="I725" i="1"/>
  <c r="E726" i="1" s="1"/>
  <c r="B1305" i="1" l="1"/>
  <c r="C1304" i="1"/>
  <c r="D1304" i="1" s="1"/>
  <c r="J726" i="1"/>
  <c r="G726" i="1" s="1"/>
  <c r="F726" i="1"/>
  <c r="H726" i="1"/>
  <c r="B1306" i="1" l="1"/>
  <c r="C1305" i="1"/>
  <c r="D1305" i="1" s="1"/>
  <c r="I726" i="1"/>
  <c r="E727" i="1" s="1"/>
  <c r="J727" i="1" s="1"/>
  <c r="G727" i="1" s="1"/>
  <c r="B1307" i="1" l="1"/>
  <c r="C1306" i="1"/>
  <c r="D1306" i="1" s="1"/>
  <c r="H727" i="1"/>
  <c r="F727" i="1"/>
  <c r="I727" i="1" l="1"/>
  <c r="E728" i="1" s="1"/>
  <c r="J728" i="1" s="1"/>
  <c r="G728" i="1" s="1"/>
  <c r="C1307" i="1"/>
  <c r="D1307" i="1" s="1"/>
  <c r="B1308" i="1"/>
  <c r="H728" i="1"/>
  <c r="F728" i="1"/>
  <c r="I728" i="1" l="1"/>
  <c r="E729" i="1" s="1"/>
  <c r="C1308" i="1"/>
  <c r="D1308" i="1" s="1"/>
  <c r="B1309" i="1"/>
  <c r="F729" i="1"/>
  <c r="H729" i="1"/>
  <c r="J729" i="1"/>
  <c r="G729" i="1" s="1"/>
  <c r="C1309" i="1" l="1"/>
  <c r="D1309" i="1" s="1"/>
  <c r="B1310" i="1"/>
  <c r="I729" i="1"/>
  <c r="E730" i="1" s="1"/>
  <c r="C1310" i="1" l="1"/>
  <c r="D1310" i="1" s="1"/>
  <c r="B1311" i="1"/>
  <c r="J730" i="1"/>
  <c r="G730" i="1" s="1"/>
  <c r="F730" i="1"/>
  <c r="H730" i="1"/>
  <c r="C1311" i="1" l="1"/>
  <c r="D1311" i="1" s="1"/>
  <c r="B1312" i="1"/>
  <c r="I730" i="1"/>
  <c r="E731" i="1" s="1"/>
  <c r="F731" i="1" s="1"/>
  <c r="C1312" i="1" l="1"/>
  <c r="D1312" i="1" s="1"/>
  <c r="B1313" i="1"/>
  <c r="J731" i="1"/>
  <c r="G731" i="1" s="1"/>
  <c r="H731" i="1"/>
  <c r="I731" i="1" l="1"/>
  <c r="E732" i="1" s="1"/>
  <c r="C1313" i="1"/>
  <c r="D1313" i="1" s="1"/>
  <c r="B1314" i="1"/>
  <c r="H732" i="1"/>
  <c r="J732" i="1"/>
  <c r="G732" i="1" s="1"/>
  <c r="F732" i="1"/>
  <c r="B1315" i="1" l="1"/>
  <c r="C1314" i="1"/>
  <c r="D1314" i="1" s="1"/>
  <c r="I732" i="1"/>
  <c r="E733" i="1" s="1"/>
  <c r="C1315" i="1" l="1"/>
  <c r="D1315" i="1" s="1"/>
  <c r="B1316" i="1"/>
  <c r="J733" i="1"/>
  <c r="G733" i="1" s="1"/>
  <c r="H733" i="1"/>
  <c r="F733" i="1"/>
  <c r="B1317" i="1" l="1"/>
  <c r="C1316" i="1"/>
  <c r="D1316" i="1" s="1"/>
  <c r="I733" i="1"/>
  <c r="E734" i="1" s="1"/>
  <c r="F734" i="1" s="1"/>
  <c r="H734" i="1" l="1"/>
  <c r="B1318" i="1"/>
  <c r="C1317" i="1"/>
  <c r="D1317" i="1" s="1"/>
  <c r="J734" i="1"/>
  <c r="G734" i="1" s="1"/>
  <c r="I734" i="1" s="1"/>
  <c r="E735" i="1" s="1"/>
  <c r="C1318" i="1" l="1"/>
  <c r="D1318" i="1" s="1"/>
  <c r="B1319" i="1"/>
  <c r="J735" i="1"/>
  <c r="G735" i="1" s="1"/>
  <c r="H735" i="1"/>
  <c r="F735" i="1"/>
  <c r="C1319" i="1" l="1"/>
  <c r="D1319" i="1" s="1"/>
  <c r="B1320" i="1"/>
  <c r="I735" i="1"/>
  <c r="E736" i="1" s="1"/>
  <c r="H736" i="1" s="1"/>
  <c r="C1320" i="1" l="1"/>
  <c r="D1320" i="1" s="1"/>
  <c r="B1321" i="1"/>
  <c r="F736" i="1"/>
  <c r="J736" i="1"/>
  <c r="G736" i="1" s="1"/>
  <c r="I736" i="1" s="1"/>
  <c r="E737" i="1" s="1"/>
  <c r="C1321" i="1" l="1"/>
  <c r="D1321" i="1" s="1"/>
  <c r="B1322" i="1"/>
  <c r="J6" i="2"/>
  <c r="K6" i="2" s="1"/>
  <c r="H6" i="2"/>
  <c r="I6" i="2" s="1"/>
  <c r="J737" i="1"/>
  <c r="G737" i="1" s="1"/>
  <c r="F737" i="1"/>
  <c r="H737" i="1"/>
  <c r="C1322" i="1" l="1"/>
  <c r="D1322" i="1" s="1"/>
  <c r="B1323" i="1"/>
  <c r="I737" i="1"/>
  <c r="E738" i="1" s="1"/>
  <c r="J738" i="1" s="1"/>
  <c r="G738" i="1" s="1"/>
  <c r="B1324" i="1" l="1"/>
  <c r="C1323" i="1"/>
  <c r="D1323" i="1" s="1"/>
  <c r="H738" i="1"/>
  <c r="F738" i="1"/>
  <c r="I738" i="1"/>
  <c r="E739" i="1" s="1"/>
  <c r="B1325" i="1" l="1"/>
  <c r="C1324" i="1"/>
  <c r="D1324" i="1" s="1"/>
  <c r="H739" i="1"/>
  <c r="F739" i="1"/>
  <c r="J739" i="1"/>
  <c r="G739" i="1" s="1"/>
  <c r="C1325" i="1" l="1"/>
  <c r="D1325" i="1" s="1"/>
  <c r="B1326" i="1"/>
  <c r="I739" i="1"/>
  <c r="E740" i="1" s="1"/>
  <c r="C1326" i="1" l="1"/>
  <c r="D1326" i="1" s="1"/>
  <c r="B1327" i="1"/>
  <c r="H740" i="1"/>
  <c r="J740" i="1"/>
  <c r="G740" i="1" s="1"/>
  <c r="F740" i="1"/>
  <c r="B1328" i="1" l="1"/>
  <c r="C1327" i="1"/>
  <c r="D1327" i="1" s="1"/>
  <c r="I740" i="1"/>
  <c r="E741" i="1" s="1"/>
  <c r="C1328" i="1" l="1"/>
  <c r="D1328" i="1" s="1"/>
  <c r="B1329" i="1"/>
  <c r="J741" i="1"/>
  <c r="G741" i="1" s="1"/>
  <c r="F741" i="1"/>
  <c r="H741" i="1"/>
  <c r="C1329" i="1" l="1"/>
  <c r="D1329" i="1" s="1"/>
  <c r="B1330" i="1"/>
  <c r="I741" i="1"/>
  <c r="E742" i="1" s="1"/>
  <c r="B1331" i="1" l="1"/>
  <c r="C1330" i="1"/>
  <c r="D1330" i="1" s="1"/>
  <c r="J742" i="1"/>
  <c r="G742" i="1" s="1"/>
  <c r="F742" i="1"/>
  <c r="H742" i="1"/>
  <c r="B1332" i="1" l="1"/>
  <c r="C1331" i="1"/>
  <c r="D1331" i="1" s="1"/>
  <c r="I742" i="1"/>
  <c r="E743" i="1" s="1"/>
  <c r="C1332" i="1" l="1"/>
  <c r="D1332" i="1" s="1"/>
  <c r="B1333" i="1"/>
  <c r="J743" i="1"/>
  <c r="G743" i="1" s="1"/>
  <c r="F743" i="1"/>
  <c r="H743" i="1"/>
  <c r="C1333" i="1" l="1"/>
  <c r="D1333" i="1" s="1"/>
  <c r="B1334" i="1"/>
  <c r="I743" i="1"/>
  <c r="E744" i="1" s="1"/>
  <c r="C1334" i="1" l="1"/>
  <c r="D1334" i="1" s="1"/>
  <c r="B1335" i="1"/>
  <c r="J744" i="1"/>
  <c r="G744" i="1" s="1"/>
  <c r="F744" i="1"/>
  <c r="H744" i="1"/>
  <c r="B1336" i="1" l="1"/>
  <c r="C1335" i="1"/>
  <c r="D1335" i="1" s="1"/>
  <c r="I744" i="1"/>
  <c r="E745" i="1" s="1"/>
  <c r="B1337" i="1" l="1"/>
  <c r="C1336" i="1"/>
  <c r="D1336" i="1" s="1"/>
  <c r="J745" i="1"/>
  <c r="G745" i="1" s="1"/>
  <c r="F745" i="1"/>
  <c r="H745" i="1"/>
  <c r="B1338" i="1" l="1"/>
  <c r="C1337" i="1"/>
  <c r="D1337" i="1" s="1"/>
  <c r="I745" i="1"/>
  <c r="E746" i="1" s="1"/>
  <c r="F746" i="1" s="1"/>
  <c r="C1338" i="1" l="1"/>
  <c r="D1338" i="1" s="1"/>
  <c r="B1339" i="1"/>
  <c r="J746" i="1"/>
  <c r="G746" i="1" s="1"/>
  <c r="I746" i="1" s="1"/>
  <c r="E747" i="1" s="1"/>
  <c r="H746" i="1"/>
  <c r="C1339" i="1" l="1"/>
  <c r="D1339" i="1" s="1"/>
  <c r="B1340" i="1"/>
  <c r="J747" i="1"/>
  <c r="G747" i="1" s="1"/>
  <c r="H747" i="1"/>
  <c r="F747" i="1"/>
  <c r="C1340" i="1" l="1"/>
  <c r="D1340" i="1" s="1"/>
  <c r="B1341" i="1"/>
  <c r="I747" i="1"/>
  <c r="E748" i="1" s="1"/>
  <c r="C1341" i="1" l="1"/>
  <c r="D1341" i="1" s="1"/>
  <c r="B1342" i="1"/>
  <c r="F748" i="1"/>
  <c r="H748" i="1"/>
  <c r="J748" i="1"/>
  <c r="G748" i="1" s="1"/>
  <c r="B1343" i="1" l="1"/>
  <c r="C1342" i="1"/>
  <c r="D1342" i="1" s="1"/>
  <c r="I748" i="1"/>
  <c r="E749" i="1" s="1"/>
  <c r="B1344" i="1" l="1"/>
  <c r="C1343" i="1"/>
  <c r="D1343" i="1" s="1"/>
  <c r="F749" i="1"/>
  <c r="J749" i="1"/>
  <c r="G749" i="1" s="1"/>
  <c r="H749" i="1"/>
  <c r="B1345" i="1" l="1"/>
  <c r="C1344" i="1"/>
  <c r="D1344" i="1" s="1"/>
  <c r="I749" i="1"/>
  <c r="E750" i="1" s="1"/>
  <c r="B1346" i="1" l="1"/>
  <c r="C1345" i="1"/>
  <c r="D1345" i="1" s="1"/>
  <c r="H750" i="1"/>
  <c r="J750" i="1"/>
  <c r="G750" i="1" s="1"/>
  <c r="F750" i="1"/>
  <c r="B1347" i="1" l="1"/>
  <c r="C1346" i="1"/>
  <c r="D1346" i="1" s="1"/>
  <c r="I750" i="1"/>
  <c r="E751" i="1" s="1"/>
  <c r="B1348" i="1" l="1"/>
  <c r="C1347" i="1"/>
  <c r="D1347" i="1" s="1"/>
  <c r="H751" i="1"/>
  <c r="J751" i="1"/>
  <c r="G751" i="1" s="1"/>
  <c r="F751" i="1"/>
  <c r="C1348" i="1" l="1"/>
  <c r="D1348" i="1" s="1"/>
  <c r="B1349" i="1"/>
  <c r="I751" i="1"/>
  <c r="E752" i="1" s="1"/>
  <c r="C1349" i="1" l="1"/>
  <c r="D1349" i="1" s="1"/>
  <c r="B1350" i="1"/>
  <c r="H752" i="1"/>
  <c r="F752" i="1"/>
  <c r="J752" i="1"/>
  <c r="G752" i="1" s="1"/>
  <c r="C1350" i="1" l="1"/>
  <c r="D1350" i="1" s="1"/>
  <c r="B1351" i="1"/>
  <c r="I752" i="1"/>
  <c r="E753" i="1" s="1"/>
  <c r="B1352" i="1" l="1"/>
  <c r="C1351" i="1"/>
  <c r="D1351" i="1" s="1"/>
  <c r="H753" i="1"/>
  <c r="J753" i="1"/>
  <c r="G753" i="1" s="1"/>
  <c r="F753" i="1"/>
  <c r="C1352" i="1" l="1"/>
  <c r="D1352" i="1" s="1"/>
  <c r="B1353" i="1"/>
  <c r="I753" i="1"/>
  <c r="E754" i="1" s="1"/>
  <c r="C1353" i="1" l="1"/>
  <c r="D1353" i="1" s="1"/>
  <c r="B1354" i="1"/>
  <c r="F754" i="1"/>
  <c r="J754" i="1"/>
  <c r="G754" i="1" s="1"/>
  <c r="H754" i="1"/>
  <c r="C1354" i="1" l="1"/>
  <c r="D1354" i="1" s="1"/>
  <c r="B1355" i="1"/>
  <c r="I754" i="1"/>
  <c r="E755" i="1" s="1"/>
  <c r="B1356" i="1" l="1"/>
  <c r="C1355" i="1"/>
  <c r="D1355" i="1" s="1"/>
  <c r="H755" i="1"/>
  <c r="F755" i="1"/>
  <c r="J755" i="1"/>
  <c r="G755" i="1" s="1"/>
  <c r="C1356" i="1" l="1"/>
  <c r="D1356" i="1" s="1"/>
  <c r="B1357" i="1"/>
  <c r="I755" i="1"/>
  <c r="E756" i="1" s="1"/>
  <c r="C1357" i="1" l="1"/>
  <c r="D1357" i="1" s="1"/>
  <c r="B1358" i="1"/>
  <c r="J756" i="1"/>
  <c r="G756" i="1" s="1"/>
  <c r="H756" i="1"/>
  <c r="F756" i="1"/>
  <c r="C1358" i="1" l="1"/>
  <c r="D1358" i="1" s="1"/>
  <c r="B1359" i="1"/>
  <c r="I756" i="1"/>
  <c r="E757" i="1" s="1"/>
  <c r="C1359" i="1" l="1"/>
  <c r="D1359" i="1" s="1"/>
  <c r="B1360" i="1"/>
  <c r="F757" i="1"/>
  <c r="H757" i="1"/>
  <c r="J757" i="1"/>
  <c r="G757" i="1" s="1"/>
  <c r="C1360" i="1" l="1"/>
  <c r="D1360" i="1" s="1"/>
  <c r="B1361" i="1"/>
  <c r="I757" i="1"/>
  <c r="E758" i="1" s="1"/>
  <c r="C1361" i="1" l="1"/>
  <c r="D1361" i="1" s="1"/>
  <c r="B1362" i="1"/>
  <c r="F758" i="1"/>
  <c r="H758" i="1"/>
  <c r="J758" i="1"/>
  <c r="G758" i="1" s="1"/>
  <c r="C1362" i="1" l="1"/>
  <c r="D1362" i="1" s="1"/>
  <c r="B1363" i="1"/>
  <c r="I758" i="1"/>
  <c r="E759" i="1" s="1"/>
  <c r="C1363" i="1" l="1"/>
  <c r="D1363" i="1" s="1"/>
  <c r="B1364" i="1"/>
  <c r="J759" i="1"/>
  <c r="G759" i="1" s="1"/>
  <c r="F759" i="1"/>
  <c r="H759" i="1"/>
  <c r="C1364" i="1" l="1"/>
  <c r="D1364" i="1" s="1"/>
  <c r="B1365" i="1"/>
  <c r="I759" i="1"/>
  <c r="E760" i="1" s="1"/>
  <c r="B1366" i="1" l="1"/>
  <c r="C1365" i="1"/>
  <c r="D1365" i="1" s="1"/>
  <c r="H760" i="1"/>
  <c r="F760" i="1"/>
  <c r="J760" i="1"/>
  <c r="G760" i="1" s="1"/>
  <c r="I760" i="1" l="1"/>
  <c r="E761" i="1" s="1"/>
  <c r="C1366" i="1"/>
  <c r="D1366" i="1" s="1"/>
  <c r="B1367" i="1"/>
  <c r="F761" i="1"/>
  <c r="J761" i="1"/>
  <c r="G761" i="1" s="1"/>
  <c r="H761" i="1"/>
  <c r="B1368" i="1" l="1"/>
  <c r="C1367" i="1"/>
  <c r="D1367" i="1" s="1"/>
  <c r="I761" i="1"/>
  <c r="E762" i="1" s="1"/>
  <c r="F762" i="1"/>
  <c r="J762" i="1"/>
  <c r="G762" i="1" s="1"/>
  <c r="H762" i="1"/>
  <c r="I762" i="1" s="1"/>
  <c r="E763" i="1" s="1"/>
  <c r="C1368" i="1" l="1"/>
  <c r="D1368" i="1" s="1"/>
  <c r="B1369" i="1"/>
  <c r="J763" i="1"/>
  <c r="G763" i="1" s="1"/>
  <c r="H763" i="1"/>
  <c r="F763" i="1"/>
  <c r="C1369" i="1" l="1"/>
  <c r="D1369" i="1" s="1"/>
  <c r="B1370" i="1"/>
  <c r="I763" i="1"/>
  <c r="E764" i="1" s="1"/>
  <c r="B1371" i="1" l="1"/>
  <c r="C1370" i="1"/>
  <c r="D1370" i="1" s="1"/>
  <c r="H764" i="1"/>
  <c r="J764" i="1"/>
  <c r="G764" i="1" s="1"/>
  <c r="F764" i="1"/>
  <c r="B1372" i="1" l="1"/>
  <c r="C1371" i="1"/>
  <c r="D1371" i="1" s="1"/>
  <c r="I764" i="1"/>
  <c r="E765" i="1" s="1"/>
  <c r="C1372" i="1" l="1"/>
  <c r="D1372" i="1" s="1"/>
  <c r="B1373" i="1"/>
  <c r="H765" i="1"/>
  <c r="J765" i="1"/>
  <c r="G765" i="1" s="1"/>
  <c r="F765" i="1"/>
  <c r="C1373" i="1" l="1"/>
  <c r="D1373" i="1" s="1"/>
  <c r="B1374" i="1"/>
  <c r="I765" i="1"/>
  <c r="E766" i="1" s="1"/>
  <c r="B1375" i="1" l="1"/>
  <c r="C1374" i="1"/>
  <c r="D1374" i="1" s="1"/>
  <c r="J766" i="1"/>
  <c r="G766" i="1" s="1"/>
  <c r="H766" i="1"/>
  <c r="F766" i="1"/>
  <c r="C1375" i="1" l="1"/>
  <c r="D1375" i="1" s="1"/>
  <c r="B1376" i="1"/>
  <c r="I766" i="1"/>
  <c r="E767" i="1" s="1"/>
  <c r="B1377" i="1" l="1"/>
  <c r="C1376" i="1"/>
  <c r="D1376" i="1" s="1"/>
  <c r="F767" i="1"/>
  <c r="J767" i="1"/>
  <c r="G767" i="1" s="1"/>
  <c r="H767" i="1"/>
  <c r="I767" i="1" l="1"/>
  <c r="E768" i="1" s="1"/>
  <c r="J768" i="1" s="1"/>
  <c r="G768" i="1" s="1"/>
  <c r="C1377" i="1"/>
  <c r="D1377" i="1" s="1"/>
  <c r="B1378" i="1"/>
  <c r="F768" i="1" l="1"/>
  <c r="I768" i="1" s="1"/>
  <c r="E769" i="1" s="1"/>
  <c r="H768" i="1"/>
  <c r="C1378" i="1"/>
  <c r="D1378" i="1" s="1"/>
  <c r="B1379" i="1"/>
  <c r="C1379" i="1" l="1"/>
  <c r="D1379" i="1" s="1"/>
  <c r="B1380" i="1"/>
  <c r="H769" i="1"/>
  <c r="F769" i="1"/>
  <c r="J769" i="1"/>
  <c r="G769" i="1" s="1"/>
  <c r="C1380" i="1" l="1"/>
  <c r="D1380" i="1" s="1"/>
  <c r="B1381" i="1"/>
  <c r="I769" i="1"/>
  <c r="E770" i="1" s="1"/>
  <c r="C1381" i="1" l="1"/>
  <c r="D1381" i="1" s="1"/>
  <c r="B1382" i="1"/>
  <c r="H770" i="1"/>
  <c r="J770" i="1"/>
  <c r="G770" i="1" s="1"/>
  <c r="F770" i="1"/>
  <c r="B1383" i="1" l="1"/>
  <c r="C1382" i="1"/>
  <c r="D1382" i="1" s="1"/>
  <c r="I770" i="1"/>
  <c r="E771" i="1" s="1"/>
  <c r="C1383" i="1" l="1"/>
  <c r="D1383" i="1" s="1"/>
  <c r="B1384" i="1"/>
  <c r="J771" i="1"/>
  <c r="G771" i="1" s="1"/>
  <c r="F771" i="1"/>
  <c r="H771" i="1"/>
  <c r="B1385" i="1" l="1"/>
  <c r="C1384" i="1"/>
  <c r="D1384" i="1" s="1"/>
  <c r="I771" i="1"/>
  <c r="E772" i="1" s="1"/>
  <c r="C1385" i="1" l="1"/>
  <c r="D1385" i="1" s="1"/>
  <c r="B1386" i="1"/>
  <c r="J772" i="1"/>
  <c r="G772" i="1" s="1"/>
  <c r="F772" i="1"/>
  <c r="H772" i="1"/>
  <c r="B1387" i="1" l="1"/>
  <c r="C1386" i="1"/>
  <c r="D1386" i="1" s="1"/>
  <c r="I772" i="1"/>
  <c r="E773" i="1" s="1"/>
  <c r="B1388" i="1" l="1"/>
  <c r="C1387" i="1"/>
  <c r="D1387" i="1" s="1"/>
  <c r="J773" i="1"/>
  <c r="G773" i="1" s="1"/>
  <c r="H773" i="1"/>
  <c r="F773" i="1"/>
  <c r="B1389" i="1" l="1"/>
  <c r="C1388" i="1"/>
  <c r="D1388" i="1" s="1"/>
  <c r="I773" i="1"/>
  <c r="E774" i="1" s="1"/>
  <c r="C1389" i="1" l="1"/>
  <c r="D1389" i="1" s="1"/>
  <c r="B1390" i="1"/>
  <c r="H774" i="1"/>
  <c r="J774" i="1"/>
  <c r="G774" i="1" s="1"/>
  <c r="F774" i="1"/>
  <c r="I774" i="1" l="1"/>
  <c r="E775" i="1" s="1"/>
  <c r="H775" i="1" s="1"/>
  <c r="C1390" i="1"/>
  <c r="D1390" i="1" s="1"/>
  <c r="B1391" i="1"/>
  <c r="F775" i="1" l="1"/>
  <c r="J775" i="1"/>
  <c r="G775" i="1" s="1"/>
  <c r="C1391" i="1"/>
  <c r="D1391" i="1" s="1"/>
  <c r="B1392" i="1"/>
  <c r="I775" i="1"/>
  <c r="E776" i="1" s="1"/>
  <c r="B1393" i="1" l="1"/>
  <c r="C1392" i="1"/>
  <c r="D1392" i="1" s="1"/>
  <c r="F776" i="1"/>
  <c r="J776" i="1"/>
  <c r="G776" i="1" s="1"/>
  <c r="H776" i="1"/>
  <c r="I776" i="1" l="1"/>
  <c r="E777" i="1" s="1"/>
  <c r="J777" i="1" s="1"/>
  <c r="G777" i="1" s="1"/>
  <c r="C1393" i="1"/>
  <c r="D1393" i="1" s="1"/>
  <c r="B1394" i="1"/>
  <c r="H777" i="1"/>
  <c r="F777" i="1"/>
  <c r="B1395" i="1" l="1"/>
  <c r="C1394" i="1"/>
  <c r="D1394" i="1" s="1"/>
  <c r="I777" i="1"/>
  <c r="E778" i="1" s="1"/>
  <c r="C1395" i="1" l="1"/>
  <c r="D1395" i="1" s="1"/>
  <c r="B1396" i="1"/>
  <c r="H778" i="1"/>
  <c r="J778" i="1"/>
  <c r="G778" i="1" s="1"/>
  <c r="F778" i="1"/>
  <c r="C1396" i="1" l="1"/>
  <c r="D1396" i="1" s="1"/>
  <c r="B1397" i="1"/>
  <c r="I778" i="1"/>
  <c r="E779" i="1" s="1"/>
  <c r="C1397" i="1" l="1"/>
  <c r="D1397" i="1" s="1"/>
  <c r="B1398" i="1"/>
  <c r="H779" i="1"/>
  <c r="J779" i="1"/>
  <c r="G779" i="1" s="1"/>
  <c r="F779" i="1"/>
  <c r="C1398" i="1" l="1"/>
  <c r="D1398" i="1" s="1"/>
  <c r="B1399" i="1"/>
  <c r="I779" i="1"/>
  <c r="E780" i="1" s="1"/>
  <c r="B1400" i="1" l="1"/>
  <c r="C1399" i="1"/>
  <c r="D1399" i="1" s="1"/>
  <c r="H780" i="1"/>
  <c r="J780" i="1"/>
  <c r="G780" i="1" s="1"/>
  <c r="F780" i="1"/>
  <c r="B1401" i="1" l="1"/>
  <c r="C1400" i="1"/>
  <c r="D1400" i="1" s="1"/>
  <c r="I780" i="1"/>
  <c r="E781" i="1" s="1"/>
  <c r="B1402" i="1" l="1"/>
  <c r="C1401" i="1"/>
  <c r="D1401" i="1" s="1"/>
  <c r="H781" i="1"/>
  <c r="J781" i="1"/>
  <c r="G781" i="1" s="1"/>
  <c r="F781" i="1"/>
  <c r="I781" i="1" l="1"/>
  <c r="E782" i="1" s="1"/>
  <c r="C1402" i="1"/>
  <c r="D1402" i="1" s="1"/>
  <c r="B1403" i="1"/>
  <c r="H782" i="1"/>
  <c r="J782" i="1"/>
  <c r="G782" i="1" s="1"/>
  <c r="F782" i="1"/>
  <c r="B1404" i="1" l="1"/>
  <c r="C1403" i="1"/>
  <c r="D1403" i="1" s="1"/>
  <c r="I782" i="1"/>
  <c r="E783" i="1" s="1"/>
  <c r="C1404" i="1" l="1"/>
  <c r="D1404" i="1" s="1"/>
  <c r="B1405" i="1"/>
  <c r="H783" i="1"/>
  <c r="F783" i="1"/>
  <c r="J783" i="1"/>
  <c r="G783" i="1" s="1"/>
  <c r="I783" i="1" l="1"/>
  <c r="E784" i="1" s="1"/>
  <c r="B1406" i="1"/>
  <c r="C1405" i="1"/>
  <c r="D1405" i="1" s="1"/>
  <c r="H784" i="1"/>
  <c r="J784" i="1"/>
  <c r="G784" i="1" s="1"/>
  <c r="F784" i="1"/>
  <c r="C1406" i="1" l="1"/>
  <c r="D1406" i="1" s="1"/>
  <c r="B1407" i="1"/>
  <c r="I784" i="1"/>
  <c r="E785" i="1" s="1"/>
  <c r="C1407" i="1" l="1"/>
  <c r="D1407" i="1" s="1"/>
  <c r="B1408" i="1"/>
  <c r="J785" i="1"/>
  <c r="G785" i="1" s="1"/>
  <c r="H785" i="1"/>
  <c r="F785" i="1"/>
  <c r="B1409" i="1" l="1"/>
  <c r="C1408" i="1"/>
  <c r="D1408" i="1" s="1"/>
  <c r="I785" i="1"/>
  <c r="E786" i="1" s="1"/>
  <c r="B1410" i="1" l="1"/>
  <c r="C1409" i="1"/>
  <c r="D1409" i="1" s="1"/>
  <c r="H786" i="1"/>
  <c r="F786" i="1"/>
  <c r="J786" i="1"/>
  <c r="G786" i="1" s="1"/>
  <c r="C1410" i="1" l="1"/>
  <c r="D1410" i="1" s="1"/>
  <c r="B1411" i="1"/>
  <c r="I786" i="1"/>
  <c r="E787" i="1" s="1"/>
  <c r="C1411" i="1" l="1"/>
  <c r="D1411" i="1" s="1"/>
  <c r="B1412" i="1"/>
  <c r="H787" i="1"/>
  <c r="I787" i="1" s="1"/>
  <c r="E788" i="1" s="1"/>
  <c r="F787" i="1"/>
  <c r="J787" i="1"/>
  <c r="G787" i="1" s="1"/>
  <c r="B1413" i="1" l="1"/>
  <c r="C1412" i="1"/>
  <c r="D1412" i="1" s="1"/>
  <c r="H788" i="1"/>
  <c r="J788" i="1"/>
  <c r="G788" i="1" s="1"/>
  <c r="F788" i="1"/>
  <c r="B1414" i="1" l="1"/>
  <c r="C1413" i="1"/>
  <c r="D1413" i="1" s="1"/>
  <c r="I788" i="1"/>
  <c r="E789" i="1" s="1"/>
  <c r="C1414" i="1" l="1"/>
  <c r="D1414" i="1" s="1"/>
  <c r="B1415" i="1"/>
  <c r="H789" i="1"/>
  <c r="J789" i="1"/>
  <c r="G789" i="1" s="1"/>
  <c r="F789" i="1"/>
  <c r="B1416" i="1" l="1"/>
  <c r="C1415" i="1"/>
  <c r="D1415" i="1" s="1"/>
  <c r="I789" i="1"/>
  <c r="E790" i="1" s="1"/>
  <c r="B1417" i="1" l="1"/>
  <c r="C1416" i="1"/>
  <c r="D1416" i="1" s="1"/>
  <c r="J790" i="1"/>
  <c r="G790" i="1" s="1"/>
  <c r="F790" i="1"/>
  <c r="H790" i="1"/>
  <c r="C1417" i="1" l="1"/>
  <c r="D1417" i="1" s="1"/>
  <c r="B1418" i="1"/>
  <c r="I790" i="1"/>
  <c r="E791" i="1" s="1"/>
  <c r="C1418" i="1" l="1"/>
  <c r="D1418" i="1" s="1"/>
  <c r="B1419" i="1"/>
  <c r="H791" i="1"/>
  <c r="F791" i="1"/>
  <c r="J791" i="1"/>
  <c r="G791" i="1" s="1"/>
  <c r="B1420" i="1" l="1"/>
  <c r="C1419" i="1"/>
  <c r="D1419" i="1" s="1"/>
  <c r="I791" i="1"/>
  <c r="E792" i="1" s="1"/>
  <c r="B1421" i="1" l="1"/>
  <c r="C1420" i="1"/>
  <c r="D1420" i="1" s="1"/>
  <c r="J792" i="1"/>
  <c r="G792" i="1" s="1"/>
  <c r="H792" i="1"/>
  <c r="F792" i="1"/>
  <c r="C1421" i="1" l="1"/>
  <c r="D1421" i="1" s="1"/>
  <c r="B1422" i="1"/>
  <c r="I792" i="1"/>
  <c r="E793" i="1" s="1"/>
  <c r="C1422" i="1" l="1"/>
  <c r="D1422" i="1" s="1"/>
  <c r="B1423" i="1"/>
  <c r="J793" i="1"/>
  <c r="G793" i="1" s="1"/>
  <c r="H793" i="1"/>
  <c r="F793" i="1"/>
  <c r="C1423" i="1" l="1"/>
  <c r="D1423" i="1" s="1"/>
  <c r="B1424" i="1"/>
  <c r="I793" i="1"/>
  <c r="E794" i="1" s="1"/>
  <c r="C1424" i="1" l="1"/>
  <c r="D1424" i="1" s="1"/>
  <c r="B1425" i="1"/>
  <c r="F794" i="1"/>
  <c r="J794" i="1"/>
  <c r="G794" i="1" s="1"/>
  <c r="H794" i="1"/>
  <c r="B1426" i="1" l="1"/>
  <c r="C1425" i="1"/>
  <c r="D1425" i="1" s="1"/>
  <c r="I794" i="1"/>
  <c r="E795" i="1" s="1"/>
  <c r="C1426" i="1" l="1"/>
  <c r="D1426" i="1" s="1"/>
  <c r="B1427" i="1"/>
  <c r="H795" i="1"/>
  <c r="J795" i="1"/>
  <c r="G795" i="1" s="1"/>
  <c r="F795" i="1"/>
  <c r="C1427" i="1" l="1"/>
  <c r="D1427" i="1" s="1"/>
  <c r="B1428" i="1"/>
  <c r="I795" i="1"/>
  <c r="E796" i="1" s="1"/>
  <c r="C1428" i="1" l="1"/>
  <c r="D1428" i="1" s="1"/>
  <c r="B1429" i="1"/>
  <c r="H796" i="1"/>
  <c r="J796" i="1"/>
  <c r="G796" i="1" s="1"/>
  <c r="F796" i="1"/>
  <c r="B1430" i="1" l="1"/>
  <c r="C1429" i="1"/>
  <c r="D1429" i="1" s="1"/>
  <c r="I796" i="1"/>
  <c r="E797" i="1" s="1"/>
  <c r="C1430" i="1" l="1"/>
  <c r="D1430" i="1" s="1"/>
  <c r="B1431" i="1"/>
  <c r="H797" i="1"/>
  <c r="J797" i="1"/>
  <c r="G797" i="1" s="1"/>
  <c r="F797" i="1"/>
  <c r="C1431" i="1" l="1"/>
  <c r="D1431" i="1" s="1"/>
  <c r="B1432" i="1"/>
  <c r="I797" i="1"/>
  <c r="E798" i="1" s="1"/>
  <c r="C1432" i="1" l="1"/>
  <c r="D1432" i="1" s="1"/>
  <c r="B1433" i="1"/>
  <c r="F798" i="1"/>
  <c r="J798" i="1"/>
  <c r="G798" i="1" s="1"/>
  <c r="H798" i="1"/>
  <c r="I798" i="1" s="1"/>
  <c r="E799" i="1" s="1"/>
  <c r="B1434" i="1" l="1"/>
  <c r="C1433" i="1"/>
  <c r="D1433" i="1" s="1"/>
  <c r="J799" i="1"/>
  <c r="G799" i="1" s="1"/>
  <c r="H799" i="1"/>
  <c r="F799" i="1"/>
  <c r="C1434" i="1" l="1"/>
  <c r="D1434" i="1" s="1"/>
  <c r="B1435" i="1"/>
  <c r="I799" i="1"/>
  <c r="E800" i="1" s="1"/>
  <c r="B1436" i="1" l="1"/>
  <c r="C1435" i="1"/>
  <c r="D1435" i="1" s="1"/>
  <c r="H800" i="1"/>
  <c r="J800" i="1"/>
  <c r="G800" i="1" s="1"/>
  <c r="F800" i="1"/>
  <c r="C1436" i="1" l="1"/>
  <c r="D1436" i="1" s="1"/>
  <c r="B1437" i="1"/>
  <c r="I800" i="1"/>
  <c r="E801" i="1" s="1"/>
  <c r="C1437" i="1" l="1"/>
  <c r="D1437" i="1" s="1"/>
  <c r="B1438" i="1"/>
  <c r="H801" i="1"/>
  <c r="F801" i="1"/>
  <c r="J801" i="1"/>
  <c r="G801" i="1" s="1"/>
  <c r="B1439" i="1" l="1"/>
  <c r="C1438" i="1"/>
  <c r="D1438" i="1" s="1"/>
  <c r="I801" i="1"/>
  <c r="E802" i="1" s="1"/>
  <c r="C1439" i="1" l="1"/>
  <c r="D1439" i="1" s="1"/>
  <c r="B1440" i="1"/>
  <c r="J802" i="1"/>
  <c r="G802" i="1" s="1"/>
  <c r="H802" i="1"/>
  <c r="F802" i="1"/>
  <c r="B1441" i="1" l="1"/>
  <c r="C1440" i="1"/>
  <c r="D1440" i="1" s="1"/>
  <c r="I802" i="1"/>
  <c r="E803" i="1" s="1"/>
  <c r="C1441" i="1" l="1"/>
  <c r="D1441" i="1" s="1"/>
  <c r="B1442" i="1"/>
  <c r="H803" i="1"/>
  <c r="J803" i="1"/>
  <c r="G803" i="1" s="1"/>
  <c r="F803" i="1"/>
  <c r="C1442" i="1" l="1"/>
  <c r="D1442" i="1" s="1"/>
  <c r="B1443" i="1"/>
  <c r="I803" i="1"/>
  <c r="E804" i="1" s="1"/>
  <c r="B1444" i="1" l="1"/>
  <c r="C1443" i="1"/>
  <c r="D1443" i="1" s="1"/>
  <c r="H804" i="1"/>
  <c r="J804" i="1"/>
  <c r="G804" i="1" s="1"/>
  <c r="F804" i="1"/>
  <c r="B1445" i="1" l="1"/>
  <c r="C1444" i="1"/>
  <c r="D1444" i="1" s="1"/>
  <c r="I804" i="1"/>
  <c r="E805" i="1" s="1"/>
  <c r="B1446" i="1" l="1"/>
  <c r="C1445" i="1"/>
  <c r="D1445" i="1" s="1"/>
  <c r="J805" i="1"/>
  <c r="G805" i="1" s="1"/>
  <c r="H805" i="1"/>
  <c r="F805" i="1"/>
  <c r="B1447" i="1" l="1"/>
  <c r="C1446" i="1"/>
  <c r="D1446" i="1" s="1"/>
  <c r="I805" i="1"/>
  <c r="E806" i="1" s="1"/>
  <c r="C1447" i="1" l="1"/>
  <c r="D1447" i="1" s="1"/>
  <c r="B1448" i="1"/>
  <c r="F806" i="1"/>
  <c r="J806" i="1"/>
  <c r="G806" i="1" s="1"/>
  <c r="H806" i="1"/>
  <c r="C1448" i="1" l="1"/>
  <c r="D1448" i="1" s="1"/>
  <c r="B1449" i="1"/>
  <c r="I806" i="1"/>
  <c r="E807" i="1" s="1"/>
  <c r="J807" i="1" s="1"/>
  <c r="G807" i="1" s="1"/>
  <c r="H807" i="1" l="1"/>
  <c r="F807" i="1"/>
  <c r="C1449" i="1"/>
  <c r="D1449" i="1" s="1"/>
  <c r="B1450" i="1"/>
  <c r="I807" i="1"/>
  <c r="E808" i="1" s="1"/>
  <c r="C1450" i="1" l="1"/>
  <c r="D1450" i="1" s="1"/>
  <c r="B1451" i="1"/>
  <c r="H808" i="1"/>
  <c r="F808" i="1"/>
  <c r="J808" i="1"/>
  <c r="G808" i="1" s="1"/>
  <c r="C1451" i="1" l="1"/>
  <c r="D1451" i="1" s="1"/>
  <c r="B1452" i="1"/>
  <c r="I808" i="1"/>
  <c r="E809" i="1" s="1"/>
  <c r="C1452" i="1" l="1"/>
  <c r="D1452" i="1" s="1"/>
  <c r="B1453" i="1"/>
  <c r="J809" i="1"/>
  <c r="G809" i="1" s="1"/>
  <c r="H809" i="1"/>
  <c r="F809" i="1"/>
  <c r="C1453" i="1" l="1"/>
  <c r="D1453" i="1" s="1"/>
  <c r="B1454" i="1"/>
  <c r="I809" i="1"/>
  <c r="E810" i="1" s="1"/>
  <c r="C1454" i="1" l="1"/>
  <c r="D1454" i="1" s="1"/>
  <c r="B1455" i="1"/>
  <c r="J810" i="1"/>
  <c r="G810" i="1" s="1"/>
  <c r="H810" i="1"/>
  <c r="F810" i="1"/>
  <c r="C1455" i="1" l="1"/>
  <c r="D1455" i="1" s="1"/>
  <c r="B1456" i="1"/>
  <c r="I810" i="1"/>
  <c r="E811" i="1" s="1"/>
  <c r="C1456" i="1" l="1"/>
  <c r="D1456" i="1" s="1"/>
  <c r="B1457" i="1"/>
  <c r="H811" i="1"/>
  <c r="F811" i="1"/>
  <c r="J811" i="1"/>
  <c r="G811" i="1" s="1"/>
  <c r="C1457" i="1" l="1"/>
  <c r="D1457" i="1" s="1"/>
  <c r="B1458" i="1"/>
  <c r="I811" i="1"/>
  <c r="E812" i="1" s="1"/>
  <c r="C1458" i="1" l="1"/>
  <c r="D1458" i="1" s="1"/>
  <c r="B1459" i="1"/>
  <c r="H812" i="1"/>
  <c r="J812" i="1"/>
  <c r="G812" i="1" s="1"/>
  <c r="F812" i="1"/>
  <c r="C1459" i="1" l="1"/>
  <c r="D1459" i="1" s="1"/>
  <c r="B1460" i="1"/>
  <c r="I812" i="1"/>
  <c r="E813" i="1" s="1"/>
  <c r="C1460" i="1" l="1"/>
  <c r="D1460" i="1" s="1"/>
  <c r="B1461" i="1"/>
  <c r="F813" i="1"/>
  <c r="J813" i="1"/>
  <c r="G813" i="1" s="1"/>
  <c r="H813" i="1"/>
  <c r="I813" i="1" s="1"/>
  <c r="E814" i="1" s="1"/>
  <c r="C1461" i="1" l="1"/>
  <c r="D1461" i="1" s="1"/>
  <c r="B1462" i="1"/>
  <c r="F814" i="1"/>
  <c r="J814" i="1"/>
  <c r="G814" i="1" s="1"/>
  <c r="H814" i="1"/>
  <c r="I814" i="1" s="1"/>
  <c r="E815" i="1" s="1"/>
  <c r="C1462" i="1" l="1"/>
  <c r="D1462" i="1" s="1"/>
  <c r="B1463" i="1"/>
  <c r="F815" i="1"/>
  <c r="H815" i="1"/>
  <c r="J815" i="1"/>
  <c r="G815" i="1" s="1"/>
  <c r="C1463" i="1" l="1"/>
  <c r="D1463" i="1" s="1"/>
  <c r="B1464" i="1"/>
  <c r="I815" i="1"/>
  <c r="E816" i="1" s="1"/>
  <c r="C1464" i="1" l="1"/>
  <c r="D1464" i="1" s="1"/>
  <c r="B1465" i="1"/>
  <c r="H816" i="1"/>
  <c r="F816" i="1"/>
  <c r="J816" i="1"/>
  <c r="G816" i="1" s="1"/>
  <c r="C1465" i="1" l="1"/>
  <c r="D1465" i="1" s="1"/>
  <c r="B1466" i="1"/>
  <c r="I816" i="1"/>
  <c r="E817" i="1" s="1"/>
  <c r="C1466" i="1" l="1"/>
  <c r="D1466" i="1" s="1"/>
  <c r="B1467" i="1"/>
  <c r="J817" i="1"/>
  <c r="G817" i="1" s="1"/>
  <c r="H817" i="1"/>
  <c r="F817" i="1"/>
  <c r="B1468" i="1" l="1"/>
  <c r="C1467" i="1"/>
  <c r="D1467" i="1" s="1"/>
  <c r="I817" i="1"/>
  <c r="E818" i="1" s="1"/>
  <c r="C1468" i="1" l="1"/>
  <c r="B1469" i="1"/>
  <c r="J818" i="1"/>
  <c r="G818" i="1" s="1"/>
  <c r="H818" i="1"/>
  <c r="F818" i="1"/>
  <c r="C1469" i="1" l="1"/>
  <c r="D1469" i="1" s="1"/>
  <c r="B1470" i="1"/>
  <c r="D1468" i="1"/>
  <c r="D7" i="2"/>
  <c r="D6" i="2"/>
  <c r="D8" i="2"/>
  <c r="D5" i="2"/>
  <c r="E5" i="2"/>
  <c r="E6" i="2"/>
  <c r="I818" i="1"/>
  <c r="E819" i="1" s="1"/>
  <c r="C1470" i="1" l="1"/>
  <c r="D1470" i="1" s="1"/>
  <c r="B1471" i="1"/>
  <c r="F819" i="1"/>
  <c r="H819" i="1"/>
  <c r="J819" i="1"/>
  <c r="G819" i="1" s="1"/>
  <c r="C1471" i="1" l="1"/>
  <c r="D1471" i="1" s="1"/>
  <c r="B1472" i="1"/>
  <c r="I819" i="1"/>
  <c r="E820" i="1" s="1"/>
  <c r="C1472" i="1" l="1"/>
  <c r="D1472" i="1" s="1"/>
  <c r="B1473" i="1"/>
  <c r="H820" i="1"/>
  <c r="J820" i="1"/>
  <c r="G820" i="1" s="1"/>
  <c r="F820" i="1"/>
  <c r="C1473" i="1" l="1"/>
  <c r="D1473" i="1" s="1"/>
  <c r="B1474" i="1"/>
  <c r="I820" i="1"/>
  <c r="E821" i="1" s="1"/>
  <c r="C1474" i="1" l="1"/>
  <c r="D1474" i="1" s="1"/>
  <c r="B1475" i="1"/>
  <c r="H821" i="1"/>
  <c r="J821" i="1"/>
  <c r="G821" i="1" s="1"/>
  <c r="F821" i="1"/>
  <c r="C1475" i="1" l="1"/>
  <c r="D1475" i="1" s="1"/>
  <c r="B1476" i="1"/>
  <c r="I821" i="1"/>
  <c r="E822" i="1" s="1"/>
  <c r="C1476" i="1" l="1"/>
  <c r="D1476" i="1" s="1"/>
  <c r="B1477" i="1"/>
  <c r="H822" i="1"/>
  <c r="J822" i="1"/>
  <c r="G822" i="1" s="1"/>
  <c r="F822" i="1"/>
  <c r="C1477" i="1" l="1"/>
  <c r="D1477" i="1" s="1"/>
  <c r="B1478" i="1"/>
  <c r="I822" i="1"/>
  <c r="E823" i="1" s="1"/>
  <c r="C1478" i="1" l="1"/>
  <c r="D1478" i="1" s="1"/>
  <c r="B1479" i="1"/>
  <c r="H823" i="1"/>
  <c r="J823" i="1"/>
  <c r="G823" i="1" s="1"/>
  <c r="F823" i="1"/>
  <c r="C1479" i="1" l="1"/>
  <c r="D1479" i="1" s="1"/>
  <c r="B1480" i="1"/>
  <c r="I823" i="1"/>
  <c r="E824" i="1" s="1"/>
  <c r="C1480" i="1" l="1"/>
  <c r="D1480" i="1" s="1"/>
  <c r="B1481" i="1"/>
  <c r="H824" i="1"/>
  <c r="J824" i="1"/>
  <c r="G824" i="1" s="1"/>
  <c r="F824" i="1"/>
  <c r="C1481" i="1" l="1"/>
  <c r="D1481" i="1" s="1"/>
  <c r="B1482" i="1"/>
  <c r="I824" i="1"/>
  <c r="E825" i="1" s="1"/>
  <c r="C1482" i="1" l="1"/>
  <c r="D1482" i="1" s="1"/>
  <c r="B1483" i="1"/>
  <c r="H825" i="1"/>
  <c r="J825" i="1"/>
  <c r="G825" i="1" s="1"/>
  <c r="F825" i="1"/>
  <c r="I825" i="1" l="1"/>
  <c r="E826" i="1" s="1"/>
  <c r="C1483" i="1"/>
  <c r="D1483" i="1" s="1"/>
  <c r="B1484" i="1"/>
  <c r="F826" i="1"/>
  <c r="J826" i="1"/>
  <c r="G826" i="1" s="1"/>
  <c r="H826" i="1"/>
  <c r="I826" i="1" l="1"/>
  <c r="E827" i="1" s="1"/>
  <c r="B1485" i="1"/>
  <c r="C1484" i="1"/>
  <c r="D1484" i="1" s="1"/>
  <c r="H827" i="1"/>
  <c r="F827" i="1"/>
  <c r="J827" i="1"/>
  <c r="G827" i="1" s="1"/>
  <c r="B1486" i="1" l="1"/>
  <c r="C1485" i="1"/>
  <c r="D1485" i="1" s="1"/>
  <c r="I827" i="1"/>
  <c r="E828" i="1" s="1"/>
  <c r="C1486" i="1" l="1"/>
  <c r="D1486" i="1" s="1"/>
  <c r="B1487" i="1"/>
  <c r="H828" i="1"/>
  <c r="J828" i="1"/>
  <c r="G828" i="1" s="1"/>
  <c r="F828" i="1"/>
  <c r="C1487" i="1" l="1"/>
  <c r="D1487" i="1" s="1"/>
  <c r="B1488" i="1"/>
  <c r="I828" i="1"/>
  <c r="E829" i="1" s="1"/>
  <c r="B1489" i="1" l="1"/>
  <c r="C1488" i="1"/>
  <c r="D1488" i="1" s="1"/>
  <c r="J829" i="1"/>
  <c r="G829" i="1" s="1"/>
  <c r="F829" i="1"/>
  <c r="H829" i="1"/>
  <c r="B1490" i="1" l="1"/>
  <c r="C1489" i="1"/>
  <c r="D1489" i="1" s="1"/>
  <c r="I829" i="1"/>
  <c r="E830" i="1" s="1"/>
  <c r="C1490" i="1" l="1"/>
  <c r="D1490" i="1" s="1"/>
  <c r="B1491" i="1"/>
  <c r="H830" i="1"/>
  <c r="J830" i="1"/>
  <c r="G830" i="1" s="1"/>
  <c r="F830" i="1"/>
  <c r="I830" i="1" l="1"/>
  <c r="E831" i="1" s="1"/>
  <c r="C1491" i="1"/>
  <c r="D1491" i="1" s="1"/>
  <c r="B1492" i="1"/>
  <c r="H831" i="1"/>
  <c r="J831" i="1"/>
  <c r="G831" i="1" s="1"/>
  <c r="F831" i="1"/>
  <c r="B1493" i="1" l="1"/>
  <c r="C1492" i="1"/>
  <c r="D1492" i="1" s="1"/>
  <c r="I831" i="1"/>
  <c r="E832" i="1" s="1"/>
  <c r="C1493" i="1" l="1"/>
  <c r="D1493" i="1" s="1"/>
  <c r="B1494" i="1"/>
  <c r="F832" i="1"/>
  <c r="H832" i="1"/>
  <c r="J832" i="1"/>
  <c r="G832" i="1" s="1"/>
  <c r="B1495" i="1" l="1"/>
  <c r="C1494" i="1"/>
  <c r="D1494" i="1" s="1"/>
  <c r="I832" i="1"/>
  <c r="E833" i="1" s="1"/>
  <c r="C1495" i="1" l="1"/>
  <c r="D1495" i="1" s="1"/>
  <c r="B1496" i="1"/>
  <c r="F833" i="1"/>
  <c r="H833" i="1"/>
  <c r="J833" i="1"/>
  <c r="G833" i="1" s="1"/>
  <c r="C1496" i="1" l="1"/>
  <c r="D1496" i="1" s="1"/>
  <c r="B1497" i="1"/>
  <c r="I833" i="1"/>
  <c r="E834" i="1" s="1"/>
  <c r="C1497" i="1" l="1"/>
  <c r="D1497" i="1" s="1"/>
  <c r="B1498" i="1"/>
  <c r="H834" i="1"/>
  <c r="J834" i="1"/>
  <c r="G834" i="1" s="1"/>
  <c r="F834" i="1"/>
  <c r="I834" i="1" l="1"/>
  <c r="E835" i="1" s="1"/>
  <c r="C1498" i="1"/>
  <c r="D1498" i="1" s="1"/>
  <c r="B1499" i="1"/>
  <c r="F835" i="1"/>
  <c r="J835" i="1"/>
  <c r="G835" i="1" s="1"/>
  <c r="H835" i="1"/>
  <c r="I835" i="1" s="1"/>
  <c r="E836" i="1" s="1"/>
  <c r="C1499" i="1" l="1"/>
  <c r="D1499" i="1" s="1"/>
  <c r="B1500" i="1"/>
  <c r="F836" i="1"/>
  <c r="J836" i="1"/>
  <c r="G836" i="1" s="1"/>
  <c r="H836" i="1"/>
  <c r="I836" i="1" l="1"/>
  <c r="E837" i="1" s="1"/>
  <c r="H837" i="1" s="1"/>
  <c r="B1501" i="1"/>
  <c r="C1500" i="1"/>
  <c r="D1500" i="1" s="1"/>
  <c r="F837" i="1"/>
  <c r="J837" i="1"/>
  <c r="G837" i="1" s="1"/>
  <c r="B1502" i="1" l="1"/>
  <c r="C1501" i="1"/>
  <c r="D1501" i="1" s="1"/>
  <c r="I837" i="1"/>
  <c r="E838" i="1" s="1"/>
  <c r="B1503" i="1" l="1"/>
  <c r="C1502" i="1"/>
  <c r="D1502" i="1" s="1"/>
  <c r="H838" i="1"/>
  <c r="J838" i="1"/>
  <c r="G838" i="1" s="1"/>
  <c r="F838" i="1"/>
  <c r="C1503" i="1" l="1"/>
  <c r="D1503" i="1" s="1"/>
  <c r="B1504" i="1"/>
  <c r="I838" i="1"/>
  <c r="E839" i="1" s="1"/>
  <c r="C1504" i="1" l="1"/>
  <c r="D1504" i="1" s="1"/>
  <c r="B1505" i="1"/>
  <c r="J839" i="1"/>
  <c r="G839" i="1" s="1"/>
  <c r="F839" i="1"/>
  <c r="H839" i="1"/>
  <c r="B1506" i="1" l="1"/>
  <c r="C1505" i="1"/>
  <c r="D1505" i="1" s="1"/>
  <c r="I839" i="1"/>
  <c r="E840" i="1" s="1"/>
  <c r="C1506" i="1" l="1"/>
  <c r="D1506" i="1" s="1"/>
  <c r="B1507" i="1"/>
  <c r="H840" i="1"/>
  <c r="J840" i="1"/>
  <c r="G840" i="1" s="1"/>
  <c r="F840" i="1"/>
  <c r="C1507" i="1" l="1"/>
  <c r="D1507" i="1" s="1"/>
  <c r="B1508" i="1"/>
  <c r="I840" i="1"/>
  <c r="E841" i="1" s="1"/>
  <c r="B1509" i="1" l="1"/>
  <c r="C1508" i="1"/>
  <c r="D1508" i="1" s="1"/>
  <c r="H841" i="1"/>
  <c r="J841" i="1"/>
  <c r="G841" i="1" s="1"/>
  <c r="F841" i="1"/>
  <c r="I841" i="1" l="1"/>
  <c r="E842" i="1" s="1"/>
  <c r="B1510" i="1"/>
  <c r="C1509" i="1"/>
  <c r="D1509" i="1" s="1"/>
  <c r="F842" i="1"/>
  <c r="J842" i="1"/>
  <c r="G842" i="1" s="1"/>
  <c r="H842" i="1"/>
  <c r="I842" i="1" l="1"/>
  <c r="E843" i="1" s="1"/>
  <c r="C1510" i="1"/>
  <c r="D1510" i="1" s="1"/>
  <c r="B1511" i="1"/>
  <c r="J843" i="1"/>
  <c r="G843" i="1" s="1"/>
  <c r="H843" i="1"/>
  <c r="F843" i="1"/>
  <c r="C1511" i="1" l="1"/>
  <c r="D1511" i="1" s="1"/>
  <c r="B1512" i="1"/>
  <c r="I843" i="1"/>
  <c r="E844" i="1" s="1"/>
  <c r="C1512" i="1" l="1"/>
  <c r="D1512" i="1" s="1"/>
  <c r="B1513" i="1"/>
  <c r="J844" i="1"/>
  <c r="G844" i="1" s="1"/>
  <c r="F844" i="1"/>
  <c r="H844" i="1"/>
  <c r="C1513" i="1" l="1"/>
  <c r="D1513" i="1" s="1"/>
  <c r="B1514" i="1"/>
  <c r="I844" i="1"/>
  <c r="E845" i="1" s="1"/>
  <c r="C1514" i="1" l="1"/>
  <c r="D1514" i="1" s="1"/>
  <c r="B1515" i="1"/>
  <c r="F845" i="1"/>
  <c r="H845" i="1"/>
  <c r="J845" i="1"/>
  <c r="G845" i="1" s="1"/>
  <c r="B1516" i="1" l="1"/>
  <c r="C1515" i="1"/>
  <c r="D1515" i="1" s="1"/>
  <c r="I845" i="1"/>
  <c r="E846" i="1" s="1"/>
  <c r="C1516" i="1" l="1"/>
  <c r="D1516" i="1" s="1"/>
  <c r="B1517" i="1"/>
  <c r="J846" i="1"/>
  <c r="G846" i="1" s="1"/>
  <c r="H846" i="1"/>
  <c r="F846" i="1"/>
  <c r="C1517" i="1" l="1"/>
  <c r="D1517" i="1" s="1"/>
  <c r="B1518" i="1"/>
  <c r="I846" i="1"/>
  <c r="E847" i="1" s="1"/>
  <c r="B1519" i="1" l="1"/>
  <c r="C1518" i="1"/>
  <c r="D1518" i="1" s="1"/>
  <c r="H847" i="1"/>
  <c r="F847" i="1"/>
  <c r="J847" i="1"/>
  <c r="G847" i="1" s="1"/>
  <c r="C1519" i="1" l="1"/>
  <c r="D1519" i="1" s="1"/>
  <c r="B1520" i="1"/>
  <c r="I847" i="1"/>
  <c r="E848" i="1" s="1"/>
  <c r="B1521" i="1" l="1"/>
  <c r="C1520" i="1"/>
  <c r="D1520" i="1" s="1"/>
  <c r="J848" i="1"/>
  <c r="G848" i="1" s="1"/>
  <c r="H848" i="1"/>
  <c r="F848" i="1"/>
  <c r="C1521" i="1" l="1"/>
  <c r="D1521" i="1" s="1"/>
  <c r="B1522" i="1"/>
  <c r="I848" i="1"/>
  <c r="E849" i="1" s="1"/>
  <c r="C1522" i="1" l="1"/>
  <c r="D1522" i="1" s="1"/>
  <c r="B1523" i="1"/>
  <c r="H849" i="1"/>
  <c r="F849" i="1"/>
  <c r="J849" i="1"/>
  <c r="G849" i="1" s="1"/>
  <c r="C1523" i="1" l="1"/>
  <c r="D1523" i="1" s="1"/>
  <c r="B1524" i="1"/>
  <c r="I849" i="1"/>
  <c r="E850" i="1" s="1"/>
  <c r="B1525" i="1" l="1"/>
  <c r="C1524" i="1"/>
  <c r="D1524" i="1" s="1"/>
  <c r="H850" i="1"/>
  <c r="J850" i="1"/>
  <c r="G850" i="1" s="1"/>
  <c r="F850" i="1"/>
  <c r="B1526" i="1" l="1"/>
  <c r="C1525" i="1"/>
  <c r="D1525" i="1" s="1"/>
  <c r="I850" i="1"/>
  <c r="E851" i="1" s="1"/>
  <c r="B1527" i="1" l="1"/>
  <c r="C1526" i="1"/>
  <c r="D1526" i="1" s="1"/>
  <c r="H851" i="1"/>
  <c r="J851" i="1"/>
  <c r="G851" i="1" s="1"/>
  <c r="F851" i="1"/>
  <c r="C1527" i="1" l="1"/>
  <c r="D1527" i="1" s="1"/>
  <c r="B1528" i="1"/>
  <c r="I851" i="1"/>
  <c r="E852" i="1" s="1"/>
  <c r="B1529" i="1" l="1"/>
  <c r="C1528" i="1"/>
  <c r="D1528" i="1" s="1"/>
  <c r="J852" i="1"/>
  <c r="G852" i="1" s="1"/>
  <c r="H852" i="1"/>
  <c r="F852" i="1"/>
  <c r="B1530" i="1" l="1"/>
  <c r="C1529" i="1"/>
  <c r="D1529" i="1" s="1"/>
  <c r="I852" i="1"/>
  <c r="E853" i="1" s="1"/>
  <c r="C1530" i="1" l="1"/>
  <c r="D1530" i="1" s="1"/>
  <c r="B1531" i="1"/>
  <c r="H853" i="1"/>
  <c r="J853" i="1"/>
  <c r="G853" i="1" s="1"/>
  <c r="F853" i="1"/>
  <c r="C1531" i="1" l="1"/>
  <c r="D1531" i="1" s="1"/>
  <c r="B1532" i="1"/>
  <c r="I853" i="1"/>
  <c r="E854" i="1" s="1"/>
  <c r="B1533" i="1" l="1"/>
  <c r="C1532" i="1"/>
  <c r="D1532" i="1" s="1"/>
  <c r="H854" i="1"/>
  <c r="J854" i="1"/>
  <c r="G854" i="1" s="1"/>
  <c r="F854" i="1"/>
  <c r="B1534" i="1" l="1"/>
  <c r="C1533" i="1"/>
  <c r="D1533" i="1" s="1"/>
  <c r="I854" i="1"/>
  <c r="E855" i="1" s="1"/>
  <c r="C1534" i="1" l="1"/>
  <c r="D1534" i="1" s="1"/>
  <c r="B1535" i="1"/>
  <c r="H855" i="1"/>
  <c r="J855" i="1"/>
  <c r="G855" i="1" s="1"/>
  <c r="F855" i="1"/>
  <c r="C1535" i="1" l="1"/>
  <c r="D1535" i="1" s="1"/>
  <c r="B1536" i="1"/>
  <c r="I855" i="1"/>
  <c r="E856" i="1" s="1"/>
  <c r="C1536" i="1" l="1"/>
  <c r="D1536" i="1" s="1"/>
  <c r="B1537" i="1"/>
  <c r="J856" i="1"/>
  <c r="G856" i="1" s="1"/>
  <c r="F856" i="1"/>
  <c r="H856" i="1"/>
  <c r="B1538" i="1" l="1"/>
  <c r="C1537" i="1"/>
  <c r="D1537" i="1" s="1"/>
  <c r="I856" i="1"/>
  <c r="E857" i="1" s="1"/>
  <c r="B1539" i="1" l="1"/>
  <c r="C1538" i="1"/>
  <c r="D1538" i="1" s="1"/>
  <c r="H857" i="1"/>
  <c r="J857" i="1"/>
  <c r="G857" i="1" s="1"/>
  <c r="F857" i="1"/>
  <c r="I857" i="1" l="1"/>
  <c r="E858" i="1" s="1"/>
  <c r="C1539" i="1"/>
  <c r="D1539" i="1" s="1"/>
  <c r="B1540" i="1"/>
  <c r="H858" i="1"/>
  <c r="J858" i="1"/>
  <c r="G858" i="1" s="1"/>
  <c r="F858" i="1"/>
  <c r="C1540" i="1" l="1"/>
  <c r="D1540" i="1" s="1"/>
  <c r="B1541" i="1"/>
  <c r="I858" i="1"/>
  <c r="E859" i="1" s="1"/>
  <c r="C1541" i="1" l="1"/>
  <c r="D1541" i="1" s="1"/>
  <c r="B1542" i="1"/>
  <c r="H859" i="1"/>
  <c r="J859" i="1"/>
  <c r="G859" i="1" s="1"/>
  <c r="F859" i="1"/>
  <c r="C1542" i="1" l="1"/>
  <c r="D1542" i="1" s="1"/>
  <c r="B1543" i="1"/>
  <c r="I859" i="1"/>
  <c r="E860" i="1" s="1"/>
  <c r="C1543" i="1" l="1"/>
  <c r="D1543" i="1" s="1"/>
  <c r="B1544" i="1"/>
  <c r="J860" i="1"/>
  <c r="G860" i="1" s="1"/>
  <c r="H860" i="1"/>
  <c r="F860" i="1"/>
  <c r="B1545" i="1" l="1"/>
  <c r="C1544" i="1"/>
  <c r="D1544" i="1" s="1"/>
  <c r="I860" i="1"/>
  <c r="E861" i="1" s="1"/>
  <c r="C1545" i="1" l="1"/>
  <c r="D1545" i="1" s="1"/>
  <c r="B1546" i="1"/>
  <c r="H861" i="1"/>
  <c r="J861" i="1"/>
  <c r="G861" i="1" s="1"/>
  <c r="F861" i="1"/>
  <c r="C1546" i="1" l="1"/>
  <c r="D1546" i="1" s="1"/>
  <c r="B1547" i="1"/>
  <c r="I861" i="1"/>
  <c r="E862" i="1" s="1"/>
  <c r="B1548" i="1" l="1"/>
  <c r="C1547" i="1"/>
  <c r="D1547" i="1" s="1"/>
  <c r="H862" i="1"/>
  <c r="J862" i="1"/>
  <c r="G862" i="1" s="1"/>
  <c r="F862" i="1"/>
  <c r="C1548" i="1" l="1"/>
  <c r="D1548" i="1" s="1"/>
  <c r="B1549" i="1"/>
  <c r="I862" i="1"/>
  <c r="E863" i="1" s="1"/>
  <c r="C1549" i="1" l="1"/>
  <c r="D1549" i="1" s="1"/>
  <c r="B1550" i="1"/>
  <c r="H863" i="1"/>
  <c r="F863" i="1"/>
  <c r="J863" i="1"/>
  <c r="G863" i="1" s="1"/>
  <c r="C1550" i="1" l="1"/>
  <c r="D1550" i="1" s="1"/>
  <c r="B1551" i="1"/>
  <c r="I863" i="1"/>
  <c r="E864" i="1" s="1"/>
  <c r="C1551" i="1" l="1"/>
  <c r="D1551" i="1" s="1"/>
  <c r="B1552" i="1"/>
  <c r="J864" i="1"/>
  <c r="G864" i="1" s="1"/>
  <c r="H864" i="1"/>
  <c r="F864" i="1"/>
  <c r="C1552" i="1" l="1"/>
  <c r="D1552" i="1" s="1"/>
  <c r="B1553" i="1"/>
  <c r="I864" i="1"/>
  <c r="E865" i="1" s="1"/>
  <c r="C1553" i="1" l="1"/>
  <c r="D1553" i="1" s="1"/>
  <c r="B1554" i="1"/>
  <c r="J865" i="1"/>
  <c r="G865" i="1" s="1"/>
  <c r="H865" i="1"/>
  <c r="F865" i="1"/>
  <c r="C1554" i="1" l="1"/>
  <c r="D1554" i="1" s="1"/>
  <c r="B1555" i="1"/>
  <c r="I865" i="1"/>
  <c r="E866" i="1" s="1"/>
  <c r="C1555" i="1" l="1"/>
  <c r="D1555" i="1" s="1"/>
  <c r="B1556" i="1"/>
  <c r="F866" i="1"/>
  <c r="H866" i="1"/>
  <c r="J866" i="1"/>
  <c r="G866" i="1" s="1"/>
  <c r="C1556" i="1" l="1"/>
  <c r="D1556" i="1" s="1"/>
  <c r="B1557" i="1"/>
  <c r="I866" i="1"/>
  <c r="E867" i="1" s="1"/>
  <c r="C1557" i="1" l="1"/>
  <c r="D1557" i="1" s="1"/>
  <c r="B1558" i="1"/>
  <c r="H867" i="1"/>
  <c r="J867" i="1"/>
  <c r="G867" i="1" s="1"/>
  <c r="F867" i="1"/>
  <c r="C1558" i="1" l="1"/>
  <c r="D1558" i="1" s="1"/>
  <c r="B1559" i="1"/>
  <c r="I867" i="1"/>
  <c r="E868" i="1" s="1"/>
  <c r="C1559" i="1" l="1"/>
  <c r="D1559" i="1" s="1"/>
  <c r="B1560" i="1"/>
  <c r="H868" i="1"/>
  <c r="J868" i="1"/>
  <c r="G868" i="1" s="1"/>
  <c r="F868" i="1"/>
  <c r="I868" i="1" l="1"/>
  <c r="E869" i="1" s="1"/>
  <c r="C1560" i="1"/>
  <c r="D1560" i="1" s="1"/>
  <c r="B1561" i="1"/>
  <c r="H869" i="1"/>
  <c r="J869" i="1"/>
  <c r="G869" i="1" s="1"/>
  <c r="F869" i="1"/>
  <c r="C1561" i="1" l="1"/>
  <c r="D1561" i="1" s="1"/>
  <c r="B1562" i="1"/>
  <c r="I869" i="1"/>
  <c r="E870" i="1" s="1"/>
  <c r="C1562" i="1" l="1"/>
  <c r="D1562" i="1" s="1"/>
  <c r="B1563" i="1"/>
  <c r="F870" i="1"/>
  <c r="H870" i="1"/>
  <c r="J870" i="1"/>
  <c r="G870" i="1" s="1"/>
  <c r="B1564" i="1" l="1"/>
  <c r="C1563" i="1"/>
  <c r="D1563" i="1" s="1"/>
  <c r="I870" i="1"/>
  <c r="E871" i="1" s="1"/>
  <c r="C1564" i="1" l="1"/>
  <c r="D1564" i="1" s="1"/>
  <c r="B1565" i="1"/>
  <c r="J871" i="1"/>
  <c r="G871" i="1" s="1"/>
  <c r="H871" i="1"/>
  <c r="F871" i="1"/>
  <c r="C1565" i="1" l="1"/>
  <c r="D1565" i="1" s="1"/>
  <c r="B1566" i="1"/>
  <c r="I871" i="1"/>
  <c r="E872" i="1" s="1"/>
  <c r="C1566" i="1" l="1"/>
  <c r="D1566" i="1" s="1"/>
  <c r="B1567" i="1"/>
  <c r="J872" i="1"/>
  <c r="G872" i="1" s="1"/>
  <c r="H872" i="1"/>
  <c r="F872" i="1"/>
  <c r="C1567" i="1" l="1"/>
  <c r="D1567" i="1" s="1"/>
  <c r="B1568" i="1"/>
  <c r="I872" i="1"/>
  <c r="E873" i="1" s="1"/>
  <c r="B1569" i="1" l="1"/>
  <c r="C1568" i="1"/>
  <c r="D1568" i="1" s="1"/>
  <c r="J873" i="1"/>
  <c r="G873" i="1" s="1"/>
  <c r="F873" i="1"/>
  <c r="H873" i="1"/>
  <c r="C1569" i="1" l="1"/>
  <c r="D1569" i="1" s="1"/>
  <c r="B1570" i="1"/>
  <c r="I873" i="1"/>
  <c r="E874" i="1" s="1"/>
  <c r="C1570" i="1" l="1"/>
  <c r="D1570" i="1" s="1"/>
  <c r="B1571" i="1"/>
  <c r="H874" i="1"/>
  <c r="J874" i="1"/>
  <c r="G874" i="1" s="1"/>
  <c r="F874" i="1"/>
  <c r="B1572" i="1" l="1"/>
  <c r="C1571" i="1"/>
  <c r="D1571" i="1" s="1"/>
  <c r="I874" i="1"/>
  <c r="E875" i="1" s="1"/>
  <c r="C1572" i="1" l="1"/>
  <c r="D1572" i="1" s="1"/>
  <c r="B1573" i="1"/>
  <c r="H875" i="1"/>
  <c r="J875" i="1"/>
  <c r="G875" i="1" s="1"/>
  <c r="F875" i="1"/>
  <c r="B1574" i="1" l="1"/>
  <c r="C1573" i="1"/>
  <c r="D1573" i="1" s="1"/>
  <c r="I875" i="1"/>
  <c r="E876" i="1" s="1"/>
  <c r="C1574" i="1" l="1"/>
  <c r="D1574" i="1" s="1"/>
  <c r="B1575" i="1"/>
  <c r="J876" i="1"/>
  <c r="G876" i="1" s="1"/>
  <c r="H876" i="1"/>
  <c r="F876" i="1"/>
  <c r="B1576" i="1" l="1"/>
  <c r="C1575" i="1"/>
  <c r="D1575" i="1" s="1"/>
  <c r="I876" i="1"/>
  <c r="E877" i="1" s="1"/>
  <c r="C1576" i="1" l="1"/>
  <c r="D1576" i="1" s="1"/>
  <c r="B1577" i="1"/>
  <c r="H877" i="1"/>
  <c r="J877" i="1"/>
  <c r="G877" i="1" s="1"/>
  <c r="F877" i="1"/>
  <c r="C1577" i="1" l="1"/>
  <c r="D1577" i="1" s="1"/>
  <c r="B1578" i="1"/>
  <c r="I877" i="1"/>
  <c r="E878" i="1" s="1"/>
  <c r="C1578" i="1" l="1"/>
  <c r="D1578" i="1" s="1"/>
  <c r="B1579" i="1"/>
  <c r="J878" i="1"/>
  <c r="G878" i="1" s="1"/>
  <c r="H878" i="1"/>
  <c r="F878" i="1"/>
  <c r="C1579" i="1" l="1"/>
  <c r="D1579" i="1" s="1"/>
  <c r="B1580" i="1"/>
  <c r="I878" i="1"/>
  <c r="E879" i="1" s="1"/>
  <c r="B1581" i="1" l="1"/>
  <c r="C1580" i="1"/>
  <c r="D1580" i="1" s="1"/>
  <c r="F879" i="1"/>
  <c r="H879" i="1"/>
  <c r="J879" i="1"/>
  <c r="G879" i="1" s="1"/>
  <c r="B1582" i="1" l="1"/>
  <c r="C1581" i="1"/>
  <c r="D1581" i="1" s="1"/>
  <c r="I879" i="1"/>
  <c r="E880" i="1" s="1"/>
  <c r="C1582" i="1" l="1"/>
  <c r="D1582" i="1" s="1"/>
  <c r="B1583" i="1"/>
  <c r="H880" i="1"/>
  <c r="J880" i="1"/>
  <c r="G880" i="1" s="1"/>
  <c r="F880" i="1"/>
  <c r="B1584" i="1" l="1"/>
  <c r="C1583" i="1"/>
  <c r="D1583" i="1" s="1"/>
  <c r="I880" i="1"/>
  <c r="E881" i="1" s="1"/>
  <c r="B1585" i="1" l="1"/>
  <c r="C1584" i="1"/>
  <c r="D1584" i="1" s="1"/>
  <c r="H881" i="1"/>
  <c r="J881" i="1"/>
  <c r="G881" i="1" s="1"/>
  <c r="F881" i="1"/>
  <c r="C1585" i="1" l="1"/>
  <c r="D1585" i="1" s="1"/>
  <c r="B1586" i="1"/>
  <c r="I881" i="1"/>
  <c r="E882" i="1" s="1"/>
  <c r="C1586" i="1" l="1"/>
  <c r="D1586" i="1" s="1"/>
  <c r="B1587" i="1"/>
  <c r="J882" i="1"/>
  <c r="G882" i="1" s="1"/>
  <c r="F882" i="1"/>
  <c r="H882" i="1"/>
  <c r="B1588" i="1" l="1"/>
  <c r="C1587" i="1"/>
  <c r="D1587" i="1" s="1"/>
  <c r="I882" i="1"/>
  <c r="E883" i="1" s="1"/>
  <c r="B1589" i="1" l="1"/>
  <c r="C1588" i="1"/>
  <c r="D1588" i="1" s="1"/>
  <c r="F883" i="1"/>
  <c r="H883" i="1"/>
  <c r="J883" i="1"/>
  <c r="G883" i="1" s="1"/>
  <c r="B1590" i="1" l="1"/>
  <c r="C1589" i="1"/>
  <c r="D1589" i="1" s="1"/>
  <c r="I883" i="1"/>
  <c r="E884" i="1" s="1"/>
  <c r="C1590" i="1" l="1"/>
  <c r="D1590" i="1" s="1"/>
  <c r="B1591" i="1"/>
  <c r="J884" i="1"/>
  <c r="G884" i="1" s="1"/>
  <c r="H884" i="1"/>
  <c r="F884" i="1"/>
  <c r="B1592" i="1" l="1"/>
  <c r="C1591" i="1"/>
  <c r="D1591" i="1" s="1"/>
  <c r="I884" i="1"/>
  <c r="E885" i="1" s="1"/>
  <c r="B1593" i="1" l="1"/>
  <c r="C1592" i="1"/>
  <c r="D1592" i="1" s="1"/>
  <c r="J885" i="1"/>
  <c r="G885" i="1" s="1"/>
  <c r="H885" i="1"/>
  <c r="F885" i="1"/>
  <c r="C1593" i="1" l="1"/>
  <c r="D1593" i="1" s="1"/>
  <c r="B1594" i="1"/>
  <c r="I885" i="1"/>
  <c r="E886" i="1" s="1"/>
  <c r="C1594" i="1" l="1"/>
  <c r="D1594" i="1" s="1"/>
  <c r="B1595" i="1"/>
  <c r="J886" i="1"/>
  <c r="G886" i="1" s="1"/>
  <c r="H886" i="1"/>
  <c r="F886" i="1"/>
  <c r="B1596" i="1" l="1"/>
  <c r="C1595" i="1"/>
  <c r="D1595" i="1" s="1"/>
  <c r="I886" i="1"/>
  <c r="E887" i="1" s="1"/>
  <c r="C1596" i="1" l="1"/>
  <c r="D1596" i="1" s="1"/>
  <c r="B1597" i="1"/>
  <c r="J887" i="1"/>
  <c r="G887" i="1" s="1"/>
  <c r="F887" i="1"/>
  <c r="H887" i="1"/>
  <c r="C1597" i="1" l="1"/>
  <c r="D1597" i="1" s="1"/>
  <c r="B1598" i="1"/>
  <c r="I887" i="1"/>
  <c r="E888" i="1" s="1"/>
  <c r="C1598" i="1" l="1"/>
  <c r="D1598" i="1" s="1"/>
  <c r="B1599" i="1"/>
  <c r="J888" i="1"/>
  <c r="G888" i="1" s="1"/>
  <c r="H888" i="1"/>
  <c r="F888" i="1"/>
  <c r="C1599" i="1" l="1"/>
  <c r="D1599" i="1" s="1"/>
  <c r="B1600" i="1"/>
  <c r="I888" i="1"/>
  <c r="E889" i="1" s="1"/>
  <c r="C1600" i="1" l="1"/>
  <c r="D1600" i="1" s="1"/>
  <c r="B1601" i="1"/>
  <c r="J889" i="1"/>
  <c r="G889" i="1" s="1"/>
  <c r="F889" i="1"/>
  <c r="H889" i="1"/>
  <c r="C1601" i="1" l="1"/>
  <c r="D1601" i="1" s="1"/>
  <c r="B1602" i="1"/>
  <c r="I889" i="1"/>
  <c r="E890" i="1" s="1"/>
  <c r="C1602" i="1" l="1"/>
  <c r="D1602" i="1" s="1"/>
  <c r="B1603" i="1"/>
  <c r="H890" i="1"/>
  <c r="F890" i="1"/>
  <c r="J890" i="1"/>
  <c r="G890" i="1" s="1"/>
  <c r="C1603" i="1" l="1"/>
  <c r="D1603" i="1" s="1"/>
  <c r="B1604" i="1"/>
  <c r="I890" i="1"/>
  <c r="E891" i="1" s="1"/>
  <c r="C1604" i="1" l="1"/>
  <c r="D1604" i="1" s="1"/>
  <c r="B1605" i="1"/>
  <c r="H891" i="1"/>
  <c r="F891" i="1"/>
  <c r="J891" i="1"/>
  <c r="G891" i="1" s="1"/>
  <c r="C1605" i="1" l="1"/>
  <c r="D1605" i="1" s="1"/>
  <c r="B1606" i="1"/>
  <c r="I891" i="1"/>
  <c r="E892" i="1" s="1"/>
  <c r="C1606" i="1" l="1"/>
  <c r="D1606" i="1" s="1"/>
  <c r="B1607" i="1"/>
  <c r="H892" i="1"/>
  <c r="J892" i="1"/>
  <c r="G892" i="1" s="1"/>
  <c r="F892" i="1"/>
  <c r="I892" i="1" l="1"/>
  <c r="E893" i="1" s="1"/>
  <c r="C1607" i="1"/>
  <c r="D1607" i="1" s="1"/>
  <c r="B1608" i="1"/>
  <c r="J893" i="1"/>
  <c r="G893" i="1" s="1"/>
  <c r="H893" i="1"/>
  <c r="F893" i="1"/>
  <c r="C1608" i="1" l="1"/>
  <c r="D1608" i="1" s="1"/>
  <c r="B1609" i="1"/>
  <c r="I893" i="1"/>
  <c r="E894" i="1" s="1"/>
  <c r="C1609" i="1" l="1"/>
  <c r="D1609" i="1" s="1"/>
  <c r="B1610" i="1"/>
  <c r="H894" i="1"/>
  <c r="J894" i="1"/>
  <c r="G894" i="1" s="1"/>
  <c r="F894" i="1"/>
  <c r="C1610" i="1" l="1"/>
  <c r="D1610" i="1" s="1"/>
  <c r="B1611" i="1"/>
  <c r="I894" i="1"/>
  <c r="E895" i="1" s="1"/>
  <c r="C1611" i="1" l="1"/>
  <c r="D1611" i="1" s="1"/>
  <c r="B1612" i="1"/>
  <c r="H895" i="1"/>
  <c r="J895" i="1"/>
  <c r="G895" i="1" s="1"/>
  <c r="F895" i="1"/>
  <c r="C1612" i="1" l="1"/>
  <c r="D1612" i="1" s="1"/>
  <c r="B1613" i="1"/>
  <c r="I895" i="1"/>
  <c r="E896" i="1" s="1"/>
  <c r="C1613" i="1" l="1"/>
  <c r="D1613" i="1" s="1"/>
  <c r="B1614" i="1"/>
  <c r="H896" i="1"/>
  <c r="J896" i="1"/>
  <c r="G896" i="1" s="1"/>
  <c r="F896" i="1"/>
  <c r="C1614" i="1" l="1"/>
  <c r="D1614" i="1" s="1"/>
  <c r="B1615" i="1"/>
  <c r="I896" i="1"/>
  <c r="E897" i="1" s="1"/>
  <c r="C1615" i="1" l="1"/>
  <c r="D1615" i="1" s="1"/>
  <c r="B1616" i="1"/>
  <c r="H897" i="1"/>
  <c r="J897" i="1"/>
  <c r="G897" i="1" s="1"/>
  <c r="F897" i="1"/>
  <c r="C1616" i="1" l="1"/>
  <c r="D1616" i="1" s="1"/>
  <c r="B1617" i="1"/>
  <c r="I897" i="1"/>
  <c r="E898" i="1" s="1"/>
  <c r="C1617" i="1" l="1"/>
  <c r="D1617" i="1" s="1"/>
  <c r="B1618" i="1"/>
  <c r="H898" i="1"/>
  <c r="J898" i="1"/>
  <c r="G898" i="1" s="1"/>
  <c r="F898" i="1"/>
  <c r="C1618" i="1" l="1"/>
  <c r="D1618" i="1" s="1"/>
  <c r="B1619" i="1"/>
  <c r="I898" i="1"/>
  <c r="E899" i="1" s="1"/>
  <c r="C1619" i="1" l="1"/>
  <c r="D1619" i="1" s="1"/>
  <c r="B1620" i="1"/>
  <c r="F899" i="1"/>
  <c r="H899" i="1"/>
  <c r="J899" i="1"/>
  <c r="G899" i="1" s="1"/>
  <c r="C1620" i="1" l="1"/>
  <c r="D1620" i="1" s="1"/>
  <c r="B1621" i="1"/>
  <c r="I899" i="1"/>
  <c r="E900" i="1" s="1"/>
  <c r="C1621" i="1" l="1"/>
  <c r="D1621" i="1" s="1"/>
  <c r="B1622" i="1"/>
  <c r="F900" i="1"/>
  <c r="H900" i="1"/>
  <c r="J900" i="1"/>
  <c r="G900" i="1" s="1"/>
  <c r="B1623" i="1" l="1"/>
  <c r="C1622" i="1"/>
  <c r="D1622" i="1" s="1"/>
  <c r="I900" i="1"/>
  <c r="E901" i="1" s="1"/>
  <c r="C1623" i="1" l="1"/>
  <c r="D1623" i="1" s="1"/>
  <c r="B1624" i="1"/>
  <c r="H901" i="1"/>
  <c r="F901" i="1"/>
  <c r="J901" i="1"/>
  <c r="G901" i="1" s="1"/>
  <c r="C1624" i="1" l="1"/>
  <c r="D1624" i="1" s="1"/>
  <c r="B1625" i="1"/>
  <c r="I901" i="1"/>
  <c r="E902" i="1" s="1"/>
  <c r="B1626" i="1" l="1"/>
  <c r="C1625" i="1"/>
  <c r="D1625" i="1" s="1"/>
  <c r="H902" i="1"/>
  <c r="J902" i="1"/>
  <c r="G902" i="1" s="1"/>
  <c r="F902" i="1"/>
  <c r="C1626" i="1" l="1"/>
  <c r="D1626" i="1" s="1"/>
  <c r="B1627" i="1"/>
  <c r="I902" i="1"/>
  <c r="E903" i="1" s="1"/>
  <c r="C1627" i="1" l="1"/>
  <c r="D1627" i="1" s="1"/>
  <c r="B1628" i="1"/>
  <c r="H903" i="1"/>
  <c r="F903" i="1"/>
  <c r="J903" i="1"/>
  <c r="G903" i="1" s="1"/>
  <c r="C1628" i="1" l="1"/>
  <c r="D1628" i="1" s="1"/>
  <c r="B1629" i="1"/>
  <c r="I903" i="1"/>
  <c r="E904" i="1" s="1"/>
  <c r="C1629" i="1" l="1"/>
  <c r="D1629" i="1" s="1"/>
  <c r="B1630" i="1"/>
  <c r="H904" i="1"/>
  <c r="J904" i="1"/>
  <c r="G904" i="1" s="1"/>
  <c r="F904" i="1"/>
  <c r="C1630" i="1" l="1"/>
  <c r="D1630" i="1" s="1"/>
  <c r="B1631" i="1"/>
  <c r="I904" i="1"/>
  <c r="E905" i="1" s="1"/>
  <c r="C1631" i="1" l="1"/>
  <c r="D1631" i="1" s="1"/>
  <c r="B1632" i="1"/>
  <c r="J905" i="1"/>
  <c r="G905" i="1" s="1"/>
  <c r="H905" i="1"/>
  <c r="F905" i="1"/>
  <c r="C1632" i="1" l="1"/>
  <c r="D1632" i="1" s="1"/>
  <c r="B1633" i="1"/>
  <c r="I905" i="1"/>
  <c r="E906" i="1" s="1"/>
  <c r="C1633" i="1" l="1"/>
  <c r="D1633" i="1" s="1"/>
  <c r="B1634" i="1"/>
  <c r="H906" i="1"/>
  <c r="F906" i="1"/>
  <c r="J906" i="1"/>
  <c r="G906" i="1" s="1"/>
  <c r="C1634" i="1" l="1"/>
  <c r="D1634" i="1" s="1"/>
  <c r="B1635" i="1"/>
  <c r="I906" i="1"/>
  <c r="E907" i="1" s="1"/>
  <c r="C1635" i="1" l="1"/>
  <c r="D1635" i="1" s="1"/>
  <c r="B1636" i="1"/>
  <c r="H907" i="1"/>
  <c r="F907" i="1"/>
  <c r="J907" i="1"/>
  <c r="G907" i="1" s="1"/>
  <c r="C1636" i="1" l="1"/>
  <c r="D1636" i="1" s="1"/>
  <c r="B1637" i="1"/>
  <c r="I907" i="1"/>
  <c r="E908" i="1" s="1"/>
  <c r="C1637" i="1" l="1"/>
  <c r="D1637" i="1" s="1"/>
  <c r="B1638" i="1"/>
  <c r="H908" i="1"/>
  <c r="J908" i="1"/>
  <c r="G908" i="1" s="1"/>
  <c r="F908" i="1"/>
  <c r="C1638" i="1" l="1"/>
  <c r="D1638" i="1" s="1"/>
  <c r="B1639" i="1"/>
  <c r="I908" i="1"/>
  <c r="E909" i="1" s="1"/>
  <c r="C1639" i="1" l="1"/>
  <c r="D1639" i="1" s="1"/>
  <c r="B1640" i="1"/>
  <c r="H909" i="1"/>
  <c r="F909" i="1"/>
  <c r="J909" i="1"/>
  <c r="G909" i="1" s="1"/>
  <c r="C1640" i="1" l="1"/>
  <c r="D1640" i="1" s="1"/>
  <c r="B1641" i="1"/>
  <c r="I909" i="1"/>
  <c r="E910" i="1" s="1"/>
  <c r="C1641" i="1" l="1"/>
  <c r="D1641" i="1" s="1"/>
  <c r="B1642" i="1"/>
  <c r="H910" i="1"/>
  <c r="J910" i="1"/>
  <c r="G910" i="1" s="1"/>
  <c r="F910" i="1"/>
  <c r="C1642" i="1" l="1"/>
  <c r="D1642" i="1" s="1"/>
  <c r="B1643" i="1"/>
  <c r="I910" i="1"/>
  <c r="E911" i="1" s="1"/>
  <c r="C1643" i="1" l="1"/>
  <c r="D1643" i="1" s="1"/>
  <c r="B1644" i="1"/>
  <c r="H911" i="1"/>
  <c r="J911" i="1"/>
  <c r="G911" i="1" s="1"/>
  <c r="F911" i="1"/>
  <c r="C1644" i="1" l="1"/>
  <c r="D1644" i="1" s="1"/>
  <c r="B1645" i="1"/>
  <c r="I911" i="1"/>
  <c r="E912" i="1" s="1"/>
  <c r="C1645" i="1" l="1"/>
  <c r="D1645" i="1" s="1"/>
  <c r="B1646" i="1"/>
  <c r="H912" i="1"/>
  <c r="F912" i="1"/>
  <c r="J912" i="1"/>
  <c r="G912" i="1" s="1"/>
  <c r="C1646" i="1" l="1"/>
  <c r="D1646" i="1" s="1"/>
  <c r="B1647" i="1"/>
  <c r="I912" i="1"/>
  <c r="E913" i="1" s="1"/>
  <c r="C1647" i="1" l="1"/>
  <c r="D1647" i="1" s="1"/>
  <c r="B1648" i="1"/>
  <c r="F913" i="1"/>
  <c r="H913" i="1"/>
  <c r="J913" i="1"/>
  <c r="G913" i="1" s="1"/>
  <c r="C1648" i="1" l="1"/>
  <c r="D1648" i="1" s="1"/>
  <c r="B1649" i="1"/>
  <c r="I913" i="1"/>
  <c r="E914" i="1" s="1"/>
  <c r="C1649" i="1" l="1"/>
  <c r="D1649" i="1" s="1"/>
  <c r="B1650" i="1"/>
  <c r="F914" i="1"/>
  <c r="H914" i="1"/>
  <c r="J914" i="1"/>
  <c r="G914" i="1" s="1"/>
  <c r="C1650" i="1" l="1"/>
  <c r="D1650" i="1" s="1"/>
  <c r="B1651" i="1"/>
  <c r="I914" i="1"/>
  <c r="E915" i="1" s="1"/>
  <c r="C1651" i="1" l="1"/>
  <c r="D1651" i="1" s="1"/>
  <c r="B1652" i="1"/>
  <c r="J915" i="1"/>
  <c r="G915" i="1" s="1"/>
  <c r="F915" i="1"/>
  <c r="H915" i="1"/>
  <c r="C1652" i="1" l="1"/>
  <c r="D1652" i="1" s="1"/>
  <c r="B1653" i="1"/>
  <c r="I915" i="1"/>
  <c r="E916" i="1" s="1"/>
  <c r="C1653" i="1" l="1"/>
  <c r="D1653" i="1" s="1"/>
  <c r="B1654" i="1"/>
  <c r="F916" i="1"/>
  <c r="H916" i="1"/>
  <c r="J916" i="1"/>
  <c r="G916" i="1" s="1"/>
  <c r="C1654" i="1" l="1"/>
  <c r="D1654" i="1" s="1"/>
  <c r="B1655" i="1"/>
  <c r="I916" i="1"/>
  <c r="E917" i="1" s="1"/>
  <c r="C1655" i="1" l="1"/>
  <c r="D1655" i="1" s="1"/>
  <c r="B1656" i="1"/>
  <c r="H917" i="1"/>
  <c r="F917" i="1"/>
  <c r="J917" i="1"/>
  <c r="G917" i="1" s="1"/>
  <c r="C1656" i="1" l="1"/>
  <c r="D1656" i="1" s="1"/>
  <c r="B1657" i="1"/>
  <c r="I917" i="1"/>
  <c r="E918" i="1" s="1"/>
  <c r="C1657" i="1" l="1"/>
  <c r="D1657" i="1" s="1"/>
  <c r="B1658" i="1"/>
  <c r="F918" i="1"/>
  <c r="J918" i="1"/>
  <c r="G918" i="1" s="1"/>
  <c r="H918" i="1"/>
  <c r="I918" i="1" l="1"/>
  <c r="E919" i="1" s="1"/>
  <c r="H919" i="1" s="1"/>
  <c r="C1658" i="1"/>
  <c r="D1658" i="1" s="1"/>
  <c r="B1659" i="1"/>
  <c r="F919" i="1" l="1"/>
  <c r="J919" i="1"/>
  <c r="G919" i="1" s="1"/>
  <c r="C1659" i="1"/>
  <c r="D1659" i="1" s="1"/>
  <c r="B1660" i="1"/>
  <c r="I919" i="1"/>
  <c r="E920" i="1" s="1"/>
  <c r="C1660" i="1" l="1"/>
  <c r="D1660" i="1" s="1"/>
  <c r="B1661" i="1"/>
  <c r="J920" i="1"/>
  <c r="G920" i="1" s="1"/>
  <c r="F920" i="1"/>
  <c r="H920" i="1"/>
  <c r="C1661" i="1" l="1"/>
  <c r="D1661" i="1" s="1"/>
  <c r="B1662" i="1"/>
  <c r="I920" i="1"/>
  <c r="E921" i="1" s="1"/>
  <c r="C1662" i="1" l="1"/>
  <c r="D1662" i="1" s="1"/>
  <c r="B1663" i="1"/>
  <c r="F921" i="1"/>
  <c r="H921" i="1"/>
  <c r="J921" i="1"/>
  <c r="G921" i="1" s="1"/>
  <c r="C1663" i="1" l="1"/>
  <c r="D1663" i="1" s="1"/>
  <c r="B1664" i="1"/>
  <c r="I921" i="1"/>
  <c r="E922" i="1" s="1"/>
  <c r="C1664" i="1" l="1"/>
  <c r="D1664" i="1" s="1"/>
  <c r="B1665" i="1"/>
  <c r="F922" i="1"/>
  <c r="H922" i="1"/>
  <c r="J922" i="1"/>
  <c r="G922" i="1" s="1"/>
  <c r="C1665" i="1" l="1"/>
  <c r="D1665" i="1" s="1"/>
  <c r="B1666" i="1"/>
  <c r="I922" i="1"/>
  <c r="E923" i="1" s="1"/>
  <c r="C1666" i="1" l="1"/>
  <c r="D1666" i="1" s="1"/>
  <c r="B1667" i="1"/>
  <c r="F923" i="1"/>
  <c r="H923" i="1"/>
  <c r="J923" i="1"/>
  <c r="G923" i="1" s="1"/>
  <c r="C1667" i="1" l="1"/>
  <c r="D1667" i="1" s="1"/>
  <c r="B1668" i="1"/>
  <c r="I923" i="1"/>
  <c r="E924" i="1" s="1"/>
  <c r="C1668" i="1" l="1"/>
  <c r="D1668" i="1" s="1"/>
  <c r="B1669" i="1"/>
  <c r="F924" i="1"/>
  <c r="H924" i="1"/>
  <c r="J924" i="1"/>
  <c r="G924" i="1" s="1"/>
  <c r="C1669" i="1" l="1"/>
  <c r="D1669" i="1" s="1"/>
  <c r="B1670" i="1"/>
  <c r="I924" i="1"/>
  <c r="E925" i="1" s="1"/>
  <c r="C1670" i="1" l="1"/>
  <c r="D1670" i="1" s="1"/>
  <c r="B1671" i="1"/>
  <c r="J925" i="1"/>
  <c r="G925" i="1" s="1"/>
  <c r="F925" i="1"/>
  <c r="H925" i="1"/>
  <c r="I925" i="1" s="1"/>
  <c r="E926" i="1" s="1"/>
  <c r="C1671" i="1" l="1"/>
  <c r="D1671" i="1" s="1"/>
  <c r="B1672" i="1"/>
  <c r="F926" i="1"/>
  <c r="J926" i="1"/>
  <c r="G926" i="1" s="1"/>
  <c r="H926" i="1"/>
  <c r="C1672" i="1" l="1"/>
  <c r="D1672" i="1" s="1"/>
  <c r="B1673" i="1"/>
  <c r="I926" i="1"/>
  <c r="E927" i="1" s="1"/>
  <c r="C1673" i="1" l="1"/>
  <c r="D1673" i="1" s="1"/>
  <c r="B1674" i="1"/>
  <c r="F927" i="1"/>
  <c r="J927" i="1"/>
  <c r="G927" i="1" s="1"/>
  <c r="H927" i="1"/>
  <c r="I927" i="1" s="1"/>
  <c r="E928" i="1" s="1"/>
  <c r="C1674" i="1" l="1"/>
  <c r="D1674" i="1" s="1"/>
  <c r="B1675" i="1"/>
  <c r="F928" i="1"/>
  <c r="J928" i="1"/>
  <c r="G928" i="1" s="1"/>
  <c r="H928" i="1"/>
  <c r="C1675" i="1" l="1"/>
  <c r="D1675" i="1" s="1"/>
  <c r="B1676" i="1"/>
  <c r="I928" i="1"/>
  <c r="E929" i="1" s="1"/>
  <c r="C1676" i="1" l="1"/>
  <c r="D1676" i="1" s="1"/>
  <c r="B1677" i="1"/>
  <c r="H929" i="1"/>
  <c r="J929" i="1"/>
  <c r="G929" i="1" s="1"/>
  <c r="F929" i="1"/>
  <c r="I929" i="1" l="1"/>
  <c r="E930" i="1" s="1"/>
  <c r="C1677" i="1"/>
  <c r="D1677" i="1" s="1"/>
  <c r="B1678" i="1"/>
  <c r="H930" i="1"/>
  <c r="J930" i="1"/>
  <c r="G930" i="1" s="1"/>
  <c r="F930" i="1"/>
  <c r="C1678" i="1" l="1"/>
  <c r="D1678" i="1" s="1"/>
  <c r="B1679" i="1"/>
  <c r="I930" i="1"/>
  <c r="E931" i="1" s="1"/>
  <c r="C1679" i="1" l="1"/>
  <c r="D1679" i="1" s="1"/>
  <c r="B1680" i="1"/>
  <c r="F931" i="1"/>
  <c r="H931" i="1"/>
  <c r="J931" i="1"/>
  <c r="G931" i="1" s="1"/>
  <c r="C1680" i="1" l="1"/>
  <c r="D1680" i="1" s="1"/>
  <c r="B1681" i="1"/>
  <c r="I931" i="1"/>
  <c r="E932" i="1" s="1"/>
  <c r="C1681" i="1" l="1"/>
  <c r="D1681" i="1" s="1"/>
  <c r="B1682" i="1"/>
  <c r="H932" i="1"/>
  <c r="J932" i="1"/>
  <c r="G932" i="1" s="1"/>
  <c r="F932" i="1"/>
  <c r="C1682" i="1" l="1"/>
  <c r="D1682" i="1" s="1"/>
  <c r="B1683" i="1"/>
  <c r="I932" i="1"/>
  <c r="E933" i="1" s="1"/>
  <c r="C1683" i="1" l="1"/>
  <c r="D1683" i="1" s="1"/>
  <c r="B1684" i="1"/>
  <c r="F933" i="1"/>
  <c r="H933" i="1"/>
  <c r="J933" i="1"/>
  <c r="G933" i="1" s="1"/>
  <c r="C1684" i="1" l="1"/>
  <c r="D1684" i="1" s="1"/>
  <c r="B1685" i="1"/>
  <c r="I933" i="1"/>
  <c r="E934" i="1" s="1"/>
  <c r="C1685" i="1" l="1"/>
  <c r="D1685" i="1" s="1"/>
  <c r="B1686" i="1"/>
  <c r="J934" i="1"/>
  <c r="G934" i="1" s="1"/>
  <c r="F934" i="1"/>
  <c r="H934" i="1"/>
  <c r="C1686" i="1" l="1"/>
  <c r="D1686" i="1" s="1"/>
  <c r="B1687" i="1"/>
  <c r="I934" i="1"/>
  <c r="E935" i="1" s="1"/>
  <c r="C1687" i="1" l="1"/>
  <c r="D1687" i="1" s="1"/>
  <c r="B1688" i="1"/>
  <c r="H935" i="1"/>
  <c r="J935" i="1"/>
  <c r="G935" i="1" s="1"/>
  <c r="F935" i="1"/>
  <c r="C1688" i="1" l="1"/>
  <c r="D1688" i="1" s="1"/>
  <c r="B1689" i="1"/>
  <c r="I935" i="1"/>
  <c r="E936" i="1" s="1"/>
  <c r="C1689" i="1" l="1"/>
  <c r="D1689" i="1" s="1"/>
  <c r="B1690" i="1"/>
  <c r="H936" i="1"/>
  <c r="F936" i="1"/>
  <c r="J936" i="1"/>
  <c r="G936" i="1" s="1"/>
  <c r="B1691" i="1" l="1"/>
  <c r="C1690" i="1"/>
  <c r="D1690" i="1" s="1"/>
  <c r="I936" i="1"/>
  <c r="E937" i="1" s="1"/>
  <c r="C1691" i="1" l="1"/>
  <c r="D1691" i="1" s="1"/>
  <c r="B1692" i="1"/>
  <c r="H937" i="1"/>
  <c r="J937" i="1"/>
  <c r="G937" i="1" s="1"/>
  <c r="F937" i="1"/>
  <c r="B1693" i="1" l="1"/>
  <c r="C1692" i="1"/>
  <c r="D1692" i="1" s="1"/>
  <c r="I937" i="1"/>
  <c r="E938" i="1" s="1"/>
  <c r="B1694" i="1" l="1"/>
  <c r="C1693" i="1"/>
  <c r="D1693" i="1" s="1"/>
  <c r="F938" i="1"/>
  <c r="J938" i="1"/>
  <c r="G938" i="1" s="1"/>
  <c r="H938" i="1"/>
  <c r="I938" i="1" s="1"/>
  <c r="E939" i="1" s="1"/>
  <c r="B1695" i="1" l="1"/>
  <c r="C1694" i="1"/>
  <c r="D1694" i="1" s="1"/>
  <c r="F939" i="1"/>
  <c r="H939" i="1"/>
  <c r="J939" i="1"/>
  <c r="G939" i="1" s="1"/>
  <c r="C1695" i="1" l="1"/>
  <c r="D1695" i="1" s="1"/>
  <c r="B1696" i="1"/>
  <c r="I939" i="1"/>
  <c r="E940" i="1" s="1"/>
  <c r="C1696" i="1" l="1"/>
  <c r="D1696" i="1" s="1"/>
  <c r="B1697" i="1"/>
  <c r="F940" i="1"/>
  <c r="J940" i="1"/>
  <c r="G940" i="1" s="1"/>
  <c r="H940" i="1"/>
  <c r="I940" i="1" l="1"/>
  <c r="E941" i="1" s="1"/>
  <c r="B1698" i="1"/>
  <c r="C1697" i="1"/>
  <c r="D1697" i="1" s="1"/>
  <c r="J941" i="1"/>
  <c r="G941" i="1" s="1"/>
  <c r="F941" i="1"/>
  <c r="H941" i="1"/>
  <c r="B1699" i="1" l="1"/>
  <c r="C1698" i="1"/>
  <c r="D1698" i="1" s="1"/>
  <c r="I941" i="1"/>
  <c r="E942" i="1" s="1"/>
  <c r="B1700" i="1" l="1"/>
  <c r="C1699" i="1"/>
  <c r="D1699" i="1" s="1"/>
  <c r="F942" i="1"/>
  <c r="J942" i="1"/>
  <c r="G942" i="1" s="1"/>
  <c r="H942" i="1"/>
  <c r="C1700" i="1" l="1"/>
  <c r="D1700" i="1" s="1"/>
  <c r="B1701" i="1"/>
  <c r="I942" i="1"/>
  <c r="E943" i="1" s="1"/>
  <c r="B1702" i="1" l="1"/>
  <c r="C1701" i="1"/>
  <c r="D1701" i="1" s="1"/>
  <c r="F943" i="1"/>
  <c r="H943" i="1"/>
  <c r="J943" i="1"/>
  <c r="G943" i="1" s="1"/>
  <c r="B1703" i="1" l="1"/>
  <c r="C1702" i="1"/>
  <c r="D1702" i="1" s="1"/>
  <c r="I943" i="1"/>
  <c r="E944" i="1" s="1"/>
  <c r="B1704" i="1" l="1"/>
  <c r="C1703" i="1"/>
  <c r="D1703" i="1" s="1"/>
  <c r="F944" i="1"/>
  <c r="H944" i="1"/>
  <c r="J944" i="1"/>
  <c r="G944" i="1" s="1"/>
  <c r="C1704" i="1" l="1"/>
  <c r="D1704" i="1" s="1"/>
  <c r="B1705" i="1"/>
  <c r="I944" i="1"/>
  <c r="E945" i="1" s="1"/>
  <c r="B1706" i="1" l="1"/>
  <c r="C1705" i="1"/>
  <c r="D1705" i="1" s="1"/>
  <c r="F945" i="1"/>
  <c r="H945" i="1"/>
  <c r="J945" i="1"/>
  <c r="G945" i="1" s="1"/>
  <c r="B1707" i="1" l="1"/>
  <c r="C1706" i="1"/>
  <c r="D1706" i="1" s="1"/>
  <c r="I945" i="1"/>
  <c r="E946" i="1" s="1"/>
  <c r="C1707" i="1" l="1"/>
  <c r="D1707" i="1" s="1"/>
  <c r="B1708" i="1"/>
  <c r="J946" i="1"/>
  <c r="G946" i="1" s="1"/>
  <c r="H946" i="1"/>
  <c r="F946" i="1"/>
  <c r="C1708" i="1" l="1"/>
  <c r="D1708" i="1" s="1"/>
  <c r="B1709" i="1"/>
  <c r="I946" i="1"/>
  <c r="E947" i="1" s="1"/>
  <c r="C1709" i="1" l="1"/>
  <c r="D1709" i="1" s="1"/>
  <c r="B1710" i="1"/>
  <c r="F947" i="1"/>
  <c r="H947" i="1"/>
  <c r="J947" i="1"/>
  <c r="G947" i="1" s="1"/>
  <c r="B1711" i="1" l="1"/>
  <c r="C1710" i="1"/>
  <c r="D1710" i="1" s="1"/>
  <c r="I947" i="1"/>
  <c r="E948" i="1" s="1"/>
  <c r="C1711" i="1" l="1"/>
  <c r="D1711" i="1" s="1"/>
  <c r="B1712" i="1"/>
  <c r="F948" i="1"/>
  <c r="H948" i="1"/>
  <c r="J948" i="1"/>
  <c r="G948" i="1" s="1"/>
  <c r="C1712" i="1" l="1"/>
  <c r="D1712" i="1" s="1"/>
  <c r="B1713" i="1"/>
  <c r="I948" i="1"/>
  <c r="E949" i="1" s="1"/>
  <c r="C1713" i="1" l="1"/>
  <c r="D1713" i="1" s="1"/>
  <c r="B1714" i="1"/>
  <c r="H949" i="1"/>
  <c r="J949" i="1"/>
  <c r="G949" i="1" s="1"/>
  <c r="F949" i="1"/>
  <c r="I949" i="1" l="1"/>
  <c r="E950" i="1" s="1"/>
  <c r="C1714" i="1"/>
  <c r="D1714" i="1" s="1"/>
  <c r="B1715" i="1"/>
  <c r="H950" i="1"/>
  <c r="F950" i="1"/>
  <c r="J950" i="1"/>
  <c r="G950" i="1" s="1"/>
  <c r="C1715" i="1" l="1"/>
  <c r="D1715" i="1" s="1"/>
  <c r="B1716" i="1"/>
  <c r="I950" i="1"/>
  <c r="E951" i="1" s="1"/>
  <c r="C1716" i="1" l="1"/>
  <c r="D1716" i="1" s="1"/>
  <c r="B1717" i="1"/>
  <c r="F951" i="1"/>
  <c r="H951" i="1"/>
  <c r="J951" i="1"/>
  <c r="G951" i="1" s="1"/>
  <c r="C1717" i="1" l="1"/>
  <c r="D1717" i="1" s="1"/>
  <c r="B1718" i="1"/>
  <c r="I951" i="1"/>
  <c r="E952" i="1" s="1"/>
  <c r="C1718" i="1" l="1"/>
  <c r="D1718" i="1" s="1"/>
  <c r="B1719" i="1"/>
  <c r="F952" i="1"/>
  <c r="H952" i="1"/>
  <c r="J952" i="1"/>
  <c r="G952" i="1" s="1"/>
  <c r="C1719" i="1" l="1"/>
  <c r="D1719" i="1" s="1"/>
  <c r="B1720" i="1"/>
  <c r="I952" i="1"/>
  <c r="E953" i="1" s="1"/>
  <c r="C1720" i="1" l="1"/>
  <c r="D1720" i="1" s="1"/>
  <c r="B1721" i="1"/>
  <c r="F953" i="1"/>
  <c r="J953" i="1"/>
  <c r="G953" i="1" s="1"/>
  <c r="H953" i="1"/>
  <c r="I953" i="1" s="1"/>
  <c r="E954" i="1" s="1"/>
  <c r="B1722" i="1" l="1"/>
  <c r="C1721" i="1"/>
  <c r="D1721" i="1" s="1"/>
  <c r="J954" i="1"/>
  <c r="G954" i="1" s="1"/>
  <c r="H954" i="1"/>
  <c r="F954" i="1"/>
  <c r="C1722" i="1" l="1"/>
  <c r="D1722" i="1" s="1"/>
  <c r="B1723" i="1"/>
  <c r="I954" i="1"/>
  <c r="E955" i="1" s="1"/>
  <c r="C1723" i="1" l="1"/>
  <c r="D1723" i="1" s="1"/>
  <c r="B1724" i="1"/>
  <c r="F955" i="1"/>
  <c r="H955" i="1"/>
  <c r="J955" i="1"/>
  <c r="G955" i="1" s="1"/>
  <c r="C1724" i="1" l="1"/>
  <c r="D1724" i="1" s="1"/>
  <c r="B1725" i="1"/>
  <c r="I955" i="1"/>
  <c r="E956" i="1" s="1"/>
  <c r="C1725" i="1" l="1"/>
  <c r="D1725" i="1" s="1"/>
  <c r="B1726" i="1"/>
  <c r="H956" i="1"/>
  <c r="J956" i="1"/>
  <c r="G956" i="1" s="1"/>
  <c r="F956" i="1"/>
  <c r="C1726" i="1" l="1"/>
  <c r="D1726" i="1" s="1"/>
  <c r="B1727" i="1"/>
  <c r="I956" i="1"/>
  <c r="E957" i="1" s="1"/>
  <c r="C1727" i="1" l="1"/>
  <c r="D1727" i="1" s="1"/>
  <c r="B1728" i="1"/>
  <c r="H957" i="1"/>
  <c r="J957" i="1"/>
  <c r="G957" i="1" s="1"/>
  <c r="F957" i="1"/>
  <c r="C1728" i="1" l="1"/>
  <c r="D1728" i="1" s="1"/>
  <c r="B1729" i="1"/>
  <c r="I957" i="1"/>
  <c r="E958" i="1" s="1"/>
  <c r="C1729" i="1" l="1"/>
  <c r="D1729" i="1" s="1"/>
  <c r="B1730" i="1"/>
  <c r="H958" i="1"/>
  <c r="J958" i="1"/>
  <c r="G958" i="1" s="1"/>
  <c r="F958" i="1"/>
  <c r="C1730" i="1" l="1"/>
  <c r="D1730" i="1" s="1"/>
  <c r="B1731" i="1"/>
  <c r="I958" i="1"/>
  <c r="E959" i="1" s="1"/>
  <c r="C1731" i="1" l="1"/>
  <c r="D1731" i="1" s="1"/>
  <c r="B1732" i="1"/>
  <c r="H959" i="1"/>
  <c r="F959" i="1"/>
  <c r="J959" i="1"/>
  <c r="G959" i="1" s="1"/>
  <c r="I959" i="1" l="1"/>
  <c r="E960" i="1" s="1"/>
  <c r="C1732" i="1"/>
  <c r="D1732" i="1" s="1"/>
  <c r="B1733" i="1"/>
  <c r="F960" i="1"/>
  <c r="H960" i="1"/>
  <c r="J960" i="1"/>
  <c r="G960" i="1" s="1"/>
  <c r="C1733" i="1" l="1"/>
  <c r="D1733" i="1" s="1"/>
  <c r="B1734" i="1"/>
  <c r="I960" i="1"/>
  <c r="E961" i="1" s="1"/>
  <c r="C1734" i="1" l="1"/>
  <c r="D1734" i="1" s="1"/>
  <c r="B1735" i="1"/>
  <c r="F961" i="1"/>
  <c r="J961" i="1"/>
  <c r="G961" i="1" s="1"/>
  <c r="H961" i="1"/>
  <c r="I961" i="1" s="1"/>
  <c r="E962" i="1" s="1"/>
  <c r="C1735" i="1" l="1"/>
  <c r="D1735" i="1" s="1"/>
  <c r="B1736" i="1"/>
  <c r="F962" i="1"/>
  <c r="J962" i="1"/>
  <c r="G962" i="1" s="1"/>
  <c r="H962" i="1"/>
  <c r="I962" i="1" s="1"/>
  <c r="E963" i="1" s="1"/>
  <c r="C1736" i="1" l="1"/>
  <c r="D1736" i="1" s="1"/>
  <c r="B1737" i="1"/>
  <c r="F963" i="1"/>
  <c r="H963" i="1"/>
  <c r="J963" i="1"/>
  <c r="G963" i="1" s="1"/>
  <c r="C1737" i="1" l="1"/>
  <c r="D1737" i="1" s="1"/>
  <c r="B1738" i="1"/>
  <c r="I963" i="1"/>
  <c r="E964" i="1" s="1"/>
  <c r="C1738" i="1" l="1"/>
  <c r="D1738" i="1" s="1"/>
  <c r="B1739" i="1"/>
  <c r="F964" i="1"/>
  <c r="J964" i="1"/>
  <c r="G964" i="1" s="1"/>
  <c r="H964" i="1"/>
  <c r="C1739" i="1" l="1"/>
  <c r="D1739" i="1" s="1"/>
  <c r="B1740" i="1"/>
  <c r="I964" i="1"/>
  <c r="E965" i="1" s="1"/>
  <c r="C1740" i="1" l="1"/>
  <c r="D1740" i="1" s="1"/>
  <c r="B1741" i="1"/>
  <c r="H965" i="1"/>
  <c r="F965" i="1"/>
  <c r="J965" i="1"/>
  <c r="G965" i="1" s="1"/>
  <c r="C1741" i="1" l="1"/>
  <c r="D1741" i="1" s="1"/>
  <c r="B1742" i="1"/>
  <c r="I965" i="1"/>
  <c r="E966" i="1" s="1"/>
  <c r="C1742" i="1" l="1"/>
  <c r="D1742" i="1" s="1"/>
  <c r="B1743" i="1"/>
  <c r="H966" i="1"/>
  <c r="J966" i="1"/>
  <c r="G966" i="1" s="1"/>
  <c r="F966" i="1"/>
  <c r="C1743" i="1" l="1"/>
  <c r="D1743" i="1" s="1"/>
  <c r="B1744" i="1"/>
  <c r="I966" i="1"/>
  <c r="E967" i="1" s="1"/>
  <c r="C1744" i="1" l="1"/>
  <c r="D1744" i="1" s="1"/>
  <c r="B1745" i="1"/>
  <c r="H967" i="1"/>
  <c r="J967" i="1"/>
  <c r="G967" i="1" s="1"/>
  <c r="F967" i="1"/>
  <c r="C1745" i="1" l="1"/>
  <c r="D1745" i="1" s="1"/>
  <c r="B1746" i="1"/>
  <c r="I967" i="1"/>
  <c r="E968" i="1" s="1"/>
  <c r="C1746" i="1" l="1"/>
  <c r="D1746" i="1" s="1"/>
  <c r="B1747" i="1"/>
  <c r="H968" i="1"/>
  <c r="J968" i="1"/>
  <c r="G968" i="1" s="1"/>
  <c r="F968" i="1"/>
  <c r="C1747" i="1" l="1"/>
  <c r="D1747" i="1" s="1"/>
  <c r="B1748" i="1"/>
  <c r="I968" i="1"/>
  <c r="E969" i="1" s="1"/>
  <c r="C1748" i="1" l="1"/>
  <c r="D1748" i="1" s="1"/>
  <c r="B1749" i="1"/>
  <c r="H969" i="1"/>
  <c r="J969" i="1"/>
  <c r="G969" i="1" s="1"/>
  <c r="F969" i="1"/>
  <c r="C1749" i="1" l="1"/>
  <c r="D1749" i="1" s="1"/>
  <c r="B1750" i="1"/>
  <c r="I969" i="1"/>
  <c r="E970" i="1" s="1"/>
  <c r="C1750" i="1" l="1"/>
  <c r="D1750" i="1" s="1"/>
  <c r="B1751" i="1"/>
  <c r="J970" i="1"/>
  <c r="G970" i="1" s="1"/>
  <c r="H970" i="1"/>
  <c r="F970" i="1"/>
  <c r="C1751" i="1" l="1"/>
  <c r="D1751" i="1" s="1"/>
  <c r="B1752" i="1"/>
  <c r="I970" i="1"/>
  <c r="E971" i="1" s="1"/>
  <c r="C1752" i="1" l="1"/>
  <c r="D1752" i="1" s="1"/>
  <c r="B1753" i="1"/>
  <c r="F971" i="1"/>
  <c r="J971" i="1"/>
  <c r="G971" i="1" s="1"/>
  <c r="H971" i="1"/>
  <c r="C1753" i="1" l="1"/>
  <c r="D1753" i="1" s="1"/>
  <c r="B1754" i="1"/>
  <c r="I971" i="1"/>
  <c r="E972" i="1" s="1"/>
  <c r="C1754" i="1" l="1"/>
  <c r="D1754" i="1" s="1"/>
  <c r="B1755" i="1"/>
  <c r="F972" i="1"/>
  <c r="H972" i="1"/>
  <c r="J972" i="1"/>
  <c r="G972" i="1" s="1"/>
  <c r="C1755" i="1" l="1"/>
  <c r="D1755" i="1" s="1"/>
  <c r="B1756" i="1"/>
  <c r="I972" i="1"/>
  <c r="E973" i="1" s="1"/>
  <c r="C1756" i="1" l="1"/>
  <c r="D1756" i="1" s="1"/>
  <c r="B1757" i="1"/>
  <c r="H973" i="1"/>
  <c r="J973" i="1"/>
  <c r="G973" i="1" s="1"/>
  <c r="F973" i="1"/>
  <c r="C1757" i="1" l="1"/>
  <c r="D1757" i="1" s="1"/>
  <c r="B1758" i="1"/>
  <c r="I973" i="1"/>
  <c r="E974" i="1" s="1"/>
  <c r="C1758" i="1" l="1"/>
  <c r="D1758" i="1" s="1"/>
  <c r="B1759" i="1"/>
  <c r="F974" i="1"/>
  <c r="J974" i="1"/>
  <c r="G974" i="1" s="1"/>
  <c r="H974" i="1"/>
  <c r="I974" i="1" s="1"/>
  <c r="E975" i="1" s="1"/>
  <c r="C1759" i="1" l="1"/>
  <c r="D1759" i="1" s="1"/>
  <c r="B1760" i="1"/>
  <c r="H975" i="1"/>
  <c r="J975" i="1"/>
  <c r="G975" i="1" s="1"/>
  <c r="F975" i="1"/>
  <c r="C1760" i="1" l="1"/>
  <c r="D1760" i="1" s="1"/>
  <c r="B1761" i="1"/>
  <c r="I975" i="1"/>
  <c r="E976" i="1" s="1"/>
  <c r="C1761" i="1" l="1"/>
  <c r="D1761" i="1" s="1"/>
  <c r="B1762" i="1"/>
  <c r="F976" i="1"/>
  <c r="H976" i="1"/>
  <c r="J976" i="1"/>
  <c r="G976" i="1" s="1"/>
  <c r="C1762" i="1" l="1"/>
  <c r="D1762" i="1" s="1"/>
  <c r="B1763" i="1"/>
  <c r="I976" i="1"/>
  <c r="E977" i="1" s="1"/>
  <c r="C1763" i="1" l="1"/>
  <c r="D1763" i="1" s="1"/>
  <c r="B1764" i="1"/>
  <c r="J977" i="1"/>
  <c r="G977" i="1" s="1"/>
  <c r="H977" i="1"/>
  <c r="F977" i="1"/>
  <c r="C1764" i="1" l="1"/>
  <c r="D1764" i="1" s="1"/>
  <c r="B1765" i="1"/>
  <c r="I977" i="1"/>
  <c r="E978" i="1" s="1"/>
  <c r="C1765" i="1" l="1"/>
  <c r="D1765" i="1" s="1"/>
  <c r="B1766" i="1"/>
  <c r="H978" i="1"/>
  <c r="F978" i="1"/>
  <c r="J978" i="1"/>
  <c r="G978" i="1" s="1"/>
  <c r="C1766" i="1" l="1"/>
  <c r="D1766" i="1" s="1"/>
  <c r="B1767" i="1"/>
  <c r="I978" i="1"/>
  <c r="E979" i="1" s="1"/>
  <c r="C1767" i="1" l="1"/>
  <c r="D1767" i="1" s="1"/>
  <c r="B1768" i="1"/>
  <c r="J979" i="1"/>
  <c r="G979" i="1" s="1"/>
  <c r="H979" i="1"/>
  <c r="I979" i="1" s="1"/>
  <c r="E980" i="1" s="1"/>
  <c r="F979" i="1"/>
  <c r="C1768" i="1" l="1"/>
  <c r="D1768" i="1" s="1"/>
  <c r="B1769" i="1"/>
  <c r="H980" i="1"/>
  <c r="J980" i="1"/>
  <c r="G980" i="1" s="1"/>
  <c r="F980" i="1"/>
  <c r="C1769" i="1" l="1"/>
  <c r="D1769" i="1" s="1"/>
  <c r="B1770" i="1"/>
  <c r="I980" i="1"/>
  <c r="E981" i="1" s="1"/>
  <c r="C1770" i="1" l="1"/>
  <c r="D1770" i="1" s="1"/>
  <c r="B1771" i="1"/>
  <c r="H981" i="1"/>
  <c r="F981" i="1"/>
  <c r="J981" i="1"/>
  <c r="G981" i="1" s="1"/>
  <c r="C1771" i="1" l="1"/>
  <c r="D1771" i="1" s="1"/>
  <c r="B1772" i="1"/>
  <c r="I981" i="1"/>
  <c r="E982" i="1" s="1"/>
  <c r="C1772" i="1" l="1"/>
  <c r="D1772" i="1" s="1"/>
  <c r="B1773" i="1"/>
  <c r="F982" i="1"/>
  <c r="H982" i="1"/>
  <c r="J982" i="1"/>
  <c r="G982" i="1" s="1"/>
  <c r="C1773" i="1" l="1"/>
  <c r="D1773" i="1" s="1"/>
  <c r="B1774" i="1"/>
  <c r="I982" i="1"/>
  <c r="E983" i="1" s="1"/>
  <c r="B1775" i="1" l="1"/>
  <c r="C1774" i="1"/>
  <c r="D1774" i="1" s="1"/>
  <c r="H983" i="1"/>
  <c r="F983" i="1"/>
  <c r="J983" i="1"/>
  <c r="G983" i="1" s="1"/>
  <c r="C1775" i="1" l="1"/>
  <c r="D1775" i="1" s="1"/>
  <c r="B1776" i="1"/>
  <c r="I983" i="1"/>
  <c r="E984" i="1" s="1"/>
  <c r="C1776" i="1" l="1"/>
  <c r="D1776" i="1" s="1"/>
  <c r="B1777" i="1"/>
  <c r="H984" i="1"/>
  <c r="F984" i="1"/>
  <c r="J984" i="1"/>
  <c r="G984" i="1" s="1"/>
  <c r="C1777" i="1" l="1"/>
  <c r="D1777" i="1" s="1"/>
  <c r="B1778" i="1"/>
  <c r="I984" i="1"/>
  <c r="E985" i="1" s="1"/>
  <c r="C1778" i="1" l="1"/>
  <c r="D1778" i="1" s="1"/>
  <c r="B1779" i="1"/>
  <c r="J985" i="1"/>
  <c r="G985" i="1" s="1"/>
  <c r="F985" i="1"/>
  <c r="H985" i="1"/>
  <c r="I985" i="1" s="1"/>
  <c r="E986" i="1" s="1"/>
  <c r="C1779" i="1" l="1"/>
  <c r="D1779" i="1" s="1"/>
  <c r="B1780" i="1"/>
  <c r="H986" i="1"/>
  <c r="J986" i="1"/>
  <c r="G986" i="1" s="1"/>
  <c r="F986" i="1"/>
  <c r="B1781" i="1" l="1"/>
  <c r="C1780" i="1"/>
  <c r="D1780" i="1" s="1"/>
  <c r="I986" i="1"/>
  <c r="E987" i="1" s="1"/>
  <c r="C1781" i="1" l="1"/>
  <c r="D1781" i="1" s="1"/>
  <c r="B1782" i="1"/>
  <c r="J987" i="1"/>
  <c r="G987" i="1" s="1"/>
  <c r="H987" i="1"/>
  <c r="I987" i="1" s="1"/>
  <c r="E988" i="1" s="1"/>
  <c r="F987" i="1"/>
  <c r="C1782" i="1" l="1"/>
  <c r="D1782" i="1" s="1"/>
  <c r="B1783" i="1"/>
  <c r="H988" i="1"/>
  <c r="F988" i="1"/>
  <c r="J988" i="1"/>
  <c r="G988" i="1" s="1"/>
  <c r="C1783" i="1" l="1"/>
  <c r="D1783" i="1" s="1"/>
  <c r="B1784" i="1"/>
  <c r="I988" i="1"/>
  <c r="E989" i="1" s="1"/>
  <c r="B1785" i="1" l="1"/>
  <c r="C1784" i="1"/>
  <c r="D1784" i="1" s="1"/>
  <c r="H989" i="1"/>
  <c r="J989" i="1"/>
  <c r="G989" i="1" s="1"/>
  <c r="F989" i="1"/>
  <c r="C1785" i="1" l="1"/>
  <c r="D1785" i="1" s="1"/>
  <c r="B1786" i="1"/>
  <c r="I989" i="1"/>
  <c r="E990" i="1" s="1"/>
  <c r="C1786" i="1" l="1"/>
  <c r="D1786" i="1" s="1"/>
  <c r="B1787" i="1"/>
  <c r="J990" i="1"/>
  <c r="G990" i="1" s="1"/>
  <c r="F990" i="1"/>
  <c r="H990" i="1"/>
  <c r="I990" i="1" s="1"/>
  <c r="E991" i="1" s="1"/>
  <c r="B1788" i="1" l="1"/>
  <c r="C1787" i="1"/>
  <c r="D1787" i="1" s="1"/>
  <c r="H991" i="1"/>
  <c r="F991" i="1"/>
  <c r="J991" i="1"/>
  <c r="G991" i="1" s="1"/>
  <c r="C1788" i="1" l="1"/>
  <c r="D1788" i="1" s="1"/>
  <c r="B1789" i="1"/>
  <c r="I991" i="1"/>
  <c r="E992" i="1" s="1"/>
  <c r="C1789" i="1" l="1"/>
  <c r="D1789" i="1" s="1"/>
  <c r="B1790" i="1"/>
  <c r="H992" i="1"/>
  <c r="F992" i="1"/>
  <c r="J992" i="1"/>
  <c r="G992" i="1" s="1"/>
  <c r="C1790" i="1" l="1"/>
  <c r="D1790" i="1" s="1"/>
  <c r="B1791" i="1"/>
  <c r="I992" i="1"/>
  <c r="E993" i="1" s="1"/>
  <c r="C1791" i="1" l="1"/>
  <c r="D1791" i="1" s="1"/>
  <c r="B1792" i="1"/>
  <c r="F993" i="1"/>
  <c r="H993" i="1"/>
  <c r="J993" i="1"/>
  <c r="G993" i="1" s="1"/>
  <c r="C1792" i="1" l="1"/>
  <c r="D1792" i="1" s="1"/>
  <c r="B1793" i="1"/>
  <c r="I993" i="1"/>
  <c r="E994" i="1" s="1"/>
  <c r="C1793" i="1" l="1"/>
  <c r="D1793" i="1" s="1"/>
  <c r="B1794" i="1"/>
  <c r="F994" i="1"/>
  <c r="H994" i="1"/>
  <c r="J994" i="1"/>
  <c r="G994" i="1" s="1"/>
  <c r="C1794" i="1" l="1"/>
  <c r="D1794" i="1" s="1"/>
  <c r="B1795" i="1"/>
  <c r="I994" i="1"/>
  <c r="E995" i="1" s="1"/>
  <c r="C1795" i="1" l="1"/>
  <c r="D1795" i="1" s="1"/>
  <c r="B1796" i="1"/>
  <c r="F995" i="1"/>
  <c r="J995" i="1"/>
  <c r="G995" i="1" s="1"/>
  <c r="H995" i="1"/>
  <c r="I995" i="1" s="1"/>
  <c r="E996" i="1" s="1"/>
  <c r="C1796" i="1" l="1"/>
  <c r="D1796" i="1" s="1"/>
  <c r="B1797" i="1"/>
  <c r="F996" i="1"/>
  <c r="H996" i="1"/>
  <c r="J996" i="1"/>
  <c r="G996" i="1" s="1"/>
  <c r="B1798" i="1" l="1"/>
  <c r="C1797" i="1"/>
  <c r="D1797" i="1" s="1"/>
  <c r="I996" i="1"/>
  <c r="E997" i="1" s="1"/>
  <c r="C1798" i="1" l="1"/>
  <c r="D1798" i="1" s="1"/>
  <c r="B1799" i="1"/>
  <c r="H997" i="1"/>
  <c r="F997" i="1"/>
  <c r="J997" i="1"/>
  <c r="G997" i="1" s="1"/>
  <c r="C1799" i="1" l="1"/>
  <c r="D1799" i="1" s="1"/>
  <c r="B1800" i="1"/>
  <c r="I997" i="1"/>
  <c r="E998" i="1" s="1"/>
  <c r="C1800" i="1" l="1"/>
  <c r="D1800" i="1" s="1"/>
  <c r="B1801" i="1"/>
  <c r="H998" i="1"/>
  <c r="J998" i="1"/>
  <c r="G998" i="1" s="1"/>
  <c r="F998" i="1"/>
  <c r="C1801" i="1" l="1"/>
  <c r="D1801" i="1" s="1"/>
  <c r="B1802" i="1"/>
  <c r="I998" i="1"/>
  <c r="E999" i="1" s="1"/>
  <c r="C1802" i="1" l="1"/>
  <c r="D1802" i="1" s="1"/>
  <c r="B1803" i="1"/>
  <c r="H999" i="1"/>
  <c r="J999" i="1"/>
  <c r="G999" i="1" s="1"/>
  <c r="F999" i="1"/>
  <c r="C1803" i="1" l="1"/>
  <c r="D1803" i="1" s="1"/>
  <c r="B1804" i="1"/>
  <c r="I999" i="1"/>
  <c r="E1000" i="1" s="1"/>
  <c r="C1804" i="1" l="1"/>
  <c r="D1804" i="1" s="1"/>
  <c r="B1805" i="1"/>
  <c r="J1000" i="1"/>
  <c r="G1000" i="1" s="1"/>
  <c r="H1000" i="1"/>
  <c r="F1000" i="1"/>
  <c r="C1805" i="1" l="1"/>
  <c r="D1805" i="1" s="1"/>
  <c r="B1806" i="1"/>
  <c r="I1000" i="1"/>
  <c r="E1001" i="1" s="1"/>
  <c r="C1806" i="1" l="1"/>
  <c r="D1806" i="1" s="1"/>
  <c r="B1807" i="1"/>
  <c r="H1001" i="1"/>
  <c r="F1001" i="1"/>
  <c r="J1001" i="1"/>
  <c r="G1001" i="1" s="1"/>
  <c r="B1808" i="1" l="1"/>
  <c r="C1807" i="1"/>
  <c r="D1807" i="1" s="1"/>
  <c r="I1001" i="1"/>
  <c r="E1002" i="1" s="1"/>
  <c r="C1808" i="1" l="1"/>
  <c r="D1808" i="1" s="1"/>
  <c r="B1809" i="1"/>
  <c r="H1002" i="1"/>
  <c r="F1002" i="1"/>
  <c r="J1002" i="1"/>
  <c r="G1002" i="1" s="1"/>
  <c r="C1809" i="1" l="1"/>
  <c r="D1809" i="1" s="1"/>
  <c r="B1810" i="1"/>
  <c r="I1002" i="1"/>
  <c r="E1003" i="1" s="1"/>
  <c r="B1811" i="1" l="1"/>
  <c r="C1810" i="1"/>
  <c r="D1810" i="1" s="1"/>
  <c r="J1003" i="1"/>
  <c r="G1003" i="1" s="1"/>
  <c r="H1003" i="1"/>
  <c r="F1003" i="1"/>
  <c r="C1811" i="1" l="1"/>
  <c r="D1811" i="1" s="1"/>
  <c r="B1812" i="1"/>
  <c r="I1003" i="1"/>
  <c r="E1004" i="1" s="1"/>
  <c r="C1812" i="1" l="1"/>
  <c r="D1812" i="1" s="1"/>
  <c r="B1813" i="1"/>
  <c r="J1004" i="1"/>
  <c r="G1004" i="1" s="1"/>
  <c r="H1004" i="1"/>
  <c r="F1004" i="1"/>
  <c r="B1814" i="1" l="1"/>
  <c r="C1813" i="1"/>
  <c r="D1813" i="1" s="1"/>
  <c r="I1004" i="1"/>
  <c r="E1005" i="1" s="1"/>
  <c r="B1815" i="1" l="1"/>
  <c r="C1814" i="1"/>
  <c r="D1814" i="1" s="1"/>
  <c r="H1005" i="1"/>
  <c r="J1005" i="1"/>
  <c r="G1005" i="1" s="1"/>
  <c r="F1005" i="1"/>
  <c r="C1815" i="1" l="1"/>
  <c r="D1815" i="1" s="1"/>
  <c r="B1816" i="1"/>
  <c r="I1005" i="1"/>
  <c r="E1006" i="1" s="1"/>
  <c r="B1817" i="1" l="1"/>
  <c r="C1816" i="1"/>
  <c r="D1816" i="1" s="1"/>
  <c r="H1006" i="1"/>
  <c r="J1006" i="1"/>
  <c r="G1006" i="1" s="1"/>
  <c r="F1006" i="1"/>
  <c r="B1818" i="1" l="1"/>
  <c r="C1817" i="1"/>
  <c r="D1817" i="1" s="1"/>
  <c r="I1006" i="1"/>
  <c r="E1007" i="1" s="1"/>
  <c r="C1818" i="1" l="1"/>
  <c r="D1818" i="1" s="1"/>
  <c r="B1819" i="1"/>
  <c r="H1007" i="1"/>
  <c r="F1007" i="1"/>
  <c r="J1007" i="1"/>
  <c r="G1007" i="1" s="1"/>
  <c r="B1820" i="1" l="1"/>
  <c r="C1819" i="1"/>
  <c r="D1819" i="1" s="1"/>
  <c r="I1007" i="1"/>
  <c r="E1008" i="1" s="1"/>
  <c r="C1820" i="1" l="1"/>
  <c r="D1820" i="1" s="1"/>
  <c r="B1821" i="1"/>
  <c r="F1008" i="1"/>
  <c r="H1008" i="1"/>
  <c r="J1008" i="1"/>
  <c r="G1008" i="1" s="1"/>
  <c r="C1821" i="1" l="1"/>
  <c r="D1821" i="1" s="1"/>
  <c r="B1822" i="1"/>
  <c r="I1008" i="1"/>
  <c r="E1009" i="1" s="1"/>
  <c r="C1822" i="1" l="1"/>
  <c r="D1822" i="1" s="1"/>
  <c r="B1823" i="1"/>
  <c r="J1009" i="1"/>
  <c r="G1009" i="1" s="1"/>
  <c r="F1009" i="1"/>
  <c r="H1009" i="1"/>
  <c r="I1009" i="1" s="1"/>
  <c r="E1010" i="1" s="1"/>
  <c r="C1823" i="1" l="1"/>
  <c r="D1823" i="1" s="1"/>
  <c r="B1824" i="1"/>
  <c r="F1010" i="1"/>
  <c r="J1010" i="1"/>
  <c r="G1010" i="1" s="1"/>
  <c r="H1010" i="1"/>
  <c r="C1824" i="1" l="1"/>
  <c r="D1824" i="1" s="1"/>
  <c r="B1825" i="1"/>
  <c r="I1010" i="1"/>
  <c r="E1011" i="1" s="1"/>
  <c r="C1825" i="1" l="1"/>
  <c r="D1825" i="1" s="1"/>
  <c r="B1826" i="1"/>
  <c r="F1011" i="1"/>
  <c r="J1011" i="1"/>
  <c r="G1011" i="1" s="1"/>
  <c r="H1011" i="1"/>
  <c r="C1826" i="1" l="1"/>
  <c r="D1826" i="1" s="1"/>
  <c r="B1827" i="1"/>
  <c r="I1011" i="1"/>
  <c r="E1012" i="1" s="1"/>
  <c r="C1827" i="1" l="1"/>
  <c r="D1827" i="1" s="1"/>
  <c r="B1828" i="1"/>
  <c r="F1012" i="1"/>
  <c r="J1012" i="1"/>
  <c r="G1012" i="1" s="1"/>
  <c r="H1012" i="1"/>
  <c r="I1012" i="1" s="1"/>
  <c r="E1013" i="1" s="1"/>
  <c r="B1829" i="1" l="1"/>
  <c r="C1828" i="1"/>
  <c r="D1828" i="1" s="1"/>
  <c r="F1013" i="1"/>
  <c r="J1013" i="1"/>
  <c r="G1013" i="1" s="1"/>
  <c r="H1013" i="1"/>
  <c r="I1013" i="1" s="1"/>
  <c r="E1014" i="1" s="1"/>
  <c r="B1830" i="1" l="1"/>
  <c r="C1829" i="1"/>
  <c r="D1829" i="1" s="1"/>
  <c r="J1014" i="1"/>
  <c r="G1014" i="1" s="1"/>
  <c r="H1014" i="1"/>
  <c r="F1014" i="1"/>
  <c r="C1830" i="1" l="1"/>
  <c r="D1830" i="1" s="1"/>
  <c r="B1831" i="1"/>
  <c r="I1014" i="1"/>
  <c r="E1015" i="1" s="1"/>
  <c r="C1831" i="1" l="1"/>
  <c r="D1831" i="1" s="1"/>
  <c r="B1832" i="1"/>
  <c r="F1015" i="1"/>
  <c r="H1015" i="1"/>
  <c r="J1015" i="1"/>
  <c r="G1015" i="1" s="1"/>
  <c r="C1832" i="1" l="1"/>
  <c r="D1832" i="1" s="1"/>
  <c r="B1833" i="1"/>
  <c r="I1015" i="1"/>
  <c r="E1016" i="1" s="1"/>
  <c r="C1833" i="1" l="1"/>
  <c r="D1833" i="1" s="1"/>
  <c r="B1834" i="1"/>
  <c r="F1016" i="1"/>
  <c r="H1016" i="1"/>
  <c r="J1016" i="1"/>
  <c r="G1016" i="1" s="1"/>
  <c r="C1834" i="1" l="1"/>
  <c r="D1834" i="1" s="1"/>
  <c r="B1835" i="1"/>
  <c r="I1016" i="1"/>
  <c r="E1017" i="1" s="1"/>
  <c r="C1835" i="1" l="1"/>
  <c r="D1835" i="1" s="1"/>
  <c r="B1836" i="1"/>
  <c r="F1017" i="1"/>
  <c r="J1017" i="1"/>
  <c r="G1017" i="1" s="1"/>
  <c r="H1017" i="1"/>
  <c r="I1017" i="1" s="1"/>
  <c r="E1018" i="1" s="1"/>
  <c r="C1836" i="1" l="1"/>
  <c r="D1836" i="1" s="1"/>
  <c r="B1837" i="1"/>
  <c r="F1018" i="1"/>
  <c r="H1018" i="1"/>
  <c r="J1018" i="1"/>
  <c r="G1018" i="1" s="1"/>
  <c r="C1837" i="1" l="1"/>
  <c r="D1837" i="1" s="1"/>
  <c r="B1838" i="1"/>
  <c r="I1018" i="1"/>
  <c r="E1019" i="1" s="1"/>
  <c r="B1839" i="1" l="1"/>
  <c r="C1838" i="1"/>
  <c r="D1838" i="1" s="1"/>
  <c r="F1019" i="1"/>
  <c r="J1019" i="1"/>
  <c r="G1019" i="1" s="1"/>
  <c r="H1019" i="1"/>
  <c r="I1019" i="1" s="1"/>
  <c r="E1020" i="1" s="1"/>
  <c r="B1840" i="1" l="1"/>
  <c r="C1839" i="1"/>
  <c r="D1839" i="1" s="1"/>
  <c r="F1020" i="1"/>
  <c r="H1020" i="1"/>
  <c r="J1020" i="1"/>
  <c r="G1020" i="1" s="1"/>
  <c r="C1840" i="1" l="1"/>
  <c r="D1840" i="1" s="1"/>
  <c r="B1841" i="1"/>
  <c r="I1020" i="1"/>
  <c r="E1021" i="1" s="1"/>
  <c r="C1841" i="1" l="1"/>
  <c r="D1841" i="1" s="1"/>
  <c r="B1842" i="1"/>
  <c r="F1021" i="1"/>
  <c r="H1021" i="1"/>
  <c r="J1021" i="1"/>
  <c r="G1021" i="1" s="1"/>
  <c r="C1842" i="1" l="1"/>
  <c r="D1842" i="1" s="1"/>
  <c r="B1843" i="1"/>
  <c r="I1021" i="1"/>
  <c r="E1022" i="1" s="1"/>
  <c r="C1843" i="1" l="1"/>
  <c r="D1843" i="1" s="1"/>
  <c r="B1844" i="1"/>
  <c r="F1022" i="1"/>
  <c r="J1022" i="1"/>
  <c r="G1022" i="1" s="1"/>
  <c r="H1022" i="1"/>
  <c r="I1022" i="1" s="1"/>
  <c r="E1023" i="1" s="1"/>
  <c r="C1844" i="1" l="1"/>
  <c r="D1844" i="1" s="1"/>
  <c r="B1845" i="1"/>
  <c r="F1023" i="1"/>
  <c r="J1023" i="1"/>
  <c r="G1023" i="1" s="1"/>
  <c r="H1023" i="1"/>
  <c r="I1023" i="1" s="1"/>
  <c r="E1024" i="1" s="1"/>
  <c r="C1845" i="1" l="1"/>
  <c r="D1845" i="1" s="1"/>
  <c r="B1846" i="1"/>
  <c r="F1024" i="1"/>
  <c r="H1024" i="1"/>
  <c r="J1024" i="1"/>
  <c r="G1024" i="1" s="1"/>
  <c r="C1846" i="1" l="1"/>
  <c r="D1846" i="1" s="1"/>
  <c r="B1847" i="1"/>
  <c r="I1024" i="1"/>
  <c r="E1025" i="1" s="1"/>
  <c r="B1848" i="1" l="1"/>
  <c r="C1847" i="1"/>
  <c r="D1847" i="1" s="1"/>
  <c r="F1025" i="1"/>
  <c r="H1025" i="1"/>
  <c r="J1025" i="1"/>
  <c r="G1025" i="1" s="1"/>
  <c r="C1848" i="1" l="1"/>
  <c r="D1848" i="1" s="1"/>
  <c r="B1849" i="1"/>
  <c r="I1025" i="1"/>
  <c r="E1026" i="1" s="1"/>
  <c r="C1849" i="1" l="1"/>
  <c r="D1849" i="1" s="1"/>
  <c r="B1850" i="1"/>
  <c r="J1026" i="1"/>
  <c r="G1026" i="1" s="1"/>
  <c r="F1026" i="1"/>
  <c r="H1026" i="1"/>
  <c r="C1850" i="1" l="1"/>
  <c r="D1850" i="1" s="1"/>
  <c r="B1851" i="1"/>
  <c r="I1026" i="1"/>
  <c r="E1027" i="1" s="1"/>
  <c r="C1851" i="1" l="1"/>
  <c r="D1851" i="1" s="1"/>
  <c r="B1852" i="1"/>
  <c r="J1027" i="1"/>
  <c r="G1027" i="1" s="1"/>
  <c r="H1027" i="1"/>
  <c r="F1027" i="1"/>
  <c r="C1852" i="1" l="1"/>
  <c r="D1852" i="1" s="1"/>
  <c r="B1853" i="1"/>
  <c r="I1027" i="1"/>
  <c r="E1028" i="1" s="1"/>
  <c r="C1853" i="1" l="1"/>
  <c r="D1853" i="1" s="1"/>
  <c r="B1854" i="1"/>
  <c r="F1028" i="1"/>
  <c r="J1028" i="1"/>
  <c r="G1028" i="1" s="1"/>
  <c r="H1028" i="1"/>
  <c r="I1028" i="1" s="1"/>
  <c r="E1029" i="1" s="1"/>
  <c r="C1854" i="1" l="1"/>
  <c r="D1854" i="1" s="1"/>
  <c r="B1855" i="1"/>
  <c r="J1029" i="1"/>
  <c r="G1029" i="1" s="1"/>
  <c r="H1029" i="1"/>
  <c r="F1029" i="1"/>
  <c r="C1855" i="1" l="1"/>
  <c r="D1855" i="1" s="1"/>
  <c r="B1856" i="1"/>
  <c r="I1029" i="1"/>
  <c r="E1030" i="1" s="1"/>
  <c r="C1856" i="1" l="1"/>
  <c r="D1856" i="1" s="1"/>
  <c r="B1857" i="1"/>
  <c r="F1030" i="1"/>
  <c r="H1030" i="1"/>
  <c r="J1030" i="1"/>
  <c r="G1030" i="1" s="1"/>
  <c r="B1858" i="1" l="1"/>
  <c r="C1857" i="1"/>
  <c r="D1857" i="1" s="1"/>
  <c r="I1030" i="1"/>
  <c r="E1031" i="1" s="1"/>
  <c r="C1858" i="1" l="1"/>
  <c r="D1858" i="1" s="1"/>
  <c r="B1859" i="1"/>
  <c r="F1031" i="1"/>
  <c r="J1031" i="1"/>
  <c r="G1031" i="1" s="1"/>
  <c r="H1031" i="1"/>
  <c r="I1031" i="1" s="1"/>
  <c r="E1032" i="1" s="1"/>
  <c r="C1859" i="1" l="1"/>
  <c r="D1859" i="1" s="1"/>
  <c r="B1860" i="1"/>
  <c r="J1032" i="1"/>
  <c r="G1032" i="1" s="1"/>
  <c r="F1032" i="1"/>
  <c r="H1032" i="1"/>
  <c r="C1860" i="1" l="1"/>
  <c r="D1860" i="1" s="1"/>
  <c r="B1861" i="1"/>
  <c r="I1032" i="1"/>
  <c r="E1033" i="1" s="1"/>
  <c r="C1861" i="1" l="1"/>
  <c r="D1861" i="1" s="1"/>
  <c r="B1862" i="1"/>
  <c r="F1033" i="1"/>
  <c r="H1033" i="1"/>
  <c r="J1033" i="1"/>
  <c r="G1033" i="1" s="1"/>
  <c r="C1862" i="1" l="1"/>
  <c r="D1862" i="1" s="1"/>
  <c r="B1863" i="1"/>
  <c r="I1033" i="1"/>
  <c r="E1034" i="1" s="1"/>
  <c r="C1863" i="1" l="1"/>
  <c r="D1863" i="1" s="1"/>
  <c r="B1864" i="1"/>
  <c r="F1034" i="1"/>
  <c r="H1034" i="1"/>
  <c r="J1034" i="1"/>
  <c r="G1034" i="1" s="1"/>
  <c r="C1864" i="1" l="1"/>
  <c r="D1864" i="1" s="1"/>
  <c r="B1865" i="1"/>
  <c r="I1034" i="1"/>
  <c r="E1035" i="1" s="1"/>
  <c r="C1865" i="1" l="1"/>
  <c r="D1865" i="1" s="1"/>
  <c r="B1866" i="1"/>
  <c r="F1035" i="1"/>
  <c r="H1035" i="1"/>
  <c r="J1035" i="1"/>
  <c r="G1035" i="1" s="1"/>
  <c r="C1866" i="1" l="1"/>
  <c r="D1866" i="1" s="1"/>
  <c r="B1867" i="1"/>
  <c r="I1035" i="1"/>
  <c r="E1036" i="1" s="1"/>
  <c r="C1867" i="1" l="1"/>
  <c r="D1867" i="1" s="1"/>
  <c r="B1868" i="1"/>
  <c r="J1036" i="1"/>
  <c r="G1036" i="1" s="1"/>
  <c r="F1036" i="1"/>
  <c r="H1036" i="1"/>
  <c r="C1868" i="1" l="1"/>
  <c r="D1868" i="1" s="1"/>
  <c r="B1869" i="1"/>
  <c r="I1036" i="1"/>
  <c r="E1037" i="1" s="1"/>
  <c r="C1869" i="1" l="1"/>
  <c r="D1869" i="1" s="1"/>
  <c r="B1870" i="1"/>
  <c r="H1037" i="1"/>
  <c r="F1037" i="1"/>
  <c r="J1037" i="1"/>
  <c r="G1037" i="1" s="1"/>
  <c r="C1870" i="1" l="1"/>
  <c r="D1870" i="1" s="1"/>
  <c r="B1871" i="1"/>
  <c r="I1037" i="1"/>
  <c r="E1038" i="1" s="1"/>
  <c r="C1871" i="1" l="1"/>
  <c r="D1871" i="1" s="1"/>
  <c r="B1872" i="1"/>
  <c r="J1038" i="1"/>
  <c r="G1038" i="1" s="1"/>
  <c r="F1038" i="1"/>
  <c r="H1038" i="1"/>
  <c r="C1872" i="1" l="1"/>
  <c r="D1872" i="1" s="1"/>
  <c r="B1873" i="1"/>
  <c r="I1038" i="1"/>
  <c r="E1039" i="1" s="1"/>
  <c r="B1874" i="1" l="1"/>
  <c r="C1873" i="1"/>
  <c r="D1873" i="1" s="1"/>
  <c r="J1039" i="1"/>
  <c r="G1039" i="1" s="1"/>
  <c r="F1039" i="1"/>
  <c r="H1039" i="1"/>
  <c r="C1874" i="1" l="1"/>
  <c r="D1874" i="1" s="1"/>
  <c r="B1875" i="1"/>
  <c r="I1039" i="1"/>
  <c r="E1040" i="1" s="1"/>
  <c r="C1875" i="1" l="1"/>
  <c r="D1875" i="1" s="1"/>
  <c r="B1876" i="1"/>
  <c r="F1040" i="1"/>
  <c r="H1040" i="1"/>
  <c r="J1040" i="1"/>
  <c r="G1040" i="1" s="1"/>
  <c r="C1876" i="1" l="1"/>
  <c r="D1876" i="1" s="1"/>
  <c r="B1877" i="1"/>
  <c r="I1040" i="1"/>
  <c r="E1041" i="1" s="1"/>
  <c r="C1877" i="1" l="1"/>
  <c r="D1877" i="1" s="1"/>
  <c r="B1878" i="1"/>
  <c r="F1041" i="1"/>
  <c r="J1041" i="1"/>
  <c r="G1041" i="1" s="1"/>
  <c r="H1041" i="1"/>
  <c r="I1041" i="1" s="1"/>
  <c r="E1042" i="1" s="1"/>
  <c r="C1878" i="1" l="1"/>
  <c r="D1878" i="1" s="1"/>
  <c r="B1879" i="1"/>
  <c r="H1042" i="1"/>
  <c r="J1042" i="1"/>
  <c r="G1042" i="1" s="1"/>
  <c r="F1042" i="1"/>
  <c r="C1879" i="1" l="1"/>
  <c r="D1879" i="1" s="1"/>
  <c r="B1880" i="1"/>
  <c r="I1042" i="1"/>
  <c r="E1043" i="1" s="1"/>
  <c r="C1880" i="1" l="1"/>
  <c r="D1880" i="1" s="1"/>
  <c r="B1881" i="1"/>
  <c r="H1043" i="1"/>
  <c r="F1043" i="1"/>
  <c r="J1043" i="1"/>
  <c r="G1043" i="1" s="1"/>
  <c r="C1881" i="1" l="1"/>
  <c r="D1881" i="1" s="1"/>
  <c r="B1882" i="1"/>
  <c r="I1043" i="1"/>
  <c r="E1044" i="1" s="1"/>
  <c r="C1882" i="1" l="1"/>
  <c r="D1882" i="1" s="1"/>
  <c r="B1883" i="1"/>
  <c r="J1044" i="1"/>
  <c r="G1044" i="1" s="1"/>
  <c r="H1044" i="1"/>
  <c r="F1044" i="1"/>
  <c r="C1883" i="1" l="1"/>
  <c r="D1883" i="1" s="1"/>
  <c r="B1884" i="1"/>
  <c r="I1044" i="1"/>
  <c r="E1045" i="1" s="1"/>
  <c r="C1884" i="1" l="1"/>
  <c r="D1884" i="1" s="1"/>
  <c r="B1885" i="1"/>
  <c r="H1045" i="1"/>
  <c r="J1045" i="1"/>
  <c r="G1045" i="1" s="1"/>
  <c r="F1045" i="1"/>
  <c r="C1885" i="1" l="1"/>
  <c r="D1885" i="1" s="1"/>
  <c r="B1886" i="1"/>
  <c r="I1045" i="1"/>
  <c r="E1046" i="1" s="1"/>
  <c r="C1886" i="1" l="1"/>
  <c r="D1886" i="1" s="1"/>
  <c r="B1887" i="1"/>
  <c r="F1046" i="1"/>
  <c r="H1046" i="1"/>
  <c r="J1046" i="1"/>
  <c r="G1046" i="1" s="1"/>
  <c r="C1887" i="1" l="1"/>
  <c r="D1887" i="1" s="1"/>
  <c r="B1888" i="1"/>
  <c r="I1046" i="1"/>
  <c r="E1047" i="1" s="1"/>
  <c r="C1888" i="1" l="1"/>
  <c r="D1888" i="1" s="1"/>
  <c r="B1889" i="1"/>
  <c r="H1047" i="1"/>
  <c r="J1047" i="1"/>
  <c r="G1047" i="1" s="1"/>
  <c r="F1047" i="1"/>
  <c r="I1047" i="1" l="1"/>
  <c r="E1048" i="1" s="1"/>
  <c r="B1890" i="1"/>
  <c r="C1889" i="1"/>
  <c r="D1889" i="1" s="1"/>
  <c r="H1048" i="1"/>
  <c r="J1048" i="1"/>
  <c r="G1048" i="1" s="1"/>
  <c r="F1048" i="1"/>
  <c r="C1890" i="1" l="1"/>
  <c r="D1890" i="1" s="1"/>
  <c r="B1891" i="1"/>
  <c r="I1048" i="1"/>
  <c r="E1049" i="1" s="1"/>
  <c r="B1892" i="1" l="1"/>
  <c r="C1891" i="1"/>
  <c r="D1891" i="1" s="1"/>
  <c r="J1049" i="1"/>
  <c r="G1049" i="1" s="1"/>
  <c r="F1049" i="1"/>
  <c r="H1049" i="1"/>
  <c r="C1892" i="1" l="1"/>
  <c r="D1892" i="1" s="1"/>
  <c r="B1893" i="1"/>
  <c r="I1049" i="1"/>
  <c r="E1050" i="1" s="1"/>
  <c r="C1893" i="1" l="1"/>
  <c r="D1893" i="1" s="1"/>
  <c r="B1894" i="1"/>
  <c r="F1050" i="1"/>
  <c r="J1050" i="1"/>
  <c r="G1050" i="1" s="1"/>
  <c r="H1050" i="1"/>
  <c r="I1050" i="1" s="1"/>
  <c r="E1051" i="1" s="1"/>
  <c r="C1894" i="1" l="1"/>
  <c r="D1894" i="1" s="1"/>
  <c r="B1895" i="1"/>
  <c r="F1051" i="1"/>
  <c r="J1051" i="1"/>
  <c r="G1051" i="1" s="1"/>
  <c r="H1051" i="1"/>
  <c r="C1895" i="1" l="1"/>
  <c r="D1895" i="1" s="1"/>
  <c r="B1896" i="1"/>
  <c r="I1051" i="1"/>
  <c r="E1052" i="1" s="1"/>
  <c r="C1896" i="1" l="1"/>
  <c r="D1896" i="1" s="1"/>
  <c r="B1897" i="1"/>
  <c r="H1052" i="1"/>
  <c r="J1052" i="1"/>
  <c r="G1052" i="1" s="1"/>
  <c r="F1052" i="1"/>
  <c r="C1897" i="1" l="1"/>
  <c r="D1897" i="1" s="1"/>
  <c r="B1898" i="1"/>
  <c r="I1052" i="1"/>
  <c r="E1053" i="1" s="1"/>
  <c r="C1898" i="1" l="1"/>
  <c r="D1898" i="1" s="1"/>
  <c r="B1899" i="1"/>
  <c r="F1053" i="1"/>
  <c r="J1053" i="1"/>
  <c r="G1053" i="1" s="1"/>
  <c r="H1053" i="1"/>
  <c r="I1053" i="1" s="1"/>
  <c r="E1054" i="1" s="1"/>
  <c r="C1899" i="1" l="1"/>
  <c r="D1899" i="1" s="1"/>
  <c r="B1900" i="1"/>
  <c r="F1054" i="1"/>
  <c r="J1054" i="1"/>
  <c r="G1054" i="1" s="1"/>
  <c r="H1054" i="1"/>
  <c r="I1054" i="1" s="1"/>
  <c r="E1055" i="1" s="1"/>
  <c r="C1900" i="1" l="1"/>
  <c r="D1900" i="1" s="1"/>
  <c r="B1901" i="1"/>
  <c r="J1055" i="1"/>
  <c r="G1055" i="1" s="1"/>
  <c r="F1055" i="1"/>
  <c r="H1055" i="1"/>
  <c r="C1901" i="1" l="1"/>
  <c r="D1901" i="1" s="1"/>
  <c r="B1902" i="1"/>
  <c r="I1055" i="1"/>
  <c r="E1056" i="1" s="1"/>
  <c r="C1902" i="1" l="1"/>
  <c r="D1902" i="1" s="1"/>
  <c r="B1903" i="1"/>
  <c r="H1056" i="1"/>
  <c r="J1056" i="1"/>
  <c r="G1056" i="1" s="1"/>
  <c r="F1056" i="1"/>
  <c r="C1903" i="1" l="1"/>
  <c r="D1903" i="1" s="1"/>
  <c r="B1904" i="1"/>
  <c r="I1056" i="1"/>
  <c r="E1057" i="1" s="1"/>
  <c r="C1904" i="1" l="1"/>
  <c r="D1904" i="1" s="1"/>
  <c r="B1905" i="1"/>
  <c r="H1057" i="1"/>
  <c r="J1057" i="1"/>
  <c r="G1057" i="1" s="1"/>
  <c r="F1057" i="1"/>
  <c r="C1905" i="1" l="1"/>
  <c r="D1905" i="1" s="1"/>
  <c r="B1906" i="1"/>
  <c r="I1057" i="1"/>
  <c r="E1058" i="1" s="1"/>
  <c r="C1906" i="1" l="1"/>
  <c r="D1906" i="1" s="1"/>
  <c r="B1907" i="1"/>
  <c r="J1058" i="1"/>
  <c r="G1058" i="1" s="1"/>
  <c r="F1058" i="1"/>
  <c r="H1058" i="1"/>
  <c r="C1907" i="1" l="1"/>
  <c r="D1907" i="1" s="1"/>
  <c r="B1908" i="1"/>
  <c r="I1058" i="1"/>
  <c r="E1059" i="1" s="1"/>
  <c r="C1908" i="1" l="1"/>
  <c r="D1908" i="1" s="1"/>
  <c r="B1909" i="1"/>
  <c r="F1059" i="1"/>
  <c r="J1059" i="1"/>
  <c r="G1059" i="1" s="1"/>
  <c r="H1059" i="1"/>
  <c r="I1059" i="1" s="1"/>
  <c r="E1060" i="1" s="1"/>
  <c r="C1909" i="1" l="1"/>
  <c r="D1909" i="1" s="1"/>
  <c r="B1910" i="1"/>
  <c r="F1060" i="1"/>
  <c r="H1060" i="1"/>
  <c r="J1060" i="1"/>
  <c r="G1060" i="1" s="1"/>
  <c r="B1911" i="1" l="1"/>
  <c r="C1910" i="1"/>
  <c r="D1910" i="1" s="1"/>
  <c r="I1060" i="1"/>
  <c r="E1061" i="1" s="1"/>
  <c r="C1911" i="1" l="1"/>
  <c r="D1911" i="1" s="1"/>
  <c r="B1912" i="1"/>
  <c r="F1061" i="1"/>
  <c r="J1061" i="1"/>
  <c r="G1061" i="1" s="1"/>
  <c r="H1061" i="1"/>
  <c r="C1912" i="1" l="1"/>
  <c r="D1912" i="1" s="1"/>
  <c r="B1913" i="1"/>
  <c r="I1061" i="1"/>
  <c r="E1062" i="1" s="1"/>
  <c r="C1913" i="1" l="1"/>
  <c r="D1913" i="1" s="1"/>
  <c r="B1914" i="1"/>
  <c r="F1062" i="1"/>
  <c r="J1062" i="1"/>
  <c r="G1062" i="1" s="1"/>
  <c r="H1062" i="1"/>
  <c r="I1062" i="1" s="1"/>
  <c r="E1063" i="1" s="1"/>
  <c r="C1914" i="1" l="1"/>
  <c r="D1914" i="1" s="1"/>
  <c r="B1915" i="1"/>
  <c r="F1063" i="1"/>
  <c r="J1063" i="1"/>
  <c r="G1063" i="1" s="1"/>
  <c r="H1063" i="1"/>
  <c r="C1915" i="1" l="1"/>
  <c r="D1915" i="1" s="1"/>
  <c r="B1916" i="1"/>
  <c r="I1063" i="1"/>
  <c r="E1064" i="1" s="1"/>
  <c r="C1916" i="1" l="1"/>
  <c r="D1916" i="1" s="1"/>
  <c r="B1917" i="1"/>
  <c r="H1064" i="1"/>
  <c r="J1064" i="1"/>
  <c r="G1064" i="1" s="1"/>
  <c r="F1064" i="1"/>
  <c r="C1917" i="1" l="1"/>
  <c r="D1917" i="1" s="1"/>
  <c r="B1918" i="1"/>
  <c r="I1064" i="1"/>
  <c r="E1065" i="1" s="1"/>
  <c r="C1918" i="1" l="1"/>
  <c r="D1918" i="1" s="1"/>
  <c r="B1919" i="1"/>
  <c r="F1065" i="1"/>
  <c r="J1065" i="1"/>
  <c r="G1065" i="1" s="1"/>
  <c r="H1065" i="1"/>
  <c r="I1065" i="1" s="1"/>
  <c r="E1066" i="1" s="1"/>
  <c r="C1919" i="1" l="1"/>
  <c r="D1919" i="1" s="1"/>
  <c r="B1920" i="1"/>
  <c r="F1066" i="1"/>
  <c r="H1066" i="1"/>
  <c r="J1066" i="1"/>
  <c r="G1066" i="1" s="1"/>
  <c r="C1920" i="1" l="1"/>
  <c r="D1920" i="1" s="1"/>
  <c r="B1921" i="1"/>
  <c r="I1066" i="1"/>
  <c r="E1067" i="1" s="1"/>
  <c r="C1921" i="1" l="1"/>
  <c r="D1921" i="1" s="1"/>
  <c r="B1922" i="1"/>
  <c r="F1067" i="1"/>
  <c r="H1067" i="1"/>
  <c r="J1067" i="1"/>
  <c r="G1067" i="1" s="1"/>
  <c r="C1922" i="1" l="1"/>
  <c r="D1922" i="1" s="1"/>
  <c r="B1923" i="1"/>
  <c r="I1067" i="1"/>
  <c r="E1068" i="1" s="1"/>
  <c r="C1923" i="1" l="1"/>
  <c r="D1923" i="1" s="1"/>
  <c r="B1924" i="1"/>
  <c r="F1068" i="1"/>
  <c r="H1068" i="1"/>
  <c r="J1068" i="1"/>
  <c r="G1068" i="1" s="1"/>
  <c r="C1924" i="1" l="1"/>
  <c r="D1924" i="1" s="1"/>
  <c r="B1925" i="1"/>
  <c r="I1068" i="1"/>
  <c r="E1069" i="1" s="1"/>
  <c r="C1925" i="1" l="1"/>
  <c r="D1925" i="1" s="1"/>
  <c r="B1926" i="1"/>
  <c r="H1069" i="1"/>
  <c r="J1069" i="1"/>
  <c r="G1069" i="1" s="1"/>
  <c r="F1069" i="1"/>
  <c r="I1069" i="1" l="1"/>
  <c r="E1070" i="1" s="1"/>
  <c r="B1927" i="1"/>
  <c r="C1926" i="1"/>
  <c r="D1926" i="1" s="1"/>
  <c r="H1070" i="1"/>
  <c r="J1070" i="1"/>
  <c r="G1070" i="1" s="1"/>
  <c r="F1070" i="1"/>
  <c r="C1927" i="1" l="1"/>
  <c r="D1927" i="1" s="1"/>
  <c r="B1928" i="1"/>
  <c r="I1070" i="1"/>
  <c r="E1071" i="1" s="1"/>
  <c r="B1929" i="1" l="1"/>
  <c r="C1928" i="1"/>
  <c r="D1928" i="1" s="1"/>
  <c r="J1071" i="1"/>
  <c r="G1071" i="1" s="1"/>
  <c r="F1071" i="1"/>
  <c r="H1071" i="1"/>
  <c r="C1929" i="1" l="1"/>
  <c r="D1929" i="1" s="1"/>
  <c r="B1930" i="1"/>
  <c r="I1071" i="1"/>
  <c r="E1072" i="1" s="1"/>
  <c r="B1931" i="1" l="1"/>
  <c r="C1930" i="1"/>
  <c r="D1930" i="1" s="1"/>
  <c r="H1072" i="1"/>
  <c r="F1072" i="1"/>
  <c r="J1072" i="1"/>
  <c r="G1072" i="1" s="1"/>
  <c r="C1931" i="1" l="1"/>
  <c r="D1931" i="1" s="1"/>
  <c r="B1932" i="1"/>
  <c r="I1072" i="1"/>
  <c r="E1073" i="1" s="1"/>
  <c r="C1932" i="1" l="1"/>
  <c r="D1932" i="1" s="1"/>
  <c r="B1933" i="1"/>
  <c r="H1073" i="1"/>
  <c r="F1073" i="1"/>
  <c r="J1073" i="1"/>
  <c r="G1073" i="1" s="1"/>
  <c r="C1933" i="1" l="1"/>
  <c r="D1933" i="1" s="1"/>
  <c r="B1934" i="1"/>
  <c r="I1073" i="1"/>
  <c r="E1074" i="1" s="1"/>
  <c r="C1934" i="1" l="1"/>
  <c r="D1934" i="1" s="1"/>
  <c r="B1935" i="1"/>
  <c r="J1074" i="1"/>
  <c r="G1074" i="1" s="1"/>
  <c r="H1074" i="1"/>
  <c r="F1074" i="1"/>
  <c r="B1936" i="1" l="1"/>
  <c r="C1935" i="1"/>
  <c r="D1935" i="1" s="1"/>
  <c r="I1074" i="1"/>
  <c r="E1075" i="1" s="1"/>
  <c r="C1936" i="1" l="1"/>
  <c r="D1936" i="1" s="1"/>
  <c r="B1937" i="1"/>
  <c r="H1075" i="1"/>
  <c r="F1075" i="1"/>
  <c r="J1075" i="1"/>
  <c r="G1075" i="1" s="1"/>
  <c r="C1937" i="1" l="1"/>
  <c r="D1937" i="1" s="1"/>
  <c r="B1938" i="1"/>
  <c r="I1075" i="1"/>
  <c r="E1076" i="1" s="1"/>
  <c r="C1938" i="1" l="1"/>
  <c r="D1938" i="1" s="1"/>
  <c r="B1939" i="1"/>
  <c r="H1076" i="1"/>
  <c r="F1076" i="1"/>
  <c r="J1076" i="1"/>
  <c r="G1076" i="1" s="1"/>
  <c r="C1939" i="1" l="1"/>
  <c r="D1939" i="1" s="1"/>
  <c r="B1940" i="1"/>
  <c r="I1076" i="1"/>
  <c r="E1077" i="1" s="1"/>
  <c r="C1940" i="1" l="1"/>
  <c r="D1940" i="1" s="1"/>
  <c r="B1941" i="1"/>
  <c r="F1077" i="1"/>
  <c r="J1077" i="1"/>
  <c r="G1077" i="1" s="1"/>
  <c r="H1077" i="1"/>
  <c r="I1077" i="1" s="1"/>
  <c r="E1078" i="1" s="1"/>
  <c r="B1942" i="1" l="1"/>
  <c r="C1941" i="1"/>
  <c r="D1941" i="1" s="1"/>
  <c r="H1078" i="1"/>
  <c r="J1078" i="1"/>
  <c r="G1078" i="1" s="1"/>
  <c r="F1078" i="1"/>
  <c r="I1078" i="1" l="1"/>
  <c r="E1079" i="1" s="1"/>
  <c r="C1942" i="1"/>
  <c r="D1942" i="1" s="1"/>
  <c r="B1943" i="1"/>
  <c r="H1079" i="1"/>
  <c r="J1079" i="1"/>
  <c r="G1079" i="1" s="1"/>
  <c r="F1079" i="1"/>
  <c r="B1944" i="1" l="1"/>
  <c r="C1943" i="1"/>
  <c r="D1943" i="1" s="1"/>
  <c r="I1079" i="1"/>
  <c r="E1080" i="1" s="1"/>
  <c r="B1945" i="1" l="1"/>
  <c r="C1944" i="1"/>
  <c r="D1944" i="1" s="1"/>
  <c r="H1080" i="1"/>
  <c r="J1080" i="1"/>
  <c r="G1080" i="1" s="1"/>
  <c r="F1080" i="1"/>
  <c r="C1945" i="1" l="1"/>
  <c r="D1945" i="1" s="1"/>
  <c r="B1946" i="1"/>
  <c r="I1080" i="1"/>
  <c r="E1081" i="1" s="1"/>
  <c r="B1947" i="1" l="1"/>
  <c r="C1946" i="1"/>
  <c r="D1946" i="1" s="1"/>
  <c r="H1081" i="1"/>
  <c r="J1081" i="1"/>
  <c r="G1081" i="1" s="1"/>
  <c r="F1081" i="1"/>
  <c r="B1948" i="1" l="1"/>
  <c r="C1947" i="1"/>
  <c r="D1947" i="1" s="1"/>
  <c r="I1081" i="1"/>
  <c r="E1082" i="1" s="1"/>
  <c r="C1948" i="1" l="1"/>
  <c r="D1948" i="1" s="1"/>
  <c r="B1949" i="1"/>
  <c r="F1082" i="1"/>
  <c r="H1082" i="1"/>
  <c r="J1082" i="1"/>
  <c r="G1082" i="1" s="1"/>
  <c r="C1949" i="1" l="1"/>
  <c r="D1949" i="1" s="1"/>
  <c r="B1950" i="1"/>
  <c r="I1082" i="1"/>
  <c r="E1083" i="1" s="1"/>
  <c r="C1950" i="1" l="1"/>
  <c r="D1950" i="1" s="1"/>
  <c r="B1951" i="1"/>
  <c r="F1083" i="1"/>
  <c r="H1083" i="1"/>
  <c r="J1083" i="1"/>
  <c r="G1083" i="1" s="1"/>
  <c r="C1951" i="1" l="1"/>
  <c r="D1951" i="1" s="1"/>
  <c r="B1952" i="1"/>
  <c r="I1083" i="1"/>
  <c r="E1084" i="1" s="1"/>
  <c r="C1952" i="1" l="1"/>
  <c r="D1952" i="1" s="1"/>
  <c r="B1953" i="1"/>
  <c r="F1084" i="1"/>
  <c r="H1084" i="1"/>
  <c r="J1084" i="1"/>
  <c r="G1084" i="1" s="1"/>
  <c r="C1953" i="1" l="1"/>
  <c r="D1953" i="1" s="1"/>
  <c r="B1954" i="1"/>
  <c r="I1084" i="1"/>
  <c r="E1085" i="1" s="1"/>
  <c r="C1954" i="1" l="1"/>
  <c r="D1954" i="1" s="1"/>
  <c r="B1955" i="1"/>
  <c r="J1085" i="1"/>
  <c r="G1085" i="1" s="1"/>
  <c r="H1085" i="1"/>
  <c r="F1085" i="1"/>
  <c r="C1955" i="1" l="1"/>
  <c r="D1955" i="1" s="1"/>
  <c r="B1956" i="1"/>
  <c r="I1085" i="1"/>
  <c r="E1086" i="1" s="1"/>
  <c r="C1956" i="1" l="1"/>
  <c r="D1956" i="1" s="1"/>
  <c r="B1957" i="1"/>
  <c r="F1086" i="1"/>
  <c r="J1086" i="1"/>
  <c r="G1086" i="1" s="1"/>
  <c r="H1086" i="1"/>
  <c r="I1086" i="1" s="1"/>
  <c r="E1087" i="1" s="1"/>
  <c r="B1958" i="1" l="1"/>
  <c r="C1957" i="1"/>
  <c r="D1957" i="1" s="1"/>
  <c r="H1087" i="1"/>
  <c r="J1087" i="1"/>
  <c r="G1087" i="1" s="1"/>
  <c r="F1087" i="1"/>
  <c r="C1958" i="1" l="1"/>
  <c r="D1958" i="1" s="1"/>
  <c r="B1959" i="1"/>
  <c r="I1087" i="1"/>
  <c r="E1088" i="1" s="1"/>
  <c r="C1959" i="1" l="1"/>
  <c r="D1959" i="1" s="1"/>
  <c r="B1960" i="1"/>
  <c r="J1088" i="1"/>
  <c r="G1088" i="1" s="1"/>
  <c r="H1088" i="1"/>
  <c r="F1088" i="1"/>
  <c r="C1960" i="1" l="1"/>
  <c r="D1960" i="1" s="1"/>
  <c r="B1961" i="1"/>
  <c r="I1088" i="1"/>
  <c r="E1089" i="1" s="1"/>
  <c r="C1961" i="1" l="1"/>
  <c r="D1961" i="1" s="1"/>
  <c r="B1962" i="1"/>
  <c r="J1089" i="1"/>
  <c r="G1089" i="1" s="1"/>
  <c r="H1089" i="1"/>
  <c r="F1089" i="1"/>
  <c r="C1962" i="1" l="1"/>
  <c r="D1962" i="1" s="1"/>
  <c r="B1963" i="1"/>
  <c r="I1089" i="1"/>
  <c r="E1090" i="1" s="1"/>
  <c r="C1963" i="1" l="1"/>
  <c r="D1963" i="1" s="1"/>
  <c r="B1964" i="1"/>
  <c r="H1090" i="1"/>
  <c r="J1090" i="1"/>
  <c r="G1090" i="1" s="1"/>
  <c r="F1090" i="1"/>
  <c r="C1964" i="1" l="1"/>
  <c r="D1964" i="1" s="1"/>
  <c r="B1965" i="1"/>
  <c r="I1090" i="1"/>
  <c r="E1091" i="1" s="1"/>
  <c r="C1965" i="1" l="1"/>
  <c r="D1965" i="1" s="1"/>
  <c r="B1966" i="1"/>
  <c r="J1091" i="1"/>
  <c r="G1091" i="1" s="1"/>
  <c r="F1091" i="1"/>
  <c r="H1091" i="1"/>
  <c r="C1966" i="1" l="1"/>
  <c r="D1966" i="1" s="1"/>
  <c r="B1967" i="1"/>
  <c r="I1091" i="1"/>
  <c r="E1092" i="1" s="1"/>
  <c r="C1967" i="1" l="1"/>
  <c r="D1967" i="1" s="1"/>
  <c r="B1968" i="1"/>
  <c r="H1092" i="1"/>
  <c r="F1092" i="1"/>
  <c r="J1092" i="1"/>
  <c r="G1092" i="1" s="1"/>
  <c r="C1968" i="1" l="1"/>
  <c r="D1968" i="1" s="1"/>
  <c r="B1969" i="1"/>
  <c r="I1092" i="1"/>
  <c r="E1093" i="1" s="1"/>
  <c r="C1969" i="1" l="1"/>
  <c r="D1969" i="1" s="1"/>
  <c r="B1970" i="1"/>
  <c r="H1093" i="1"/>
  <c r="J1093" i="1"/>
  <c r="G1093" i="1" s="1"/>
  <c r="F1093" i="1"/>
  <c r="C1970" i="1" l="1"/>
  <c r="D1970" i="1" s="1"/>
  <c r="B1971" i="1"/>
  <c r="I1093" i="1"/>
  <c r="E1094" i="1" s="1"/>
  <c r="C1971" i="1" l="1"/>
  <c r="D1971" i="1" s="1"/>
  <c r="B1972" i="1"/>
  <c r="H1094" i="1"/>
  <c r="J1094" i="1"/>
  <c r="G1094" i="1" s="1"/>
  <c r="F1094" i="1"/>
  <c r="I1094" i="1" l="1"/>
  <c r="E1095" i="1" s="1"/>
  <c r="B1973" i="1"/>
  <c r="C1972" i="1"/>
  <c r="D1972" i="1" s="1"/>
  <c r="H1095" i="1"/>
  <c r="J1095" i="1"/>
  <c r="G1095" i="1" s="1"/>
  <c r="F1095" i="1"/>
  <c r="C1973" i="1" l="1"/>
  <c r="D1973" i="1" s="1"/>
  <c r="B1974" i="1"/>
  <c r="I1095" i="1"/>
  <c r="E1096" i="1" s="1"/>
  <c r="C1974" i="1" l="1"/>
  <c r="D1974" i="1" s="1"/>
  <c r="B1975" i="1"/>
  <c r="H1096" i="1"/>
  <c r="J1096" i="1"/>
  <c r="G1096" i="1" s="1"/>
  <c r="F1096" i="1"/>
  <c r="B1976" i="1" l="1"/>
  <c r="C1975" i="1"/>
  <c r="D1975" i="1" s="1"/>
  <c r="I1096" i="1"/>
  <c r="E1097" i="1" s="1"/>
  <c r="C1976" i="1" l="1"/>
  <c r="D1976" i="1" s="1"/>
  <c r="B1977" i="1"/>
  <c r="E7" i="2"/>
  <c r="F1097" i="1"/>
  <c r="J1097" i="1"/>
  <c r="G1097" i="1" s="1"/>
  <c r="H1097" i="1"/>
  <c r="C1977" i="1" l="1"/>
  <c r="D1977" i="1" s="1"/>
  <c r="B1978" i="1"/>
  <c r="J7" i="2"/>
  <c r="K7" i="2" s="1"/>
  <c r="H7" i="2"/>
  <c r="I7" i="2" s="1"/>
  <c r="I1097" i="1"/>
  <c r="E1098" i="1" s="1"/>
  <c r="C1978" i="1" l="1"/>
  <c r="D1978" i="1" s="1"/>
  <c r="B1979" i="1"/>
  <c r="H1098" i="1"/>
  <c r="J1098" i="1"/>
  <c r="G1098" i="1" s="1"/>
  <c r="F1098" i="1"/>
  <c r="C1979" i="1" l="1"/>
  <c r="D1979" i="1" s="1"/>
  <c r="B1980" i="1"/>
  <c r="I1098" i="1"/>
  <c r="E1099" i="1" s="1"/>
  <c r="B1981" i="1" l="1"/>
  <c r="C1980" i="1"/>
  <c r="D1980" i="1" s="1"/>
  <c r="F1099" i="1"/>
  <c r="H1099" i="1"/>
  <c r="J1099" i="1"/>
  <c r="G1099" i="1" s="1"/>
  <c r="B1982" i="1" l="1"/>
  <c r="C1981" i="1"/>
  <c r="D1981" i="1" s="1"/>
  <c r="I1099" i="1"/>
  <c r="E1100" i="1" s="1"/>
  <c r="C1982" i="1" l="1"/>
  <c r="D1982" i="1" s="1"/>
  <c r="B1983" i="1"/>
  <c r="H1100" i="1"/>
  <c r="J1100" i="1"/>
  <c r="G1100" i="1" s="1"/>
  <c r="F1100" i="1"/>
  <c r="C1983" i="1" l="1"/>
  <c r="D1983" i="1" s="1"/>
  <c r="B1984" i="1"/>
  <c r="I1100" i="1"/>
  <c r="E1101" i="1" s="1"/>
  <c r="C1984" i="1" l="1"/>
  <c r="D1984" i="1" s="1"/>
  <c r="B1985" i="1"/>
  <c r="F1101" i="1"/>
  <c r="J1101" i="1"/>
  <c r="G1101" i="1" s="1"/>
  <c r="H1101" i="1"/>
  <c r="I1101" i="1" s="1"/>
  <c r="E1102" i="1" s="1"/>
  <c r="B1986" i="1" l="1"/>
  <c r="C1985" i="1"/>
  <c r="D1985" i="1" s="1"/>
  <c r="J1102" i="1"/>
  <c r="G1102" i="1" s="1"/>
  <c r="H1102" i="1"/>
  <c r="F1102" i="1"/>
  <c r="C1986" i="1" l="1"/>
  <c r="D1986" i="1" s="1"/>
  <c r="B1987" i="1"/>
  <c r="I1102" i="1"/>
  <c r="E1103" i="1" s="1"/>
  <c r="C1987" i="1" l="1"/>
  <c r="D1987" i="1" s="1"/>
  <c r="B1988" i="1"/>
  <c r="J1103" i="1"/>
  <c r="G1103" i="1" s="1"/>
  <c r="H1103" i="1"/>
  <c r="F1103" i="1"/>
  <c r="C1988" i="1" l="1"/>
  <c r="D1988" i="1" s="1"/>
  <c r="B1989" i="1"/>
  <c r="I1103" i="1"/>
  <c r="E1104" i="1" s="1"/>
  <c r="C1989" i="1" l="1"/>
  <c r="D1989" i="1" s="1"/>
  <c r="B1990" i="1"/>
  <c r="H1104" i="1"/>
  <c r="J1104" i="1"/>
  <c r="G1104" i="1" s="1"/>
  <c r="F1104" i="1"/>
  <c r="I1104" i="1" l="1"/>
  <c r="E1105" i="1" s="1"/>
  <c r="C1990" i="1"/>
  <c r="D1990" i="1" s="1"/>
  <c r="B1991" i="1"/>
  <c r="H1105" i="1"/>
  <c r="F1105" i="1"/>
  <c r="J1105" i="1"/>
  <c r="G1105" i="1" s="1"/>
  <c r="C1991" i="1" l="1"/>
  <c r="D1991" i="1" s="1"/>
  <c r="B1992" i="1"/>
  <c r="I1105" i="1"/>
  <c r="E1106" i="1" s="1"/>
  <c r="B1993" i="1" l="1"/>
  <c r="C1992" i="1"/>
  <c r="D1992" i="1" s="1"/>
  <c r="H1106" i="1"/>
  <c r="F1106" i="1"/>
  <c r="J1106" i="1"/>
  <c r="G1106" i="1" s="1"/>
  <c r="B1994" i="1" l="1"/>
  <c r="C1993" i="1"/>
  <c r="D1993" i="1" s="1"/>
  <c r="I1106" i="1"/>
  <c r="E1107" i="1" s="1"/>
  <c r="C1994" i="1" l="1"/>
  <c r="D1994" i="1" s="1"/>
  <c r="B1995" i="1"/>
  <c r="H1107" i="1"/>
  <c r="J1107" i="1"/>
  <c r="G1107" i="1" s="1"/>
  <c r="F1107" i="1"/>
  <c r="C1995" i="1" l="1"/>
  <c r="D1995" i="1" s="1"/>
  <c r="B1996" i="1"/>
  <c r="I1107" i="1"/>
  <c r="E1108" i="1" s="1"/>
  <c r="C1996" i="1" l="1"/>
  <c r="D1996" i="1" s="1"/>
  <c r="B1997" i="1"/>
  <c r="F1108" i="1"/>
  <c r="H1108" i="1"/>
  <c r="J1108" i="1"/>
  <c r="G1108" i="1" s="1"/>
  <c r="C1997" i="1" l="1"/>
  <c r="D1997" i="1" s="1"/>
  <c r="B1998" i="1"/>
  <c r="I1108" i="1"/>
  <c r="E1109" i="1" s="1"/>
  <c r="C1998" i="1" l="1"/>
  <c r="D1998" i="1" s="1"/>
  <c r="B1999" i="1"/>
  <c r="J1109" i="1"/>
  <c r="G1109" i="1" s="1"/>
  <c r="H1109" i="1"/>
  <c r="F1109" i="1"/>
  <c r="C1999" i="1" l="1"/>
  <c r="D1999" i="1" s="1"/>
  <c r="B2000" i="1"/>
  <c r="I1109" i="1"/>
  <c r="E1110" i="1" s="1"/>
  <c r="B2001" i="1" l="1"/>
  <c r="C2000" i="1"/>
  <c r="D2000" i="1" s="1"/>
  <c r="J1110" i="1"/>
  <c r="G1110" i="1" s="1"/>
  <c r="H1110" i="1"/>
  <c r="F1110" i="1"/>
  <c r="C2001" i="1" l="1"/>
  <c r="D2001" i="1" s="1"/>
  <c r="B2002" i="1"/>
  <c r="I1110" i="1"/>
  <c r="E1111" i="1" s="1"/>
  <c r="B2003" i="1" l="1"/>
  <c r="C2002" i="1"/>
  <c r="D2002" i="1" s="1"/>
  <c r="J1111" i="1"/>
  <c r="G1111" i="1" s="1"/>
  <c r="F1111" i="1"/>
  <c r="H1111" i="1"/>
  <c r="C2003" i="1" l="1"/>
  <c r="D2003" i="1" s="1"/>
  <c r="B2004" i="1"/>
  <c r="I1111" i="1"/>
  <c r="E1112" i="1" s="1"/>
  <c r="C2004" i="1" l="1"/>
  <c r="D2004" i="1" s="1"/>
  <c r="B2005" i="1"/>
  <c r="H1112" i="1"/>
  <c r="J1112" i="1"/>
  <c r="G1112" i="1" s="1"/>
  <c r="F1112" i="1"/>
  <c r="C2005" i="1" l="1"/>
  <c r="D2005" i="1" s="1"/>
  <c r="B2006" i="1"/>
  <c r="I1112" i="1"/>
  <c r="E1113" i="1" s="1"/>
  <c r="C2006" i="1" l="1"/>
  <c r="D2006" i="1" s="1"/>
  <c r="B2007" i="1"/>
  <c r="H1113" i="1"/>
  <c r="J1113" i="1"/>
  <c r="G1113" i="1" s="1"/>
  <c r="F1113" i="1"/>
  <c r="C2007" i="1" l="1"/>
  <c r="D2007" i="1" s="1"/>
  <c r="B2008" i="1"/>
  <c r="I1113" i="1"/>
  <c r="E1114" i="1" s="1"/>
  <c r="B2009" i="1" l="1"/>
  <c r="C2008" i="1"/>
  <c r="D2008" i="1" s="1"/>
  <c r="J1114" i="1"/>
  <c r="G1114" i="1" s="1"/>
  <c r="F1114" i="1"/>
  <c r="H1114" i="1"/>
  <c r="C2009" i="1" l="1"/>
  <c r="D2009" i="1" s="1"/>
  <c r="B2010" i="1"/>
  <c r="I1114" i="1"/>
  <c r="E1115" i="1" s="1"/>
  <c r="C2010" i="1" l="1"/>
  <c r="D2010" i="1" s="1"/>
  <c r="B2011" i="1"/>
  <c r="F1115" i="1"/>
  <c r="J1115" i="1"/>
  <c r="G1115" i="1" s="1"/>
  <c r="H1115" i="1"/>
  <c r="I1115" i="1" l="1"/>
  <c r="E1116" i="1" s="1"/>
  <c r="C2011" i="1"/>
  <c r="D2011" i="1" s="1"/>
  <c r="B2012" i="1"/>
  <c r="J1116" i="1"/>
  <c r="G1116" i="1" s="1"/>
  <c r="F1116" i="1"/>
  <c r="H1116" i="1"/>
  <c r="B2013" i="1" l="1"/>
  <c r="C2012" i="1"/>
  <c r="D2012" i="1" s="1"/>
  <c r="I1116" i="1"/>
  <c r="E1117" i="1" s="1"/>
  <c r="C2013" i="1" l="1"/>
  <c r="D2013" i="1" s="1"/>
  <c r="B2014" i="1"/>
  <c r="H1117" i="1"/>
  <c r="F1117" i="1"/>
  <c r="J1117" i="1"/>
  <c r="G1117" i="1" s="1"/>
  <c r="C2014" i="1" l="1"/>
  <c r="D2014" i="1" s="1"/>
  <c r="B2015" i="1"/>
  <c r="I1117" i="1"/>
  <c r="E1118" i="1" s="1"/>
  <c r="C2015" i="1" l="1"/>
  <c r="D2015" i="1" s="1"/>
  <c r="B2016" i="1"/>
  <c r="H1118" i="1"/>
  <c r="F1118" i="1"/>
  <c r="J1118" i="1"/>
  <c r="G1118" i="1" s="1"/>
  <c r="C2016" i="1" l="1"/>
  <c r="D2016" i="1" s="1"/>
  <c r="B2017" i="1"/>
  <c r="I1118" i="1"/>
  <c r="E1119" i="1" s="1"/>
  <c r="B2018" i="1" l="1"/>
  <c r="C2017" i="1"/>
  <c r="D2017" i="1" s="1"/>
  <c r="H1119" i="1"/>
  <c r="J1119" i="1"/>
  <c r="G1119" i="1" s="1"/>
  <c r="F1119" i="1"/>
  <c r="B2019" i="1" l="1"/>
  <c r="C2018" i="1"/>
  <c r="D2018" i="1" s="1"/>
  <c r="I1119" i="1"/>
  <c r="E1120" i="1" s="1"/>
  <c r="C2019" i="1" l="1"/>
  <c r="D2019" i="1" s="1"/>
  <c r="B2020" i="1"/>
  <c r="H1120" i="1"/>
  <c r="J1120" i="1"/>
  <c r="G1120" i="1" s="1"/>
  <c r="F1120" i="1"/>
  <c r="C2020" i="1" l="1"/>
  <c r="D2020" i="1" s="1"/>
  <c r="B2021" i="1"/>
  <c r="I1120" i="1"/>
  <c r="E1121" i="1" s="1"/>
  <c r="C2021" i="1" l="1"/>
  <c r="D2021" i="1" s="1"/>
  <c r="B2022" i="1"/>
  <c r="J1121" i="1"/>
  <c r="G1121" i="1" s="1"/>
  <c r="F1121" i="1"/>
  <c r="H1121" i="1"/>
  <c r="C2022" i="1" l="1"/>
  <c r="D2022" i="1" s="1"/>
  <c r="B2023" i="1"/>
  <c r="I1121" i="1"/>
  <c r="E1122" i="1" s="1"/>
  <c r="C2023" i="1" l="1"/>
  <c r="D2023" i="1" s="1"/>
  <c r="B2024" i="1"/>
  <c r="J1122" i="1"/>
  <c r="G1122" i="1" s="1"/>
  <c r="H1122" i="1"/>
  <c r="F1122" i="1"/>
  <c r="B2025" i="1" l="1"/>
  <c r="C2024" i="1"/>
  <c r="D2024" i="1" s="1"/>
  <c r="I1122" i="1"/>
  <c r="E1123" i="1" s="1"/>
  <c r="B2026" i="1" l="1"/>
  <c r="C2025" i="1"/>
  <c r="D2025" i="1" s="1"/>
  <c r="H1123" i="1"/>
  <c r="J1123" i="1"/>
  <c r="G1123" i="1" s="1"/>
  <c r="F1123" i="1"/>
  <c r="C2026" i="1" l="1"/>
  <c r="D2026" i="1" s="1"/>
  <c r="B2027" i="1"/>
  <c r="I1123" i="1"/>
  <c r="E1124" i="1" s="1"/>
  <c r="C2027" i="1" l="1"/>
  <c r="D2027" i="1" s="1"/>
  <c r="B2028" i="1"/>
  <c r="H1124" i="1"/>
  <c r="J1124" i="1"/>
  <c r="G1124" i="1" s="1"/>
  <c r="F1124" i="1"/>
  <c r="I1124" i="1" l="1"/>
  <c r="E1125" i="1" s="1"/>
  <c r="C2028" i="1"/>
  <c r="D2028" i="1" s="1"/>
  <c r="B2029" i="1"/>
  <c r="J1125" i="1"/>
  <c r="G1125" i="1" s="1"/>
  <c r="H1125" i="1"/>
  <c r="F1125" i="1"/>
  <c r="C2029" i="1" l="1"/>
  <c r="D2029" i="1" s="1"/>
  <c r="B2030" i="1"/>
  <c r="I1125" i="1"/>
  <c r="E1126" i="1" s="1"/>
  <c r="C2030" i="1" l="1"/>
  <c r="D2030" i="1" s="1"/>
  <c r="B2031" i="1"/>
  <c r="H1126" i="1"/>
  <c r="J1126" i="1"/>
  <c r="G1126" i="1" s="1"/>
  <c r="F1126" i="1"/>
  <c r="C2031" i="1" l="1"/>
  <c r="D2031" i="1" s="1"/>
  <c r="B2032" i="1"/>
  <c r="I1126" i="1"/>
  <c r="E1127" i="1" s="1"/>
  <c r="C2032" i="1" l="1"/>
  <c r="D2032" i="1" s="1"/>
  <c r="B2033" i="1"/>
  <c r="H1127" i="1"/>
  <c r="J1127" i="1"/>
  <c r="G1127" i="1" s="1"/>
  <c r="F1127" i="1"/>
  <c r="C2033" i="1" l="1"/>
  <c r="D2033" i="1" s="1"/>
  <c r="B2034" i="1"/>
  <c r="I1127" i="1"/>
  <c r="E1128" i="1" s="1"/>
  <c r="C2034" i="1" l="1"/>
  <c r="D2034" i="1" s="1"/>
  <c r="B2035" i="1"/>
  <c r="J1128" i="1"/>
  <c r="G1128" i="1" s="1"/>
  <c r="H1128" i="1"/>
  <c r="F1128" i="1"/>
  <c r="C2035" i="1" l="1"/>
  <c r="D2035" i="1" s="1"/>
  <c r="B2036" i="1"/>
  <c r="I1128" i="1"/>
  <c r="E1129" i="1" s="1"/>
  <c r="C2036" i="1" l="1"/>
  <c r="D2036" i="1" s="1"/>
  <c r="B2037" i="1"/>
  <c r="J1129" i="1"/>
  <c r="G1129" i="1" s="1"/>
  <c r="F1129" i="1"/>
  <c r="H1129" i="1"/>
  <c r="C2037" i="1" l="1"/>
  <c r="D2037" i="1" s="1"/>
  <c r="B2038" i="1"/>
  <c r="I1129" i="1"/>
  <c r="E1130" i="1" s="1"/>
  <c r="B2039" i="1" l="1"/>
  <c r="C2038" i="1"/>
  <c r="D2038" i="1" s="1"/>
  <c r="H1130" i="1"/>
  <c r="F1130" i="1"/>
  <c r="J1130" i="1"/>
  <c r="G1130" i="1" s="1"/>
  <c r="C2039" i="1" l="1"/>
  <c r="D2039" i="1" s="1"/>
  <c r="B2040" i="1"/>
  <c r="I1130" i="1"/>
  <c r="E1131" i="1" s="1"/>
  <c r="C2040" i="1" l="1"/>
  <c r="D2040" i="1" s="1"/>
  <c r="B2041" i="1"/>
  <c r="H1131" i="1"/>
  <c r="F1131" i="1"/>
  <c r="J1131" i="1"/>
  <c r="G1131" i="1" s="1"/>
  <c r="C2041" i="1" l="1"/>
  <c r="D2041" i="1" s="1"/>
  <c r="B2042" i="1"/>
  <c r="I1131" i="1"/>
  <c r="E1132" i="1" s="1"/>
  <c r="C2042" i="1" l="1"/>
  <c r="D2042" i="1" s="1"/>
  <c r="B2043" i="1"/>
  <c r="H1132" i="1"/>
  <c r="J1132" i="1"/>
  <c r="G1132" i="1" s="1"/>
  <c r="F1132" i="1"/>
  <c r="C2043" i="1" l="1"/>
  <c r="D2043" i="1" s="1"/>
  <c r="B2044" i="1"/>
  <c r="I1132" i="1"/>
  <c r="E1133" i="1" s="1"/>
  <c r="C2044" i="1" l="1"/>
  <c r="D2044" i="1" s="1"/>
  <c r="B2045" i="1"/>
  <c r="F1133" i="1"/>
  <c r="J1133" i="1"/>
  <c r="G1133" i="1" s="1"/>
  <c r="H1133" i="1"/>
  <c r="I1133" i="1" s="1"/>
  <c r="E1134" i="1" s="1"/>
  <c r="C2045" i="1" l="1"/>
  <c r="D2045" i="1" s="1"/>
  <c r="B2046" i="1"/>
  <c r="F1134" i="1"/>
  <c r="H1134" i="1"/>
  <c r="J1134" i="1"/>
  <c r="G1134" i="1" s="1"/>
  <c r="I1134" i="1" l="1"/>
  <c r="E1135" i="1" s="1"/>
  <c r="C2046" i="1"/>
  <c r="D2046" i="1" s="1"/>
  <c r="B2047" i="1"/>
  <c r="H1135" i="1"/>
  <c r="J1135" i="1"/>
  <c r="G1135" i="1" s="1"/>
  <c r="F1135" i="1"/>
  <c r="C2047" i="1" l="1"/>
  <c r="D2047" i="1" s="1"/>
  <c r="B2048" i="1"/>
  <c r="I1135" i="1"/>
  <c r="E1136" i="1" s="1"/>
  <c r="B2049" i="1" l="1"/>
  <c r="C2048" i="1"/>
  <c r="D2048" i="1" s="1"/>
  <c r="J1136" i="1"/>
  <c r="G1136" i="1" s="1"/>
  <c r="H1136" i="1"/>
  <c r="F1136" i="1"/>
  <c r="C2049" i="1" l="1"/>
  <c r="D2049" i="1" s="1"/>
  <c r="B2050" i="1"/>
  <c r="I1136" i="1"/>
  <c r="E1137" i="1" s="1"/>
  <c r="B2051" i="1" l="1"/>
  <c r="C2050" i="1"/>
  <c r="D2050" i="1" s="1"/>
  <c r="H1137" i="1"/>
  <c r="F1137" i="1"/>
  <c r="J1137" i="1"/>
  <c r="G1137" i="1" s="1"/>
  <c r="C2051" i="1" l="1"/>
  <c r="D2051" i="1" s="1"/>
  <c r="B2052" i="1"/>
  <c r="I1137" i="1"/>
  <c r="E1138" i="1" s="1"/>
  <c r="B2053" i="1" l="1"/>
  <c r="C2052" i="1"/>
  <c r="D2052" i="1" s="1"/>
  <c r="J1138" i="1"/>
  <c r="G1138" i="1" s="1"/>
  <c r="H1138" i="1"/>
  <c r="F1138" i="1"/>
  <c r="B2054" i="1" l="1"/>
  <c r="C2053" i="1"/>
  <c r="D2053" i="1" s="1"/>
  <c r="I1138" i="1"/>
  <c r="E1139" i="1" s="1"/>
  <c r="C2054" i="1" l="1"/>
  <c r="D2054" i="1" s="1"/>
  <c r="B2055" i="1"/>
  <c r="H1139" i="1"/>
  <c r="J1139" i="1"/>
  <c r="G1139" i="1" s="1"/>
  <c r="F1139" i="1"/>
  <c r="C2055" i="1" l="1"/>
  <c r="D2055" i="1" s="1"/>
  <c r="B2056" i="1"/>
  <c r="I1139" i="1"/>
  <c r="E1140" i="1" s="1"/>
  <c r="C2056" i="1" l="1"/>
  <c r="D2056" i="1" s="1"/>
  <c r="B2057" i="1"/>
  <c r="H1140" i="1"/>
  <c r="F1140" i="1"/>
  <c r="J1140" i="1"/>
  <c r="G1140" i="1" s="1"/>
  <c r="B2058" i="1" l="1"/>
  <c r="C2057" i="1"/>
  <c r="D2057" i="1" s="1"/>
  <c r="I1140" i="1"/>
  <c r="E1141" i="1" s="1"/>
  <c r="C2058" i="1" l="1"/>
  <c r="D2058" i="1" s="1"/>
  <c r="B2059" i="1"/>
  <c r="H1141" i="1"/>
  <c r="J1141" i="1"/>
  <c r="G1141" i="1" s="1"/>
  <c r="F1141" i="1"/>
  <c r="C2059" i="1" l="1"/>
  <c r="D2059" i="1" s="1"/>
  <c r="B2060" i="1"/>
  <c r="I1141" i="1"/>
  <c r="E1142" i="1" s="1"/>
  <c r="B2061" i="1" l="1"/>
  <c r="C2060" i="1"/>
  <c r="D2060" i="1" s="1"/>
  <c r="H1142" i="1"/>
  <c r="J1142" i="1"/>
  <c r="G1142" i="1" s="1"/>
  <c r="F1142" i="1"/>
  <c r="C2061" i="1" l="1"/>
  <c r="D2061" i="1" s="1"/>
  <c r="B2062" i="1"/>
  <c r="I1142" i="1"/>
  <c r="E1143" i="1" s="1"/>
  <c r="C2062" i="1" l="1"/>
  <c r="D2062" i="1" s="1"/>
  <c r="B2063" i="1"/>
  <c r="J1143" i="1"/>
  <c r="G1143" i="1" s="1"/>
  <c r="H1143" i="1"/>
  <c r="F1143" i="1"/>
  <c r="C2063" i="1" l="1"/>
  <c r="D2063" i="1" s="1"/>
  <c r="B2064" i="1"/>
  <c r="I1143" i="1"/>
  <c r="E1144" i="1" s="1"/>
  <c r="C2064" i="1" l="1"/>
  <c r="D2064" i="1" s="1"/>
  <c r="B2065" i="1"/>
  <c r="J1144" i="1"/>
  <c r="G1144" i="1" s="1"/>
  <c r="F1144" i="1"/>
  <c r="H1144" i="1"/>
  <c r="C2065" i="1" l="1"/>
  <c r="D2065" i="1" s="1"/>
  <c r="B2066" i="1"/>
  <c r="I1144" i="1"/>
  <c r="E1145" i="1" s="1"/>
  <c r="B2067" i="1" l="1"/>
  <c r="C2066" i="1"/>
  <c r="D2066" i="1" s="1"/>
  <c r="H1145" i="1"/>
  <c r="F1145" i="1"/>
  <c r="J1145" i="1"/>
  <c r="G1145" i="1" s="1"/>
  <c r="C2067" i="1" l="1"/>
  <c r="D2067" i="1" s="1"/>
  <c r="B2068" i="1"/>
  <c r="I1145" i="1"/>
  <c r="E1146" i="1" s="1"/>
  <c r="C2068" i="1" l="1"/>
  <c r="D2068" i="1" s="1"/>
  <c r="B2069" i="1"/>
  <c r="J1146" i="1"/>
  <c r="G1146" i="1" s="1"/>
  <c r="H1146" i="1"/>
  <c r="F1146" i="1"/>
  <c r="C2069" i="1" l="1"/>
  <c r="D2069" i="1" s="1"/>
  <c r="B2070" i="1"/>
  <c r="I1146" i="1"/>
  <c r="E1147" i="1" s="1"/>
  <c r="C2070" i="1" l="1"/>
  <c r="D2070" i="1" s="1"/>
  <c r="B2071" i="1"/>
  <c r="J1147" i="1"/>
  <c r="G1147" i="1" s="1"/>
  <c r="F1147" i="1"/>
  <c r="H1147" i="1"/>
  <c r="C2071" i="1" l="1"/>
  <c r="D2071" i="1" s="1"/>
  <c r="B2072" i="1"/>
  <c r="I1147" i="1"/>
  <c r="E1148" i="1" s="1"/>
  <c r="C2072" i="1" l="1"/>
  <c r="D2072" i="1" s="1"/>
  <c r="B2073" i="1"/>
  <c r="H1148" i="1"/>
  <c r="F1148" i="1"/>
  <c r="J1148" i="1"/>
  <c r="G1148" i="1" s="1"/>
  <c r="C2073" i="1" l="1"/>
  <c r="D2073" i="1" s="1"/>
  <c r="B2074" i="1"/>
  <c r="I1148" i="1"/>
  <c r="E1149" i="1" s="1"/>
  <c r="B2075" i="1" l="1"/>
  <c r="C2074" i="1"/>
  <c r="D2074" i="1" s="1"/>
  <c r="H1149" i="1"/>
  <c r="J1149" i="1"/>
  <c r="G1149" i="1" s="1"/>
  <c r="F1149" i="1"/>
  <c r="C2075" i="1" l="1"/>
  <c r="D2075" i="1" s="1"/>
  <c r="B2076" i="1"/>
  <c r="I1149" i="1"/>
  <c r="E1150" i="1" s="1"/>
  <c r="C2076" i="1" l="1"/>
  <c r="D2076" i="1" s="1"/>
  <c r="B2077" i="1"/>
  <c r="H1150" i="1"/>
  <c r="F1150" i="1"/>
  <c r="J1150" i="1"/>
  <c r="G1150" i="1" s="1"/>
  <c r="C2077" i="1" l="1"/>
  <c r="D2077" i="1" s="1"/>
  <c r="B2078" i="1"/>
  <c r="I1150" i="1"/>
  <c r="E1151" i="1" s="1"/>
  <c r="C2078" i="1" l="1"/>
  <c r="D2078" i="1" s="1"/>
  <c r="B2079" i="1"/>
  <c r="F1151" i="1"/>
  <c r="J1151" i="1"/>
  <c r="G1151" i="1" s="1"/>
  <c r="H1151" i="1"/>
  <c r="I1151" i="1" s="1"/>
  <c r="E1152" i="1" s="1"/>
  <c r="C2079" i="1" l="1"/>
  <c r="D2079" i="1" s="1"/>
  <c r="B2080" i="1"/>
  <c r="J1152" i="1"/>
  <c r="G1152" i="1" s="1"/>
  <c r="F1152" i="1"/>
  <c r="H1152" i="1"/>
  <c r="C2080" i="1" l="1"/>
  <c r="D2080" i="1" s="1"/>
  <c r="B2081" i="1"/>
  <c r="I1152" i="1"/>
  <c r="E1153" i="1" s="1"/>
  <c r="B2082" i="1" l="1"/>
  <c r="C2081" i="1"/>
  <c r="D2081" i="1" s="1"/>
  <c r="H1153" i="1"/>
  <c r="J1153" i="1"/>
  <c r="G1153" i="1" s="1"/>
  <c r="F1153" i="1"/>
  <c r="C2082" i="1" l="1"/>
  <c r="D2082" i="1" s="1"/>
  <c r="B2083" i="1"/>
  <c r="I1153" i="1"/>
  <c r="E1154" i="1" s="1"/>
  <c r="C2083" i="1" l="1"/>
  <c r="D2083" i="1" s="1"/>
  <c r="B2084" i="1"/>
  <c r="H1154" i="1"/>
  <c r="J1154" i="1"/>
  <c r="G1154" i="1" s="1"/>
  <c r="F1154" i="1"/>
  <c r="I1154" i="1" l="1"/>
  <c r="E1155" i="1" s="1"/>
  <c r="C2084" i="1"/>
  <c r="D2084" i="1" s="1"/>
  <c r="B2085" i="1"/>
  <c r="H1155" i="1"/>
  <c r="J1155" i="1"/>
  <c r="G1155" i="1" s="1"/>
  <c r="F1155" i="1"/>
  <c r="C2085" i="1" l="1"/>
  <c r="D2085" i="1" s="1"/>
  <c r="B2086" i="1"/>
  <c r="I1155" i="1"/>
  <c r="E1156" i="1" s="1"/>
  <c r="C2086" i="1" l="1"/>
  <c r="D2086" i="1" s="1"/>
  <c r="B2087" i="1"/>
  <c r="J1156" i="1"/>
  <c r="G1156" i="1" s="1"/>
  <c r="H1156" i="1"/>
  <c r="F1156" i="1"/>
  <c r="C2087" i="1" l="1"/>
  <c r="D2087" i="1" s="1"/>
  <c r="B2088" i="1"/>
  <c r="I1156" i="1"/>
  <c r="E1157" i="1" s="1"/>
  <c r="C2088" i="1" l="1"/>
  <c r="D2088" i="1" s="1"/>
  <c r="B2089" i="1"/>
  <c r="J1157" i="1"/>
  <c r="G1157" i="1" s="1"/>
  <c r="H1157" i="1"/>
  <c r="F1157" i="1"/>
  <c r="C2089" i="1" l="1"/>
  <c r="D2089" i="1" s="1"/>
  <c r="B2090" i="1"/>
  <c r="I1157" i="1"/>
  <c r="E1158" i="1" s="1"/>
  <c r="B2091" i="1" l="1"/>
  <c r="C2090" i="1"/>
  <c r="D2090" i="1" s="1"/>
  <c r="J1158" i="1"/>
  <c r="G1158" i="1" s="1"/>
  <c r="H1158" i="1"/>
  <c r="F1158" i="1"/>
  <c r="C2091" i="1" l="1"/>
  <c r="D2091" i="1" s="1"/>
  <c r="B2092" i="1"/>
  <c r="I1158" i="1"/>
  <c r="E1159" i="1" s="1"/>
  <c r="B2093" i="1" l="1"/>
  <c r="C2092" i="1"/>
  <c r="D2092" i="1" s="1"/>
  <c r="J1159" i="1"/>
  <c r="G1159" i="1" s="1"/>
  <c r="H1159" i="1"/>
  <c r="F1159" i="1"/>
  <c r="C2093" i="1" l="1"/>
  <c r="D2093" i="1" s="1"/>
  <c r="B2094" i="1"/>
  <c r="I1159" i="1"/>
  <c r="E1160" i="1" s="1"/>
  <c r="C2094" i="1" l="1"/>
  <c r="D2094" i="1" s="1"/>
  <c r="B2095" i="1"/>
  <c r="H1160" i="1"/>
  <c r="J1160" i="1"/>
  <c r="G1160" i="1" s="1"/>
  <c r="F1160" i="1"/>
  <c r="B2096" i="1" l="1"/>
  <c r="C2095" i="1"/>
  <c r="D2095" i="1" s="1"/>
  <c r="I1160" i="1"/>
  <c r="E1161" i="1" s="1"/>
  <c r="C2096" i="1" l="1"/>
  <c r="D2096" i="1" s="1"/>
  <c r="B2097" i="1"/>
  <c r="J1161" i="1"/>
  <c r="G1161" i="1" s="1"/>
  <c r="H1161" i="1"/>
  <c r="F1161" i="1"/>
  <c r="C2097" i="1" l="1"/>
  <c r="D2097" i="1" s="1"/>
  <c r="B2098" i="1"/>
  <c r="I1161" i="1"/>
  <c r="E1162" i="1" s="1"/>
  <c r="C2098" i="1" l="1"/>
  <c r="D2098" i="1" s="1"/>
  <c r="B2099" i="1"/>
  <c r="J1162" i="1"/>
  <c r="G1162" i="1" s="1"/>
  <c r="H1162" i="1"/>
  <c r="I1162" i="1" s="1"/>
  <c r="E1163" i="1" s="1"/>
  <c r="F1162" i="1"/>
  <c r="C2099" i="1" l="1"/>
  <c r="D2099" i="1" s="1"/>
  <c r="B2100" i="1"/>
  <c r="H1163" i="1"/>
  <c r="J1163" i="1"/>
  <c r="G1163" i="1" s="1"/>
  <c r="F1163" i="1"/>
  <c r="C2100" i="1" l="1"/>
  <c r="D2100" i="1" s="1"/>
  <c r="B2101" i="1"/>
  <c r="I1163" i="1"/>
  <c r="E1164" i="1" s="1"/>
  <c r="C2101" i="1" l="1"/>
  <c r="D2101" i="1" s="1"/>
  <c r="B2102" i="1"/>
  <c r="H1164" i="1"/>
  <c r="J1164" i="1"/>
  <c r="G1164" i="1" s="1"/>
  <c r="F1164" i="1"/>
  <c r="C2102" i="1" l="1"/>
  <c r="D2102" i="1" s="1"/>
  <c r="B2103" i="1"/>
  <c r="I1164" i="1"/>
  <c r="E1165" i="1" s="1"/>
  <c r="C2103" i="1" l="1"/>
  <c r="D2103" i="1" s="1"/>
  <c r="B2104" i="1"/>
  <c r="F1165" i="1"/>
  <c r="H1165" i="1"/>
  <c r="J1165" i="1"/>
  <c r="G1165" i="1" s="1"/>
  <c r="B2105" i="1" l="1"/>
  <c r="C2104" i="1"/>
  <c r="D2104" i="1" s="1"/>
  <c r="I1165" i="1"/>
  <c r="E1166" i="1" s="1"/>
  <c r="C2105" i="1" l="1"/>
  <c r="D2105" i="1" s="1"/>
  <c r="B2106" i="1"/>
  <c r="H1166" i="1"/>
  <c r="F1166" i="1"/>
  <c r="J1166" i="1"/>
  <c r="G1166" i="1" s="1"/>
  <c r="B2107" i="1" l="1"/>
  <c r="C2106" i="1"/>
  <c r="D2106" i="1" s="1"/>
  <c r="I1166" i="1"/>
  <c r="E1167" i="1" s="1"/>
  <c r="B2108" i="1" l="1"/>
  <c r="C2107" i="1"/>
  <c r="D2107" i="1" s="1"/>
  <c r="H1167" i="1"/>
  <c r="F1167" i="1"/>
  <c r="J1167" i="1"/>
  <c r="G1167" i="1" s="1"/>
  <c r="B2109" i="1" l="1"/>
  <c r="C2108" i="1"/>
  <c r="D2108" i="1" s="1"/>
  <c r="I1167" i="1"/>
  <c r="E1168" i="1" s="1"/>
  <c r="C2109" i="1" l="1"/>
  <c r="D2109" i="1" s="1"/>
  <c r="B2110" i="1"/>
  <c r="H1168" i="1"/>
  <c r="J1168" i="1"/>
  <c r="G1168" i="1" s="1"/>
  <c r="F1168" i="1"/>
  <c r="B2111" i="1" l="1"/>
  <c r="C2110" i="1"/>
  <c r="D2110" i="1" s="1"/>
  <c r="I1168" i="1"/>
  <c r="E1169" i="1" s="1"/>
  <c r="C2111" i="1" l="1"/>
  <c r="D2111" i="1" s="1"/>
  <c r="B2112" i="1"/>
  <c r="H1169" i="1"/>
  <c r="F1169" i="1"/>
  <c r="J1169" i="1"/>
  <c r="G1169" i="1" s="1"/>
  <c r="C2112" i="1" l="1"/>
  <c r="D2112" i="1" s="1"/>
  <c r="B2113" i="1"/>
  <c r="I1169" i="1"/>
  <c r="E1170" i="1" s="1"/>
  <c r="C2113" i="1" l="1"/>
  <c r="D2113" i="1" s="1"/>
  <c r="B2114" i="1"/>
  <c r="J1170" i="1"/>
  <c r="G1170" i="1" s="1"/>
  <c r="H1170" i="1"/>
  <c r="F1170" i="1"/>
  <c r="C2114" i="1" l="1"/>
  <c r="D2114" i="1" s="1"/>
  <c r="B2115" i="1"/>
  <c r="I1170" i="1"/>
  <c r="E1171" i="1" s="1"/>
  <c r="C2115" i="1" l="1"/>
  <c r="D2115" i="1" s="1"/>
  <c r="B2116" i="1"/>
  <c r="J1171" i="1"/>
  <c r="G1171" i="1" s="1"/>
  <c r="H1171" i="1"/>
  <c r="I1171" i="1" s="1"/>
  <c r="E1172" i="1" s="1"/>
  <c r="F1171" i="1"/>
  <c r="C2116" i="1" l="1"/>
  <c r="D2116" i="1" s="1"/>
  <c r="B2117" i="1"/>
  <c r="H1172" i="1"/>
  <c r="J1172" i="1"/>
  <c r="G1172" i="1" s="1"/>
  <c r="F1172" i="1"/>
  <c r="B2118" i="1" l="1"/>
  <c r="C2117" i="1"/>
  <c r="D2117" i="1" s="1"/>
  <c r="I1172" i="1"/>
  <c r="E1173" i="1" s="1"/>
  <c r="C2118" i="1" l="1"/>
  <c r="D2118" i="1" s="1"/>
  <c r="B2119" i="1"/>
  <c r="H1173" i="1"/>
  <c r="J1173" i="1"/>
  <c r="G1173" i="1" s="1"/>
  <c r="F1173" i="1"/>
  <c r="B2120" i="1" l="1"/>
  <c r="C2119" i="1"/>
  <c r="D2119" i="1" s="1"/>
  <c r="I1173" i="1"/>
  <c r="E1174" i="1" s="1"/>
  <c r="C2120" i="1" l="1"/>
  <c r="D2120" i="1" s="1"/>
  <c r="B2121" i="1"/>
  <c r="H1174" i="1"/>
  <c r="J1174" i="1"/>
  <c r="G1174" i="1" s="1"/>
  <c r="F1174" i="1"/>
  <c r="C2121" i="1" l="1"/>
  <c r="D2121" i="1" s="1"/>
  <c r="B2122" i="1"/>
  <c r="I1174" i="1"/>
  <c r="E1175" i="1" s="1"/>
  <c r="B2123" i="1" l="1"/>
  <c r="C2122" i="1"/>
  <c r="D2122" i="1" s="1"/>
  <c r="J1175" i="1"/>
  <c r="G1175" i="1" s="1"/>
  <c r="F1175" i="1"/>
  <c r="H1175" i="1"/>
  <c r="I1175" i="1" s="1"/>
  <c r="E1176" i="1" s="1"/>
  <c r="C2123" i="1" l="1"/>
  <c r="D2123" i="1" s="1"/>
  <c r="B2124" i="1"/>
  <c r="H1176" i="1"/>
  <c r="J1176" i="1"/>
  <c r="G1176" i="1" s="1"/>
  <c r="F1176" i="1"/>
  <c r="C2124" i="1" l="1"/>
  <c r="D2124" i="1" s="1"/>
  <c r="B2125" i="1"/>
  <c r="I1176" i="1"/>
  <c r="E1177" i="1" s="1"/>
  <c r="B2126" i="1" l="1"/>
  <c r="C2125" i="1"/>
  <c r="D2125" i="1" s="1"/>
  <c r="H1177" i="1"/>
  <c r="J1177" i="1"/>
  <c r="G1177" i="1" s="1"/>
  <c r="F1177" i="1"/>
  <c r="B2127" i="1" l="1"/>
  <c r="C2126" i="1"/>
  <c r="D2126" i="1" s="1"/>
  <c r="I1177" i="1"/>
  <c r="E1178" i="1" s="1"/>
  <c r="C2127" i="1" l="1"/>
  <c r="D2127" i="1" s="1"/>
  <c r="B2128" i="1"/>
  <c r="H1178" i="1"/>
  <c r="J1178" i="1"/>
  <c r="G1178" i="1" s="1"/>
  <c r="F1178" i="1"/>
  <c r="C2128" i="1" l="1"/>
  <c r="D2128" i="1" s="1"/>
  <c r="B2129" i="1"/>
  <c r="I1178" i="1"/>
  <c r="E1179" i="1" s="1"/>
  <c r="C2129" i="1" l="1"/>
  <c r="D2129" i="1" s="1"/>
  <c r="B2130" i="1"/>
  <c r="J1179" i="1"/>
  <c r="G1179" i="1" s="1"/>
  <c r="H1179" i="1"/>
  <c r="F1179" i="1"/>
  <c r="C2130" i="1" l="1"/>
  <c r="D2130" i="1" s="1"/>
  <c r="B2131" i="1"/>
  <c r="I1179" i="1"/>
  <c r="E1180" i="1" s="1"/>
  <c r="C2131" i="1" l="1"/>
  <c r="D2131" i="1" s="1"/>
  <c r="B2132" i="1"/>
  <c r="H1180" i="1"/>
  <c r="J1180" i="1"/>
  <c r="G1180" i="1" s="1"/>
  <c r="F1180" i="1"/>
  <c r="C2132" i="1" l="1"/>
  <c r="D2132" i="1" s="1"/>
  <c r="B2133" i="1"/>
  <c r="I1180" i="1"/>
  <c r="E1181" i="1" s="1"/>
  <c r="C2133" i="1" l="1"/>
  <c r="D2133" i="1" s="1"/>
  <c r="B2134" i="1"/>
  <c r="H1181" i="1"/>
  <c r="J1181" i="1"/>
  <c r="G1181" i="1" s="1"/>
  <c r="F1181" i="1"/>
  <c r="C2134" i="1" l="1"/>
  <c r="D2134" i="1" s="1"/>
  <c r="B2135" i="1"/>
  <c r="I1181" i="1"/>
  <c r="E1182" i="1" s="1"/>
  <c r="C2135" i="1" l="1"/>
  <c r="D2135" i="1" s="1"/>
  <c r="B2136" i="1"/>
  <c r="F1182" i="1"/>
  <c r="H1182" i="1"/>
  <c r="J1182" i="1"/>
  <c r="G1182" i="1" s="1"/>
  <c r="C2136" i="1" l="1"/>
  <c r="D2136" i="1" s="1"/>
  <c r="B2137" i="1"/>
  <c r="I1182" i="1"/>
  <c r="E1183" i="1" s="1"/>
  <c r="B2138" i="1" l="1"/>
  <c r="C2137" i="1"/>
  <c r="D2137" i="1" s="1"/>
  <c r="J1183" i="1"/>
  <c r="G1183" i="1" s="1"/>
  <c r="H1183" i="1"/>
  <c r="F1183" i="1"/>
  <c r="C2138" i="1" l="1"/>
  <c r="D2138" i="1" s="1"/>
  <c r="B2139" i="1"/>
  <c r="I1183" i="1"/>
  <c r="E1184" i="1" s="1"/>
  <c r="C2139" i="1" l="1"/>
  <c r="D2139" i="1" s="1"/>
  <c r="B2140" i="1"/>
  <c r="H1184" i="1"/>
  <c r="J1184" i="1"/>
  <c r="G1184" i="1" s="1"/>
  <c r="F1184" i="1"/>
  <c r="C2140" i="1" l="1"/>
  <c r="D2140" i="1" s="1"/>
  <c r="B2141" i="1"/>
  <c r="I1184" i="1"/>
  <c r="E1185" i="1" s="1"/>
  <c r="C2141" i="1" l="1"/>
  <c r="D2141" i="1" s="1"/>
  <c r="B2142" i="1"/>
  <c r="J1185" i="1"/>
  <c r="G1185" i="1" s="1"/>
  <c r="H1185" i="1"/>
  <c r="F1185" i="1"/>
  <c r="C2142" i="1" l="1"/>
  <c r="D2142" i="1" s="1"/>
  <c r="B2143" i="1"/>
  <c r="I1185" i="1"/>
  <c r="E1186" i="1" s="1"/>
  <c r="C2143" i="1" l="1"/>
  <c r="D2143" i="1" s="1"/>
  <c r="B2144" i="1"/>
  <c r="F1186" i="1"/>
  <c r="H1186" i="1"/>
  <c r="J1186" i="1"/>
  <c r="G1186" i="1" s="1"/>
  <c r="C2144" i="1" l="1"/>
  <c r="D2144" i="1" s="1"/>
  <c r="B2145" i="1"/>
  <c r="I1186" i="1"/>
  <c r="E1187" i="1" s="1"/>
  <c r="B2146" i="1" l="1"/>
  <c r="C2145" i="1"/>
  <c r="D2145" i="1" s="1"/>
  <c r="J1187" i="1"/>
  <c r="G1187" i="1" s="1"/>
  <c r="H1187" i="1"/>
  <c r="F1187" i="1"/>
  <c r="B2147" i="1" l="1"/>
  <c r="C2146" i="1"/>
  <c r="D2146" i="1" s="1"/>
  <c r="I1187" i="1"/>
  <c r="E1188" i="1" s="1"/>
  <c r="C2147" i="1" l="1"/>
  <c r="D2147" i="1" s="1"/>
  <c r="B2148" i="1"/>
  <c r="J1188" i="1"/>
  <c r="G1188" i="1" s="1"/>
  <c r="H1188" i="1"/>
  <c r="F1188" i="1"/>
  <c r="C2148" i="1" l="1"/>
  <c r="D2148" i="1" s="1"/>
  <c r="B2149" i="1"/>
  <c r="I1188" i="1"/>
  <c r="E1189" i="1" s="1"/>
  <c r="C2149" i="1" l="1"/>
  <c r="D2149" i="1" s="1"/>
  <c r="B2150" i="1"/>
  <c r="J1189" i="1"/>
  <c r="G1189" i="1" s="1"/>
  <c r="H1189" i="1"/>
  <c r="F1189" i="1"/>
  <c r="B2151" i="1" l="1"/>
  <c r="C2150" i="1"/>
  <c r="D2150" i="1" s="1"/>
  <c r="I1189" i="1"/>
  <c r="E1190" i="1" s="1"/>
  <c r="C2151" i="1" l="1"/>
  <c r="D2151" i="1" s="1"/>
  <c r="B2152" i="1"/>
  <c r="H1190" i="1"/>
  <c r="J1190" i="1"/>
  <c r="G1190" i="1" s="1"/>
  <c r="F1190" i="1"/>
  <c r="I1190" i="1" l="1"/>
  <c r="E1191" i="1" s="1"/>
  <c r="C2152" i="1"/>
  <c r="D2152" i="1" s="1"/>
  <c r="B2153" i="1"/>
  <c r="F1191" i="1"/>
  <c r="H1191" i="1"/>
  <c r="J1191" i="1"/>
  <c r="G1191" i="1" s="1"/>
  <c r="B2154" i="1" l="1"/>
  <c r="C2153" i="1"/>
  <c r="D2153" i="1" s="1"/>
  <c r="I1191" i="1"/>
  <c r="E1192" i="1" s="1"/>
  <c r="C2154" i="1" l="1"/>
  <c r="D2154" i="1" s="1"/>
  <c r="B2155" i="1"/>
  <c r="H1192" i="1"/>
  <c r="J1192" i="1"/>
  <c r="G1192" i="1" s="1"/>
  <c r="F1192" i="1"/>
  <c r="C2155" i="1" l="1"/>
  <c r="D2155" i="1" s="1"/>
  <c r="B2156" i="1"/>
  <c r="I1192" i="1"/>
  <c r="E1193" i="1" s="1"/>
  <c r="C2156" i="1" l="1"/>
  <c r="D2156" i="1" s="1"/>
  <c r="B2157" i="1"/>
  <c r="H1193" i="1"/>
  <c r="J1193" i="1"/>
  <c r="G1193" i="1" s="1"/>
  <c r="F1193" i="1"/>
  <c r="C2157" i="1" l="1"/>
  <c r="D2157" i="1" s="1"/>
  <c r="B2158" i="1"/>
  <c r="I1193" i="1"/>
  <c r="E1194" i="1" s="1"/>
  <c r="C2158" i="1" l="1"/>
  <c r="D2158" i="1" s="1"/>
  <c r="B2159" i="1"/>
  <c r="H1194" i="1"/>
  <c r="J1194" i="1"/>
  <c r="G1194" i="1" s="1"/>
  <c r="F1194" i="1"/>
  <c r="B2160" i="1" l="1"/>
  <c r="C2159" i="1"/>
  <c r="D2159" i="1" s="1"/>
  <c r="I1194" i="1"/>
  <c r="E1195" i="1" s="1"/>
  <c r="C2160" i="1" l="1"/>
  <c r="D2160" i="1" s="1"/>
  <c r="B2161" i="1"/>
  <c r="H1195" i="1"/>
  <c r="F1195" i="1"/>
  <c r="J1195" i="1"/>
  <c r="G1195" i="1" s="1"/>
  <c r="C2161" i="1" l="1"/>
  <c r="D2161" i="1" s="1"/>
  <c r="B2162" i="1"/>
  <c r="I1195" i="1"/>
  <c r="E1196" i="1" s="1"/>
  <c r="B2163" i="1" l="1"/>
  <c r="C2162" i="1"/>
  <c r="D2162" i="1" s="1"/>
  <c r="J1196" i="1"/>
  <c r="G1196" i="1" s="1"/>
  <c r="F1196" i="1"/>
  <c r="H1196" i="1"/>
  <c r="C2163" i="1" l="1"/>
  <c r="D2163" i="1" s="1"/>
  <c r="B2164" i="1"/>
  <c r="I1196" i="1"/>
  <c r="E1197" i="1" s="1"/>
  <c r="C2164" i="1" l="1"/>
  <c r="D2164" i="1" s="1"/>
  <c r="B2165" i="1"/>
  <c r="H1197" i="1"/>
  <c r="F1197" i="1"/>
  <c r="J1197" i="1"/>
  <c r="G1197" i="1" s="1"/>
  <c r="C2165" i="1" l="1"/>
  <c r="D2165" i="1" s="1"/>
  <c r="B2166" i="1"/>
  <c r="I1197" i="1"/>
  <c r="E1198" i="1" s="1"/>
  <c r="C2166" i="1" l="1"/>
  <c r="D2166" i="1" s="1"/>
  <c r="B2167" i="1"/>
  <c r="J1198" i="1"/>
  <c r="G1198" i="1" s="1"/>
  <c r="H1198" i="1"/>
  <c r="F1198" i="1"/>
  <c r="C2167" i="1" l="1"/>
  <c r="D2167" i="1" s="1"/>
  <c r="B2168" i="1"/>
  <c r="I1198" i="1"/>
  <c r="E1199" i="1" s="1"/>
  <c r="C2168" i="1" l="1"/>
  <c r="D2168" i="1" s="1"/>
  <c r="B2169" i="1"/>
  <c r="F1199" i="1"/>
  <c r="H1199" i="1"/>
  <c r="J1199" i="1"/>
  <c r="G1199" i="1" s="1"/>
  <c r="C2169" i="1" l="1"/>
  <c r="D2169" i="1" s="1"/>
  <c r="B2170" i="1"/>
  <c r="I1199" i="1"/>
  <c r="E1200" i="1" s="1"/>
  <c r="C2170" i="1" l="1"/>
  <c r="D2170" i="1" s="1"/>
  <c r="B2171" i="1"/>
  <c r="J1200" i="1"/>
  <c r="G1200" i="1" s="1"/>
  <c r="H1200" i="1"/>
  <c r="F1200" i="1"/>
  <c r="B2172" i="1" l="1"/>
  <c r="C2171" i="1"/>
  <c r="D2171" i="1" s="1"/>
  <c r="I1200" i="1"/>
  <c r="E1201" i="1" s="1"/>
  <c r="B2173" i="1" l="1"/>
  <c r="C2172" i="1"/>
  <c r="D2172" i="1" s="1"/>
  <c r="H1201" i="1"/>
  <c r="J1201" i="1"/>
  <c r="G1201" i="1" s="1"/>
  <c r="F1201" i="1"/>
  <c r="C2173" i="1" l="1"/>
  <c r="D2173" i="1" s="1"/>
  <c r="B2174" i="1"/>
  <c r="I1201" i="1"/>
  <c r="E1202" i="1" s="1"/>
  <c r="C2174" i="1" l="1"/>
  <c r="D2174" i="1" s="1"/>
  <c r="B2175" i="1"/>
  <c r="H1202" i="1"/>
  <c r="J1202" i="1"/>
  <c r="G1202" i="1" s="1"/>
  <c r="F1202" i="1"/>
  <c r="C2175" i="1" l="1"/>
  <c r="D2175" i="1" s="1"/>
  <c r="B2176" i="1"/>
  <c r="I1202" i="1"/>
  <c r="E1203" i="1" s="1"/>
  <c r="C2176" i="1" l="1"/>
  <c r="D2176" i="1" s="1"/>
  <c r="B2177" i="1"/>
  <c r="J1203" i="1"/>
  <c r="G1203" i="1" s="1"/>
  <c r="H1203" i="1"/>
  <c r="F1203" i="1"/>
  <c r="C2177" i="1" l="1"/>
  <c r="D2177" i="1" s="1"/>
  <c r="B2178" i="1"/>
  <c r="I1203" i="1"/>
  <c r="E1204" i="1" s="1"/>
  <c r="C2178" i="1" l="1"/>
  <c r="D2178" i="1" s="1"/>
  <c r="B2179" i="1"/>
  <c r="J1204" i="1"/>
  <c r="G1204" i="1" s="1"/>
  <c r="H1204" i="1"/>
  <c r="F1204" i="1"/>
  <c r="C2179" i="1" l="1"/>
  <c r="D2179" i="1" s="1"/>
  <c r="B2180" i="1"/>
  <c r="I1204" i="1"/>
  <c r="E1205" i="1" s="1"/>
  <c r="C2180" i="1" l="1"/>
  <c r="D2180" i="1" s="1"/>
  <c r="B2181" i="1"/>
  <c r="J1205" i="1"/>
  <c r="G1205" i="1" s="1"/>
  <c r="H1205" i="1"/>
  <c r="F1205" i="1"/>
  <c r="C2181" i="1" l="1"/>
  <c r="D2181" i="1" s="1"/>
  <c r="B2182" i="1"/>
  <c r="I1205" i="1"/>
  <c r="E1206" i="1" s="1"/>
  <c r="C2182" i="1" l="1"/>
  <c r="D2182" i="1" s="1"/>
  <c r="B2183" i="1"/>
  <c r="J1206" i="1"/>
  <c r="G1206" i="1" s="1"/>
  <c r="F1206" i="1"/>
  <c r="H1206" i="1"/>
  <c r="C2183" i="1" l="1"/>
  <c r="D2183" i="1" s="1"/>
  <c r="B2184" i="1"/>
  <c r="I1206" i="1"/>
  <c r="E1207" i="1" s="1"/>
  <c r="B2185" i="1" l="1"/>
  <c r="C2184" i="1"/>
  <c r="D2184" i="1" s="1"/>
  <c r="H1207" i="1"/>
  <c r="J1207" i="1"/>
  <c r="G1207" i="1" s="1"/>
  <c r="F1207" i="1"/>
  <c r="C2185" i="1" l="1"/>
  <c r="D2185" i="1" s="1"/>
  <c r="B2186" i="1"/>
  <c r="I1207" i="1"/>
  <c r="E1208" i="1" s="1"/>
  <c r="C2186" i="1" l="1"/>
  <c r="D2186" i="1" s="1"/>
  <c r="B2187" i="1"/>
  <c r="H1208" i="1"/>
  <c r="J1208" i="1"/>
  <c r="G1208" i="1" s="1"/>
  <c r="F1208" i="1"/>
  <c r="C2187" i="1" l="1"/>
  <c r="D2187" i="1" s="1"/>
  <c r="B2188" i="1"/>
  <c r="I1208" i="1"/>
  <c r="E1209" i="1" s="1"/>
  <c r="C2188" i="1" l="1"/>
  <c r="D2188" i="1" s="1"/>
  <c r="B2189" i="1"/>
  <c r="F1209" i="1"/>
  <c r="H1209" i="1"/>
  <c r="J1209" i="1"/>
  <c r="G1209" i="1" s="1"/>
  <c r="C2189" i="1" l="1"/>
  <c r="D2189" i="1" s="1"/>
  <c r="B2190" i="1"/>
  <c r="I1209" i="1"/>
  <c r="E1210" i="1" s="1"/>
  <c r="C2190" i="1" l="1"/>
  <c r="D2190" i="1" s="1"/>
  <c r="B2191" i="1"/>
  <c r="F1210" i="1"/>
  <c r="H1210" i="1"/>
  <c r="J1210" i="1"/>
  <c r="G1210" i="1" s="1"/>
  <c r="B2192" i="1" l="1"/>
  <c r="C2191" i="1"/>
  <c r="D2191" i="1" s="1"/>
  <c r="I1210" i="1"/>
  <c r="E1211" i="1" s="1"/>
  <c r="B2193" i="1" l="1"/>
  <c r="C2192" i="1"/>
  <c r="D2192" i="1" s="1"/>
  <c r="F1211" i="1"/>
  <c r="J1211" i="1"/>
  <c r="G1211" i="1" s="1"/>
  <c r="H1211" i="1"/>
  <c r="I1211" i="1" s="1"/>
  <c r="E1212" i="1" s="1"/>
  <c r="C2193" i="1" l="1"/>
  <c r="D2193" i="1" s="1"/>
  <c r="B2194" i="1"/>
  <c r="J1212" i="1"/>
  <c r="G1212" i="1" s="1"/>
  <c r="H1212" i="1"/>
  <c r="F1212" i="1"/>
  <c r="C2194" i="1" l="1"/>
  <c r="B2195" i="1"/>
  <c r="I1212" i="1"/>
  <c r="E1213" i="1" s="1"/>
  <c r="C2195" i="1" l="1"/>
  <c r="D2195" i="1" s="1"/>
  <c r="B2196" i="1"/>
  <c r="D2194" i="1"/>
  <c r="D9" i="2"/>
  <c r="J1213" i="1"/>
  <c r="G1213" i="1" s="1"/>
  <c r="F1213" i="1"/>
  <c r="H1213" i="1"/>
  <c r="C2196" i="1" l="1"/>
  <c r="D2196" i="1" s="1"/>
  <c r="B2197" i="1"/>
  <c r="I1213" i="1"/>
  <c r="E1214" i="1" s="1"/>
  <c r="C2197" i="1" l="1"/>
  <c r="D2197" i="1" s="1"/>
  <c r="B2198" i="1"/>
  <c r="H1214" i="1"/>
  <c r="F1214" i="1"/>
  <c r="J1214" i="1"/>
  <c r="G1214" i="1" s="1"/>
  <c r="C2198" i="1" l="1"/>
  <c r="D2198" i="1" s="1"/>
  <c r="B2199" i="1"/>
  <c r="I1214" i="1"/>
  <c r="E1215" i="1" s="1"/>
  <c r="C2199" i="1" l="1"/>
  <c r="D2199" i="1" s="1"/>
  <c r="B2200" i="1"/>
  <c r="H1215" i="1"/>
  <c r="F1215" i="1"/>
  <c r="J1215" i="1"/>
  <c r="G1215" i="1" s="1"/>
  <c r="C2200" i="1" l="1"/>
  <c r="D2200" i="1" s="1"/>
  <c r="B2201" i="1"/>
  <c r="I1215" i="1"/>
  <c r="E1216" i="1" s="1"/>
  <c r="C2201" i="1" l="1"/>
  <c r="D2201" i="1" s="1"/>
  <c r="B2202" i="1"/>
  <c r="H1216" i="1"/>
  <c r="J1216" i="1"/>
  <c r="G1216" i="1" s="1"/>
  <c r="F1216" i="1"/>
  <c r="B2203" i="1" l="1"/>
  <c r="C2202" i="1"/>
  <c r="D2202" i="1" s="1"/>
  <c r="I1216" i="1"/>
  <c r="E1217" i="1" s="1"/>
  <c r="B2204" i="1" l="1"/>
  <c r="C2203" i="1"/>
  <c r="D2203" i="1" s="1"/>
  <c r="J1217" i="1"/>
  <c r="G1217" i="1" s="1"/>
  <c r="H1217" i="1"/>
  <c r="F1217" i="1"/>
  <c r="B2205" i="1" l="1"/>
  <c r="C2204" i="1"/>
  <c r="D2204" i="1" s="1"/>
  <c r="I1217" i="1"/>
  <c r="E1218" i="1" s="1"/>
  <c r="C2205" i="1" l="1"/>
  <c r="D2205" i="1" s="1"/>
  <c r="B2206" i="1"/>
  <c r="J1218" i="1"/>
  <c r="G1218" i="1" s="1"/>
  <c r="H1218" i="1"/>
  <c r="F1218" i="1"/>
  <c r="C2206" i="1" l="1"/>
  <c r="D2206" i="1" s="1"/>
  <c r="B2207" i="1"/>
  <c r="I1218" i="1"/>
  <c r="E1219" i="1" s="1"/>
  <c r="B2208" i="1" l="1"/>
  <c r="C2207" i="1"/>
  <c r="D2207" i="1" s="1"/>
  <c r="J1219" i="1"/>
  <c r="G1219" i="1" s="1"/>
  <c r="F1219" i="1"/>
  <c r="H1219" i="1"/>
  <c r="C2208" i="1" l="1"/>
  <c r="D2208" i="1" s="1"/>
  <c r="B2209" i="1"/>
  <c r="I1219" i="1"/>
  <c r="E1220" i="1" s="1"/>
  <c r="B2210" i="1" l="1"/>
  <c r="C2209" i="1"/>
  <c r="D2209" i="1" s="1"/>
  <c r="J1220" i="1"/>
  <c r="G1220" i="1" s="1"/>
  <c r="H1220" i="1"/>
  <c r="F1220" i="1"/>
  <c r="C2210" i="1" l="1"/>
  <c r="D2210" i="1" s="1"/>
  <c r="B2211" i="1"/>
  <c r="I1220" i="1"/>
  <c r="E1221" i="1" s="1"/>
  <c r="C2211" i="1" l="1"/>
  <c r="D2211" i="1" s="1"/>
  <c r="B2212" i="1"/>
  <c r="J1221" i="1"/>
  <c r="G1221" i="1" s="1"/>
  <c r="H1221" i="1"/>
  <c r="F1221" i="1"/>
  <c r="C2212" i="1" l="1"/>
  <c r="D2212" i="1" s="1"/>
  <c r="B2213" i="1"/>
  <c r="I1221" i="1"/>
  <c r="E1222" i="1" s="1"/>
  <c r="C2213" i="1" l="1"/>
  <c r="D2213" i="1" s="1"/>
  <c r="B2214" i="1"/>
  <c r="J1222" i="1"/>
  <c r="G1222" i="1" s="1"/>
  <c r="H1222" i="1"/>
  <c r="F1222" i="1"/>
  <c r="C2214" i="1" l="1"/>
  <c r="D2214" i="1" s="1"/>
  <c r="B2215" i="1"/>
  <c r="I1222" i="1"/>
  <c r="E1223" i="1" s="1"/>
  <c r="C2215" i="1" l="1"/>
  <c r="D2215" i="1" s="1"/>
  <c r="B2216" i="1"/>
  <c r="J1223" i="1"/>
  <c r="G1223" i="1" s="1"/>
  <c r="H1223" i="1"/>
  <c r="F1223" i="1"/>
  <c r="C2216" i="1" l="1"/>
  <c r="D2216" i="1" s="1"/>
  <c r="B2217" i="1"/>
  <c r="I1223" i="1"/>
  <c r="E1224" i="1" s="1"/>
  <c r="C2217" i="1" l="1"/>
  <c r="D2217" i="1" s="1"/>
  <c r="B2218" i="1"/>
  <c r="H1224" i="1"/>
  <c r="J1224" i="1"/>
  <c r="G1224" i="1" s="1"/>
  <c r="F1224" i="1"/>
  <c r="C2218" i="1" l="1"/>
  <c r="D2218" i="1" s="1"/>
  <c r="B2219" i="1"/>
  <c r="I1224" i="1"/>
  <c r="E1225" i="1" s="1"/>
  <c r="B2220" i="1" l="1"/>
  <c r="C2219" i="1"/>
  <c r="D2219" i="1" s="1"/>
  <c r="H1225" i="1"/>
  <c r="F1225" i="1"/>
  <c r="J1225" i="1"/>
  <c r="G1225" i="1" s="1"/>
  <c r="C2220" i="1" l="1"/>
  <c r="D2220" i="1" s="1"/>
  <c r="B2221" i="1"/>
  <c r="I1225" i="1"/>
  <c r="E1226" i="1" s="1"/>
  <c r="C2221" i="1" l="1"/>
  <c r="D2221" i="1" s="1"/>
  <c r="B2222" i="1"/>
  <c r="H1226" i="1"/>
  <c r="F1226" i="1"/>
  <c r="J1226" i="1"/>
  <c r="G1226" i="1" s="1"/>
  <c r="C2222" i="1" l="1"/>
  <c r="D2222" i="1" s="1"/>
  <c r="B2223" i="1"/>
  <c r="I1226" i="1"/>
  <c r="E1227" i="1" s="1"/>
  <c r="C2223" i="1" l="1"/>
  <c r="D2223" i="1" s="1"/>
  <c r="B2224" i="1"/>
  <c r="J1227" i="1"/>
  <c r="G1227" i="1" s="1"/>
  <c r="H1227" i="1"/>
  <c r="F1227" i="1"/>
  <c r="C2224" i="1" l="1"/>
  <c r="D2224" i="1" s="1"/>
  <c r="B2225" i="1"/>
  <c r="I1227" i="1"/>
  <c r="E1228" i="1" s="1"/>
  <c r="C2225" i="1" l="1"/>
  <c r="D2225" i="1" s="1"/>
  <c r="B2226" i="1"/>
  <c r="J1228" i="1"/>
  <c r="G1228" i="1" s="1"/>
  <c r="H1228" i="1"/>
  <c r="F1228" i="1"/>
  <c r="C2226" i="1" l="1"/>
  <c r="D2226" i="1" s="1"/>
  <c r="B2227" i="1"/>
  <c r="I1228" i="1"/>
  <c r="E1229" i="1" s="1"/>
  <c r="C2227" i="1" l="1"/>
  <c r="D2227" i="1" s="1"/>
  <c r="B2228" i="1"/>
  <c r="J1229" i="1"/>
  <c r="G1229" i="1" s="1"/>
  <c r="H1229" i="1"/>
  <c r="F1229" i="1"/>
  <c r="C2228" i="1" l="1"/>
  <c r="D2228" i="1" s="1"/>
  <c r="B2229" i="1"/>
  <c r="I1229" i="1"/>
  <c r="E1230" i="1" s="1"/>
  <c r="C2229" i="1" l="1"/>
  <c r="D2229" i="1" s="1"/>
  <c r="B2230" i="1"/>
  <c r="F1230" i="1"/>
  <c r="J1230" i="1"/>
  <c r="G1230" i="1" s="1"/>
  <c r="H1230" i="1"/>
  <c r="I1230" i="1" s="1"/>
  <c r="E1231" i="1" s="1"/>
  <c r="C2230" i="1" l="1"/>
  <c r="D2230" i="1" s="1"/>
  <c r="B2231" i="1"/>
  <c r="H1231" i="1"/>
  <c r="J1231" i="1"/>
  <c r="G1231" i="1" s="1"/>
  <c r="F1231" i="1"/>
  <c r="I1231" i="1" l="1"/>
  <c r="E1232" i="1" s="1"/>
  <c r="C2231" i="1"/>
  <c r="D2231" i="1" s="1"/>
  <c r="B2232" i="1"/>
  <c r="F1232" i="1"/>
  <c r="H1232" i="1"/>
  <c r="I1232" i="1" s="1"/>
  <c r="E1233" i="1" s="1"/>
  <c r="J1232" i="1"/>
  <c r="G1232" i="1" s="1"/>
  <c r="B2233" i="1" l="1"/>
  <c r="C2232" i="1"/>
  <c r="D2232" i="1" s="1"/>
  <c r="J1233" i="1"/>
  <c r="G1233" i="1" s="1"/>
  <c r="H1233" i="1"/>
  <c r="F1233" i="1"/>
  <c r="C2233" i="1" l="1"/>
  <c r="D2233" i="1" s="1"/>
  <c r="B2234" i="1"/>
  <c r="I1233" i="1"/>
  <c r="E1234" i="1" s="1"/>
  <c r="C2234" i="1" l="1"/>
  <c r="D2234" i="1" s="1"/>
  <c r="B2235" i="1"/>
  <c r="H1234" i="1"/>
  <c r="F1234" i="1"/>
  <c r="J1234" i="1"/>
  <c r="G1234" i="1" s="1"/>
  <c r="B2236" i="1" l="1"/>
  <c r="C2235" i="1"/>
  <c r="D2235" i="1" s="1"/>
  <c r="I1234" i="1"/>
  <c r="E1235" i="1" s="1"/>
  <c r="B2237" i="1" l="1"/>
  <c r="C2236" i="1"/>
  <c r="D2236" i="1" s="1"/>
  <c r="H1235" i="1"/>
  <c r="J1235" i="1"/>
  <c r="G1235" i="1" s="1"/>
  <c r="F1235" i="1"/>
  <c r="I1235" i="1" l="1"/>
  <c r="E1236" i="1" s="1"/>
  <c r="C2237" i="1"/>
  <c r="D2237" i="1" s="1"/>
  <c r="B2238" i="1"/>
  <c r="J1236" i="1"/>
  <c r="G1236" i="1" s="1"/>
  <c r="F1236" i="1"/>
  <c r="H1236" i="1"/>
  <c r="C2238" i="1" l="1"/>
  <c r="D2238" i="1" s="1"/>
  <c r="B2239" i="1"/>
  <c r="I1236" i="1"/>
  <c r="E1237" i="1" s="1"/>
  <c r="B2240" i="1" l="1"/>
  <c r="C2239" i="1"/>
  <c r="D2239" i="1" s="1"/>
  <c r="H1237" i="1"/>
  <c r="J1237" i="1"/>
  <c r="G1237" i="1" s="1"/>
  <c r="F1237" i="1"/>
  <c r="C2240" i="1" l="1"/>
  <c r="D2240" i="1" s="1"/>
  <c r="B2241" i="1"/>
  <c r="I1237" i="1"/>
  <c r="E1238" i="1" s="1"/>
  <c r="B2242" i="1" l="1"/>
  <c r="C2241" i="1"/>
  <c r="D2241" i="1" s="1"/>
  <c r="F1238" i="1"/>
  <c r="H1238" i="1"/>
  <c r="J1238" i="1"/>
  <c r="G1238" i="1" s="1"/>
  <c r="C2242" i="1" l="1"/>
  <c r="D2242" i="1" s="1"/>
  <c r="B2243" i="1"/>
  <c r="I1238" i="1"/>
  <c r="E1239" i="1" s="1"/>
  <c r="C2243" i="1" l="1"/>
  <c r="D2243" i="1" s="1"/>
  <c r="B2244" i="1"/>
  <c r="H1239" i="1"/>
  <c r="J1239" i="1"/>
  <c r="G1239" i="1" s="1"/>
  <c r="F1239" i="1"/>
  <c r="C2244" i="1" l="1"/>
  <c r="D2244" i="1" s="1"/>
  <c r="B2245" i="1"/>
  <c r="I1239" i="1"/>
  <c r="E1240" i="1" s="1"/>
  <c r="C2245" i="1" l="1"/>
  <c r="D2245" i="1" s="1"/>
  <c r="B2246" i="1"/>
  <c r="H1240" i="1"/>
  <c r="F1240" i="1"/>
  <c r="J1240" i="1"/>
  <c r="G1240" i="1" s="1"/>
  <c r="I1240" i="1" l="1"/>
  <c r="E1241" i="1" s="1"/>
  <c r="C2246" i="1"/>
  <c r="D2246" i="1" s="1"/>
  <c r="B2247" i="1"/>
  <c r="H1241" i="1"/>
  <c r="F1241" i="1"/>
  <c r="J1241" i="1"/>
  <c r="G1241" i="1" s="1"/>
  <c r="B2248" i="1" l="1"/>
  <c r="C2247" i="1"/>
  <c r="D2247" i="1" s="1"/>
  <c r="I1241" i="1"/>
  <c r="E1242" i="1" s="1"/>
  <c r="B2249" i="1" l="1"/>
  <c r="C2248" i="1"/>
  <c r="D2248" i="1" s="1"/>
  <c r="J1242" i="1"/>
  <c r="G1242" i="1" s="1"/>
  <c r="F1242" i="1"/>
  <c r="H1242" i="1"/>
  <c r="C2249" i="1" l="1"/>
  <c r="D2249" i="1" s="1"/>
  <c r="B2250" i="1"/>
  <c r="I1242" i="1"/>
  <c r="E1243" i="1" s="1"/>
  <c r="B2251" i="1" l="1"/>
  <c r="C2250" i="1"/>
  <c r="D2250" i="1" s="1"/>
  <c r="H1243" i="1"/>
  <c r="J1243" i="1"/>
  <c r="G1243" i="1" s="1"/>
  <c r="F1243" i="1"/>
  <c r="C2251" i="1" l="1"/>
  <c r="D2251" i="1" s="1"/>
  <c r="B2252" i="1"/>
  <c r="I1243" i="1"/>
  <c r="E1244" i="1" s="1"/>
  <c r="C2252" i="1" l="1"/>
  <c r="D2252" i="1" s="1"/>
  <c r="B2253" i="1"/>
  <c r="H1244" i="1"/>
  <c r="J1244" i="1"/>
  <c r="G1244" i="1" s="1"/>
  <c r="F1244" i="1"/>
  <c r="B2254" i="1" l="1"/>
  <c r="C2253" i="1"/>
  <c r="D2253" i="1" s="1"/>
  <c r="I1244" i="1"/>
  <c r="E1245" i="1" s="1"/>
  <c r="B2255" i="1" l="1"/>
  <c r="C2254" i="1"/>
  <c r="D2254" i="1" s="1"/>
  <c r="H1245" i="1"/>
  <c r="J1245" i="1"/>
  <c r="G1245" i="1" s="1"/>
  <c r="F1245" i="1"/>
  <c r="C2255" i="1" l="1"/>
  <c r="D2255" i="1" s="1"/>
  <c r="B2256" i="1"/>
  <c r="I1245" i="1"/>
  <c r="E1246" i="1" s="1"/>
  <c r="C2256" i="1" l="1"/>
  <c r="D2256" i="1" s="1"/>
  <c r="B2257" i="1"/>
  <c r="F1246" i="1"/>
  <c r="H1246" i="1"/>
  <c r="J1246" i="1"/>
  <c r="G1246" i="1" s="1"/>
  <c r="C2257" i="1" l="1"/>
  <c r="D2257" i="1" s="1"/>
  <c r="B2258" i="1"/>
  <c r="I1246" i="1"/>
  <c r="E1247" i="1" s="1"/>
  <c r="C2258" i="1" l="1"/>
  <c r="D2258" i="1" s="1"/>
  <c r="B2259" i="1"/>
  <c r="F1247" i="1"/>
  <c r="J1247" i="1"/>
  <c r="G1247" i="1" s="1"/>
  <c r="H1247" i="1"/>
  <c r="I1247" i="1" s="1"/>
  <c r="E1248" i="1" s="1"/>
  <c r="C2259" i="1" l="1"/>
  <c r="D2259" i="1" s="1"/>
  <c r="B2260" i="1"/>
  <c r="J1248" i="1"/>
  <c r="G1248" i="1" s="1"/>
  <c r="F1248" i="1"/>
  <c r="H1248" i="1"/>
  <c r="I1248" i="1" s="1"/>
  <c r="E1249" i="1" s="1"/>
  <c r="C2260" i="1" l="1"/>
  <c r="D2260" i="1" s="1"/>
  <c r="B2261" i="1"/>
  <c r="J1249" i="1"/>
  <c r="G1249" i="1" s="1"/>
  <c r="H1249" i="1"/>
  <c r="F1249" i="1"/>
  <c r="C2261" i="1" l="1"/>
  <c r="D2261" i="1" s="1"/>
  <c r="B2262" i="1"/>
  <c r="I1249" i="1"/>
  <c r="E1250" i="1" s="1"/>
  <c r="C2262" i="1" l="1"/>
  <c r="D2262" i="1" s="1"/>
  <c r="B2263" i="1"/>
  <c r="H1250" i="1"/>
  <c r="F1250" i="1"/>
  <c r="J1250" i="1"/>
  <c r="G1250" i="1" s="1"/>
  <c r="C2263" i="1" l="1"/>
  <c r="D2263" i="1" s="1"/>
  <c r="B2264" i="1"/>
  <c r="I1250" i="1"/>
  <c r="E1251" i="1" s="1"/>
  <c r="C2264" i="1" l="1"/>
  <c r="D2264" i="1" s="1"/>
  <c r="B2265" i="1"/>
  <c r="J1251" i="1"/>
  <c r="G1251" i="1" s="1"/>
  <c r="F1251" i="1"/>
  <c r="H1251" i="1"/>
  <c r="C2265" i="1" l="1"/>
  <c r="D2265" i="1" s="1"/>
  <c r="B2266" i="1"/>
  <c r="I1251" i="1"/>
  <c r="E1252" i="1" s="1"/>
  <c r="C2266" i="1" l="1"/>
  <c r="D2266" i="1" s="1"/>
  <c r="B2267" i="1"/>
  <c r="J1252" i="1"/>
  <c r="G1252" i="1" s="1"/>
  <c r="H1252" i="1"/>
  <c r="F1252" i="1"/>
  <c r="C2267" i="1" l="1"/>
  <c r="D2267" i="1" s="1"/>
  <c r="B2268" i="1"/>
  <c r="I1252" i="1"/>
  <c r="E1253" i="1" s="1"/>
  <c r="C2268" i="1" l="1"/>
  <c r="D2268" i="1" s="1"/>
  <c r="B2269" i="1"/>
  <c r="F1253" i="1"/>
  <c r="H1253" i="1"/>
  <c r="J1253" i="1"/>
  <c r="G1253" i="1" s="1"/>
  <c r="B2270" i="1" l="1"/>
  <c r="C2269" i="1"/>
  <c r="D2269" i="1" s="1"/>
  <c r="I1253" i="1"/>
  <c r="E1254" i="1" s="1"/>
  <c r="B2271" i="1" l="1"/>
  <c r="C2270" i="1"/>
  <c r="D2270" i="1" s="1"/>
  <c r="H1254" i="1"/>
  <c r="J1254" i="1"/>
  <c r="G1254" i="1" s="1"/>
  <c r="F1254" i="1"/>
  <c r="C2271" i="1" l="1"/>
  <c r="D2271" i="1" s="1"/>
  <c r="B2272" i="1"/>
  <c r="I1254" i="1"/>
  <c r="E1255" i="1" s="1"/>
  <c r="C2272" i="1" l="1"/>
  <c r="D2272" i="1" s="1"/>
  <c r="B2273" i="1"/>
  <c r="J1255" i="1"/>
  <c r="G1255" i="1" s="1"/>
  <c r="F1255" i="1"/>
  <c r="H1255" i="1"/>
  <c r="C2273" i="1" l="1"/>
  <c r="D2273" i="1" s="1"/>
  <c r="B2274" i="1"/>
  <c r="I1255" i="1"/>
  <c r="E1256" i="1" s="1"/>
  <c r="B2275" i="1" l="1"/>
  <c r="C2274" i="1"/>
  <c r="D2274" i="1" s="1"/>
  <c r="J1256" i="1"/>
  <c r="G1256" i="1" s="1"/>
  <c r="F1256" i="1"/>
  <c r="H1256" i="1"/>
  <c r="B2276" i="1" l="1"/>
  <c r="C2275" i="1"/>
  <c r="D2275" i="1" s="1"/>
  <c r="I1256" i="1"/>
  <c r="E1257" i="1" s="1"/>
  <c r="C2276" i="1" l="1"/>
  <c r="D2276" i="1" s="1"/>
  <c r="B2277" i="1"/>
  <c r="H1257" i="1"/>
  <c r="F1257" i="1"/>
  <c r="J1257" i="1"/>
  <c r="G1257" i="1" s="1"/>
  <c r="C2277" i="1" l="1"/>
  <c r="D2277" i="1" s="1"/>
  <c r="B2278" i="1"/>
  <c r="I1257" i="1"/>
  <c r="E1258" i="1" s="1"/>
  <c r="C2278" i="1" l="1"/>
  <c r="D2278" i="1" s="1"/>
  <c r="B2279" i="1"/>
  <c r="H1258" i="1"/>
  <c r="F1258" i="1"/>
  <c r="J1258" i="1"/>
  <c r="G1258" i="1" s="1"/>
  <c r="C2279" i="1" l="1"/>
  <c r="D2279" i="1" s="1"/>
  <c r="B2280" i="1"/>
  <c r="I1258" i="1"/>
  <c r="E1259" i="1" s="1"/>
  <c r="B2281" i="1" l="1"/>
  <c r="C2280" i="1"/>
  <c r="D2280" i="1" s="1"/>
  <c r="J1259" i="1"/>
  <c r="G1259" i="1" s="1"/>
  <c r="F1259" i="1"/>
  <c r="H1259" i="1"/>
  <c r="C2281" i="1" l="1"/>
  <c r="D2281" i="1" s="1"/>
  <c r="B2282" i="1"/>
  <c r="I1259" i="1"/>
  <c r="E1260" i="1" s="1"/>
  <c r="C2282" i="1" l="1"/>
  <c r="D2282" i="1" s="1"/>
  <c r="B2283" i="1"/>
  <c r="F1260" i="1"/>
  <c r="H1260" i="1"/>
  <c r="J1260" i="1"/>
  <c r="G1260" i="1" s="1"/>
  <c r="C2283" i="1" l="1"/>
  <c r="D2283" i="1" s="1"/>
  <c r="B2284" i="1"/>
  <c r="I1260" i="1"/>
  <c r="E1261" i="1" s="1"/>
  <c r="C2284" i="1" l="1"/>
  <c r="D2284" i="1" s="1"/>
  <c r="B2285" i="1"/>
  <c r="J1261" i="1"/>
  <c r="G1261" i="1" s="1"/>
  <c r="H1261" i="1"/>
  <c r="F1261" i="1"/>
  <c r="C2285" i="1" l="1"/>
  <c r="D2285" i="1" s="1"/>
  <c r="B2286" i="1"/>
  <c r="I1261" i="1"/>
  <c r="E1262" i="1" s="1"/>
  <c r="C2286" i="1" l="1"/>
  <c r="D2286" i="1" s="1"/>
  <c r="B2287" i="1"/>
  <c r="J1262" i="1"/>
  <c r="G1262" i="1" s="1"/>
  <c r="F1262" i="1"/>
  <c r="H1262" i="1"/>
  <c r="B2288" i="1" l="1"/>
  <c r="C2287" i="1"/>
  <c r="D2287" i="1" s="1"/>
  <c r="I1262" i="1"/>
  <c r="E1263" i="1" s="1"/>
  <c r="C2288" i="1" l="1"/>
  <c r="D2288" i="1" s="1"/>
  <c r="B2289" i="1"/>
  <c r="J1263" i="1"/>
  <c r="G1263" i="1" s="1"/>
  <c r="H1263" i="1"/>
  <c r="F1263" i="1"/>
  <c r="C2289" i="1" l="1"/>
  <c r="D2289" i="1" s="1"/>
  <c r="B2290" i="1"/>
  <c r="I1263" i="1"/>
  <c r="E1264" i="1" s="1"/>
  <c r="B2291" i="1" l="1"/>
  <c r="C2290" i="1"/>
  <c r="D2290" i="1" s="1"/>
  <c r="H1264" i="1"/>
  <c r="J1264" i="1"/>
  <c r="G1264" i="1" s="1"/>
  <c r="F1264" i="1"/>
  <c r="C2291" i="1" l="1"/>
  <c r="D2291" i="1" s="1"/>
  <c r="B2292" i="1"/>
  <c r="I1264" i="1"/>
  <c r="E1265" i="1" s="1"/>
  <c r="C2292" i="1" l="1"/>
  <c r="D2292" i="1" s="1"/>
  <c r="B2293" i="1"/>
  <c r="H1265" i="1"/>
  <c r="F1265" i="1"/>
  <c r="J1265" i="1"/>
  <c r="G1265" i="1" s="1"/>
  <c r="I1265" i="1" l="1"/>
  <c r="E1266" i="1" s="1"/>
  <c r="C2293" i="1"/>
  <c r="D2293" i="1" s="1"/>
  <c r="B2294" i="1"/>
  <c r="J1266" i="1"/>
  <c r="G1266" i="1" s="1"/>
  <c r="H1266" i="1"/>
  <c r="F1266" i="1"/>
  <c r="C2294" i="1" l="1"/>
  <c r="D2294" i="1" s="1"/>
  <c r="B2295" i="1"/>
  <c r="I1266" i="1"/>
  <c r="E1267" i="1" s="1"/>
  <c r="C2295" i="1" l="1"/>
  <c r="D2295" i="1" s="1"/>
  <c r="B2296" i="1"/>
  <c r="H1267" i="1"/>
  <c r="J1267" i="1"/>
  <c r="G1267" i="1" s="1"/>
  <c r="F1267" i="1"/>
  <c r="C2296" i="1" l="1"/>
  <c r="D2296" i="1" s="1"/>
  <c r="B2297" i="1"/>
  <c r="I1267" i="1"/>
  <c r="E1268" i="1" s="1"/>
  <c r="C2297" i="1" l="1"/>
  <c r="D2297" i="1" s="1"/>
  <c r="B2298" i="1"/>
  <c r="H1268" i="1"/>
  <c r="J1268" i="1"/>
  <c r="G1268" i="1" s="1"/>
  <c r="F1268" i="1"/>
  <c r="C2298" i="1" l="1"/>
  <c r="D2298" i="1" s="1"/>
  <c r="B2299" i="1"/>
  <c r="I1268" i="1"/>
  <c r="E1269" i="1" s="1"/>
  <c r="C2299" i="1" l="1"/>
  <c r="D2299" i="1" s="1"/>
  <c r="B2300" i="1"/>
  <c r="J1269" i="1"/>
  <c r="G1269" i="1" s="1"/>
  <c r="H1269" i="1"/>
  <c r="F1269" i="1"/>
  <c r="C2300" i="1" l="1"/>
  <c r="D2300" i="1" s="1"/>
  <c r="B2301" i="1"/>
  <c r="I1269" i="1"/>
  <c r="E1270" i="1" s="1"/>
  <c r="B2302" i="1" l="1"/>
  <c r="C2301" i="1"/>
  <c r="D2301" i="1" s="1"/>
  <c r="F1270" i="1"/>
  <c r="J1270" i="1"/>
  <c r="G1270" i="1" s="1"/>
  <c r="H1270" i="1"/>
  <c r="I1270" i="1" s="1"/>
  <c r="E1271" i="1" s="1"/>
  <c r="B2303" i="1" l="1"/>
  <c r="C2302" i="1"/>
  <c r="D2302" i="1" s="1"/>
  <c r="H1271" i="1"/>
  <c r="J1271" i="1"/>
  <c r="G1271" i="1" s="1"/>
  <c r="F1271" i="1"/>
  <c r="C2303" i="1" l="1"/>
  <c r="D2303" i="1" s="1"/>
  <c r="B2304" i="1"/>
  <c r="I1271" i="1"/>
  <c r="E1272" i="1" s="1"/>
  <c r="C2304" i="1" l="1"/>
  <c r="D2304" i="1" s="1"/>
  <c r="B2305" i="1"/>
  <c r="J1272" i="1"/>
  <c r="G1272" i="1" s="1"/>
  <c r="H1272" i="1"/>
  <c r="F1272" i="1"/>
  <c r="C2305" i="1" l="1"/>
  <c r="D2305" i="1" s="1"/>
  <c r="B2306" i="1"/>
  <c r="I1272" i="1"/>
  <c r="E1273" i="1" s="1"/>
  <c r="B2307" i="1" l="1"/>
  <c r="C2306" i="1"/>
  <c r="D2306" i="1" s="1"/>
  <c r="H1273" i="1"/>
  <c r="F1273" i="1"/>
  <c r="J1273" i="1"/>
  <c r="G1273" i="1" s="1"/>
  <c r="C2307" i="1" l="1"/>
  <c r="D2307" i="1" s="1"/>
  <c r="B2308" i="1"/>
  <c r="I1273" i="1"/>
  <c r="E1274" i="1" s="1"/>
  <c r="C2308" i="1" l="1"/>
  <c r="D2308" i="1" s="1"/>
  <c r="B2309" i="1"/>
  <c r="J1274" i="1"/>
  <c r="G1274" i="1" s="1"/>
  <c r="F1274" i="1"/>
  <c r="H1274" i="1"/>
  <c r="C2309" i="1" l="1"/>
  <c r="D2309" i="1" s="1"/>
  <c r="B2310" i="1"/>
  <c r="I1274" i="1"/>
  <c r="E1275" i="1" s="1"/>
  <c r="C2310" i="1" l="1"/>
  <c r="D2310" i="1" s="1"/>
  <c r="B2311" i="1"/>
  <c r="F1275" i="1"/>
  <c r="H1275" i="1"/>
  <c r="J1275" i="1"/>
  <c r="G1275" i="1" s="1"/>
  <c r="C2311" i="1" l="1"/>
  <c r="D2311" i="1" s="1"/>
  <c r="B2312" i="1"/>
  <c r="I1275" i="1"/>
  <c r="E1276" i="1" s="1"/>
  <c r="C2312" i="1" l="1"/>
  <c r="D2312" i="1" s="1"/>
  <c r="B2313" i="1"/>
  <c r="J1276" i="1"/>
  <c r="G1276" i="1" s="1"/>
  <c r="H1276" i="1"/>
  <c r="F1276" i="1"/>
  <c r="B2314" i="1" l="1"/>
  <c r="C2313" i="1"/>
  <c r="D2313" i="1" s="1"/>
  <c r="I1276" i="1"/>
  <c r="E1277" i="1" s="1"/>
  <c r="B2315" i="1" l="1"/>
  <c r="C2314" i="1"/>
  <c r="D2314" i="1" s="1"/>
  <c r="F1277" i="1"/>
  <c r="H1277" i="1"/>
  <c r="J1277" i="1"/>
  <c r="G1277" i="1" s="1"/>
  <c r="C2315" i="1" l="1"/>
  <c r="D2315" i="1" s="1"/>
  <c r="B2316" i="1"/>
  <c r="I1277" i="1"/>
  <c r="E1278" i="1" s="1"/>
  <c r="C2316" i="1" l="1"/>
  <c r="D2316" i="1" s="1"/>
  <c r="B2317" i="1"/>
  <c r="H1278" i="1"/>
  <c r="F1278" i="1"/>
  <c r="J1278" i="1"/>
  <c r="G1278" i="1" s="1"/>
  <c r="C2317" i="1" l="1"/>
  <c r="D2317" i="1" s="1"/>
  <c r="B2318" i="1"/>
  <c r="I1278" i="1"/>
  <c r="E1279" i="1" s="1"/>
  <c r="B2319" i="1" l="1"/>
  <c r="C2318" i="1"/>
  <c r="D2318" i="1" s="1"/>
  <c r="J1279" i="1"/>
  <c r="G1279" i="1" s="1"/>
  <c r="F1279" i="1"/>
  <c r="H1279" i="1"/>
  <c r="C2319" i="1" l="1"/>
  <c r="D2319" i="1" s="1"/>
  <c r="B2320" i="1"/>
  <c r="I1279" i="1"/>
  <c r="E1280" i="1" s="1"/>
  <c r="C2320" i="1" l="1"/>
  <c r="D2320" i="1" s="1"/>
  <c r="B2321" i="1"/>
  <c r="H1280" i="1"/>
  <c r="F1280" i="1"/>
  <c r="J1280" i="1"/>
  <c r="G1280" i="1" s="1"/>
  <c r="C2321" i="1" l="1"/>
  <c r="D2321" i="1" s="1"/>
  <c r="B2322" i="1"/>
  <c r="I1280" i="1"/>
  <c r="E1281" i="1" s="1"/>
  <c r="C2322" i="1" l="1"/>
  <c r="D2322" i="1" s="1"/>
  <c r="B2323" i="1"/>
  <c r="H1281" i="1"/>
  <c r="F1281" i="1"/>
  <c r="J1281" i="1"/>
  <c r="G1281" i="1" s="1"/>
  <c r="B2324" i="1" l="1"/>
  <c r="C2323" i="1"/>
  <c r="D2323" i="1" s="1"/>
  <c r="I1281" i="1"/>
  <c r="E1282" i="1" s="1"/>
  <c r="B2325" i="1" l="1"/>
  <c r="C2324" i="1"/>
  <c r="D2324" i="1" s="1"/>
  <c r="H1282" i="1"/>
  <c r="F1282" i="1"/>
  <c r="J1282" i="1"/>
  <c r="G1282" i="1" s="1"/>
  <c r="C2325" i="1" l="1"/>
  <c r="D2325" i="1" s="1"/>
  <c r="B2326" i="1"/>
  <c r="I1282" i="1"/>
  <c r="E1283" i="1" s="1"/>
  <c r="C2326" i="1" l="1"/>
  <c r="D2326" i="1" s="1"/>
  <c r="B2327" i="1"/>
  <c r="J1283" i="1"/>
  <c r="G1283" i="1" s="1"/>
  <c r="F1283" i="1"/>
  <c r="H1283" i="1"/>
  <c r="B2328" i="1" l="1"/>
  <c r="C2327" i="1"/>
  <c r="D2327" i="1" s="1"/>
  <c r="I1283" i="1"/>
  <c r="E1284" i="1" s="1"/>
  <c r="B2329" i="1" l="1"/>
  <c r="C2328" i="1"/>
  <c r="D2328" i="1" s="1"/>
  <c r="J1284" i="1"/>
  <c r="G1284" i="1" s="1"/>
  <c r="F1284" i="1"/>
  <c r="H1284" i="1"/>
  <c r="C2329" i="1" l="1"/>
  <c r="D2329" i="1" s="1"/>
  <c r="B2330" i="1"/>
  <c r="I1284" i="1"/>
  <c r="E1285" i="1" s="1"/>
  <c r="C2330" i="1" l="1"/>
  <c r="D2330" i="1" s="1"/>
  <c r="B2331" i="1"/>
  <c r="J1285" i="1"/>
  <c r="G1285" i="1" s="1"/>
  <c r="F1285" i="1"/>
  <c r="H1285" i="1"/>
  <c r="C2331" i="1" l="1"/>
  <c r="D2331" i="1" s="1"/>
  <c r="B2332" i="1"/>
  <c r="I1285" i="1"/>
  <c r="E1286" i="1" s="1"/>
  <c r="B2333" i="1" l="1"/>
  <c r="C2332" i="1"/>
  <c r="D2332" i="1" s="1"/>
  <c r="J1286" i="1"/>
  <c r="G1286" i="1" s="1"/>
  <c r="H1286" i="1"/>
  <c r="F1286" i="1"/>
  <c r="C2333" i="1" l="1"/>
  <c r="D2333" i="1" s="1"/>
  <c r="B2334" i="1"/>
  <c r="I1286" i="1"/>
  <c r="E1287" i="1" s="1"/>
  <c r="C2334" i="1" l="1"/>
  <c r="D2334" i="1" s="1"/>
  <c r="B2335" i="1"/>
  <c r="H1287" i="1"/>
  <c r="F1287" i="1"/>
  <c r="J1287" i="1"/>
  <c r="G1287" i="1" s="1"/>
  <c r="C2335" i="1" l="1"/>
  <c r="D2335" i="1" s="1"/>
  <c r="B2336" i="1"/>
  <c r="I1287" i="1"/>
  <c r="E1288" i="1" s="1"/>
  <c r="B2337" i="1" l="1"/>
  <c r="C2336" i="1"/>
  <c r="D2336" i="1" s="1"/>
  <c r="J1288" i="1"/>
  <c r="G1288" i="1" s="1"/>
  <c r="H1288" i="1"/>
  <c r="F1288" i="1"/>
  <c r="B2338" i="1" l="1"/>
  <c r="C2337" i="1"/>
  <c r="D2337" i="1" s="1"/>
  <c r="I1288" i="1"/>
  <c r="E1289" i="1" s="1"/>
  <c r="C2338" i="1" l="1"/>
  <c r="D2338" i="1" s="1"/>
  <c r="B2339" i="1"/>
  <c r="J1289" i="1"/>
  <c r="G1289" i="1" s="1"/>
  <c r="H1289" i="1"/>
  <c r="F1289" i="1"/>
  <c r="B2340" i="1" l="1"/>
  <c r="C2339" i="1"/>
  <c r="D2339" i="1" s="1"/>
  <c r="I1289" i="1"/>
  <c r="E1290" i="1" s="1"/>
  <c r="C2340" i="1" l="1"/>
  <c r="D2340" i="1" s="1"/>
  <c r="B2341" i="1"/>
  <c r="H1290" i="1"/>
  <c r="F1290" i="1"/>
  <c r="J1290" i="1"/>
  <c r="G1290" i="1" s="1"/>
  <c r="I1290" i="1" l="1"/>
  <c r="E1291" i="1" s="1"/>
  <c r="B2342" i="1"/>
  <c r="C2341" i="1"/>
  <c r="D2341" i="1" s="1"/>
  <c r="J1291" i="1"/>
  <c r="G1291" i="1" s="1"/>
  <c r="F1291" i="1"/>
  <c r="H1291" i="1"/>
  <c r="C2342" i="1" l="1"/>
  <c r="D2342" i="1" s="1"/>
  <c r="B2343" i="1"/>
  <c r="I1291" i="1"/>
  <c r="E1292" i="1" s="1"/>
  <c r="B2344" i="1" l="1"/>
  <c r="C2343" i="1"/>
  <c r="D2343" i="1" s="1"/>
  <c r="H1292" i="1"/>
  <c r="J1292" i="1"/>
  <c r="G1292" i="1" s="1"/>
  <c r="F1292" i="1"/>
  <c r="C2344" i="1" l="1"/>
  <c r="D2344" i="1" s="1"/>
  <c r="B2345" i="1"/>
  <c r="I1292" i="1"/>
  <c r="E1293" i="1" s="1"/>
  <c r="C2345" i="1" l="1"/>
  <c r="D2345" i="1" s="1"/>
  <c r="B2346" i="1"/>
  <c r="H1293" i="1"/>
  <c r="J1293" i="1"/>
  <c r="G1293" i="1" s="1"/>
  <c r="F1293" i="1"/>
  <c r="C2346" i="1" l="1"/>
  <c r="D2346" i="1" s="1"/>
  <c r="B2347" i="1"/>
  <c r="I1293" i="1"/>
  <c r="E1294" i="1" s="1"/>
  <c r="C2347" i="1" l="1"/>
  <c r="D2347" i="1" s="1"/>
  <c r="B2348" i="1"/>
  <c r="J1294" i="1"/>
  <c r="G1294" i="1" s="1"/>
  <c r="H1294" i="1"/>
  <c r="F1294" i="1"/>
  <c r="B2349" i="1" l="1"/>
  <c r="C2348" i="1"/>
  <c r="D2348" i="1" s="1"/>
  <c r="I1294" i="1"/>
  <c r="E1295" i="1" s="1"/>
  <c r="B2350" i="1" l="1"/>
  <c r="C2349" i="1"/>
  <c r="D2349" i="1" s="1"/>
  <c r="J1295" i="1"/>
  <c r="G1295" i="1" s="1"/>
  <c r="H1295" i="1"/>
  <c r="F1295" i="1"/>
  <c r="C2350" i="1" l="1"/>
  <c r="D2350" i="1" s="1"/>
  <c r="B2351" i="1"/>
  <c r="I1295" i="1"/>
  <c r="E1296" i="1" s="1"/>
  <c r="C2351" i="1" l="1"/>
  <c r="D2351" i="1" s="1"/>
  <c r="B2352" i="1"/>
  <c r="J1296" i="1"/>
  <c r="G1296" i="1" s="1"/>
  <c r="F1296" i="1"/>
  <c r="H1296" i="1"/>
  <c r="B2353" i="1" l="1"/>
  <c r="C2352" i="1"/>
  <c r="D2352" i="1" s="1"/>
  <c r="I1296" i="1"/>
  <c r="E1297" i="1" s="1"/>
  <c r="B2354" i="1" l="1"/>
  <c r="C2353" i="1"/>
  <c r="D2353" i="1" s="1"/>
  <c r="H1297" i="1"/>
  <c r="J1297" i="1"/>
  <c r="G1297" i="1" s="1"/>
  <c r="F1297" i="1"/>
  <c r="C2354" i="1" l="1"/>
  <c r="D2354" i="1" s="1"/>
  <c r="B2355" i="1"/>
  <c r="I1297" i="1"/>
  <c r="E1298" i="1" s="1"/>
  <c r="B2356" i="1" l="1"/>
  <c r="C2355" i="1"/>
  <c r="D2355" i="1" s="1"/>
  <c r="J1298" i="1"/>
  <c r="G1298" i="1" s="1"/>
  <c r="H1298" i="1"/>
  <c r="F1298" i="1"/>
  <c r="C2356" i="1" l="1"/>
  <c r="D2356" i="1" s="1"/>
  <c r="B2357" i="1"/>
  <c r="I1298" i="1"/>
  <c r="E1299" i="1" s="1"/>
  <c r="B2358" i="1" l="1"/>
  <c r="C2357" i="1"/>
  <c r="D2357" i="1" s="1"/>
  <c r="H1299" i="1"/>
  <c r="J1299" i="1"/>
  <c r="G1299" i="1" s="1"/>
  <c r="F1299" i="1"/>
  <c r="I1299" i="1" l="1"/>
  <c r="E1300" i="1" s="1"/>
  <c r="C2358" i="1"/>
  <c r="D2358" i="1" s="1"/>
  <c r="B2359" i="1"/>
  <c r="J1300" i="1"/>
  <c r="G1300" i="1" s="1"/>
  <c r="H1300" i="1"/>
  <c r="F1300" i="1"/>
  <c r="C2359" i="1" l="1"/>
  <c r="D2359" i="1" s="1"/>
  <c r="B2360" i="1"/>
  <c r="I1300" i="1"/>
  <c r="E1301" i="1" s="1"/>
  <c r="C2360" i="1" l="1"/>
  <c r="D2360" i="1" s="1"/>
  <c r="B2361" i="1"/>
  <c r="H1301" i="1"/>
  <c r="J1301" i="1"/>
  <c r="G1301" i="1" s="1"/>
  <c r="F1301" i="1"/>
  <c r="C2361" i="1" l="1"/>
  <c r="D2361" i="1" s="1"/>
  <c r="B2362" i="1"/>
  <c r="I1301" i="1"/>
  <c r="E1302" i="1" s="1"/>
  <c r="C2362" i="1" l="1"/>
  <c r="D2362" i="1" s="1"/>
  <c r="B2363" i="1"/>
  <c r="H1302" i="1"/>
  <c r="F1302" i="1"/>
  <c r="J1302" i="1"/>
  <c r="G1302" i="1" s="1"/>
  <c r="C2363" i="1" l="1"/>
  <c r="D2363" i="1" s="1"/>
  <c r="B2364" i="1"/>
  <c r="I1302" i="1"/>
  <c r="E1303" i="1" s="1"/>
  <c r="C2364" i="1" l="1"/>
  <c r="D2364" i="1" s="1"/>
  <c r="B2365" i="1"/>
  <c r="J1303" i="1"/>
  <c r="G1303" i="1" s="1"/>
  <c r="H1303" i="1"/>
  <c r="F1303" i="1"/>
  <c r="B2366" i="1" l="1"/>
  <c r="C2365" i="1"/>
  <c r="D2365" i="1" s="1"/>
  <c r="I1303" i="1"/>
  <c r="E1304" i="1" s="1"/>
  <c r="C2366" i="1" l="1"/>
  <c r="D2366" i="1" s="1"/>
  <c r="B2367" i="1"/>
  <c r="J1304" i="1"/>
  <c r="G1304" i="1" s="1"/>
  <c r="F1304" i="1"/>
  <c r="H1304" i="1"/>
  <c r="B2368" i="1" l="1"/>
  <c r="C2367" i="1"/>
  <c r="D2367" i="1" s="1"/>
  <c r="I1304" i="1"/>
  <c r="E1305" i="1" s="1"/>
  <c r="C2368" i="1" l="1"/>
  <c r="D2368" i="1" s="1"/>
  <c r="B2369" i="1"/>
  <c r="J1305" i="1"/>
  <c r="G1305" i="1" s="1"/>
  <c r="H1305" i="1"/>
  <c r="F1305" i="1"/>
  <c r="B2370" i="1" l="1"/>
  <c r="C2369" i="1"/>
  <c r="D2369" i="1" s="1"/>
  <c r="I1305" i="1"/>
  <c r="E1306" i="1" s="1"/>
  <c r="C2370" i="1" l="1"/>
  <c r="D2370" i="1" s="1"/>
  <c r="B2371" i="1"/>
  <c r="H1306" i="1"/>
  <c r="J1306" i="1"/>
  <c r="G1306" i="1" s="1"/>
  <c r="F1306" i="1"/>
  <c r="I1306" i="1" l="1"/>
  <c r="E1307" i="1" s="1"/>
  <c r="C2371" i="1"/>
  <c r="D2371" i="1" s="1"/>
  <c r="B2372" i="1"/>
  <c r="J1307" i="1"/>
  <c r="G1307" i="1" s="1"/>
  <c r="H1307" i="1"/>
  <c r="F1307" i="1"/>
  <c r="C2372" i="1" l="1"/>
  <c r="D2372" i="1" s="1"/>
  <c r="B2373" i="1"/>
  <c r="I1307" i="1"/>
  <c r="E1308" i="1" s="1"/>
  <c r="B2374" i="1" l="1"/>
  <c r="C2373" i="1"/>
  <c r="D2373" i="1" s="1"/>
  <c r="J1308" i="1"/>
  <c r="G1308" i="1" s="1"/>
  <c r="H1308" i="1"/>
  <c r="F1308" i="1"/>
  <c r="B2375" i="1" l="1"/>
  <c r="C2374" i="1"/>
  <c r="D2374" i="1" s="1"/>
  <c r="I1308" i="1"/>
  <c r="E1309" i="1" s="1"/>
  <c r="B2376" i="1" l="1"/>
  <c r="C2375" i="1"/>
  <c r="D2375" i="1" s="1"/>
  <c r="J1309" i="1"/>
  <c r="G1309" i="1" s="1"/>
  <c r="F1309" i="1"/>
  <c r="H1309" i="1"/>
  <c r="C2376" i="1" l="1"/>
  <c r="D2376" i="1" s="1"/>
  <c r="B2377" i="1"/>
  <c r="I1309" i="1"/>
  <c r="E1310" i="1" s="1"/>
  <c r="B2378" i="1" l="1"/>
  <c r="C2377" i="1"/>
  <c r="D2377" i="1" s="1"/>
  <c r="J1310" i="1"/>
  <c r="G1310" i="1" s="1"/>
  <c r="F1310" i="1"/>
  <c r="H1310" i="1"/>
  <c r="C2378" i="1" l="1"/>
  <c r="D2378" i="1" s="1"/>
  <c r="B2379" i="1"/>
  <c r="I1310" i="1"/>
  <c r="E1311" i="1" s="1"/>
  <c r="C2379" i="1" l="1"/>
  <c r="D2379" i="1" s="1"/>
  <c r="B2380" i="1"/>
  <c r="H1311" i="1"/>
  <c r="F1311" i="1"/>
  <c r="J1311" i="1"/>
  <c r="G1311" i="1" s="1"/>
  <c r="C2380" i="1" l="1"/>
  <c r="D2380" i="1" s="1"/>
  <c r="B2381" i="1"/>
  <c r="I1311" i="1"/>
  <c r="E1312" i="1" s="1"/>
  <c r="C2381" i="1" l="1"/>
  <c r="D2381" i="1" s="1"/>
  <c r="B2382" i="1"/>
  <c r="J1312" i="1"/>
  <c r="G1312" i="1" s="1"/>
  <c r="F1312" i="1"/>
  <c r="H1312" i="1"/>
  <c r="C2382" i="1" l="1"/>
  <c r="D2382" i="1" s="1"/>
  <c r="B2383" i="1"/>
  <c r="I1312" i="1"/>
  <c r="E1313" i="1" s="1"/>
  <c r="C2383" i="1" l="1"/>
  <c r="D2383" i="1" s="1"/>
  <c r="B2384" i="1"/>
  <c r="J1313" i="1"/>
  <c r="G1313" i="1" s="1"/>
  <c r="F1313" i="1"/>
  <c r="H1313" i="1"/>
  <c r="C2384" i="1" l="1"/>
  <c r="D2384" i="1" s="1"/>
  <c r="B2385" i="1"/>
  <c r="I1313" i="1"/>
  <c r="E1314" i="1" s="1"/>
  <c r="C2385" i="1" l="1"/>
  <c r="D2385" i="1" s="1"/>
  <c r="B2386" i="1"/>
  <c r="H1314" i="1"/>
  <c r="F1314" i="1"/>
  <c r="J1314" i="1"/>
  <c r="G1314" i="1" s="1"/>
  <c r="C2386" i="1" l="1"/>
  <c r="D2386" i="1" s="1"/>
  <c r="B2387" i="1"/>
  <c r="I1314" i="1"/>
  <c r="E1315" i="1" s="1"/>
  <c r="C2387" i="1" l="1"/>
  <c r="D2387" i="1" s="1"/>
  <c r="B2388" i="1"/>
  <c r="H1315" i="1"/>
  <c r="F1315" i="1"/>
  <c r="J1315" i="1"/>
  <c r="G1315" i="1" s="1"/>
  <c r="C2388" i="1" l="1"/>
  <c r="D2388" i="1" s="1"/>
  <c r="B2389" i="1"/>
  <c r="I1315" i="1"/>
  <c r="E1316" i="1" s="1"/>
  <c r="C2389" i="1" l="1"/>
  <c r="D2389" i="1" s="1"/>
  <c r="B2390" i="1"/>
  <c r="F1316" i="1"/>
  <c r="J1316" i="1"/>
  <c r="G1316" i="1" s="1"/>
  <c r="H1316" i="1"/>
  <c r="I1316" i="1" s="1"/>
  <c r="E1317" i="1" s="1"/>
  <c r="C2390" i="1" l="1"/>
  <c r="D2390" i="1" s="1"/>
  <c r="B2391" i="1"/>
  <c r="H1317" i="1"/>
  <c r="J1317" i="1"/>
  <c r="G1317" i="1" s="1"/>
  <c r="F1317" i="1"/>
  <c r="I1317" i="1" l="1"/>
  <c r="E1318" i="1" s="1"/>
  <c r="C2391" i="1"/>
  <c r="D2391" i="1" s="1"/>
  <c r="B2392" i="1"/>
  <c r="J1318" i="1"/>
  <c r="G1318" i="1" s="1"/>
  <c r="F1318" i="1"/>
  <c r="H1318" i="1"/>
  <c r="B2393" i="1" l="1"/>
  <c r="C2392" i="1"/>
  <c r="D2392" i="1" s="1"/>
  <c r="I1318" i="1"/>
  <c r="E1319" i="1" s="1"/>
  <c r="B2394" i="1" l="1"/>
  <c r="C2393" i="1"/>
  <c r="D2393" i="1" s="1"/>
  <c r="H1319" i="1"/>
  <c r="F1319" i="1"/>
  <c r="J1319" i="1"/>
  <c r="G1319" i="1" s="1"/>
  <c r="B2395" i="1" l="1"/>
  <c r="C2394" i="1"/>
  <c r="D2394" i="1" s="1"/>
  <c r="I1319" i="1"/>
  <c r="E1320" i="1" s="1"/>
  <c r="B2396" i="1" l="1"/>
  <c r="C2395" i="1"/>
  <c r="D2395" i="1" s="1"/>
  <c r="J1320" i="1"/>
  <c r="G1320" i="1" s="1"/>
  <c r="F1320" i="1"/>
  <c r="H1320" i="1"/>
  <c r="C2396" i="1" l="1"/>
  <c r="D2396" i="1" s="1"/>
  <c r="B2397" i="1"/>
  <c r="I1320" i="1"/>
  <c r="E1321" i="1" s="1"/>
  <c r="C2397" i="1" l="1"/>
  <c r="D2397" i="1" s="1"/>
  <c r="B2398" i="1"/>
  <c r="J1321" i="1"/>
  <c r="G1321" i="1" s="1"/>
  <c r="F1321" i="1"/>
  <c r="H1321" i="1"/>
  <c r="B2399" i="1" l="1"/>
  <c r="C2398" i="1"/>
  <c r="D2398" i="1" s="1"/>
  <c r="I1321" i="1"/>
  <c r="E1322" i="1" s="1"/>
  <c r="C2399" i="1" l="1"/>
  <c r="D2399" i="1" s="1"/>
  <c r="B2400" i="1"/>
  <c r="H1322" i="1"/>
  <c r="F1322" i="1"/>
  <c r="J1322" i="1"/>
  <c r="G1322" i="1" s="1"/>
  <c r="C2400" i="1" l="1"/>
  <c r="D2400" i="1" s="1"/>
  <c r="B2401" i="1"/>
  <c r="I1322" i="1"/>
  <c r="E1323" i="1" s="1"/>
  <c r="B2402" i="1" l="1"/>
  <c r="C2401" i="1"/>
  <c r="D2401" i="1" s="1"/>
  <c r="F1323" i="1"/>
  <c r="H1323" i="1"/>
  <c r="J1323" i="1"/>
  <c r="G1323" i="1" s="1"/>
  <c r="C2402" i="1" l="1"/>
  <c r="D2402" i="1" s="1"/>
  <c r="B2403" i="1"/>
  <c r="I1323" i="1"/>
  <c r="E1324" i="1" s="1"/>
  <c r="C2403" i="1" l="1"/>
  <c r="D2403" i="1" s="1"/>
  <c r="B2404" i="1"/>
  <c r="F1324" i="1"/>
  <c r="H1324" i="1"/>
  <c r="J1324" i="1"/>
  <c r="G1324" i="1" s="1"/>
  <c r="C2404" i="1" l="1"/>
  <c r="D2404" i="1" s="1"/>
  <c r="B2405" i="1"/>
  <c r="I1324" i="1"/>
  <c r="E1325" i="1" s="1"/>
  <c r="B2406" i="1" l="1"/>
  <c r="C2405" i="1"/>
  <c r="D2405" i="1" s="1"/>
  <c r="H1325" i="1"/>
  <c r="J1325" i="1"/>
  <c r="G1325" i="1" s="1"/>
  <c r="F1325" i="1"/>
  <c r="C2406" i="1" l="1"/>
  <c r="D2406" i="1" s="1"/>
  <c r="B2407" i="1"/>
  <c r="I1325" i="1"/>
  <c r="E1326" i="1" s="1"/>
  <c r="C2407" i="1" l="1"/>
  <c r="D2407" i="1" s="1"/>
  <c r="B2408" i="1"/>
  <c r="J1326" i="1"/>
  <c r="G1326" i="1" s="1"/>
  <c r="H1326" i="1"/>
  <c r="F1326" i="1"/>
  <c r="C2408" i="1" l="1"/>
  <c r="D2408" i="1" s="1"/>
  <c r="B2409" i="1"/>
  <c r="I1326" i="1"/>
  <c r="E1327" i="1" s="1"/>
  <c r="C2409" i="1" l="1"/>
  <c r="D2409" i="1" s="1"/>
  <c r="B2410" i="1"/>
  <c r="F1327" i="1"/>
  <c r="J1327" i="1"/>
  <c r="G1327" i="1" s="1"/>
  <c r="H1327" i="1"/>
  <c r="C2410" i="1" l="1"/>
  <c r="D2410" i="1" s="1"/>
  <c r="B2411" i="1"/>
  <c r="I1327" i="1"/>
  <c r="E1328" i="1" s="1"/>
  <c r="C2411" i="1" l="1"/>
  <c r="D2411" i="1" s="1"/>
  <c r="B2412" i="1"/>
  <c r="F1328" i="1"/>
  <c r="H1328" i="1"/>
  <c r="J1328" i="1"/>
  <c r="G1328" i="1" s="1"/>
  <c r="B2413" i="1" l="1"/>
  <c r="C2412" i="1"/>
  <c r="D2412" i="1" s="1"/>
  <c r="I1328" i="1"/>
  <c r="E1329" i="1" s="1"/>
  <c r="C2413" i="1" l="1"/>
  <c r="D2413" i="1" s="1"/>
  <c r="B2414" i="1"/>
  <c r="F1329" i="1"/>
  <c r="H1329" i="1"/>
  <c r="J1329" i="1"/>
  <c r="G1329" i="1" s="1"/>
  <c r="B2415" i="1" l="1"/>
  <c r="C2414" i="1"/>
  <c r="D2414" i="1" s="1"/>
  <c r="I1329" i="1"/>
  <c r="E1330" i="1" s="1"/>
  <c r="B2416" i="1" l="1"/>
  <c r="C2415" i="1"/>
  <c r="D2415" i="1" s="1"/>
  <c r="F1330" i="1"/>
  <c r="J1330" i="1"/>
  <c r="G1330" i="1" s="1"/>
  <c r="H1330" i="1"/>
  <c r="I1330" i="1" s="1"/>
  <c r="E1331" i="1" s="1"/>
  <c r="C2416" i="1" l="1"/>
  <c r="D2416" i="1" s="1"/>
  <c r="B2417" i="1"/>
  <c r="F1331" i="1"/>
  <c r="H1331" i="1"/>
  <c r="J1331" i="1"/>
  <c r="G1331" i="1" s="1"/>
  <c r="C2417" i="1" l="1"/>
  <c r="D2417" i="1" s="1"/>
  <c r="B2418" i="1"/>
  <c r="I1331" i="1"/>
  <c r="E1332" i="1" s="1"/>
  <c r="C2418" i="1" l="1"/>
  <c r="D2418" i="1" s="1"/>
  <c r="B2419" i="1"/>
  <c r="F1332" i="1"/>
  <c r="H1332" i="1"/>
  <c r="J1332" i="1"/>
  <c r="G1332" i="1" s="1"/>
  <c r="B2420" i="1" l="1"/>
  <c r="C2419" i="1"/>
  <c r="D2419" i="1" s="1"/>
  <c r="I1332" i="1"/>
  <c r="E1333" i="1" s="1"/>
  <c r="B2421" i="1" l="1"/>
  <c r="C2420" i="1"/>
  <c r="D2420" i="1" s="1"/>
  <c r="F1333" i="1"/>
  <c r="J1333" i="1"/>
  <c r="G1333" i="1" s="1"/>
  <c r="H1333" i="1"/>
  <c r="I1333" i="1" s="1"/>
  <c r="E1334" i="1" s="1"/>
  <c r="C2421" i="1" l="1"/>
  <c r="D2421" i="1" s="1"/>
  <c r="B2422" i="1"/>
  <c r="J1334" i="1"/>
  <c r="G1334" i="1" s="1"/>
  <c r="F1334" i="1"/>
  <c r="H1334" i="1"/>
  <c r="I1334" i="1" l="1"/>
  <c r="E1335" i="1" s="1"/>
  <c r="C2422" i="1"/>
  <c r="D2422" i="1" s="1"/>
  <c r="B2423" i="1"/>
  <c r="H1335" i="1"/>
  <c r="J1335" i="1"/>
  <c r="G1335" i="1" s="1"/>
  <c r="F1335" i="1"/>
  <c r="C2423" i="1" l="1"/>
  <c r="D2423" i="1" s="1"/>
  <c r="B2424" i="1"/>
  <c r="I1335" i="1"/>
  <c r="E1336" i="1" s="1"/>
  <c r="C2424" i="1" l="1"/>
  <c r="D2424" i="1" s="1"/>
  <c r="B2425" i="1"/>
  <c r="H1336" i="1"/>
  <c r="J1336" i="1"/>
  <c r="G1336" i="1" s="1"/>
  <c r="F1336" i="1"/>
  <c r="C2425" i="1" l="1"/>
  <c r="D2425" i="1" s="1"/>
  <c r="B2426" i="1"/>
  <c r="I1336" i="1"/>
  <c r="E1337" i="1" s="1"/>
  <c r="C2426" i="1" l="1"/>
  <c r="D2426" i="1" s="1"/>
  <c r="B2427" i="1"/>
  <c r="H1337" i="1"/>
  <c r="J1337" i="1"/>
  <c r="G1337" i="1" s="1"/>
  <c r="F1337" i="1"/>
  <c r="B2428" i="1" l="1"/>
  <c r="C2427" i="1"/>
  <c r="D2427" i="1" s="1"/>
  <c r="I1337" i="1"/>
  <c r="E1338" i="1" s="1"/>
  <c r="C2428" i="1" l="1"/>
  <c r="D2428" i="1" s="1"/>
  <c r="B2429" i="1"/>
  <c r="F1338" i="1"/>
  <c r="J1338" i="1"/>
  <c r="G1338" i="1" s="1"/>
  <c r="H1338" i="1"/>
  <c r="I1338" i="1" s="1"/>
  <c r="E1339" i="1" s="1"/>
  <c r="B2430" i="1" l="1"/>
  <c r="C2429" i="1"/>
  <c r="D2429" i="1" s="1"/>
  <c r="F1339" i="1"/>
  <c r="H1339" i="1"/>
  <c r="J1339" i="1"/>
  <c r="G1339" i="1" s="1"/>
  <c r="C2430" i="1" l="1"/>
  <c r="D2430" i="1" s="1"/>
  <c r="B2431" i="1"/>
  <c r="I1339" i="1"/>
  <c r="E1340" i="1" s="1"/>
  <c r="C2431" i="1" l="1"/>
  <c r="D2431" i="1" s="1"/>
  <c r="B2432" i="1"/>
  <c r="H1340" i="1"/>
  <c r="J1340" i="1"/>
  <c r="G1340" i="1" s="1"/>
  <c r="F1340" i="1"/>
  <c r="I1340" i="1" l="1"/>
  <c r="E1341" i="1" s="1"/>
  <c r="C2432" i="1"/>
  <c r="D2432" i="1" s="1"/>
  <c r="B2433" i="1"/>
  <c r="J1341" i="1"/>
  <c r="G1341" i="1" s="1"/>
  <c r="H1341" i="1"/>
  <c r="F1341" i="1"/>
  <c r="C2433" i="1" l="1"/>
  <c r="D2433" i="1" s="1"/>
  <c r="B2434" i="1"/>
  <c r="I1341" i="1"/>
  <c r="E1342" i="1" s="1"/>
  <c r="C2434" i="1" l="1"/>
  <c r="D2434" i="1" s="1"/>
  <c r="B2435" i="1"/>
  <c r="F1342" i="1"/>
  <c r="J1342" i="1"/>
  <c r="G1342" i="1" s="1"/>
  <c r="H1342" i="1"/>
  <c r="I1342" i="1" s="1"/>
  <c r="E1343" i="1" s="1"/>
  <c r="B2436" i="1" l="1"/>
  <c r="C2435" i="1"/>
  <c r="D2435" i="1" s="1"/>
  <c r="F1343" i="1"/>
  <c r="J1343" i="1"/>
  <c r="G1343" i="1" s="1"/>
  <c r="H1343" i="1"/>
  <c r="I1343" i="1" s="1"/>
  <c r="E1344" i="1" s="1"/>
  <c r="B2437" i="1" l="1"/>
  <c r="C2436" i="1"/>
  <c r="D2436" i="1" s="1"/>
  <c r="F1344" i="1"/>
  <c r="H1344" i="1"/>
  <c r="J1344" i="1"/>
  <c r="G1344" i="1" s="1"/>
  <c r="C2437" i="1" l="1"/>
  <c r="D2437" i="1" s="1"/>
  <c r="B2438" i="1"/>
  <c r="I1344" i="1"/>
  <c r="E1345" i="1" s="1"/>
  <c r="C2438" i="1" l="1"/>
  <c r="D2438" i="1" s="1"/>
  <c r="B2439" i="1"/>
  <c r="F1345" i="1"/>
  <c r="H1345" i="1"/>
  <c r="J1345" i="1"/>
  <c r="G1345" i="1" s="1"/>
  <c r="C2439" i="1" l="1"/>
  <c r="D2439" i="1" s="1"/>
  <c r="B2440" i="1"/>
  <c r="I1345" i="1"/>
  <c r="E1346" i="1" s="1"/>
  <c r="B2441" i="1" l="1"/>
  <c r="C2440" i="1"/>
  <c r="D2440" i="1" s="1"/>
  <c r="F1346" i="1"/>
  <c r="H1346" i="1"/>
  <c r="J1346" i="1"/>
  <c r="G1346" i="1" s="1"/>
  <c r="C2441" i="1" l="1"/>
  <c r="D2441" i="1" s="1"/>
  <c r="B2442" i="1"/>
  <c r="I1346" i="1"/>
  <c r="E1347" i="1" s="1"/>
  <c r="C2442" i="1" l="1"/>
  <c r="D2442" i="1" s="1"/>
  <c r="B2443" i="1"/>
  <c r="F1347" i="1"/>
  <c r="H1347" i="1"/>
  <c r="J1347" i="1"/>
  <c r="G1347" i="1" s="1"/>
  <c r="C2443" i="1" l="1"/>
  <c r="D2443" i="1" s="1"/>
  <c r="B2444" i="1"/>
  <c r="I1347" i="1"/>
  <c r="E1348" i="1" s="1"/>
  <c r="C2444" i="1" l="1"/>
  <c r="D2444" i="1" s="1"/>
  <c r="B2445" i="1"/>
  <c r="J1348" i="1"/>
  <c r="G1348" i="1" s="1"/>
  <c r="F1348" i="1"/>
  <c r="H1348" i="1"/>
  <c r="B2446" i="1" l="1"/>
  <c r="C2445" i="1"/>
  <c r="D2445" i="1" s="1"/>
  <c r="I1348" i="1"/>
  <c r="E1349" i="1" s="1"/>
  <c r="C2446" i="1" l="1"/>
  <c r="D2446" i="1" s="1"/>
  <c r="B2447" i="1"/>
  <c r="H1349" i="1"/>
  <c r="J1349" i="1"/>
  <c r="G1349" i="1" s="1"/>
  <c r="F1349" i="1"/>
  <c r="C2447" i="1" l="1"/>
  <c r="D2447" i="1" s="1"/>
  <c r="B2448" i="1"/>
  <c r="I1349" i="1"/>
  <c r="E1350" i="1" s="1"/>
  <c r="C2448" i="1" l="1"/>
  <c r="D2448" i="1" s="1"/>
  <c r="B2449" i="1"/>
  <c r="H1350" i="1"/>
  <c r="F1350" i="1"/>
  <c r="J1350" i="1"/>
  <c r="G1350" i="1" s="1"/>
  <c r="C2449" i="1" l="1"/>
  <c r="D2449" i="1" s="1"/>
  <c r="B2450" i="1"/>
  <c r="I1350" i="1"/>
  <c r="E1351" i="1" s="1"/>
  <c r="C2450" i="1" l="1"/>
  <c r="D2450" i="1" s="1"/>
  <c r="B2451" i="1"/>
  <c r="F1351" i="1"/>
  <c r="J1351" i="1"/>
  <c r="G1351" i="1" s="1"/>
  <c r="H1351" i="1"/>
  <c r="I1351" i="1" s="1"/>
  <c r="E1352" i="1" s="1"/>
  <c r="C2451" i="1" l="1"/>
  <c r="D2451" i="1" s="1"/>
  <c r="B2452" i="1"/>
  <c r="J1352" i="1"/>
  <c r="G1352" i="1" s="1"/>
  <c r="F1352" i="1"/>
  <c r="H1352" i="1"/>
  <c r="I1352" i="1" s="1"/>
  <c r="E1353" i="1" s="1"/>
  <c r="C2452" i="1" l="1"/>
  <c r="D2452" i="1" s="1"/>
  <c r="B2453" i="1"/>
  <c r="F1353" i="1"/>
  <c r="H1353" i="1"/>
  <c r="J1353" i="1"/>
  <c r="G1353" i="1" s="1"/>
  <c r="C2453" i="1" l="1"/>
  <c r="D2453" i="1" s="1"/>
  <c r="B2454" i="1"/>
  <c r="I1353" i="1"/>
  <c r="E1354" i="1" s="1"/>
  <c r="C2454" i="1" l="1"/>
  <c r="D2454" i="1" s="1"/>
  <c r="B2455" i="1"/>
  <c r="F1354" i="1"/>
  <c r="J1354" i="1"/>
  <c r="G1354" i="1" s="1"/>
  <c r="H1354" i="1"/>
  <c r="I1354" i="1" s="1"/>
  <c r="E1355" i="1" s="1"/>
  <c r="C2455" i="1" l="1"/>
  <c r="D2455" i="1" s="1"/>
  <c r="B2456" i="1"/>
  <c r="F1355" i="1"/>
  <c r="J1355" i="1"/>
  <c r="G1355" i="1" s="1"/>
  <c r="H1355" i="1"/>
  <c r="B2457" i="1" l="1"/>
  <c r="C2456" i="1"/>
  <c r="D2456" i="1" s="1"/>
  <c r="I1355" i="1"/>
  <c r="E1356" i="1" s="1"/>
  <c r="B2458" i="1" l="1"/>
  <c r="C2457" i="1"/>
  <c r="D2457" i="1" s="1"/>
  <c r="H1356" i="1"/>
  <c r="F1356" i="1"/>
  <c r="J1356" i="1"/>
  <c r="G1356" i="1" s="1"/>
  <c r="B2459" i="1" l="1"/>
  <c r="C2458" i="1"/>
  <c r="D2458" i="1" s="1"/>
  <c r="I1356" i="1"/>
  <c r="E1357" i="1" s="1"/>
  <c r="C2459" i="1" l="1"/>
  <c r="D2459" i="1" s="1"/>
  <c r="B2460" i="1"/>
  <c r="J1357" i="1"/>
  <c r="G1357" i="1" s="1"/>
  <c r="H1357" i="1"/>
  <c r="F1357" i="1"/>
  <c r="C2460" i="1" l="1"/>
  <c r="D2460" i="1" s="1"/>
  <c r="B2461" i="1"/>
  <c r="I1357" i="1"/>
  <c r="E1358" i="1" s="1"/>
  <c r="C2461" i="1" l="1"/>
  <c r="D2461" i="1" s="1"/>
  <c r="B2462" i="1"/>
  <c r="H1358" i="1"/>
  <c r="J1358" i="1"/>
  <c r="G1358" i="1" s="1"/>
  <c r="F1358" i="1"/>
  <c r="I1358" i="1" l="1"/>
  <c r="E1359" i="1" s="1"/>
  <c r="C2462" i="1"/>
  <c r="D2462" i="1" s="1"/>
  <c r="B2463" i="1"/>
  <c r="J1359" i="1"/>
  <c r="G1359" i="1" s="1"/>
  <c r="H1359" i="1"/>
  <c r="F1359" i="1"/>
  <c r="B2464" i="1" l="1"/>
  <c r="C2463" i="1"/>
  <c r="D2463" i="1" s="1"/>
  <c r="I1359" i="1"/>
  <c r="E1360" i="1" s="1"/>
  <c r="C2464" i="1" l="1"/>
  <c r="D2464" i="1" s="1"/>
  <c r="B2465" i="1"/>
  <c r="H1360" i="1"/>
  <c r="F1360" i="1"/>
  <c r="J1360" i="1"/>
  <c r="G1360" i="1" s="1"/>
  <c r="B2466" i="1" l="1"/>
  <c r="C2465" i="1"/>
  <c r="D2465" i="1" s="1"/>
  <c r="I1360" i="1"/>
  <c r="E1361" i="1" s="1"/>
  <c r="C2466" i="1" l="1"/>
  <c r="D2466" i="1" s="1"/>
  <c r="B2467" i="1"/>
  <c r="H1361" i="1"/>
  <c r="F1361" i="1"/>
  <c r="J1361" i="1"/>
  <c r="G1361" i="1" s="1"/>
  <c r="C2467" i="1" l="1"/>
  <c r="D2467" i="1" s="1"/>
  <c r="B2468" i="1"/>
  <c r="I1361" i="1"/>
  <c r="E1362" i="1" s="1"/>
  <c r="C2468" i="1" l="1"/>
  <c r="D2468" i="1" s="1"/>
  <c r="B2469" i="1"/>
  <c r="H1362" i="1"/>
  <c r="J1362" i="1"/>
  <c r="G1362" i="1" s="1"/>
  <c r="F1362" i="1"/>
  <c r="I1362" i="1" l="1"/>
  <c r="E1363" i="1" s="1"/>
  <c r="B2470" i="1"/>
  <c r="C2469" i="1"/>
  <c r="D2469" i="1" s="1"/>
  <c r="F1363" i="1"/>
  <c r="H1363" i="1"/>
  <c r="J1363" i="1"/>
  <c r="G1363" i="1" s="1"/>
  <c r="B2471" i="1" l="1"/>
  <c r="C2470" i="1"/>
  <c r="D2470" i="1" s="1"/>
  <c r="I1363" i="1"/>
  <c r="E1364" i="1" s="1"/>
  <c r="B2472" i="1" l="1"/>
  <c r="C2471" i="1"/>
  <c r="D2471" i="1" s="1"/>
  <c r="F1364" i="1"/>
  <c r="H1364" i="1"/>
  <c r="J1364" i="1"/>
  <c r="G1364" i="1" s="1"/>
  <c r="C2472" i="1" l="1"/>
  <c r="D2472" i="1" s="1"/>
  <c r="B2473" i="1"/>
  <c r="I1364" i="1"/>
  <c r="E1365" i="1" s="1"/>
  <c r="B2474" i="1" l="1"/>
  <c r="C2473" i="1"/>
  <c r="D2473" i="1" s="1"/>
  <c r="F1365" i="1"/>
  <c r="J1365" i="1"/>
  <c r="G1365" i="1" s="1"/>
  <c r="H1365" i="1"/>
  <c r="I1365" i="1" s="1"/>
  <c r="E1366" i="1" s="1"/>
  <c r="B2475" i="1" l="1"/>
  <c r="C2474" i="1"/>
  <c r="D2474" i="1" s="1"/>
  <c r="F1366" i="1"/>
  <c r="J1366" i="1"/>
  <c r="G1366" i="1" s="1"/>
  <c r="H1366" i="1"/>
  <c r="I1366" i="1" l="1"/>
  <c r="E1367" i="1" s="1"/>
  <c r="C2475" i="1"/>
  <c r="D2475" i="1" s="1"/>
  <c r="B2476" i="1"/>
  <c r="F1367" i="1"/>
  <c r="H1367" i="1"/>
  <c r="J1367" i="1"/>
  <c r="G1367" i="1" s="1"/>
  <c r="B2477" i="1" l="1"/>
  <c r="C2476" i="1"/>
  <c r="D2476" i="1" s="1"/>
  <c r="I1367" i="1"/>
  <c r="E1368" i="1" s="1"/>
  <c r="B2478" i="1" l="1"/>
  <c r="C2477" i="1"/>
  <c r="D2477" i="1" s="1"/>
  <c r="F1368" i="1"/>
  <c r="J1368" i="1"/>
  <c r="G1368" i="1" s="1"/>
  <c r="H1368" i="1"/>
  <c r="I1368" i="1" s="1"/>
  <c r="E1369" i="1" s="1"/>
  <c r="B2479" i="1" l="1"/>
  <c r="C2478" i="1"/>
  <c r="D2478" i="1" s="1"/>
  <c r="F1369" i="1"/>
  <c r="J1369" i="1"/>
  <c r="G1369" i="1" s="1"/>
  <c r="H1369" i="1"/>
  <c r="I1369" i="1" s="1"/>
  <c r="E1370" i="1" s="1"/>
  <c r="C2479" i="1" l="1"/>
  <c r="D2479" i="1" s="1"/>
  <c r="B2480" i="1"/>
  <c r="F1370" i="1"/>
  <c r="H1370" i="1"/>
  <c r="J1370" i="1"/>
  <c r="G1370" i="1" s="1"/>
  <c r="B2481" i="1" l="1"/>
  <c r="C2480" i="1"/>
  <c r="D2480" i="1" s="1"/>
  <c r="I1370" i="1"/>
  <c r="E1371" i="1" s="1"/>
  <c r="B2482" i="1" l="1"/>
  <c r="C2481" i="1"/>
  <c r="D2481" i="1" s="1"/>
  <c r="F1371" i="1"/>
  <c r="H1371" i="1"/>
  <c r="J1371" i="1"/>
  <c r="G1371" i="1" s="1"/>
  <c r="B2483" i="1" l="1"/>
  <c r="C2482" i="1"/>
  <c r="D2482" i="1" s="1"/>
  <c r="I1371" i="1"/>
  <c r="E1372" i="1" s="1"/>
  <c r="C2483" i="1" l="1"/>
  <c r="D2483" i="1" s="1"/>
  <c r="B2484" i="1"/>
  <c r="F1372" i="1"/>
  <c r="H1372" i="1"/>
  <c r="J1372" i="1"/>
  <c r="G1372" i="1" s="1"/>
  <c r="C2484" i="1" l="1"/>
  <c r="D2484" i="1" s="1"/>
  <c r="B2485" i="1"/>
  <c r="I1372" i="1"/>
  <c r="E1373" i="1" s="1"/>
  <c r="C2485" i="1" l="1"/>
  <c r="D2485" i="1" s="1"/>
  <c r="B2486" i="1"/>
  <c r="F1373" i="1"/>
  <c r="H1373" i="1"/>
  <c r="J1373" i="1"/>
  <c r="G1373" i="1" s="1"/>
  <c r="C2486" i="1" l="1"/>
  <c r="D2486" i="1" s="1"/>
  <c r="B2487" i="1"/>
  <c r="I1373" i="1"/>
  <c r="E1374" i="1" s="1"/>
  <c r="C2487" i="1" l="1"/>
  <c r="D2487" i="1" s="1"/>
  <c r="B2488" i="1"/>
  <c r="F1374" i="1"/>
  <c r="H1374" i="1"/>
  <c r="J1374" i="1"/>
  <c r="G1374" i="1" s="1"/>
  <c r="C2488" i="1" l="1"/>
  <c r="D2488" i="1" s="1"/>
  <c r="B2489" i="1"/>
  <c r="I1374" i="1"/>
  <c r="E1375" i="1" s="1"/>
  <c r="C2489" i="1" l="1"/>
  <c r="D2489" i="1" s="1"/>
  <c r="B2490" i="1"/>
  <c r="F1375" i="1"/>
  <c r="J1375" i="1"/>
  <c r="G1375" i="1" s="1"/>
  <c r="H1375" i="1"/>
  <c r="I1375" i="1" s="1"/>
  <c r="E1376" i="1" s="1"/>
  <c r="C2490" i="1" l="1"/>
  <c r="D2490" i="1" s="1"/>
  <c r="B2491" i="1"/>
  <c r="F1376" i="1"/>
  <c r="H1376" i="1"/>
  <c r="J1376" i="1"/>
  <c r="G1376" i="1" s="1"/>
  <c r="C2491" i="1" l="1"/>
  <c r="D2491" i="1" s="1"/>
  <c r="B2492" i="1"/>
  <c r="I1376" i="1"/>
  <c r="E1377" i="1" s="1"/>
  <c r="C2492" i="1" l="1"/>
  <c r="D2492" i="1" s="1"/>
  <c r="B2493" i="1"/>
  <c r="F1377" i="1"/>
  <c r="J1377" i="1"/>
  <c r="G1377" i="1" s="1"/>
  <c r="H1377" i="1"/>
  <c r="I1377" i="1" s="1"/>
  <c r="E1378" i="1" s="1"/>
  <c r="C2493" i="1" l="1"/>
  <c r="D2493" i="1" s="1"/>
  <c r="B2494" i="1"/>
  <c r="F1378" i="1"/>
  <c r="H1378" i="1"/>
  <c r="J1378" i="1"/>
  <c r="G1378" i="1" s="1"/>
  <c r="C2494" i="1" l="1"/>
  <c r="D2494" i="1" s="1"/>
  <c r="B2495" i="1"/>
  <c r="I1378" i="1"/>
  <c r="E1379" i="1" s="1"/>
  <c r="C2495" i="1" l="1"/>
  <c r="D2495" i="1" s="1"/>
  <c r="B2496" i="1"/>
  <c r="F1379" i="1"/>
  <c r="H1379" i="1"/>
  <c r="J1379" i="1"/>
  <c r="G1379" i="1" s="1"/>
  <c r="B2497" i="1" l="1"/>
  <c r="C2496" i="1"/>
  <c r="D2496" i="1" s="1"/>
  <c r="I1379" i="1"/>
  <c r="E1380" i="1" s="1"/>
  <c r="B2498" i="1" l="1"/>
  <c r="C2497" i="1"/>
  <c r="D2497" i="1" s="1"/>
  <c r="F1380" i="1"/>
  <c r="H1380" i="1"/>
  <c r="J1380" i="1"/>
  <c r="G1380" i="1" s="1"/>
  <c r="C2498" i="1" l="1"/>
  <c r="D2498" i="1" s="1"/>
  <c r="B2499" i="1"/>
  <c r="I1380" i="1"/>
  <c r="E1381" i="1" s="1"/>
  <c r="C2499" i="1" l="1"/>
  <c r="D2499" i="1" s="1"/>
  <c r="B2500" i="1"/>
  <c r="F1381" i="1"/>
  <c r="J1381" i="1"/>
  <c r="G1381" i="1" s="1"/>
  <c r="H1381" i="1"/>
  <c r="I1381" i="1" s="1"/>
  <c r="E1382" i="1" s="1"/>
  <c r="C2500" i="1" l="1"/>
  <c r="D2500" i="1" s="1"/>
  <c r="B2501" i="1"/>
  <c r="J1382" i="1"/>
  <c r="G1382" i="1" s="1"/>
  <c r="H1382" i="1"/>
  <c r="F1382" i="1"/>
  <c r="B2502" i="1" l="1"/>
  <c r="C2501" i="1"/>
  <c r="D2501" i="1" s="1"/>
  <c r="I1382" i="1"/>
  <c r="E1383" i="1" s="1"/>
  <c r="C2502" i="1" l="1"/>
  <c r="D2502" i="1" s="1"/>
  <c r="B2503" i="1"/>
  <c r="H1383" i="1"/>
  <c r="J1383" i="1"/>
  <c r="G1383" i="1" s="1"/>
  <c r="F1383" i="1"/>
  <c r="C2503" i="1" l="1"/>
  <c r="D2503" i="1" s="1"/>
  <c r="B2504" i="1"/>
  <c r="I1383" i="1"/>
  <c r="E1384" i="1" s="1"/>
  <c r="C2504" i="1" l="1"/>
  <c r="D2504" i="1" s="1"/>
  <c r="B2505" i="1"/>
  <c r="J1384" i="1"/>
  <c r="G1384" i="1" s="1"/>
  <c r="H1384" i="1"/>
  <c r="F1384" i="1"/>
  <c r="C2505" i="1" l="1"/>
  <c r="D2505" i="1" s="1"/>
  <c r="B2506" i="1"/>
  <c r="I1384" i="1"/>
  <c r="E1385" i="1" s="1"/>
  <c r="C2506" i="1" l="1"/>
  <c r="D2506" i="1" s="1"/>
  <c r="B2507" i="1"/>
  <c r="J1385" i="1"/>
  <c r="G1385" i="1" s="1"/>
  <c r="H1385" i="1"/>
  <c r="F1385" i="1"/>
  <c r="B2508" i="1" l="1"/>
  <c r="C2507" i="1"/>
  <c r="D2507" i="1" s="1"/>
  <c r="I1385" i="1"/>
  <c r="E1386" i="1" s="1"/>
  <c r="B2509" i="1" l="1"/>
  <c r="C2508" i="1"/>
  <c r="D2508" i="1" s="1"/>
  <c r="H1386" i="1"/>
  <c r="F1386" i="1"/>
  <c r="J1386" i="1"/>
  <c r="G1386" i="1" s="1"/>
  <c r="B2510" i="1" l="1"/>
  <c r="C2509" i="1"/>
  <c r="D2509" i="1" s="1"/>
  <c r="I1386" i="1"/>
  <c r="E1387" i="1" s="1"/>
  <c r="B2511" i="1" l="1"/>
  <c r="C2510" i="1"/>
  <c r="D2510" i="1" s="1"/>
  <c r="F1387" i="1"/>
  <c r="H1387" i="1"/>
  <c r="J1387" i="1"/>
  <c r="G1387" i="1" s="1"/>
  <c r="C2511" i="1" l="1"/>
  <c r="D2511" i="1" s="1"/>
  <c r="B2512" i="1"/>
  <c r="I1387" i="1"/>
  <c r="E1388" i="1" s="1"/>
  <c r="C2512" i="1" l="1"/>
  <c r="D2512" i="1" s="1"/>
  <c r="B2513" i="1"/>
  <c r="H1388" i="1"/>
  <c r="J1388" i="1"/>
  <c r="G1388" i="1" s="1"/>
  <c r="F1388" i="1"/>
  <c r="C2513" i="1" l="1"/>
  <c r="D2513" i="1" s="1"/>
  <c r="B2514" i="1"/>
  <c r="I1388" i="1"/>
  <c r="E1389" i="1" s="1"/>
  <c r="C2514" i="1" l="1"/>
  <c r="D2514" i="1" s="1"/>
  <c r="B2515" i="1"/>
  <c r="H1389" i="1"/>
  <c r="J1389" i="1"/>
  <c r="G1389" i="1" s="1"/>
  <c r="F1389" i="1"/>
  <c r="C2515" i="1" l="1"/>
  <c r="D2515" i="1" s="1"/>
  <c r="B2516" i="1"/>
  <c r="I1389" i="1"/>
  <c r="E1390" i="1" s="1"/>
  <c r="B2517" i="1" l="1"/>
  <c r="C2516" i="1"/>
  <c r="D2516" i="1" s="1"/>
  <c r="J1390" i="1"/>
  <c r="G1390" i="1" s="1"/>
  <c r="H1390" i="1"/>
  <c r="F1390" i="1"/>
  <c r="C2517" i="1" l="1"/>
  <c r="D2517" i="1" s="1"/>
  <c r="B2518" i="1"/>
  <c r="I1390" i="1"/>
  <c r="E1391" i="1" s="1"/>
  <c r="C2518" i="1" l="1"/>
  <c r="D2518" i="1" s="1"/>
  <c r="B2519" i="1"/>
  <c r="F1391" i="1"/>
  <c r="H1391" i="1"/>
  <c r="J1391" i="1"/>
  <c r="G1391" i="1" s="1"/>
  <c r="C2519" i="1" l="1"/>
  <c r="D2519" i="1" s="1"/>
  <c r="B2520" i="1"/>
  <c r="I1391" i="1"/>
  <c r="E1392" i="1" s="1"/>
  <c r="B2521" i="1" l="1"/>
  <c r="C2520" i="1"/>
  <c r="D2520" i="1" s="1"/>
  <c r="H1392" i="1"/>
  <c r="J1392" i="1"/>
  <c r="G1392" i="1" s="1"/>
  <c r="F1392" i="1"/>
  <c r="C2521" i="1" l="1"/>
  <c r="D2521" i="1" s="1"/>
  <c r="B2522" i="1"/>
  <c r="I1392" i="1"/>
  <c r="E1393" i="1" s="1"/>
  <c r="B2523" i="1" l="1"/>
  <c r="C2522" i="1"/>
  <c r="D2522" i="1" s="1"/>
  <c r="H1393" i="1"/>
  <c r="F1393" i="1"/>
  <c r="J1393" i="1"/>
  <c r="G1393" i="1" s="1"/>
  <c r="B2524" i="1" l="1"/>
  <c r="C2523" i="1"/>
  <c r="D2523" i="1" s="1"/>
  <c r="I1393" i="1"/>
  <c r="E1394" i="1" s="1"/>
  <c r="B2525" i="1" l="1"/>
  <c r="C2524" i="1"/>
  <c r="D2524" i="1" s="1"/>
  <c r="J1394" i="1"/>
  <c r="G1394" i="1" s="1"/>
  <c r="F1394" i="1"/>
  <c r="H1394" i="1"/>
  <c r="C2525" i="1" l="1"/>
  <c r="D2525" i="1" s="1"/>
  <c r="B2526" i="1"/>
  <c r="I1394" i="1"/>
  <c r="E1395" i="1" s="1"/>
  <c r="B2527" i="1" l="1"/>
  <c r="C2526" i="1"/>
  <c r="D2526" i="1" s="1"/>
  <c r="J1395" i="1"/>
  <c r="G1395" i="1" s="1"/>
  <c r="F1395" i="1"/>
  <c r="H1395" i="1"/>
  <c r="B2528" i="1" l="1"/>
  <c r="C2527" i="1"/>
  <c r="D2527" i="1" s="1"/>
  <c r="I1395" i="1"/>
  <c r="E1396" i="1" s="1"/>
  <c r="C2528" i="1" l="1"/>
  <c r="D2528" i="1" s="1"/>
  <c r="B2529" i="1"/>
  <c r="H1396" i="1"/>
  <c r="F1396" i="1"/>
  <c r="J1396" i="1"/>
  <c r="G1396" i="1" s="1"/>
  <c r="B2530" i="1" l="1"/>
  <c r="C2529" i="1"/>
  <c r="D2529" i="1" s="1"/>
  <c r="I1396" i="1"/>
  <c r="E1397" i="1" s="1"/>
  <c r="C2530" i="1" l="1"/>
  <c r="D2530" i="1" s="1"/>
  <c r="B2531" i="1"/>
  <c r="H1397" i="1"/>
  <c r="J1397" i="1"/>
  <c r="G1397" i="1" s="1"/>
  <c r="F1397" i="1"/>
  <c r="C2531" i="1" l="1"/>
  <c r="D2531" i="1" s="1"/>
  <c r="B2532" i="1"/>
  <c r="I1397" i="1"/>
  <c r="E1398" i="1" s="1"/>
  <c r="C2532" i="1" l="1"/>
  <c r="D2532" i="1" s="1"/>
  <c r="B2533" i="1"/>
  <c r="J1398" i="1"/>
  <c r="G1398" i="1" s="1"/>
  <c r="H1398" i="1"/>
  <c r="F1398" i="1"/>
  <c r="C2533" i="1" l="1"/>
  <c r="D2533" i="1" s="1"/>
  <c r="B2534" i="1"/>
  <c r="I1398" i="1"/>
  <c r="E1399" i="1" s="1"/>
  <c r="B2535" i="1" l="1"/>
  <c r="C2534" i="1"/>
  <c r="D2534" i="1" s="1"/>
  <c r="H1399" i="1"/>
  <c r="J1399" i="1"/>
  <c r="G1399" i="1" s="1"/>
  <c r="F1399" i="1"/>
  <c r="B2536" i="1" l="1"/>
  <c r="C2535" i="1"/>
  <c r="D2535" i="1" s="1"/>
  <c r="I1399" i="1"/>
  <c r="E1400" i="1" s="1"/>
  <c r="C2536" i="1" l="1"/>
  <c r="D2536" i="1" s="1"/>
  <c r="B2537" i="1"/>
  <c r="H1400" i="1"/>
  <c r="J1400" i="1"/>
  <c r="G1400" i="1" s="1"/>
  <c r="F1400" i="1"/>
  <c r="C2537" i="1" l="1"/>
  <c r="D2537" i="1" s="1"/>
  <c r="B2538" i="1"/>
  <c r="I1400" i="1"/>
  <c r="E1401" i="1" s="1"/>
  <c r="J1401" i="1"/>
  <c r="G1401" i="1" s="1"/>
  <c r="H1401" i="1"/>
  <c r="F1401" i="1"/>
  <c r="C2538" i="1" l="1"/>
  <c r="D2538" i="1" s="1"/>
  <c r="B2539" i="1"/>
  <c r="I1401" i="1"/>
  <c r="E1402" i="1" s="1"/>
  <c r="C2539" i="1" l="1"/>
  <c r="D2539" i="1" s="1"/>
  <c r="B2540" i="1"/>
  <c r="F1402" i="1"/>
  <c r="H1402" i="1"/>
  <c r="J1402" i="1"/>
  <c r="G1402" i="1" s="1"/>
  <c r="C2540" i="1" l="1"/>
  <c r="D2540" i="1" s="1"/>
  <c r="B2541" i="1"/>
  <c r="I1402" i="1"/>
  <c r="E1403" i="1" s="1"/>
  <c r="C2541" i="1" l="1"/>
  <c r="D2541" i="1" s="1"/>
  <c r="B2542" i="1"/>
  <c r="F1403" i="1"/>
  <c r="J1403" i="1"/>
  <c r="G1403" i="1" s="1"/>
  <c r="H1403" i="1"/>
  <c r="I1403" i="1" s="1"/>
  <c r="E1404" i="1" s="1"/>
  <c r="C2542" i="1" l="1"/>
  <c r="D2542" i="1" s="1"/>
  <c r="B2543" i="1"/>
  <c r="H1404" i="1"/>
  <c r="J1404" i="1"/>
  <c r="G1404" i="1" s="1"/>
  <c r="F1404" i="1"/>
  <c r="I1404" i="1" l="1"/>
  <c r="E1405" i="1" s="1"/>
  <c r="H1405" i="1" s="1"/>
  <c r="C2543" i="1"/>
  <c r="D2543" i="1" s="1"/>
  <c r="B2544" i="1"/>
  <c r="F1405" i="1"/>
  <c r="J1405" i="1"/>
  <c r="G1405" i="1" s="1"/>
  <c r="C2544" i="1" l="1"/>
  <c r="D2544" i="1" s="1"/>
  <c r="B2545" i="1"/>
  <c r="I1405" i="1"/>
  <c r="E1406" i="1" s="1"/>
  <c r="C2545" i="1" l="1"/>
  <c r="D2545" i="1" s="1"/>
  <c r="B2546" i="1"/>
  <c r="J1406" i="1"/>
  <c r="G1406" i="1" s="1"/>
  <c r="F1406" i="1"/>
  <c r="H1406" i="1"/>
  <c r="C2546" i="1" l="1"/>
  <c r="D2546" i="1" s="1"/>
  <c r="B2547" i="1"/>
  <c r="I1406" i="1"/>
  <c r="E1407" i="1" s="1"/>
  <c r="C2547" i="1" l="1"/>
  <c r="D2547" i="1" s="1"/>
  <c r="B2548" i="1"/>
  <c r="J1407" i="1"/>
  <c r="G1407" i="1" s="1"/>
  <c r="H1407" i="1"/>
  <c r="F1407" i="1"/>
  <c r="C2548" i="1" l="1"/>
  <c r="D2548" i="1" s="1"/>
  <c r="B2549" i="1"/>
  <c r="I1407" i="1"/>
  <c r="E1408" i="1" s="1"/>
  <c r="C2549" i="1" l="1"/>
  <c r="D2549" i="1" s="1"/>
  <c r="B2550" i="1"/>
  <c r="J1408" i="1"/>
  <c r="G1408" i="1" s="1"/>
  <c r="H1408" i="1"/>
  <c r="F1408" i="1"/>
  <c r="C2550" i="1" l="1"/>
  <c r="D2550" i="1" s="1"/>
  <c r="B2551" i="1"/>
  <c r="I1408" i="1"/>
  <c r="E1409" i="1" s="1"/>
  <c r="C2551" i="1" l="1"/>
  <c r="D2551" i="1" s="1"/>
  <c r="B2552" i="1"/>
  <c r="J1409" i="1"/>
  <c r="G1409" i="1" s="1"/>
  <c r="H1409" i="1"/>
  <c r="F1409" i="1"/>
  <c r="C2552" i="1" l="1"/>
  <c r="D2552" i="1" s="1"/>
  <c r="B2553" i="1"/>
  <c r="I1409" i="1"/>
  <c r="E1410" i="1" s="1"/>
  <c r="B2554" i="1" l="1"/>
  <c r="C2553" i="1"/>
  <c r="D2553" i="1" s="1"/>
  <c r="J1410" i="1"/>
  <c r="G1410" i="1" s="1"/>
  <c r="F1410" i="1"/>
  <c r="H1410" i="1"/>
  <c r="C2554" i="1" l="1"/>
  <c r="D2554" i="1" s="1"/>
  <c r="B2555" i="1"/>
  <c r="I1410" i="1"/>
  <c r="E1411" i="1" s="1"/>
  <c r="C2555" i="1" l="1"/>
  <c r="D2555" i="1" s="1"/>
  <c r="B2556" i="1"/>
  <c r="J1411" i="1"/>
  <c r="G1411" i="1" s="1"/>
  <c r="F1411" i="1"/>
  <c r="H1411" i="1"/>
  <c r="C2556" i="1" l="1"/>
  <c r="D2556" i="1" s="1"/>
  <c r="B2557" i="1"/>
  <c r="I1411" i="1"/>
  <c r="E1412" i="1" s="1"/>
  <c r="C2557" i="1" l="1"/>
  <c r="B2558" i="1"/>
  <c r="J1412" i="1"/>
  <c r="G1412" i="1" s="1"/>
  <c r="F1412" i="1"/>
  <c r="H1412" i="1"/>
  <c r="C2558" i="1" l="1"/>
  <c r="D2558" i="1" s="1"/>
  <c r="B2559" i="1"/>
  <c r="D2557" i="1"/>
  <c r="I1412" i="1"/>
  <c r="E1413" i="1" s="1"/>
  <c r="C2559" i="1" l="1"/>
  <c r="D2559" i="1" s="1"/>
  <c r="B2560" i="1"/>
  <c r="H1413" i="1"/>
  <c r="J1413" i="1"/>
  <c r="G1413" i="1" s="1"/>
  <c r="F1413" i="1"/>
  <c r="C2560" i="1" l="1"/>
  <c r="D2560" i="1" s="1"/>
  <c r="B2561" i="1"/>
  <c r="I1413" i="1"/>
  <c r="E1414" i="1" s="1"/>
  <c r="H1414" i="1" s="1"/>
  <c r="J1414" i="1"/>
  <c r="G1414" i="1" s="1"/>
  <c r="F1414" i="1" l="1"/>
  <c r="B2562" i="1"/>
  <c r="C2561" i="1"/>
  <c r="D2561" i="1" s="1"/>
  <c r="I1414" i="1"/>
  <c r="E1415" i="1" s="1"/>
  <c r="C2562" i="1" l="1"/>
  <c r="D2562" i="1" s="1"/>
  <c r="B2563" i="1"/>
  <c r="J1415" i="1"/>
  <c r="G1415" i="1" s="1"/>
  <c r="H1415" i="1"/>
  <c r="F1415" i="1"/>
  <c r="B2564" i="1" l="1"/>
  <c r="C2563" i="1"/>
  <c r="D2563" i="1" s="1"/>
  <c r="I1415" i="1"/>
  <c r="E1416" i="1" s="1"/>
  <c r="C2564" i="1" l="1"/>
  <c r="D2564" i="1" s="1"/>
  <c r="B2565" i="1"/>
  <c r="J1416" i="1"/>
  <c r="G1416" i="1" s="1"/>
  <c r="H1416" i="1"/>
  <c r="F1416" i="1"/>
  <c r="C2565" i="1" l="1"/>
  <c r="D2565" i="1" s="1"/>
  <c r="B2566" i="1"/>
  <c r="I1416" i="1"/>
  <c r="E1417" i="1" s="1"/>
  <c r="B2567" i="1" l="1"/>
  <c r="C2566" i="1"/>
  <c r="D2566" i="1" s="1"/>
  <c r="H1417" i="1"/>
  <c r="J1417" i="1"/>
  <c r="G1417" i="1" s="1"/>
  <c r="F1417" i="1"/>
  <c r="I1417" i="1" l="1"/>
  <c r="E1418" i="1" s="1"/>
  <c r="B2568" i="1"/>
  <c r="C2567" i="1"/>
  <c r="D2567" i="1" s="1"/>
  <c r="F1418" i="1"/>
  <c r="H1418" i="1"/>
  <c r="J1418" i="1"/>
  <c r="G1418" i="1" s="1"/>
  <c r="C2568" i="1" l="1"/>
  <c r="D2568" i="1" s="1"/>
  <c r="B2569" i="1"/>
  <c r="I1418" i="1"/>
  <c r="E1419" i="1" s="1"/>
  <c r="C2569" i="1" l="1"/>
  <c r="D2569" i="1" s="1"/>
  <c r="B2570" i="1"/>
  <c r="J1419" i="1"/>
  <c r="G1419" i="1" s="1"/>
  <c r="H1419" i="1"/>
  <c r="F1419" i="1"/>
  <c r="C2570" i="1" l="1"/>
  <c r="D2570" i="1" s="1"/>
  <c r="B2571" i="1"/>
  <c r="I1419" i="1"/>
  <c r="E1420" i="1" s="1"/>
  <c r="B2572" i="1" l="1"/>
  <c r="C2571" i="1"/>
  <c r="D2571" i="1" s="1"/>
  <c r="H1420" i="1"/>
  <c r="J1420" i="1"/>
  <c r="G1420" i="1" s="1"/>
  <c r="F1420" i="1"/>
  <c r="C2572" i="1" l="1"/>
  <c r="D2572" i="1" s="1"/>
  <c r="B2573" i="1"/>
  <c r="I1420" i="1"/>
  <c r="E1421" i="1" s="1"/>
  <c r="B2574" i="1" l="1"/>
  <c r="C2573" i="1"/>
  <c r="D2573" i="1" s="1"/>
  <c r="H1421" i="1"/>
  <c r="J1421" i="1"/>
  <c r="G1421" i="1" s="1"/>
  <c r="F1421" i="1"/>
  <c r="B2575" i="1" l="1"/>
  <c r="C2574" i="1"/>
  <c r="D2574" i="1" s="1"/>
  <c r="I1421" i="1"/>
  <c r="E1422" i="1" s="1"/>
  <c r="C2575" i="1" l="1"/>
  <c r="D2575" i="1" s="1"/>
  <c r="B2576" i="1"/>
  <c r="H1422" i="1"/>
  <c r="J1422" i="1"/>
  <c r="G1422" i="1" s="1"/>
  <c r="F1422" i="1"/>
  <c r="I1422" i="1" l="1"/>
  <c r="E1423" i="1" s="1"/>
  <c r="C2576" i="1"/>
  <c r="D2576" i="1" s="1"/>
  <c r="B2577" i="1"/>
  <c r="J1423" i="1"/>
  <c r="G1423" i="1" s="1"/>
  <c r="F1423" i="1"/>
  <c r="H1423" i="1"/>
  <c r="B2578" i="1" l="1"/>
  <c r="C2577" i="1"/>
  <c r="D2577" i="1" s="1"/>
  <c r="I1423" i="1"/>
  <c r="E1424" i="1" s="1"/>
  <c r="C2578" i="1" l="1"/>
  <c r="D2578" i="1" s="1"/>
  <c r="B2579" i="1"/>
  <c r="J1424" i="1"/>
  <c r="G1424" i="1" s="1"/>
  <c r="H1424" i="1"/>
  <c r="F1424" i="1"/>
  <c r="C2579" i="1" l="1"/>
  <c r="D2579" i="1" s="1"/>
  <c r="B2580" i="1"/>
  <c r="I1424" i="1"/>
  <c r="E1425" i="1" s="1"/>
  <c r="C2580" i="1" l="1"/>
  <c r="D2580" i="1" s="1"/>
  <c r="B2581" i="1"/>
  <c r="H1425" i="1"/>
  <c r="F1425" i="1"/>
  <c r="J1425" i="1"/>
  <c r="G1425" i="1" s="1"/>
  <c r="B2582" i="1" l="1"/>
  <c r="C2581" i="1"/>
  <c r="D2581" i="1" s="1"/>
  <c r="I1425" i="1"/>
  <c r="E1426" i="1" s="1"/>
  <c r="C2582" i="1" l="1"/>
  <c r="D2582" i="1" s="1"/>
  <c r="B2583" i="1"/>
  <c r="H1426" i="1"/>
  <c r="J1426" i="1"/>
  <c r="G1426" i="1" s="1"/>
  <c r="F1426" i="1"/>
  <c r="B2584" i="1" l="1"/>
  <c r="C2583" i="1"/>
  <c r="D2583" i="1" s="1"/>
  <c r="I1426" i="1"/>
  <c r="E1427" i="1" s="1"/>
  <c r="J1427" i="1" s="1"/>
  <c r="G1427" i="1" s="1"/>
  <c r="H1427" i="1" l="1"/>
  <c r="F1427" i="1"/>
  <c r="B2585" i="1"/>
  <c r="C2584" i="1"/>
  <c r="D2584" i="1" s="1"/>
  <c r="I1427" i="1"/>
  <c r="E1428" i="1" s="1"/>
  <c r="C2585" i="1" l="1"/>
  <c r="D2585" i="1" s="1"/>
  <c r="B2586" i="1"/>
  <c r="H1428" i="1"/>
  <c r="F1428" i="1"/>
  <c r="J1428" i="1"/>
  <c r="G1428" i="1" s="1"/>
  <c r="C2586" i="1" l="1"/>
  <c r="D2586" i="1" s="1"/>
  <c r="B2587" i="1"/>
  <c r="I1428" i="1"/>
  <c r="E1429" i="1" s="1"/>
  <c r="C2587" i="1" l="1"/>
  <c r="D2587" i="1" s="1"/>
  <c r="B2588" i="1"/>
  <c r="H1429" i="1"/>
  <c r="F1429" i="1"/>
  <c r="J1429" i="1"/>
  <c r="G1429" i="1" s="1"/>
  <c r="I1429" i="1" l="1"/>
  <c r="E1430" i="1" s="1"/>
  <c r="C2588" i="1"/>
  <c r="D2588" i="1" s="1"/>
  <c r="B2589" i="1"/>
  <c r="J1430" i="1"/>
  <c r="G1430" i="1" s="1"/>
  <c r="F1430" i="1"/>
  <c r="H1430" i="1"/>
  <c r="C2589" i="1" l="1"/>
  <c r="D2589" i="1" s="1"/>
  <c r="B2590" i="1"/>
  <c r="I1430" i="1"/>
  <c r="E1431" i="1" s="1"/>
  <c r="C2590" i="1" l="1"/>
  <c r="D2590" i="1" s="1"/>
  <c r="B2591" i="1"/>
  <c r="J1431" i="1"/>
  <c r="G1431" i="1" s="1"/>
  <c r="F1431" i="1"/>
  <c r="H1431" i="1"/>
  <c r="C2591" i="1" l="1"/>
  <c r="D2591" i="1" s="1"/>
  <c r="B2592" i="1"/>
  <c r="I1431" i="1"/>
  <c r="E1432" i="1" s="1"/>
  <c r="C2592" i="1" l="1"/>
  <c r="D2592" i="1" s="1"/>
  <c r="B2593" i="1"/>
  <c r="H1432" i="1"/>
  <c r="J1432" i="1"/>
  <c r="G1432" i="1" s="1"/>
  <c r="F1432" i="1"/>
  <c r="C2593" i="1" l="1"/>
  <c r="D2593" i="1" s="1"/>
  <c r="B2594" i="1"/>
  <c r="I1432" i="1"/>
  <c r="E1433" i="1" s="1"/>
  <c r="C2594" i="1" l="1"/>
  <c r="D2594" i="1" s="1"/>
  <c r="B2595" i="1"/>
  <c r="J1433" i="1"/>
  <c r="G1433" i="1" s="1"/>
  <c r="H1433" i="1"/>
  <c r="I1433" i="1" s="1"/>
  <c r="E1434" i="1" s="1"/>
  <c r="F1433" i="1"/>
  <c r="C2595" i="1" l="1"/>
  <c r="D2595" i="1" s="1"/>
  <c r="B2596" i="1"/>
  <c r="H1434" i="1"/>
  <c r="J1434" i="1"/>
  <c r="G1434" i="1" s="1"/>
  <c r="F1434" i="1"/>
  <c r="C2596" i="1" l="1"/>
  <c r="D2596" i="1" s="1"/>
  <c r="B2597" i="1"/>
  <c r="I1434" i="1"/>
  <c r="E1435" i="1" s="1"/>
  <c r="C2597" i="1" l="1"/>
  <c r="D2597" i="1" s="1"/>
  <c r="B2598" i="1"/>
  <c r="F1435" i="1"/>
  <c r="J1435" i="1"/>
  <c r="G1435" i="1" s="1"/>
  <c r="H1435" i="1"/>
  <c r="C2598" i="1" l="1"/>
  <c r="D2598" i="1" s="1"/>
  <c r="B2599" i="1"/>
  <c r="I1435" i="1"/>
  <c r="E1436" i="1" s="1"/>
  <c r="C2599" i="1" l="1"/>
  <c r="D2599" i="1" s="1"/>
  <c r="B2600" i="1"/>
  <c r="J1436" i="1"/>
  <c r="G1436" i="1" s="1"/>
  <c r="H1436" i="1"/>
  <c r="F1436" i="1"/>
  <c r="C2600" i="1" l="1"/>
  <c r="D2600" i="1" s="1"/>
  <c r="B2601" i="1"/>
  <c r="I1436" i="1"/>
  <c r="E1437" i="1" s="1"/>
  <c r="C2601" i="1" l="1"/>
  <c r="D2601" i="1" s="1"/>
  <c r="B2602" i="1"/>
  <c r="J1437" i="1"/>
  <c r="G1437" i="1" s="1"/>
  <c r="F1437" i="1"/>
  <c r="H1437" i="1"/>
  <c r="I1437" i="1" l="1"/>
  <c r="E1438" i="1" s="1"/>
  <c r="C2602" i="1"/>
  <c r="D2602" i="1" s="1"/>
  <c r="B2603" i="1"/>
  <c r="J1438" i="1"/>
  <c r="G1438" i="1" s="1"/>
  <c r="F1438" i="1"/>
  <c r="H1438" i="1"/>
  <c r="I1438" i="1" s="1"/>
  <c r="E1439" i="1" s="1"/>
  <c r="B2604" i="1" l="1"/>
  <c r="C2603" i="1"/>
  <c r="D2603" i="1" s="1"/>
  <c r="H1439" i="1"/>
  <c r="J1439" i="1"/>
  <c r="G1439" i="1" s="1"/>
  <c r="F1439" i="1"/>
  <c r="C2604" i="1" l="1"/>
  <c r="D2604" i="1" s="1"/>
  <c r="B2605" i="1"/>
  <c r="I1439" i="1"/>
  <c r="E1440" i="1" s="1"/>
  <c r="C2605" i="1" l="1"/>
  <c r="D2605" i="1" s="1"/>
  <c r="B2606" i="1"/>
  <c r="J1440" i="1"/>
  <c r="G1440" i="1" s="1"/>
  <c r="H1440" i="1"/>
  <c r="F1440" i="1"/>
  <c r="C2606" i="1" l="1"/>
  <c r="D2606" i="1" s="1"/>
  <c r="B2607" i="1"/>
  <c r="I1440" i="1"/>
  <c r="E1441" i="1" s="1"/>
  <c r="C2607" i="1" l="1"/>
  <c r="D2607" i="1" s="1"/>
  <c r="B2608" i="1"/>
  <c r="H1441" i="1"/>
  <c r="F1441" i="1"/>
  <c r="J1441" i="1"/>
  <c r="G1441" i="1" s="1"/>
  <c r="C2608" i="1" l="1"/>
  <c r="D2608" i="1" s="1"/>
  <c r="B2609" i="1"/>
  <c r="I1441" i="1"/>
  <c r="E1442" i="1" s="1"/>
  <c r="C2609" i="1" l="1"/>
  <c r="D2609" i="1" s="1"/>
  <c r="B2610" i="1"/>
  <c r="J1442" i="1"/>
  <c r="G1442" i="1" s="1"/>
  <c r="F1442" i="1"/>
  <c r="H1442" i="1"/>
  <c r="I1442" i="1" s="1"/>
  <c r="E1443" i="1" s="1"/>
  <c r="C2610" i="1" l="1"/>
  <c r="D2610" i="1" s="1"/>
  <c r="B2611" i="1"/>
  <c r="F1443" i="1"/>
  <c r="J1443" i="1"/>
  <c r="G1443" i="1" s="1"/>
  <c r="H1443" i="1"/>
  <c r="C2611" i="1" l="1"/>
  <c r="D2611" i="1" s="1"/>
  <c r="B2612" i="1"/>
  <c r="I1443" i="1"/>
  <c r="E1444" i="1" s="1"/>
  <c r="C2612" i="1" l="1"/>
  <c r="D2612" i="1" s="1"/>
  <c r="B2613" i="1"/>
  <c r="J1444" i="1"/>
  <c r="G1444" i="1" s="1"/>
  <c r="F1444" i="1"/>
  <c r="H1444" i="1"/>
  <c r="C2613" i="1" l="1"/>
  <c r="D2613" i="1" s="1"/>
  <c r="B2614" i="1"/>
  <c r="I1444" i="1"/>
  <c r="E1445" i="1" s="1"/>
  <c r="C2614" i="1" l="1"/>
  <c r="D2614" i="1" s="1"/>
  <c r="B2615" i="1"/>
  <c r="J1445" i="1"/>
  <c r="G1445" i="1" s="1"/>
  <c r="H1445" i="1"/>
  <c r="F1445" i="1"/>
  <c r="B2616" i="1" l="1"/>
  <c r="C2615" i="1"/>
  <c r="D2615" i="1" s="1"/>
  <c r="I1445" i="1"/>
  <c r="E1446" i="1" s="1"/>
  <c r="C2616" i="1" l="1"/>
  <c r="D2616" i="1" s="1"/>
  <c r="B2617" i="1"/>
  <c r="J1446" i="1"/>
  <c r="G1446" i="1" s="1"/>
  <c r="H1446" i="1"/>
  <c r="F1446" i="1"/>
  <c r="C2617" i="1" l="1"/>
  <c r="D2617" i="1" s="1"/>
  <c r="B2618" i="1"/>
  <c r="I1446" i="1"/>
  <c r="E1447" i="1" s="1"/>
  <c r="B2619" i="1" l="1"/>
  <c r="C2618" i="1"/>
  <c r="D2618" i="1" s="1"/>
  <c r="J1447" i="1"/>
  <c r="G1447" i="1" s="1"/>
  <c r="H1447" i="1"/>
  <c r="F1447" i="1"/>
  <c r="B2620" i="1" l="1"/>
  <c r="C2619" i="1"/>
  <c r="D2619" i="1" s="1"/>
  <c r="I1447" i="1"/>
  <c r="E1448" i="1" s="1"/>
  <c r="C2620" i="1" l="1"/>
  <c r="D2620" i="1" s="1"/>
  <c r="B2621" i="1"/>
  <c r="H1448" i="1"/>
  <c r="F1448" i="1"/>
  <c r="J1448" i="1"/>
  <c r="G1448" i="1" s="1"/>
  <c r="C2621" i="1" l="1"/>
  <c r="D2621" i="1" s="1"/>
  <c r="B2622" i="1"/>
  <c r="I1448" i="1"/>
  <c r="E1449" i="1" s="1"/>
  <c r="B2623" i="1" l="1"/>
  <c r="C2622" i="1"/>
  <c r="D2622" i="1" s="1"/>
  <c r="F1449" i="1"/>
  <c r="H1449" i="1"/>
  <c r="J1449" i="1"/>
  <c r="G1449" i="1" s="1"/>
  <c r="B2624" i="1" l="1"/>
  <c r="C2623" i="1"/>
  <c r="D2623" i="1" s="1"/>
  <c r="I1449" i="1"/>
  <c r="E1450" i="1" s="1"/>
  <c r="C2624" i="1" l="1"/>
  <c r="D2624" i="1" s="1"/>
  <c r="B2625" i="1"/>
  <c r="H1450" i="1"/>
  <c r="F1450" i="1"/>
  <c r="J1450" i="1"/>
  <c r="G1450" i="1" s="1"/>
  <c r="B2626" i="1" l="1"/>
  <c r="C2625" i="1"/>
  <c r="D2625" i="1" s="1"/>
  <c r="I1450" i="1"/>
  <c r="E1451" i="1" s="1"/>
  <c r="B2627" i="1" l="1"/>
  <c r="C2626" i="1"/>
  <c r="D2626" i="1" s="1"/>
  <c r="F1451" i="1"/>
  <c r="H1451" i="1"/>
  <c r="J1451" i="1"/>
  <c r="G1451" i="1" s="1"/>
  <c r="C2627" i="1" l="1"/>
  <c r="D2627" i="1" s="1"/>
  <c r="B2628" i="1"/>
  <c r="I1451" i="1"/>
  <c r="E1452" i="1" s="1"/>
  <c r="C2628" i="1" l="1"/>
  <c r="D2628" i="1" s="1"/>
  <c r="B2629" i="1"/>
  <c r="H1452" i="1"/>
  <c r="J1452" i="1"/>
  <c r="G1452" i="1" s="1"/>
  <c r="F1452" i="1"/>
  <c r="C2629" i="1" l="1"/>
  <c r="D2629" i="1" s="1"/>
  <c r="B2630" i="1"/>
  <c r="I1452" i="1"/>
  <c r="E1453" i="1" s="1"/>
  <c r="C2630" i="1" l="1"/>
  <c r="D2630" i="1" s="1"/>
  <c r="B2631" i="1"/>
  <c r="H1453" i="1"/>
  <c r="J1453" i="1"/>
  <c r="G1453" i="1" s="1"/>
  <c r="F1453" i="1"/>
  <c r="C2631" i="1" l="1"/>
  <c r="D2631" i="1" s="1"/>
  <c r="B2632" i="1"/>
  <c r="I1453" i="1"/>
  <c r="E1454" i="1" s="1"/>
  <c r="C2632" i="1" l="1"/>
  <c r="D2632" i="1" s="1"/>
  <c r="B2633" i="1"/>
  <c r="J1454" i="1"/>
  <c r="G1454" i="1" s="1"/>
  <c r="F1454" i="1"/>
  <c r="H1454" i="1"/>
  <c r="B2634" i="1" l="1"/>
  <c r="C2633" i="1"/>
  <c r="D2633" i="1" s="1"/>
  <c r="I1454" i="1"/>
  <c r="E1455" i="1" s="1"/>
  <c r="C2634" i="1" l="1"/>
  <c r="D2634" i="1" s="1"/>
  <c r="B2635" i="1"/>
  <c r="J1455" i="1"/>
  <c r="G1455" i="1" s="1"/>
  <c r="F1455" i="1"/>
  <c r="H1455" i="1"/>
  <c r="B2636" i="1" l="1"/>
  <c r="C2635" i="1"/>
  <c r="D2635" i="1" s="1"/>
  <c r="I1455" i="1"/>
  <c r="E1456" i="1" s="1"/>
  <c r="C2636" i="1" l="1"/>
  <c r="D2636" i="1" s="1"/>
  <c r="B2637" i="1"/>
  <c r="H1456" i="1"/>
  <c r="J1456" i="1"/>
  <c r="G1456" i="1" s="1"/>
  <c r="F1456" i="1"/>
  <c r="B2638" i="1" l="1"/>
  <c r="C2637" i="1"/>
  <c r="D2637" i="1" s="1"/>
  <c r="I1456" i="1"/>
  <c r="E1457" i="1" s="1"/>
  <c r="B2639" i="1" l="1"/>
  <c r="C2638" i="1"/>
  <c r="D2638" i="1" s="1"/>
  <c r="E8" i="2"/>
  <c r="H1457" i="1"/>
  <c r="J1457" i="1"/>
  <c r="G1457" i="1" s="1"/>
  <c r="F1457" i="1"/>
  <c r="B2640" i="1" l="1"/>
  <c r="C2639" i="1"/>
  <c r="D2639" i="1" s="1"/>
  <c r="J8" i="2"/>
  <c r="K8" i="2" s="1"/>
  <c r="H8" i="2"/>
  <c r="I8" i="2" s="1"/>
  <c r="I1457" i="1"/>
  <c r="E1458" i="1" s="1"/>
  <c r="B2641" i="1" l="1"/>
  <c r="C2640" i="1"/>
  <c r="D2640" i="1" s="1"/>
  <c r="H1458" i="1"/>
  <c r="F1458" i="1"/>
  <c r="J1458" i="1"/>
  <c r="G1458" i="1" s="1"/>
  <c r="B2642" i="1" l="1"/>
  <c r="C2641" i="1"/>
  <c r="D2641" i="1" s="1"/>
  <c r="I1458" i="1"/>
  <c r="E1459" i="1" s="1"/>
  <c r="B2643" i="1" l="1"/>
  <c r="C2642" i="1"/>
  <c r="D2642" i="1" s="1"/>
  <c r="H1459" i="1"/>
  <c r="J1459" i="1"/>
  <c r="G1459" i="1" s="1"/>
  <c r="F1459" i="1"/>
  <c r="I1459" i="1" l="1"/>
  <c r="E1460" i="1" s="1"/>
  <c r="C2643" i="1"/>
  <c r="D2643" i="1" s="1"/>
  <c r="B2644" i="1"/>
  <c r="H1460" i="1"/>
  <c r="J1460" i="1"/>
  <c r="G1460" i="1" s="1"/>
  <c r="F1460" i="1"/>
  <c r="I1460" i="1" l="1"/>
  <c r="E1461" i="1" s="1"/>
  <c r="C2644" i="1"/>
  <c r="D2644" i="1" s="1"/>
  <c r="B2645" i="1"/>
  <c r="J1461" i="1"/>
  <c r="G1461" i="1" s="1"/>
  <c r="H1461" i="1"/>
  <c r="F1461" i="1"/>
  <c r="C2645" i="1" l="1"/>
  <c r="D2645" i="1" s="1"/>
  <c r="B2646" i="1"/>
  <c r="I1461" i="1"/>
  <c r="E1462" i="1" s="1"/>
  <c r="C2646" i="1" l="1"/>
  <c r="D2646" i="1" s="1"/>
  <c r="B2647" i="1"/>
  <c r="J1462" i="1"/>
  <c r="G1462" i="1" s="1"/>
  <c r="H1462" i="1"/>
  <c r="I1462" i="1" s="1"/>
  <c r="E1463" i="1" s="1"/>
  <c r="F1462" i="1"/>
  <c r="C2647" i="1" l="1"/>
  <c r="D2647" i="1" s="1"/>
  <c r="B2648" i="1"/>
  <c r="J1463" i="1"/>
  <c r="G1463" i="1" s="1"/>
  <c r="H1463" i="1"/>
  <c r="F1463" i="1"/>
  <c r="C2648" i="1" l="1"/>
  <c r="D2648" i="1" s="1"/>
  <c r="B2649" i="1"/>
  <c r="I1463" i="1"/>
  <c r="E1464" i="1" s="1"/>
  <c r="C2649" i="1" l="1"/>
  <c r="D2649" i="1" s="1"/>
  <c r="B2650" i="1"/>
  <c r="H1464" i="1"/>
  <c r="F1464" i="1"/>
  <c r="J1464" i="1"/>
  <c r="G1464" i="1" s="1"/>
  <c r="C2650" i="1" l="1"/>
  <c r="D2650" i="1" s="1"/>
  <c r="B2651" i="1"/>
  <c r="I1464" i="1"/>
  <c r="E1465" i="1" s="1"/>
  <c r="C2651" i="1" l="1"/>
  <c r="D2651" i="1" s="1"/>
  <c r="B2652" i="1"/>
  <c r="F1465" i="1"/>
  <c r="H1465" i="1"/>
  <c r="J1465" i="1"/>
  <c r="G1465" i="1" s="1"/>
  <c r="C2652" i="1" l="1"/>
  <c r="D2652" i="1" s="1"/>
  <c r="B2653" i="1"/>
  <c r="I1465" i="1"/>
  <c r="E1466" i="1" s="1"/>
  <c r="C2653" i="1" l="1"/>
  <c r="D2653" i="1" s="1"/>
  <c r="B2654" i="1"/>
  <c r="J1466" i="1"/>
  <c r="G1466" i="1" s="1"/>
  <c r="H1466" i="1"/>
  <c r="F1466" i="1"/>
  <c r="C2654" i="1" l="1"/>
  <c r="D2654" i="1" s="1"/>
  <c r="B2655" i="1"/>
  <c r="I1466" i="1"/>
  <c r="E1467" i="1" s="1"/>
  <c r="C2655" i="1" l="1"/>
  <c r="D2655" i="1" s="1"/>
  <c r="B2656" i="1"/>
  <c r="H1467" i="1"/>
  <c r="J1467" i="1"/>
  <c r="G1467" i="1" s="1"/>
  <c r="F1467" i="1"/>
  <c r="C2656" i="1" l="1"/>
  <c r="D2656" i="1" s="1"/>
  <c r="B2657" i="1"/>
  <c r="I1467" i="1"/>
  <c r="E1468" i="1" s="1"/>
  <c r="C2657" i="1" l="1"/>
  <c r="D2657" i="1" s="1"/>
  <c r="B2658" i="1"/>
  <c r="J1468" i="1"/>
  <c r="G1468" i="1" s="1"/>
  <c r="H1468" i="1"/>
  <c r="F1468" i="1"/>
  <c r="C2658" i="1" l="1"/>
  <c r="D2658" i="1" s="1"/>
  <c r="B2659" i="1"/>
  <c r="I1468" i="1"/>
  <c r="E1469" i="1" s="1"/>
  <c r="C2659" i="1" l="1"/>
  <c r="D2659" i="1" s="1"/>
  <c r="B2660" i="1"/>
  <c r="J1469" i="1"/>
  <c r="G1469" i="1" s="1"/>
  <c r="F1469" i="1"/>
  <c r="H1469" i="1"/>
  <c r="C2660" i="1" l="1"/>
  <c r="D2660" i="1" s="1"/>
  <c r="B2661" i="1"/>
  <c r="I1469" i="1"/>
  <c r="E1470" i="1" s="1"/>
  <c r="C2661" i="1" l="1"/>
  <c r="D2661" i="1" s="1"/>
  <c r="B2662" i="1"/>
  <c r="J1470" i="1"/>
  <c r="G1470" i="1" s="1"/>
  <c r="H1470" i="1"/>
  <c r="F1470" i="1"/>
  <c r="C2662" i="1" l="1"/>
  <c r="D2662" i="1" s="1"/>
  <c r="B2663" i="1"/>
  <c r="I1470" i="1"/>
  <c r="E1471" i="1" s="1"/>
  <c r="C2663" i="1" l="1"/>
  <c r="D2663" i="1" s="1"/>
  <c r="B2664" i="1"/>
  <c r="H1471" i="1"/>
  <c r="J1471" i="1"/>
  <c r="G1471" i="1" s="1"/>
  <c r="F1471" i="1"/>
  <c r="C2664" i="1" l="1"/>
  <c r="D2664" i="1" s="1"/>
  <c r="B2665" i="1"/>
  <c r="I1471" i="1"/>
  <c r="E1472" i="1" s="1"/>
  <c r="C2665" i="1" l="1"/>
  <c r="D2665" i="1" s="1"/>
  <c r="B2666" i="1"/>
  <c r="H1472" i="1"/>
  <c r="J1472" i="1"/>
  <c r="G1472" i="1" s="1"/>
  <c r="F1472" i="1"/>
  <c r="C2666" i="1" l="1"/>
  <c r="D2666" i="1" s="1"/>
  <c r="B2667" i="1"/>
  <c r="I1472" i="1"/>
  <c r="E1473" i="1" s="1"/>
  <c r="C2667" i="1" l="1"/>
  <c r="D2667" i="1" s="1"/>
  <c r="B2668" i="1"/>
  <c r="J1473" i="1"/>
  <c r="G1473" i="1" s="1"/>
  <c r="F1473" i="1"/>
  <c r="H1473" i="1"/>
  <c r="C2668" i="1" l="1"/>
  <c r="D2668" i="1" s="1"/>
  <c r="B2669" i="1"/>
  <c r="I1473" i="1"/>
  <c r="E1474" i="1" s="1"/>
  <c r="C2669" i="1" l="1"/>
  <c r="D2669" i="1" s="1"/>
  <c r="B2670" i="1"/>
  <c r="H1474" i="1"/>
  <c r="J1474" i="1"/>
  <c r="G1474" i="1" s="1"/>
  <c r="F1474" i="1"/>
  <c r="C2670" i="1" l="1"/>
  <c r="D2670" i="1" s="1"/>
  <c r="B2671" i="1"/>
  <c r="I1474" i="1"/>
  <c r="E1475" i="1" s="1"/>
  <c r="B2672" i="1" l="1"/>
  <c r="C2671" i="1"/>
  <c r="D2671" i="1" s="1"/>
  <c r="H1475" i="1"/>
  <c r="J1475" i="1"/>
  <c r="G1475" i="1" s="1"/>
  <c r="F1475" i="1"/>
  <c r="C2672" i="1" l="1"/>
  <c r="D2672" i="1" s="1"/>
  <c r="B2673" i="1"/>
  <c r="I1475" i="1"/>
  <c r="E1476" i="1" s="1"/>
  <c r="B2674" i="1" l="1"/>
  <c r="C2673" i="1"/>
  <c r="D2673" i="1" s="1"/>
  <c r="H1476" i="1"/>
  <c r="J1476" i="1"/>
  <c r="G1476" i="1" s="1"/>
  <c r="F1476" i="1"/>
  <c r="C2674" i="1" l="1"/>
  <c r="D2674" i="1" s="1"/>
  <c r="B2675" i="1"/>
  <c r="I1476" i="1"/>
  <c r="E1477" i="1" s="1"/>
  <c r="C2675" i="1" l="1"/>
  <c r="D2675" i="1" s="1"/>
  <c r="B2676" i="1"/>
  <c r="H1477" i="1"/>
  <c r="J1477" i="1"/>
  <c r="G1477" i="1" s="1"/>
  <c r="F1477" i="1"/>
  <c r="C2676" i="1" l="1"/>
  <c r="D2676" i="1" s="1"/>
  <c r="B2677" i="1"/>
  <c r="I1477" i="1"/>
  <c r="E1478" i="1" s="1"/>
  <c r="C2677" i="1" l="1"/>
  <c r="D2677" i="1" s="1"/>
  <c r="B2678" i="1"/>
  <c r="J1478" i="1"/>
  <c r="G1478" i="1" s="1"/>
  <c r="F1478" i="1"/>
  <c r="H1478" i="1"/>
  <c r="C2678" i="1" l="1"/>
  <c r="D2678" i="1" s="1"/>
  <c r="B2679" i="1"/>
  <c r="I1478" i="1"/>
  <c r="E1479" i="1" s="1"/>
  <c r="B2680" i="1" l="1"/>
  <c r="C2679" i="1"/>
  <c r="D2679" i="1" s="1"/>
  <c r="F1479" i="1"/>
  <c r="J1479" i="1"/>
  <c r="G1479" i="1" s="1"/>
  <c r="H1479" i="1"/>
  <c r="I1479" i="1" l="1"/>
  <c r="E1480" i="1" s="1"/>
  <c r="C2680" i="1"/>
  <c r="D2680" i="1" s="1"/>
  <c r="B2681" i="1"/>
  <c r="H1480" i="1"/>
  <c r="J1480" i="1"/>
  <c r="G1480" i="1" s="1"/>
  <c r="F1480" i="1"/>
  <c r="B2682" i="1" l="1"/>
  <c r="C2681" i="1"/>
  <c r="D2681" i="1" s="1"/>
  <c r="I1480" i="1"/>
  <c r="E1481" i="1" s="1"/>
  <c r="C2682" i="1" l="1"/>
  <c r="D2682" i="1" s="1"/>
  <c r="B2683" i="1"/>
  <c r="F1481" i="1"/>
  <c r="H1481" i="1"/>
  <c r="J1481" i="1"/>
  <c r="G1481" i="1" s="1"/>
  <c r="C2683" i="1" l="1"/>
  <c r="D2683" i="1" s="1"/>
  <c r="B2684" i="1"/>
  <c r="I1481" i="1"/>
  <c r="E1482" i="1" s="1"/>
  <c r="C2684" i="1" l="1"/>
  <c r="D2684" i="1" s="1"/>
  <c r="B2685" i="1"/>
  <c r="J1482" i="1"/>
  <c r="G1482" i="1" s="1"/>
  <c r="H1482" i="1"/>
  <c r="F1482" i="1"/>
  <c r="B2686" i="1" l="1"/>
  <c r="C2685" i="1"/>
  <c r="D2685" i="1" s="1"/>
  <c r="I1482" i="1"/>
  <c r="E1483" i="1" s="1"/>
  <c r="C2686" i="1" l="1"/>
  <c r="D2686" i="1" s="1"/>
  <c r="B2687" i="1"/>
  <c r="F1483" i="1"/>
  <c r="H1483" i="1"/>
  <c r="J1483" i="1"/>
  <c r="G1483" i="1" s="1"/>
  <c r="C2687" i="1" l="1"/>
  <c r="D2687" i="1" s="1"/>
  <c r="B2688" i="1"/>
  <c r="I1483" i="1"/>
  <c r="E1484" i="1" s="1"/>
  <c r="C2688" i="1" l="1"/>
  <c r="D2688" i="1" s="1"/>
  <c r="B2689" i="1"/>
  <c r="F1484" i="1"/>
  <c r="J1484" i="1"/>
  <c r="G1484" i="1" s="1"/>
  <c r="H1484" i="1"/>
  <c r="I1484" i="1" s="1"/>
  <c r="E1485" i="1" s="1"/>
  <c r="C2689" i="1" l="1"/>
  <c r="D2689" i="1" s="1"/>
  <c r="B2690" i="1"/>
  <c r="H1485" i="1"/>
  <c r="F1485" i="1"/>
  <c r="J1485" i="1"/>
  <c r="G1485" i="1" s="1"/>
  <c r="C2690" i="1" l="1"/>
  <c r="D2690" i="1" s="1"/>
  <c r="B2691" i="1"/>
  <c r="I1485" i="1"/>
  <c r="E1486" i="1" s="1"/>
  <c r="B2692" i="1" l="1"/>
  <c r="C2691" i="1"/>
  <c r="D2691" i="1" s="1"/>
  <c r="F1486" i="1"/>
  <c r="H1486" i="1"/>
  <c r="J1486" i="1"/>
  <c r="G1486" i="1" s="1"/>
  <c r="B2693" i="1" l="1"/>
  <c r="C2692" i="1"/>
  <c r="D2692" i="1" s="1"/>
  <c r="I1486" i="1"/>
  <c r="E1487" i="1" s="1"/>
  <c r="C2693" i="1" l="1"/>
  <c r="D2693" i="1" s="1"/>
  <c r="B2694" i="1"/>
  <c r="H1487" i="1"/>
  <c r="F1487" i="1"/>
  <c r="J1487" i="1"/>
  <c r="G1487" i="1" s="1"/>
  <c r="B2695" i="1" l="1"/>
  <c r="C2694" i="1"/>
  <c r="D2694" i="1" s="1"/>
  <c r="I1487" i="1"/>
  <c r="E1488" i="1" s="1"/>
  <c r="C2695" i="1" l="1"/>
  <c r="D2695" i="1" s="1"/>
  <c r="B2696" i="1"/>
  <c r="F1488" i="1"/>
  <c r="J1488" i="1"/>
  <c r="G1488" i="1" s="1"/>
  <c r="H1488" i="1"/>
  <c r="I1488" i="1" s="1"/>
  <c r="E1489" i="1" s="1"/>
  <c r="B2697" i="1" l="1"/>
  <c r="C2696" i="1"/>
  <c r="D2696" i="1" s="1"/>
  <c r="F1489" i="1"/>
  <c r="H1489" i="1"/>
  <c r="J1489" i="1"/>
  <c r="G1489" i="1" s="1"/>
  <c r="C2697" i="1" l="1"/>
  <c r="D2697" i="1" s="1"/>
  <c r="B2698" i="1"/>
  <c r="I1489" i="1"/>
  <c r="E1490" i="1" s="1"/>
  <c r="B2699" i="1" l="1"/>
  <c r="C2698" i="1"/>
  <c r="D2698" i="1" s="1"/>
  <c r="F1490" i="1"/>
  <c r="H1490" i="1"/>
  <c r="J1490" i="1"/>
  <c r="G1490" i="1" s="1"/>
  <c r="C2699" i="1" l="1"/>
  <c r="D2699" i="1" s="1"/>
  <c r="B2700" i="1"/>
  <c r="I1490" i="1"/>
  <c r="E1491" i="1" s="1"/>
  <c r="C2700" i="1" l="1"/>
  <c r="D2700" i="1" s="1"/>
  <c r="B2701" i="1"/>
  <c r="F1491" i="1"/>
  <c r="J1491" i="1"/>
  <c r="G1491" i="1" s="1"/>
  <c r="H1491" i="1"/>
  <c r="I1491" i="1" s="1"/>
  <c r="E1492" i="1" s="1"/>
  <c r="C2701" i="1" l="1"/>
  <c r="D2701" i="1" s="1"/>
  <c r="B2702" i="1"/>
  <c r="H1492" i="1"/>
  <c r="J1492" i="1"/>
  <c r="G1492" i="1" s="1"/>
  <c r="F1492" i="1"/>
  <c r="C2702" i="1" l="1"/>
  <c r="D2702" i="1" s="1"/>
  <c r="B2703" i="1"/>
  <c r="I1492" i="1"/>
  <c r="E1493" i="1" s="1"/>
  <c r="C2703" i="1" l="1"/>
  <c r="D2703" i="1" s="1"/>
  <c r="B2704" i="1"/>
  <c r="F1493" i="1"/>
  <c r="H1493" i="1"/>
  <c r="J1493" i="1"/>
  <c r="G1493" i="1" s="1"/>
  <c r="C2704" i="1" l="1"/>
  <c r="D2704" i="1" s="1"/>
  <c r="B2705" i="1"/>
  <c r="I1493" i="1"/>
  <c r="E1494" i="1" s="1"/>
  <c r="C2705" i="1" l="1"/>
  <c r="D2705" i="1" s="1"/>
  <c r="B2706" i="1"/>
  <c r="F1494" i="1"/>
  <c r="H1494" i="1"/>
  <c r="J1494" i="1"/>
  <c r="G1494" i="1" s="1"/>
  <c r="B2707" i="1" l="1"/>
  <c r="C2706" i="1"/>
  <c r="D2706" i="1" s="1"/>
  <c r="I1494" i="1"/>
  <c r="E1495" i="1" s="1"/>
  <c r="B2708" i="1" l="1"/>
  <c r="C2707" i="1"/>
  <c r="D2707" i="1" s="1"/>
  <c r="J1495" i="1"/>
  <c r="G1495" i="1" s="1"/>
  <c r="H1495" i="1"/>
  <c r="F1495" i="1"/>
  <c r="C2708" i="1" l="1"/>
  <c r="D2708" i="1" s="1"/>
  <c r="B2709" i="1"/>
  <c r="I1495" i="1"/>
  <c r="E1496" i="1" s="1"/>
  <c r="B2710" i="1" l="1"/>
  <c r="C2709" i="1"/>
  <c r="D2709" i="1" s="1"/>
  <c r="J1496" i="1"/>
  <c r="G1496" i="1" s="1"/>
  <c r="F1496" i="1"/>
  <c r="H1496" i="1"/>
  <c r="C2710" i="1" l="1"/>
  <c r="D2710" i="1" s="1"/>
  <c r="B2711" i="1"/>
  <c r="I1496" i="1"/>
  <c r="E1497" i="1" s="1"/>
  <c r="C2711" i="1" l="1"/>
  <c r="D2711" i="1" s="1"/>
  <c r="B2712" i="1"/>
  <c r="H1497" i="1"/>
  <c r="J1497" i="1"/>
  <c r="G1497" i="1" s="1"/>
  <c r="F1497" i="1"/>
  <c r="C2712" i="1" l="1"/>
  <c r="D2712" i="1" s="1"/>
  <c r="B2713" i="1"/>
  <c r="I1497" i="1"/>
  <c r="E1498" i="1" s="1"/>
  <c r="C2713" i="1" l="1"/>
  <c r="D2713" i="1" s="1"/>
  <c r="B2714" i="1"/>
  <c r="H1498" i="1"/>
  <c r="J1498" i="1"/>
  <c r="G1498" i="1" s="1"/>
  <c r="F1498" i="1"/>
  <c r="B2715" i="1" l="1"/>
  <c r="C2714" i="1"/>
  <c r="D2714" i="1" s="1"/>
  <c r="I1498" i="1"/>
  <c r="E1499" i="1" s="1"/>
  <c r="C2715" i="1" l="1"/>
  <c r="D2715" i="1" s="1"/>
  <c r="B2716" i="1"/>
  <c r="J1499" i="1"/>
  <c r="G1499" i="1" s="1"/>
  <c r="F1499" i="1"/>
  <c r="H1499" i="1"/>
  <c r="C2716" i="1" l="1"/>
  <c r="D2716" i="1" s="1"/>
  <c r="B2717" i="1"/>
  <c r="I1499" i="1"/>
  <c r="E1500" i="1" s="1"/>
  <c r="C2717" i="1" l="1"/>
  <c r="D2717" i="1" s="1"/>
  <c r="B2718" i="1"/>
  <c r="J1500" i="1"/>
  <c r="G1500" i="1" s="1"/>
  <c r="H1500" i="1"/>
  <c r="F1500" i="1"/>
  <c r="C2718" i="1" l="1"/>
  <c r="D2718" i="1" s="1"/>
  <c r="B2719" i="1"/>
  <c r="I1500" i="1"/>
  <c r="E1501" i="1" s="1"/>
  <c r="C2719" i="1" l="1"/>
  <c r="D2719" i="1" s="1"/>
  <c r="B2720" i="1"/>
  <c r="J1501" i="1"/>
  <c r="G1501" i="1" s="1"/>
  <c r="H1501" i="1"/>
  <c r="F1501" i="1"/>
  <c r="C2720" i="1" l="1"/>
  <c r="D2720" i="1" s="1"/>
  <c r="B2721" i="1"/>
  <c r="I1501" i="1"/>
  <c r="E1502" i="1" s="1"/>
  <c r="C2721" i="1" l="1"/>
  <c r="D2721" i="1" s="1"/>
  <c r="B2722" i="1"/>
  <c r="F1502" i="1"/>
  <c r="H1502" i="1"/>
  <c r="J1502" i="1"/>
  <c r="G1502" i="1" s="1"/>
  <c r="C2722" i="1" l="1"/>
  <c r="D2722" i="1" s="1"/>
  <c r="B2723" i="1"/>
  <c r="I1502" i="1"/>
  <c r="E1503" i="1" s="1"/>
  <c r="C2723" i="1" l="1"/>
  <c r="D2723" i="1" s="1"/>
  <c r="B2724" i="1"/>
  <c r="F1503" i="1"/>
  <c r="H1503" i="1"/>
  <c r="J1503" i="1"/>
  <c r="G1503" i="1" s="1"/>
  <c r="C2724" i="1" l="1"/>
  <c r="D2724" i="1" s="1"/>
  <c r="B2725" i="1"/>
  <c r="I1503" i="1"/>
  <c r="E1504" i="1" s="1"/>
  <c r="C2725" i="1" l="1"/>
  <c r="D2725" i="1" s="1"/>
  <c r="B2726" i="1"/>
  <c r="F1504" i="1"/>
  <c r="J1504" i="1"/>
  <c r="G1504" i="1" s="1"/>
  <c r="H1504" i="1"/>
  <c r="I1504" i="1" s="1"/>
  <c r="E1505" i="1" s="1"/>
  <c r="C2726" i="1" l="1"/>
  <c r="D2726" i="1" s="1"/>
  <c r="B2727" i="1"/>
  <c r="J1505" i="1"/>
  <c r="G1505" i="1" s="1"/>
  <c r="H1505" i="1"/>
  <c r="F1505" i="1"/>
  <c r="C2727" i="1" l="1"/>
  <c r="D2727" i="1" s="1"/>
  <c r="B2728" i="1"/>
  <c r="I1505" i="1"/>
  <c r="E1506" i="1" s="1"/>
  <c r="C2728" i="1" l="1"/>
  <c r="D2728" i="1" s="1"/>
  <c r="B2729" i="1"/>
  <c r="H1506" i="1"/>
  <c r="J1506" i="1"/>
  <c r="G1506" i="1" s="1"/>
  <c r="F1506" i="1"/>
  <c r="I1506" i="1" l="1"/>
  <c r="E1507" i="1" s="1"/>
  <c r="C2729" i="1"/>
  <c r="D2729" i="1" s="1"/>
  <c r="B2730" i="1"/>
  <c r="J1507" i="1"/>
  <c r="G1507" i="1" s="1"/>
  <c r="H1507" i="1"/>
  <c r="F1507" i="1"/>
  <c r="C2730" i="1" l="1"/>
  <c r="D2730" i="1" s="1"/>
  <c r="B2731" i="1"/>
  <c r="I1507" i="1"/>
  <c r="E1508" i="1" s="1"/>
  <c r="B2732" i="1" l="1"/>
  <c r="C2731" i="1"/>
  <c r="D2731" i="1" s="1"/>
  <c r="H1508" i="1"/>
  <c r="F1508" i="1"/>
  <c r="J1508" i="1"/>
  <c r="G1508" i="1" s="1"/>
  <c r="C2732" i="1" l="1"/>
  <c r="D2732" i="1" s="1"/>
  <c r="B2733" i="1"/>
  <c r="I1508" i="1"/>
  <c r="E1509" i="1" s="1"/>
  <c r="B2734" i="1" l="1"/>
  <c r="C2733" i="1"/>
  <c r="D2733" i="1" s="1"/>
  <c r="H1509" i="1"/>
  <c r="J1509" i="1"/>
  <c r="G1509" i="1" s="1"/>
  <c r="F1509" i="1"/>
  <c r="C2734" i="1" l="1"/>
  <c r="D2734" i="1" s="1"/>
  <c r="B2735" i="1"/>
  <c r="I1509" i="1"/>
  <c r="E1510" i="1" s="1"/>
  <c r="C2735" i="1" l="1"/>
  <c r="D2735" i="1" s="1"/>
  <c r="B2736" i="1"/>
  <c r="H1510" i="1"/>
  <c r="J1510" i="1"/>
  <c r="G1510" i="1" s="1"/>
  <c r="F1510" i="1"/>
  <c r="C2736" i="1" l="1"/>
  <c r="D2736" i="1" s="1"/>
  <c r="B2737" i="1"/>
  <c r="I1510" i="1"/>
  <c r="E1511" i="1" s="1"/>
  <c r="C2737" i="1" l="1"/>
  <c r="D2737" i="1" s="1"/>
  <c r="B2738" i="1"/>
  <c r="J1511" i="1"/>
  <c r="G1511" i="1" s="1"/>
  <c r="H1511" i="1"/>
  <c r="F1511" i="1"/>
  <c r="C2738" i="1" l="1"/>
  <c r="D2738" i="1" s="1"/>
  <c r="B2739" i="1"/>
  <c r="I1511" i="1"/>
  <c r="E1512" i="1" s="1"/>
  <c r="C2739" i="1" l="1"/>
  <c r="B2740" i="1"/>
  <c r="J1512" i="1"/>
  <c r="G1512" i="1" s="1"/>
  <c r="H1512" i="1"/>
  <c r="F1512" i="1"/>
  <c r="B2741" i="1" l="1"/>
  <c r="C2740" i="1"/>
  <c r="D2740" i="1" s="1"/>
  <c r="D2739" i="1"/>
  <c r="I1512" i="1"/>
  <c r="E1513" i="1" s="1"/>
  <c r="C2741" i="1" l="1"/>
  <c r="D2741" i="1" s="1"/>
  <c r="B2742" i="1"/>
  <c r="H1513" i="1"/>
  <c r="J1513" i="1"/>
  <c r="G1513" i="1" s="1"/>
  <c r="F1513" i="1"/>
  <c r="C2742" i="1" l="1"/>
  <c r="D2742" i="1" s="1"/>
  <c r="B2743" i="1"/>
  <c r="I1513" i="1"/>
  <c r="E1514" i="1" s="1"/>
  <c r="C2743" i="1" l="1"/>
  <c r="D2743" i="1" s="1"/>
  <c r="B2744" i="1"/>
  <c r="H1514" i="1"/>
  <c r="J1514" i="1"/>
  <c r="G1514" i="1" s="1"/>
  <c r="F1514" i="1"/>
  <c r="C2744" i="1" l="1"/>
  <c r="D2744" i="1" s="1"/>
  <c r="B2745" i="1"/>
  <c r="I1514" i="1"/>
  <c r="E1515" i="1" s="1"/>
  <c r="C2745" i="1" l="1"/>
  <c r="D2745" i="1" s="1"/>
  <c r="B2746" i="1"/>
  <c r="J1515" i="1"/>
  <c r="G1515" i="1" s="1"/>
  <c r="H1515" i="1"/>
  <c r="F1515" i="1"/>
  <c r="C2746" i="1" l="1"/>
  <c r="D2746" i="1" s="1"/>
  <c r="B2747" i="1"/>
  <c r="I1515" i="1"/>
  <c r="E1516" i="1" s="1"/>
  <c r="C2747" i="1" l="1"/>
  <c r="D2747" i="1" s="1"/>
  <c r="B2748" i="1"/>
  <c r="J1516" i="1"/>
  <c r="G1516" i="1" s="1"/>
  <c r="H1516" i="1"/>
  <c r="F1516" i="1"/>
  <c r="C2748" i="1" l="1"/>
  <c r="D2748" i="1" s="1"/>
  <c r="B2749" i="1"/>
  <c r="I1516" i="1"/>
  <c r="E1517" i="1" s="1"/>
  <c r="C2749" i="1" l="1"/>
  <c r="D2749" i="1" s="1"/>
  <c r="B2750" i="1"/>
  <c r="H1517" i="1"/>
  <c r="F1517" i="1"/>
  <c r="J1517" i="1"/>
  <c r="G1517" i="1" s="1"/>
  <c r="C2750" i="1" l="1"/>
  <c r="D2750" i="1" s="1"/>
  <c r="B2751" i="1"/>
  <c r="I1517" i="1"/>
  <c r="E1518" i="1" s="1"/>
  <c r="C2751" i="1" l="1"/>
  <c r="D2751" i="1" s="1"/>
  <c r="B2752" i="1"/>
  <c r="H1518" i="1"/>
  <c r="J1518" i="1"/>
  <c r="G1518" i="1" s="1"/>
  <c r="F1518" i="1"/>
  <c r="C2752" i="1" l="1"/>
  <c r="D2752" i="1" s="1"/>
  <c r="B2753" i="1"/>
  <c r="I1518" i="1"/>
  <c r="E1519" i="1" s="1"/>
  <c r="B2754" i="1" l="1"/>
  <c r="C2753" i="1"/>
  <c r="D2753" i="1" s="1"/>
  <c r="J1519" i="1"/>
  <c r="G1519" i="1" s="1"/>
  <c r="H1519" i="1"/>
  <c r="F1519" i="1"/>
  <c r="C2754" i="1" l="1"/>
  <c r="D2754" i="1" s="1"/>
  <c r="B2755" i="1"/>
  <c r="I1519" i="1"/>
  <c r="E1520" i="1" s="1"/>
  <c r="B2756" i="1" l="1"/>
  <c r="C2755" i="1"/>
  <c r="D2755" i="1" s="1"/>
  <c r="H1520" i="1"/>
  <c r="F1520" i="1"/>
  <c r="J1520" i="1"/>
  <c r="G1520" i="1" s="1"/>
  <c r="C2756" i="1" l="1"/>
  <c r="D2756" i="1" s="1"/>
  <c r="B2757" i="1"/>
  <c r="I1520" i="1"/>
  <c r="E1521" i="1" s="1"/>
  <c r="B2758" i="1" l="1"/>
  <c r="C2757" i="1"/>
  <c r="D2757" i="1" s="1"/>
  <c r="J1521" i="1"/>
  <c r="G1521" i="1" s="1"/>
  <c r="F1521" i="1"/>
  <c r="H1521" i="1"/>
  <c r="C2758" i="1" l="1"/>
  <c r="D2758" i="1" s="1"/>
  <c r="B2759" i="1"/>
  <c r="I1521" i="1"/>
  <c r="E1522" i="1" s="1"/>
  <c r="C2759" i="1" l="1"/>
  <c r="D2759" i="1" s="1"/>
  <c r="B2760" i="1"/>
  <c r="H1522" i="1"/>
  <c r="J1522" i="1"/>
  <c r="G1522" i="1" s="1"/>
  <c r="F1522" i="1"/>
  <c r="C2760" i="1" l="1"/>
  <c r="D2760" i="1" s="1"/>
  <c r="B2761" i="1"/>
  <c r="I1522" i="1"/>
  <c r="E1523" i="1" s="1"/>
  <c r="B2762" i="1" l="1"/>
  <c r="C2761" i="1"/>
  <c r="D2761" i="1" s="1"/>
  <c r="F1523" i="1"/>
  <c r="H1523" i="1"/>
  <c r="J1523" i="1"/>
  <c r="G1523" i="1" s="1"/>
  <c r="C2762" i="1" l="1"/>
  <c r="D2762" i="1" s="1"/>
  <c r="B2763" i="1"/>
  <c r="I1523" i="1"/>
  <c r="E1524" i="1" s="1"/>
  <c r="C2763" i="1" l="1"/>
  <c r="D2763" i="1" s="1"/>
  <c r="B2764" i="1"/>
  <c r="F1524" i="1"/>
  <c r="J1524" i="1"/>
  <c r="G1524" i="1" s="1"/>
  <c r="H1524" i="1"/>
  <c r="I1524" i="1" l="1"/>
  <c r="E1525" i="1" s="1"/>
  <c r="C2764" i="1"/>
  <c r="D2764" i="1" s="1"/>
  <c r="B2765" i="1"/>
  <c r="H1525" i="1"/>
  <c r="J1525" i="1"/>
  <c r="G1525" i="1" s="1"/>
  <c r="F1525" i="1"/>
  <c r="C2765" i="1" l="1"/>
  <c r="D2765" i="1" s="1"/>
  <c r="B2766" i="1"/>
  <c r="I1525" i="1"/>
  <c r="E1526" i="1" s="1"/>
  <c r="C2766" i="1" l="1"/>
  <c r="D2766" i="1" s="1"/>
  <c r="B2767" i="1"/>
  <c r="H1526" i="1"/>
  <c r="J1526" i="1"/>
  <c r="G1526" i="1" s="1"/>
  <c r="F1526" i="1"/>
  <c r="C2767" i="1" l="1"/>
  <c r="D2767" i="1" s="1"/>
  <c r="B2768" i="1"/>
  <c r="I1526" i="1"/>
  <c r="E1527" i="1" s="1"/>
  <c r="C2768" i="1" l="1"/>
  <c r="D2768" i="1" s="1"/>
  <c r="B2769" i="1"/>
  <c r="J1527" i="1"/>
  <c r="G1527" i="1" s="1"/>
  <c r="F1527" i="1"/>
  <c r="H1527" i="1"/>
  <c r="C2769" i="1" l="1"/>
  <c r="D2769" i="1" s="1"/>
  <c r="B2770" i="1"/>
  <c r="I1527" i="1"/>
  <c r="E1528" i="1" s="1"/>
  <c r="B2771" i="1" l="1"/>
  <c r="C2770" i="1"/>
  <c r="D2770" i="1" s="1"/>
  <c r="F1528" i="1"/>
  <c r="H1528" i="1"/>
  <c r="J1528" i="1"/>
  <c r="G1528" i="1" s="1"/>
  <c r="C2771" i="1" l="1"/>
  <c r="D2771" i="1" s="1"/>
  <c r="B2772" i="1"/>
  <c r="I1528" i="1"/>
  <c r="E1529" i="1" s="1"/>
  <c r="C2772" i="1" l="1"/>
  <c r="D2772" i="1" s="1"/>
  <c r="B2773" i="1"/>
  <c r="J1529" i="1"/>
  <c r="G1529" i="1" s="1"/>
  <c r="H1529" i="1"/>
  <c r="F1529" i="1"/>
  <c r="C2773" i="1" l="1"/>
  <c r="D2773" i="1" s="1"/>
  <c r="B2774" i="1"/>
  <c r="I1529" i="1"/>
  <c r="E1530" i="1" s="1"/>
  <c r="C2774" i="1" l="1"/>
  <c r="D2774" i="1" s="1"/>
  <c r="B2775" i="1"/>
  <c r="F1530" i="1"/>
  <c r="H1530" i="1"/>
  <c r="J1530" i="1"/>
  <c r="G1530" i="1" s="1"/>
  <c r="C2775" i="1" l="1"/>
  <c r="D2775" i="1" s="1"/>
  <c r="B2776" i="1"/>
  <c r="I1530" i="1"/>
  <c r="E1531" i="1" s="1"/>
  <c r="C2776" i="1" l="1"/>
  <c r="D2776" i="1" s="1"/>
  <c r="B2777" i="1"/>
  <c r="H1531" i="1"/>
  <c r="F1531" i="1"/>
  <c r="J1531" i="1"/>
  <c r="G1531" i="1" s="1"/>
  <c r="C2777" i="1" l="1"/>
  <c r="D2777" i="1" s="1"/>
  <c r="B2778" i="1"/>
  <c r="I1531" i="1"/>
  <c r="E1532" i="1" s="1"/>
  <c r="C2778" i="1" l="1"/>
  <c r="D2778" i="1" s="1"/>
  <c r="B2779" i="1"/>
  <c r="J1532" i="1"/>
  <c r="G1532" i="1" s="1"/>
  <c r="F1532" i="1"/>
  <c r="H1532" i="1"/>
  <c r="C2779" i="1" l="1"/>
  <c r="D2779" i="1" s="1"/>
  <c r="B2780" i="1"/>
  <c r="I1532" i="1"/>
  <c r="E1533" i="1" s="1"/>
  <c r="B2781" i="1" l="1"/>
  <c r="C2780" i="1"/>
  <c r="D2780" i="1" s="1"/>
  <c r="H1533" i="1"/>
  <c r="J1533" i="1"/>
  <c r="G1533" i="1" s="1"/>
  <c r="F1533" i="1"/>
  <c r="C2781" i="1" l="1"/>
  <c r="D2781" i="1" s="1"/>
  <c r="B2782" i="1"/>
  <c r="I1533" i="1"/>
  <c r="E1534" i="1" s="1"/>
  <c r="C2782" i="1" l="1"/>
  <c r="D2782" i="1" s="1"/>
  <c r="B2783" i="1"/>
  <c r="H1534" i="1"/>
  <c r="F1534" i="1"/>
  <c r="J1534" i="1"/>
  <c r="G1534" i="1" s="1"/>
  <c r="C2783" i="1" l="1"/>
  <c r="D2783" i="1" s="1"/>
  <c r="B2784" i="1"/>
  <c r="I1534" i="1"/>
  <c r="E1535" i="1" s="1"/>
  <c r="C2784" i="1" l="1"/>
  <c r="D2784" i="1" s="1"/>
  <c r="B2785" i="1"/>
  <c r="F1535" i="1"/>
  <c r="H1535" i="1"/>
  <c r="J1535" i="1"/>
  <c r="G1535" i="1" s="1"/>
  <c r="B2786" i="1" l="1"/>
  <c r="C2785" i="1"/>
  <c r="D2785" i="1" s="1"/>
  <c r="I1535" i="1"/>
  <c r="E1536" i="1" s="1"/>
  <c r="C2786" i="1" l="1"/>
  <c r="D2786" i="1" s="1"/>
  <c r="B2787" i="1"/>
  <c r="J1536" i="1"/>
  <c r="G1536" i="1" s="1"/>
  <c r="F1536" i="1"/>
  <c r="H1536" i="1"/>
  <c r="B2788" i="1" l="1"/>
  <c r="C2787" i="1"/>
  <c r="D2787" i="1" s="1"/>
  <c r="I1536" i="1"/>
  <c r="E1537" i="1" s="1"/>
  <c r="C2788" i="1" l="1"/>
  <c r="D2788" i="1" s="1"/>
  <c r="B2789" i="1"/>
  <c r="J1537" i="1"/>
  <c r="G1537" i="1" s="1"/>
  <c r="F1537" i="1"/>
  <c r="H1537" i="1"/>
  <c r="C2789" i="1" l="1"/>
  <c r="D2789" i="1" s="1"/>
  <c r="B2790" i="1"/>
  <c r="I1537" i="1"/>
  <c r="E1538" i="1" s="1"/>
  <c r="C2790" i="1" l="1"/>
  <c r="D2790" i="1" s="1"/>
  <c r="B2791" i="1"/>
  <c r="H1538" i="1"/>
  <c r="F1538" i="1"/>
  <c r="J1538" i="1"/>
  <c r="G1538" i="1" s="1"/>
  <c r="C2791" i="1" l="1"/>
  <c r="D2791" i="1" s="1"/>
  <c r="B2792" i="1"/>
  <c r="I1538" i="1"/>
  <c r="E1539" i="1" s="1"/>
  <c r="C2792" i="1" l="1"/>
  <c r="D2792" i="1" s="1"/>
  <c r="B2793" i="1"/>
  <c r="H1539" i="1"/>
  <c r="J1539" i="1"/>
  <c r="G1539" i="1" s="1"/>
  <c r="F1539" i="1"/>
  <c r="B2794" i="1" l="1"/>
  <c r="C2793" i="1"/>
  <c r="D2793" i="1" s="1"/>
  <c r="I1539" i="1"/>
  <c r="E1540" i="1" s="1"/>
  <c r="C2794" i="1" l="1"/>
  <c r="D2794" i="1" s="1"/>
  <c r="B2795" i="1"/>
  <c r="H1540" i="1"/>
  <c r="J1540" i="1"/>
  <c r="G1540" i="1" s="1"/>
  <c r="F1540" i="1"/>
  <c r="C2795" i="1" l="1"/>
  <c r="D2795" i="1" s="1"/>
  <c r="B2796" i="1"/>
  <c r="I1540" i="1"/>
  <c r="E1541" i="1" s="1"/>
  <c r="B2797" i="1" l="1"/>
  <c r="C2796" i="1"/>
  <c r="D2796" i="1" s="1"/>
  <c r="H1541" i="1"/>
  <c r="F1541" i="1"/>
  <c r="J1541" i="1"/>
  <c r="G1541" i="1" s="1"/>
  <c r="C2797" i="1" l="1"/>
  <c r="D2797" i="1" s="1"/>
  <c r="B2798" i="1"/>
  <c r="I1541" i="1"/>
  <c r="E1542" i="1" s="1"/>
  <c r="C2798" i="1" l="1"/>
  <c r="D2798" i="1" s="1"/>
  <c r="B2799" i="1"/>
  <c r="H1542" i="1"/>
  <c r="J1542" i="1"/>
  <c r="G1542" i="1" s="1"/>
  <c r="F1542" i="1"/>
  <c r="C2799" i="1" l="1"/>
  <c r="D2799" i="1" s="1"/>
  <c r="B2800" i="1"/>
  <c r="I1542" i="1"/>
  <c r="E1543" i="1" s="1"/>
  <c r="C2800" i="1" l="1"/>
  <c r="D2800" i="1" s="1"/>
  <c r="B2801" i="1"/>
  <c r="H1543" i="1"/>
  <c r="J1543" i="1"/>
  <c r="G1543" i="1" s="1"/>
  <c r="F1543" i="1"/>
  <c r="B2802" i="1" l="1"/>
  <c r="C2801" i="1"/>
  <c r="D2801" i="1" s="1"/>
  <c r="I1543" i="1"/>
  <c r="E1544" i="1" s="1"/>
  <c r="C2802" i="1" l="1"/>
  <c r="D2802" i="1" s="1"/>
  <c r="B2803" i="1"/>
  <c r="J1544" i="1"/>
  <c r="G1544" i="1" s="1"/>
  <c r="H1544" i="1"/>
  <c r="F1544" i="1"/>
  <c r="C2803" i="1" l="1"/>
  <c r="D2803" i="1" s="1"/>
  <c r="B2804" i="1"/>
  <c r="I1544" i="1"/>
  <c r="E1545" i="1" s="1"/>
  <c r="C2804" i="1" l="1"/>
  <c r="D2804" i="1" s="1"/>
  <c r="B2805" i="1"/>
  <c r="F1545" i="1"/>
  <c r="H1545" i="1"/>
  <c r="J1545" i="1"/>
  <c r="G1545" i="1" s="1"/>
  <c r="C2805" i="1" l="1"/>
  <c r="D2805" i="1" s="1"/>
  <c r="B2806" i="1"/>
  <c r="I1545" i="1"/>
  <c r="E1546" i="1" s="1"/>
  <c r="C2806" i="1" l="1"/>
  <c r="D2806" i="1" s="1"/>
  <c r="B2807" i="1"/>
  <c r="J1546" i="1"/>
  <c r="G1546" i="1" s="1"/>
  <c r="F1546" i="1"/>
  <c r="H1546" i="1"/>
  <c r="C2807" i="1" l="1"/>
  <c r="D2807" i="1" s="1"/>
  <c r="B2808" i="1"/>
  <c r="I1546" i="1"/>
  <c r="E1547" i="1" s="1"/>
  <c r="C2808" i="1" l="1"/>
  <c r="D2808" i="1" s="1"/>
  <c r="B2809" i="1"/>
  <c r="J1547" i="1"/>
  <c r="G1547" i="1" s="1"/>
  <c r="H1547" i="1"/>
  <c r="F1547" i="1"/>
  <c r="B2810" i="1" l="1"/>
  <c r="C2809" i="1"/>
  <c r="D2809" i="1" s="1"/>
  <c r="I1547" i="1"/>
  <c r="E1548" i="1" s="1"/>
  <c r="B2811" i="1" l="1"/>
  <c r="C2810" i="1"/>
  <c r="D2810" i="1" s="1"/>
  <c r="H1548" i="1"/>
  <c r="J1548" i="1"/>
  <c r="G1548" i="1" s="1"/>
  <c r="F1548" i="1"/>
  <c r="B2812" i="1" l="1"/>
  <c r="C2811" i="1"/>
  <c r="D2811" i="1" s="1"/>
  <c r="I1548" i="1"/>
  <c r="E1549" i="1" s="1"/>
  <c r="B2813" i="1" l="1"/>
  <c r="C2812" i="1"/>
  <c r="D2812" i="1" s="1"/>
  <c r="J1549" i="1"/>
  <c r="G1549" i="1" s="1"/>
  <c r="H1549" i="1"/>
  <c r="F1549" i="1"/>
  <c r="C2813" i="1" l="1"/>
  <c r="D2813" i="1" s="1"/>
  <c r="B2814" i="1"/>
  <c r="I1549" i="1"/>
  <c r="E1550" i="1" s="1"/>
  <c r="C2814" i="1" l="1"/>
  <c r="D2814" i="1" s="1"/>
  <c r="B2815" i="1"/>
  <c r="H1550" i="1"/>
  <c r="J1550" i="1"/>
  <c r="G1550" i="1" s="1"/>
  <c r="F1550" i="1"/>
  <c r="B2816" i="1" l="1"/>
  <c r="C2815" i="1"/>
  <c r="D2815" i="1" s="1"/>
  <c r="I1550" i="1"/>
  <c r="E1551" i="1" s="1"/>
  <c r="C2816" i="1" l="1"/>
  <c r="D2816" i="1" s="1"/>
  <c r="B2817" i="1"/>
  <c r="H1551" i="1"/>
  <c r="J1551" i="1"/>
  <c r="G1551" i="1" s="1"/>
  <c r="F1551" i="1"/>
  <c r="C2817" i="1" l="1"/>
  <c r="D2817" i="1" s="1"/>
  <c r="B2818" i="1"/>
  <c r="I1551" i="1"/>
  <c r="E1552" i="1" s="1"/>
  <c r="C2818" i="1" l="1"/>
  <c r="D2818" i="1" s="1"/>
  <c r="B2819" i="1"/>
  <c r="F1552" i="1"/>
  <c r="J1552" i="1"/>
  <c r="G1552" i="1" s="1"/>
  <c r="H1552" i="1"/>
  <c r="I1552" i="1" s="1"/>
  <c r="E1553" i="1" s="1"/>
  <c r="C2819" i="1" l="1"/>
  <c r="D2819" i="1" s="1"/>
  <c r="B2820" i="1"/>
  <c r="H1553" i="1"/>
  <c r="J1553" i="1"/>
  <c r="G1553" i="1" s="1"/>
  <c r="F1553" i="1"/>
  <c r="C2820" i="1" l="1"/>
  <c r="D2820" i="1" s="1"/>
  <c r="B2821" i="1"/>
  <c r="I1553" i="1"/>
  <c r="E1554" i="1" s="1"/>
  <c r="C2821" i="1" l="1"/>
  <c r="D2821" i="1" s="1"/>
  <c r="B2822" i="1"/>
  <c r="H1554" i="1"/>
  <c r="J1554" i="1"/>
  <c r="G1554" i="1" s="1"/>
  <c r="F1554" i="1"/>
  <c r="C2822" i="1" l="1"/>
  <c r="D2822" i="1" s="1"/>
  <c r="B2823" i="1"/>
  <c r="I1554" i="1"/>
  <c r="E1555" i="1" s="1"/>
  <c r="C2823" i="1" l="1"/>
  <c r="D2823" i="1" s="1"/>
  <c r="B2824" i="1"/>
  <c r="J1555" i="1"/>
  <c r="G1555" i="1" s="1"/>
  <c r="H1555" i="1"/>
  <c r="F1555" i="1"/>
  <c r="C2824" i="1" l="1"/>
  <c r="D2824" i="1" s="1"/>
  <c r="B2825" i="1"/>
  <c r="I1555" i="1"/>
  <c r="E1556" i="1" s="1"/>
  <c r="C2825" i="1" l="1"/>
  <c r="D2825" i="1" s="1"/>
  <c r="B2826" i="1"/>
  <c r="H1556" i="1"/>
  <c r="J1556" i="1"/>
  <c r="G1556" i="1" s="1"/>
  <c r="F1556" i="1"/>
  <c r="C2826" i="1" l="1"/>
  <c r="D2826" i="1" s="1"/>
  <c r="B2827" i="1"/>
  <c r="I1556" i="1"/>
  <c r="E1557" i="1" s="1"/>
  <c r="C2827" i="1" l="1"/>
  <c r="D2827" i="1" s="1"/>
  <c r="B2828" i="1"/>
  <c r="J1557" i="1"/>
  <c r="G1557" i="1" s="1"/>
  <c r="H1557" i="1"/>
  <c r="F1557" i="1"/>
  <c r="C2828" i="1" l="1"/>
  <c r="D2828" i="1" s="1"/>
  <c r="B2829" i="1"/>
  <c r="I1557" i="1"/>
  <c r="E1558" i="1" s="1"/>
  <c r="C2829" i="1" l="1"/>
  <c r="D2829" i="1" s="1"/>
  <c r="B2830" i="1"/>
  <c r="H1558" i="1"/>
  <c r="J1558" i="1"/>
  <c r="G1558" i="1" s="1"/>
  <c r="F1558" i="1"/>
  <c r="C2830" i="1" l="1"/>
  <c r="B2831" i="1"/>
  <c r="I1558" i="1"/>
  <c r="E1559" i="1" s="1"/>
  <c r="C2831" i="1" l="1"/>
  <c r="D2831" i="1" s="1"/>
  <c r="B2832" i="1"/>
  <c r="D2830" i="1"/>
  <c r="J1559" i="1"/>
  <c r="G1559" i="1" s="1"/>
  <c r="F1559" i="1"/>
  <c r="H1559" i="1"/>
  <c r="C2832" i="1" l="1"/>
  <c r="D2832" i="1" s="1"/>
  <c r="B2833" i="1"/>
  <c r="I1559" i="1"/>
  <c r="E1560" i="1" s="1"/>
  <c r="C2833" i="1" l="1"/>
  <c r="D2833" i="1" s="1"/>
  <c r="B2834" i="1"/>
  <c r="H1560" i="1"/>
  <c r="J1560" i="1"/>
  <c r="G1560" i="1" s="1"/>
  <c r="F1560" i="1"/>
  <c r="C2834" i="1" l="1"/>
  <c r="D2834" i="1" s="1"/>
  <c r="B2835" i="1"/>
  <c r="I1560" i="1"/>
  <c r="E1561" i="1" s="1"/>
  <c r="C2835" i="1" l="1"/>
  <c r="D2835" i="1" s="1"/>
  <c r="B2836" i="1"/>
  <c r="H1561" i="1"/>
  <c r="J1561" i="1"/>
  <c r="G1561" i="1" s="1"/>
  <c r="F1561" i="1"/>
  <c r="C2836" i="1" l="1"/>
  <c r="D2836" i="1" s="1"/>
  <c r="B2837" i="1"/>
  <c r="I1561" i="1"/>
  <c r="E1562" i="1" s="1"/>
  <c r="C2837" i="1" l="1"/>
  <c r="D2837" i="1" s="1"/>
  <c r="B2838" i="1"/>
  <c r="H1562" i="1"/>
  <c r="J1562" i="1"/>
  <c r="G1562" i="1" s="1"/>
  <c r="F1562" i="1"/>
  <c r="C2838" i="1" l="1"/>
  <c r="D2838" i="1" s="1"/>
  <c r="B2839" i="1"/>
  <c r="I1562" i="1"/>
  <c r="E1563" i="1" s="1"/>
  <c r="C2839" i="1" l="1"/>
  <c r="D2839" i="1" s="1"/>
  <c r="B2840" i="1"/>
  <c r="J1563" i="1"/>
  <c r="G1563" i="1" s="1"/>
  <c r="H1563" i="1"/>
  <c r="F1563" i="1"/>
  <c r="B2841" i="1" l="1"/>
  <c r="C2840" i="1"/>
  <c r="D2840" i="1" s="1"/>
  <c r="I1563" i="1"/>
  <c r="E1564" i="1" s="1"/>
  <c r="C2841" i="1" l="1"/>
  <c r="D2841" i="1" s="1"/>
  <c r="B2842" i="1"/>
  <c r="H1564" i="1"/>
  <c r="J1564" i="1"/>
  <c r="G1564" i="1" s="1"/>
  <c r="F1564" i="1"/>
  <c r="C2842" i="1" l="1"/>
  <c r="D2842" i="1" s="1"/>
  <c r="B2843" i="1"/>
  <c r="I1564" i="1"/>
  <c r="E1565" i="1" s="1"/>
  <c r="C2843" i="1" l="1"/>
  <c r="D2843" i="1" s="1"/>
  <c r="B2844" i="1"/>
  <c r="J1565" i="1"/>
  <c r="G1565" i="1" s="1"/>
  <c r="H1565" i="1"/>
  <c r="F1565" i="1"/>
  <c r="C2844" i="1" l="1"/>
  <c r="D2844" i="1" s="1"/>
  <c r="B2845" i="1"/>
  <c r="I1565" i="1"/>
  <c r="E1566" i="1" s="1"/>
  <c r="B2846" i="1" l="1"/>
  <c r="C2845" i="1"/>
  <c r="D2845" i="1" s="1"/>
  <c r="H1566" i="1"/>
  <c r="J1566" i="1"/>
  <c r="G1566" i="1" s="1"/>
  <c r="F1566" i="1"/>
  <c r="C2846" i="1" l="1"/>
  <c r="D2846" i="1" s="1"/>
  <c r="B2847" i="1"/>
  <c r="I1566" i="1"/>
  <c r="E1567" i="1" s="1"/>
  <c r="C2847" i="1" l="1"/>
  <c r="D2847" i="1" s="1"/>
  <c r="B2848" i="1"/>
  <c r="H1567" i="1"/>
  <c r="J1567" i="1"/>
  <c r="G1567" i="1" s="1"/>
  <c r="F1567" i="1"/>
  <c r="C2848" i="1" l="1"/>
  <c r="D2848" i="1" s="1"/>
  <c r="B2849" i="1"/>
  <c r="I1567" i="1"/>
  <c r="E1568" i="1" s="1"/>
  <c r="C2849" i="1" l="1"/>
  <c r="D2849" i="1" s="1"/>
  <c r="B2850" i="1"/>
  <c r="J1568" i="1"/>
  <c r="G1568" i="1" s="1"/>
  <c r="H1568" i="1"/>
  <c r="F1568" i="1"/>
  <c r="C2850" i="1" l="1"/>
  <c r="D2850" i="1" s="1"/>
  <c r="B2851" i="1"/>
  <c r="I1568" i="1"/>
  <c r="E1569" i="1" s="1"/>
  <c r="C2851" i="1" l="1"/>
  <c r="D2851" i="1" s="1"/>
  <c r="B2852" i="1"/>
  <c r="H1569" i="1"/>
  <c r="J1569" i="1"/>
  <c r="G1569" i="1" s="1"/>
  <c r="F1569" i="1"/>
  <c r="C2852" i="1" l="1"/>
  <c r="D2852" i="1" s="1"/>
  <c r="B2853" i="1"/>
  <c r="I1569" i="1"/>
  <c r="E1570" i="1" s="1"/>
  <c r="C2853" i="1" l="1"/>
  <c r="D2853" i="1" s="1"/>
  <c r="B2854" i="1"/>
  <c r="J1570" i="1"/>
  <c r="G1570" i="1" s="1"/>
  <c r="H1570" i="1"/>
  <c r="F1570" i="1"/>
  <c r="C2854" i="1" l="1"/>
  <c r="D2854" i="1" s="1"/>
  <c r="B2855" i="1"/>
  <c r="I1570" i="1"/>
  <c r="E1571" i="1" s="1"/>
  <c r="B2856" i="1" l="1"/>
  <c r="C2855" i="1"/>
  <c r="D2855" i="1" s="1"/>
  <c r="J1571" i="1"/>
  <c r="G1571" i="1" s="1"/>
  <c r="H1571" i="1"/>
  <c r="F1571" i="1"/>
  <c r="C2856" i="1" l="1"/>
  <c r="D2856" i="1" s="1"/>
  <c r="B2857" i="1"/>
  <c r="I1571" i="1"/>
  <c r="E1572" i="1" s="1"/>
  <c r="C2857" i="1" l="1"/>
  <c r="D2857" i="1" s="1"/>
  <c r="B2858" i="1"/>
  <c r="H1572" i="1"/>
  <c r="J1572" i="1"/>
  <c r="G1572" i="1" s="1"/>
  <c r="F1572" i="1"/>
  <c r="C2858" i="1" l="1"/>
  <c r="D2858" i="1" s="1"/>
  <c r="B2859" i="1"/>
  <c r="I1572" i="1"/>
  <c r="E1573" i="1" s="1"/>
  <c r="C2859" i="1" l="1"/>
  <c r="D2859" i="1" s="1"/>
  <c r="B2860" i="1"/>
  <c r="H1573" i="1"/>
  <c r="J1573" i="1"/>
  <c r="G1573" i="1" s="1"/>
  <c r="F1573" i="1"/>
  <c r="C2860" i="1" l="1"/>
  <c r="D2860" i="1" s="1"/>
  <c r="B2861" i="1"/>
  <c r="I1573" i="1"/>
  <c r="E1574" i="1" s="1"/>
  <c r="C2861" i="1" l="1"/>
  <c r="D2861" i="1" s="1"/>
  <c r="B2862" i="1"/>
  <c r="J1574" i="1"/>
  <c r="G1574" i="1" s="1"/>
  <c r="F1574" i="1"/>
  <c r="H1574" i="1"/>
  <c r="C2862" i="1" l="1"/>
  <c r="D2862" i="1" s="1"/>
  <c r="B2863" i="1"/>
  <c r="I1574" i="1"/>
  <c r="E1575" i="1" s="1"/>
  <c r="C2863" i="1" l="1"/>
  <c r="D2863" i="1" s="1"/>
  <c r="B2864" i="1"/>
  <c r="J1575" i="1"/>
  <c r="G1575" i="1" s="1"/>
  <c r="H1575" i="1"/>
  <c r="F1575" i="1"/>
  <c r="C2864" i="1" l="1"/>
  <c r="D2864" i="1" s="1"/>
  <c r="B2865" i="1"/>
  <c r="I1575" i="1"/>
  <c r="E1576" i="1" s="1"/>
  <c r="B2866" i="1" l="1"/>
  <c r="C2865" i="1"/>
  <c r="D2865" i="1" s="1"/>
  <c r="H1576" i="1"/>
  <c r="J1576" i="1"/>
  <c r="G1576" i="1" s="1"/>
  <c r="F1576" i="1"/>
  <c r="C2866" i="1" l="1"/>
  <c r="D2866" i="1" s="1"/>
  <c r="B2867" i="1"/>
  <c r="I1576" i="1"/>
  <c r="E1577" i="1" s="1"/>
  <c r="C2867" i="1" l="1"/>
  <c r="D2867" i="1" s="1"/>
  <c r="B2868" i="1"/>
  <c r="H1577" i="1"/>
  <c r="J1577" i="1"/>
  <c r="G1577" i="1" s="1"/>
  <c r="F1577" i="1"/>
  <c r="C2868" i="1" l="1"/>
  <c r="D2868" i="1" s="1"/>
  <c r="B2869" i="1"/>
  <c r="I1577" i="1"/>
  <c r="E1578" i="1" s="1"/>
  <c r="B2870" i="1" l="1"/>
  <c r="C2869" i="1"/>
  <c r="D2869" i="1" s="1"/>
  <c r="J1578" i="1"/>
  <c r="G1578" i="1" s="1"/>
  <c r="H1578" i="1"/>
  <c r="F1578" i="1"/>
  <c r="C2870" i="1" l="1"/>
  <c r="D2870" i="1" s="1"/>
  <c r="B2871" i="1"/>
  <c r="I1578" i="1"/>
  <c r="E1579" i="1" s="1"/>
  <c r="C2871" i="1" l="1"/>
  <c r="D2871" i="1" s="1"/>
  <c r="B2872" i="1"/>
  <c r="J1579" i="1"/>
  <c r="G1579" i="1" s="1"/>
  <c r="H1579" i="1"/>
  <c r="F1579" i="1"/>
  <c r="C2872" i="1" l="1"/>
  <c r="D2872" i="1" s="1"/>
  <c r="B2873" i="1"/>
  <c r="I1579" i="1"/>
  <c r="E1580" i="1" s="1"/>
  <c r="C2873" i="1" l="1"/>
  <c r="D2873" i="1" s="1"/>
  <c r="B2874" i="1"/>
  <c r="H1580" i="1"/>
  <c r="J1580" i="1"/>
  <c r="G1580" i="1" s="1"/>
  <c r="F1580" i="1"/>
  <c r="C2874" i="1" l="1"/>
  <c r="D2874" i="1" s="1"/>
  <c r="B2875" i="1"/>
  <c r="I1580" i="1"/>
  <c r="E1581" i="1" s="1"/>
  <c r="C2875" i="1" l="1"/>
  <c r="D2875" i="1" s="1"/>
  <c r="B2876" i="1"/>
  <c r="H1581" i="1"/>
  <c r="J1581" i="1"/>
  <c r="G1581" i="1" s="1"/>
  <c r="F1581" i="1"/>
  <c r="C2876" i="1" l="1"/>
  <c r="D2876" i="1" s="1"/>
  <c r="B2877" i="1"/>
  <c r="I1581" i="1"/>
  <c r="E1582" i="1" s="1"/>
  <c r="C2877" i="1" l="1"/>
  <c r="D2877" i="1" s="1"/>
  <c r="B2878" i="1"/>
  <c r="H1582" i="1"/>
  <c r="J1582" i="1"/>
  <c r="G1582" i="1" s="1"/>
  <c r="F1582" i="1"/>
  <c r="B2879" i="1" l="1"/>
  <c r="C2878" i="1"/>
  <c r="D2878" i="1" s="1"/>
  <c r="I1582" i="1"/>
  <c r="E1583" i="1" s="1"/>
  <c r="B2880" i="1" l="1"/>
  <c r="C2879" i="1"/>
  <c r="D2879" i="1" s="1"/>
  <c r="J1583" i="1"/>
  <c r="G1583" i="1" s="1"/>
  <c r="H1583" i="1"/>
  <c r="F1583" i="1"/>
  <c r="C2880" i="1" l="1"/>
  <c r="D2880" i="1" s="1"/>
  <c r="B2881" i="1"/>
  <c r="I1583" i="1"/>
  <c r="E1584" i="1" s="1"/>
  <c r="C2881" i="1" l="1"/>
  <c r="D2881" i="1" s="1"/>
  <c r="B2882" i="1"/>
  <c r="H1584" i="1"/>
  <c r="J1584" i="1"/>
  <c r="G1584" i="1" s="1"/>
  <c r="F1584" i="1"/>
  <c r="C2882" i="1" l="1"/>
  <c r="D2882" i="1" s="1"/>
  <c r="B2883" i="1"/>
  <c r="I1584" i="1"/>
  <c r="E1585" i="1" s="1"/>
  <c r="C2883" i="1" l="1"/>
  <c r="D2883" i="1" s="1"/>
  <c r="B2884" i="1"/>
  <c r="H1585" i="1"/>
  <c r="J1585" i="1"/>
  <c r="G1585" i="1" s="1"/>
  <c r="F1585" i="1"/>
  <c r="C2884" i="1" l="1"/>
  <c r="D2884" i="1" s="1"/>
  <c r="B2885" i="1"/>
  <c r="I1585" i="1"/>
  <c r="E1586" i="1" s="1"/>
  <c r="C2885" i="1" l="1"/>
  <c r="D2885" i="1" s="1"/>
  <c r="B2886" i="1"/>
  <c r="J1586" i="1"/>
  <c r="G1586" i="1" s="1"/>
  <c r="F1586" i="1"/>
  <c r="H1586" i="1"/>
  <c r="C2886" i="1" l="1"/>
  <c r="D2886" i="1" s="1"/>
  <c r="B2887" i="1"/>
  <c r="I1586" i="1"/>
  <c r="E1587" i="1" s="1"/>
  <c r="C2887" i="1" l="1"/>
  <c r="D2887" i="1" s="1"/>
  <c r="B2888" i="1"/>
  <c r="J1587" i="1"/>
  <c r="G1587" i="1" s="1"/>
  <c r="H1587" i="1"/>
  <c r="F1587" i="1"/>
  <c r="C2888" i="1" l="1"/>
  <c r="D2888" i="1" s="1"/>
  <c r="B2889" i="1"/>
  <c r="I1587" i="1"/>
  <c r="E1588" i="1" s="1"/>
  <c r="C2889" i="1" l="1"/>
  <c r="D2889" i="1" s="1"/>
  <c r="B2890" i="1"/>
  <c r="J1588" i="1"/>
  <c r="G1588" i="1" s="1"/>
  <c r="H1588" i="1"/>
  <c r="F1588" i="1"/>
  <c r="C2890" i="1" l="1"/>
  <c r="D2890" i="1" s="1"/>
  <c r="B2891" i="1"/>
  <c r="I1588" i="1"/>
  <c r="E1589" i="1" s="1"/>
  <c r="C2891" i="1" l="1"/>
  <c r="D2891" i="1" s="1"/>
  <c r="B2892" i="1"/>
  <c r="H1589" i="1"/>
  <c r="J1589" i="1"/>
  <c r="G1589" i="1" s="1"/>
  <c r="F1589" i="1"/>
  <c r="C2892" i="1" l="1"/>
  <c r="D2892" i="1" s="1"/>
  <c r="B2893" i="1"/>
  <c r="I1589" i="1"/>
  <c r="E1590" i="1" s="1"/>
  <c r="C2893" i="1" l="1"/>
  <c r="D2893" i="1" s="1"/>
  <c r="B2894" i="1"/>
  <c r="H1590" i="1"/>
  <c r="J1590" i="1"/>
  <c r="G1590" i="1" s="1"/>
  <c r="F1590" i="1"/>
  <c r="B2895" i="1" l="1"/>
  <c r="C2894" i="1"/>
  <c r="D2894" i="1" s="1"/>
  <c r="I1590" i="1"/>
  <c r="E1591" i="1" s="1"/>
  <c r="C2895" i="1" l="1"/>
  <c r="D2895" i="1" s="1"/>
  <c r="B2896" i="1"/>
  <c r="J1591" i="1"/>
  <c r="G1591" i="1" s="1"/>
  <c r="H1591" i="1"/>
  <c r="F1591" i="1"/>
  <c r="B2897" i="1" l="1"/>
  <c r="C2896" i="1"/>
  <c r="D2896" i="1" s="1"/>
  <c r="I1591" i="1"/>
  <c r="E1592" i="1" s="1"/>
  <c r="C2897" i="1" l="1"/>
  <c r="D2897" i="1" s="1"/>
  <c r="B2898" i="1"/>
  <c r="J1592" i="1"/>
  <c r="G1592" i="1" s="1"/>
  <c r="H1592" i="1"/>
  <c r="F1592" i="1"/>
  <c r="C2898" i="1" l="1"/>
  <c r="D2898" i="1" s="1"/>
  <c r="B2899" i="1"/>
  <c r="I1592" i="1"/>
  <c r="E1593" i="1" s="1"/>
  <c r="C2899" i="1" l="1"/>
  <c r="D2899" i="1" s="1"/>
  <c r="B2900" i="1"/>
  <c r="H1593" i="1"/>
  <c r="J1593" i="1"/>
  <c r="G1593" i="1" s="1"/>
  <c r="F1593" i="1"/>
  <c r="C2900" i="1" l="1"/>
  <c r="D2900" i="1" s="1"/>
  <c r="B2901" i="1"/>
  <c r="I1593" i="1"/>
  <c r="E1594" i="1" s="1"/>
  <c r="B2902" i="1" l="1"/>
  <c r="C2901" i="1"/>
  <c r="D2901" i="1" s="1"/>
  <c r="J1594" i="1"/>
  <c r="G1594" i="1" s="1"/>
  <c r="H1594" i="1"/>
  <c r="F1594" i="1"/>
  <c r="C2902" i="1" l="1"/>
  <c r="D2902" i="1" s="1"/>
  <c r="B2903" i="1"/>
  <c r="I1594" i="1"/>
  <c r="E1595" i="1" s="1"/>
  <c r="C2903" i="1" l="1"/>
  <c r="D2903" i="1" s="1"/>
  <c r="B2904" i="1"/>
  <c r="J1595" i="1"/>
  <c r="G1595" i="1" s="1"/>
  <c r="H1595" i="1"/>
  <c r="F1595" i="1"/>
  <c r="C2904" i="1" l="1"/>
  <c r="D2904" i="1" s="1"/>
  <c r="B2905" i="1"/>
  <c r="I1595" i="1"/>
  <c r="E1596" i="1" s="1"/>
  <c r="C2905" i="1" l="1"/>
  <c r="D2905" i="1" s="1"/>
  <c r="B2906" i="1"/>
  <c r="J1596" i="1"/>
  <c r="G1596" i="1" s="1"/>
  <c r="H1596" i="1"/>
  <c r="F1596" i="1"/>
  <c r="C2906" i="1" l="1"/>
  <c r="D2906" i="1" s="1"/>
  <c r="B2907" i="1"/>
  <c r="I1596" i="1"/>
  <c r="E1597" i="1" s="1"/>
  <c r="C2907" i="1" l="1"/>
  <c r="D2907" i="1" s="1"/>
  <c r="B2908" i="1"/>
  <c r="H1597" i="1"/>
  <c r="J1597" i="1"/>
  <c r="G1597" i="1" s="1"/>
  <c r="F1597" i="1"/>
  <c r="B2909" i="1" l="1"/>
  <c r="C2908" i="1"/>
  <c r="D2908" i="1" s="1"/>
  <c r="I1597" i="1"/>
  <c r="E1598" i="1" s="1"/>
  <c r="C2909" i="1" l="1"/>
  <c r="D2909" i="1" s="1"/>
  <c r="B2910" i="1"/>
  <c r="H1598" i="1"/>
  <c r="J1598" i="1"/>
  <c r="G1598" i="1" s="1"/>
  <c r="F1598" i="1"/>
  <c r="B2911" i="1" l="1"/>
  <c r="C2910" i="1"/>
  <c r="D2910" i="1" s="1"/>
  <c r="I1598" i="1"/>
  <c r="E1599" i="1" s="1"/>
  <c r="C2911" i="1" l="1"/>
  <c r="D2911" i="1" s="1"/>
  <c r="B2912" i="1"/>
  <c r="H1599" i="1"/>
  <c r="J1599" i="1"/>
  <c r="G1599" i="1" s="1"/>
  <c r="F1599" i="1"/>
  <c r="C2912" i="1" l="1"/>
  <c r="D2912" i="1" s="1"/>
  <c r="B2913" i="1"/>
  <c r="I1599" i="1"/>
  <c r="E1600" i="1" s="1"/>
  <c r="C2913" i="1" l="1"/>
  <c r="D2913" i="1" s="1"/>
  <c r="B2914" i="1"/>
  <c r="H1600" i="1"/>
  <c r="J1600" i="1"/>
  <c r="G1600" i="1" s="1"/>
  <c r="F1600" i="1"/>
  <c r="B2915" i="1" l="1"/>
  <c r="C2914" i="1"/>
  <c r="D2914" i="1" s="1"/>
  <c r="I1600" i="1"/>
  <c r="E1601" i="1" s="1"/>
  <c r="C2915" i="1" l="1"/>
  <c r="D2915" i="1" s="1"/>
  <c r="B2916" i="1"/>
  <c r="H1601" i="1"/>
  <c r="F1601" i="1"/>
  <c r="J1601" i="1"/>
  <c r="G1601" i="1" s="1"/>
  <c r="B2917" i="1" l="1"/>
  <c r="C2916" i="1"/>
  <c r="D2916" i="1" s="1"/>
  <c r="I1601" i="1"/>
  <c r="E1602" i="1" s="1"/>
  <c r="C2917" i="1" l="1"/>
  <c r="D2917" i="1" s="1"/>
  <c r="B2918" i="1"/>
  <c r="H1602" i="1"/>
  <c r="J1602" i="1"/>
  <c r="G1602" i="1" s="1"/>
  <c r="F1602" i="1"/>
  <c r="C2918" i="1" l="1"/>
  <c r="D2918" i="1" s="1"/>
  <c r="B2919" i="1"/>
  <c r="I1602" i="1"/>
  <c r="E1603" i="1" s="1"/>
  <c r="C2919" i="1" l="1"/>
  <c r="D2919" i="1" s="1"/>
  <c r="B2920" i="1"/>
  <c r="J1603" i="1"/>
  <c r="G1603" i="1" s="1"/>
  <c r="F1603" i="1"/>
  <c r="H1603" i="1"/>
  <c r="B2921" i="1" l="1"/>
  <c r="C2920" i="1"/>
  <c r="D2920" i="1" s="1"/>
  <c r="I1603" i="1"/>
  <c r="E1604" i="1" s="1"/>
  <c r="C2921" i="1" l="1"/>
  <c r="D2921" i="1" s="1"/>
  <c r="B2922" i="1"/>
  <c r="J1604" i="1"/>
  <c r="G1604" i="1" s="1"/>
  <c r="F1604" i="1"/>
  <c r="H1604" i="1"/>
  <c r="B2923" i="1" l="1"/>
  <c r="C2922" i="1"/>
  <c r="D2922" i="1" s="1"/>
  <c r="I1604" i="1"/>
  <c r="E1605" i="1" s="1"/>
  <c r="B2924" i="1" l="1"/>
  <c r="C2923" i="1"/>
  <c r="D2923" i="1" s="1"/>
  <c r="H1605" i="1"/>
  <c r="J1605" i="1"/>
  <c r="G1605" i="1" s="1"/>
  <c r="F1605" i="1"/>
  <c r="C2924" i="1" l="1"/>
  <c r="D2924" i="1" s="1"/>
  <c r="B2925" i="1"/>
  <c r="I1605" i="1"/>
  <c r="E1606" i="1" s="1"/>
  <c r="C2925" i="1" l="1"/>
  <c r="D2925" i="1" s="1"/>
  <c r="B2926" i="1"/>
  <c r="H1606" i="1"/>
  <c r="J1606" i="1"/>
  <c r="G1606" i="1" s="1"/>
  <c r="F1606" i="1"/>
  <c r="B2927" i="1" l="1"/>
  <c r="C2926" i="1"/>
  <c r="D2926" i="1" s="1"/>
  <c r="I1606" i="1"/>
  <c r="E1607" i="1" s="1"/>
  <c r="B2928" i="1" l="1"/>
  <c r="C2927" i="1"/>
  <c r="D2927" i="1" s="1"/>
  <c r="H1607" i="1"/>
  <c r="J1607" i="1"/>
  <c r="G1607" i="1" s="1"/>
  <c r="F1607" i="1"/>
  <c r="B2929" i="1" l="1"/>
  <c r="C2928" i="1"/>
  <c r="D2928" i="1" s="1"/>
  <c r="I1607" i="1"/>
  <c r="E1608" i="1" s="1"/>
  <c r="C2929" i="1" l="1"/>
  <c r="D2929" i="1" s="1"/>
  <c r="B2930" i="1"/>
  <c r="H1608" i="1"/>
  <c r="F1608" i="1"/>
  <c r="J1608" i="1"/>
  <c r="G1608" i="1" s="1"/>
  <c r="C2930" i="1" l="1"/>
  <c r="D2930" i="1" s="1"/>
  <c r="B2931" i="1"/>
  <c r="I1608" i="1"/>
  <c r="E1609" i="1" s="1"/>
  <c r="C2931" i="1" l="1"/>
  <c r="D2931" i="1" s="1"/>
  <c r="B2932" i="1"/>
  <c r="H1609" i="1"/>
  <c r="F1609" i="1"/>
  <c r="J1609" i="1"/>
  <c r="G1609" i="1" s="1"/>
  <c r="B2933" i="1" l="1"/>
  <c r="C2932" i="1"/>
  <c r="D2932" i="1" s="1"/>
  <c r="I1609" i="1"/>
  <c r="E1610" i="1" s="1"/>
  <c r="C2933" i="1" l="1"/>
  <c r="D2933" i="1" s="1"/>
  <c r="B2934" i="1"/>
  <c r="H1610" i="1"/>
  <c r="J1610" i="1"/>
  <c r="G1610" i="1" s="1"/>
  <c r="F1610" i="1"/>
  <c r="B2935" i="1" l="1"/>
  <c r="C2934" i="1"/>
  <c r="D2934" i="1" s="1"/>
  <c r="I1610" i="1"/>
  <c r="E1611" i="1" s="1"/>
  <c r="B2936" i="1" l="1"/>
  <c r="C2935" i="1"/>
  <c r="D2935" i="1" s="1"/>
  <c r="J1611" i="1"/>
  <c r="G1611" i="1" s="1"/>
  <c r="F1611" i="1"/>
  <c r="H1611" i="1"/>
  <c r="B2937" i="1" l="1"/>
  <c r="C2936" i="1"/>
  <c r="D2936" i="1" s="1"/>
  <c r="I1611" i="1"/>
  <c r="E1612" i="1" s="1"/>
  <c r="C2937" i="1" l="1"/>
  <c r="D2937" i="1" s="1"/>
  <c r="B2938" i="1"/>
  <c r="J1612" i="1"/>
  <c r="G1612" i="1" s="1"/>
  <c r="H1612" i="1"/>
  <c r="F1612" i="1"/>
  <c r="B2939" i="1" l="1"/>
  <c r="C2938" i="1"/>
  <c r="D2938" i="1" s="1"/>
  <c r="I1612" i="1"/>
  <c r="E1613" i="1" s="1"/>
  <c r="B2940" i="1" l="1"/>
  <c r="C2939" i="1"/>
  <c r="D2939" i="1" s="1"/>
  <c r="H1613" i="1"/>
  <c r="J1613" i="1"/>
  <c r="G1613" i="1" s="1"/>
  <c r="F1613" i="1"/>
  <c r="B2941" i="1" l="1"/>
  <c r="C2940" i="1"/>
  <c r="D2940" i="1" s="1"/>
  <c r="I1613" i="1"/>
  <c r="E1614" i="1" s="1"/>
  <c r="C2941" i="1" l="1"/>
  <c r="D2941" i="1" s="1"/>
  <c r="B2942" i="1"/>
  <c r="H1614" i="1"/>
  <c r="J1614" i="1"/>
  <c r="G1614" i="1" s="1"/>
  <c r="F1614" i="1"/>
  <c r="C2942" i="1" l="1"/>
  <c r="D2942" i="1" s="1"/>
  <c r="B2943" i="1"/>
  <c r="I1614" i="1"/>
  <c r="E1615" i="1" s="1"/>
  <c r="C2943" i="1" l="1"/>
  <c r="D2943" i="1" s="1"/>
  <c r="B2944" i="1"/>
  <c r="H1615" i="1"/>
  <c r="F1615" i="1"/>
  <c r="J1615" i="1"/>
  <c r="G1615" i="1" s="1"/>
  <c r="B2945" i="1" l="1"/>
  <c r="C2944" i="1"/>
  <c r="D2944" i="1" s="1"/>
  <c r="I1615" i="1"/>
  <c r="E1616" i="1" s="1"/>
  <c r="C2945" i="1" l="1"/>
  <c r="D2945" i="1" s="1"/>
  <c r="B2946" i="1"/>
  <c r="H1616" i="1"/>
  <c r="F1616" i="1"/>
  <c r="J1616" i="1"/>
  <c r="G1616" i="1" s="1"/>
  <c r="C2946" i="1" l="1"/>
  <c r="D2946" i="1" s="1"/>
  <c r="B2947" i="1"/>
  <c r="I1616" i="1"/>
  <c r="E1617" i="1" s="1"/>
  <c r="C2947" i="1" l="1"/>
  <c r="D2947" i="1" s="1"/>
  <c r="B2948" i="1"/>
  <c r="J1617" i="1"/>
  <c r="G1617" i="1" s="1"/>
  <c r="H1617" i="1"/>
  <c r="F1617" i="1"/>
  <c r="C2948" i="1" l="1"/>
  <c r="D2948" i="1" s="1"/>
  <c r="B2949" i="1"/>
  <c r="I1617" i="1"/>
  <c r="E1618" i="1" s="1"/>
  <c r="C2949" i="1" l="1"/>
  <c r="D2949" i="1" s="1"/>
  <c r="B2950" i="1"/>
  <c r="H1618" i="1"/>
  <c r="F1618" i="1"/>
  <c r="J1618" i="1"/>
  <c r="G1618" i="1" s="1"/>
  <c r="C2950" i="1" l="1"/>
  <c r="D2950" i="1" s="1"/>
  <c r="B2951" i="1"/>
  <c r="I1618" i="1"/>
  <c r="E1619" i="1" s="1"/>
  <c r="C2951" i="1" l="1"/>
  <c r="D2951" i="1" s="1"/>
  <c r="B2952" i="1"/>
  <c r="J1619" i="1"/>
  <c r="G1619" i="1" s="1"/>
  <c r="F1619" i="1"/>
  <c r="H1619" i="1"/>
  <c r="B2953" i="1" l="1"/>
  <c r="C2952" i="1"/>
  <c r="D2952" i="1" s="1"/>
  <c r="I1619" i="1"/>
  <c r="E1620" i="1" s="1"/>
  <c r="C2953" i="1" l="1"/>
  <c r="D2953" i="1" s="1"/>
  <c r="B2954" i="1"/>
  <c r="H1620" i="1"/>
  <c r="J1620" i="1"/>
  <c r="G1620" i="1" s="1"/>
  <c r="F1620" i="1"/>
  <c r="C2954" i="1" l="1"/>
  <c r="D2954" i="1" s="1"/>
  <c r="B2955" i="1"/>
  <c r="I1620" i="1"/>
  <c r="E1621" i="1" s="1"/>
  <c r="C2955" i="1" l="1"/>
  <c r="D2955" i="1" s="1"/>
  <c r="B2956" i="1"/>
  <c r="H1621" i="1"/>
  <c r="J1621" i="1"/>
  <c r="G1621" i="1" s="1"/>
  <c r="F1621" i="1"/>
  <c r="C2956" i="1" l="1"/>
  <c r="D2956" i="1" s="1"/>
  <c r="B2957" i="1"/>
  <c r="I1621" i="1"/>
  <c r="E1622" i="1" s="1"/>
  <c r="C2957" i="1" l="1"/>
  <c r="D2957" i="1" s="1"/>
  <c r="B2958" i="1"/>
  <c r="H1622" i="1"/>
  <c r="F1622" i="1"/>
  <c r="J1622" i="1"/>
  <c r="G1622" i="1" s="1"/>
  <c r="B2959" i="1" l="1"/>
  <c r="C2958" i="1"/>
  <c r="D2958" i="1" s="1"/>
  <c r="I1622" i="1"/>
  <c r="E1623" i="1" s="1"/>
  <c r="C2959" i="1" l="1"/>
  <c r="D2959" i="1" s="1"/>
  <c r="B2960" i="1"/>
  <c r="H1623" i="1"/>
  <c r="J1623" i="1"/>
  <c r="G1623" i="1" s="1"/>
  <c r="F1623" i="1"/>
  <c r="C2960" i="1" l="1"/>
  <c r="D2960" i="1" s="1"/>
  <c r="B2961" i="1"/>
  <c r="I1623" i="1"/>
  <c r="E1624" i="1" s="1"/>
  <c r="C2961" i="1" l="1"/>
  <c r="D2961" i="1" s="1"/>
  <c r="B2962" i="1"/>
  <c r="H1624" i="1"/>
  <c r="J1624" i="1"/>
  <c r="G1624" i="1" s="1"/>
  <c r="F1624" i="1"/>
  <c r="B2963" i="1" l="1"/>
  <c r="C2962" i="1"/>
  <c r="D2962" i="1" s="1"/>
  <c r="I1624" i="1"/>
  <c r="E1625" i="1" s="1"/>
  <c r="B2964" i="1" l="1"/>
  <c r="C2963" i="1"/>
  <c r="D2963" i="1" s="1"/>
  <c r="H1625" i="1"/>
  <c r="J1625" i="1"/>
  <c r="G1625" i="1" s="1"/>
  <c r="F1625" i="1"/>
  <c r="C2964" i="1" l="1"/>
  <c r="D2964" i="1" s="1"/>
  <c r="B2965" i="1"/>
  <c r="I1625" i="1"/>
  <c r="E1626" i="1" s="1"/>
  <c r="B2966" i="1" l="1"/>
  <c r="C2965" i="1"/>
  <c r="D2965" i="1" s="1"/>
  <c r="H1626" i="1"/>
  <c r="J1626" i="1"/>
  <c r="G1626" i="1" s="1"/>
  <c r="F1626" i="1"/>
  <c r="B2967" i="1" l="1"/>
  <c r="C2966" i="1"/>
  <c r="D2966" i="1" s="1"/>
  <c r="I1626" i="1"/>
  <c r="E1627" i="1" s="1"/>
  <c r="C2967" i="1" l="1"/>
  <c r="D2967" i="1" s="1"/>
  <c r="B2968" i="1"/>
  <c r="J1627" i="1"/>
  <c r="G1627" i="1" s="1"/>
  <c r="H1627" i="1"/>
  <c r="F1627" i="1"/>
  <c r="C2968" i="1" l="1"/>
  <c r="D2968" i="1" s="1"/>
  <c r="B2969" i="1"/>
  <c r="C2969" i="1" s="1"/>
  <c r="D2969" i="1" s="1"/>
  <c r="I1627" i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J1652" i="1"/>
  <c r="G1652" i="1" s="1"/>
  <c r="F1652" i="1"/>
  <c r="I1652" i="1" l="1"/>
  <c r="E1653" i="1" s="1"/>
  <c r="H1653" i="1" s="1"/>
  <c r="F1653" i="1" l="1"/>
  <c r="J1653" i="1"/>
  <c r="G1653" i="1" s="1"/>
  <c r="I1653" i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F1773" i="1"/>
  <c r="J1773" i="1"/>
  <c r="G1773" i="1" s="1"/>
  <c r="I1773" i="1" l="1"/>
  <c r="E1774" i="1" s="1"/>
  <c r="H1774" i="1"/>
  <c r="F1774" i="1"/>
  <c r="J1774" i="1"/>
  <c r="G1774" i="1" s="1"/>
  <c r="I1774" i="1" l="1"/>
  <c r="E1775" i="1" s="1"/>
  <c r="H1775" i="1"/>
  <c r="F1775" i="1"/>
  <c r="J1775" i="1"/>
  <c r="G1775" i="1" s="1"/>
  <c r="I1775" i="1" l="1"/>
  <c r="E1776" i="1" s="1"/>
  <c r="J1776" i="1" l="1"/>
  <c r="G1776" i="1" s="1"/>
  <c r="H1776" i="1"/>
  <c r="F1776" i="1"/>
  <c r="I1776" i="1" l="1"/>
  <c r="E1777" i="1" s="1"/>
  <c r="J1777" i="1"/>
  <c r="G1777" i="1" s="1"/>
  <c r="H1777" i="1"/>
  <c r="I1777" i="1" s="1"/>
  <c r="E1778" i="1" s="1"/>
  <c r="F1777" i="1"/>
  <c r="J1778" i="1" l="1"/>
  <c r="G1778" i="1" s="1"/>
  <c r="H1778" i="1"/>
  <c r="F1778" i="1"/>
  <c r="I1778" i="1" l="1"/>
  <c r="E1779" i="1" s="1"/>
  <c r="H1779" i="1"/>
  <c r="F1779" i="1"/>
  <c r="J1779" i="1"/>
  <c r="G1779" i="1" s="1"/>
  <c r="I1779" i="1" l="1"/>
  <c r="E1780" i="1" s="1"/>
  <c r="H1780" i="1" l="1"/>
  <c r="F1780" i="1"/>
  <c r="J1780" i="1"/>
  <c r="G1780" i="1" s="1"/>
  <c r="I1780" i="1" l="1"/>
  <c r="E1781" i="1" s="1"/>
  <c r="J1781" i="1" l="1"/>
  <c r="G1781" i="1" s="1"/>
  <c r="H1781" i="1"/>
  <c r="F1781" i="1"/>
  <c r="I1781" i="1" l="1"/>
  <c r="E1782" i="1" s="1"/>
  <c r="H1782" i="1"/>
  <c r="F1782" i="1"/>
  <c r="J1782" i="1"/>
  <c r="G1782" i="1" s="1"/>
  <c r="I1782" i="1" l="1"/>
  <c r="E1783" i="1" s="1"/>
  <c r="H1783" i="1" l="1"/>
  <c r="F1783" i="1"/>
  <c r="J1783" i="1"/>
  <c r="G1783" i="1" s="1"/>
  <c r="I1783" i="1" l="1"/>
  <c r="E1784" i="1" s="1"/>
  <c r="J1784" i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I1789" i="1" s="1"/>
  <c r="E1790" i="1" s="1"/>
  <c r="F1789" i="1"/>
  <c r="H1790" i="1" l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F1792" i="1"/>
  <c r="I1792" i="1" l="1"/>
  <c r="E1793" i="1" s="1"/>
  <c r="J1793" i="1"/>
  <c r="G1793" i="1" s="1"/>
  <c r="H1793" i="1"/>
  <c r="F1793" i="1"/>
  <c r="I1793" i="1" l="1"/>
  <c r="E1794" i="1" s="1"/>
  <c r="H1794" i="1"/>
  <c r="J1794" i="1"/>
  <c r="G1794" i="1" s="1"/>
  <c r="F1794" i="1"/>
  <c r="I1794" i="1" l="1"/>
  <c r="E1795" i="1" s="1"/>
  <c r="J1795" i="1" l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F1800" i="1"/>
  <c r="I1800" i="1" l="1"/>
  <c r="E1801" i="1" s="1"/>
  <c r="H1801" i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s="1"/>
  <c r="E1805" i="1" s="1"/>
  <c r="H1805" i="1" l="1"/>
  <c r="J1805" i="1"/>
  <c r="G1805" i="1" s="1"/>
  <c r="F1805" i="1"/>
  <c r="I1805" i="1" l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s="1"/>
  <c r="E1809" i="1" s="1"/>
  <c r="H1809" i="1" l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F1811" i="1"/>
  <c r="I1811" i="1" l="1"/>
  <c r="E1812" i="1" s="1"/>
  <c r="J1812" i="1"/>
  <c r="G1812" i="1" s="1"/>
  <c r="H1812" i="1"/>
  <c r="F1812" i="1"/>
  <c r="I1812" i="1" l="1"/>
  <c r="E1813" i="1" s="1"/>
  <c r="H1813" i="1"/>
  <c r="J1813" i="1"/>
  <c r="G1813" i="1" s="1"/>
  <c r="F1813" i="1"/>
  <c r="I1813" i="1" l="1"/>
  <c r="E1814" i="1" s="1"/>
  <c r="J1814" i="1" l="1"/>
  <c r="G1814" i="1" s="1"/>
  <c r="F1814" i="1"/>
  <c r="H1814" i="1"/>
  <c r="I1814" i="1" s="1"/>
  <c r="E1815" i="1" s="1"/>
  <c r="J1815" i="1" l="1"/>
  <c r="G1815" i="1" s="1"/>
  <c r="F1815" i="1"/>
  <c r="H1815" i="1"/>
  <c r="I1815" i="1" s="1"/>
  <c r="E1816" i="1" s="1"/>
  <c r="J1816" i="1" l="1"/>
  <c r="G1816" i="1" s="1"/>
  <c r="F1816" i="1"/>
  <c r="H1816" i="1"/>
  <c r="I1816" i="1" s="1"/>
  <c r="E1817" i="1" s="1"/>
  <c r="H1817" i="1" l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I1819" i="1" s="1"/>
  <c r="E1820" i="1" s="1"/>
  <c r="F1819" i="1"/>
  <c r="H1820" i="1" l="1"/>
  <c r="F1820" i="1"/>
  <c r="J1820" i="1"/>
  <c r="G1820" i="1" s="1"/>
  <c r="I1820" i="1" l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s="1"/>
  <c r="E1823" i="1" s="1"/>
  <c r="H1823" i="1" l="1"/>
  <c r="F1823" i="1"/>
  <c r="J1823" i="1"/>
  <c r="G1823" i="1" s="1"/>
  <c r="I1823" i="1" l="1"/>
  <c r="E1824" i="1" s="1"/>
  <c r="J1824" i="1" l="1"/>
  <c r="G1824" i="1" s="1"/>
  <c r="F1824" i="1"/>
  <c r="H1824" i="1"/>
  <c r="I1824" i="1" s="1"/>
  <c r="E1825" i="1" s="1"/>
  <c r="H1825" i="1" l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s="1"/>
  <c r="E1828" i="1" s="1"/>
  <c r="H1828" i="1" l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l="1"/>
  <c r="E1834" i="1" s="1"/>
  <c r="J1834" i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F1841" i="1"/>
  <c r="I1841" i="1" l="1"/>
  <c r="E1842" i="1" s="1"/>
  <c r="H1842" i="1"/>
  <c r="J1842" i="1"/>
  <c r="G1842" i="1" s="1"/>
  <c r="F1842" i="1"/>
  <c r="I1842" i="1" l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s="1"/>
  <c r="E1849" i="1" s="1"/>
  <c r="J1849" i="1" l="1"/>
  <c r="G1849" i="1" s="1"/>
  <c r="F1849" i="1"/>
  <c r="H1849" i="1"/>
  <c r="I1849" i="1" s="1"/>
  <c r="E1850" i="1" s="1"/>
  <c r="H1850" i="1" l="1"/>
  <c r="F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F1856" i="1"/>
  <c r="I1856" i="1" l="1"/>
  <c r="E1857" i="1" s="1"/>
  <c r="J1857" i="1"/>
  <c r="G1857" i="1" s="1"/>
  <c r="F1857" i="1"/>
  <c r="H1857" i="1"/>
  <c r="I1857" i="1" s="1"/>
  <c r="E1858" i="1" s="1"/>
  <c r="H1858" i="1" l="1"/>
  <c r="F1858" i="1"/>
  <c r="J1858" i="1"/>
  <c r="G1858" i="1" s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F1862" i="1"/>
  <c r="J1862" i="1"/>
  <c r="G1862" i="1" s="1"/>
  <c r="I1862" i="1" l="1"/>
  <c r="E1863" i="1" s="1"/>
  <c r="H1863" i="1" l="1"/>
  <c r="F1863" i="1"/>
  <c r="J1863" i="1"/>
  <c r="G1863" i="1" s="1"/>
  <c r="I1863" i="1" l="1"/>
  <c r="E1864" i="1" s="1"/>
  <c r="J1864" i="1" l="1"/>
  <c r="G1864" i="1" s="1"/>
  <c r="H1864" i="1"/>
  <c r="I1864" i="1" s="1"/>
  <c r="E1865" i="1" s="1"/>
  <c r="F1864" i="1"/>
  <c r="J1865" i="1" l="1"/>
  <c r="G1865" i="1" s="1"/>
  <c r="F1865" i="1"/>
  <c r="H1865" i="1"/>
  <c r="I1865" i="1" s="1"/>
  <c r="E1866" i="1" s="1"/>
  <c r="H1866" i="1" l="1"/>
  <c r="F1866" i="1"/>
  <c r="J1866" i="1"/>
  <c r="G1866" i="1" s="1"/>
  <c r="I1866" i="1" l="1"/>
  <c r="E1867" i="1" s="1"/>
  <c r="H1867" i="1" l="1"/>
  <c r="F1867" i="1"/>
  <c r="J1867" i="1"/>
  <c r="G1867" i="1" s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J1873" i="1" l="1"/>
  <c r="G1873" i="1" s="1"/>
  <c r="F1873" i="1"/>
  <c r="H1873" i="1"/>
  <c r="I1873" i="1" l="1"/>
  <c r="E1874" i="1" s="1"/>
  <c r="H1874" i="1"/>
  <c r="F1874" i="1"/>
  <c r="J1874" i="1"/>
  <c r="G1874" i="1" s="1"/>
  <c r="I1874" i="1" l="1"/>
  <c r="E1875" i="1" s="1"/>
  <c r="H1875" i="1" l="1"/>
  <c r="F1875" i="1"/>
  <c r="J1875" i="1"/>
  <c r="G1875" i="1" s="1"/>
  <c r="I1875" i="1" l="1"/>
  <c r="E1876" i="1" s="1"/>
  <c r="H1876" i="1" l="1"/>
  <c r="F1876" i="1"/>
  <c r="J1876" i="1"/>
  <c r="G1876" i="1" s="1"/>
  <c r="I1876" i="1" l="1"/>
  <c r="E1877" i="1" s="1"/>
  <c r="H1877" i="1" l="1"/>
  <c r="F1877" i="1"/>
  <c r="J1877" i="1"/>
  <c r="G1877" i="1" s="1"/>
  <c r="I1877" i="1" l="1"/>
  <c r="E1878" i="1" s="1"/>
  <c r="H1878" i="1" l="1"/>
  <c r="F1878" i="1"/>
  <c r="J1878" i="1"/>
  <c r="G1878" i="1" s="1"/>
  <c r="I1878" i="1" l="1"/>
  <c r="E1879" i="1" s="1"/>
  <c r="H1879" i="1" l="1"/>
  <c r="F1879" i="1"/>
  <c r="J1879" i="1"/>
  <c r="G1879" i="1" s="1"/>
  <c r="I1879" i="1" l="1"/>
  <c r="E1880" i="1" s="1"/>
  <c r="J1880" i="1" l="1"/>
  <c r="G1880" i="1" s="1"/>
  <c r="H1880" i="1"/>
  <c r="F1880" i="1"/>
  <c r="I1880" i="1" l="1"/>
  <c r="E1881" i="1" s="1"/>
  <c r="J1881" i="1"/>
  <c r="G1881" i="1" s="1"/>
  <c r="H1881" i="1"/>
  <c r="F1881" i="1"/>
  <c r="I1881" i="1" l="1"/>
  <c r="E1882" i="1" s="1"/>
  <c r="H1882" i="1"/>
  <c r="F1882" i="1"/>
  <c r="J1882" i="1"/>
  <c r="G1882" i="1" s="1"/>
  <c r="I1882" i="1" l="1"/>
  <c r="E1883" i="1" s="1"/>
  <c r="H1883" i="1" l="1"/>
  <c r="F1883" i="1"/>
  <c r="J1883" i="1"/>
  <c r="G1883" i="1" s="1"/>
  <c r="I1883" i="1" l="1"/>
  <c r="E1884" i="1" s="1"/>
  <c r="H1884" i="1" l="1"/>
  <c r="J1884" i="1"/>
  <c r="G1884" i="1" s="1"/>
  <c r="F1884" i="1"/>
  <c r="I1884" i="1" l="1"/>
  <c r="E1885" i="1" s="1"/>
  <c r="H1885" i="1" l="1"/>
  <c r="F1885" i="1"/>
  <c r="J1885" i="1"/>
  <c r="G1885" i="1" s="1"/>
  <c r="I1885" i="1" l="1"/>
  <c r="E1886" i="1" s="1"/>
  <c r="H1886" i="1" l="1"/>
  <c r="F1886" i="1"/>
  <c r="J1886" i="1"/>
  <c r="G1886" i="1" s="1"/>
  <c r="I1886" i="1" l="1"/>
  <c r="E1887" i="1" s="1"/>
  <c r="H1887" i="1" l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F1889" i="1"/>
  <c r="I1889" i="1" l="1"/>
  <c r="E1890" i="1" s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H1892" i="1" l="1"/>
  <c r="J1892" i="1"/>
  <c r="G1892" i="1" s="1"/>
  <c r="F1892" i="1"/>
  <c r="I1892" i="1" l="1"/>
  <c r="E1893" i="1" s="1"/>
  <c r="H1893" i="1" l="1"/>
  <c r="F1893" i="1"/>
  <c r="J1893" i="1"/>
  <c r="G1893" i="1" s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J1896" i="1"/>
  <c r="G1896" i="1" s="1"/>
  <c r="F1896" i="1"/>
  <c r="I1896" i="1" l="1"/>
  <c r="E1897" i="1" s="1"/>
  <c r="J1897" i="1" l="1"/>
  <c r="G1897" i="1" s="1"/>
  <c r="H1897" i="1"/>
  <c r="F1897" i="1"/>
  <c r="I1897" i="1" l="1"/>
  <c r="E1898" i="1" s="1"/>
  <c r="J1898" i="1" l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H1900" i="1" l="1"/>
  <c r="J1900" i="1"/>
  <c r="G1900" i="1" s="1"/>
  <c r="F1900" i="1"/>
  <c r="I1900" i="1" l="1"/>
  <c r="E1901" i="1" s="1"/>
  <c r="H1901" i="1" l="1"/>
  <c r="F1901" i="1"/>
  <c r="J1901" i="1"/>
  <c r="G1901" i="1" s="1"/>
  <c r="I1901" i="1" l="1"/>
  <c r="E1902" i="1" s="1"/>
  <c r="H1902" i="1" l="1"/>
  <c r="F1902" i="1"/>
  <c r="J1902" i="1"/>
  <c r="G1902" i="1" s="1"/>
  <c r="I1902" i="1" l="1"/>
  <c r="E1903" i="1" s="1"/>
  <c r="H1903" i="1" l="1"/>
  <c r="F1903" i="1"/>
  <c r="J1903" i="1"/>
  <c r="G1903" i="1" s="1"/>
  <c r="I1903" i="1" l="1"/>
  <c r="E1904" i="1" s="1"/>
  <c r="H1904" i="1" l="1"/>
  <c r="F1904" i="1"/>
  <c r="J1904" i="1"/>
  <c r="G1904" i="1" s="1"/>
  <c r="I1904" i="1" l="1"/>
  <c r="E1905" i="1" s="1"/>
  <c r="J1905" i="1" l="1"/>
  <c r="G1905" i="1" s="1"/>
  <c r="H1905" i="1"/>
  <c r="F1905" i="1"/>
  <c r="I1905" i="1" l="1"/>
  <c r="E1906" i="1" s="1"/>
  <c r="J1906" i="1" l="1"/>
  <c r="G1906" i="1" s="1"/>
  <c r="F1906" i="1"/>
  <c r="H1906" i="1"/>
  <c r="I1906" i="1" l="1"/>
  <c r="E1907" i="1" s="1"/>
  <c r="H1907" i="1" l="1"/>
  <c r="J1907" i="1"/>
  <c r="G1907" i="1" s="1"/>
  <c r="F1907" i="1"/>
  <c r="I1907" i="1" l="1"/>
  <c r="E1908" i="1" s="1"/>
  <c r="H1908" i="1" l="1"/>
  <c r="F1908" i="1"/>
  <c r="J1908" i="1"/>
  <c r="G1908" i="1" s="1"/>
  <c r="I1908" i="1" l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s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F1969" i="1"/>
  <c r="I1969" i="1" l="1"/>
  <c r="E1970" i="1" s="1"/>
  <c r="J1970" i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F1976" i="1"/>
  <c r="I1976" i="1" l="1"/>
  <c r="E1977" i="1" s="1"/>
  <c r="J1977" i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F1981" i="1"/>
  <c r="I1981" i="1" l="1"/>
  <c r="E1982" i="1" s="1"/>
  <c r="H1982" i="1"/>
  <c r="F1982" i="1"/>
  <c r="J1982" i="1"/>
  <c r="G1982" i="1" s="1"/>
  <c r="I1982" i="1" l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s="1"/>
  <c r="E2017" i="1" s="1"/>
  <c r="J2017" i="1" l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s="1"/>
  <c r="E2130" i="1" s="1"/>
  <c r="H2130" i="1" l="1"/>
  <c r="J2130" i="1"/>
  <c r="G2130" i="1" s="1"/>
  <c r="F2130" i="1"/>
  <c r="I2130" i="1" l="1"/>
  <c r="E2131" i="1" s="1"/>
  <c r="H2131" i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J9" i="2" l="1"/>
  <c r="K9" i="2" s="1"/>
  <c r="H9" i="2"/>
  <c r="I9" i="2" s="1"/>
  <c r="I2177" i="1"/>
  <c r="E2178" i="1" s="1"/>
  <c r="J2178" i="1" l="1"/>
  <c r="G2178" i="1" s="1"/>
  <c r="H2178" i="1"/>
  <c r="F2178" i="1"/>
  <c r="I2178" i="1" l="1"/>
  <c r="E2179" i="1" s="1"/>
  <c r="H2179" i="1"/>
  <c r="J2179" i="1"/>
  <c r="G2179" i="1" s="1"/>
  <c r="F2179" i="1"/>
  <c r="I2179" i="1" l="1"/>
  <c r="E2180" i="1" s="1"/>
  <c r="J2180" i="1" l="1"/>
  <c r="G2180" i="1" s="1"/>
  <c r="F2180" i="1"/>
  <c r="H2180" i="1"/>
  <c r="I2180" i="1" l="1"/>
  <c r="E2181" i="1" s="1"/>
  <c r="F2181" i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l="1"/>
  <c r="E2188" i="1" s="1"/>
  <c r="H2188" i="1"/>
  <c r="J2188" i="1"/>
  <c r="G2188" i="1" s="1"/>
  <c r="F2188" i="1"/>
  <c r="I2188" i="1" l="1"/>
  <c r="E2189" i="1" s="1"/>
  <c r="J2189" i="1" l="1"/>
  <c r="G2189" i="1" s="1"/>
  <c r="H2189" i="1"/>
  <c r="F2189" i="1"/>
  <c r="I2189" i="1" l="1"/>
  <c r="E2190" i="1" s="1"/>
  <c r="H2190" i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I2192" i="1" s="1"/>
  <c r="E2193" i="1" s="1"/>
  <c r="F2192" i="1"/>
  <c r="H2193" i="1" l="1"/>
  <c r="F2193" i="1"/>
  <c r="J2193" i="1"/>
  <c r="G2193" i="1" s="1"/>
  <c r="I2193" i="1" l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F2199" i="1"/>
  <c r="I2199" i="1" l="1"/>
  <c r="E2200" i="1" s="1"/>
  <c r="J2200" i="1"/>
  <c r="G2200" i="1" s="1"/>
  <c r="H2200" i="1"/>
  <c r="I2200" i="1" s="1"/>
  <c r="E2201" i="1" s="1"/>
  <c r="F2200" i="1"/>
  <c r="J2201" i="1" l="1"/>
  <c r="G2201" i="1" s="1"/>
  <c r="H2201" i="1"/>
  <c r="F2201" i="1"/>
  <c r="I2201" i="1" l="1"/>
  <c r="E2202" i="1" s="1"/>
  <c r="J2202" i="1"/>
  <c r="G2202" i="1" s="1"/>
  <c r="H2202" i="1"/>
  <c r="F2202" i="1"/>
  <c r="I2202" i="1" l="1"/>
  <c r="E2203" i="1" s="1"/>
  <c r="H2203" i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F2207" i="1"/>
  <c r="I2207" i="1" l="1"/>
  <c r="E2208" i="1" s="1"/>
  <c r="J2208" i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F2215" i="1"/>
  <c r="I2215" i="1" l="1"/>
  <c r="E2216" i="1" s="1"/>
  <c r="J2216" i="1"/>
  <c r="G2216" i="1" s="1"/>
  <c r="H2216" i="1"/>
  <c r="I2216" i="1" s="1"/>
  <c r="E2217" i="1" s="1"/>
  <c r="F2216" i="1"/>
  <c r="F2217" i="1" l="1"/>
  <c r="H2217" i="1"/>
  <c r="J2217" i="1"/>
  <c r="G2217" i="1" s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F2223" i="1"/>
  <c r="I2223" i="1" l="1"/>
  <c r="E2224" i="1" s="1"/>
  <c r="J2224" i="1"/>
  <c r="G2224" i="1" s="1"/>
  <c r="H2224" i="1"/>
  <c r="F2224" i="1"/>
  <c r="I2224" i="1" l="1"/>
  <c r="E2225" i="1" s="1"/>
  <c r="H2225" i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F2231" i="1"/>
  <c r="I2231" i="1" l="1"/>
  <c r="E2232" i="1" s="1"/>
  <c r="J2232" i="1"/>
  <c r="G2232" i="1" s="1"/>
  <c r="H2232" i="1"/>
  <c r="I2232" i="1" s="1"/>
  <c r="E2233" i="1" s="1"/>
  <c r="F2232" i="1"/>
  <c r="H2233" i="1" l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F2236" i="1"/>
  <c r="I2236" i="1" l="1"/>
  <c r="E2237" i="1" s="1"/>
  <c r="H2237" i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F2239" i="1"/>
  <c r="I2239" i="1" l="1"/>
  <c r="E2240" i="1" s="1"/>
  <c r="J2240" i="1"/>
  <c r="G2240" i="1" s="1"/>
  <c r="H2240" i="1"/>
  <c r="F2240" i="1"/>
  <c r="I2240" i="1" l="1"/>
  <c r="E2241" i="1" s="1"/>
  <c r="H2241" i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F2246" i="1"/>
  <c r="I2246" i="1" l="1"/>
  <c r="E2247" i="1" s="1"/>
  <c r="J2247" i="1"/>
  <c r="G2247" i="1" s="1"/>
  <c r="H2247" i="1"/>
  <c r="F2247" i="1"/>
  <c r="I2247" i="1" l="1"/>
  <c r="E2248" i="1" s="1"/>
  <c r="J2248" i="1"/>
  <c r="G2248" i="1" s="1"/>
  <c r="H2248" i="1"/>
  <c r="I2248" i="1" s="1"/>
  <c r="E2249" i="1" s="1"/>
  <c r="F2248" i="1"/>
  <c r="H2249" i="1" l="1"/>
  <c r="J2249" i="1"/>
  <c r="G2249" i="1" s="1"/>
  <c r="F2249" i="1"/>
  <c r="I2249" i="1" l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F2255" i="1"/>
  <c r="I2255" i="1" l="1"/>
  <c r="E2256" i="1" s="1"/>
  <c r="F2256" i="1"/>
  <c r="J2256" i="1"/>
  <c r="G2256" i="1" s="1"/>
  <c r="H2256" i="1"/>
  <c r="I2256" i="1" s="1"/>
  <c r="E2257" i="1" s="1"/>
  <c r="F2257" i="1" l="1"/>
  <c r="H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F2262" i="1"/>
  <c r="I2262" i="1" l="1"/>
  <c r="E2263" i="1" s="1"/>
  <c r="J2263" i="1"/>
  <c r="G2263" i="1" s="1"/>
  <c r="H2263" i="1"/>
  <c r="I2263" i="1" s="1"/>
  <c r="E2264" i="1" s="1"/>
  <c r="F2263" i="1"/>
  <c r="J2264" i="1" l="1"/>
  <c r="G2264" i="1" s="1"/>
  <c r="H2264" i="1"/>
  <c r="F2264" i="1"/>
  <c r="I2264" i="1" l="1"/>
  <c r="E2265" i="1" s="1"/>
  <c r="H2265" i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F2271" i="1"/>
  <c r="I2271" i="1" l="1"/>
  <c r="E2272" i="1" s="1"/>
  <c r="J2272" i="1"/>
  <c r="G2272" i="1" s="1"/>
  <c r="H2272" i="1"/>
  <c r="I2272" i="1" s="1"/>
  <c r="E2273" i="1" s="1"/>
  <c r="F2272" i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F2279" i="1"/>
  <c r="I2279" i="1" l="1"/>
  <c r="E2280" i="1" s="1"/>
  <c r="J2280" i="1" s="1"/>
  <c r="G2280" i="1" s="1"/>
  <c r="F2280" i="1" l="1"/>
  <c r="H2280" i="1"/>
  <c r="I2280" i="1" s="1"/>
  <c r="E2281" i="1" s="1"/>
  <c r="H2281" i="1"/>
  <c r="F2281" i="1"/>
  <c r="J2281" i="1"/>
  <c r="G2281" i="1" s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F2287" i="1"/>
  <c r="I2287" i="1" l="1"/>
  <c r="E2288" i="1" s="1"/>
  <c r="H2288" i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F2290" i="1"/>
  <c r="I2290" i="1" l="1"/>
  <c r="E2291" i="1" s="1"/>
  <c r="H2291" i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I2295" i="1" s="1"/>
  <c r="E2296" i="1" s="1"/>
  <c r="F2295" i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F2298" i="1"/>
  <c r="I2298" i="1" l="1"/>
  <c r="E2299" i="1" s="1"/>
  <c r="H2299" i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F2301" i="1"/>
  <c r="I2301" i="1" l="1"/>
  <c r="E2302" i="1" s="1"/>
  <c r="F2302" i="1"/>
  <c r="H2302" i="1"/>
  <c r="J2302" i="1"/>
  <c r="G2302" i="1" s="1"/>
  <c r="I2302" i="1" l="1"/>
  <c r="E2303" i="1" s="1"/>
  <c r="J2303" i="1" l="1"/>
  <c r="G2303" i="1" s="1"/>
  <c r="H2303" i="1"/>
  <c r="F2303" i="1"/>
  <c r="I2303" i="1" l="1"/>
  <c r="E2304" i="1" s="1"/>
  <c r="H2304" i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F2309" i="1"/>
  <c r="I2309" i="1" l="1"/>
  <c r="E2310" i="1" s="1"/>
  <c r="H2310" i="1"/>
  <c r="F2310" i="1"/>
  <c r="J2310" i="1"/>
  <c r="G2310" i="1" s="1"/>
  <c r="I2310" i="1" l="1"/>
  <c r="E2311" i="1" s="1"/>
  <c r="J2311" i="1" l="1"/>
  <c r="G2311" i="1" s="1"/>
  <c r="H2311" i="1"/>
  <c r="F2311" i="1"/>
  <c r="I2311" i="1" l="1"/>
  <c r="E2312" i="1" s="1"/>
  <c r="J2312" i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F2316" i="1"/>
  <c r="I2316" i="1" l="1"/>
  <c r="E2317" i="1" s="1"/>
  <c r="J2317" i="1"/>
  <c r="G2317" i="1" s="1"/>
  <c r="H2317" i="1"/>
  <c r="F2317" i="1"/>
  <c r="I2317" i="1" l="1"/>
  <c r="E2318" i="1" s="1"/>
  <c r="F2318" i="1"/>
  <c r="H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I2321" i="1" s="1"/>
  <c r="E2322" i="1" s="1"/>
  <c r="F2321" i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F2324" i="1"/>
  <c r="I2324" i="1" l="1"/>
  <c r="E2325" i="1" s="1"/>
  <c r="H2325" i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F2327" i="1"/>
  <c r="I2327" i="1" l="1"/>
  <c r="E2328" i="1" s="1"/>
  <c r="J2328" i="1"/>
  <c r="G2328" i="1" s="1"/>
  <c r="H2328" i="1"/>
  <c r="I2328" i="1" s="1"/>
  <c r="E2329" i="1" s="1"/>
  <c r="F2328" i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F2331" i="1"/>
  <c r="I2331" i="1" l="1"/>
  <c r="E2332" i="1" s="1"/>
  <c r="J2332" i="1"/>
  <c r="G2332" i="1" s="1"/>
  <c r="H2332" i="1"/>
  <c r="F2332" i="1"/>
  <c r="I2332" i="1" l="1"/>
  <c r="E2333" i="1" s="1"/>
  <c r="H2333" i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F2339" i="1"/>
  <c r="I2339" i="1" l="1"/>
  <c r="E2340" i="1" s="1"/>
  <c r="J2340" i="1"/>
  <c r="G2340" i="1" s="1"/>
  <c r="H2340" i="1"/>
  <c r="I2340" i="1" s="1"/>
  <c r="E2341" i="1" s="1"/>
  <c r="F2340" i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F2343" i="1"/>
  <c r="I2343" i="1" l="1"/>
  <c r="E2344" i="1" s="1"/>
  <c r="J2344" i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s="1"/>
  <c r="E2350" i="1" s="1"/>
  <c r="H2350" i="1" l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l="1"/>
  <c r="E2359" i="1" s="1"/>
  <c r="J2359" i="1" s="1"/>
  <c r="G2359" i="1" s="1"/>
  <c r="H2359" i="1" l="1"/>
  <c r="F2359" i="1"/>
  <c r="I2359" i="1" l="1"/>
  <c r="E2360" i="1" s="1"/>
  <c r="H2360" i="1" l="1"/>
  <c r="J2360" i="1"/>
  <c r="G2360" i="1" s="1"/>
  <c r="F2360" i="1"/>
  <c r="I2360" i="1" l="1"/>
  <c r="E2361" i="1" s="1"/>
  <c r="H2361" i="1" l="1"/>
  <c r="F2361" i="1"/>
  <c r="J2361" i="1"/>
  <c r="G2361" i="1" s="1"/>
  <c r="I2361" i="1" l="1"/>
  <c r="E2362" i="1" s="1"/>
  <c r="J2362" i="1" l="1"/>
  <c r="G2362" i="1" s="1"/>
  <c r="F2362" i="1"/>
  <c r="H2362" i="1"/>
  <c r="I2362" i="1" l="1"/>
  <c r="E2363" i="1" s="1"/>
  <c r="J2363" i="1" l="1"/>
  <c r="G2363" i="1" s="1"/>
  <c r="H2363" i="1"/>
  <c r="F2363" i="1"/>
  <c r="I2363" i="1" l="1"/>
  <c r="E2364" i="1" s="1"/>
  <c r="J2364" i="1" l="1"/>
  <c r="G2364" i="1" s="1"/>
  <c r="H2364" i="1"/>
  <c r="F2364" i="1"/>
  <c r="I2364" i="1" l="1"/>
  <c r="E2365" i="1" s="1"/>
  <c r="H2365" i="1" l="1"/>
  <c r="F2365" i="1"/>
  <c r="J2365" i="1"/>
  <c r="G2365" i="1" s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F2367" i="1"/>
  <c r="I2367" i="1" l="1"/>
  <c r="E2368" i="1" s="1"/>
  <c r="J2368" i="1" l="1"/>
  <c r="G2368" i="1" s="1"/>
  <c r="H2368" i="1"/>
  <c r="F2368" i="1"/>
  <c r="I2368" i="1" l="1"/>
  <c r="E2369" i="1" s="1"/>
  <c r="F2369" i="1" l="1"/>
  <c r="J2369" i="1"/>
  <c r="G2369" i="1" s="1"/>
  <c r="H2369" i="1"/>
  <c r="I2369" i="1" s="1"/>
  <c r="E2370" i="1" s="1"/>
  <c r="H2370" i="1" l="1"/>
  <c r="J2370" i="1"/>
  <c r="G2370" i="1" s="1"/>
  <c r="F2370" i="1"/>
  <c r="I2370" i="1" l="1"/>
  <c r="E2371" i="1" s="1"/>
  <c r="F2371" i="1" l="1"/>
  <c r="H2371" i="1"/>
  <c r="J2371" i="1"/>
  <c r="G2371" i="1" s="1"/>
  <c r="I2371" i="1" l="1"/>
  <c r="E2372" i="1" s="1"/>
  <c r="H2372" i="1" l="1"/>
  <c r="J2372" i="1"/>
  <c r="G2372" i="1" s="1"/>
  <c r="F2372" i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F2374" i="1"/>
  <c r="I2374" i="1" l="1"/>
  <c r="E2375" i="1" s="1"/>
  <c r="H2375" i="1" l="1"/>
  <c r="J2375" i="1"/>
  <c r="G2375" i="1" s="1"/>
  <c r="F2375" i="1"/>
  <c r="I2375" i="1" l="1"/>
  <c r="E2376" i="1" s="1"/>
  <c r="J2376" i="1" l="1"/>
  <c r="G2376" i="1" s="1"/>
  <c r="H2376" i="1"/>
  <c r="F2376" i="1"/>
  <c r="I2376" i="1" l="1"/>
  <c r="E2377" i="1" s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J2382" i="1" l="1"/>
  <c r="G2382" i="1" s="1"/>
  <c r="F2382" i="1"/>
  <c r="H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F2384" i="1"/>
  <c r="H2384" i="1"/>
  <c r="I2384" i="1" l="1"/>
  <c r="E2385" i="1" s="1"/>
  <c r="J2385" i="1" l="1"/>
  <c r="G2385" i="1" s="1"/>
  <c r="H2385" i="1"/>
  <c r="F2385" i="1"/>
  <c r="I2385" i="1" l="1"/>
  <c r="E2386" i="1" s="1"/>
  <c r="J2386" i="1" l="1"/>
  <c r="G2386" i="1" s="1"/>
  <c r="F2386" i="1"/>
  <c r="H2386" i="1"/>
  <c r="I2386" i="1" s="1"/>
  <c r="E2387" i="1" s="1"/>
  <c r="H2387" i="1" l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J2391" i="1" l="1"/>
  <c r="G2391" i="1" s="1"/>
  <c r="H2391" i="1"/>
  <c r="F2391" i="1"/>
  <c r="I2391" i="1" l="1"/>
  <c r="E2392" i="1" s="1"/>
  <c r="H2392" i="1" l="1"/>
  <c r="J2392" i="1"/>
  <c r="G2392" i="1" s="1"/>
  <c r="F2392" i="1"/>
  <c r="I2392" i="1" l="1"/>
  <c r="E2393" i="1" s="1"/>
  <c r="H2393" i="1" l="1"/>
  <c r="J2393" i="1"/>
  <c r="G2393" i="1" s="1"/>
  <c r="F2393" i="1"/>
  <c r="I2393" i="1" l="1"/>
  <c r="E2394" i="1" s="1"/>
  <c r="J2394" i="1" l="1"/>
  <c r="G2394" i="1" s="1"/>
  <c r="H2394" i="1"/>
  <c r="I2394" i="1" s="1"/>
  <c r="E2395" i="1" s="1"/>
  <c r="F2394" i="1"/>
  <c r="H2395" i="1" l="1"/>
  <c r="F2395" i="1"/>
  <c r="J2395" i="1"/>
  <c r="G2395" i="1" s="1"/>
  <c r="I2395" i="1" l="1"/>
  <c r="E2396" i="1" s="1"/>
  <c r="J2396" i="1" l="1"/>
  <c r="G2396" i="1" s="1"/>
  <c r="H2396" i="1"/>
  <c r="I2396" i="1" s="1"/>
  <c r="E2397" i="1" s="1"/>
  <c r="F2396" i="1"/>
  <c r="H2397" i="1" l="1"/>
  <c r="J2397" i="1"/>
  <c r="G2397" i="1" s="1"/>
  <c r="F2397" i="1"/>
  <c r="I2397" i="1" l="1"/>
  <c r="E2398" i="1" s="1"/>
  <c r="J2398" i="1" l="1"/>
  <c r="G2398" i="1" s="1"/>
  <c r="H2398" i="1"/>
  <c r="F2398" i="1"/>
  <c r="I2398" i="1" l="1"/>
  <c r="E2399" i="1" s="1"/>
  <c r="H2399" i="1" l="1"/>
  <c r="J2399" i="1"/>
  <c r="G2399" i="1" s="1"/>
  <c r="F2399" i="1"/>
  <c r="I2399" i="1" l="1"/>
  <c r="E2400" i="1" s="1"/>
  <c r="H2400" i="1" l="1"/>
  <c r="J2400" i="1"/>
  <c r="G2400" i="1" s="1"/>
  <c r="F2400" i="1"/>
  <c r="I2400" i="1" l="1"/>
  <c r="E2401" i="1" s="1"/>
  <c r="H2401" i="1" l="1"/>
  <c r="F2401" i="1"/>
  <c r="J2401" i="1"/>
  <c r="G2401" i="1" s="1"/>
  <c r="I2401" i="1" l="1"/>
  <c r="E2402" i="1" s="1"/>
  <c r="H2402" i="1" l="1"/>
  <c r="J2402" i="1"/>
  <c r="G2402" i="1" s="1"/>
  <c r="F2402" i="1"/>
  <c r="I2402" i="1" l="1"/>
  <c r="E2403" i="1" s="1"/>
  <c r="H2403" i="1" l="1"/>
  <c r="J2403" i="1"/>
  <c r="G2403" i="1" s="1"/>
  <c r="F2403" i="1"/>
  <c r="I2403" i="1" l="1"/>
  <c r="E2404" i="1" s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I2406" i="1" s="1"/>
  <c r="E2407" i="1" s="1"/>
  <c r="J2406" i="1"/>
  <c r="G2406" i="1" s="1"/>
  <c r="F2406" i="1"/>
  <c r="J2407" i="1" l="1"/>
  <c r="G2407" i="1" s="1"/>
  <c r="H2407" i="1"/>
  <c r="I2407" i="1" s="1"/>
  <c r="E2408" i="1" s="1"/>
  <c r="F2407" i="1"/>
  <c r="H2408" i="1" l="1"/>
  <c r="J2408" i="1"/>
  <c r="G2408" i="1" s="1"/>
  <c r="F2408" i="1"/>
  <c r="I2408" i="1" l="1"/>
  <c r="E2409" i="1" s="1"/>
  <c r="F2409" i="1" l="1"/>
  <c r="H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J2412" i="1" l="1"/>
  <c r="G2412" i="1" s="1"/>
  <c r="H2412" i="1"/>
  <c r="F2412" i="1"/>
  <c r="I2412" i="1" l="1"/>
  <c r="E2413" i="1" s="1"/>
  <c r="F2413" i="1" l="1"/>
  <c r="H2413" i="1"/>
  <c r="J2413" i="1"/>
  <c r="G2413" i="1" s="1"/>
  <c r="I2413" i="1" l="1"/>
  <c r="E2414" i="1" s="1"/>
  <c r="F2414" i="1" l="1"/>
  <c r="J2414" i="1"/>
  <c r="G2414" i="1" s="1"/>
  <c r="H2414" i="1"/>
  <c r="I2414" i="1" l="1"/>
  <c r="E2415" i="1" s="1"/>
  <c r="H2415" i="1" l="1"/>
  <c r="F2415" i="1"/>
  <c r="J2415" i="1"/>
  <c r="G2415" i="1" s="1"/>
  <c r="I2415" i="1" l="1"/>
  <c r="E2416" i="1" s="1"/>
  <c r="F2416" i="1" l="1"/>
  <c r="J2416" i="1"/>
  <c r="G2416" i="1" s="1"/>
  <c r="H2416" i="1"/>
  <c r="I2416" i="1" s="1"/>
  <c r="E2417" i="1" s="1"/>
  <c r="F2417" i="1" l="1"/>
  <c r="J2417" i="1"/>
  <c r="G2417" i="1" s="1"/>
  <c r="H2417" i="1"/>
  <c r="I2417" i="1" l="1"/>
  <c r="E2418" i="1" s="1"/>
  <c r="H2418" i="1" l="1"/>
  <c r="J2418" i="1"/>
  <c r="G2418" i="1" s="1"/>
  <c r="F2418" i="1"/>
  <c r="I2418" i="1" l="1"/>
  <c r="E2419" i="1" s="1"/>
  <c r="F2419" i="1" l="1"/>
  <c r="J2419" i="1"/>
  <c r="G2419" i="1" s="1"/>
  <c r="H2419" i="1"/>
  <c r="I2419" i="1" s="1"/>
  <c r="E2420" i="1" s="1"/>
  <c r="H2420" i="1" l="1"/>
  <c r="J2420" i="1"/>
  <c r="G2420" i="1" s="1"/>
  <c r="F2420" i="1"/>
  <c r="I2420" i="1" l="1"/>
  <c r="E2421" i="1" s="1"/>
  <c r="F2421" i="1" l="1"/>
  <c r="J2421" i="1"/>
  <c r="G2421" i="1" s="1"/>
  <c r="H2421" i="1"/>
  <c r="I2421" i="1" s="1"/>
  <c r="E2422" i="1" s="1"/>
  <c r="H2422" i="1" l="1"/>
  <c r="J2422" i="1"/>
  <c r="G2422" i="1" s="1"/>
  <c r="F2422" i="1"/>
  <c r="I2422" i="1" l="1"/>
  <c r="E2423" i="1" s="1"/>
  <c r="H2423" i="1" l="1"/>
  <c r="F2423" i="1"/>
  <c r="J2423" i="1"/>
  <c r="G2423" i="1" s="1"/>
  <c r="I2423" i="1" l="1"/>
  <c r="E2424" i="1" s="1"/>
  <c r="J2424" i="1" l="1"/>
  <c r="G2424" i="1" s="1"/>
  <c r="H2424" i="1"/>
  <c r="F2424" i="1"/>
  <c r="I2424" i="1" l="1"/>
  <c r="E2425" i="1" s="1"/>
  <c r="J2425" i="1" l="1"/>
  <c r="G2425" i="1" s="1"/>
  <c r="H2425" i="1"/>
  <c r="I2425" i="1" s="1"/>
  <c r="E2426" i="1" s="1"/>
  <c r="F2425" i="1"/>
  <c r="H2426" i="1" l="1"/>
  <c r="F2426" i="1"/>
  <c r="J2426" i="1"/>
  <c r="G2426" i="1" s="1"/>
  <c r="I2426" i="1" l="1"/>
  <c r="E2427" i="1" s="1"/>
  <c r="H2427" i="1" l="1"/>
  <c r="F2427" i="1"/>
  <c r="J2427" i="1"/>
  <c r="G2427" i="1" s="1"/>
  <c r="I2427" i="1" l="1"/>
  <c r="E2428" i="1" s="1"/>
  <c r="J2428" i="1" l="1"/>
  <c r="G2428" i="1" s="1"/>
  <c r="F2428" i="1"/>
  <c r="H2428" i="1"/>
  <c r="I2428" i="1" s="1"/>
  <c r="E2429" i="1" s="1"/>
  <c r="J2429" i="1" l="1"/>
  <c r="G2429" i="1" s="1"/>
  <c r="F2429" i="1"/>
  <c r="H2429" i="1"/>
  <c r="I2429" i="1" s="1"/>
  <c r="E2430" i="1" s="1"/>
  <c r="H2430" i="1" l="1"/>
  <c r="J2430" i="1"/>
  <c r="G2430" i="1" s="1"/>
  <c r="F2430" i="1"/>
  <c r="I2430" i="1" l="1"/>
  <c r="E2431" i="1" s="1"/>
  <c r="J2431" i="1" l="1"/>
  <c r="G2431" i="1" s="1"/>
  <c r="F2431" i="1"/>
  <c r="H2431" i="1"/>
  <c r="I2431" i="1" s="1"/>
  <c r="E2432" i="1" s="1"/>
  <c r="H2432" i="1" l="1"/>
  <c r="F2432" i="1"/>
  <c r="J2432" i="1"/>
  <c r="G2432" i="1" s="1"/>
  <c r="I2432" i="1" l="1"/>
  <c r="E2433" i="1" s="1"/>
  <c r="F2433" i="1" l="1"/>
  <c r="H2433" i="1"/>
  <c r="J2433" i="1"/>
  <c r="G2433" i="1" s="1"/>
  <c r="I2433" i="1" l="1"/>
  <c r="E2434" i="1" s="1"/>
  <c r="H2434" i="1" l="1"/>
  <c r="F2434" i="1"/>
  <c r="J2434" i="1"/>
  <c r="G2434" i="1" s="1"/>
  <c r="I2434" i="1" l="1"/>
  <c r="E2435" i="1" s="1"/>
  <c r="H2435" i="1" l="1"/>
  <c r="J2435" i="1"/>
  <c r="G2435" i="1" s="1"/>
  <c r="F2435" i="1"/>
  <c r="I2435" i="1" l="1"/>
  <c r="E2436" i="1" s="1"/>
  <c r="J2436" i="1" l="1"/>
  <c r="G2436" i="1" s="1"/>
  <c r="H2436" i="1"/>
  <c r="I2436" i="1" s="1"/>
  <c r="E2437" i="1" s="1"/>
  <c r="F2436" i="1"/>
  <c r="H2437" i="1" l="1"/>
  <c r="F2437" i="1"/>
  <c r="J2437" i="1"/>
  <c r="G2437" i="1" s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F2440" i="1"/>
  <c r="H2440" i="1"/>
  <c r="I2440" i="1" l="1"/>
  <c r="E2441" i="1" s="1"/>
  <c r="H2441" i="1" l="1"/>
  <c r="F2441" i="1"/>
  <c r="J2441" i="1"/>
  <c r="G2441" i="1" s="1"/>
  <c r="I2441" i="1" l="1"/>
  <c r="E2442" i="1" s="1"/>
  <c r="F2442" i="1" l="1"/>
  <c r="J2442" i="1"/>
  <c r="G2442" i="1" s="1"/>
  <c r="H2442" i="1"/>
  <c r="I2442" i="1" l="1"/>
  <c r="E2443" i="1" s="1"/>
  <c r="H2443" i="1" l="1"/>
  <c r="F2443" i="1"/>
  <c r="J2443" i="1"/>
  <c r="G2443" i="1" s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F2446" i="1" l="1"/>
  <c r="H2446" i="1"/>
  <c r="J2446" i="1"/>
  <c r="G2446" i="1" s="1"/>
  <c r="I2446" i="1" l="1"/>
  <c r="E2447" i="1" s="1"/>
  <c r="J2447" i="1" l="1"/>
  <c r="G2447" i="1" s="1"/>
  <c r="H2447" i="1"/>
  <c r="I2447" i="1" s="1"/>
  <c r="E2448" i="1" s="1"/>
  <c r="F2447" i="1"/>
  <c r="J2448" i="1" l="1"/>
  <c r="G2448" i="1" s="1"/>
  <c r="F2448" i="1"/>
  <c r="H2448" i="1"/>
  <c r="I2448" i="1" l="1"/>
  <c r="E2449" i="1" s="1"/>
  <c r="J2449" i="1" l="1"/>
  <c r="G2449" i="1" s="1"/>
  <c r="F2449" i="1"/>
  <c r="H2449" i="1"/>
  <c r="I2449" i="1" s="1"/>
  <c r="E2450" i="1" s="1"/>
  <c r="J2450" i="1" l="1"/>
  <c r="G2450" i="1" s="1"/>
  <c r="F2450" i="1"/>
  <c r="H2450" i="1"/>
  <c r="I2450" i="1" s="1"/>
  <c r="E2451" i="1" s="1"/>
  <c r="J2451" i="1" l="1"/>
  <c r="G2451" i="1" s="1"/>
  <c r="F2451" i="1"/>
  <c r="H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J2455" i="1" l="1"/>
  <c r="G2455" i="1" s="1"/>
  <c r="H2455" i="1"/>
  <c r="F2455" i="1"/>
  <c r="I2455" i="1" l="1"/>
  <c r="E2456" i="1" s="1"/>
  <c r="J2456" i="1" l="1"/>
  <c r="G2456" i="1" s="1"/>
  <c r="F2456" i="1"/>
  <c r="H2456" i="1"/>
  <c r="I2456" i="1" s="1"/>
  <c r="E2457" i="1" s="1"/>
  <c r="H2457" i="1" l="1"/>
  <c r="J2457" i="1"/>
  <c r="G2457" i="1" s="1"/>
  <c r="F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F2460" i="1"/>
  <c r="H2460" i="1"/>
  <c r="I2460" i="1" s="1"/>
  <c r="E2461" i="1" s="1"/>
  <c r="H2461" i="1" l="1"/>
  <c r="F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s="1"/>
  <c r="E2464" i="1" s="1"/>
  <c r="H2464" i="1" l="1"/>
  <c r="J2464" i="1"/>
  <c r="G2464" i="1" s="1"/>
  <c r="F2464" i="1"/>
  <c r="I2464" i="1" l="1"/>
  <c r="E2465" i="1" s="1"/>
  <c r="J2465" i="1" l="1"/>
  <c r="G2465" i="1" s="1"/>
  <c r="F2465" i="1"/>
  <c r="H2465" i="1"/>
  <c r="I2465" i="1" l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H2468" i="1" l="1"/>
  <c r="F2468" i="1"/>
  <c r="J2468" i="1"/>
  <c r="G2468" i="1" s="1"/>
  <c r="I2468" i="1" l="1"/>
  <c r="E2469" i="1" s="1"/>
  <c r="H2469" i="1" l="1"/>
  <c r="J2469" i="1"/>
  <c r="G2469" i="1" s="1"/>
  <c r="F2469" i="1"/>
  <c r="I2469" i="1" l="1"/>
  <c r="E2470" i="1" s="1"/>
  <c r="H2470" i="1" l="1"/>
  <c r="J2470" i="1"/>
  <c r="G2470" i="1" s="1"/>
  <c r="F2470" i="1"/>
  <c r="I2470" i="1" l="1"/>
  <c r="E2471" i="1" s="1"/>
  <c r="F2471" i="1" l="1"/>
  <c r="H2471" i="1"/>
  <c r="J2471" i="1"/>
  <c r="G2471" i="1" s="1"/>
  <c r="I2471" i="1" l="1"/>
  <c r="E2472" i="1" s="1"/>
  <c r="H2472" i="1" l="1"/>
  <c r="J2472" i="1"/>
  <c r="G2472" i="1" s="1"/>
  <c r="F2472" i="1"/>
  <c r="I2472" i="1" l="1"/>
  <c r="E2473" i="1" s="1"/>
  <c r="F2473" i="1" l="1"/>
  <c r="J2473" i="1"/>
  <c r="G2473" i="1" s="1"/>
  <c r="H2473" i="1"/>
  <c r="I2473" i="1" s="1"/>
  <c r="E2474" i="1" s="1"/>
  <c r="J2474" i="1" l="1"/>
  <c r="G2474" i="1" s="1"/>
  <c r="H2474" i="1"/>
  <c r="F2474" i="1"/>
  <c r="I2474" i="1" l="1"/>
  <c r="E2475" i="1" s="1"/>
  <c r="F2475" i="1" l="1"/>
  <c r="H2475" i="1"/>
  <c r="J2475" i="1"/>
  <c r="G2475" i="1" s="1"/>
  <c r="I2475" i="1" l="1"/>
  <c r="E2476" i="1" s="1"/>
  <c r="F2476" i="1" l="1"/>
  <c r="J2476" i="1"/>
  <c r="G2476" i="1" s="1"/>
  <c r="H2476" i="1"/>
  <c r="I2476" i="1" s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s="1"/>
  <c r="E2479" i="1" s="1"/>
  <c r="F2479" i="1" l="1"/>
  <c r="J2479" i="1"/>
  <c r="G2479" i="1" s="1"/>
  <c r="H2479" i="1"/>
  <c r="I2479" i="1" s="1"/>
  <c r="E2480" i="1" s="1"/>
  <c r="F2480" i="1" l="1"/>
  <c r="J2480" i="1"/>
  <c r="G2480" i="1" s="1"/>
  <c r="H2480" i="1"/>
  <c r="I2480" i="1" s="1"/>
  <c r="E2481" i="1" s="1"/>
  <c r="J2481" i="1" l="1"/>
  <c r="G2481" i="1" s="1"/>
  <c r="F2481" i="1"/>
  <c r="H2481" i="1"/>
  <c r="I2481" i="1" s="1"/>
  <c r="E2482" i="1" s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J2484" i="1"/>
  <c r="G2484" i="1" s="1"/>
  <c r="F2484" i="1"/>
  <c r="I2484" i="1" l="1"/>
  <c r="E2485" i="1" s="1"/>
  <c r="H2485" i="1" l="1"/>
  <c r="F2485" i="1"/>
  <c r="J2485" i="1"/>
  <c r="G2485" i="1" s="1"/>
  <c r="I2485" i="1" l="1"/>
  <c r="E2486" i="1" s="1"/>
  <c r="F2486" i="1" l="1"/>
  <c r="J2486" i="1"/>
  <c r="G2486" i="1" s="1"/>
  <c r="H2486" i="1"/>
  <c r="I2486" i="1" s="1"/>
  <c r="E2487" i="1" s="1"/>
  <c r="F2487" i="1" l="1"/>
  <c r="H2487" i="1"/>
  <c r="J2487" i="1"/>
  <c r="G2487" i="1" s="1"/>
  <c r="I2487" i="1" l="1"/>
  <c r="E2488" i="1" s="1"/>
  <c r="F2488" i="1" l="1"/>
  <c r="J2488" i="1"/>
  <c r="G2488" i="1" s="1"/>
  <c r="H2488" i="1"/>
  <c r="I2488" i="1" s="1"/>
  <c r="E2489" i="1" s="1"/>
  <c r="F2489" i="1" l="1"/>
  <c r="J2489" i="1"/>
  <c r="G2489" i="1" s="1"/>
  <c r="H2489" i="1"/>
  <c r="I2489" i="1" s="1"/>
  <c r="E2490" i="1" s="1"/>
  <c r="J2490" i="1" l="1"/>
  <c r="G2490" i="1" s="1"/>
  <c r="H2490" i="1"/>
  <c r="F2490" i="1"/>
  <c r="I2490" i="1" l="1"/>
  <c r="E2491" i="1" s="1"/>
  <c r="H2491" i="1" l="1"/>
  <c r="F2491" i="1"/>
  <c r="J2491" i="1"/>
  <c r="G2491" i="1" s="1"/>
  <c r="I2491" i="1" l="1"/>
  <c r="E2492" i="1" s="1"/>
  <c r="F2492" i="1" l="1"/>
  <c r="J2492" i="1"/>
  <c r="G2492" i="1" s="1"/>
  <c r="H2492" i="1"/>
  <c r="I2492" i="1" s="1"/>
  <c r="E2493" i="1" s="1"/>
  <c r="F2493" i="1" l="1"/>
  <c r="H2493" i="1"/>
  <c r="J2493" i="1"/>
  <c r="G2493" i="1" s="1"/>
  <c r="I2493" i="1" l="1"/>
  <c r="E2494" i="1" s="1"/>
  <c r="F2494" i="1" l="1"/>
  <c r="H2494" i="1"/>
  <c r="J2494" i="1"/>
  <c r="G2494" i="1" s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F2497" i="1" l="1"/>
  <c r="H2497" i="1"/>
  <c r="J2497" i="1"/>
  <c r="G2497" i="1" s="1"/>
  <c r="I2497" i="1" l="1"/>
  <c r="E2498" i="1" s="1"/>
  <c r="F2498" i="1" l="1"/>
  <c r="H2498" i="1"/>
  <c r="J2498" i="1"/>
  <c r="G2498" i="1" s="1"/>
  <c r="I2498" i="1" l="1"/>
  <c r="E2499" i="1" s="1"/>
  <c r="H2499" i="1" l="1"/>
  <c r="F2499" i="1"/>
  <c r="J2499" i="1"/>
  <c r="G2499" i="1" s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F2502" i="1" l="1"/>
  <c r="J2502" i="1"/>
  <c r="G2502" i="1" s="1"/>
  <c r="H2502" i="1"/>
  <c r="I2502" i="1" s="1"/>
  <c r="E2503" i="1" s="1"/>
  <c r="F2503" i="1" l="1"/>
  <c r="H2503" i="1"/>
  <c r="J2503" i="1"/>
  <c r="G2503" i="1" s="1"/>
  <c r="I2503" i="1" l="1"/>
  <c r="E2504" i="1" s="1"/>
  <c r="J2504" i="1" l="1"/>
  <c r="G2504" i="1" s="1"/>
  <c r="H2504" i="1"/>
  <c r="F2504" i="1"/>
  <c r="I2504" i="1" l="1"/>
  <c r="E2505" i="1" s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H2508" i="1"/>
  <c r="J2508" i="1"/>
  <c r="G2508" i="1" s="1"/>
  <c r="I2508" i="1" l="1"/>
  <c r="E2509" i="1" s="1"/>
  <c r="J2509" i="1" l="1"/>
  <c r="G2509" i="1" s="1"/>
  <c r="H2509" i="1"/>
  <c r="I2509" i="1" s="1"/>
  <c r="E2510" i="1" s="1"/>
  <c r="F2509" i="1"/>
  <c r="H2510" i="1" l="1"/>
  <c r="F2510" i="1"/>
  <c r="J2510" i="1"/>
  <c r="G2510" i="1" s="1"/>
  <c r="I2510" i="1" l="1"/>
  <c r="E2511" i="1" s="1"/>
  <c r="J2511" i="1" l="1"/>
  <c r="G2511" i="1" s="1"/>
  <c r="H2511" i="1"/>
  <c r="F2511" i="1"/>
  <c r="I2511" i="1" l="1"/>
  <c r="E2512" i="1" s="1"/>
  <c r="H2512" i="1" l="1"/>
  <c r="J2512" i="1"/>
  <c r="G2512" i="1" s="1"/>
  <c r="F2512" i="1"/>
  <c r="I2512" i="1" l="1"/>
  <c r="E2513" i="1" s="1"/>
  <c r="H2513" i="1" l="1"/>
  <c r="F2513" i="1"/>
  <c r="J2513" i="1"/>
  <c r="G2513" i="1" s="1"/>
  <c r="I2513" i="1" l="1"/>
  <c r="E2514" i="1" s="1"/>
  <c r="H2514" i="1" l="1"/>
  <c r="F2514" i="1"/>
  <c r="J2514" i="1"/>
  <c r="G2514" i="1" s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s="1"/>
  <c r="E2519" i="1" s="1"/>
  <c r="H2519" i="1" l="1"/>
  <c r="F2519" i="1"/>
  <c r="J2519" i="1"/>
  <c r="G2519" i="1" s="1"/>
  <c r="I2519" i="1" l="1"/>
  <c r="E2520" i="1" s="1"/>
  <c r="F2520" i="1" l="1"/>
  <c r="H2520" i="1"/>
  <c r="J2520" i="1"/>
  <c r="G2520" i="1" s="1"/>
  <c r="I2520" i="1" l="1"/>
  <c r="E2521" i="1" s="1"/>
  <c r="F2521" i="1" l="1"/>
  <c r="J2521" i="1"/>
  <c r="G2521" i="1" s="1"/>
  <c r="H2521" i="1"/>
  <c r="I2521" i="1" s="1"/>
  <c r="E2522" i="1" s="1"/>
  <c r="J2522" i="1" l="1"/>
  <c r="G2522" i="1" s="1"/>
  <c r="F2522" i="1"/>
  <c r="H2522" i="1"/>
  <c r="I2522" i="1" s="1"/>
  <c r="E2523" i="1" s="1"/>
  <c r="H2523" i="1" l="1"/>
  <c r="F2523" i="1"/>
  <c r="J2523" i="1"/>
  <c r="G2523" i="1" s="1"/>
  <c r="I2523" i="1" l="1"/>
  <c r="E2524" i="1" s="1"/>
  <c r="H2524" i="1" l="1"/>
  <c r="J2524" i="1"/>
  <c r="G2524" i="1" s="1"/>
  <c r="F2524" i="1"/>
  <c r="I2524" i="1" l="1"/>
  <c r="E2525" i="1" s="1"/>
  <c r="H2525" i="1" l="1"/>
  <c r="F2525" i="1"/>
  <c r="J2525" i="1"/>
  <c r="G2525" i="1" s="1"/>
  <c r="I2525" i="1" l="1"/>
  <c r="E2526" i="1" s="1"/>
  <c r="F2526" i="1" l="1"/>
  <c r="H2526" i="1"/>
  <c r="J2526" i="1"/>
  <c r="G2526" i="1" s="1"/>
  <c r="I2526" i="1" l="1"/>
  <c r="E2527" i="1" s="1"/>
  <c r="F2527" i="1" l="1"/>
  <c r="H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F2530" i="1"/>
  <c r="I2530" i="1" l="1"/>
  <c r="E2531" i="1" s="1"/>
  <c r="H2531" i="1" l="1"/>
  <c r="F2531" i="1"/>
  <c r="J2531" i="1"/>
  <c r="G2531" i="1" s="1"/>
  <c r="I2531" i="1" l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J2534" i="1" l="1"/>
  <c r="G2534" i="1" s="1"/>
  <c r="H2534" i="1"/>
  <c r="F2534" i="1"/>
  <c r="I2534" i="1" l="1"/>
  <c r="E2535" i="1" s="1"/>
  <c r="H2535" i="1" l="1"/>
  <c r="J2535" i="1"/>
  <c r="G2535" i="1" s="1"/>
  <c r="F2535" i="1"/>
  <c r="I2535" i="1" l="1"/>
  <c r="E2536" i="1" s="1"/>
  <c r="H2536" i="1" l="1"/>
  <c r="F2536" i="1"/>
  <c r="J2536" i="1"/>
  <c r="G2536" i="1" s="1"/>
  <c r="I2536" i="1" l="1"/>
  <c r="E2537" i="1" s="1"/>
  <c r="J2537" i="1" l="1"/>
  <c r="G2537" i="1" s="1"/>
  <c r="F2537" i="1"/>
  <c r="H2537" i="1"/>
  <c r="I2537" i="1" s="1"/>
  <c r="E2538" i="1" s="1"/>
  <c r="H2538" i="1" l="1"/>
  <c r="J2538" i="1"/>
  <c r="G2538" i="1" s="1"/>
  <c r="F2538" i="1"/>
  <c r="I2538" i="1" l="1"/>
  <c r="E2539" i="1" s="1"/>
  <c r="H2539" i="1" l="1"/>
  <c r="J2539" i="1"/>
  <c r="G2539" i="1" s="1"/>
  <c r="F2539" i="1"/>
  <c r="I2539" i="1" l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F2543" i="1"/>
  <c r="I2543" i="1" l="1"/>
  <c r="E2544" i="1" s="1"/>
  <c r="H2544" i="1" l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F2547" i="1"/>
  <c r="J2547" i="1"/>
  <c r="G2547" i="1" s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s="1"/>
  <c r="E2552" i="1" s="1"/>
  <c r="H2552" i="1" l="1"/>
  <c r="J2552" i="1"/>
  <c r="G2552" i="1" s="1"/>
  <c r="F2552" i="1"/>
  <c r="I2552" i="1" l="1"/>
  <c r="E2553" i="1" s="1"/>
  <c r="H2553" i="1" l="1"/>
  <c r="F2553" i="1"/>
  <c r="J2553" i="1"/>
  <c r="G2553" i="1" s="1"/>
  <c r="I2553" i="1" l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l="1"/>
  <c r="E2557" i="1" s="1"/>
  <c r="J2557" i="1" l="1"/>
  <c r="G2557" i="1" s="1"/>
  <c r="H2557" i="1"/>
  <c r="F2557" i="1"/>
  <c r="I2557" i="1" l="1"/>
  <c r="E2558" i="1" s="1"/>
  <c r="J2558" i="1" l="1"/>
  <c r="G2558" i="1" s="1"/>
  <c r="H2558" i="1"/>
  <c r="I2558" i="1" s="1"/>
  <c r="E2559" i="1" s="1"/>
  <c r="F2558" i="1"/>
  <c r="H2559" i="1" l="1"/>
  <c r="F2559" i="1"/>
  <c r="J2559" i="1"/>
  <c r="G2559" i="1" s="1"/>
  <c r="I2559" i="1" l="1"/>
  <c r="E2560" i="1" s="1"/>
  <c r="H2560" i="1" l="1"/>
  <c r="J2560" i="1"/>
  <c r="G2560" i="1" s="1"/>
  <c r="F2560" i="1"/>
  <c r="I2560" i="1" l="1"/>
  <c r="E2561" i="1" s="1"/>
  <c r="H2561" i="1" l="1"/>
  <c r="F2561" i="1"/>
  <c r="J2561" i="1"/>
  <c r="G2561" i="1" s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H2566" i="1" l="1"/>
  <c r="F2566" i="1"/>
  <c r="J2566" i="1"/>
  <c r="G2566" i="1" s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J2569" i="1" l="1"/>
  <c r="G2569" i="1" s="1"/>
  <c r="H2569" i="1"/>
  <c r="I2569" i="1" s="1"/>
  <c r="E2570" i="1" s="1"/>
  <c r="F2569" i="1"/>
  <c r="H2570" i="1" l="1"/>
  <c r="J2570" i="1"/>
  <c r="G2570" i="1" s="1"/>
  <c r="F2570" i="1"/>
  <c r="I2570" i="1" l="1"/>
  <c r="E2571" i="1" s="1"/>
  <c r="H2571" i="1" l="1"/>
  <c r="J2571" i="1"/>
  <c r="G2571" i="1" s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I2573" i="1" s="1"/>
  <c r="E2574" i="1" s="1"/>
  <c r="F2573" i="1"/>
  <c r="J2573" i="1"/>
  <c r="G2573" i="1" s="1"/>
  <c r="F2574" i="1" l="1"/>
  <c r="H2574" i="1"/>
  <c r="J2574" i="1"/>
  <c r="G2574" i="1" s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H2577" i="1" l="1"/>
  <c r="F2577" i="1"/>
  <c r="J2577" i="1"/>
  <c r="G2577" i="1" s="1"/>
  <c r="I2577" i="1" l="1"/>
  <c r="E2578" i="1" s="1"/>
  <c r="J2578" i="1" l="1"/>
  <c r="G2578" i="1" s="1"/>
  <c r="H2578" i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J2582" i="1" l="1"/>
  <c r="G2582" i="1" s="1"/>
  <c r="F2582" i="1"/>
  <c r="H2582" i="1"/>
  <c r="I2582" i="1" s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H2587" i="1" l="1"/>
  <c r="F2587" i="1"/>
  <c r="J2587" i="1"/>
  <c r="G2587" i="1" s="1"/>
  <c r="I2587" i="1" l="1"/>
  <c r="E2588" i="1" s="1"/>
  <c r="H2588" i="1" l="1"/>
  <c r="F2588" i="1"/>
  <c r="J2588" i="1"/>
  <c r="G2588" i="1" s="1"/>
  <c r="I2588" i="1" l="1"/>
  <c r="E2589" i="1" s="1"/>
  <c r="J2589" i="1" l="1"/>
  <c r="G2589" i="1" s="1"/>
  <c r="F2589" i="1"/>
  <c r="H2589" i="1"/>
  <c r="I2589" i="1" l="1"/>
  <c r="E2590" i="1" s="1"/>
  <c r="H2590" i="1" l="1"/>
  <c r="J2590" i="1"/>
  <c r="G2590" i="1" s="1"/>
  <c r="F2590" i="1"/>
  <c r="I2590" i="1" l="1"/>
  <c r="E2591" i="1" s="1"/>
  <c r="J2591" i="1" l="1"/>
  <c r="G2591" i="1" s="1"/>
  <c r="F2591" i="1"/>
  <c r="H2591" i="1"/>
  <c r="I2591" i="1" s="1"/>
  <c r="E2592" i="1" s="1"/>
  <c r="H2592" i="1" l="1"/>
  <c r="F2592" i="1"/>
  <c r="J2592" i="1"/>
  <c r="G2592" i="1" s="1"/>
  <c r="I2592" i="1" l="1"/>
  <c r="E2593" i="1" s="1"/>
  <c r="F2593" i="1" l="1"/>
  <c r="H2593" i="1"/>
  <c r="J2593" i="1"/>
  <c r="G2593" i="1" s="1"/>
  <c r="I2593" i="1" l="1"/>
  <c r="E2594" i="1" s="1"/>
  <c r="F2594" i="1" l="1"/>
  <c r="J2594" i="1"/>
  <c r="G2594" i="1" s="1"/>
  <c r="H2594" i="1"/>
  <c r="I2594" i="1" s="1"/>
  <c r="E2595" i="1" s="1"/>
  <c r="H2595" i="1" l="1"/>
  <c r="F2595" i="1"/>
  <c r="J2595" i="1"/>
  <c r="G2595" i="1" s="1"/>
  <c r="I2595" i="1" l="1"/>
  <c r="E2596" i="1" s="1"/>
  <c r="H2596" i="1" l="1"/>
  <c r="F2596" i="1"/>
  <c r="J2596" i="1"/>
  <c r="G2596" i="1" s="1"/>
  <c r="I2596" i="1" l="1"/>
  <c r="E2597" i="1" s="1"/>
  <c r="J2597" i="1" l="1"/>
  <c r="G2597" i="1" s="1"/>
  <c r="H2597" i="1"/>
  <c r="F2597" i="1"/>
  <c r="I2597" i="1" l="1"/>
  <c r="E2598" i="1" s="1"/>
  <c r="J2598" i="1" l="1"/>
  <c r="G2598" i="1" s="1"/>
  <c r="F2598" i="1"/>
  <c r="H2598" i="1"/>
  <c r="I2598" i="1" s="1"/>
  <c r="E2599" i="1" s="1"/>
  <c r="H2599" i="1" l="1"/>
  <c r="F2599" i="1"/>
  <c r="J2599" i="1"/>
  <c r="G2599" i="1" s="1"/>
  <c r="I2599" i="1" l="1"/>
  <c r="E2600" i="1" s="1"/>
  <c r="H2600" i="1" l="1"/>
  <c r="J2600" i="1"/>
  <c r="G2600" i="1" s="1"/>
  <c r="F2600" i="1"/>
  <c r="I2600" i="1" l="1"/>
  <c r="E2601" i="1" s="1"/>
  <c r="J2601" i="1" l="1"/>
  <c r="G2601" i="1" s="1"/>
  <c r="F2601" i="1"/>
  <c r="H2601" i="1"/>
  <c r="I2601" i="1" s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s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l="1"/>
  <c r="E2607" i="1" s="1"/>
  <c r="H2607" i="1" l="1"/>
  <c r="J2607" i="1"/>
  <c r="G2607" i="1" s="1"/>
  <c r="F2607" i="1"/>
  <c r="I2607" i="1" l="1"/>
  <c r="E2608" i="1" s="1"/>
  <c r="H2608" i="1" l="1"/>
  <c r="J2608" i="1"/>
  <c r="G2608" i="1" s="1"/>
  <c r="F2608" i="1"/>
  <c r="I2608" i="1" l="1"/>
  <c r="E2609" i="1" s="1"/>
  <c r="J2609" i="1" l="1"/>
  <c r="G2609" i="1" s="1"/>
  <c r="H2609" i="1"/>
  <c r="I2609" i="1" s="1"/>
  <c r="E2610" i="1" s="1"/>
  <c r="H2610" i="1" s="1"/>
  <c r="F2609" i="1"/>
  <c r="F2610" i="1" l="1"/>
  <c r="J2610" i="1"/>
  <c r="G2610" i="1" s="1"/>
  <c r="I2610" i="1"/>
  <c r="E2611" i="1" s="1"/>
  <c r="J2611" i="1" l="1"/>
  <c r="G2611" i="1" s="1"/>
  <c r="F2611" i="1"/>
  <c r="H2611" i="1"/>
  <c r="I2611" i="1" l="1"/>
  <c r="E2612" i="1" s="1"/>
  <c r="J2612" i="1" l="1"/>
  <c r="G2612" i="1" s="1"/>
  <c r="F2612" i="1"/>
  <c r="H2612" i="1"/>
  <c r="I2612" i="1" l="1"/>
  <c r="E2613" i="1" s="1"/>
  <c r="H2613" i="1" l="1"/>
  <c r="J2613" i="1"/>
  <c r="G2613" i="1" s="1"/>
  <c r="F2613" i="1"/>
  <c r="I2613" i="1" l="1"/>
  <c r="E2614" i="1" s="1"/>
  <c r="J2614" i="1" l="1"/>
  <c r="G2614" i="1" s="1"/>
  <c r="H2614" i="1"/>
  <c r="F2614" i="1"/>
  <c r="I2614" i="1" l="1"/>
  <c r="E2615" i="1" s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H2620" i="1" l="1"/>
  <c r="F2620" i="1"/>
  <c r="J2620" i="1"/>
  <c r="G2620" i="1" s="1"/>
  <c r="I2620" i="1" l="1"/>
  <c r="E2621" i="1" s="1"/>
  <c r="J2621" i="1" l="1"/>
  <c r="G2621" i="1" s="1"/>
  <c r="H2621" i="1"/>
  <c r="F2621" i="1"/>
  <c r="I2621" i="1" l="1"/>
  <c r="E2622" i="1" s="1"/>
  <c r="J2622" i="1" l="1"/>
  <c r="G2622" i="1" s="1"/>
  <c r="F2622" i="1"/>
  <c r="H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J2625" i="1" l="1"/>
  <c r="G2625" i="1" s="1"/>
  <c r="H2625" i="1"/>
  <c r="F2625" i="1"/>
  <c r="I2625" i="1" l="1"/>
  <c r="E2626" i="1" s="1"/>
  <c r="J2626" i="1" l="1"/>
  <c r="G2626" i="1" s="1"/>
  <c r="H2626" i="1"/>
  <c r="F2626" i="1"/>
  <c r="I2626" i="1" l="1"/>
  <c r="E2627" i="1" s="1"/>
  <c r="H2627" i="1" l="1"/>
  <c r="J2627" i="1"/>
  <c r="G2627" i="1" s="1"/>
  <c r="F2627" i="1"/>
  <c r="I2627" i="1" l="1"/>
  <c r="E2628" i="1" s="1"/>
  <c r="H2628" i="1" l="1"/>
  <c r="F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F2633" i="1"/>
  <c r="I2633" i="1" l="1"/>
  <c r="E2634" i="1" s="1"/>
  <c r="H2634" i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F2637" i="1"/>
  <c r="I2637" i="1" l="1"/>
  <c r="E2638" i="1" s="1"/>
  <c r="J2638" i="1"/>
  <c r="G2638" i="1" s="1"/>
  <c r="F2638" i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J2643" i="1" l="1"/>
  <c r="G2643" i="1" s="1"/>
  <c r="H2643" i="1"/>
  <c r="F2643" i="1"/>
  <c r="I2643" i="1" l="1"/>
  <c r="E2644" i="1" s="1"/>
  <c r="J2644" i="1"/>
  <c r="G2644" i="1" s="1"/>
  <c r="H2644" i="1"/>
  <c r="I2644" i="1" s="1"/>
  <c r="E2645" i="1" s="1"/>
  <c r="F2644" i="1"/>
  <c r="H2645" i="1" l="1"/>
  <c r="J2645" i="1"/>
  <c r="G2645" i="1" s="1"/>
  <c r="F2645" i="1"/>
  <c r="I2645" i="1" l="1"/>
  <c r="E2646" i="1" s="1"/>
  <c r="H2646" i="1" l="1"/>
  <c r="F2646" i="1"/>
  <c r="J2646" i="1"/>
  <c r="G2646" i="1" s="1"/>
  <c r="I2646" i="1" l="1"/>
  <c r="E2647" i="1" s="1"/>
  <c r="H2647" i="1" l="1"/>
  <c r="F2647" i="1"/>
  <c r="J2647" i="1"/>
  <c r="G2647" i="1" s="1"/>
  <c r="I2647" i="1" l="1"/>
  <c r="E2648" i="1" s="1"/>
  <c r="H2648" i="1" l="1"/>
  <c r="F2648" i="1"/>
  <c r="J2648" i="1"/>
  <c r="G2648" i="1" s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J2651" i="1" l="1"/>
  <c r="G2651" i="1" s="1"/>
  <c r="H2651" i="1"/>
  <c r="F2651" i="1"/>
  <c r="I2651" i="1" l="1"/>
  <c r="E2652" i="1" s="1"/>
  <c r="J2652" i="1"/>
  <c r="G2652" i="1" s="1"/>
  <c r="H2652" i="1"/>
  <c r="I2652" i="1" s="1"/>
  <c r="E2653" i="1" s="1"/>
  <c r="F2652" i="1"/>
  <c r="F2653" i="1" l="1"/>
  <c r="H2653" i="1"/>
  <c r="J2653" i="1"/>
  <c r="G2653" i="1" s="1"/>
  <c r="I2653" i="1" l="1"/>
  <c r="E2654" i="1" s="1"/>
  <c r="H2654" i="1" l="1"/>
  <c r="F2654" i="1"/>
  <c r="J2654" i="1"/>
  <c r="G2654" i="1" s="1"/>
  <c r="I2654" i="1" l="1"/>
  <c r="E2655" i="1" s="1"/>
  <c r="H2655" i="1" l="1"/>
  <c r="F2655" i="1"/>
  <c r="J2655" i="1"/>
  <c r="G2655" i="1" s="1"/>
  <c r="I2655" i="1" l="1"/>
  <c r="E2656" i="1" s="1"/>
  <c r="H2656" i="1" l="1"/>
  <c r="F2656" i="1"/>
  <c r="J2656" i="1"/>
  <c r="G2656" i="1" s="1"/>
  <c r="I2656" i="1" l="1"/>
  <c r="E2657" i="1" s="1"/>
  <c r="H2657" i="1" l="1"/>
  <c r="F2657" i="1"/>
  <c r="J2657" i="1"/>
  <c r="G2657" i="1" s="1"/>
  <c r="I2657" i="1" l="1"/>
  <c r="E2658" i="1" s="1"/>
  <c r="H2658" i="1" l="1"/>
  <c r="F2658" i="1"/>
  <c r="J2658" i="1"/>
  <c r="G2658" i="1" s="1"/>
  <c r="I2658" i="1" l="1"/>
  <c r="E2659" i="1" s="1"/>
  <c r="J2659" i="1" l="1"/>
  <c r="G2659" i="1" s="1"/>
  <c r="H2659" i="1"/>
  <c r="F2659" i="1"/>
  <c r="I2659" i="1" l="1"/>
  <c r="E2660" i="1" s="1"/>
  <c r="J2660" i="1"/>
  <c r="G2660" i="1" s="1"/>
  <c r="F2660" i="1"/>
  <c r="H2660" i="1"/>
  <c r="I2660" i="1" s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l="1"/>
  <c r="E2664" i="1" s="1"/>
  <c r="H2664" i="1"/>
  <c r="J2664" i="1"/>
  <c r="G2664" i="1" s="1"/>
  <c r="F2664" i="1"/>
  <c r="I2664" i="1" l="1"/>
  <c r="E2665" i="1" s="1"/>
  <c r="H2665" i="1" l="1"/>
  <c r="F2665" i="1"/>
  <c r="J2665" i="1"/>
  <c r="G2665" i="1" s="1"/>
  <c r="I2665" i="1" l="1"/>
  <c r="E2666" i="1" s="1"/>
  <c r="H2666" i="1" l="1"/>
  <c r="F2666" i="1"/>
  <c r="J2666" i="1"/>
  <c r="G2666" i="1" s="1"/>
  <c r="I2666" i="1" l="1"/>
  <c r="E2667" i="1" s="1"/>
  <c r="J2667" i="1" l="1"/>
  <c r="G2667" i="1" s="1"/>
  <c r="H2667" i="1"/>
  <c r="F2667" i="1"/>
  <c r="I2667" i="1" l="1"/>
  <c r="E2668" i="1" s="1"/>
  <c r="J2668" i="1"/>
  <c r="G2668" i="1" s="1"/>
  <c r="F2668" i="1"/>
  <c r="H2668" i="1"/>
  <c r="I2668" i="1" l="1"/>
  <c r="E2669" i="1" s="1"/>
  <c r="H2669" i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J2675" i="1" l="1"/>
  <c r="G2675" i="1" s="1"/>
  <c r="H2675" i="1"/>
  <c r="F2675" i="1"/>
  <c r="I2675" i="1" l="1"/>
  <c r="E2676" i="1" s="1"/>
  <c r="J2676" i="1"/>
  <c r="G2676" i="1" s="1"/>
  <c r="H2676" i="1"/>
  <c r="F2676" i="1"/>
  <c r="I2676" i="1" l="1"/>
  <c r="E2677" i="1" s="1"/>
  <c r="H2677" i="1"/>
  <c r="J2677" i="1"/>
  <c r="G2677" i="1" s="1"/>
  <c r="F2677" i="1"/>
  <c r="I2677" i="1" l="1"/>
  <c r="E2678" i="1" s="1"/>
  <c r="H2678" i="1" l="1"/>
  <c r="F2678" i="1"/>
  <c r="J2678" i="1"/>
  <c r="G2678" i="1" s="1"/>
  <c r="I2678" i="1" l="1"/>
  <c r="E2679" i="1" s="1"/>
  <c r="H2679" i="1" l="1"/>
  <c r="F2679" i="1"/>
  <c r="J2679" i="1"/>
  <c r="G2679" i="1" s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H2682" i="1" l="1"/>
  <c r="F2682" i="1"/>
  <c r="J2682" i="1"/>
  <c r="G2682" i="1" s="1"/>
  <c r="I2682" i="1" l="1"/>
  <c r="E2683" i="1" s="1"/>
  <c r="J2683" i="1" l="1"/>
  <c r="G2683" i="1" s="1"/>
  <c r="F2683" i="1"/>
  <c r="H2683" i="1"/>
  <c r="I2683" i="1" s="1"/>
  <c r="E2684" i="1" s="1"/>
  <c r="J2684" i="1" l="1"/>
  <c r="G2684" i="1" s="1"/>
  <c r="F2684" i="1"/>
  <c r="H2684" i="1"/>
  <c r="I2684" i="1" s="1"/>
  <c r="E2685" i="1" s="1"/>
  <c r="H2685" i="1" l="1"/>
  <c r="F2685" i="1"/>
  <c r="J2685" i="1"/>
  <c r="G2685" i="1" s="1"/>
  <c r="I2685" i="1" l="1"/>
  <c r="E2686" i="1" s="1"/>
  <c r="J2686" i="1" l="1"/>
  <c r="G2686" i="1" s="1"/>
  <c r="F2686" i="1"/>
  <c r="H2686" i="1"/>
  <c r="I2686" i="1" s="1"/>
  <c r="E2687" i="1" s="1"/>
  <c r="H2687" i="1" l="1"/>
  <c r="J2687" i="1"/>
  <c r="G2687" i="1" s="1"/>
  <c r="F2687" i="1"/>
  <c r="I2687" i="1" l="1"/>
  <c r="E2688" i="1" s="1"/>
  <c r="J2688" i="1"/>
  <c r="G2688" i="1" s="1"/>
  <c r="H2688" i="1"/>
  <c r="F2688" i="1"/>
  <c r="I2688" i="1" l="1"/>
  <c r="E2689" i="1" s="1"/>
  <c r="J2689" i="1"/>
  <c r="G2689" i="1" s="1"/>
  <c r="H2689" i="1"/>
  <c r="F2689" i="1"/>
  <c r="I2689" i="1" l="1"/>
  <c r="E2690" i="1" s="1"/>
  <c r="F2690" i="1" l="1"/>
  <c r="H2690" i="1"/>
  <c r="J2690" i="1"/>
  <c r="G2690" i="1" s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H2693" i="1"/>
  <c r="J2693" i="1"/>
  <c r="G2693" i="1" s="1"/>
  <c r="I2693" i="1" l="1"/>
  <c r="E2694" i="1" s="1"/>
  <c r="H2694" i="1" l="1"/>
  <c r="F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F2697" i="1"/>
  <c r="J2697" i="1"/>
  <c r="G2697" i="1" s="1"/>
  <c r="I2697" i="1" l="1"/>
  <c r="E2698" i="1" s="1"/>
  <c r="J2698" i="1" l="1"/>
  <c r="G2698" i="1" s="1"/>
  <c r="H2698" i="1"/>
  <c r="F2698" i="1"/>
  <c r="I2698" i="1" l="1"/>
  <c r="E2699" i="1" s="1"/>
  <c r="H2699" i="1" l="1"/>
  <c r="F2699" i="1"/>
  <c r="J2699" i="1"/>
  <c r="G2699" i="1" s="1"/>
  <c r="I2699" i="1" l="1"/>
  <c r="E2700" i="1" s="1"/>
  <c r="H2700" i="1" l="1"/>
  <c r="J2700" i="1"/>
  <c r="G2700" i="1" s="1"/>
  <c r="F2700" i="1"/>
  <c r="I2700" i="1" l="1"/>
  <c r="E2701" i="1" s="1"/>
  <c r="J2701" i="1" l="1"/>
  <c r="G2701" i="1" s="1"/>
  <c r="F2701" i="1"/>
  <c r="H2701" i="1"/>
  <c r="I2701" i="1" l="1"/>
  <c r="E2702" i="1" s="1"/>
  <c r="J2702" i="1" l="1"/>
  <c r="G2702" i="1" s="1"/>
  <c r="F2702" i="1"/>
  <c r="H2702" i="1"/>
  <c r="I2702" i="1" l="1"/>
  <c r="E2703" i="1" s="1"/>
  <c r="H2703" i="1" l="1"/>
  <c r="F2703" i="1"/>
  <c r="J2703" i="1"/>
  <c r="G2703" i="1" s="1"/>
  <c r="I2703" i="1" l="1"/>
  <c r="E2704" i="1" s="1"/>
  <c r="J2704" i="1" l="1"/>
  <c r="G2704" i="1" s="1"/>
  <c r="F2704" i="1"/>
  <c r="H2704" i="1"/>
  <c r="I2704" i="1" l="1"/>
  <c r="E2705" i="1" s="1"/>
  <c r="J2705" i="1" l="1"/>
  <c r="G2705" i="1" s="1"/>
  <c r="H2705" i="1"/>
  <c r="F2705" i="1"/>
  <c r="I2705" i="1" l="1"/>
  <c r="E2706" i="1" s="1"/>
  <c r="J2706" i="1" l="1"/>
  <c r="G2706" i="1" s="1"/>
  <c r="F2706" i="1"/>
  <c r="H2706" i="1"/>
  <c r="I2706" i="1" l="1"/>
  <c r="E2707" i="1" s="1"/>
  <c r="J2707" i="1" l="1"/>
  <c r="G2707" i="1" s="1"/>
  <c r="F2707" i="1"/>
  <c r="H2707" i="1"/>
  <c r="I2707" i="1" l="1"/>
  <c r="E2708" i="1" s="1"/>
  <c r="J2708" i="1" l="1"/>
  <c r="G2708" i="1" s="1"/>
  <c r="F2708" i="1"/>
  <c r="H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J2712" i="1" l="1"/>
  <c r="G2712" i="1" s="1"/>
  <c r="H2712" i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H2715" i="1" l="1"/>
  <c r="F2715" i="1"/>
  <c r="J2715" i="1"/>
  <c r="G2715" i="1" s="1"/>
  <c r="I2715" i="1" l="1"/>
  <c r="E2716" i="1" s="1"/>
  <c r="J2716" i="1" l="1"/>
  <c r="G2716" i="1" s="1"/>
  <c r="F2716" i="1"/>
  <c r="H2716" i="1"/>
  <c r="I2716" i="1" l="1"/>
  <c r="E2717" i="1" s="1"/>
  <c r="H2717" i="1" l="1"/>
  <c r="J2717" i="1"/>
  <c r="G2717" i="1" s="1"/>
  <c r="F2717" i="1"/>
  <c r="I2717" i="1" l="1"/>
  <c r="E2718" i="1" s="1"/>
  <c r="H2718" i="1" l="1"/>
  <c r="J2718" i="1"/>
  <c r="G2718" i="1" s="1"/>
  <c r="F2718" i="1"/>
  <c r="I2718" i="1" l="1"/>
  <c r="E2719" i="1" s="1"/>
  <c r="J2719" i="1" l="1"/>
  <c r="G2719" i="1" s="1"/>
  <c r="H2719" i="1"/>
  <c r="F2719" i="1"/>
  <c r="I2719" i="1" l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s="1"/>
  <c r="E2755" i="1" s="1"/>
  <c r="H2755" i="1" l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s="1"/>
  <c r="E2764" i="1" s="1"/>
  <c r="J2764" i="1" l="1"/>
  <c r="G2764" i="1" s="1"/>
  <c r="F2764" i="1"/>
  <c r="H2764" i="1"/>
  <c r="I2764" i="1" s="1"/>
  <c r="E2765" i="1" s="1"/>
  <c r="H2765" i="1" l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s="1"/>
  <c r="E2796" i="1" s="1"/>
  <c r="H2796" i="1" l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s="1"/>
  <c r="E2864" i="1" s="1"/>
  <c r="J2864" i="1" l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J2880" i="1"/>
  <c r="G2880" i="1" s="1"/>
  <c r="F2880" i="1"/>
  <c r="I2880" i="1" l="1"/>
  <c r="E2881" i="1" s="1"/>
  <c r="H2881" i="1"/>
  <c r="F2881" i="1"/>
  <c r="J2881" i="1"/>
  <c r="G2881" i="1" s="1"/>
  <c r="I2881" i="1" l="1"/>
  <c r="E2882" i="1" s="1"/>
  <c r="J2882" i="1"/>
  <c r="G2882" i="1" s="1"/>
  <c r="H2882" i="1"/>
  <c r="F2882" i="1"/>
  <c r="I2882" i="1" l="1"/>
  <c r="E2883" i="1" s="1"/>
  <c r="H2883" i="1"/>
  <c r="J2883" i="1"/>
  <c r="G2883" i="1" s="1"/>
  <c r="F2883" i="1"/>
  <c r="I2883" i="1" l="1"/>
  <c r="E2884" i="1" s="1"/>
  <c r="J2884" i="1" l="1"/>
  <c r="G2884" i="1" s="1"/>
  <c r="H2884" i="1"/>
  <c r="F2884" i="1"/>
  <c r="I2884" i="1" l="1"/>
  <c r="E2885" i="1" s="1"/>
  <c r="H2885" i="1"/>
  <c r="F2885" i="1"/>
  <c r="J2885" i="1"/>
  <c r="G2885" i="1" s="1"/>
  <c r="I2885" i="1" l="1"/>
  <c r="E2886" i="1" s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F2888" i="1"/>
  <c r="I2888" i="1" l="1"/>
  <c r="E2889" i="1" s="1"/>
  <c r="J2889" i="1"/>
  <c r="G2889" i="1" s="1"/>
  <c r="H2889" i="1"/>
  <c r="I2889" i="1" s="1"/>
  <c r="E2890" i="1" s="1"/>
  <c r="F2889" i="1"/>
  <c r="J2890" i="1" l="1"/>
  <c r="G2890" i="1" s="1"/>
  <c r="F2890" i="1"/>
  <c r="H2890" i="1"/>
  <c r="I2890" i="1" l="1"/>
  <c r="E2891" i="1" s="1"/>
  <c r="J2891" i="1" l="1"/>
  <c r="G2891" i="1" s="1"/>
  <c r="H2891" i="1"/>
  <c r="F2891" i="1"/>
  <c r="I2891" i="1" l="1"/>
  <c r="E2892" i="1" s="1"/>
  <c r="H2892" i="1"/>
  <c r="J2892" i="1"/>
  <c r="G2892" i="1" s="1"/>
  <c r="F2892" i="1"/>
  <c r="I2892" i="1" l="1"/>
  <c r="E2893" i="1" s="1"/>
  <c r="J2893" i="1" l="1"/>
  <c r="G2893" i="1" s="1"/>
  <c r="H2893" i="1"/>
  <c r="F2893" i="1"/>
  <c r="I2893" i="1" l="1"/>
  <c r="E2894" i="1" s="1"/>
  <c r="J2894" i="1" s="1"/>
  <c r="G2894" i="1" s="1"/>
  <c r="F2894" i="1" l="1"/>
  <c r="H2894" i="1"/>
  <c r="I2894" i="1" s="1"/>
  <c r="E2895" i="1" s="1"/>
  <c r="H2895" i="1" s="1"/>
  <c r="F2895" i="1" l="1"/>
  <c r="J2895" i="1"/>
  <c r="G2895" i="1" s="1"/>
  <c r="I2895" i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J10" i="2" l="1"/>
  <c r="K10" i="2" s="1"/>
  <c r="H10" i="2"/>
  <c r="I10" i="2" s="1"/>
  <c r="I2897" i="1"/>
  <c r="E2898" i="1" s="1"/>
  <c r="H2898" i="1" l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D10" i="2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F2958" i="1"/>
  <c r="I2958" i="1" l="1"/>
  <c r="E2959" i="1" s="1"/>
  <c r="H2959" i="1"/>
  <c r="J2959" i="1"/>
  <c r="G2959" i="1" s="1"/>
  <c r="F2959" i="1"/>
  <c r="I2959" i="1" l="1"/>
  <c r="E2960" i="1" s="1"/>
  <c r="H2960" i="1" l="1"/>
  <c r="J2960" i="1"/>
  <c r="G2960" i="1" s="1"/>
  <c r="F2960" i="1"/>
  <c r="I2960" i="1" l="1"/>
  <c r="E2961" i="1" s="1"/>
  <c r="J2961" i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F2965" i="1"/>
  <c r="I2965" i="1" l="1"/>
  <c r="E2966" i="1" s="1"/>
  <c r="J2966" i="1"/>
  <c r="G2966" i="1" s="1"/>
  <c r="H2966" i="1"/>
  <c r="F2966" i="1"/>
  <c r="I2966" i="1" l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<sst xmlns="http://schemas.openxmlformats.org/spreadsheetml/2006/main" count="124" uniqueCount="102">
  <si>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</si>
  <si>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</si>
  <si>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</si>
  <si>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</si>
  <si>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</si>
  <si>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</si>
  <si>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</si>
  <si>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</si>
  <si>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</si>
  <si>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</si>
  <si>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</si>
  <si>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</si>
  <si>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</si>
  <si>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</si>
  <si>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</si>
  <si>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</si>
  <si>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</si>
  <si>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</si>
  <si>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</si>
  <si>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</si>
  <si>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</si>
  <si>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</si>
  <si>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</si>
  <si>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</si>
  <si>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</si>
  <si>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</si>
  <si>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</si>
  <si>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</si>
  <si>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</si>
  <si>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</si>
  <si>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</si>
  <si>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</si>
  <si>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</si>
  <si>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</si>
  <si>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</si>
  <si>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</si>
  <si>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</si>
  <si>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</si>
  <si>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</si>
  <si>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</si>
  <si>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</si>
  <si>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</si>
  <si>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</si>
  <si>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</si>
  <si>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</si>
  <si>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</si>
  <si>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</si>
  <si>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</si>
  <si>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</si>
  <si>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</si>
  <si>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</si>
  <si>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</si>
  <si>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</si>
  <si>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</si>
  <si>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</si>
  <si>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</si>
  <si>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</si>
  <si>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</si>
  <si>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</si>
  <si>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</si>
  <si>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</si>
  <si>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</si>
  <si>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</si>
  <si>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</si>
  <si>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</si>
  <si>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</si>
  <si>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</si>
  <si>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</si>
  <si>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</si>
  <si>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</si>
  <si>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</si>
  <si>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</si>
  <si>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</si>
  <si>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</si>
  <si>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</si>
  <si>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</si>
  <si>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</si>
  <si>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</si>
  <si>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</si>
  <si>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Déversement</t>
  </si>
  <si>
    <t>Mcr</t>
  </si>
  <si>
    <t>MRk</t>
  </si>
  <si>
    <t>LambdaLT</t>
  </si>
  <si>
    <t>MbRd</t>
  </si>
  <si>
    <t>PhiLT</t>
  </si>
  <si>
    <t>KhiLT</t>
  </si>
  <si>
    <t>AlphaLT</t>
  </si>
  <si>
    <t>h/b</t>
  </si>
  <si>
    <t>Classe de l'âme</t>
  </si>
  <si>
    <t>c/t</t>
  </si>
  <si>
    <t>Alpha</t>
  </si>
  <si>
    <t>Psi</t>
  </si>
  <si>
    <t>Normal</t>
  </si>
  <si>
    <t>Incendie</t>
  </si>
  <si>
    <t>Epsilon</t>
  </si>
  <si>
    <t>Limite classe 2</t>
  </si>
  <si>
    <t>Limite classe 3</t>
  </si>
  <si>
    <t>Classe</t>
  </si>
  <si>
    <t>72 Epsilon / Eta</t>
  </si>
  <si>
    <t>LambdaWfi(0)</t>
  </si>
  <si>
    <t>Eta</t>
  </si>
  <si>
    <t>kTau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</si>
</sst>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/>
    <xf numFmtId="0" fontId="0" fillId="11" borderId="8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/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" fontId="0" fillId="4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N2969"/>
  <sheetViews>
    <sheetView workbookViewId="0">
      <pane ySplit="16" topLeftCell="A2901" activePane="bottomLeft" state="frozen"/>
      <selection pane="bottomLeft" activeCell="F11" sqref="F11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49</v>
      </c>
    </row>
    <row r="3" spans="2:14" x14ac:dyDescent="0.25">
      <c r="M3" s="25">
        <v>4</v>
      </c>
      <c r="N3" s="31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" t="s">
        <v>35</v>
      </c>
      <c r="M6" s="26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" t="s">
        <v>36</v>
      </c>
      <c r="M7" s="26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" t="s">
        <v>37</v>
      </c>
      <c r="M8" s="28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" t="s">
        <v>41</v>
      </c>
      <c r="M9" s="26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7">
        <f>h-2*tf</f>
        <v>278.60000000000002</v>
      </c>
      <c r="J10" t="s">
        <v>31</v>
      </c>
      <c r="L10" s="2" t="s">
        <v>42</v>
      </c>
      <c r="M10" s="28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" t="s">
        <v>43</v>
      </c>
      <c r="M11" s="29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0.7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0.42892097705385462</v>
      </c>
      <c r="J18" s="3">
        <f t="shared" si="3"/>
        <v>0.7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20.428920977053856</v>
      </c>
      <c r="F19" s="24">
        <f t="shared" si="0"/>
        <v>3163.0767487395287</v>
      </c>
      <c r="G19" s="14">
        <f t="shared" si="1"/>
        <v>940.23360772675608</v>
      </c>
      <c r="H19" s="24">
        <f t="shared" ref="H19:H26" si="8">IF(E19&lt;600,425+0.773*E19-1.69/1000*E19^2+2.22/1000^2*E19^3,IF(E19&lt;735,666+13002/(738-E19),IF(E19&lt;900,545+17820/(E19-731),650)))</f>
        <v>440.10517726839191</v>
      </c>
      <c r="I19" s="12">
        <f t="shared" si="2"/>
        <v>0.74490817820590949</v>
      </c>
      <c r="J19" s="3">
        <f t="shared" si="3"/>
        <v>0.7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21.173829155259767</v>
      </c>
      <c r="F20" s="24">
        <f t="shared" si="0"/>
        <v>4085.8250930755944</v>
      </c>
      <c r="G20" s="14">
        <f t="shared" si="1"/>
        <v>1443.1749794583754</v>
      </c>
      <c r="H20" s="24">
        <f t="shared" si="8"/>
        <v>440.63076468197289</v>
      </c>
      <c r="I20" s="12">
        <f t="shared" si="2"/>
        <v>1.0025282814674492</v>
      </c>
      <c r="J20" s="3">
        <f t="shared" si="3"/>
        <v>0.7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22.176357436727216</v>
      </c>
      <c r="F21" s="24">
        <f t="shared" si="0"/>
        <v>4812.4321516144209</v>
      </c>
      <c r="G21" s="14">
        <f t="shared" si="1"/>
        <v>1943.600677230799</v>
      </c>
      <c r="H21" s="24">
        <f t="shared" si="8"/>
        <v>441.33540940415696</v>
      </c>
      <c r="I21" s="12">
        <f t="shared" si="2"/>
        <v>1.2230601929544436</v>
      </c>
      <c r="J21" s="3">
        <f t="shared" si="3"/>
        <v>0.7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23.399417629681658</v>
      </c>
      <c r="F22" s="24">
        <f t="shared" si="0"/>
        <v>5407.6051509473373</v>
      </c>
      <c r="G22" s="14">
        <f t="shared" si="1"/>
        <v>2436.1693943542004</v>
      </c>
      <c r="H22" s="24">
        <f t="shared" si="8"/>
        <v>442.19086201117807</v>
      </c>
      <c r="I22" s="12">
        <f t="shared" si="2"/>
        <v>1.4172295275777065</v>
      </c>
      <c r="J22" s="3">
        <f t="shared" si="3"/>
        <v>0.7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24.816647157259364</v>
      </c>
      <c r="F23" s="24">
        <f t="shared" si="0"/>
        <v>5908.200108466679</v>
      </c>
      <c r="G23" s="14">
        <f t="shared" si="1"/>
        <v>2918.6171193050423</v>
      </c>
      <c r="H23" s="24">
        <f t="shared" si="8"/>
        <v>443.17638463045444</v>
      </c>
      <c r="I23" s="12">
        <f t="shared" si="2"/>
        <v>1.591301152139986</v>
      </c>
      <c r="J23" s="3">
        <f t="shared" si="3"/>
        <v>0.7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26.407948309399352</v>
      </c>
      <c r="F24" s="24">
        <f t="shared" si="0"/>
        <v>6337.2524171955401</v>
      </c>
      <c r="G24" s="14">
        <f t="shared" si="1"/>
        <v>3390.0796234289469</v>
      </c>
      <c r="H24" s="24">
        <f t="shared" si="8"/>
        <v>444.27565662973728</v>
      </c>
      <c r="I24" s="12">
        <f t="shared" si="2"/>
        <v>1.7493071721929607</v>
      </c>
      <c r="J24" s="3">
        <f t="shared" si="3"/>
        <v>0.7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28.157255481592312</v>
      </c>
      <c r="F25" s="24">
        <f t="shared" si="0"/>
        <v>6710.1475992212527</v>
      </c>
      <c r="G25" s="14">
        <f t="shared" si="1"/>
        <v>3850.3695239797448</v>
      </c>
      <c r="H25" s="24">
        <f t="shared" si="8"/>
        <v>445.47523319621115</v>
      </c>
      <c r="I25" s="12">
        <f t="shared" si="2"/>
        <v>1.8940283475919666</v>
      </c>
      <c r="J25" s="3">
        <f t="shared" si="3"/>
        <v>0.7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30.051283829184278</v>
      </c>
      <c r="F26" s="24">
        <f t="shared" si="0"/>
        <v>7037.6884993933572</v>
      </c>
      <c r="G26" s="14">
        <f t="shared" si="1"/>
        <v>4299.6356758368465</v>
      </c>
      <c r="H26" s="24">
        <f t="shared" si="8"/>
        <v>446.76368569597935</v>
      </c>
      <c r="I26" s="12">
        <f t="shared" si="2"/>
        <v>2.0274845491002091</v>
      </c>
      <c r="J26" s="3">
        <f t="shared" si="3"/>
        <v>0.7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32.078768378284487</v>
      </c>
      <c r="F27" s="24">
        <f t="shared" si="0"/>
        <v>7327.7625542375372</v>
      </c>
      <c r="G27" s="14">
        <f t="shared" si="1"/>
        <v>4738.1923605491393</v>
      </c>
      <c r="H27" s="24">
        <f t="shared" ref="H27:H39" si="10">IF(E27&lt;600,425+0.773*E27-1.69/1000*E27^2+2.22/1000^2*E27^3,IF(E27&lt;735,666+13002/(738-E27),IF(E27&lt;900,545+17820/(E27-731),650)))</f>
        <v>448.13108135420151</v>
      </c>
      <c r="I27" s="12">
        <f t="shared" si="2"/>
        <v>2.1512034468179797</v>
      </c>
      <c r="J27" s="3">
        <f t="shared" si="3"/>
        <v>0.7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34.229971825102467</v>
      </c>
      <c r="F28" s="24">
        <f t="shared" si="0"/>
        <v>7586.3124572116731</v>
      </c>
      <c r="G28" s="14">
        <f t="shared" si="1"/>
        <v>5166.4298875710865</v>
      </c>
      <c r="H28" s="24">
        <f t="shared" si="10"/>
        <v>449.56864790619011</v>
      </c>
      <c r="I28" s="12">
        <f t="shared" si="2"/>
        <v>2.2663783983146422</v>
      </c>
      <c r="J28" s="3">
        <f t="shared" si="3"/>
        <v>0.7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36.49635022341711</v>
      </c>
      <c r="F29" s="24">
        <f t="shared" si="0"/>
        <v>7817.9328883287499</v>
      </c>
      <c r="G29" s="14">
        <f t="shared" si="1"/>
        <v>5584.766562697012</v>
      </c>
      <c r="H29" s="24">
        <f t="shared" si="10"/>
        <v>451.06854631018132</v>
      </c>
      <c r="I29" s="12">
        <f t="shared" si="2"/>
        <v>2.3739665112279908</v>
      </c>
      <c r="J29" s="3">
        <f t="shared" si="3"/>
        <v>0.7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38.870316734645101</v>
      </c>
      <c r="F30" s="24">
        <f t="shared" si="0"/>
        <v>8026.2539915552788</v>
      </c>
      <c r="G30" s="14">
        <f t="shared" si="1"/>
        <v>5993.6226266162939</v>
      </c>
      <c r="H30" s="24">
        <f t="shared" si="10"/>
        <v>452.62371013200146</v>
      </c>
      <c r="I30" s="12">
        <f t="shared" si="2"/>
        <v>2.4747523478348992</v>
      </c>
      <c r="J30" s="3">
        <f t="shared" si="3"/>
        <v>0.7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41.345069082480002</v>
      </c>
      <c r="F31" s="24">
        <f t="shared" si="0"/>
        <v>8214.1970603015143</v>
      </c>
      <c r="G31" s="14">
        <f t="shared" si="1"/>
        <v>6393.4062555812725</v>
      </c>
      <c r="H31" s="24">
        <f t="shared" si="10"/>
        <v>454.22772792680172</v>
      </c>
      <c r="I31" s="12">
        <f t="shared" si="2"/>
        <v>2.5693908803752801</v>
      </c>
      <c r="J31" s="3">
        <f t="shared" si="3"/>
        <v>0.7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43.914459962855283</v>
      </c>
      <c r="F32" s="24">
        <f t="shared" si="0"/>
        <v>8384.1504104183077</v>
      </c>
      <c r="G32" s="14">
        <f t="shared" si="1"/>
        <v>6784.5063427172745</v>
      </c>
      <c r="H32" s="24">
        <f t="shared" si="10"/>
        <v>455.87475438981926</v>
      </c>
      <c r="I32" s="12">
        <f t="shared" si="2"/>
        <v>2.6584373812646152</v>
      </c>
      <c r="J32" s="3">
        <f t="shared" si="3"/>
        <v>0.7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46.572897344119895</v>
      </c>
      <c r="F33" s="24">
        <f t="shared" si="0"/>
        <v>8538.0936269610393</v>
      </c>
      <c r="G33" s="14">
        <f t="shared" si="1"/>
        <v>7167.2891464806835</v>
      </c>
      <c r="H33" s="24">
        <f t="shared" si="10"/>
        <v>457.55944136919078</v>
      </c>
      <c r="I33" s="12">
        <f t="shared" si="2"/>
        <v>2.7423687914781194</v>
      </c>
      <c r="J33" s="3">
        <f t="shared" si="3"/>
        <v>0.7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49.315266135598016</v>
      </c>
      <c r="F34" s="24">
        <f t="shared" si="0"/>
        <v>8677.6873947307922</v>
      </c>
      <c r="G34" s="14">
        <f t="shared" si="1"/>
        <v>7542.0971545883003</v>
      </c>
      <c r="H34" s="24">
        <f t="shared" si="10"/>
        <v>459.27688297068875</v>
      </c>
      <c r="I34" s="12">
        <f t="shared" si="2"/>
        <v>2.8215993602975615</v>
      </c>
      <c r="J34" s="3">
        <f t="shared" si="3"/>
        <v>0.7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52.136865495895577</v>
      </c>
      <c r="F35" s="24">
        <f t="shared" si="0"/>
        <v>8804.3397762490767</v>
      </c>
      <c r="G35" s="14">
        <f t="shared" si="1"/>
        <v>7909.2492071103643</v>
      </c>
      <c r="H35" s="24">
        <f t="shared" si="10"/>
        <v>461.02257090587017</v>
      </c>
      <c r="I35" s="12">
        <f t="shared" si="2"/>
        <v>2.896492332185939</v>
      </c>
      <c r="J35" s="3">
        <f t="shared" si="3"/>
        <v>0.7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55.033357828081513</v>
      </c>
      <c r="F36" s="24">
        <f t="shared" si="0"/>
        <v>8919.2559965485907</v>
      </c>
      <c r="G36" s="14">
        <f t="shared" si="1"/>
        <v>8269.0413165296304</v>
      </c>
      <c r="H36" s="24">
        <f t="shared" si="10"/>
        <v>462.79235745149236</v>
      </c>
      <c r="I36" s="12">
        <f t="shared" si="2"/>
        <v>2.9673688430230967</v>
      </c>
      <c r="J36" s="3">
        <f t="shared" si="3"/>
        <v>0.7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58.000726671104609</v>
      </c>
      <c r="F37" s="24">
        <f t="shared" si="0"/>
        <v>9023.4764406392296</v>
      </c>
      <c r="G37" s="14">
        <f t="shared" si="1"/>
        <v>8621.7478511914651</v>
      </c>
      <c r="H37" s="24">
        <f t="shared" si="10"/>
        <v>464.58242417998588</v>
      </c>
      <c r="I37" s="12">
        <f t="shared" si="2"/>
        <v>3.0345148059774623</v>
      </c>
      <c r="J37" s="3">
        <f t="shared" si="3"/>
        <v>0.7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61.035241477082067</v>
      </c>
      <c r="F38" s="24">
        <f t="shared" si="0"/>
        <v>9117.906072428199</v>
      </c>
      <c r="G38" s="14">
        <f t="shared" si="1"/>
        <v>8967.6228837305334</v>
      </c>
      <c r="H38" s="24">
        <f t="shared" si="10"/>
        <v>466.38925514913211</v>
      </c>
      <c r="I38" s="12">
        <f t="shared" si="2"/>
        <v>3.0981863227462636</v>
      </c>
      <c r="J38" s="3">
        <f t="shared" si="3"/>
        <v>0.7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64.133427799828326</v>
      </c>
      <c r="F39" s="24">
        <f t="shared" si="0"/>
        <v>9203.3375077427645</v>
      </c>
      <c r="G39" s="14">
        <f t="shared" si="1"/>
        <v>9306.9015871659376</v>
      </c>
      <c r="H39" s="24">
        <f t="shared" si="10"/>
        <v>468.20961359917618</v>
      </c>
      <c r="I39" s="12">
        <f t="shared" si="2"/>
        <v>3.1586139954041621</v>
      </c>
      <c r="J39" s="3">
        <f t="shared" si="3"/>
        <v>0.7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67.292041795232493</v>
      </c>
      <c r="F40" s="24">
        <f t="shared" si="0"/>
        <v>9280.4693234080278</v>
      </c>
      <c r="G40" s="14">
        <f t="shared" si="1"/>
        <v>9639.8016105588049</v>
      </c>
      <c r="H40" s="24">
        <f t="shared" ref="H40:H41" si="12">IF(E40&lt;600,425+0.773*E40-1.69/1000*E40^2+2.22/1000^2*E40^3,IF(E40&lt;735,666+13002/(738-E40),IF(E40&lt;900,545+17820/(E40-731),650)))</f>
        <v>470.04052145566402</v>
      </c>
      <c r="I40" s="12">
        <f t="shared" si="2"/>
        <v>3.2160064064199516</v>
      </c>
      <c r="J40" s="3">
        <f t="shared" si="3"/>
        <v>0.7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70.508048201652443</v>
      </c>
      <c r="F41" s="24">
        <f t="shared" si="0"/>
        <v>9349.9207418462993</v>
      </c>
      <c r="G41" s="14">
        <f t="shared" si="1"/>
        <v>9966.5243961734086</v>
      </c>
      <c r="H41" s="24">
        <f t="shared" si="12"/>
        <v>471.87924111283718</v>
      </c>
      <c r="I41" s="12">
        <f t="shared" si="2"/>
        <v>3.2705529607133208</v>
      </c>
      <c r="J41" s="3">
        <f t="shared" si="3"/>
        <v>0.7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73.77860116236576</v>
      </c>
      <c r="F42" s="24">
        <f t="shared" si="0"/>
        <v>9412.2435242905722</v>
      </c>
      <c r="G42" s="14">
        <f t="shared" si="1"/>
        <v>10287.256418464405</v>
      </c>
      <c r="H42" s="24">
        <f t="shared" ref="H42:H105" si="14">IF(E42&lt;600,425+0.773*E42-1.69/1000*E42^2+2.22/1000^2*E42^3,IF(E42&lt;735,666+13002/(738-E42),IF(E42&lt;900,545+17820/(E42-731),650)))</f>
        <v>473.72325909892828</v>
      </c>
      <c r="I42" s="12">
        <f t="shared" si="2"/>
        <v>3.3224262322933815</v>
      </c>
      <c r="J42" s="3">
        <f t="shared" si="3"/>
        <v>0.7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77.101027394659141</v>
      </c>
      <c r="F43" s="24">
        <f t="shared" si="0"/>
        <v>9467.9316900642862</v>
      </c>
      <c r="G43" s="14">
        <f t="shared" si="1"/>
        <v>10602.170336408821</v>
      </c>
      <c r="H43" s="24">
        <f t="shared" si="14"/>
        <v>475.57027131657514</v>
      </c>
      <c r="I43" s="12">
        <f t="shared" si="2"/>
        <v>3.3717839216848726</v>
      </c>
      <c r="J43" s="3">
        <f t="shared" si="3"/>
        <v>0.7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80.472811316344007</v>
      </c>
      <c r="F44" s="24">
        <f t="shared" si="0"/>
        <v>9517.4295253095497</v>
      </c>
      <c r="G44" s="14">
        <f t="shared" si="1"/>
        <v>10911.426057435969</v>
      </c>
      <c r="H44" s="24">
        <f t="shared" si="14"/>
        <v>477.41816961910433</v>
      </c>
      <c r="I44" s="12">
        <f t="shared" si="2"/>
        <v>3.4187705042486787</v>
      </c>
      <c r="J44" s="3">
        <f t="shared" si="3"/>
        <v>0.7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83.891581820592691</v>
      </c>
      <c r="F45" s="24">
        <f t="shared" si="0"/>
        <v>9561.1382329415865</v>
      </c>
      <c r="G45" s="14">
        <f t="shared" si="1"/>
        <v>11215.171715156621</v>
      </c>
      <c r="H45" s="24">
        <f t="shared" si="14"/>
        <v>479.26502953364877</v>
      </c>
      <c r="I45" s="12">
        <f t="shared" si="2"/>
        <v>3.4635186305049128</v>
      </c>
      <c r="J45" s="3">
        <f t="shared" si="3"/>
        <v>0.7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87.355100451097599</v>
      </c>
      <c r="F46" s="24">
        <f t="shared" si="0"/>
        <v>9599.4214937333345</v>
      </c>
      <c r="G46" s="14">
        <f t="shared" si="1"/>
        <v>11513.544565299428</v>
      </c>
      <c r="H46" s="24">
        <f t="shared" si="14"/>
        <v>481.10909897978439</v>
      </c>
      <c r="I46" s="12">
        <f t="shared" si="2"/>
        <v>3.5061503255679076</v>
      </c>
      <c r="J46" s="3">
        <f t="shared" si="3"/>
        <v>0.7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90.8612507766655</v>
      </c>
      <c r="F47" s="24">
        <f t="shared" si="0"/>
        <v>9632.6101476634158</v>
      </c>
      <c r="G47" s="14">
        <f t="shared" si="1"/>
        <v>11806.671805383508</v>
      </c>
      <c r="H47" s="24">
        <f t="shared" si="14"/>
        <v>482.94878786100003</v>
      </c>
      <c r="I47" s="12">
        <f t="shared" si="2"/>
        <v>3.5467780243705214</v>
      </c>
      <c r="J47" s="3">
        <f t="shared" si="3"/>
        <v>0.7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94.408028801036025</v>
      </c>
      <c r="F48" s="24">
        <f t="shared" si="0"/>
        <v>9661.0061590616388</v>
      </c>
      <c r="G48" s="14">
        <f t="shared" si="1"/>
        <v>12094.671324106323</v>
      </c>
      <c r="H48" s="24">
        <f t="shared" si="14"/>
        <v>484.78265842825738</v>
      </c>
      <c r="I48" s="12">
        <f t="shared" si="2"/>
        <v>3.5855054715002406</v>
      </c>
      <c r="J48" s="3">
        <f t="shared" si="3"/>
        <v>0.7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97.993534272536266</v>
      </c>
      <c r="F49" s="24">
        <f t="shared" si="0"/>
        <v>9684.8859945241311</v>
      </c>
      <c r="G49" s="14">
        <f t="shared" si="1"/>
        <v>12377.652386469197</v>
      </c>
      <c r="H49" s="24">
        <f t="shared" si="14"/>
        <v>486.6094163318711</v>
      </c>
      <c r="I49" s="12">
        <f t="shared" si="2"/>
        <v>3.6224285084974435</v>
      </c>
      <c r="J49" s="3">
        <f t="shared" si="3"/>
        <v>0.7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101.61596278103372</v>
      </c>
      <c r="F50" s="24">
        <f t="shared" si="0"/>
        <v>9704.5035161258947</v>
      </c>
      <c r="G50" s="14">
        <f t="shared" si="1"/>
        <v>12655.716260466499</v>
      </c>
      <c r="H50" s="24">
        <f t="shared" si="14"/>
        <v>488.42790229120311</v>
      </c>
      <c r="I50" s="12">
        <f t="shared" si="2"/>
        <v>3.6576357668843205</v>
      </c>
      <c r="J50" s="3">
        <f t="shared" si="3"/>
        <v>0.7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105.27359854791804</v>
      </c>
      <c r="F51" s="24">
        <f t="shared" si="0"/>
        <v>9720.0924720469848</v>
      </c>
      <c r="G51" s="14">
        <f t="shared" si="1"/>
        <v>12928.956790835362</v>
      </c>
      <c r="H51" s="24">
        <f t="shared" si="14"/>
        <v>490.23708432212692</v>
      </c>
      <c r="I51" s="12">
        <f t="shared" si="2"/>
        <v>3.6912092816477196</v>
      </c>
      <c r="J51" s="3">
        <f t="shared" si="3"/>
        <v>0.7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108.96480782956576</v>
      </c>
      <c r="F52" s="24">
        <f t="shared" si="0"/>
        <v>9731.8686508426981</v>
      </c>
      <c r="G52" s="14">
        <f t="shared" si="1"/>
        <v>13197.460924968425</v>
      </c>
      <c r="H52" s="24">
        <f t="shared" si="14"/>
        <v>492.03605047055305</v>
      </c>
      <c r="I52" s="12">
        <f t="shared" si="2"/>
        <v>3.7232250371339197</v>
      </c>
      <c r="J52" s="3">
        <f t="shared" si="3"/>
        <v>0.7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112.68803286669967</v>
      </c>
      <c r="F53" s="24">
        <f t="shared" si="0"/>
        <v>9740.0317531288329</v>
      </c>
      <c r="G53" s="14">
        <f t="shared" si="1"/>
        <v>13461.309195673104</v>
      </c>
      <c r="H53" s="24">
        <f t="shared" si="14"/>
        <v>493.82400200701517</v>
      </c>
      <c r="I53" s="12">
        <f t="shared" si="2"/>
        <v>3.7537534551398406</v>
      </c>
      <c r="J53" s="3">
        <f t="shared" si="3"/>
        <v>0.7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116.44178632183952</v>
      </c>
      <c r="F54" s="24">
        <f t="shared" si="0"/>
        <v>9744.7670246095786</v>
      </c>
      <c r="G54" s="14">
        <f t="shared" si="1"/>
        <v>13720.576165043767</v>
      </c>
      <c r="H54" s="24">
        <f t="shared" si="14"/>
        <v>495.60024704277561</v>
      </c>
      <c r="I54" s="12">
        <f t="shared" si="2"/>
        <v>3.7828598332642467</v>
      </c>
      <c r="J54" s="3">
        <f t="shared" si="3"/>
        <v>0.7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120.22464615510376</v>
      </c>
      <c r="F55" s="24">
        <f t="shared" si="0"/>
        <v>9746.2466865453753</v>
      </c>
      <c r="G55" s="14">
        <f t="shared" si="1"/>
        <v>13975.330833313492</v>
      </c>
      <c r="H55" s="24">
        <f t="shared" si="14"/>
        <v>497.36419453239296</v>
      </c>
      <c r="I55" s="12">
        <f t="shared" si="2"/>
        <v>3.8106047402106173</v>
      </c>
      <c r="J55" s="3">
        <f t="shared" si="3"/>
        <v>0.7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124.03525089531438</v>
      </c>
      <c r="F56" s="24">
        <f t="shared" si="0"/>
        <v>9744.6311934884034</v>
      </c>
      <c r="G56" s="14">
        <f t="shared" si="1"/>
        <v>14225.637016175111</v>
      </c>
      <c r="H56" s="24">
        <f t="shared" si="14"/>
        <v>499.11534863142765</v>
      </c>
      <c r="I56" s="12">
        <f t="shared" si="2"/>
        <v>3.8370443736316151</v>
      </c>
      <c r="J56" s="3">
        <f t="shared" si="3"/>
        <v>0.7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127.87229526894599</v>
      </c>
      <c r="F57" s="24">
        <f t="shared" si="0"/>
        <v>9740.0703430628964</v>
      </c>
      <c r="G57" s="14">
        <f t="shared" si="1"/>
        <v>14471.553693715317</v>
      </c>
      <c r="H57" s="24">
        <f t="shared" si="14"/>
        <v>500.85330338109287</v>
      </c>
      <c r="I57" s="12">
        <f t="shared" si="2"/>
        <v>3.8622308852153515</v>
      </c>
      <c r="J57" s="3">
        <f t="shared" si="3"/>
        <v>0.7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131.73452615416133</v>
      </c>
      <c r="F58" s="24">
        <f t="shared" si="0"/>
        <v>9732.7042584746487</v>
      </c>
      <c r="G58" s="14">
        <f t="shared" si="1"/>
        <v>14713.135333787115</v>
      </c>
      <c r="H58" s="24">
        <f t="shared" si="14"/>
        <v>502.57773769432691</v>
      </c>
      <c r="I58" s="12">
        <f t="shared" si="2"/>
        <v>3.8862126769895267</v>
      </c>
      <c r="J58" s="3">
        <f t="shared" si="3"/>
        <v>0.7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135.62073883115085</v>
      </c>
      <c r="F59" s="24">
        <f t="shared" si="0"/>
        <v>9722.6642610997242</v>
      </c>
      <c r="G59" s="14">
        <f t="shared" si="1"/>
        <v>14950.432192358559</v>
      </c>
      <c r="H59" s="24">
        <f t="shared" si="14"/>
        <v>504.28841062004892</v>
      </c>
      <c r="I59" s="12">
        <f t="shared" si="2"/>
        <v>3.9090346722274005</v>
      </c>
      <c r="J59" s="3">
        <f t="shared" si="3"/>
        <v>0.7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139.52977350337824</v>
      </c>
      <c r="F60" s="24">
        <f t="shared" si="0"/>
        <v>9710.0736477708269</v>
      </c>
      <c r="G60" s="14">
        <f t="shared" si="1"/>
        <v>15183.490593115037</v>
      </c>
      <c r="H60" s="24">
        <f t="shared" si="14"/>
        <v>505.98515686435235</v>
      </c>
      <c r="I60" s="12">
        <f t="shared" si="2"/>
        <v>3.9307385638515986</v>
      </c>
      <c r="J60" s="3">
        <f t="shared" si="3"/>
        <v>0.7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143.46051206722984</v>
      </c>
      <c r="F61" s="24">
        <f t="shared" si="0"/>
        <v>9695.0483851315967</v>
      </c>
      <c r="G61" s="14">
        <f t="shared" si="1"/>
        <v>15412.353188358462</v>
      </c>
      <c r="H61" s="24">
        <f t="shared" si="14"/>
        <v>507.66788254913268</v>
      </c>
      <c r="I61" s="12">
        <f t="shared" si="2"/>
        <v>3.9513630428278366</v>
      </c>
      <c r="J61" s="3">
        <f t="shared" si="3"/>
        <v>0.7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147.41187511005768</v>
      </c>
      <c r="F62" s="24">
        <f t="shared" si="0"/>
        <v>9677.6977315691583</v>
      </c>
      <c r="G62" s="14">
        <f t="shared" si="1"/>
        <v>15637.059203036053</v>
      </c>
      <c r="H62" s="24">
        <f t="shared" si="14"/>
        <v>509.33656119019764</v>
      </c>
      <c r="I62" s="12">
        <f t="shared" si="2"/>
        <v>3.9709440087037313</v>
      </c>
      <c r="J62" s="3">
        <f t="shared" si="3"/>
        <v>0.7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151.3828191187614</v>
      </c>
      <c r="F63" s="24">
        <f t="shared" si="0"/>
        <v>9658.124795690188</v>
      </c>
      <c r="G63" s="14">
        <f t="shared" si="1"/>
        <v>15857.644663542911</v>
      </c>
      <c r="H63" s="24">
        <f t="shared" si="14"/>
        <v>510.99122987828338</v>
      </c>
      <c r="I63" s="12">
        <f t="shared" si="2"/>
        <v>3.9895147641657625</v>
      </c>
      <c r="J63" s="3">
        <f t="shared" si="3"/>
        <v>0.7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155.37233388292717</v>
      </c>
      <c r="F64" s="24">
        <f t="shared" si="0"/>
        <v>9636.4270390160927</v>
      </c>
      <c r="G64" s="14">
        <f t="shared" si="1"/>
        <v>16074.142612773281</v>
      </c>
      <c r="H64" s="24">
        <f t="shared" si="14"/>
        <v>512.63198564765821</v>
      </c>
      <c r="I64" s="12">
        <f t="shared" si="2"/>
        <v>4.007106195249265</v>
      </c>
      <c r="J64" s="3">
        <f t="shared" si="3"/>
        <v>0.7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159.37944007817643</v>
      </c>
      <c r="F65" s="24">
        <f t="shared" si="0"/>
        <v>9612.696729492367</v>
      </c>
      <c r="G65" s="14">
        <f t="shared" si="1"/>
        <v>16286.583312743604</v>
      </c>
      <c r="H65" s="24">
        <f t="shared" si="14"/>
        <v>514.25898201811981</v>
      </c>
      <c r="I65" s="12">
        <f t="shared" si="2"/>
        <v>4.0237469386346376</v>
      </c>
      <c r="J65" s="3">
        <f t="shared" si="3"/>
        <v>0.7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163.40318701681107</v>
      </c>
      <c r="F66" s="24">
        <f t="shared" si="0"/>
        <v>9587.0213514979241</v>
      </c>
      <c r="G66" s="14">
        <f t="shared" si="1"/>
        <v>16494.994435974284</v>
      </c>
      <c r="H66" s="24">
        <f t="shared" si="14"/>
        <v>515.87242569723844</v>
      </c>
      <c r="I66" s="12">
        <f t="shared" si="2"/>
        <v>4.0394635372907155</v>
      </c>
      <c r="J66" s="3">
        <f t="shared" si="3"/>
        <v>0.7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167.44265055410179</v>
      </c>
      <c r="F67" s="24">
        <f t="shared" si="0"/>
        <v>9559.4839772724754</v>
      </c>
      <c r="G67" s="14">
        <f t="shared" si="1"/>
        <v>16699.401246695044</v>
      </c>
      <c r="H67" s="24">
        <f t="shared" si="14"/>
        <v>517.47257343064746</v>
      </c>
      <c r="I67" s="12">
        <f t="shared" si="2"/>
        <v>4.0542805855788</v>
      </c>
      <c r="J67" s="3">
        <f t="shared" si="3"/>
        <v>0.7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171.49693113968058</v>
      </c>
      <c r="F68" s="24">
        <f t="shared" si="0"/>
        <v>9530.1636040291123</v>
      </c>
      <c r="G68" s="14">
        <f t="shared" si="1"/>
        <v>16899.826772828364</v>
      </c>
      <c r="H68" s="24">
        <f t="shared" si="14"/>
        <v>519.05972898907623</v>
      </c>
      <c r="I68" s="12">
        <f t="shared" si="2"/>
        <v>4.0682208648034042</v>
      </c>
      <c r="J68" s="3">
        <f t="shared" si="3"/>
        <v>0.7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175.56515200448399</v>
      </c>
      <c r="F69" s="24">
        <f t="shared" si="0"/>
        <v>9499.1354604657408</v>
      </c>
      <c r="G69" s="14">
        <f t="shared" si="1"/>
        <v>17096.29196960698</v>
      </c>
      <c r="H69" s="24">
        <f t="shared" si="14"/>
        <v>520.63424028164025</v>
      </c>
      <c r="I69" s="12">
        <f t="shared" si="2"/>
        <v>4.081305470085649</v>
      </c>
      <c r="J69" s="3">
        <f t="shared" si="3"/>
        <v>0.7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179.64645747456964</v>
      </c>
      <c r="F70" s="24">
        <f t="shared" si="0"/>
        <v>9466.4712859165484</v>
      </c>
      <c r="G70" s="14">
        <f t="shared" si="1"/>
        <v>17288.815875591914</v>
      </c>
      <c r="H70" s="24">
        <f t="shared" si="14"/>
        <v>522.19649658567835</v>
      </c>
      <c r="I70" s="12">
        <f t="shared" si="2"/>
        <v>4.0935539293390324</v>
      </c>
      <c r="J70" s="3">
        <f t="shared" si="3"/>
        <v>0.7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183.74001140390868</v>
      </c>
      <c r="F71" s="24">
        <f t="shared" si="0"/>
        <v>9432.2395849801142</v>
      </c>
      <c r="G71" s="14">
        <f t="shared" si="1"/>
        <v>17477.415761776556</v>
      </c>
      <c r="H71" s="24">
        <f t="shared" si="14"/>
        <v>523.74692588415201</v>
      </c>
      <c r="I71" s="12">
        <f t="shared" si="2"/>
        <v>4.1049843150430734</v>
      </c>
      <c r="J71" s="3">
        <f t="shared" si="3"/>
        <v>0.7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187.84499571895176</v>
      </c>
      <c r="F72" s="24">
        <f t="shared" si="0"/>
        <v>9396.5058601136116</v>
      </c>
      <c r="G72" s="14">
        <f t="shared" si="1"/>
        <v>17662.107274389946</v>
      </c>
      <c r="H72" s="24">
        <f t="shared" si="14"/>
        <v>525.28599230230168</v>
      </c>
      <c r="I72" s="12">
        <f t="shared" si="2"/>
        <v>4.1156133494364244</v>
      </c>
      <c r="J72" s="3">
        <f t="shared" si="3"/>
        <v>0.7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191.96060906838818</v>
      </c>
      <c r="F73" s="24">
        <f t="shared" si="0"/>
        <v>9359.3328243831074</v>
      </c>
      <c r="G73" s="14">
        <f t="shared" si="1"/>
        <v>17842.904571945321</v>
      </c>
      <c r="H73" s="24">
        <f t="shared" si="14"/>
        <v>526.81419363590885</v>
      </c>
      <c r="I73" s="12">
        <f t="shared" si="2"/>
        <v>4.125456503685343</v>
      </c>
      <c r="J73" s="3">
        <f t="shared" si="3"/>
        <v>0.7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196.08606557207352</v>
      </c>
      <c r="F74" s="24">
        <f t="shared" si="0"/>
        <v>9320.7805963017163</v>
      </c>
      <c r="G74" s="14">
        <f t="shared" si="1"/>
        <v>18019.820457020378</v>
      </c>
      <c r="H74" s="24">
        <f t="shared" si="14"/>
        <v>528.33205896411528</v>
      </c>
      <c r="I74" s="12">
        <f t="shared" si="2"/>
        <v>4.134528091525377</v>
      </c>
      <c r="J74" s="3">
        <f t="shared" si="3"/>
        <v>0.7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200.22059366359889</v>
      </c>
      <c r="F75" s="24">
        <f t="shared" si="0"/>
        <v>9280.9068784635165</v>
      </c>
      <c r="G75" s="14">
        <f t="shared" si="1"/>
        <v>18192.866503200628</v>
      </c>
      <c r="H75" s="24">
        <f t="shared" si="14"/>
        <v>529.84014634034224</v>
      </c>
      <c r="I75" s="12">
        <f t="shared" si="2"/>
        <v>4.1428413578221681</v>
      </c>
      <c r="J75" s="3">
        <f t="shared" si="3"/>
        <v>0.7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204.36343502142105</v>
      </c>
      <c r="F76" s="24">
        <f t="shared" si="0"/>
        <v>9239.7671214867642</v>
      </c>
      <c r="G76" s="14">
        <f t="shared" si="1"/>
        <v>18362.053177566722</v>
      </c>
      <c r="H76" s="24">
        <f t="shared" si="14"/>
        <v>531.33904055539813</v>
      </c>
      <c r="I76" s="12">
        <f t="shared" si="2"/>
        <v>4.1504085624507434</v>
      </c>
      <c r="J76" s="3">
        <f t="shared" si="3"/>
        <v>0.7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208.51384358387179</v>
      </c>
      <c r="F77" s="24">
        <f t="shared" si="0"/>
        <v>9197.4146746109218</v>
      </c>
      <c r="G77" s="14">
        <f t="shared" si="1"/>
        <v>18527.389959061689</v>
      </c>
      <c r="H77" s="24">
        <f t="shared" si="14"/>
        <v>532.82935096739857</v>
      </c>
      <c r="I77" s="12">
        <f t="shared" si="2"/>
        <v>4.1572410598509997</v>
      </c>
      <c r="J77" s="3">
        <f t="shared" si="3"/>
        <v>0.7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212.67108464372279</v>
      </c>
      <c r="F78" s="24">
        <f t="shared" si="0"/>
        <v>9153.9009241443273</v>
      </c>
      <c r="G78" s="14">
        <f t="shared" si="1"/>
        <v>18688.885453031056</v>
      </c>
      <c r="H78" s="24">
        <f t="shared" si="14"/>
        <v>534.31170939362164</v>
      </c>
      <c r="I78" s="12">
        <f t="shared" si="2"/>
        <v>4.1633493745792336</v>
      </c>
      <c r="J78" s="3">
        <f t="shared" si="3"/>
        <v>0.7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216.83443401830203</v>
      </c>
      <c r="F79" s="24">
        <f t="shared" si="0"/>
        <v>9109.2754208304868</v>
      </c>
      <c r="G79" s="14">
        <f t="shared" si="1"/>
        <v>18846.547502191155</v>
      </c>
      <c r="H79" s="24">
        <f t="shared" si="14"/>
        <v>535.7867680599046</v>
      </c>
      <c r="I79" s="12">
        <f t="shared" si="2"/>
        <v>4.1687432731416285</v>
      </c>
      <c r="J79" s="3">
        <f t="shared" si="3"/>
        <v>0.7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221.00317729144365</v>
      </c>
      <c r="F80" s="24">
        <f t="shared" si="0"/>
        <v>9063.585997087841</v>
      </c>
      <c r="G80" s="14">
        <f t="shared" si="1"/>
        <v>19000.383294244912</v>
      </c>
      <c r="H80" s="24">
        <f t="shared" si="14"/>
        <v>537.25519760365</v>
      </c>
      <c r="I80" s="12">
        <f t="shared" si="2"/>
        <v>4.1734318323645248</v>
      </c>
      <c r="J80" s="3">
        <f t="shared" si="3"/>
        <v>0.7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225.17660912380816</v>
      </c>
      <c r="F81" s="24">
        <f t="shared" ref="F81:F144" si="15">AlphaC*(D81-E81)</f>
        <v>9016.8788749786727</v>
      </c>
      <c r="G81" s="14">
        <f t="shared" ref="G81:G144" si="16">Phi*EpsilonF*Botzman/10^8*J81*((D81+273)^4-(E81+273)^4)</f>
        <v>19150.399466332256</v>
      </c>
      <c r="H81" s="24">
        <f t="shared" si="14"/>
        <v>538.7176851269478</v>
      </c>
      <c r="I81" s="12">
        <f t="shared" ref="I81:I144" si="17">ksh*Massivete/(H81*RhoA)*DeltaT*(F81+G81)</f>
        <v>4.1774235045282575</v>
      </c>
      <c r="J81" s="3">
        <f t="shared" ref="J81:J144" si="18">IF(E81&lt;=500,IF(Galva=Oui,0.35,0.7),0.7)</f>
        <v>0.7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229.35403262833643</v>
      </c>
      <c r="F82" s="24">
        <f t="shared" si="15"/>
        <v>8969.1987656756137</v>
      </c>
      <c r="G82" s="14">
        <f t="shared" si="16"/>
        <v>19296.602206472369</v>
      </c>
      <c r="H82" s="24">
        <f t="shared" si="14"/>
        <v>540.17493229674221</v>
      </c>
      <c r="I82" s="12">
        <f t="shared" si="17"/>
        <v>4.1807261794657542</v>
      </c>
      <c r="J82" s="3">
        <f t="shared" si="18"/>
        <v>0.7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233.53475880780218</v>
      </c>
      <c r="F83" s="24">
        <f t="shared" si="15"/>
        <v>8920.5889611172843</v>
      </c>
      <c r="G83" s="14">
        <f t="shared" si="16"/>
        <v>19438.997352127037</v>
      </c>
      <c r="H83" s="24">
        <f t="shared" si="14"/>
        <v>541.62765348937376</v>
      </c>
      <c r="I83" s="12">
        <f t="shared" si="17"/>
        <v>4.1833472438035999</v>
      </c>
      <c r="J83" s="3">
        <f t="shared" si="18"/>
        <v>0.7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237.71810605160579</v>
      </c>
      <c r="F84" s="24">
        <f t="shared" si="15"/>
        <v>8871.0914184767717</v>
      </c>
      <c r="G84" s="14">
        <f t="shared" si="16"/>
        <v>19577.590485989556</v>
      </c>
      <c r="H84" s="24">
        <f t="shared" si="14"/>
        <v>543.0765739772113</v>
      </c>
      <c r="I84" s="12">
        <f t="shared" si="17"/>
        <v>4.1852936375021361</v>
      </c>
      <c r="J84" s="3">
        <f t="shared" si="18"/>
        <v>0.7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241.90339968910791</v>
      </c>
      <c r="F85" s="24">
        <f t="shared" si="15"/>
        <v>8820.7468380067803</v>
      </c>
      <c r="G85" s="14">
        <f t="shared" si="16"/>
        <v>19712.387029080164</v>
      </c>
      <c r="H85" s="24">
        <f t="shared" si="14"/>
        <v>544.52242815545424</v>
      </c>
      <c r="I85" s="12">
        <f t="shared" si="17"/>
        <v>4.1865719078316275</v>
      </c>
      <c r="J85" s="3">
        <f t="shared" si="18"/>
        <v>0.7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246.08997159693953</v>
      </c>
      <c r="F86" s="24">
        <f t="shared" si="15"/>
        <v>8769.5947347720739</v>
      </c>
      <c r="G86" s="14">
        <f t="shared" si="16"/>
        <v>19843.392331207317</v>
      </c>
      <c r="H86" s="24">
        <f t="shared" si="14"/>
        <v>545.96595780753591</v>
      </c>
      <c r="I86" s="12">
        <f t="shared" si="17"/>
        <v>4.1871882609037936</v>
      </c>
      <c r="J86" s="3">
        <f t="shared" si="18"/>
        <v>0.7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250.27715985784332</v>
      </c>
      <c r="F87" s="24">
        <f t="shared" si="15"/>
        <v>8717.6735047329821</v>
      </c>
      <c r="G87" s="14">
        <f t="shared" si="16"/>
        <v>19970.61175883529</v>
      </c>
      <c r="H87" s="24">
        <f t="shared" si="14"/>
        <v>547.40791040788838</v>
      </c>
      <c r="I87" s="12">
        <f t="shared" si="17"/>
        <v>4.1871486108619651</v>
      </c>
      <c r="J87" s="3">
        <f t="shared" si="18"/>
        <v>0.7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254.46430846870527</v>
      </c>
      <c r="F88" s="24">
        <f t="shared" si="15"/>
        <v>8665.0204856019354</v>
      </c>
      <c r="G88" s="14">
        <f t="shared" si="16"/>
        <v>20094.050780380159</v>
      </c>
      <c r="H88" s="24">
        <f t="shared" si="14"/>
        <v>548.84903746113832</v>
      </c>
      <c r="I88" s="12">
        <f t="shared" si="17"/>
        <v>4.1864586268184407</v>
      </c>
      <c r="J88" s="3">
        <f t="shared" si="18"/>
        <v>0.7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258.65076709552369</v>
      </c>
      <c r="F89" s="24">
        <f t="shared" si="15"/>
        <v>8611.6720128578363</v>
      </c>
      <c r="G89" s="14">
        <f t="shared" si="16"/>
        <v>20213.715048940321</v>
      </c>
      <c r="H89" s="24">
        <f t="shared" si="14"/>
        <v>550.29009287710926</v>
      </c>
      <c r="I89" s="12">
        <f t="shared" si="17"/>
        <v>4.185123777614324</v>
      </c>
      <c r="J89" s="3">
        <f t="shared" si="18"/>
        <v>0.7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262.835890873138</v>
      </c>
      <c r="F90" s="24">
        <f t="shared" si="15"/>
        <v>8557.6634712703235</v>
      </c>
      <c r="G90" s="14">
        <f t="shared" si="16"/>
        <v>20329.610482453325</v>
      </c>
      <c r="H90" s="24">
        <f t="shared" si="14"/>
        <v>551.73183138127229</v>
      </c>
      <c r="I90" s="12">
        <f t="shared" si="17"/>
        <v>4.1831493744652821</v>
      </c>
      <c r="J90" s="3">
        <f t="shared" si="18"/>
        <v>0.7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267.0190402476033</v>
      </c>
      <c r="F91" s="24">
        <f t="shared" si="15"/>
        <v>8503.0293422564155</v>
      </c>
      <c r="G91" s="14">
        <f t="shared" si="16"/>
        <v>20441.743341257617</v>
      </c>
      <c r="H91" s="24">
        <f t="shared" si="14"/>
        <v>553.17500696055106</v>
      </c>
      <c r="I91" s="12">
        <f t="shared" si="17"/>
        <v>4.18054061154597</v>
      </c>
      <c r="J91" s="3">
        <f t="shared" si="18"/>
        <v>0.7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271.19958085914925</v>
      </c>
      <c r="F92" s="24">
        <f t="shared" si="15"/>
        <v>8447.8032473659678</v>
      </c>
      <c r="G92" s="14">
        <f t="shared" si="16"/>
        <v>20550.120303026255</v>
      </c>
      <c r="H92" s="24">
        <f t="shared" si="14"/>
        <v>554.62037134463003</v>
      </c>
      <c r="I92" s="12">
        <f t="shared" si="17"/>
        <v>4.1773026045562922</v>
      </c>
      <c r="J92" s="3">
        <f t="shared" si="18"/>
        <v>0.7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275.37688346370555</v>
      </c>
      <c r="F93" s="24">
        <f t="shared" si="15"/>
        <v>8392.0179881690328</v>
      </c>
      <c r="G93" s="14">
        <f t="shared" si="16"/>
        <v>20654.748535029852</v>
      </c>
      <c r="H93" s="24">
        <f t="shared" si="14"/>
        <v>556.06867252313396</v>
      </c>
      <c r="I93" s="12">
        <f t="shared" si="17"/>
        <v>4.173440427304473</v>
      </c>
      <c r="J93" s="3">
        <f t="shared" si="18"/>
        <v>0.7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279.55032389101001</v>
      </c>
      <c r="F94" s="24">
        <f t="shared" si="15"/>
        <v>8335.7055827973018</v>
      </c>
      <c r="G94" s="14">
        <f t="shared" si="16"/>
        <v>20755.63576367715</v>
      </c>
      <c r="H94" s="24">
        <f t="shared" si="14"/>
        <v>557.52065329924926</v>
      </c>
      <c r="I94" s="12">
        <f t="shared" si="17"/>
        <v>4.1689591463345241</v>
      </c>
      <c r="J94" s="3">
        <f t="shared" si="18"/>
        <v>0.7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283.71928303734455</v>
      </c>
      <c r="F95" s="24">
        <f t="shared" si="15"/>
        <v>8278.8972993731895</v>
      </c>
      <c r="G95" s="14">
        <f t="shared" si="16"/>
        <v>20852.790341274507</v>
      </c>
      <c r="H95" s="24">
        <f t="shared" si="14"/>
        <v>558.97704988054431</v>
      </c>
      <c r="I95" s="12">
        <f t="shared" si="17"/>
        <v>4.1638638536195955</v>
      </c>
      <c r="J95" s="3">
        <f t="shared" si="18"/>
        <v>0.7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287.88314689096416</v>
      </c>
      <c r="F96" s="24">
        <f t="shared" si="15"/>
        <v>8221.6236865435076</v>
      </c>
      <c r="G96" s="14">
        <f t="shared" si="16"/>
        <v>20946.221309940043</v>
      </c>
      <c r="H96" s="24">
        <f t="shared" si="14"/>
        <v>560.43859050790797</v>
      </c>
      <c r="I96" s="12">
        <f t="shared" si="17"/>
        <v>4.1581596973375321</v>
      </c>
      <c r="J96" s="3">
        <f t="shared" si="18"/>
        <v>0.7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292.04130658830167</v>
      </c>
      <c r="F97" s="24">
        <f t="shared" si="15"/>
        <v>8163.9146013195059</v>
      </c>
      <c r="G97" s="14">
        <f t="shared" si="16"/>
        <v>21035.93846260311</v>
      </c>
      <c r="H97" s="24">
        <f t="shared" si="14"/>
        <v>561.90599412366885</v>
      </c>
      <c r="I97" s="12">
        <f t="shared" si="17"/>
        <v>4.1518519107406462</v>
      </c>
      <c r="J97" s="3">
        <f t="shared" si="18"/>
        <v>0.7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296.19315849904228</v>
      </c>
      <c r="F98" s="24">
        <f t="shared" si="15"/>
        <v>8105.7992344117965</v>
      </c>
      <c r="G98" s="14">
        <f t="shared" si="16"/>
        <v>21121.952401017101</v>
      </c>
      <c r="H98" s="24">
        <f t="shared" si="14"/>
        <v>563.37996908008347</v>
      </c>
      <c r="I98" s="12">
        <f t="shared" si="17"/>
        <v>4.1449458391286234</v>
      </c>
      <c r="J98" s="3">
        <f t="shared" si="18"/>
        <v>0.7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300.33810433817092</v>
      </c>
      <c r="F99" s="24">
        <f t="shared" si="15"/>
        <v>8047.3061332365414</v>
      </c>
      <c r="G99" s="14">
        <f t="shared" si="16"/>
        <v>21204.274590711702</v>
      </c>
      <c r="H99" s="24">
        <f t="shared" si="14"/>
        <v>564.86121188948334</v>
      </c>
      <c r="I99" s="12">
        <f t="shared" si="17"/>
        <v>4.1374469649309997</v>
      </c>
      <c r="J99" s="3">
        <f t="shared" si="18"/>
        <v>0.7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304.47555130310189</v>
      </c>
      <c r="F100" s="24">
        <f t="shared" si="15"/>
        <v>7988.463222758297</v>
      </c>
      <c r="G100" s="14">
        <f t="shared" si="16"/>
        <v>21282.917412809849</v>
      </c>
      <c r="H100" s="24">
        <f t="shared" si="14"/>
        <v>566.35040601745584</v>
      </c>
      <c r="I100" s="12">
        <f t="shared" si="17"/>
        <v>4.1293609309042427</v>
      </c>
      <c r="J100" s="3">
        <f t="shared" si="18"/>
        <v>0.7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308.60491223400612</v>
      </c>
      <c r="F101" s="24">
        <f t="shared" si="15"/>
        <v>7929.2978243250827</v>
      </c>
      <c r="G101" s="14">
        <f t="shared" si="16"/>
        <v>21357.894212635274</v>
      </c>
      <c r="H101" s="24">
        <f t="shared" si="14"/>
        <v>567.84822072048985</v>
      </c>
      <c r="I101" s="12">
        <f t="shared" si="17"/>
        <v>4.1206935614477489</v>
      </c>
      <c r="J101" s="3">
        <f t="shared" si="18"/>
        <v>0.7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312.72560579545387</v>
      </c>
      <c r="F102" s="24">
        <f t="shared" si="15"/>
        <v>7869.8366726424256</v>
      </c>
      <c r="G102" s="14">
        <f t="shared" si="16"/>
        <v>21429.219345038968</v>
      </c>
      <c r="H102" s="24">
        <f t="shared" si="14"/>
        <v>569.35530992957126</v>
      </c>
      <c r="I102" s="12">
        <f t="shared" si="17"/>
        <v>4.1114508820432567</v>
      </c>
      <c r="J102" s="3">
        <f t="shared" si="18"/>
        <v>0.7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316.83705667749712</v>
      </c>
      <c r="F103" s="24">
        <f t="shared" si="15"/>
        <v>7810.1059310247711</v>
      </c>
      <c r="G103" s="14">
        <f t="shared" si="16"/>
        <v>21496.908216374737</v>
      </c>
      <c r="H103" s="24">
        <f t="shared" si="14"/>
        <v>570.87231118121963</v>
      </c>
      <c r="I103" s="12">
        <f t="shared" si="17"/>
        <v>4.1016391368229232</v>
      </c>
      <c r="J103" s="3">
        <f t="shared" si="18"/>
        <v>0.7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320.93869581432006</v>
      </c>
      <c r="F104" s="24">
        <f t="shared" si="15"/>
        <v>7750.1312050554916</v>
      </c>
      <c r="G104" s="14">
        <f t="shared" si="16"/>
        <v>21560.977323059407</v>
      </c>
      <c r="H104" s="24">
        <f t="shared" si="14"/>
        <v>572.39984459747222</v>
      </c>
      <c r="I104" s="12">
        <f t="shared" si="17"/>
        <v>4.0912648042729787</v>
      </c>
      <c r="J104" s="3">
        <f t="shared" si="18"/>
        <v>0.7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325.02996061859301</v>
      </c>
      <c r="F105" s="24">
        <f t="shared" si="15"/>
        <v>7689.9375547796635</v>
      </c>
      <c r="G105" s="14">
        <f t="shared" si="16"/>
        <v>21621.444286657013</v>
      </c>
      <c r="H105" s="24">
        <f t="shared" si="14"/>
        <v>573.93851191629415</v>
      </c>
      <c r="I105" s="12">
        <f t="shared" si="17"/>
        <v>4.0803346110819012</v>
      </c>
      <c r="J105" s="3">
        <f t="shared" si="18"/>
        <v>0.7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329.11029522967493</v>
      </c>
      <c r="F106" s="24">
        <f t="shared" si="15"/>
        <v>7629.5495055477531</v>
      </c>
      <c r="G106" s="14">
        <f t="shared" si="16"/>
        <v>21678.327885433642</v>
      </c>
      <c r="H106" s="24">
        <f t="shared" ref="H106:H113" si="23">IF(E106&lt;600,425+0.773*E106-1.69/1000*E106^2+2.22/1000^2*E106^3,IF(E106&lt;735,666+13002/(738-E106),IF(E106&lt;900,545+17820/(E106-731),650)))</f>
        <v>575.48889557386326</v>
      </c>
      <c r="I106" s="12">
        <f t="shared" si="17"/>
        <v>4.0688555441449052</v>
      </c>
      <c r="J106" s="3">
        <f t="shared" si="18"/>
        <v>0.7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333.17915077381986</v>
      </c>
      <c r="F107" s="24">
        <f t="shared" si="15"/>
        <v>7568.9910576223692</v>
      </c>
      <c r="G107" s="14">
        <f t="shared" si="16"/>
        <v>21731.648082335651</v>
      </c>
      <c r="H107" s="24">
        <f t="shared" si="23"/>
        <v>577.05155784011424</v>
      </c>
      <c r="I107" s="12">
        <f t="shared" si="17"/>
        <v>4.05683486073975</v>
      </c>
      <c r="J107" s="3">
        <f t="shared" si="18"/>
        <v>0.7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337.2359856345596</v>
      </c>
      <c r="F108" s="24">
        <f t="shared" si="15"/>
        <v>7508.2856946549155</v>
      </c>
      <c r="G108" s="14">
        <f t="shared" si="16"/>
        <v>21781.426049352343</v>
      </c>
      <c r="H108" s="24">
        <f t="shared" si="23"/>
        <v>578.62704000886379</v>
      </c>
      <c r="I108" s="12">
        <f t="shared" si="17"/>
        <v>4.0442800968925576</v>
      </c>
      <c r="J108" s="3">
        <f t="shared" si="18"/>
        <v>0.7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341.28026573145218</v>
      </c>
      <c r="F109" s="24">
        <f t="shared" si="15"/>
        <v>7447.4563911339101</v>
      </c>
      <c r="G109" s="14">
        <f t="shared" si="16"/>
        <v>21827.684188232779</v>
      </c>
      <c r="H109" s="24">
        <f t="shared" si="23"/>
        <v>580.2158616437365</v>
      </c>
      <c r="I109" s="12">
        <f t="shared" si="17"/>
        <v>4.0311990739565395</v>
      </c>
      <c r="J109" s="3">
        <f t="shared" si="18"/>
        <v>0.7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345.31146480540872</v>
      </c>
      <c r="F110" s="24">
        <f t="shared" si="15"/>
        <v>7386.5256189019219</v>
      </c>
      <c r="G110" s="14">
        <f t="shared" si="16"/>
        <v>21870.446147535502</v>
      </c>
      <c r="H110" s="24">
        <f t="shared" si="23"/>
        <v>581.81851988101494</v>
      </c>
      <c r="I110" s="12">
        <f t="shared" si="17"/>
        <v>4.0175999034308436</v>
      </c>
      <c r="J110" s="3">
        <f t="shared" si="18"/>
        <v>0.7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349.32906470883955</v>
      </c>
      <c r="F111" s="24">
        <f t="shared" si="15"/>
        <v>7325.5153528335695</v>
      </c>
      <c r="G111" s="14">
        <f t="shared" si="16"/>
        <v>21909.736836000193</v>
      </c>
      <c r="H111" s="24">
        <f t="shared" si="23"/>
        <v>583.43548879040827</v>
      </c>
      <c r="I111" s="12">
        <f t="shared" si="17"/>
        <v>4.003490990051537</v>
      </c>
      <c r="J111" s="3">
        <f t="shared" si="18"/>
        <v>0.7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353.3325556988911</v>
      </c>
      <c r="F112" s="24">
        <f t="shared" si="15"/>
        <v>7264.4470757626796</v>
      </c>
      <c r="G112" s="14">
        <f t="shared" si="16"/>
        <v>21945.582432240317</v>
      </c>
      <c r="H112" s="24">
        <f t="shared" si="23"/>
        <v>585.06721879460429</v>
      </c>
      <c r="I112" s="12">
        <f t="shared" si="17"/>
        <v>3.9888810331915514</v>
      </c>
      <c r="J112" s="3">
        <f t="shared" si="18"/>
        <v>0.7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357.32143673208265</v>
      </c>
      <c r="F113" s="24">
        <f t="shared" si="15"/>
        <v>7203.3417827425592</v>
      </c>
      <c r="G113" s="14">
        <f t="shared" si="16"/>
        <v>21978.010390767206</v>
      </c>
      <c r="H113" s="24">
        <f t="shared" si="23"/>
        <v>586.71413614832159</v>
      </c>
      <c r="I113" s="12">
        <f t="shared" si="17"/>
        <v>3.973779026611469</v>
      </c>
      <c r="J113" s="3">
        <f t="shared" si="18"/>
        <v>0.7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361.2952157586941</v>
      </c>
      <c r="F114" s="24">
        <f t="shared" si="15"/>
        <v>7142.219984719296</v>
      </c>
      <c r="G114" s="14">
        <f t="shared" si="16"/>
        <v>22007.049444366676</v>
      </c>
      <c r="H114" s="24">
        <f t="shared" ref="H114:H177" si="25">IF(E114&lt;600,425+0.773*E114-1.69/1000*E114^2+2.22/1000^2*E114^3,IF(E114&lt;735,666+13002/(738-E114),IF(E114&lt;900,545+17820/(E114-731),650)))</f>
        <v>588.3766424774177</v>
      </c>
      <c r="I114" s="12">
        <f t="shared" si="17"/>
        <v>3.9581942566080994</v>
      </c>
      <c r="J114" s="3">
        <f t="shared" si="18"/>
        <v>0.7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365.25341001530222</v>
      </c>
      <c r="F115" s="24">
        <f t="shared" si="15"/>
        <v>7081.1017116940729</v>
      </c>
      <c r="G115" s="14">
        <f t="shared" si="16"/>
        <v>22032.729602861065</v>
      </c>
      <c r="H115" s="24">
        <f t="shared" si="25"/>
        <v>590.0551143784445</v>
      </c>
      <c r="I115" s="12">
        <f t="shared" si="17"/>
        <v>3.9421362986128035</v>
      </c>
      <c r="J115" s="3">
        <f t="shared" si="18"/>
        <v>0.7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369.19554631391503</v>
      </c>
      <c r="F116" s="24">
        <f t="shared" si="15"/>
        <v>7020.0065154467511</v>
      </c>
      <c r="G116" s="14">
        <f t="shared" si="16"/>
        <v>22055.082148300877</v>
      </c>
      <c r="H116" s="24">
        <f t="shared" si="25"/>
        <v>591.74990307886878</v>
      </c>
      <c r="I116" s="12">
        <f t="shared" si="17"/>
        <v>3.9256150122965479</v>
      </c>
      <c r="J116" s="3">
        <f t="shared" si="18"/>
        <v>0.7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373.12116132621156</v>
      </c>
      <c r="F117" s="24">
        <f t="shared" si="15"/>
        <v>6958.9534718890827</v>
      </c>
      <c r="G117" s="14">
        <f t="shared" si="16"/>
        <v>22074.1396266421</v>
      </c>
      <c r="H117" s="24">
        <f t="shared" si="25"/>
        <v>593.4613341579867</v>
      </c>
      <c r="I117" s="12">
        <f t="shared" si="17"/>
        <v>3.908640535243495</v>
      </c>
      <c r="J117" s="3">
        <f t="shared" si="18"/>
        <v>0.7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377.02980186145504</v>
      </c>
      <c r="F118" s="24">
        <f t="shared" si="15"/>
        <v>6897.961183112413</v>
      </c>
      <c r="G118" s="14">
        <f t="shared" si="16"/>
        <v>22089.935835976194</v>
      </c>
      <c r="H118" s="24">
        <f t="shared" si="25"/>
        <v>595.18970732838443</v>
      </c>
      <c r="I118" s="12">
        <f t="shared" si="17"/>
        <v>3.8912232752595104</v>
      </c>
      <c r="J118" s="3">
        <f t="shared" si="18"/>
        <v>0.7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380.92102513671455</v>
      </c>
      <c r="F119" s="24">
        <f t="shared" si="15"/>
        <v>6837.0477791909625</v>
      </c>
      <c r="G119" s="14">
        <f t="shared" si="16"/>
        <v>22102.505811391962</v>
      </c>
      <c r="H119" s="24">
        <f t="shared" si="25"/>
        <v>596.9352962775996</v>
      </c>
      <c r="I119" s="12">
        <f t="shared" si="17"/>
        <v>3.8733739013864561</v>
      </c>
      <c r="J119" s="3">
        <f t="shared" si="18"/>
        <v>0.7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384.79439903810101</v>
      </c>
      <c r="F120" s="24">
        <f t="shared" si="15"/>
        <v>6776.2309197982258</v>
      </c>
      <c r="G120" s="14">
        <f t="shared" si="16"/>
        <v>22111.885806558348</v>
      </c>
      <c r="H120" s="24">
        <f t="shared" si="25"/>
        <v>598.69834856945261</v>
      </c>
      <c r="I120" s="12">
        <f t="shared" si="17"/>
        <v>3.8551033336970306</v>
      </c>
      <c r="J120" s="3">
        <f t="shared" si="18"/>
        <v>0.7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388.64950237179801</v>
      </c>
      <c r="F121" s="24">
        <f t="shared" si="15"/>
        <v>6715.5277956905593</v>
      </c>
      <c r="G121" s="14">
        <f t="shared" si="16"/>
        <v>22118.113272129416</v>
      </c>
      <c r="H121" s="24">
        <f t="shared" si="25"/>
        <v>600.47908560432302</v>
      </c>
      <c r="I121" s="12">
        <f t="shared" si="17"/>
        <v>3.8364227319488107</v>
      </c>
      <c r="J121" s="3">
        <f t="shared" si="18"/>
        <v>0.7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392.48592510374681</v>
      </c>
      <c r="F122" s="24">
        <f t="shared" si="15"/>
        <v>6654.9551301083511</v>
      </c>
      <c r="G122" s="14">
        <f t="shared" si="16"/>
        <v>22121.226831081622</v>
      </c>
      <c r="H122" s="24">
        <f t="shared" si="25"/>
        <v>602.27770263746015</v>
      </c>
      <c r="I122" s="12">
        <f t="shared" si="17"/>
        <v>3.8173434831792723</v>
      </c>
      <c r="J122" s="3">
        <f t="shared" si="18"/>
        <v>0.7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396.30326858692609</v>
      </c>
      <c r="F123" s="24">
        <f t="shared" si="15"/>
        <v>6594.5291801418552</v>
      </c>
      <c r="G123" s="14">
        <f t="shared" si="16"/>
        <v>22121.266251104313</v>
      </c>
      <c r="H123" s="24">
        <f t="shared" si="25"/>
        <v>604.09436885422861</v>
      </c>
      <c r="I123" s="12">
        <f t="shared" si="17"/>
        <v>3.7978771883265479</v>
      </c>
      <c r="J123" s="3">
        <f t="shared" si="18"/>
        <v>0.7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400.10114577525263</v>
      </c>
      <c r="F124" s="24">
        <f t="shared" si="15"/>
        <v>6534.2657381051613</v>
      </c>
      <c r="G124" s="14">
        <f t="shared" si="16"/>
        <v>22118.272414172803</v>
      </c>
      <c r="H124" s="24">
        <f t="shared" si="25"/>
        <v>605.92922750101081</v>
      </c>
      <c r="I124" s="12">
        <f t="shared" si="17"/>
        <v>3.7780356479629873</v>
      </c>
      <c r="J124" s="3">
        <f t="shared" si="18"/>
        <v>0.7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403.87918142321564</v>
      </c>
      <c r="F125" s="24">
        <f t="shared" si="15"/>
        <v>6474.1801329585396</v>
      </c>
      <c r="G125" s="14">
        <f t="shared" si="16"/>
        <v>22112.287283442613</v>
      </c>
      <c r="H125" s="24">
        <f t="shared" si="25"/>
        <v>607.78239607031446</v>
      </c>
      <c r="I125" s="12">
        <f t="shared" si="17"/>
        <v>3.7578308472305593</v>
      </c>
      <c r="J125" s="3">
        <f t="shared" si="18"/>
        <v>0.7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407.63701227044618</v>
      </c>
      <c r="F126" s="24">
        <f t="shared" si="15"/>
        <v>6414.2872318158352</v>
      </c>
      <c r="G126" s="14">
        <f t="shared" si="16"/>
        <v>22103.35386761048</v>
      </c>
      <c r="H126" s="24">
        <f t="shared" si="25"/>
        <v>609.65396653846244</v>
      </c>
      <c r="I126" s="12">
        <f t="shared" si="17"/>
        <v>3.7372749400684326</v>
      </c>
      <c r="J126" s="3">
        <f t="shared" si="18"/>
        <v>0.7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411.37428721051464</v>
      </c>
      <c r="F127" s="24">
        <f t="shared" si="15"/>
        <v>6354.6014415704303</v>
      </c>
      <c r="G127" s="14">
        <f t="shared" si="16"/>
        <v>22091.516182895371</v>
      </c>
      <c r="H127" s="24">
        <f t="shared" si="25"/>
        <v>611.54400565409151</v>
      </c>
      <c r="I127" s="12">
        <f t="shared" si="17"/>
        <v>3.7163802328239801</v>
      </c>
      <c r="J127" s="3">
        <f t="shared" si="18"/>
        <v>0.7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415.09066744333865</v>
      </c>
      <c r="F128" s="24">
        <f t="shared" si="15"/>
        <v>6295.1367106699436</v>
      </c>
      <c r="G128" s="14">
        <f t="shared" si="16"/>
        <v>22076.81921279872</v>
      </c>
      <c r="H128" s="24">
        <f t="shared" si="25"/>
        <v>613.45255527552808</v>
      </c>
      <c r="I128" s="12">
        <f t="shared" si="17"/>
        <v>3.6951591673388124</v>
      </c>
      <c r="J128" s="3">
        <f t="shared" si="18"/>
        <v>0.7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418.78582661067747</v>
      </c>
      <c r="F129" s="24">
        <f t="shared" si="15"/>
        <v>6235.9065310666565</v>
      </c>
      <c r="G129" s="14">
        <f t="shared" si="16"/>
        <v>22059.308865808351</v>
      </c>
      <c r="H129" s="24">
        <f t="shared" si="25"/>
        <v>615.37963275498214</v>
      </c>
      <c r="I129" s="12">
        <f t="shared" si="17"/>
        <v>3.6736243036011405</v>
      </c>
      <c r="J129" s="3">
        <f t="shared" si="18"/>
        <v>0.7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422.45945091427859</v>
      </c>
      <c r="F130" s="24">
        <f t="shared" si="15"/>
        <v>6176.9239403674792</v>
      </c>
      <c r="G130" s="14">
        <f t="shared" si="16"/>
        <v>22039.031931215151</v>
      </c>
      <c r="H130" s="24">
        <f t="shared" si="25"/>
        <v>617.32523136736768</v>
      </c>
      <c r="I130" s="12">
        <f t="shared" si="17"/>
        <v>3.6517883020551642</v>
      </c>
      <c r="J130" s="3">
        <f t="shared" si="18"/>
        <v>0.7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426.11123921633373</v>
      </c>
      <c r="F131" s="24">
        <f t="shared" si="15"/>
        <v>6118.2015242043126</v>
      </c>
      <c r="G131" s="14">
        <f t="shared" si="16"/>
        <v>22016.036033215187</v>
      </c>
      <c r="H131" s="24">
        <f t="shared" si="25"/>
        <v>619.28932078144817</v>
      </c>
      <c r="I131" s="12">
        <f t="shared" si="17"/>
        <v>3.6296639056568716</v>
      </c>
      <c r="J131" s="3">
        <f t="shared" si="18"/>
        <v>0.7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429.74090312199058</v>
      </c>
      <c r="F132" s="24">
        <f t="shared" si="15"/>
        <v>6059.7514188425594</v>
      </c>
      <c r="G132" s="14">
        <f t="shared" si="16"/>
        <v>21990.369583472424</v>
      </c>
      <c r="H132" s="24">
        <f t="shared" si="25"/>
        <v>621.27184757090299</v>
      </c>
      <c r="I132" s="12">
        <f t="shared" si="17"/>
        <v>3.607263921763971</v>
      </c>
      <c r="J132" s="3">
        <f t="shared" si="18"/>
        <v>0.7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433.34816704375453</v>
      </c>
      <c r="F133" s="24">
        <f t="shared" si="15"/>
        <v>6001.5853140427707</v>
      </c>
      <c r="G133" s="14">
        <f t="shared" si="16"/>
        <v>21962.081732319184</v>
      </c>
      <c r="H133" s="24">
        <f t="shared" si="25"/>
        <v>623.27273576282983</v>
      </c>
      <c r="I133" s="12">
        <f t="shared" si="17"/>
        <v>3.5846012039454327</v>
      </c>
      <c r="J133" s="3">
        <f t="shared" si="18"/>
        <v>0.7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436.93276824769998</v>
      </c>
      <c r="F134" s="24">
        <f t="shared" si="15"/>
        <v>5943.7144561875557</v>
      </c>
      <c r="G134" s="14">
        <f t="shared" si="16"/>
        <v>21931.222318772088</v>
      </c>
      <c r="H134" s="24">
        <f t="shared" si="25"/>
        <v>625.29188742111739</v>
      </c>
      <c r="I134" s="12">
        <f t="shared" si="17"/>
        <v>3.5616886337935281</v>
      </c>
      <c r="J134" s="3">
        <f t="shared" si="18"/>
        <v>0.7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440.49445688149353</v>
      </c>
      <c r="F135" s="24">
        <f t="shared" si="15"/>
        <v>5886.1496516832603</v>
      </c>
      <c r="G135" s="14">
        <f t="shared" si="16"/>
        <v>21897.84181954138</v>
      </c>
      <c r="H135" s="24">
        <f t="shared" si="25"/>
        <v>627.32918326207118</v>
      </c>
      <c r="I135" s="12">
        <f t="shared" si="17"/>
        <v>3.5385391028182247</v>
      </c>
      <c r="J135" s="3">
        <f t="shared" si="18"/>
        <v>0.7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444.03299598431175</v>
      </c>
      <c r="F136" s="24">
        <f t="shared" si="15"/>
        <v>5828.9012706433577</v>
      </c>
      <c r="G136" s="14">
        <f t="shared" si="16"/>
        <v>21861.991297210549</v>
      </c>
      <c r="H136" s="24">
        <f t="shared" si="25"/>
        <v>629.38448329962671</v>
      </c>
      <c r="I136" s="12">
        <f t="shared" si="17"/>
        <v>3.5151654945003443</v>
      </c>
      <c r="J136" s="3">
        <f t="shared" si="18"/>
        <v>0.7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447.54816147881212</v>
      </c>
      <c r="F137" s="24">
        <f t="shared" si="15"/>
        <v>5771.9792508580513</v>
      </c>
      <c r="G137" s="14">
        <f t="shared" si="16"/>
        <v>21823.72234776149</v>
      </c>
      <c r="H137" s="24">
        <f t="shared" si="25"/>
        <v>631.45762751745701</v>
      </c>
      <c r="I137" s="12">
        <f t="shared" si="17"/>
        <v>3.4915806665761973</v>
      </c>
      <c r="J137" s="3">
        <f t="shared" si="18"/>
        <v>0.7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451.03974214538829</v>
      </c>
      <c r="F138" s="24">
        <f t="shared" si="15"/>
        <v>5715.3931020522959</v>
      </c>
      <c r="G138" s="14">
        <f t="shared" si="16"/>
        <v>21783.087047617559</v>
      </c>
      <c r="H138" s="24">
        <f t="shared" si="25"/>
        <v>633.54843656526236</v>
      </c>
      <c r="I138" s="12">
        <f t="shared" si="17"/>
        <v>3.4677974336223025</v>
      </c>
      <c r="J138" s="3">
        <f t="shared" si="18"/>
        <v>0.7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454.5075395790106</v>
      </c>
      <c r="F139" s="24">
        <f t="shared" si="15"/>
        <v>5659.1519104322615</v>
      </c>
      <c r="G139" s="14">
        <f t="shared" si="16"/>
        <v>21740.137900374124</v>
      </c>
      <c r="H139" s="24">
        <f t="shared" si="25"/>
        <v>635.65671247652733</v>
      </c>
      <c r="I139" s="12">
        <f t="shared" si="17"/>
        <v>3.4438285500045809</v>
      </c>
      <c r="J139" s="3">
        <f t="shared" si="18"/>
        <v>0.7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457.95136812901518</v>
      </c>
      <c r="F140" s="24">
        <f t="shared" si="15"/>
        <v>5603.2643435182581</v>
      </c>
      <c r="G140" s="14">
        <f t="shared" si="16"/>
        <v>21694.927783381645</v>
      </c>
      <c r="H140" s="24">
        <f t="shared" si="25"/>
        <v>637.78223940504529</v>
      </c>
      <c r="I140" s="12">
        <f t="shared" si="17"/>
        <v>3.4196866932518271</v>
      </c>
      <c r="J140" s="3">
        <f t="shared" si="18"/>
        <v>0.7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461.37105482226701</v>
      </c>
      <c r="F141" s="24">
        <f t="shared" si="15"/>
        <v>5547.7386552601884</v>
      </c>
      <c r="G141" s="14">
        <f t="shared" si="16"/>
        <v>21647.509894341809</v>
      </c>
      <c r="H141" s="24">
        <f t="shared" si="25"/>
        <v>639.9247843775247</v>
      </c>
      <c r="I141" s="12">
        <f t="shared" si="17"/>
        <v>3.3953844479086115</v>
      </c>
      <c r="J141" s="3">
        <f t="shared" si="18"/>
        <v>0.7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464.76643927017562</v>
      </c>
      <c r="F142" s="24">
        <f t="shared" si="15"/>
        <v>5492.5826914299478</v>
      </c>
      <c r="G142" s="14">
        <f t="shared" si="16"/>
        <v>21597.937698072154</v>
      </c>
      <c r="H142" s="24">
        <f t="shared" si="25"/>
        <v>642.08409805963583</v>
      </c>
      <c r="I142" s="12">
        <f t="shared" si="17"/>
        <v>3.3709342899180137</v>
      </c>
      <c r="J142" s="3">
        <f t="shared" si="18"/>
        <v>0.7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468.13737356009364</v>
      </c>
      <c r="F143" s="24">
        <f t="shared" si="15"/>
        <v>5437.8038952834331</v>
      </c>
      <c r="G143" s="14">
        <f t="shared" si="16"/>
        <v>21546.264873588174</v>
      </c>
      <c r="H143" s="24">
        <f t="shared" si="25"/>
        <v>644.25991553289668</v>
      </c>
      <c r="I143" s="12">
        <f t="shared" si="17"/>
        <v>3.3463485715795684</v>
      </c>
      <c r="J143" s="3">
        <f t="shared" si="18"/>
        <v>0.7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471.48372213167318</v>
      </c>
      <c r="F144" s="24">
        <f t="shared" si="15"/>
        <v>5383.4093134834975</v>
      </c>
      <c r="G144" s="14">
        <f t="shared" si="16"/>
        <v>21492.545261646104</v>
      </c>
      <c r="H144" s="24">
        <f t="shared" si="25"/>
        <v>646.45195707985636</v>
      </c>
      <c r="I144" s="12">
        <f t="shared" si="17"/>
        <v>3.3216395071229901</v>
      </c>
      <c r="J144" s="3">
        <f t="shared" si="18"/>
        <v>0.7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474.80536163879617</v>
      </c>
      <c r="F145" s="24">
        <f t="shared" ref="F145:F208" si="26">AlphaC*(D145-E145)</f>
        <v>5329.4056022738032</v>
      </c>
      <c r="G145" s="14">
        <f t="shared" ref="G145:G208" si="27">Phi*EpsilonF*Botzman/10^8*J145*((D145+273)^4-(E145+273)^4)</f>
        <v>21436.832812882301</v>
      </c>
      <c r="H145" s="24">
        <f t="shared" si="25"/>
        <v>648.65992897509921</v>
      </c>
      <c r="I145" s="12">
        <f t="shared" ref="I145:I208" si="28">ksh*Massivete/(H145*RhoA)*DeltaT*(F145+G145)</f>
        <v>3.2968191589332374</v>
      </c>
      <c r="J145" s="3">
        <f t="shared" ref="J145:J208" si="29">IF(E145&lt;=500,IF(Galva=Oui,0.35,0.7),0.7)</f>
        <v>0.7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478.10218079772943</v>
      </c>
      <c r="F146" s="24">
        <f t="shared" si="26"/>
        <v>5275.7990338923473</v>
      </c>
      <c r="G146" s="14">
        <f t="shared" si="27"/>
        <v>21379.181536678283</v>
      </c>
      <c r="H146" s="24">
        <f t="shared" si="25"/>
        <v>650.88352427967493</v>
      </c>
      <c r="I146" s="12">
        <f t="shared" si="28"/>
        <v>3.2718994244575694</v>
      </c>
      <c r="J146" s="3">
        <f t="shared" si="29"/>
        <v>0.7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481.37408022218699</v>
      </c>
      <c r="F147" s="24">
        <f t="shared" si="26"/>
        <v>5222.5955032123975</v>
      </c>
      <c r="G147" s="14">
        <f t="shared" si="27"/>
        <v>21319.645450872675</v>
      </c>
      <c r="H147" s="24">
        <f t="shared" si="25"/>
        <v>653.1224236366329</v>
      </c>
      <c r="I147" s="12">
        <f t="shared" si="28"/>
        <v>3.2468920238204166</v>
      </c>
      <c r="J147" s="3">
        <f t="shared" si="29"/>
        <v>0.7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484.6209722460074</v>
      </c>
      <c r="F148" s="24">
        <f t="shared" si="26"/>
        <v>5169.8005345976908</v>
      </c>
      <c r="G148" s="14">
        <f t="shared" si="27"/>
        <v>21258.278532433516</v>
      </c>
      <c r="H148" s="24">
        <f t="shared" si="25"/>
        <v>655.37629606544272</v>
      </c>
      <c r="I148" s="12">
        <f t="shared" si="28"/>
        <v>3.2218084881670994</v>
      </c>
      <c r="J148" s="3">
        <f t="shared" si="29"/>
        <v>0.7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487.84278073417448</v>
      </c>
      <c r="F149" s="24">
        <f t="shared" si="26"/>
        <v>5117.4192889580081</v>
      </c>
      <c r="G149" s="14">
        <f t="shared" si="27"/>
        <v>21195.134669196945</v>
      </c>
      <c r="H149" s="24">
        <f t="shared" si="25"/>
        <v>657.64479975317113</v>
      </c>
      <c r="I149" s="12">
        <f t="shared" si="28"/>
        <v>3.1966601487528905</v>
      </c>
      <c r="J149" s="3">
        <f t="shared" si="29"/>
        <v>0.7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491.03944088292735</v>
      </c>
      <c r="F150" s="24">
        <f t="shared" si="26"/>
        <v>5065.4565709904946</v>
      </c>
      <c r="G150" s="14">
        <f t="shared" si="27"/>
        <v>21130.267612769127</v>
      </c>
      <c r="H150" s="24">
        <f t="shared" si="25"/>
        <v>659.92758284039542</v>
      </c>
      <c r="I150" s="12">
        <f t="shared" si="28"/>
        <v>3.1714581267893385</v>
      </c>
      <c r="J150" s="3">
        <f t="shared" si="29"/>
        <v>0.7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494.21089900971668</v>
      </c>
      <c r="F151" s="24">
        <f t="shared" si="26"/>
        <v>5013.916836591743</v>
      </c>
      <c r="G151" s="14">
        <f t="shared" si="27"/>
        <v>21063.730932681134</v>
      </c>
      <c r="H151" s="24">
        <f t="shared" si="25"/>
        <v>662.22428419993503</v>
      </c>
      <c r="I151" s="12">
        <f t="shared" si="28"/>
        <v>3.1462133240555836</v>
      </c>
      <c r="J151" s="3">
        <f t="shared" si="29"/>
        <v>0.7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497.35711233377225</v>
      </c>
      <c r="F152" s="24">
        <f t="shared" si="26"/>
        <v>4962.8042004251211</v>
      </c>
      <c r="G152" s="14">
        <f t="shared" si="27"/>
        <v>20995.577971877607</v>
      </c>
      <c r="H152" s="24">
        <f t="shared" si="25"/>
        <v>664.5345342065998</v>
      </c>
      <c r="I152" s="12">
        <f t="shared" si="28"/>
        <v>3.120936414278261</v>
      </c>
      <c r="J152" s="3">
        <f t="shared" si="29"/>
        <v>0.7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500.47804874805053</v>
      </c>
      <c r="F153" s="24">
        <f t="shared" si="26"/>
        <v>4912.1224436276616</v>
      </c>
      <c r="G153" s="14">
        <f t="shared" si="27"/>
        <v>20925.861803611984</v>
      </c>
      <c r="H153" s="24">
        <f t="shared" si="25"/>
        <v>666.85795549626721</v>
      </c>
      <c r="I153" s="12">
        <f t="shared" si="28"/>
        <v>3.0956378352797098</v>
      </c>
      <c r="J153" s="3">
        <f t="shared" si="29"/>
        <v>0.7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503.57368658333024</v>
      </c>
      <c r="F154" s="24">
        <f t="shared" si="26"/>
        <v>4861.8750216405215</v>
      </c>
      <c r="G154" s="14">
        <f t="shared" si="27"/>
        <v>20854.635189812634</v>
      </c>
      <c r="H154" s="24">
        <f t="shared" si="25"/>
        <v>669.19416371271109</v>
      </c>
      <c r="I154" s="12">
        <f t="shared" si="28"/>
        <v>3.070327781890565</v>
      </c>
      <c r="J154" s="3">
        <f t="shared" si="29"/>
        <v>0.7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506.64401436522081</v>
      </c>
      <c r="F155" s="24">
        <f t="shared" si="26"/>
        <v>4812.0650721471702</v>
      </c>
      <c r="G155" s="14">
        <f t="shared" si="27"/>
        <v>20781.950540977155</v>
      </c>
      <c r="H155" s="24">
        <f t="shared" si="25"/>
        <v>671.54276824073065</v>
      </c>
      <c r="I155" s="12">
        <f t="shared" si="28"/>
        <v>3.0450161996194991</v>
      </c>
      <c r="J155" s="3">
        <f t="shared" si="29"/>
        <v>0.7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509.68903056484032</v>
      </c>
      <c r="F156" s="24">
        <f t="shared" si="26"/>
        <v>4762.6954231032187</v>
      </c>
      <c r="G156" s="14">
        <f t="shared" si="27"/>
        <v>20707.85987764247</v>
      </c>
      <c r="H156" s="24">
        <f t="shared" si="25"/>
        <v>673.90337292424056</v>
      </c>
      <c r="I156" s="12">
        <f t="shared" si="28"/>
        <v>3.0197127790695322</v>
      </c>
      <c r="J156" s="3">
        <f t="shared" si="29"/>
        <v>0.7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512.70874334390987</v>
      </c>
      <c r="F157" s="24">
        <f t="shared" si="26"/>
        <v>4713.768600842167</v>
      </c>
      <c r="G157" s="14">
        <f t="shared" si="27"/>
        <v>20632.414793472712</v>
      </c>
      <c r="H157" s="24">
        <f t="shared" si="25"/>
        <v>676.27557676810238</v>
      </c>
      <c r="I157" s="12">
        <f t="shared" si="28"/>
        <v>2.9944269510877097</v>
      </c>
      <c r="J157" s="3">
        <f t="shared" si="29"/>
        <v>0.7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515.70317029499756</v>
      </c>
      <c r="F158" s="24">
        <f t="shared" si="26"/>
        <v>4665.2868382413717</v>
      </c>
      <c r="G158" s="14">
        <f t="shared" si="27"/>
        <v>20555.666419997535</v>
      </c>
      <c r="H158" s="24">
        <f t="shared" si="25"/>
        <v>678.6589746225942</v>
      </c>
      <c r="I158" s="12">
        <f t="shared" si="28"/>
        <v>2.9691678826320622</v>
      </c>
      <c r="J158" s="3">
        <f t="shared" si="29"/>
        <v>0.7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518.67233817762963</v>
      </c>
      <c r="F159" s="24">
        <f t="shared" si="26"/>
        <v>4617.2520829328532</v>
      </c>
      <c r="G159" s="14">
        <f t="shared" si="27"/>
        <v>20477.665393027422</v>
      </c>
      <c r="H159" s="24">
        <f t="shared" si="25"/>
        <v>681.05315784953177</v>
      </c>
      <c r="I159" s="12">
        <f t="shared" si="28"/>
        <v>2.9439444733375391</v>
      </c>
      <c r="J159" s="3">
        <f t="shared" si="29"/>
        <v>0.7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521.61628265096715</v>
      </c>
      <c r="F160" s="24">
        <f t="shared" si="26"/>
        <v>4569.666005543957</v>
      </c>
      <c r="G160" s="14">
        <f t="shared" si="27"/>
        <v>20398.461820765231</v>
      </c>
      <c r="H160" s="24">
        <f t="shared" si="25"/>
        <v>683.45771496916518</v>
      </c>
      <c r="I160" s="12">
        <f t="shared" si="28"/>
        <v>2.9187653527604738</v>
      </c>
      <c r="J160" s="3">
        <f t="shared" si="29"/>
        <v>0.7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524.53504800372764</v>
      </c>
      <c r="F161" s="24">
        <f t="shared" si="26"/>
        <v>4522.5300079531708</v>
      </c>
      <c r="G161" s="14">
        <f t="shared" si="27"/>
        <v>20318.105253626505</v>
      </c>
      <c r="H161" s="24">
        <f t="shared" si="25"/>
        <v>685.87223228708785</v>
      </c>
      <c r="I161" s="12">
        <f t="shared" si="28"/>
        <v>2.8936388782792353</v>
      </c>
      <c r="J161" s="3">
        <f t="shared" si="29"/>
        <v>0.7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527.4286868820069</v>
      </c>
      <c r="F162" s="24">
        <f t="shared" si="26"/>
        <v>4475.8452315469331</v>
      </c>
      <c r="G162" s="14">
        <f t="shared" si="27"/>
        <v>20236.644655774748</v>
      </c>
      <c r="H162" s="24">
        <f t="shared" si="25"/>
        <v>688.29629450050038</v>
      </c>
      <c r="I162" s="12">
        <f t="shared" si="28"/>
        <v>2.8685731336271565</v>
      </c>
      <c r="J162" s="3">
        <f t="shared" si="29"/>
        <v>0.7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530.29726001563404</v>
      </c>
      <c r="F163" s="24">
        <f t="shared" si="26"/>
        <v>4429.6125654637135</v>
      </c>
      <c r="G163" s="14">
        <f t="shared" si="27"/>
        <v>20154.128378372039</v>
      </c>
      <c r="H163" s="24">
        <f t="shared" si="25"/>
        <v>690.72948528327743</v>
      </c>
      <c r="I163" s="12">
        <f t="shared" si="28"/>
        <v>2.8435759280324353</v>
      </c>
      <c r="J163" s="3">
        <f t="shared" si="29"/>
        <v>0.7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533.1408359436665</v>
      </c>
      <c r="F164" s="24">
        <f t="shared" si="26"/>
        <v>4383.8326548122041</v>
      </c>
      <c r="G164" s="14">
        <f t="shared" si="27"/>
        <v>20070.604134539393</v>
      </c>
      <c r="H164" s="24">
        <f t="shared" si="25"/>
        <v>693.17138784938413</v>
      </c>
      <c r="I164" s="12">
        <f t="shared" si="28"/>
        <v>2.8186547959385959</v>
      </c>
      <c r="J164" s="3">
        <f t="shared" si="29"/>
        <v>0.7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535.95949073960514</v>
      </c>
      <c r="F165" s="24">
        <f t="shared" si="26"/>
        <v>4338.5059088509879</v>
      </c>
      <c r="G165" s="14">
        <f t="shared" si="27"/>
        <v>19986.118976016194</v>
      </c>
      <c r="H165" s="24">
        <f t="shared" si="25"/>
        <v>695.62158549428648</v>
      </c>
      <c r="I165" s="12">
        <f t="shared" si="28"/>
        <v>2.7938169972781375</v>
      </c>
      <c r="J165" s="3">
        <f t="shared" si="29"/>
        <v>0.7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538.75330773688324</v>
      </c>
      <c r="F166" s="24">
        <f t="shared" si="26"/>
        <v>4293.6325091177314</v>
      </c>
      <c r="G166" s="14">
        <f t="shared" si="27"/>
        <v>19900.719271503141</v>
      </c>
      <c r="H166" s="24">
        <f t="shared" si="25"/>
        <v>698.07966211408893</v>
      </c>
      <c r="I166" s="12">
        <f t="shared" si="28"/>
        <v>2.7690695182713849</v>
      </c>
      <c r="J166" s="3">
        <f t="shared" si="29"/>
        <v>0.7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541.52237725515465</v>
      </c>
      <c r="F167" s="24">
        <f t="shared" si="26"/>
        <v>4249.2124174964265</v>
      </c>
      <c r="G167" s="14">
        <f t="shared" si="27"/>
        <v>19814.450686668031</v>
      </c>
      <c r="H167" s="24">
        <f t="shared" si="25"/>
        <v>700.54520270222497</v>
      </c>
      <c r="I167" s="12">
        <f t="shared" si="28"/>
        <v>2.7444190727219331</v>
      </c>
      <c r="J167" s="3">
        <f t="shared" si="29"/>
        <v>0.7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544.26679632787659</v>
      </c>
      <c r="F168" s="24">
        <f t="shared" si="26"/>
        <v>4205.2453842120231</v>
      </c>
      <c r="G168" s="14">
        <f t="shared" si="27"/>
        <v>19727.358165790585</v>
      </c>
      <c r="H168" s="24">
        <f t="shared" si="25"/>
        <v>703.01779382360019</v>
      </c>
      <c r="I168" s="12">
        <f t="shared" si="28"/>
        <v>2.7198721037799349</v>
      </c>
      <c r="J168" s="3">
        <f t="shared" si="29"/>
        <v>0.7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546.98666843165654</v>
      </c>
      <c r="F169" s="24">
        <f t="shared" si="26"/>
        <v>4161.7309557422313</v>
      </c>
      <c r="G169" s="14">
        <f t="shared" si="27"/>
        <v>19639.485915017045</v>
      </c>
      <c r="H169" s="24">
        <f t="shared" si="25"/>
        <v>705.4970240661761</v>
      </c>
      <c r="I169" s="12">
        <f t="shared" si="28"/>
        <v>2.6954347861441317</v>
      </c>
      <c r="J169" s="3">
        <f t="shared" si="29"/>
        <v>0.7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549.68210321780066</v>
      </c>
      <c r="F170" s="24">
        <f t="shared" si="26"/>
        <v>4118.6684826370911</v>
      </c>
      <c r="G170" s="14">
        <f t="shared" si="27"/>
        <v>19550.877387193359</v>
      </c>
      <c r="H170" s="24">
        <f t="shared" si="25"/>
        <v>707.98248447004312</v>
      </c>
      <c r="I170" s="12">
        <f t="shared" si="28"/>
        <v>2.671113028673763</v>
      </c>
      <c r="J170" s="3">
        <f t="shared" si="29"/>
        <v>0.7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552.3532162464744</v>
      </c>
      <c r="F171" s="24">
        <f t="shared" si="26"/>
        <v>4076.0571272375246</v>
      </c>
      <c r="G171" s="14">
        <f t="shared" si="27"/>
        <v>19461.575268241773</v>
      </c>
      <c r="H171" s="24">
        <f t="shared" si="25"/>
        <v>710.47376893411047</v>
      </c>
      <c r="I171" s="12">
        <f t="shared" si="28"/>
        <v>2.6469124773815582</v>
      </c>
      <c r="J171" s="3">
        <f t="shared" si="29"/>
        <v>0.7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555.00012872385594</v>
      </c>
      <c r="F172" s="24">
        <f t="shared" si="26"/>
        <v>4033.8958712846334</v>
      </c>
      <c r="G172" s="14">
        <f t="shared" si="27"/>
        <v>19371.621465042474</v>
      </c>
      <c r="H172" s="24">
        <f t="shared" si="25"/>
        <v>712.97047460059628</v>
      </c>
      <c r="I172" s="12">
        <f t="shared" si="28"/>
        <v>2.6228385187792727</v>
      </c>
      <c r="J172" s="3">
        <f t="shared" si="29"/>
        <v>0.7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557.62296724263524</v>
      </c>
      <c r="F173" s="24">
        <f t="shared" si="26"/>
        <v>3992.1835234123337</v>
      </c>
      <c r="G173" s="14">
        <f t="shared" si="27"/>
        <v>19281.057094780608</v>
      </c>
      <c r="H173" s="24">
        <f t="shared" si="25"/>
        <v>715.4722022175614</v>
      </c>
      <c r="I173" s="12">
        <f t="shared" si="28"/>
        <v>2.598896283547822</v>
      </c>
      <c r="J173" s="3">
        <f t="shared" si="29"/>
        <v>0.7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560.22186352618303</v>
      </c>
      <c r="F174" s="24">
        <f t="shared" si="26"/>
        <v>3950.9187265164428</v>
      </c>
      <c r="G174" s="14">
        <f t="shared" si="27"/>
        <v>19189.922475715917</v>
      </c>
      <c r="H174" s="24">
        <f t="shared" si="25"/>
        <v>717.97855647978213</v>
      </c>
      <c r="I174" s="12">
        <f t="shared" si="28"/>
        <v>2.5750906505045075</v>
      </c>
      <c r="J174" s="3">
        <f t="shared" si="29"/>
        <v>0.7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562.79695417668756</v>
      </c>
      <c r="F175" s="24">
        <f t="shared" si="26"/>
        <v>3910.0999649939099</v>
      </c>
      <c r="G175" s="14">
        <f t="shared" si="27"/>
        <v>19098.25711932997</v>
      </c>
      <c r="H175" s="24">
        <f t="shared" si="25"/>
        <v>720.48914634831044</v>
      </c>
      <c r="I175" s="12">
        <f t="shared" si="28"/>
        <v>2.5514262508403736</v>
      </c>
      <c r="J175" s="3">
        <f t="shared" si="29"/>
        <v>0.7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565.3483804275279</v>
      </c>
      <c r="F176" s="24">
        <f t="shared" si="26"/>
        <v>3869.7255718467318</v>
      </c>
      <c r="G176" s="14">
        <f t="shared" si="27"/>
        <v>19006.099723806168</v>
      </c>
      <c r="H176" s="24">
        <f t="shared" si="25"/>
        <v>723.00358534910617</v>
      </c>
      <c r="I176" s="12">
        <f t="shared" si="28"/>
        <v>2.5279074726017456</v>
      </c>
      <c r="J176" s="3">
        <f t="shared" si="29"/>
        <v>0.7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567.87628790012968</v>
      </c>
      <c r="F177" s="24">
        <f t="shared" si="26"/>
        <v>3829.7937356454299</v>
      </c>
      <c r="G177" s="14">
        <f t="shared" si="27"/>
        <v>18913.488168794207</v>
      </c>
      <c r="H177" s="24">
        <f t="shared" si="25"/>
        <v>725.5214918511715</v>
      </c>
      <c r="I177" s="12">
        <f t="shared" si="28"/>
        <v>2.5045384653904748</v>
      </c>
      <c r="J177" s="3">
        <f t="shared" si="29"/>
        <v>0.7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570.38082636552019</v>
      </c>
      <c r="F178" s="24">
        <f t="shared" si="26"/>
        <v>3790.3025073476983</v>
      </c>
      <c r="G178" s="14">
        <f t="shared" si="27"/>
        <v>18820.459511411216</v>
      </c>
      <c r="H178" s="24">
        <f t="shared" ref="H178:H241" si="34">IF(E178&lt;600,425+0.773*E178-1.69/1000*E178^2+2.22/1000^2*E178^3,IF(E178&lt;735,666+13002/(738-E178),IF(E178&lt;900,545+17820/(E178-731),650)))</f>
        <v>728.04248932464884</v>
      </c>
      <c r="I178" s="12">
        <f t="shared" si="28"/>
        <v>2.481323145258489</v>
      </c>
      <c r="J178" s="3">
        <f t="shared" si="29"/>
        <v>0.7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572.86214951077864</v>
      </c>
      <c r="F179" s="24">
        <f t="shared" si="26"/>
        <v>3751.2498069684116</v>
      </c>
      <c r="G179" s="14">
        <f t="shared" si="27"/>
        <v>18727.049983430421</v>
      </c>
      <c r="H179" s="24">
        <f t="shared" si="34"/>
        <v>730.56620657937856</v>
      </c>
      <c r="I179" s="12">
        <f t="shared" si="28"/>
        <v>2.4582651997730829</v>
      </c>
      <c r="J179" s="3">
        <f t="shared" si="29"/>
        <v>0.7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575.32041471055174</v>
      </c>
      <c r="F180" s="24">
        <f t="shared" si="26"/>
        <v>3712.6334300976423</v>
      </c>
      <c r="G180" s="14">
        <f t="shared" si="27"/>
        <v>18633.29498960781</v>
      </c>
      <c r="H180" s="24">
        <f t="shared" si="34"/>
        <v>733.09227798443339</v>
      </c>
      <c r="I180" s="12">
        <f t="shared" si="28"/>
        <v>2.4353680932303652</v>
      </c>
      <c r="J180" s="3">
        <f t="shared" si="29"/>
        <v>0.7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577.75578280378215</v>
      </c>
      <c r="F181" s="24">
        <f t="shared" si="26"/>
        <v>3674.4510542639291</v>
      </c>
      <c r="G181" s="14">
        <f t="shared" si="27"/>
        <v>18539.229107096526</v>
      </c>
      <c r="H181" s="24">
        <f t="shared" si="34"/>
        <v>735.62034366917419</v>
      </c>
      <c r="I181" s="12">
        <f t="shared" si="28"/>
        <v>2.4126350719952154</v>
      </c>
      <c r="J181" s="3">
        <f t="shared" si="29"/>
        <v>0.7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580.16841787577732</v>
      </c>
      <c r="F182" s="24">
        <f t="shared" si="26"/>
        <v>3636.700245140486</v>
      </c>
      <c r="G182" s="14">
        <f t="shared" si="27"/>
        <v>18444.886085899332</v>
      </c>
      <c r="H182" s="24">
        <f t="shared" si="34"/>
        <v>738.15004970638915</v>
      </c>
      <c r="I182" s="12">
        <f t="shared" si="28"/>
        <v>2.3900691699471768</v>
      </c>
      <c r="J182" s="3">
        <f t="shared" si="29"/>
        <v>0.7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582.55848704572452</v>
      </c>
      <c r="F183" s="24">
        <f t="shared" si="26"/>
        <v>3599.3784625925855</v>
      </c>
      <c r="G183" s="14">
        <f t="shared" si="27"/>
        <v>18350.298850308929</v>
      </c>
      <c r="H183" s="24">
        <f t="shared" si="34"/>
        <v>740.68104827809657</v>
      </c>
      <c r="I183" s="12">
        <f t="shared" si="28"/>
        <v>2.3676732140126981</v>
      </c>
      <c r="J183" s="3">
        <f t="shared" si="29"/>
        <v>0.7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584.92616025973723</v>
      </c>
      <c r="F184" s="24">
        <f t="shared" si="26"/>
        <v>3562.4830665647751</v>
      </c>
      <c r="G184" s="14">
        <f t="shared" si="27"/>
        <v>18255.499501286631</v>
      </c>
      <c r="H184" s="24">
        <f t="shared" si="34"/>
        <v>743.21299782459778</v>
      </c>
      <c r="I184" s="12">
        <f t="shared" si="28"/>
        <v>2.3454498297652178</v>
      </c>
      <c r="J184" s="3">
        <f t="shared" si="29"/>
        <v>0.7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587.27161008950247</v>
      </c>
      <c r="F185" s="24">
        <f t="shared" si="26"/>
        <v>3526.0113228069313</v>
      </c>
      <c r="G185" s="14">
        <f t="shared" si="27"/>
        <v>18160.519319729632</v>
      </c>
      <c r="H185" s="24">
        <f t="shared" si="34"/>
        <v>745.74556317738484</v>
      </c>
      <c r="I185" s="12">
        <f t="shared" si="28"/>
        <v>2.3234014470755167</v>
      </c>
      <c r="J185" s="3">
        <f t="shared" si="29"/>
        <v>0.7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589.595011536578</v>
      </c>
      <c r="F186" s="24">
        <f t="shared" si="26"/>
        <v>3489.9604084387506</v>
      </c>
      <c r="G186" s="14">
        <f t="shared" si="27"/>
        <v>18065.388770578767</v>
      </c>
      <c r="H186" s="24">
        <f t="shared" si="34"/>
        <v>748.27841567650717</v>
      </c>
      <c r="I186" s="12">
        <f t="shared" si="28"/>
        <v>2.3015303057959722</v>
      </c>
      <c r="J186" s="3">
        <f t="shared" si="29"/>
        <v>0.7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591.89654184237395</v>
      </c>
      <c r="F187" s="24">
        <f t="shared" si="26"/>
        <v>3454.3274173524565</v>
      </c>
      <c r="G187" s="14">
        <f t="shared" si="27"/>
        <v>17970.137507718078</v>
      </c>
      <c r="H187" s="24">
        <f t="shared" si="34"/>
        <v>750.81123327300907</v>
      </c>
      <c r="I187" s="12">
        <f t="shared" si="28"/>
        <v>2.2798384614631884</v>
      </c>
      <c r="J187" s="3">
        <f t="shared" si="29"/>
        <v>0.7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594.17638030383716</v>
      </c>
      <c r="F188" s="24">
        <f t="shared" si="26"/>
        <v>3419.1093654539686</v>
      </c>
      <c r="G188" s="14">
        <f t="shared" si="27"/>
        <v>17874.794379619136</v>
      </c>
      <c r="H188" s="24">
        <f t="shared" si="34"/>
        <v>753.34370061705044</v>
      </c>
      <c r="I188" s="12">
        <f t="shared" si="28"/>
        <v>2.2583277910045934</v>
      </c>
      <c r="J188" s="3">
        <f t="shared" si="29"/>
        <v>0.7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596.43470809484177</v>
      </c>
      <c r="F189" s="24">
        <f t="shared" si="26"/>
        <v>3384.3031957431494</v>
      </c>
      <c r="G189" s="14">
        <f t="shared" si="27"/>
        <v>17779.387435684053</v>
      </c>
      <c r="H189" s="24">
        <f t="shared" si="34"/>
        <v>755.87550913232383</v>
      </c>
      <c r="I189" s="12">
        <f t="shared" si="28"/>
        <v>2.2369999984356075</v>
      </c>
      <c r="J189" s="3">
        <f t="shared" si="29"/>
        <v>0.7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598.6717080932774</v>
      </c>
      <c r="F190" s="24">
        <f t="shared" si="26"/>
        <v>3349.905783233899</v>
      </c>
      <c r="G190" s="14">
        <f t="shared" si="27"/>
        <v>17683.943933241244</v>
      </c>
      <c r="H190" s="24">
        <f t="shared" si="34"/>
        <v>758.40635707737385</v>
      </c>
      <c r="I190" s="12">
        <f t="shared" si="28"/>
        <v>2.2158566205348333</v>
      </c>
      <c r="J190" s="3">
        <f t="shared" si="29"/>
        <v>0.7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600.88756471381225</v>
      </c>
      <c r="F191" s="24">
        <f t="shared" si="26"/>
        <v>3315.9139397153381</v>
      </c>
      <c r="G191" s="14">
        <f t="shared" si="27"/>
        <v>17588.490345150185</v>
      </c>
      <c r="H191" s="24">
        <f t="shared" si="34"/>
        <v>760.82728516098189</v>
      </c>
      <c r="I191" s="12">
        <f t="shared" si="28"/>
        <v>2.1952125168527323</v>
      </c>
      <c r="J191" s="3">
        <f t="shared" si="29"/>
        <v>0.7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603.08277723066499</v>
      </c>
      <c r="F192" s="24">
        <f t="shared" si="26"/>
        <v>3282.3165812462576</v>
      </c>
      <c r="G192" s="14">
        <f t="shared" si="27"/>
        <v>17493.018902868153</v>
      </c>
      <c r="H192" s="24">
        <f t="shared" si="34"/>
        <v>762.37020191431918</v>
      </c>
      <c r="I192" s="12">
        <f t="shared" si="28"/>
        <v>2.1772434164265135</v>
      </c>
      <c r="J192" s="3">
        <f t="shared" si="29"/>
        <v>0.7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605.26002064709155</v>
      </c>
      <c r="F193" s="24">
        <f t="shared" si="26"/>
        <v>3249.0482069658101</v>
      </c>
      <c r="G193" s="14">
        <f t="shared" si="27"/>
        <v>17397.286203298194</v>
      </c>
      <c r="H193" s="24">
        <f t="shared" si="34"/>
        <v>763.95089665813725</v>
      </c>
      <c r="I193" s="12">
        <f t="shared" si="28"/>
        <v>2.1592472039355122</v>
      </c>
      <c r="J193" s="3">
        <f t="shared" si="29"/>
        <v>0.7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607.41926785102703</v>
      </c>
      <c r="F194" s="24">
        <f t="shared" si="26"/>
        <v>3216.1108457349001</v>
      </c>
      <c r="G194" s="14">
        <f t="shared" si="27"/>
        <v>17301.333060002089</v>
      </c>
      <c r="H194" s="24">
        <f t="shared" si="34"/>
        <v>765.57058584391052</v>
      </c>
      <c r="I194" s="12">
        <f t="shared" si="28"/>
        <v>2.1412277802502619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609.56049563127726</v>
      </c>
      <c r="F195" s="24">
        <f t="shared" si="26"/>
        <v>3183.5064062489837</v>
      </c>
      <c r="G195" s="14">
        <f t="shared" si="27"/>
        <v>17205.199947921396</v>
      </c>
      <c r="H195" s="24">
        <f t="shared" si="34"/>
        <v>767.23053700576418</v>
      </c>
      <c r="I195" s="12">
        <f t="shared" si="28"/>
        <v>2.1231889458306514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611.6836845771079</v>
      </c>
      <c r="F196" s="24">
        <f t="shared" si="26"/>
        <v>3151.2366800515138</v>
      </c>
      <c r="G196" s="14">
        <f t="shared" si="27"/>
        <v>17108.926992044842</v>
      </c>
      <c r="H196" s="24">
        <f t="shared" si="34"/>
        <v>768.93207141508867</v>
      </c>
      <c r="I196" s="12">
        <f t="shared" si="28"/>
        <v>2.105134398029088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613.78881897513702</v>
      </c>
      <c r="F197" s="24">
        <f t="shared" si="26"/>
        <v>3119.3033446009536</v>
      </c>
      <c r="G197" s="14">
        <f t="shared" si="27"/>
        <v>17012.553956961034</v>
      </c>
      <c r="H197" s="24">
        <f t="shared" si="34"/>
        <v>770.67656689776925</v>
      </c>
      <c r="I197" s="12">
        <f t="shared" si="28"/>
        <v>2.0870677284328725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615.8758867035699</v>
      </c>
      <c r="F198" s="24">
        <f t="shared" si="26"/>
        <v>3087.7079663907552</v>
      </c>
      <c r="G198" s="14">
        <f t="shared" si="27"/>
        <v>16916.120237315405</v>
      </c>
      <c r="H198" s="24">
        <f t="shared" si="34"/>
        <v>772.46546082541806</v>
      </c>
      <c r="I198" s="12">
        <f t="shared" si="28"/>
        <v>2.0689924202444843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617.94487912381442</v>
      </c>
      <c r="F199" s="24">
        <f t="shared" si="26"/>
        <v>3056.4520041218202</v>
      </c>
      <c r="G199" s="14">
        <f t="shared" si="27"/>
        <v>16819.664849189034</v>
      </c>
      <c r="H199" s="24">
        <f t="shared" si="34"/>
        <v>774.30025329289481</v>
      </c>
      <c r="I199" s="12">
        <f t="shared" si="28"/>
        <v>2.0509118456982076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619.99579096951265</v>
      </c>
      <c r="F200" s="24">
        <f t="shared" si="26"/>
        <v>3025.5368119269888</v>
      </c>
      <c r="G200" s="14">
        <f t="shared" si="27"/>
        <v>16723.226422416428</v>
      </c>
      <c r="H200" s="24">
        <f t="shared" si="34"/>
        <v>776.18251049537412</v>
      </c>
      <c r="I200" s="12">
        <f t="shared" si="28"/>
        <v>2.0328292635113234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622.02862023302396</v>
      </c>
      <c r="F201" s="24">
        <f t="shared" si="26"/>
        <v>2994.9636426470847</v>
      </c>
      <c r="G201" s="14">
        <f t="shared" si="27"/>
        <v>16626.843193857803</v>
      </c>
      <c r="H201" s="24">
        <f t="shared" si="34"/>
        <v>778.1138683192803</v>
      </c>
      <c r="I201" s="12">
        <f t="shared" si="28"/>
        <v>2.0147478163677821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624.04336804939169</v>
      </c>
      <c r="F202" s="24">
        <f t="shared" si="26"/>
        <v>2964.7336511580506</v>
      </c>
      <c r="G202" s="14">
        <f t="shared" si="27"/>
        <v>16530.55300164027</v>
      </c>
      <c r="H202" s="24">
        <f t="shared" si="34"/>
        <v>780.09603616255868</v>
      </c>
      <c r="I202" s="12">
        <f t="shared" si="28"/>
        <v>1.9966705284320019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626.04003857782368</v>
      </c>
      <c r="F203" s="24">
        <f t="shared" si="26"/>
        <v>2934.8478977488921</v>
      </c>
      <c r="G203" s="14">
        <f t="shared" si="27"/>
        <v>16434.393280382181</v>
      </c>
      <c r="H203" s="24">
        <f t="shared" si="34"/>
        <v>782.13080100101433</v>
      </c>
      <c r="I203" s="12">
        <f t="shared" si="28"/>
        <v>1.9786003028903072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628.01863888071398</v>
      </c>
      <c r="F204" s="24">
        <f t="shared" si="26"/>
        <v>2905.3073515500218</v>
      </c>
      <c r="G204" s="14">
        <f t="shared" si="27"/>
        <v>16338.401057412822</v>
      </c>
      <c r="H204" s="24">
        <f t="shared" si="34"/>
        <v>784.22003171881101</v>
      </c>
      <c r="I204" s="12">
        <f t="shared" si="28"/>
        <v>1.9605399195171556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629.97917880023113</v>
      </c>
      <c r="F205" s="24">
        <f t="shared" si="26"/>
        <v>2876.1128940117542</v>
      </c>
      <c r="G205" s="14">
        <f t="shared" si="27"/>
        <v>16242.612949999648</v>
      </c>
      <c r="H205" s="24">
        <f t="shared" si="34"/>
        <v>786.3656837227212</v>
      </c>
      <c r="I205" s="12">
        <f t="shared" si="28"/>
        <v>1.9424920322631833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631.92167083249433</v>
      </c>
      <c r="F206" s="24">
        <f t="shared" si="26"/>
        <v>2847.2653224327701</v>
      </c>
      <c r="G206" s="14">
        <f t="shared" si="27"/>
        <v>16147.065163593974</v>
      </c>
      <c r="H206" s="24">
        <f t="shared" si="34"/>
        <v>788.5698038613416</v>
      </c>
      <c r="I206" s="12">
        <f t="shared" si="28"/>
        <v>1.9244591668618662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633.84612999935621</v>
      </c>
      <c r="F207" s="24">
        <f t="shared" si="26"/>
        <v>2818.7653535383761</v>
      </c>
      <c r="G207" s="14">
        <f t="shared" si="27"/>
        <v>16051.793491105398</v>
      </c>
      <c r="H207" s="24">
        <f t="shared" si="34"/>
        <v>790.83453567226672</v>
      </c>
      <c r="I207" s="12">
        <f t="shared" si="28"/>
        <v>1.9064437184514182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635.75257371780765</v>
      </c>
      <c r="F208" s="24">
        <f t="shared" si="26"/>
        <v>2790.6136271085361</v>
      </c>
      <c r="G208" s="14">
        <f t="shared" si="27"/>
        <v>15956.833313214613</v>
      </c>
      <c r="H208" s="24">
        <f t="shared" si="34"/>
        <v>793.16212498215668</v>
      </c>
      <c r="I208" s="12">
        <f t="shared" si="28"/>
        <v>1.888447949208397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637.64102166701605</v>
      </c>
      <c r="F209" s="24">
        <f t="shared" ref="F209:F272" si="35">AlphaC*(D209-E209)</f>
        <v>2762.8107096556191</v>
      </c>
      <c r="G209" s="14">
        <f t="shared" ref="G209:G272" si="36">Phi*EpsilonF*Botzman/10^8*J209*((D209+273)^4-(E209+273)^4)</f>
        <v>15862.219599732909</v>
      </c>
      <c r="H209" s="24">
        <f t="shared" si="34"/>
        <v>795.55492588675315</v>
      </c>
      <c r="I209" s="12">
        <f t="shared" ref="I209:I272" si="37">ksh*Massivete/(H209*RhoA)*DeltaT*(F209+G209)</f>
        <v>1.8704739859892949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639.51149565300534</v>
      </c>
      <c r="F210" s="24">
        <f t="shared" si="35"/>
        <v>2735.3570981520052</v>
      </c>
      <c r="G210" s="14">
        <f t="shared" si="36"/>
        <v>15767.986912017104</v>
      </c>
      <c r="H210" s="24">
        <f t="shared" si="34"/>
        <v>798.01540714022178</v>
      </c>
      <c r="I210" s="12">
        <f t="shared" si="37"/>
        <v>1.8525238179763801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641.3640194709817</v>
      </c>
      <c r="F211" s="24">
        <f t="shared" si="35"/>
        <v>2708.2532238077192</v>
      </c>
      <c r="G211" s="14">
        <f t="shared" si="36"/>
        <v>15674.16940644707</v>
      </c>
      <c r="H211" s="24">
        <f t="shared" si="34"/>
        <v>800.5461589857382</v>
      </c>
      <c r="I211" s="12">
        <f t="shared" si="37"/>
        <v>1.8345992943238962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643.19861876530558</v>
      </c>
      <c r="F212" s="24">
        <f t="shared" si="35"/>
        <v>2681.4994558983244</v>
      </c>
      <c r="G212" s="14">
        <f t="shared" si="36"/>
        <v>15580.800838972971</v>
      </c>
      <c r="H212" s="24">
        <f t="shared" si="34"/>
        <v>803.14990046201638</v>
      </c>
      <c r="I212" s="12">
        <f t="shared" si="37"/>
        <v>1.8167021218007204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645.01532088710633</v>
      </c>
      <c r="F213" s="24">
        <f t="shared" si="35"/>
        <v>2655.0961056434717</v>
      </c>
      <c r="G213" s="14">
        <f t="shared" si="36"/>
        <v>15487.914570738611</v>
      </c>
      <c r="H213" s="24">
        <f t="shared" si="34"/>
        <v>805.82948722352569</v>
      </c>
      <c r="I213" s="12">
        <f t="shared" si="37"/>
        <v>1.7988338624255789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646.81415474953189</v>
      </c>
      <c r="F214" s="24">
        <f t="shared" si="35"/>
        <v>2629.0434301364799</v>
      </c>
      <c r="G214" s="14">
        <f t="shared" si="36"/>
        <v>15395.543574786989</v>
      </c>
      <c r="H214" s="24">
        <f t="shared" si="34"/>
        <v>808.58791991548992</v>
      </c>
      <c r="I214" s="12">
        <f t="shared" si="37"/>
        <v>1.7809959310909704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648.59515068062285</v>
      </c>
      <c r="F215" s="24">
        <f t="shared" si="35"/>
        <v>2603.3416363255442</v>
      </c>
      <c r="G215" s="14">
        <f t="shared" si="36"/>
        <v>15303.720443853168</v>
      </c>
      <c r="H215" s="24">
        <f t="shared" si="34"/>
        <v>811.42835314842387</v>
      </c>
      <c r="I215" s="12">
        <f t="shared" si="37"/>
        <v>1.7631895931720194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650.35834027379485</v>
      </c>
      <c r="F216" s="24">
        <f t="shared" si="35"/>
        <v>2577.9908850471088</v>
      </c>
      <c r="G216" s="14">
        <f t="shared" si="36"/>
        <v>15212.4773992501</v>
      </c>
      <c r="H216" s="24">
        <f t="shared" si="34"/>
        <v>814.354105120996</v>
      </c>
      <c r="I216" s="12">
        <f t="shared" si="37"/>
        <v>1.7454159621167287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652.10375623591153</v>
      </c>
      <c r="F217" s="24">
        <f t="shared" si="35"/>
        <v>2552.9912951121928</v>
      </c>
      <c r="G217" s="14">
        <f t="shared" si="36"/>
        <v>15121.846300851596</v>
      </c>
      <c r="H217" s="24">
        <f t="shared" si="34"/>
        <v>817.36866794442858</v>
      </c>
      <c r="I217" s="12">
        <f t="shared" si="37"/>
        <v>1.7276759970142535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653.83143223292575</v>
      </c>
      <c r="F218" s="24">
        <f t="shared" si="35"/>
        <v>2528.3429474462851</v>
      </c>
      <c r="G218" s="14">
        <f t="shared" si="36"/>
        <v>15031.858658176647</v>
      </c>
      <c r="H218" s="24">
        <f t="shared" si="34"/>
        <v>820.47571872651292</v>
      </c>
      <c r="I218" s="12">
        <f t="shared" si="37"/>
        <v>1.7099705001381618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655.54140273306393</v>
      </c>
      <c r="F219" s="24">
        <f t="shared" si="35"/>
        <v>2504.0458892838333</v>
      </c>
      <c r="G219" s="14">
        <f t="shared" si="36"/>
        <v>14942.545642578778</v>
      </c>
      <c r="H219" s="24">
        <f t="shared" si="34"/>
        <v>823.67913147867102</v>
      </c>
      <c r="I219" s="12">
        <f t="shared" si="37"/>
        <v>1.6923001144620935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657.23370284752605</v>
      </c>
      <c r="F220" s="24">
        <f t="shared" si="35"/>
        <v>2480.1001384180836</v>
      </c>
      <c r="G220" s="14">
        <f t="shared" si="36"/>
        <v>14853.938100544423</v>
      </c>
      <c r="H220" s="24">
        <f t="shared" si="34"/>
        <v>826.98298991538866</v>
      </c>
      <c r="I220" s="12">
        <f t="shared" si="37"/>
        <v>1.6746653211457798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658.90836816867181</v>
      </c>
      <c r="F221" s="24">
        <f t="shared" si="35"/>
        <v>2456.5056875072114</v>
      </c>
      <c r="G221" s="14">
        <f t="shared" si="36"/>
        <v>14766.066568101354</v>
      </c>
      <c r="H221" s="24">
        <f t="shared" si="34"/>
        <v>830.39160122183637</v>
      </c>
      <c r="I221" s="12">
        <f t="shared" si="37"/>
        <v>1.6570664369898087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660.56543460566161</v>
      </c>
      <c r="F222" s="24">
        <f t="shared" si="35"/>
        <v>2433.2625084378292</v>
      </c>
      <c r="G222" s="14">
        <f t="shared" si="36"/>
        <v>14678.96128634146</v>
      </c>
      <c r="H222" s="24">
        <f t="shared" si="34"/>
        <v>833.90951087265535</v>
      </c>
      <c r="I222" s="12">
        <f t="shared" si="37"/>
        <v>1.6395036118587005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662.20493821752029</v>
      </c>
      <c r="F223" s="24">
        <f t="shared" si="35"/>
        <v>2410.3705567467046</v>
      </c>
      <c r="G223" s="14">
        <f t="shared" si="36"/>
        <v>14592.652218057317</v>
      </c>
      <c r="H223" s="24">
        <f t="shared" si="34"/>
        <v>837.54151859277795</v>
      </c>
      <c r="I223" s="12">
        <f t="shared" si="37"/>
        <v>1.6219768260723324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663.82691504359263</v>
      </c>
      <c r="F224" s="24">
        <f t="shared" si="35"/>
        <v>2387.8297761017534</v>
      </c>
      <c r="G224" s="14">
        <f t="shared" si="36"/>
        <v>14507.169065494581</v>
      </c>
      <c r="H224" s="24">
        <f t="shared" si="34"/>
        <v>841.2926955598715</v>
      </c>
      <c r="I224" s="12">
        <f t="shared" si="37"/>
        <v>1.6044858877672272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665.43140093135992</v>
      </c>
      <c r="F225" s="24">
        <f t="shared" si="35"/>
        <v>2365.6401028432128</v>
      </c>
      <c r="G225" s="14">
        <f t="shared" si="36"/>
        <v>14422.541289219351</v>
      </c>
      <c r="H225" s="24">
        <f t="shared" si="34"/>
        <v>845.16840295761904</v>
      </c>
      <c r="I225" s="12">
        <f t="shared" si="37"/>
        <v>1.5870304302303455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667.01843136159027</v>
      </c>
      <c r="F226" s="24">
        <f t="shared" si="35"/>
        <v>2343.8014705857909</v>
      </c>
      <c r="G226" s="14">
        <f t="shared" si="36"/>
        <v>14338.798128098711</v>
      </c>
      <c r="H226" s="24">
        <f t="shared" si="34"/>
        <v>849.17431199969747</v>
      </c>
      <c r="I226" s="12">
        <f t="shared" si="37"/>
        <v>1.5696099092095379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668.58804127079986</v>
      </c>
      <c r="F227" s="24">
        <f t="shared" si="35"/>
        <v>2322.3138148826538</v>
      </c>
      <c r="G227" s="14">
        <f t="shared" si="36"/>
        <v>14255.968620392598</v>
      </c>
      <c r="H227" s="24">
        <f t="shared" si="34"/>
        <v>853.31642555608119</v>
      </c>
      <c r="I227" s="12">
        <f t="shared" si="37"/>
        <v>1.5522236002067744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670.14026487100659</v>
      </c>
      <c r="F228" s="24">
        <f t="shared" si="35"/>
        <v>2301.1770779516837</v>
      </c>
      <c r="G228" s="14">
        <f t="shared" si="36"/>
        <v>14174.081625951687</v>
      </c>
      <c r="H228" s="24">
        <f t="shared" si="34"/>
        <v>857.60110152632808</v>
      </c>
      <c r="I228" s="12">
        <f t="shared" si="37"/>
        <v>1.5348705957621378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671.67513546676878</v>
      </c>
      <c r="F229" s="24">
        <f t="shared" si="35"/>
        <v>2280.3912134645202</v>
      </c>
      <c r="G229" s="14">
        <f t="shared" si="36"/>
        <v>14093.165849515442</v>
      </c>
      <c r="H229" s="24">
        <f t="shared" si="34"/>
        <v>862.0350781189386</v>
      </c>
      <c r="I229" s="12">
        <f t="shared" si="37"/>
        <v>1.5175498027391188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673.19268526950793</v>
      </c>
      <c r="F230" s="24">
        <f t="shared" si="35"/>
        <v>2259.9561913984558</v>
      </c>
      <c r="G230" s="14">
        <f t="shared" si="36"/>
        <v>14013.249865101574</v>
      </c>
      <c r="H230" s="24">
        <f t="shared" si="34"/>
        <v>866.62550121186416</v>
      </c>
      <c r="I230" s="12">
        <f t="shared" si="37"/>
        <v>1.5002599396244787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674.6929452091324</v>
      </c>
      <c r="F231" s="24">
        <f t="shared" si="35"/>
        <v>2239.8720029509095</v>
      </c>
      <c r="G231" s="14">
        <f t="shared" si="36"/>
        <v>13934.362141475594</v>
      </c>
      <c r="H231" s="24">
        <f t="shared" si="34"/>
        <v>871.37995398698615</v>
      </c>
      <c r="I231" s="12">
        <f t="shared" si="37"/>
        <v>1.4829995338591011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676.17594474299153</v>
      </c>
      <c r="F232" s="24">
        <f t="shared" si="35"/>
        <v>2220.1386655158985</v>
      </c>
      <c r="G232" s="14">
        <f t="shared" si="36"/>
        <v>13856.531068685401</v>
      </c>
      <c r="H232" s="24">
        <f t="shared" si="34"/>
        <v>876.30648905105704</v>
      </c>
      <c r="I232" s="12">
        <f t="shared" si="37"/>
        <v>1.4657669192199037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677.64171166221149</v>
      </c>
      <c r="F233" s="24">
        <f t="shared" si="35"/>
        <v>2200.7562277213678</v>
      </c>
      <c r="G233" s="14">
        <f t="shared" si="36"/>
        <v>13779.784985643219</v>
      </c>
      <c r="H233" s="24">
        <f t="shared" si="34"/>
        <v>881.41366327745641</v>
      </c>
      <c r="I233" s="12">
        <f t="shared" si="37"/>
        <v>1.4485602332771221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679.09027189548863</v>
      </c>
      <c r="F234" s="24">
        <f t="shared" si="35"/>
        <v>2181.7247745255827</v>
      </c>
      <c r="G234" s="14">
        <f t="shared" si="36"/>
        <v>13704.152208730982</v>
      </c>
      <c r="H234" s="24">
        <f t="shared" si="34"/>
        <v>886.71057562739441</v>
      </c>
      <c r="I234" s="12">
        <f t="shared" si="37"/>
        <v>1.4313774149558511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680.52164931044445</v>
      </c>
      <c r="F235" s="24">
        <f t="shared" si="35"/>
        <v>2163.044432370094</v>
      </c>
      <c r="G235" s="14">
        <f t="shared" si="36"/>
        <v>13629.661061401233</v>
      </c>
      <c r="H235" s="24">
        <f t="shared" si="34"/>
        <v>892.2069082361927</v>
      </c>
      <c r="I235" s="12">
        <f t="shared" si="37"/>
        <v>1.4142162022362286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681.93586551268072</v>
      </c>
      <c r="F236" s="24">
        <f t="shared" si="35"/>
        <v>2144.7153743859958</v>
      </c>
      <c r="G236" s="14">
        <f t="shared" si="36"/>
        <v>13556.339904738916</v>
      </c>
      <c r="H236" s="24">
        <f t="shared" si="34"/>
        <v>897.91297108030494</v>
      </c>
      <c r="I236" s="12">
        <f t="shared" si="37"/>
        <v>1.3970741300326848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683.33293964271343</v>
      </c>
      <c r="F237" s="24">
        <f t="shared" si="35"/>
        <v>2126.7378256490501</v>
      </c>
      <c r="G237" s="14">
        <f t="shared" si="36"/>
        <v>13484.217168942228</v>
      </c>
      <c r="H237" s="24">
        <f t="shared" si="34"/>
        <v>903.83975057416751</v>
      </c>
      <c r="I237" s="12">
        <f t="shared" si="37"/>
        <v>1.3799485282995445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684.71288817101299</v>
      </c>
      <c r="F238" s="24">
        <f t="shared" si="35"/>
        <v>2109.1120684781204</v>
      </c>
      <c r="G238" s="14">
        <f t="shared" si="36"/>
        <v>13413.321385672185</v>
      </c>
      <c r="H238" s="24">
        <f t="shared" si="34"/>
        <v>909.99896248321716</v>
      </c>
      <c r="I238" s="12">
        <f t="shared" si="37"/>
        <v>1.362836520417968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686.07572469143099</v>
      </c>
      <c r="F239" s="24">
        <f t="shared" si="35"/>
        <v>2091.8384477700897</v>
      </c>
      <c r="G239" s="14">
        <f t="shared" si="36"/>
        <v>13343.681221210862</v>
      </c>
      <c r="H239" s="24">
        <f t="shared" si="34"/>
        <v>916.40310958089185</v>
      </c>
      <c r="I239" s="12">
        <f t="shared" si="37"/>
        <v>1.3457350219279385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687.4214597133589</v>
      </c>
      <c r="F240" s="24">
        <f t="shared" si="35"/>
        <v>2074.9173763626004</v>
      </c>
      <c r="G240" s="14">
        <f t="shared" si="36"/>
        <v>13275.325510357357</v>
      </c>
      <c r="H240" s="24">
        <f t="shared" si="34"/>
        <v>923.06554452371392</v>
      </c>
      <c r="I240" s="12">
        <f t="shared" si="37"/>
        <v>1.3286407396786895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688.75010045303759</v>
      </c>
      <c r="F241" s="24">
        <f t="shared" si="35"/>
        <v>2058.3493404143783</v>
      </c>
      <c r="G241" s="14">
        <f t="shared" si="36"/>
        <v>13208.28329097696</v>
      </c>
      <c r="H241" s="24">
        <f t="shared" si="34"/>
        <v>930.00053847017284</v>
      </c>
      <c r="I241" s="12">
        <f t="shared" si="37"/>
        <v>1.311550171481773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690.06165062451942</v>
      </c>
      <c r="F242" s="24">
        <f t="shared" si="35"/>
        <v>2042.1349047906006</v>
      </c>
      <c r="G242" s="14">
        <f t="shared" si="36"/>
        <v>13142.583839105391</v>
      </c>
      <c r="H242" s="24">
        <f t="shared" ref="H242:H305" si="43">IF(E242&lt;600,425+0.773*E242-1.69/1000*E242^2+2.22/1000^2*E242^3,IF(E242&lt;735,666+13002/(738-E242),IF(E242&lt;900,545+17820/(E242-731),650)))</f>
        <v>937.22335602673547</v>
      </c>
      <c r="I242" s="12">
        <f t="shared" si="37"/>
        <v>1.2944596063631033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691.35611023088256</v>
      </c>
      <c r="F243" s="24">
        <f t="shared" si="35"/>
        <v>2026.274718438438</v>
      </c>
      <c r="G243" s="14">
        <f t="shared" si="36"/>
        <v>13078.256704491112</v>
      </c>
      <c r="H243" s="24">
        <f t="shared" si="43"/>
        <v>944.75033716867506</v>
      </c>
      <c r="I243" s="12">
        <f t="shared" si="37"/>
        <v>1.2773651255234666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692.63347535640605</v>
      </c>
      <c r="F244" s="24">
        <f t="shared" si="35"/>
        <v>2010.7695197352173</v>
      </c>
      <c r="G244" s="14">
        <f t="shared" si="36"/>
        <v>13015.331746442704</v>
      </c>
      <c r="H244" s="24">
        <f t="shared" si="43"/>
        <v>952.59898685529947</v>
      </c>
      <c r="I244" s="12">
        <f t="shared" si="37"/>
        <v>1.2602626041319942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693.89373796053803</v>
      </c>
      <c r="F245" s="24">
        <f t="shared" si="35"/>
        <v>1995.6201417883362</v>
      </c>
      <c r="G245" s="14">
        <f t="shared" si="36"/>
        <v>12953.839169822508</v>
      </c>
      <c r="H245" s="24">
        <f t="shared" si="43"/>
        <v>960.78807313952575</v>
      </c>
      <c r="I245" s="12">
        <f t="shared" si="37"/>
        <v>1.2431477140929061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695.13688567463089</v>
      </c>
      <c r="F246" s="24">
        <f t="shared" si="35"/>
        <v>1980.8275176628513</v>
      </c>
      <c r="G246" s="14">
        <f t="shared" si="36"/>
        <v>12893.80956100764</v>
      </c>
      <c r="H246" s="24">
        <f t="shared" si="43"/>
        <v>969.33773466163166</v>
      </c>
      <c r="I246" s="12">
        <f t="shared" si="37"/>
        <v>1.2260159279438827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696.36290160257477</v>
      </c>
      <c r="F247" s="24">
        <f t="shared" si="35"/>
        <v>1966.3926855083844</v>
      </c>
      <c r="G247" s="14">
        <f t="shared" si="36"/>
        <v>12835.273923607749</v>
      </c>
      <c r="H247" s="24">
        <f t="shared" si="43"/>
        <v>978.26959851755714</v>
      </c>
      <c r="I247" s="12">
        <f t="shared" si="37"/>
        <v>1.2088625240632671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697.57176412663807</v>
      </c>
      <c r="F248" s="24">
        <f t="shared" si="35"/>
        <v>1952.3167935528109</v>
      </c>
      <c r="G248" s="14">
        <f t="shared" si="36"/>
        <v>12778.263713700533</v>
      </c>
      <c r="H248" s="24">
        <f t="shared" si="43"/>
        <v>987.60690960465547</v>
      </c>
      <c r="I248" s="12">
        <f t="shared" si="37"/>
        <v>1.1916825933842725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698.76344672002233</v>
      </c>
      <c r="F249" s="24">
        <f t="shared" si="35"/>
        <v>1938.6011049250696</v>
      </c>
      <c r="G249" s="14">
        <f t="shared" si="36"/>
        <v>12722.810874311148</v>
      </c>
      <c r="H249" s="24">
        <f t="shared" si="43"/>
        <v>997.37467267378179</v>
      </c>
      <c r="I249" s="12">
        <f t="shared" si="37"/>
        <v>1.1744710478365348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699.93791776785883</v>
      </c>
      <c r="F250" s="24">
        <f t="shared" si="35"/>
        <v>1925.2470022640323</v>
      </c>
      <c r="G250" s="14">
        <f t="shared" si="36"/>
        <v>12668.94786882114</v>
      </c>
      <c r="H250" s="24">
        <f t="shared" si="43"/>
        <v>1007.5998084576829</v>
      </c>
      <c r="I250" s="12">
        <f t="shared" si="37"/>
        <v>1.1572226307588196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701.09514039861767</v>
      </c>
      <c r="F251" s="24">
        <f t="shared" si="35"/>
        <v>1912.2559920641975</v>
      </c>
      <c r="G251" s="14">
        <f t="shared" si="36"/>
        <v>12616.707712952764</v>
      </c>
      <c r="H251" s="24">
        <f t="shared" si="43"/>
        <v>1018.3113254036873</v>
      </c>
      <c r="I251" s="12">
        <f t="shared" si="37"/>
        <v>1.1399319295517483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702.23507232816939</v>
      </c>
      <c r="F252" s="24">
        <f t="shared" si="35"/>
        <v>1899.6297087023008</v>
      </c>
      <c r="G252" s="14">
        <f t="shared" si="36"/>
        <v>12566.124004924748</v>
      </c>
      <c r="H252" s="24">
        <f t="shared" si="43"/>
        <v>1029.5405087157694</v>
      </c>
      <c r="I252" s="12">
        <f t="shared" si="37"/>
        <v>1.122593390864967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703.35766571903434</v>
      </c>
      <c r="F253" s="24">
        <f t="shared" si="35"/>
        <v>1887.3699180815238</v>
      </c>
      <c r="G253" s="14">
        <f t="shared" si="36"/>
        <v>12517.230953325892</v>
      </c>
      <c r="H253" s="24">
        <f t="shared" si="43"/>
        <v>1041.3211286095116</v>
      </c>
      <c r="I253" s="12">
        <f t="shared" si="37"/>
        <v>1.1052013386397106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704.46286705767409</v>
      </c>
      <c r="F254" s="24">
        <f t="shared" si="35"/>
        <v>1875.4785208220396</v>
      </c>
      <c r="G254" s="14">
        <f t="shared" si="36"/>
        <v>12470.063402195545</v>
      </c>
      <c r="H254" s="24">
        <f t="shared" si="43"/>
        <v>1053.6896699058816</v>
      </c>
      <c r="I254" s="12">
        <f t="shared" si="37"/>
        <v>1.0877499953541174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705.55061705302819</v>
      </c>
      <c r="F255" s="24">
        <f t="shared" si="35"/>
        <v>1863.9575549178119</v>
      </c>
      <c r="G255" s="14">
        <f t="shared" si="36"/>
        <v>12424.656852738914</v>
      </c>
      <c r="H255" s="24">
        <f t="shared" si="43"/>
        <v>1066.6855853390998</v>
      </c>
      <c r="I255" s="12">
        <f t="shared" si="37"/>
        <v>1.070233506844499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706.62085055987268</v>
      </c>
      <c r="F256" s="24">
        <f t="shared" si="35"/>
        <v>1852.8091977703923</v>
      </c>
      <c r="G256" s="14">
        <f t="shared" si="36"/>
        <v>12381.047481040534</v>
      </c>
      <c r="H256" s="24">
        <f t="shared" si="43"/>
        <v>1080.3515752333676</v>
      </c>
      <c r="I256" s="12">
        <f t="shared" si="37"/>
        <v>1.052645971100322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707.67349653097301</v>
      </c>
      <c r="F257" s="24">
        <f t="shared" si="35"/>
        <v>1842.035767500377</v>
      </c>
      <c r="G257" s="14">
        <f t="shared" si="36"/>
        <v>12339.272151067811</v>
      </c>
      <c r="H257" s="24">
        <f t="shared" si="43"/>
        <v>1094.7338965165959</v>
      </c>
      <c r="I257" s="12">
        <f t="shared" si="37"/>
        <v>1.0349814714524606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708.70847800242552</v>
      </c>
      <c r="F258" s="24">
        <f t="shared" si="35"/>
        <v>1831.6397234267952</v>
      </c>
      <c r="G258" s="14">
        <f t="shared" si="36"/>
        <v>12299.36842218369</v>
      </c>
      <c r="H258" s="24">
        <f t="shared" si="43"/>
        <v>1109.8827043905962</v>
      </c>
      <c r="I258" s="12">
        <f t="shared" si="37"/>
        <v>1.0172341145924393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709.72571211701791</v>
      </c>
      <c r="F259" s="24">
        <f t="shared" si="35"/>
        <v>1821.6236655936855</v>
      </c>
      <c r="G259" s="14">
        <f t="shared" si="36"/>
        <v>12261.374550309763</v>
      </c>
      <c r="H259" s="24">
        <f t="shared" si="43"/>
        <v>1125.8524303710483</v>
      </c>
      <c r="I259" s="12">
        <f t="shared" si="37"/>
        <v>0.99939807387288981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710.72511019089075</v>
      </c>
      <c r="F260" s="24">
        <f t="shared" si="35"/>
        <v>1811.9903332118668</v>
      </c>
      <c r="G260" s="14">
        <f t="shared" si="36"/>
        <v>12225.329481800864</v>
      </c>
      <c r="H260" s="24">
        <f t="shared" si="43"/>
        <v>1142.7022008520671</v>
      </c>
      <c r="I260" s="12">
        <f t="shared" si="37"/>
        <v>0.98146763834446504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711.70657782923524</v>
      </c>
      <c r="F261" s="24">
        <f t="shared" si="35"/>
        <v>1802.7426018726346</v>
      </c>
      <c r="G261" s="14">
        <f t="shared" si="36"/>
        <v>12191.272839013245</v>
      </c>
      <c r="H261" s="24">
        <f t="shared" si="43"/>
        <v>1160.496300845035</v>
      </c>
      <c r="I261" s="12">
        <f t="shared" si="37"/>
        <v>0.96343726797988594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712.67001509721513</v>
      </c>
      <c r="F262" s="24">
        <f t="shared" si="35"/>
        <v>1793.8834793786414</v>
      </c>
      <c r="G262" s="14">
        <f t="shared" si="36"/>
        <v>12159.244896465774</v>
      </c>
      <c r="H262" s="24">
        <f t="shared" si="43"/>
        <v>1179.3046880959851</v>
      </c>
      <c r="I262" s="12">
        <f t="shared" si="37"/>
        <v>0.94530165551831724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713.61531675273341</v>
      </c>
      <c r="F263" s="24">
        <f t="shared" si="35"/>
        <v>1785.4161000266031</v>
      </c>
      <c r="G263" s="14">
        <f t="shared" si="36"/>
        <v>12129.286546418662</v>
      </c>
      <c r="H263" s="24">
        <f t="shared" si="43"/>
        <v>1199.2035634072656</v>
      </c>
      <c r="I263" s="12">
        <f t="shared" si="37"/>
        <v>0.92705579533062088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714.54237254806401</v>
      </c>
      <c r="F264" s="24">
        <f t="shared" si="35"/>
        <v>1777.3437171662977</v>
      </c>
      <c r="G264" s="14">
        <f t="shared" si="36"/>
        <v>12101.439252620627</v>
      </c>
      <c r="H264" s="24">
        <f t="shared" si="43"/>
        <v>1220.2760036853992</v>
      </c>
      <c r="I264" s="12">
        <f t="shared" si="37"/>
        <v>0.90869505965401509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715.45106760771807</v>
      </c>
      <c r="F265" s="24">
        <f t="shared" si="35"/>
        <v>1769.6696938516936</v>
      </c>
      <c r="G265" s="14">
        <f t="shared" si="36"/>
        <v>12075.744990913257</v>
      </c>
      <c r="H265" s="24">
        <f t="shared" si="43"/>
        <v>1242.6126650169185</v>
      </c>
      <c r="I265" s="12">
        <f t="shared" si="37"/>
        <v>0.89021528246997672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716.34128289018804</v>
      </c>
      <c r="F266" s="24">
        <f t="shared" si="35"/>
        <v>1762.3974913932045</v>
      </c>
      <c r="G266" s="14">
        <f t="shared" si="36"/>
        <v>12052.246175330574</v>
      </c>
      <c r="H266" s="24">
        <f t="shared" si="43"/>
        <v>1266.3125639472782</v>
      </c>
      <c r="I266" s="12">
        <f t="shared" si="37"/>
        <v>0.87161285119759768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717.21289574138564</v>
      </c>
      <c r="F267" s="24">
        <f t="shared" si="35"/>
        <v>1755.5306556156411</v>
      </c>
      <c r="G267" s="14">
        <f t="shared" si="36"/>
        <v>12030.985568299033</v>
      </c>
      <c r="H267" s="24">
        <f t="shared" si="43"/>
        <v>1291.4839461158645</v>
      </c>
      <c r="I267" s="12">
        <f t="shared" si="37"/>
        <v>0.85288480624194418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718.06578054762758</v>
      </c>
      <c r="F268" s="24">
        <f t="shared" si="35"/>
        <v>1749.0728006256745</v>
      </c>
      <c r="G268" s="14">
        <f t="shared" si="36"/>
        <v>12012.006173532949</v>
      </c>
      <c r="H268" s="24">
        <f t="shared" si="43"/>
        <v>1318.2452524948301</v>
      </c>
      <c r="I268" s="12">
        <f t="shared" si="37"/>
        <v>0.83402894826926022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718.89980949589687</v>
      </c>
      <c r="F269" s="24">
        <f t="shared" si="35"/>
        <v>1743.0275898955101</v>
      </c>
      <c r="G269" s="14">
        <f t="shared" si="36"/>
        <v>11995.351110239619</v>
      </c>
      <c r="H269" s="24">
        <f t="shared" si="43"/>
        <v>1346.7261947050683</v>
      </c>
      <c r="I269" s="12">
        <f t="shared" si="37"/>
        <v>0.81504395287416775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719.71485344877101</v>
      </c>
      <c r="F270" s="24">
        <f t="shared" si="35"/>
        <v>1737.3987144781779</v>
      </c>
      <c r="G270" s="14">
        <f t="shared" si="36"/>
        <v>11981.063467302314</v>
      </c>
      <c r="H270" s="24">
        <f t="shared" si="43"/>
        <v>1377.0689522543698</v>
      </c>
      <c r="I270" s="12">
        <f t="shared" si="37"/>
        <v>0.79592949205534913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720.5107829408264</v>
      </c>
      <c r="F271" s="24">
        <f t="shared" si="35"/>
        <v>1732.1898681841446</v>
      </c>
      <c r="G271" s="14">
        <f t="shared" si="36"/>
        <v>11969.186136207974</v>
      </c>
      <c r="H271" s="24">
        <f t="shared" si="43"/>
        <v>1409.429506078437</v>
      </c>
      <c r="I271" s="12">
        <f t="shared" si="37"/>
        <v>0.7766863616234384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721.28746930244984</v>
      </c>
      <c r="F272" s="24">
        <f t="shared" si="35"/>
        <v>1727.4047195710777</v>
      </c>
      <c r="G272" s="14">
        <f t="shared" si="36"/>
        <v>11959.761621634132</v>
      </c>
      <c r="H272" s="24">
        <f t="shared" si="43"/>
        <v>1443.9791244844755</v>
      </c>
      <c r="I272" s="12">
        <f t="shared" si="37"/>
        <v>0.75731661332747291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722.04478591577731</v>
      </c>
      <c r="F273" s="24">
        <f t="shared" ref="F273:F336" si="44">AlphaC*(D273-E273)</f>
        <v>1723.0468806287463</v>
      </c>
      <c r="G273" s="14">
        <f t="shared" ref="G273:G336" si="45">Phi*EpsilonF*Botzman/10^8*J273*((D273+273)^4-(E273+273)^4)</f>
        <v>11952.831828817318</v>
      </c>
      <c r="H273" s="24">
        <f t="shared" si="43"/>
        <v>1480.9060195222969</v>
      </c>
      <c r="I273" s="12">
        <f t="shared" ref="I273:I336" si="46">ksh*Massivete/(H273*RhoA)*DeltaT*(F273+G273)</f>
        <v>0.73782369010584792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722.78260960588318</v>
      </c>
      <c r="F274" s="24">
        <f t="shared" si="44"/>
        <v>1719.119872081083</v>
      </c>
      <c r="G274" s="14">
        <f t="shared" si="45"/>
        <v>11948.437827099127</v>
      </c>
      <c r="H274" s="24">
        <f t="shared" si="43"/>
        <v>1520.4171939642615</v>
      </c>
      <c r="I274" s="12">
        <f t="shared" si="46"/>
        <v>0.71821256244887899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723.50082216833209</v>
      </c>
      <c r="F275" s="24">
        <f t="shared" si="44"/>
        <v>1715.6270852775579</v>
      </c>
      <c r="G275" s="14">
        <f t="shared" si="45"/>
        <v>11946.619589390695</v>
      </c>
      <c r="H275" s="24">
        <f t="shared" si="43"/>
        <v>1562.7405014925816</v>
      </c>
      <c r="I275" s="12">
        <f t="shared" si="46"/>
        <v>0.69848986341021424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724.19931203174235</v>
      </c>
      <c r="F276" s="24">
        <f t="shared" si="44"/>
        <v>1712.5717407077473</v>
      </c>
      <c r="G276" s="14">
        <f t="shared" si="45"/>
        <v>11947.415707724957</v>
      </c>
      <c r="H276" s="24">
        <f t="shared" si="43"/>
        <v>1608.1269454033977</v>
      </c>
      <c r="I276" s="12">
        <f t="shared" si="46"/>
        <v>0.67866401933604159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724.87797605107835</v>
      </c>
      <c r="F277" s="24">
        <f t="shared" si="44"/>
        <v>1709.9568432461922</v>
      </c>
      <c r="G277" s="14">
        <f t="shared" si="45"/>
        <v>11950.86308556915</v>
      </c>
      <c r="H277" s="24">
        <f t="shared" si="43"/>
        <v>1656.8532441802536</v>
      </c>
      <c r="I277" s="12">
        <f t="shared" si="46"/>
        <v>0.65874537290997859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725.5367214239883</v>
      </c>
      <c r="F278" s="24">
        <f t="shared" si="44"/>
        <v>1707.7851343195816</v>
      </c>
      <c r="G278" s="14">
        <f t="shared" si="45"/>
        <v>11956.996608162324</v>
      </c>
      <c r="H278" s="24">
        <f t="shared" si="43"/>
        <v>1709.2246957092962</v>
      </c>
      <c r="I278" s="12">
        <f t="shared" si="46"/>
        <v>0.63874629466000299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726.17546771864829</v>
      </c>
      <c r="F279" s="24">
        <f t="shared" si="44"/>
        <v>1706.0590412849137</v>
      </c>
      <c r="G279" s="14">
        <f t="shared" si="45"/>
        <v>11965.848792811454</v>
      </c>
      <c r="H279" s="24">
        <f t="shared" si="43"/>
        <v>1765.5783757557379</v>
      </c>
      <c r="I279" s="12">
        <f t="shared" si="46"/>
        <v>0.61868127866788036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726.79414899731614</v>
      </c>
      <c r="F280" s="24">
        <f t="shared" si="44"/>
        <v>1704.7806244134817</v>
      </c>
      <c r="G280" s="14">
        <f t="shared" si="45"/>
        <v>11977.449421819463</v>
      </c>
      <c r="H280" s="24">
        <f t="shared" si="43"/>
        <v>1826.2867106555277</v>
      </c>
      <c r="I280" s="12">
        <f t="shared" si="46"/>
        <v>0.59856701789238431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727.39271601520852</v>
      </c>
      <c r="F281" s="24">
        <f t="shared" si="44"/>
        <v>1703.9515219903678</v>
      </c>
      <c r="G281" s="14">
        <f t="shared" si="45"/>
        <v>11991.825161517898</v>
      </c>
      <c r="H281" s="24">
        <f t="shared" si="43"/>
        <v>1891.7614690661642</v>
      </c>
      <c r="I281" s="12">
        <f t="shared" si="46"/>
        <v>0.57842245430048078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727.97113846950901</v>
      </c>
      <c r="F282" s="24">
        <f t="shared" si="44"/>
        <v>1703.5728941593702</v>
      </c>
      <c r="G282" s="14">
        <f t="shared" si="45"/>
        <v>12008.999171718431</v>
      </c>
      <c r="H282" s="24">
        <f t="shared" si="43"/>
        <v>1962.4582231462375</v>
      </c>
      <c r="I282" s="12">
        <f t="shared" si="46"/>
        <v>0.55826879893275061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728.52940726844179</v>
      </c>
      <c r="F283" s="24">
        <f t="shared" si="44"/>
        <v>1703.6453662649619</v>
      </c>
      <c r="G283" s="14">
        <f t="shared" si="45"/>
        <v>12028.990710745009</v>
      </c>
      <c r="H283" s="24">
        <f t="shared" si="43"/>
        <v>2038.8813357873914</v>
      </c>
      <c r="I283" s="12">
        <f t="shared" si="46"/>
        <v>0.53812951714740287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729.06753678558914</v>
      </c>
      <c r="F284" s="24">
        <f t="shared" si="44"/>
        <v>1704.1689725618482</v>
      </c>
      <c r="G284" s="14">
        <f t="shared" si="45"/>
        <v>12051.8147420474</v>
      </c>
      <c r="H284" s="24">
        <f t="shared" si="43"/>
        <v>2121.5895376119438</v>
      </c>
      <c r="I284" s="12">
        <f t="shared" si="46"/>
        <v>0.51803027462664719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729.58556706021579</v>
      </c>
      <c r="F285" s="24">
        <f t="shared" si="44"/>
        <v>1705.1431012731371</v>
      </c>
      <c r="G285" s="14">
        <f t="shared" si="45"/>
        <v>12077.481549169897</v>
      </c>
      <c r="H285" s="24">
        <f t="shared" si="43"/>
        <v>2211.2021654989203</v>
      </c>
      <c r="I285" s="12">
        <f t="shared" si="46"/>
        <v>0.49799884031695396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730.08356590053279</v>
      </c>
      <c r="F286" s="24">
        <f t="shared" si="44"/>
        <v>1706.5664420737505</v>
      </c>
      <c r="G286" s="14">
        <f t="shared" si="45"/>
        <v>12105.996366529109</v>
      </c>
      <c r="H286" s="24">
        <f t="shared" si="43"/>
        <v>2308.4061435533276</v>
      </c>
      <c r="I286" s="12">
        <f t="shared" si="46"/>
        <v>0.47806494332945826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730.5616308438623</v>
      </c>
      <c r="F287" s="24">
        <f t="shared" si="44"/>
        <v>1708.4369371501593</v>
      </c>
      <c r="G287" s="14">
        <f t="shared" si="45"/>
        <v>12137.359033984572</v>
      </c>
      <c r="H287" s="24">
        <f t="shared" si="43"/>
        <v>2413.9637978536639</v>
      </c>
      <c r="I287" s="12">
        <f t="shared" si="46"/>
        <v>0.45826008195123902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731.01989092581357</v>
      </c>
      <c r="F288" s="24">
        <f t="shared" si="44"/>
        <v>1710.7517370336097</v>
      </c>
      <c r="G288" s="14">
        <f t="shared" si="45"/>
        <v>12171.563683523165</v>
      </c>
      <c r="H288" s="24">
        <f t="shared" si="43"/>
        <v>2528.7216081885445</v>
      </c>
      <c r="I288" s="12">
        <f t="shared" si="46"/>
        <v>0.43861728429858521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731.4585082101122</v>
      </c>
      <c r="F289" s="24">
        <f t="shared" si="44"/>
        <v>1713.5071624159423</v>
      </c>
      <c r="G289" s="14">
        <f t="shared" si="45"/>
        <v>12208.598466481342</v>
      </c>
      <c r="H289" s="24">
        <f t="shared" si="43"/>
        <v>2653.6200135417448</v>
      </c>
      <c r="I289" s="12">
        <f t="shared" si="46"/>
        <v>0.41917082174455472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731.8776790318567</v>
      </c>
      <c r="F290" s="24">
        <f t="shared" si="44"/>
        <v>1716.6986731285363</v>
      </c>
      <c r="G290" s="14">
        <f t="shared" si="45"/>
        <v>12248.4453295488</v>
      </c>
      <c r="H290" s="24">
        <f t="shared" si="43"/>
        <v>2789.7044035512376</v>
      </c>
      <c r="I290" s="12">
        <f t="shared" si="46"/>
        <v>0.3999558780182636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732.27763490987502</v>
      </c>
      <c r="F291" s="24">
        <f t="shared" si="44"/>
        <v>1720.3208453926804</v>
      </c>
      <c r="G291" s="14">
        <f t="shared" si="45"/>
        <v>12291.079847319103</v>
      </c>
      <c r="H291" s="24">
        <f t="shared" si="43"/>
        <v>2938.1374458329128</v>
      </c>
      <c r="I291" s="12">
        <f t="shared" si="46"/>
        <v>0.38100817872492715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732.6586430886</v>
      </c>
      <c r="F292" s="24">
        <f t="shared" si="44"/>
        <v>1724.3673583309317</v>
      </c>
      <c r="G292" s="14">
        <f t="shared" si="45"/>
        <v>12336.471118350553</v>
      </c>
      <c r="H292" s="24">
        <f t="shared" si="43"/>
        <v>3100.2129192396742</v>
      </c>
      <c r="I292" s="12">
        <f t="shared" si="46"/>
        <v>0.36236358787773737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733.02100667647778</v>
      </c>
      <c r="F293" s="24">
        <f t="shared" si="44"/>
        <v>1728.830990564046</v>
      </c>
      <c r="G293" s="14">
        <f t="shared" si="45"/>
        <v>12384.581730574635</v>
      </c>
      <c r="H293" s="24">
        <f t="shared" si="43"/>
        <v>3277.3712461864043</v>
      </c>
      <c r="I293" s="12">
        <f t="shared" si="46"/>
        <v>0.34405767975608403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733.36506435623392</v>
      </c>
      <c r="F294" s="24">
        <f t="shared" si="44"/>
        <v>1733.7036275104738</v>
      </c>
      <c r="G294" s="14">
        <f t="shared" si="45"/>
        <v>12435.367800471982</v>
      </c>
      <c r="H294" s="24">
        <f t="shared" si="43"/>
        <v>3471.2169435162459</v>
      </c>
      <c r="I294" s="12">
        <f t="shared" si="46"/>
        <v>0.32612529589690437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733.69118965213079</v>
      </c>
      <c r="F295" s="24">
        <f t="shared" si="44"/>
        <v>1738.9762797600411</v>
      </c>
      <c r="G295" s="14">
        <f t="shared" si="45"/>
        <v>12488.779088750198</v>
      </c>
      <c r="H295" s="24">
        <f t="shared" si="43"/>
        <v>3683.5382414846213</v>
      </c>
      <c r="I295" s="12">
        <f t="shared" si="46"/>
        <v>0.30860009817657713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733.9997897503074</v>
      </c>
      <c r="F296" s="24">
        <f t="shared" si="44"/>
        <v>1744.6391126196204</v>
      </c>
      <c r="G296" s="14">
        <f t="shared" si="45"/>
        <v>12544.759193373116</v>
      </c>
      <c r="H296" s="24">
        <f t="shared" si="43"/>
        <v>3916.3291548235875</v>
      </c>
      <c r="I296" s="12">
        <f t="shared" si="46"/>
        <v>0.29151412965552392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734.29130387996292</v>
      </c>
      <c r="F297" s="24">
        <f t="shared" si="44"/>
        <v>1750.6814866366994</v>
      </c>
      <c r="G297" s="14">
        <f t="shared" si="45"/>
        <v>12603.245818780615</v>
      </c>
      <c r="H297" s="24">
        <f t="shared" si="43"/>
        <v>4171.8143291260058</v>
      </c>
      <c r="I297" s="12">
        <f t="shared" si="46"/>
        <v>0.27489739506561328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734.56620127502856</v>
      </c>
      <c r="F298" s="24">
        <f t="shared" si="44"/>
        <v>1757.092008609854</v>
      </c>
      <c r="G298" s="14">
        <f t="shared" si="45"/>
        <v>12664.171118082966</v>
      </c>
      <c r="H298" s="24">
        <f t="shared" si="43"/>
        <v>4452.4770306559385</v>
      </c>
      <c r="I298" s="12">
        <f t="shared" si="46"/>
        <v>0.25877747248243477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734.82497874751095</v>
      </c>
      <c r="F299" s="24">
        <f t="shared" si="44"/>
        <v>1763.8585923064538</v>
      </c>
      <c r="G299" s="14">
        <f t="shared" si="45"/>
        <v>12727.462103018182</v>
      </c>
      <c r="H299" s="24">
        <f t="shared" si="43"/>
        <v>4761.090698938513</v>
      </c>
      <c r="I299" s="12">
        <f t="shared" si="46"/>
        <v>0.24317916684037066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735.06815791435133</v>
      </c>
      <c r="F300" s="24">
        <f t="shared" si="44"/>
        <v>1770.9685278416146</v>
      </c>
      <c r="G300" s="14">
        <f t="shared" si="45"/>
        <v>12793.041114609914</v>
      </c>
      <c r="H300" s="24">
        <f t="shared" si="43"/>
        <v>4925.3609336638547</v>
      </c>
      <c r="I300" s="12">
        <f t="shared" si="46"/>
        <v>0.2362477874735707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735.30440570182486</v>
      </c>
      <c r="F301" s="24">
        <f t="shared" si="44"/>
        <v>1778.2054691177279</v>
      </c>
      <c r="G301" s="14">
        <f t="shared" si="45"/>
        <v>12859.50426528993</v>
      </c>
      <c r="H301" s="24">
        <f t="shared" si="43"/>
        <v>4684.9443348114637</v>
      </c>
      <c r="I301" s="12">
        <f t="shared" si="46"/>
        <v>0.24962814487626495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735.55403384670115</v>
      </c>
      <c r="F302" s="24">
        <f t="shared" si="44"/>
        <v>1785.0619463441176</v>
      </c>
      <c r="G302" s="14">
        <f t="shared" si="45"/>
        <v>12923.546985512648</v>
      </c>
      <c r="H302" s="24">
        <f t="shared" si="43"/>
        <v>4458.0143955580097</v>
      </c>
      <c r="I302" s="12">
        <f t="shared" si="46"/>
        <v>0.26360581612435968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735.81763966282551</v>
      </c>
      <c r="F303" s="24">
        <f t="shared" si="44"/>
        <v>1791.5233469203372</v>
      </c>
      <c r="G303" s="14">
        <f t="shared" si="45"/>
        <v>12985.068155928073</v>
      </c>
      <c r="H303" s="24">
        <f t="shared" si="43"/>
        <v>4243.9067774215164</v>
      </c>
      <c r="I303" s="12">
        <f t="shared" si="46"/>
        <v>0.2781847288717102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736.09582439169719</v>
      </c>
      <c r="F304" s="24">
        <f t="shared" si="44"/>
        <v>1797.5749567186626</v>
      </c>
      <c r="G304" s="14">
        <f t="shared" si="45"/>
        <v>13043.965420630773</v>
      </c>
      <c r="H304" s="24">
        <f t="shared" si="43"/>
        <v>4041.9807886305421</v>
      </c>
      <c r="I304" s="12">
        <f t="shared" si="46"/>
        <v>0.29336586968828726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736.38919026138547</v>
      </c>
      <c r="F305" s="24">
        <f t="shared" si="44"/>
        <v>1803.2020336574078</v>
      </c>
      <c r="G305" s="14">
        <f t="shared" si="45"/>
        <v>13100.135622174554</v>
      </c>
      <c r="H305" s="24">
        <f t="shared" si="43"/>
        <v>3851.6192017163621</v>
      </c>
      <c r="I305" s="12">
        <f t="shared" si="46"/>
        <v>0.30914701070819584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736.69833727209368</v>
      </c>
      <c r="F306" s="24">
        <f t="shared" si="44"/>
        <v>1808.3898881071691</v>
      </c>
      <c r="G306" s="14">
        <f t="shared" si="45"/>
        <v>13153.475281537767</v>
      </c>
      <c r="H306" s="24">
        <f t="shared" ref="H306:H369" si="52">IF(E306&lt;600,425+0.773*E306-1.69/1000*E306^2+2.22/1000^2*E306^3,IF(E306&lt;735,666+13002/(738-E306),IF(E306&lt;900,545+17820/(E306-731),650)))</f>
        <v>3672.228022684691</v>
      </c>
      <c r="I306" s="12">
        <f t="shared" si="46"/>
        <v>0.32552245325773405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737.02385972535137</v>
      </c>
      <c r="F307" s="24">
        <f t="shared" si="44"/>
        <v>1813.123969705623</v>
      </c>
      <c r="G307" s="14">
        <f t="shared" si="45"/>
        <v>13203.881121000122</v>
      </c>
      <c r="H307" s="24">
        <f t="shared" si="52"/>
        <v>3503.2362160600542</v>
      </c>
      <c r="I307" s="12">
        <f t="shared" si="46"/>
        <v>0.34248279537611392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737.36634252072747</v>
      </c>
      <c r="F308" s="24">
        <f t="shared" si="44"/>
        <v>1817.3899599835295</v>
      </c>
      <c r="G308" s="14">
        <f t="shared" si="45"/>
        <v>13251.250626848339</v>
      </c>
      <c r="H308" s="24">
        <f t="shared" si="52"/>
        <v>3344.0953898540379</v>
      </c>
      <c r="I308" s="12">
        <f t="shared" si="46"/>
        <v>0.36001473033585979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737.72635725106329</v>
      </c>
      <c r="F309" s="24">
        <f t="shared" si="44"/>
        <v>1821.1738700270018</v>
      </c>
      <c r="G309" s="14">
        <f t="shared" si="45"/>
        <v>13295.482647745797</v>
      </c>
      <c r="H309" s="24">
        <f t="shared" si="52"/>
        <v>3194.2794442613117</v>
      </c>
      <c r="I309" s="12">
        <f t="shared" si="46"/>
        <v>0.37810088324118596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738.10445813430442</v>
      </c>
      <c r="F310" s="24">
        <f t="shared" si="44"/>
        <v>1824.4621422240527</v>
      </c>
      <c r="G310" s="14">
        <f t="shared" si="45"/>
        <v>13336.478023506324</v>
      </c>
      <c r="H310" s="24">
        <f t="shared" si="52"/>
        <v>3053.2841876363177</v>
      </c>
      <c r="I310" s="12">
        <f t="shared" si="46"/>
        <v>0.39671969250115152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738.50117782680559</v>
      </c>
      <c r="F311" s="24">
        <f t="shared" si="44"/>
        <v>1827.2417549735992</v>
      </c>
      <c r="G311" s="14">
        <f t="shared" si="45"/>
        <v>13374.14023795046</v>
      </c>
      <c r="H311" s="24">
        <f t="shared" si="52"/>
        <v>2920.6269230573262</v>
      </c>
      <c r="I311" s="12">
        <f t="shared" si="46"/>
        <v>0.41584534241967597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738.91702316922522</v>
      </c>
      <c r="F312" s="24">
        <f t="shared" si="44"/>
        <v>1829.5003290790446</v>
      </c>
      <c r="G312" s="14">
        <f t="shared" si="45"/>
        <v>13408.376088522074</v>
      </c>
      <c r="H312" s="24">
        <f t="shared" si="52"/>
        <v>2795.8460085438801</v>
      </c>
      <c r="I312" s="12">
        <f t="shared" si="46"/>
        <v>0.43544775230873589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739.35247092153395</v>
      </c>
      <c r="F313" s="24">
        <f t="shared" si="44"/>
        <v>1831.2262344132989</v>
      </c>
      <c r="G313" s="14">
        <f t="shared" si="45"/>
        <v>13439.096364457555</v>
      </c>
      <c r="H313" s="24">
        <f t="shared" si="52"/>
        <v>2678.5003937645938</v>
      </c>
      <c r="I313" s="12">
        <f t="shared" si="46"/>
        <v>0.45549262642116567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739.80796354795507</v>
      </c>
      <c r="F314" s="24">
        <f t="shared" si="44"/>
        <v>1832.4086953348399</v>
      </c>
      <c r="G314" s="14">
        <f t="shared" si="45"/>
        <v>13466.216524563766</v>
      </c>
      <c r="H314" s="24">
        <f t="shared" si="52"/>
        <v>2568.1691358597009</v>
      </c>
      <c r="I314" s="12">
        <f t="shared" si="46"/>
        <v>0.47594156763809037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740.28390511559314</v>
      </c>
      <c r="F315" s="24">
        <f t="shared" si="44"/>
        <v>1833.037893260888</v>
      </c>
      <c r="G315" s="14">
        <f t="shared" si="45"/>
        <v>13489.657365114519</v>
      </c>
      <c r="H315" s="24">
        <f t="shared" si="52"/>
        <v>2464.4508968073928</v>
      </c>
      <c r="I315" s="12">
        <f t="shared" si="46"/>
        <v>0.49675225627295627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740.78065737186614</v>
      </c>
      <c r="F316" s="24">
        <f t="shared" si="44"/>
        <v>1833.1050647698817</v>
      </c>
      <c r="G316" s="14">
        <f t="shared" si="45"/>
        <v>13509.345668055365</v>
      </c>
      <c r="H316" s="24">
        <f t="shared" si="52"/>
        <v>2366.9634245913635</v>
      </c>
      <c r="I316" s="12">
        <f t="shared" si="46"/>
        <v>0.51787869362401096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741.29853606549011</v>
      </c>
      <c r="F317" s="24">
        <f t="shared" si="44"/>
        <v>1832.6025936144617</v>
      </c>
      <c r="G317" s="14">
        <f t="shared" si="45"/>
        <v>13525.214819632909</v>
      </c>
      <c r="H317" s="24">
        <f t="shared" si="52"/>
        <v>2275.343020277799</v>
      </c>
      <c r="I317" s="12">
        <f t="shared" si="46"/>
        <v>0.53927150808848301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741.83780757357863</v>
      </c>
      <c r="F318" s="24">
        <f t="shared" si="44"/>
        <v>1831.5240950809907</v>
      </c>
      <c r="G318" s="14">
        <f t="shared" si="45"/>
        <v>13537.20538976261</v>
      </c>
      <c r="H318" s="24">
        <f t="shared" si="52"/>
        <v>2189.2439929864763</v>
      </c>
      <c r="I318" s="12">
        <f t="shared" si="46"/>
        <v>0.56087831982259051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742.39868589340119</v>
      </c>
      <c r="F319" s="24">
        <f t="shared" si="44"/>
        <v>1829.864491231976</v>
      </c>
      <c r="G319" s="14">
        <f t="shared" si="45"/>
        <v>13545.265662912849</v>
      </c>
      <c r="H319" s="24">
        <f t="shared" si="52"/>
        <v>2108.3381046420591</v>
      </c>
      <c r="I319" s="12">
        <f t="shared" si="46"/>
        <v>0.58264415817456139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742.98133005157581</v>
      </c>
      <c r="F320" s="24">
        <f t="shared" si="44"/>
        <v>1827.6200757120619</v>
      </c>
      <c r="G320" s="14">
        <f t="shared" si="45"/>
        <v>13549.352112018123</v>
      </c>
      <c r="H320" s="24">
        <f t="shared" si="52"/>
        <v>2032.3140063157075</v>
      </c>
      <c r="I320" s="12">
        <f t="shared" si="46"/>
        <v>0.60451192451648639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743.5858419760923</v>
      </c>
      <c r="F321" s="24">
        <f t="shared" si="44"/>
        <v>1824.7885669826303</v>
      </c>
      <c r="G321" s="14">
        <f t="shared" si="45"/>
        <v>13549.42980791025</v>
      </c>
      <c r="H321" s="24">
        <f t="shared" si="52"/>
        <v>1960.8766679138637</v>
      </c>
      <c r="I321" s="12">
        <f t="shared" si="46"/>
        <v>0.62642289173085564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744.21226486782314</v>
      </c>
      <c r="F322" s="24">
        <f t="shared" si="44"/>
        <v>1821.3691490686615</v>
      </c>
      <c r="G322" s="14">
        <f t="shared" si="45"/>
        <v>13545.472757950733</v>
      </c>
      <c r="H322" s="24">
        <f t="shared" si="52"/>
        <v>1893.7468029344795</v>
      </c>
      <c r="I322" s="12">
        <f t="shared" si="46"/>
        <v>0.64831723053541979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744.86058209835858</v>
      </c>
      <c r="F323" s="24">
        <f t="shared" si="44"/>
        <v>1817.3624991469155</v>
      </c>
      <c r="G323" s="14">
        <f t="shared" si="45"/>
        <v>13537.464168917068</v>
      </c>
      <c r="H323" s="24">
        <f t="shared" si="52"/>
        <v>1830.6602899895749</v>
      </c>
      <c r="I323" s="12">
        <f t="shared" si="46"/>
        <v>0.67013455210443085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745.53071665046298</v>
      </c>
      <c r="F324" s="24">
        <f t="shared" si="44"/>
        <v>1812.7708015680441</v>
      </c>
      <c r="G324" s="14">
        <f t="shared" si="45"/>
        <v>13525.396630691057</v>
      </c>
      <c r="H324" s="24">
        <f t="shared" si="52"/>
        <v>1771.3675927802376</v>
      </c>
      <c r="I324" s="12">
        <f t="shared" si="46"/>
        <v>0.69181445609617542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746.22253110655913</v>
      </c>
      <c r="F325" s="24">
        <f t="shared" si="44"/>
        <v>1807.5977481774457</v>
      </c>
      <c r="G325" s="14">
        <f t="shared" si="45"/>
        <v>13509.272218865903</v>
      </c>
      <c r="H325" s="24">
        <f t="shared" si="52"/>
        <v>1715.6331802023162</v>
      </c>
      <c r="I325" s="12">
        <f t="shared" si="46"/>
        <v>0.71329707323503588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746.93582817979416</v>
      </c>
      <c r="F326" s="24">
        <f t="shared" si="44"/>
        <v>1801.8485250710596</v>
      </c>
      <c r="G326" s="14">
        <f t="shared" si="45"/>
        <v>13489.102515975879</v>
      </c>
      <c r="H326" s="24">
        <f t="shared" si="52"/>
        <v>1663.2349482529487</v>
      </c>
      <c r="I326" s="12">
        <f t="shared" si="46"/>
        <v>0.73452359200931094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747.67035177180344</v>
      </c>
      <c r="F327" s="24">
        <f t="shared" si="44"/>
        <v>1795.5297861831582</v>
      </c>
      <c r="G327" s="14">
        <f t="shared" si="45"/>
        <v>13464.908552601415</v>
      </c>
      <c r="H327" s="24">
        <f t="shared" si="52"/>
        <v>1613.9636453947601</v>
      </c>
      <c r="I327" s="12">
        <f t="shared" si="46"/>
        <v>0.75543675980218883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748.42578853160558</v>
      </c>
      <c r="F328" s="24">
        <f t="shared" si="44"/>
        <v>1788.6496143454224</v>
      </c>
      <c r="G328" s="14">
        <f t="shared" si="45"/>
        <v>13436.720671063695</v>
      </c>
      <c r="H328" s="24">
        <f t="shared" si="52"/>
        <v>1567.6223030125398</v>
      </c>
      <c r="I328" s="12">
        <f t="shared" si="46"/>
        <v>0.77598134982411393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749.20176988142964</v>
      </c>
      <c r="F329" s="24">
        <f t="shared" si="44"/>
        <v>1781.217470672098</v>
      </c>
      <c r="G329" s="14">
        <f t="shared" si="45"/>
        <v>13404.578315748717</v>
      </c>
      <c r="H329" s="24">
        <f t="shared" si="52"/>
        <v>1524.0256725628014</v>
      </c>
      <c r="I329" s="12">
        <f t="shared" si="46"/>
        <v>0.79610458649928562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749.99787446792891</v>
      </c>
      <c r="F330" s="24">
        <f t="shared" si="44"/>
        <v>1773.2441333101319</v>
      </c>
      <c r="G330" s="14">
        <f t="shared" si="45"/>
        <v>13368.529755262793</v>
      </c>
      <c r="H330" s="24">
        <f t="shared" si="52"/>
        <v>1482.9996709675429</v>
      </c>
      <c r="I330" s="12">
        <f t="shared" si="46"/>
        <v>0.81575652340854365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750.8136309913375</v>
      </c>
      <c r="F331" s="24">
        <f t="shared" si="44"/>
        <v>1764.7416267401297</v>
      </c>
      <c r="G331" s="14">
        <f t="shared" si="45"/>
        <v>13328.631742577361</v>
      </c>
      <c r="H331" s="24">
        <f t="shared" si="52"/>
        <v>1444.38083573833</v>
      </c>
      <c r="I331" s="12">
        <f t="shared" si="46"/>
        <v>0.83489036943251693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751.64852136077002</v>
      </c>
      <c r="F332" s="24">
        <f t="shared" si="44"/>
        <v>1755.7231429233498</v>
      </c>
      <c r="G332" s="14">
        <f t="shared" si="45"/>
        <v>13284.94912007431</v>
      </c>
      <c r="H332" s="24">
        <f t="shared" si="52"/>
        <v>1408.0157912351096</v>
      </c>
      <c r="I332" s="12">
        <f t="shared" si="46"/>
        <v>0.85346276030328239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752.50198412107329</v>
      </c>
      <c r="F333" s="24">
        <f t="shared" si="44"/>
        <v>1746.2029556593677</v>
      </c>
      <c r="G333" s="14">
        <f t="shared" si="45"/>
        <v>13237.554376927088</v>
      </c>
      <c r="H333" s="24">
        <f t="shared" si="52"/>
        <v>1373.7607273663309</v>
      </c>
      <c r="I333" s="12">
        <f t="shared" si="46"/>
        <v>0.87143397429408709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753.37341809536736</v>
      </c>
      <c r="F334" s="24">
        <f t="shared" si="44"/>
        <v>1736.1963295511232</v>
      </c>
      <c r="G334" s="14">
        <f t="shared" si="45"/>
        <v>13186.527166565742</v>
      </c>
      <c r="H334" s="24">
        <f t="shared" si="52"/>
        <v>1341.480891924592</v>
      </c>
      <c r="I334" s="12">
        <f t="shared" si="46"/>
        <v>0.88876809219982256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754.26218618756718</v>
      </c>
      <c r="F335" s="24">
        <f t="shared" si="44"/>
        <v>1725.7194249699323</v>
      </c>
      <c r="G335" s="14">
        <f t="shared" si="45"/>
        <v>13131.953792076572</v>
      </c>
      <c r="H335" s="24">
        <f t="shared" si="52"/>
        <v>1311.0500976268586</v>
      </c>
      <c r="I335" s="12">
        <f t="shared" si="46"/>
        <v>0.90543310304074265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755.16761929060795</v>
      </c>
      <c r="F336" s="24">
        <f t="shared" si="44"/>
        <v>1714.7892003775098</v>
      </c>
      <c r="G336" s="14">
        <f t="shared" si="45"/>
        <v>13073.926667303147</v>
      </c>
      <c r="H336" s="24">
        <f t="shared" si="52"/>
        <v>1282.3502447932567</v>
      </c>
      <c r="I336" s="12">
        <f t="shared" si="46"/>
        <v>0.92140095802605149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756.08902024863403</v>
      </c>
      <c r="F337" s="24">
        <f t="shared" ref="F337:F400" si="53">AlphaC*(D337-E337)</f>
        <v>1703.4233132984723</v>
      </c>
      <c r="G337" s="14">
        <f t="shared" ref="G337:G400" si="54">Phi*EpsilonF*Botzman/10^8*J337*((D337+273)^4-(E337+273)^4)</f>
        <v>13012.543761165038</v>
      </c>
      <c r="H337" s="24">
        <f t="shared" si="52"/>
        <v>1255.2708604561874</v>
      </c>
      <c r="I337" s="12">
        <f t="shared" ref="I337:I400" si="55">ksh*Massivete/(H337*RhoA)*DeltaT*(F337+G337)</f>
        <v>0.93664757622224493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757.02566782485633</v>
      </c>
      <c r="F338" s="24">
        <f t="shared" si="53"/>
        <v>1691.6400211506839</v>
      </c>
      <c r="G338" s="14">
        <f t="shared" si="54"/>
        <v>12947.908032319605</v>
      </c>
      <c r="H338" s="24">
        <f t="shared" si="52"/>
        <v>1229.7086545452894</v>
      </c>
      <c r="I338" s="12">
        <f t="shared" si="55"/>
        <v>0.95115280607492025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757.97682063093123</v>
      </c>
      <c r="F339" s="24">
        <f t="shared" si="53"/>
        <v>1679.4580830371729</v>
      </c>
      <c r="G339" s="14">
        <f t="shared" si="54"/>
        <v>12880.126860790946</v>
      </c>
      <c r="H339" s="24">
        <f t="shared" si="52"/>
        <v>1205.5670936466045</v>
      </c>
      <c r="I339" s="12">
        <f t="shared" si="55"/>
        <v>0.9649003474342388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758.94172097836542</v>
      </c>
      <c r="F340" s="24">
        <f t="shared" si="53"/>
        <v>1666.8966634869576</v>
      </c>
      <c r="G340" s="14">
        <f t="shared" si="54"/>
        <v>12809.311482603971</v>
      </c>
      <c r="H340" s="24">
        <f t="shared" si="52"/>
        <v>1182.7559926891254</v>
      </c>
      <c r="I340" s="12">
        <f t="shared" si="55"/>
        <v>0.97787763904362457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759.91959861740906</v>
      </c>
      <c r="F341" s="24">
        <f t="shared" si="53"/>
        <v>1653.9752390083408</v>
      </c>
      <c r="G341" s="14">
        <f t="shared" si="54"/>
        <v>12735.576432819815</v>
      </c>
      <c r="H341" s="24">
        <f t="shared" si="52"/>
        <v>1161.1911247714443</v>
      </c>
      <c r="I341" s="12">
        <f t="shared" si="55"/>
        <v>0.99007571658578053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760.90967433399487</v>
      </c>
      <c r="F342" s="24">
        <f t="shared" si="53"/>
        <v>1640.7135081905494</v>
      </c>
      <c r="G342" s="14">
        <f t="shared" si="54"/>
        <v>12659.039001691966</v>
      </c>
      <c r="H342" s="24">
        <f t="shared" si="52"/>
        <v>1140.7938492077149</v>
      </c>
      <c r="I342" s="12">
        <f t="shared" si="55"/>
        <v>1.0014890463610955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761.91116338035602</v>
      </c>
      <c r="F343" s="24">
        <f t="shared" si="53"/>
        <v>1627.1313059631411</v>
      </c>
      <c r="G343" s="14">
        <f t="shared" si="54"/>
        <v>12579.818707983806</v>
      </c>
      <c r="H343" s="24">
        <f t="shared" si="52"/>
        <v>1121.4907577475578</v>
      </c>
      <c r="I343" s="12">
        <f t="shared" si="55"/>
        <v>1.0121153395260489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762.92327871988209</v>
      </c>
      <c r="F344" s="24">
        <f t="shared" si="53"/>
        <v>1613.2485224989664</v>
      </c>
      <c r="G344" s="14">
        <f t="shared" si="54"/>
        <v>12498.036792807574</v>
      </c>
      <c r="H344" s="24">
        <f t="shared" si="52"/>
        <v>1103.2133388103882</v>
      </c>
      <c r="I344" s="12">
        <f t="shared" si="55"/>
        <v>1.0219553515672064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763.94523407144925</v>
      </c>
      <c r="F345" s="24">
        <f t="shared" si="53"/>
        <v>1599.0850271300133</v>
      </c>
      <c r="G345" s="14">
        <f t="shared" si="54"/>
        <v>12413.815736701968</v>
      </c>
      <c r="H345" s="24">
        <f t="shared" si="52"/>
        <v>1085.8976594718761</v>
      </c>
      <c r="I345" s="12">
        <f t="shared" si="55"/>
        <v>1.0310126713565488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764.97624674280576</v>
      </c>
      <c r="F346" s="24">
        <f t="shared" si="53"/>
        <v>1584.6605975364128</v>
      </c>
      <c r="G346" s="14">
        <f t="shared" si="54"/>
        <v>12327.27880204732</v>
      </c>
      <c r="H346" s="24">
        <f t="shared" si="52"/>
        <v>1069.4840648496074</v>
      </c>
      <c r="I346" s="12">
        <f t="shared" si="55"/>
        <v>1.0392935037476283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766.01554024655343</v>
      </c>
      <c r="F347" s="24">
        <f t="shared" si="53"/>
        <v>1569.994854370239</v>
      </c>
      <c r="G347" s="14">
        <f t="shared" si="54"/>
        <v>12238.549602357636</v>
      </c>
      <c r="H347" s="24">
        <f t="shared" si="52"/>
        <v>1053.9168944567125</v>
      </c>
      <c r="I347" s="12">
        <f t="shared" si="55"/>
        <v>1.0468064492523996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767.06234669580579</v>
      </c>
      <c r="F348" s="24">
        <f t="shared" si="53"/>
        <v>1555.1072013870426</v>
      </c>
      <c r="G348" s="14">
        <f t="shared" si="54"/>
        <v>12147.751699470964</v>
      </c>
      <c r="H348" s="24">
        <f t="shared" si="52"/>
        <v>1039.1442150261548</v>
      </c>
      <c r="I348" s="12">
        <f t="shared" si="55"/>
        <v>1.0535622839022774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768.11590897970802</v>
      </c>
      <c r="F349" s="24">
        <f t="shared" si="53"/>
        <v>1540.0167710804453</v>
      </c>
      <c r="G349" s="14">
        <f t="shared" si="54"/>
        <v>12055.00822920256</v>
      </c>
      <c r="H349" s="24">
        <f t="shared" si="52"/>
        <v>1025.1175692542661</v>
      </c>
      <c r="I349" s="12">
        <f t="shared" si="55"/>
        <v>1.0595737419604607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769.17548272166846</v>
      </c>
      <c r="F350" s="24">
        <f t="shared" si="53"/>
        <v>1524.7423757486729</v>
      </c>
      <c r="G350" s="14">
        <f t="shared" si="54"/>
        <v>11960.441555626341</v>
      </c>
      <c r="H350" s="24">
        <f t="shared" si="52"/>
        <v>1011.7917398693519</v>
      </c>
      <c r="I350" s="12">
        <f t="shared" si="55"/>
        <v>1.0648553037280308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770.24033802539645</v>
      </c>
      <c r="F351" s="24">
        <f t="shared" si="53"/>
        <v>1509.302463865555</v>
      </c>
      <c r="G351" s="14">
        <f t="shared" si="54"/>
        <v>11864.17295380221</v>
      </c>
      <c r="H351" s="24">
        <f t="shared" si="52"/>
        <v>999.12452839898697</v>
      </c>
      <c r="I351" s="12">
        <f t="shared" si="55"/>
        <v>1.0694229902828072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771.30976101567921</v>
      </c>
      <c r="F352" s="24">
        <f t="shared" si="53"/>
        <v>1493.7150815827267</v>
      </c>
      <c r="G352" s="14">
        <f t="shared" si="54"/>
        <v>11766.322320476826</v>
      </c>
      <c r="H352" s="24">
        <f t="shared" si="52"/>
        <v>987.07654798718818</v>
      </c>
      <c r="I352" s="12">
        <f t="shared" si="55"/>
        <v>1.0732941666149396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772.38305518229413</v>
      </c>
      <c r="F353" s="24">
        <f t="shared" si="53"/>
        <v>1477.9978391531472</v>
      </c>
      <c r="G353" s="14">
        <f t="shared" si="54"/>
        <v>11667.007912046754</v>
      </c>
      <c r="H353" s="24">
        <f t="shared" si="52"/>
        <v>975.61102959900222</v>
      </c>
      <c r="I353" s="12">
        <f t="shared" si="55"/>
        <v>1.0764873542810989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773.45954253657521</v>
      </c>
      <c r="F354" s="24">
        <f t="shared" si="53"/>
        <v>1462.1678820378975</v>
      </c>
      <c r="G354" s="14">
        <f t="shared" si="54"/>
        <v>11566.346108876152</v>
      </c>
      <c r="H354" s="24">
        <f t="shared" si="52"/>
        <v>964.69364094419097</v>
      </c>
      <c r="I354" s="12">
        <f t="shared" si="55"/>
        <v>1.0790220543919555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774.53856459096721</v>
      </c>
      <c r="F355" s="24">
        <f t="shared" si="53"/>
        <v>1446.241866438058</v>
      </c>
      <c r="G355" s="14">
        <f t="shared" si="54"/>
        <v>11464.451204915073</v>
      </c>
      <c r="H355" s="24">
        <f t="shared" si="52"/>
        <v>954.29231745267623</v>
      </c>
      <c r="I355" s="12">
        <f t="shared" si="55"/>
        <v>1.0809185814774991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775.61948317244469</v>
      </c>
      <c r="F356" s="24">
        <f t="shared" si="53"/>
        <v>1430.235938979564</v>
      </c>
      <c r="G356" s="14">
        <f t="shared" si="54"/>
        <v>11361.435221447568</v>
      </c>
      <c r="H356" s="24">
        <f t="shared" si="52"/>
        <v>944.37710464125144</v>
      </c>
      <c r="I356" s="12">
        <f t="shared" si="55"/>
        <v>1.0821979085397611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776.70168108098449</v>
      </c>
      <c r="F357" s="24">
        <f t="shared" si="53"/>
        <v>1414.1657202715151</v>
      </c>
      <c r="G357" s="14">
        <f t="shared" si="54"/>
        <v>11257.407743722766</v>
      </c>
      <c r="H357" s="24">
        <f t="shared" si="52"/>
        <v>934.92001122283727</v>
      </c>
      <c r="I357" s="12">
        <f t="shared" si="55"/>
        <v>1.0828815234028635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777.78456260438736</v>
      </c>
      <c r="F358" s="24">
        <f t="shared" si="53"/>
        <v>1398.0462920553946</v>
      </c>
      <c r="G358" s="14">
        <f t="shared" si="54"/>
        <v>11152.475779170636</v>
      </c>
      <c r="H358" s="24">
        <f t="shared" si="52"/>
        <v>925.89487232544684</v>
      </c>
      <c r="I358" s="12">
        <f t="shared" si="55"/>
        <v>1.0829912963027217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778.86755390069004</v>
      </c>
      <c r="F359" s="24">
        <f t="shared" si="53"/>
        <v>1381.8921876642833</v>
      </c>
      <c r="G359" s="14">
        <f t="shared" si="54"/>
        <v>11046.743635878547</v>
      </c>
      <c r="H359" s="24">
        <f t="shared" si="52"/>
        <v>917.27722220715168</v>
      </c>
      <c r="I359" s="12">
        <f t="shared" si="55"/>
        <v>1.0825493585213819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779.95010325921146</v>
      </c>
      <c r="F360" s="24">
        <f t="shared" si="53"/>
        <v>1365.7173855158958</v>
      </c>
      <c r="G360" s="14">
        <f t="shared" si="54"/>
        <v>10940.312820000268</v>
      </c>
      <c r="H360" s="24">
        <f t="shared" si="52"/>
        <v>909.04417587508601</v>
      </c>
      <c r="I360" s="12">
        <f t="shared" si="55"/>
        <v>1.08157799176075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781.03168125097216</v>
      </c>
      <c r="F361" s="24">
        <f t="shared" si="53"/>
        <v>1349.5353053710687</v>
      </c>
      <c r="G361" s="14">
        <f t="shared" si="54"/>
        <v>10833.281950782715</v>
      </c>
      <c r="H361" s="24">
        <f t="shared" si="52"/>
        <v>901.17431904017303</v>
      </c>
      <c r="I361" s="12">
        <f t="shared" si="55"/>
        <v>1.0800995278646355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782.11178077883676</v>
      </c>
      <c r="F362" s="24">
        <f t="shared" si="53"/>
        <v>1333.3588070988242</v>
      </c>
      <c r="G362" s="14">
        <f t="shared" si="54"/>
        <v>10725.746691917006</v>
      </c>
      <c r="H362" s="24">
        <f t="shared" si="52"/>
        <v>893.64760586425336</v>
      </c>
      <c r="I362" s="12">
        <f t="shared" si="55"/>
        <v>1.0781362584329606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783.18991703726977</v>
      </c>
      <c r="F363" s="24">
        <f t="shared" si="53"/>
        <v>1317.200191700897</v>
      </c>
      <c r="G363" s="14">
        <f t="shared" si="54"/>
        <v>10617.79969796516</v>
      </c>
      <c r="H363" s="24">
        <f t="shared" si="52"/>
        <v>886.44526398220592</v>
      </c>
      <c r="I363" s="12">
        <f t="shared" si="55"/>
        <v>1.0757103538264323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784.26562739109625</v>
      </c>
      <c r="F364" s="24">
        <f t="shared" si="53"/>
        <v>1301.0712043608323</v>
      </c>
      <c r="G364" s="14">
        <f t="shared" si="54"/>
        <v>10509.530574649514</v>
      </c>
      <c r="H364" s="24">
        <f t="shared" si="52"/>
        <v>879.54970630795106</v>
      </c>
      <c r="I364" s="12">
        <f t="shared" si="55"/>
        <v>1.0728437910286939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785.33847118212498</v>
      </c>
      <c r="F365" s="24">
        <f t="shared" si="53"/>
        <v>1284.9830392962845</v>
      </c>
      <c r="G365" s="14">
        <f t="shared" si="54"/>
        <v>10401.02585185205</v>
      </c>
      <c r="H365" s="24">
        <f t="shared" si="52"/>
        <v>872.94444915965937</v>
      </c>
      <c r="I365" s="12">
        <f t="shared" si="55"/>
        <v>1.0695582898165155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786.40802947194152</v>
      </c>
      <c r="F366" s="24">
        <f t="shared" si="53"/>
        <v>1268.9463462068034</v>
      </c>
      <c r="G366" s="14">
        <f t="shared" si="54"/>
        <v>10292.368968219333</v>
      </c>
      <c r="H366" s="24">
        <f t="shared" si="52"/>
        <v>866.61403626570041</v>
      </c>
      <c r="I366" s="12">
        <f t="shared" si="55"/>
        <v>1.0658752566817113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787.47390472862321</v>
      </c>
      <c r="F367" s="24">
        <f t="shared" si="53"/>
        <v>1252.9712381233112</v>
      </c>
      <c r="G367" s="14">
        <f t="shared" si="54"/>
        <v>10183.64026633092</v>
      </c>
      <c r="H367" s="24">
        <f t="shared" si="52"/>
        <v>860.54396823862817</v>
      </c>
      <c r="I367" s="12">
        <f t="shared" si="55"/>
        <v>1.0618157359515381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788.53572046457475</v>
      </c>
      <c r="F368" s="24">
        <f t="shared" si="53"/>
        <v>1237.067300479353</v>
      </c>
      <c r="G368" s="14">
        <f t="shared" si="54"/>
        <v>10074.916997447615</v>
      </c>
      <c r="H368" s="24">
        <f t="shared" si="52"/>
        <v>854.72063712962336</v>
      </c>
      <c r="I368" s="12">
        <f t="shared" si="55"/>
        <v>1.0574003675640744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789.59312083213888</v>
      </c>
      <c r="F369" s="24">
        <f t="shared" si="53"/>
        <v>1221.243601237697</v>
      </c>
      <c r="G369" s="14">
        <f t="shared" si="54"/>
        <v>9966.2733349141909</v>
      </c>
      <c r="H369" s="24">
        <f t="shared" si="52"/>
        <v>849.13126570014617</v>
      </c>
      <c r="I369" s="12">
        <f t="shared" si="55"/>
        <v>1.0526493509703603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790.64577018310922</v>
      </c>
      <c r="F370" s="24">
        <f t="shared" si="53"/>
        <v>1205.5087019191262</v>
      </c>
      <c r="G370" s="14">
        <f t="shared" si="54"/>
        <v>9857.7803953529838</v>
      </c>
      <c r="H370" s="24">
        <f t="shared" ref="H370:H433" si="61">IF(E370&lt;600,425+0.773*E370-1.69/1000*E370^2+2.22/1000^2*E370^3,IF(E370&lt;735,666+13002/(738-E370),IF(E370&lt;900,545+17820/(E370-731),650)))</f>
        <v>843.76385107097417</v>
      </c>
      <c r="I370" s="12">
        <f t="shared" si="55"/>
        <v>1.0475824146549588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791.69335259776415</v>
      </c>
      <c r="F371" s="24">
        <f t="shared" si="53"/>
        <v>1189.8706693930421</v>
      </c>
      <c r="G371" s="14">
        <f t="shared" si="54"/>
        <v>9749.5062668402188</v>
      </c>
      <c r="H371" s="24">
        <f t="shared" si="61"/>
        <v>838.60711243122955</v>
      </c>
      <c r="I371" s="12">
        <f t="shared" si="55"/>
        <v>1.0422187907891134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792.73557138855324</v>
      </c>
      <c r="F372" s="24">
        <f t="shared" si="53"/>
        <v>1174.3370883014165</v>
      </c>
      <c r="G372" s="14">
        <f t="shared" si="54"/>
        <v>9641.5160433151141</v>
      </c>
      <c r="H372" s="24">
        <f t="shared" si="61"/>
        <v>833.65044251139966</v>
      </c>
      <c r="I372" s="12">
        <f t="shared" si="55"/>
        <v>1.0365771945556648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793.7721485831089</v>
      </c>
      <c r="F373" s="24">
        <f t="shared" si="53"/>
        <v>1158.9150739995091</v>
      </c>
      <c r="G373" s="14">
        <f t="shared" si="54"/>
        <v>9533.8718645243043</v>
      </c>
      <c r="H373" s="24">
        <f t="shared" si="61"/>
        <v>828.88386254465581</v>
      </c>
      <c r="I373" s="12">
        <f t="shared" si="55"/>
        <v>1.0306758077109313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794.80282439081986</v>
      </c>
      <c r="F374" s="24">
        <f t="shared" si="53"/>
        <v>1143.6112859071898</v>
      </c>
      <c r="G374" s="14">
        <f t="shared" si="54"/>
        <v>9426.6329608569868</v>
      </c>
      <c r="H374" s="24">
        <f t="shared" si="61"/>
        <v>824.29798045999974</v>
      </c>
      <c r="I374" s="12">
        <f t="shared" si="55"/>
        <v>1.0245322659756455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795.82735665679547</v>
      </c>
      <c r="F375" s="24">
        <f t="shared" si="53"/>
        <v>1128.4319411753841</v>
      </c>
      <c r="G375" s="14">
        <f t="shared" si="54"/>
        <v>9319.8557024743986</v>
      </c>
      <c r="H375" s="24">
        <f t="shared" si="61"/>
        <v>819.88395206889913</v>
      </c>
      <c r="I375" s="12">
        <f t="shared" si="55"/>
        <v>1.0181636498739186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796.84552030666941</v>
      </c>
      <c r="F376" s="24">
        <f t="shared" si="53"/>
        <v>1113.3828285812483</v>
      </c>
      <c r="G376" s="14">
        <f t="shared" si="54"/>
        <v>9213.5936521854564</v>
      </c>
      <c r="H376" s="24">
        <f t="shared" si="61"/>
        <v>815.6334450241261</v>
      </c>
      <c r="I376" s="12">
        <f t="shared" si="55"/>
        <v>1.0115864786659854</v>
      </c>
      <c r="J376" s="3">
        <f t="shared" si="56"/>
        <v>0.7</v>
      </c>
    </row>
    <row r="377" spans="2:10" x14ac:dyDescent="0.25">
      <c r="B377" s="32">
        <f t="shared" si="57"/>
        <v>1800</v>
      </c>
      <c r="C377" s="33">
        <f t="shared" si="58"/>
        <v>30</v>
      </c>
      <c r="D377" s="34">
        <f t="shared" si="59"/>
        <v>841.79587968832948</v>
      </c>
      <c r="E377" s="35">
        <f t="shared" si="60"/>
        <v>797.85710678533542</v>
      </c>
      <c r="F377" s="35">
        <f t="shared" si="53"/>
        <v>1098.4693225748515</v>
      </c>
      <c r="G377" s="14">
        <f t="shared" si="54"/>
        <v>9107.8976215604998</v>
      </c>
      <c r="H377" s="35">
        <f t="shared" si="61"/>
        <v>811.53860534552291</v>
      </c>
      <c r="I377" s="36">
        <f t="shared" si="55"/>
        <v>1.0048167070461831</v>
      </c>
      <c r="J377" s="37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798.86192349238161</v>
      </c>
      <c r="F378" s="24">
        <f t="shared" si="53"/>
        <v>1083.6963974081896</v>
      </c>
      <c r="G378" s="14">
        <f t="shared" si="54"/>
        <v>9002.8157298215338</v>
      </c>
      <c r="H378" s="24">
        <f t="shared" si="61"/>
        <v>807.59202632239749</v>
      </c>
      <c r="I378" s="12">
        <f t="shared" si="55"/>
        <v>0.99786972430328835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799.85979321668492</v>
      </c>
      <c r="F379" s="24">
        <f t="shared" si="53"/>
        <v>1069.0686412849914</v>
      </c>
      <c r="G379" s="14">
        <f t="shared" si="54"/>
        <v>8898.3934650804313</v>
      </c>
      <c r="H379" s="24">
        <f t="shared" si="61"/>
        <v>803.78671961626173</v>
      </c>
      <c r="I379" s="12">
        <f t="shared" si="55"/>
        <v>0.99076035566393883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800.85055357234887</v>
      </c>
      <c r="F380" s="24">
        <f t="shared" si="53"/>
        <v>1054.5902704767173</v>
      </c>
      <c r="G380" s="14">
        <f t="shared" si="54"/>
        <v>8794.6737475358132</v>
      </c>
      <c r="H380" s="24">
        <f t="shared" si="61"/>
        <v>800.116088400683</v>
      </c>
      <c r="I380" s="12">
        <f t="shared" si="55"/>
        <v>0.98350286556314137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801.83405643791207</v>
      </c>
      <c r="F381" s="24">
        <f t="shared" si="53"/>
        <v>1040.2651433566548</v>
      </c>
      <c r="G381" s="14">
        <f t="shared" si="54"/>
        <v>8691.6969942723408</v>
      </c>
      <c r="H381" s="24">
        <f t="shared" si="61"/>
        <v>796.57390238719006</v>
      </c>
      <c r="I381" s="12">
        <f t="shared" si="55"/>
        <v>0.97611096260755392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802.81016740051962</v>
      </c>
      <c r="F382" s="24">
        <f t="shared" si="53"/>
        <v>1026.0967743096501</v>
      </c>
      <c r="G382" s="14">
        <f t="shared" si="54"/>
        <v>8589.5011853351643</v>
      </c>
      <c r="H382" s="24">
        <f t="shared" si="61"/>
        <v>793.15427459748628</v>
      </c>
      <c r="I382" s="12">
        <f t="shared" si="55"/>
        <v>0.96859780601740797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803.77876520653706</v>
      </c>
      <c r="F383" s="24">
        <f t="shared" si="53"/>
        <v>1012.0883474806675</v>
      </c>
      <c r="G383" s="14">
        <f t="shared" si="54"/>
        <v>8488.1219307834781</v>
      </c>
      <c r="H383" s="24">
        <f t="shared" si="61"/>
        <v>789.85163975273645</v>
      </c>
      <c r="I383" s="12">
        <f t="shared" si="55"/>
        <v>0.96097601335232941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804.73974121988942</v>
      </c>
      <c r="F384" s="24">
        <f t="shared" si="53"/>
        <v>998.24273032999145</v>
      </c>
      <c r="G384" s="14">
        <f t="shared" si="54"/>
        <v>8387.5925384526927</v>
      </c>
      <c r="H384" s="24">
        <f t="shared" si="61"/>
        <v>786.66073416044901</v>
      </c>
      <c r="I384" s="12">
        <f t="shared" si="55"/>
        <v>0.95325766934397949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805.69299888923342</v>
      </c>
      <c r="F385" s="24">
        <f t="shared" si="53"/>
        <v>984.56248696744808</v>
      </c>
      <c r="G385" s="14">
        <f t="shared" si="54"/>
        <v>8287.9440821792359</v>
      </c>
      <c r="H385" s="24">
        <f t="shared" si="61"/>
        <v>783.57657698851153</v>
      </c>
      <c r="I385" s="12">
        <f t="shared" si="55"/>
        <v>0.94545433567499326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806.6384532249084</v>
      </c>
      <c r="F386" s="24">
        <f t="shared" si="53"/>
        <v>971.04989124190695</v>
      </c>
      <c r="G386" s="14">
        <f t="shared" si="54"/>
        <v>8189.2054702649957</v>
      </c>
      <c r="H386" s="24">
        <f t="shared" si="61"/>
        <v>780.59445282431716</v>
      </c>
      <c r="I386" s="12">
        <f t="shared" si="55"/>
        <v>0.93757706155900766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807.57603028646736</v>
      </c>
      <c r="F387" s="24">
        <f t="shared" si="53"/>
        <v>957.70693956618516</v>
      </c>
      <c r="G387" s="14">
        <f t="shared" si="54"/>
        <v>8091.403513979838</v>
      </c>
      <c r="H387" s="24">
        <f t="shared" si="61"/>
        <v>777.70989542466759</v>
      </c>
      <c r="I387" s="12">
        <f t="shared" si="55"/>
        <v>0.92963639499076944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808.50566668145814</v>
      </c>
      <c r="F388" s="24">
        <f t="shared" si="53"/>
        <v>944.53536346048281</v>
      </c>
      <c r="G388" s="14">
        <f t="shared" si="54"/>
        <v>7994.5629959195876</v>
      </c>
      <c r="H388" s="24">
        <f t="shared" si="61"/>
        <v>774.91867256930675</v>
      </c>
      <c r="I388" s="12">
        <f t="shared" si="55"/>
        <v>0.92164239454825703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809.4273090760064</v>
      </c>
      <c r="F389" s="24">
        <f t="shared" si="53"/>
        <v>931.53664180056239</v>
      </c>
      <c r="G389" s="14">
        <f t="shared" si="54"/>
        <v>7898.7067380542558</v>
      </c>
      <c r="H389" s="24">
        <f t="shared" si="61"/>
        <v>772.2167719375667</v>
      </c>
      <c r="I389" s="12">
        <f t="shared" si="55"/>
        <v>0.91360464164066024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810.34091371764703</v>
      </c>
      <c r="F390" s="24">
        <f t="shared" si="53"/>
        <v>918.71201275963301</v>
      </c>
      <c r="G390" s="14">
        <f t="shared" si="54"/>
        <v>7803.8556693203973</v>
      </c>
      <c r="H390" s="24">
        <f t="shared" si="61"/>
        <v>769.60038793372848</v>
      </c>
      <c r="I390" s="12">
        <f t="shared" si="55"/>
        <v>0.90553225310729379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811.24644597075428</v>
      </c>
      <c r="F391" s="24">
        <f t="shared" si="53"/>
        <v>906.06248543500669</v>
      </c>
      <c r="G391" s="14">
        <f t="shared" si="54"/>
        <v>7710.0288926219118</v>
      </c>
      <c r="H391" s="24">
        <f t="shared" si="61"/>
        <v>767.06590939235457</v>
      </c>
      <c r="I391" s="12">
        <f t="shared" si="55"/>
        <v>0.89743389408202168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812.14387986483632</v>
      </c>
      <c r="F392" s="24">
        <f t="shared" si="53"/>
        <v>893.58885115304076</v>
      </c>
      <c r="G392" s="14">
        <f t="shared" si="54"/>
        <v>7617.2437511228363</v>
      </c>
      <c r="H392" s="24">
        <f t="shared" si="61"/>
        <v>764.60990810007218</v>
      </c>
      <c r="I392" s="12">
        <f t="shared" si="55"/>
        <v>0.88931779104748332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813.03319765588378</v>
      </c>
      <c r="F393" s="24">
        <f t="shared" si="53"/>
        <v>881.29169444756315</v>
      </c>
      <c r="G393" s="14">
        <f t="shared" si="54"/>
        <v>7525.5158937256938</v>
      </c>
      <c r="H393" s="24">
        <f t="shared" si="61"/>
        <v>762.22912807510033</v>
      </c>
      <c r="I393" s="12">
        <f t="shared" si="55"/>
        <v>0.88119174501143471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813.91438940089517</v>
      </c>
      <c r="F394" s="24">
        <f t="shared" si="53"/>
        <v>869.17140370865695</v>
      </c>
      <c r="G394" s="14">
        <f t="shared" si="54"/>
        <v>7434.8593396396282</v>
      </c>
      <c r="H394" s="24">
        <f t="shared" si="61"/>
        <v>759.92047555026204</v>
      </c>
      <c r="I394" s="12">
        <f t="shared" si="55"/>
        <v>0.87306314474497615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814.78745254564012</v>
      </c>
      <c r="F395" s="24">
        <f t="shared" si="53"/>
        <v>857.22818150042315</v>
      </c>
      <c r="G395" s="14">
        <f t="shared" si="54"/>
        <v>7345.2865419587388</v>
      </c>
      <c r="H395" s="24">
        <f t="shared" si="61"/>
        <v>757.68100960932316</v>
      </c>
      <c r="I395" s="12">
        <f t="shared" si="55"/>
        <v>0.86493898002990754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815.65239152567005</v>
      </c>
      <c r="F396" s="24">
        <f t="shared" si="53"/>
        <v>845.46205454734888</v>
      </c>
      <c r="G396" s="14">
        <f t="shared" si="54"/>
        <v>7256.8084501730846</v>
      </c>
      <c r="H396" s="24">
        <f t="shared" si="61"/>
        <v>755.50793343028295</v>
      </c>
      <c r="I396" s="12">
        <f t="shared" si="55"/>
        <v>0.85682585486783858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816.50921738053785</v>
      </c>
      <c r="F397" s="24">
        <f t="shared" si="53"/>
        <v>833.87288339031045</v>
      </c>
      <c r="G397" s="14">
        <f t="shared" si="54"/>
        <v>7169.4345715530844</v>
      </c>
      <c r="H397" s="24">
        <f t="shared" si="61"/>
        <v>753.39858609273028</v>
      </c>
      <c r="I397" s="12">
        <f t="shared" si="55"/>
        <v>0.84873000061032078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817.35794738114816</v>
      </c>
      <c r="F398" s="24">
        <f t="shared" si="53"/>
        <v>822.4603717141548</v>
      </c>
      <c r="G398" s="14">
        <f t="shared" si="54"/>
        <v>7083.1730313480766</v>
      </c>
      <c r="H398" s="24">
        <f t="shared" si="61"/>
        <v>751.35043490959674</v>
      </c>
      <c r="I398" s="12">
        <f t="shared" si="55"/>
        <v>0.84065728897350389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818.19860467012165</v>
      </c>
      <c r="F399" s="24">
        <f t="shared" si="53"/>
        <v>811.22407534983267</v>
      </c>
      <c r="G399" s="14">
        <f t="shared" si="54"/>
        <v>6998.0306317554468</v>
      </c>
      <c r="H399" s="24">
        <f t="shared" si="61"/>
        <v>749.36106824661124</v>
      </c>
      <c r="I399" s="12">
        <f t="shared" si="55"/>
        <v>0.83261324490628952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819.03121791502792</v>
      </c>
      <c r="F400" s="24">
        <f t="shared" si="53"/>
        <v>800.16341095455346</v>
      </c>
      <c r="G400" s="14">
        <f t="shared" si="54"/>
        <v>6914.0129096154269</v>
      </c>
      <c r="H400" s="24">
        <f t="shared" si="61"/>
        <v>747.42818879548781</v>
      </c>
      <c r="I400" s="12">
        <f t="shared" si="55"/>
        <v>0.82460305928423183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819.85582097431211</v>
      </c>
      <c r="F401" s="24">
        <f t="shared" ref="F401:F464" si="62">AlphaC*(D401-E401)</f>
        <v>789.27766437461457</v>
      </c>
      <c r="G401" s="14">
        <f t="shared" ref="G401:G464" si="63">Phi*EpsilonF*Botzman/10^8*J401*((D401+273)^4-(E401+273)^4)</f>
        <v>6831.124192803486</v>
      </c>
      <c r="H401" s="24">
        <f t="shared" si="61"/>
        <v>745.54960726941795</v>
      </c>
      <c r="I401" s="12">
        <f t="shared" ref="I401:I464" si="64">ksh*Massivete/(H401*RhoA)*DeltaT*(F401+G401)</f>
        <v>0.81663160140633451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820.67245257571847</v>
      </c>
      <c r="F402" s="24">
        <f t="shared" si="62"/>
        <v>778.56599869550109</v>
      </c>
      <c r="G402" s="14">
        <f t="shared" si="63"/>
        <v>6749.3676552874695</v>
      </c>
      <c r="H402" s="24">
        <f t="shared" si="61"/>
        <v>743.72323649175291</v>
      </c>
      <c r="I402" s="12">
        <f t="shared" si="64"/>
        <v>0.80870343127409972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821.48115600699259</v>
      </c>
      <c r="F403" s="24">
        <f t="shared" si="62"/>
        <v>768.0274619850195</v>
      </c>
      <c r="G403" s="14">
        <f t="shared" si="63"/>
        <v>6668.7453708314761</v>
      </c>
      <c r="H403" s="24">
        <f t="shared" si="61"/>
        <v>741.94708585092383</v>
      </c>
      <c r="I403" s="12">
        <f t="shared" si="64"/>
        <v>0.80082281163628888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822.28197881862889</v>
      </c>
      <c r="F404" s="24">
        <f t="shared" si="62"/>
        <v>757.6609947350704</v>
      </c>
      <c r="G404" s="14">
        <f t="shared" si="63"/>
        <v>6589.2583653269685</v>
      </c>
      <c r="H404" s="24">
        <f t="shared" si="61"/>
        <v>740.21925609661832</v>
      </c>
      <c r="I404" s="12">
        <f t="shared" si="64"/>
        <v>0.79299371978486155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823.0749725384137</v>
      </c>
      <c r="F405" s="24">
        <f t="shared" si="62"/>
        <v>747.46543700843517</v>
      </c>
      <c r="G405" s="14">
        <f t="shared" si="63"/>
        <v>6510.9066677412784</v>
      </c>
      <c r="H405" s="24">
        <f t="shared" si="61"/>
        <v>738.53793445407211</v>
      </c>
      <c r="I405" s="12">
        <f t="shared" si="64"/>
        <v>0.78521985909059455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823.86019239750431</v>
      </c>
      <c r="F406" s="24">
        <f t="shared" si="62"/>
        <v>737.43953529701685</v>
      </c>
      <c r="G406" s="14">
        <f t="shared" si="63"/>
        <v>6433.6893596726904</v>
      </c>
      <c r="H406" s="24">
        <f t="shared" si="61"/>
        <v>736.90139003501486</v>
      </c>
      <c r="I406" s="12">
        <f t="shared" si="64"/>
        <v>0.77750467026852144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824.63769706777282</v>
      </c>
      <c r="F407" s="24">
        <f t="shared" si="62"/>
        <v>727.58194909835083</v>
      </c>
      <c r="G407" s="14">
        <f t="shared" si="63"/>
        <v>6357.6046235115118</v>
      </c>
      <c r="H407" s="24">
        <f t="shared" si="61"/>
        <v>735.30796952537492</v>
      </c>
      <c r="I407" s="12">
        <f t="shared" si="64"/>
        <v>0.76985134236600294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825.40754841013882</v>
      </c>
      <c r="F408" s="24">
        <f t="shared" si="62"/>
        <v>717.89125721724361</v>
      </c>
      <c r="G408" s="14">
        <f t="shared" si="63"/>
        <v>6282.6497892041252</v>
      </c>
      <c r="H408" s="24">
        <f t="shared" si="61"/>
        <v>733.75609313128007</v>
      </c>
      <c r="I408" s="12">
        <f t="shared" si="64"/>
        <v>0.76226282346736229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826.1698112336062</v>
      </c>
      <c r="F409" s="24">
        <f t="shared" si="62"/>
        <v>708.36596379968455</v>
      </c>
      <c r="G409" s="14">
        <f t="shared" si="63"/>
        <v>6208.8213796240307</v>
      </c>
      <c r="H409" s="24">
        <f t="shared" si="61"/>
        <v>732.24425076622856</v>
      </c>
      <c r="I409" s="12">
        <f t="shared" si="64"/>
        <v>0.75474183111100246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826.9245530647172</v>
      </c>
      <c r="F410" s="24">
        <f t="shared" si="62"/>
        <v>699.00450410623023</v>
      </c>
      <c r="G410" s="14">
        <f t="shared" si="63"/>
        <v>6136.1151545561925</v>
      </c>
      <c r="H410" s="24">
        <f t="shared" si="61"/>
        <v>730.77099846352598</v>
      </c>
      <c r="I410" s="12">
        <f t="shared" si="64"/>
        <v>0.7472908624162794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827.67184392713352</v>
      </c>
      <c r="F411" s="24">
        <f t="shared" si="62"/>
        <v>689.80525003203184</v>
      </c>
      <c r="G411" s="14">
        <f t="shared" si="63"/>
        <v>6064.5261533016692</v>
      </c>
      <c r="H411" s="24">
        <f t="shared" si="61"/>
        <v>729.3349549992223</v>
      </c>
      <c r="I411" s="12">
        <f t="shared" si="64"/>
        <v>0.73991220391840384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828.4117561310519</v>
      </c>
      <c r="F412" s="24">
        <f t="shared" si="62"/>
        <v>680.76651538094382</v>
      </c>
      <c r="G412" s="14">
        <f t="shared" si="63"/>
        <v>5994.048735915906</v>
      </c>
      <c r="H412" s="24">
        <f t="shared" si="61"/>
        <v>727.93479871183149</v>
      </c>
      <c r="I412" s="12">
        <f t="shared" si="64"/>
        <v>0.73260794111122496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829.14436407216317</v>
      </c>
      <c r="F413" s="24">
        <f t="shared" si="62"/>
        <v>671.88656090088443</v>
      </c>
      <c r="G413" s="14">
        <f t="shared" si="63"/>
        <v>5924.676623091379</v>
      </c>
      <c r="H413" s="24">
        <f t="shared" si="61"/>
        <v>726.56926450608398</v>
      </c>
      <c r="I413" s="12">
        <f t="shared" si="64"/>
        <v>0.72537996769816027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829.8697440398613</v>
      </c>
      <c r="F414" s="24">
        <f t="shared" si="62"/>
        <v>663.16359908784648</v>
      </c>
      <c r="G414" s="14">
        <f t="shared" si="63"/>
        <v>5856.4029347021697</v>
      </c>
      <c r="H414" s="24">
        <f t="shared" si="61"/>
        <v>725.23714102886231</v>
      </c>
      <c r="I414" s="12">
        <f t="shared" si="64"/>
        <v>0.71822999455296477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830.58797403441429</v>
      </c>
      <c r="F415" s="24">
        <f t="shared" si="62"/>
        <v>654.59579876572604</v>
      </c>
      <c r="G415" s="14">
        <f t="shared" si="63"/>
        <v>5789.2202270256867</v>
      </c>
      <c r="H415" s="24">
        <f t="shared" si="61"/>
        <v>723.93726800629565</v>
      </c>
      <c r="I415" s="12">
        <f t="shared" si="64"/>
        <v>0.7111595583923207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831.29913359280658</v>
      </c>
      <c r="F416" s="24">
        <f t="shared" si="62"/>
        <v>646.18128944929367</v>
      </c>
      <c r="G416" s="14">
        <f t="shared" si="63"/>
        <v>5723.1205286614577</v>
      </c>
      <c r="H416" s="24">
        <f t="shared" si="61"/>
        <v>722.66853373176139</v>
      </c>
      <c r="I416" s="12">
        <f t="shared" si="64"/>
        <v>0.70417003016325508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832.00330362296984</v>
      </c>
      <c r="F417" s="24">
        <f t="shared" si="62"/>
        <v>637.91816549728537</v>
      </c>
      <c r="G417" s="14">
        <f t="shared" si="63"/>
        <v>5658.0953751662355</v>
      </c>
      <c r="H417" s="24">
        <f t="shared" si="61"/>
        <v>721.42987269524747</v>
      </c>
      <c r="I417" s="12">
        <f t="shared" si="64"/>
        <v>0.69726262314871745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832.70056624611857</v>
      </c>
      <c r="F418" s="24">
        <f t="shared" si="62"/>
        <v>629.80449006280992</v>
      </c>
      <c r="G418" s="14">
        <f t="shared" si="63"/>
        <v>5594.1358424272712</v>
      </c>
      <c r="H418" s="24">
        <f t="shared" si="61"/>
        <v>720.2202633451916</v>
      </c>
      <c r="I418" s="12">
        <f t="shared" si="64"/>
        <v>0.69043840079533136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833.39100464691387</v>
      </c>
      <c r="F419" s="24">
        <f t="shared" si="62"/>
        <v>621.83829884791919</v>
      </c>
      <c r="G419" s="14">
        <f t="shared" si="63"/>
        <v>5531.2325787960181</v>
      </c>
      <c r="H419" s="24">
        <f t="shared" si="61"/>
        <v>719.03872597451959</v>
      </c>
      <c r="I419" s="12">
        <f t="shared" si="64"/>
        <v>0.68369828426766877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834.07470293118149</v>
      </c>
      <c r="F420" s="24">
        <f t="shared" si="62"/>
        <v>614.01760366921962</v>
      </c>
      <c r="G420" s="14">
        <f t="shared" si="63"/>
        <v>5469.3758360056072</v>
      </c>
      <c r="H420" s="24">
        <f t="shared" si="61"/>
        <v>717.88432072317141</v>
      </c>
      <c r="I420" s="12">
        <f t="shared" si="64"/>
        <v>0.67704305973378798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834.75174599091531</v>
      </c>
      <c r="F421" s="24">
        <f t="shared" si="62"/>
        <v>606.3403958412465</v>
      </c>
      <c r="G421" s="14">
        <f t="shared" si="63"/>
        <v>5408.5554988962349</v>
      </c>
      <c r="H421" s="24">
        <f t="shared" si="61"/>
        <v>716.75614568992751</v>
      </c>
      <c r="I421" s="12">
        <f t="shared" si="64"/>
        <v>0.67047338538709234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835.42221937630245</v>
      </c>
      <c r="F422" s="24">
        <f t="shared" si="62"/>
        <v>598.8046493841864</v>
      </c>
      <c r="G422" s="14">
        <f t="shared" si="63"/>
        <v>5348.7611139741884</v>
      </c>
      <c r="H422" s="24">
        <f t="shared" si="61"/>
        <v>715.6533351468305</v>
      </c>
      <c r="I422" s="12">
        <f t="shared" si="64"/>
        <v>0.66398979820991733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836.08620917451242</v>
      </c>
      <c r="F423" s="24">
        <f t="shared" si="62"/>
        <v>591.40832406239667</v>
      </c>
      <c r="G423" s="14">
        <f t="shared" si="63"/>
        <v>5289.9819168289678</v>
      </c>
      <c r="H423" s="24">
        <f t="shared" si="61"/>
        <v>714.57505784995101</v>
      </c>
      <c r="I423" s="12">
        <f t="shared" si="64"/>
        <v>0.65759272048427575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836.74380189499675</v>
      </c>
      <c r="F424" s="24">
        <f t="shared" si="62"/>
        <v>584.1493682600742</v>
      </c>
      <c r="G424" s="14">
        <f t="shared" si="63"/>
        <v>5232.2068584351355</v>
      </c>
      <c r="H424" s="24">
        <f t="shared" si="61"/>
        <v>713.52051544066103</v>
      </c>
      <c r="I424" s="12">
        <f t="shared" si="64"/>
        <v>0.65128246605554618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837.39508436105234</v>
      </c>
      <c r="F425" s="24">
        <f t="shared" si="62"/>
        <v>577.02572170021256</v>
      </c>
      <c r="G425" s="14">
        <f t="shared" si="63"/>
        <v>5175.4246303658383</v>
      </c>
      <c r="H425" s="24">
        <f t="shared" si="61"/>
        <v>712.48894093196759</v>
      </c>
      <c r="I425" s="12">
        <f t="shared" si="64"/>
        <v>0.64505924635502643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838.04014360740734</v>
      </c>
      <c r="F426" s="24">
        <f t="shared" si="62"/>
        <v>570.03531801290137</v>
      </c>
      <c r="G426" s="14">
        <f t="shared" si="63"/>
        <v>5119.6236889435195</v>
      </c>
      <c r="H426" s="24">
        <f t="shared" si="61"/>
        <v>711.4795972748193</v>
      </c>
      <c r="I426" s="12">
        <f t="shared" si="64"/>
        <v>0.63892317618718675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838.67906678359452</v>
      </c>
      <c r="F427" s="24">
        <f t="shared" si="62"/>
        <v>563.17608715887104</v>
      </c>
      <c r="G427" s="14">
        <f t="shared" si="63"/>
        <v>5064.7922783564209</v>
      </c>
      <c r="H427" s="24">
        <f t="shared" si="61"/>
        <v>710.49177599963161</v>
      </c>
      <c r="I427" s="12">
        <f t="shared" si="64"/>
        <v>0.63287427928785844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839.3119410628824</v>
      </c>
      <c r="F428" s="24">
        <f t="shared" si="62"/>
        <v>556.44595771395302</v>
      </c>
      <c r="G428" s="14">
        <f t="shared" si="63"/>
        <v>5010.9184527660454</v>
      </c>
      <c r="H428" s="24">
        <f t="shared" si="61"/>
        <v>709.52479592858822</v>
      </c>
      <c r="I428" s="12">
        <f t="shared" si="64"/>
        <v>0.62691249365923163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839.93885355654163</v>
      </c>
      <c r="F429" s="24">
        <f t="shared" si="62"/>
        <v>549.8428590200831</v>
      </c>
      <c r="G429" s="14">
        <f t="shared" si="63"/>
        <v>4957.9900974350594</v>
      </c>
      <c r="H429" s="24">
        <f t="shared" si="61"/>
        <v>708.57800195456468</v>
      </c>
      <c r="I429" s="12">
        <f t="shared" si="64"/>
        <v>0.62103767668805909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840.55989123322968</v>
      </c>
      <c r="F430" s="24">
        <f t="shared" si="62"/>
        <v>543.36472320827625</v>
      </c>
      <c r="G430" s="14">
        <f t="shared" si="63"/>
        <v>4905.9949489008377</v>
      </c>
      <c r="H430" s="24">
        <f t="shared" si="61"/>
        <v>707.65076388278817</v>
      </c>
      <c r="I430" s="12">
        <f t="shared" si="64"/>
        <v>0.61524961005297318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841.17514084328263</v>
      </c>
      <c r="F431" s="24">
        <f t="shared" si="62"/>
        <v>537.00948709879981</v>
      </c>
      <c r="G431" s="14">
        <f t="shared" si="63"/>
        <v>4854.9206142225285</v>
      </c>
      <c r="H431" s="24">
        <f t="shared" si="61"/>
        <v>706.74247533159814</v>
      </c>
      <c r="I431" s="12">
        <f t="shared" si="64"/>
        <v>0.60954800442711976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841.78468884770973</v>
      </c>
      <c r="F432" s="24">
        <f t="shared" si="62"/>
        <v>530.77509398370921</v>
      </c>
      <c r="G432" s="14">
        <f t="shared" si="63"/>
        <v>4804.754589329732</v>
      </c>
      <c r="H432" s="24">
        <f t="shared" si="61"/>
        <v>705.85255268890342</v>
      </c>
      <c r="I432" s="12">
        <f t="shared" si="64"/>
        <v>0.60393250398232912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842.38862135169211</v>
      </c>
      <c r="F433" s="24">
        <f t="shared" si="62"/>
        <v>524.65949529667455</v>
      </c>
      <c r="G433" s="14">
        <f t="shared" si="63"/>
        <v>4755.4842764976283</v>
      </c>
      <c r="H433" s="24">
        <f t="shared" si="61"/>
        <v>704.98043412114907</v>
      </c>
      <c r="I433" s="12">
        <f t="shared" si="64"/>
        <v>0.5984026907006379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842.9870240423927</v>
      </c>
      <c r="F434" s="24">
        <f t="shared" si="62"/>
        <v>518.660652174961</v>
      </c>
      <c r="G434" s="14">
        <f t="shared" si="63"/>
        <v>4707.0970009772391</v>
      </c>
      <c r="H434" s="24">
        <f t="shared" ref="H434:H497" si="70">IF(E434&lt;600,425+0.773*E434-1.69/1000*E434^2+2.22/1000^2*E434^3,IF(E434&lt;735,666+13002/(738-E434),IF(E434&lt;900,545+17820/(E434-731),650)))</f>
        <v>704.12557863180859</v>
      </c>
      <c r="I434" s="12">
        <f t="shared" si="64"/>
        <v>0.59295808849939369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843.57998213089206</v>
      </c>
      <c r="F435" s="24">
        <f t="shared" si="62"/>
        <v>512.77653691815033</v>
      </c>
      <c r="G435" s="14">
        <f t="shared" si="63"/>
        <v>4659.5800268054718</v>
      </c>
      <c r="H435" s="24">
        <f t="shared" si="70"/>
        <v>703.28746516659976</v>
      </c>
      <c r="I435" s="12">
        <f t="shared" si="64"/>
        <v>0.58759816717565849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844.16758029806772</v>
      </c>
      <c r="F436" s="24">
        <f t="shared" si="62"/>
        <v>507.00513434821062</v>
      </c>
      <c r="G436" s="14">
        <f t="shared" si="63"/>
        <v>4612.9205718227686</v>
      </c>
      <c r="H436" s="24">
        <f t="shared" si="70"/>
        <v>702.46559176280516</v>
      </c>
      <c r="I436" s="12">
        <f t="shared" si="64"/>
        <v>0.58232234617595935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844.74990264424366</v>
      </c>
      <c r="F437" s="24">
        <f t="shared" si="62"/>
        <v>501.34444307521733</v>
      </c>
      <c r="G437" s="14">
        <f t="shared" si="63"/>
        <v>4567.1058219230927</v>
      </c>
      <c r="H437" s="24">
        <f t="shared" si="70"/>
        <v>701.65947474023426</v>
      </c>
      <c r="I437" s="12">
        <f t="shared" si="64"/>
        <v>0.57712999819702371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845.32703264244071</v>
      </c>
      <c r="F438" s="24">
        <f t="shared" si="62"/>
        <v>495.79247667298603</v>
      </c>
      <c r="G438" s="14">
        <f t="shared" si="63"/>
        <v>4522.122944562032</v>
      </c>
      <c r="H438" s="24">
        <f t="shared" si="70"/>
        <v>700.86864793152017</v>
      </c>
      <c r="I438" s="12">
        <f t="shared" si="64"/>
        <v>0.57202045262320345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845.89905309506389</v>
      </c>
      <c r="F439" s="24">
        <f t="shared" si="62"/>
        <v>490.34726476865842</v>
      </c>
      <c r="G439" s="14">
        <f t="shared" si="63"/>
        <v>4477.9591015478727</v>
      </c>
      <c r="H439" s="24">
        <f t="shared" si="70"/>
        <v>700.09266194958354</v>
      </c>
      <c r="I439" s="12">
        <f t="shared" si="64"/>
        <v>0.56699299880612841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846.46604609386998</v>
      </c>
      <c r="F440" s="24">
        <f t="shared" si="62"/>
        <v>485.00685405025479</v>
      </c>
      <c r="G440" s="14">
        <f t="shared" si="63"/>
        <v>4434.601461140941</v>
      </c>
      <c r="H440" s="24">
        <f t="shared" si="70"/>
        <v>699.33108349023178</v>
      </c>
      <c r="I440" s="12">
        <f t="shared" si="64"/>
        <v>0.56204688919212586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847.02809298306215</v>
      </c>
      <c r="F441" s="24">
        <f t="shared" si="62"/>
        <v>479.76930919592462</v>
      </c>
      <c r="G441" s="14">
        <f t="shared" si="63"/>
        <v>4392.0372094847471</v>
      </c>
      <c r="H441" s="24">
        <f t="shared" si="70"/>
        <v>698.58349466797995</v>
      </c>
      <c r="I441" s="12">
        <f t="shared" si="64"/>
        <v>0.55718134230267435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847.58527432536482</v>
      </c>
      <c r="F442" s="24">
        <f t="shared" si="62"/>
        <v>474.63271372867268</v>
      </c>
      <c r="G442" s="14">
        <f t="shared" si="63"/>
        <v>4350.2535613936225</v>
      </c>
      <c r="H442" s="24">
        <f t="shared" si="70"/>
        <v>697.84949238330182</v>
      </c>
      <c r="I442" s="12">
        <f t="shared" si="64"/>
        <v>0.552395545573235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848.13766987093811</v>
      </c>
      <c r="F443" s="24">
        <f t="shared" si="62"/>
        <v>469.59517079994839</v>
      </c>
      <c r="G443" s="14">
        <f t="shared" si="63"/>
        <v>4309.2377705193667</v>
      </c>
      <c r="H443" s="24">
        <f t="shared" si="70"/>
        <v>697.12868771962098</v>
      </c>
      <c r="I443" s="12">
        <f t="shared" si="64"/>
        <v>0.54768865805547362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848.68535852899356</v>
      </c>
      <c r="F444" s="24">
        <f t="shared" si="62"/>
        <v>464.65480390565403</v>
      </c>
      <c r="G444" s="14">
        <f t="shared" si="63"/>
        <v>4268.9771389194566</v>
      </c>
      <c r="H444" s="24">
        <f t="shared" si="70"/>
        <v>696.42070536845733</v>
      </c>
      <c r="I444" s="12">
        <f t="shared" si="64"/>
        <v>0.54305981298785277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849.22841834198141</v>
      </c>
      <c r="F445" s="24">
        <f t="shared" si="62"/>
        <v>459.80975753784037</v>
      </c>
      <c r="G445" s="14">
        <f t="shared" si="63"/>
        <v>4229.4590260513933</v>
      </c>
      <c r="H445" s="24">
        <f t="shared" si="70"/>
        <v>695.72518308123506</v>
      </c>
      <c r="I445" s="12">
        <f t="shared" si="64"/>
        <v>0.53850812023972272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849.76692646222114</v>
      </c>
      <c r="F446" s="24">
        <f t="shared" si="62"/>
        <v>455.05819777515626</v>
      </c>
      <c r="G446" s="14">
        <f t="shared" si="63"/>
        <v>4190.6708572120042</v>
      </c>
      <c r="H446" s="24">
        <f t="shared" si="70"/>
        <v>695.04177114635036</v>
      </c>
      <c r="I446" s="12">
        <f t="shared" si="64"/>
        <v>0.53403266863330334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850.30095913085449</v>
      </c>
      <c r="F447" s="24">
        <f t="shared" si="62"/>
        <v>450.39831281523277</v>
      </c>
      <c r="G447" s="14">
        <f t="shared" si="63"/>
        <v>4152.6001314452342</v>
      </c>
      <c r="H447" s="24">
        <f t="shared" si="70"/>
        <v>694.37013189017409</v>
      </c>
      <c r="I447" s="12">
        <f t="shared" si="64"/>
        <v>0.52963252814845641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850.83059165900295</v>
      </c>
      <c r="F448" s="24">
        <f t="shared" si="62"/>
        <v>445.82831345185809</v>
      </c>
      <c r="G448" s="14">
        <f t="shared" si="63"/>
        <v>4115.2344289392195</v>
      </c>
      <c r="H448" s="24">
        <f t="shared" si="70"/>
        <v>693.70993920074807</v>
      </c>
      <c r="I448" s="12">
        <f t="shared" si="64"/>
        <v>0.52530675201473476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851.35589841101773</v>
      </c>
      <c r="F449" s="24">
        <f t="shared" si="62"/>
        <v>441.34643349977978</v>
      </c>
      <c r="G449" s="14">
        <f t="shared" si="63"/>
        <v>4078.5614179315612</v>
      </c>
      <c r="H449" s="24">
        <f t="shared" si="70"/>
        <v>693.06087807299946</v>
      </c>
      <c r="I449" s="12">
        <f t="shared" si="64"/>
        <v>0.52105437869493931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851.87695278971262</v>
      </c>
      <c r="F450" s="24">
        <f t="shared" si="62"/>
        <v>436.95093016984003</v>
      </c>
      <c r="G450" s="14">
        <f t="shared" si="63"/>
        <v>4042.5688611439491</v>
      </c>
      <c r="H450" s="24">
        <f t="shared" si="70"/>
        <v>692.42264417437059</v>
      </c>
      <c r="I450" s="12">
        <f t="shared" si="64"/>
        <v>0.51687443376458764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852.39382722347716</v>
      </c>
      <c r="F451" s="24">
        <f t="shared" si="62"/>
        <v>432.64008439707311</v>
      </c>
      <c r="G451" s="14">
        <f t="shared" si="63"/>
        <v>4007.2446217651204</v>
      </c>
      <c r="H451" s="24">
        <f t="shared" si="70"/>
        <v>691.79494342982275</v>
      </c>
      <c r="I451" s="12">
        <f t="shared" si="64"/>
        <v>0.51276593169140483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852.90659315516859</v>
      </c>
      <c r="F452" s="24">
        <f t="shared" si="62"/>
        <v>428.41220112423741</v>
      </c>
      <c r="G452" s="14">
        <f t="shared" si="63"/>
        <v>3972.576669001045</v>
      </c>
      <c r="H452" s="24">
        <f t="shared" si="70"/>
        <v>691.17749162523023</v>
      </c>
      <c r="I452" s="12">
        <f t="shared" si="64"/>
        <v>0.50872787751886128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853.41532103268742</v>
      </c>
      <c r="F453" s="24">
        <f t="shared" si="62"/>
        <v>424.26560954317551</v>
      </c>
      <c r="G453" s="14">
        <f t="shared" si="63"/>
        <v>3938.5530832094405</v>
      </c>
      <c r="H453" s="24">
        <f t="shared" si="70"/>
        <v>690.57001402824153</v>
      </c>
      <c r="I453" s="12">
        <f t="shared" si="64"/>
        <v>0.50475926845751484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853.92008030114494</v>
      </c>
      <c r="F454" s="24">
        <f t="shared" si="62"/>
        <v>420.19866329638376</v>
      </c>
      <c r="G454" s="14">
        <f t="shared" si="63"/>
        <v>3905.1620606391321</v>
      </c>
      <c r="H454" s="24">
        <f t="shared" si="70"/>
        <v>689.9722450257301</v>
      </c>
      <c r="I454" s="12">
        <f t="shared" si="64"/>
        <v>0.50085909538826545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854.42093939653319</v>
      </c>
      <c r="F455" s="24">
        <f t="shared" si="62"/>
        <v>416.20974064086624</v>
      </c>
      <c r="G455" s="14">
        <f t="shared" si="63"/>
        <v>3872.3919177881726</v>
      </c>
      <c r="H455" s="24">
        <f t="shared" si="70"/>
        <v>689.38392777701188</v>
      </c>
      <c r="I455" s="12">
        <f t="shared" si="64"/>
        <v>0.49702634428077958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854.917965740814</v>
      </c>
      <c r="F456" s="24">
        <f t="shared" si="62"/>
        <v>412.29724457647023</v>
      </c>
      <c r="G456" s="14">
        <f t="shared" si="63"/>
        <v>3840.2310953991987</v>
      </c>
      <c r="H456" s="24">
        <f t="shared" si="70"/>
        <v>688.80481388204998</v>
      </c>
      <c r="I456" s="12">
        <f t="shared" si="64"/>
        <v>0.49325999753083949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855.4112257383448</v>
      </c>
      <c r="F457" s="24">
        <f t="shared" si="62"/>
        <v>408.45960294082033</v>
      </c>
      <c r="G457" s="14">
        <f t="shared" si="63"/>
        <v>3808.6681621094185</v>
      </c>
      <c r="H457" s="24">
        <f t="shared" si="70"/>
        <v>688.23466306391106</v>
      </c>
      <c r="I457" s="12">
        <f t="shared" si="64"/>
        <v>0.48955903522019067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855.90078477356496</v>
      </c>
      <c r="F458" s="24">
        <f t="shared" si="62"/>
        <v>404.69526847253121</v>
      </c>
      <c r="G458" s="14">
        <f t="shared" si="63"/>
        <v>3777.6918177675848</v>
      </c>
      <c r="H458" s="24">
        <f t="shared" si="70"/>
        <v>687.6732428647764</v>
      </c>
      <c r="I458" s="12">
        <f t="shared" si="64"/>
        <v>0.48592243630178283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856.3867072098667</v>
      </c>
      <c r="F459" s="24">
        <f t="shared" si="62"/>
        <v>401.00271884488166</v>
      </c>
      <c r="G459" s="14">
        <f t="shared" si="63"/>
        <v>3747.2908964365602</v>
      </c>
      <c r="H459" s="24">
        <f t="shared" si="70"/>
        <v>687.1203283548524</v>
      </c>
      <c r="I459" s="12">
        <f t="shared" si="64"/>
        <v>0.48234917971403923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856.86905638958069</v>
      </c>
      <c r="F460" s="24">
        <f t="shared" si="62"/>
        <v>397.38045667148754</v>
      </c>
      <c r="G460" s="14">
        <f t="shared" si="63"/>
        <v>3717.4543690946002</v>
      </c>
      <c r="H460" s="24">
        <f t="shared" si="70"/>
        <v>686.57570185355837</v>
      </c>
      <c r="I460" s="12">
        <f t="shared" si="64"/>
        <v>0.47883824542703635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857.34789463500772</v>
      </c>
      <c r="F461" s="24">
        <f t="shared" si="62"/>
        <v>393.82700948576428</v>
      </c>
      <c r="G461" s="14">
        <f t="shared" si="63"/>
        <v>3688.1713460489914</v>
      </c>
      <c r="H461" s="24">
        <f t="shared" si="70"/>
        <v>686.03915266240256</v>
      </c>
      <c r="I461" s="12">
        <f t="shared" si="64"/>
        <v>0.47538861542352279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857.82328325043125</v>
      </c>
      <c r="F462" s="24">
        <f t="shared" si="62"/>
        <v>390.34092969584151</v>
      </c>
      <c r="G462" s="14">
        <f t="shared" si="63"/>
        <v>3659.4310790777149</v>
      </c>
      <c r="H462" s="24">
        <f t="shared" si="70"/>
        <v>685.51047680899251</v>
      </c>
      <c r="I462" s="12">
        <f t="shared" si="64"/>
        <v>0.47199927461788704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858.29528252504917</v>
      </c>
      <c r="F463" s="24">
        <f t="shared" si="62"/>
        <v>386.92079451641916</v>
      </c>
      <c r="G463" s="14">
        <f t="shared" si="63"/>
        <v>3631.2229633108232</v>
      </c>
      <c r="H463" s="24">
        <f t="shared" si="70"/>
        <v>684.98947680165111</v>
      </c>
      <c r="I463" s="12">
        <f t="shared" si="64"/>
        <v>0.46866921171566572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858.76395173676485</v>
      </c>
      <c r="F464" s="24">
        <f t="shared" si="62"/>
        <v>383.56520587908278</v>
      </c>
      <c r="G464" s="14">
        <f t="shared" si="63"/>
        <v>3603.5365388643113</v>
      </c>
      <c r="H464" s="24">
        <f t="shared" si="70"/>
        <v>684.47596139414168</v>
      </c>
      <c r="I464" s="12">
        <f t="shared" si="64"/>
        <v>0.46539742001626933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859.22934915678115</v>
      </c>
      <c r="F465" s="24">
        <f t="shared" ref="F465:F528" si="71">AlphaC*(D465-E465)</f>
        <v>380.27279032247918</v>
      </c>
      <c r="G465" s="14">
        <f t="shared" ref="G465:G528" si="72">Phi*EpsilonF*Botzman/10^8*J465*((D465+273)^4-(E465+273)^4)</f>
        <v>3576.3614922407587</v>
      </c>
      <c r="H465" s="24">
        <f t="shared" si="70"/>
        <v>683.96974536002801</v>
      </c>
      <c r="I465" s="12">
        <f t="shared" ref="I465:I528" si="73">ksh*Massivete/(H465*RhoA)*DeltaT*(F465+G465)</f>
        <v>0.46218289816173463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859.69153205494285</v>
      </c>
      <c r="F466" s="24">
        <f t="shared" si="71"/>
        <v>377.04219886375938</v>
      </c>
      <c r="G466" s="14">
        <f t="shared" si="72"/>
        <v>3549.6876575066567</v>
      </c>
      <c r="H466" s="24">
        <f t="shared" si="70"/>
        <v>683.47064927622455</v>
      </c>
      <c r="I466" s="12">
        <f t="shared" si="73"/>
        <v>0.45902465083376287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860.15055670577658</v>
      </c>
      <c r="F467" s="24">
        <f t="shared" si="71"/>
        <v>373.87210685248249</v>
      </c>
      <c r="G467" s="14">
        <f t="shared" si="72"/>
        <v>3523.5050172578767</v>
      </c>
      <c r="H467" s="24">
        <f t="shared" si="70"/>
        <v>682.97849931531073</v>
      </c>
      <c r="I467" s="12">
        <f t="shared" si="73"/>
        <v>0.45592168940142747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860.60647839517799</v>
      </c>
      <c r="F468" s="24">
        <f t="shared" si="71"/>
        <v>370.76121380833911</v>
      </c>
      <c r="G468" s="14">
        <f t="shared" si="72"/>
        <v>3497.8037033873829</v>
      </c>
      <c r="H468" s="24">
        <f t="shared" si="70"/>
        <v>682.49312704620934</v>
      </c>
      <c r="I468" s="12">
        <f t="shared" si="73"/>
        <v>0.45287303252222866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861.05935142770022</v>
      </c>
      <c r="F469" s="24">
        <f t="shared" si="71"/>
        <v>367.70824324372597</v>
      </c>
      <c r="G469" s="14">
        <f t="shared" si="72"/>
        <v>3472.5739976611071</v>
      </c>
      <c r="H469" s="24">
        <f t="shared" si="70"/>
        <v>682.0143692428461</v>
      </c>
      <c r="I469" s="12">
        <f t="shared" si="73"/>
        <v>0.44987770669814653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861.50922913439842</v>
      </c>
      <c r="F470" s="24">
        <f t="shared" si="71"/>
        <v>364.71194247241954</v>
      </c>
      <c r="G470" s="14">
        <f t="shared" si="72"/>
        <v>3447.8063321169711</v>
      </c>
      <c r="H470" s="24">
        <f t="shared" si="70"/>
        <v>681.54206770043027</v>
      </c>
      <c r="I470" s="12">
        <f t="shared" si="73"/>
        <v>0.44693474678939643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861.95616388118788</v>
      </c>
      <c r="F471" s="24">
        <f t="shared" si="71"/>
        <v>361.77108240532334</v>
      </c>
      <c r="G471" s="14">
        <f t="shared" si="72"/>
        <v>3423.4912892935968</v>
      </c>
      <c r="H471" s="24">
        <f t="shared" si="70"/>
        <v>681.07606905901343</v>
      </c>
      <c r="I471" s="12">
        <f t="shared" si="73"/>
        <v>0.44404319648754292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862.40020707767542</v>
      </c>
      <c r="F472" s="24">
        <f t="shared" si="71"/>
        <v>358.88445733435503</v>
      </c>
      <c r="G472" s="14">
        <f t="shared" si="72"/>
        <v>3399.6196022998711</v>
      </c>
      <c r="H472" s="24">
        <f t="shared" si="70"/>
        <v>680.61622463399885</v>
      </c>
      <c r="I472" s="12">
        <f t="shared" si="73"/>
        <v>0.44120210875015076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862.84140918642561</v>
      </c>
      <c r="F473" s="24">
        <f t="shared" si="71"/>
        <v>356.05088470538817</v>
      </c>
      <c r="G473" s="14">
        <f t="shared" si="72"/>
        <v>3376.1821547342188</v>
      </c>
      <c r="H473" s="24">
        <f t="shared" si="70"/>
        <v>680.16239025329492</v>
      </c>
      <c r="I473" s="12">
        <f t="shared" si="73"/>
        <v>0.43841054619883379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863.27981973262445</v>
      </c>
      <c r="F474" s="24">
        <f t="shared" si="71"/>
        <v>353.26920488123221</v>
      </c>
      <c r="G474" s="14">
        <f t="shared" si="72"/>
        <v>3353.1699804619097</v>
      </c>
      <c r="H474" s="24">
        <f t="shared" si="70"/>
        <v>679.71442610081681</v>
      </c>
      <c r="I474" s="12">
        <f t="shared" si="73"/>
        <v>0.43566758148248408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863.71548731410689</v>
      </c>
      <c r="F475" s="24">
        <f t="shared" si="71"/>
        <v>350.53828089544368</v>
      </c>
      <c r="G475" s="14">
        <f t="shared" si="72"/>
        <v>3330.5742632596775</v>
      </c>
      <c r="H475" s="24">
        <f t="shared" si="70"/>
        <v>679.27219656605848</v>
      </c>
      <c r="I475" s="12">
        <f t="shared" si="73"/>
        <v>0.43297229760752332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864.14845961171443</v>
      </c>
      <c r="F476" s="24">
        <f t="shared" si="71"/>
        <v>347.85699819786942</v>
      </c>
      <c r="G476" s="14">
        <f t="shared" si="72"/>
        <v>3308.3863363347136</v>
      </c>
      <c r="H476" s="24">
        <f t="shared" si="70"/>
        <v>678.83557009946958</v>
      </c>
      <c r="I476" s="12">
        <f t="shared" si="73"/>
        <v>0.43032378823675094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864.57878339995113</v>
      </c>
      <c r="F477" s="24">
        <f t="shared" si="71"/>
        <v>345.22426439262119</v>
      </c>
      <c r="G477" s="14">
        <f t="shared" si="72"/>
        <v>3286.5976817263791</v>
      </c>
      <c r="H477" s="24">
        <f t="shared" si="70"/>
        <v>678.40441907338493</v>
      </c>
      <c r="I477" s="12">
        <f t="shared" si="73"/>
        <v>0.42772115795846022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865.00650455790958</v>
      </c>
      <c r="F478" s="24">
        <f t="shared" si="71"/>
        <v>342.63900896932569</v>
      </c>
      <c r="G478" s="14">
        <f t="shared" si="72"/>
        <v>3265.1999295985884</v>
      </c>
      <c r="H478" s="24">
        <f t="shared" si="70"/>
        <v>677.97861964826689</v>
      </c>
      <c r="I478" s="12">
        <f t="shared" si="73"/>
        <v>0.4251635225274461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865.43166808043702</v>
      </c>
      <c r="F479" s="24">
        <f t="shared" si="71"/>
        <v>340.10018302827234</v>
      </c>
      <c r="G479" s="14">
        <f t="shared" si="72"/>
        <v>3244.1848574282762</v>
      </c>
      <c r="H479" s="24">
        <f t="shared" si="70"/>
        <v>677.5580516440325</v>
      </c>
      <c r="I479" s="12">
        <f t="shared" si="73"/>
        <v>0.42265000907917877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865.85431808951625</v>
      </c>
      <c r="F480" s="24">
        <f t="shared" si="71"/>
        <v>337.60675900016395</v>
      </c>
      <c r="G480" s="14">
        <f t="shared" si="72"/>
        <v>3223.5443890992428</v>
      </c>
      <c r="H480" s="24">
        <f t="shared" si="70"/>
        <v>677.14259841624857</v>
      </c>
      <c r="I480" s="12">
        <f t="shared" si="73"/>
        <v>0.42017975631886173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866.27449784583507</v>
      </c>
      <c r="F481" s="24">
        <f t="shared" si="71"/>
        <v>335.15773036110943</v>
      </c>
      <c r="G481" s="14">
        <f t="shared" si="72"/>
        <v>3203.2705939054554</v>
      </c>
      <c r="H481" s="24">
        <f t="shared" si="70"/>
        <v>676.73214673698862</v>
      </c>
      <c r="I481" s="12">
        <f t="shared" si="73"/>
        <v>0.41775191468645151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866.69224976052158</v>
      </c>
      <c r="F482" s="24">
        <f t="shared" si="71"/>
        <v>332.7521113434301</v>
      </c>
      <c r="G482" s="14">
        <f t="shared" si="72"/>
        <v>3183.3556854714061</v>
      </c>
      <c r="H482" s="24">
        <f t="shared" si="70"/>
        <v>676.32658668015222</v>
      </c>
      <c r="I482" s="12">
        <f t="shared" si="73"/>
        <v>0.41536564649910346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867.10761540702072</v>
      </c>
      <c r="F483" s="24">
        <f t="shared" si="71"/>
        <v>330.38893664285922</v>
      </c>
      <c r="G483" s="14">
        <f t="shared" si="72"/>
        <v>3163.7920205956257</v>
      </c>
      <c r="H483" s="24">
        <f t="shared" si="70"/>
        <v>675.92581151106413</v>
      </c>
      <c r="I483" s="12">
        <f t="shared" si="73"/>
        <v>0.41302012607230909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867.52063553309301</v>
      </c>
      <c r="F484" s="24">
        <f t="shared" si="71"/>
        <v>328.06726112267199</v>
      </c>
      <c r="G484" s="14">
        <f t="shared" si="72"/>
        <v>3144.5720980218848</v>
      </c>
      <c r="H484" s="24">
        <f t="shared" si="70"/>
        <v>675.52971758017031</v>
      </c>
      <c r="I484" s="12">
        <f t="shared" si="73"/>
        <v>0.41071453982078637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867.9313500729138</v>
      </c>
      <c r="F485" s="24">
        <f t="shared" si="71"/>
        <v>325.78615951527183</v>
      </c>
      <c r="G485" s="14">
        <f t="shared" si="72"/>
        <v>3125.6885571452153</v>
      </c>
      <c r="H485" s="24">
        <f t="shared" si="70"/>
        <v>675.13820422066328</v>
      </c>
      <c r="I485" s="12">
        <f t="shared" si="73"/>
        <v>0.40844808634047147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868.33979815925431</v>
      </c>
      <c r="F486" s="24">
        <f t="shared" si="71"/>
        <v>323.54472612164216</v>
      </c>
      <c r="G486" s="14">
        <f t="shared" si="72"/>
        <v>3107.1341766560486</v>
      </c>
      <c r="H486" s="24">
        <f t="shared" si="70"/>
        <v>674.75117364987364</v>
      </c>
      <c r="I486" s="12">
        <f t="shared" si="73"/>
        <v>0.40621997647247171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868.74601813572679</v>
      </c>
      <c r="F487" s="24">
        <f t="shared" si="71"/>
        <v>321.34207450919519</v>
      </c>
      <c r="G487" s="14">
        <f t="shared" si="72"/>
        <v>3088.9018731289993</v>
      </c>
      <c r="H487" s="24">
        <f t="shared" si="70"/>
        <v>674.36853087427346</v>
      </c>
      <c r="I487" s="12">
        <f t="shared" si="73"/>
        <v>0.40402943335022701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869.15004756907706</v>
      </c>
      <c r="F488" s="24">
        <f t="shared" si="71"/>
        <v>319.17733720837589</v>
      </c>
      <c r="G488" s="14">
        <f t="shared" si="72"/>
        <v>3070.9846995603148</v>
      </c>
      <c r="H488" s="24">
        <f t="shared" si="70"/>
        <v>673.99018359794445</v>
      </c>
      <c r="I488" s="12">
        <f t="shared" si="73"/>
        <v>0.40187569243078641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869.5519232615078</v>
      </c>
      <c r="F489" s="24">
        <f t="shared" si="71"/>
        <v>317.04966540844453</v>
      </c>
      <c r="G489" s="14">
        <f t="shared" si="72"/>
        <v>3053.3758438579694</v>
      </c>
      <c r="H489" s="24">
        <f t="shared" si="70"/>
        <v>673.61604213436942</v>
      </c>
      <c r="I489" s="12">
        <f t="shared" si="73"/>
        <v>0.39975800151110008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869.95168126301894</v>
      </c>
      <c r="F490" s="24">
        <f t="shared" si="71"/>
        <v>314.95822865283287</v>
      </c>
      <c r="G490" s="14">
        <f t="shared" si="72"/>
        <v>3036.0686272903527</v>
      </c>
      <c r="H490" s="24">
        <f t="shared" si="70"/>
        <v>673.24601932141331</v>
      </c>
      <c r="I490" s="12">
        <f t="shared" si="73"/>
        <v>0.39767562073043811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870.34935688374935</v>
      </c>
      <c r="F491" s="24">
        <f t="shared" si="71"/>
        <v>312.9022145343697</v>
      </c>
      <c r="G491" s="14">
        <f t="shared" si="72"/>
        <v>3019.0565028956375</v>
      </c>
      <c r="H491" s="24">
        <f t="shared" si="70"/>
        <v>672.88003043936646</v>
      </c>
      <c r="I491" s="12">
        <f t="shared" si="73"/>
        <v>0.39562782255956552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870.74498470630897</v>
      </c>
      <c r="F492" s="24">
        <f t="shared" si="71"/>
        <v>310.88082839075355</v>
      </c>
      <c r="G492" s="14">
        <f t="shared" si="72"/>
        <v>3002.3330538567748</v>
      </c>
      <c r="H492" s="24">
        <f t="shared" si="70"/>
        <v>672.51799313192453</v>
      </c>
      <c r="I492" s="12">
        <f t="shared" si="73"/>
        <v>0.39361389177764006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871.13859859808656</v>
      </c>
      <c r="F493" s="24">
        <f t="shared" si="71"/>
        <v>308.89329300055977</v>
      </c>
      <c r="G493" s="14">
        <f t="shared" si="72"/>
        <v>2985.8919918458923</v>
      </c>
      <c r="H493" s="24">
        <f t="shared" si="70"/>
        <v>672.15982732999385</v>
      </c>
      <c r="I493" s="12">
        <f t="shared" si="73"/>
        <v>0.39163312543763157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871.53023172352414</v>
      </c>
      <c r="F494" s="24">
        <f t="shared" si="71"/>
        <v>306.93884828008322</v>
      </c>
      <c r="G494" s="14">
        <f t="shared" si="72"/>
        <v>2969.7271553413721</v>
      </c>
      <c r="H494" s="24">
        <f t="shared" si="70"/>
        <v>671.80545517820428</v>
      </c>
      <c r="I494" s="12">
        <f t="shared" si="73"/>
        <v>0.38968483282099781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871.91991655634513</v>
      </c>
      <c r="F495" s="24">
        <f t="shared" si="71"/>
        <v>305.01675098125531</v>
      </c>
      <c r="G495" s="14">
        <f t="shared" si="72"/>
        <v>2953.8325079205329</v>
      </c>
      <c r="H495" s="24">
        <f t="shared" si="70"/>
        <v>671.45480096402764</v>
      </c>
      <c r="I495" s="12">
        <f t="shared" si="73"/>
        <v>0.38776833538228656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872.30768489172738</v>
      </c>
      <c r="F496" s="24">
        <f t="shared" si="71"/>
        <v>303.12627439092807</v>
      </c>
      <c r="G496" s="14">
        <f t="shared" si="72"/>
        <v>2938.2021365314768</v>
      </c>
      <c r="H496" s="24">
        <f t="shared" si="70"/>
        <v>671.10779104939706</v>
      </c>
      <c r="I496" s="12">
        <f t="shared" si="73"/>
        <v>0.38588296668440336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872.69356785841183</v>
      </c>
      <c r="F497" s="24">
        <f t="shared" si="71"/>
        <v>301.26670803172431</v>
      </c>
      <c r="G497" s="14">
        <f t="shared" si="72"/>
        <v>2922.8302497474274</v>
      </c>
      <c r="H497" s="24">
        <f t="shared" si="70"/>
        <v>670.76435380473129</v>
      </c>
      <c r="I497" s="12">
        <f t="shared" si="73"/>
        <v>0.38402807232523878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873.07759593073706</v>
      </c>
      <c r="F498" s="24">
        <f t="shared" si="71"/>
        <v>299.43735736469534</v>
      </c>
      <c r="G498" s="14">
        <f t="shared" si="72"/>
        <v>2907.7111760054668</v>
      </c>
      <c r="H498" s="24">
        <f t="shared" ref="H498:H561" si="79">IF(E498&lt;600,425+0.773*E498-1.69/1000*E498^2+2.22/1000^2*E498^3,IF(E498&lt;735,666+13002/(738-E498),IF(E498&lt;900,545+17820/(E498-731),650)))</f>
        <v>670.42441954526919</v>
      </c>
      <c r="I498" s="12">
        <f t="shared" si="73"/>
        <v>0.38220300985617023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873.45979894059326</v>
      </c>
      <c r="F499" s="24">
        <f t="shared" si="71"/>
        <v>297.63754349396265</v>
      </c>
      <c r="G499" s="14">
        <f t="shared" si="72"/>
        <v>2892.8393618328778</v>
      </c>
      <c r="H499" s="24">
        <f t="shared" si="79"/>
        <v>670.08792046962708</v>
      </c>
      <c r="I499" s="12">
        <f t="shared" si="73"/>
        <v>0.38040714869309161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873.84020608928631</v>
      </c>
      <c r="F500" s="24">
        <f t="shared" si="71"/>
        <v>295.86660287360189</v>
      </c>
      <c r="G500" s="14">
        <f t="shared" si="72"/>
        <v>2878.2093700644186</v>
      </c>
      <c r="H500" s="24">
        <f t="shared" si="79"/>
        <v>669.75479060049179</v>
      </c>
      <c r="I500" s="12">
        <f t="shared" si="73"/>
        <v>0.37863987002063909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874.21884595930692</v>
      </c>
      <c r="F501" s="24">
        <f t="shared" si="71"/>
        <v>294.12388701677799</v>
      </c>
      <c r="G501" s="14">
        <f t="shared" si="72"/>
        <v>2863.8158780501885</v>
      </c>
      <c r="H501" s="24">
        <f t="shared" si="79"/>
        <v>669.42496572736832</v>
      </c>
      <c r="I501" s="12">
        <f t="shared" si="73"/>
        <v>0.37690056668980487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874.59574652599667</v>
      </c>
      <c r="F502" s="24">
        <f t="shared" si="71"/>
        <v>292.40876220752341</v>
      </c>
      <c r="G502" s="14">
        <f t="shared" si="72"/>
        <v>2849.6536758607863</v>
      </c>
      <c r="H502" s="24">
        <f t="shared" si="79"/>
        <v>669.0983833513053</v>
      </c>
      <c r="I502" s="12">
        <f t="shared" si="73"/>
        <v>0.37518864311000455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874.97093516910672</v>
      </c>
      <c r="F503" s="24">
        <f t="shared" si="71"/>
        <v>290.72060921511991</v>
      </c>
      <c r="G503" s="14">
        <f t="shared" si="72"/>
        <v>2835.7176644869801</v>
      </c>
      <c r="H503" s="24">
        <f t="shared" si="79"/>
        <v>668.77498263152086</v>
      </c>
      <c r="I503" s="12">
        <f t="shared" si="73"/>
        <v>0.37350351513547791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875.34443868424216</v>
      </c>
      <c r="F504" s="24">
        <f t="shared" si="71"/>
        <v>289.05882301127406</v>
      </c>
      <c r="G504" s="14">
        <f t="shared" si="72"/>
        <v>2822.0028540396052</v>
      </c>
      <c r="H504" s="24">
        <f t="shared" si="79"/>
        <v>668.45470433385935</v>
      </c>
      <c r="I504" s="12">
        <f t="shared" si="73"/>
        <v>0.37184460994692914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875.71628329418911</v>
      </c>
      <c r="F505" s="24">
        <f t="shared" si="71"/>
        <v>287.42281249024586</v>
      </c>
      <c r="G505" s="14">
        <f t="shared" si="72"/>
        <v>2808.5043619496391</v>
      </c>
      <c r="H505" s="24">
        <f t="shared" si="79"/>
        <v>668.1374907810083</v>
      </c>
      <c r="I505" s="12">
        <f t="shared" si="73"/>
        <v>0.37021136592861936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876.08649466011775</v>
      </c>
      <c r="F506" s="24">
        <f t="shared" si="71"/>
        <v>285.81200019202129</v>
      </c>
      <c r="G506" s="14">
        <f t="shared" si="72"/>
        <v>2795.2174111708814</v>
      </c>
      <c r="H506" s="24">
        <f t="shared" si="79"/>
        <v>667.82328580441242</v>
      </c>
      <c r="I506" s="12">
        <f t="shared" si="73"/>
        <v>0.36860323254139793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876.45509789265918</v>
      </c>
      <c r="F507" s="24">
        <f t="shared" si="71"/>
        <v>284.22582202860269</v>
      </c>
      <c r="G507" s="14">
        <f t="shared" si="72"/>
        <v>2782.1373283871603</v>
      </c>
      <c r="H507" s="24">
        <f t="shared" si="79"/>
        <v>667.51203469781819</v>
      </c>
      <c r="I507" s="12">
        <f t="shared" si="73"/>
        <v>0.3670196701920948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876.8221175628513</v>
      </c>
      <c r="F508" s="24">
        <f t="shared" si="71"/>
        <v>282.66372701352793</v>
      </c>
      <c r="G508" s="14">
        <f t="shared" si="72"/>
        <v>2769.259542223956</v>
      </c>
      <c r="H508" s="24">
        <f t="shared" si="79"/>
        <v>667.20368417239138</v>
      </c>
      <c r="I508" s="12">
        <f t="shared" si="73"/>
        <v>0.36546015009944777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877.18757771295077</v>
      </c>
      <c r="F509" s="24">
        <f t="shared" si="71"/>
        <v>281.12517699475745</v>
      </c>
      <c r="G509" s="14">
        <f t="shared" si="72"/>
        <v>2756.5795814692506</v>
      </c>
      <c r="H509" s="24">
        <f t="shared" si="79"/>
        <v>666.898182313348</v>
      </c>
      <c r="I509" s="12">
        <f t="shared" si="73"/>
        <v>0.36392415415732154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877.55150186710807</v>
      </c>
      <c r="F510" s="24">
        <f t="shared" si="71"/>
        <v>279.6096463908782</v>
      </c>
      <c r="G510" s="14">
        <f t="shared" si="72"/>
        <v>2744.0930733005889</v>
      </c>
      <c r="H510" s="24">
        <f t="shared" si="79"/>
        <v>666.59547853804361</v>
      </c>
      <c r="I510" s="12">
        <f t="shared" si="73"/>
        <v>0.36241117479501594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877.91391304190313</v>
      </c>
      <c r="F511" s="24">
        <f t="shared" si="71"/>
        <v>278.1166219308318</v>
      </c>
      <c r="G511" s="14">
        <f t="shared" si="72"/>
        <v>2731.7957415240376</v>
      </c>
      <c r="H511" s="24">
        <f t="shared" si="79"/>
        <v>666.29552355546707</v>
      </c>
      <c r="I511" s="12">
        <f t="shared" si="73"/>
        <v>0.36092071483552091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878.27483375673864</v>
      </c>
      <c r="F512" s="24">
        <f t="shared" si="71"/>
        <v>276.64560239710454</v>
      </c>
      <c r="G512" s="14">
        <f t="shared" si="72"/>
        <v>2719.683404822089</v>
      </c>
      <c r="H512" s="24">
        <f t="shared" si="79"/>
        <v>665.99826932708822</v>
      </c>
      <c r="I512" s="12">
        <f t="shared" si="73"/>
        <v>0.35945228735150586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878.63428604409012</v>
      </c>
      <c r="F513" s="24">
        <f t="shared" si="71"/>
        <v>275.1960983725354</v>
      </c>
      <c r="G513" s="14">
        <f t="shared" si="72"/>
        <v>2707.7519750157312</v>
      </c>
      <c r="H513" s="24">
        <f t="shared" si="79"/>
        <v>665.70366902900969</v>
      </c>
      <c r="I513" s="12">
        <f t="shared" si="73"/>
        <v>0.35800541551983089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878.99229145960999</v>
      </c>
      <c r="F514" s="24">
        <f t="shared" si="71"/>
        <v>273.76763199068819</v>
      </c>
      <c r="G514" s="14">
        <f t="shared" si="72"/>
        <v>2695.9974553375941</v>
      </c>
      <c r="H514" s="24">
        <f t="shared" si="79"/>
        <v>665.41167701537643</v>
      </c>
      <c r="I514" s="12">
        <f t="shared" si="73"/>
        <v>0.35657963247433933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879.34887109208432</v>
      </c>
      <c r="F515" s="24">
        <f t="shared" si="71"/>
        <v>272.35973668989857</v>
      </c>
      <c r="G515" s="14">
        <f t="shared" si="72"/>
        <v>2684.4159387206473</v>
      </c>
      <c r="H515" s="24">
        <f t="shared" si="79"/>
        <v>665.12224878299628</v>
      </c>
      <c r="I515" s="12">
        <f t="shared" si="73"/>
        <v>0.35517448115761341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879.70404557324196</v>
      </c>
      <c r="F516" s="24">
        <f t="shared" si="71"/>
        <v>270.97195697098471</v>
      </c>
      <c r="G516" s="14">
        <f t="shared" si="72"/>
        <v>2673.0036061006977</v>
      </c>
      <c r="H516" s="24">
        <f t="shared" si="79"/>
        <v>664.83534093713024</v>
      </c>
      <c r="I516" s="12">
        <f t="shared" si="73"/>
        <v>0.35378951417160787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880.05783508741354</v>
      </c>
      <c r="F517" s="24">
        <f t="shared" si="71"/>
        <v>269.60384815867542</v>
      </c>
      <c r="G517" s="14">
        <f t="shared" si="72"/>
        <v>2661.7567247356292</v>
      </c>
      <c r="H517" s="24">
        <f t="shared" si="79"/>
        <v>664.55091115840798</v>
      </c>
      <c r="I517" s="12">
        <f t="shared" si="73"/>
        <v>0.35242429362764299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880.41025938104121</v>
      </c>
      <c r="F518" s="24">
        <f t="shared" si="71"/>
        <v>268.25497616675591</v>
      </c>
      <c r="G518" s="14">
        <f t="shared" si="72"/>
        <v>2650.6716465401087</v>
      </c>
      <c r="H518" s="24">
        <f t="shared" si="79"/>
        <v>664.26891817083072</v>
      </c>
      <c r="I518" s="12">
        <f t="shared" si="73"/>
        <v>0.35107839099572058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880.76133777203688</v>
      </c>
      <c r="F519" s="24">
        <f t="shared" si="71"/>
        <v>266.92491726694243</v>
      </c>
      <c r="G519" s="14">
        <f t="shared" si="72"/>
        <v>2639.744806438162</v>
      </c>
      <c r="H519" s="24">
        <f t="shared" si="79"/>
        <v>663.9893217108222</v>
      </c>
      <c r="I519" s="12">
        <f t="shared" si="73"/>
        <v>0.34975138695356406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881.11108915899047</v>
      </c>
      <c r="F520" s="24">
        <f t="shared" si="71"/>
        <v>265.61325786150007</v>
      </c>
      <c r="G520" s="14">
        <f t="shared" si="72"/>
        <v>2628.9727207330816</v>
      </c>
      <c r="H520" s="24">
        <f t="shared" si="79"/>
        <v>663.71208249728909</v>
      </c>
      <c r="I520" s="12">
        <f t="shared" si="73"/>
        <v>0.34844287123543072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881.45953203022589</v>
      </c>
      <c r="F521" s="24">
        <f t="shared" si="71"/>
        <v>264.31959425964635</v>
      </c>
      <c r="G521" s="14">
        <f t="shared" si="72"/>
        <v>2618.3519854958745</v>
      </c>
      <c r="H521" s="24">
        <f t="shared" si="79"/>
        <v>663.43716220265878</v>
      </c>
      <c r="I521" s="12">
        <f t="shared" si="73"/>
        <v>0.34715244248094607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881.80668447270682</v>
      </c>
      <c r="F522" s="24">
        <f t="shared" si="71"/>
        <v>263.0435324576581</v>
      </c>
      <c r="G522" s="14">
        <f t="shared" si="72"/>
        <v>2607.8792749723416</v>
      </c>
      <c r="H522" s="24">
        <f t="shared" si="79"/>
        <v>663.16452342485582</v>
      </c>
      <c r="I522" s="12">
        <f t="shared" si="73"/>
        <v>0.34587970808406504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882.15256418079093</v>
      </c>
      <c r="F523" s="24">
        <f t="shared" si="71"/>
        <v>261.78468792275567</v>
      </c>
      <c r="G523" s="14">
        <f t="shared" si="72"/>
        <v>2597.5513400094992</v>
      </c>
      <c r="H523" s="24">
        <f t="shared" si="79"/>
        <v>662.89412966018767</v>
      </c>
      <c r="I523" s="12">
        <f t="shared" si="73"/>
        <v>0.34462428404234735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882.49718846483324</v>
      </c>
      <c r="F524" s="24">
        <f t="shared" si="71"/>
        <v>260.54268538074723</v>
      </c>
      <c r="G524" s="14">
        <f t="shared" si="72"/>
        <v>2587.3650065021948</v>
      </c>
      <c r="H524" s="24">
        <f t="shared" si="79"/>
        <v>662.62594527710667</v>
      </c>
      <c r="I524" s="12">
        <f t="shared" si="73"/>
        <v>0.34338579480674197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882.84057425963999</v>
      </c>
      <c r="F525" s="24">
        <f t="shared" si="71"/>
        <v>259.31715860733959</v>
      </c>
      <c r="G525" s="14">
        <f t="shared" si="72"/>
        <v>2577.317173858868</v>
      </c>
      <c r="H525" s="24">
        <f t="shared" si="79"/>
        <v>662.35993549081729</v>
      </c>
      <c r="I525" s="12">
        <f t="shared" si="73"/>
        <v>0.34216387313183028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883.18273813277187</v>
      </c>
      <c r="F526" s="24">
        <f t="shared" si="71"/>
        <v>258.10775022321479</v>
      </c>
      <c r="G526" s="14">
        <f t="shared" si="72"/>
        <v>2567.4048134884392</v>
      </c>
      <c r="H526" s="24">
        <f t="shared" si="79"/>
        <v>662.09606633869953</v>
      </c>
      <c r="I526" s="12">
        <f t="shared" si="73"/>
        <v>0.34095815992686479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883.52369629269879</v>
      </c>
      <c r="F527" s="24">
        <f t="shared" si="71"/>
        <v>256.91411149282146</v>
      </c>
      <c r="G527" s="14">
        <f t="shared" si="72"/>
        <v>2557.6249673077186</v>
      </c>
      <c r="H527" s="24">
        <f t="shared" si="79"/>
        <v>661.83430465652191</v>
      </c>
      <c r="I527" s="12">
        <f t="shared" si="73"/>
        <v>0.33976830410760545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883.86346459680635</v>
      </c>
      <c r="F528" s="24">
        <f t="shared" si="71"/>
        <v>255.73590212679278</v>
      </c>
      <c r="G528" s="14">
        <f t="shared" si="72"/>
        <v>2547.9747462696382</v>
      </c>
      <c r="H528" s="24">
        <f t="shared" si="79"/>
        <v>661.57461805541402</v>
      </c>
      <c r="I528" s="12">
        <f t="shared" si="73"/>
        <v>0.33859396244905893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884.20205855925542</v>
      </c>
      <c r="F529" s="24">
        <f t="shared" ref="F529:F592" si="80">AlphaC*(D529-E529)</f>
        <v>254.57279008805074</v>
      </c>
      <c r="G529" s="14">
        <f t="shared" ref="G529:G592" si="81">Phi*EpsilonF*Botzman/10^8*J529*((D529+273)^4-(E529+273)^4)</f>
        <v>2538.4513289128258</v>
      </c>
      <c r="H529" s="24">
        <f t="shared" si="79"/>
        <v>661.31697489957412</v>
      </c>
      <c r="I529" s="12">
        <f t="shared" ref="I529:I592" si="82">ksh*Massivete/(H529*RhoA)*DeltaT*(F529+G529)</f>
        <v>0.33743479943926707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884.5394933586947</v>
      </c>
      <c r="F530" s="24">
        <f t="shared" si="80"/>
        <v>253.42445140152279</v>
      </c>
      <c r="G530" s="14">
        <f t="shared" si="81"/>
        <v>2529.0519599321028</v>
      </c>
      <c r="H530" s="24">
        <f t="shared" si="79"/>
        <v>661.06134428468783</v>
      </c>
      <c r="I530" s="12">
        <f t="shared" si="82"/>
        <v>0.33629048713415538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884.87578384582889</v>
      </c>
      <c r="F531" s="24">
        <f t="shared" si="80"/>
        <v>252.29056996751638</v>
      </c>
      <c r="G531" s="14">
        <f t="shared" si="81"/>
        <v>2519.773948770945</v>
      </c>
      <c r="H531" s="24">
        <f t="shared" si="79"/>
        <v>660.80769601703025</v>
      </c>
      <c r="I531" s="12">
        <f t="shared" si="82"/>
        <v>0.33516070501364742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885.21094455084256</v>
      </c>
      <c r="F532" s="24">
        <f t="shared" si="80"/>
        <v>251.17083737857229</v>
      </c>
      <c r="G532" s="14">
        <f t="shared" si="81"/>
        <v>2510.6146682351709</v>
      </c>
      <c r="H532" s="24">
        <f t="shared" si="79"/>
        <v>660.55600059323183</v>
      </c>
      <c r="I532" s="12">
        <f t="shared" si="82"/>
        <v>0.3340451398389967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885.54498969068152</v>
      </c>
      <c r="F533" s="24">
        <f t="shared" si="80"/>
        <v>250.06495273995029</v>
      </c>
      <c r="G533" s="14">
        <f t="shared" si="81"/>
        <v>2501.5715531285205</v>
      </c>
      <c r="H533" s="24">
        <f t="shared" si="79"/>
        <v>660.30622918068286</v>
      </c>
      <c r="I533" s="12">
        <f t="shared" si="82"/>
        <v>0.33294348551150543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885.87793317619298</v>
      </c>
      <c r="F534" s="24">
        <f t="shared" si="80"/>
        <v>248.97262249356231</v>
      </c>
      <c r="G534" s="14">
        <f t="shared" si="81"/>
        <v>2492.6420989098328</v>
      </c>
      <c r="H534" s="24">
        <f t="shared" si="79"/>
        <v>660.05835359855644</v>
      </c>
      <c r="I534" s="12">
        <f t="shared" si="82"/>
        <v>0.33185544293263014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886.20978861912556</v>
      </c>
      <c r="F535" s="24">
        <f t="shared" si="80"/>
        <v>247.89356024542428</v>
      </c>
      <c r="G535" s="14">
        <f t="shared" si="81"/>
        <v>2483.8238603718119</v>
      </c>
      <c r="H535" s="24">
        <f t="shared" si="79"/>
        <v>659.81234629942765</v>
      </c>
      <c r="I535" s="12">
        <f t="shared" si="82"/>
        <v>0.33078071986554503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886.54056933899108</v>
      </c>
      <c r="F536" s="24">
        <f t="shared" si="80"/>
        <v>246.82748659650713</v>
      </c>
      <c r="G536" s="14">
        <f t="shared" si="81"/>
        <v>2475.1144503418309</v>
      </c>
      <c r="H536" s="24">
        <f t="shared" si="79"/>
        <v>659.56818035147091</v>
      </c>
      <c r="I536" s="12">
        <f t="shared" si="82"/>
        <v>0.32971903079825954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886.87028836978936</v>
      </c>
      <c r="F537" s="24">
        <f t="shared" si="80"/>
        <v>245.77412897700412</v>
      </c>
      <c r="G537" s="14">
        <f t="shared" si="81"/>
        <v>2466.5115384046117</v>
      </c>
      <c r="H537" s="24">
        <f t="shared" si="79"/>
        <v>659.32582942121417</v>
      </c>
      <c r="I537" s="12">
        <f t="shared" si="82"/>
        <v>0.32867009680832882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887.19895846659767</v>
      </c>
      <c r="F538" s="24">
        <f t="shared" si="80"/>
        <v>244.73322148396903</v>
      </c>
      <c r="G538" s="14">
        <f t="shared" si="81"/>
        <v>2458.0128496458942</v>
      </c>
      <c r="H538" s="24">
        <f t="shared" si="79"/>
        <v>659.08526775683151</v>
      </c>
      <c r="I538" s="12">
        <f t="shared" si="82"/>
        <v>0.32763364542909756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887.52659211202672</v>
      </c>
      <c r="F539" s="24">
        <f t="shared" si="80"/>
        <v>243.70450472225684</v>
      </c>
      <c r="G539" s="14">
        <f t="shared" si="81"/>
        <v>2449.6161634186392</v>
      </c>
      <c r="H539" s="24">
        <f t="shared" si="79"/>
        <v>658.84647017195744</v>
      </c>
      <c r="I539" s="12">
        <f t="shared" si="82"/>
        <v>0.32660941051770892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887.8532015225444</v>
      </c>
      <c r="F540" s="24">
        <f t="shared" si="80"/>
        <v>242.68772564873302</v>
      </c>
      <c r="G540" s="14">
        <f t="shared" si="81"/>
        <v>2441.3193121301038</v>
      </c>
      <c r="H540" s="24">
        <f t="shared" si="79"/>
        <v>658.60941203000402</v>
      </c>
      <c r="I540" s="12">
        <f t="shared" si="82"/>
        <v>0.3255971321247208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888.17879865466909</v>
      </c>
      <c r="F541" s="24">
        <f t="shared" si="80"/>
        <v>241.68263741977114</v>
      </c>
      <c r="G541" s="14">
        <f t="shared" si="81"/>
        <v>2433.120180050963</v>
      </c>
      <c r="H541" s="24">
        <f t="shared" si="79"/>
        <v>658.37406922896503</v>
      </c>
      <c r="I541" s="12">
        <f t="shared" si="82"/>
        <v>0.32459655636552454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888.50339521103467</v>
      </c>
      <c r="F542" s="24">
        <f t="shared" si="80"/>
        <v>240.68899924186269</v>
      </c>
      <c r="G542" s="14">
        <f t="shared" si="81"/>
        <v>2425.0167021451484</v>
      </c>
      <c r="H542" s="24">
        <f t="shared" si="79"/>
        <v>658.14041818669023</v>
      </c>
      <c r="I542" s="12">
        <f t="shared" si="82"/>
        <v>0.32360743529342817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888.82700264632808</v>
      </c>
      <c r="F543" s="24">
        <f t="shared" si="80"/>
        <v>239.7065762254698</v>
      </c>
      <c r="G543" s="14">
        <f t="shared" si="81"/>
        <v>2417.006862921708</v>
      </c>
      <c r="H543" s="24">
        <f t="shared" si="79"/>
        <v>657.90843582661546</v>
      </c>
      <c r="I543" s="12">
        <f t="shared" si="82"/>
        <v>0.32262952677462226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889.14963217310276</v>
      </c>
      <c r="F544" s="24">
        <f t="shared" si="80"/>
        <v>238.73513924189069</v>
      </c>
      <c r="G544" s="14">
        <f t="shared" si="81"/>
        <v>2409.0886953068093</v>
      </c>
      <c r="H544" s="24">
        <f t="shared" si="79"/>
        <v>657.67809956393137</v>
      </c>
      <c r="I544" s="12">
        <f t="shared" si="82"/>
        <v>0.32166259436481814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889.47129476746761</v>
      </c>
      <c r="F545" s="24">
        <f t="shared" si="80"/>
        <v>237.77446478327704</v>
      </c>
      <c r="G545" s="14">
        <f t="shared" si="81"/>
        <v>2401.2602795381563</v>
      </c>
      <c r="H545" s="24">
        <f t="shared" si="79"/>
        <v>657.44938729217881</v>
      </c>
      <c r="I545" s="12">
        <f t="shared" si="82"/>
        <v>0.32070640718788856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889.79200117465552</v>
      </c>
      <c r="F546" s="24">
        <f t="shared" si="80"/>
        <v>236.82433482558736</v>
      </c>
      <c r="G546" s="14">
        <f t="shared" si="81"/>
        <v>2393.5197420780787</v>
      </c>
      <c r="H546" s="24">
        <f t="shared" si="79"/>
        <v>657.22227737025469</v>
      </c>
      <c r="I546" s="12">
        <f t="shared" si="82"/>
        <v>0.31976073981607284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890.11176191447157</v>
      </c>
      <c r="F547" s="24">
        <f t="shared" si="80"/>
        <v>235.88453669455021</v>
      </c>
      <c r="G547" s="14">
        <f t="shared" si="81"/>
        <v>2385.8652545494388</v>
      </c>
      <c r="H547" s="24">
        <f t="shared" si="79"/>
        <v>656.99674860981622</v>
      </c>
      <c r="I547" s="12">
        <f t="shared" si="82"/>
        <v>0.31882537215229645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890.4305872866239</v>
      </c>
      <c r="F548" s="24">
        <f t="shared" si="80"/>
        <v>234.95486293458612</v>
      </c>
      <c r="G548" s="14">
        <f t="shared" si="81"/>
        <v>2378.2950326907676</v>
      </c>
      <c r="H548" s="24">
        <f t="shared" si="79"/>
        <v>656.77278026306988</v>
      </c>
      <c r="I548" s="12">
        <f t="shared" si="82"/>
        <v>0.31790008931419922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890.74848737593811</v>
      </c>
      <c r="F549" s="24">
        <f t="shared" si="80"/>
        <v>234.03511118050915</v>
      </c>
      <c r="G549" s="14">
        <f t="shared" si="81"/>
        <v>2370.807335331358</v>
      </c>
      <c r="H549" s="24">
        <f t="shared" si="79"/>
        <v>656.55035201093312</v>
      </c>
      <c r="I549" s="12">
        <f t="shared" si="82"/>
        <v>0.31698468151997478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891.06547205745812</v>
      </c>
      <c r="F550" s="24">
        <f t="shared" si="80"/>
        <v>233.12508403216725</v>
      </c>
      <c r="G550" s="14">
        <f t="shared" si="81"/>
        <v>2363.4004633873978</v>
      </c>
      <c r="H550" s="24">
        <f t="shared" si="79"/>
        <v>656.32944395155516</v>
      </c>
      <c r="I550" s="12">
        <f t="shared" si="82"/>
        <v>0.31607894397620756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891.38155100143433</v>
      </c>
      <c r="F551" s="24">
        <f t="shared" si="80"/>
        <v>232.22458893180544</v>
      </c>
      <c r="G551" s="14">
        <f t="shared" si="81"/>
        <v>2356.0727588772761</v>
      </c>
      <c r="H551" s="24">
        <f t="shared" si="79"/>
        <v>656.11003658918742</v>
      </c>
      <c r="I551" s="12">
        <f t="shared" si="82"/>
        <v>0.31518267676748452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891.69673367820178</v>
      </c>
      <c r="F552" s="24">
        <f t="shared" si="80"/>
        <v>231.33343804419439</v>
      </c>
      <c r="G552" s="14">
        <f t="shared" si="81"/>
        <v>2348.8226039563119</v>
      </c>
      <c r="H552" s="24">
        <f t="shared" si="79"/>
        <v>655.89211082339034</v>
      </c>
      <c r="I552" s="12">
        <f t="shared" si="82"/>
        <v>0.31429568474785208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892.01102936294967</v>
      </c>
      <c r="F553" s="24">
        <f t="shared" si="80"/>
        <v>230.45144813942784</v>
      </c>
      <c r="G553" s="14">
        <f t="shared" si="81"/>
        <v>2341.6484199718097</v>
      </c>
      <c r="H553" s="24">
        <f t="shared" si="79"/>
        <v>655.67564793856639</v>
      </c>
      <c r="I553" s="12">
        <f t="shared" si="82"/>
        <v>0.31341777743424476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892.32444714038388</v>
      </c>
      <c r="F554" s="24">
        <f t="shared" si="80"/>
        <v>229.57844047840297</v>
      </c>
      <c r="G554" s="14">
        <f t="shared" si="81"/>
        <v>2334.5486665356348</v>
      </c>
      <c r="H554" s="24">
        <f t="shared" si="79"/>
        <v>655.46062959380924</v>
      </c>
      <c r="I554" s="12">
        <f t="shared" si="82"/>
        <v>0.31254876890157651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892.63699590928547</v>
      </c>
      <c r="F555" s="24">
        <f t="shared" si="80"/>
        <v>228.71424070087869</v>
      </c>
      <c r="G555" s="14">
        <f t="shared" si="81"/>
        <v>2327.5218406179233</v>
      </c>
      <c r="H555" s="24">
        <f t="shared" si="79"/>
        <v>655.24703781305743</v>
      </c>
      <c r="I555" s="12">
        <f t="shared" si="82"/>
        <v>0.3116884776799505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892.9486843869654</v>
      </c>
      <c r="F556" s="24">
        <f t="shared" si="80"/>
        <v>227.85867871607479</v>
      </c>
      <c r="G556" s="14">
        <f t="shared" si="81"/>
        <v>2320.5664756569736</v>
      </c>
      <c r="H556" s="24">
        <f t="shared" si="79"/>
        <v>655.0348549755447</v>
      </c>
      <c r="I556" s="12">
        <f t="shared" si="82"/>
        <v>0.31083672665340628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893.2595211136188</v>
      </c>
      <c r="F557" s="24">
        <f t="shared" si="80"/>
        <v>227.01158859582904</v>
      </c>
      <c r="G557" s="14">
        <f t="shared" si="81"/>
        <v>2313.6811406896322</v>
      </c>
      <c r="H557" s="24">
        <f t="shared" si="79"/>
        <v>654.82406380653572</v>
      </c>
      <c r="I557" s="12">
        <f t="shared" si="82"/>
        <v>0.30999334296075837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893.56951445657955</v>
      </c>
      <c r="F558" s="24">
        <f t="shared" si="80"/>
        <v>226.17280847015024</v>
      </c>
      <c r="G558" s="14">
        <f t="shared" si="81"/>
        <v>2306.8644394983758</v>
      </c>
      <c r="H558" s="24">
        <f t="shared" si="79"/>
        <v>654.61464736833864</v>
      </c>
      <c r="I558" s="12">
        <f t="shared" si="82"/>
        <v>0.30915815789807161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893.87867261447764</v>
      </c>
      <c r="F559" s="24">
        <f t="shared" si="80"/>
        <v>225.34218042525822</v>
      </c>
      <c r="G559" s="14">
        <f t="shared" si="81"/>
        <v>2300.1150097777822</v>
      </c>
      <c r="H559" s="24">
        <f t="shared" si="79"/>
        <v>654.40658905158614</v>
      </c>
      <c r="I559" s="12">
        <f t="shared" si="82"/>
        <v>0.30833100682313314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894.18700362130073</v>
      </c>
      <c r="F560" s="24">
        <f t="shared" si="80"/>
        <v>224.51955040394864</v>
      </c>
      <c r="G560" s="14">
        <f t="shared" si="81"/>
        <v>2293.4315223167764</v>
      </c>
      <c r="H560" s="24">
        <f t="shared" si="79"/>
        <v>654.19987256677564</v>
      </c>
      <c r="I560" s="12">
        <f t="shared" si="82"/>
        <v>0.3075117290614881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894.49451535036224</v>
      </c>
      <c r="F561" s="24">
        <f t="shared" si="80"/>
        <v>223.70476810830269</v>
      </c>
      <c r="G561" s="14">
        <f t="shared" si="81"/>
        <v>2286.812680200364</v>
      </c>
      <c r="H561" s="24">
        <f t="shared" si="79"/>
        <v>653.99448193606031</v>
      </c>
      <c r="I561" s="12">
        <f t="shared" si="82"/>
        <v>0.30670016781451498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894.80121551817672</v>
      </c>
      <c r="F562" s="24">
        <f t="shared" si="80"/>
        <v>222.89768690467895</v>
      </c>
      <c r="G562" s="14">
        <f t="shared" si="81"/>
        <v>2280.2572180263737</v>
      </c>
      <c r="H562" s="24">
        <f t="shared" ref="H562:H625" si="88">IF(E562&lt;600,425+0.773*E562-1.69/1000*E562^2+2.22/1000^2*E562^3,IF(E562&lt;735,666+13002/(738-E562),IF(E562&lt;900,545+17820/(E562-731),650)))</f>
        <v>653.79040148528418</v>
      </c>
      <c r="I562" s="12">
        <f t="shared" si="82"/>
        <v>0.30589617006900993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895.10711168824571</v>
      </c>
      <c r="F563" s="24">
        <f t="shared" si="80"/>
        <v>222.09816373095066</v>
      </c>
      <c r="G563" s="14">
        <f t="shared" si="81"/>
        <v>2273.7639011412421</v>
      </c>
      <c r="H563" s="24">
        <f t="shared" si="88"/>
        <v>653.58761583625119</v>
      </c>
      <c r="I563" s="12">
        <f t="shared" si="82"/>
        <v>0.3050995865087881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895.41221127475444</v>
      </c>
      <c r="F564" s="24">
        <f t="shared" si="80"/>
        <v>221.30605900593423</v>
      </c>
      <c r="G564" s="14">
        <f t="shared" si="81"/>
        <v>2267.3315248906188</v>
      </c>
      <c r="H564" s="24">
        <f t="shared" si="88"/>
        <v>653.38610989922415</v>
      </c>
      <c r="I564" s="12">
        <f t="shared" si="82"/>
        <v>0.30431027142780093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895.71652154618221</v>
      </c>
      <c r="F565" s="24">
        <f t="shared" si="80"/>
        <v>220.52123654096079</v>
      </c>
      <c r="G565" s="14">
        <f t="shared" si="81"/>
        <v>2260.958913887393</v>
      </c>
      <c r="H565" s="24">
        <f t="shared" si="88"/>
        <v>653.18586886564219</v>
      </c>
      <c r="I565" s="12">
        <f t="shared" si="82"/>
        <v>0.30352808264510223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896.02004962882734</v>
      </c>
      <c r="F566" s="24">
        <f t="shared" si="80"/>
        <v>219.74356345358785</v>
      </c>
      <c r="G566" s="14">
        <f t="shared" si="81"/>
        <v>2254.644921295323</v>
      </c>
      <c r="H566" s="24">
        <f t="shared" si="88"/>
        <v>652.98687820105363</v>
      </c>
      <c r="I566" s="12">
        <f t="shared" si="82"/>
        <v>0.30275288142145712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896.32280251024883</v>
      </c>
      <c r="F567" s="24">
        <f t="shared" si="80"/>
        <v>218.97291008333184</v>
      </c>
      <c r="G567" s="14">
        <f t="shared" si="81"/>
        <v>2248.3884281286082</v>
      </c>
      <c r="H567" s="24">
        <f t="shared" si="88"/>
        <v>652.78912363825486</v>
      </c>
      <c r="I567" s="12">
        <f t="shared" si="82"/>
        <v>0.30198453237764183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896.62478704262651</v>
      </c>
      <c r="F568" s="24">
        <f t="shared" si="80"/>
        <v>218.20914990949234</v>
      </c>
      <c r="G568" s="14">
        <f t="shared" si="81"/>
        <v>2242.1883425675105</v>
      </c>
      <c r="H568" s="24">
        <f t="shared" si="88"/>
        <v>652.59259117063016</v>
      </c>
      <c r="I568" s="12">
        <f t="shared" si="82"/>
        <v>0.30122290341447211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896.92600994604095</v>
      </c>
      <c r="F569" s="24">
        <f t="shared" si="80"/>
        <v>217.45215947086933</v>
      </c>
      <c r="G569" s="14">
        <f t="shared" si="81"/>
        <v>2236.0435992879811</v>
      </c>
      <c r="H569" s="24">
        <f t="shared" si="88"/>
        <v>652.39726704568534</v>
      </c>
      <c r="I569" s="12">
        <f t="shared" si="82"/>
        <v>0.30046786563430439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897.2264778116753</v>
      </c>
      <c r="F570" s="24">
        <f t="shared" si="80"/>
        <v>216.70181828753527</v>
      </c>
      <c r="G570" s="14">
        <f t="shared" si="81"/>
        <v>2229.9531588081845</v>
      </c>
      <c r="H570" s="24">
        <f t="shared" si="88"/>
        <v>652.20313775876912</v>
      </c>
      <c r="I570" s="12">
        <f t="shared" si="82"/>
        <v>0.299719293264399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897.52619710493968</v>
      </c>
      <c r="F571" s="24">
        <f t="shared" si="80"/>
        <v>215.95800878440059</v>
      </c>
      <c r="G571" s="14">
        <f t="shared" si="81"/>
        <v>2223.9160068478641</v>
      </c>
      <c r="H571" s="24">
        <f t="shared" si="88"/>
        <v>652.0101900469773</v>
      </c>
      <c r="I571" s="12">
        <f t="shared" si="82"/>
        <v>0.29897706358163406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897.82517416852136</v>
      </c>
      <c r="F572" s="24">
        <f t="shared" si="80"/>
        <v>215.22061621673458</v>
      </c>
      <c r="G572" s="14">
        <f t="shared" si="81"/>
        <v>2217.9311537037206</v>
      </c>
      <c r="H572" s="24">
        <f t="shared" si="88"/>
        <v>651.8184108832329</v>
      </c>
      <c r="I572" s="12">
        <f t="shared" si="82"/>
        <v>0.29824105683899221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898.1234152253603</v>
      </c>
      <c r="F573" s="24">
        <f t="shared" si="80"/>
        <v>214.4895285974485</v>
      </c>
      <c r="G573" s="14">
        <f t="shared" si="81"/>
        <v>2211.9976336381023</v>
      </c>
      <c r="H573" s="24">
        <f t="shared" si="88"/>
        <v>651.62778747053687</v>
      </c>
      <c r="I573" s="12">
        <f t="shared" si="82"/>
        <v>0.29751115619348284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898.42092638155384</v>
      </c>
      <c r="F574" s="24">
        <f t="shared" si="80"/>
        <v>213.76463662619187</v>
      </c>
      <c r="G574" s="14">
        <f t="shared" si="81"/>
        <v>2206.1145042825215</v>
      </c>
      <c r="H574" s="24">
        <f t="shared" si="88"/>
        <v>651.43830723638484</v>
      </c>
      <c r="I574" s="12">
        <f t="shared" si="82"/>
        <v>0.29678724763570341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898.71771362918957</v>
      </c>
      <c r="F575" s="24">
        <f t="shared" si="80"/>
        <v>213.04583362018832</v>
      </c>
      <c r="G575" s="14">
        <f t="shared" si="81"/>
        <v>2200.2808460536994</v>
      </c>
      <c r="H575" s="24">
        <f t="shared" si="88"/>
        <v>651.24995782734425</v>
      </c>
      <c r="I575" s="12">
        <f t="shared" si="82"/>
        <v>0.29606921992076574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899.01378284911038</v>
      </c>
      <c r="F576" s="24">
        <f t="shared" si="80"/>
        <v>212.33301544679364</v>
      </c>
      <c r="G576" s="14">
        <f t="shared" si="81"/>
        <v>2194.4957615845542</v>
      </c>
      <c r="H576" s="24">
        <f t="shared" si="88"/>
        <v>651.0627271037863</v>
      </c>
      <c r="I576" s="12">
        <f t="shared" si="82"/>
        <v>0.29535696450089227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899.3091398136113</v>
      </c>
      <c r="F577" s="24">
        <f t="shared" si="80"/>
        <v>211.62608045770241</v>
      </c>
      <c r="G577" s="14">
        <f t="shared" si="81"/>
        <v>2188.7583751672219</v>
      </c>
      <c r="H577" s="24">
        <f t="shared" si="88"/>
        <v>650.87660313476863</v>
      </c>
      <c r="I577" s="12">
        <f t="shared" si="82"/>
        <v>0.29465037545933181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899.60379018907065</v>
      </c>
      <c r="F578" s="24">
        <f t="shared" si="80"/>
        <v>210.9249294248059</v>
      </c>
      <c r="G578" s="14">
        <f t="shared" si="81"/>
        <v>2183.0678322095978</v>
      </c>
      <c r="H578" s="24">
        <f t="shared" si="88"/>
        <v>650.6915741930643</v>
      </c>
      <c r="I578" s="12">
        <f t="shared" si="82"/>
        <v>0.2939493494457876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899.89773953851648</v>
      </c>
      <c r="F579" s="24">
        <f t="shared" si="80"/>
        <v>210.22946547766708</v>
      </c>
      <c r="G579" s="14">
        <f t="shared" si="81"/>
        <v>2177.4232987048395</v>
      </c>
      <c r="H579" s="24">
        <f t="shared" si="88"/>
        <v>650.50762875033161</v>
      </c>
      <c r="I579" s="12">
        <f t="shared" si="82"/>
        <v>0.2932537856132989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900.19099332412975</v>
      </c>
      <c r="F580" s="24">
        <f t="shared" si="80"/>
        <v>209.5395940425135</v>
      </c>
      <c r="G580" s="14">
        <f t="shared" si="81"/>
        <v>2171.8239607123646</v>
      </c>
      <c r="H580" s="24">
        <f t="shared" si="88"/>
        <v>650</v>
      </c>
      <c r="I580" s="12">
        <f t="shared" si="82"/>
        <v>0.29270975728784215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900.48370308141762</v>
      </c>
      <c r="F581" s="24">
        <f t="shared" si="80"/>
        <v>208.85156848952136</v>
      </c>
      <c r="G581" s="14">
        <f t="shared" si="81"/>
        <v>2166.231523479405</v>
      </c>
      <c r="H581" s="24">
        <f t="shared" si="88"/>
        <v>650</v>
      </c>
      <c r="I581" s="12">
        <f t="shared" si="82"/>
        <v>0.29193778245264296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900.77564086387031</v>
      </c>
      <c r="F582" s="24">
        <f t="shared" si="80"/>
        <v>208.17112901794985</v>
      </c>
      <c r="G582" s="14">
        <f t="shared" si="81"/>
        <v>2160.7050035205484</v>
      </c>
      <c r="H582" s="24">
        <f t="shared" si="88"/>
        <v>650</v>
      </c>
      <c r="I582" s="12">
        <f t="shared" si="82"/>
        <v>0.29117484241992581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901.06681570629019</v>
      </c>
      <c r="F583" s="24">
        <f t="shared" si="80"/>
        <v>207.49809107449835</v>
      </c>
      <c r="G583" s="14">
        <f t="shared" si="81"/>
        <v>2155.2427022257525</v>
      </c>
      <c r="H583" s="24">
        <f t="shared" si="88"/>
        <v>650</v>
      </c>
      <c r="I583" s="12">
        <f t="shared" si="82"/>
        <v>0.29042070571714468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901.3572364120073</v>
      </c>
      <c r="F584" s="24">
        <f t="shared" si="80"/>
        <v>206.83227567444078</v>
      </c>
      <c r="G584" s="14">
        <f t="shared" si="81"/>
        <v>2149.8429719611304</v>
      </c>
      <c r="H584" s="24">
        <f t="shared" si="88"/>
        <v>650</v>
      </c>
      <c r="I584" s="12">
        <f t="shared" si="82"/>
        <v>0.28967514782205483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901.64691155982939</v>
      </c>
      <c r="F585" s="24">
        <f t="shared" si="80"/>
        <v>206.17350922941853</v>
      </c>
      <c r="G585" s="14">
        <f t="shared" si="81"/>
        <v>2144.5042145398688</v>
      </c>
      <c r="H585" s="24">
        <f t="shared" si="88"/>
        <v>650</v>
      </c>
      <c r="I585" s="12">
        <f t="shared" si="82"/>
        <v>0.2889379509535957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901.93584951078299</v>
      </c>
      <c r="F586" s="24">
        <f t="shared" si="80"/>
        <v>205.52162338043729</v>
      </c>
      <c r="G586" s="14">
        <f t="shared" si="81"/>
        <v>2139.2248797374091</v>
      </c>
      <c r="H586" s="24">
        <f t="shared" si="88"/>
        <v>650</v>
      </c>
      <c r="I586" s="12">
        <f t="shared" si="82"/>
        <v>0.28820890386885412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902.22405841465184</v>
      </c>
      <c r="F587" s="24">
        <f t="shared" si="80"/>
        <v>204.87645483591734</v>
      </c>
      <c r="G587" s="14">
        <f t="shared" si="81"/>
        <v>2134.0034638501652</v>
      </c>
      <c r="H587" s="24">
        <f t="shared" si="88"/>
        <v>650</v>
      </c>
      <c r="I587" s="12">
        <f t="shared" si="82"/>
        <v>0.28748780166599996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902.51154621631781</v>
      </c>
      <c r="F588" s="24">
        <f t="shared" si="80"/>
        <v>204.23784521466075</v>
      </c>
      <c r="G588" s="14">
        <f t="shared" si="81"/>
        <v>2128.8385082947648</v>
      </c>
      <c r="H588" s="24">
        <f t="shared" si="88"/>
        <v>650</v>
      </c>
      <c r="I588" s="12">
        <f t="shared" si="82"/>
        <v>0.28677444559280763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902.79832066191057</v>
      </c>
      <c r="F589" s="24">
        <f t="shared" si="80"/>
        <v>203.60564089357922</v>
      </c>
      <c r="G589" s="14">
        <f t="shared" si="81"/>
        <v>2123.7285982494136</v>
      </c>
      <c r="H589" s="24">
        <f t="shared" si="88"/>
        <v>650</v>
      </c>
      <c r="I589" s="12">
        <f t="shared" si="82"/>
        <v>0.2860686428609393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903.08438930477155</v>
      </c>
      <c r="F590" s="24">
        <f t="shared" si="80"/>
        <v>202.97969286008026</v>
      </c>
      <c r="G590" s="14">
        <f t="shared" si="81"/>
        <v>2118.6723613333597</v>
      </c>
      <c r="H590" s="24">
        <f t="shared" si="88"/>
        <v>650</v>
      </c>
      <c r="I590" s="12">
        <f t="shared" si="82"/>
        <v>0.28537020646548544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903.36975951123702</v>
      </c>
      <c r="F591" s="24">
        <f t="shared" si="80"/>
        <v>202.35985656893831</v>
      </c>
      <c r="G591" s="14">
        <f t="shared" si="81"/>
        <v>2113.6684663260767</v>
      </c>
      <c r="H591" s="24">
        <f t="shared" si="88"/>
        <v>650</v>
      </c>
      <c r="I591" s="12">
        <f t="shared" si="82"/>
        <v>0.28467895500993712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903.65443846624692</v>
      </c>
      <c r="F592" s="24">
        <f t="shared" si="80"/>
        <v>201.74599180351436</v>
      </c>
      <c r="G592" s="14">
        <f t="shared" si="81"/>
        <v>2108.7156219229878</v>
      </c>
      <c r="H592" s="24">
        <f t="shared" si="88"/>
        <v>650</v>
      </c>
      <c r="I592" s="12">
        <f t="shared" si="82"/>
        <v>0.28399471253618552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903.93843317878316</v>
      </c>
      <c r="F593" s="24">
        <f t="shared" ref="F593:F656" si="89">AlphaC*(D593-E593)</f>
        <v>201.13796254123884</v>
      </c>
      <c r="G593" s="14">
        <f t="shared" ref="G593:G656" si="90">Phi*EpsilonF*Botzman/10^8*J593*((D593+273)^4-(E593+273)^4)</f>
        <v>2103.8125755276742</v>
      </c>
      <c r="H593" s="24">
        <f t="shared" si="88"/>
        <v>650</v>
      </c>
      <c r="I593" s="12">
        <f t="shared" ref="I593:I656" si="91">ksh*Massivete/(H593*RhoA)*DeltaT*(F593+G593)</f>
        <v>0.28331730835952929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904.22175048714269</v>
      </c>
      <c r="F594" s="24">
        <f t="shared" si="89"/>
        <v>200.53563682318156</v>
      </c>
      <c r="G594" s="14">
        <f t="shared" si="90"/>
        <v>2098.9581120797397</v>
      </c>
      <c r="H594" s="24">
        <f t="shared" si="88"/>
        <v>650</v>
      </c>
      <c r="I594" s="12">
        <f t="shared" si="91"/>
        <v>0.28264657690856748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904.5043970640512</v>
      </c>
      <c r="F595" s="24">
        <f t="shared" si="89"/>
        <v>199.9388866276405</v>
      </c>
      <c r="G595" s="14">
        <f t="shared" si="90"/>
        <v>2094.1510529169877</v>
      </c>
      <c r="H595" s="24">
        <f t="shared" si="88"/>
        <v>650</v>
      </c>
      <c r="I595" s="12">
        <f t="shared" si="91"/>
        <v>0.28198235756980355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904.78637942162106</v>
      </c>
      <c r="F596" s="24">
        <f t="shared" si="89"/>
        <v>199.3475877475845</v>
      </c>
      <c r="G596" s="14">
        <f t="shared" si="90"/>
        <v>2089.3902546709169</v>
      </c>
      <c r="H596" s="24">
        <f t="shared" si="88"/>
        <v>650</v>
      </c>
      <c r="I596" s="12">
        <f t="shared" si="91"/>
        <v>0.28132449453681918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905.06770391615794</v>
      </c>
      <c r="F597" s="24">
        <f t="shared" si="89"/>
        <v>198.76161967182497</v>
      </c>
      <c r="G597" s="14">
        <f t="shared" si="90"/>
        <v>2084.6746081941956</v>
      </c>
      <c r="H597" s="24">
        <f t="shared" si="88"/>
        <v>650</v>
      </c>
      <c r="I597" s="12">
        <f t="shared" si="91"/>
        <v>0.28067283666383636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905.34837675282176</v>
      </c>
      <c r="F598" s="24">
        <f t="shared" si="89"/>
        <v>198.18086546993925</v>
      </c>
      <c r="G598" s="14">
        <f t="shared" si="90"/>
        <v>2080.0030375213701</v>
      </c>
      <c r="H598" s="24">
        <f t="shared" si="88"/>
        <v>650</v>
      </c>
      <c r="I598" s="12">
        <f t="shared" si="91"/>
        <v>0.28002723732382639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905.62840399014556</v>
      </c>
      <c r="F599" s="24">
        <f t="shared" si="89"/>
        <v>197.60521168058744</v>
      </c>
      <c r="G599" s="14">
        <f t="shared" si="90"/>
        <v>2075.3744988582885</v>
      </c>
      <c r="H599" s="24">
        <f t="shared" si="88"/>
        <v>650</v>
      </c>
      <c r="I599" s="12">
        <f t="shared" si="91"/>
        <v>0.279387554270565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905.90779154441611</v>
      </c>
      <c r="F600" s="24">
        <f t="shared" si="89"/>
        <v>197.03454820337925</v>
      </c>
      <c r="G600" s="14">
        <f t="shared" si="90"/>
        <v>2070.7879796026541</v>
      </c>
      <c r="H600" s="24">
        <f t="shared" si="88"/>
        <v>650</v>
      </c>
      <c r="I600" s="12">
        <f t="shared" si="91"/>
        <v>0.27875364950495068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906.18654519392112</v>
      </c>
      <c r="F601" s="24">
        <f t="shared" si="89"/>
        <v>196.468768194012</v>
      </c>
      <c r="G601" s="14">
        <f t="shared" si="90"/>
        <v>2066.2424973928382</v>
      </c>
      <c r="H601" s="24">
        <f t="shared" si="88"/>
        <v>650</v>
      </c>
      <c r="I601" s="12">
        <f t="shared" si="91"/>
        <v>0.27812538914519824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906.46467058306632</v>
      </c>
      <c r="F602" s="24">
        <f t="shared" si="89"/>
        <v>195.90776796269154</v>
      </c>
      <c r="G602" s="14">
        <f t="shared" si="90"/>
        <v>2061.7370991860112</v>
      </c>
      <c r="H602" s="24">
        <f t="shared" si="88"/>
        <v>650</v>
      </c>
      <c r="I602" s="12">
        <f t="shared" si="91"/>
        <v>0.27750264330103991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906.74217322636741</v>
      </c>
      <c r="F603" s="24">
        <f t="shared" si="89"/>
        <v>195.35144687561115</v>
      </c>
      <c r="G603" s="14">
        <f t="shared" si="90"/>
        <v>2057.2708603623146</v>
      </c>
      <c r="H603" s="24">
        <f t="shared" si="88"/>
        <v>650</v>
      </c>
      <c r="I603" s="12">
        <f t="shared" si="91"/>
        <v>0.27688528595150302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907.01905851231891</v>
      </c>
      <c r="F604" s="24">
        <f t="shared" si="89"/>
        <v>194.7997072595598</v>
      </c>
      <c r="G604" s="14">
        <f t="shared" si="90"/>
        <v>2052.8428838564687</v>
      </c>
      <c r="H604" s="24">
        <f t="shared" si="88"/>
        <v>650</v>
      </c>
      <c r="I604" s="12">
        <f t="shared" si="91"/>
        <v>0.27627319482644469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907.29533170714535</v>
      </c>
      <c r="F605" s="24">
        <f t="shared" si="89"/>
        <v>194.25245430942084</v>
      </c>
      <c r="G605" s="14">
        <f t="shared" si="90"/>
        <v>2048.4522993152432</v>
      </c>
      <c r="H605" s="24">
        <f t="shared" si="88"/>
        <v>650</v>
      </c>
      <c r="I605" s="12">
        <f t="shared" si="91"/>
        <v>0.27566625129162065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907.57099795843692</v>
      </c>
      <c r="F606" s="24">
        <f t="shared" si="89"/>
        <v>193.70959599855269</v>
      </c>
      <c r="G606" s="14">
        <f t="shared" si="90"/>
        <v>2044.098262279605</v>
      </c>
      <c r="H606" s="24">
        <f t="shared" si="88"/>
        <v>650</v>
      </c>
      <c r="I606" s="12">
        <f t="shared" si="91"/>
        <v>0.27506434023714182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907.84606229867404</v>
      </c>
      <c r="F607" s="24">
        <f t="shared" si="89"/>
        <v>193.17104299195762</v>
      </c>
      <c r="G607" s="14">
        <f t="shared" si="90"/>
        <v>2039.7799533916746</v>
      </c>
      <c r="H607" s="24">
        <f t="shared" si="88"/>
        <v>650</v>
      </c>
      <c r="I607" s="12">
        <f t="shared" si="91"/>
        <v>0.27446734996932298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908.12052964864336</v>
      </c>
      <c r="F608" s="24">
        <f t="shared" si="89"/>
        <v>192.63670856213366</v>
      </c>
      <c r="G608" s="14">
        <f t="shared" si="90"/>
        <v>2035.496577625587</v>
      </c>
      <c r="H608" s="24">
        <f t="shared" si="88"/>
        <v>650</v>
      </c>
      <c r="I608" s="12">
        <f t="shared" si="91"/>
        <v>0.27387517210579915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908.39440482074917</v>
      </c>
      <c r="F609" s="24">
        <f t="shared" si="89"/>
        <v>192.10650850752984</v>
      </c>
      <c r="G609" s="14">
        <f t="shared" si="90"/>
        <v>2031.2473635407657</v>
      </c>
      <c r="H609" s="24">
        <f t="shared" si="88"/>
        <v>650</v>
      </c>
      <c r="I609" s="12">
        <f t="shared" si="91"/>
        <v>0.273287701473717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908.66769252222286</v>
      </c>
      <c r="F610" s="24">
        <f t="shared" si="89"/>
        <v>191.58036107355372</v>
      </c>
      <c r="G610" s="14">
        <f t="shared" si="90"/>
        <v>2027.0315625581036</v>
      </c>
      <c r="H610" s="24">
        <f t="shared" si="88"/>
        <v>650</v>
      </c>
      <c r="I610" s="12">
        <f t="shared" si="91"/>
        <v>0.27270483601105622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908.94039735823389</v>
      </c>
      <c r="F611" s="24">
        <f t="shared" si="89"/>
        <v>191.05818687602039</v>
      </c>
      <c r="G611" s="14">
        <f t="shared" si="90"/>
        <v>2022.8484482577032</v>
      </c>
      <c r="H611" s="24">
        <f t="shared" si="88"/>
        <v>650</v>
      </c>
      <c r="I611" s="12">
        <f t="shared" si="91"/>
        <v>0.27212647667090029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909.2125238349048</v>
      </c>
      <c r="F612" s="24">
        <f t="shared" si="89"/>
        <v>190.53990882699168</v>
      </c>
      <c r="G612" s="14">
        <f t="shared" si="90"/>
        <v>2018.6973156977901</v>
      </c>
      <c r="H612" s="24">
        <f t="shared" si="88"/>
        <v>650</v>
      </c>
      <c r="I612" s="12">
        <f t="shared" si="91"/>
        <v>0.27155252732860363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909.4840763622334</v>
      </c>
      <c r="F613" s="24">
        <f t="shared" si="89"/>
        <v>190.02545206292325</v>
      </c>
      <c r="G613" s="14">
        <f t="shared" si="90"/>
        <v>2014.5774807542377</v>
      </c>
      <c r="H613" s="24">
        <f t="shared" si="88"/>
        <v>650</v>
      </c>
      <c r="I613" s="12">
        <f t="shared" si="91"/>
        <v>0.27098289469177667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909.75505925692516</v>
      </c>
      <c r="F614" s="24">
        <f t="shared" si="89"/>
        <v>189.51474387507119</v>
      </c>
      <c r="G614" s="14">
        <f t="shared" si="90"/>
        <v>2010.4882794797124</v>
      </c>
      <c r="H614" s="24">
        <f t="shared" si="88"/>
        <v>650</v>
      </c>
      <c r="I614" s="12">
        <f t="shared" si="91"/>
        <v>0.27041748821295908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910.02547674513812</v>
      </c>
      <c r="F615" s="24">
        <f t="shared" si="89"/>
        <v>189.0077136420274</v>
      </c>
      <c r="G615" s="14">
        <f t="shared" si="90"/>
        <v>2006.4290674821802</v>
      </c>
      <c r="H615" s="24">
        <f t="shared" si="88"/>
        <v>650</v>
      </c>
      <c r="I615" s="12">
        <f t="shared" si="91"/>
        <v>0.26985622000493575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910.29533296514307</v>
      </c>
      <c r="F616" s="24">
        <f t="shared" si="89"/>
        <v>188.50429276439797</v>
      </c>
      <c r="G616" s="14">
        <f t="shared" si="90"/>
        <v>2002.3992193227452</v>
      </c>
      <c r="H616" s="24">
        <f t="shared" si="88"/>
        <v>650</v>
      </c>
      <c r="I616" s="12">
        <f t="shared" si="91"/>
        <v>0.26929900475869156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910.56463196990171</v>
      </c>
      <c r="F617" s="24">
        <f t="shared" si="89"/>
        <v>188.00441460152797</v>
      </c>
      <c r="G617" s="14">
        <f t="shared" si="90"/>
        <v>1998.3981279312782</v>
      </c>
      <c r="H617" s="24">
        <f t="shared" si="88"/>
        <v>650</v>
      </c>
      <c r="I617" s="12">
        <f t="shared" si="91"/>
        <v>0.26874575966380493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910.83337772956554</v>
      </c>
      <c r="F618" s="24">
        <f t="shared" si="89"/>
        <v>187.50801441017586</v>
      </c>
      <c r="G618" s="14">
        <f t="shared" si="90"/>
        <v>1994.4252040394185</v>
      </c>
      <c r="H618" s="24">
        <f t="shared" si="88"/>
        <v>650</v>
      </c>
      <c r="I618" s="12">
        <f t="shared" si="91"/>
        <v>0.26819640433121594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911.10157413389675</v>
      </c>
      <c r="F619" s="24">
        <f t="shared" si="89"/>
        <v>187.01502928512639</v>
      </c>
      <c r="G619" s="14">
        <f t="shared" si="90"/>
        <v>1990.4798756315436</v>
      </c>
      <c r="H619" s="24">
        <f t="shared" si="88"/>
        <v>650</v>
      </c>
      <c r="I619" s="12">
        <f t="shared" si="91"/>
        <v>0.2676508607184418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911.36922499461514</v>
      </c>
      <c r="F620" s="24">
        <f t="shared" si="89"/>
        <v>186.52539810168776</v>
      </c>
      <c r="G620" s="14">
        <f t="shared" si="90"/>
        <v>1986.5615874118591</v>
      </c>
      <c r="H620" s="24">
        <f t="shared" si="88"/>
        <v>650</v>
      </c>
      <c r="I620" s="12">
        <f t="shared" si="91"/>
        <v>0.26710905305700505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911.63633404767211</v>
      </c>
      <c r="F621" s="24">
        <f t="shared" si="89"/>
        <v>186.03906145993392</v>
      </c>
      <c r="G621" s="14">
        <f t="shared" si="90"/>
        <v>1982.6698002880917</v>
      </c>
      <c r="H621" s="24">
        <f t="shared" si="88"/>
        <v>650</v>
      </c>
      <c r="I621" s="12">
        <f t="shared" si="91"/>
        <v>0.26657090778211701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911.90290495545423</v>
      </c>
      <c r="F622" s="24">
        <f t="shared" si="89"/>
        <v>185.55596163074313</v>
      </c>
      <c r="G622" s="14">
        <f t="shared" si="90"/>
        <v>1978.8039908702071</v>
      </c>
      <c r="H622" s="24">
        <f t="shared" si="88"/>
        <v>650</v>
      </c>
      <c r="I622" s="12">
        <f t="shared" si="91"/>
        <v>0.26603635346442933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912.16894130891865</v>
      </c>
      <c r="F623" s="24">
        <f t="shared" si="89"/>
        <v>185.07604250354746</v>
      </c>
      <c r="G623" s="14">
        <f t="shared" si="90"/>
        <v>1974.9636509855075</v>
      </c>
      <c r="H623" s="24">
        <f t="shared" si="88"/>
        <v>650</v>
      </c>
      <c r="I623" s="12">
        <f t="shared" si="91"/>
        <v>0.26550532074400851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912.4344466296626</v>
      </c>
      <c r="F624" s="24">
        <f t="shared" si="89"/>
        <v>184.59924953565405</v>
      </c>
      <c r="G624" s="14">
        <f t="shared" si="90"/>
        <v>1971.1482872072831</v>
      </c>
      <c r="H624" s="24">
        <f t="shared" si="88"/>
        <v>650</v>
      </c>
      <c r="I624" s="12">
        <f t="shared" si="91"/>
        <v>0.26497774226617005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912.69942437192879</v>
      </c>
      <c r="F625" s="24">
        <f t="shared" si="89"/>
        <v>184.1255297032319</v>
      </c>
      <c r="G625" s="14">
        <f t="shared" si="90"/>
        <v>1967.3574203990456</v>
      </c>
      <c r="H625" s="24">
        <f t="shared" si="88"/>
        <v>650</v>
      </c>
      <c r="I625" s="12">
        <f t="shared" si="91"/>
        <v>0.2644535526194326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912.96387792454823</v>
      </c>
      <c r="F626" s="24">
        <f t="shared" si="89"/>
        <v>183.65483145381347</v>
      </c>
      <c r="G626" s="14">
        <f t="shared" si="90"/>
        <v>1963.5905852715241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0.2639326882752267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913.22781061282342</v>
      </c>
      <c r="F627" s="24">
        <f t="shared" si="89"/>
        <v>183.18710466028278</v>
      </c>
      <c r="G627" s="14">
        <f t="shared" si="90"/>
        <v>1959.8473299546304</v>
      </c>
      <c r="H627" s="24">
        <f t="shared" si="97"/>
        <v>650</v>
      </c>
      <c r="I627" s="12">
        <f t="shared" si="91"/>
        <v>0.26341508752962672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913.49122570035308</v>
      </c>
      <c r="F628" s="24">
        <f t="shared" si="89"/>
        <v>182.72230057633863</v>
      </c>
      <c r="G628" s="14">
        <f t="shared" si="90"/>
        <v>1956.1272155809668</v>
      </c>
      <c r="H628" s="24">
        <f t="shared" si="97"/>
        <v>650</v>
      </c>
      <c r="I628" s="12">
        <f t="shared" si="91"/>
        <v>0.26290069044668241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913.7541263907998</v>
      </c>
      <c r="F629" s="24">
        <f t="shared" si="89"/>
        <v>182.26037179332764</v>
      </c>
      <c r="G629" s="14">
        <f t="shared" si="90"/>
        <v>1952.4298158830825</v>
      </c>
      <c r="H629" s="24">
        <f t="shared" si="97"/>
        <v>650</v>
      </c>
      <c r="I629" s="12">
        <f t="shared" si="91"/>
        <v>0.2623894388036091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914.01651582960335</v>
      </c>
      <c r="F630" s="24">
        <f t="shared" si="89"/>
        <v>181.80127219848998</v>
      </c>
      <c r="G630" s="14">
        <f t="shared" si="90"/>
        <v>1948.7547168032886</v>
      </c>
      <c r="H630" s="24">
        <f t="shared" si="97"/>
        <v>650</v>
      </c>
      <c r="I630" s="12">
        <f t="shared" si="91"/>
        <v>0.26188127603769507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914.27839710564103</v>
      </c>
      <c r="F631" s="24">
        <f t="shared" si="89"/>
        <v>181.34495693448685</v>
      </c>
      <c r="G631" s="14">
        <f t="shared" si="90"/>
        <v>1945.1015161149182</v>
      </c>
      <c r="H631" s="24">
        <f t="shared" si="97"/>
        <v>650</v>
      </c>
      <c r="I631" s="12">
        <f t="shared" si="91"/>
        <v>0.26137614719477315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914.53977325283586</v>
      </c>
      <c r="F632" s="24">
        <f t="shared" si="89"/>
        <v>180.89138236019835</v>
      </c>
      <c r="G632" s="14">
        <f t="shared" si="90"/>
        <v>1941.4698230549018</v>
      </c>
      <c r="H632" s="24">
        <f t="shared" si="97"/>
        <v>650</v>
      </c>
      <c r="I632" s="12">
        <f t="shared" si="91"/>
        <v>0.26087399887923951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914.80064725171508</v>
      </c>
      <c r="F633" s="24">
        <f t="shared" si="89"/>
        <v>180.44050601281185</v>
      </c>
      <c r="G633" s="14">
        <f t="shared" si="90"/>
        <v>1937.8592579689901</v>
      </c>
      <c r="H633" s="24">
        <f t="shared" si="97"/>
        <v>650</v>
      </c>
      <c r="I633" s="12">
        <f t="shared" si="91"/>
        <v>0.26037477920578572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915.06102203092087</v>
      </c>
      <c r="F634" s="24">
        <f t="shared" si="89"/>
        <v>179.99228657105277</v>
      </c>
      <c r="G634" s="14">
        <f t="shared" si="90"/>
        <v>1934.2694519664137</v>
      </c>
      <c r="H634" s="24">
        <f t="shared" si="97"/>
        <v>650</v>
      </c>
      <c r="I634" s="12">
        <f t="shared" si="91"/>
        <v>0.2598784377524308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915.32090046867324</v>
      </c>
      <c r="F635" s="24">
        <f t="shared" si="89"/>
        <v>179.54668381962904</v>
      </c>
      <c r="G635" s="14">
        <f t="shared" si="90"/>
        <v>1930.700046586386</v>
      </c>
      <c r="H635" s="24">
        <f t="shared" si="97"/>
        <v>650</v>
      </c>
      <c r="I635" s="12">
        <f t="shared" si="91"/>
        <v>0.25938492551515846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915.58028539418842</v>
      </c>
      <c r="F636" s="24">
        <f t="shared" si="89"/>
        <v>179.10365861474702</v>
      </c>
      <c r="G636" s="14">
        <f t="shared" si="90"/>
        <v>1927.1506934740498</v>
      </c>
      <c r="H636" s="24">
        <f t="shared" si="97"/>
        <v>650</v>
      </c>
      <c r="I636" s="12">
        <f t="shared" si="91"/>
        <v>0.25889419486384702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915.83917958905226</v>
      </c>
      <c r="F637" s="24">
        <f t="shared" si="89"/>
        <v>178.66317285078992</v>
      </c>
      <c r="G637" s="14">
        <f t="shared" si="90"/>
        <v>1923.621054066874</v>
      </c>
      <c r="H637" s="24">
        <f t="shared" si="97"/>
        <v>650</v>
      </c>
      <c r="I637" s="12">
        <f t="shared" si="91"/>
        <v>0.25840619949962629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916.0975857885519</v>
      </c>
      <c r="F638" s="24">
        <f t="shared" si="89"/>
        <v>178.22518942799945</v>
      </c>
      <c r="G638" s="14">
        <f t="shared" si="90"/>
        <v>1920.110799290921</v>
      </c>
      <c r="H638" s="24">
        <f t="shared" si="97"/>
        <v>650</v>
      </c>
      <c r="I638" s="12">
        <f t="shared" si="91"/>
        <v>0.25792089441357113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916.35550668296548</v>
      </c>
      <c r="F639" s="24">
        <f t="shared" si="89"/>
        <v>177.78967222120059</v>
      </c>
      <c r="G639" s="14">
        <f t="shared" si="90"/>
        <v>1916.6196092661573</v>
      </c>
      <c r="H639" s="24">
        <f t="shared" si="97"/>
        <v>650</v>
      </c>
      <c r="I639" s="12">
        <f t="shared" si="91"/>
        <v>0.25743823584663539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916.6129449188121</v>
      </c>
      <c r="F640" s="24">
        <f t="shared" si="89"/>
        <v>177.35658604952391</v>
      </c>
      <c r="G640" s="14">
        <f t="shared" si="90"/>
        <v>1913.1471730206868</v>
      </c>
      <c r="H640" s="24">
        <f t="shared" si="97"/>
        <v>650</v>
      </c>
      <c r="I640" s="12">
        <f t="shared" si="91"/>
        <v>0.256958181250804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916.86990310006286</v>
      </c>
      <c r="F641" s="24">
        <f t="shared" si="89"/>
        <v>176.92589664708294</v>
      </c>
      <c r="G641" s="14">
        <f t="shared" si="90"/>
        <v>1909.6931882147037</v>
      </c>
      <c r="H641" s="24">
        <f t="shared" si="97"/>
        <v>650</v>
      </c>
      <c r="I641" s="12">
        <f t="shared" si="91"/>
        <v>0.25648068925155859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917.12638378931445</v>
      </c>
      <c r="F642" s="24">
        <f t="shared" si="89"/>
        <v>176.49757063459219</v>
      </c>
      <c r="G642" s="14">
        <f t="shared" si="90"/>
        <v>1906.2573608724401</v>
      </c>
      <c r="H642" s="24">
        <f t="shared" si="97"/>
        <v>650</v>
      </c>
      <c r="I642" s="12">
        <f t="shared" si="91"/>
        <v>0.25600571961144014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917.38238950892594</v>
      </c>
      <c r="F643" s="24">
        <f t="shared" si="89"/>
        <v>176.07157549188059</v>
      </c>
      <c r="G643" s="14">
        <f t="shared" si="90"/>
        <v>1902.8394051222429</v>
      </c>
      <c r="H643" s="24">
        <f t="shared" si="97"/>
        <v>650</v>
      </c>
      <c r="I643" s="12">
        <f t="shared" si="91"/>
        <v>0.25553323319472177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917.63792274212062</v>
      </c>
      <c r="F644" s="24">
        <f t="shared" si="89"/>
        <v>175.64787953128018</v>
      </c>
      <c r="G644" s="14">
        <f t="shared" si="90"/>
        <v>1899.4390429451773</v>
      </c>
      <c r="H644" s="24">
        <f t="shared" si="97"/>
        <v>650</v>
      </c>
      <c r="I644" s="12">
        <f t="shared" si="91"/>
        <v>0.25506319193323707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917.89298593405385</v>
      </c>
      <c r="F645" s="24">
        <f t="shared" si="89"/>
        <v>175.22645187187607</v>
      </c>
      <c r="G645" s="14">
        <f t="shared" si="90"/>
        <v>1896.0560039314712</v>
      </c>
      <c r="H645" s="24">
        <f t="shared" si="97"/>
        <v>650</v>
      </c>
      <c r="I645" s="12">
        <f t="shared" si="91"/>
        <v>0.25459555879327728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918.14758149284717</v>
      </c>
      <c r="F646" s="24">
        <f t="shared" si="89"/>
        <v>174.80726241456068</v>
      </c>
      <c r="G646" s="14">
        <f t="shared" si="90"/>
        <v>1892.690025044041</v>
      </c>
      <c r="H646" s="24">
        <f t="shared" si="97"/>
        <v>650</v>
      </c>
      <c r="I646" s="12">
        <f t="shared" si="91"/>
        <v>0.25413029774345908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918.40171179059064</v>
      </c>
      <c r="F647" s="24">
        <f t="shared" si="89"/>
        <v>174.39028181786966</v>
      </c>
      <c r="G647" s="14">
        <f t="shared" si="90"/>
        <v>1889.3408503900712</v>
      </c>
      <c r="H647" s="24">
        <f t="shared" si="97"/>
        <v>650</v>
      </c>
      <c r="I647" s="12">
        <f t="shared" si="91"/>
        <v>0.25366737372367715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918.65537916431435</v>
      </c>
      <c r="F648" s="24">
        <f t="shared" si="89"/>
        <v>173.97548147464192</v>
      </c>
      <c r="G648" s="14">
        <f t="shared" si="90"/>
        <v>1886.0082309990266</v>
      </c>
      <c r="H648" s="24">
        <f t="shared" si="97"/>
        <v>650</v>
      </c>
      <c r="I648" s="12">
        <f t="shared" si="91"/>
        <v>0.25320675261494963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918.90858591692927</v>
      </c>
      <c r="F649" s="24">
        <f t="shared" si="89"/>
        <v>173.56283348936188</v>
      </c>
      <c r="G649" s="14">
        <f t="shared" si="90"/>
        <v>1882.6919246087486</v>
      </c>
      <c r="H649" s="24">
        <f t="shared" si="97"/>
        <v>650</v>
      </c>
      <c r="I649" s="12">
        <f t="shared" si="91"/>
        <v>0.25274840121034042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919.16133431813967</v>
      </c>
      <c r="F650" s="24">
        <f t="shared" si="89"/>
        <v>173.15231065624346</v>
      </c>
      <c r="G650" s="14">
        <f t="shared" si="90"/>
        <v>1879.3916954559081</v>
      </c>
      <c r="H650" s="24">
        <f t="shared" si="97"/>
        <v>650</v>
      </c>
      <c r="I650" s="12">
        <f t="shared" si="91"/>
        <v>0.25229228718650876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919.41362660532616</v>
      </c>
      <c r="F651" s="24">
        <f t="shared" si="89"/>
        <v>172.74388643807583</v>
      </c>
      <c r="G651" s="14">
        <f t="shared" si="90"/>
        <v>1876.1073140767528</v>
      </c>
      <c r="H651" s="24">
        <f t="shared" si="97"/>
        <v>650</v>
      </c>
      <c r="I651" s="12">
        <f t="shared" si="91"/>
        <v>0.2518383790766171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919.66546498440277</v>
      </c>
      <c r="F652" s="24">
        <f t="shared" si="89"/>
        <v>172.33753494561768</v>
      </c>
      <c r="G652" s="14">
        <f t="shared" si="90"/>
        <v>1872.8385571096157</v>
      </c>
      <c r="H652" s="24">
        <f t="shared" si="97"/>
        <v>650</v>
      </c>
      <c r="I652" s="12">
        <f t="shared" si="91"/>
        <v>0.25138664624352375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919.91685163064631</v>
      </c>
      <c r="F653" s="24">
        <f t="shared" si="89"/>
        <v>171.9332309177787</v>
      </c>
      <c r="G653" s="14">
        <f t="shared" si="90"/>
        <v>1869.5852071076383</v>
      </c>
      <c r="H653" s="24">
        <f t="shared" si="97"/>
        <v>650</v>
      </c>
      <c r="I653" s="12">
        <f t="shared" si="91"/>
        <v>0.25093705885432704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920.16778868950064</v>
      </c>
      <c r="F654" s="24">
        <f t="shared" si="89"/>
        <v>171.5309497023469</v>
      </c>
      <c r="G654" s="14">
        <f t="shared" si="90"/>
        <v>1866.347052354806</v>
      </c>
      <c r="H654" s="24">
        <f t="shared" si="97"/>
        <v>650</v>
      </c>
      <c r="I654" s="12">
        <f t="shared" si="91"/>
        <v>0.25048958785538411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920.41827827735608</v>
      </c>
      <c r="F655" s="24">
        <f t="shared" si="89"/>
        <v>171.13066723739792</v>
      </c>
      <c r="G655" s="14">
        <f t="shared" si="90"/>
        <v>1863.1238866888655</v>
      </c>
      <c r="H655" s="24">
        <f t="shared" si="97"/>
        <v>650</v>
      </c>
      <c r="I655" s="12">
        <f t="shared" si="91"/>
        <v>0.2500442049482593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920.66832248230435</v>
      </c>
      <c r="F656" s="24">
        <f t="shared" si="89"/>
        <v>170.73236003321881</v>
      </c>
      <c r="G656" s="14">
        <f t="shared" si="90"/>
        <v>1859.9155093291338</v>
      </c>
      <c r="H656" s="24">
        <f t="shared" si="97"/>
        <v>650</v>
      </c>
      <c r="I656" s="12">
        <f t="shared" si="91"/>
        <v>0.24960088256633733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920.91792336487072</v>
      </c>
      <c r="F657" s="24">
        <f t="shared" ref="F657:F720" si="98">AlphaC*(D657-E657)</f>
        <v>170.33600515489979</v>
      </c>
      <c r="G657" s="14">
        <f t="shared" ref="G657:G720" si="99">Phi*EpsilonF*Botzman/10^8*J657*((D657+273)^4-(E657+273)^4)</f>
        <v>1856.721724710801</v>
      </c>
      <c r="H657" s="24">
        <f t="shared" si="97"/>
        <v>650</v>
      </c>
      <c r="I657" s="12">
        <f t="shared" ref="I657:I720" si="100">ksh*Massivete/(H657*RhoA)*DeltaT*(F657+G657)</f>
        <v>0.24915959385231626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921.16708295872309</v>
      </c>
      <c r="F658" s="24">
        <f t="shared" si="98"/>
        <v>169.94158020541192</v>
      </c>
      <c r="G658" s="14">
        <f t="shared" si="99"/>
        <v>1853.5423423230586</v>
      </c>
      <c r="H658" s="24">
        <f t="shared" si="97"/>
        <v>650</v>
      </c>
      <c r="I658" s="12">
        <f t="shared" si="100"/>
        <v>0.24872031263623084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921.41580327135932</v>
      </c>
      <c r="F659" s="24">
        <f t="shared" si="98"/>
        <v>169.54906330926178</v>
      </c>
      <c r="G659" s="14">
        <f t="shared" si="99"/>
        <v>1850.3771765533058</v>
      </c>
      <c r="H659" s="24">
        <f t="shared" si="97"/>
        <v>650</v>
      </c>
      <c r="I659" s="12">
        <f t="shared" si="100"/>
        <v>0.24828301341429379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921.66408628477359</v>
      </c>
      <c r="F660" s="24">
        <f t="shared" si="98"/>
        <v>169.15843309667196</v>
      </c>
      <c r="G660" s="14">
        <f t="shared" si="99"/>
        <v>1847.2260465362283</v>
      </c>
      <c r="H660" s="24">
        <f t="shared" si="97"/>
        <v>650</v>
      </c>
      <c r="I660" s="12">
        <f t="shared" si="100"/>
        <v>0.24784767132840033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921.91193395610196</v>
      </c>
      <c r="F661" s="24">
        <f t="shared" si="98"/>
        <v>168.76966868823331</v>
      </c>
      <c r="G661" s="14">
        <f t="shared" si="99"/>
        <v>1844.0887760066948</v>
      </c>
      <c r="H661" s="24">
        <f t="shared" si="97"/>
        <v>650</v>
      </c>
      <c r="I661" s="12">
        <f t="shared" si="100"/>
        <v>0.24741426214616039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922.15934821824817</v>
      </c>
      <c r="F662" s="24">
        <f t="shared" si="98"/>
        <v>168.38274968010012</v>
      </c>
      <c r="G662" s="14">
        <f t="shared" si="99"/>
        <v>1840.965193158866</v>
      </c>
      <c r="H662" s="24">
        <f t="shared" si="97"/>
        <v>650</v>
      </c>
      <c r="I662" s="12">
        <f t="shared" si="100"/>
        <v>0.24698276224176088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922.40633098048988</v>
      </c>
      <c r="F663" s="24">
        <f t="shared" si="98"/>
        <v>167.9976561296229</v>
      </c>
      <c r="G663" s="14">
        <f t="shared" si="99"/>
        <v>1837.8551305080057</v>
      </c>
      <c r="H663" s="24">
        <f t="shared" si="97"/>
        <v>650</v>
      </c>
      <c r="I663" s="12">
        <f t="shared" si="100"/>
        <v>0.24655314857721403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922.65288412906705</v>
      </c>
      <c r="F664" s="24">
        <f t="shared" si="98"/>
        <v>167.61436854142175</v>
      </c>
      <c r="G664" s="14">
        <f t="shared" si="99"/>
        <v>1834.7584247580005</v>
      </c>
      <c r="H664" s="24">
        <f t="shared" si="97"/>
        <v>650</v>
      </c>
      <c r="I664" s="12">
        <f t="shared" si="100"/>
        <v>0.24612539868436134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922.89900952775145</v>
      </c>
      <c r="F665" s="24">
        <f t="shared" si="98"/>
        <v>167.23286785398841</v>
      </c>
      <c r="G665" s="14">
        <f t="shared" si="99"/>
        <v>1831.6749166724931</v>
      </c>
      <c r="H665" s="24">
        <f t="shared" si="97"/>
        <v>650</v>
      </c>
      <c r="I665" s="12">
        <f t="shared" si="100"/>
        <v>0.24569949064738708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923.14470901839888</v>
      </c>
      <c r="F666" s="24">
        <f t="shared" si="98"/>
        <v>166.85313542662072</v>
      </c>
      <c r="G666" s="14">
        <f t="shared" si="99"/>
        <v>1828.6044509500168</v>
      </c>
      <c r="H666" s="24">
        <f t="shared" si="97"/>
        <v>650</v>
      </c>
      <c r="I666" s="12">
        <f t="shared" si="100"/>
        <v>0.24527540308586407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923.38998442148477</v>
      </c>
      <c r="F667" s="24">
        <f t="shared" si="98"/>
        <v>166.47515302682905</v>
      </c>
      <c r="G667" s="14">
        <f t="shared" si="99"/>
        <v>1825.5468761031736</v>
      </c>
      <c r="H667" s="24">
        <f t="shared" si="97"/>
        <v>650</v>
      </c>
      <c r="I667" s="12">
        <f t="shared" si="100"/>
        <v>0.24485311513835473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923.63483753662308</v>
      </c>
      <c r="F668" s="24">
        <f t="shared" si="98"/>
        <v>166.09890281816604</v>
      </c>
      <c r="G668" s="14">
        <f t="shared" si="99"/>
        <v>1822.5020443422461</v>
      </c>
      <c r="H668" s="24">
        <f t="shared" si="97"/>
        <v>650</v>
      </c>
      <c r="I668" s="12">
        <f t="shared" si="100"/>
        <v>0.24443260644660908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923.87927014306968</v>
      </c>
      <c r="F669" s="24">
        <f t="shared" si="98"/>
        <v>165.72436734836629</v>
      </c>
      <c r="G669" s="14">
        <f t="shared" si="99"/>
        <v>1819.469811461207</v>
      </c>
      <c r="H669" s="24">
        <f t="shared" si="97"/>
        <v>650</v>
      </c>
      <c r="I669" s="12">
        <f t="shared" si="100"/>
        <v>0.24401385714009569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924.12328400020976</v>
      </c>
      <c r="F670" s="24">
        <f t="shared" si="98"/>
        <v>165.35152953793499</v>
      </c>
      <c r="G670" s="14">
        <f t="shared" si="99"/>
        <v>1816.4500367280466</v>
      </c>
      <c r="H670" s="24">
        <f t="shared" si="97"/>
        <v>650</v>
      </c>
      <c r="I670" s="12">
        <f t="shared" si="100"/>
        <v>0.24359684782111807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924.36688084803086</v>
      </c>
      <c r="F671" s="24">
        <f t="shared" si="98"/>
        <v>164.98037266911467</v>
      </c>
      <c r="G671" s="14">
        <f t="shared" si="99"/>
        <v>1813.4425827795994</v>
      </c>
      <c r="H671" s="24">
        <f t="shared" si="97"/>
        <v>650</v>
      </c>
      <c r="I671" s="12">
        <f t="shared" si="100"/>
        <v>0.24318155955053136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924.61006240758138</v>
      </c>
      <c r="F672" s="24">
        <f t="shared" si="98"/>
        <v>164.61088037513605</v>
      </c>
      <c r="G672" s="14">
        <f t="shared" si="99"/>
        <v>1810.4473155174446</v>
      </c>
      <c r="H672" s="24">
        <f t="shared" si="97"/>
        <v>650</v>
      </c>
      <c r="I672" s="12">
        <f t="shared" si="100"/>
        <v>0.24276797383362506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924.85283038141506</v>
      </c>
      <c r="F673" s="24">
        <f t="shared" si="98"/>
        <v>164.24303662985835</v>
      </c>
      <c r="G673" s="14">
        <f t="shared" si="99"/>
        <v>1807.4641040090298</v>
      </c>
      <c r="H673" s="24">
        <f t="shared" si="97"/>
        <v>650</v>
      </c>
      <c r="I673" s="12">
        <f t="shared" si="100"/>
        <v>0.2423560726066965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925.0951864540217</v>
      </c>
      <c r="F674" s="24">
        <f t="shared" si="98"/>
        <v>163.87682573775351</v>
      </c>
      <c r="G674" s="14">
        <f t="shared" si="99"/>
        <v>1804.4928203913053</v>
      </c>
      <c r="H674" s="24">
        <f t="shared" si="97"/>
        <v>650</v>
      </c>
      <c r="I674" s="12">
        <f t="shared" si="100"/>
        <v>0.24194583822397445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925.33713229224566</v>
      </c>
      <c r="F675" s="24">
        <f t="shared" si="98"/>
        <v>163.51223232416885</v>
      </c>
      <c r="G675" s="14">
        <f t="shared" si="99"/>
        <v>1801.5333397767495</v>
      </c>
      <c r="H675" s="24">
        <f t="shared" si="97"/>
        <v>650</v>
      </c>
      <c r="I675" s="12">
        <f t="shared" si="100"/>
        <v>0.24153725344487131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925.57866954569056</v>
      </c>
      <c r="F676" s="24">
        <f t="shared" si="98"/>
        <v>163.14924132593944</v>
      </c>
      <c r="G676" s="14">
        <f t="shared" si="99"/>
        <v>1798.5855401640974</v>
      </c>
      <c r="H676" s="24">
        <f t="shared" si="97"/>
        <v>650</v>
      </c>
      <c r="I676" s="12">
        <f t="shared" si="100"/>
        <v>0.24113030142185618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925.81979984711245</v>
      </c>
      <c r="F677" s="24">
        <f t="shared" si="98"/>
        <v>162.78783798229313</v>
      </c>
      <c r="G677" s="14">
        <f t="shared" si="99"/>
        <v>1795.6493023496373</v>
      </c>
      <c r="H677" s="24">
        <f t="shared" si="97"/>
        <v>650</v>
      </c>
      <c r="I677" s="12">
        <f t="shared" si="100"/>
        <v>0.24072496568843388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926.06052481280085</v>
      </c>
      <c r="F678" s="24">
        <f t="shared" si="98"/>
        <v>162.42800782601421</v>
      </c>
      <c r="G678" s="14">
        <f t="shared" si="99"/>
        <v>1792.7245098431322</v>
      </c>
      <c r="H678" s="24">
        <f t="shared" si="97"/>
        <v>650</v>
      </c>
      <c r="I678" s="12">
        <f t="shared" si="100"/>
        <v>0.24032123014772402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926.30084604294859</v>
      </c>
      <c r="F679" s="24">
        <f t="shared" si="98"/>
        <v>162.06973667495106</v>
      </c>
      <c r="G679" s="14">
        <f t="shared" si="99"/>
        <v>1789.8110487858032</v>
      </c>
      <c r="H679" s="24">
        <f t="shared" si="97"/>
        <v>650</v>
      </c>
      <c r="I679" s="12">
        <f t="shared" si="100"/>
        <v>0.23991907906133614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926.54076512200993</v>
      </c>
      <c r="F680" s="24">
        <f t="shared" si="98"/>
        <v>161.71301062372549</v>
      </c>
      <c r="G680" s="14">
        <f t="shared" si="99"/>
        <v>1786.9088078706113</v>
      </c>
      <c r="H680" s="24">
        <f t="shared" si="97"/>
        <v>650</v>
      </c>
      <c r="I680" s="12">
        <f t="shared" si="100"/>
        <v>0.23951849703855155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926.78028361904853</v>
      </c>
      <c r="F681" s="24">
        <f t="shared" si="98"/>
        <v>161.35781603576902</v>
      </c>
      <c r="G681" s="14">
        <f t="shared" si="99"/>
        <v>1784.017678265416</v>
      </c>
      <c r="H681" s="24">
        <f t="shared" si="97"/>
        <v>650</v>
      </c>
      <c r="I681" s="12">
        <f t="shared" si="100"/>
        <v>0.23911946902589981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927.01940308807445</v>
      </c>
      <c r="F682" s="24">
        <f t="shared" si="98"/>
        <v>161.00413953558359</v>
      </c>
      <c r="G682" s="14">
        <f t="shared" si="99"/>
        <v>1781.1375535388072</v>
      </c>
      <c r="H682" s="24">
        <f t="shared" si="97"/>
        <v>650</v>
      </c>
      <c r="I682" s="12">
        <f t="shared" si="100"/>
        <v>0.23872198029709063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927.25812506837156</v>
      </c>
      <c r="F683" s="24">
        <f t="shared" si="98"/>
        <v>160.65196800124113</v>
      </c>
      <c r="G683" s="14">
        <f t="shared" si="99"/>
        <v>1778.2683295874331</v>
      </c>
      <c r="H683" s="24">
        <f t="shared" si="97"/>
        <v>650</v>
      </c>
      <c r="I683" s="12">
        <f t="shared" si="100"/>
        <v>0.23832601644315934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927.49645108481468</v>
      </c>
      <c r="F684" s="24">
        <f t="shared" si="98"/>
        <v>160.30128855715589</v>
      </c>
      <c r="G684" s="14">
        <f t="shared" si="99"/>
        <v>1775.4099045671408</v>
      </c>
      <c r="H684" s="24">
        <f t="shared" si="97"/>
        <v>650</v>
      </c>
      <c r="I684" s="12">
        <f t="shared" si="100"/>
        <v>0.23793156336311463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927.73438264817776</v>
      </c>
      <c r="F685" s="24">
        <f t="shared" si="98"/>
        <v>159.95208856704437</v>
      </c>
      <c r="G685" s="14">
        <f t="shared" si="99"/>
        <v>1772.562178824257</v>
      </c>
      <c r="H685" s="24">
        <f t="shared" si="97"/>
        <v>650</v>
      </c>
      <c r="I685" s="12">
        <f t="shared" si="100"/>
        <v>0.23753860725462636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927.97192125543233</v>
      </c>
      <c r="F686" s="24">
        <f t="shared" si="98"/>
        <v>159.6043556271411</v>
      </c>
      <c r="G686" s="14">
        <f t="shared" si="99"/>
        <v>1769.7250548310431</v>
      </c>
      <c r="H686" s="24">
        <f t="shared" si="97"/>
        <v>650</v>
      </c>
      <c r="I686" s="12">
        <f t="shared" si="100"/>
        <v>0.23714713460525794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928.2090683900376</v>
      </c>
      <c r="F687" s="24">
        <f t="shared" si="98"/>
        <v>159.25807755963604</v>
      </c>
      <c r="G687" s="14">
        <f t="shared" si="99"/>
        <v>1766.8984371218955</v>
      </c>
      <c r="H687" s="24">
        <f t="shared" si="97"/>
        <v>650</v>
      </c>
      <c r="I687" s="12">
        <f t="shared" si="100"/>
        <v>0.23675713218381783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928.44582552222141</v>
      </c>
      <c r="F688" s="24">
        <f t="shared" si="98"/>
        <v>158.91324240630524</v>
      </c>
      <c r="G688" s="14">
        <f t="shared" si="99"/>
        <v>1764.0822322325041</v>
      </c>
      <c r="H688" s="24">
        <f t="shared" si="97"/>
        <v>650</v>
      </c>
      <c r="I688" s="12">
        <f t="shared" si="100"/>
        <v>0.23636858703209798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928.68219410925349</v>
      </c>
      <c r="F689" s="24">
        <f t="shared" si="98"/>
        <v>158.56983842232637</v>
      </c>
      <c r="G689" s="14">
        <f t="shared" si="99"/>
        <v>1761.2763486397735</v>
      </c>
      <c r="H689" s="24">
        <f t="shared" si="97"/>
        <v>650</v>
      </c>
      <c r="I689" s="12">
        <f t="shared" si="100"/>
        <v>0.23598148645672906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928.91817559571018</v>
      </c>
      <c r="F690" s="24">
        <f t="shared" si="98"/>
        <v>158.22785407032995</v>
      </c>
      <c r="G690" s="14">
        <f t="shared" si="99"/>
        <v>1758.4806967048171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0.23559581802144219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929.15377141373165</v>
      </c>
      <c r="F691" s="24">
        <f t="shared" si="98"/>
        <v>157.88727801462983</v>
      </c>
      <c r="G691" s="14">
        <f t="shared" si="99"/>
        <v>1755.6951886173572</v>
      </c>
      <c r="H691" s="24">
        <f t="shared" si="106"/>
        <v>650</v>
      </c>
      <c r="I691" s="12">
        <f t="shared" si="100"/>
        <v>0.23521156953952571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929.38898298327115</v>
      </c>
      <c r="F692" s="24">
        <f t="shared" si="98"/>
        <v>157.54809911562973</v>
      </c>
      <c r="G692" s="14">
        <f t="shared" si="99"/>
        <v>1752.9197383419928</v>
      </c>
      <c r="H692" s="24">
        <f t="shared" si="106"/>
        <v>650</v>
      </c>
      <c r="I692" s="12">
        <f t="shared" si="100"/>
        <v>0.23482872906653304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929.62381171233767</v>
      </c>
      <c r="F693" s="24">
        <f t="shared" si="98"/>
        <v>157.21030642438052</v>
      </c>
      <c r="G693" s="14">
        <f t="shared" si="99"/>
        <v>1750.1542615651872</v>
      </c>
      <c r="H693" s="24">
        <f t="shared" si="106"/>
        <v>650</v>
      </c>
      <c r="I693" s="12">
        <f t="shared" si="100"/>
        <v>0.23444728489309746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929.85825899723079</v>
      </c>
      <c r="F694" s="24">
        <f t="shared" si="98"/>
        <v>156.87388917737053</v>
      </c>
      <c r="G694" s="14">
        <f t="shared" si="99"/>
        <v>1747.3986756457425</v>
      </c>
      <c r="H694" s="24">
        <f t="shared" si="106"/>
        <v>650</v>
      </c>
      <c r="I694" s="12">
        <f t="shared" si="100"/>
        <v>0.2340672255382043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930.09232622276897</v>
      </c>
      <c r="F695" s="24">
        <f t="shared" si="98"/>
        <v>156.5388367914494</v>
      </c>
      <c r="G695" s="14">
        <f t="shared" si="99"/>
        <v>1744.6528995657095</v>
      </c>
      <c r="H695" s="24">
        <f t="shared" si="106"/>
        <v>650</v>
      </c>
      <c r="I695" s="12">
        <f t="shared" si="100"/>
        <v>0.23368853974253304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930.32601476251148</v>
      </c>
      <c r="F696" s="24">
        <f t="shared" si="98"/>
        <v>156.20513885888556</v>
      </c>
      <c r="G696" s="14">
        <f t="shared" si="99"/>
        <v>1741.9168538825104</v>
      </c>
      <c r="H696" s="24">
        <f t="shared" si="106"/>
        <v>650</v>
      </c>
      <c r="I696" s="12">
        <f t="shared" si="100"/>
        <v>0.23331121646196473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930.55932597897345</v>
      </c>
      <c r="F697" s="24">
        <f t="shared" si="98"/>
        <v>155.87278514263403</v>
      </c>
      <c r="G697" s="14">
        <f t="shared" si="99"/>
        <v>1739.1904606837356</v>
      </c>
      <c r="H697" s="24">
        <f t="shared" si="106"/>
        <v>650</v>
      </c>
      <c r="I697" s="12">
        <f t="shared" si="100"/>
        <v>0.23293524486144429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930.79226122383488</v>
      </c>
      <c r="F698" s="24">
        <f t="shared" si="98"/>
        <v>155.5417655717207</v>
      </c>
      <c r="G698" s="14">
        <f t="shared" si="99"/>
        <v>1736.4736435426175</v>
      </c>
      <c r="H698" s="24">
        <f t="shared" si="106"/>
        <v>650</v>
      </c>
      <c r="I698" s="12">
        <f t="shared" si="100"/>
        <v>0.23256061430893987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931.02482183814379</v>
      </c>
      <c r="F699" s="24">
        <f t="shared" si="98"/>
        <v>155.21207023678301</v>
      </c>
      <c r="G699" s="14">
        <f t="shared" si="99"/>
        <v>1733.7663274750369</v>
      </c>
      <c r="H699" s="24">
        <f t="shared" si="106"/>
        <v>650</v>
      </c>
      <c r="I699" s="12">
        <f t="shared" si="100"/>
        <v>0.23218731436961038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931.25700915251343</v>
      </c>
      <c r="F700" s="24">
        <f t="shared" si="98"/>
        <v>154.88368938573842</v>
      </c>
      <c r="G700" s="14">
        <f t="shared" si="99"/>
        <v>1731.0684388978266</v>
      </c>
      <c r="H700" s="24">
        <f t="shared" si="106"/>
        <v>650</v>
      </c>
      <c r="I700" s="12">
        <f t="shared" si="100"/>
        <v>0.23181533480014754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931.48882448731354</v>
      </c>
      <c r="F701" s="24">
        <f t="shared" si="98"/>
        <v>154.55661341961786</v>
      </c>
      <c r="G701" s="14">
        <f t="shared" si="99"/>
        <v>1728.379905588801</v>
      </c>
      <c r="H701" s="24">
        <f t="shared" si="106"/>
        <v>650</v>
      </c>
      <c r="I701" s="12">
        <f t="shared" si="100"/>
        <v>0.23144466554335116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931.72026915285687</v>
      </c>
      <c r="F702" s="24">
        <f t="shared" si="98"/>
        <v>154.23083288850137</v>
      </c>
      <c r="G702" s="14">
        <f t="shared" si="99"/>
        <v>1725.7006566475409</v>
      </c>
      <c r="H702" s="24">
        <f t="shared" si="106"/>
        <v>650</v>
      </c>
      <c r="I702" s="12">
        <f t="shared" si="100"/>
        <v>0.23107529672280888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931.95134444957966</v>
      </c>
      <c r="F703" s="24">
        <f t="shared" si="98"/>
        <v>153.90633848759592</v>
      </c>
      <c r="G703" s="14">
        <f t="shared" si="99"/>
        <v>1723.0306224576502</v>
      </c>
      <c r="H703" s="24">
        <f t="shared" si="106"/>
        <v>650</v>
      </c>
      <c r="I703" s="12">
        <f t="shared" si="100"/>
        <v>0.2307072186377751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932.18205166821747</v>
      </c>
      <c r="F704" s="24">
        <f t="shared" si="98"/>
        <v>153.58312105343828</v>
      </c>
      <c r="G704" s="14">
        <f t="shared" si="99"/>
        <v>1720.3697346507786</v>
      </c>
      <c r="H704" s="24">
        <f t="shared" si="106"/>
        <v>650</v>
      </c>
      <c r="I704" s="12">
        <f t="shared" si="100"/>
        <v>0.23034042175828184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932.4123920899757</v>
      </c>
      <c r="F705" s="24">
        <f t="shared" si="98"/>
        <v>153.26117156021724</v>
      </c>
      <c r="G705" s="14">
        <f t="shared" si="99"/>
        <v>1717.7179260703413</v>
      </c>
      <c r="H705" s="24">
        <f t="shared" si="106"/>
        <v>650</v>
      </c>
      <c r="I705" s="12">
        <f t="shared" si="100"/>
        <v>0.22997489672022739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932.64236698669595</v>
      </c>
      <c r="F706" s="24">
        <f t="shared" si="98"/>
        <v>152.94048111620384</v>
      </c>
      <c r="G706" s="14">
        <f t="shared" si="99"/>
        <v>1715.0751307379635</v>
      </c>
      <c r="H706" s="24">
        <f t="shared" si="106"/>
        <v>650</v>
      </c>
      <c r="I706" s="12">
        <f t="shared" si="100"/>
        <v>0.2296106343208128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932.87197762101675</v>
      </c>
      <c r="F707" s="24">
        <f t="shared" si="98"/>
        <v>152.62104096029532</v>
      </c>
      <c r="G707" s="14">
        <f t="shared" si="99"/>
        <v>1712.441283820127</v>
      </c>
      <c r="H707" s="24">
        <f t="shared" si="106"/>
        <v>650</v>
      </c>
      <c r="I707" s="12">
        <f t="shared" si="100"/>
        <v>0.22924762551401759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933.10122524653082</v>
      </c>
      <c r="F708" s="24">
        <f t="shared" si="98"/>
        <v>152.30284245866983</v>
      </c>
      <c r="G708" s="14">
        <f t="shared" si="99"/>
        <v>1709.8163215962518</v>
      </c>
      <c r="H708" s="24">
        <f t="shared" si="106"/>
        <v>650</v>
      </c>
      <c r="I708" s="12">
        <f t="shared" si="100"/>
        <v>0.22888586140626499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933.33011110793711</v>
      </c>
      <c r="F709" s="24">
        <f t="shared" si="98"/>
        <v>151.98587710156346</v>
      </c>
      <c r="G709" s="14">
        <f t="shared" si="99"/>
        <v>1707.2001814269133</v>
      </c>
      <c r="H709" s="24">
        <f t="shared" si="106"/>
        <v>650</v>
      </c>
      <c r="I709" s="12">
        <f t="shared" si="100"/>
        <v>0.22852533325211941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933.55863644118926</v>
      </c>
      <c r="F710" s="24">
        <f t="shared" si="98"/>
        <v>151.67013650011256</v>
      </c>
      <c r="G710" s="14">
        <f t="shared" si="99"/>
        <v>1704.592801725034</v>
      </c>
      <c r="H710" s="24">
        <f t="shared" si="106"/>
        <v>650</v>
      </c>
      <c r="I710" s="12">
        <f t="shared" si="100"/>
        <v>0.22816603245035713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933.78680247363957</v>
      </c>
      <c r="F711" s="24">
        <f t="shared" si="98"/>
        <v>151.35561238331832</v>
      </c>
      <c r="G711" s="14">
        <f t="shared" si="99"/>
        <v>1701.9941219253985</v>
      </c>
      <c r="H711" s="24">
        <f t="shared" si="106"/>
        <v>650</v>
      </c>
      <c r="I711" s="12">
        <f t="shared" si="100"/>
        <v>0.22780795053984604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934.01461042417941</v>
      </c>
      <c r="F712" s="24">
        <f t="shared" si="98"/>
        <v>151.04229659510793</v>
      </c>
      <c r="G712" s="14">
        <f t="shared" si="99"/>
        <v>1699.4040824573287</v>
      </c>
      <c r="H712" s="24">
        <f t="shared" si="106"/>
        <v>650</v>
      </c>
      <c r="I712" s="12">
        <f t="shared" si="100"/>
        <v>0.2274510791958258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934.24206150337523</v>
      </c>
      <c r="F713" s="24">
        <f t="shared" si="98"/>
        <v>150.73018109146972</v>
      </c>
      <c r="G713" s="14">
        <f t="shared" si="99"/>
        <v>1696.8226247170278</v>
      </c>
      <c r="H713" s="24">
        <f t="shared" si="106"/>
        <v>650</v>
      </c>
      <c r="I713" s="12">
        <f t="shared" si="100"/>
        <v>0.22709541022615634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934.46915691360141</v>
      </c>
      <c r="F714" s="24">
        <f t="shared" si="98"/>
        <v>150.41925793769337</v>
      </c>
      <c r="G714" s="14">
        <f t="shared" si="99"/>
        <v>1694.2496910412726</v>
      </c>
      <c r="H714" s="24">
        <f t="shared" si="106"/>
        <v>650</v>
      </c>
      <c r="I714" s="12">
        <f t="shared" si="100"/>
        <v>0.22674093556774497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934.69589784916911</v>
      </c>
      <c r="F715" s="24">
        <f t="shared" si="98"/>
        <v>150.10951930569547</v>
      </c>
      <c r="G715" s="14">
        <f t="shared" si="99"/>
        <v>1691.685224681687</v>
      </c>
      <c r="H715" s="24">
        <f t="shared" si="106"/>
        <v>650</v>
      </c>
      <c r="I715" s="12">
        <f t="shared" si="100"/>
        <v>0.22638764728305527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934.92228549645222</v>
      </c>
      <c r="F716" s="24">
        <f t="shared" si="98"/>
        <v>149.80095747141036</v>
      </c>
      <c r="G716" s="14">
        <f t="shared" si="99"/>
        <v>1689.1291697797412</v>
      </c>
      <c r="H716" s="24">
        <f t="shared" si="106"/>
        <v>650</v>
      </c>
      <c r="I716" s="12">
        <f t="shared" si="100"/>
        <v>0.22603553755671357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935.14832103400897</v>
      </c>
      <c r="F717" s="24">
        <f t="shared" si="98"/>
        <v>149.49356481228904</v>
      </c>
      <c r="G717" s="14">
        <f t="shared" si="99"/>
        <v>1686.5814713436707</v>
      </c>
      <c r="H717" s="24">
        <f t="shared" si="106"/>
        <v>650</v>
      </c>
      <c r="I717" s="12">
        <f t="shared" si="100"/>
        <v>0.22568459869236437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935.37400563270137</v>
      </c>
      <c r="F718" s="24">
        <f t="shared" si="98"/>
        <v>149.18733380485207</v>
      </c>
      <c r="G718" s="14">
        <f t="shared" si="99"/>
        <v>1684.0420752236898</v>
      </c>
      <c r="H718" s="24">
        <f t="shared" si="106"/>
        <v>650</v>
      </c>
      <c r="I718" s="12">
        <f t="shared" si="100"/>
        <v>0.22533482310932285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935.59934045581065</v>
      </c>
      <c r="F719" s="24">
        <f t="shared" si="98"/>
        <v>148.88225702232489</v>
      </c>
      <c r="G719" s="14">
        <f t="shared" si="99"/>
        <v>1681.5109280909248</v>
      </c>
      <c r="H719" s="24">
        <f t="shared" si="106"/>
        <v>650</v>
      </c>
      <c r="I719" s="12">
        <f t="shared" si="100"/>
        <v>0.22498620333969488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935.8243266591503</v>
      </c>
      <c r="F720" s="24">
        <f t="shared" si="98"/>
        <v>148.57832713235268</v>
      </c>
      <c r="G720" s="14">
        <f t="shared" si="99"/>
        <v>1678.9879774149147</v>
      </c>
      <c r="H720" s="24">
        <f t="shared" si="106"/>
        <v>650</v>
      </c>
      <c r="I720" s="12">
        <f t="shared" si="100"/>
        <v>0.22463873202533038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936.04896539117567</v>
      </c>
      <c r="F721" s="24">
        <f t="shared" ref="F721:F784" si="107">AlphaC*(D721-E721)</f>
        <v>148.27553689476929</v>
      </c>
      <c r="G721" s="14">
        <f t="shared" ref="G721:G784" si="108">Phi*EpsilonF*Botzman/10^8*J721*((D721+273)^4-(E721+273)^4)</f>
        <v>1676.4731714423024</v>
      </c>
      <c r="H721" s="24">
        <f t="shared" si="106"/>
        <v>650</v>
      </c>
      <c r="I721" s="12">
        <f t="shared" ref="I721:I784" si="109">ksh*Massivete/(H721*RhoA)*DeltaT*(F721+G721)</f>
        <v>0.22429240191493005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936.27325779309058</v>
      </c>
      <c r="F722" s="24">
        <f t="shared" si="107"/>
        <v>147.9738791594599</v>
      </c>
      <c r="G722" s="14">
        <f t="shared" si="108"/>
        <v>1673.966459176816</v>
      </c>
      <c r="H722" s="24">
        <f t="shared" si="106"/>
        <v>650</v>
      </c>
      <c r="I722" s="12">
        <f t="shared" si="109"/>
        <v>0.22394720586132202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936.49720499895193</v>
      </c>
      <c r="F723" s="24">
        <f t="shared" si="107"/>
        <v>147.67334686427773</v>
      </c>
      <c r="G723" s="14">
        <f t="shared" si="108"/>
        <v>1671.4677903594811</v>
      </c>
      <c r="H723" s="24">
        <f t="shared" si="106"/>
        <v>650</v>
      </c>
      <c r="I723" s="12">
        <f t="shared" si="109"/>
        <v>0.22360313681877339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936.72080813577065</v>
      </c>
      <c r="F724" s="24">
        <f t="shared" si="107"/>
        <v>147.37393303298916</v>
      </c>
      <c r="G724" s="14">
        <f t="shared" si="108"/>
        <v>1668.9771154489415</v>
      </c>
      <c r="H724" s="24">
        <f t="shared" si="106"/>
        <v>650</v>
      </c>
      <c r="I724" s="12">
        <f t="shared" si="109"/>
        <v>0.22326018784031884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936.94406832361096</v>
      </c>
      <c r="F725" s="24">
        <f t="shared" si="107"/>
        <v>147.07563077334669</v>
      </c>
      <c r="G725" s="14">
        <f t="shared" si="108"/>
        <v>1666.494385603474</v>
      </c>
      <c r="H725" s="24">
        <f t="shared" si="106"/>
        <v>650</v>
      </c>
      <c r="I725" s="12">
        <f t="shared" si="109"/>
        <v>0.22291835207531308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937.1669866756863</v>
      </c>
      <c r="F726" s="24">
        <f t="shared" si="107"/>
        <v>146.77843327517621</v>
      </c>
      <c r="G726" s="14">
        <f t="shared" si="108"/>
        <v>1664.0195526625773</v>
      </c>
      <c r="H726" s="24">
        <f t="shared" si="106"/>
        <v>650</v>
      </c>
      <c r="I726" s="12">
        <f t="shared" si="109"/>
        <v>0.22257762276693271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937.38956429845325</v>
      </c>
      <c r="F727" s="24">
        <f t="shared" si="107"/>
        <v>146.48233380852957</v>
      </c>
      <c r="G727" s="14">
        <f t="shared" si="108"/>
        <v>1661.5525691296471</v>
      </c>
      <c r="H727" s="24">
        <f t="shared" si="106"/>
        <v>650</v>
      </c>
      <c r="I727" s="12">
        <f t="shared" si="109"/>
        <v>0.22223799324981955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937.61180229170304</v>
      </c>
      <c r="F728" s="24">
        <f t="shared" si="107"/>
        <v>146.18732572189685</v>
      </c>
      <c r="G728" s="14">
        <f t="shared" si="108"/>
        <v>1659.093388155057</v>
      </c>
      <c r="H728" s="24">
        <f t="shared" si="106"/>
        <v>650</v>
      </c>
      <c r="I728" s="12">
        <f t="shared" si="109"/>
        <v>0.22189945694778132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937.83370174865081</v>
      </c>
      <c r="F729" s="24">
        <f t="shared" si="107"/>
        <v>145.89340244046696</v>
      </c>
      <c r="G729" s="14">
        <f t="shared" si="108"/>
        <v>1656.6419635199472</v>
      </c>
      <c r="H729" s="24">
        <f t="shared" si="106"/>
        <v>650</v>
      </c>
      <c r="I729" s="12">
        <f t="shared" si="109"/>
        <v>0.22156200737158516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938.05526375602244</v>
      </c>
      <c r="F730" s="24">
        <f t="shared" si="107"/>
        <v>145.60055746446494</v>
      </c>
      <c r="G730" s="14">
        <f t="shared" si="108"/>
        <v>1654.1982496203434</v>
      </c>
      <c r="H730" s="24">
        <f t="shared" si="106"/>
        <v>650</v>
      </c>
      <c r="I730" s="12">
        <f t="shared" si="109"/>
        <v>0.22122563811680121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938.27648939413928</v>
      </c>
      <c r="F731" s="24">
        <f t="shared" si="107"/>
        <v>145.30878436750072</v>
      </c>
      <c r="G731" s="14">
        <f t="shared" si="108"/>
        <v>1651.7622014516226</v>
      </c>
      <c r="H731" s="24">
        <f t="shared" si="106"/>
        <v>650</v>
      </c>
      <c r="I731" s="12">
        <f t="shared" si="109"/>
        <v>0.22089034286169035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938.49737973700098</v>
      </c>
      <c r="F732" s="24">
        <f t="shared" si="107"/>
        <v>145.01807679498029</v>
      </c>
      <c r="G732" s="14">
        <f t="shared" si="108"/>
        <v>1649.3337745935719</v>
      </c>
      <c r="H732" s="24">
        <f t="shared" si="106"/>
        <v>650</v>
      </c>
      <c r="I732" s="12">
        <f t="shared" si="109"/>
        <v>0.22055611536517211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938.71793585236617</v>
      </c>
      <c r="F733" s="24">
        <f t="shared" si="107"/>
        <v>144.72842846260221</v>
      </c>
      <c r="G733" s="14">
        <f t="shared" si="108"/>
        <v>1646.9129251964739</v>
      </c>
      <c r="H733" s="24">
        <f t="shared" si="106"/>
        <v>650</v>
      </c>
      <c r="I733" s="12">
        <f t="shared" si="109"/>
        <v>0.22022294946492979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938.93815880183115</v>
      </c>
      <c r="F734" s="24">
        <f t="shared" si="107"/>
        <v>144.43983315482569</v>
      </c>
      <c r="G734" s="14">
        <f t="shared" si="108"/>
        <v>1644.4996099666687</v>
      </c>
      <c r="H734" s="24">
        <f t="shared" si="106"/>
        <v>650</v>
      </c>
      <c r="I734" s="12">
        <f t="shared" si="109"/>
        <v>0.21989083907544732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939.1580496409066</v>
      </c>
      <c r="F735" s="24">
        <f t="shared" si="107"/>
        <v>144.15228472346087</v>
      </c>
      <c r="G735" s="14">
        <f t="shared" si="108"/>
        <v>1642.0937861532102</v>
      </c>
      <c r="H735" s="24">
        <f t="shared" si="106"/>
        <v>650</v>
      </c>
      <c r="I735" s="12">
        <f t="shared" si="109"/>
        <v>0.21955977818619593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939.37760941909278</v>
      </c>
      <c r="F736" s="24">
        <f t="shared" si="107"/>
        <v>143.8657770862477</v>
      </c>
      <c r="G736" s="14">
        <f t="shared" si="108"/>
        <v>1639.6954115346207</v>
      </c>
      <c r="H736" s="24">
        <f t="shared" si="106"/>
        <v>650</v>
      </c>
      <c r="I736" s="12">
        <f t="shared" si="109"/>
        <v>0.21922976085983126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939.59683917995255</v>
      </c>
      <c r="F737" s="24">
        <f t="shared" si="107"/>
        <v>143.58030422548325</v>
      </c>
      <c r="G737" s="14">
        <f t="shared" si="108"/>
        <v>1637.3044444065065</v>
      </c>
      <c r="H737" s="24">
        <f t="shared" si="106"/>
        <v>650</v>
      </c>
      <c r="I737" s="12">
        <f t="shared" si="109"/>
        <v>0.21890078123050252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939.81573996118311</v>
      </c>
      <c r="F738" s="24">
        <f t="shared" si="107"/>
        <v>143.29586018671705</v>
      </c>
      <c r="G738" s="14">
        <f t="shared" si="108"/>
        <v>1634.9208435685161</v>
      </c>
      <c r="H738" s="24">
        <f t="shared" si="106"/>
        <v>650</v>
      </c>
      <c r="I738" s="12">
        <f t="shared" si="109"/>
        <v>0.21857283350208906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940.03431279468521</v>
      </c>
      <c r="F739" s="24">
        <f t="shared" si="107"/>
        <v>143.01243907747789</v>
      </c>
      <c r="G739" s="14">
        <f t="shared" si="108"/>
        <v>1632.544568313632</v>
      </c>
      <c r="H739" s="24">
        <f t="shared" si="106"/>
        <v>650</v>
      </c>
      <c r="I739" s="12">
        <f t="shared" si="109"/>
        <v>0.21824591194672749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940.25255870663193</v>
      </c>
      <c r="F740" s="24">
        <f t="shared" si="107"/>
        <v>142.73003506598911</v>
      </c>
      <c r="G740" s="14">
        <f t="shared" si="108"/>
        <v>1630.1755784152833</v>
      </c>
      <c r="H740" s="24">
        <f t="shared" si="106"/>
        <v>650</v>
      </c>
      <c r="I740" s="12">
        <f t="shared" si="109"/>
        <v>0.21792001090306981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940.470478717535</v>
      </c>
      <c r="F741" s="24">
        <f t="shared" si="107"/>
        <v>142.44864238000332</v>
      </c>
      <c r="G741" s="14">
        <f t="shared" si="108"/>
        <v>1627.8138341171325</v>
      </c>
      <c r="H741" s="24">
        <f t="shared" si="106"/>
        <v>650</v>
      </c>
      <c r="I741" s="12">
        <f t="shared" si="109"/>
        <v>0.21759512477488482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940.6880738423099</v>
      </c>
      <c r="F742" s="24">
        <f t="shared" si="107"/>
        <v>142.16825530559731</v>
      </c>
      <c r="G742" s="14">
        <f t="shared" si="108"/>
        <v>1625.4592961215062</v>
      </c>
      <c r="H742" s="24">
        <f t="shared" si="106"/>
        <v>650</v>
      </c>
      <c r="I742" s="12">
        <f t="shared" si="109"/>
        <v>0.21727124802948791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940.90534509033944</v>
      </c>
      <c r="F743" s="24">
        <f t="shared" si="107"/>
        <v>141.88886818603805</v>
      </c>
      <c r="G743" s="14">
        <f t="shared" si="108"/>
        <v>1623.111925579278</v>
      </c>
      <c r="H743" s="24">
        <f t="shared" si="106"/>
        <v>650</v>
      </c>
      <c r="I743" s="12">
        <f t="shared" si="109"/>
        <v>0.2169483751963581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941.12229346553579</v>
      </c>
      <c r="F744" s="24">
        <f t="shared" si="107"/>
        <v>141.6104754206799</v>
      </c>
      <c r="G744" s="14">
        <f t="shared" si="108"/>
        <v>1620.7716840794913</v>
      </c>
      <c r="H744" s="24">
        <f t="shared" si="106"/>
        <v>650</v>
      </c>
      <c r="I744" s="12">
        <f t="shared" si="109"/>
        <v>0.21662650086572693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941.33891996640148</v>
      </c>
      <c r="F745" s="24">
        <f t="shared" si="107"/>
        <v>141.33307146389313</v>
      </c>
      <c r="G745" s="14">
        <f t="shared" si="108"/>
        <v>1618.4385336395908</v>
      </c>
      <c r="H745" s="24">
        <f t="shared" si="106"/>
        <v>650</v>
      </c>
      <c r="I745" s="12">
        <f t="shared" si="109"/>
        <v>0.21630561968724613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941.55522558608868</v>
      </c>
      <c r="F746" s="24">
        <f t="shared" si="107"/>
        <v>141.05665082400094</v>
      </c>
      <c r="G746" s="14">
        <f t="shared" si="108"/>
        <v>1616.112436695802</v>
      </c>
      <c r="H746" s="24">
        <f t="shared" si="106"/>
        <v>650</v>
      </c>
      <c r="I746" s="12">
        <f t="shared" si="109"/>
        <v>0.21598572636867425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941.77121131245735</v>
      </c>
      <c r="F747" s="24">
        <f t="shared" si="107"/>
        <v>140.78120806228185</v>
      </c>
      <c r="G747" s="14">
        <f t="shared" si="108"/>
        <v>1613.7933560934398</v>
      </c>
      <c r="H747" s="24">
        <f t="shared" si="106"/>
        <v>650</v>
      </c>
      <c r="I747" s="12">
        <f t="shared" si="109"/>
        <v>0.21566681567456311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941.98687812813193</v>
      </c>
      <c r="F748" s="24">
        <f t="shared" si="107"/>
        <v>140.50673779196927</v>
      </c>
      <c r="G748" s="14">
        <f t="shared" si="108"/>
        <v>1611.4812550784791</v>
      </c>
      <c r="H748" s="24">
        <f t="shared" si="106"/>
        <v>650</v>
      </c>
      <c r="I748" s="12">
        <f t="shared" si="109"/>
        <v>0.21534888242509839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942.20222701055707</v>
      </c>
      <c r="F749" s="24">
        <f t="shared" si="107"/>
        <v>140.23323467729938</v>
      </c>
      <c r="G749" s="14">
        <f t="shared" si="108"/>
        <v>1609.1760972884649</v>
      </c>
      <c r="H749" s="24">
        <f t="shared" si="106"/>
        <v>650</v>
      </c>
      <c r="I749" s="12">
        <f t="shared" si="109"/>
        <v>0.21503192149486555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942.41725893205194</v>
      </c>
      <c r="F750" s="24">
        <f t="shared" si="107"/>
        <v>139.96069343257318</v>
      </c>
      <c r="G750" s="14">
        <f t="shared" si="108"/>
        <v>1606.877846744112</v>
      </c>
      <c r="H750" s="24">
        <f t="shared" si="106"/>
        <v>650</v>
      </c>
      <c r="I750" s="12">
        <f t="shared" si="109"/>
        <v>0.21471592781170179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942.63197485986359</v>
      </c>
      <c r="F751" s="24">
        <f t="shared" si="107"/>
        <v>139.68910882126977</v>
      </c>
      <c r="G751" s="14">
        <f t="shared" si="108"/>
        <v>1604.5864678409032</v>
      </c>
      <c r="H751" s="24">
        <f t="shared" si="106"/>
        <v>650</v>
      </c>
      <c r="I751" s="12">
        <f t="shared" si="109"/>
        <v>0.21440089635555454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942.84637575621912</v>
      </c>
      <c r="F752" s="24">
        <f t="shared" si="107"/>
        <v>139.41847565512262</v>
      </c>
      <c r="G752" s="14">
        <f t="shared" si="108"/>
        <v>1602.3019253411242</v>
      </c>
      <c r="H752" s="24">
        <f t="shared" si="106"/>
        <v>650</v>
      </c>
      <c r="I752" s="12">
        <f t="shared" si="109"/>
        <v>0.21408682215738867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943.06046257837647</v>
      </c>
      <c r="F753" s="24">
        <f t="shared" si="107"/>
        <v>139.14878879331525</v>
      </c>
      <c r="G753" s="14">
        <f t="shared" si="108"/>
        <v>1600.0241843664801</v>
      </c>
      <c r="H753" s="24">
        <f t="shared" si="106"/>
        <v>650</v>
      </c>
      <c r="I753" s="12">
        <f t="shared" si="109"/>
        <v>0.21377370029818024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943.27423627867461</v>
      </c>
      <c r="F754" s="24">
        <f t="shared" si="107"/>
        <v>138.88004314160867</v>
      </c>
      <c r="G754" s="14">
        <f t="shared" si="108"/>
        <v>1597.7532103903434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0.21346152590785633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943.48769780458247</v>
      </c>
      <c r="F755" s="24">
        <f t="shared" si="107"/>
        <v>138.61223365154558</v>
      </c>
      <c r="G755" s="14">
        <f t="shared" si="108"/>
        <v>1595.4889692301379</v>
      </c>
      <c r="H755" s="24">
        <f t="shared" si="115"/>
        <v>650</v>
      </c>
      <c r="I755" s="12">
        <f t="shared" si="109"/>
        <v>0.21315029416426107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943.70084809874675</v>
      </c>
      <c r="F756" s="24">
        <f t="shared" si="107"/>
        <v>138.34535531966594</v>
      </c>
      <c r="G756" s="14">
        <f t="shared" si="108"/>
        <v>1593.2314270405841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0.21284000029222885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943.91368809903895</v>
      </c>
      <c r="F757" s="24">
        <f t="shared" si="107"/>
        <v>138.07940318673388</v>
      </c>
      <c r="G757" s="14">
        <f t="shared" si="108"/>
        <v>1590.9805503070622</v>
      </c>
      <c r="H757" s="24">
        <f t="shared" si="117"/>
        <v>650</v>
      </c>
      <c r="I757" s="12">
        <f t="shared" si="109"/>
        <v>0.21253063956267379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944.12621873860166</v>
      </c>
      <c r="F758" s="24">
        <f t="shared" si="107"/>
        <v>137.81437233698739</v>
      </c>
      <c r="G758" s="14">
        <f t="shared" si="108"/>
        <v>1588.7363058384221</v>
      </c>
      <c r="H758" s="24">
        <f t="shared" si="117"/>
        <v>650</v>
      </c>
      <c r="I758" s="12">
        <f t="shared" si="109"/>
        <v>0.21222220729161351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944.33844094589324</v>
      </c>
      <c r="F759" s="24">
        <f t="shared" si="107"/>
        <v>137.55025789743343</v>
      </c>
      <c r="G759" s="14">
        <f t="shared" si="108"/>
        <v>1586.4986607609469</v>
      </c>
      <c r="H759" s="24">
        <f t="shared" si="117"/>
        <v>650</v>
      </c>
      <c r="I759" s="12">
        <f t="shared" si="109"/>
        <v>0.21191469883934044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944.55035564473258</v>
      </c>
      <c r="F760" s="24">
        <f t="shared" si="107"/>
        <v>137.28705503711183</v>
      </c>
      <c r="G760" s="14">
        <f t="shared" si="108"/>
        <v>1584.2675825116364</v>
      </c>
      <c r="H760" s="24">
        <f t="shared" si="117"/>
        <v>650</v>
      </c>
      <c r="I760" s="12">
        <f t="shared" si="109"/>
        <v>0.21160810960950602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944.7619637543421</v>
      </c>
      <c r="F761" s="24">
        <f t="shared" si="107"/>
        <v>137.02475896643591</v>
      </c>
      <c r="G761" s="14">
        <f t="shared" si="108"/>
        <v>1582.043038832647</v>
      </c>
      <c r="H761" s="24">
        <f t="shared" si="117"/>
        <v>650</v>
      </c>
      <c r="I761" s="12">
        <f t="shared" si="109"/>
        <v>0.211302435048356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944.97326618939042</v>
      </c>
      <c r="F762" s="24">
        <f t="shared" si="107"/>
        <v>136.7633649364933</v>
      </c>
      <c r="G762" s="14">
        <f t="shared" si="108"/>
        <v>1579.8249977648852</v>
      </c>
      <c r="H762" s="24">
        <f t="shared" si="117"/>
        <v>650</v>
      </c>
      <c r="I762" s="12">
        <f t="shared" si="109"/>
        <v>0.21099767064385722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945.18426386003432</v>
      </c>
      <c r="F763" s="24">
        <f t="shared" si="107"/>
        <v>136.50286823841782</v>
      </c>
      <c r="G763" s="14">
        <f t="shared" si="108"/>
        <v>1577.6134276424168</v>
      </c>
      <c r="H763" s="24">
        <f t="shared" si="117"/>
        <v>650</v>
      </c>
      <c r="I763" s="12">
        <f t="shared" si="109"/>
        <v>0.21069381192493294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945.39495767195922</v>
      </c>
      <c r="F764" s="24">
        <f t="shared" si="107"/>
        <v>136.24326420275565</v>
      </c>
      <c r="G764" s="14">
        <f t="shared" si="108"/>
        <v>1575.4082970871189</v>
      </c>
      <c r="H764" s="24">
        <f t="shared" si="117"/>
        <v>650</v>
      </c>
      <c r="I764" s="12">
        <f t="shared" si="109"/>
        <v>0.21039085446072789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945.6053485264199</v>
      </c>
      <c r="F765" s="24">
        <f t="shared" si="107"/>
        <v>135.98454819882306</v>
      </c>
      <c r="G765" s="14">
        <f t="shared" si="108"/>
        <v>1573.2095750028836</v>
      </c>
      <c r="H765" s="24">
        <f t="shared" si="117"/>
        <v>650</v>
      </c>
      <c r="I765" s="12">
        <f t="shared" si="109"/>
        <v>0.2100887938598166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945.81543732027967</v>
      </c>
      <c r="F766" s="24">
        <f t="shared" si="107"/>
        <v>135.72671563412655</v>
      </c>
      <c r="G766" s="14">
        <f t="shared" si="108"/>
        <v>1571.0172305706981</v>
      </c>
      <c r="H766" s="24">
        <f t="shared" si="117"/>
        <v>650</v>
      </c>
      <c r="I766" s="12">
        <f t="shared" si="109"/>
        <v>0.2097876257695275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946.02522494604921</v>
      </c>
      <c r="F767" s="24">
        <f t="shared" si="107"/>
        <v>135.46976195376317</v>
      </c>
      <c r="G767" s="14">
        <f t="shared" si="108"/>
        <v>1568.8312332431183</v>
      </c>
      <c r="H767" s="24">
        <f t="shared" si="117"/>
        <v>650</v>
      </c>
      <c r="I767" s="12">
        <f t="shared" si="109"/>
        <v>0.20948734587518994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946.23471229192444</v>
      </c>
      <c r="F768" s="24">
        <f t="shared" si="107"/>
        <v>135.21368263986062</v>
      </c>
      <c r="G768" s="14">
        <f t="shared" si="108"/>
        <v>1566.6515527395429</v>
      </c>
      <c r="H768" s="24">
        <f t="shared" si="117"/>
        <v>650</v>
      </c>
      <c r="I768" s="12">
        <f t="shared" si="109"/>
        <v>0.20918794989948442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946.44390024182394</v>
      </c>
      <c r="F769" s="24">
        <f t="shared" si="107"/>
        <v>134.95847321100882</v>
      </c>
      <c r="G769" s="14">
        <f t="shared" si="108"/>
        <v>1564.4781590416376</v>
      </c>
      <c r="H769" s="24">
        <f t="shared" si="117"/>
        <v>650</v>
      </c>
      <c r="I769" s="12">
        <f t="shared" si="109"/>
        <v>0.20888943360181025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946.65278967542577</v>
      </c>
      <c r="F770" s="24">
        <f t="shared" si="107"/>
        <v>134.70412922172841</v>
      </c>
      <c r="G770" s="14">
        <f t="shared" si="108"/>
        <v>1562.3110223882206</v>
      </c>
      <c r="H770" s="24">
        <f t="shared" si="117"/>
        <v>650</v>
      </c>
      <c r="I770" s="12">
        <f t="shared" si="109"/>
        <v>0.20859179277759174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946.86138146820338</v>
      </c>
      <c r="F771" s="24">
        <f t="shared" si="107"/>
        <v>134.45064626191936</v>
      </c>
      <c r="G771" s="14">
        <f t="shared" si="108"/>
        <v>1560.1501132706685</v>
      </c>
      <c r="H771" s="24">
        <f t="shared" si="117"/>
        <v>650</v>
      </c>
      <c r="I771" s="12">
        <f t="shared" si="109"/>
        <v>0.20829502325764548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947.069676491461</v>
      </c>
      <c r="F772" s="24">
        <f t="shared" si="107"/>
        <v>134.19801995636931</v>
      </c>
      <c r="G772" s="14">
        <f t="shared" si="108"/>
        <v>1557.9954024290207</v>
      </c>
      <c r="H772" s="24">
        <f t="shared" si="117"/>
        <v>650</v>
      </c>
      <c r="I772" s="12">
        <f t="shared" si="109"/>
        <v>0.20799912090764131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947.27767561236863</v>
      </c>
      <c r="F773" s="24">
        <f t="shared" si="107"/>
        <v>133.9462459642391</v>
      </c>
      <c r="G773" s="14">
        <f t="shared" si="108"/>
        <v>1555.8468608470191</v>
      </c>
      <c r="H773" s="24">
        <f t="shared" si="117"/>
        <v>650</v>
      </c>
      <c r="I773" s="12">
        <f t="shared" si="109"/>
        <v>0.20770408162742915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947.48537969399604</v>
      </c>
      <c r="F774" s="24">
        <f t="shared" si="107"/>
        <v>133.69531997855972</v>
      </c>
      <c r="G774" s="14">
        <f t="shared" si="108"/>
        <v>1553.704459748212</v>
      </c>
      <c r="H774" s="24">
        <f t="shared" si="117"/>
        <v>650</v>
      </c>
      <c r="I774" s="12">
        <f t="shared" si="109"/>
        <v>0.20740990135049844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947.69278959534654</v>
      </c>
      <c r="F775" s="24">
        <f t="shared" si="107"/>
        <v>133.44523772577759</v>
      </c>
      <c r="G775" s="14">
        <f t="shared" si="108"/>
        <v>1551.5681705920208</v>
      </c>
      <c r="H775" s="24">
        <f t="shared" si="117"/>
        <v>650</v>
      </c>
      <c r="I775" s="12">
        <f t="shared" si="109"/>
        <v>0.20711657604343878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947.89990617138994</v>
      </c>
      <c r="F776" s="24">
        <f t="shared" si="107"/>
        <v>133.19599496527417</v>
      </c>
      <c r="G776" s="14">
        <f t="shared" si="108"/>
        <v>1549.4379650696301</v>
      </c>
      <c r="H776" s="24">
        <f t="shared" si="117"/>
        <v>650</v>
      </c>
      <c r="I776" s="12">
        <f t="shared" si="109"/>
        <v>0.20682410170537552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948.10673027309531</v>
      </c>
      <c r="F777" s="24">
        <f t="shared" si="107"/>
        <v>132.94758748889137</v>
      </c>
      <c r="G777" s="14">
        <f t="shared" si="108"/>
        <v>1547.3138150998614</v>
      </c>
      <c r="H777" s="24">
        <f t="shared" si="117"/>
        <v>650</v>
      </c>
      <c r="I777" s="12">
        <f t="shared" si="109"/>
        <v>0.20653247436740446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948.31326274746266</v>
      </c>
      <c r="F778" s="24">
        <f t="shared" si="107"/>
        <v>132.70001112053365</v>
      </c>
      <c r="G778" s="14">
        <f t="shared" si="108"/>
        <v>1545.1956928261484</v>
      </c>
      <c r="H778" s="24">
        <f t="shared" si="117"/>
        <v>650</v>
      </c>
      <c r="I778" s="12">
        <f t="shared" si="109"/>
        <v>0.20624169009217103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948.51950443755482</v>
      </c>
      <c r="F779" s="24">
        <f t="shared" si="107"/>
        <v>132.45326171567058</v>
      </c>
      <c r="G779" s="14">
        <f t="shared" si="108"/>
        <v>1543.0835706118478</v>
      </c>
      <c r="H779" s="24">
        <f t="shared" si="117"/>
        <v>650</v>
      </c>
      <c r="I779" s="12">
        <f t="shared" si="109"/>
        <v>0.20595174497323279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948.72545618252809</v>
      </c>
      <c r="F780" s="24">
        <f t="shared" si="107"/>
        <v>132.20733516097027</v>
      </c>
      <c r="G780" s="14">
        <f t="shared" si="108"/>
        <v>1540.9774210378368</v>
      </c>
      <c r="H780" s="24">
        <f t="shared" si="117"/>
        <v>650</v>
      </c>
      <c r="I780" s="12">
        <f t="shared" si="109"/>
        <v>0.20566263513471908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948.93111881766276</v>
      </c>
      <c r="F781" s="24">
        <f t="shared" si="107"/>
        <v>131.96222737384176</v>
      </c>
      <c r="G781" s="14">
        <f t="shared" si="108"/>
        <v>1538.8772168978992</v>
      </c>
      <c r="H781" s="24">
        <f t="shared" si="117"/>
        <v>650</v>
      </c>
      <c r="I781" s="12">
        <f t="shared" si="109"/>
        <v>0.20537435673070759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949.13649317439342</v>
      </c>
      <c r="F782" s="24">
        <f t="shared" si="107"/>
        <v>131.7179343020598</v>
      </c>
      <c r="G782" s="14">
        <f t="shared" si="108"/>
        <v>1536.7829311965556</v>
      </c>
      <c r="H782" s="24">
        <f t="shared" si="117"/>
        <v>650</v>
      </c>
      <c r="I782" s="12">
        <f t="shared" si="109"/>
        <v>0.20508690594491169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949.3415800803383</v>
      </c>
      <c r="F783" s="24">
        <f t="shared" si="107"/>
        <v>131.47445192334715</v>
      </c>
      <c r="G783" s="14">
        <f t="shared" si="108"/>
        <v>1534.6945371447232</v>
      </c>
      <c r="H783" s="24">
        <f t="shared" si="117"/>
        <v>650</v>
      </c>
      <c r="I783" s="12">
        <f t="shared" si="109"/>
        <v>0.20480027899009531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949.5463803593284</v>
      </c>
      <c r="F784" s="24">
        <f t="shared" si="107"/>
        <v>131.23177624499931</v>
      </c>
      <c r="G784" s="14">
        <f t="shared" si="108"/>
        <v>1532.6120081570205</v>
      </c>
      <c r="H784" s="24">
        <f t="shared" si="117"/>
        <v>650</v>
      </c>
      <c r="I784" s="12">
        <f t="shared" si="109"/>
        <v>0.20451447210769583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949.75089483143609</v>
      </c>
      <c r="F785" s="24">
        <f t="shared" ref="F785:F848" si="118">AlphaC*(D785-E785)</f>
        <v>130.98990330350944</v>
      </c>
      <c r="G785" s="14">
        <f t="shared" ref="G785:G848" si="119">Phi*EpsilonF*Botzman/10^8*J785*((D785+273)^4-(E785+273)^4)</f>
        <v>1530.5353178489383</v>
      </c>
      <c r="H785" s="24">
        <f t="shared" si="117"/>
        <v>650</v>
      </c>
      <c r="I785" s="12">
        <f t="shared" ref="I785:I848" si="120">ksh*Massivete/(H785*RhoA)*DeltaT*(F785+G785)</f>
        <v>0.20422948156743009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949.95512431300347</v>
      </c>
      <c r="F786" s="24">
        <f t="shared" si="118"/>
        <v>130.74882916419028</v>
      </c>
      <c r="G786" s="14">
        <f t="shared" si="119"/>
        <v>1528.4644400331583</v>
      </c>
      <c r="H786" s="24">
        <f t="shared" si="117"/>
        <v>650</v>
      </c>
      <c r="I786" s="12">
        <f t="shared" si="120"/>
        <v>0.20394530366679539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950.15906961667031</v>
      </c>
      <c r="F787" s="24">
        <f t="shared" si="118"/>
        <v>130.50854992080758</v>
      </c>
      <c r="G787" s="14">
        <f t="shared" si="119"/>
        <v>1526.3993487170328</v>
      </c>
      <c r="H787" s="24">
        <f t="shared" si="117"/>
        <v>650</v>
      </c>
      <c r="I787" s="12">
        <f t="shared" si="120"/>
        <v>0.20366193473071473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950.362731551401</v>
      </c>
      <c r="F788" s="24">
        <f t="shared" si="118"/>
        <v>130.26906169524466</v>
      </c>
      <c r="G788" s="14">
        <f t="shared" si="119"/>
        <v>1524.340018099678</v>
      </c>
      <c r="H788" s="24">
        <f t="shared" si="117"/>
        <v>650</v>
      </c>
      <c r="I788" s="12">
        <f t="shared" si="120"/>
        <v>0.20337937111113821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950.56611092251217</v>
      </c>
      <c r="F789" s="24">
        <f t="shared" si="118"/>
        <v>130.03036063715001</v>
      </c>
      <c r="G789" s="14">
        <f t="shared" si="119"/>
        <v>1522.2864225691253</v>
      </c>
      <c r="H789" s="24">
        <f t="shared" si="117"/>
        <v>650</v>
      </c>
      <c r="I789" s="12">
        <f t="shared" si="120"/>
        <v>0.20309760918664962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950.76920853169884</v>
      </c>
      <c r="F790" s="24">
        <f t="shared" si="118"/>
        <v>129.7924429235934</v>
      </c>
      <c r="G790" s="14">
        <f t="shared" si="119"/>
        <v>1520.2385366994142</v>
      </c>
      <c r="H790" s="24">
        <f t="shared" si="117"/>
        <v>650</v>
      </c>
      <c r="I790" s="12">
        <f t="shared" si="120"/>
        <v>0.20281664536206684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950.97202517706091</v>
      </c>
      <c r="F791" s="24">
        <f t="shared" si="118"/>
        <v>129.55530475873047</v>
      </c>
      <c r="G791" s="14">
        <f t="shared" si="119"/>
        <v>1518.1963352485186</v>
      </c>
      <c r="H791" s="24">
        <f t="shared" si="117"/>
        <v>650</v>
      </c>
      <c r="I791" s="12">
        <f t="shared" si="120"/>
        <v>0.20253647606814568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951.1745616531291</v>
      </c>
      <c r="F792" s="24">
        <f t="shared" si="118"/>
        <v>129.31894237349582</v>
      </c>
      <c r="G792" s="14">
        <f t="shared" si="119"/>
        <v>1516.1597931548586</v>
      </c>
      <c r="H792" s="24">
        <f t="shared" si="117"/>
        <v>650</v>
      </c>
      <c r="I792" s="12">
        <f t="shared" si="120"/>
        <v>0.20225709776111342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951.37681875089027</v>
      </c>
      <c r="F793" s="24">
        <f t="shared" si="118"/>
        <v>129.08335202528747</v>
      </c>
      <c r="G793" s="14">
        <f t="shared" si="119"/>
        <v>1514.128885535556</v>
      </c>
      <c r="H793" s="24">
        <f t="shared" si="117"/>
        <v>650</v>
      </c>
      <c r="I793" s="12">
        <f t="shared" si="120"/>
        <v>0.20197850692241565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951.57879725781265</v>
      </c>
      <c r="F794" s="24">
        <f t="shared" si="118"/>
        <v>128.84852999763154</v>
      </c>
      <c r="G794" s="14">
        <f t="shared" si="119"/>
        <v>1512.1035876837218</v>
      </c>
      <c r="H794" s="24">
        <f t="shared" si="117"/>
        <v>650</v>
      </c>
      <c r="I794" s="12">
        <f t="shared" si="120"/>
        <v>0.20170070005834145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951.78049795787103</v>
      </c>
      <c r="F795" s="24">
        <f t="shared" si="118"/>
        <v>128.61447259989234</v>
      </c>
      <c r="G795" s="14">
        <f t="shared" si="119"/>
        <v>1510.0838750657806</v>
      </c>
      <c r="H795" s="24">
        <f t="shared" si="117"/>
        <v>650</v>
      </c>
      <c r="I795" s="12">
        <f t="shared" si="120"/>
        <v>0.20142367369965916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951.98192163157069</v>
      </c>
      <c r="F796" s="24">
        <f t="shared" si="118"/>
        <v>128.38117616699378</v>
      </c>
      <c r="G796" s="14">
        <f t="shared" si="119"/>
        <v>1508.0697233194758</v>
      </c>
      <c r="H796" s="24">
        <f t="shared" si="117"/>
        <v>650</v>
      </c>
      <c r="I796" s="12">
        <f t="shared" si="120"/>
        <v>0.20114742440133676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952.18306905597206</v>
      </c>
      <c r="F797" s="24">
        <f t="shared" si="118"/>
        <v>128.14863705909545</v>
      </c>
      <c r="G797" s="14">
        <f t="shared" si="119"/>
        <v>1506.0611082513876</v>
      </c>
      <c r="H797" s="24">
        <f t="shared" si="117"/>
        <v>650</v>
      </c>
      <c r="I797" s="12">
        <f t="shared" si="120"/>
        <v>0.20087194874219694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952.3839410047143</v>
      </c>
      <c r="F798" s="24">
        <f t="shared" si="118"/>
        <v>127.91685166133107</v>
      </c>
      <c r="G798" s="14">
        <f t="shared" si="119"/>
        <v>1504.0580058349581</v>
      </c>
      <c r="H798" s="24">
        <f t="shared" si="117"/>
        <v>650</v>
      </c>
      <c r="I798" s="12">
        <f t="shared" si="120"/>
        <v>0.20059724332464235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952.58453824803894</v>
      </c>
      <c r="F799" s="24">
        <f t="shared" si="118"/>
        <v>127.6858163835243</v>
      </c>
      <c r="G799" s="14">
        <f t="shared" si="119"/>
        <v>1502.0603922081245</v>
      </c>
      <c r="H799" s="24">
        <f t="shared" si="117"/>
        <v>650</v>
      </c>
      <c r="I799" s="12">
        <f t="shared" si="120"/>
        <v>0.20032330477432964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952.78486155281325</v>
      </c>
      <c r="F800" s="24">
        <f t="shared" si="118"/>
        <v>127.45552765990737</v>
      </c>
      <c r="G800" s="14">
        <f t="shared" si="119"/>
        <v>1500.0682436707636</v>
      </c>
      <c r="H800" s="24">
        <f t="shared" si="117"/>
        <v>650</v>
      </c>
      <c r="I800" s="12">
        <f t="shared" si="120"/>
        <v>0.20005012973982078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952.98491168255305</v>
      </c>
      <c r="F801" s="24">
        <f t="shared" si="118"/>
        <v>127.22598194885109</v>
      </c>
      <c r="G801" s="14">
        <f t="shared" si="119"/>
        <v>1498.0815366835268</v>
      </c>
      <c r="H801" s="24">
        <f t="shared" si="117"/>
        <v>650</v>
      </c>
      <c r="I801" s="12">
        <f t="shared" si="120"/>
        <v>0.19977771489240673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953.18468939744548</v>
      </c>
      <c r="F802" s="24">
        <f t="shared" si="118"/>
        <v>126.99717573262035</v>
      </c>
      <c r="G802" s="14">
        <f t="shared" si="119"/>
        <v>1496.100247865186</v>
      </c>
      <c r="H802" s="24">
        <f t="shared" si="117"/>
        <v>650</v>
      </c>
      <c r="I802" s="12">
        <f t="shared" si="120"/>
        <v>0.19950605692575113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953.38419545437125</v>
      </c>
      <c r="F803" s="24">
        <f t="shared" si="118"/>
        <v>126.76910551709284</v>
      </c>
      <c r="G803" s="14">
        <f t="shared" si="119"/>
        <v>1494.1243539905415</v>
      </c>
      <c r="H803" s="24">
        <f t="shared" si="117"/>
        <v>650</v>
      </c>
      <c r="I803" s="12">
        <f t="shared" si="120"/>
        <v>0.19923515255559845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953.58343060692687</v>
      </c>
      <c r="F804" s="24">
        <f t="shared" si="118"/>
        <v>126.54176783152309</v>
      </c>
      <c r="G804" s="14">
        <f t="shared" si="119"/>
        <v>1492.153831989315</v>
      </c>
      <c r="H804" s="24">
        <f t="shared" si="117"/>
        <v>650</v>
      </c>
      <c r="I804" s="12">
        <f t="shared" si="120"/>
        <v>0.19896499851960917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953.78239560544648</v>
      </c>
      <c r="F805" s="24">
        <f t="shared" si="118"/>
        <v>126.31515922828669</v>
      </c>
      <c r="G805" s="14">
        <f t="shared" si="119"/>
        <v>1490.188658943187</v>
      </c>
      <c r="H805" s="24">
        <f t="shared" si="117"/>
        <v>650</v>
      </c>
      <c r="I805" s="12">
        <f t="shared" si="120"/>
        <v>0.19869559157696387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953.98109119702349</v>
      </c>
      <c r="F806" s="24">
        <f t="shared" si="118"/>
        <v>126.0892762826245</v>
      </c>
      <c r="G806" s="14">
        <f t="shared" si="119"/>
        <v>1488.2288120843414</v>
      </c>
      <c r="H806" s="24">
        <f t="shared" si="117"/>
        <v>650</v>
      </c>
      <c r="I806" s="12">
        <f t="shared" si="120"/>
        <v>0.19842692850815324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954.17951812553167</v>
      </c>
      <c r="F807" s="24">
        <f t="shared" si="118"/>
        <v>125.86411559243516</v>
      </c>
      <c r="G807" s="14">
        <f t="shared" si="119"/>
        <v>1486.274268794207</v>
      </c>
      <c r="H807" s="24">
        <f t="shared" si="117"/>
        <v>650</v>
      </c>
      <c r="I807" s="12">
        <f t="shared" si="120"/>
        <v>0.19815900611479756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954.37767713164646</v>
      </c>
      <c r="F808" s="24">
        <f t="shared" si="118"/>
        <v>125.6396737780193</v>
      </c>
      <c r="G808" s="14">
        <f t="shared" si="119"/>
        <v>1484.3250066010153</v>
      </c>
      <c r="H808" s="24">
        <f t="shared" si="117"/>
        <v>650</v>
      </c>
      <c r="I808" s="12">
        <f t="shared" si="120"/>
        <v>0.19789182121931534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954.57556895286575</v>
      </c>
      <c r="F809" s="24">
        <f t="shared" si="118"/>
        <v>125.41594748183229</v>
      </c>
      <c r="G809" s="14">
        <f t="shared" si="119"/>
        <v>1482.3810031782302</v>
      </c>
      <c r="H809" s="24">
        <f t="shared" si="117"/>
        <v>650</v>
      </c>
      <c r="I809" s="12">
        <f t="shared" si="120"/>
        <v>0.19762537066469965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954.77319432353045</v>
      </c>
      <c r="F810" s="24">
        <f t="shared" si="118"/>
        <v>125.19293336829662</v>
      </c>
      <c r="G810" s="14">
        <f t="shared" si="119"/>
        <v>1480.4422363430369</v>
      </c>
      <c r="H810" s="24">
        <f t="shared" si="117"/>
        <v>650</v>
      </c>
      <c r="I810" s="12">
        <f t="shared" si="120"/>
        <v>0.19735965131430966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954.97055397484473</v>
      </c>
      <c r="F811" s="24">
        <f t="shared" si="118"/>
        <v>124.9706281235575</v>
      </c>
      <c r="G811" s="14">
        <f t="shared" si="119"/>
        <v>1478.5086840545403</v>
      </c>
      <c r="H811" s="24">
        <f t="shared" si="117"/>
        <v>650</v>
      </c>
      <c r="I811" s="12">
        <f t="shared" si="120"/>
        <v>0.19709466005161871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955.16764863489641</v>
      </c>
      <c r="F812" s="24">
        <f t="shared" si="118"/>
        <v>124.74902845526117</v>
      </c>
      <c r="G812" s="14">
        <f t="shared" si="119"/>
        <v>1476.5803244119604</v>
      </c>
      <c r="H812" s="24">
        <f t="shared" si="117"/>
        <v>650</v>
      </c>
      <c r="I812" s="12">
        <f t="shared" si="120"/>
        <v>0.19683039377996575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955.36447902867633</v>
      </c>
      <c r="F813" s="24">
        <f t="shared" si="118"/>
        <v>124.52813109235024</v>
      </c>
      <c r="G813" s="14">
        <f t="shared" si="119"/>
        <v>1474.6571356538018</v>
      </c>
      <c r="H813" s="24">
        <f t="shared" si="117"/>
        <v>650</v>
      </c>
      <c r="I813" s="12">
        <f t="shared" si="120"/>
        <v>0.19656684942242769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955.56104587809875</v>
      </c>
      <c r="F814" s="24">
        <f t="shared" si="118"/>
        <v>124.30793278485339</v>
      </c>
      <c r="G814" s="14">
        <f t="shared" si="119"/>
        <v>1472.7390961551382</v>
      </c>
      <c r="H814" s="24">
        <f t="shared" si="117"/>
        <v>650</v>
      </c>
      <c r="I814" s="12">
        <f t="shared" si="120"/>
        <v>0.19630402392145987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955.75734990202022</v>
      </c>
      <c r="F815" s="24">
        <f t="shared" si="118"/>
        <v>124.08843030367791</v>
      </c>
      <c r="G815" s="14">
        <f t="shared" si="119"/>
        <v>1470.8261844273425</v>
      </c>
      <c r="H815" s="24">
        <f t="shared" si="117"/>
        <v>650</v>
      </c>
      <c r="I815" s="12">
        <f t="shared" si="120"/>
        <v>0.19604191423883757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955.95339181625911</v>
      </c>
      <c r="F816" s="24">
        <f t="shared" si="118"/>
        <v>123.86962044039365</v>
      </c>
      <c r="G816" s="14">
        <f t="shared" si="119"/>
        <v>1468.9183791153923</v>
      </c>
      <c r="H816" s="24">
        <f t="shared" si="117"/>
        <v>650</v>
      </c>
      <c r="I816" s="12">
        <f t="shared" si="120"/>
        <v>0.19578051735529806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956.14917233361439</v>
      </c>
      <c r="F817" s="24">
        <f t="shared" si="118"/>
        <v>123.65150000705114</v>
      </c>
      <c r="G817" s="14">
        <f t="shared" si="119"/>
        <v>1467.015658997444</v>
      </c>
      <c r="H817" s="24">
        <f t="shared" si="117"/>
        <v>650</v>
      </c>
      <c r="I817" s="12">
        <f t="shared" si="120"/>
        <v>0.19551983027046593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956.34469216388482</v>
      </c>
      <c r="F818" s="24">
        <f t="shared" si="118"/>
        <v>123.4340658359713</v>
      </c>
      <c r="G818" s="14">
        <f t="shared" si="119"/>
        <v>1465.118002982681</v>
      </c>
      <c r="H818" s="24">
        <f t="shared" si="117"/>
        <v>650</v>
      </c>
      <c r="I818" s="12">
        <f t="shared" si="120"/>
        <v>0.19525985000256277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956.53995201388739</v>
      </c>
      <c r="F819" s="24">
        <f t="shared" si="118"/>
        <v>123.21731477957201</v>
      </c>
      <c r="G819" s="14">
        <f t="shared" si="119"/>
        <v>1463.2253901103452</v>
      </c>
      <c r="H819" s="24">
        <f t="shared" si="117"/>
        <v>650</v>
      </c>
      <c r="I819" s="12">
        <f t="shared" si="120"/>
        <v>0.19500057358826689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956.73495258747562</v>
      </c>
      <c r="F820" s="24">
        <f t="shared" si="118"/>
        <v>123.00124371014647</v>
      </c>
      <c r="G820" s="14">
        <f t="shared" si="119"/>
        <v>1461.3377995482451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0.19474199808250248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956.92969458555808</v>
      </c>
      <c r="F821" s="24">
        <f t="shared" si="118"/>
        <v>122.78584951971254</v>
      </c>
      <c r="G821" s="14">
        <f t="shared" si="119"/>
        <v>1459.4552105914565</v>
      </c>
      <c r="H821" s="24">
        <f t="shared" si="126"/>
        <v>650</v>
      </c>
      <c r="I821" s="12">
        <f t="shared" si="120"/>
        <v>0.1944841205582617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957.12417870611637</v>
      </c>
      <c r="F822" s="24">
        <f t="shared" si="118"/>
        <v>122.57112911979391</v>
      </c>
      <c r="G822" s="14">
        <f t="shared" si="119"/>
        <v>1457.5776026608498</v>
      </c>
      <c r="H822" s="24">
        <f t="shared" si="126"/>
        <v>650</v>
      </c>
      <c r="I822" s="12">
        <f t="shared" si="120"/>
        <v>0.19422693810639635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957.31840564422271</v>
      </c>
      <c r="F823" s="24">
        <f t="shared" si="118"/>
        <v>122.35707944126375</v>
      </c>
      <c r="G823" s="14">
        <f t="shared" si="119"/>
        <v>1455.704955301637</v>
      </c>
      <c r="H823" s="24">
        <f t="shared" si="126"/>
        <v>650</v>
      </c>
      <c r="I823" s="12">
        <f t="shared" si="120"/>
        <v>0.19397044783542056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957.51237609205816</v>
      </c>
      <c r="F824" s="24">
        <f t="shared" si="118"/>
        <v>122.14369743416853</v>
      </c>
      <c r="G824" s="14">
        <f t="shared" si="119"/>
        <v>1453.8372481830036</v>
      </c>
      <c r="H824" s="24">
        <f t="shared" si="126"/>
        <v>650</v>
      </c>
      <c r="I824" s="12">
        <f t="shared" si="120"/>
        <v>0.19371464687144338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957.70609073892956</v>
      </c>
      <c r="F825" s="24">
        <f t="shared" si="118"/>
        <v>121.93098006751768</v>
      </c>
      <c r="G825" s="14">
        <f t="shared" si="119"/>
        <v>1451.9744610956268</v>
      </c>
      <c r="H825" s="24">
        <f t="shared" si="126"/>
        <v>650</v>
      </c>
      <c r="I825" s="12">
        <f t="shared" si="120"/>
        <v>0.19345953235783828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957.89955027128735</v>
      </c>
      <c r="F826" s="24">
        <f t="shared" si="118"/>
        <v>121.71892432916422</v>
      </c>
      <c r="G826" s="14">
        <f t="shared" si="119"/>
        <v>1450.1165739512116</v>
      </c>
      <c r="H826" s="24">
        <f t="shared" si="126"/>
        <v>650</v>
      </c>
      <c r="I826" s="12">
        <f t="shared" si="120"/>
        <v>0.19320510145517111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958.09275537274254</v>
      </c>
      <c r="F827" s="24">
        <f t="shared" si="118"/>
        <v>121.50752722559162</v>
      </c>
      <c r="G827" s="14">
        <f t="shared" si="119"/>
        <v>1448.2635667815407</v>
      </c>
      <c r="H827" s="24">
        <f t="shared" si="126"/>
        <v>650</v>
      </c>
      <c r="I827" s="12">
        <f t="shared" si="120"/>
        <v>0.19295135134105751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958.28570672408364</v>
      </c>
      <c r="F828" s="24">
        <f t="shared" si="118"/>
        <v>121.29678578176879</v>
      </c>
      <c r="G828" s="14">
        <f t="shared" si="119"/>
        <v>1446.4154197362848</v>
      </c>
      <c r="H828" s="24">
        <f t="shared" si="126"/>
        <v>650</v>
      </c>
      <c r="I828" s="12">
        <f t="shared" si="120"/>
        <v>0.19269827920987548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958.47840500329346</v>
      </c>
      <c r="F829" s="24">
        <f t="shared" si="118"/>
        <v>121.08669704097963</v>
      </c>
      <c r="G829" s="14">
        <f t="shared" si="119"/>
        <v>1444.5721130830216</v>
      </c>
      <c r="H829" s="24">
        <f t="shared" si="126"/>
        <v>650</v>
      </c>
      <c r="I829" s="12">
        <f t="shared" si="120"/>
        <v>0.19244588227274723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958.67085088556621</v>
      </c>
      <c r="F830" s="24">
        <f t="shared" si="118"/>
        <v>120.87725806464675</v>
      </c>
      <c r="G830" s="14">
        <f t="shared" si="119"/>
        <v>1442.7336272051816</v>
      </c>
      <c r="H830" s="24">
        <f t="shared" si="126"/>
        <v>650</v>
      </c>
      <c r="I830" s="12">
        <f t="shared" si="120"/>
        <v>0.19219415775726459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958.8630450433235</v>
      </c>
      <c r="F831" s="24">
        <f t="shared" si="118"/>
        <v>120.66846593220077</v>
      </c>
      <c r="G831" s="14">
        <f t="shared" si="119"/>
        <v>1440.8999426016028</v>
      </c>
      <c r="H831" s="24">
        <f t="shared" si="126"/>
        <v>650</v>
      </c>
      <c r="I831" s="12">
        <f t="shared" si="120"/>
        <v>0.19194310290741851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959.05498814623093</v>
      </c>
      <c r="F832" s="24">
        <f t="shared" si="118"/>
        <v>120.4603177408984</v>
      </c>
      <c r="G832" s="14">
        <f t="shared" si="119"/>
        <v>1439.0710398847862</v>
      </c>
      <c r="H832" s="24">
        <f t="shared" si="126"/>
        <v>650</v>
      </c>
      <c r="I832" s="12">
        <f t="shared" si="120"/>
        <v>0.19169271498336216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959.24668086121426</v>
      </c>
      <c r="F833" s="24">
        <f t="shared" si="118"/>
        <v>120.25281060568034</v>
      </c>
      <c r="G833" s="14">
        <f t="shared" si="119"/>
        <v>1437.2468997806627</v>
      </c>
      <c r="H833" s="24">
        <f t="shared" si="126"/>
        <v>650</v>
      </c>
      <c r="I833" s="12">
        <f t="shared" si="120"/>
        <v>0.19144299126136483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959.43812385247566</v>
      </c>
      <c r="F834" s="24">
        <f t="shared" si="118"/>
        <v>120.0459416590121</v>
      </c>
      <c r="G834" s="14">
        <f t="shared" si="119"/>
        <v>1435.427503126773</v>
      </c>
      <c r="H834" s="24">
        <f t="shared" si="126"/>
        <v>650</v>
      </c>
      <c r="I834" s="12">
        <f t="shared" si="120"/>
        <v>0.1911939290335686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959.62931778150926</v>
      </c>
      <c r="F835" s="24">
        <f t="shared" si="118"/>
        <v>119.83970805073341</v>
      </c>
      <c r="G835" s="14">
        <f t="shared" si="119"/>
        <v>1433.6128308716068</v>
      </c>
      <c r="H835" s="24">
        <f t="shared" si="126"/>
        <v>650</v>
      </c>
      <c r="I835" s="12">
        <f t="shared" si="120"/>
        <v>0.19094552560788863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959.8202633071171</v>
      </c>
      <c r="F836" s="24">
        <f t="shared" si="118"/>
        <v>119.63410694791037</v>
      </c>
      <c r="G836" s="14">
        <f t="shared" si="119"/>
        <v>1431.8028640734215</v>
      </c>
      <c r="H836" s="24">
        <f t="shared" si="126"/>
        <v>650</v>
      </c>
      <c r="I836" s="12">
        <f t="shared" si="120"/>
        <v>0.19069777830784984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960.01096108542492</v>
      </c>
      <c r="F837" s="24">
        <f t="shared" si="118"/>
        <v>119.42913553469623</v>
      </c>
      <c r="G837" s="14">
        <f t="shared" si="119"/>
        <v>1429.997583899506</v>
      </c>
      <c r="H837" s="24">
        <f t="shared" si="126"/>
        <v>650</v>
      </c>
      <c r="I837" s="12">
        <f t="shared" si="120"/>
        <v>0.19045068447247923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960.20141176989739</v>
      </c>
      <c r="F838" s="24">
        <f t="shared" si="118"/>
        <v>119.22479101216368</v>
      </c>
      <c r="G838" s="14">
        <f t="shared" si="119"/>
        <v>1428.19697162494</v>
      </c>
      <c r="H838" s="24">
        <f t="shared" si="126"/>
        <v>650</v>
      </c>
      <c r="I838" s="12">
        <f t="shared" si="120"/>
        <v>0.19020424145613277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960.39161601135356</v>
      </c>
      <c r="F839" s="24">
        <f t="shared" si="118"/>
        <v>119.02107059819969</v>
      </c>
      <c r="G839" s="14">
        <f t="shared" si="119"/>
        <v>1426.4010086317028</v>
      </c>
      <c r="H839" s="24">
        <f t="shared" si="126"/>
        <v>650</v>
      </c>
      <c r="I839" s="12">
        <f t="shared" si="120"/>
        <v>0.18995844662837297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960.5815744579819</v>
      </c>
      <c r="F840" s="24">
        <f t="shared" si="118"/>
        <v>118.81797152733498</v>
      </c>
      <c r="G840" s="14">
        <f t="shared" si="119"/>
        <v>1424.6096764078009</v>
      </c>
      <c r="H840" s="24">
        <f t="shared" si="126"/>
        <v>650</v>
      </c>
      <c r="I840" s="12">
        <f t="shared" si="120"/>
        <v>0.18971329737384074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960.77128775535573</v>
      </c>
      <c r="F841" s="24">
        <f t="shared" si="118"/>
        <v>118.61549105061329</v>
      </c>
      <c r="G841" s="14">
        <f t="shared" si="119"/>
        <v>1422.8229565462018</v>
      </c>
      <c r="H841" s="24">
        <f t="shared" si="126"/>
        <v>650</v>
      </c>
      <c r="I841" s="12">
        <f t="shared" si="120"/>
        <v>0.18946879109210807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960.96075654644778</v>
      </c>
      <c r="F842" s="24">
        <f t="shared" si="118"/>
        <v>118.41362643544926</v>
      </c>
      <c r="G842" s="14">
        <f t="shared" si="119"/>
        <v>1421.04083074406</v>
      </c>
      <c r="H842" s="24">
        <f t="shared" si="126"/>
        <v>650</v>
      </c>
      <c r="I842" s="12">
        <f t="shared" si="120"/>
        <v>0.18922492519756567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961.14998147164533</v>
      </c>
      <c r="F843" s="24">
        <f t="shared" si="118"/>
        <v>118.21237496550907</v>
      </c>
      <c r="G843" s="14">
        <f t="shared" si="119"/>
        <v>1419.2632808015726</v>
      </c>
      <c r="H843" s="24">
        <f t="shared" si="126"/>
        <v>650</v>
      </c>
      <c r="I843" s="12">
        <f t="shared" si="120"/>
        <v>0.18898169711926743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961.33896316876462</v>
      </c>
      <c r="F844" s="24">
        <f t="shared" si="118"/>
        <v>118.011733940574</v>
      </c>
      <c r="G844" s="14">
        <f t="shared" si="119"/>
        <v>1417.4902886216303</v>
      </c>
      <c r="H844" s="24">
        <f t="shared" si="126"/>
        <v>650</v>
      </c>
      <c r="I844" s="12">
        <f t="shared" si="120"/>
        <v>0.18873910430087085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961.52770227306553</v>
      </c>
      <c r="F845" s="24">
        <f t="shared" si="118"/>
        <v>117.81170067638129</v>
      </c>
      <c r="G845" s="14">
        <f t="shared" si="119"/>
        <v>1415.7218362079966</v>
      </c>
      <c r="H845" s="24">
        <f t="shared" si="126"/>
        <v>650</v>
      </c>
      <c r="I845" s="12">
        <f t="shared" si="120"/>
        <v>0.18849714420039368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961.7161994172659</v>
      </c>
      <c r="F846" s="24">
        <f t="shared" si="118"/>
        <v>117.61227250453885</v>
      </c>
      <c r="G846" s="14">
        <f t="shared" si="119"/>
        <v>1413.957905665656</v>
      </c>
      <c r="H846" s="24">
        <f t="shared" si="126"/>
        <v>650</v>
      </c>
      <c r="I846" s="12">
        <f t="shared" si="120"/>
        <v>0.18825581429024618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961.9044552315562</v>
      </c>
      <c r="F847" s="24">
        <f t="shared" si="118"/>
        <v>117.41344677236043</v>
      </c>
      <c r="G847" s="14">
        <f t="shared" si="119"/>
        <v>1412.1984791986627</v>
      </c>
      <c r="H847" s="24">
        <f t="shared" si="126"/>
        <v>650</v>
      </c>
      <c r="I847" s="12">
        <f t="shared" si="120"/>
        <v>0.18801511205694652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962.09247034361317</v>
      </c>
      <c r="F848" s="24">
        <f t="shared" si="118"/>
        <v>117.21522084274909</v>
      </c>
      <c r="G848" s="14">
        <f t="shared" si="119"/>
        <v>1410.4435391105869</v>
      </c>
      <c r="H848" s="24">
        <f t="shared" si="126"/>
        <v>650</v>
      </c>
      <c r="I848" s="12">
        <f t="shared" si="120"/>
        <v>0.18777503500116116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962.28024537861438</v>
      </c>
      <c r="F849" s="24">
        <f t="shared" ref="F849:F912" si="127">AlphaC*(D849-E849)</f>
        <v>117.01759209409488</v>
      </c>
      <c r="G849" s="14">
        <f t="shared" ref="G849:G912" si="128">Phi*EpsilonF*Botzman/10^8*J849*((D849+273)^4-(E849+273)^4)</f>
        <v>1408.6930678025958</v>
      </c>
      <c r="H849" s="24">
        <f t="shared" si="126"/>
        <v>650</v>
      </c>
      <c r="I849" s="12">
        <f t="shared" ref="I849:I912" si="129">ksh*Massivete/(H849*RhoA)*DeltaT*(F849+G849)</f>
        <v>0.18753558063745662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962.46778095925185</v>
      </c>
      <c r="F850" s="24">
        <f t="shared" si="127"/>
        <v>116.82055792011852</v>
      </c>
      <c r="G850" s="14">
        <f t="shared" si="128"/>
        <v>1406.9470477734342</v>
      </c>
      <c r="H850" s="24">
        <f t="shared" si="126"/>
        <v>650</v>
      </c>
      <c r="I850" s="12">
        <f t="shared" si="129"/>
        <v>0.18729674649427758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962.65507770574618</v>
      </c>
      <c r="F851" s="24">
        <f t="shared" si="127"/>
        <v>116.6241157297577</v>
      </c>
      <c r="G851" s="14">
        <f t="shared" si="128"/>
        <v>1405.2054616180487</v>
      </c>
      <c r="H851" s="24">
        <f t="shared" si="126"/>
        <v>650</v>
      </c>
      <c r="I851" s="12">
        <f t="shared" si="129"/>
        <v>0.18705853011376414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962.84213623585993</v>
      </c>
      <c r="F852" s="24">
        <f t="shared" si="127"/>
        <v>116.42826294706481</v>
      </c>
      <c r="G852" s="14">
        <f t="shared" si="128"/>
        <v>1403.468292027181</v>
      </c>
      <c r="H852" s="24">
        <f t="shared" si="126"/>
        <v>650</v>
      </c>
      <c r="I852" s="12">
        <f t="shared" si="129"/>
        <v>0.18682092905168893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963.02895716491162</v>
      </c>
      <c r="F853" s="24">
        <f t="shared" si="127"/>
        <v>116.23299701107612</v>
      </c>
      <c r="G853" s="14">
        <f t="shared" si="128"/>
        <v>1401.735521786456</v>
      </c>
      <c r="H853" s="24">
        <f t="shared" si="126"/>
        <v>650</v>
      </c>
      <c r="I853" s="12">
        <f t="shared" si="129"/>
        <v>0.18658394087732927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963.21554110578893</v>
      </c>
      <c r="F854" s="24">
        <f t="shared" si="127"/>
        <v>116.03831537567544</v>
      </c>
      <c r="G854" s="14">
        <f t="shared" si="128"/>
        <v>1400.0071337757047</v>
      </c>
      <c r="H854" s="24">
        <f t="shared" si="126"/>
        <v>650</v>
      </c>
      <c r="I854" s="12">
        <f t="shared" si="129"/>
        <v>0.18634756317336684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963.40188866896233</v>
      </c>
      <c r="F855" s="24">
        <f t="shared" si="127"/>
        <v>115.84421550952015</v>
      </c>
      <c r="G855" s="14">
        <f t="shared" si="128"/>
        <v>1398.2831109677816</v>
      </c>
      <c r="H855" s="24">
        <f t="shared" si="126"/>
        <v>650</v>
      </c>
      <c r="I855" s="12">
        <f t="shared" si="129"/>
        <v>0.18611179353573351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963.58800046249803</v>
      </c>
      <c r="F856" s="24">
        <f t="shared" si="127"/>
        <v>115.65069489589632</v>
      </c>
      <c r="G856" s="14">
        <f t="shared" si="128"/>
        <v>1396.5634364287387</v>
      </c>
      <c r="H856" s="24">
        <f t="shared" si="126"/>
        <v>650</v>
      </c>
      <c r="I856" s="12">
        <f t="shared" si="129"/>
        <v>0.18587662957361475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963.77387709207164</v>
      </c>
      <c r="F857" s="24">
        <f t="shared" si="127"/>
        <v>115.45775103259928</v>
      </c>
      <c r="G857" s="14">
        <f t="shared" si="128"/>
        <v>1394.8480933159851</v>
      </c>
      <c r="H857" s="24">
        <f t="shared" si="126"/>
        <v>650</v>
      </c>
      <c r="I857" s="12">
        <f t="shared" si="129"/>
        <v>0.18564206890920881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963.9595191609809</v>
      </c>
      <c r="F858" s="24">
        <f t="shared" si="127"/>
        <v>115.26538143184268</v>
      </c>
      <c r="G858" s="14">
        <f t="shared" si="128"/>
        <v>1393.1370648784027</v>
      </c>
      <c r="H858" s="24">
        <f t="shared" si="126"/>
        <v>650</v>
      </c>
      <c r="I858" s="12">
        <f t="shared" si="129"/>
        <v>0.18540810917772985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964.14492727015863</v>
      </c>
      <c r="F859" s="24">
        <f t="shared" si="127"/>
        <v>115.07358362015054</v>
      </c>
      <c r="G859" s="14">
        <f t="shared" si="128"/>
        <v>1391.4303344552809</v>
      </c>
      <c r="H859" s="24">
        <f t="shared" si="126"/>
        <v>650</v>
      </c>
      <c r="I859" s="12">
        <f t="shared" si="129"/>
        <v>0.18517474802726339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964.33010201818593</v>
      </c>
      <c r="F860" s="24">
        <f t="shared" si="127"/>
        <v>114.88235513821223</v>
      </c>
      <c r="G860" s="14">
        <f t="shared" si="128"/>
        <v>1389.7278854754632</v>
      </c>
      <c r="H860" s="24">
        <f t="shared" si="126"/>
        <v>650</v>
      </c>
      <c r="I860" s="12">
        <f t="shared" si="129"/>
        <v>0.18494198311864396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964.51504400130455</v>
      </c>
      <c r="F861" s="24">
        <f t="shared" si="127"/>
        <v>114.69169354081714</v>
      </c>
      <c r="G861" s="14">
        <f t="shared" si="128"/>
        <v>1388.0297014570567</v>
      </c>
      <c r="H861" s="24">
        <f t="shared" si="126"/>
        <v>650</v>
      </c>
      <c r="I861" s="12">
        <f t="shared" si="129"/>
        <v>0.18470981212541132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964.69975381342999</v>
      </c>
      <c r="F862" s="24">
        <f t="shared" si="127"/>
        <v>114.50159639672677</v>
      </c>
      <c r="G862" s="14">
        <f t="shared" si="128"/>
        <v>1386.3357660064441</v>
      </c>
      <c r="H862" s="24">
        <f t="shared" si="126"/>
        <v>650</v>
      </c>
      <c r="I862" s="12">
        <f t="shared" si="129"/>
        <v>0.18447823273367303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964.88423204616367</v>
      </c>
      <c r="F863" s="24">
        <f t="shared" si="127"/>
        <v>114.31206128856388</v>
      </c>
      <c r="G863" s="14">
        <f t="shared" si="128"/>
        <v>1384.6460628177801</v>
      </c>
      <c r="H863" s="24">
        <f t="shared" si="126"/>
        <v>650</v>
      </c>
      <c r="I863" s="12">
        <f t="shared" si="129"/>
        <v>0.18424724264202916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965.06847928880575</v>
      </c>
      <c r="F864" s="24">
        <f t="shared" si="127"/>
        <v>114.12308581272157</v>
      </c>
      <c r="G864" s="14">
        <f t="shared" si="128"/>
        <v>1382.9605756720016</v>
      </c>
      <c r="H864" s="24">
        <f t="shared" si="126"/>
        <v>650</v>
      </c>
      <c r="I864" s="12">
        <f t="shared" si="129"/>
        <v>0.18401683956143935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965.25249612836717</v>
      </c>
      <c r="F865" s="24">
        <f t="shared" si="127"/>
        <v>113.93466757924955</v>
      </c>
      <c r="G865" s="14">
        <f t="shared" si="128"/>
        <v>1381.2792884367323</v>
      </c>
      <c r="H865" s="24">
        <f t="shared" si="126"/>
        <v>650</v>
      </c>
      <c r="I865" s="12">
        <f t="shared" si="129"/>
        <v>0.18378702121519722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965.43628314958232</v>
      </c>
      <c r="F866" s="24">
        <f t="shared" si="127"/>
        <v>113.74680421175754</v>
      </c>
      <c r="G866" s="14">
        <f t="shared" si="128"/>
        <v>1379.602185064964</v>
      </c>
      <c r="H866" s="24">
        <f t="shared" si="126"/>
        <v>650</v>
      </c>
      <c r="I866" s="12">
        <f t="shared" si="129"/>
        <v>0.18355778533875627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965.61984093492106</v>
      </c>
      <c r="F867" s="24">
        <f t="shared" si="127"/>
        <v>113.55949334731577</v>
      </c>
      <c r="G867" s="14">
        <f t="shared" si="128"/>
        <v>1377.9292495950765</v>
      </c>
      <c r="H867" s="24">
        <f t="shared" si="126"/>
        <v>650</v>
      </c>
      <c r="I867" s="12">
        <f t="shared" si="129"/>
        <v>0.18332912967972015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965.80317006460075</v>
      </c>
      <c r="F868" s="24">
        <f t="shared" si="127"/>
        <v>113.37273263634415</v>
      </c>
      <c r="G868" s="14">
        <f t="shared" si="128"/>
        <v>1376.2604661495968</v>
      </c>
      <c r="H868" s="24">
        <f t="shared" si="126"/>
        <v>650</v>
      </c>
      <c r="I868" s="12">
        <f t="shared" si="129"/>
        <v>0.18310105199767648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965.98627111659846</v>
      </c>
      <c r="F869" s="24">
        <f t="shared" si="127"/>
        <v>113.18651974252418</v>
      </c>
      <c r="G869" s="14">
        <f t="shared" si="128"/>
        <v>1374.5958189350831</v>
      </c>
      <c r="H869" s="24">
        <f t="shared" si="126"/>
        <v>650</v>
      </c>
      <c r="I869" s="12">
        <f t="shared" si="129"/>
        <v>0.18287355006417189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966.16914466666265</v>
      </c>
      <c r="F870" s="24">
        <f t="shared" si="127"/>
        <v>113.00085234270227</v>
      </c>
      <c r="G870" s="14">
        <f t="shared" si="128"/>
        <v>1372.9352922410401</v>
      </c>
      <c r="H870" s="24">
        <f t="shared" si="126"/>
        <v>650</v>
      </c>
      <c r="I870" s="12">
        <f t="shared" si="129"/>
        <v>0.18264662166256668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966.35179128832522</v>
      </c>
      <c r="F871" s="24">
        <f t="shared" si="127"/>
        <v>112.81572812677041</v>
      </c>
      <c r="G871" s="14">
        <f t="shared" si="128"/>
        <v>1371.2788704396071</v>
      </c>
      <c r="H871" s="24">
        <f t="shared" si="126"/>
        <v>650</v>
      </c>
      <c r="I871" s="12">
        <f t="shared" si="129"/>
        <v>0.18242026458798183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966.53421155291323</v>
      </c>
      <c r="F872" s="24">
        <f t="shared" si="127"/>
        <v>112.63114479760645</v>
      </c>
      <c r="G872" s="14">
        <f t="shared" si="128"/>
        <v>1369.6265379849792</v>
      </c>
      <c r="H872" s="24">
        <f t="shared" si="126"/>
        <v>650</v>
      </c>
      <c r="I872" s="12">
        <f t="shared" si="129"/>
        <v>0.1821944766472206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966.7164060295604</v>
      </c>
      <c r="F873" s="24">
        <f t="shared" si="127"/>
        <v>112.44710007096046</v>
      </c>
      <c r="G873" s="14">
        <f t="shared" si="128"/>
        <v>1367.9782794128428</v>
      </c>
      <c r="H873" s="24">
        <f t="shared" si="126"/>
        <v>650</v>
      </c>
      <c r="I873" s="12">
        <f t="shared" si="129"/>
        <v>0.18196925565868513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966.89837528521912</v>
      </c>
      <c r="F874" s="24">
        <f t="shared" si="127"/>
        <v>112.26359167533531</v>
      </c>
      <c r="G874" s="14">
        <f t="shared" si="128"/>
        <v>1366.3340793390209</v>
      </c>
      <c r="H874" s="24">
        <f t="shared" si="126"/>
        <v>650</v>
      </c>
      <c r="I874" s="12">
        <f t="shared" si="129"/>
        <v>0.18174459945219515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967.08011988467126</v>
      </c>
      <c r="F875" s="24">
        <f t="shared" si="127"/>
        <v>112.08061735195542</v>
      </c>
      <c r="G875" s="14">
        <f t="shared" si="128"/>
        <v>1364.6939224603825</v>
      </c>
      <c r="H875" s="24">
        <f t="shared" si="126"/>
        <v>650</v>
      </c>
      <c r="I875" s="12">
        <f t="shared" si="129"/>
        <v>0.18152050586909602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967.26164039054038</v>
      </c>
      <c r="F876" s="24">
        <f t="shared" si="127"/>
        <v>111.8981748546048</v>
      </c>
      <c r="G876" s="14">
        <f t="shared" si="128"/>
        <v>1363.0577935526926</v>
      </c>
      <c r="H876" s="24">
        <f t="shared" si="126"/>
        <v>650</v>
      </c>
      <c r="I876" s="12">
        <f t="shared" si="129"/>
        <v>0.1812969727619746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967.44293736330235</v>
      </c>
      <c r="F877" s="24">
        <f t="shared" si="127"/>
        <v>111.71626194959572</v>
      </c>
      <c r="G877" s="14">
        <f t="shared" si="128"/>
        <v>1361.4256774711544</v>
      </c>
      <c r="H877" s="24">
        <f t="shared" si="126"/>
        <v>650</v>
      </c>
      <c r="I877" s="12">
        <f t="shared" si="129"/>
        <v>0.18107399799472196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967.62401136129711</v>
      </c>
      <c r="F878" s="24">
        <f t="shared" si="127"/>
        <v>111.53487641563231</v>
      </c>
      <c r="G878" s="14">
        <f t="shared" si="128"/>
        <v>1359.7975591493234</v>
      </c>
      <c r="H878" s="24">
        <f t="shared" si="126"/>
        <v>650</v>
      </c>
      <c r="I878" s="12">
        <f t="shared" si="129"/>
        <v>0.18085157944238314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967.80486294073944</v>
      </c>
      <c r="F879" s="24">
        <f t="shared" si="127"/>
        <v>111.35401604375659</v>
      </c>
      <c r="G879" s="14">
        <f t="shared" si="128"/>
        <v>1358.1734235985271</v>
      </c>
      <c r="H879" s="24">
        <f t="shared" si="126"/>
        <v>650</v>
      </c>
      <c r="I879" s="12">
        <f t="shared" si="129"/>
        <v>0.18062971499107924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967.98549265573047</v>
      </c>
      <c r="F880" s="24">
        <f t="shared" si="127"/>
        <v>111.17367863722905</v>
      </c>
      <c r="G880" s="14">
        <f t="shared" si="128"/>
        <v>1356.5532559076896</v>
      </c>
      <c r="H880" s="24">
        <f t="shared" si="126"/>
        <v>650</v>
      </c>
      <c r="I880" s="12">
        <f t="shared" si="129"/>
        <v>0.18040840253797102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968.16590105826845</v>
      </c>
      <c r="F881" s="24">
        <f t="shared" si="127"/>
        <v>110.99386201147183</v>
      </c>
      <c r="G881" s="14">
        <f t="shared" si="128"/>
        <v>1354.9370412424607</v>
      </c>
      <c r="H881" s="24">
        <f t="shared" si="126"/>
        <v>650</v>
      </c>
      <c r="I881" s="12">
        <f t="shared" si="129"/>
        <v>0.1801876399911452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968.34608869825956</v>
      </c>
      <c r="F882" s="24">
        <f t="shared" si="127"/>
        <v>110.81456399395506</v>
      </c>
      <c r="G882" s="14">
        <f t="shared" si="128"/>
        <v>1353.3247648446522</v>
      </c>
      <c r="H882" s="24">
        <f t="shared" si="126"/>
        <v>650</v>
      </c>
      <c r="I882" s="12">
        <f t="shared" si="129"/>
        <v>0.17996742526953083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968.52605612352909</v>
      </c>
      <c r="F883" s="24">
        <f t="shared" si="127"/>
        <v>110.63578242412859</v>
      </c>
      <c r="G883" s="14">
        <f t="shared" si="128"/>
        <v>1351.7164120318714</v>
      </c>
      <c r="H883" s="24">
        <f t="shared" si="126"/>
        <v>650</v>
      </c>
      <c r="I883" s="12">
        <f t="shared" si="129"/>
        <v>0.17974775630284606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968.70580387983193</v>
      </c>
      <c r="F884" s="24">
        <f t="shared" si="127"/>
        <v>110.45751515333677</v>
      </c>
      <c r="G884" s="14">
        <f t="shared" si="128"/>
        <v>1350.1119681970742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0.17952863103153277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968.88533251086346</v>
      </c>
      <c r="F885" s="24">
        <f t="shared" si="127"/>
        <v>110.27976004471896</v>
      </c>
      <c r="G885" s="14">
        <f t="shared" si="128"/>
        <v>1348.5114188076545</v>
      </c>
      <c r="H885" s="24">
        <f t="shared" si="135"/>
        <v>650</v>
      </c>
      <c r="I885" s="12">
        <f t="shared" si="129"/>
        <v>0.17931004740663217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969.06464255827007</v>
      </c>
      <c r="F886" s="24">
        <f t="shared" si="127"/>
        <v>110.10251497313845</v>
      </c>
      <c r="G886" s="14">
        <f t="shared" si="128"/>
        <v>1346.9147494054448</v>
      </c>
      <c r="H886" s="24">
        <f t="shared" si="135"/>
        <v>650</v>
      </c>
      <c r="I886" s="12">
        <f t="shared" si="129"/>
        <v>0.17909200338977646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969.24373456165983</v>
      </c>
      <c r="F887" s="24">
        <f t="shared" si="127"/>
        <v>109.92577782510295</v>
      </c>
      <c r="G887" s="14">
        <f t="shared" si="128"/>
        <v>1345.3219456055137</v>
      </c>
      <c r="H887" s="24">
        <f t="shared" si="135"/>
        <v>650</v>
      </c>
      <c r="I887" s="12">
        <f t="shared" si="129"/>
        <v>0.17887449695303104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969.42260905861292</v>
      </c>
      <c r="F888" s="24">
        <f t="shared" si="127"/>
        <v>109.74954649867357</v>
      </c>
      <c r="G888" s="14">
        <f t="shared" si="128"/>
        <v>1343.7329930966318</v>
      </c>
      <c r="H888" s="24">
        <f t="shared" si="135"/>
        <v>650</v>
      </c>
      <c r="I888" s="12">
        <f t="shared" si="129"/>
        <v>0.17865752607894053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969.60126658469187</v>
      </c>
      <c r="F889" s="24">
        <f t="shared" si="127"/>
        <v>109.57381890339093</v>
      </c>
      <c r="G889" s="14">
        <f t="shared" si="128"/>
        <v>1342.1478776399533</v>
      </c>
      <c r="H889" s="24">
        <f t="shared" si="135"/>
        <v>650</v>
      </c>
      <c r="I889" s="12">
        <f t="shared" si="129"/>
        <v>0.17844108876035794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969.77970767345221</v>
      </c>
      <c r="F890" s="24">
        <f t="shared" si="127"/>
        <v>109.3985929601871</v>
      </c>
      <c r="G890" s="14">
        <f t="shared" si="128"/>
        <v>1340.5665850685516</v>
      </c>
      <c r="H890" s="24">
        <f t="shared" si="135"/>
        <v>650</v>
      </c>
      <c r="I890" s="12">
        <f t="shared" si="129"/>
        <v>0.17822518300037635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969.95793285645254</v>
      </c>
      <c r="F891" s="24">
        <f t="shared" si="127"/>
        <v>109.2238666013202</v>
      </c>
      <c r="G891" s="14">
        <f t="shared" si="128"/>
        <v>1338.9891012876121</v>
      </c>
      <c r="H891" s="24">
        <f t="shared" si="135"/>
        <v>650</v>
      </c>
      <c r="I891" s="12">
        <f t="shared" si="129"/>
        <v>0.17800980681234493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970.13594266326493</v>
      </c>
      <c r="F892" s="24">
        <f t="shared" si="127"/>
        <v>109.04963777026637</v>
      </c>
      <c r="G892" s="14">
        <f t="shared" si="128"/>
        <v>1337.4154122730572</v>
      </c>
      <c r="H892" s="24">
        <f t="shared" si="135"/>
        <v>650</v>
      </c>
      <c r="I892" s="12">
        <f t="shared" si="129"/>
        <v>0.17779495821968649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970.31373762148462</v>
      </c>
      <c r="F893" s="24">
        <f t="shared" si="127"/>
        <v>108.87590442169142</v>
      </c>
      <c r="G893" s="14">
        <f t="shared" si="128"/>
        <v>1335.8455040718168</v>
      </c>
      <c r="H893" s="24">
        <f t="shared" si="135"/>
        <v>650</v>
      </c>
      <c r="I893" s="12">
        <f t="shared" si="129"/>
        <v>0.17758063525592718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970.49131825674056</v>
      </c>
      <c r="F894" s="24">
        <f t="shared" si="127"/>
        <v>108.70266452131432</v>
      </c>
      <c r="G894" s="14">
        <f t="shared" si="128"/>
        <v>1334.2793628006857</v>
      </c>
      <c r="H894" s="24">
        <f t="shared" si="135"/>
        <v>650</v>
      </c>
      <c r="I894" s="12">
        <f t="shared" si="129"/>
        <v>0.17736683596453945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970.66868509270512</v>
      </c>
      <c r="F895" s="24">
        <f t="shared" si="127"/>
        <v>108.52991604588453</v>
      </c>
      <c r="G895" s="14">
        <f t="shared" si="128"/>
        <v>1332.7169746468849</v>
      </c>
      <c r="H895" s="24">
        <f t="shared" si="135"/>
        <v>650</v>
      </c>
      <c r="I895" s="12">
        <f t="shared" si="129"/>
        <v>0.17715355839900801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970.84583865110415</v>
      </c>
      <c r="F896" s="24">
        <f t="shared" si="127"/>
        <v>108.35765698307114</v>
      </c>
      <c r="G896" s="14">
        <f t="shared" si="128"/>
        <v>1331.158325866124</v>
      </c>
      <c r="H896" s="24">
        <f t="shared" si="135"/>
        <v>650</v>
      </c>
      <c r="I896" s="12">
        <f t="shared" si="129"/>
        <v>0.17694080062257839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971.02277945172671</v>
      </c>
      <c r="F897" s="24">
        <f t="shared" si="127"/>
        <v>108.18588533139462</v>
      </c>
      <c r="G897" s="14">
        <f t="shared" si="128"/>
        <v>1329.6034027832793</v>
      </c>
      <c r="H897" s="24">
        <f t="shared" si="135"/>
        <v>650</v>
      </c>
      <c r="I897" s="12">
        <f t="shared" si="129"/>
        <v>0.17672856070833148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971.19950801243499</v>
      </c>
      <c r="F898" s="24">
        <f t="shared" si="127"/>
        <v>108.01459910017002</v>
      </c>
      <c r="G898" s="14">
        <f t="shared" si="128"/>
        <v>1328.0521917918127</v>
      </c>
      <c r="H898" s="24">
        <f t="shared" si="135"/>
        <v>650</v>
      </c>
      <c r="I898" s="12">
        <f t="shared" si="129"/>
        <v>0.17651683673910543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971.37602484917409</v>
      </c>
      <c r="F899" s="24">
        <f t="shared" si="127"/>
        <v>107.84379630939895</v>
      </c>
      <c r="G899" s="14">
        <f t="shared" si="128"/>
        <v>1326.5046793525503</v>
      </c>
      <c r="H899" s="24">
        <f t="shared" si="135"/>
        <v>650</v>
      </c>
      <c r="I899" s="12">
        <f t="shared" si="129"/>
        <v>0.17630562680733217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971.55233047598142</v>
      </c>
      <c r="F900" s="24">
        <f t="shared" si="127"/>
        <v>107.67347498973834</v>
      </c>
      <c r="G900" s="14">
        <f t="shared" si="128"/>
        <v>1324.9608519942451</v>
      </c>
      <c r="H900" s="24">
        <f t="shared" si="135"/>
        <v>650</v>
      </c>
      <c r="I900" s="12">
        <f t="shared" si="129"/>
        <v>0.17609492901510268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971.72842540499653</v>
      </c>
      <c r="F901" s="24">
        <f t="shared" si="127"/>
        <v>107.50363318238954</v>
      </c>
      <c r="G901" s="14">
        <f t="shared" si="128"/>
        <v>1323.4206963123167</v>
      </c>
      <c r="H901" s="24">
        <f t="shared" si="135"/>
        <v>650</v>
      </c>
      <c r="I901" s="12">
        <f t="shared" si="129"/>
        <v>0.17588474147399846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971.90431014647049</v>
      </c>
      <c r="F902" s="24">
        <f t="shared" si="127"/>
        <v>107.33426893906142</v>
      </c>
      <c r="G902" s="14">
        <f t="shared" si="128"/>
        <v>1321.8841989690643</v>
      </c>
      <c r="H902" s="24">
        <f t="shared" si="135"/>
        <v>650</v>
      </c>
      <c r="I902" s="12">
        <f t="shared" si="129"/>
        <v>0.17567506230511318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972.07998520877561</v>
      </c>
      <c r="F903" s="24">
        <f t="shared" si="127"/>
        <v>107.16538032186804</v>
      </c>
      <c r="G903" s="14">
        <f t="shared" si="128"/>
        <v>1320.3513466926017</v>
      </c>
      <c r="H903" s="24">
        <f t="shared" si="135"/>
        <v>650</v>
      </c>
      <c r="I903" s="12">
        <f t="shared" si="129"/>
        <v>0.17546588963890933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972.25545109841448</v>
      </c>
      <c r="F904" s="24">
        <f t="shared" si="127"/>
        <v>106.99696540327466</v>
      </c>
      <c r="G904" s="14">
        <f t="shared" si="128"/>
        <v>1318.8221262771281</v>
      </c>
      <c r="H904" s="24">
        <f t="shared" si="135"/>
        <v>650</v>
      </c>
      <c r="I904" s="12">
        <f t="shared" si="129"/>
        <v>0.17525722161524454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972.43070832002968</v>
      </c>
      <c r="F905" s="24">
        <f t="shared" si="127"/>
        <v>106.8290222660238</v>
      </c>
      <c r="G905" s="14">
        <f t="shared" si="128"/>
        <v>1317.2965245817647</v>
      </c>
      <c r="H905" s="24">
        <f t="shared" si="135"/>
        <v>650</v>
      </c>
      <c r="I905" s="12">
        <f t="shared" si="129"/>
        <v>0.17504905638321988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972.60575737641295</v>
      </c>
      <c r="F906" s="24">
        <f t="shared" si="127"/>
        <v>106.6615490030614</v>
      </c>
      <c r="G906" s="14">
        <f t="shared" si="128"/>
        <v>1315.7745285304593</v>
      </c>
      <c r="H906" s="24">
        <f t="shared" si="135"/>
        <v>650</v>
      </c>
      <c r="I906" s="12">
        <f t="shared" si="129"/>
        <v>0.17484139210115882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972.7805987685141</v>
      </c>
      <c r="F907" s="24">
        <f t="shared" si="127"/>
        <v>106.4945437174913</v>
      </c>
      <c r="G907" s="14">
        <f t="shared" si="128"/>
        <v>1314.2561251117131</v>
      </c>
      <c r="H907" s="24">
        <f t="shared" si="135"/>
        <v>650</v>
      </c>
      <c r="I907" s="12">
        <f t="shared" si="129"/>
        <v>0.17463422693656805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972.95523299545061</v>
      </c>
      <c r="F908" s="24">
        <f t="shared" si="127"/>
        <v>106.32800452247295</v>
      </c>
      <c r="G908" s="14">
        <f t="shared" si="128"/>
        <v>1312.7413013783309</v>
      </c>
      <c r="H908" s="24">
        <f t="shared" si="135"/>
        <v>650</v>
      </c>
      <c r="I908" s="12">
        <f t="shared" si="129"/>
        <v>0.17442755906609436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973.1296605545167</v>
      </c>
      <c r="F909" s="24">
        <f t="shared" si="127"/>
        <v>106.16192954117309</v>
      </c>
      <c r="G909" s="14">
        <f t="shared" si="128"/>
        <v>1311.2300444460234</v>
      </c>
      <c r="H909" s="24">
        <f t="shared" si="135"/>
        <v>650</v>
      </c>
      <c r="I909" s="12">
        <f t="shared" si="129"/>
        <v>0.17422138667534667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973.303881941192</v>
      </c>
      <c r="F910" s="24">
        <f t="shared" si="127"/>
        <v>105.99631690670321</v>
      </c>
      <c r="G910" s="14">
        <f t="shared" si="128"/>
        <v>1309.7223414943201</v>
      </c>
      <c r="H910" s="24">
        <f t="shared" si="135"/>
        <v>650</v>
      </c>
      <c r="I910" s="12">
        <f t="shared" si="129"/>
        <v>0.17401570795900084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973.47789764915103</v>
      </c>
      <c r="F911" s="24">
        <f t="shared" si="127"/>
        <v>105.83116476203145</v>
      </c>
      <c r="G911" s="14">
        <f t="shared" si="128"/>
        <v>1308.2181797650758</v>
      </c>
      <c r="H911" s="24">
        <f t="shared" si="135"/>
        <v>650</v>
      </c>
      <c r="I911" s="12">
        <f t="shared" si="129"/>
        <v>0.17381052112060502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973.6517081702716</v>
      </c>
      <c r="F912" s="24">
        <f t="shared" si="127"/>
        <v>105.66647125994564</v>
      </c>
      <c r="G912" s="14">
        <f t="shared" si="128"/>
        <v>1306.7175465629171</v>
      </c>
      <c r="H912" s="24">
        <f t="shared" si="135"/>
        <v>650</v>
      </c>
      <c r="I912" s="12">
        <f t="shared" si="129"/>
        <v>0.17360582437263009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973.82531399464426</v>
      </c>
      <c r="F913" s="24">
        <f t="shared" ref="F913:F976" si="136">AlphaC*(D913-E913)</f>
        <v>105.5022345629709</v>
      </c>
      <c r="G913" s="14">
        <f t="shared" ref="G913:G976" si="137">Phi*EpsilonF*Botzman/10^8*J913*((D913+273)^4-(E913+273)^4)</f>
        <v>1305.220429254098</v>
      </c>
      <c r="H913" s="24">
        <f t="shared" si="135"/>
        <v>650</v>
      </c>
      <c r="I913" s="12">
        <f t="shared" ref="I913:I976" si="138">ksh*Massivete/(H913*RhoA)*DeltaT*(F913+G913)</f>
        <v>0.17340161593631884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973.99871561058058</v>
      </c>
      <c r="F914" s="24">
        <f t="shared" si="136"/>
        <v>105.33845284329288</v>
      </c>
      <c r="G914" s="14">
        <f t="shared" si="137"/>
        <v>1303.7268152665013</v>
      </c>
      <c r="H914" s="24">
        <f t="shared" si="135"/>
        <v>650</v>
      </c>
      <c r="I914" s="12">
        <f t="shared" si="138"/>
        <v>0.17319789404167671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974.17191350462224</v>
      </c>
      <c r="F915" s="24">
        <f t="shared" si="136"/>
        <v>105.17512428273506</v>
      </c>
      <c r="G915" s="14">
        <f t="shared" si="137"/>
        <v>1302.2366920895211</v>
      </c>
      <c r="H915" s="24">
        <f t="shared" si="135"/>
        <v>650</v>
      </c>
      <c r="I915" s="12">
        <f t="shared" si="138"/>
        <v>0.17299465692745469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974.34490816154971</v>
      </c>
      <c r="F916" s="24">
        <f t="shared" si="136"/>
        <v>105.01224707264214</v>
      </c>
      <c r="G916" s="14">
        <f t="shared" si="137"/>
        <v>1300.7500472729585</v>
      </c>
      <c r="H916" s="24">
        <f t="shared" si="135"/>
        <v>650</v>
      </c>
      <c r="I916" s="12">
        <f t="shared" si="138"/>
        <v>0.17279190284099896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974.51770006439074</v>
      </c>
      <c r="F917" s="24">
        <f t="shared" si="136"/>
        <v>104.8498194138574</v>
      </c>
      <c r="G917" s="14">
        <f t="shared" si="137"/>
        <v>1299.2668684271575</v>
      </c>
      <c r="H917" s="24">
        <f t="shared" si="135"/>
        <v>650</v>
      </c>
      <c r="I917" s="12">
        <f t="shared" si="138"/>
        <v>0.17258963003826511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974.690289694429</v>
      </c>
      <c r="F918" s="24">
        <f t="shared" si="136"/>
        <v>104.68783951664875</v>
      </c>
      <c r="G918" s="14">
        <f t="shared" si="137"/>
        <v>1297.7871432226564</v>
      </c>
      <c r="H918" s="24">
        <f t="shared" si="135"/>
        <v>650</v>
      </c>
      <c r="I918" s="12">
        <f t="shared" si="138"/>
        <v>0.17238783678376596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974.86267753121274</v>
      </c>
      <c r="F919" s="24">
        <f t="shared" si="136"/>
        <v>104.52630560062914</v>
      </c>
      <c r="G919" s="14">
        <f t="shared" si="137"/>
        <v>1296.3108593893337</v>
      </c>
      <c r="H919" s="24">
        <f t="shared" si="135"/>
        <v>650</v>
      </c>
      <c r="I919" s="12">
        <f t="shared" si="138"/>
        <v>0.17218652135045692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975.03486405256319</v>
      </c>
      <c r="F920" s="24">
        <f t="shared" si="136"/>
        <v>104.36521589472534</v>
      </c>
      <c r="G920" s="14">
        <f t="shared" si="137"/>
        <v>1294.8380047165849</v>
      </c>
      <c r="H920" s="24">
        <f t="shared" si="135"/>
        <v>650</v>
      </c>
      <c r="I920" s="12">
        <f t="shared" si="138"/>
        <v>0.17198568201975406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975.20684973458299</v>
      </c>
      <c r="F921" s="24">
        <f t="shared" si="136"/>
        <v>104.20456863708978</v>
      </c>
      <c r="G921" s="14">
        <f t="shared" si="137"/>
        <v>1293.3685670526222</v>
      </c>
      <c r="H921" s="24">
        <f t="shared" si="135"/>
        <v>650</v>
      </c>
      <c r="I921" s="12">
        <f t="shared" si="138"/>
        <v>0.17178531708143671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975.37863505166445</v>
      </c>
      <c r="F922" s="24">
        <f t="shared" si="136"/>
        <v>104.04436207506365</v>
      </c>
      <c r="G922" s="14">
        <f t="shared" si="137"/>
        <v>1291.9025343043406</v>
      </c>
      <c r="H922" s="24">
        <f t="shared" si="135"/>
        <v>650</v>
      </c>
      <c r="I922" s="12">
        <f t="shared" si="138"/>
        <v>0.17158542483362699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975.55022047649811</v>
      </c>
      <c r="F923" s="24">
        <f t="shared" si="136"/>
        <v>103.88459446508875</v>
      </c>
      <c r="G923" s="14">
        <f t="shared" si="137"/>
        <v>1290.4398944363875</v>
      </c>
      <c r="H923" s="24">
        <f t="shared" si="135"/>
        <v>650</v>
      </c>
      <c r="I923" s="12">
        <f t="shared" si="138"/>
        <v>0.17138600358266426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975.72160648008082</v>
      </c>
      <c r="F924" s="24">
        <f t="shared" si="136"/>
        <v>103.72526407268197</v>
      </c>
      <c r="G924" s="14">
        <f t="shared" si="137"/>
        <v>1288.9806354716848</v>
      </c>
      <c r="H924" s="24">
        <f t="shared" si="135"/>
        <v>650</v>
      </c>
      <c r="I924" s="12">
        <f t="shared" si="138"/>
        <v>0.1711870516431663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975.89279353172401</v>
      </c>
      <c r="F925" s="24">
        <f t="shared" si="136"/>
        <v>103.56636917235278</v>
      </c>
      <c r="G925" s="14">
        <f t="shared" si="137"/>
        <v>1287.5247454905584</v>
      </c>
      <c r="H925" s="24">
        <f t="shared" si="135"/>
        <v>650</v>
      </c>
      <c r="I925" s="12">
        <f t="shared" si="138"/>
        <v>0.17098856733791223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976.06378209906188</v>
      </c>
      <c r="F926" s="24">
        <f t="shared" si="136"/>
        <v>103.40790804754931</v>
      </c>
      <c r="G926" s="14">
        <f t="shared" si="137"/>
        <v>1286.0722126302135</v>
      </c>
      <c r="H926" s="24">
        <f t="shared" si="135"/>
        <v>650</v>
      </c>
      <c r="I926" s="12">
        <f t="shared" si="138"/>
        <v>0.17079054899777119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976.23457264805961</v>
      </c>
      <c r="F927" s="24">
        <f t="shared" si="136"/>
        <v>103.2498789905901</v>
      </c>
      <c r="G927" s="14">
        <f t="shared" si="137"/>
        <v>1284.6230250844646</v>
      </c>
      <c r="H927" s="24">
        <f t="shared" si="135"/>
        <v>650</v>
      </c>
      <c r="I927" s="12">
        <f t="shared" si="138"/>
        <v>0.17059299496166092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976.40516564302129</v>
      </c>
      <c r="F928" s="24">
        <f t="shared" si="136"/>
        <v>103.09228030263284</v>
      </c>
      <c r="G928" s="14">
        <f t="shared" si="137"/>
        <v>1283.1771711038893</v>
      </c>
      <c r="H928" s="24">
        <f t="shared" si="135"/>
        <v>650</v>
      </c>
      <c r="I928" s="12">
        <f t="shared" si="138"/>
        <v>0.17039590357656284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976.5755615465979</v>
      </c>
      <c r="F929" s="24">
        <f t="shared" si="136"/>
        <v>102.93511029360047</v>
      </c>
      <c r="G929" s="14">
        <f t="shared" si="137"/>
        <v>1281.7346389949957</v>
      </c>
      <c r="H929" s="24">
        <f t="shared" si="135"/>
        <v>650</v>
      </c>
      <c r="I929" s="12">
        <f t="shared" si="138"/>
        <v>0.17019927319741054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976.74576081979535</v>
      </c>
      <c r="F930" s="24">
        <f t="shared" si="136"/>
        <v>102.77836728212151</v>
      </c>
      <c r="G930" s="14">
        <f t="shared" si="137"/>
        <v>1280.2954171196218</v>
      </c>
      <c r="H930" s="24">
        <f t="shared" si="135"/>
        <v>650</v>
      </c>
      <c r="I930" s="12">
        <f t="shared" si="138"/>
        <v>0.17000310218700859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976.91576392198237</v>
      </c>
      <c r="F931" s="24">
        <f t="shared" si="136"/>
        <v>102.62204959548455</v>
      </c>
      <c r="G931" s="14">
        <f t="shared" si="137"/>
        <v>1278.8594938955355</v>
      </c>
      <c r="H931" s="24">
        <f t="shared" si="135"/>
        <v>650</v>
      </c>
      <c r="I931" s="12">
        <f t="shared" si="138"/>
        <v>0.16980738891610087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977.08557131089844</v>
      </c>
      <c r="F932" s="24">
        <f t="shared" si="136"/>
        <v>102.46615556956726</v>
      </c>
      <c r="G932" s="14">
        <f t="shared" si="137"/>
        <v>1277.4268577950786</v>
      </c>
      <c r="H932" s="24">
        <f t="shared" si="135"/>
        <v>650</v>
      </c>
      <c r="I932" s="12">
        <f t="shared" si="138"/>
        <v>0.1696121317631949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977.25518344266163</v>
      </c>
      <c r="F933" s="24">
        <f t="shared" si="136"/>
        <v>102.31068354880222</v>
      </c>
      <c r="G933" s="14">
        <f t="shared" si="137"/>
        <v>1275.9974973455737</v>
      </c>
      <c r="H933" s="24">
        <f t="shared" si="135"/>
        <v>650</v>
      </c>
      <c r="I933" s="12">
        <f t="shared" si="138"/>
        <v>0.169417329114608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977.42460077177623</v>
      </c>
      <c r="F934" s="24">
        <f t="shared" si="136"/>
        <v>102.1556318861002</v>
      </c>
      <c r="G934" s="14">
        <f t="shared" si="137"/>
        <v>1274.5714011284908</v>
      </c>
      <c r="H934" s="24">
        <f t="shared" si="135"/>
        <v>650</v>
      </c>
      <c r="I934" s="12">
        <f t="shared" si="138"/>
        <v>0.16922297936435507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977.59382375114058</v>
      </c>
      <c r="F935" s="24">
        <f t="shared" si="136"/>
        <v>102.00099894281607</v>
      </c>
      <c r="G935" s="14">
        <f t="shared" si="137"/>
        <v>1273.1485577792146</v>
      </c>
      <c r="H935" s="24">
        <f t="shared" si="135"/>
        <v>650</v>
      </c>
      <c r="I935" s="12">
        <f t="shared" si="138"/>
        <v>0.16902908091411603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977.7628528320547</v>
      </c>
      <c r="F936" s="24">
        <f t="shared" si="136"/>
        <v>101.84678308866637</v>
      </c>
      <c r="G936" s="14">
        <f t="shared" si="137"/>
        <v>1271.7289559868316</v>
      </c>
      <c r="H936" s="24">
        <f t="shared" si="135"/>
        <v>650</v>
      </c>
      <c r="I936" s="12">
        <f t="shared" si="138"/>
        <v>0.16883563217319947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977.93168846422793</v>
      </c>
      <c r="F937" s="24">
        <f t="shared" si="136"/>
        <v>101.69298270172646</v>
      </c>
      <c r="G937" s="14">
        <f t="shared" si="137"/>
        <v>1270.3125844942074</v>
      </c>
      <c r="H937" s="24">
        <f t="shared" si="135"/>
        <v>650</v>
      </c>
      <c r="I937" s="12">
        <f t="shared" si="138"/>
        <v>0.16864263155855175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978.10033109578649</v>
      </c>
      <c r="F938" s="24">
        <f t="shared" si="136"/>
        <v>101.53959616830264</v>
      </c>
      <c r="G938" s="14">
        <f t="shared" si="137"/>
        <v>1268.8994320967076</v>
      </c>
      <c r="H938" s="24">
        <f t="shared" si="135"/>
        <v>650</v>
      </c>
      <c r="I938" s="12">
        <f t="shared" si="138"/>
        <v>0.16845007749458404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978.26878117328113</v>
      </c>
      <c r="F939" s="24">
        <f t="shared" si="136"/>
        <v>101.38662188296053</v>
      </c>
      <c r="G939" s="14">
        <f t="shared" si="137"/>
        <v>1267.4894876424889</v>
      </c>
      <c r="H939" s="24">
        <f t="shared" si="135"/>
        <v>650</v>
      </c>
      <c r="I939" s="12">
        <f t="shared" si="138"/>
        <v>0.16825796841321175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978.4370391416943</v>
      </c>
      <c r="F940" s="24">
        <f t="shared" si="136"/>
        <v>101.2340582484228</v>
      </c>
      <c r="G940" s="14">
        <f t="shared" si="137"/>
        <v>1266.0827400327503</v>
      </c>
      <c r="H940" s="24">
        <f t="shared" si="135"/>
        <v>650</v>
      </c>
      <c r="I940" s="12">
        <f t="shared" si="138"/>
        <v>0.16806630275387258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978.60510544444821</v>
      </c>
      <c r="F941" s="24">
        <f t="shared" si="136"/>
        <v>101.08190367550378</v>
      </c>
      <c r="G941" s="14">
        <f t="shared" si="137"/>
        <v>1264.679178219583</v>
      </c>
      <c r="H941" s="24">
        <f t="shared" si="135"/>
        <v>650</v>
      </c>
      <c r="I941" s="12">
        <f t="shared" si="138"/>
        <v>0.16787507896325446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978.77298052341143</v>
      </c>
      <c r="F942" s="24">
        <f t="shared" si="136"/>
        <v>100.93015658311515</v>
      </c>
      <c r="G942" s="14">
        <f t="shared" si="137"/>
        <v>1263.2787912077713</v>
      </c>
      <c r="H942" s="24">
        <f t="shared" si="135"/>
        <v>650</v>
      </c>
      <c r="I942" s="12">
        <f t="shared" si="138"/>
        <v>0.16768429549551747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978.94066481890695</v>
      </c>
      <c r="F943" s="24">
        <f t="shared" si="136"/>
        <v>100.77881539816644</v>
      </c>
      <c r="G943" s="14">
        <f t="shared" si="137"/>
        <v>1261.8815680532632</v>
      </c>
      <c r="H943" s="24">
        <f t="shared" si="135"/>
        <v>650</v>
      </c>
      <c r="I943" s="12">
        <f t="shared" si="138"/>
        <v>0.16749395081209356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979.10815876971901</v>
      </c>
      <c r="F944" s="24">
        <f t="shared" si="136"/>
        <v>100.6278785555395</v>
      </c>
      <c r="G944" s="14">
        <f t="shared" si="137"/>
        <v>1260.487497863169</v>
      </c>
      <c r="H944" s="24">
        <f t="shared" si="135"/>
        <v>650</v>
      </c>
      <c r="I944" s="12">
        <f t="shared" si="138"/>
        <v>0.16730404338168342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979.27546281310072</v>
      </c>
      <c r="F945" s="24">
        <f t="shared" si="136"/>
        <v>100.47734449801453</v>
      </c>
      <c r="G945" s="14">
        <f t="shared" si="137"/>
        <v>1259.096569795297</v>
      </c>
      <c r="H945" s="24">
        <f t="shared" si="135"/>
        <v>650</v>
      </c>
      <c r="I945" s="12">
        <f t="shared" si="138"/>
        <v>0.16711457168019025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979.44257738478086</v>
      </c>
      <c r="F946" s="24">
        <f t="shared" si="136"/>
        <v>100.32721167625311</v>
      </c>
      <c r="G946" s="14">
        <f t="shared" si="137"/>
        <v>1257.7087730580952</v>
      </c>
      <c r="H946" s="24">
        <f t="shared" si="135"/>
        <v>650</v>
      </c>
      <c r="I946" s="12">
        <f t="shared" si="138"/>
        <v>0.1669255341907103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979.60950291897154</v>
      </c>
      <c r="F947" s="24">
        <f t="shared" si="136"/>
        <v>100.17747854871288</v>
      </c>
      <c r="G947" s="14">
        <f t="shared" si="137"/>
        <v>1256.3240969103797</v>
      </c>
      <c r="H947" s="24">
        <f t="shared" si="135"/>
        <v>650</v>
      </c>
      <c r="I947" s="12">
        <f t="shared" si="138"/>
        <v>0.1667369294034893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979.77623984837498</v>
      </c>
      <c r="F948" s="24">
        <f t="shared" si="136"/>
        <v>100.0281435816305</v>
      </c>
      <c r="G948" s="14">
        <f t="shared" si="137"/>
        <v>1254.9425306605985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0.16654875581582981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979.94278860419081</v>
      </c>
      <c r="F949" s="24">
        <f t="shared" si="136"/>
        <v>99.879205248939229</v>
      </c>
      <c r="G949" s="14">
        <f t="shared" si="137"/>
        <v>1253.5640636669677</v>
      </c>
      <c r="H949" s="24">
        <f t="shared" si="144"/>
        <v>650</v>
      </c>
      <c r="I949" s="12">
        <f t="shared" si="138"/>
        <v>0.16636101193209768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980.10914961612286</v>
      </c>
      <c r="F950" s="24">
        <f t="shared" si="136"/>
        <v>99.73066203226324</v>
      </c>
      <c r="G950" s="14">
        <f t="shared" si="137"/>
        <v>1252.1886853369856</v>
      </c>
      <c r="H950" s="24">
        <f t="shared" si="144"/>
        <v>650</v>
      </c>
      <c r="I950" s="12">
        <f t="shared" si="138"/>
        <v>0.16617369626366169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980.27532331238649</v>
      </c>
      <c r="F951" s="24">
        <f t="shared" si="136"/>
        <v>99.582512420832359</v>
      </c>
      <c r="G951" s="14">
        <f t="shared" si="137"/>
        <v>1250.8163851275115</v>
      </c>
      <c r="H951" s="24">
        <f t="shared" si="144"/>
        <v>650</v>
      </c>
      <c r="I951" s="12">
        <f t="shared" si="138"/>
        <v>0.16598680732889284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980.44131011971535</v>
      </c>
      <c r="F952" s="24">
        <f t="shared" si="136"/>
        <v>99.434754911447953</v>
      </c>
      <c r="G952" s="14">
        <f t="shared" si="137"/>
        <v>1249.447152543622</v>
      </c>
      <c r="H952" s="24">
        <f t="shared" si="144"/>
        <v>650</v>
      </c>
      <c r="I952" s="12">
        <f t="shared" si="138"/>
        <v>0.16580034365301954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980.60711046336837</v>
      </c>
      <c r="F953" s="24">
        <f t="shared" si="136"/>
        <v>99.28738800843746</v>
      </c>
      <c r="G953" s="14">
        <f t="shared" si="137"/>
        <v>1248.0809771392694</v>
      </c>
      <c r="H953" s="24">
        <f t="shared" si="144"/>
        <v>650</v>
      </c>
      <c r="I953" s="12">
        <f t="shared" si="138"/>
        <v>0.16561430376820291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980.77272476713654</v>
      </c>
      <c r="F954" s="24">
        <f t="shared" si="136"/>
        <v>99.140410223611752</v>
      </c>
      <c r="G954" s="14">
        <f t="shared" si="137"/>
        <v>1246.7178485164295</v>
      </c>
      <c r="H954" s="24">
        <f t="shared" si="144"/>
        <v>650</v>
      </c>
      <c r="I954" s="12">
        <f t="shared" si="138"/>
        <v>0.1654286862134268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980.93815345334997</v>
      </c>
      <c r="F955" s="24">
        <f t="shared" si="136"/>
        <v>98.993820076191241</v>
      </c>
      <c r="G955" s="14">
        <f t="shared" si="137"/>
        <v>1245.3577563247331</v>
      </c>
      <c r="H955" s="24">
        <f t="shared" si="144"/>
        <v>650</v>
      </c>
      <c r="I955" s="12">
        <f t="shared" si="138"/>
        <v>0.16524348953444334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981.10339694288439</v>
      </c>
      <c r="F956" s="24">
        <f t="shared" si="136"/>
        <v>98.84761609282009</v>
      </c>
      <c r="G956" s="14">
        <f t="shared" si="137"/>
        <v>1244.00069026199</v>
      </c>
      <c r="H956" s="24">
        <f t="shared" si="144"/>
        <v>650</v>
      </c>
      <c r="I956" s="12">
        <f t="shared" si="138"/>
        <v>0.16505871228383934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981.26845565516828</v>
      </c>
      <c r="F957" s="24">
        <f t="shared" si="136"/>
        <v>98.701796807435471</v>
      </c>
      <c r="G957" s="14">
        <f t="shared" si="137"/>
        <v>1242.6466400728698</v>
      </c>
      <c r="H957" s="24">
        <f t="shared" si="144"/>
        <v>650</v>
      </c>
      <c r="I957" s="12">
        <f t="shared" si="138"/>
        <v>0.16487435302085776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981.43333000818916</v>
      </c>
      <c r="F958" s="24">
        <f t="shared" si="136"/>
        <v>98.556360761304518</v>
      </c>
      <c r="G958" s="14">
        <f t="shared" si="137"/>
        <v>1241.2955955493874</v>
      </c>
      <c r="H958" s="24">
        <f t="shared" si="144"/>
        <v>650</v>
      </c>
      <c r="I958" s="12">
        <f t="shared" si="138"/>
        <v>0.16469041031146223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981.5980204185006</v>
      </c>
      <c r="F959" s="24">
        <f t="shared" si="136"/>
        <v>98.411306502927687</v>
      </c>
      <c r="G959" s="14">
        <f t="shared" si="137"/>
        <v>1239.9475465299727</v>
      </c>
      <c r="H959" s="24">
        <f t="shared" si="144"/>
        <v>650</v>
      </c>
      <c r="I959" s="12">
        <f t="shared" si="138"/>
        <v>0.1645068827282104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981.76252730122883</v>
      </c>
      <c r="F960" s="24">
        <f t="shared" si="136"/>
        <v>98.266632588004654</v>
      </c>
      <c r="G960" s="14">
        <f t="shared" si="137"/>
        <v>1238.6024828999934</v>
      </c>
      <c r="H960" s="24">
        <f t="shared" si="144"/>
        <v>650</v>
      </c>
      <c r="I960" s="12">
        <f t="shared" si="138"/>
        <v>0.16432376885031461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981.92685107007912</v>
      </c>
      <c r="F961" s="24">
        <f t="shared" si="136"/>
        <v>98.122337579397367</v>
      </c>
      <c r="G961" s="14">
        <f t="shared" si="137"/>
        <v>1237.2603945905735</v>
      </c>
      <c r="H961" s="24">
        <f t="shared" si="144"/>
        <v>650</v>
      </c>
      <c r="I961" s="12">
        <f t="shared" si="138"/>
        <v>0.16414106726349151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982.0909921373426</v>
      </c>
      <c r="F962" s="24">
        <f t="shared" si="136"/>
        <v>97.978420047090253</v>
      </c>
      <c r="G962" s="14">
        <f t="shared" si="137"/>
        <v>1235.9212715791932</v>
      </c>
      <c r="H962" s="24">
        <f t="shared" si="144"/>
        <v>650</v>
      </c>
      <c r="I962" s="12">
        <f t="shared" si="138"/>
        <v>0.1639587765600313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982.25495091390258</v>
      </c>
      <c r="F963" s="24">
        <f t="shared" si="136"/>
        <v>97.834878568130534</v>
      </c>
      <c r="G963" s="14">
        <f t="shared" si="137"/>
        <v>1234.5851038889919</v>
      </c>
      <c r="H963" s="24">
        <f t="shared" si="144"/>
        <v>650</v>
      </c>
      <c r="I963" s="12">
        <f t="shared" si="138"/>
        <v>0.16377689533870457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982.41872780924132</v>
      </c>
      <c r="F964" s="24">
        <f t="shared" si="136"/>
        <v>97.691711726588437</v>
      </c>
      <c r="G964" s="14">
        <f t="shared" si="137"/>
        <v>1233.2518815882447</v>
      </c>
      <c r="H964" s="24">
        <f t="shared" si="144"/>
        <v>650</v>
      </c>
      <c r="I964" s="12">
        <f t="shared" si="138"/>
        <v>0.16359542220469317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982.58232323144603</v>
      </c>
      <c r="F965" s="24">
        <f t="shared" si="136"/>
        <v>97.548918113534455</v>
      </c>
      <c r="G965" s="14">
        <f t="shared" si="137"/>
        <v>1231.9215947907505</v>
      </c>
      <c r="H965" s="24">
        <f t="shared" si="144"/>
        <v>650</v>
      </c>
      <c r="I965" s="12">
        <f t="shared" si="138"/>
        <v>0.16341435576963495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982.74573758721567</v>
      </c>
      <c r="F966" s="24">
        <f t="shared" si="136"/>
        <v>97.406496326965453</v>
      </c>
      <c r="G966" s="14">
        <f t="shared" si="137"/>
        <v>1230.594233655017</v>
      </c>
      <c r="H966" s="24">
        <f t="shared" si="144"/>
        <v>650</v>
      </c>
      <c r="I966" s="12">
        <f t="shared" si="138"/>
        <v>0.16323369465151463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982.90897128186714</v>
      </c>
      <c r="F967" s="24">
        <f t="shared" si="136"/>
        <v>97.264444971781927</v>
      </c>
      <c r="G967" s="14">
        <f t="shared" si="137"/>
        <v>1229.2697883840674</v>
      </c>
      <c r="H967" s="24">
        <f t="shared" si="144"/>
        <v>650</v>
      </c>
      <c r="I967" s="12">
        <f t="shared" si="138"/>
        <v>0.16305343747463721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983.07202471934181</v>
      </c>
      <c r="F968" s="24">
        <f t="shared" si="136"/>
        <v>97.122762659742534</v>
      </c>
      <c r="G968" s="14">
        <f t="shared" si="137"/>
        <v>1227.9482492256545</v>
      </c>
      <c r="H968" s="24">
        <f t="shared" si="144"/>
        <v>650</v>
      </c>
      <c r="I968" s="12">
        <f t="shared" si="138"/>
        <v>0.16287358286964876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983.23489830221149</v>
      </c>
      <c r="F969" s="24">
        <f t="shared" si="136"/>
        <v>96.981448009421456</v>
      </c>
      <c r="G969" s="14">
        <f t="shared" si="137"/>
        <v>1226.6296064713288</v>
      </c>
      <c r="H969" s="24">
        <f t="shared" si="144"/>
        <v>650</v>
      </c>
      <c r="I969" s="12">
        <f t="shared" si="138"/>
        <v>0.16269412947341635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983.39759243168487</v>
      </c>
      <c r="F970" s="24">
        <f t="shared" si="136"/>
        <v>96.840499646165767</v>
      </c>
      <c r="G970" s="14">
        <f t="shared" si="137"/>
        <v>1225.3138504567112</v>
      </c>
      <c r="H970" s="24">
        <f t="shared" si="144"/>
        <v>650</v>
      </c>
      <c r="I970" s="12">
        <f t="shared" si="138"/>
        <v>0.16251507592905684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983.56010750761391</v>
      </c>
      <c r="F971" s="24">
        <f t="shared" si="136"/>
        <v>96.699916202044278</v>
      </c>
      <c r="G971" s="14">
        <f t="shared" si="137"/>
        <v>1224.0009715610267</v>
      </c>
      <c r="H971" s="24">
        <f t="shared" si="144"/>
        <v>650</v>
      </c>
      <c r="I971" s="12">
        <f t="shared" si="138"/>
        <v>0.16233642088587283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983.72244392849973</v>
      </c>
      <c r="F972" s="24">
        <f t="shared" si="136"/>
        <v>96.559696315839005</v>
      </c>
      <c r="G972" s="14">
        <f t="shared" si="137"/>
        <v>1222.6909602068538</v>
      </c>
      <c r="H972" s="24">
        <f t="shared" si="144"/>
        <v>650</v>
      </c>
      <c r="I972" s="12">
        <f t="shared" si="138"/>
        <v>0.1621581629993209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983.884602091499</v>
      </c>
      <c r="F973" s="24">
        <f t="shared" si="136"/>
        <v>96.419838632968435</v>
      </c>
      <c r="G973" s="14">
        <f t="shared" si="137"/>
        <v>1221.383806859852</v>
      </c>
      <c r="H973" s="24">
        <f t="shared" si="144"/>
        <v>650</v>
      </c>
      <c r="I973" s="12">
        <f t="shared" si="138"/>
        <v>0.16198030093096893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984.04658239242997</v>
      </c>
      <c r="F974" s="24">
        <f t="shared" si="136"/>
        <v>96.280341805447733</v>
      </c>
      <c r="G974" s="14">
        <f t="shared" si="137"/>
        <v>1220.0795020283942</v>
      </c>
      <c r="H974" s="24">
        <f t="shared" si="144"/>
        <v>650</v>
      </c>
      <c r="I974" s="12">
        <f t="shared" si="138"/>
        <v>0.16180283334844564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984.20838522577844</v>
      </c>
      <c r="F975" s="24">
        <f t="shared" si="136"/>
        <v>96.141204491891585</v>
      </c>
      <c r="G975" s="14">
        <f t="shared" si="137"/>
        <v>1218.7780362639546</v>
      </c>
      <c r="H975" s="24">
        <f t="shared" si="144"/>
        <v>650</v>
      </c>
      <c r="I975" s="12">
        <f t="shared" si="138"/>
        <v>0.16162575892548897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984.37001098470398</v>
      </c>
      <c r="F976" s="24">
        <f t="shared" si="136"/>
        <v>96.002425357417565</v>
      </c>
      <c r="G976" s="14">
        <f t="shared" si="137"/>
        <v>1217.4794001598671</v>
      </c>
      <c r="H976" s="24">
        <f t="shared" si="144"/>
        <v>650</v>
      </c>
      <c r="I976" s="12">
        <f t="shared" si="138"/>
        <v>0.16144907634178135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984.53146006104578</v>
      </c>
      <c r="F977" s="24">
        <f t="shared" ref="F977:F1040" si="145">AlphaC*(D977-E977)</f>
        <v>95.864003073654658</v>
      </c>
      <c r="G977" s="14">
        <f t="shared" ref="G977:G1040" si="146">Phi*EpsilonF*Botzman/10^8*J977*((D977+273)^4-(E977+273)^4)</f>
        <v>1216.1835843520437</v>
      </c>
      <c r="H977" s="24">
        <f t="shared" si="144"/>
        <v>650</v>
      </c>
      <c r="I977" s="12">
        <f t="shared" ref="I977:I1040" si="147">ksh*Massivete/(H977*RhoA)*DeltaT*(F977+G977)</f>
        <v>0.16127278428303923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984.69273284532881</v>
      </c>
      <c r="F978" s="24">
        <f t="shared" si="145"/>
        <v>95.725936318669369</v>
      </c>
      <c r="G978" s="14">
        <f t="shared" si="146"/>
        <v>1214.8905795179664</v>
      </c>
      <c r="H978" s="24">
        <f t="shared" si="144"/>
        <v>650</v>
      </c>
      <c r="I978" s="12">
        <f t="shared" si="147"/>
        <v>0.16109688144087991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984.85382972676973</v>
      </c>
      <c r="F979" s="24">
        <f t="shared" si="145"/>
        <v>95.588223776945824</v>
      </c>
      <c r="G979" s="14">
        <f t="shared" si="146"/>
        <v>1213.6003763770939</v>
      </c>
      <c r="H979" s="24">
        <f t="shared" si="144"/>
        <v>650</v>
      </c>
      <c r="I979" s="12">
        <f t="shared" si="147"/>
        <v>0.16092136651286917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985.0147510932826</v>
      </c>
      <c r="F980" s="24">
        <f t="shared" si="145"/>
        <v>95.450864139345981</v>
      </c>
      <c r="G980" s="14">
        <f t="shared" si="146"/>
        <v>1212.3129656899309</v>
      </c>
      <c r="H980" s="24">
        <f t="shared" si="144"/>
        <v>650</v>
      </c>
      <c r="I980" s="12">
        <f t="shared" si="147"/>
        <v>0.16074623820240203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985.17549733148496</v>
      </c>
      <c r="F981" s="24">
        <f t="shared" si="145"/>
        <v>95.313856103064154</v>
      </c>
      <c r="G981" s="14">
        <f t="shared" si="146"/>
        <v>1211.0283382584753</v>
      </c>
      <c r="H981" s="24">
        <f t="shared" si="144"/>
        <v>650</v>
      </c>
      <c r="I981" s="12">
        <f t="shared" si="147"/>
        <v>0.16057149521875205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985.33606882670369</v>
      </c>
      <c r="F982" s="24">
        <f t="shared" si="145"/>
        <v>95.177198371584382</v>
      </c>
      <c r="G982" s="14">
        <f t="shared" si="146"/>
        <v>1209.7464849256551</v>
      </c>
      <c r="H982" s="24">
        <f t="shared" si="144"/>
        <v>650</v>
      </c>
      <c r="I982" s="12">
        <f t="shared" si="147"/>
        <v>0.16039713627699689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985.49646596298066</v>
      </c>
      <c r="F983" s="24">
        <f t="shared" si="145"/>
        <v>95.040889654666216</v>
      </c>
      <c r="G983" s="14">
        <f t="shared" si="146"/>
        <v>1208.4673965750567</v>
      </c>
      <c r="H983" s="24">
        <f t="shared" si="144"/>
        <v>650</v>
      </c>
      <c r="I983" s="12">
        <f t="shared" si="147"/>
        <v>0.16022316009798321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985.65668912307865</v>
      </c>
      <c r="F984" s="24">
        <f t="shared" si="145"/>
        <v>94.904928668276511</v>
      </c>
      <c r="G984" s="14">
        <f t="shared" si="146"/>
        <v>1207.1910641308295</v>
      </c>
      <c r="H984" s="24">
        <f t="shared" si="144"/>
        <v>650</v>
      </c>
      <c r="I984" s="12">
        <f t="shared" si="147"/>
        <v>0.16004956540830653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985.81673868848691</v>
      </c>
      <c r="F985" s="24">
        <f t="shared" si="145"/>
        <v>94.769314134569527</v>
      </c>
      <c r="G985" s="14">
        <f t="shared" si="146"/>
        <v>1205.9174785570253</v>
      </c>
      <c r="H985" s="24">
        <f t="shared" si="144"/>
        <v>650</v>
      </c>
      <c r="I985" s="12">
        <f t="shared" si="147"/>
        <v>0.15987635094022748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985.97661503942709</v>
      </c>
      <c r="F986" s="24">
        <f t="shared" si="145"/>
        <v>94.634044781861348</v>
      </c>
      <c r="G986" s="14">
        <f t="shared" si="146"/>
        <v>1204.6466308584911</v>
      </c>
      <c r="H986" s="24">
        <f t="shared" si="144"/>
        <v>650</v>
      </c>
      <c r="I986" s="12">
        <f t="shared" si="147"/>
        <v>0.15970351543177871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986.13631855485892</v>
      </c>
      <c r="F987" s="24">
        <f t="shared" si="145"/>
        <v>94.499119344561677</v>
      </c>
      <c r="G987" s="14">
        <f t="shared" si="146"/>
        <v>1203.3785120792013</v>
      </c>
      <c r="H987" s="24">
        <f t="shared" si="144"/>
        <v>650</v>
      </c>
      <c r="I987" s="12">
        <f t="shared" si="147"/>
        <v>0.15953105762655112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986.29584961248543</v>
      </c>
      <c r="F988" s="24">
        <f t="shared" si="145"/>
        <v>94.364536563165302</v>
      </c>
      <c r="G988" s="14">
        <f t="shared" si="146"/>
        <v>1202.1131133030149</v>
      </c>
      <c r="H988" s="24">
        <f t="shared" si="144"/>
        <v>650</v>
      </c>
      <c r="I988" s="12">
        <f t="shared" si="147"/>
        <v>0.15935897627378612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986.45520858875921</v>
      </c>
      <c r="F989" s="24">
        <f t="shared" si="145"/>
        <v>94.230295184203783</v>
      </c>
      <c r="G989" s="14">
        <f t="shared" si="146"/>
        <v>1200.8504256531119</v>
      </c>
      <c r="H989" s="24">
        <f t="shared" si="144"/>
        <v>650</v>
      </c>
      <c r="I989" s="12">
        <f t="shared" si="147"/>
        <v>0.15918727012830033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986.61439585888752</v>
      </c>
      <c r="F990" s="24">
        <f t="shared" si="145"/>
        <v>94.096393960202818</v>
      </c>
      <c r="G990" s="14">
        <f t="shared" si="146"/>
        <v>1199.5904402918202</v>
      </c>
      <c r="H990" s="24">
        <f t="shared" si="144"/>
        <v>650</v>
      </c>
      <c r="I990" s="12">
        <f t="shared" si="147"/>
        <v>0.15901593795045912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986.77341179683799</v>
      </c>
      <c r="F991" s="24">
        <f t="shared" si="145"/>
        <v>93.962831649679401</v>
      </c>
      <c r="G991" s="14">
        <f t="shared" si="146"/>
        <v>1198.3331484206731</v>
      </c>
      <c r="H991" s="24">
        <f t="shared" si="144"/>
        <v>650</v>
      </c>
      <c r="I991" s="12">
        <f t="shared" si="147"/>
        <v>0.15884497850618332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986.93225677534417</v>
      </c>
      <c r="F992" s="24">
        <f t="shared" si="145"/>
        <v>93.829607017048033</v>
      </c>
      <c r="G992" s="14">
        <f t="shared" si="146"/>
        <v>1197.0785412792654</v>
      </c>
      <c r="H992" s="24">
        <f t="shared" si="144"/>
        <v>650</v>
      </c>
      <c r="I992" s="12">
        <f t="shared" si="147"/>
        <v>0.158674390566797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987.090931165911</v>
      </c>
      <c r="F993" s="24">
        <f t="shared" si="145"/>
        <v>93.696718832646297</v>
      </c>
      <c r="G993" s="14">
        <f t="shared" si="146"/>
        <v>1195.8266101462821</v>
      </c>
      <c r="H993" s="24">
        <f t="shared" si="144"/>
        <v>650</v>
      </c>
      <c r="I993" s="12">
        <f t="shared" si="147"/>
        <v>0.15850417290915716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987.24943533882015</v>
      </c>
      <c r="F994" s="24">
        <f t="shared" si="145"/>
        <v>93.564165872666649</v>
      </c>
      <c r="G994" s="14">
        <f t="shared" si="146"/>
        <v>1194.5773463386247</v>
      </c>
      <c r="H994" s="24">
        <f t="shared" si="144"/>
        <v>650</v>
      </c>
      <c r="I994" s="12">
        <f t="shared" si="147"/>
        <v>0.15833432431553787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987.4077696631357</v>
      </c>
      <c r="F995" s="24">
        <f t="shared" si="145"/>
        <v>93.431946919119468</v>
      </c>
      <c r="G995" s="14">
        <f t="shared" si="146"/>
        <v>1193.3307412108693</v>
      </c>
      <c r="H995" s="24">
        <f t="shared" si="144"/>
        <v>650</v>
      </c>
      <c r="I995" s="12">
        <f t="shared" si="147"/>
        <v>0.15816484357355926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987.56593450670925</v>
      </c>
      <c r="F996" s="24">
        <f t="shared" si="145"/>
        <v>93.300060759813164</v>
      </c>
      <c r="G996" s="14">
        <f t="shared" si="146"/>
        <v>1192.086786155751</v>
      </c>
      <c r="H996" s="24">
        <f t="shared" si="144"/>
        <v>650</v>
      </c>
      <c r="I996" s="12">
        <f t="shared" si="147"/>
        <v>0.15799572947624441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987.72393023618554</v>
      </c>
      <c r="F997" s="24">
        <f t="shared" si="145"/>
        <v>93.16850618832575</v>
      </c>
      <c r="G997" s="14">
        <f t="shared" si="146"/>
        <v>1190.8454726038153</v>
      </c>
      <c r="H997" s="24">
        <f t="shared" si="144"/>
        <v>650</v>
      </c>
      <c r="I997" s="12">
        <f t="shared" si="147"/>
        <v>0.15782698082197322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987.88175721700748</v>
      </c>
      <c r="F998" s="24">
        <f t="shared" si="145"/>
        <v>93.037282003939481</v>
      </c>
      <c r="G998" s="14">
        <f t="shared" si="146"/>
        <v>1189.606792022681</v>
      </c>
      <c r="H998" s="24">
        <f t="shared" si="144"/>
        <v>650</v>
      </c>
      <c r="I998" s="12">
        <f t="shared" si="147"/>
        <v>0.15765859641438354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988.0394158134219</v>
      </c>
      <c r="F999" s="24">
        <f t="shared" si="145"/>
        <v>92.906387011640845</v>
      </c>
      <c r="G999" s="14">
        <f t="shared" si="146"/>
        <v>1188.3707359173313</v>
      </c>
      <c r="H999" s="24">
        <f t="shared" si="144"/>
        <v>650</v>
      </c>
      <c r="I999" s="12">
        <f t="shared" si="147"/>
        <v>0.15749057506240727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988.19690638848431</v>
      </c>
      <c r="F1000" s="24">
        <f t="shared" si="145"/>
        <v>92.775820022069411</v>
      </c>
      <c r="G1000" s="14">
        <f t="shared" si="146"/>
        <v>1187.1372958297463</v>
      </c>
      <c r="H1000" s="24">
        <f t="shared" si="144"/>
        <v>650</v>
      </c>
      <c r="I1000" s="12">
        <f t="shared" si="147"/>
        <v>0.15732291558021852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988.35422930406457</v>
      </c>
      <c r="F1001" s="24">
        <f t="shared" si="145"/>
        <v>92.645579851489401</v>
      </c>
      <c r="G1001" s="14">
        <f t="shared" si="146"/>
        <v>1185.9064633390565</v>
      </c>
      <c r="H1001" s="24">
        <f t="shared" si="144"/>
        <v>650</v>
      </c>
      <c r="I1001" s="12">
        <f t="shared" si="147"/>
        <v>0.15715561678724926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988.51138492085181</v>
      </c>
      <c r="F1002" s="24">
        <f t="shared" si="145"/>
        <v>92.515665321761276</v>
      </c>
      <c r="G1002" s="14">
        <f t="shared" si="146"/>
        <v>1184.6782300605944</v>
      </c>
      <c r="H1002" s="24">
        <f t="shared" si="144"/>
        <v>650</v>
      </c>
      <c r="I1002" s="12">
        <f t="shared" si="147"/>
        <v>0.15698867750806922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988.66837359835984</v>
      </c>
      <c r="F1003" s="24">
        <f t="shared" si="145"/>
        <v>92.38607526029341</v>
      </c>
      <c r="G1003" s="14">
        <f t="shared" si="146"/>
        <v>1183.4525876462817</v>
      </c>
      <c r="H1003" s="24">
        <f t="shared" si="144"/>
        <v>650</v>
      </c>
      <c r="I1003" s="12">
        <f t="shared" si="147"/>
        <v>0.15682209657242746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988.82519569493229</v>
      </c>
      <c r="F1004" s="24">
        <f t="shared" si="145"/>
        <v>92.256808500025045</v>
      </c>
      <c r="G1004" s="14">
        <f t="shared" si="146"/>
        <v>1182.2295277839899</v>
      </c>
      <c r="H1004" s="24">
        <f t="shared" si="144"/>
        <v>650</v>
      </c>
      <c r="I1004" s="12">
        <f t="shared" si="147"/>
        <v>0.1566558728151716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988.98185156774741</v>
      </c>
      <c r="F1005" s="24">
        <f t="shared" si="145"/>
        <v>92.127863879389338</v>
      </c>
      <c r="G1005" s="14">
        <f t="shared" si="146"/>
        <v>1181.0090421980437</v>
      </c>
      <c r="H1005" s="24">
        <f t="shared" si="144"/>
        <v>650</v>
      </c>
      <c r="I1005" s="12">
        <f t="shared" si="147"/>
        <v>0.15649000507630548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989.13834157282372</v>
      </c>
      <c r="F1006" s="24">
        <f t="shared" si="145"/>
        <v>91.999240242284941</v>
      </c>
      <c r="G1006" s="14">
        <f t="shared" si="146"/>
        <v>1179.7911226484659</v>
      </c>
      <c r="H1006" s="24">
        <f t="shared" si="144"/>
        <v>650</v>
      </c>
      <c r="I1006" s="12">
        <f t="shared" si="147"/>
        <v>0.1563244922008924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989.29466606502456</v>
      </c>
      <c r="F1007" s="24">
        <f t="shared" si="145"/>
        <v>91.870936438027684</v>
      </c>
      <c r="G1007" s="14">
        <f t="shared" si="146"/>
        <v>1178.5757609305892</v>
      </c>
      <c r="H1007" s="24">
        <f t="shared" si="144"/>
        <v>650</v>
      </c>
      <c r="I1007" s="12">
        <f t="shared" si="147"/>
        <v>0.15615933303900192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989.45082539806356</v>
      </c>
      <c r="F1008" s="24">
        <f t="shared" si="145"/>
        <v>91.742951321350574</v>
      </c>
      <c r="G1008" s="14">
        <f t="shared" si="146"/>
        <v>1177.3629488755607</v>
      </c>
      <c r="H1008" s="24">
        <f t="shared" si="144"/>
        <v>650</v>
      </c>
      <c r="I1008" s="12">
        <f t="shared" si="147"/>
        <v>0.15599452644577153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989.6068199245093</v>
      </c>
      <c r="F1009" s="24">
        <f t="shared" si="145"/>
        <v>91.615283752332743</v>
      </c>
      <c r="G1009" s="14">
        <f t="shared" si="146"/>
        <v>1176.1526783494883</v>
      </c>
      <c r="H1009" s="24">
        <f t="shared" si="144"/>
        <v>650</v>
      </c>
      <c r="I1009" s="12">
        <f t="shared" si="147"/>
        <v>0.15583007128129314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989.76264999579064</v>
      </c>
      <c r="F1010" s="24">
        <f t="shared" si="145"/>
        <v>91.487932596399446</v>
      </c>
      <c r="G1010" s="14">
        <f t="shared" si="146"/>
        <v>1174.9449412536353</v>
      </c>
      <c r="H1010" s="24">
        <f t="shared" si="144"/>
        <v>650</v>
      </c>
      <c r="I1010" s="12">
        <f t="shared" si="147"/>
        <v>0.15566596641063704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989.91831596220129</v>
      </c>
      <c r="F1011" s="24">
        <f t="shared" si="145"/>
        <v>91.360896724285112</v>
      </c>
      <c r="G1011" s="14">
        <f t="shared" si="146"/>
        <v>1173.7397295242456</v>
      </c>
      <c r="H1011" s="24">
        <f t="shared" si="144"/>
        <v>650</v>
      </c>
      <c r="I1011" s="12">
        <f t="shared" si="147"/>
        <v>0.15550221070382572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990.07381817290513</v>
      </c>
      <c r="F1012" s="24">
        <f t="shared" si="145"/>
        <v>91.23417501198503</v>
      </c>
      <c r="G1012" s="14">
        <f t="shared" si="146"/>
        <v>1172.537035131691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0.15533880303572331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990.2291569759409</v>
      </c>
      <c r="F1013" s="24">
        <f t="shared" si="145"/>
        <v>91.107766340755347</v>
      </c>
      <c r="G1013" s="14">
        <f t="shared" si="146"/>
        <v>1171.3368500817121</v>
      </c>
      <c r="H1013" s="24">
        <f t="shared" si="153"/>
        <v>650</v>
      </c>
      <c r="I1013" s="12">
        <f t="shared" si="147"/>
        <v>0.15517574228618794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990.38433271822703</v>
      </c>
      <c r="F1014" s="24">
        <f t="shared" si="145"/>
        <v>90.981669597042014</v>
      </c>
      <c r="G1014" s="14">
        <f t="shared" si="146"/>
        <v>1170.139166413421</v>
      </c>
      <c r="H1014" s="24">
        <f t="shared" si="153"/>
        <v>650</v>
      </c>
      <c r="I1014" s="12">
        <f t="shared" si="147"/>
        <v>0.15501302733981759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990.53934574556683</v>
      </c>
      <c r="F1015" s="24">
        <f t="shared" si="145"/>
        <v>90.855883672500681</v>
      </c>
      <c r="G1015" s="14">
        <f t="shared" si="146"/>
        <v>1168.9439762007364</v>
      </c>
      <c r="H1015" s="24">
        <f t="shared" si="153"/>
        <v>650</v>
      </c>
      <c r="I1015" s="12">
        <f t="shared" si="147"/>
        <v>0.15485065708612897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990.69419640265301</v>
      </c>
      <c r="F1016" s="24">
        <f t="shared" si="145"/>
        <v>90.730407463908591</v>
      </c>
      <c r="G1016" s="14">
        <f t="shared" si="146"/>
        <v>1167.7512715507553</v>
      </c>
      <c r="H1016" s="24">
        <f t="shared" si="153"/>
        <v>650</v>
      </c>
      <c r="I1016" s="12">
        <f t="shared" si="147"/>
        <v>0.15468863041934638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990.84888503307241</v>
      </c>
      <c r="F1017" s="24">
        <f t="shared" si="145"/>
        <v>90.605239873193</v>
      </c>
      <c r="G1017" s="14">
        <f t="shared" si="146"/>
        <v>1166.5610446051287</v>
      </c>
      <c r="H1017" s="24">
        <f t="shared" si="153"/>
        <v>650</v>
      </c>
      <c r="I1017" s="12">
        <f t="shared" si="147"/>
        <v>0.15452694623857458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991.00341197931095</v>
      </c>
      <c r="F1018" s="24">
        <f t="shared" si="145"/>
        <v>90.480379807368649</v>
      </c>
      <c r="G1018" s="14">
        <f t="shared" si="146"/>
        <v>1165.3732875384349</v>
      </c>
      <c r="H1018" s="24">
        <f t="shared" si="153"/>
        <v>650</v>
      </c>
      <c r="I1018" s="12">
        <f t="shared" si="147"/>
        <v>0.15436560344759073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991.15777758275851</v>
      </c>
      <c r="F1019" s="24">
        <f t="shared" si="145"/>
        <v>90.355826178509346</v>
      </c>
      <c r="G1019" s="14">
        <f t="shared" si="146"/>
        <v>1164.1879925588557</v>
      </c>
      <c r="H1019" s="24">
        <f t="shared" si="153"/>
        <v>650</v>
      </c>
      <c r="I1019" s="12">
        <f t="shared" si="147"/>
        <v>0.15420460095492461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991.31198218371344</v>
      </c>
      <c r="F1020" s="24">
        <f t="shared" si="145"/>
        <v>90.231577903725224</v>
      </c>
      <c r="G1020" s="14">
        <f t="shared" si="146"/>
        <v>1163.005151907772</v>
      </c>
      <c r="H1020" s="24">
        <f t="shared" si="153"/>
        <v>650</v>
      </c>
      <c r="I1020" s="12">
        <f t="shared" si="147"/>
        <v>0.1540439376738055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991.46602612138724</v>
      </c>
      <c r="F1021" s="24">
        <f t="shared" si="145"/>
        <v>90.107633905125795</v>
      </c>
      <c r="G1021" s="14">
        <f t="shared" si="146"/>
        <v>1161.8247578594705</v>
      </c>
      <c r="H1021" s="24">
        <f t="shared" si="153"/>
        <v>650</v>
      </c>
      <c r="I1021" s="12">
        <f t="shared" si="147"/>
        <v>0.15388361252212199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991.61990973390937</v>
      </c>
      <c r="F1022" s="24">
        <f t="shared" si="145"/>
        <v>89.983993109822791</v>
      </c>
      <c r="G1022" s="14">
        <f t="shared" si="146"/>
        <v>1160.6468027210876</v>
      </c>
      <c r="H1022" s="24">
        <f t="shared" si="153"/>
        <v>650</v>
      </c>
      <c r="I1022" s="12">
        <f t="shared" si="147"/>
        <v>0.15372362442241524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991.77363335833184</v>
      </c>
      <c r="F1023" s="24">
        <f t="shared" si="145"/>
        <v>89.860654449844901</v>
      </c>
      <c r="G1023" s="14">
        <f t="shared" si="146"/>
        <v>1159.4712788324532</v>
      </c>
      <c r="H1023" s="24">
        <f t="shared" si="153"/>
        <v>650</v>
      </c>
      <c r="I1023" s="12">
        <f t="shared" si="147"/>
        <v>0.15356397230184951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991.9271973306337</v>
      </c>
      <c r="F1024" s="24">
        <f t="shared" si="145"/>
        <v>89.737616862169034</v>
      </c>
      <c r="G1024" s="14">
        <f t="shared" si="146"/>
        <v>1158.2981785658005</v>
      </c>
      <c r="H1024" s="24">
        <f t="shared" si="153"/>
        <v>650</v>
      </c>
      <c r="I1024" s="12">
        <f t="shared" si="147"/>
        <v>0.15340465509218007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992.08060198572593</v>
      </c>
      <c r="F1025" s="24">
        <f t="shared" si="145"/>
        <v>89.614879288649263</v>
      </c>
      <c r="G1025" s="14">
        <f t="shared" si="146"/>
        <v>1157.1274943257852</v>
      </c>
      <c r="H1025" s="24">
        <f t="shared" si="153"/>
        <v>650</v>
      </c>
      <c r="I1025" s="12">
        <f t="shared" si="147"/>
        <v>0.15324567172974693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992.23384765745573</v>
      </c>
      <c r="F1026" s="24">
        <f t="shared" si="145"/>
        <v>89.492440676011142</v>
      </c>
      <c r="G1026" s="14">
        <f t="shared" si="146"/>
        <v>1155.9592185490978</v>
      </c>
      <c r="H1026" s="24">
        <f t="shared" si="153"/>
        <v>650</v>
      </c>
      <c r="I1026" s="12">
        <f t="shared" si="147"/>
        <v>0.15308702115542658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992.38693467861117</v>
      </c>
      <c r="F1027" s="24">
        <f t="shared" si="145"/>
        <v>89.370299975820444</v>
      </c>
      <c r="G1027" s="14">
        <f t="shared" si="146"/>
        <v>1154.793343704406</v>
      </c>
      <c r="H1027" s="24">
        <f t="shared" si="153"/>
        <v>650</v>
      </c>
      <c r="I1027" s="12">
        <f t="shared" si="147"/>
        <v>0.15292870231462097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992.53986338092579</v>
      </c>
      <c r="F1028" s="24">
        <f t="shared" si="145"/>
        <v>89.248456144443367</v>
      </c>
      <c r="G1028" s="14">
        <f t="shared" si="146"/>
        <v>1153.6298622921022</v>
      </c>
      <c r="H1028" s="24">
        <f t="shared" si="153"/>
        <v>650</v>
      </c>
      <c r="I1028" s="12">
        <f t="shared" si="147"/>
        <v>0.1527707141572216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992.69263409508301</v>
      </c>
      <c r="F1029" s="24">
        <f t="shared" si="145"/>
        <v>89.126908143035166</v>
      </c>
      <c r="G1029" s="14">
        <f t="shared" si="146"/>
        <v>1152.4687668443421</v>
      </c>
      <c r="H1029" s="24">
        <f t="shared" si="153"/>
        <v>650</v>
      </c>
      <c r="I1029" s="12">
        <f t="shared" si="147"/>
        <v>0.15261305563761282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992.84524715072064</v>
      </c>
      <c r="F1030" s="24">
        <f t="shared" si="145"/>
        <v>89.005654937503209</v>
      </c>
      <c r="G1030" s="14">
        <f t="shared" si="146"/>
        <v>1151.3100499245413</v>
      </c>
      <c r="H1030" s="24">
        <f t="shared" si="153"/>
        <v>650</v>
      </c>
      <c r="I1030" s="12">
        <f t="shared" si="147"/>
        <v>0.15245572571460561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992.99770287643526</v>
      </c>
      <c r="F1031" s="24">
        <f t="shared" si="145"/>
        <v>88.884695498487076</v>
      </c>
      <c r="G1031" s="14">
        <f t="shared" si="146"/>
        <v>1150.153704127589</v>
      </c>
      <c r="H1031" s="24">
        <f t="shared" si="153"/>
        <v>650</v>
      </c>
      <c r="I1031" s="12">
        <f t="shared" si="147"/>
        <v>0.15229872335146108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993.15000159978672</v>
      </c>
      <c r="F1032" s="24">
        <f t="shared" si="145"/>
        <v>88.764028801324457</v>
      </c>
      <c r="G1032" s="14">
        <f t="shared" si="146"/>
        <v>1148.9997220792068</v>
      </c>
      <c r="H1032" s="24">
        <f t="shared" si="153"/>
        <v>650</v>
      </c>
      <c r="I1032" s="12">
        <f t="shared" si="147"/>
        <v>0.1521420475158077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993.3021436473025</v>
      </c>
      <c r="F1033" s="24">
        <f t="shared" si="145"/>
        <v>88.643653826031255</v>
      </c>
      <c r="G1033" s="14">
        <f t="shared" si="146"/>
        <v>1147.8480964363182</v>
      </c>
      <c r="H1033" s="24">
        <f t="shared" si="153"/>
        <v>650</v>
      </c>
      <c r="I1033" s="12">
        <f t="shared" si="147"/>
        <v>0.15198569717968427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993.45412934448223</v>
      </c>
      <c r="F1034" s="24">
        <f t="shared" si="145"/>
        <v>88.523569557270321</v>
      </c>
      <c r="G1034" s="14">
        <f t="shared" si="146"/>
        <v>1146.6988198866031</v>
      </c>
      <c r="H1034" s="24">
        <f t="shared" si="153"/>
        <v>650</v>
      </c>
      <c r="I1034" s="12">
        <f t="shared" si="147"/>
        <v>0.15182967131948125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993.60595901580166</v>
      </c>
      <c r="F1035" s="24">
        <f t="shared" si="145"/>
        <v>88.403774984325878</v>
      </c>
      <c r="G1035" s="14">
        <f t="shared" si="146"/>
        <v>1145.5518851482834</v>
      </c>
      <c r="H1035" s="24">
        <f t="shared" si="153"/>
        <v>650</v>
      </c>
      <c r="I1035" s="12">
        <f t="shared" si="147"/>
        <v>0.15167396891591117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993.75763298471759</v>
      </c>
      <c r="F1036" s="24">
        <f t="shared" si="145"/>
        <v>88.284269101077939</v>
      </c>
      <c r="G1036" s="14">
        <f t="shared" si="146"/>
        <v>1144.4072849699305</v>
      </c>
      <c r="H1036" s="24">
        <f t="shared" si="153"/>
        <v>650</v>
      </c>
      <c r="I1036" s="12">
        <f t="shared" si="147"/>
        <v>0.15151858895398199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993.90915157367158</v>
      </c>
      <c r="F1037" s="24">
        <f t="shared" si="145"/>
        <v>88.16505090597957</v>
      </c>
      <c r="G1037" s="14">
        <f t="shared" si="146"/>
        <v>1143.2650121305805</v>
      </c>
      <c r="H1037" s="24">
        <f t="shared" si="153"/>
        <v>650</v>
      </c>
      <c r="I1037" s="12">
        <f t="shared" si="147"/>
        <v>0.15136353042300849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994.06051510409463</v>
      </c>
      <c r="F1038" s="24">
        <f t="shared" si="145"/>
        <v>88.046119402028467</v>
      </c>
      <c r="G1038" s="14">
        <f t="shared" si="146"/>
        <v>1142.125059439483</v>
      </c>
      <c r="H1038" s="24">
        <f t="shared" si="153"/>
        <v>650</v>
      </c>
      <c r="I1038" s="12">
        <f t="shared" si="147"/>
        <v>0.15120879231657763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994.21172389641117</v>
      </c>
      <c r="F1039" s="24">
        <f t="shared" si="145"/>
        <v>87.927473596744221</v>
      </c>
      <c r="G1039" s="14">
        <f t="shared" si="146"/>
        <v>1140.9874197355969</v>
      </c>
      <c r="H1039" s="24">
        <f t="shared" si="153"/>
        <v>650</v>
      </c>
      <c r="I1039" s="12">
        <f t="shared" si="147"/>
        <v>0.15105437363248414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994.36277827004369</v>
      </c>
      <c r="F1040" s="24">
        <f t="shared" si="145"/>
        <v>87.809112502122844</v>
      </c>
      <c r="G1040" s="14">
        <f t="shared" si="146"/>
        <v>1139.8520858877839</v>
      </c>
      <c r="H1040" s="24">
        <f t="shared" si="153"/>
        <v>650</v>
      </c>
      <c r="I1040" s="12">
        <f t="shared" si="147"/>
        <v>0.15090027337274839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994.5136785434164</v>
      </c>
      <c r="F1041" s="24">
        <f t="shared" ref="F1041:F1104" si="154">AlphaC*(D1041-E1041)</f>
        <v>87.691035134659501</v>
      </c>
      <c r="G1041" s="14">
        <f t="shared" ref="G1041:G1104" si="155">Phi*EpsilonF*Botzman/10^8*J1041*((D1041+273)^4-(E1041+273)^4)</f>
        <v>1138.7190507947516</v>
      </c>
      <c r="H1041" s="24">
        <f t="shared" si="153"/>
        <v>650</v>
      </c>
      <c r="I1041" s="12">
        <f t="shared" ref="I1041:I1104" si="156">ksh*Massivete/(H1041*RhoA)*DeltaT*(F1041+G1041)</f>
        <v>0.15074649054361244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994.66442503396001</v>
      </c>
      <c r="F1042" s="24">
        <f t="shared" si="154"/>
        <v>87.573240515263251</v>
      </c>
      <c r="G1042" s="14">
        <f t="shared" si="155"/>
        <v>1137.5883073846255</v>
      </c>
      <c r="H1042" s="24">
        <f t="shared" si="153"/>
        <v>650</v>
      </c>
      <c r="I1042" s="12">
        <f t="shared" si="156"/>
        <v>0.15059302415547679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994.81501805811547</v>
      </c>
      <c r="F1043" s="24">
        <f t="shared" si="154"/>
        <v>87.455727669282624</v>
      </c>
      <c r="G1043" s="14">
        <f t="shared" si="155"/>
        <v>1136.4598486146979</v>
      </c>
      <c r="H1043" s="24">
        <f t="shared" si="153"/>
        <v>650</v>
      </c>
      <c r="I1043" s="12">
        <f t="shared" si="156"/>
        <v>0.15043987322287269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994.96545793133839</v>
      </c>
      <c r="F1044" s="24">
        <f t="shared" si="154"/>
        <v>87.338495626443091</v>
      </c>
      <c r="G1044" s="14">
        <f t="shared" si="155"/>
        <v>1135.3336674715638</v>
      </c>
      <c r="H1044" s="24">
        <f t="shared" si="153"/>
        <v>650</v>
      </c>
      <c r="I1044" s="12">
        <f t="shared" si="156"/>
        <v>0.15028703676447133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995.11574496810283</v>
      </c>
      <c r="F1045" s="24">
        <f t="shared" si="154"/>
        <v>87.221543420861281</v>
      </c>
      <c r="G1045" s="14">
        <f t="shared" si="155"/>
        <v>1134.2097569711202</v>
      </c>
      <c r="H1045" s="24">
        <f t="shared" si="153"/>
        <v>650</v>
      </c>
      <c r="I1045" s="12">
        <f t="shared" si="156"/>
        <v>0.15013451380308521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995.26587948190593</v>
      </c>
      <c r="F1046" s="24">
        <f t="shared" si="154"/>
        <v>87.104870090971076</v>
      </c>
      <c r="G1046" s="14">
        <f t="shared" si="155"/>
        <v>1133.0881101575205</v>
      </c>
      <c r="H1046" s="24">
        <f t="shared" si="153"/>
        <v>650</v>
      </c>
      <c r="I1046" s="12">
        <f t="shared" si="156"/>
        <v>0.1499823033655307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995.41586178527143</v>
      </c>
      <c r="F1047" s="24">
        <f t="shared" si="154"/>
        <v>86.988474679557726</v>
      </c>
      <c r="G1047" s="14">
        <f t="shared" si="155"/>
        <v>1131.968720104433</v>
      </c>
      <c r="H1047" s="24">
        <f t="shared" si="153"/>
        <v>650</v>
      </c>
      <c r="I1047" s="12">
        <f t="shared" si="156"/>
        <v>0.14983040448278701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995.56569218975426</v>
      </c>
      <c r="F1048" s="24">
        <f t="shared" si="154"/>
        <v>86.872356233675418</v>
      </c>
      <c r="G1048" s="14">
        <f t="shared" si="155"/>
        <v>1130.8515799135114</v>
      </c>
      <c r="H1048" s="24">
        <f t="shared" si="153"/>
        <v>650</v>
      </c>
      <c r="I1048" s="12">
        <f t="shared" si="156"/>
        <v>0.14967881618979775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995.71537100594401</v>
      </c>
      <c r="F1049" s="24">
        <f t="shared" si="154"/>
        <v>86.756513804670021</v>
      </c>
      <c r="G1049" s="14">
        <f t="shared" si="155"/>
        <v>1129.7366827151875</v>
      </c>
      <c r="H1049" s="24">
        <f t="shared" si="153"/>
        <v>650</v>
      </c>
      <c r="I1049" s="12">
        <f t="shared" si="156"/>
        <v>0.14952753752557166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995.86489854346962</v>
      </c>
      <c r="F1050" s="24">
        <f t="shared" si="154"/>
        <v>86.640946448130762</v>
      </c>
      <c r="G1050" s="14">
        <f t="shared" si="155"/>
        <v>1128.6240216680721</v>
      </c>
      <c r="H1050" s="24">
        <f t="shared" si="153"/>
        <v>650</v>
      </c>
      <c r="I1050" s="12">
        <f t="shared" si="156"/>
        <v>0.14937656753310244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996.01427511100269</v>
      </c>
      <c r="F1051" s="24">
        <f t="shared" si="154"/>
        <v>86.525653223873178</v>
      </c>
      <c r="G1051" s="14">
        <f t="shared" si="155"/>
        <v>1127.5135899588768</v>
      </c>
      <c r="H1051" s="24">
        <f t="shared" si="153"/>
        <v>650</v>
      </c>
      <c r="I1051" s="12">
        <f t="shared" si="156"/>
        <v>0.14922590525935753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996.1635010162621</v>
      </c>
      <c r="F1052" s="24">
        <f t="shared" si="154"/>
        <v>86.410633195905007</v>
      </c>
      <c r="G1052" s="14">
        <f t="shared" si="155"/>
        <v>1126.4053808022006</v>
      </c>
      <c r="H1052" s="24">
        <f t="shared" si="153"/>
        <v>650</v>
      </c>
      <c r="I1052" s="12">
        <f t="shared" si="156"/>
        <v>0.14907554975524737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996.31257656601736</v>
      </c>
      <c r="F1053" s="24">
        <f t="shared" si="154"/>
        <v>86.2958854324404</v>
      </c>
      <c r="G1053" s="14">
        <f t="shared" si="155"/>
        <v>1125.2993874409763</v>
      </c>
      <c r="H1053" s="24">
        <f t="shared" si="153"/>
        <v>650</v>
      </c>
      <c r="I1053" s="12">
        <f t="shared" si="156"/>
        <v>0.14892550007568228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996.46150206609309</v>
      </c>
      <c r="F1054" s="24">
        <f t="shared" si="154"/>
        <v>86.181409005811815</v>
      </c>
      <c r="G1054" s="14">
        <f t="shared" si="155"/>
        <v>1124.1956031453651</v>
      </c>
      <c r="H1054" s="24">
        <f t="shared" si="153"/>
        <v>650</v>
      </c>
      <c r="I1054" s="12">
        <f t="shared" si="156"/>
        <v>0.14877575527942552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996.61027782137251</v>
      </c>
      <c r="F1055" s="24">
        <f t="shared" si="154"/>
        <v>86.067202992518332</v>
      </c>
      <c r="G1055" s="14">
        <f t="shared" si="155"/>
        <v>1123.0940212130088</v>
      </c>
      <c r="H1055" s="24">
        <f t="shared" si="153"/>
        <v>650</v>
      </c>
      <c r="I1055" s="12">
        <f t="shared" si="156"/>
        <v>0.14862631442913027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996.75890413580169</v>
      </c>
      <c r="F1056" s="24">
        <f t="shared" si="154"/>
        <v>85.953266473151757</v>
      </c>
      <c r="G1056" s="14">
        <f t="shared" si="155"/>
        <v>1121.9946349696113</v>
      </c>
      <c r="H1056" s="24">
        <f t="shared" si="153"/>
        <v>650</v>
      </c>
      <c r="I1056" s="12">
        <f t="shared" si="156"/>
        <v>0.14847717659140222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996.90738131239311</v>
      </c>
      <c r="F1057" s="24">
        <f t="shared" si="154"/>
        <v>85.839598532390937</v>
      </c>
      <c r="G1057" s="14">
        <f t="shared" si="155"/>
        <v>1120.8974377675049</v>
      </c>
      <c r="H1057" s="24">
        <f t="shared" si="153"/>
        <v>650</v>
      </c>
      <c r="I1057" s="12">
        <f t="shared" si="156"/>
        <v>0.14832834083662247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997.05570965322977</v>
      </c>
      <c r="F1058" s="24">
        <f t="shared" si="154"/>
        <v>85.726198258987552</v>
      </c>
      <c r="G1058" s="14">
        <f t="shared" si="155"/>
        <v>1119.8024229863859</v>
      </c>
      <c r="H1058" s="24">
        <f t="shared" si="153"/>
        <v>650</v>
      </c>
      <c r="I1058" s="12">
        <f t="shared" si="156"/>
        <v>0.14817980623903615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997.20388945946877</v>
      </c>
      <c r="F1059" s="24">
        <f t="shared" si="154"/>
        <v>85.613064745729162</v>
      </c>
      <c r="G1059" s="14">
        <f t="shared" si="155"/>
        <v>1118.7095840328886</v>
      </c>
      <c r="H1059" s="24">
        <f t="shared" si="153"/>
        <v>650</v>
      </c>
      <c r="I1059" s="12">
        <f t="shared" si="156"/>
        <v>0.14803157187669572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997.35192103134546</v>
      </c>
      <c r="F1060" s="24">
        <f t="shared" si="154"/>
        <v>85.500197089433527</v>
      </c>
      <c r="G1060" s="14">
        <f t="shared" si="155"/>
        <v>1117.6189143409342</v>
      </c>
      <c r="H1060" s="24">
        <f t="shared" si="153"/>
        <v>650</v>
      </c>
      <c r="I1060" s="12">
        <f t="shared" si="156"/>
        <v>0.14788363683150293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997.49980466817692</v>
      </c>
      <c r="F1061" s="24">
        <f t="shared" si="154"/>
        <v>85.387594390905974</v>
      </c>
      <c r="G1061" s="14">
        <f t="shared" si="155"/>
        <v>1116.5304073705104</v>
      </c>
      <c r="H1061" s="24">
        <f t="shared" si="153"/>
        <v>650</v>
      </c>
      <c r="I1061" s="12">
        <f t="shared" si="156"/>
        <v>0.14773600018905372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997.64754066836599</v>
      </c>
      <c r="F1062" s="24">
        <f t="shared" si="154"/>
        <v>85.275255754930868</v>
      </c>
      <c r="G1062" s="14">
        <f t="shared" si="155"/>
        <v>1115.4440566085225</v>
      </c>
      <c r="H1062" s="24">
        <f t="shared" si="153"/>
        <v>650</v>
      </c>
      <c r="I1062" s="12">
        <f t="shared" si="156"/>
        <v>0.14758866103874188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997.79512932940474</v>
      </c>
      <c r="F1063" s="24">
        <f t="shared" si="154"/>
        <v>85.163180290251717</v>
      </c>
      <c r="G1063" s="14">
        <f t="shared" si="155"/>
        <v>1114.3598555683882</v>
      </c>
      <c r="H1063" s="24">
        <f t="shared" si="153"/>
        <v>650</v>
      </c>
      <c r="I1063" s="12">
        <f t="shared" si="156"/>
        <v>0.14744161847370643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997.94257094787849</v>
      </c>
      <c r="F1064" s="24">
        <f t="shared" si="154"/>
        <v>85.051367109537068</v>
      </c>
      <c r="G1064" s="14">
        <f t="shared" si="155"/>
        <v>1113.2777977894943</v>
      </c>
      <c r="H1064" s="24">
        <f t="shared" si="153"/>
        <v>650</v>
      </c>
      <c r="I1064" s="12">
        <f t="shared" si="156"/>
        <v>0.14729487159076105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998.08986581946931</v>
      </c>
      <c r="F1065" s="24">
        <f t="shared" si="154"/>
        <v>84.939815329377666</v>
      </c>
      <c r="G1065" s="14">
        <f t="shared" si="155"/>
        <v>1112.1978768378942</v>
      </c>
      <c r="H1065" s="24">
        <f t="shared" si="153"/>
        <v>650</v>
      </c>
      <c r="I1065" s="12">
        <f t="shared" si="156"/>
        <v>0.14714841949047922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998.23701423895977</v>
      </c>
      <c r="F1066" s="24">
        <f t="shared" si="154"/>
        <v>84.828524070258027</v>
      </c>
      <c r="G1066" s="14">
        <f t="shared" si="155"/>
        <v>1111.1200863054551</v>
      </c>
      <c r="H1066" s="24">
        <f t="shared" si="153"/>
        <v>650</v>
      </c>
      <c r="I1066" s="12">
        <f t="shared" si="156"/>
        <v>0.14700226127708607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998.38401650023684</v>
      </c>
      <c r="F1067" s="24">
        <f t="shared" si="154"/>
        <v>84.717492456508126</v>
      </c>
      <c r="G1067" s="14">
        <f t="shared" si="155"/>
        <v>1110.0444198097223</v>
      </c>
      <c r="H1067" s="24">
        <f t="shared" si="153"/>
        <v>650</v>
      </c>
      <c r="I1067" s="12">
        <f t="shared" si="156"/>
        <v>0.14685639605843559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998.53087289629525</v>
      </c>
      <c r="F1068" s="24">
        <f t="shared" si="154"/>
        <v>84.606719616326131</v>
      </c>
      <c r="G1068" s="14">
        <f t="shared" si="155"/>
        <v>1108.9708709942693</v>
      </c>
      <c r="H1068" s="24">
        <f t="shared" si="153"/>
        <v>650</v>
      </c>
      <c r="I1068" s="12">
        <f t="shared" si="156"/>
        <v>0.14671082294605656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998.67758371924128</v>
      </c>
      <c r="F1069" s="24">
        <f t="shared" si="154"/>
        <v>84.49620468174146</v>
      </c>
      <c r="G1069" s="14">
        <f t="shared" si="155"/>
        <v>1107.8994335284826</v>
      </c>
      <c r="H1069" s="24">
        <f t="shared" si="153"/>
        <v>650</v>
      </c>
      <c r="I1069" s="12">
        <f t="shared" si="156"/>
        <v>0.14656554105512157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998.82414926029639</v>
      </c>
      <c r="F1070" s="24">
        <f t="shared" si="154"/>
        <v>84.385946788572141</v>
      </c>
      <c r="G1070" s="14">
        <f t="shared" si="155"/>
        <v>1106.8301011068847</v>
      </c>
      <c r="H1070" s="24">
        <f t="shared" si="153"/>
        <v>650</v>
      </c>
      <c r="I1070" s="12">
        <f t="shared" si="156"/>
        <v>0.14642054950435848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998.97056980980074</v>
      </c>
      <c r="F1071" s="24">
        <f t="shared" si="154"/>
        <v>84.275945076427661</v>
      </c>
      <c r="G1071" s="14">
        <f t="shared" si="155"/>
        <v>1105.7628674495411</v>
      </c>
      <c r="H1071" s="24">
        <f t="shared" si="153"/>
        <v>650</v>
      </c>
      <c r="I1071" s="12">
        <f t="shared" si="156"/>
        <v>0.14627584741610089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999.1168456572168</v>
      </c>
      <c r="F1072" s="24">
        <f t="shared" si="154"/>
        <v>84.166198688691907</v>
      </c>
      <c r="G1072" s="14">
        <f t="shared" si="155"/>
        <v>1104.6977263018075</v>
      </c>
      <c r="H1072" s="24">
        <f t="shared" si="153"/>
        <v>650</v>
      </c>
      <c r="I1072" s="12">
        <f t="shared" si="156"/>
        <v>0.14613143391625497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999.26297709113305</v>
      </c>
      <c r="F1073" s="24">
        <f t="shared" si="154"/>
        <v>84.056706772486223</v>
      </c>
      <c r="G1073" s="14">
        <f t="shared" si="155"/>
        <v>1103.6346714340791</v>
      </c>
      <c r="H1073" s="24">
        <f t="shared" si="153"/>
        <v>650</v>
      </c>
      <c r="I1073" s="12">
        <f t="shared" si="156"/>
        <v>0.14598730813426392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999.40896439926735</v>
      </c>
      <c r="F1074" s="24">
        <f t="shared" si="154"/>
        <v>83.947468478655196</v>
      </c>
      <c r="G1074" s="14">
        <f t="shared" si="155"/>
        <v>1102.5736966418474</v>
      </c>
      <c r="H1074" s="24">
        <f t="shared" si="153"/>
        <v>650</v>
      </c>
      <c r="I1074" s="12">
        <f t="shared" si="156"/>
        <v>0.1458434692031135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999.55480786847045</v>
      </c>
      <c r="F1075" s="24">
        <f t="shared" si="154"/>
        <v>83.838482961752447</v>
      </c>
      <c r="G1075" s="14">
        <f t="shared" si="155"/>
        <v>1101.5147957455074</v>
      </c>
      <c r="H1075" s="24">
        <f t="shared" si="153"/>
        <v>650</v>
      </c>
      <c r="I1075" s="12">
        <f t="shared" si="156"/>
        <v>0.14569991625930639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999.70050778472978</v>
      </c>
      <c r="F1076" s="24">
        <f t="shared" si="154"/>
        <v>83.729749380009366</v>
      </c>
      <c r="G1076" s="14">
        <f t="shared" si="155"/>
        <v>1100.4579625899887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0.14555664844281296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999.84606443317261</v>
      </c>
      <c r="F1077" s="24">
        <f t="shared" si="154"/>
        <v>83.621266895335111</v>
      </c>
      <c r="G1077" s="14">
        <f t="shared" si="155"/>
        <v>1099.4031910452022</v>
      </c>
      <c r="H1077" s="24">
        <f t="shared" si="162"/>
        <v>650</v>
      </c>
      <c r="I1077" s="12">
        <f t="shared" si="156"/>
        <v>0.14541366489712645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999.99147809806971</v>
      </c>
      <c r="F1078" s="24">
        <f t="shared" si="154"/>
        <v>83.513034673265452</v>
      </c>
      <c r="G1078" s="14">
        <f t="shared" si="155"/>
        <v>1098.3504750051086</v>
      </c>
      <c r="H1078" s="24">
        <f t="shared" si="162"/>
        <v>650</v>
      </c>
      <c r="I1078" s="12">
        <f t="shared" si="156"/>
        <v>0.14527096476914178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1000.1367490628388</v>
      </c>
      <c r="F1079" s="24">
        <f t="shared" si="154"/>
        <v>83.405051882974135</v>
      </c>
      <c r="G1079" s="14">
        <f t="shared" si="155"/>
        <v>1097.2998083884363</v>
      </c>
      <c r="H1079" s="24">
        <f t="shared" si="162"/>
        <v>650</v>
      </c>
      <c r="I1079" s="12">
        <f t="shared" si="156"/>
        <v>0.14512854720924553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1000.281877610048</v>
      </c>
      <c r="F1080" s="24">
        <f t="shared" si="154"/>
        <v>83.297317697241624</v>
      </c>
      <c r="G1080" s="14">
        <f t="shared" si="155"/>
        <v>1096.2511851379061</v>
      </c>
      <c r="H1080" s="24">
        <f t="shared" si="162"/>
        <v>650</v>
      </c>
      <c r="I1080" s="12">
        <f t="shared" si="156"/>
        <v>0.14498641137121668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1000.4268640214192</v>
      </c>
      <c r="F1081" s="24">
        <f t="shared" si="154"/>
        <v>83.189831292418148</v>
      </c>
      <c r="G1081" s="14">
        <f t="shared" si="155"/>
        <v>1095.2045992203862</v>
      </c>
      <c r="H1081" s="24">
        <f t="shared" si="162"/>
        <v>650</v>
      </c>
      <c r="I1081" s="12">
        <f t="shared" si="156"/>
        <v>0.14484455641224109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1000.5717085778315</v>
      </c>
      <c r="F1082" s="24">
        <f t="shared" si="154"/>
        <v>83.082591848446441</v>
      </c>
      <c r="G1082" s="14">
        <f t="shared" si="155"/>
        <v>1094.1600446270081</v>
      </c>
      <c r="H1082" s="24">
        <f t="shared" si="162"/>
        <v>650</v>
      </c>
      <c r="I1082" s="12">
        <f t="shared" si="156"/>
        <v>0.14470298149292857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1000.7164115593245</v>
      </c>
      <c r="F1083" s="24">
        <f t="shared" si="154"/>
        <v>82.975598548793528</v>
      </c>
      <c r="G1083" s="14">
        <f t="shared" si="155"/>
        <v>1093.1175153724112</v>
      </c>
      <c r="H1083" s="24">
        <f t="shared" si="162"/>
        <v>650</v>
      </c>
      <c r="I1083" s="12">
        <f t="shared" si="156"/>
        <v>0.1445616857772116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1000.8609732451017</v>
      </c>
      <c r="F1084" s="24">
        <f t="shared" si="154"/>
        <v>82.868850580462095</v>
      </c>
      <c r="G1084" s="14">
        <f t="shared" si="155"/>
        <v>1092.0770054952663</v>
      </c>
      <c r="H1084" s="24">
        <f t="shared" si="162"/>
        <v>650</v>
      </c>
      <c r="I1084" s="12">
        <f t="shared" si="156"/>
        <v>0.14442066843241119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1001.0053939135341</v>
      </c>
      <c r="F1085" s="24">
        <f t="shared" si="154"/>
        <v>82.762347133984804</v>
      </c>
      <c r="G1085" s="14">
        <f t="shared" si="155"/>
        <v>1091.0385090579646</v>
      </c>
      <c r="H1085" s="24">
        <f t="shared" si="162"/>
        <v>650</v>
      </c>
      <c r="I1085" s="12">
        <f t="shared" si="156"/>
        <v>0.14427992862919789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1001.1496738421633</v>
      </c>
      <c r="F1086" s="24">
        <f t="shared" si="154"/>
        <v>82.65608740335324</v>
      </c>
      <c r="G1086" s="14">
        <f t="shared" si="155"/>
        <v>1090.0020201460375</v>
      </c>
      <c r="H1086" s="24">
        <f t="shared" si="162"/>
        <v>650</v>
      </c>
      <c r="I1086" s="12">
        <f t="shared" si="156"/>
        <v>0.14413946554151164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1001.2938133077048</v>
      </c>
      <c r="F1087" s="24">
        <f t="shared" si="154"/>
        <v>82.550070586063384</v>
      </c>
      <c r="G1087" s="14">
        <f t="shared" si="155"/>
        <v>1088.9675328688918</v>
      </c>
      <c r="H1087" s="24">
        <f t="shared" si="162"/>
        <v>650</v>
      </c>
      <c r="I1087" s="12">
        <f t="shared" si="156"/>
        <v>0.14399927834665791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1001.4378125860515</v>
      </c>
      <c r="F1088" s="24">
        <f t="shared" si="154"/>
        <v>82.44429588303035</v>
      </c>
      <c r="G1088" s="14">
        <f t="shared" si="155"/>
        <v>1087.9350413587447</v>
      </c>
      <c r="H1088" s="24">
        <f t="shared" si="162"/>
        <v>650</v>
      </c>
      <c r="I1088" s="12">
        <f t="shared" si="156"/>
        <v>0.14385936622516612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1001.5816719522766</v>
      </c>
      <c r="F1089" s="24">
        <f t="shared" si="154"/>
        <v>82.338762498636697</v>
      </c>
      <c r="G1089" s="14">
        <f t="shared" si="155"/>
        <v>1086.9045397714767</v>
      </c>
      <c r="H1089" s="24">
        <f t="shared" si="162"/>
        <v>650</v>
      </c>
      <c r="I1089" s="12">
        <f t="shared" si="156"/>
        <v>0.14371972836090069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1001.7253916806375</v>
      </c>
      <c r="F1090" s="24">
        <f t="shared" si="154"/>
        <v>82.233469640672752</v>
      </c>
      <c r="G1090" s="14">
        <f t="shared" si="155"/>
        <v>1085.8760222857388</v>
      </c>
      <c r="H1090" s="24">
        <f t="shared" si="162"/>
        <v>650</v>
      </c>
      <c r="I1090" s="12">
        <f t="shared" si="156"/>
        <v>0.14358036394094356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1001.8689720445784</v>
      </c>
      <c r="F1091" s="24">
        <f t="shared" si="154"/>
        <v>82.128416520311021</v>
      </c>
      <c r="G1091" s="14">
        <f t="shared" si="155"/>
        <v>1084.8494831031283</v>
      </c>
      <c r="H1091" s="24">
        <f t="shared" si="162"/>
        <v>650</v>
      </c>
      <c r="I1091" s="12">
        <f t="shared" si="156"/>
        <v>0.14344127215561309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1002.0124133167341</v>
      </c>
      <c r="F1092" s="24">
        <f t="shared" si="154"/>
        <v>82.023602352137459</v>
      </c>
      <c r="G1092" s="14">
        <f t="shared" si="155"/>
        <v>1083.8249164482463</v>
      </c>
      <c r="H1092" s="24">
        <f t="shared" si="162"/>
        <v>650</v>
      </c>
      <c r="I1092" s="12">
        <f t="shared" si="156"/>
        <v>0.14330245219847465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1002.1557157689325</v>
      </c>
      <c r="F1093" s="24">
        <f t="shared" si="154"/>
        <v>81.919026354069047</v>
      </c>
      <c r="G1093" s="14">
        <f t="shared" si="155"/>
        <v>1082.8023165681168</v>
      </c>
      <c r="H1093" s="24">
        <f t="shared" si="162"/>
        <v>650</v>
      </c>
      <c r="I1093" s="12">
        <f t="shared" si="156"/>
        <v>0.14316390326625922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1002.2988796721987</v>
      </c>
      <c r="F1094" s="24">
        <f t="shared" si="154"/>
        <v>81.814687747393577</v>
      </c>
      <c r="G1094" s="14">
        <f t="shared" si="155"/>
        <v>1081.7816777327473</v>
      </c>
      <c r="H1094" s="24">
        <f t="shared" si="162"/>
        <v>650</v>
      </c>
      <c r="I1094" s="12">
        <f t="shared" si="156"/>
        <v>0.14302562455893719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1002.4419052967577</v>
      </c>
      <c r="F1095" s="24">
        <f t="shared" si="154"/>
        <v>81.710585756707133</v>
      </c>
      <c r="G1095" s="14">
        <f t="shared" si="155"/>
        <v>1080.762994234356</v>
      </c>
      <c r="H1095" s="24">
        <f t="shared" si="162"/>
        <v>650</v>
      </c>
      <c r="I1095" s="12">
        <f t="shared" si="156"/>
        <v>0.14288761527961569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1002.5847929120373</v>
      </c>
      <c r="F1096" s="24">
        <f t="shared" si="154"/>
        <v>81.606719609933975</v>
      </c>
      <c r="G1096" s="14">
        <f t="shared" si="155"/>
        <v>1079.7462603876602</v>
      </c>
      <c r="H1096" s="24">
        <f t="shared" si="162"/>
        <v>650</v>
      </c>
      <c r="I1096" s="12">
        <f t="shared" si="156"/>
        <v>0.14274987463457633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1002.7275427866718</v>
      </c>
      <c r="F1097" s="24">
        <f t="shared" si="154"/>
        <v>81.503088538278234</v>
      </c>
      <c r="G1097" s="14">
        <f t="shared" si="155"/>
        <v>1078.7314705296835</v>
      </c>
      <c r="H1097" s="24">
        <f t="shared" si="162"/>
        <v>650</v>
      </c>
      <c r="I1097" s="12">
        <f t="shared" si="156"/>
        <v>0.14261240183324592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1002.8701551885051</v>
      </c>
      <c r="F1098" s="24">
        <f t="shared" si="154"/>
        <v>81.399691776218219</v>
      </c>
      <c r="G1098" s="14">
        <f t="shared" si="155"/>
        <v>1077.7186190194464</v>
      </c>
      <c r="H1098" s="24">
        <f t="shared" si="162"/>
        <v>650</v>
      </c>
      <c r="I1098" s="12">
        <f t="shared" si="156"/>
        <v>0.14247519608815726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1003.0126303845933</v>
      </c>
      <c r="F1099" s="24">
        <f t="shared" si="154"/>
        <v>81.29652856150642</v>
      </c>
      <c r="G1099" s="14">
        <f t="shared" si="155"/>
        <v>1076.7077002381388</v>
      </c>
      <c r="H1099" s="24">
        <f t="shared" si="162"/>
        <v>650</v>
      </c>
      <c r="I1099" s="12">
        <f t="shared" si="156"/>
        <v>0.14233825661497082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1003.1549686412083</v>
      </c>
      <c r="F1100" s="24">
        <f t="shared" si="154"/>
        <v>81.19359813511835</v>
      </c>
      <c r="G1100" s="14">
        <f t="shared" si="155"/>
        <v>1075.6987085889289</v>
      </c>
      <c r="H1100" s="24">
        <f t="shared" si="162"/>
        <v>650</v>
      </c>
      <c r="I1100" s="12">
        <f t="shared" si="156"/>
        <v>0.14220158263244453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1003.2971702238407</v>
      </c>
      <c r="F1101" s="24">
        <f t="shared" si="154"/>
        <v>81.090899741263911</v>
      </c>
      <c r="G1101" s="14">
        <f t="shared" si="155"/>
        <v>1074.6916384967083</v>
      </c>
      <c r="H1101" s="24">
        <f t="shared" si="162"/>
        <v>650</v>
      </c>
      <c r="I1101" s="12">
        <f t="shared" si="156"/>
        <v>0.14206517336240423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1003.4392353972031</v>
      </c>
      <c r="F1102" s="24">
        <f t="shared" si="154"/>
        <v>80.988432627356133</v>
      </c>
      <c r="G1102" s="14">
        <f t="shared" si="155"/>
        <v>1073.6864844083655</v>
      </c>
      <c r="H1102" s="24">
        <f t="shared" si="162"/>
        <v>650</v>
      </c>
      <c r="I1102" s="12">
        <f t="shared" si="156"/>
        <v>0.14192902802977314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1003.5811644252328</v>
      </c>
      <c r="F1103" s="24">
        <f t="shared" si="154"/>
        <v>80.886196043999803</v>
      </c>
      <c r="G1103" s="14">
        <f t="shared" si="155"/>
        <v>1072.6832407917966</v>
      </c>
      <c r="H1103" s="24">
        <f t="shared" si="162"/>
        <v>650</v>
      </c>
      <c r="I1103" s="12">
        <f t="shared" si="156"/>
        <v>0.14179314586244907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1003.7229575710953</v>
      </c>
      <c r="F1104" s="24">
        <f t="shared" si="154"/>
        <v>80.784189244963045</v>
      </c>
      <c r="G1104" s="14">
        <f t="shared" si="155"/>
        <v>1071.6819021371462</v>
      </c>
      <c r="H1104" s="24">
        <f t="shared" si="162"/>
        <v>650</v>
      </c>
      <c r="I1104" s="12">
        <f t="shared" si="156"/>
        <v>0.14165752609145335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1003.8646150971867</v>
      </c>
      <c r="F1105" s="24">
        <f t="shared" ref="F1105:F1168" si="163">AlphaC*(D1105-E1105)</f>
        <v>80.682411487194372</v>
      </c>
      <c r="G1105" s="14">
        <f t="shared" ref="G1105:G1168" si="164">Phi*EpsilonF*Botzman/10^8*J1105*((D1105+273)^4-(E1105+273)^4)</f>
        <v>1070.6824629555661</v>
      </c>
      <c r="H1105" s="24">
        <f t="shared" si="162"/>
        <v>650</v>
      </c>
      <c r="I1105" s="12">
        <f t="shared" ref="I1105:I1168" si="165">ksh*Massivete/(H1105*RhoA)*DeltaT*(F1105+G1105)</f>
        <v>0.14152216795078038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1004.0061372651376</v>
      </c>
      <c r="F1106" s="24">
        <f t="shared" si="163"/>
        <v>80.580862030760159</v>
      </c>
      <c r="G1106" s="14">
        <f t="shared" si="164"/>
        <v>1069.6849177796619</v>
      </c>
      <c r="H1106" s="24">
        <f t="shared" si="162"/>
        <v>650</v>
      </c>
      <c r="I1106" s="12">
        <f t="shared" si="165"/>
        <v>0.14138707067744477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1004.147524335815</v>
      </c>
      <c r="F1107" s="24">
        <f t="shared" si="163"/>
        <v>80.479540138861694</v>
      </c>
      <c r="G1107" s="14">
        <f t="shared" si="164"/>
        <v>1068.6892611629696</v>
      </c>
      <c r="H1107" s="24">
        <f t="shared" si="162"/>
        <v>650</v>
      </c>
      <c r="I1107" s="12">
        <f t="shared" si="165"/>
        <v>0.14125223351141927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1004.2887765693264</v>
      </c>
      <c r="F1108" s="24">
        <f t="shared" si="163"/>
        <v>80.378445077801075</v>
      </c>
      <c r="G1108" s="14">
        <f t="shared" si="164"/>
        <v>1067.6954876804205</v>
      </c>
      <c r="H1108" s="24">
        <f t="shared" si="162"/>
        <v>650</v>
      </c>
      <c r="I1108" s="12">
        <f t="shared" si="165"/>
        <v>0.14111765569568752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1004.4298942250221</v>
      </c>
      <c r="F1109" s="24">
        <f t="shared" si="163"/>
        <v>80.277576116975524</v>
      </c>
      <c r="G1109" s="14">
        <f t="shared" si="164"/>
        <v>1066.7035919277403</v>
      </c>
      <c r="H1109" s="24">
        <f t="shared" si="162"/>
        <v>650</v>
      </c>
      <c r="I1109" s="12">
        <f t="shared" si="165"/>
        <v>0.14098333647616965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1004.5708775614983</v>
      </c>
      <c r="F1110" s="24">
        <f t="shared" si="163"/>
        <v>80.176932528860334</v>
      </c>
      <c r="G1110" s="14">
        <f t="shared" si="164"/>
        <v>1065.7135685217402</v>
      </c>
      <c r="H1110" s="24">
        <f t="shared" si="162"/>
        <v>650</v>
      </c>
      <c r="I1110" s="12">
        <f t="shared" si="165"/>
        <v>0.14084927510175585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1004.7117268366001</v>
      </c>
      <c r="F1111" s="24">
        <f t="shared" si="163"/>
        <v>80.076513588991816</v>
      </c>
      <c r="G1111" s="14">
        <f t="shared" si="164"/>
        <v>1064.7254120999487</v>
      </c>
      <c r="H1111" s="24">
        <f t="shared" si="162"/>
        <v>650</v>
      </c>
      <c r="I1111" s="12">
        <f t="shared" si="165"/>
        <v>0.14071547082425914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1004.8524423074243</v>
      </c>
      <c r="F1112" s="24">
        <f t="shared" si="163"/>
        <v>79.976318575933192</v>
      </c>
      <c r="G1112" s="14">
        <f t="shared" si="164"/>
        <v>1063.7391173203202</v>
      </c>
      <c r="H1112" s="24">
        <f t="shared" si="162"/>
        <v>650</v>
      </c>
      <c r="I1112" s="12">
        <f t="shared" si="165"/>
        <v>0.14058192289837518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1004.9930242303227</v>
      </c>
      <c r="F1113" s="24">
        <f t="shared" si="163"/>
        <v>79.876346771300177</v>
      </c>
      <c r="G1113" s="14">
        <f t="shared" si="164"/>
        <v>1062.7546788618949</v>
      </c>
      <c r="H1113" s="24">
        <f t="shared" si="162"/>
        <v>650</v>
      </c>
      <c r="I1113" s="12">
        <f t="shared" si="165"/>
        <v>0.14044863058176671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1005.1334728609045</v>
      </c>
      <c r="F1114" s="24">
        <f t="shared" si="163"/>
        <v>79.776597459701293</v>
      </c>
      <c r="G1114" s="14">
        <f t="shared" si="164"/>
        <v>1061.7720914237905</v>
      </c>
      <c r="H1114" s="24">
        <f t="shared" si="162"/>
        <v>650</v>
      </c>
      <c r="I1114" s="12">
        <f t="shared" si="165"/>
        <v>0.14031559313493217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1005.2737884540394</v>
      </c>
      <c r="F1115" s="24">
        <f t="shared" si="163"/>
        <v>79.677069928743549</v>
      </c>
      <c r="G1115" s="14">
        <f t="shared" si="164"/>
        <v>1060.7913497255311</v>
      </c>
      <c r="H1115" s="24">
        <f t="shared" si="162"/>
        <v>650</v>
      </c>
      <c r="I1115" s="12">
        <f t="shared" si="165"/>
        <v>0.14018280982124692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1005.4139712638606</v>
      </c>
      <c r="F1116" s="24">
        <f t="shared" si="163"/>
        <v>79.577763469018237</v>
      </c>
      <c r="G1116" s="14">
        <f t="shared" si="164"/>
        <v>1059.8124485070291</v>
      </c>
      <c r="H1116" s="24">
        <f t="shared" si="162"/>
        <v>650</v>
      </c>
      <c r="I1116" s="12">
        <f t="shared" si="165"/>
        <v>0.14005027990695909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1005.5540215437676</v>
      </c>
      <c r="F1117" s="24">
        <f t="shared" si="163"/>
        <v>79.478677374092399</v>
      </c>
      <c r="G1117" s="14">
        <f t="shared" si="164"/>
        <v>1058.8353825286815</v>
      </c>
      <c r="H1117" s="24">
        <f t="shared" si="162"/>
        <v>650</v>
      </c>
      <c r="I1117" s="12">
        <f t="shared" si="165"/>
        <v>0.13991800266120058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1005.6939395464287</v>
      </c>
      <c r="F1118" s="24">
        <f t="shared" si="163"/>
        <v>79.379810940460516</v>
      </c>
      <c r="G1118" s="14">
        <f t="shared" si="164"/>
        <v>1057.8601465705553</v>
      </c>
      <c r="H1118" s="24">
        <f t="shared" si="162"/>
        <v>650</v>
      </c>
      <c r="I1118" s="12">
        <f t="shared" si="165"/>
        <v>0.13978597735588086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1005.8337255237847</v>
      </c>
      <c r="F1119" s="24">
        <f t="shared" si="163"/>
        <v>79.281163467567239</v>
      </c>
      <c r="G1119" s="14">
        <f t="shared" si="164"/>
        <v>1056.8867354326214</v>
      </c>
      <c r="H1119" s="24">
        <f t="shared" si="162"/>
        <v>650</v>
      </c>
      <c r="I1119" s="12">
        <f t="shared" si="165"/>
        <v>0.13965420326571854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1005.9733797270504</v>
      </c>
      <c r="F1120" s="24">
        <f t="shared" si="163"/>
        <v>79.182734257776133</v>
      </c>
      <c r="G1120" s="14">
        <f t="shared" si="164"/>
        <v>1055.9151439351599</v>
      </c>
      <c r="H1120" s="24">
        <f t="shared" si="162"/>
        <v>650</v>
      </c>
      <c r="I1120" s="12">
        <f t="shared" si="165"/>
        <v>0.13952267966828735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1006.1129024067187</v>
      </c>
      <c r="F1121" s="24">
        <f t="shared" si="163"/>
        <v>79.084522616346931</v>
      </c>
      <c r="G1121" s="14">
        <f t="shared" si="164"/>
        <v>1054.9453669180446</v>
      </c>
      <c r="H1121" s="24">
        <f t="shared" si="162"/>
        <v>650</v>
      </c>
      <c r="I1121" s="12">
        <f t="shared" si="165"/>
        <v>0.13939140584392543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1006.2522938125627</v>
      </c>
      <c r="F1122" s="24">
        <f t="shared" si="163"/>
        <v>78.986527851438382</v>
      </c>
      <c r="G1122" s="14">
        <f t="shared" si="164"/>
        <v>1053.9773992408973</v>
      </c>
      <c r="H1122" s="24">
        <f t="shared" si="162"/>
        <v>650</v>
      </c>
      <c r="I1122" s="12">
        <f t="shared" si="165"/>
        <v>0.13926038107575467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1006.3915541936384</v>
      </c>
      <c r="F1123" s="24">
        <f t="shared" si="163"/>
        <v>78.888749274085512</v>
      </c>
      <c r="G1123" s="14">
        <f t="shared" si="164"/>
        <v>1053.0112357828552</v>
      </c>
      <c r="H1123" s="24">
        <f t="shared" si="162"/>
        <v>650</v>
      </c>
      <c r="I1123" s="12">
        <f t="shared" si="165"/>
        <v>0.13912960464964913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1006.530683798288</v>
      </c>
      <c r="F1124" s="24">
        <f t="shared" si="163"/>
        <v>78.791186198171204</v>
      </c>
      <c r="G1124" s="14">
        <f t="shared" si="164"/>
        <v>1052.0468714426486</v>
      </c>
      <c r="H1124" s="24">
        <f t="shared" si="162"/>
        <v>650</v>
      </c>
      <c r="I1124" s="12">
        <f t="shared" si="165"/>
        <v>0.13899907585424137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1006.6696828741423</v>
      </c>
      <c r="F1125" s="24">
        <f t="shared" si="163"/>
        <v>78.69383794042335</v>
      </c>
      <c r="G1125" s="14">
        <f t="shared" si="164"/>
        <v>1051.0843011384268</v>
      </c>
      <c r="H1125" s="24">
        <f t="shared" si="162"/>
        <v>650</v>
      </c>
      <c r="I1125" s="12">
        <f t="shared" si="165"/>
        <v>0.13886879398090055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1006.8085516681232</v>
      </c>
      <c r="F1126" s="24">
        <f t="shared" si="163"/>
        <v>78.596703820414859</v>
      </c>
      <c r="G1126" s="14">
        <f t="shared" si="164"/>
        <v>1050.1235198076797</v>
      </c>
      <c r="H1126" s="24">
        <f t="shared" si="162"/>
        <v>650</v>
      </c>
      <c r="I1126" s="12">
        <f t="shared" si="165"/>
        <v>0.13873875832372279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1006.9472904264469</v>
      </c>
      <c r="F1127" s="24">
        <f t="shared" si="163"/>
        <v>78.499783160532388</v>
      </c>
      <c r="G1127" s="14">
        <f t="shared" si="164"/>
        <v>1049.1645224071801</v>
      </c>
      <c r="H1127" s="24">
        <f t="shared" si="162"/>
        <v>650</v>
      </c>
      <c r="I1127" s="12">
        <f t="shared" si="165"/>
        <v>0.13860896817952026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1007.0858993946264</v>
      </c>
      <c r="F1128" s="24">
        <f t="shared" si="163"/>
        <v>78.403075285947921</v>
      </c>
      <c r="G1128" s="14">
        <f t="shared" si="164"/>
        <v>1048.2073039126358</v>
      </c>
      <c r="H1128" s="24">
        <f t="shared" si="162"/>
        <v>650</v>
      </c>
      <c r="I1128" s="12">
        <f t="shared" si="165"/>
        <v>0.13847942284777495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1007.2243788174742</v>
      </c>
      <c r="F1129" s="24">
        <f t="shared" si="163"/>
        <v>78.30657952463298</v>
      </c>
      <c r="G1129" s="14">
        <f t="shared" si="164"/>
        <v>1047.25185931894</v>
      </c>
      <c r="H1129" s="24">
        <f t="shared" si="162"/>
        <v>650</v>
      </c>
      <c r="I1129" s="12">
        <f t="shared" si="165"/>
        <v>0.13835012163067112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1007.3627289391048</v>
      </c>
      <c r="F1130" s="24">
        <f t="shared" si="163"/>
        <v>78.210295207338731</v>
      </c>
      <c r="G1130" s="14">
        <f t="shared" si="164"/>
        <v>1046.2981836400747</v>
      </c>
      <c r="H1130" s="24">
        <f t="shared" si="162"/>
        <v>650</v>
      </c>
      <c r="I1130" s="12">
        <f t="shared" si="165"/>
        <v>0.13822106383308111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1007.5009500029379</v>
      </c>
      <c r="F1131" s="24">
        <f t="shared" si="163"/>
        <v>78.114221667559036</v>
      </c>
      <c r="G1131" s="14">
        <f t="shared" si="164"/>
        <v>1045.3462719087247</v>
      </c>
      <c r="H1131" s="24">
        <f t="shared" si="162"/>
        <v>650</v>
      </c>
      <c r="I1131" s="12">
        <f t="shared" si="165"/>
        <v>0.13809224876251316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1007.6390422517004</v>
      </c>
      <c r="F1132" s="24">
        <f t="shared" si="163"/>
        <v>78.018358241547503</v>
      </c>
      <c r="G1132" s="14">
        <f t="shared" si="164"/>
        <v>1044.396119176314</v>
      </c>
      <c r="H1132" s="24">
        <f t="shared" si="162"/>
        <v>650</v>
      </c>
      <c r="I1132" s="12">
        <f t="shared" si="165"/>
        <v>0.13796367572911827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1007.7770059274295</v>
      </c>
      <c r="F1133" s="24">
        <f t="shared" si="163"/>
        <v>77.922704268286225</v>
      </c>
      <c r="G1133" s="14">
        <f t="shared" si="164"/>
        <v>1043.4477205133562</v>
      </c>
      <c r="H1133" s="24">
        <f t="shared" si="162"/>
        <v>650</v>
      </c>
      <c r="I1133" s="12">
        <f t="shared" si="165"/>
        <v>0.13783534404572906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1007.9148412714752</v>
      </c>
      <c r="F1134" s="24">
        <f t="shared" si="163"/>
        <v>77.827259089457357</v>
      </c>
      <c r="G1134" s="14">
        <f t="shared" si="164"/>
        <v>1042.5010710080978</v>
      </c>
      <c r="H1134" s="24">
        <f t="shared" si="162"/>
        <v>650</v>
      </c>
      <c r="I1134" s="12">
        <f t="shared" si="165"/>
        <v>0.1377072530276898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1008.0525485245029</v>
      </c>
      <c r="F1135" s="24">
        <f t="shared" si="163"/>
        <v>77.732022049474381</v>
      </c>
      <c r="G1135" s="14">
        <f t="shared" si="164"/>
        <v>1041.5561657685137</v>
      </c>
      <c r="H1135" s="24">
        <f t="shared" si="162"/>
        <v>650</v>
      </c>
      <c r="I1135" s="12">
        <f t="shared" si="165"/>
        <v>0.13757940199310545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1008.190127926496</v>
      </c>
      <c r="F1136" s="24">
        <f t="shared" si="163"/>
        <v>77.636992495413892</v>
      </c>
      <c r="G1136" s="14">
        <f t="shared" si="164"/>
        <v>1040.6129999199043</v>
      </c>
      <c r="H1136" s="24">
        <f t="shared" si="162"/>
        <v>650</v>
      </c>
      <c r="I1136" s="12">
        <f t="shared" si="165"/>
        <v>0.13745179026253784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1008.3275797167585</v>
      </c>
      <c r="F1137" s="24">
        <f t="shared" si="163"/>
        <v>77.542169777046865</v>
      </c>
      <c r="G1137" s="14">
        <f t="shared" si="164"/>
        <v>1039.6715686063878</v>
      </c>
      <c r="H1137" s="24">
        <f t="shared" si="162"/>
        <v>650</v>
      </c>
      <c r="I1137" s="12">
        <f t="shared" si="165"/>
        <v>0.13732441715919314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1008.4649041339177</v>
      </c>
      <c r="F1138" s="24">
        <f t="shared" si="163"/>
        <v>77.447553246793177</v>
      </c>
      <c r="G1138" s="14">
        <f t="shared" si="164"/>
        <v>1038.731866990378</v>
      </c>
      <c r="H1138" s="24">
        <f t="shared" si="162"/>
        <v>650</v>
      </c>
      <c r="I1138" s="12">
        <f t="shared" si="165"/>
        <v>0.13719728200885176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1008.6021014159265</v>
      </c>
      <c r="F1139" s="24">
        <f t="shared" si="163"/>
        <v>77.353142259732977</v>
      </c>
      <c r="G1139" s="14">
        <f t="shared" si="164"/>
        <v>1037.7938902523103</v>
      </c>
      <c r="H1139" s="24">
        <f t="shared" si="162"/>
        <v>650</v>
      </c>
      <c r="I1139" s="12">
        <f t="shared" si="165"/>
        <v>0.13707038413983644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1008.7391718000664</v>
      </c>
      <c r="F1140" s="24">
        <f t="shared" si="163"/>
        <v>77.258936173575421</v>
      </c>
      <c r="G1140" s="14">
        <f t="shared" si="164"/>
        <v>1036.8576335908583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0.13694372288303477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1008.8761155229495</v>
      </c>
      <c r="F1141" s="24">
        <f t="shared" si="163"/>
        <v>77.164934348658676</v>
      </c>
      <c r="G1141" s="14">
        <f t="shared" si="164"/>
        <v>1035.9230922225818</v>
      </c>
      <c r="H1141" s="24">
        <f t="shared" si="171"/>
        <v>650</v>
      </c>
      <c r="I1141" s="12">
        <f t="shared" si="165"/>
        <v>0.13681729757185598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1009.0129328205213</v>
      </c>
      <c r="F1142" s="24">
        <f t="shared" si="163"/>
        <v>77.071136147915809</v>
      </c>
      <c r="G1142" s="14">
        <f t="shared" si="164"/>
        <v>1034.9902613817353</v>
      </c>
      <c r="H1142" s="24">
        <f t="shared" si="171"/>
        <v>650</v>
      </c>
      <c r="I1142" s="12">
        <f t="shared" si="165"/>
        <v>0.13669110754220334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1009.1496239280635</v>
      </c>
      <c r="F1143" s="24">
        <f t="shared" si="163"/>
        <v>76.977540936891842</v>
      </c>
      <c r="G1143" s="14">
        <f t="shared" si="164"/>
        <v>1034.0591363207902</v>
      </c>
      <c r="H1143" s="24">
        <f t="shared" si="171"/>
        <v>650</v>
      </c>
      <c r="I1143" s="12">
        <f t="shared" si="165"/>
        <v>0.13656515213254022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1009.2861890801961</v>
      </c>
      <c r="F1144" s="24">
        <f t="shared" si="163"/>
        <v>76.884148083706805</v>
      </c>
      <c r="G1144" s="14">
        <f t="shared" si="164"/>
        <v>1033.1297123099312</v>
      </c>
      <c r="H1144" s="24">
        <f t="shared" si="171"/>
        <v>650</v>
      </c>
      <c r="I1144" s="12">
        <f t="shared" si="165"/>
        <v>0.1364394306838238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1009.4226285108799</v>
      </c>
      <c r="F1145" s="24">
        <f t="shared" si="163"/>
        <v>76.790956959041523</v>
      </c>
      <c r="G1145" s="14">
        <f t="shared" si="164"/>
        <v>1032.2019846364938</v>
      </c>
      <c r="H1145" s="24">
        <f t="shared" si="171"/>
        <v>650</v>
      </c>
      <c r="I1145" s="12">
        <f t="shared" si="165"/>
        <v>0.13631394253943419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1009.5589424534194</v>
      </c>
      <c r="F1146" s="24">
        <f t="shared" si="163"/>
        <v>76.697966936151829</v>
      </c>
      <c r="G1146" s="14">
        <f t="shared" si="164"/>
        <v>1031.2759486059533</v>
      </c>
      <c r="H1146" s="24">
        <f t="shared" si="171"/>
        <v>650</v>
      </c>
      <c r="I1146" s="12">
        <f t="shared" si="165"/>
        <v>0.13618868704529768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1009.6951311404647</v>
      </c>
      <c r="F1147" s="24">
        <f t="shared" si="163"/>
        <v>76.605177390825929</v>
      </c>
      <c r="G1147" s="14">
        <f t="shared" si="164"/>
        <v>1030.3515995410528</v>
      </c>
      <c r="H1147" s="24">
        <f t="shared" si="171"/>
        <v>650</v>
      </c>
      <c r="I1147" s="12">
        <f t="shared" si="165"/>
        <v>0.13606366354977428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1009.8311948040144</v>
      </c>
      <c r="F1148" s="24">
        <f t="shared" si="163"/>
        <v>76.512587701384405</v>
      </c>
      <c r="G1148" s="14">
        <f t="shared" si="164"/>
        <v>1029.4289327817246</v>
      </c>
      <c r="H1148" s="24">
        <f t="shared" si="171"/>
        <v>650</v>
      </c>
      <c r="I1148" s="12">
        <f t="shared" si="165"/>
        <v>0.13593887140364819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1009.967133675418</v>
      </c>
      <c r="F1149" s="24">
        <f t="shared" si="163"/>
        <v>76.420197248671684</v>
      </c>
      <c r="G1149" s="14">
        <f t="shared" si="164"/>
        <v>1028.5079436858089</v>
      </c>
      <c r="H1149" s="24">
        <f t="shared" si="171"/>
        <v>650</v>
      </c>
      <c r="I1149" s="12">
        <f t="shared" si="165"/>
        <v>0.13581430996021499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1010.1029479853783</v>
      </c>
      <c r="F1150" s="24">
        <f t="shared" si="163"/>
        <v>76.328005416027622</v>
      </c>
      <c r="G1150" s="14">
        <f t="shared" si="164"/>
        <v>1027.588627627812</v>
      </c>
      <c r="H1150" s="24">
        <f t="shared" si="171"/>
        <v>650</v>
      </c>
      <c r="I1150" s="12">
        <f t="shared" si="165"/>
        <v>0.13568997857512555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1010.2386379639534</v>
      </c>
      <c r="F1151" s="24">
        <f t="shared" si="163"/>
        <v>76.236011589290342</v>
      </c>
      <c r="G1151" s="14">
        <f t="shared" si="164"/>
        <v>1026.6709799995078</v>
      </c>
      <c r="H1151" s="24">
        <f t="shared" si="171"/>
        <v>650</v>
      </c>
      <c r="I1151" s="12">
        <f t="shared" si="165"/>
        <v>0.13556587660646019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1010.3742038405599</v>
      </c>
      <c r="F1152" s="24">
        <f t="shared" si="163"/>
        <v>76.144215156787709</v>
      </c>
      <c r="G1152" s="14">
        <f t="shared" si="164"/>
        <v>1025.7549962100543</v>
      </c>
      <c r="H1152" s="24">
        <f t="shared" si="171"/>
        <v>650</v>
      </c>
      <c r="I1152" s="12">
        <f t="shared" si="165"/>
        <v>0.13544200341474225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1010.5096458439746</v>
      </c>
      <c r="F1153" s="24">
        <f t="shared" si="163"/>
        <v>76.052615509300381</v>
      </c>
      <c r="G1153" s="14">
        <f t="shared" si="164"/>
        <v>1024.8406716854304</v>
      </c>
      <c r="H1153" s="24">
        <f t="shared" si="171"/>
        <v>650</v>
      </c>
      <c r="I1153" s="12">
        <f t="shared" si="165"/>
        <v>0.13531835836286402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1010.6449642023374</v>
      </c>
      <c r="F1154" s="24">
        <f t="shared" si="163"/>
        <v>75.961212040081705</v>
      </c>
      <c r="G1154" s="14">
        <f t="shared" si="164"/>
        <v>1023.928001868457</v>
      </c>
      <c r="H1154" s="24">
        <f t="shared" si="171"/>
        <v>650</v>
      </c>
      <c r="I1154" s="12">
        <f t="shared" si="165"/>
        <v>0.13519494081609185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1010.7801591431535</v>
      </c>
      <c r="F1155" s="24">
        <f t="shared" si="163"/>
        <v>75.8700041448094</v>
      </c>
      <c r="G1155" s="14">
        <f t="shared" si="164"/>
        <v>1023.0169822187182</v>
      </c>
      <c r="H1155" s="24">
        <f t="shared" si="171"/>
        <v>650</v>
      </c>
      <c r="I1155" s="12">
        <f t="shared" si="165"/>
        <v>0.13507175014205067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1010.9152308932955</v>
      </c>
      <c r="F1156" s="24">
        <f t="shared" si="163"/>
        <v>75.778991221613978</v>
      </c>
      <c r="G1156" s="14">
        <f t="shared" si="164"/>
        <v>1022.1076082130076</v>
      </c>
      <c r="H1156" s="24">
        <f t="shared" si="171"/>
        <v>650</v>
      </c>
      <c r="I1156" s="12">
        <f t="shared" si="165"/>
        <v>0.13494878571078212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1011.0501796790063</v>
      </c>
      <c r="F1157" s="24">
        <f t="shared" si="163"/>
        <v>75.688172671033271</v>
      </c>
      <c r="G1157" s="14">
        <f t="shared" si="164"/>
        <v>1021.199875344417</v>
      </c>
      <c r="H1157" s="24">
        <f t="shared" si="171"/>
        <v>650</v>
      </c>
      <c r="I1157" s="12">
        <f t="shared" si="165"/>
        <v>0.13482604689462721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1011.185005725901</v>
      </c>
      <c r="F1158" s="24">
        <f t="shared" si="163"/>
        <v>75.597547896006745</v>
      </c>
      <c r="G1158" s="14">
        <f t="shared" si="164"/>
        <v>1020.2937791225888</v>
      </c>
      <c r="H1158" s="24">
        <f t="shared" si="171"/>
        <v>650</v>
      </c>
      <c r="I1158" s="12">
        <f t="shared" si="165"/>
        <v>0.13470353306825639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1011.3197092589692</v>
      </c>
      <c r="F1159" s="24">
        <f t="shared" si="163"/>
        <v>75.507116301886867</v>
      </c>
      <c r="G1159" s="14">
        <f t="shared" si="164"/>
        <v>1019.3893150740261</v>
      </c>
      <c r="H1159" s="24">
        <f t="shared" si="171"/>
        <v>650</v>
      </c>
      <c r="I1159" s="12">
        <f t="shared" si="165"/>
        <v>0.13458124360870921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1011.4542905025779</v>
      </c>
      <c r="F1160" s="24">
        <f t="shared" si="163"/>
        <v>75.416877296393636</v>
      </c>
      <c r="G1160" s="14">
        <f t="shared" si="164"/>
        <v>1018.48647874153</v>
      </c>
      <c r="H1160" s="24">
        <f t="shared" si="171"/>
        <v>650</v>
      </c>
      <c r="I1160" s="12">
        <f t="shared" si="165"/>
        <v>0.1344591778953195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1011.5887496804733</v>
      </c>
      <c r="F1161" s="24">
        <f t="shared" si="163"/>
        <v>75.32683028963163</v>
      </c>
      <c r="G1161" s="14">
        <f t="shared" si="164"/>
        <v>1017.5852656840843</v>
      </c>
      <c r="H1161" s="24">
        <f t="shared" si="171"/>
        <v>650</v>
      </c>
      <c r="I1161" s="12">
        <f t="shared" si="165"/>
        <v>0.13433733530970338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1011.723087015783</v>
      </c>
      <c r="F1162" s="24">
        <f t="shared" si="163"/>
        <v>75.236974694055903</v>
      </c>
      <c r="G1162" s="14">
        <f t="shared" si="164"/>
        <v>1016.6856714774166</v>
      </c>
      <c r="H1162" s="24">
        <f t="shared" si="171"/>
        <v>650</v>
      </c>
      <c r="I1162" s="12">
        <f t="shared" si="165"/>
        <v>0.13421571523582387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1011.8573027310188</v>
      </c>
      <c r="F1163" s="24">
        <f t="shared" si="163"/>
        <v>75.147309924477668</v>
      </c>
      <c r="G1163" s="14">
        <f t="shared" si="164"/>
        <v>1015.7876917130689</v>
      </c>
      <c r="H1163" s="24">
        <f t="shared" si="171"/>
        <v>650</v>
      </c>
      <c r="I1163" s="12">
        <f t="shared" si="165"/>
        <v>0.13409431705987762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1011.9913970480786</v>
      </c>
      <c r="F1164" s="24">
        <f t="shared" si="163"/>
        <v>75.057835398041561</v>
      </c>
      <c r="G1164" s="14">
        <f t="shared" si="164"/>
        <v>1014.8913219989199</v>
      </c>
      <c r="H1164" s="24">
        <f t="shared" si="171"/>
        <v>650</v>
      </c>
      <c r="I1164" s="12">
        <f t="shared" si="165"/>
        <v>0.13397314017035605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1012.125370188249</v>
      </c>
      <c r="F1165" s="24">
        <f t="shared" si="163"/>
        <v>74.968550534214273</v>
      </c>
      <c r="G1165" s="14">
        <f t="shared" si="164"/>
        <v>1013.9965579589342</v>
      </c>
      <c r="H1165" s="24">
        <f t="shared" si="171"/>
        <v>650</v>
      </c>
      <c r="I1165" s="12">
        <f t="shared" si="165"/>
        <v>0.13385218395801318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1012.259222372207</v>
      </c>
      <c r="F1166" s="24">
        <f t="shared" si="163"/>
        <v>74.879454754784547</v>
      </c>
      <c r="G1166" s="14">
        <f t="shared" si="164"/>
        <v>1013.1033952331032</v>
      </c>
      <c r="H1166" s="24">
        <f t="shared" si="171"/>
        <v>650</v>
      </c>
      <c r="I1166" s="12">
        <f t="shared" si="165"/>
        <v>0.13373144781585852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1012.3929538200229</v>
      </c>
      <c r="F1167" s="24">
        <f t="shared" si="163"/>
        <v>74.790547483829073</v>
      </c>
      <c r="G1167" s="14">
        <f t="shared" si="164"/>
        <v>1012.2118294771549</v>
      </c>
      <c r="H1167" s="24">
        <f t="shared" si="171"/>
        <v>650</v>
      </c>
      <c r="I1167" s="12">
        <f t="shared" si="165"/>
        <v>0.13361093113911707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1012.526564751162</v>
      </c>
      <c r="F1168" s="24">
        <f t="shared" si="163"/>
        <v>74.701828147735228</v>
      </c>
      <c r="G1168" s="14">
        <f t="shared" si="164"/>
        <v>1011.3218563629412</v>
      </c>
      <c r="H1168" s="24">
        <f t="shared" si="171"/>
        <v>650</v>
      </c>
      <c r="I1168" s="12">
        <f t="shared" si="165"/>
        <v>0.13349063332527975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1012.6600553844874</v>
      </c>
      <c r="F1169" s="24">
        <f t="shared" ref="F1169:F1232" si="172">AlphaC*(D1169-E1169)</f>
        <v>74.613296175158439</v>
      </c>
      <c r="G1169" s="14">
        <f t="shared" ref="G1169:G1232" si="173">Phi*EpsilonF*Botzman/10^8*J1169*((D1169+273)^4-(E1169+273)^4)</f>
        <v>1010.4334715778374</v>
      </c>
      <c r="H1169" s="24">
        <f t="shared" si="171"/>
        <v>650</v>
      </c>
      <c r="I1169" s="12">
        <f t="shared" ref="I1169:I1232" si="174">ksh*Massivete/(H1169*RhoA)*DeltaT*(F1169+G1169)</f>
        <v>0.13337055377402426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1012.7934259382614</v>
      </c>
      <c r="F1170" s="24">
        <f t="shared" si="172"/>
        <v>74.524950997022188</v>
      </c>
      <c r="G1170" s="14">
        <f t="shared" si="173"/>
        <v>1009.5466708252267</v>
      </c>
      <c r="H1170" s="24">
        <f t="shared" si="171"/>
        <v>650</v>
      </c>
      <c r="I1170" s="12">
        <f t="shared" si="174"/>
        <v>0.13325069188727484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1012.9266766301487</v>
      </c>
      <c r="F1171" s="24">
        <f t="shared" si="172"/>
        <v>74.436792046509481</v>
      </c>
      <c r="G1171" s="14">
        <f t="shared" si="173"/>
        <v>1008.6614498238796</v>
      </c>
      <c r="H1171" s="24">
        <f t="shared" si="171"/>
        <v>650</v>
      </c>
      <c r="I1171" s="12">
        <f t="shared" si="174"/>
        <v>0.13313104706912482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1013.0598076772178</v>
      </c>
      <c r="F1172" s="24">
        <f t="shared" si="172"/>
        <v>74.348818759057167</v>
      </c>
      <c r="G1172" s="14">
        <f t="shared" si="173"/>
        <v>1007.7778043082842</v>
      </c>
      <c r="H1172" s="24">
        <f t="shared" si="171"/>
        <v>650</v>
      </c>
      <c r="I1172" s="12">
        <f t="shared" si="174"/>
        <v>0.13301161872587647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1013.1928192959437</v>
      </c>
      <c r="F1173" s="24">
        <f t="shared" si="172"/>
        <v>74.261030572324671</v>
      </c>
      <c r="G1173" s="14">
        <f t="shared" si="173"/>
        <v>1006.895730028335</v>
      </c>
      <c r="H1173" s="24">
        <f t="shared" si="171"/>
        <v>650</v>
      </c>
      <c r="I1173" s="12">
        <f t="shared" si="174"/>
        <v>0.13289240626599896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1013.3257117022097</v>
      </c>
      <c r="F1174" s="24">
        <f t="shared" si="172"/>
        <v>74.173426926205366</v>
      </c>
      <c r="G1174" s="14">
        <f t="shared" si="173"/>
        <v>1006.0152227493535</v>
      </c>
      <c r="H1174" s="24">
        <f t="shared" si="171"/>
        <v>650</v>
      </c>
      <c r="I1174" s="12">
        <f t="shared" si="174"/>
        <v>0.1327734091001323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1013.4584851113098</v>
      </c>
      <c r="F1175" s="24">
        <f t="shared" si="172"/>
        <v>74.086007262809517</v>
      </c>
      <c r="G1175" s="14">
        <f t="shared" si="173"/>
        <v>1005.1362782522032</v>
      </c>
      <c r="H1175" s="24">
        <f t="shared" si="171"/>
        <v>650</v>
      </c>
      <c r="I1175" s="12">
        <f t="shared" si="174"/>
        <v>0.13265462664109939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1013.5911397379508</v>
      </c>
      <c r="F1176" s="24">
        <f t="shared" si="172"/>
        <v>73.998771026427335</v>
      </c>
      <c r="G1176" s="14">
        <f t="shared" si="173"/>
        <v>1004.2588923326125</v>
      </c>
      <c r="H1176" s="24">
        <f t="shared" si="171"/>
        <v>650</v>
      </c>
      <c r="I1176" s="12">
        <f t="shared" si="174"/>
        <v>0.1325360583038182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1013.7236757962546</v>
      </c>
      <c r="F1177" s="24">
        <f t="shared" si="172"/>
        <v>73.91171766357445</v>
      </c>
      <c r="G1177" s="14">
        <f t="shared" si="173"/>
        <v>1003.3830608021043</v>
      </c>
      <c r="H1177" s="24">
        <f t="shared" si="171"/>
        <v>650</v>
      </c>
      <c r="I1177" s="12">
        <f t="shared" si="174"/>
        <v>0.13241770350542167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1013.85609349976</v>
      </c>
      <c r="F1178" s="24">
        <f t="shared" si="172"/>
        <v>73.824846622923701</v>
      </c>
      <c r="G1178" s="14">
        <f t="shared" si="173"/>
        <v>1002.5087794867557</v>
      </c>
      <c r="H1178" s="24">
        <f t="shared" si="171"/>
        <v>650</v>
      </c>
      <c r="I1178" s="12">
        <f t="shared" si="174"/>
        <v>0.13229956166509685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1013.9883930614252</v>
      </c>
      <c r="F1179" s="24">
        <f t="shared" si="172"/>
        <v>73.738157355325029</v>
      </c>
      <c r="G1179" s="14">
        <f t="shared" si="173"/>
        <v>1001.636044228167</v>
      </c>
      <c r="H1179" s="24">
        <f t="shared" si="171"/>
        <v>650</v>
      </c>
      <c r="I1179" s="12">
        <f t="shared" si="174"/>
        <v>0.13218163220420642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1014.1205746936294</v>
      </c>
      <c r="F1180" s="24">
        <f t="shared" si="172"/>
        <v>73.65164931379411</v>
      </c>
      <c r="G1180" s="14">
        <f t="shared" si="173"/>
        <v>1000.7648508826092</v>
      </c>
      <c r="H1180" s="24">
        <f t="shared" si="171"/>
        <v>650</v>
      </c>
      <c r="I1180" s="12">
        <f t="shared" si="174"/>
        <v>0.13206391454618266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1014.2526386081755</v>
      </c>
      <c r="F1181" s="24">
        <f t="shared" si="172"/>
        <v>73.5653219534953</v>
      </c>
      <c r="G1181" s="14">
        <f t="shared" si="173"/>
        <v>999.89519532166332</v>
      </c>
      <c r="H1181" s="24">
        <f t="shared" si="171"/>
        <v>650</v>
      </c>
      <c r="I1181" s="12">
        <f t="shared" si="174"/>
        <v>0.13194640811660363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1014.3845850162921</v>
      </c>
      <c r="F1182" s="24">
        <f t="shared" si="172"/>
        <v>73.479174731718899</v>
      </c>
      <c r="G1182" s="14">
        <f t="shared" si="173"/>
        <v>999.02707343138741</v>
      </c>
      <c r="H1182" s="24">
        <f t="shared" si="171"/>
        <v>650</v>
      </c>
      <c r="I1182" s="12">
        <f t="shared" si="174"/>
        <v>0.13182911234308833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1014.5164141286352</v>
      </c>
      <c r="F1183" s="24">
        <f t="shared" si="172"/>
        <v>73.393207107909575</v>
      </c>
      <c r="G1183" s="14">
        <f t="shared" si="173"/>
        <v>998.16048111303303</v>
      </c>
      <c r="H1183" s="24">
        <f t="shared" si="171"/>
        <v>650</v>
      </c>
      <c r="I1183" s="12">
        <f t="shared" si="174"/>
        <v>0.13171202665538806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1014.6481261552906</v>
      </c>
      <c r="F1184" s="24">
        <f t="shared" si="172"/>
        <v>73.307418543603831</v>
      </c>
      <c r="G1184" s="14">
        <f t="shared" si="173"/>
        <v>997.29541428223172</v>
      </c>
      <c r="H1184" s="24">
        <f t="shared" si="171"/>
        <v>650</v>
      </c>
      <c r="I1184" s="12">
        <f t="shared" si="174"/>
        <v>0.13159515048527876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1014.7797213057759</v>
      </c>
      <c r="F1185" s="24">
        <f t="shared" si="172"/>
        <v>73.221808502455588</v>
      </c>
      <c r="G1185" s="14">
        <f t="shared" si="173"/>
        <v>996.43186886953765</v>
      </c>
      <c r="H1185" s="24">
        <f t="shared" si="171"/>
        <v>650</v>
      </c>
      <c r="I1185" s="12">
        <f t="shared" si="174"/>
        <v>0.13147848326663089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1014.9111997890425</v>
      </c>
      <c r="F1186" s="24">
        <f t="shared" si="172"/>
        <v>73.136376450233342</v>
      </c>
      <c r="G1186" s="14">
        <f t="shared" si="173"/>
        <v>995.56984081998155</v>
      </c>
      <c r="H1186" s="24">
        <f t="shared" si="171"/>
        <v>650</v>
      </c>
      <c r="I1186" s="12">
        <f t="shared" si="174"/>
        <v>0.1313620244353543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1015.0425618134778</v>
      </c>
      <c r="F1187" s="24">
        <f t="shared" si="172"/>
        <v>73.051121854766166</v>
      </c>
      <c r="G1187" s="14">
        <f t="shared" si="173"/>
        <v>994.70932609320664</v>
      </c>
      <c r="H1187" s="24">
        <f t="shared" si="171"/>
        <v>650</v>
      </c>
      <c r="I1187" s="12">
        <f t="shared" si="174"/>
        <v>0.13124577342940813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1015.1738075869073</v>
      </c>
      <c r="F1188" s="24">
        <f t="shared" si="172"/>
        <v>72.96604418598065</v>
      </c>
      <c r="G1188" s="14">
        <f t="shared" si="173"/>
        <v>993.85032066317819</v>
      </c>
      <c r="H1188" s="24">
        <f t="shared" si="171"/>
        <v>650</v>
      </c>
      <c r="I1188" s="12">
        <f t="shared" si="174"/>
        <v>0.13112972968876987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1015.304937316596</v>
      </c>
      <c r="F1189" s="24">
        <f t="shared" si="172"/>
        <v>72.881142915869646</v>
      </c>
      <c r="G1189" s="14">
        <f t="shared" si="173"/>
        <v>992.99282051851208</v>
      </c>
      <c r="H1189" s="24">
        <f t="shared" si="171"/>
        <v>650</v>
      </c>
      <c r="I1189" s="12">
        <f t="shared" si="174"/>
        <v>0.13101389265547173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1015.4359512092515</v>
      </c>
      <c r="F1190" s="24">
        <f t="shared" si="172"/>
        <v>72.796417518472367</v>
      </c>
      <c r="G1190" s="14">
        <f t="shared" si="173"/>
        <v>992.13682166191393</v>
      </c>
      <c r="H1190" s="24">
        <f t="shared" si="171"/>
        <v>650</v>
      </c>
      <c r="I1190" s="12">
        <f t="shared" si="174"/>
        <v>0.13089826177352934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1015.566849471025</v>
      </c>
      <c r="F1191" s="24">
        <f t="shared" si="172"/>
        <v>72.711867469888602</v>
      </c>
      <c r="G1191" s="14">
        <f t="shared" si="173"/>
        <v>991.28232011056571</v>
      </c>
      <c r="H1191" s="24">
        <f t="shared" si="171"/>
        <v>650</v>
      </c>
      <c r="I1191" s="12">
        <f t="shared" si="174"/>
        <v>0.13078283648899097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1015.6976323075139</v>
      </c>
      <c r="F1192" s="24">
        <f t="shared" si="172"/>
        <v>72.627492248247449</v>
      </c>
      <c r="G1192" s="14">
        <f t="shared" si="173"/>
        <v>990.42931189570015</v>
      </c>
      <c r="H1192" s="24">
        <f t="shared" si="171"/>
        <v>650</v>
      </c>
      <c r="I1192" s="12">
        <f t="shared" si="174"/>
        <v>0.13066761624988146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1015.8282999237638</v>
      </c>
      <c r="F1193" s="24">
        <f t="shared" si="172"/>
        <v>72.543291333707316</v>
      </c>
      <c r="G1193" s="14">
        <f t="shared" si="173"/>
        <v>989.57779306291013</v>
      </c>
      <c r="H1193" s="24">
        <f t="shared" si="171"/>
        <v>650</v>
      </c>
      <c r="I1193" s="12">
        <f t="shared" si="174"/>
        <v>0.13055260050624015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1015.95885252427</v>
      </c>
      <c r="F1194" s="24">
        <f t="shared" si="172"/>
        <v>72.459264208453078</v>
      </c>
      <c r="G1194" s="14">
        <f t="shared" si="173"/>
        <v>988.72775967158725</v>
      </c>
      <c r="H1194" s="24">
        <f t="shared" si="171"/>
        <v>650</v>
      </c>
      <c r="I1194" s="12">
        <f t="shared" si="174"/>
        <v>0.13043778871005157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1016.0892903129801</v>
      </c>
      <c r="F1195" s="24">
        <f t="shared" si="172"/>
        <v>72.375410356664815</v>
      </c>
      <c r="G1195" s="14">
        <f t="shared" si="173"/>
        <v>987.87920779536728</v>
      </c>
      <c r="H1195" s="24">
        <f t="shared" si="171"/>
        <v>650</v>
      </c>
      <c r="I1195" s="12">
        <f t="shared" si="174"/>
        <v>0.13032318031529633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1016.2196134932954</v>
      </c>
      <c r="F1196" s="24">
        <f t="shared" si="172"/>
        <v>72.291729264546234</v>
      </c>
      <c r="G1196" s="14">
        <f t="shared" si="173"/>
        <v>987.03213352189755</v>
      </c>
      <c r="H1196" s="24">
        <f t="shared" si="171"/>
        <v>650</v>
      </c>
      <c r="I1196" s="12">
        <f t="shared" si="174"/>
        <v>0.13020877477792608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1016.3498222680732</v>
      </c>
      <c r="F1197" s="24">
        <f t="shared" si="172"/>
        <v>72.208220420262137</v>
      </c>
      <c r="G1197" s="14">
        <f t="shared" si="173"/>
        <v>986.18653295233332</v>
      </c>
      <c r="H1197" s="24">
        <f t="shared" si="171"/>
        <v>650</v>
      </c>
      <c r="I1197" s="12">
        <f t="shared" si="174"/>
        <v>0.13009457155579379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1016.479916839629</v>
      </c>
      <c r="F1198" s="24">
        <f t="shared" si="172"/>
        <v>72.12488331396969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0.12998057010876726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1016.6098974097378</v>
      </c>
      <c r="F1199" s="24">
        <f t="shared" si="172"/>
        <v>72.041717437801367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0.12986676989858897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1016.7397641796364</v>
      </c>
      <c r="F1200" s="24">
        <f t="shared" si="172"/>
        <v>71.958722285847898</v>
      </c>
      <c r="G1200" s="14">
        <f t="shared" si="173"/>
        <v>983.65853468963314</v>
      </c>
      <c r="H1200" s="24">
        <f t="shared" si="171"/>
        <v>650</v>
      </c>
      <c r="I1200" s="12">
        <f t="shared" si="174"/>
        <v>0.12975317038895226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1016.8695173500254</v>
      </c>
      <c r="F1201" s="24">
        <f t="shared" si="172"/>
        <v>71.8758973541469</v>
      </c>
      <c r="G1201" s="14">
        <f t="shared" si="173"/>
        <v>982.81879022640965</v>
      </c>
      <c r="H1201" s="24">
        <f t="shared" si="171"/>
        <v>650</v>
      </c>
      <c r="I1201" s="12">
        <f t="shared" si="174"/>
        <v>0.12963977104548352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1016.9991571210709</v>
      </c>
      <c r="F1202" s="24">
        <f t="shared" si="172"/>
        <v>71.793242140688562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0.12952657133570483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1017.1286836924066</v>
      </c>
      <c r="F1203" s="24">
        <f t="shared" si="172"/>
        <v>71.710756145378696</v>
      </c>
      <c r="G1203" s="14">
        <f t="shared" si="173"/>
        <v>981.1436607359966</v>
      </c>
      <c r="H1203" s="24">
        <f t="shared" si="171"/>
        <v>650</v>
      </c>
      <c r="I1203" s="12">
        <f t="shared" si="174"/>
        <v>0.12941357072901957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1017.2580972631357</v>
      </c>
      <c r="F1204" s="24">
        <f t="shared" si="172"/>
        <v>71.628438870069999</v>
      </c>
      <c r="G1204" s="14">
        <f t="shared" si="173"/>
        <v>980.30826808904408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0.12930076869672619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1017.3873980318324</v>
      </c>
      <c r="F1205" s="24">
        <f t="shared" si="172"/>
        <v>71.546289818516584</v>
      </c>
      <c r="G1205" s="14">
        <f t="shared" si="173"/>
        <v>979.47431845066569</v>
      </c>
      <c r="H1205" s="24">
        <f t="shared" si="180"/>
        <v>650</v>
      </c>
      <c r="I1205" s="12">
        <f t="shared" si="174"/>
        <v>0.12918816471206951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1017.5165861965445</v>
      </c>
      <c r="F1206" s="24">
        <f t="shared" si="172"/>
        <v>71.464308496385343</v>
      </c>
      <c r="G1206" s="14">
        <f t="shared" si="173"/>
        <v>978.64180804424564</v>
      </c>
      <c r="H1206" s="24">
        <f t="shared" si="180"/>
        <v>650</v>
      </c>
      <c r="I1206" s="12">
        <f t="shared" si="174"/>
        <v>0.12907575825007778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1017.6456619547946</v>
      </c>
      <c r="F1207" s="24">
        <f t="shared" si="172"/>
        <v>71.382494411227526</v>
      </c>
      <c r="G1207" s="14">
        <f t="shared" si="173"/>
        <v>977.81073310698582</v>
      </c>
      <c r="H1207" s="24">
        <f t="shared" si="180"/>
        <v>650</v>
      </c>
      <c r="I1207" s="12">
        <f t="shared" si="174"/>
        <v>0.12896354878770946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1017.7746255035823</v>
      </c>
      <c r="F1208" s="24">
        <f t="shared" si="172"/>
        <v>71.300847072495799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0.12885153580375261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1017.9034770393861</v>
      </c>
      <c r="F1209" s="24">
        <f t="shared" si="172"/>
        <v>71.219365991515815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0.12873971877886681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1018.032216758165</v>
      </c>
      <c r="F1210" s="24">
        <f t="shared" si="172"/>
        <v>71.138050681483378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0.12862809719551144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1018.1608448553604</v>
      </c>
      <c r="F1211" s="24">
        <f t="shared" si="172"/>
        <v>71.056900657455913</v>
      </c>
      <c r="G1211" s="14">
        <f t="shared" si="173"/>
        <v>974.5007132512826</v>
      </c>
      <c r="H1211" s="24">
        <f t="shared" si="180"/>
        <v>650</v>
      </c>
      <c r="I1211" s="12">
        <f t="shared" si="174"/>
        <v>0.12851667053802057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1018.2893615258985</v>
      </c>
      <c r="F1212" s="24">
        <f t="shared" si="172"/>
        <v>70.975915436343939</v>
      </c>
      <c r="G1212" s="14">
        <f t="shared" si="173"/>
        <v>973.67675967587729</v>
      </c>
      <c r="H1212" s="24">
        <f t="shared" si="180"/>
        <v>650</v>
      </c>
      <c r="I1212" s="12">
        <f t="shared" si="174"/>
        <v>0.12840543829254505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1018.4177669641911</v>
      </c>
      <c r="F1213" s="24">
        <f t="shared" si="172"/>
        <v>70.895094536902548</v>
      </c>
      <c r="G1213" s="14">
        <f t="shared" si="173"/>
        <v>972.85421926768959</v>
      </c>
      <c r="H1213" s="24">
        <f t="shared" si="180"/>
        <v>650</v>
      </c>
      <c r="I1213" s="12">
        <f t="shared" si="174"/>
        <v>0.12829439994706801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1018.5460613641382</v>
      </c>
      <c r="F1214" s="24">
        <f t="shared" si="172"/>
        <v>70.814437479720027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0.12818355499133188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1018.6742449191295</v>
      </c>
      <c r="F1215" s="24">
        <f t="shared" si="172"/>
        <v>70.733943787209341</v>
      </c>
      <c r="G1215" s="14">
        <f t="shared" si="173"/>
        <v>971.2133632787129</v>
      </c>
      <c r="H1215" s="24">
        <f t="shared" si="180"/>
        <v>650</v>
      </c>
      <c r="I1215" s="12">
        <f t="shared" si="174"/>
        <v>0.12807290291690901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1018.8023178220463</v>
      </c>
      <c r="F1216" s="24">
        <f t="shared" si="172"/>
        <v>70.653612983610969</v>
      </c>
      <c r="G1216" s="14">
        <f t="shared" si="173"/>
        <v>970.39504039331678</v>
      </c>
      <c r="H1216" s="24">
        <f t="shared" si="180"/>
        <v>650</v>
      </c>
      <c r="I1216" s="12">
        <f t="shared" si="174"/>
        <v>0.1279624432171852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1018.9302802652635</v>
      </c>
      <c r="F1217" s="24">
        <f t="shared" si="172"/>
        <v>70.573444594961643</v>
      </c>
      <c r="G1217" s="14">
        <f t="shared" si="173"/>
        <v>969.57811606555526</v>
      </c>
      <c r="H1217" s="24">
        <f t="shared" si="180"/>
        <v>650</v>
      </c>
      <c r="I1217" s="12">
        <f t="shared" si="174"/>
        <v>0.1278521753873274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1019.0581324406509</v>
      </c>
      <c r="F1218" s="24">
        <f t="shared" si="172"/>
        <v>70.493438149097187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1019.185874539575</v>
      </c>
      <c r="F1219" s="24">
        <f t="shared" si="172"/>
        <v>70.413593175666733</v>
      </c>
      <c r="G1219" s="14">
        <f t="shared" si="173"/>
        <v>967.94844861215211</v>
      </c>
      <c r="H1219" s="24">
        <f t="shared" si="180"/>
        <v>650</v>
      </c>
      <c r="I1219" s="12">
        <f t="shared" si="174"/>
        <v>0.12763221332658131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1019.3135067529016</v>
      </c>
      <c r="F1220" s="24">
        <f t="shared" si="172"/>
        <v>70.333909206081557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0.12752251809489723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1019.4410292709965</v>
      </c>
      <c r="F1221" s="24">
        <f t="shared" si="172"/>
        <v>70.254385773534977</v>
      </c>
      <c r="G1221" s="14">
        <f t="shared" si="173"/>
        <v>966.32433210490069</v>
      </c>
      <c r="H1221" s="24">
        <f t="shared" si="180"/>
        <v>650</v>
      </c>
      <c r="I1221" s="12">
        <f t="shared" si="174"/>
        <v>0.12741301273134301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1019.5684422837279</v>
      </c>
      <c r="F1222" s="24">
        <f t="shared" si="172"/>
        <v>70.175022412988142</v>
      </c>
      <c r="G1222" s="14">
        <f t="shared" si="173"/>
        <v>965.51434650627277</v>
      </c>
      <c r="H1222" s="24">
        <f t="shared" si="180"/>
        <v>650</v>
      </c>
      <c r="I1222" s="12">
        <f t="shared" si="174"/>
        <v>0.12730369673989581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1019.6957459804678</v>
      </c>
      <c r="F1223" s="24">
        <f t="shared" si="172"/>
        <v>70.095818661170028</v>
      </c>
      <c r="G1223" s="14">
        <f t="shared" si="173"/>
        <v>964.7057379294622</v>
      </c>
      <c r="H1223" s="24">
        <f t="shared" si="180"/>
        <v>650</v>
      </c>
      <c r="I1223" s="12">
        <f t="shared" si="174"/>
        <v>0.12719456962626746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1019.822940550094</v>
      </c>
      <c r="F1224" s="24">
        <f t="shared" si="172"/>
        <v>70.016774056543341</v>
      </c>
      <c r="G1224" s="14">
        <f t="shared" si="173"/>
        <v>963.89850282857071</v>
      </c>
      <c r="H1224" s="24">
        <f t="shared" si="180"/>
        <v>650</v>
      </c>
      <c r="I1224" s="12">
        <f t="shared" si="174"/>
        <v>0.12708563089787661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1019.9500261809919</v>
      </c>
      <c r="F1225" s="24">
        <f t="shared" si="172"/>
        <v>69.9378881393244</v>
      </c>
      <c r="G1225" s="14">
        <f t="shared" si="173"/>
        <v>963.0926376700254</v>
      </c>
      <c r="H1225" s="24">
        <f t="shared" si="180"/>
        <v>650</v>
      </c>
      <c r="I1225" s="12">
        <f t="shared" si="174"/>
        <v>0.12697688006387228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1020.0770030610558</v>
      </c>
      <c r="F1226" s="24">
        <f t="shared" si="172"/>
        <v>69.859160451460411</v>
      </c>
      <c r="G1226" s="14">
        <f t="shared" si="173"/>
        <v>962.28813893254028</v>
      </c>
      <c r="H1226" s="24">
        <f t="shared" si="180"/>
        <v>650</v>
      </c>
      <c r="I1226" s="12">
        <f t="shared" si="174"/>
        <v>0.12686831663512663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1020.203871377691</v>
      </c>
      <c r="F1227" s="24">
        <f t="shared" si="172"/>
        <v>69.780590536623777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0.12675994012420311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1020.3306313178152</v>
      </c>
      <c r="F1228" s="24">
        <f t="shared" si="172"/>
        <v>69.702177940214938</v>
      </c>
      <c r="G1228" s="14">
        <f t="shared" si="173"/>
        <v>960.68322669614986</v>
      </c>
      <c r="H1228" s="24">
        <f t="shared" si="180"/>
        <v>650</v>
      </c>
      <c r="I1228" s="12">
        <f t="shared" si="174"/>
        <v>0.12665175004540224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1020.4572830678607</v>
      </c>
      <c r="F1229" s="24">
        <f t="shared" si="172"/>
        <v>69.623922209328271</v>
      </c>
      <c r="G1229" s="14">
        <f t="shared" si="173"/>
        <v>959.88280621513786</v>
      </c>
      <c r="H1229" s="24">
        <f t="shared" si="180"/>
        <v>650</v>
      </c>
      <c r="I1229" s="12">
        <f t="shared" si="174"/>
        <v>0.12654374591465706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1020.5838268137753</v>
      </c>
      <c r="F1230" s="24">
        <f t="shared" si="172"/>
        <v>69.545822892777664</v>
      </c>
      <c r="G1230" s="14">
        <f t="shared" si="173"/>
        <v>959.08373819122471</v>
      </c>
      <c r="H1230" s="24">
        <f t="shared" si="180"/>
        <v>650</v>
      </c>
      <c r="I1230" s="12">
        <f t="shared" si="174"/>
        <v>0.12643592724966773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1020.710262741025</v>
      </c>
      <c r="F1231" s="24">
        <f t="shared" si="172"/>
        <v>69.467879541059574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0.12632829356974887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1020.8365910345947</v>
      </c>
      <c r="F1232" s="24">
        <f t="shared" si="172"/>
        <v>69.390091706353019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0.12622084439587983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1020.9628118789906</v>
      </c>
      <c r="F1233" s="24">
        <f t="shared" ref="F1233:F1296" si="181">AlphaC*(D1233-E1233)</f>
        <v>69.312458942525268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0.12611357925074582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1021.0889254582413</v>
      </c>
      <c r="F1234" s="24">
        <f t="shared" si="181"/>
        <v>69.234980805123314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0.12600649765870114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1021.2149319559001</v>
      </c>
      <c r="F1235" s="24">
        <f t="shared" si="181"/>
        <v>69.15765685133124</v>
      </c>
      <c r="G1235" s="14">
        <f t="shared" si="182"/>
        <v>955.10856420558093</v>
      </c>
      <c r="H1235" s="24">
        <f t="shared" si="180"/>
        <v>650</v>
      </c>
      <c r="I1235" s="12">
        <f t="shared" si="183"/>
        <v>0.12589959914565196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1021.3408315550457</v>
      </c>
      <c r="F1236" s="24">
        <f t="shared" si="181"/>
        <v>69.08048664001285</v>
      </c>
      <c r="G1236" s="14">
        <f t="shared" si="182"/>
        <v>954.3175386568912</v>
      </c>
      <c r="H1236" s="24">
        <f t="shared" si="180"/>
        <v>650</v>
      </c>
      <c r="I1236" s="12">
        <f t="shared" si="183"/>
        <v>0.12579288323926174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1021.466624438285</v>
      </c>
      <c r="F1237" s="24">
        <f t="shared" si="181"/>
        <v>69.003469731677569</v>
      </c>
      <c r="G1237" s="14">
        <f t="shared" si="182"/>
        <v>953.52784158643578</v>
      </c>
      <c r="H1237" s="24">
        <f t="shared" si="180"/>
        <v>650</v>
      </c>
      <c r="I1237" s="12">
        <f t="shared" si="183"/>
        <v>0.12568634946878254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1021.5923107877537</v>
      </c>
      <c r="F1238" s="24">
        <f t="shared" si="181"/>
        <v>68.926605688457698</v>
      </c>
      <c r="G1238" s="14">
        <f t="shared" si="182"/>
        <v>952.73946961529316</v>
      </c>
      <c r="H1238" s="24">
        <f t="shared" si="180"/>
        <v>650</v>
      </c>
      <c r="I1238" s="12">
        <f t="shared" si="183"/>
        <v>0.12557999736506656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1021.7178907851188</v>
      </c>
      <c r="F1239" s="24">
        <f t="shared" si="181"/>
        <v>68.849894074119788</v>
      </c>
      <c r="G1239" s="14">
        <f t="shared" si="182"/>
        <v>951.95241937624758</v>
      </c>
      <c r="H1239" s="24">
        <f t="shared" si="180"/>
        <v>650</v>
      </c>
      <c r="I1239" s="12">
        <f t="shared" si="183"/>
        <v>0.12547382646060573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1021.8433646115794</v>
      </c>
      <c r="F1240" s="24">
        <f t="shared" si="181"/>
        <v>68.773334454081692</v>
      </c>
      <c r="G1240" s="14">
        <f t="shared" si="182"/>
        <v>951.16668751380803</v>
      </c>
      <c r="H1240" s="24">
        <f t="shared" si="180"/>
        <v>650</v>
      </c>
      <c r="I1240" s="12">
        <f t="shared" si="183"/>
        <v>0.12536783628953613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1021.968732447869</v>
      </c>
      <c r="F1241" s="24">
        <f t="shared" si="181"/>
        <v>68.696926395355717</v>
      </c>
      <c r="G1241" s="14">
        <f t="shared" si="182"/>
        <v>950.38227068370418</v>
      </c>
      <c r="H1241" s="24">
        <f t="shared" si="180"/>
        <v>650</v>
      </c>
      <c r="I1241" s="12">
        <f t="shared" si="183"/>
        <v>0.125262026387569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1022.0939944742565</v>
      </c>
      <c r="F1242" s="24">
        <f t="shared" si="181"/>
        <v>68.620669466571371</v>
      </c>
      <c r="G1242" s="14">
        <f t="shared" si="182"/>
        <v>949.59916555304221</v>
      </c>
      <c r="H1242" s="24">
        <f t="shared" si="180"/>
        <v>650</v>
      </c>
      <c r="I1242" s="12">
        <f t="shared" si="183"/>
        <v>0.12515639629201275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1022.2191508705486</v>
      </c>
      <c r="F1243" s="24">
        <f t="shared" si="181"/>
        <v>68.544563237961142</v>
      </c>
      <c r="G1243" s="14">
        <f t="shared" si="182"/>
        <v>948.81736880038136</v>
      </c>
      <c r="H1243" s="24">
        <f t="shared" si="180"/>
        <v>650</v>
      </c>
      <c r="I1243" s="12">
        <f t="shared" si="183"/>
        <v>0.12505094554178062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1022.3442018160904</v>
      </c>
      <c r="F1244" s="24">
        <f t="shared" si="181"/>
        <v>68.468607281346294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0.12494567367736274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1022.4691474897678</v>
      </c>
      <c r="F1245" s="24">
        <f t="shared" si="181"/>
        <v>68.392801170151074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0.12484058024084937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1022.5939880700087</v>
      </c>
      <c r="F1246" s="24">
        <f t="shared" si="181"/>
        <v>68.317144479362923</v>
      </c>
      <c r="G1246" s="14">
        <f t="shared" si="182"/>
        <v>946.4797957648567</v>
      </c>
      <c r="H1246" s="24">
        <f t="shared" si="180"/>
        <v>650</v>
      </c>
      <c r="I1246" s="12">
        <f t="shared" si="183"/>
        <v>0.12473566477584973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1022.7187237347845</v>
      </c>
      <c r="F1247" s="24">
        <f t="shared" si="181"/>
        <v>68.2416367855609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0.12463092682761465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1022.8433546616121</v>
      </c>
      <c r="F1248" s="24">
        <f t="shared" si="181"/>
        <v>68.166277666873043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0.12452636594288595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1022.967881027555</v>
      </c>
      <c r="F1249" s="24">
        <f t="shared" si="181"/>
        <v>68.091066703004799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0.12442198167000244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1023.092303009225</v>
      </c>
      <c r="F1250" s="24">
        <f t="shared" si="181"/>
        <v>68.016003475199227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0.12431777355883541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1023.2166207827838</v>
      </c>
      <c r="F1251" s="24">
        <f t="shared" si="181"/>
        <v>67.94108756624837</v>
      </c>
      <c r="G1251" s="14">
        <f t="shared" si="182"/>
        <v>942.60970151836113</v>
      </c>
      <c r="H1251" s="24">
        <f t="shared" si="180"/>
        <v>650</v>
      </c>
      <c r="I1251" s="12">
        <f t="shared" si="183"/>
        <v>0.12421374116076153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1023.3408345239446</v>
      </c>
      <c r="F1252" s="24">
        <f t="shared" si="181"/>
        <v>67.866318560479044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0.12410988402873241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1023.4649444079733</v>
      </c>
      <c r="F1253" s="24">
        <f t="shared" si="181"/>
        <v>67.791696043767047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0.12400620171722415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1023.5889506096905</v>
      </c>
      <c r="F1254" s="24">
        <f t="shared" si="181"/>
        <v>67.717219603491685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0.12390269378219822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1023.7128533034727</v>
      </c>
      <c r="F1255" s="24">
        <f t="shared" si="181"/>
        <v>67.642888828549985</v>
      </c>
      <c r="G1255" s="14">
        <f t="shared" si="182"/>
        <v>939.53666752251604</v>
      </c>
      <c r="H1255" s="24">
        <f t="shared" si="180"/>
        <v>650</v>
      </c>
      <c r="I1255" s="12">
        <f t="shared" si="183"/>
        <v>0.12379935978114143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1023.8366526632539</v>
      </c>
      <c r="F1256" s="24">
        <f t="shared" si="181"/>
        <v>67.568703309362377</v>
      </c>
      <c r="G1256" s="14">
        <f t="shared" si="182"/>
        <v>938.77158250797982</v>
      </c>
      <c r="H1256" s="24">
        <f t="shared" si="180"/>
        <v>650</v>
      </c>
      <c r="I1256" s="12">
        <f t="shared" si="183"/>
        <v>0.12369619927306419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" xr:uid="{00000000-0002-0000-0000-000001000000}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3:R10"/>
  <sheetViews>
    <sheetView tabSelected="1" workbookViewId="0">
      <selection activeCell="M7" sqref="M7"/>
    </sheetView>
  </sheetViews>
  <sheetFormatPr baseColWidth="10" defaultRowHeight="15" x14ac:dyDescent="0.25"/>
  <sheetData>
    <row r="3" spans="3:18" x14ac:dyDescent="0.25">
      <c r="C3" s="3" t="s">
        <v>54</v>
      </c>
      <c r="D3" s="8" t="s">
        <v>55</v>
      </c>
      <c r="E3" s="18" t="s">
        <v>56</v>
      </c>
      <c r="F3" s="40"/>
      <c r="G3" s="41"/>
      <c r="H3" s="44" t="s">
        <v>66</v>
      </c>
      <c r="I3" s="45" t="s">
        <v>70</v>
      </c>
      <c r="J3" s="48" t="s">
        <v>71</v>
      </c>
      <c r="K3" s="49" t="s">
        <v>70</v>
      </c>
      <c r="L3" s="52" t="s">
        <v>83</v>
      </c>
      <c r="M3" s="53" t="s">
        <v>70</v>
      </c>
      <c r="O3" s="3"/>
      <c r="P3" s="3"/>
      <c r="Q3" s="3"/>
      <c r="R3" s="3"/>
    </row>
    <row r="4" spans="3:18" x14ac:dyDescent="0.25">
      <c r="C4" s="3" t="s">
        <v>14</v>
      </c>
      <c r="D4" s="10" t="s">
        <v>13</v>
      </c>
      <c r="E4" s="20" t="s">
        <v>13</v>
      </c>
      <c r="F4" s="42" t="s">
        <v>77</v>
      </c>
      <c r="G4" s="43" t="s">
        <v>78</v>
      </c>
      <c r="H4" s="46" t="s">
        <v>69</v>
      </c>
      <c r="I4" s="47"/>
      <c r="J4" s="50" t="s">
        <v>72</v>
      </c>
      <c r="K4" s="51"/>
      <c r="L4" s="54" t="s">
        <v>62</v>
      </c>
      <c r="M4" s="55"/>
      <c r="O4" s="3" t="s">
        <v>82</v>
      </c>
      <c r="P4" s="3" t="s">
        <v>84</v>
      </c>
      <c r="Q4" s="3" t="s">
        <v>85</v>
      </c>
      <c r="R4" s="3"/>
    </row>
    <row r="5" spans="3:1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797.85710678533542</v>
      </c>
      <c r="F5" s="13">
        <f>reductionky(E5)</f>
        <v>0.1125714718575975</v>
      </c>
      <c r="G5" s="13">
        <f>reductionke(E5)</f>
        <v>9.0857157285865825E-2</v>
      </c>
      <c r="H5" s="14">
        <f t="shared" ref="H5:H10" si="0">Wpl*Fy*F5/GammaM/1000</f>
        <v>19.441093189807088</v>
      </c>
      <c r="I5" s="14">
        <f t="shared" ref="I5:I10" si="1">MEd/H5</f>
        <v>2.604020232079467</v>
      </c>
      <c r="J5" s="13">
        <f t="shared" ref="J5:J10" si="2">Av*Fy*F5/SQRT(3)/GammaM/10</f>
        <v>45.898176357435759</v>
      </c>
      <c r="K5" s="38">
        <f>VEd/Echauffements!J5</f>
        <v>0.49021555507520453</v>
      </c>
      <c r="L5" s="14">
        <f t="shared" ref="L5:L10" si="3">Q5*MRk*F5</f>
        <v>7.8664919405329394</v>
      </c>
      <c r="M5" s="12">
        <f t="shared" ref="M5:M10" si="4">MEd/L5</f>
        <v>6.435524295035413</v>
      </c>
      <c r="O5" s="12">
        <f t="shared" ref="O5:O10" si="5">LambdaLT*SQRT(F5/G5)</f>
        <v>1.1464459077925853</v>
      </c>
      <c r="P5" s="12">
        <f t="shared" ref="P5:P10" si="6">0.5*(1+AlphaLT*(O5)+O5^2)</f>
        <v>1.5016019188274901</v>
      </c>
      <c r="Q5" s="12">
        <f>MIN(1,1/(P5+SQRT(P5^2-O5^2)))</f>
        <v>0.40463218110889565</v>
      </c>
    </row>
    <row r="6" spans="3:1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939.59683917995255</v>
      </c>
      <c r="F6" s="12">
        <f t="shared" ref="F6:F10" si="7">reductionky(E6)</f>
        <v>5.2080632164009488E-2</v>
      </c>
      <c r="G6" s="13">
        <f t="shared" ref="G6:G10" si="8">reductionke(E6)</f>
        <v>5.8590711184510674E-2</v>
      </c>
      <c r="H6" s="14">
        <f t="shared" si="0"/>
        <v>8.9943251747244393</v>
      </c>
      <c r="I6" s="14">
        <f t="shared" si="1"/>
        <v>5.6285490035722452</v>
      </c>
      <c r="J6" s="13">
        <f t="shared" si="2"/>
        <v>21.234563255016365</v>
      </c>
      <c r="K6" s="38">
        <f>VEd/Echauffements!J6</f>
        <v>1.0595932550995459</v>
      </c>
      <c r="L6" s="14">
        <f t="shared" si="3"/>
        <v>4.3426861216511954</v>
      </c>
      <c r="M6" s="12">
        <f t="shared" si="4"/>
        <v>11.657531440644654</v>
      </c>
      <c r="O6" s="12">
        <f t="shared" si="5"/>
        <v>0.97105249237255076</v>
      </c>
      <c r="P6" s="12">
        <f t="shared" si="6"/>
        <v>1.2632099088795645</v>
      </c>
      <c r="Q6" s="12">
        <f t="shared" ref="Q6:Q10" si="9">MIN(1,1/(P6+SQRT(P6^2-O6^2)))</f>
        <v>0.48282511887104901</v>
      </c>
    </row>
    <row r="7" spans="3:1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1002.7275427866718</v>
      </c>
      <c r="F7" s="12">
        <f t="shared" si="7"/>
        <v>3.9454491442665635E-2</v>
      </c>
      <c r="G7" s="13">
        <f t="shared" si="8"/>
        <v>4.4386302872998835E-2</v>
      </c>
      <c r="H7" s="14">
        <f t="shared" si="0"/>
        <v>6.8137906721483548</v>
      </c>
      <c r="I7" s="14">
        <f t="shared" si="1"/>
        <v>7.4297850397623364</v>
      </c>
      <c r="J7" s="13">
        <f t="shared" si="2"/>
        <v>16.086573058395963</v>
      </c>
      <c r="K7" s="38">
        <f>VEd/Echauffements!J7</f>
        <v>1.3986819889060658</v>
      </c>
      <c r="L7" s="14">
        <f t="shared" si="3"/>
        <v>3.2898692912424745</v>
      </c>
      <c r="M7" s="12">
        <f t="shared" si="4"/>
        <v>15.388149351332014</v>
      </c>
      <c r="O7" s="12">
        <f t="shared" si="5"/>
        <v>0.97105249237255076</v>
      </c>
      <c r="P7" s="12">
        <f t="shared" si="6"/>
        <v>1.2632099088795645</v>
      </c>
      <c r="Q7" s="12">
        <f t="shared" si="9"/>
        <v>0.48282511887104901</v>
      </c>
    </row>
    <row r="8" spans="3:1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2">
        <f t="shared" si="7"/>
        <v>3.0633148139398145E-2</v>
      </c>
      <c r="G8" s="13">
        <f t="shared" si="8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8">
        <f>VEd/Echauffements!J8</f>
        <v>1.801456589155813</v>
      </c>
      <c r="L8" s="14">
        <f t="shared" si="3"/>
        <v>2.5543113007637501</v>
      </c>
      <c r="M8" s="12">
        <f t="shared" si="4"/>
        <v>19.81943233969286</v>
      </c>
      <c r="O8" s="12">
        <f t="shared" si="5"/>
        <v>0.97105249237255076</v>
      </c>
      <c r="P8" s="12">
        <f t="shared" si="6"/>
        <v>1.2632099088795645</v>
      </c>
      <c r="Q8" s="12">
        <f t="shared" si="9"/>
        <v>0.48282511887104901</v>
      </c>
    </row>
    <row r="9" spans="3:1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2">
        <f t="shared" si="7"/>
        <v>1.8308955791970904E-2</v>
      </c>
      <c r="G9" s="13">
        <f t="shared" si="8"/>
        <v>2.0597575265967265E-2</v>
      </c>
      <c r="H9" s="14">
        <f t="shared" si="0"/>
        <v>3.161956665273375</v>
      </c>
      <c r="I9" s="14">
        <f t="shared" si="1"/>
        <v>16.010655856228531</v>
      </c>
      <c r="J9" s="13">
        <f t="shared" si="2"/>
        <v>7.4650146079942203</v>
      </c>
      <c r="K9" s="38">
        <f>VEd/Echauffements!J9</f>
        <v>3.0140597415449051</v>
      </c>
      <c r="L9" s="14">
        <f t="shared" si="3"/>
        <v>1.5266721027757231</v>
      </c>
      <c r="M9" s="12">
        <f t="shared" si="4"/>
        <v>33.160362272917688</v>
      </c>
      <c r="O9" s="12">
        <f t="shared" si="5"/>
        <v>0.97105249237255076</v>
      </c>
      <c r="P9" s="12">
        <f t="shared" si="6"/>
        <v>1.2632099088795645</v>
      </c>
      <c r="Q9" s="12">
        <f t="shared" si="9"/>
        <v>0.48282511887104901</v>
      </c>
    </row>
    <row r="10" spans="3:1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2">
        <f t="shared" si="7"/>
        <v>9.6124557445567468E-3</v>
      </c>
      <c r="G10" s="13">
        <f t="shared" si="8"/>
        <v>1.0814012712626339E-2</v>
      </c>
      <c r="H10" s="14">
        <f t="shared" si="0"/>
        <v>1.6600711070849501</v>
      </c>
      <c r="I10" s="14">
        <f t="shared" si="1"/>
        <v>30.495681651189287</v>
      </c>
      <c r="J10" s="13">
        <f t="shared" si="2"/>
        <v>3.9192362124377405</v>
      </c>
      <c r="K10" s="38">
        <f>VEd/Echauffements!J10</f>
        <v>5.740914499768091</v>
      </c>
      <c r="L10" s="14">
        <f t="shared" si="3"/>
        <v>0.80152402961268499</v>
      </c>
      <c r="M10" s="12">
        <f t="shared" si="4"/>
        <v>63.160926097827875</v>
      </c>
      <c r="O10" s="12">
        <f t="shared" si="5"/>
        <v>0.97105249237255076</v>
      </c>
      <c r="P10" s="12">
        <f t="shared" si="6"/>
        <v>1.2632099088795645</v>
      </c>
      <c r="Q10" s="12">
        <f t="shared" si="9"/>
        <v>0.48282511887104901</v>
      </c>
    </row>
  </sheetData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J37"/>
  <sheetViews>
    <sheetView workbookViewId="0">
      <selection activeCell="I5" sqref="I5"/>
    </sheetView>
  </sheetViews>
  <sheetFormatPr baseColWidth="10" defaultRowHeight="15" x14ac:dyDescent="0.25"/>
  <sheetData>
    <row r="3" spans="3:10" x14ac:dyDescent="0.25">
      <c r="C3" s="2" t="s">
        <v>57</v>
      </c>
      <c r="D3" s="4">
        <v>9</v>
      </c>
      <c r="E3" t="s">
        <v>60</v>
      </c>
      <c r="H3" t="s">
        <v>79</v>
      </c>
    </row>
    <row r="4" spans="3:10" x14ac:dyDescent="0.25">
      <c r="C4" s="2" t="s">
        <v>58</v>
      </c>
      <c r="D4" s="4">
        <v>5</v>
      </c>
      <c r="E4" t="s">
        <v>59</v>
      </c>
      <c r="H4" s="2" t="s">
        <v>80</v>
      </c>
      <c r="I4" s="4">
        <v>162.80000000000001</v>
      </c>
      <c r="J4" t="s">
        <v>62</v>
      </c>
    </row>
    <row r="5" spans="3:10" x14ac:dyDescent="0.25">
      <c r="H5" s="2" t="s">
        <v>81</v>
      </c>
      <c r="I5" s="30">
        <f>Wpl*Fy/1000</f>
        <v>172.7</v>
      </c>
      <c r="J5" t="s">
        <v>62</v>
      </c>
    </row>
    <row r="6" spans="3:10" x14ac:dyDescent="0.25">
      <c r="C6" s="2" t="s">
        <v>61</v>
      </c>
      <c r="D6" s="30">
        <f>q*LL^2/8</f>
        <v>50.625</v>
      </c>
      <c r="E6" t="s">
        <v>62</v>
      </c>
      <c r="H6" s="2" t="s">
        <v>82</v>
      </c>
      <c r="I6" s="39">
        <f>SQRT(MRk/Mcr)</f>
        <v>1.0299567033670933</v>
      </c>
    </row>
    <row r="7" spans="3:10" x14ac:dyDescent="0.25">
      <c r="C7" s="2" t="s">
        <v>73</v>
      </c>
      <c r="D7" s="30">
        <f>q*LL/2</f>
        <v>22.5</v>
      </c>
      <c r="E7" t="s">
        <v>74</v>
      </c>
      <c r="H7" s="2" t="s">
        <v>86</v>
      </c>
      <c r="I7" s="56">
        <f>0.65*SQRT(235/Fy)</f>
        <v>0.60087058052916398</v>
      </c>
    </row>
    <row r="8" spans="3:10" x14ac:dyDescent="0.25">
      <c r="H8" s="2" t="s">
        <v>87</v>
      </c>
      <c r="I8" s="30">
        <f>h/b</f>
        <v>2</v>
      </c>
    </row>
    <row r="9" spans="3:10" x14ac:dyDescent="0.25">
      <c r="C9" s="2" t="s">
        <v>75</v>
      </c>
      <c r="D9" s="4">
        <v>25.68</v>
      </c>
      <c r="E9" t="s">
        <v>76</v>
      </c>
      <c r="H9" s="2"/>
    </row>
    <row r="10" spans="3:10" x14ac:dyDescent="0.25">
      <c r="C10" s="2" t="s">
        <v>63</v>
      </c>
      <c r="D10" s="4">
        <v>628</v>
      </c>
      <c r="E10" t="s">
        <v>65</v>
      </c>
      <c r="H10" s="2"/>
    </row>
    <row r="11" spans="3:10" x14ac:dyDescent="0.25">
      <c r="C11" s="2" t="s">
        <v>64</v>
      </c>
      <c r="D11" s="4">
        <v>1</v>
      </c>
      <c r="H11" s="2"/>
    </row>
    <row r="12" spans="3:10" x14ac:dyDescent="0.25">
      <c r="C12" s="2" t="s">
        <v>67</v>
      </c>
      <c r="D12" s="4">
        <v>275</v>
      </c>
      <c r="E12" t="s">
        <v>68</v>
      </c>
      <c r="H12" s="2"/>
    </row>
    <row r="13" spans="3:10" x14ac:dyDescent="0.25">
      <c r="H13" s="2"/>
    </row>
    <row r="14" spans="3:10" x14ac:dyDescent="0.25">
      <c r="C14" s="2" t="s">
        <v>100</v>
      </c>
      <c r="D14" s="4">
        <v>1</v>
      </c>
      <c r="H14" s="2"/>
    </row>
    <row r="15" spans="3:10" x14ac:dyDescent="0.25">
      <c r="C15" s="2" t="s">
        <v>101</v>
      </c>
      <c r="D15" s="4">
        <v>5.34</v>
      </c>
      <c r="H15" s="2"/>
    </row>
    <row r="16" spans="3:10" x14ac:dyDescent="0.25">
      <c r="H16" s="2"/>
    </row>
    <row r="17" spans="3:8" x14ac:dyDescent="0.25">
      <c r="H17" s="2"/>
    </row>
    <row r="18" spans="3:8" x14ac:dyDescent="0.25">
      <c r="H18" s="2"/>
    </row>
    <row r="19" spans="3:8" x14ac:dyDescent="0.25">
      <c r="H19" s="2"/>
    </row>
    <row r="20" spans="3:8" x14ac:dyDescent="0.25">
      <c r="H20" s="2"/>
    </row>
    <row r="21" spans="3:8" x14ac:dyDescent="0.25">
      <c r="H21" s="2"/>
    </row>
    <row r="22" spans="3:8" x14ac:dyDescent="0.25">
      <c r="C22" t="s">
        <v>88</v>
      </c>
      <c r="H22" s="2"/>
    </row>
    <row r="23" spans="3:8" x14ac:dyDescent="0.25">
      <c r="C23" s="2" t="s">
        <v>89</v>
      </c>
      <c r="D23" s="60">
        <f>hw/tw</f>
        <v>39.239436619718312</v>
      </c>
      <c r="H23" s="2"/>
    </row>
    <row r="24" spans="3:8" x14ac:dyDescent="0.25">
      <c r="C24" s="2" t="s">
        <v>90</v>
      </c>
      <c r="D24" s="4">
        <v>0.5</v>
      </c>
      <c r="H24" s="2"/>
    </row>
    <row r="25" spans="3:8" x14ac:dyDescent="0.25">
      <c r="C25" s="2" t="s">
        <v>91</v>
      </c>
      <c r="D25" s="4">
        <v>-1</v>
      </c>
    </row>
    <row r="26" spans="3:8" x14ac:dyDescent="0.25">
      <c r="D26" s="3" t="s">
        <v>92</v>
      </c>
      <c r="E26" s="3" t="s">
        <v>93</v>
      </c>
    </row>
    <row r="27" spans="3:8" x14ac:dyDescent="0.25">
      <c r="C27" s="2" t="s">
        <v>94</v>
      </c>
      <c r="D27" s="57">
        <f>SQRT(235/Fy)</f>
        <v>0.92441627773717538</v>
      </c>
      <c r="E27" s="57">
        <f>D27*0.85</f>
        <v>0.7857538360765991</v>
      </c>
    </row>
    <row r="28" spans="3:8" x14ac:dyDescent="0.25">
      <c r="C28" s="2" t="s">
        <v>95</v>
      </c>
      <c r="D28" s="58">
        <f>41.5*D27/$D$24</f>
        <v>76.726551052185556</v>
      </c>
      <c r="E28" s="58">
        <f>41.5*E27/$D$24</f>
        <v>65.217568394357727</v>
      </c>
    </row>
    <row r="29" spans="3:8" x14ac:dyDescent="0.25">
      <c r="C29" s="2" t="s">
        <v>96</v>
      </c>
      <c r="D29" s="58">
        <f>62*D27*(1-$D$25)*SQRT(-$D$25)</f>
        <v>114.62761843940974</v>
      </c>
      <c r="E29" s="58">
        <f>62*E27*(1-$D$25)*SQRT(-$D$25)</f>
        <v>97.433475673498293</v>
      </c>
    </row>
    <row r="30" spans="3:8" x14ac:dyDescent="0.25">
      <c r="D30" s="3"/>
    </row>
    <row r="31" spans="3:8" x14ac:dyDescent="0.25">
      <c r="C31" s="2" t="s">
        <v>97</v>
      </c>
      <c r="D31" s="4">
        <v>2</v>
      </c>
      <c r="E31" s="59">
        <v>3</v>
      </c>
    </row>
    <row r="32" spans="3:8" x14ac:dyDescent="0.25">
      <c r="D32" s="3"/>
    </row>
    <row r="34" spans="3:5" x14ac:dyDescent="0.25">
      <c r="C34" s="2" t="s">
        <v>98</v>
      </c>
      <c r="D34" s="60">
        <f>72*D27/Eta</f>
        <v>66.557971997076635</v>
      </c>
      <c r="E34" s="60">
        <f>72*E27/Eta</f>
        <v>56.574276197515132</v>
      </c>
    </row>
    <row r="37" spans="3:5" x14ac:dyDescent="0.25">
      <c r="C37" s="2" t="s">
        <v>99</v>
      </c>
      <c r="D37" s="39">
        <f>hw/tw/(37.4*EpsilonFi*SQRT(kTau))</f>
        <v>0.57782193289585737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40</vt:i4>
      </vt:variant>
    </vt:vector>
  </HeadingPairs>
  <TitlesOfParts>
    <vt:vector size="43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DeltaT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LambdaLT</vt:lpstr>
      <vt:lpstr>ListeOuiNon</vt:lpstr>
      <vt:lpstr>ListExpo</vt:lpstr>
      <vt:lpstr>LL</vt:lpstr>
      <vt:lpstr>Massivete</vt:lpstr>
      <vt:lpstr>MassiveteBox</vt:lpstr>
      <vt:lpstr>Mcr</vt:lpstr>
      <vt:lpstr>MEd</vt:lpstr>
      <vt:lpstr>MRk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2024-10-31T13:39:10Z</cp:lastPrinted>
  <dcterms:created xsi:type="dcterms:W3CDTF">2024-10-21T13:00:30Z</dcterms:created>
  <dcterms:modified xsi:type="dcterms:W3CDTF">2025-04-15T09:16:28Z</dcterms:modified>
</cp:coreProperties>
</file>