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OGICIELS\CTICM AM - POUTRE MIXTE\DEV23\VALIDATION\CAS F01\"/>
    </mc:Choice>
  </mc:AlternateContent>
  <bookViews>
    <workbookView xWindow="0" yWindow="0" windowWidth="21570" windowHeight="9405"/>
  </bookViews>
  <sheets>
    <sheet name="Calculs" sheetId="1" r:id="rId1"/>
    <sheet name="Echauffements" sheetId="2" r:id="rId2"/>
  </sheets>
  <definedNames>
    <definedName name="Aa">Calculs!$M$7</definedName>
    <definedName name="AlphaC">Calculs!$D$8</definedName>
    <definedName name="b">Calculs!$I$6</definedName>
    <definedName name="Botzman">Calculs!$D$7</definedName>
    <definedName name="DeltaT">Calculs!$D$4</definedName>
    <definedName name="EpsilonF">Calculs!$D$6</definedName>
    <definedName name="Expo">Calculs!$M$5</definedName>
    <definedName name="Galva">Calculs!$I$11</definedName>
    <definedName name="h">Calculs!$I$5</definedName>
    <definedName name="hw">Calculs!$I$10</definedName>
    <definedName name="ksh">Calculs!$M$11</definedName>
    <definedName name="ListeOuiNon">Calculs!$N$2:$N$3</definedName>
    <definedName name="ListExpo">Calculs!$M$2:$M$3</definedName>
    <definedName name="Massivete">Calculs!$M$8</definedName>
    <definedName name="MassiveteBox">Calculs!$M$10</definedName>
    <definedName name="Oui">Calculs!$N$2</definedName>
    <definedName name="p">Calculs!$M$6</definedName>
    <definedName name="pb">Calculs!$M$9</definedName>
    <definedName name="Phi">Calculs!$D$10</definedName>
    <definedName name="RhoA">Calculs!$D$9</definedName>
    <definedName name="rr">Calculs!$I$9</definedName>
    <definedName name="tf">Calculs!$I$7</definedName>
    <definedName name="Theta0">Calculs!$D$5</definedName>
    <definedName name="tw">Calculs!$I$8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2" l="1"/>
  <c r="E7" i="2"/>
  <c r="E8" i="2"/>
  <c r="E9" i="2"/>
  <c r="E10" i="2"/>
  <c r="E5" i="2"/>
  <c r="D6" i="2"/>
  <c r="D7" i="2"/>
  <c r="D8" i="2"/>
  <c r="D9" i="2"/>
  <c r="D10" i="2"/>
  <c r="D5" i="2"/>
  <c r="B2815" i="1"/>
  <c r="C2815" i="1"/>
  <c r="D2815" i="1" s="1"/>
  <c r="F2815" i="1" s="1"/>
  <c r="E2815" i="1"/>
  <c r="J2815" i="1" s="1"/>
  <c r="B2816" i="1"/>
  <c r="C2816" i="1" s="1"/>
  <c r="D2816" i="1" s="1"/>
  <c r="B2798" i="1"/>
  <c r="C2798" i="1" s="1"/>
  <c r="D2798" i="1" s="1"/>
  <c r="E2798" i="1"/>
  <c r="H2798" i="1"/>
  <c r="J2798" i="1"/>
  <c r="B2780" i="1"/>
  <c r="C2780" i="1"/>
  <c r="D2780" i="1" s="1"/>
  <c r="F2780" i="1" s="1"/>
  <c r="E2780" i="1"/>
  <c r="J2780" i="1"/>
  <c r="B2781" i="1"/>
  <c r="C2781" i="1" s="1"/>
  <c r="D2781" i="1" s="1"/>
  <c r="B2687" i="1"/>
  <c r="C2687" i="1" s="1"/>
  <c r="D2687" i="1" s="1"/>
  <c r="F2687" i="1" s="1"/>
  <c r="E2687" i="1"/>
  <c r="H2687" i="1"/>
  <c r="J2687" i="1"/>
  <c r="B2407" i="1"/>
  <c r="C2407" i="1"/>
  <c r="D2407" i="1" s="1"/>
  <c r="F2407" i="1" s="1"/>
  <c r="E2407" i="1"/>
  <c r="J2407" i="1" s="1"/>
  <c r="B2408" i="1"/>
  <c r="C2408" i="1" s="1"/>
  <c r="D2408" i="1" s="1"/>
  <c r="B1233" i="1"/>
  <c r="C1233" i="1"/>
  <c r="D1233" i="1" s="1"/>
  <c r="F1233" i="1" s="1"/>
  <c r="E1233" i="1"/>
  <c r="J1233" i="1" s="1"/>
  <c r="B1234" i="1"/>
  <c r="C1234" i="1" s="1"/>
  <c r="D1234" i="1" s="1"/>
  <c r="B755" i="1"/>
  <c r="B756" i="1" s="1"/>
  <c r="C755" i="1"/>
  <c r="D755" i="1" s="1"/>
  <c r="F755" i="1" s="1"/>
  <c r="E755" i="1"/>
  <c r="H755" i="1" s="1"/>
  <c r="G19" i="1"/>
  <c r="G17" i="1"/>
  <c r="M9" i="1"/>
  <c r="I10" i="1"/>
  <c r="M7" i="1" s="1"/>
  <c r="M6" i="1"/>
  <c r="E17" i="1"/>
  <c r="H17" i="1" s="1"/>
  <c r="C17" i="1"/>
  <c r="D17" i="1" s="1"/>
  <c r="B18" i="1"/>
  <c r="B19" i="1" s="1"/>
  <c r="G2815" i="1" l="1"/>
  <c r="H2815" i="1"/>
  <c r="B2817" i="1"/>
  <c r="F2798" i="1"/>
  <c r="G2798" i="1"/>
  <c r="B2799" i="1"/>
  <c r="G2780" i="1"/>
  <c r="H2780" i="1"/>
  <c r="B2782" i="1"/>
  <c r="G2687" i="1"/>
  <c r="I2687" i="1" s="1"/>
  <c r="E2688" i="1" s="1"/>
  <c r="B2688" i="1"/>
  <c r="G2407" i="1"/>
  <c r="H2407" i="1"/>
  <c r="B2409" i="1"/>
  <c r="G1233" i="1"/>
  <c r="H1233" i="1"/>
  <c r="I1233" i="1" s="1"/>
  <c r="E1234" i="1" s="1"/>
  <c r="B1235" i="1"/>
  <c r="B757" i="1"/>
  <c r="C756" i="1"/>
  <c r="D756" i="1" s="1"/>
  <c r="J755" i="1"/>
  <c r="G755" i="1" s="1"/>
  <c r="I755" i="1"/>
  <c r="E756" i="1" s="1"/>
  <c r="J17" i="1"/>
  <c r="M8" i="1"/>
  <c r="M10" i="1"/>
  <c r="M11" i="1" s="1"/>
  <c r="B20" i="1"/>
  <c r="C20" i="1" s="1"/>
  <c r="D20" i="1" s="1"/>
  <c r="C19" i="1"/>
  <c r="D19" i="1" s="1"/>
  <c r="C18" i="1"/>
  <c r="D18" i="1" s="1"/>
  <c r="F17" i="1"/>
  <c r="B21" i="1"/>
  <c r="C21" i="1" s="1"/>
  <c r="D21" i="1" s="1"/>
  <c r="C2817" i="1" l="1"/>
  <c r="D2817" i="1" s="1"/>
  <c r="B2818" i="1"/>
  <c r="I2815" i="1"/>
  <c r="E2816" i="1" s="1"/>
  <c r="C2799" i="1"/>
  <c r="D2799" i="1" s="1"/>
  <c r="B2800" i="1"/>
  <c r="I2798" i="1"/>
  <c r="E2799" i="1" s="1"/>
  <c r="C2782" i="1"/>
  <c r="D2782" i="1" s="1"/>
  <c r="B2783" i="1"/>
  <c r="I2780" i="1"/>
  <c r="E2781" i="1" s="1"/>
  <c r="J2688" i="1"/>
  <c r="H2688" i="1"/>
  <c r="C2688" i="1"/>
  <c r="D2688" i="1" s="1"/>
  <c r="F2688" i="1" s="1"/>
  <c r="B2689" i="1"/>
  <c r="C2409" i="1"/>
  <c r="D2409" i="1" s="1"/>
  <c r="B2410" i="1"/>
  <c r="I2407" i="1"/>
  <c r="E2408" i="1" s="1"/>
  <c r="J1234" i="1"/>
  <c r="G1234" i="1" s="1"/>
  <c r="H1234" i="1"/>
  <c r="F1234" i="1"/>
  <c r="C1235" i="1"/>
  <c r="D1235" i="1" s="1"/>
  <c r="B1236" i="1"/>
  <c r="E757" i="1"/>
  <c r="H756" i="1"/>
  <c r="I756" i="1" s="1"/>
  <c r="J756" i="1"/>
  <c r="G756" i="1" s="1"/>
  <c r="F756" i="1"/>
  <c r="B758" i="1"/>
  <c r="C757" i="1"/>
  <c r="D757" i="1" s="1"/>
  <c r="F757" i="1" s="1"/>
  <c r="I17" i="1"/>
  <c r="E18" i="1" s="1"/>
  <c r="B22" i="1"/>
  <c r="C22" i="1" s="1"/>
  <c r="D22" i="1" s="1"/>
  <c r="C2818" i="1" l="1"/>
  <c r="D2818" i="1" s="1"/>
  <c r="B2819" i="1"/>
  <c r="J2816" i="1"/>
  <c r="G2816" i="1" s="1"/>
  <c r="H2816" i="1"/>
  <c r="F2816" i="1"/>
  <c r="H2799" i="1"/>
  <c r="I2799" i="1" s="1"/>
  <c r="E2800" i="1" s="1"/>
  <c r="J2799" i="1"/>
  <c r="G2799" i="1" s="1"/>
  <c r="C2800" i="1"/>
  <c r="D2800" i="1" s="1"/>
  <c r="B2801" i="1"/>
  <c r="F2799" i="1"/>
  <c r="J2781" i="1"/>
  <c r="G2781" i="1" s="1"/>
  <c r="H2781" i="1"/>
  <c r="F2781" i="1"/>
  <c r="C2783" i="1"/>
  <c r="D2783" i="1" s="1"/>
  <c r="B2784" i="1"/>
  <c r="C2689" i="1"/>
  <c r="D2689" i="1" s="1"/>
  <c r="B2690" i="1"/>
  <c r="G2688" i="1"/>
  <c r="I2688" i="1" s="1"/>
  <c r="E2689" i="1" s="1"/>
  <c r="J2408" i="1"/>
  <c r="G2408" i="1" s="1"/>
  <c r="H2408" i="1"/>
  <c r="F2408" i="1"/>
  <c r="C2410" i="1"/>
  <c r="D2410" i="1" s="1"/>
  <c r="B2411" i="1"/>
  <c r="C1236" i="1"/>
  <c r="D1236" i="1" s="1"/>
  <c r="B1237" i="1"/>
  <c r="I1234" i="1"/>
  <c r="E1235" i="1" s="1"/>
  <c r="H757" i="1"/>
  <c r="I757" i="1" s="1"/>
  <c r="E758" i="1" s="1"/>
  <c r="J757" i="1"/>
  <c r="G757" i="1" s="1"/>
  <c r="B759" i="1"/>
  <c r="C758" i="1"/>
  <c r="D758" i="1" s="1"/>
  <c r="J18" i="1"/>
  <c r="G18" i="1" s="1"/>
  <c r="H18" i="1"/>
  <c r="F18" i="1"/>
  <c r="B23" i="1"/>
  <c r="C23" i="1" s="1"/>
  <c r="D23" i="1" s="1"/>
  <c r="C2819" i="1" l="1"/>
  <c r="D2819" i="1" s="1"/>
  <c r="B2820" i="1"/>
  <c r="I2816" i="1"/>
  <c r="E2817" i="1" s="1"/>
  <c r="H2800" i="1"/>
  <c r="J2800" i="1"/>
  <c r="G2800" i="1" s="1"/>
  <c r="C2801" i="1"/>
  <c r="D2801" i="1" s="1"/>
  <c r="B2802" i="1"/>
  <c r="F2800" i="1"/>
  <c r="C2784" i="1"/>
  <c r="D2784" i="1" s="1"/>
  <c r="B2785" i="1"/>
  <c r="I2781" i="1"/>
  <c r="E2782" i="1" s="1"/>
  <c r="H2689" i="1"/>
  <c r="J2689" i="1"/>
  <c r="G2689" i="1" s="1"/>
  <c r="C2690" i="1"/>
  <c r="D2690" i="1" s="1"/>
  <c r="B2691" i="1"/>
  <c r="F2689" i="1"/>
  <c r="C2411" i="1"/>
  <c r="D2411" i="1" s="1"/>
  <c r="B2412" i="1"/>
  <c r="I2408" i="1"/>
  <c r="E2409" i="1" s="1"/>
  <c r="H1235" i="1"/>
  <c r="J1235" i="1"/>
  <c r="G1235" i="1" s="1"/>
  <c r="F1235" i="1"/>
  <c r="C1237" i="1"/>
  <c r="D1237" i="1" s="1"/>
  <c r="B1238" i="1"/>
  <c r="H758" i="1"/>
  <c r="I758" i="1" s="1"/>
  <c r="E759" i="1" s="1"/>
  <c r="J758" i="1"/>
  <c r="G758" i="1" s="1"/>
  <c r="F758" i="1"/>
  <c r="C759" i="1"/>
  <c r="D759" i="1" s="1"/>
  <c r="B760" i="1"/>
  <c r="I18" i="1"/>
  <c r="E19" i="1" s="1"/>
  <c r="J19" i="1" s="1"/>
  <c r="B24" i="1"/>
  <c r="C24" i="1" s="1"/>
  <c r="D24" i="1" s="1"/>
  <c r="H2817" i="1" l="1"/>
  <c r="J2817" i="1"/>
  <c r="G2817" i="1" s="1"/>
  <c r="F2817" i="1"/>
  <c r="C2820" i="1"/>
  <c r="D2820" i="1" s="1"/>
  <c r="B2821" i="1"/>
  <c r="C2802" i="1"/>
  <c r="D2802" i="1" s="1"/>
  <c r="B2803" i="1"/>
  <c r="I2800" i="1"/>
  <c r="E2801" i="1" s="1"/>
  <c r="H2782" i="1"/>
  <c r="I2782" i="1" s="1"/>
  <c r="E2783" i="1" s="1"/>
  <c r="J2782" i="1"/>
  <c r="G2782" i="1" s="1"/>
  <c r="F2782" i="1"/>
  <c r="C2785" i="1"/>
  <c r="D2785" i="1" s="1"/>
  <c r="B2786" i="1"/>
  <c r="B2692" i="1"/>
  <c r="C2691" i="1"/>
  <c r="D2691" i="1" s="1"/>
  <c r="I2689" i="1"/>
  <c r="E2690" i="1" s="1"/>
  <c r="H2409" i="1"/>
  <c r="J2409" i="1"/>
  <c r="G2409" i="1" s="1"/>
  <c r="F2409" i="1"/>
  <c r="C2412" i="1"/>
  <c r="D2412" i="1" s="1"/>
  <c r="B2413" i="1"/>
  <c r="C1238" i="1"/>
  <c r="D1238" i="1" s="1"/>
  <c r="B1239" i="1"/>
  <c r="I1235" i="1"/>
  <c r="E1236" i="1" s="1"/>
  <c r="J759" i="1"/>
  <c r="G759" i="1" s="1"/>
  <c r="H759" i="1"/>
  <c r="C760" i="1"/>
  <c r="D760" i="1" s="1"/>
  <c r="B761" i="1"/>
  <c r="F759" i="1"/>
  <c r="H19" i="1"/>
  <c r="F19" i="1"/>
  <c r="B25" i="1"/>
  <c r="C25" i="1" s="1"/>
  <c r="D25" i="1" s="1"/>
  <c r="C2821" i="1" l="1"/>
  <c r="D2821" i="1" s="1"/>
  <c r="B2822" i="1"/>
  <c r="I2817" i="1"/>
  <c r="E2818" i="1" s="1"/>
  <c r="H2801" i="1"/>
  <c r="J2801" i="1"/>
  <c r="G2801" i="1" s="1"/>
  <c r="B2804" i="1"/>
  <c r="C2803" i="1"/>
  <c r="D2803" i="1" s="1"/>
  <c r="F2801" i="1"/>
  <c r="H2783" i="1"/>
  <c r="J2783" i="1"/>
  <c r="G2783" i="1" s="1"/>
  <c r="F2783" i="1"/>
  <c r="C2786" i="1"/>
  <c r="D2786" i="1" s="1"/>
  <c r="B2787" i="1"/>
  <c r="C2692" i="1"/>
  <c r="D2692" i="1" s="1"/>
  <c r="B2693" i="1"/>
  <c r="H2690" i="1"/>
  <c r="J2690" i="1"/>
  <c r="G2690" i="1" s="1"/>
  <c r="F2690" i="1"/>
  <c r="C2413" i="1"/>
  <c r="D2413" i="1" s="1"/>
  <c r="B2414" i="1"/>
  <c r="I2409" i="1"/>
  <c r="E2410" i="1" s="1"/>
  <c r="H1236" i="1"/>
  <c r="J1236" i="1"/>
  <c r="G1236" i="1" s="1"/>
  <c r="F1236" i="1"/>
  <c r="C1239" i="1"/>
  <c r="D1239" i="1" s="1"/>
  <c r="B1240" i="1"/>
  <c r="C761" i="1"/>
  <c r="D761" i="1" s="1"/>
  <c r="B762" i="1"/>
  <c r="I759" i="1"/>
  <c r="E760" i="1" s="1"/>
  <c r="I19" i="1"/>
  <c r="E20" i="1" s="1"/>
  <c r="H20" i="1" s="1"/>
  <c r="B26" i="1"/>
  <c r="C26" i="1" s="1"/>
  <c r="D26" i="1" s="1"/>
  <c r="H2818" i="1" l="1"/>
  <c r="I2818" i="1" s="1"/>
  <c r="E2819" i="1" s="1"/>
  <c r="J2818" i="1"/>
  <c r="G2818" i="1" s="1"/>
  <c r="F2818" i="1"/>
  <c r="C2822" i="1"/>
  <c r="D2822" i="1" s="1"/>
  <c r="B2823" i="1"/>
  <c r="C2804" i="1"/>
  <c r="D2804" i="1" s="1"/>
  <c r="B2805" i="1"/>
  <c r="I2801" i="1"/>
  <c r="E2802" i="1" s="1"/>
  <c r="C2787" i="1"/>
  <c r="D2787" i="1" s="1"/>
  <c r="B2788" i="1"/>
  <c r="I2783" i="1"/>
  <c r="E2784" i="1" s="1"/>
  <c r="I2690" i="1"/>
  <c r="E2691" i="1" s="1"/>
  <c r="B2694" i="1"/>
  <c r="C2693" i="1"/>
  <c r="D2693" i="1" s="1"/>
  <c r="H2410" i="1"/>
  <c r="J2410" i="1"/>
  <c r="G2410" i="1" s="1"/>
  <c r="F2410" i="1"/>
  <c r="C2414" i="1"/>
  <c r="D2414" i="1" s="1"/>
  <c r="B2415" i="1"/>
  <c r="C1240" i="1"/>
  <c r="D1240" i="1" s="1"/>
  <c r="B1241" i="1"/>
  <c r="I1236" i="1"/>
  <c r="E1237" i="1" s="1"/>
  <c r="J760" i="1"/>
  <c r="G760" i="1" s="1"/>
  <c r="H760" i="1"/>
  <c r="F760" i="1"/>
  <c r="B763" i="1"/>
  <c r="C762" i="1"/>
  <c r="D762" i="1" s="1"/>
  <c r="J20" i="1"/>
  <c r="G20" i="1" s="1"/>
  <c r="F20" i="1"/>
  <c r="B27" i="1"/>
  <c r="C27" i="1" s="1"/>
  <c r="D27" i="1" s="1"/>
  <c r="H2819" i="1" l="1"/>
  <c r="J2819" i="1"/>
  <c r="G2819" i="1" s="1"/>
  <c r="F2819" i="1"/>
  <c r="C2823" i="1"/>
  <c r="D2823" i="1" s="1"/>
  <c r="B2824" i="1"/>
  <c r="H2802" i="1"/>
  <c r="J2802" i="1"/>
  <c r="G2802" i="1" s="1"/>
  <c r="F2802" i="1"/>
  <c r="C2805" i="1"/>
  <c r="D2805" i="1" s="1"/>
  <c r="B2806" i="1"/>
  <c r="C2788" i="1"/>
  <c r="D2788" i="1" s="1"/>
  <c r="B2789" i="1"/>
  <c r="H2784" i="1"/>
  <c r="J2784" i="1"/>
  <c r="G2784" i="1" s="1"/>
  <c r="F2784" i="1"/>
  <c r="C2694" i="1"/>
  <c r="D2694" i="1" s="1"/>
  <c r="B2695" i="1"/>
  <c r="H2691" i="1"/>
  <c r="J2691" i="1"/>
  <c r="G2691" i="1" s="1"/>
  <c r="F2691" i="1"/>
  <c r="C2415" i="1"/>
  <c r="D2415" i="1" s="1"/>
  <c r="B2416" i="1"/>
  <c r="I2410" i="1"/>
  <c r="E2411" i="1" s="1"/>
  <c r="C1241" i="1"/>
  <c r="D1241" i="1" s="1"/>
  <c r="B1242" i="1"/>
  <c r="H1237" i="1"/>
  <c r="J1237" i="1"/>
  <c r="G1237" i="1" s="1"/>
  <c r="F1237" i="1"/>
  <c r="C763" i="1"/>
  <c r="D763" i="1" s="1"/>
  <c r="B764" i="1"/>
  <c r="I760" i="1"/>
  <c r="E761" i="1" s="1"/>
  <c r="I20" i="1"/>
  <c r="E21" i="1" s="1"/>
  <c r="B28" i="1"/>
  <c r="C28" i="1" s="1"/>
  <c r="D28" i="1" s="1"/>
  <c r="C2824" i="1" l="1"/>
  <c r="D2824" i="1" s="1"/>
  <c r="B2825" i="1"/>
  <c r="I2819" i="1"/>
  <c r="E2820" i="1" s="1"/>
  <c r="C2806" i="1"/>
  <c r="D2806" i="1" s="1"/>
  <c r="B2807" i="1"/>
  <c r="I2802" i="1"/>
  <c r="E2803" i="1" s="1"/>
  <c r="I2784" i="1"/>
  <c r="E2785" i="1" s="1"/>
  <c r="C2789" i="1"/>
  <c r="D2789" i="1" s="1"/>
  <c r="B2790" i="1"/>
  <c r="C2695" i="1"/>
  <c r="D2695" i="1" s="1"/>
  <c r="B2696" i="1"/>
  <c r="I2691" i="1"/>
  <c r="E2692" i="1" s="1"/>
  <c r="H2411" i="1"/>
  <c r="J2411" i="1"/>
  <c r="G2411" i="1" s="1"/>
  <c r="F2411" i="1"/>
  <c r="C2416" i="1"/>
  <c r="D2416" i="1" s="1"/>
  <c r="B2417" i="1"/>
  <c r="I1237" i="1"/>
  <c r="E1238" i="1" s="1"/>
  <c r="C1242" i="1"/>
  <c r="D1242" i="1" s="1"/>
  <c r="B1243" i="1"/>
  <c r="J761" i="1"/>
  <c r="G761" i="1" s="1"/>
  <c r="H761" i="1"/>
  <c r="I761" i="1" s="1"/>
  <c r="E762" i="1" s="1"/>
  <c r="F761" i="1"/>
  <c r="C764" i="1"/>
  <c r="D764" i="1" s="1"/>
  <c r="B765" i="1"/>
  <c r="F21" i="1"/>
  <c r="J21" i="1"/>
  <c r="G21" i="1" s="1"/>
  <c r="H21" i="1"/>
  <c r="B29" i="1"/>
  <c r="C29" i="1" s="1"/>
  <c r="D29" i="1" s="1"/>
  <c r="H2820" i="1" l="1"/>
  <c r="J2820" i="1"/>
  <c r="G2820" i="1" s="1"/>
  <c r="F2820" i="1"/>
  <c r="C2825" i="1"/>
  <c r="D2825" i="1" s="1"/>
  <c r="B2826" i="1"/>
  <c r="C2807" i="1"/>
  <c r="D2807" i="1" s="1"/>
  <c r="B2808" i="1"/>
  <c r="H2803" i="1"/>
  <c r="J2803" i="1"/>
  <c r="G2803" i="1" s="1"/>
  <c r="F2803" i="1"/>
  <c r="C2790" i="1"/>
  <c r="D2790" i="1" s="1"/>
  <c r="B2791" i="1"/>
  <c r="H2785" i="1"/>
  <c r="J2785" i="1"/>
  <c r="G2785" i="1" s="1"/>
  <c r="F2785" i="1"/>
  <c r="H2692" i="1"/>
  <c r="J2692" i="1"/>
  <c r="G2692" i="1" s="1"/>
  <c r="F2692" i="1"/>
  <c r="C2696" i="1"/>
  <c r="D2696" i="1" s="1"/>
  <c r="B2697" i="1"/>
  <c r="I2411" i="1"/>
  <c r="E2412" i="1" s="1"/>
  <c r="C2417" i="1"/>
  <c r="D2417" i="1" s="1"/>
  <c r="B2418" i="1"/>
  <c r="C1243" i="1"/>
  <c r="D1243" i="1" s="1"/>
  <c r="B1244" i="1"/>
  <c r="H1238" i="1"/>
  <c r="J1238" i="1"/>
  <c r="G1238" i="1" s="1"/>
  <c r="F1238" i="1"/>
  <c r="H762" i="1"/>
  <c r="J762" i="1"/>
  <c r="G762" i="1" s="1"/>
  <c r="F762" i="1"/>
  <c r="C765" i="1"/>
  <c r="D765" i="1" s="1"/>
  <c r="B766" i="1"/>
  <c r="I21" i="1"/>
  <c r="E22" i="1" s="1"/>
  <c r="F22" i="1" s="1"/>
  <c r="B30" i="1"/>
  <c r="C30" i="1" s="1"/>
  <c r="D30" i="1" s="1"/>
  <c r="C2826" i="1" l="1"/>
  <c r="D2826" i="1" s="1"/>
  <c r="B2827" i="1"/>
  <c r="I2820" i="1"/>
  <c r="E2821" i="1" s="1"/>
  <c r="I2803" i="1"/>
  <c r="E2804" i="1" s="1"/>
  <c r="C2808" i="1"/>
  <c r="D2808" i="1" s="1"/>
  <c r="B2809" i="1"/>
  <c r="I2785" i="1"/>
  <c r="E2786" i="1" s="1"/>
  <c r="C2791" i="1"/>
  <c r="D2791" i="1" s="1"/>
  <c r="B2792" i="1"/>
  <c r="C2697" i="1"/>
  <c r="D2697" i="1" s="1"/>
  <c r="B2698" i="1"/>
  <c r="I2692" i="1"/>
  <c r="E2693" i="1" s="1"/>
  <c r="C2418" i="1"/>
  <c r="D2418" i="1" s="1"/>
  <c r="B2419" i="1"/>
  <c r="H2412" i="1"/>
  <c r="J2412" i="1"/>
  <c r="G2412" i="1" s="1"/>
  <c r="F2412" i="1"/>
  <c r="I1238" i="1"/>
  <c r="E1239" i="1" s="1"/>
  <c r="C1244" i="1"/>
  <c r="D1244" i="1" s="1"/>
  <c r="B1245" i="1"/>
  <c r="B767" i="1"/>
  <c r="C766" i="1"/>
  <c r="D766" i="1" s="1"/>
  <c r="I762" i="1"/>
  <c r="E763" i="1" s="1"/>
  <c r="J22" i="1"/>
  <c r="H22" i="1"/>
  <c r="B31" i="1"/>
  <c r="C31" i="1" s="1"/>
  <c r="D31" i="1" s="1"/>
  <c r="H2821" i="1" l="1"/>
  <c r="J2821" i="1"/>
  <c r="G2821" i="1" s="1"/>
  <c r="F2821" i="1"/>
  <c r="C2827" i="1"/>
  <c r="D2827" i="1" s="1"/>
  <c r="B2828" i="1"/>
  <c r="B2810" i="1"/>
  <c r="C2809" i="1"/>
  <c r="D2809" i="1" s="1"/>
  <c r="H2804" i="1"/>
  <c r="J2804" i="1"/>
  <c r="G2804" i="1" s="1"/>
  <c r="F2804" i="1"/>
  <c r="C2792" i="1"/>
  <c r="D2792" i="1" s="1"/>
  <c r="B2793" i="1"/>
  <c r="H2786" i="1"/>
  <c r="J2786" i="1"/>
  <c r="G2786" i="1" s="1"/>
  <c r="F2786" i="1"/>
  <c r="C2698" i="1"/>
  <c r="D2698" i="1" s="1"/>
  <c r="B2699" i="1"/>
  <c r="H2693" i="1"/>
  <c r="J2693" i="1"/>
  <c r="G2693" i="1" s="1"/>
  <c r="F2693" i="1"/>
  <c r="I2412" i="1"/>
  <c r="E2413" i="1" s="1"/>
  <c r="C2419" i="1"/>
  <c r="D2419" i="1" s="1"/>
  <c r="B2420" i="1"/>
  <c r="C1245" i="1"/>
  <c r="D1245" i="1" s="1"/>
  <c r="B1246" i="1"/>
  <c r="H1239" i="1"/>
  <c r="J1239" i="1"/>
  <c r="G1239" i="1" s="1"/>
  <c r="F1239" i="1"/>
  <c r="H763" i="1"/>
  <c r="J763" i="1"/>
  <c r="G763" i="1" s="1"/>
  <c r="F763" i="1"/>
  <c r="C767" i="1"/>
  <c r="D767" i="1" s="1"/>
  <c r="B768" i="1"/>
  <c r="G22" i="1"/>
  <c r="I22" i="1" s="1"/>
  <c r="E23" i="1" s="1"/>
  <c r="B32" i="1"/>
  <c r="C32" i="1" s="1"/>
  <c r="D32" i="1" s="1"/>
  <c r="C2828" i="1" l="1"/>
  <c r="D2828" i="1" s="1"/>
  <c r="B2829" i="1"/>
  <c r="I2821" i="1"/>
  <c r="E2822" i="1" s="1"/>
  <c r="I2804" i="1"/>
  <c r="E2805" i="1" s="1"/>
  <c r="B2811" i="1"/>
  <c r="C2810" i="1"/>
  <c r="D2810" i="1" s="1"/>
  <c r="I2786" i="1"/>
  <c r="E2787" i="1" s="1"/>
  <c r="C2793" i="1"/>
  <c r="D2793" i="1" s="1"/>
  <c r="B2794" i="1"/>
  <c r="I2693" i="1"/>
  <c r="E2694" i="1" s="1"/>
  <c r="C2699" i="1"/>
  <c r="D2699" i="1" s="1"/>
  <c r="B2700" i="1"/>
  <c r="C2420" i="1"/>
  <c r="D2420" i="1" s="1"/>
  <c r="B2421" i="1"/>
  <c r="H2413" i="1"/>
  <c r="J2413" i="1"/>
  <c r="G2413" i="1" s="1"/>
  <c r="F2413" i="1"/>
  <c r="I1239" i="1"/>
  <c r="E1240" i="1" s="1"/>
  <c r="C1246" i="1"/>
  <c r="D1246" i="1" s="1"/>
  <c r="B1247" i="1"/>
  <c r="C768" i="1"/>
  <c r="D768" i="1" s="1"/>
  <c r="B769" i="1"/>
  <c r="I763" i="1"/>
  <c r="E764" i="1" s="1"/>
  <c r="J23" i="1"/>
  <c r="G23" i="1" s="1"/>
  <c r="H23" i="1"/>
  <c r="F23" i="1"/>
  <c r="B33" i="1"/>
  <c r="C33" i="1" s="1"/>
  <c r="D33" i="1" s="1"/>
  <c r="H2822" i="1" l="1"/>
  <c r="I2822" i="1" s="1"/>
  <c r="E2823" i="1" s="1"/>
  <c r="J2822" i="1"/>
  <c r="G2822" i="1" s="1"/>
  <c r="F2822" i="1"/>
  <c r="C2829" i="1"/>
  <c r="D2829" i="1" s="1"/>
  <c r="B2830" i="1"/>
  <c r="J2805" i="1"/>
  <c r="G2805" i="1" s="1"/>
  <c r="H2805" i="1"/>
  <c r="F2805" i="1"/>
  <c r="B2812" i="1"/>
  <c r="C2811" i="1"/>
  <c r="D2811" i="1" s="1"/>
  <c r="C2794" i="1"/>
  <c r="D2794" i="1" s="1"/>
  <c r="B2795" i="1"/>
  <c r="H2787" i="1"/>
  <c r="J2787" i="1"/>
  <c r="G2787" i="1" s="1"/>
  <c r="F2787" i="1"/>
  <c r="J2694" i="1"/>
  <c r="G2694" i="1" s="1"/>
  <c r="H2694" i="1"/>
  <c r="F2694" i="1"/>
  <c r="B2701" i="1"/>
  <c r="C2700" i="1"/>
  <c r="D2700" i="1" s="1"/>
  <c r="C2421" i="1"/>
  <c r="D2421" i="1" s="1"/>
  <c r="B2422" i="1"/>
  <c r="I2413" i="1"/>
  <c r="E2414" i="1" s="1"/>
  <c r="C1247" i="1"/>
  <c r="D1247" i="1" s="1"/>
  <c r="B1248" i="1"/>
  <c r="H1240" i="1"/>
  <c r="J1240" i="1"/>
  <c r="G1240" i="1" s="1"/>
  <c r="F1240" i="1"/>
  <c r="H764" i="1"/>
  <c r="J764" i="1"/>
  <c r="G764" i="1" s="1"/>
  <c r="F764" i="1"/>
  <c r="C769" i="1"/>
  <c r="D769" i="1" s="1"/>
  <c r="B770" i="1"/>
  <c r="I23" i="1"/>
  <c r="E24" i="1" s="1"/>
  <c r="B34" i="1"/>
  <c r="C34" i="1" s="1"/>
  <c r="D34" i="1" s="1"/>
  <c r="J2823" i="1" l="1"/>
  <c r="G2823" i="1" s="1"/>
  <c r="H2823" i="1"/>
  <c r="F2823" i="1"/>
  <c r="C2830" i="1"/>
  <c r="D2830" i="1" s="1"/>
  <c r="B2831" i="1"/>
  <c r="B2813" i="1"/>
  <c r="C2812" i="1"/>
  <c r="D2812" i="1" s="1"/>
  <c r="I2805" i="1"/>
  <c r="E2806" i="1" s="1"/>
  <c r="I2787" i="1"/>
  <c r="E2788" i="1" s="1"/>
  <c r="B2796" i="1"/>
  <c r="C2795" i="1"/>
  <c r="D2795" i="1" s="1"/>
  <c r="I2694" i="1"/>
  <c r="E2695" i="1" s="1"/>
  <c r="C2701" i="1"/>
  <c r="D2701" i="1" s="1"/>
  <c r="B2702" i="1"/>
  <c r="H2414" i="1"/>
  <c r="J2414" i="1"/>
  <c r="G2414" i="1" s="1"/>
  <c r="F2414" i="1"/>
  <c r="C2422" i="1"/>
  <c r="D2422" i="1" s="1"/>
  <c r="B2423" i="1"/>
  <c r="I1240" i="1"/>
  <c r="E1241" i="1" s="1"/>
  <c r="C1248" i="1"/>
  <c r="D1248" i="1" s="1"/>
  <c r="B1249" i="1"/>
  <c r="C770" i="1"/>
  <c r="D770" i="1" s="1"/>
  <c r="B771" i="1"/>
  <c r="I764" i="1"/>
  <c r="E765" i="1" s="1"/>
  <c r="F24" i="1"/>
  <c r="J24" i="1"/>
  <c r="G24" i="1" s="1"/>
  <c r="H24" i="1"/>
  <c r="B35" i="1"/>
  <c r="C35" i="1" s="1"/>
  <c r="D35" i="1" s="1"/>
  <c r="I2823" i="1" l="1"/>
  <c r="E2824" i="1" s="1"/>
  <c r="C2831" i="1"/>
  <c r="D2831" i="1" s="1"/>
  <c r="B2832" i="1"/>
  <c r="J2806" i="1"/>
  <c r="G2806" i="1" s="1"/>
  <c r="H2806" i="1"/>
  <c r="F2806" i="1"/>
  <c r="C2813" i="1"/>
  <c r="D2813" i="1" s="1"/>
  <c r="B2814" i="1"/>
  <c r="C2814" i="1" s="1"/>
  <c r="D2814" i="1" s="1"/>
  <c r="B2797" i="1"/>
  <c r="C2797" i="1" s="1"/>
  <c r="D2797" i="1" s="1"/>
  <c r="C2796" i="1"/>
  <c r="D2796" i="1" s="1"/>
  <c r="J2788" i="1"/>
  <c r="G2788" i="1" s="1"/>
  <c r="H2788" i="1"/>
  <c r="F2788" i="1"/>
  <c r="C2702" i="1"/>
  <c r="D2702" i="1" s="1"/>
  <c r="B2703" i="1"/>
  <c r="J2695" i="1"/>
  <c r="G2695" i="1" s="1"/>
  <c r="H2695" i="1"/>
  <c r="I2695" i="1" s="1"/>
  <c r="E2696" i="1" s="1"/>
  <c r="F2695" i="1"/>
  <c r="C2423" i="1"/>
  <c r="D2423" i="1" s="1"/>
  <c r="B2424" i="1"/>
  <c r="I2414" i="1"/>
  <c r="E2415" i="1" s="1"/>
  <c r="C1249" i="1"/>
  <c r="D1249" i="1" s="1"/>
  <c r="B1250" i="1"/>
  <c r="J1241" i="1"/>
  <c r="G1241" i="1" s="1"/>
  <c r="H1241" i="1"/>
  <c r="F1241" i="1"/>
  <c r="B772" i="1"/>
  <c r="C771" i="1"/>
  <c r="D771" i="1" s="1"/>
  <c r="J765" i="1"/>
  <c r="G765" i="1" s="1"/>
  <c r="H765" i="1"/>
  <c r="I765" i="1" s="1"/>
  <c r="E766" i="1" s="1"/>
  <c r="F765" i="1"/>
  <c r="I24" i="1"/>
  <c r="E25" i="1" s="1"/>
  <c r="B36" i="1"/>
  <c r="C36" i="1" s="1"/>
  <c r="D36" i="1" s="1"/>
  <c r="C2832" i="1" l="1"/>
  <c r="D2832" i="1" s="1"/>
  <c r="B2833" i="1"/>
  <c r="J2824" i="1"/>
  <c r="G2824" i="1" s="1"/>
  <c r="H2824" i="1"/>
  <c r="I2824" i="1" s="1"/>
  <c r="E2825" i="1" s="1"/>
  <c r="F2824" i="1"/>
  <c r="I2806" i="1"/>
  <c r="E2807" i="1" s="1"/>
  <c r="I2788" i="1"/>
  <c r="E2789" i="1" s="1"/>
  <c r="J2696" i="1"/>
  <c r="G2696" i="1" s="1"/>
  <c r="H2696" i="1"/>
  <c r="F2696" i="1"/>
  <c r="C2703" i="1"/>
  <c r="D2703" i="1" s="1"/>
  <c r="B2704" i="1"/>
  <c r="J2415" i="1"/>
  <c r="G2415" i="1" s="1"/>
  <c r="H2415" i="1"/>
  <c r="F2415" i="1"/>
  <c r="C2424" i="1"/>
  <c r="D2424" i="1" s="1"/>
  <c r="B2425" i="1"/>
  <c r="I1241" i="1"/>
  <c r="E1242" i="1" s="1"/>
  <c r="C1250" i="1"/>
  <c r="D1250" i="1" s="1"/>
  <c r="B1251" i="1"/>
  <c r="H766" i="1"/>
  <c r="J766" i="1"/>
  <c r="G766" i="1" s="1"/>
  <c r="F766" i="1"/>
  <c r="B773" i="1"/>
  <c r="C772" i="1"/>
  <c r="D772" i="1" s="1"/>
  <c r="H25" i="1"/>
  <c r="F25" i="1"/>
  <c r="J25" i="1"/>
  <c r="G25" i="1" s="1"/>
  <c r="B37" i="1"/>
  <c r="C37" i="1" s="1"/>
  <c r="D37" i="1" s="1"/>
  <c r="H2825" i="1" l="1"/>
  <c r="I2825" i="1" s="1"/>
  <c r="E2826" i="1" s="1"/>
  <c r="J2825" i="1"/>
  <c r="G2825" i="1" s="1"/>
  <c r="F2825" i="1"/>
  <c r="C2833" i="1"/>
  <c r="D2833" i="1" s="1"/>
  <c r="B2834" i="1"/>
  <c r="J2807" i="1"/>
  <c r="G2807" i="1" s="1"/>
  <c r="H2807" i="1"/>
  <c r="I2807" i="1" s="1"/>
  <c r="E2808" i="1" s="1"/>
  <c r="F2807" i="1"/>
  <c r="J2789" i="1"/>
  <c r="G2789" i="1" s="1"/>
  <c r="H2789" i="1"/>
  <c r="F2789" i="1"/>
  <c r="C2704" i="1"/>
  <c r="D2704" i="1" s="1"/>
  <c r="B2705" i="1"/>
  <c r="I2696" i="1"/>
  <c r="E2697" i="1" s="1"/>
  <c r="C2425" i="1"/>
  <c r="D2425" i="1" s="1"/>
  <c r="B2426" i="1"/>
  <c r="I2415" i="1"/>
  <c r="E2416" i="1" s="1"/>
  <c r="C1251" i="1"/>
  <c r="D1251" i="1" s="1"/>
  <c r="B1252" i="1"/>
  <c r="J1242" i="1"/>
  <c r="G1242" i="1" s="1"/>
  <c r="H1242" i="1"/>
  <c r="F1242" i="1"/>
  <c r="C773" i="1"/>
  <c r="D773" i="1" s="1"/>
  <c r="B774" i="1"/>
  <c r="I766" i="1"/>
  <c r="E767" i="1" s="1"/>
  <c r="I25" i="1"/>
  <c r="E26" i="1" s="1"/>
  <c r="B38" i="1"/>
  <c r="C38" i="1" s="1"/>
  <c r="D38" i="1" s="1"/>
  <c r="H2826" i="1" l="1"/>
  <c r="I2826" i="1" s="1"/>
  <c r="E2827" i="1" s="1"/>
  <c r="J2826" i="1"/>
  <c r="G2826" i="1" s="1"/>
  <c r="F2826" i="1"/>
  <c r="C2834" i="1"/>
  <c r="D2834" i="1" s="1"/>
  <c r="B2835" i="1"/>
  <c r="H2808" i="1"/>
  <c r="J2808" i="1"/>
  <c r="G2808" i="1" s="1"/>
  <c r="F2808" i="1"/>
  <c r="I2789" i="1"/>
  <c r="E2790" i="1" s="1"/>
  <c r="H2697" i="1"/>
  <c r="J2697" i="1"/>
  <c r="G2697" i="1" s="1"/>
  <c r="F2697" i="1"/>
  <c r="C2705" i="1"/>
  <c r="D2705" i="1" s="1"/>
  <c r="B2706" i="1"/>
  <c r="J2416" i="1"/>
  <c r="G2416" i="1" s="1"/>
  <c r="H2416" i="1"/>
  <c r="F2416" i="1"/>
  <c r="C2426" i="1"/>
  <c r="D2426" i="1" s="1"/>
  <c r="B2427" i="1"/>
  <c r="I1242" i="1"/>
  <c r="E1243" i="1" s="1"/>
  <c r="C1252" i="1"/>
  <c r="D1252" i="1" s="1"/>
  <c r="B1253" i="1"/>
  <c r="J767" i="1"/>
  <c r="G767" i="1" s="1"/>
  <c r="H767" i="1"/>
  <c r="F767" i="1"/>
  <c r="C774" i="1"/>
  <c r="D774" i="1" s="1"/>
  <c r="B775" i="1"/>
  <c r="J26" i="1"/>
  <c r="G26" i="1" s="1"/>
  <c r="F26" i="1"/>
  <c r="H26" i="1"/>
  <c r="B39" i="1"/>
  <c r="H2827" i="1" l="1"/>
  <c r="J2827" i="1"/>
  <c r="G2827" i="1" s="1"/>
  <c r="F2827" i="1"/>
  <c r="C2835" i="1"/>
  <c r="D2835" i="1" s="1"/>
  <c r="B2836" i="1"/>
  <c r="I2808" i="1"/>
  <c r="E2809" i="1" s="1"/>
  <c r="H2790" i="1"/>
  <c r="J2790" i="1"/>
  <c r="G2790" i="1" s="1"/>
  <c r="F2790" i="1"/>
  <c r="C2706" i="1"/>
  <c r="D2706" i="1" s="1"/>
  <c r="B2707" i="1"/>
  <c r="I2697" i="1"/>
  <c r="E2698" i="1" s="1"/>
  <c r="C2427" i="1"/>
  <c r="D2427" i="1" s="1"/>
  <c r="B2428" i="1"/>
  <c r="I2416" i="1"/>
  <c r="E2417" i="1" s="1"/>
  <c r="C1253" i="1"/>
  <c r="D1253" i="1" s="1"/>
  <c r="B1254" i="1"/>
  <c r="H1243" i="1"/>
  <c r="J1243" i="1"/>
  <c r="G1243" i="1" s="1"/>
  <c r="F1243" i="1"/>
  <c r="C775" i="1"/>
  <c r="D775" i="1" s="1"/>
  <c r="B776" i="1"/>
  <c r="I767" i="1"/>
  <c r="E768" i="1" s="1"/>
  <c r="I26" i="1"/>
  <c r="E27" i="1" s="1"/>
  <c r="C39" i="1"/>
  <c r="D39" i="1" s="1"/>
  <c r="B40" i="1"/>
  <c r="C2836" i="1" l="1"/>
  <c r="D2836" i="1" s="1"/>
  <c r="B2837" i="1"/>
  <c r="I2827" i="1"/>
  <c r="E2828" i="1" s="1"/>
  <c r="H2809" i="1"/>
  <c r="J2809" i="1"/>
  <c r="G2809" i="1" s="1"/>
  <c r="F2809" i="1"/>
  <c r="I2790" i="1"/>
  <c r="E2791" i="1" s="1"/>
  <c r="H2698" i="1"/>
  <c r="I2698" i="1" s="1"/>
  <c r="E2699" i="1" s="1"/>
  <c r="J2698" i="1"/>
  <c r="G2698" i="1" s="1"/>
  <c r="F2698" i="1"/>
  <c r="B2708" i="1"/>
  <c r="C2707" i="1"/>
  <c r="D2707" i="1" s="1"/>
  <c r="C2428" i="1"/>
  <c r="D2428" i="1" s="1"/>
  <c r="B2429" i="1"/>
  <c r="H2417" i="1"/>
  <c r="J2417" i="1"/>
  <c r="G2417" i="1" s="1"/>
  <c r="F2417" i="1"/>
  <c r="I1243" i="1"/>
  <c r="E1244" i="1" s="1"/>
  <c r="C1254" i="1"/>
  <c r="D1254" i="1" s="1"/>
  <c r="B1255" i="1"/>
  <c r="J768" i="1"/>
  <c r="G768" i="1" s="1"/>
  <c r="H768" i="1"/>
  <c r="F768" i="1"/>
  <c r="C776" i="1"/>
  <c r="D776" i="1" s="1"/>
  <c r="B777" i="1"/>
  <c r="H27" i="1"/>
  <c r="J27" i="1"/>
  <c r="G27" i="1" s="1"/>
  <c r="F27" i="1"/>
  <c r="C40" i="1"/>
  <c r="D40" i="1" s="1"/>
  <c r="B41" i="1"/>
  <c r="C2837" i="1" l="1"/>
  <c r="D2837" i="1" s="1"/>
  <c r="B2838" i="1"/>
  <c r="H2828" i="1"/>
  <c r="J2828" i="1"/>
  <c r="G2828" i="1" s="1"/>
  <c r="F2828" i="1"/>
  <c r="I2809" i="1"/>
  <c r="E2810" i="1" s="1"/>
  <c r="H2791" i="1"/>
  <c r="J2791" i="1"/>
  <c r="G2791" i="1" s="1"/>
  <c r="F2791" i="1"/>
  <c r="H2699" i="1"/>
  <c r="J2699" i="1"/>
  <c r="G2699" i="1" s="1"/>
  <c r="F2699" i="1"/>
  <c r="C2708" i="1"/>
  <c r="D2708" i="1" s="1"/>
  <c r="B2709" i="1"/>
  <c r="I2417" i="1"/>
  <c r="E2418" i="1" s="1"/>
  <c r="C2429" i="1"/>
  <c r="D2429" i="1" s="1"/>
  <c r="B2430" i="1"/>
  <c r="C1255" i="1"/>
  <c r="D1255" i="1" s="1"/>
  <c r="B1256" i="1"/>
  <c r="H1244" i="1"/>
  <c r="J1244" i="1"/>
  <c r="G1244" i="1" s="1"/>
  <c r="F1244" i="1"/>
  <c r="C777" i="1"/>
  <c r="D777" i="1" s="1"/>
  <c r="B778" i="1"/>
  <c r="I768" i="1"/>
  <c r="E769" i="1" s="1"/>
  <c r="I27" i="1"/>
  <c r="E28" i="1" s="1"/>
  <c r="C41" i="1"/>
  <c r="D41" i="1" s="1"/>
  <c r="B42" i="1"/>
  <c r="C2838" i="1" l="1"/>
  <c r="D2838" i="1" s="1"/>
  <c r="B2839" i="1"/>
  <c r="I2828" i="1"/>
  <c r="E2829" i="1" s="1"/>
  <c r="H2810" i="1"/>
  <c r="J2810" i="1"/>
  <c r="G2810" i="1" s="1"/>
  <c r="F2810" i="1"/>
  <c r="I2791" i="1"/>
  <c r="E2792" i="1" s="1"/>
  <c r="B2710" i="1"/>
  <c r="C2709" i="1"/>
  <c r="D2709" i="1" s="1"/>
  <c r="I2699" i="1"/>
  <c r="E2700" i="1" s="1"/>
  <c r="C2430" i="1"/>
  <c r="D2430" i="1" s="1"/>
  <c r="B2431" i="1"/>
  <c r="H2418" i="1"/>
  <c r="J2418" i="1"/>
  <c r="G2418" i="1" s="1"/>
  <c r="F2418" i="1"/>
  <c r="I1244" i="1"/>
  <c r="E1245" i="1" s="1"/>
  <c r="C1256" i="1"/>
  <c r="D1256" i="1" s="1"/>
  <c r="B1257" i="1"/>
  <c r="J769" i="1"/>
  <c r="G769" i="1" s="1"/>
  <c r="H769" i="1"/>
  <c r="F769" i="1"/>
  <c r="B779" i="1"/>
  <c r="C778" i="1"/>
  <c r="D778" i="1" s="1"/>
  <c r="J28" i="1"/>
  <c r="G28" i="1" s="1"/>
  <c r="H28" i="1"/>
  <c r="F28" i="1"/>
  <c r="C42" i="1"/>
  <c r="D42" i="1" s="1"/>
  <c r="B43" i="1"/>
  <c r="C2839" i="1" l="1"/>
  <c r="D2839" i="1" s="1"/>
  <c r="B2840" i="1"/>
  <c r="H2829" i="1"/>
  <c r="J2829" i="1"/>
  <c r="G2829" i="1" s="1"/>
  <c r="F2829" i="1"/>
  <c r="I2810" i="1"/>
  <c r="E2811" i="1" s="1"/>
  <c r="H2792" i="1"/>
  <c r="J2792" i="1"/>
  <c r="G2792" i="1" s="1"/>
  <c r="F2792" i="1"/>
  <c r="H2700" i="1"/>
  <c r="I2700" i="1" s="1"/>
  <c r="E2701" i="1" s="1"/>
  <c r="J2700" i="1"/>
  <c r="G2700" i="1" s="1"/>
  <c r="F2700" i="1"/>
  <c r="C2710" i="1"/>
  <c r="D2710" i="1" s="1"/>
  <c r="B2711" i="1"/>
  <c r="C2431" i="1"/>
  <c r="D2431" i="1" s="1"/>
  <c r="B2432" i="1"/>
  <c r="I2418" i="1"/>
  <c r="E2419" i="1" s="1"/>
  <c r="C1257" i="1"/>
  <c r="D1257" i="1" s="1"/>
  <c r="B1258" i="1"/>
  <c r="H1245" i="1"/>
  <c r="J1245" i="1"/>
  <c r="G1245" i="1" s="1"/>
  <c r="F1245" i="1"/>
  <c r="B780" i="1"/>
  <c r="C779" i="1"/>
  <c r="D779" i="1" s="1"/>
  <c r="I769" i="1"/>
  <c r="E770" i="1" s="1"/>
  <c r="I28" i="1"/>
  <c r="E29" i="1" s="1"/>
  <c r="C43" i="1"/>
  <c r="D43" i="1" s="1"/>
  <c r="B44" i="1"/>
  <c r="C2840" i="1" l="1"/>
  <c r="D2840" i="1" s="1"/>
  <c r="B2841" i="1"/>
  <c r="I2829" i="1"/>
  <c r="E2830" i="1" s="1"/>
  <c r="H2811" i="1"/>
  <c r="J2811" i="1"/>
  <c r="G2811" i="1" s="1"/>
  <c r="F2811" i="1"/>
  <c r="I2792" i="1"/>
  <c r="E2793" i="1" s="1"/>
  <c r="H2701" i="1"/>
  <c r="I2701" i="1" s="1"/>
  <c r="E2702" i="1" s="1"/>
  <c r="J2701" i="1"/>
  <c r="G2701" i="1" s="1"/>
  <c r="F2701" i="1"/>
  <c r="C2711" i="1"/>
  <c r="D2711" i="1" s="1"/>
  <c r="B2712" i="1"/>
  <c r="H2419" i="1"/>
  <c r="J2419" i="1"/>
  <c r="G2419" i="1" s="1"/>
  <c r="F2419" i="1"/>
  <c r="C2432" i="1"/>
  <c r="D2432" i="1" s="1"/>
  <c r="B2433" i="1"/>
  <c r="I1245" i="1"/>
  <c r="E1246" i="1" s="1"/>
  <c r="C1258" i="1"/>
  <c r="D1258" i="1" s="1"/>
  <c r="B1259" i="1"/>
  <c r="H770" i="1"/>
  <c r="J770" i="1"/>
  <c r="G770" i="1" s="1"/>
  <c r="F770" i="1"/>
  <c r="B781" i="1"/>
  <c r="C780" i="1"/>
  <c r="D780" i="1" s="1"/>
  <c r="J29" i="1"/>
  <c r="G29" i="1" s="1"/>
  <c r="F29" i="1"/>
  <c r="H29" i="1"/>
  <c r="C44" i="1"/>
  <c r="D44" i="1" s="1"/>
  <c r="B45" i="1"/>
  <c r="H2830" i="1" l="1"/>
  <c r="J2830" i="1"/>
  <c r="G2830" i="1" s="1"/>
  <c r="F2830" i="1"/>
  <c r="C2841" i="1"/>
  <c r="D2841" i="1" s="1"/>
  <c r="B2842" i="1"/>
  <c r="I2811" i="1"/>
  <c r="E2812" i="1" s="1"/>
  <c r="H2793" i="1"/>
  <c r="J2793" i="1"/>
  <c r="G2793" i="1" s="1"/>
  <c r="F2793" i="1"/>
  <c r="J2702" i="1"/>
  <c r="G2702" i="1" s="1"/>
  <c r="H2702" i="1"/>
  <c r="F2702" i="1"/>
  <c r="C2712" i="1"/>
  <c r="D2712" i="1" s="1"/>
  <c r="B2713" i="1"/>
  <c r="C2433" i="1"/>
  <c r="D2433" i="1" s="1"/>
  <c r="B2434" i="1"/>
  <c r="I2419" i="1"/>
  <c r="E2420" i="1" s="1"/>
  <c r="C1259" i="1"/>
  <c r="D1259" i="1" s="1"/>
  <c r="B1260" i="1"/>
  <c r="H1246" i="1"/>
  <c r="J1246" i="1"/>
  <c r="G1246" i="1" s="1"/>
  <c r="F1246" i="1"/>
  <c r="C781" i="1"/>
  <c r="D781" i="1" s="1"/>
  <c r="B782" i="1"/>
  <c r="I770" i="1"/>
  <c r="E771" i="1" s="1"/>
  <c r="I29" i="1"/>
  <c r="E30" i="1" s="1"/>
  <c r="C45" i="1"/>
  <c r="D45" i="1" s="1"/>
  <c r="B46" i="1"/>
  <c r="C2842" i="1" l="1"/>
  <c r="D2842" i="1" s="1"/>
  <c r="B2843" i="1"/>
  <c r="I2830" i="1"/>
  <c r="E2831" i="1" s="1"/>
  <c r="J2812" i="1"/>
  <c r="G2812" i="1" s="1"/>
  <c r="H2812" i="1"/>
  <c r="I2812" i="1" s="1"/>
  <c r="E2813" i="1" s="1"/>
  <c r="F2812" i="1"/>
  <c r="I2793" i="1"/>
  <c r="E2794" i="1" s="1"/>
  <c r="C2713" i="1"/>
  <c r="D2713" i="1" s="1"/>
  <c r="B2714" i="1"/>
  <c r="I2702" i="1"/>
  <c r="E2703" i="1" s="1"/>
  <c r="H2420" i="1"/>
  <c r="J2420" i="1"/>
  <c r="G2420" i="1" s="1"/>
  <c r="F2420" i="1"/>
  <c r="C2434" i="1"/>
  <c r="D2434" i="1" s="1"/>
  <c r="B2435" i="1"/>
  <c r="I1246" i="1"/>
  <c r="E1247" i="1" s="1"/>
  <c r="C1260" i="1"/>
  <c r="D1260" i="1" s="1"/>
  <c r="B1261" i="1"/>
  <c r="H771" i="1"/>
  <c r="J771" i="1"/>
  <c r="G771" i="1" s="1"/>
  <c r="F771" i="1"/>
  <c r="C782" i="1"/>
  <c r="D782" i="1" s="1"/>
  <c r="B783" i="1"/>
  <c r="H30" i="1"/>
  <c r="J30" i="1"/>
  <c r="G30" i="1" s="1"/>
  <c r="F30" i="1"/>
  <c r="B47" i="1"/>
  <c r="C46" i="1"/>
  <c r="D46" i="1" s="1"/>
  <c r="J2831" i="1" l="1"/>
  <c r="G2831" i="1" s="1"/>
  <c r="H2831" i="1"/>
  <c r="F2831" i="1"/>
  <c r="C2843" i="1"/>
  <c r="D2843" i="1" s="1"/>
  <c r="B2844" i="1"/>
  <c r="J2813" i="1"/>
  <c r="G2813" i="1" s="1"/>
  <c r="H2813" i="1"/>
  <c r="I2813" i="1" s="1"/>
  <c r="E2814" i="1" s="1"/>
  <c r="F2813" i="1"/>
  <c r="H2794" i="1"/>
  <c r="J2794" i="1"/>
  <c r="G2794" i="1" s="1"/>
  <c r="F2794" i="1"/>
  <c r="J2703" i="1"/>
  <c r="G2703" i="1" s="1"/>
  <c r="H2703" i="1"/>
  <c r="F2703" i="1"/>
  <c r="C2714" i="1"/>
  <c r="D2714" i="1" s="1"/>
  <c r="B2715" i="1"/>
  <c r="C2435" i="1"/>
  <c r="D2435" i="1" s="1"/>
  <c r="B2436" i="1"/>
  <c r="I2420" i="1"/>
  <c r="E2421" i="1" s="1"/>
  <c r="C1261" i="1"/>
  <c r="D1261" i="1" s="1"/>
  <c r="B1262" i="1"/>
  <c r="H1247" i="1"/>
  <c r="J1247" i="1"/>
  <c r="G1247" i="1" s="1"/>
  <c r="F1247" i="1"/>
  <c r="B784" i="1"/>
  <c r="C783" i="1"/>
  <c r="D783" i="1" s="1"/>
  <c r="I771" i="1"/>
  <c r="E772" i="1" s="1"/>
  <c r="I30" i="1"/>
  <c r="E31" i="1" s="1"/>
  <c r="B48" i="1"/>
  <c r="C47" i="1"/>
  <c r="D47" i="1" s="1"/>
  <c r="C2844" i="1" l="1"/>
  <c r="D2844" i="1" s="1"/>
  <c r="B2845" i="1"/>
  <c r="I2831" i="1"/>
  <c r="E2832" i="1" s="1"/>
  <c r="J2814" i="1"/>
  <c r="G2814" i="1" s="1"/>
  <c r="H2814" i="1"/>
  <c r="F2814" i="1"/>
  <c r="I2794" i="1"/>
  <c r="E2795" i="1" s="1"/>
  <c r="C2715" i="1"/>
  <c r="D2715" i="1" s="1"/>
  <c r="B2716" i="1"/>
  <c r="I2703" i="1"/>
  <c r="E2704" i="1" s="1"/>
  <c r="C2436" i="1"/>
  <c r="D2436" i="1" s="1"/>
  <c r="B2437" i="1"/>
  <c r="H2421" i="1"/>
  <c r="J2421" i="1"/>
  <c r="G2421" i="1" s="1"/>
  <c r="F2421" i="1"/>
  <c r="I1247" i="1"/>
  <c r="E1248" i="1" s="1"/>
  <c r="C1262" i="1"/>
  <c r="D1262" i="1" s="1"/>
  <c r="B1263" i="1"/>
  <c r="H772" i="1"/>
  <c r="J772" i="1"/>
  <c r="G772" i="1" s="1"/>
  <c r="F772" i="1"/>
  <c r="C784" i="1"/>
  <c r="D784" i="1" s="1"/>
  <c r="B785" i="1"/>
  <c r="F31" i="1"/>
  <c r="J31" i="1"/>
  <c r="G31" i="1" s="1"/>
  <c r="H31" i="1"/>
  <c r="C48" i="1"/>
  <c r="D48" i="1" s="1"/>
  <c r="B49" i="1"/>
  <c r="J2832" i="1" l="1"/>
  <c r="G2832" i="1" s="1"/>
  <c r="H2832" i="1"/>
  <c r="F2832" i="1"/>
  <c r="B2846" i="1"/>
  <c r="C2845" i="1"/>
  <c r="D2845" i="1" s="1"/>
  <c r="I2814" i="1"/>
  <c r="H2795" i="1"/>
  <c r="J2795" i="1"/>
  <c r="G2795" i="1" s="1"/>
  <c r="F2795" i="1"/>
  <c r="J2704" i="1"/>
  <c r="G2704" i="1" s="1"/>
  <c r="H2704" i="1"/>
  <c r="I2704" i="1" s="1"/>
  <c r="E2705" i="1" s="1"/>
  <c r="F2704" i="1"/>
  <c r="C2716" i="1"/>
  <c r="D2716" i="1" s="1"/>
  <c r="B2717" i="1"/>
  <c r="C2437" i="1"/>
  <c r="D2437" i="1" s="1"/>
  <c r="B2438" i="1"/>
  <c r="I2421" i="1"/>
  <c r="E2422" i="1" s="1"/>
  <c r="C1263" i="1"/>
  <c r="D1263" i="1" s="1"/>
  <c r="B1264" i="1"/>
  <c r="H1248" i="1"/>
  <c r="J1248" i="1"/>
  <c r="G1248" i="1" s="1"/>
  <c r="F1248" i="1"/>
  <c r="C785" i="1"/>
  <c r="D785" i="1" s="1"/>
  <c r="B786" i="1"/>
  <c r="I772" i="1"/>
  <c r="E773" i="1" s="1"/>
  <c r="I31" i="1"/>
  <c r="E32" i="1" s="1"/>
  <c r="B50" i="1"/>
  <c r="C49" i="1"/>
  <c r="D49" i="1" s="1"/>
  <c r="C2846" i="1" l="1"/>
  <c r="D2846" i="1" s="1"/>
  <c r="B2847" i="1"/>
  <c r="I2832" i="1"/>
  <c r="E2833" i="1" s="1"/>
  <c r="I2795" i="1"/>
  <c r="E2796" i="1" s="1"/>
  <c r="H2705" i="1"/>
  <c r="J2705" i="1"/>
  <c r="G2705" i="1" s="1"/>
  <c r="F2705" i="1"/>
  <c r="C2717" i="1"/>
  <c r="D2717" i="1" s="1"/>
  <c r="B2718" i="1"/>
  <c r="C2438" i="1"/>
  <c r="D2438" i="1" s="1"/>
  <c r="B2439" i="1"/>
  <c r="H2422" i="1"/>
  <c r="J2422" i="1"/>
  <c r="G2422" i="1" s="1"/>
  <c r="F2422" i="1"/>
  <c r="I1248" i="1"/>
  <c r="E1249" i="1" s="1"/>
  <c r="C1264" i="1"/>
  <c r="D1264" i="1" s="1"/>
  <c r="B1265" i="1"/>
  <c r="J773" i="1"/>
  <c r="G773" i="1" s="1"/>
  <c r="H773" i="1"/>
  <c r="F773" i="1"/>
  <c r="B787" i="1"/>
  <c r="C786" i="1"/>
  <c r="D786" i="1" s="1"/>
  <c r="J32" i="1"/>
  <c r="G32" i="1" s="1"/>
  <c r="H32" i="1"/>
  <c r="F32" i="1"/>
  <c r="B51" i="1"/>
  <c r="C50" i="1"/>
  <c r="D50" i="1" s="1"/>
  <c r="H2833" i="1" l="1"/>
  <c r="J2833" i="1"/>
  <c r="G2833" i="1" s="1"/>
  <c r="F2833" i="1"/>
  <c r="C2847" i="1"/>
  <c r="D2847" i="1" s="1"/>
  <c r="B2848" i="1"/>
  <c r="J2796" i="1"/>
  <c r="G2796" i="1" s="1"/>
  <c r="H2796" i="1"/>
  <c r="F2796" i="1"/>
  <c r="I2705" i="1"/>
  <c r="E2706" i="1" s="1"/>
  <c r="C2718" i="1"/>
  <c r="D2718" i="1" s="1"/>
  <c r="B2719" i="1"/>
  <c r="C2439" i="1"/>
  <c r="D2439" i="1" s="1"/>
  <c r="B2440" i="1"/>
  <c r="I2422" i="1"/>
  <c r="E2423" i="1" s="1"/>
  <c r="C1265" i="1"/>
  <c r="D1265" i="1" s="1"/>
  <c r="B1266" i="1"/>
  <c r="J1249" i="1"/>
  <c r="G1249" i="1" s="1"/>
  <c r="H1249" i="1"/>
  <c r="F1249" i="1"/>
  <c r="C787" i="1"/>
  <c r="D787" i="1" s="1"/>
  <c r="B788" i="1"/>
  <c r="I773" i="1"/>
  <c r="E774" i="1" s="1"/>
  <c r="I32" i="1"/>
  <c r="E33" i="1" s="1"/>
  <c r="C51" i="1"/>
  <c r="D51" i="1" s="1"/>
  <c r="B52" i="1"/>
  <c r="C2848" i="1" l="1"/>
  <c r="D2848" i="1" s="1"/>
  <c r="B2849" i="1"/>
  <c r="I2833" i="1"/>
  <c r="E2834" i="1" s="1"/>
  <c r="I2796" i="1"/>
  <c r="E2797" i="1" s="1"/>
  <c r="H2706" i="1"/>
  <c r="J2706" i="1"/>
  <c r="G2706" i="1" s="1"/>
  <c r="F2706" i="1"/>
  <c r="C2719" i="1"/>
  <c r="D2719" i="1" s="1"/>
  <c r="B2720" i="1"/>
  <c r="J2423" i="1"/>
  <c r="G2423" i="1" s="1"/>
  <c r="H2423" i="1"/>
  <c r="I2423" i="1" s="1"/>
  <c r="E2424" i="1" s="1"/>
  <c r="F2423" i="1"/>
  <c r="C2440" i="1"/>
  <c r="D2440" i="1" s="1"/>
  <c r="B2441" i="1"/>
  <c r="I1249" i="1"/>
  <c r="E1250" i="1" s="1"/>
  <c r="C1266" i="1"/>
  <c r="D1266" i="1" s="1"/>
  <c r="B1267" i="1"/>
  <c r="H774" i="1"/>
  <c r="J774" i="1"/>
  <c r="G774" i="1" s="1"/>
  <c r="F774" i="1"/>
  <c r="C788" i="1"/>
  <c r="D788" i="1" s="1"/>
  <c r="B789" i="1"/>
  <c r="F33" i="1"/>
  <c r="J33" i="1"/>
  <c r="G33" i="1" s="1"/>
  <c r="H33" i="1"/>
  <c r="C52" i="1"/>
  <c r="D52" i="1" s="1"/>
  <c r="B53" i="1"/>
  <c r="H2834" i="1" l="1"/>
  <c r="J2834" i="1"/>
  <c r="G2834" i="1" s="1"/>
  <c r="F2834" i="1"/>
  <c r="C2849" i="1"/>
  <c r="D2849" i="1" s="1"/>
  <c r="B2850" i="1"/>
  <c r="H2797" i="1"/>
  <c r="J2797" i="1"/>
  <c r="G2797" i="1" s="1"/>
  <c r="F2797" i="1"/>
  <c r="C2720" i="1"/>
  <c r="D2720" i="1" s="1"/>
  <c r="B2721" i="1"/>
  <c r="I2706" i="1"/>
  <c r="E2707" i="1" s="1"/>
  <c r="J2424" i="1"/>
  <c r="G2424" i="1" s="1"/>
  <c r="H2424" i="1"/>
  <c r="I2424" i="1" s="1"/>
  <c r="E2425" i="1" s="1"/>
  <c r="F2424" i="1"/>
  <c r="C2441" i="1"/>
  <c r="D2441" i="1" s="1"/>
  <c r="B2442" i="1"/>
  <c r="C1267" i="1"/>
  <c r="D1267" i="1" s="1"/>
  <c r="B1268" i="1"/>
  <c r="J1250" i="1"/>
  <c r="G1250" i="1" s="1"/>
  <c r="H1250" i="1"/>
  <c r="F1250" i="1"/>
  <c r="C789" i="1"/>
  <c r="D789" i="1" s="1"/>
  <c r="B790" i="1"/>
  <c r="I774" i="1"/>
  <c r="E775" i="1" s="1"/>
  <c r="I33" i="1"/>
  <c r="E34" i="1" s="1"/>
  <c r="C53" i="1"/>
  <c r="D53" i="1" s="1"/>
  <c r="B54" i="1"/>
  <c r="C2850" i="1" l="1"/>
  <c r="D2850" i="1" s="1"/>
  <c r="B2851" i="1"/>
  <c r="I2834" i="1"/>
  <c r="E2835" i="1" s="1"/>
  <c r="I2797" i="1"/>
  <c r="H2707" i="1"/>
  <c r="I2707" i="1" s="1"/>
  <c r="E2708" i="1" s="1"/>
  <c r="J2707" i="1"/>
  <c r="G2707" i="1" s="1"/>
  <c r="F2707" i="1"/>
  <c r="C2721" i="1"/>
  <c r="D2721" i="1" s="1"/>
  <c r="B2722" i="1"/>
  <c r="H2425" i="1"/>
  <c r="J2425" i="1"/>
  <c r="G2425" i="1" s="1"/>
  <c r="F2425" i="1"/>
  <c r="C2442" i="1"/>
  <c r="D2442" i="1" s="1"/>
  <c r="B2443" i="1"/>
  <c r="I1250" i="1"/>
  <c r="E1251" i="1" s="1"/>
  <c r="C1268" i="1"/>
  <c r="D1268" i="1" s="1"/>
  <c r="B1269" i="1"/>
  <c r="H775" i="1"/>
  <c r="J775" i="1"/>
  <c r="G775" i="1" s="1"/>
  <c r="F775" i="1"/>
  <c r="C790" i="1"/>
  <c r="D790" i="1" s="1"/>
  <c r="B791" i="1"/>
  <c r="J34" i="1"/>
  <c r="G34" i="1" s="1"/>
  <c r="F34" i="1"/>
  <c r="H34" i="1"/>
  <c r="C54" i="1"/>
  <c r="D54" i="1" s="1"/>
  <c r="B55" i="1"/>
  <c r="H2835" i="1" l="1"/>
  <c r="J2835" i="1"/>
  <c r="G2835" i="1" s="1"/>
  <c r="F2835" i="1"/>
  <c r="C2851" i="1"/>
  <c r="D2851" i="1" s="1"/>
  <c r="B2852" i="1"/>
  <c r="H2708" i="1"/>
  <c r="J2708" i="1"/>
  <c r="G2708" i="1" s="1"/>
  <c r="F2708" i="1"/>
  <c r="C2722" i="1"/>
  <c r="D2722" i="1" s="1"/>
  <c r="B2723" i="1"/>
  <c r="C2443" i="1"/>
  <c r="D2443" i="1" s="1"/>
  <c r="B2444" i="1"/>
  <c r="I2425" i="1"/>
  <c r="E2426" i="1" s="1"/>
  <c r="C1269" i="1"/>
  <c r="D1269" i="1" s="1"/>
  <c r="B1270" i="1"/>
  <c r="H1251" i="1"/>
  <c r="J1251" i="1"/>
  <c r="G1251" i="1" s="1"/>
  <c r="F1251" i="1"/>
  <c r="C791" i="1"/>
  <c r="D791" i="1" s="1"/>
  <c r="B792" i="1"/>
  <c r="I775" i="1"/>
  <c r="E776" i="1" s="1"/>
  <c r="I34" i="1"/>
  <c r="E35" i="1" s="1"/>
  <c r="B56" i="1"/>
  <c r="C55" i="1"/>
  <c r="D55" i="1" s="1"/>
  <c r="C2852" i="1" l="1"/>
  <c r="D2852" i="1" s="1"/>
  <c r="B2853" i="1"/>
  <c r="I2835" i="1"/>
  <c r="E2836" i="1" s="1"/>
  <c r="C2723" i="1"/>
  <c r="D2723" i="1" s="1"/>
  <c r="B2724" i="1"/>
  <c r="I2708" i="1"/>
  <c r="E2709" i="1" s="1"/>
  <c r="C2444" i="1"/>
  <c r="D2444" i="1" s="1"/>
  <c r="B2445" i="1"/>
  <c r="H2426" i="1"/>
  <c r="I2426" i="1" s="1"/>
  <c r="E2427" i="1" s="1"/>
  <c r="J2426" i="1"/>
  <c r="G2426" i="1" s="1"/>
  <c r="F2426" i="1"/>
  <c r="I1251" i="1"/>
  <c r="E1252" i="1" s="1"/>
  <c r="C1270" i="1"/>
  <c r="D1270" i="1" s="1"/>
  <c r="B1271" i="1"/>
  <c r="J776" i="1"/>
  <c r="G776" i="1" s="1"/>
  <c r="H776" i="1"/>
  <c r="I776" i="1" s="1"/>
  <c r="E777" i="1" s="1"/>
  <c r="F776" i="1"/>
  <c r="C792" i="1"/>
  <c r="D792" i="1" s="1"/>
  <c r="B793" i="1"/>
  <c r="F35" i="1"/>
  <c r="H35" i="1"/>
  <c r="J35" i="1"/>
  <c r="G35" i="1" s="1"/>
  <c r="C56" i="1"/>
  <c r="D56" i="1" s="1"/>
  <c r="B57" i="1"/>
  <c r="H2836" i="1" l="1"/>
  <c r="J2836" i="1"/>
  <c r="G2836" i="1" s="1"/>
  <c r="F2836" i="1"/>
  <c r="C2853" i="1"/>
  <c r="D2853" i="1" s="1"/>
  <c r="B2854" i="1"/>
  <c r="H2709" i="1"/>
  <c r="J2709" i="1"/>
  <c r="G2709" i="1" s="1"/>
  <c r="F2709" i="1"/>
  <c r="B2725" i="1"/>
  <c r="C2724" i="1"/>
  <c r="D2724" i="1" s="1"/>
  <c r="H2427" i="1"/>
  <c r="J2427" i="1"/>
  <c r="G2427" i="1" s="1"/>
  <c r="F2427" i="1"/>
  <c r="C2445" i="1"/>
  <c r="D2445" i="1" s="1"/>
  <c r="B2446" i="1"/>
  <c r="C1271" i="1"/>
  <c r="D1271" i="1" s="1"/>
  <c r="B1272" i="1"/>
  <c r="H1252" i="1"/>
  <c r="J1252" i="1"/>
  <c r="G1252" i="1" s="1"/>
  <c r="F1252" i="1"/>
  <c r="J777" i="1"/>
  <c r="G777" i="1" s="1"/>
  <c r="H777" i="1"/>
  <c r="I777" i="1" s="1"/>
  <c r="E778" i="1" s="1"/>
  <c r="F777" i="1"/>
  <c r="C793" i="1"/>
  <c r="D793" i="1" s="1"/>
  <c r="B794" i="1"/>
  <c r="I35" i="1"/>
  <c r="E36" i="1" s="1"/>
  <c r="C57" i="1"/>
  <c r="D57" i="1" s="1"/>
  <c r="B58" i="1"/>
  <c r="C2854" i="1" l="1"/>
  <c r="D2854" i="1" s="1"/>
  <c r="B2855" i="1"/>
  <c r="I2836" i="1"/>
  <c r="E2837" i="1" s="1"/>
  <c r="C2725" i="1"/>
  <c r="D2725" i="1" s="1"/>
  <c r="B2726" i="1"/>
  <c r="I2709" i="1"/>
  <c r="E2710" i="1" s="1"/>
  <c r="C2446" i="1"/>
  <c r="D2446" i="1" s="1"/>
  <c r="B2447" i="1"/>
  <c r="I2427" i="1"/>
  <c r="E2428" i="1" s="1"/>
  <c r="I1252" i="1"/>
  <c r="E1253" i="1" s="1"/>
  <c r="C1272" i="1"/>
  <c r="D1272" i="1" s="1"/>
  <c r="B1273" i="1"/>
  <c r="H778" i="1"/>
  <c r="J778" i="1"/>
  <c r="G778" i="1" s="1"/>
  <c r="F778" i="1"/>
  <c r="C794" i="1"/>
  <c r="D794" i="1" s="1"/>
  <c r="B795" i="1"/>
  <c r="J36" i="1"/>
  <c r="G36" i="1" s="1"/>
  <c r="H36" i="1"/>
  <c r="F36" i="1"/>
  <c r="C58" i="1"/>
  <c r="D58" i="1" s="1"/>
  <c r="B59" i="1"/>
  <c r="H2837" i="1" l="1"/>
  <c r="J2837" i="1"/>
  <c r="G2837" i="1" s="1"/>
  <c r="F2837" i="1"/>
  <c r="B2856" i="1"/>
  <c r="C2855" i="1"/>
  <c r="D2855" i="1" s="1"/>
  <c r="H2710" i="1"/>
  <c r="J2710" i="1"/>
  <c r="G2710" i="1" s="1"/>
  <c r="F2710" i="1"/>
  <c r="C2726" i="1"/>
  <c r="D2726" i="1" s="1"/>
  <c r="B2727" i="1"/>
  <c r="H2428" i="1"/>
  <c r="J2428" i="1"/>
  <c r="G2428" i="1" s="1"/>
  <c r="F2428" i="1"/>
  <c r="C2447" i="1"/>
  <c r="D2447" i="1" s="1"/>
  <c r="B2448" i="1"/>
  <c r="B1274" i="1"/>
  <c r="C1273" i="1"/>
  <c r="D1273" i="1" s="1"/>
  <c r="H1253" i="1"/>
  <c r="J1253" i="1"/>
  <c r="G1253" i="1" s="1"/>
  <c r="F1253" i="1"/>
  <c r="B796" i="1"/>
  <c r="C795" i="1"/>
  <c r="D795" i="1" s="1"/>
  <c r="I778" i="1"/>
  <c r="E779" i="1" s="1"/>
  <c r="I36" i="1"/>
  <c r="E37" i="1" s="1"/>
  <c r="C59" i="1"/>
  <c r="D59" i="1" s="1"/>
  <c r="B60" i="1"/>
  <c r="C2856" i="1" l="1"/>
  <c r="D2856" i="1" s="1"/>
  <c r="B2857" i="1"/>
  <c r="I2837" i="1"/>
  <c r="E2838" i="1" s="1"/>
  <c r="C2727" i="1"/>
  <c r="D2727" i="1" s="1"/>
  <c r="B2728" i="1"/>
  <c r="I2710" i="1"/>
  <c r="E2711" i="1" s="1"/>
  <c r="I2428" i="1"/>
  <c r="E2429" i="1" s="1"/>
  <c r="C2448" i="1"/>
  <c r="D2448" i="1" s="1"/>
  <c r="B2449" i="1"/>
  <c r="I1253" i="1"/>
  <c r="E1254" i="1" s="1"/>
  <c r="C1274" i="1"/>
  <c r="D1274" i="1" s="1"/>
  <c r="B1275" i="1"/>
  <c r="H779" i="1"/>
  <c r="J779" i="1"/>
  <c r="G779" i="1" s="1"/>
  <c r="F779" i="1"/>
  <c r="B797" i="1"/>
  <c r="C796" i="1"/>
  <c r="D796" i="1" s="1"/>
  <c r="H37" i="1"/>
  <c r="F37" i="1"/>
  <c r="J37" i="1"/>
  <c r="G37" i="1" s="1"/>
  <c r="C60" i="1"/>
  <c r="D60" i="1" s="1"/>
  <c r="B61" i="1"/>
  <c r="H2838" i="1" l="1"/>
  <c r="J2838" i="1"/>
  <c r="G2838" i="1" s="1"/>
  <c r="F2838" i="1"/>
  <c r="C2857" i="1"/>
  <c r="D2857" i="1" s="1"/>
  <c r="B2858" i="1"/>
  <c r="J2711" i="1"/>
  <c r="G2711" i="1" s="1"/>
  <c r="H2711" i="1"/>
  <c r="I2711" i="1" s="1"/>
  <c r="E2712" i="1" s="1"/>
  <c r="F2711" i="1"/>
  <c r="C2728" i="1"/>
  <c r="D2728" i="1" s="1"/>
  <c r="B2729" i="1"/>
  <c r="C2449" i="1"/>
  <c r="D2449" i="1" s="1"/>
  <c r="B2450" i="1"/>
  <c r="H2429" i="1"/>
  <c r="J2429" i="1"/>
  <c r="G2429" i="1" s="1"/>
  <c r="F2429" i="1"/>
  <c r="C1275" i="1"/>
  <c r="D1275" i="1" s="1"/>
  <c r="B1276" i="1"/>
  <c r="H1254" i="1"/>
  <c r="J1254" i="1"/>
  <c r="G1254" i="1" s="1"/>
  <c r="F1254" i="1"/>
  <c r="I779" i="1"/>
  <c r="E780" i="1" s="1"/>
  <c r="B798" i="1"/>
  <c r="C797" i="1"/>
  <c r="D797" i="1" s="1"/>
  <c r="I37" i="1"/>
  <c r="E38" i="1" s="1"/>
  <c r="C61" i="1"/>
  <c r="D61" i="1" s="1"/>
  <c r="B62" i="1"/>
  <c r="C2858" i="1" l="1"/>
  <c r="D2858" i="1" s="1"/>
  <c r="B2859" i="1"/>
  <c r="I2838" i="1"/>
  <c r="E2839" i="1" s="1"/>
  <c r="J2712" i="1"/>
  <c r="G2712" i="1" s="1"/>
  <c r="H2712" i="1"/>
  <c r="F2712" i="1"/>
  <c r="C2729" i="1"/>
  <c r="D2729" i="1" s="1"/>
  <c r="B2730" i="1"/>
  <c r="C2450" i="1"/>
  <c r="D2450" i="1" s="1"/>
  <c r="B2451" i="1"/>
  <c r="I2429" i="1"/>
  <c r="E2430" i="1" s="1"/>
  <c r="I1254" i="1"/>
  <c r="E1255" i="1" s="1"/>
  <c r="C1276" i="1"/>
  <c r="D1276" i="1" s="1"/>
  <c r="B1277" i="1"/>
  <c r="B799" i="1"/>
  <c r="C798" i="1"/>
  <c r="D798" i="1" s="1"/>
  <c r="H780" i="1"/>
  <c r="J780" i="1"/>
  <c r="G780" i="1" s="1"/>
  <c r="F780" i="1"/>
  <c r="H38" i="1"/>
  <c r="F38" i="1"/>
  <c r="J38" i="1"/>
  <c r="G38" i="1" s="1"/>
  <c r="C62" i="1"/>
  <c r="D62" i="1" s="1"/>
  <c r="B63" i="1"/>
  <c r="C2859" i="1" l="1"/>
  <c r="D2859" i="1" s="1"/>
  <c r="B2860" i="1"/>
  <c r="J2839" i="1"/>
  <c r="G2839" i="1" s="1"/>
  <c r="H2839" i="1"/>
  <c r="F2839" i="1"/>
  <c r="C2730" i="1"/>
  <c r="D2730" i="1" s="1"/>
  <c r="B2731" i="1"/>
  <c r="I2712" i="1"/>
  <c r="E2713" i="1" s="1"/>
  <c r="H2430" i="1"/>
  <c r="J2430" i="1"/>
  <c r="G2430" i="1" s="1"/>
  <c r="F2430" i="1"/>
  <c r="C2451" i="1"/>
  <c r="D2451" i="1" s="1"/>
  <c r="B2452" i="1"/>
  <c r="C1277" i="1"/>
  <c r="D1277" i="1" s="1"/>
  <c r="B1278" i="1"/>
  <c r="H1255" i="1"/>
  <c r="J1255" i="1"/>
  <c r="G1255" i="1" s="1"/>
  <c r="F1255" i="1"/>
  <c r="I780" i="1"/>
  <c r="E781" i="1" s="1"/>
  <c r="B800" i="1"/>
  <c r="C799" i="1"/>
  <c r="D799" i="1" s="1"/>
  <c r="I38" i="1"/>
  <c r="E39" i="1" s="1"/>
  <c r="C63" i="1"/>
  <c r="D63" i="1" s="1"/>
  <c r="B64" i="1"/>
  <c r="I2839" i="1" l="1"/>
  <c r="E2840" i="1" s="1"/>
  <c r="C2860" i="1"/>
  <c r="D2860" i="1" s="1"/>
  <c r="B2861" i="1"/>
  <c r="B2732" i="1"/>
  <c r="C2731" i="1"/>
  <c r="D2731" i="1" s="1"/>
  <c r="H2713" i="1"/>
  <c r="J2713" i="1"/>
  <c r="G2713" i="1" s="1"/>
  <c r="F2713" i="1"/>
  <c r="C2452" i="1"/>
  <c r="D2452" i="1" s="1"/>
  <c r="B2453" i="1"/>
  <c r="I2430" i="1"/>
  <c r="E2431" i="1" s="1"/>
  <c r="I1255" i="1"/>
  <c r="E1256" i="1" s="1"/>
  <c r="C1278" i="1"/>
  <c r="D1278" i="1" s="1"/>
  <c r="B1279" i="1"/>
  <c r="C800" i="1"/>
  <c r="D800" i="1" s="1"/>
  <c r="B801" i="1"/>
  <c r="H781" i="1"/>
  <c r="J781" i="1"/>
  <c r="G781" i="1" s="1"/>
  <c r="F781" i="1"/>
  <c r="H39" i="1"/>
  <c r="J39" i="1"/>
  <c r="G39" i="1" s="1"/>
  <c r="F39" i="1"/>
  <c r="C64" i="1"/>
  <c r="D64" i="1" s="1"/>
  <c r="B65" i="1"/>
  <c r="C2861" i="1" l="1"/>
  <c r="D2861" i="1" s="1"/>
  <c r="B2862" i="1"/>
  <c r="J2840" i="1"/>
  <c r="G2840" i="1" s="1"/>
  <c r="H2840" i="1"/>
  <c r="F2840" i="1"/>
  <c r="I2713" i="1"/>
  <c r="E2714" i="1" s="1"/>
  <c r="C2732" i="1"/>
  <c r="D2732" i="1" s="1"/>
  <c r="B2733" i="1"/>
  <c r="B2454" i="1"/>
  <c r="C2453" i="1"/>
  <c r="D2453" i="1" s="1"/>
  <c r="J2431" i="1"/>
  <c r="G2431" i="1" s="1"/>
  <c r="H2431" i="1"/>
  <c r="F2431" i="1"/>
  <c r="C1279" i="1"/>
  <c r="D1279" i="1" s="1"/>
  <c r="B1280" i="1"/>
  <c r="H1256" i="1"/>
  <c r="J1256" i="1"/>
  <c r="G1256" i="1" s="1"/>
  <c r="F1256" i="1"/>
  <c r="I781" i="1"/>
  <c r="E782" i="1" s="1"/>
  <c r="C801" i="1"/>
  <c r="D801" i="1" s="1"/>
  <c r="B802" i="1"/>
  <c r="I39" i="1"/>
  <c r="E40" i="1" s="1"/>
  <c r="C65" i="1"/>
  <c r="D65" i="1" s="1"/>
  <c r="B66" i="1"/>
  <c r="C2862" i="1" l="1"/>
  <c r="D2862" i="1" s="1"/>
  <c r="B2863" i="1"/>
  <c r="I2840" i="1"/>
  <c r="E2841" i="1" s="1"/>
  <c r="B2734" i="1"/>
  <c r="C2733" i="1"/>
  <c r="D2733" i="1" s="1"/>
  <c r="H2714" i="1"/>
  <c r="J2714" i="1"/>
  <c r="G2714" i="1" s="1"/>
  <c r="F2714" i="1"/>
  <c r="I2431" i="1"/>
  <c r="E2432" i="1" s="1"/>
  <c r="C2454" i="1"/>
  <c r="D2454" i="1" s="1"/>
  <c r="B2455" i="1"/>
  <c r="I1256" i="1"/>
  <c r="E1257" i="1" s="1"/>
  <c r="C1280" i="1"/>
  <c r="D1280" i="1" s="1"/>
  <c r="B1281" i="1"/>
  <c r="C802" i="1"/>
  <c r="D802" i="1" s="1"/>
  <c r="B803" i="1"/>
  <c r="H782" i="1"/>
  <c r="J782" i="1"/>
  <c r="G782" i="1" s="1"/>
  <c r="F782" i="1"/>
  <c r="F40" i="1"/>
  <c r="J40" i="1"/>
  <c r="G40" i="1" s="1"/>
  <c r="H40" i="1"/>
  <c r="C66" i="1"/>
  <c r="D66" i="1" s="1"/>
  <c r="B67" i="1"/>
  <c r="H2841" i="1" l="1"/>
  <c r="J2841" i="1"/>
  <c r="G2841" i="1" s="1"/>
  <c r="F2841" i="1"/>
  <c r="C2863" i="1"/>
  <c r="D2863" i="1" s="1"/>
  <c r="B2864" i="1"/>
  <c r="I2714" i="1"/>
  <c r="E2715" i="1" s="1"/>
  <c r="C2734" i="1"/>
  <c r="D2734" i="1" s="1"/>
  <c r="B2735" i="1"/>
  <c r="C2455" i="1"/>
  <c r="D2455" i="1" s="1"/>
  <c r="B2456" i="1"/>
  <c r="J2432" i="1"/>
  <c r="G2432" i="1" s="1"/>
  <c r="H2432" i="1"/>
  <c r="F2432" i="1"/>
  <c r="C1281" i="1"/>
  <c r="D1281" i="1" s="1"/>
  <c r="B1282" i="1"/>
  <c r="J1257" i="1"/>
  <c r="G1257" i="1" s="1"/>
  <c r="H1257" i="1"/>
  <c r="F1257" i="1"/>
  <c r="I782" i="1"/>
  <c r="E783" i="1" s="1"/>
  <c r="B804" i="1"/>
  <c r="C803" i="1"/>
  <c r="D803" i="1" s="1"/>
  <c r="I40" i="1"/>
  <c r="E41" i="1" s="1"/>
  <c r="C67" i="1"/>
  <c r="D67" i="1" s="1"/>
  <c r="B68" i="1"/>
  <c r="C2864" i="1" l="1"/>
  <c r="D2864" i="1" s="1"/>
  <c r="B2865" i="1"/>
  <c r="I2841" i="1"/>
  <c r="E2842" i="1" s="1"/>
  <c r="H2715" i="1"/>
  <c r="J2715" i="1"/>
  <c r="G2715" i="1" s="1"/>
  <c r="F2715" i="1"/>
  <c r="C2735" i="1"/>
  <c r="D2735" i="1" s="1"/>
  <c r="B2736" i="1"/>
  <c r="I2432" i="1"/>
  <c r="E2433" i="1" s="1"/>
  <c r="C2456" i="1"/>
  <c r="D2456" i="1" s="1"/>
  <c r="B2457" i="1"/>
  <c r="I1257" i="1"/>
  <c r="E1258" i="1" s="1"/>
  <c r="C1282" i="1"/>
  <c r="D1282" i="1" s="1"/>
  <c r="B1283" i="1"/>
  <c r="B805" i="1"/>
  <c r="C804" i="1"/>
  <c r="D804" i="1" s="1"/>
  <c r="H783" i="1"/>
  <c r="I783" i="1" s="1"/>
  <c r="E784" i="1" s="1"/>
  <c r="J783" i="1"/>
  <c r="G783" i="1" s="1"/>
  <c r="F783" i="1"/>
  <c r="H41" i="1"/>
  <c r="F41" i="1"/>
  <c r="J41" i="1"/>
  <c r="G41" i="1" s="1"/>
  <c r="B69" i="1"/>
  <c r="C68" i="1"/>
  <c r="D68" i="1" s="1"/>
  <c r="H2842" i="1" l="1"/>
  <c r="J2842" i="1"/>
  <c r="G2842" i="1" s="1"/>
  <c r="F2842" i="1"/>
  <c r="B2866" i="1"/>
  <c r="C2865" i="1"/>
  <c r="D2865" i="1" s="1"/>
  <c r="C2736" i="1"/>
  <c r="D2736" i="1" s="1"/>
  <c r="B2737" i="1"/>
  <c r="I2715" i="1"/>
  <c r="E2716" i="1" s="1"/>
  <c r="C2457" i="1"/>
  <c r="D2457" i="1" s="1"/>
  <c r="B2458" i="1"/>
  <c r="H2433" i="1"/>
  <c r="J2433" i="1"/>
  <c r="G2433" i="1" s="1"/>
  <c r="F2433" i="1"/>
  <c r="B1284" i="1"/>
  <c r="C1283" i="1"/>
  <c r="D1283" i="1" s="1"/>
  <c r="J1258" i="1"/>
  <c r="G1258" i="1" s="1"/>
  <c r="H1258" i="1"/>
  <c r="F1258" i="1"/>
  <c r="H784" i="1"/>
  <c r="J784" i="1"/>
  <c r="G784" i="1" s="1"/>
  <c r="F784" i="1"/>
  <c r="B806" i="1"/>
  <c r="C805" i="1"/>
  <c r="D805" i="1" s="1"/>
  <c r="I41" i="1"/>
  <c r="E42" i="1" s="1"/>
  <c r="C69" i="1"/>
  <c r="D69" i="1" s="1"/>
  <c r="B70" i="1"/>
  <c r="C2866" i="1" l="1"/>
  <c r="D2866" i="1" s="1"/>
  <c r="B2867" i="1"/>
  <c r="I2842" i="1"/>
  <c r="E2843" i="1" s="1"/>
  <c r="H2716" i="1"/>
  <c r="J2716" i="1"/>
  <c r="G2716" i="1" s="1"/>
  <c r="F2716" i="1"/>
  <c r="C2737" i="1"/>
  <c r="D2737" i="1" s="1"/>
  <c r="B2738" i="1"/>
  <c r="I2433" i="1"/>
  <c r="E2434" i="1" s="1"/>
  <c r="C2458" i="1"/>
  <c r="D2458" i="1" s="1"/>
  <c r="B2459" i="1"/>
  <c r="I1258" i="1"/>
  <c r="E1259" i="1" s="1"/>
  <c r="C1284" i="1"/>
  <c r="D1284" i="1" s="1"/>
  <c r="B1285" i="1"/>
  <c r="B807" i="1"/>
  <c r="C806" i="1"/>
  <c r="D806" i="1" s="1"/>
  <c r="I784" i="1"/>
  <c r="E785" i="1" s="1"/>
  <c r="H42" i="1"/>
  <c r="J42" i="1"/>
  <c r="F42" i="1"/>
  <c r="C70" i="1"/>
  <c r="D70" i="1" s="1"/>
  <c r="B71" i="1"/>
  <c r="H2843" i="1" l="1"/>
  <c r="J2843" i="1"/>
  <c r="G2843" i="1" s="1"/>
  <c r="F2843" i="1"/>
  <c r="C2867" i="1"/>
  <c r="D2867" i="1" s="1"/>
  <c r="B2868" i="1"/>
  <c r="C2738" i="1"/>
  <c r="D2738" i="1" s="1"/>
  <c r="B2739" i="1"/>
  <c r="I2716" i="1"/>
  <c r="E2717" i="1" s="1"/>
  <c r="C2459" i="1"/>
  <c r="D2459" i="1" s="1"/>
  <c r="B2460" i="1"/>
  <c r="H2434" i="1"/>
  <c r="J2434" i="1"/>
  <c r="G2434" i="1" s="1"/>
  <c r="F2434" i="1"/>
  <c r="C1285" i="1"/>
  <c r="D1285" i="1" s="1"/>
  <c r="B1286" i="1"/>
  <c r="H1259" i="1"/>
  <c r="J1259" i="1"/>
  <c r="G1259" i="1" s="1"/>
  <c r="F1259" i="1"/>
  <c r="J785" i="1"/>
  <c r="G785" i="1" s="1"/>
  <c r="H785" i="1"/>
  <c r="F785" i="1"/>
  <c r="C807" i="1"/>
  <c r="D807" i="1" s="1"/>
  <c r="B808" i="1"/>
  <c r="G42" i="1"/>
  <c r="I42" i="1" s="1"/>
  <c r="E43" i="1" s="1"/>
  <c r="C71" i="1"/>
  <c r="D71" i="1" s="1"/>
  <c r="B72" i="1"/>
  <c r="C2868" i="1" l="1"/>
  <c r="D2868" i="1" s="1"/>
  <c r="B2869" i="1"/>
  <c r="I2843" i="1"/>
  <c r="E2844" i="1" s="1"/>
  <c r="H2717" i="1"/>
  <c r="J2717" i="1"/>
  <c r="G2717" i="1" s="1"/>
  <c r="F2717" i="1"/>
  <c r="C2739" i="1"/>
  <c r="D2739" i="1" s="1"/>
  <c r="B2740" i="1"/>
  <c r="I2434" i="1"/>
  <c r="E2435" i="1" s="1"/>
  <c r="C2460" i="1"/>
  <c r="D2460" i="1" s="1"/>
  <c r="B2461" i="1"/>
  <c r="I1259" i="1"/>
  <c r="E1260" i="1" s="1"/>
  <c r="C1286" i="1"/>
  <c r="D1286" i="1" s="1"/>
  <c r="B1287" i="1"/>
  <c r="C808" i="1"/>
  <c r="D808" i="1" s="1"/>
  <c r="B809" i="1"/>
  <c r="I785" i="1"/>
  <c r="E786" i="1" s="1"/>
  <c r="H43" i="1"/>
  <c r="J43" i="1"/>
  <c r="G43" i="1" s="1"/>
  <c r="F43" i="1"/>
  <c r="C72" i="1"/>
  <c r="D72" i="1" s="1"/>
  <c r="B73" i="1"/>
  <c r="H2844" i="1" l="1"/>
  <c r="J2844" i="1"/>
  <c r="G2844" i="1" s="1"/>
  <c r="F2844" i="1"/>
  <c r="B2870" i="1"/>
  <c r="C2869" i="1"/>
  <c r="D2869" i="1" s="1"/>
  <c r="B2741" i="1"/>
  <c r="C2740" i="1"/>
  <c r="D2740" i="1" s="1"/>
  <c r="I2717" i="1"/>
  <c r="E2718" i="1" s="1"/>
  <c r="C2461" i="1"/>
  <c r="D2461" i="1" s="1"/>
  <c r="B2462" i="1"/>
  <c r="H2435" i="1"/>
  <c r="J2435" i="1"/>
  <c r="G2435" i="1" s="1"/>
  <c r="F2435" i="1"/>
  <c r="C1287" i="1"/>
  <c r="D1287" i="1" s="1"/>
  <c r="B1288" i="1"/>
  <c r="H1260" i="1"/>
  <c r="J1260" i="1"/>
  <c r="G1260" i="1" s="1"/>
  <c r="F1260" i="1"/>
  <c r="J786" i="1"/>
  <c r="G786" i="1" s="1"/>
  <c r="H786" i="1"/>
  <c r="F786" i="1"/>
  <c r="C809" i="1"/>
  <c r="D809" i="1" s="1"/>
  <c r="B810" i="1"/>
  <c r="I43" i="1"/>
  <c r="E44" i="1" s="1"/>
  <c r="C73" i="1"/>
  <c r="D73" i="1" s="1"/>
  <c r="B74" i="1"/>
  <c r="C2870" i="1" l="1"/>
  <c r="D2870" i="1" s="1"/>
  <c r="B2871" i="1"/>
  <c r="I2844" i="1"/>
  <c r="E2845" i="1" s="1"/>
  <c r="H2718" i="1"/>
  <c r="J2718" i="1"/>
  <c r="G2718" i="1" s="1"/>
  <c r="F2718" i="1"/>
  <c r="C2741" i="1"/>
  <c r="D2741" i="1" s="1"/>
  <c r="B2742" i="1"/>
  <c r="I2435" i="1"/>
  <c r="E2436" i="1" s="1"/>
  <c r="C2462" i="1"/>
  <c r="D2462" i="1" s="1"/>
  <c r="B2463" i="1"/>
  <c r="I1260" i="1"/>
  <c r="E1261" i="1" s="1"/>
  <c r="C1288" i="1"/>
  <c r="D1288" i="1" s="1"/>
  <c r="B1289" i="1"/>
  <c r="B811" i="1"/>
  <c r="C810" i="1"/>
  <c r="D810" i="1" s="1"/>
  <c r="I786" i="1"/>
  <c r="E787" i="1" s="1"/>
  <c r="J44" i="1"/>
  <c r="G44" i="1" s="1"/>
  <c r="H44" i="1"/>
  <c r="F44" i="1"/>
  <c r="C74" i="1"/>
  <c r="D74" i="1" s="1"/>
  <c r="B75" i="1"/>
  <c r="C2871" i="1" l="1"/>
  <c r="D2871" i="1" s="1"/>
  <c r="B2872" i="1"/>
  <c r="H2845" i="1"/>
  <c r="J2845" i="1"/>
  <c r="G2845" i="1" s="1"/>
  <c r="F2845" i="1"/>
  <c r="C2742" i="1"/>
  <c r="D2742" i="1" s="1"/>
  <c r="B2743" i="1"/>
  <c r="I2718" i="1"/>
  <c r="E2719" i="1" s="1"/>
  <c r="C2463" i="1"/>
  <c r="D2463" i="1" s="1"/>
  <c r="B2464" i="1"/>
  <c r="H2436" i="1"/>
  <c r="J2436" i="1"/>
  <c r="G2436" i="1" s="1"/>
  <c r="F2436" i="1"/>
  <c r="B1290" i="1"/>
  <c r="C1289" i="1"/>
  <c r="D1289" i="1" s="1"/>
  <c r="H1261" i="1"/>
  <c r="J1261" i="1"/>
  <c r="G1261" i="1" s="1"/>
  <c r="F1261" i="1"/>
  <c r="H787" i="1"/>
  <c r="J787" i="1"/>
  <c r="G787" i="1" s="1"/>
  <c r="F787" i="1"/>
  <c r="B812" i="1"/>
  <c r="C811" i="1"/>
  <c r="D811" i="1" s="1"/>
  <c r="I44" i="1"/>
  <c r="E45" i="1" s="1"/>
  <c r="C75" i="1"/>
  <c r="D75" i="1" s="1"/>
  <c r="B76" i="1"/>
  <c r="I2845" i="1" l="1"/>
  <c r="E2846" i="1" s="1"/>
  <c r="C2872" i="1"/>
  <c r="D2872" i="1" s="1"/>
  <c r="B2873" i="1"/>
  <c r="J2719" i="1"/>
  <c r="G2719" i="1" s="1"/>
  <c r="H2719" i="1"/>
  <c r="F2719" i="1"/>
  <c r="C2743" i="1"/>
  <c r="D2743" i="1" s="1"/>
  <c r="B2744" i="1"/>
  <c r="I2436" i="1"/>
  <c r="E2437" i="1" s="1"/>
  <c r="C2464" i="1"/>
  <c r="D2464" i="1" s="1"/>
  <c r="B2465" i="1"/>
  <c r="I1261" i="1"/>
  <c r="E1262" i="1" s="1"/>
  <c r="C1290" i="1"/>
  <c r="D1290" i="1" s="1"/>
  <c r="B1291" i="1"/>
  <c r="B813" i="1"/>
  <c r="C812" i="1"/>
  <c r="D812" i="1" s="1"/>
  <c r="I787" i="1"/>
  <c r="E788" i="1" s="1"/>
  <c r="J45" i="1"/>
  <c r="G45" i="1" s="1"/>
  <c r="H45" i="1"/>
  <c r="F45" i="1"/>
  <c r="B77" i="1"/>
  <c r="C76" i="1"/>
  <c r="D76" i="1" s="1"/>
  <c r="C2873" i="1" l="1"/>
  <c r="D2873" i="1" s="1"/>
  <c r="B2874" i="1"/>
  <c r="H2846" i="1"/>
  <c r="J2846" i="1"/>
  <c r="G2846" i="1" s="1"/>
  <c r="F2846" i="1"/>
  <c r="I2719" i="1"/>
  <c r="E2720" i="1" s="1"/>
  <c r="C2744" i="1"/>
  <c r="D2744" i="1" s="1"/>
  <c r="B2745" i="1"/>
  <c r="H2437" i="1"/>
  <c r="J2437" i="1"/>
  <c r="G2437" i="1" s="1"/>
  <c r="F2437" i="1"/>
  <c r="B2466" i="1"/>
  <c r="C2465" i="1"/>
  <c r="D2465" i="1" s="1"/>
  <c r="B1292" i="1"/>
  <c r="C1291" i="1"/>
  <c r="D1291" i="1" s="1"/>
  <c r="H1262" i="1"/>
  <c r="J1262" i="1"/>
  <c r="G1262" i="1" s="1"/>
  <c r="F1262" i="1"/>
  <c r="H788" i="1"/>
  <c r="J788" i="1"/>
  <c r="G788" i="1" s="1"/>
  <c r="F788" i="1"/>
  <c r="C813" i="1"/>
  <c r="D813" i="1" s="1"/>
  <c r="B814" i="1"/>
  <c r="I45" i="1"/>
  <c r="E46" i="1" s="1"/>
  <c r="C77" i="1"/>
  <c r="D77" i="1" s="1"/>
  <c r="B78" i="1"/>
  <c r="I2846" i="1" l="1"/>
  <c r="E2847" i="1" s="1"/>
  <c r="C2874" i="1"/>
  <c r="D2874" i="1" s="1"/>
  <c r="B2875" i="1"/>
  <c r="C2745" i="1"/>
  <c r="D2745" i="1" s="1"/>
  <c r="B2746" i="1"/>
  <c r="J2720" i="1"/>
  <c r="G2720" i="1" s="1"/>
  <c r="H2720" i="1"/>
  <c r="F2720" i="1"/>
  <c r="C2466" i="1"/>
  <c r="D2466" i="1" s="1"/>
  <c r="B2467" i="1"/>
  <c r="I2437" i="1"/>
  <c r="E2438" i="1" s="1"/>
  <c r="I1262" i="1"/>
  <c r="E1263" i="1" s="1"/>
  <c r="C1292" i="1"/>
  <c r="D1292" i="1" s="1"/>
  <c r="B1293" i="1"/>
  <c r="C814" i="1"/>
  <c r="D814" i="1" s="1"/>
  <c r="B815" i="1"/>
  <c r="I788" i="1"/>
  <c r="E789" i="1" s="1"/>
  <c r="J46" i="1"/>
  <c r="G46" i="1" s="1"/>
  <c r="H46" i="1"/>
  <c r="F46" i="1"/>
  <c r="C78" i="1"/>
  <c r="D78" i="1" s="1"/>
  <c r="B79" i="1"/>
  <c r="C2875" i="1" l="1"/>
  <c r="D2875" i="1" s="1"/>
  <c r="B2876" i="1"/>
  <c r="J2847" i="1"/>
  <c r="G2847" i="1" s="1"/>
  <c r="H2847" i="1"/>
  <c r="F2847" i="1"/>
  <c r="C2746" i="1"/>
  <c r="D2746" i="1" s="1"/>
  <c r="B2747" i="1"/>
  <c r="I2720" i="1"/>
  <c r="E2721" i="1" s="1"/>
  <c r="H2438" i="1"/>
  <c r="J2438" i="1"/>
  <c r="G2438" i="1" s="1"/>
  <c r="F2438" i="1"/>
  <c r="C2467" i="1"/>
  <c r="D2467" i="1" s="1"/>
  <c r="B2468" i="1"/>
  <c r="C1293" i="1"/>
  <c r="D1293" i="1" s="1"/>
  <c r="B1294" i="1"/>
  <c r="H1263" i="1"/>
  <c r="I1263" i="1" s="1"/>
  <c r="E1264" i="1" s="1"/>
  <c r="J1263" i="1"/>
  <c r="G1263" i="1" s="1"/>
  <c r="F1263" i="1"/>
  <c r="H789" i="1"/>
  <c r="J789" i="1"/>
  <c r="G789" i="1" s="1"/>
  <c r="F789" i="1"/>
  <c r="C815" i="1"/>
  <c r="D815" i="1" s="1"/>
  <c r="B816" i="1"/>
  <c r="I46" i="1"/>
  <c r="E47" i="1" s="1"/>
  <c r="C79" i="1"/>
  <c r="D79" i="1" s="1"/>
  <c r="B80" i="1"/>
  <c r="I2847" i="1" l="1"/>
  <c r="E2848" i="1" s="1"/>
  <c r="C2876" i="1"/>
  <c r="D2876" i="1" s="1"/>
  <c r="B2877" i="1"/>
  <c r="H2721" i="1"/>
  <c r="J2721" i="1"/>
  <c r="G2721" i="1" s="1"/>
  <c r="F2721" i="1"/>
  <c r="C2747" i="1"/>
  <c r="D2747" i="1" s="1"/>
  <c r="B2748" i="1"/>
  <c r="C2468" i="1"/>
  <c r="D2468" i="1" s="1"/>
  <c r="B2469" i="1"/>
  <c r="I2438" i="1"/>
  <c r="E2439" i="1" s="1"/>
  <c r="H1264" i="1"/>
  <c r="J1264" i="1"/>
  <c r="G1264" i="1" s="1"/>
  <c r="F1264" i="1"/>
  <c r="C1294" i="1"/>
  <c r="D1294" i="1" s="1"/>
  <c r="B1295" i="1"/>
  <c r="C816" i="1"/>
  <c r="D816" i="1" s="1"/>
  <c r="B817" i="1"/>
  <c r="I789" i="1"/>
  <c r="E790" i="1" s="1"/>
  <c r="J47" i="1"/>
  <c r="G47" i="1" s="1"/>
  <c r="H47" i="1"/>
  <c r="F47" i="1"/>
  <c r="B81" i="1"/>
  <c r="C80" i="1"/>
  <c r="D80" i="1" s="1"/>
  <c r="C2877" i="1" l="1"/>
  <c r="D2877" i="1" s="1"/>
  <c r="B2878" i="1"/>
  <c r="H2848" i="1"/>
  <c r="J2848" i="1"/>
  <c r="G2848" i="1" s="1"/>
  <c r="F2848" i="1"/>
  <c r="C2748" i="1"/>
  <c r="D2748" i="1" s="1"/>
  <c r="B2749" i="1"/>
  <c r="I2721" i="1"/>
  <c r="E2722" i="1" s="1"/>
  <c r="J2439" i="1"/>
  <c r="G2439" i="1" s="1"/>
  <c r="H2439" i="1"/>
  <c r="F2439" i="1"/>
  <c r="B2470" i="1"/>
  <c r="C2469" i="1"/>
  <c r="D2469" i="1" s="1"/>
  <c r="B1296" i="1"/>
  <c r="C1295" i="1"/>
  <c r="D1295" i="1" s="1"/>
  <c r="I1264" i="1"/>
  <c r="E1265" i="1" s="1"/>
  <c r="H790" i="1"/>
  <c r="J790" i="1"/>
  <c r="G790" i="1" s="1"/>
  <c r="F790" i="1"/>
  <c r="C817" i="1"/>
  <c r="D817" i="1" s="1"/>
  <c r="B818" i="1"/>
  <c r="I47" i="1"/>
  <c r="E48" i="1" s="1"/>
  <c r="C81" i="1"/>
  <c r="D81" i="1" s="1"/>
  <c r="B82" i="1"/>
  <c r="I2848" i="1" l="1"/>
  <c r="E2849" i="1" s="1"/>
  <c r="B2879" i="1"/>
  <c r="C2878" i="1"/>
  <c r="D2878" i="1" s="1"/>
  <c r="C2749" i="1"/>
  <c r="D2749" i="1" s="1"/>
  <c r="B2750" i="1"/>
  <c r="H2722" i="1"/>
  <c r="J2722" i="1"/>
  <c r="G2722" i="1" s="1"/>
  <c r="F2722" i="1"/>
  <c r="I2439" i="1"/>
  <c r="E2440" i="1" s="1"/>
  <c r="B2471" i="1"/>
  <c r="C2470" i="1"/>
  <c r="D2470" i="1" s="1"/>
  <c r="J1265" i="1"/>
  <c r="G1265" i="1" s="1"/>
  <c r="H1265" i="1"/>
  <c r="F1265" i="1"/>
  <c r="B1297" i="1"/>
  <c r="C1296" i="1"/>
  <c r="D1296" i="1" s="1"/>
  <c r="B819" i="1"/>
  <c r="C818" i="1"/>
  <c r="D818" i="1" s="1"/>
  <c r="I790" i="1"/>
  <c r="E791" i="1" s="1"/>
  <c r="F48" i="1"/>
  <c r="H48" i="1"/>
  <c r="J48" i="1"/>
  <c r="G48" i="1" s="1"/>
  <c r="C82" i="1"/>
  <c r="D82" i="1" s="1"/>
  <c r="B83" i="1"/>
  <c r="H2849" i="1" l="1"/>
  <c r="J2849" i="1"/>
  <c r="G2849" i="1" s="1"/>
  <c r="F2849" i="1"/>
  <c r="B2880" i="1"/>
  <c r="C2879" i="1"/>
  <c r="D2879" i="1" s="1"/>
  <c r="I2722" i="1"/>
  <c r="E2723" i="1" s="1"/>
  <c r="C2750" i="1"/>
  <c r="D2750" i="1" s="1"/>
  <c r="B2751" i="1"/>
  <c r="J2440" i="1"/>
  <c r="G2440" i="1" s="1"/>
  <c r="H2440" i="1"/>
  <c r="F2440" i="1"/>
  <c r="B2472" i="1"/>
  <c r="C2471" i="1"/>
  <c r="D2471" i="1" s="1"/>
  <c r="I1265" i="1"/>
  <c r="E1266" i="1" s="1"/>
  <c r="B1298" i="1"/>
  <c r="C1297" i="1"/>
  <c r="D1297" i="1" s="1"/>
  <c r="H791" i="1"/>
  <c r="J791" i="1"/>
  <c r="G791" i="1" s="1"/>
  <c r="F791" i="1"/>
  <c r="C819" i="1"/>
  <c r="D819" i="1" s="1"/>
  <c r="B820" i="1"/>
  <c r="I48" i="1"/>
  <c r="E49" i="1" s="1"/>
  <c r="C83" i="1"/>
  <c r="D83" i="1" s="1"/>
  <c r="B84" i="1"/>
  <c r="C2880" i="1" l="1"/>
  <c r="D2880" i="1" s="1"/>
  <c r="B2881" i="1"/>
  <c r="I2849" i="1"/>
  <c r="E2850" i="1" s="1"/>
  <c r="C2751" i="1"/>
  <c r="D2751" i="1" s="1"/>
  <c r="B2752" i="1"/>
  <c r="H2723" i="1"/>
  <c r="J2723" i="1"/>
  <c r="G2723" i="1" s="1"/>
  <c r="F2723" i="1"/>
  <c r="C2472" i="1"/>
  <c r="D2472" i="1" s="1"/>
  <c r="B2473" i="1"/>
  <c r="I2440" i="1"/>
  <c r="E2441" i="1" s="1"/>
  <c r="J1266" i="1"/>
  <c r="G1266" i="1" s="1"/>
  <c r="H1266" i="1"/>
  <c r="I1266" i="1" s="1"/>
  <c r="E1267" i="1" s="1"/>
  <c r="F1266" i="1"/>
  <c r="C1298" i="1"/>
  <c r="D1298" i="1" s="1"/>
  <c r="B1299" i="1"/>
  <c r="C820" i="1"/>
  <c r="D820" i="1" s="1"/>
  <c r="B821" i="1"/>
  <c r="I791" i="1"/>
  <c r="E792" i="1" s="1"/>
  <c r="H49" i="1"/>
  <c r="F49" i="1"/>
  <c r="J49" i="1"/>
  <c r="G49" i="1" s="1"/>
  <c r="C84" i="1"/>
  <c r="D84" i="1" s="1"/>
  <c r="B85" i="1"/>
  <c r="H2850" i="1" l="1"/>
  <c r="J2850" i="1"/>
  <c r="G2850" i="1" s="1"/>
  <c r="F2850" i="1"/>
  <c r="C2881" i="1"/>
  <c r="D2881" i="1" s="1"/>
  <c r="B2882" i="1"/>
  <c r="I2723" i="1"/>
  <c r="E2724" i="1" s="1"/>
  <c r="C2752" i="1"/>
  <c r="D2752" i="1" s="1"/>
  <c r="B2753" i="1"/>
  <c r="H2441" i="1"/>
  <c r="J2441" i="1"/>
  <c r="G2441" i="1" s="1"/>
  <c r="F2441" i="1"/>
  <c r="B2474" i="1"/>
  <c r="C2473" i="1"/>
  <c r="D2473" i="1" s="1"/>
  <c r="H1267" i="1"/>
  <c r="J1267" i="1"/>
  <c r="G1267" i="1" s="1"/>
  <c r="F1267" i="1"/>
  <c r="C1299" i="1"/>
  <c r="D1299" i="1" s="1"/>
  <c r="B1300" i="1"/>
  <c r="J792" i="1"/>
  <c r="G792" i="1" s="1"/>
  <c r="H792" i="1"/>
  <c r="F792" i="1"/>
  <c r="C821" i="1"/>
  <c r="D821" i="1" s="1"/>
  <c r="B822" i="1"/>
  <c r="I49" i="1"/>
  <c r="E50" i="1" s="1"/>
  <c r="C85" i="1"/>
  <c r="D85" i="1" s="1"/>
  <c r="B86" i="1"/>
  <c r="C2882" i="1" l="1"/>
  <c r="D2882" i="1" s="1"/>
  <c r="B2883" i="1"/>
  <c r="I2850" i="1"/>
  <c r="E2851" i="1" s="1"/>
  <c r="C2753" i="1"/>
  <c r="D2753" i="1" s="1"/>
  <c r="B2754" i="1"/>
  <c r="H2724" i="1"/>
  <c r="J2724" i="1"/>
  <c r="G2724" i="1" s="1"/>
  <c r="F2724" i="1"/>
  <c r="B2475" i="1"/>
  <c r="C2474" i="1"/>
  <c r="D2474" i="1" s="1"/>
  <c r="I2441" i="1"/>
  <c r="E2442" i="1" s="1"/>
  <c r="C1300" i="1"/>
  <c r="D1300" i="1" s="1"/>
  <c r="B1301" i="1"/>
  <c r="I1267" i="1"/>
  <c r="E1268" i="1" s="1"/>
  <c r="I792" i="1"/>
  <c r="E793" i="1" s="1"/>
  <c r="C822" i="1"/>
  <c r="D822" i="1" s="1"/>
  <c r="B823" i="1"/>
  <c r="J50" i="1"/>
  <c r="G50" i="1" s="1"/>
  <c r="H50" i="1"/>
  <c r="F50" i="1"/>
  <c r="C86" i="1"/>
  <c r="D86" i="1" s="1"/>
  <c r="B87" i="1"/>
  <c r="H2851" i="1" l="1"/>
  <c r="J2851" i="1"/>
  <c r="G2851" i="1" s="1"/>
  <c r="F2851" i="1"/>
  <c r="C2883" i="1"/>
  <c r="D2883" i="1" s="1"/>
  <c r="B2884" i="1"/>
  <c r="I2724" i="1"/>
  <c r="E2725" i="1" s="1"/>
  <c r="C2754" i="1"/>
  <c r="D2754" i="1" s="1"/>
  <c r="B2755" i="1"/>
  <c r="H2442" i="1"/>
  <c r="J2442" i="1"/>
  <c r="G2442" i="1" s="1"/>
  <c r="F2442" i="1"/>
  <c r="C2475" i="1"/>
  <c r="D2475" i="1" s="1"/>
  <c r="B2476" i="1"/>
  <c r="H1268" i="1"/>
  <c r="J1268" i="1"/>
  <c r="G1268" i="1" s="1"/>
  <c r="F1268" i="1"/>
  <c r="C1301" i="1"/>
  <c r="D1301" i="1" s="1"/>
  <c r="B1302" i="1"/>
  <c r="B824" i="1"/>
  <c r="C823" i="1"/>
  <c r="D823" i="1" s="1"/>
  <c r="J793" i="1"/>
  <c r="G793" i="1" s="1"/>
  <c r="H793" i="1"/>
  <c r="I793" i="1" s="1"/>
  <c r="E794" i="1" s="1"/>
  <c r="F793" i="1"/>
  <c r="I50" i="1"/>
  <c r="E51" i="1" s="1"/>
  <c r="C87" i="1"/>
  <c r="D87" i="1" s="1"/>
  <c r="B88" i="1"/>
  <c r="C2884" i="1" l="1"/>
  <c r="D2884" i="1" s="1"/>
  <c r="B2885" i="1"/>
  <c r="I2851" i="1"/>
  <c r="E2852" i="1" s="1"/>
  <c r="B2756" i="1"/>
  <c r="C2755" i="1"/>
  <c r="D2755" i="1" s="1"/>
  <c r="H2725" i="1"/>
  <c r="J2725" i="1"/>
  <c r="G2725" i="1" s="1"/>
  <c r="F2725" i="1"/>
  <c r="B2477" i="1"/>
  <c r="C2476" i="1"/>
  <c r="D2476" i="1" s="1"/>
  <c r="I2442" i="1"/>
  <c r="E2443" i="1" s="1"/>
  <c r="C1302" i="1"/>
  <c r="D1302" i="1" s="1"/>
  <c r="B1303" i="1"/>
  <c r="I1268" i="1"/>
  <c r="E1269" i="1" s="1"/>
  <c r="J794" i="1"/>
  <c r="G794" i="1" s="1"/>
  <c r="H794" i="1"/>
  <c r="F794" i="1"/>
  <c r="C824" i="1"/>
  <c r="D824" i="1" s="1"/>
  <c r="B825" i="1"/>
  <c r="J51" i="1"/>
  <c r="G51" i="1" s="1"/>
  <c r="H51" i="1"/>
  <c r="F51" i="1"/>
  <c r="B89" i="1"/>
  <c r="C88" i="1"/>
  <c r="D88" i="1" s="1"/>
  <c r="J2852" i="1" l="1"/>
  <c r="G2852" i="1" s="1"/>
  <c r="H2852" i="1"/>
  <c r="I2852" i="1" s="1"/>
  <c r="E2853" i="1" s="1"/>
  <c r="F2852" i="1"/>
  <c r="C2885" i="1"/>
  <c r="D2885" i="1" s="1"/>
  <c r="B2886" i="1"/>
  <c r="I2725" i="1"/>
  <c r="E2726" i="1" s="1"/>
  <c r="C2756" i="1"/>
  <c r="D2756" i="1" s="1"/>
  <c r="B2757" i="1"/>
  <c r="H2443" i="1"/>
  <c r="J2443" i="1"/>
  <c r="G2443" i="1" s="1"/>
  <c r="F2443" i="1"/>
  <c r="B2478" i="1"/>
  <c r="C2477" i="1"/>
  <c r="D2477" i="1" s="1"/>
  <c r="H1269" i="1"/>
  <c r="J1269" i="1"/>
  <c r="G1269" i="1" s="1"/>
  <c r="F1269" i="1"/>
  <c r="C1303" i="1"/>
  <c r="D1303" i="1" s="1"/>
  <c r="B1304" i="1"/>
  <c r="C825" i="1"/>
  <c r="D825" i="1" s="1"/>
  <c r="B826" i="1"/>
  <c r="I794" i="1"/>
  <c r="E795" i="1" s="1"/>
  <c r="I51" i="1"/>
  <c r="E52" i="1" s="1"/>
  <c r="C89" i="1"/>
  <c r="D89" i="1" s="1"/>
  <c r="B90" i="1"/>
  <c r="H2853" i="1" l="1"/>
  <c r="J2853" i="1"/>
  <c r="G2853" i="1" s="1"/>
  <c r="F2853" i="1"/>
  <c r="C2886" i="1"/>
  <c r="D2886" i="1" s="1"/>
  <c r="B2887" i="1"/>
  <c r="C2757" i="1"/>
  <c r="D2757" i="1" s="1"/>
  <c r="B2758" i="1"/>
  <c r="J2726" i="1"/>
  <c r="G2726" i="1" s="1"/>
  <c r="H2726" i="1"/>
  <c r="F2726" i="1"/>
  <c r="C2478" i="1"/>
  <c r="D2478" i="1" s="1"/>
  <c r="B2479" i="1"/>
  <c r="I2443" i="1"/>
  <c r="E2444" i="1" s="1"/>
  <c r="C1304" i="1"/>
  <c r="D1304" i="1" s="1"/>
  <c r="B1305" i="1"/>
  <c r="I1269" i="1"/>
  <c r="E1270" i="1" s="1"/>
  <c r="H795" i="1"/>
  <c r="J795" i="1"/>
  <c r="G795" i="1" s="1"/>
  <c r="F795" i="1"/>
  <c r="B827" i="1"/>
  <c r="C826" i="1"/>
  <c r="D826" i="1" s="1"/>
  <c r="J52" i="1"/>
  <c r="G52" i="1" s="1"/>
  <c r="F52" i="1"/>
  <c r="H52" i="1"/>
  <c r="B91" i="1"/>
  <c r="C90" i="1"/>
  <c r="D90" i="1" s="1"/>
  <c r="C2887" i="1" l="1"/>
  <c r="D2887" i="1" s="1"/>
  <c r="B2888" i="1"/>
  <c r="I2853" i="1"/>
  <c r="E2854" i="1" s="1"/>
  <c r="I2726" i="1"/>
  <c r="E2727" i="1" s="1"/>
  <c r="C2758" i="1"/>
  <c r="D2758" i="1" s="1"/>
  <c r="B2759" i="1"/>
  <c r="C2479" i="1"/>
  <c r="D2479" i="1" s="1"/>
  <c r="B2480" i="1"/>
  <c r="H2444" i="1"/>
  <c r="J2444" i="1"/>
  <c r="G2444" i="1" s="1"/>
  <c r="F2444" i="1"/>
  <c r="J1270" i="1"/>
  <c r="G1270" i="1" s="1"/>
  <c r="H1270" i="1"/>
  <c r="F1270" i="1"/>
  <c r="B1306" i="1"/>
  <c r="C1305" i="1"/>
  <c r="D1305" i="1" s="1"/>
  <c r="B828" i="1"/>
  <c r="C827" i="1"/>
  <c r="D827" i="1" s="1"/>
  <c r="I795" i="1"/>
  <c r="E796" i="1" s="1"/>
  <c r="I52" i="1"/>
  <c r="E53" i="1" s="1"/>
  <c r="C91" i="1"/>
  <c r="D91" i="1" s="1"/>
  <c r="B92" i="1"/>
  <c r="H2854" i="1" l="1"/>
  <c r="J2854" i="1"/>
  <c r="G2854" i="1" s="1"/>
  <c r="F2854" i="1"/>
  <c r="C2888" i="1"/>
  <c r="D2888" i="1" s="1"/>
  <c r="B2889" i="1"/>
  <c r="C2759" i="1"/>
  <c r="D2759" i="1" s="1"/>
  <c r="B2760" i="1"/>
  <c r="J2727" i="1"/>
  <c r="G2727" i="1" s="1"/>
  <c r="H2727" i="1"/>
  <c r="F2727" i="1"/>
  <c r="I2444" i="1"/>
  <c r="E2445" i="1" s="1"/>
  <c r="C2480" i="1"/>
  <c r="D2480" i="1" s="1"/>
  <c r="B2481" i="1"/>
  <c r="I1270" i="1"/>
  <c r="E1271" i="1" s="1"/>
  <c r="C1306" i="1"/>
  <c r="D1306" i="1" s="1"/>
  <c r="B1307" i="1"/>
  <c r="H796" i="1"/>
  <c r="J796" i="1"/>
  <c r="G796" i="1" s="1"/>
  <c r="F796" i="1"/>
  <c r="B829" i="1"/>
  <c r="C828" i="1"/>
  <c r="D828" i="1" s="1"/>
  <c r="J53" i="1"/>
  <c r="G53" i="1" s="1"/>
  <c r="H53" i="1"/>
  <c r="F53" i="1"/>
  <c r="B93" i="1"/>
  <c r="C92" i="1"/>
  <c r="D92" i="1" s="1"/>
  <c r="B2890" i="1" l="1"/>
  <c r="C2889" i="1"/>
  <c r="D2889" i="1" s="1"/>
  <c r="I2854" i="1"/>
  <c r="E2855" i="1" s="1"/>
  <c r="I2727" i="1"/>
  <c r="E2728" i="1" s="1"/>
  <c r="C2760" i="1"/>
  <c r="D2760" i="1" s="1"/>
  <c r="B2761" i="1"/>
  <c r="H2445" i="1"/>
  <c r="J2445" i="1"/>
  <c r="G2445" i="1" s="1"/>
  <c r="F2445" i="1"/>
  <c r="B2482" i="1"/>
  <c r="C2481" i="1"/>
  <c r="D2481" i="1" s="1"/>
  <c r="C1307" i="1"/>
  <c r="D1307" i="1" s="1"/>
  <c r="B1308" i="1"/>
  <c r="H1271" i="1"/>
  <c r="J1271" i="1"/>
  <c r="G1271" i="1" s="1"/>
  <c r="F1271" i="1"/>
  <c r="B830" i="1"/>
  <c r="C829" i="1"/>
  <c r="D829" i="1" s="1"/>
  <c r="I796" i="1"/>
  <c r="E797" i="1" s="1"/>
  <c r="I53" i="1"/>
  <c r="E54" i="1" s="1"/>
  <c r="C93" i="1"/>
  <c r="D93" i="1" s="1"/>
  <c r="B94" i="1"/>
  <c r="J2855" i="1" l="1"/>
  <c r="G2855" i="1" s="1"/>
  <c r="H2855" i="1"/>
  <c r="F2855" i="1"/>
  <c r="C2890" i="1"/>
  <c r="D2890" i="1" s="1"/>
  <c r="B2891" i="1"/>
  <c r="B2762" i="1"/>
  <c r="C2761" i="1"/>
  <c r="D2761" i="1" s="1"/>
  <c r="J2728" i="1"/>
  <c r="G2728" i="1" s="1"/>
  <c r="H2728" i="1"/>
  <c r="I2728" i="1" s="1"/>
  <c r="E2729" i="1" s="1"/>
  <c r="F2728" i="1"/>
  <c r="B2483" i="1"/>
  <c r="C2482" i="1"/>
  <c r="D2482" i="1" s="1"/>
  <c r="I2445" i="1"/>
  <c r="E2446" i="1" s="1"/>
  <c r="I1271" i="1"/>
  <c r="E1272" i="1" s="1"/>
  <c r="C1308" i="1"/>
  <c r="D1308" i="1" s="1"/>
  <c r="B1309" i="1"/>
  <c r="H797" i="1"/>
  <c r="J797" i="1"/>
  <c r="G797" i="1" s="1"/>
  <c r="F797" i="1"/>
  <c r="B831" i="1"/>
  <c r="C830" i="1"/>
  <c r="D830" i="1" s="1"/>
  <c r="H54" i="1"/>
  <c r="J54" i="1"/>
  <c r="G54" i="1" s="1"/>
  <c r="F54" i="1"/>
  <c r="C94" i="1"/>
  <c r="D94" i="1" s="1"/>
  <c r="B95" i="1"/>
  <c r="C2891" i="1" l="1"/>
  <c r="D2891" i="1" s="1"/>
  <c r="B2892" i="1"/>
  <c r="I2855" i="1"/>
  <c r="E2856" i="1" s="1"/>
  <c r="H2729" i="1"/>
  <c r="J2729" i="1"/>
  <c r="G2729" i="1" s="1"/>
  <c r="F2729" i="1"/>
  <c r="C2762" i="1"/>
  <c r="D2762" i="1" s="1"/>
  <c r="B2763" i="1"/>
  <c r="H2446" i="1"/>
  <c r="J2446" i="1"/>
  <c r="G2446" i="1" s="1"/>
  <c r="F2446" i="1"/>
  <c r="C2483" i="1"/>
  <c r="D2483" i="1" s="1"/>
  <c r="B2484" i="1"/>
  <c r="C1309" i="1"/>
  <c r="D1309" i="1" s="1"/>
  <c r="B1310" i="1"/>
  <c r="H1272" i="1"/>
  <c r="J1272" i="1"/>
  <c r="G1272" i="1" s="1"/>
  <c r="F1272" i="1"/>
  <c r="C831" i="1"/>
  <c r="D831" i="1" s="1"/>
  <c r="B832" i="1"/>
  <c r="I797" i="1"/>
  <c r="E798" i="1" s="1"/>
  <c r="I54" i="1"/>
  <c r="E55" i="1" s="1"/>
  <c r="C95" i="1"/>
  <c r="D95" i="1" s="1"/>
  <c r="B96" i="1"/>
  <c r="H2856" i="1" l="1"/>
  <c r="J2856" i="1"/>
  <c r="G2856" i="1" s="1"/>
  <c r="F2856" i="1"/>
  <c r="C2892" i="1"/>
  <c r="D2892" i="1" s="1"/>
  <c r="B2893" i="1"/>
  <c r="C2763" i="1"/>
  <c r="D2763" i="1" s="1"/>
  <c r="B2764" i="1"/>
  <c r="I2729" i="1"/>
  <c r="E2730" i="1" s="1"/>
  <c r="C2484" i="1"/>
  <c r="D2484" i="1" s="1"/>
  <c r="B2485" i="1"/>
  <c r="I2446" i="1"/>
  <c r="E2447" i="1" s="1"/>
  <c r="I1272" i="1"/>
  <c r="E1273" i="1" s="1"/>
  <c r="C1310" i="1"/>
  <c r="D1310" i="1" s="1"/>
  <c r="B1311" i="1"/>
  <c r="J798" i="1"/>
  <c r="G798" i="1" s="1"/>
  <c r="H798" i="1"/>
  <c r="F798" i="1"/>
  <c r="C832" i="1"/>
  <c r="D832" i="1" s="1"/>
  <c r="B833" i="1"/>
  <c r="H55" i="1"/>
  <c r="F55" i="1"/>
  <c r="J55" i="1"/>
  <c r="G55" i="1" s="1"/>
  <c r="B97" i="1"/>
  <c r="C96" i="1"/>
  <c r="D96" i="1" s="1"/>
  <c r="C2893" i="1" l="1"/>
  <c r="D2893" i="1" s="1"/>
  <c r="B2894" i="1"/>
  <c r="I2856" i="1"/>
  <c r="E2857" i="1" s="1"/>
  <c r="H2730" i="1"/>
  <c r="J2730" i="1"/>
  <c r="G2730" i="1" s="1"/>
  <c r="F2730" i="1"/>
  <c r="C2764" i="1"/>
  <c r="D2764" i="1" s="1"/>
  <c r="B2765" i="1"/>
  <c r="C2485" i="1"/>
  <c r="D2485" i="1" s="1"/>
  <c r="B2486" i="1"/>
  <c r="J2447" i="1"/>
  <c r="G2447" i="1" s="1"/>
  <c r="H2447" i="1"/>
  <c r="I2447" i="1" s="1"/>
  <c r="E2448" i="1" s="1"/>
  <c r="F2447" i="1"/>
  <c r="C1311" i="1"/>
  <c r="D1311" i="1" s="1"/>
  <c r="B1312" i="1"/>
  <c r="J1273" i="1"/>
  <c r="G1273" i="1" s="1"/>
  <c r="H1273" i="1"/>
  <c r="F1273" i="1"/>
  <c r="B834" i="1"/>
  <c r="C833" i="1"/>
  <c r="D833" i="1" s="1"/>
  <c r="I798" i="1"/>
  <c r="E799" i="1" s="1"/>
  <c r="I55" i="1"/>
  <c r="E56" i="1" s="1"/>
  <c r="B98" i="1"/>
  <c r="C97" i="1"/>
  <c r="D97" i="1" s="1"/>
  <c r="B2895" i="1" l="1"/>
  <c r="C2894" i="1"/>
  <c r="D2894" i="1" s="1"/>
  <c r="H2857" i="1"/>
  <c r="J2857" i="1"/>
  <c r="G2857" i="1" s="1"/>
  <c r="F2857" i="1"/>
  <c r="C2765" i="1"/>
  <c r="D2765" i="1" s="1"/>
  <c r="B2766" i="1"/>
  <c r="I2730" i="1"/>
  <c r="E2731" i="1" s="1"/>
  <c r="J2448" i="1"/>
  <c r="G2448" i="1" s="1"/>
  <c r="H2448" i="1"/>
  <c r="I2448" i="1" s="1"/>
  <c r="E2449" i="1" s="1"/>
  <c r="F2448" i="1"/>
  <c r="C2486" i="1"/>
  <c r="D2486" i="1" s="1"/>
  <c r="B2487" i="1"/>
  <c r="I1273" i="1"/>
  <c r="E1274" i="1" s="1"/>
  <c r="C1312" i="1"/>
  <c r="D1312" i="1" s="1"/>
  <c r="B1313" i="1"/>
  <c r="J799" i="1"/>
  <c r="G799" i="1" s="1"/>
  <c r="H799" i="1"/>
  <c r="I799" i="1" s="1"/>
  <c r="E800" i="1" s="1"/>
  <c r="F799" i="1"/>
  <c r="C834" i="1"/>
  <c r="D834" i="1" s="1"/>
  <c r="B835" i="1"/>
  <c r="H56" i="1"/>
  <c r="J56" i="1"/>
  <c r="G56" i="1" s="1"/>
  <c r="F56" i="1"/>
  <c r="B99" i="1"/>
  <c r="C98" i="1"/>
  <c r="D98" i="1" s="1"/>
  <c r="I2857" i="1" l="1"/>
  <c r="E2858" i="1" s="1"/>
  <c r="C2895" i="1"/>
  <c r="D2895" i="1" s="1"/>
  <c r="B2896" i="1"/>
  <c r="C2766" i="1"/>
  <c r="D2766" i="1" s="1"/>
  <c r="B2767" i="1"/>
  <c r="H2731" i="1"/>
  <c r="J2731" i="1"/>
  <c r="G2731" i="1" s="1"/>
  <c r="F2731" i="1"/>
  <c r="H2449" i="1"/>
  <c r="J2449" i="1"/>
  <c r="G2449" i="1" s="1"/>
  <c r="F2449" i="1"/>
  <c r="C2487" i="1"/>
  <c r="D2487" i="1" s="1"/>
  <c r="B2488" i="1"/>
  <c r="C1313" i="1"/>
  <c r="D1313" i="1" s="1"/>
  <c r="B1314" i="1"/>
  <c r="H1274" i="1"/>
  <c r="J1274" i="1"/>
  <c r="G1274" i="1" s="1"/>
  <c r="F1274" i="1"/>
  <c r="H800" i="1"/>
  <c r="J800" i="1"/>
  <c r="G800" i="1" s="1"/>
  <c r="F800" i="1"/>
  <c r="C835" i="1"/>
  <c r="D835" i="1" s="1"/>
  <c r="B836" i="1"/>
  <c r="I56" i="1"/>
  <c r="E57" i="1" s="1"/>
  <c r="C99" i="1"/>
  <c r="D99" i="1" s="1"/>
  <c r="B100" i="1"/>
  <c r="B2897" i="1" l="1"/>
  <c r="C2896" i="1"/>
  <c r="D2896" i="1" s="1"/>
  <c r="H2858" i="1"/>
  <c r="J2858" i="1"/>
  <c r="G2858" i="1" s="1"/>
  <c r="F2858" i="1"/>
  <c r="I2731" i="1"/>
  <c r="E2732" i="1" s="1"/>
  <c r="C2767" i="1"/>
  <c r="D2767" i="1" s="1"/>
  <c r="B2768" i="1"/>
  <c r="C2488" i="1"/>
  <c r="D2488" i="1" s="1"/>
  <c r="B2489" i="1"/>
  <c r="I2449" i="1"/>
  <c r="E2450" i="1" s="1"/>
  <c r="I1274" i="1"/>
  <c r="E1275" i="1" s="1"/>
  <c r="B1315" i="1"/>
  <c r="C1314" i="1"/>
  <c r="D1314" i="1" s="1"/>
  <c r="B837" i="1"/>
  <c r="C836" i="1"/>
  <c r="D836" i="1" s="1"/>
  <c r="I800" i="1"/>
  <c r="E801" i="1" s="1"/>
  <c r="H57" i="1"/>
  <c r="F57" i="1"/>
  <c r="J57" i="1"/>
  <c r="G57" i="1" s="1"/>
  <c r="C100" i="1"/>
  <c r="D100" i="1" s="1"/>
  <c r="B101" i="1"/>
  <c r="C2897" i="1" l="1"/>
  <c r="D2897" i="1" s="1"/>
  <c r="B2898" i="1"/>
  <c r="I2858" i="1"/>
  <c r="E2859" i="1" s="1"/>
  <c r="C2768" i="1"/>
  <c r="D2768" i="1" s="1"/>
  <c r="B2769" i="1"/>
  <c r="H2732" i="1"/>
  <c r="J2732" i="1"/>
  <c r="G2732" i="1" s="1"/>
  <c r="F2732" i="1"/>
  <c r="H2450" i="1"/>
  <c r="J2450" i="1"/>
  <c r="G2450" i="1" s="1"/>
  <c r="F2450" i="1"/>
  <c r="C2489" i="1"/>
  <c r="D2489" i="1" s="1"/>
  <c r="B2490" i="1"/>
  <c r="C1315" i="1"/>
  <c r="D1315" i="1" s="1"/>
  <c r="B1316" i="1"/>
  <c r="H1275" i="1"/>
  <c r="J1275" i="1"/>
  <c r="G1275" i="1" s="1"/>
  <c r="F1275" i="1"/>
  <c r="J801" i="1"/>
  <c r="G801" i="1" s="1"/>
  <c r="H801" i="1"/>
  <c r="F801" i="1"/>
  <c r="C837" i="1"/>
  <c r="D837" i="1" s="1"/>
  <c r="B838" i="1"/>
  <c r="I57" i="1"/>
  <c r="E58" i="1" s="1"/>
  <c r="C101" i="1"/>
  <c r="D101" i="1" s="1"/>
  <c r="B102" i="1"/>
  <c r="H2859" i="1" l="1"/>
  <c r="J2859" i="1"/>
  <c r="G2859" i="1" s="1"/>
  <c r="F2859" i="1"/>
  <c r="C2898" i="1"/>
  <c r="D2898" i="1" s="1"/>
  <c r="B2899" i="1"/>
  <c r="I2732" i="1"/>
  <c r="E2733" i="1" s="1"/>
  <c r="C2769" i="1"/>
  <c r="D2769" i="1" s="1"/>
  <c r="B2770" i="1"/>
  <c r="C2490" i="1"/>
  <c r="D2490" i="1" s="1"/>
  <c r="B2491" i="1"/>
  <c r="I2450" i="1"/>
  <c r="E2451" i="1" s="1"/>
  <c r="I1275" i="1"/>
  <c r="E1276" i="1" s="1"/>
  <c r="B1317" i="1"/>
  <c r="C1316" i="1"/>
  <c r="D1316" i="1" s="1"/>
  <c r="C838" i="1"/>
  <c r="D838" i="1" s="1"/>
  <c r="B839" i="1"/>
  <c r="I801" i="1"/>
  <c r="E802" i="1" s="1"/>
  <c r="H58" i="1"/>
  <c r="F58" i="1"/>
  <c r="J58" i="1"/>
  <c r="G58" i="1" s="1"/>
  <c r="B103" i="1"/>
  <c r="C102" i="1"/>
  <c r="D102" i="1" s="1"/>
  <c r="C2899" i="1" l="1"/>
  <c r="D2899" i="1" s="1"/>
  <c r="B2900" i="1"/>
  <c r="I2859" i="1"/>
  <c r="E2860" i="1" s="1"/>
  <c r="C2770" i="1"/>
  <c r="D2770" i="1" s="1"/>
  <c r="B2771" i="1"/>
  <c r="H2733" i="1"/>
  <c r="J2733" i="1"/>
  <c r="G2733" i="1" s="1"/>
  <c r="F2733" i="1"/>
  <c r="H2451" i="1"/>
  <c r="J2451" i="1"/>
  <c r="G2451" i="1" s="1"/>
  <c r="F2451" i="1"/>
  <c r="C2491" i="1"/>
  <c r="D2491" i="1" s="1"/>
  <c r="B2492" i="1"/>
  <c r="H1276" i="1"/>
  <c r="J1276" i="1"/>
  <c r="G1276" i="1" s="1"/>
  <c r="F1276" i="1"/>
  <c r="C1317" i="1"/>
  <c r="D1317" i="1" s="1"/>
  <c r="B1318" i="1"/>
  <c r="J802" i="1"/>
  <c r="G802" i="1" s="1"/>
  <c r="H802" i="1"/>
  <c r="F802" i="1"/>
  <c r="C839" i="1"/>
  <c r="D839" i="1" s="1"/>
  <c r="B840" i="1"/>
  <c r="I58" i="1"/>
  <c r="E59" i="1" s="1"/>
  <c r="C103" i="1"/>
  <c r="D103" i="1" s="1"/>
  <c r="B104" i="1"/>
  <c r="J2860" i="1" l="1"/>
  <c r="G2860" i="1" s="1"/>
  <c r="H2860" i="1"/>
  <c r="F2860" i="1"/>
  <c r="C2900" i="1"/>
  <c r="D2900" i="1" s="1"/>
  <c r="B2901" i="1"/>
  <c r="I2733" i="1"/>
  <c r="E2734" i="1" s="1"/>
  <c r="C2771" i="1"/>
  <c r="D2771" i="1" s="1"/>
  <c r="B2772" i="1"/>
  <c r="C2492" i="1"/>
  <c r="D2492" i="1" s="1"/>
  <c r="B2493" i="1"/>
  <c r="I2451" i="1"/>
  <c r="E2452" i="1" s="1"/>
  <c r="C1318" i="1"/>
  <c r="D1318" i="1" s="1"/>
  <c r="B1319" i="1"/>
  <c r="I1276" i="1"/>
  <c r="E1277" i="1" s="1"/>
  <c r="B841" i="1"/>
  <c r="C840" i="1"/>
  <c r="D840" i="1" s="1"/>
  <c r="I802" i="1"/>
  <c r="E803" i="1" s="1"/>
  <c r="J59" i="1"/>
  <c r="G59" i="1" s="1"/>
  <c r="H59" i="1"/>
  <c r="I59" i="1" s="1"/>
  <c r="E60" i="1" s="1"/>
  <c r="F59" i="1"/>
  <c r="B105" i="1"/>
  <c r="C104" i="1"/>
  <c r="D104" i="1" s="1"/>
  <c r="C2901" i="1" l="1"/>
  <c r="D2901" i="1" s="1"/>
  <c r="B2902" i="1"/>
  <c r="I2860" i="1"/>
  <c r="E2861" i="1" s="1"/>
  <c r="C2772" i="1"/>
  <c r="D2772" i="1" s="1"/>
  <c r="B2773" i="1"/>
  <c r="H2734" i="1"/>
  <c r="J2734" i="1"/>
  <c r="G2734" i="1" s="1"/>
  <c r="F2734" i="1"/>
  <c r="H2452" i="1"/>
  <c r="J2452" i="1"/>
  <c r="G2452" i="1" s="1"/>
  <c r="F2452" i="1"/>
  <c r="C2493" i="1"/>
  <c r="D2493" i="1" s="1"/>
  <c r="B2494" i="1"/>
  <c r="H1277" i="1"/>
  <c r="J1277" i="1"/>
  <c r="G1277" i="1" s="1"/>
  <c r="F1277" i="1"/>
  <c r="C1319" i="1"/>
  <c r="D1319" i="1" s="1"/>
  <c r="B1320" i="1"/>
  <c r="H803" i="1"/>
  <c r="J803" i="1"/>
  <c r="G803" i="1" s="1"/>
  <c r="F803" i="1"/>
  <c r="B842" i="1"/>
  <c r="C841" i="1"/>
  <c r="D841" i="1" s="1"/>
  <c r="H60" i="1"/>
  <c r="J60" i="1"/>
  <c r="G60" i="1" s="1"/>
  <c r="F60" i="1"/>
  <c r="B106" i="1"/>
  <c r="C105" i="1"/>
  <c r="D105" i="1" s="1"/>
  <c r="H2861" i="1" l="1"/>
  <c r="J2861" i="1"/>
  <c r="G2861" i="1" s="1"/>
  <c r="F2861" i="1"/>
  <c r="C2902" i="1"/>
  <c r="D2902" i="1" s="1"/>
  <c r="B2903" i="1"/>
  <c r="I2734" i="1"/>
  <c r="E2735" i="1" s="1"/>
  <c r="C2773" i="1"/>
  <c r="D2773" i="1" s="1"/>
  <c r="B2774" i="1"/>
  <c r="C2494" i="1"/>
  <c r="D2494" i="1" s="1"/>
  <c r="B2495" i="1"/>
  <c r="I2452" i="1"/>
  <c r="E2453" i="1" s="1"/>
  <c r="C1320" i="1"/>
  <c r="D1320" i="1" s="1"/>
  <c r="B1321" i="1"/>
  <c r="I1277" i="1"/>
  <c r="E1278" i="1" s="1"/>
  <c r="C842" i="1"/>
  <c r="D842" i="1" s="1"/>
  <c r="B843" i="1"/>
  <c r="I803" i="1"/>
  <c r="E804" i="1" s="1"/>
  <c r="I60" i="1"/>
  <c r="E61" i="1" s="1"/>
  <c r="B107" i="1"/>
  <c r="C106" i="1"/>
  <c r="D106" i="1" s="1"/>
  <c r="C2903" i="1" l="1"/>
  <c r="D2903" i="1" s="1"/>
  <c r="B2904" i="1"/>
  <c r="I2861" i="1"/>
  <c r="E2862" i="1" s="1"/>
  <c r="C2774" i="1"/>
  <c r="D2774" i="1" s="1"/>
  <c r="B2775" i="1"/>
  <c r="J2735" i="1"/>
  <c r="G2735" i="1" s="1"/>
  <c r="H2735" i="1"/>
  <c r="F2735" i="1"/>
  <c r="H2453" i="1"/>
  <c r="J2453" i="1"/>
  <c r="G2453" i="1" s="1"/>
  <c r="F2453" i="1"/>
  <c r="C2495" i="1"/>
  <c r="D2495" i="1" s="1"/>
  <c r="B2496" i="1"/>
  <c r="C1321" i="1"/>
  <c r="D1321" i="1" s="1"/>
  <c r="B1322" i="1"/>
  <c r="J1278" i="1"/>
  <c r="G1278" i="1" s="1"/>
  <c r="H1278" i="1"/>
  <c r="F1278" i="1"/>
  <c r="H804" i="1"/>
  <c r="J804" i="1"/>
  <c r="G804" i="1" s="1"/>
  <c r="F804" i="1"/>
  <c r="B844" i="1"/>
  <c r="C843" i="1"/>
  <c r="D843" i="1" s="1"/>
  <c r="H61" i="1"/>
  <c r="J61" i="1"/>
  <c r="G61" i="1" s="1"/>
  <c r="F61" i="1"/>
  <c r="C107" i="1"/>
  <c r="D107" i="1" s="1"/>
  <c r="B108" i="1"/>
  <c r="H2862" i="1" l="1"/>
  <c r="J2862" i="1"/>
  <c r="G2862" i="1" s="1"/>
  <c r="F2862" i="1"/>
  <c r="C2904" i="1"/>
  <c r="D2904" i="1" s="1"/>
  <c r="B2905" i="1"/>
  <c r="I2735" i="1"/>
  <c r="E2736" i="1" s="1"/>
  <c r="C2775" i="1"/>
  <c r="D2775" i="1" s="1"/>
  <c r="B2776" i="1"/>
  <c r="B2497" i="1"/>
  <c r="C2496" i="1"/>
  <c r="D2496" i="1" s="1"/>
  <c r="I2453" i="1"/>
  <c r="E2454" i="1" s="1"/>
  <c r="I1278" i="1"/>
  <c r="E1279" i="1" s="1"/>
  <c r="C1322" i="1"/>
  <c r="D1322" i="1" s="1"/>
  <c r="B1323" i="1"/>
  <c r="C844" i="1"/>
  <c r="D844" i="1" s="1"/>
  <c r="B845" i="1"/>
  <c r="I804" i="1"/>
  <c r="E805" i="1" s="1"/>
  <c r="I61" i="1"/>
  <c r="E62" i="1" s="1"/>
  <c r="B109" i="1"/>
  <c r="C108" i="1"/>
  <c r="D108" i="1" s="1"/>
  <c r="C2905" i="1" l="1"/>
  <c r="D2905" i="1" s="1"/>
  <c r="B2906" i="1"/>
  <c r="I2862" i="1"/>
  <c r="E2863" i="1" s="1"/>
  <c r="B2777" i="1"/>
  <c r="C2776" i="1"/>
  <c r="D2776" i="1" s="1"/>
  <c r="J2736" i="1"/>
  <c r="G2736" i="1" s="1"/>
  <c r="H2736" i="1"/>
  <c r="F2736" i="1"/>
  <c r="H2454" i="1"/>
  <c r="J2454" i="1"/>
  <c r="G2454" i="1" s="1"/>
  <c r="F2454" i="1"/>
  <c r="C2497" i="1"/>
  <c r="D2497" i="1" s="1"/>
  <c r="B2498" i="1"/>
  <c r="C1323" i="1"/>
  <c r="D1323" i="1" s="1"/>
  <c r="B1324" i="1"/>
  <c r="H1279" i="1"/>
  <c r="J1279" i="1"/>
  <c r="G1279" i="1" s="1"/>
  <c r="F1279" i="1"/>
  <c r="J805" i="1"/>
  <c r="G805" i="1" s="1"/>
  <c r="H805" i="1"/>
  <c r="I805" i="1" s="1"/>
  <c r="E806" i="1" s="1"/>
  <c r="F805" i="1"/>
  <c r="C845" i="1"/>
  <c r="D845" i="1" s="1"/>
  <c r="B846" i="1"/>
  <c r="F62" i="1"/>
  <c r="H62" i="1"/>
  <c r="J62" i="1"/>
  <c r="G62" i="1" s="1"/>
  <c r="C109" i="1"/>
  <c r="D109" i="1" s="1"/>
  <c r="B110" i="1"/>
  <c r="C2906" i="1" l="1"/>
  <c r="D2906" i="1" s="1"/>
  <c r="B2907" i="1"/>
  <c r="J2863" i="1"/>
  <c r="G2863" i="1" s="1"/>
  <c r="H2863" i="1"/>
  <c r="I2863" i="1" s="1"/>
  <c r="E2864" i="1" s="1"/>
  <c r="F2863" i="1"/>
  <c r="I2736" i="1"/>
  <c r="E2737" i="1" s="1"/>
  <c r="C2777" i="1"/>
  <c r="D2777" i="1" s="1"/>
  <c r="B2778" i="1"/>
  <c r="C2498" i="1"/>
  <c r="D2498" i="1" s="1"/>
  <c r="B2499" i="1"/>
  <c r="I2454" i="1"/>
  <c r="E2455" i="1" s="1"/>
  <c r="I1279" i="1"/>
  <c r="E1280" i="1" s="1"/>
  <c r="B1325" i="1"/>
  <c r="C1324" i="1"/>
  <c r="D1324" i="1" s="1"/>
  <c r="J806" i="1"/>
  <c r="G806" i="1" s="1"/>
  <c r="H806" i="1"/>
  <c r="I806" i="1" s="1"/>
  <c r="E807" i="1" s="1"/>
  <c r="F806" i="1"/>
  <c r="C846" i="1"/>
  <c r="D846" i="1" s="1"/>
  <c r="B847" i="1"/>
  <c r="I62" i="1"/>
  <c r="E63" i="1" s="1"/>
  <c r="C110" i="1"/>
  <c r="D110" i="1" s="1"/>
  <c r="B111" i="1"/>
  <c r="J2864" i="1" l="1"/>
  <c r="G2864" i="1" s="1"/>
  <c r="H2864" i="1"/>
  <c r="F2864" i="1"/>
  <c r="C2907" i="1"/>
  <c r="D2907" i="1" s="1"/>
  <c r="B2908" i="1"/>
  <c r="B2779" i="1"/>
  <c r="C2779" i="1" s="1"/>
  <c r="D2779" i="1" s="1"/>
  <c r="C2778" i="1"/>
  <c r="D2778" i="1" s="1"/>
  <c r="H2737" i="1"/>
  <c r="J2737" i="1"/>
  <c r="G2737" i="1" s="1"/>
  <c r="F2737" i="1"/>
  <c r="C2499" i="1"/>
  <c r="D2499" i="1" s="1"/>
  <c r="B2500" i="1"/>
  <c r="J2455" i="1"/>
  <c r="G2455" i="1" s="1"/>
  <c r="H2455" i="1"/>
  <c r="F2455" i="1"/>
  <c r="C1325" i="1"/>
  <c r="D1325" i="1" s="1"/>
  <c r="B1326" i="1"/>
  <c r="H1280" i="1"/>
  <c r="J1280" i="1"/>
  <c r="G1280" i="1" s="1"/>
  <c r="F1280" i="1"/>
  <c r="H807" i="1"/>
  <c r="J807" i="1"/>
  <c r="G807" i="1" s="1"/>
  <c r="F807" i="1"/>
  <c r="B848" i="1"/>
  <c r="C847" i="1"/>
  <c r="D847" i="1" s="1"/>
  <c r="H63" i="1"/>
  <c r="J63" i="1"/>
  <c r="G63" i="1" s="1"/>
  <c r="F63" i="1"/>
  <c r="B112" i="1"/>
  <c r="C111" i="1"/>
  <c r="D111" i="1" s="1"/>
  <c r="B2909" i="1" l="1"/>
  <c r="C2908" i="1"/>
  <c r="D2908" i="1" s="1"/>
  <c r="I2864" i="1"/>
  <c r="E2865" i="1" s="1"/>
  <c r="I2737" i="1"/>
  <c r="E2738" i="1" s="1"/>
  <c r="C2500" i="1"/>
  <c r="D2500" i="1" s="1"/>
  <c r="B2501" i="1"/>
  <c r="I2455" i="1"/>
  <c r="E2456" i="1" s="1"/>
  <c r="I1280" i="1"/>
  <c r="E1281" i="1" s="1"/>
  <c r="C1326" i="1"/>
  <c r="D1326" i="1" s="1"/>
  <c r="B1327" i="1"/>
  <c r="B849" i="1"/>
  <c r="C848" i="1"/>
  <c r="D848" i="1" s="1"/>
  <c r="I807" i="1"/>
  <c r="E808" i="1" s="1"/>
  <c r="I63" i="1"/>
  <c r="E64" i="1" s="1"/>
  <c r="C112" i="1"/>
  <c r="D112" i="1" s="1"/>
  <c r="B113" i="1"/>
  <c r="H2865" i="1" l="1"/>
  <c r="J2865" i="1"/>
  <c r="G2865" i="1" s="1"/>
  <c r="F2865" i="1"/>
  <c r="C2909" i="1"/>
  <c r="D2909" i="1" s="1"/>
  <c r="B2910" i="1"/>
  <c r="H2738" i="1"/>
  <c r="J2738" i="1"/>
  <c r="G2738" i="1" s="1"/>
  <c r="F2738" i="1"/>
  <c r="J2456" i="1"/>
  <c r="G2456" i="1" s="1"/>
  <c r="H2456" i="1"/>
  <c r="F2456" i="1"/>
  <c r="C2501" i="1"/>
  <c r="D2501" i="1" s="1"/>
  <c r="B2502" i="1"/>
  <c r="B1328" i="1"/>
  <c r="C1327" i="1"/>
  <c r="D1327" i="1" s="1"/>
  <c r="J1281" i="1"/>
  <c r="G1281" i="1" s="1"/>
  <c r="H1281" i="1"/>
  <c r="I1281" i="1" s="1"/>
  <c r="E1282" i="1" s="1"/>
  <c r="F1281" i="1"/>
  <c r="J808" i="1"/>
  <c r="G808" i="1" s="1"/>
  <c r="H808" i="1"/>
  <c r="F808" i="1"/>
  <c r="B850" i="1"/>
  <c r="C849" i="1"/>
  <c r="D849" i="1" s="1"/>
  <c r="H64" i="1"/>
  <c r="J64" i="1"/>
  <c r="G64" i="1" s="1"/>
  <c r="F64" i="1"/>
  <c r="C113" i="1"/>
  <c r="D113" i="1" s="1"/>
  <c r="B114" i="1"/>
  <c r="B2911" i="1" l="1"/>
  <c r="C2910" i="1"/>
  <c r="D2910" i="1" s="1"/>
  <c r="I2865" i="1"/>
  <c r="E2866" i="1" s="1"/>
  <c r="I2738" i="1"/>
  <c r="E2739" i="1" s="1"/>
  <c r="C2502" i="1"/>
  <c r="D2502" i="1" s="1"/>
  <c r="B2503" i="1"/>
  <c r="I2456" i="1"/>
  <c r="E2457" i="1" s="1"/>
  <c r="J1282" i="1"/>
  <c r="G1282" i="1" s="1"/>
  <c r="H1282" i="1"/>
  <c r="F1282" i="1"/>
  <c r="C1328" i="1"/>
  <c r="D1328" i="1" s="1"/>
  <c r="B1329" i="1"/>
  <c r="B851" i="1"/>
  <c r="C850" i="1"/>
  <c r="D850" i="1" s="1"/>
  <c r="I808" i="1"/>
  <c r="E809" i="1" s="1"/>
  <c r="I64" i="1"/>
  <c r="E65" i="1" s="1"/>
  <c r="C114" i="1"/>
  <c r="D114" i="1" s="1"/>
  <c r="B115" i="1"/>
  <c r="H2866" i="1" l="1"/>
  <c r="J2866" i="1"/>
  <c r="G2866" i="1" s="1"/>
  <c r="F2866" i="1"/>
  <c r="C2911" i="1"/>
  <c r="D2911" i="1" s="1"/>
  <c r="B2912" i="1"/>
  <c r="H2739" i="1"/>
  <c r="J2739" i="1"/>
  <c r="G2739" i="1" s="1"/>
  <c r="F2739" i="1"/>
  <c r="H2457" i="1"/>
  <c r="J2457" i="1"/>
  <c r="G2457" i="1" s="1"/>
  <c r="F2457" i="1"/>
  <c r="C2503" i="1"/>
  <c r="D2503" i="1" s="1"/>
  <c r="B2504" i="1"/>
  <c r="C1329" i="1"/>
  <c r="D1329" i="1" s="1"/>
  <c r="B1330" i="1"/>
  <c r="I1282" i="1"/>
  <c r="E1283" i="1" s="1"/>
  <c r="J809" i="1"/>
  <c r="G809" i="1" s="1"/>
  <c r="H809" i="1"/>
  <c r="F809" i="1"/>
  <c r="B852" i="1"/>
  <c r="C851" i="1"/>
  <c r="D851" i="1" s="1"/>
  <c r="J65" i="1"/>
  <c r="G65" i="1" s="1"/>
  <c r="H65" i="1"/>
  <c r="F65" i="1"/>
  <c r="B116" i="1"/>
  <c r="C115" i="1"/>
  <c r="D115" i="1" s="1"/>
  <c r="C2912" i="1" l="1"/>
  <c r="D2912" i="1" s="1"/>
  <c r="B2913" i="1"/>
  <c r="I2866" i="1"/>
  <c r="E2867" i="1" s="1"/>
  <c r="I2739" i="1"/>
  <c r="E2740" i="1" s="1"/>
  <c r="C2504" i="1"/>
  <c r="D2504" i="1" s="1"/>
  <c r="B2505" i="1"/>
  <c r="I2457" i="1"/>
  <c r="E2458" i="1" s="1"/>
  <c r="H1283" i="1"/>
  <c r="J1283" i="1"/>
  <c r="G1283" i="1" s="1"/>
  <c r="F1283" i="1"/>
  <c r="B1331" i="1"/>
  <c r="C1330" i="1"/>
  <c r="D1330" i="1" s="1"/>
  <c r="C852" i="1"/>
  <c r="D852" i="1" s="1"/>
  <c r="B853" i="1"/>
  <c r="I809" i="1"/>
  <c r="E810" i="1" s="1"/>
  <c r="I65" i="1"/>
  <c r="E66" i="1" s="1"/>
  <c r="C116" i="1"/>
  <c r="D116" i="1" s="1"/>
  <c r="B117" i="1"/>
  <c r="H2867" i="1" l="1"/>
  <c r="J2867" i="1"/>
  <c r="G2867" i="1" s="1"/>
  <c r="F2867" i="1"/>
  <c r="C2913" i="1"/>
  <c r="D2913" i="1" s="1"/>
  <c r="B2914" i="1"/>
  <c r="H2740" i="1"/>
  <c r="J2740" i="1"/>
  <c r="G2740" i="1" s="1"/>
  <c r="F2740" i="1"/>
  <c r="H2458" i="1"/>
  <c r="J2458" i="1"/>
  <c r="G2458" i="1" s="1"/>
  <c r="F2458" i="1"/>
  <c r="C2505" i="1"/>
  <c r="D2505" i="1" s="1"/>
  <c r="B2506" i="1"/>
  <c r="B1332" i="1"/>
  <c r="C1331" i="1"/>
  <c r="D1331" i="1" s="1"/>
  <c r="I1283" i="1"/>
  <c r="E1284" i="1" s="1"/>
  <c r="J810" i="1"/>
  <c r="G810" i="1" s="1"/>
  <c r="H810" i="1"/>
  <c r="F810" i="1"/>
  <c r="B854" i="1"/>
  <c r="C853" i="1"/>
  <c r="D853" i="1" s="1"/>
  <c r="F66" i="1"/>
  <c r="H66" i="1"/>
  <c r="J66" i="1"/>
  <c r="G66" i="1" s="1"/>
  <c r="B118" i="1"/>
  <c r="C117" i="1"/>
  <c r="D117" i="1" s="1"/>
  <c r="B2915" i="1" l="1"/>
  <c r="C2914" i="1"/>
  <c r="D2914" i="1" s="1"/>
  <c r="I2867" i="1"/>
  <c r="E2868" i="1" s="1"/>
  <c r="I2740" i="1"/>
  <c r="E2741" i="1" s="1"/>
  <c r="C2506" i="1"/>
  <c r="D2506" i="1" s="1"/>
  <c r="B2507" i="1"/>
  <c r="I2458" i="1"/>
  <c r="E2459" i="1" s="1"/>
  <c r="H1284" i="1"/>
  <c r="J1284" i="1"/>
  <c r="G1284" i="1" s="1"/>
  <c r="F1284" i="1"/>
  <c r="C1332" i="1"/>
  <c r="D1332" i="1" s="1"/>
  <c r="B1333" i="1"/>
  <c r="C854" i="1"/>
  <c r="D854" i="1" s="1"/>
  <c r="B855" i="1"/>
  <c r="I810" i="1"/>
  <c r="E811" i="1" s="1"/>
  <c r="I66" i="1"/>
  <c r="E67" i="1" s="1"/>
  <c r="C118" i="1"/>
  <c r="D118" i="1" s="1"/>
  <c r="B119" i="1"/>
  <c r="J2868" i="1" l="1"/>
  <c r="G2868" i="1" s="1"/>
  <c r="H2868" i="1"/>
  <c r="F2868" i="1"/>
  <c r="C2915" i="1"/>
  <c r="D2915" i="1" s="1"/>
  <c r="B2916" i="1"/>
  <c r="H2741" i="1"/>
  <c r="J2741" i="1"/>
  <c r="G2741" i="1" s="1"/>
  <c r="F2741" i="1"/>
  <c r="H2459" i="1"/>
  <c r="J2459" i="1"/>
  <c r="G2459" i="1" s="1"/>
  <c r="F2459" i="1"/>
  <c r="B2508" i="1"/>
  <c r="C2507" i="1"/>
  <c r="D2507" i="1" s="1"/>
  <c r="C1333" i="1"/>
  <c r="D1333" i="1" s="1"/>
  <c r="B1334" i="1"/>
  <c r="I1284" i="1"/>
  <c r="E1285" i="1" s="1"/>
  <c r="H811" i="1"/>
  <c r="J811" i="1"/>
  <c r="G811" i="1" s="1"/>
  <c r="F811" i="1"/>
  <c r="C855" i="1"/>
  <c r="D855" i="1" s="1"/>
  <c r="B856" i="1"/>
  <c r="H67" i="1"/>
  <c r="F67" i="1"/>
  <c r="J67" i="1"/>
  <c r="G67" i="1" s="1"/>
  <c r="B120" i="1"/>
  <c r="C119" i="1"/>
  <c r="D119" i="1" s="1"/>
  <c r="B2917" i="1" l="1"/>
  <c r="C2916" i="1"/>
  <c r="D2916" i="1" s="1"/>
  <c r="I2868" i="1"/>
  <c r="E2869" i="1" s="1"/>
  <c r="I2741" i="1"/>
  <c r="E2742" i="1" s="1"/>
  <c r="C2508" i="1"/>
  <c r="D2508" i="1" s="1"/>
  <c r="B2509" i="1"/>
  <c r="I2459" i="1"/>
  <c r="E2460" i="1" s="1"/>
  <c r="H1285" i="1"/>
  <c r="J1285" i="1"/>
  <c r="G1285" i="1" s="1"/>
  <c r="F1285" i="1"/>
  <c r="C1334" i="1"/>
  <c r="D1334" i="1" s="1"/>
  <c r="B1335" i="1"/>
  <c r="C856" i="1"/>
  <c r="D856" i="1" s="1"/>
  <c r="B857" i="1"/>
  <c r="I811" i="1"/>
  <c r="E812" i="1" s="1"/>
  <c r="I67" i="1"/>
  <c r="E68" i="1" s="1"/>
  <c r="C120" i="1"/>
  <c r="D120" i="1" s="1"/>
  <c r="B121" i="1"/>
  <c r="H2869" i="1" l="1"/>
  <c r="J2869" i="1"/>
  <c r="G2869" i="1" s="1"/>
  <c r="F2869" i="1"/>
  <c r="C2917" i="1"/>
  <c r="D2917" i="1" s="1"/>
  <c r="B2918" i="1"/>
  <c r="J2742" i="1"/>
  <c r="G2742" i="1" s="1"/>
  <c r="H2742" i="1"/>
  <c r="I2742" i="1" s="1"/>
  <c r="E2743" i="1" s="1"/>
  <c r="F2742" i="1"/>
  <c r="J2460" i="1"/>
  <c r="G2460" i="1" s="1"/>
  <c r="H2460" i="1"/>
  <c r="F2460" i="1"/>
  <c r="C2509" i="1"/>
  <c r="D2509" i="1" s="1"/>
  <c r="B2510" i="1"/>
  <c r="C1335" i="1"/>
  <c r="D1335" i="1" s="1"/>
  <c r="B1336" i="1"/>
  <c r="I1285" i="1"/>
  <c r="E1286" i="1" s="1"/>
  <c r="H812" i="1"/>
  <c r="J812" i="1"/>
  <c r="G812" i="1" s="1"/>
  <c r="F812" i="1"/>
  <c r="B858" i="1"/>
  <c r="C857" i="1"/>
  <c r="D857" i="1" s="1"/>
  <c r="F68" i="1"/>
  <c r="J68" i="1"/>
  <c r="G68" i="1" s="1"/>
  <c r="H68" i="1"/>
  <c r="C121" i="1"/>
  <c r="D121" i="1" s="1"/>
  <c r="B122" i="1"/>
  <c r="I2869" i="1" l="1"/>
  <c r="E2870" i="1" s="1"/>
  <c r="C2918" i="1"/>
  <c r="D2918" i="1" s="1"/>
  <c r="B2919" i="1"/>
  <c r="J2743" i="1"/>
  <c r="G2743" i="1" s="1"/>
  <c r="H2743" i="1"/>
  <c r="F2743" i="1"/>
  <c r="I2460" i="1"/>
  <c r="E2461" i="1" s="1"/>
  <c r="B2511" i="1"/>
  <c r="C2510" i="1"/>
  <c r="D2510" i="1" s="1"/>
  <c r="J1286" i="1"/>
  <c r="G1286" i="1" s="1"/>
  <c r="H1286" i="1"/>
  <c r="F1286" i="1"/>
  <c r="B1337" i="1"/>
  <c r="C1336" i="1"/>
  <c r="D1336" i="1" s="1"/>
  <c r="C858" i="1"/>
  <c r="D858" i="1" s="1"/>
  <c r="B859" i="1"/>
  <c r="I812" i="1"/>
  <c r="E813" i="1" s="1"/>
  <c r="I68" i="1"/>
  <c r="E69" i="1" s="1"/>
  <c r="B123" i="1"/>
  <c r="C122" i="1"/>
  <c r="D122" i="1" s="1"/>
  <c r="H2870" i="1" l="1"/>
  <c r="J2870" i="1"/>
  <c r="G2870" i="1" s="1"/>
  <c r="F2870" i="1"/>
  <c r="C2919" i="1"/>
  <c r="D2919" i="1" s="1"/>
  <c r="B2920" i="1"/>
  <c r="I2743" i="1"/>
  <c r="E2744" i="1" s="1"/>
  <c r="H2461" i="1"/>
  <c r="I2461" i="1" s="1"/>
  <c r="E2462" i="1" s="1"/>
  <c r="J2461" i="1"/>
  <c r="G2461" i="1" s="1"/>
  <c r="F2461" i="1"/>
  <c r="C2511" i="1"/>
  <c r="D2511" i="1" s="1"/>
  <c r="B2512" i="1"/>
  <c r="C1337" i="1"/>
  <c r="D1337" i="1" s="1"/>
  <c r="B1338" i="1"/>
  <c r="I1286" i="1"/>
  <c r="E1287" i="1" s="1"/>
  <c r="J813" i="1"/>
  <c r="G813" i="1" s="1"/>
  <c r="H813" i="1"/>
  <c r="F813" i="1"/>
  <c r="C859" i="1"/>
  <c r="D859" i="1" s="1"/>
  <c r="B860" i="1"/>
  <c r="J69" i="1"/>
  <c r="G69" i="1" s="1"/>
  <c r="H69" i="1"/>
  <c r="F69" i="1"/>
  <c r="C123" i="1"/>
  <c r="D123" i="1" s="1"/>
  <c r="B124" i="1"/>
  <c r="B2921" i="1" l="1"/>
  <c r="C2920" i="1"/>
  <c r="D2920" i="1" s="1"/>
  <c r="I2870" i="1"/>
  <c r="E2871" i="1" s="1"/>
  <c r="J2744" i="1"/>
  <c r="G2744" i="1" s="1"/>
  <c r="H2744" i="1"/>
  <c r="F2744" i="1"/>
  <c r="H2462" i="1"/>
  <c r="I2462" i="1" s="1"/>
  <c r="E2463" i="1" s="1"/>
  <c r="J2462" i="1"/>
  <c r="G2462" i="1" s="1"/>
  <c r="F2462" i="1"/>
  <c r="C2512" i="1"/>
  <c r="D2512" i="1" s="1"/>
  <c r="B2513" i="1"/>
  <c r="H1287" i="1"/>
  <c r="J1287" i="1"/>
  <c r="G1287" i="1" s="1"/>
  <c r="F1287" i="1"/>
  <c r="C1338" i="1"/>
  <c r="D1338" i="1" s="1"/>
  <c r="B1339" i="1"/>
  <c r="B861" i="1"/>
  <c r="C860" i="1"/>
  <c r="D860" i="1" s="1"/>
  <c r="I813" i="1"/>
  <c r="E814" i="1" s="1"/>
  <c r="I69" i="1"/>
  <c r="E70" i="1" s="1"/>
  <c r="B125" i="1"/>
  <c r="C124" i="1"/>
  <c r="D124" i="1" s="1"/>
  <c r="H2871" i="1" l="1"/>
  <c r="J2871" i="1"/>
  <c r="G2871" i="1" s="1"/>
  <c r="F2871" i="1"/>
  <c r="C2921" i="1"/>
  <c r="D2921" i="1" s="1"/>
  <c r="B2922" i="1"/>
  <c r="I2744" i="1"/>
  <c r="E2745" i="1" s="1"/>
  <c r="J2463" i="1"/>
  <c r="G2463" i="1" s="1"/>
  <c r="H2463" i="1"/>
  <c r="F2463" i="1"/>
  <c r="C2513" i="1"/>
  <c r="D2513" i="1" s="1"/>
  <c r="B2514" i="1"/>
  <c r="C1339" i="1"/>
  <c r="D1339" i="1" s="1"/>
  <c r="B1340" i="1"/>
  <c r="I1287" i="1"/>
  <c r="E1288" i="1" s="1"/>
  <c r="J814" i="1"/>
  <c r="G814" i="1" s="1"/>
  <c r="H814" i="1"/>
  <c r="F814" i="1"/>
  <c r="C861" i="1"/>
  <c r="D861" i="1" s="1"/>
  <c r="B862" i="1"/>
  <c r="F70" i="1"/>
  <c r="J70" i="1"/>
  <c r="G70" i="1" s="1"/>
  <c r="H70" i="1"/>
  <c r="C125" i="1"/>
  <c r="D125" i="1" s="1"/>
  <c r="B126" i="1"/>
  <c r="I2871" i="1" l="1"/>
  <c r="E2872" i="1" s="1"/>
  <c r="B2923" i="1"/>
  <c r="C2922" i="1"/>
  <c r="D2922" i="1" s="1"/>
  <c r="H2745" i="1"/>
  <c r="J2745" i="1"/>
  <c r="G2745" i="1" s="1"/>
  <c r="F2745" i="1"/>
  <c r="C2514" i="1"/>
  <c r="D2514" i="1" s="1"/>
  <c r="B2515" i="1"/>
  <c r="I2463" i="1"/>
  <c r="E2464" i="1" s="1"/>
  <c r="H1288" i="1"/>
  <c r="J1288" i="1"/>
  <c r="G1288" i="1" s="1"/>
  <c r="F1288" i="1"/>
  <c r="B1341" i="1"/>
  <c r="C1340" i="1"/>
  <c r="D1340" i="1" s="1"/>
  <c r="B863" i="1"/>
  <c r="C862" i="1"/>
  <c r="D862" i="1" s="1"/>
  <c r="I814" i="1"/>
  <c r="E815" i="1" s="1"/>
  <c r="I70" i="1"/>
  <c r="E71" i="1" s="1"/>
  <c r="B127" i="1"/>
  <c r="C126" i="1"/>
  <c r="D126" i="1" s="1"/>
  <c r="B2924" i="1" l="1"/>
  <c r="C2923" i="1"/>
  <c r="D2923" i="1" s="1"/>
  <c r="J2872" i="1"/>
  <c r="G2872" i="1" s="1"/>
  <c r="H2872" i="1"/>
  <c r="I2872" i="1" s="1"/>
  <c r="E2873" i="1" s="1"/>
  <c r="F2872" i="1"/>
  <c r="I2745" i="1"/>
  <c r="E2746" i="1" s="1"/>
  <c r="C2515" i="1"/>
  <c r="D2515" i="1" s="1"/>
  <c r="B2516" i="1"/>
  <c r="H2464" i="1"/>
  <c r="J2464" i="1"/>
  <c r="G2464" i="1" s="1"/>
  <c r="F2464" i="1"/>
  <c r="C1341" i="1"/>
  <c r="D1341" i="1" s="1"/>
  <c r="B1342" i="1"/>
  <c r="I1288" i="1"/>
  <c r="E1289" i="1" s="1"/>
  <c r="H815" i="1"/>
  <c r="J815" i="1"/>
  <c r="G815" i="1" s="1"/>
  <c r="F815" i="1"/>
  <c r="C863" i="1"/>
  <c r="D863" i="1" s="1"/>
  <c r="B864" i="1"/>
  <c r="F71" i="1"/>
  <c r="H71" i="1"/>
  <c r="J71" i="1"/>
  <c r="G71" i="1" s="1"/>
  <c r="B128" i="1"/>
  <c r="C127" i="1"/>
  <c r="D127" i="1" s="1"/>
  <c r="J2873" i="1" l="1"/>
  <c r="G2873" i="1" s="1"/>
  <c r="H2873" i="1"/>
  <c r="F2873" i="1"/>
  <c r="C2924" i="1"/>
  <c r="D2924" i="1" s="1"/>
  <c r="B2925" i="1"/>
  <c r="H2746" i="1"/>
  <c r="J2746" i="1"/>
  <c r="G2746" i="1" s="1"/>
  <c r="F2746" i="1"/>
  <c r="I2464" i="1"/>
  <c r="E2465" i="1" s="1"/>
  <c r="B2517" i="1"/>
  <c r="C2516" i="1"/>
  <c r="D2516" i="1" s="1"/>
  <c r="J1289" i="1"/>
  <c r="G1289" i="1" s="1"/>
  <c r="H1289" i="1"/>
  <c r="F1289" i="1"/>
  <c r="C1342" i="1"/>
  <c r="D1342" i="1" s="1"/>
  <c r="B1343" i="1"/>
  <c r="C864" i="1"/>
  <c r="D864" i="1" s="1"/>
  <c r="B865" i="1"/>
  <c r="I815" i="1"/>
  <c r="E816" i="1" s="1"/>
  <c r="I71" i="1"/>
  <c r="E72" i="1" s="1"/>
  <c r="C128" i="1"/>
  <c r="D128" i="1" s="1"/>
  <c r="B129" i="1"/>
  <c r="I2873" i="1" l="1"/>
  <c r="E2874" i="1" s="1"/>
  <c r="C2925" i="1"/>
  <c r="D2925" i="1" s="1"/>
  <c r="B2926" i="1"/>
  <c r="I2746" i="1"/>
  <c r="E2747" i="1" s="1"/>
  <c r="H2465" i="1"/>
  <c r="I2465" i="1" s="1"/>
  <c r="E2466" i="1" s="1"/>
  <c r="J2465" i="1"/>
  <c r="G2465" i="1" s="1"/>
  <c r="F2465" i="1"/>
  <c r="C2517" i="1"/>
  <c r="D2517" i="1" s="1"/>
  <c r="B2518" i="1"/>
  <c r="B1344" i="1"/>
  <c r="C1343" i="1"/>
  <c r="D1343" i="1" s="1"/>
  <c r="I1289" i="1"/>
  <c r="E1290" i="1" s="1"/>
  <c r="H816" i="1"/>
  <c r="J816" i="1"/>
  <c r="G816" i="1" s="1"/>
  <c r="F816" i="1"/>
  <c r="B866" i="1"/>
  <c r="C865" i="1"/>
  <c r="D865" i="1" s="1"/>
  <c r="J72" i="1"/>
  <c r="G72" i="1" s="1"/>
  <c r="H72" i="1"/>
  <c r="F72" i="1"/>
  <c r="C129" i="1"/>
  <c r="D129" i="1" s="1"/>
  <c r="B130" i="1"/>
  <c r="H2874" i="1" l="1"/>
  <c r="J2874" i="1"/>
  <c r="G2874" i="1" s="1"/>
  <c r="F2874" i="1"/>
  <c r="B2927" i="1"/>
  <c r="C2926" i="1"/>
  <c r="D2926" i="1" s="1"/>
  <c r="H2747" i="1"/>
  <c r="J2747" i="1"/>
  <c r="G2747" i="1" s="1"/>
  <c r="F2747" i="1"/>
  <c r="H2466" i="1"/>
  <c r="I2466" i="1" s="1"/>
  <c r="E2467" i="1" s="1"/>
  <c r="J2466" i="1"/>
  <c r="G2466" i="1" s="1"/>
  <c r="F2466" i="1"/>
  <c r="C2518" i="1"/>
  <c r="D2518" i="1" s="1"/>
  <c r="B2519" i="1"/>
  <c r="H1290" i="1"/>
  <c r="J1290" i="1"/>
  <c r="G1290" i="1" s="1"/>
  <c r="F1290" i="1"/>
  <c r="B1345" i="1"/>
  <c r="C1344" i="1"/>
  <c r="D1344" i="1" s="1"/>
  <c r="C866" i="1"/>
  <c r="D866" i="1" s="1"/>
  <c r="B867" i="1"/>
  <c r="I816" i="1"/>
  <c r="E817" i="1" s="1"/>
  <c r="I72" i="1"/>
  <c r="E73" i="1" s="1"/>
  <c r="C130" i="1"/>
  <c r="D130" i="1" s="1"/>
  <c r="B131" i="1"/>
  <c r="I2874" i="1" l="1"/>
  <c r="E2875" i="1" s="1"/>
  <c r="B2928" i="1"/>
  <c r="C2927" i="1"/>
  <c r="D2927" i="1" s="1"/>
  <c r="I2747" i="1"/>
  <c r="E2748" i="1" s="1"/>
  <c r="H2467" i="1"/>
  <c r="J2467" i="1"/>
  <c r="G2467" i="1" s="1"/>
  <c r="F2467" i="1"/>
  <c r="B2520" i="1"/>
  <c r="C2519" i="1"/>
  <c r="D2519" i="1" s="1"/>
  <c r="C1345" i="1"/>
  <c r="D1345" i="1" s="1"/>
  <c r="B1346" i="1"/>
  <c r="I1290" i="1"/>
  <c r="E1291" i="1" s="1"/>
  <c r="J817" i="1"/>
  <c r="G817" i="1" s="1"/>
  <c r="H817" i="1"/>
  <c r="F817" i="1"/>
  <c r="C867" i="1"/>
  <c r="D867" i="1" s="1"/>
  <c r="B868" i="1"/>
  <c r="H73" i="1"/>
  <c r="J73" i="1"/>
  <c r="G73" i="1" s="1"/>
  <c r="F73" i="1"/>
  <c r="C131" i="1"/>
  <c r="D131" i="1" s="1"/>
  <c r="B132" i="1"/>
  <c r="B2929" i="1" l="1"/>
  <c r="C2928" i="1"/>
  <c r="D2928" i="1" s="1"/>
  <c r="H2875" i="1"/>
  <c r="J2875" i="1"/>
  <c r="G2875" i="1" s="1"/>
  <c r="F2875" i="1"/>
  <c r="H2748" i="1"/>
  <c r="J2748" i="1"/>
  <c r="G2748" i="1" s="1"/>
  <c r="F2748" i="1"/>
  <c r="B2521" i="1"/>
  <c r="C2520" i="1"/>
  <c r="D2520" i="1" s="1"/>
  <c r="I2467" i="1"/>
  <c r="E2468" i="1" s="1"/>
  <c r="J1291" i="1"/>
  <c r="G1291" i="1" s="1"/>
  <c r="H1291" i="1"/>
  <c r="F1291" i="1"/>
  <c r="B1347" i="1"/>
  <c r="C1346" i="1"/>
  <c r="D1346" i="1" s="1"/>
  <c r="B869" i="1"/>
  <c r="C868" i="1"/>
  <c r="D868" i="1" s="1"/>
  <c r="I817" i="1"/>
  <c r="E818" i="1" s="1"/>
  <c r="I73" i="1"/>
  <c r="E74" i="1" s="1"/>
  <c r="C132" i="1"/>
  <c r="D132" i="1" s="1"/>
  <c r="B133" i="1"/>
  <c r="C2929" i="1" l="1"/>
  <c r="D2929" i="1" s="1"/>
  <c r="B2930" i="1"/>
  <c r="I2875" i="1"/>
  <c r="E2876" i="1" s="1"/>
  <c r="I2748" i="1"/>
  <c r="E2749" i="1" s="1"/>
  <c r="J2468" i="1"/>
  <c r="G2468" i="1" s="1"/>
  <c r="H2468" i="1"/>
  <c r="I2468" i="1" s="1"/>
  <c r="E2469" i="1" s="1"/>
  <c r="F2468" i="1"/>
  <c r="C2521" i="1"/>
  <c r="D2521" i="1" s="1"/>
  <c r="B2522" i="1"/>
  <c r="B1348" i="1"/>
  <c r="C1347" i="1"/>
  <c r="D1347" i="1" s="1"/>
  <c r="I1291" i="1"/>
  <c r="E1292" i="1" s="1"/>
  <c r="J818" i="1"/>
  <c r="G818" i="1" s="1"/>
  <c r="H818" i="1"/>
  <c r="I818" i="1" s="1"/>
  <c r="E819" i="1" s="1"/>
  <c r="F818" i="1"/>
  <c r="C869" i="1"/>
  <c r="D869" i="1" s="1"/>
  <c r="B870" i="1"/>
  <c r="J74" i="1"/>
  <c r="G74" i="1" s="1"/>
  <c r="H74" i="1"/>
  <c r="I74" i="1" s="1"/>
  <c r="E75" i="1" s="1"/>
  <c r="J75" i="1" s="1"/>
  <c r="G75" i="1" s="1"/>
  <c r="F74" i="1"/>
  <c r="C133" i="1"/>
  <c r="D133" i="1" s="1"/>
  <c r="B134" i="1"/>
  <c r="C2930" i="1" l="1"/>
  <c r="D2930" i="1" s="1"/>
  <c r="B2931" i="1"/>
  <c r="J2876" i="1"/>
  <c r="G2876" i="1" s="1"/>
  <c r="H2876" i="1"/>
  <c r="I2876" i="1" s="1"/>
  <c r="E2877" i="1" s="1"/>
  <c r="F2876" i="1"/>
  <c r="H2749" i="1"/>
  <c r="J2749" i="1"/>
  <c r="G2749" i="1" s="1"/>
  <c r="F2749" i="1"/>
  <c r="H2469" i="1"/>
  <c r="J2469" i="1"/>
  <c r="G2469" i="1" s="1"/>
  <c r="F2469" i="1"/>
  <c r="C2522" i="1"/>
  <c r="D2522" i="1" s="1"/>
  <c r="B2523" i="1"/>
  <c r="H1292" i="1"/>
  <c r="J1292" i="1"/>
  <c r="G1292" i="1" s="1"/>
  <c r="F1292" i="1"/>
  <c r="B1349" i="1"/>
  <c r="C1348" i="1"/>
  <c r="D1348" i="1" s="1"/>
  <c r="H819" i="1"/>
  <c r="J819" i="1"/>
  <c r="G819" i="1" s="1"/>
  <c r="F819" i="1"/>
  <c r="B871" i="1"/>
  <c r="C870" i="1"/>
  <c r="D870" i="1" s="1"/>
  <c r="F75" i="1"/>
  <c r="H75" i="1"/>
  <c r="C134" i="1"/>
  <c r="D134" i="1" s="1"/>
  <c r="B135" i="1"/>
  <c r="I75" i="1"/>
  <c r="E76" i="1" s="1"/>
  <c r="H2877" i="1" l="1"/>
  <c r="J2877" i="1"/>
  <c r="G2877" i="1" s="1"/>
  <c r="F2877" i="1"/>
  <c r="C2931" i="1"/>
  <c r="D2931" i="1" s="1"/>
  <c r="B2932" i="1"/>
  <c r="I2749" i="1"/>
  <c r="E2750" i="1" s="1"/>
  <c r="B2524" i="1"/>
  <c r="C2523" i="1"/>
  <c r="D2523" i="1" s="1"/>
  <c r="I2469" i="1"/>
  <c r="E2470" i="1" s="1"/>
  <c r="C1349" i="1"/>
  <c r="D1349" i="1" s="1"/>
  <c r="B1350" i="1"/>
  <c r="I1292" i="1"/>
  <c r="E1293" i="1" s="1"/>
  <c r="B872" i="1"/>
  <c r="C871" i="1"/>
  <c r="D871" i="1" s="1"/>
  <c r="I819" i="1"/>
  <c r="E820" i="1" s="1"/>
  <c r="J76" i="1"/>
  <c r="G76" i="1" s="1"/>
  <c r="H76" i="1"/>
  <c r="F76" i="1"/>
  <c r="C135" i="1"/>
  <c r="D135" i="1" s="1"/>
  <c r="B136" i="1"/>
  <c r="B2933" i="1" l="1"/>
  <c r="C2932" i="1"/>
  <c r="D2932" i="1" s="1"/>
  <c r="I2877" i="1"/>
  <c r="E2878" i="1" s="1"/>
  <c r="H2750" i="1"/>
  <c r="J2750" i="1"/>
  <c r="G2750" i="1" s="1"/>
  <c r="F2750" i="1"/>
  <c r="B2525" i="1"/>
  <c r="C2524" i="1"/>
  <c r="D2524" i="1" s="1"/>
  <c r="H2470" i="1"/>
  <c r="J2470" i="1"/>
  <c r="G2470" i="1" s="1"/>
  <c r="F2470" i="1"/>
  <c r="H1293" i="1"/>
  <c r="J1293" i="1"/>
  <c r="G1293" i="1" s="1"/>
  <c r="F1293" i="1"/>
  <c r="C1350" i="1"/>
  <c r="D1350" i="1" s="1"/>
  <c r="B1351" i="1"/>
  <c r="H820" i="1"/>
  <c r="J820" i="1"/>
  <c r="G820" i="1" s="1"/>
  <c r="F820" i="1"/>
  <c r="C872" i="1"/>
  <c r="D872" i="1" s="1"/>
  <c r="B873" i="1"/>
  <c r="C136" i="1"/>
  <c r="D136" i="1" s="1"/>
  <c r="B137" i="1"/>
  <c r="I76" i="1"/>
  <c r="E77" i="1" s="1"/>
  <c r="H2878" i="1" l="1"/>
  <c r="J2878" i="1"/>
  <c r="G2878" i="1" s="1"/>
  <c r="F2878" i="1"/>
  <c r="C2933" i="1"/>
  <c r="D2933" i="1" s="1"/>
  <c r="B2934" i="1"/>
  <c r="I2750" i="1"/>
  <c r="E2751" i="1" s="1"/>
  <c r="I2470" i="1"/>
  <c r="E2471" i="1" s="1"/>
  <c r="C2525" i="1"/>
  <c r="D2525" i="1" s="1"/>
  <c r="B2526" i="1"/>
  <c r="C1351" i="1"/>
  <c r="D1351" i="1" s="1"/>
  <c r="B1352" i="1"/>
  <c r="I1293" i="1"/>
  <c r="E1294" i="1" s="1"/>
  <c r="C873" i="1"/>
  <c r="D873" i="1" s="1"/>
  <c r="B874" i="1"/>
  <c r="I820" i="1"/>
  <c r="E821" i="1" s="1"/>
  <c r="H77" i="1"/>
  <c r="J77" i="1"/>
  <c r="G77" i="1" s="1"/>
  <c r="F77" i="1"/>
  <c r="B138" i="1"/>
  <c r="C137" i="1"/>
  <c r="D137" i="1" s="1"/>
  <c r="B2935" i="1" l="1"/>
  <c r="C2934" i="1"/>
  <c r="D2934" i="1" s="1"/>
  <c r="I2878" i="1"/>
  <c r="E2879" i="1" s="1"/>
  <c r="J2751" i="1"/>
  <c r="G2751" i="1" s="1"/>
  <c r="H2751" i="1"/>
  <c r="F2751" i="1"/>
  <c r="B2527" i="1"/>
  <c r="C2526" i="1"/>
  <c r="D2526" i="1" s="1"/>
  <c r="H2471" i="1"/>
  <c r="J2471" i="1"/>
  <c r="G2471" i="1" s="1"/>
  <c r="F2471" i="1"/>
  <c r="C1352" i="1"/>
  <c r="D1352" i="1" s="1"/>
  <c r="B1353" i="1"/>
  <c r="J1294" i="1"/>
  <c r="G1294" i="1" s="1"/>
  <c r="H1294" i="1"/>
  <c r="F1294" i="1"/>
  <c r="C874" i="1"/>
  <c r="D874" i="1" s="1"/>
  <c r="B875" i="1"/>
  <c r="H821" i="1"/>
  <c r="J821" i="1"/>
  <c r="G821" i="1" s="1"/>
  <c r="F821" i="1"/>
  <c r="B139" i="1"/>
  <c r="C138" i="1"/>
  <c r="D138" i="1" s="1"/>
  <c r="I77" i="1"/>
  <c r="E78" i="1" s="1"/>
  <c r="H2879" i="1" l="1"/>
  <c r="J2879" i="1"/>
  <c r="G2879" i="1" s="1"/>
  <c r="F2879" i="1"/>
  <c r="B2936" i="1"/>
  <c r="C2935" i="1"/>
  <c r="D2935" i="1" s="1"/>
  <c r="I2751" i="1"/>
  <c r="E2752" i="1" s="1"/>
  <c r="I2471" i="1"/>
  <c r="E2472" i="1" s="1"/>
  <c r="B2528" i="1"/>
  <c r="C2527" i="1"/>
  <c r="D2527" i="1" s="1"/>
  <c r="C1353" i="1"/>
  <c r="D1353" i="1" s="1"/>
  <c r="B1354" i="1"/>
  <c r="I1294" i="1"/>
  <c r="E1295" i="1" s="1"/>
  <c r="C875" i="1"/>
  <c r="D875" i="1" s="1"/>
  <c r="B876" i="1"/>
  <c r="I821" i="1"/>
  <c r="E822" i="1" s="1"/>
  <c r="F78" i="1"/>
  <c r="H78" i="1"/>
  <c r="J78" i="1"/>
  <c r="G78" i="1" s="1"/>
  <c r="C139" i="1"/>
  <c r="D139" i="1" s="1"/>
  <c r="B140" i="1"/>
  <c r="B2937" i="1" l="1"/>
  <c r="C2936" i="1"/>
  <c r="D2936" i="1" s="1"/>
  <c r="I2879" i="1"/>
  <c r="E2880" i="1" s="1"/>
  <c r="J2752" i="1"/>
  <c r="G2752" i="1" s="1"/>
  <c r="H2752" i="1"/>
  <c r="F2752" i="1"/>
  <c r="C2528" i="1"/>
  <c r="D2528" i="1" s="1"/>
  <c r="B2529" i="1"/>
  <c r="H2472" i="1"/>
  <c r="J2472" i="1"/>
  <c r="G2472" i="1" s="1"/>
  <c r="F2472" i="1"/>
  <c r="J1295" i="1"/>
  <c r="G1295" i="1" s="1"/>
  <c r="H1295" i="1"/>
  <c r="F1295" i="1"/>
  <c r="C1354" i="1"/>
  <c r="D1354" i="1" s="1"/>
  <c r="B1355" i="1"/>
  <c r="H822" i="1"/>
  <c r="J822" i="1"/>
  <c r="G822" i="1" s="1"/>
  <c r="F822" i="1"/>
  <c r="B877" i="1"/>
  <c r="C876" i="1"/>
  <c r="D876" i="1" s="1"/>
  <c r="C140" i="1"/>
  <c r="D140" i="1" s="1"/>
  <c r="B141" i="1"/>
  <c r="I78" i="1"/>
  <c r="E79" i="1" s="1"/>
  <c r="H2880" i="1" l="1"/>
  <c r="J2880" i="1"/>
  <c r="G2880" i="1" s="1"/>
  <c r="F2880" i="1"/>
  <c r="C2937" i="1"/>
  <c r="D2937" i="1" s="1"/>
  <c r="B2938" i="1"/>
  <c r="I2752" i="1"/>
  <c r="E2753" i="1" s="1"/>
  <c r="I2472" i="1"/>
  <c r="E2473" i="1" s="1"/>
  <c r="C2529" i="1"/>
  <c r="D2529" i="1" s="1"/>
  <c r="B2530" i="1"/>
  <c r="C1355" i="1"/>
  <c r="D1355" i="1" s="1"/>
  <c r="B1356" i="1"/>
  <c r="I1295" i="1"/>
  <c r="E1296" i="1" s="1"/>
  <c r="B878" i="1"/>
  <c r="C877" i="1"/>
  <c r="D877" i="1" s="1"/>
  <c r="I822" i="1"/>
  <c r="E823" i="1" s="1"/>
  <c r="H79" i="1"/>
  <c r="F79" i="1"/>
  <c r="J79" i="1"/>
  <c r="G79" i="1" s="1"/>
  <c r="C141" i="1"/>
  <c r="D141" i="1" s="1"/>
  <c r="B142" i="1"/>
  <c r="B2939" i="1" l="1"/>
  <c r="C2938" i="1"/>
  <c r="D2938" i="1" s="1"/>
  <c r="I2880" i="1"/>
  <c r="E2881" i="1" s="1"/>
  <c r="H2753" i="1"/>
  <c r="J2753" i="1"/>
  <c r="G2753" i="1" s="1"/>
  <c r="F2753" i="1"/>
  <c r="C2530" i="1"/>
  <c r="D2530" i="1" s="1"/>
  <c r="B2531" i="1"/>
  <c r="J2473" i="1"/>
  <c r="G2473" i="1" s="1"/>
  <c r="H2473" i="1"/>
  <c r="F2473" i="1"/>
  <c r="H1296" i="1"/>
  <c r="J1296" i="1"/>
  <c r="G1296" i="1" s="1"/>
  <c r="F1296" i="1"/>
  <c r="C1356" i="1"/>
  <c r="D1356" i="1" s="1"/>
  <c r="B1357" i="1"/>
  <c r="H823" i="1"/>
  <c r="J823" i="1"/>
  <c r="G823" i="1" s="1"/>
  <c r="F823" i="1"/>
  <c r="B879" i="1"/>
  <c r="C878" i="1"/>
  <c r="D878" i="1" s="1"/>
  <c r="C142" i="1"/>
  <c r="D142" i="1" s="1"/>
  <c r="B143" i="1"/>
  <c r="I79" i="1"/>
  <c r="E80" i="1" s="1"/>
  <c r="J2881" i="1" l="1"/>
  <c r="G2881" i="1" s="1"/>
  <c r="H2881" i="1"/>
  <c r="I2881" i="1" s="1"/>
  <c r="E2882" i="1" s="1"/>
  <c r="F2881" i="1"/>
  <c r="B2940" i="1"/>
  <c r="C2939" i="1"/>
  <c r="D2939" i="1" s="1"/>
  <c r="I2753" i="1"/>
  <c r="E2754" i="1" s="1"/>
  <c r="I2473" i="1"/>
  <c r="E2474" i="1" s="1"/>
  <c r="C2531" i="1"/>
  <c r="D2531" i="1" s="1"/>
  <c r="B2532" i="1"/>
  <c r="C1357" i="1"/>
  <c r="D1357" i="1" s="1"/>
  <c r="B1358" i="1"/>
  <c r="I1296" i="1"/>
  <c r="E1297" i="1" s="1"/>
  <c r="B880" i="1"/>
  <c r="C879" i="1"/>
  <c r="D879" i="1" s="1"/>
  <c r="I823" i="1"/>
  <c r="E824" i="1" s="1"/>
  <c r="F80" i="1"/>
  <c r="J80" i="1"/>
  <c r="G80" i="1" s="1"/>
  <c r="H80" i="1"/>
  <c r="C143" i="1"/>
  <c r="D143" i="1" s="1"/>
  <c r="B144" i="1"/>
  <c r="J2882" i="1" l="1"/>
  <c r="G2882" i="1" s="1"/>
  <c r="H2882" i="1"/>
  <c r="I2882" i="1" s="1"/>
  <c r="E2883" i="1" s="1"/>
  <c r="F2882" i="1"/>
  <c r="B2941" i="1"/>
  <c r="C2940" i="1"/>
  <c r="D2940" i="1" s="1"/>
  <c r="H2754" i="1"/>
  <c r="J2754" i="1"/>
  <c r="G2754" i="1" s="1"/>
  <c r="F2754" i="1"/>
  <c r="H2474" i="1"/>
  <c r="J2474" i="1"/>
  <c r="G2474" i="1" s="1"/>
  <c r="F2474" i="1"/>
  <c r="C2532" i="1"/>
  <c r="D2532" i="1" s="1"/>
  <c r="B2533" i="1"/>
  <c r="H1297" i="1"/>
  <c r="J1297" i="1"/>
  <c r="G1297" i="1" s="1"/>
  <c r="F1297" i="1"/>
  <c r="C1358" i="1"/>
  <c r="D1358" i="1" s="1"/>
  <c r="B1359" i="1"/>
  <c r="H824" i="1"/>
  <c r="J824" i="1"/>
  <c r="G824" i="1" s="1"/>
  <c r="F824" i="1"/>
  <c r="C880" i="1"/>
  <c r="D880" i="1" s="1"/>
  <c r="B881" i="1"/>
  <c r="C144" i="1"/>
  <c r="D144" i="1" s="1"/>
  <c r="B145" i="1"/>
  <c r="I80" i="1"/>
  <c r="E81" i="1" s="1"/>
  <c r="H2883" i="1" l="1"/>
  <c r="J2883" i="1"/>
  <c r="G2883" i="1" s="1"/>
  <c r="F2883" i="1"/>
  <c r="C2941" i="1"/>
  <c r="D2941" i="1" s="1"/>
  <c r="B2942" i="1"/>
  <c r="I2754" i="1"/>
  <c r="E2755" i="1" s="1"/>
  <c r="C2533" i="1"/>
  <c r="D2533" i="1" s="1"/>
  <c r="B2534" i="1"/>
  <c r="I2474" i="1"/>
  <c r="E2475" i="1" s="1"/>
  <c r="C1359" i="1"/>
  <c r="D1359" i="1" s="1"/>
  <c r="B1360" i="1"/>
  <c r="I1297" i="1"/>
  <c r="E1298" i="1" s="1"/>
  <c r="C881" i="1"/>
  <c r="D881" i="1" s="1"/>
  <c r="B882" i="1"/>
  <c r="I824" i="1"/>
  <c r="E825" i="1" s="1"/>
  <c r="J81" i="1"/>
  <c r="G81" i="1" s="1"/>
  <c r="F81" i="1"/>
  <c r="H81" i="1"/>
  <c r="B146" i="1"/>
  <c r="C145" i="1"/>
  <c r="D145" i="1" s="1"/>
  <c r="C2942" i="1" l="1"/>
  <c r="D2942" i="1" s="1"/>
  <c r="B2943" i="1"/>
  <c r="I2883" i="1"/>
  <c r="E2884" i="1" s="1"/>
  <c r="H2755" i="1"/>
  <c r="J2755" i="1"/>
  <c r="G2755" i="1" s="1"/>
  <c r="F2755" i="1"/>
  <c r="H2475" i="1"/>
  <c r="I2475" i="1" s="1"/>
  <c r="E2476" i="1" s="1"/>
  <c r="J2475" i="1"/>
  <c r="G2475" i="1" s="1"/>
  <c r="F2475" i="1"/>
  <c r="B2535" i="1"/>
  <c r="C2534" i="1"/>
  <c r="D2534" i="1" s="1"/>
  <c r="J1298" i="1"/>
  <c r="G1298" i="1" s="1"/>
  <c r="H1298" i="1"/>
  <c r="F1298" i="1"/>
  <c r="C1360" i="1"/>
  <c r="D1360" i="1" s="1"/>
  <c r="B1361" i="1"/>
  <c r="H825" i="1"/>
  <c r="J825" i="1"/>
  <c r="G825" i="1" s="1"/>
  <c r="F825" i="1"/>
  <c r="C882" i="1"/>
  <c r="D882" i="1" s="1"/>
  <c r="B883" i="1"/>
  <c r="I81" i="1"/>
  <c r="E82" i="1" s="1"/>
  <c r="C146" i="1"/>
  <c r="D146" i="1" s="1"/>
  <c r="B147" i="1"/>
  <c r="J2884" i="1" l="1"/>
  <c r="G2884" i="1" s="1"/>
  <c r="H2884" i="1"/>
  <c r="F2884" i="1"/>
  <c r="C2943" i="1"/>
  <c r="D2943" i="1" s="1"/>
  <c r="B2944" i="1"/>
  <c r="I2755" i="1"/>
  <c r="E2756" i="1" s="1"/>
  <c r="J2476" i="1"/>
  <c r="G2476" i="1" s="1"/>
  <c r="H2476" i="1"/>
  <c r="F2476" i="1"/>
  <c r="B2536" i="1"/>
  <c r="C2535" i="1"/>
  <c r="D2535" i="1" s="1"/>
  <c r="C1361" i="1"/>
  <c r="D1361" i="1" s="1"/>
  <c r="B1362" i="1"/>
  <c r="I1298" i="1"/>
  <c r="E1299" i="1" s="1"/>
  <c r="B884" i="1"/>
  <c r="C883" i="1"/>
  <c r="D883" i="1" s="1"/>
  <c r="I825" i="1"/>
  <c r="E826" i="1" s="1"/>
  <c r="C147" i="1"/>
  <c r="D147" i="1" s="1"/>
  <c r="B148" i="1"/>
  <c r="H82" i="1"/>
  <c r="F82" i="1"/>
  <c r="J82" i="1"/>
  <c r="G82" i="1" s="1"/>
  <c r="B2945" i="1" l="1"/>
  <c r="C2944" i="1"/>
  <c r="D2944" i="1" s="1"/>
  <c r="I2884" i="1"/>
  <c r="E2885" i="1" s="1"/>
  <c r="H2756" i="1"/>
  <c r="I2756" i="1" s="1"/>
  <c r="E2757" i="1" s="1"/>
  <c r="J2756" i="1"/>
  <c r="G2756" i="1" s="1"/>
  <c r="F2756" i="1"/>
  <c r="I2476" i="1"/>
  <c r="E2477" i="1" s="1"/>
  <c r="B2537" i="1"/>
  <c r="C2536" i="1"/>
  <c r="D2536" i="1" s="1"/>
  <c r="J1299" i="1"/>
  <c r="G1299" i="1" s="1"/>
  <c r="H1299" i="1"/>
  <c r="F1299" i="1"/>
  <c r="C1362" i="1"/>
  <c r="D1362" i="1" s="1"/>
  <c r="B1363" i="1"/>
  <c r="J826" i="1"/>
  <c r="G826" i="1" s="1"/>
  <c r="H826" i="1"/>
  <c r="F826" i="1"/>
  <c r="C884" i="1"/>
  <c r="D884" i="1" s="1"/>
  <c r="B885" i="1"/>
  <c r="I82" i="1"/>
  <c r="E83" i="1" s="1"/>
  <c r="C148" i="1"/>
  <c r="D148" i="1" s="1"/>
  <c r="B149" i="1"/>
  <c r="C2945" i="1" l="1"/>
  <c r="D2945" i="1" s="1"/>
  <c r="B2946" i="1"/>
  <c r="J2885" i="1"/>
  <c r="G2885" i="1" s="1"/>
  <c r="H2885" i="1"/>
  <c r="I2885" i="1" s="1"/>
  <c r="E2886" i="1" s="1"/>
  <c r="F2885" i="1"/>
  <c r="H2757" i="1"/>
  <c r="J2757" i="1"/>
  <c r="G2757" i="1" s="1"/>
  <c r="F2757" i="1"/>
  <c r="C2537" i="1"/>
  <c r="D2537" i="1" s="1"/>
  <c r="B2538" i="1"/>
  <c r="H2477" i="1"/>
  <c r="J2477" i="1"/>
  <c r="G2477" i="1" s="1"/>
  <c r="F2477" i="1"/>
  <c r="C1363" i="1"/>
  <c r="D1363" i="1" s="1"/>
  <c r="B1364" i="1"/>
  <c r="I1299" i="1"/>
  <c r="E1300" i="1" s="1"/>
  <c r="C885" i="1"/>
  <c r="D885" i="1" s="1"/>
  <c r="B886" i="1"/>
  <c r="I826" i="1"/>
  <c r="E827" i="1" s="1"/>
  <c r="C149" i="1"/>
  <c r="D149" i="1" s="1"/>
  <c r="B150" i="1"/>
  <c r="F83" i="1"/>
  <c r="J83" i="1"/>
  <c r="G83" i="1" s="1"/>
  <c r="H83" i="1"/>
  <c r="H2886" i="1" l="1"/>
  <c r="J2886" i="1"/>
  <c r="G2886" i="1" s="1"/>
  <c r="F2886" i="1"/>
  <c r="C2946" i="1"/>
  <c r="D2946" i="1" s="1"/>
  <c r="B2947" i="1"/>
  <c r="I2757" i="1"/>
  <c r="E2758" i="1" s="1"/>
  <c r="I2477" i="1"/>
  <c r="E2478" i="1" s="1"/>
  <c r="C2538" i="1"/>
  <c r="D2538" i="1" s="1"/>
  <c r="B2539" i="1"/>
  <c r="J1300" i="1"/>
  <c r="G1300" i="1" s="1"/>
  <c r="H1300" i="1"/>
  <c r="F1300" i="1"/>
  <c r="B1365" i="1"/>
  <c r="C1364" i="1"/>
  <c r="D1364" i="1" s="1"/>
  <c r="C886" i="1"/>
  <c r="D886" i="1" s="1"/>
  <c r="B887" i="1"/>
  <c r="H827" i="1"/>
  <c r="J827" i="1"/>
  <c r="G827" i="1" s="1"/>
  <c r="F827" i="1"/>
  <c r="C150" i="1"/>
  <c r="D150" i="1" s="1"/>
  <c r="B151" i="1"/>
  <c r="I83" i="1"/>
  <c r="E84" i="1" s="1"/>
  <c r="C2947" i="1" l="1"/>
  <c r="D2947" i="1" s="1"/>
  <c r="B2948" i="1"/>
  <c r="I2886" i="1"/>
  <c r="E2887" i="1" s="1"/>
  <c r="H2758" i="1"/>
  <c r="J2758" i="1"/>
  <c r="G2758" i="1" s="1"/>
  <c r="F2758" i="1"/>
  <c r="H2478" i="1"/>
  <c r="I2478" i="1" s="1"/>
  <c r="E2479" i="1" s="1"/>
  <c r="J2478" i="1"/>
  <c r="G2478" i="1" s="1"/>
  <c r="F2478" i="1"/>
  <c r="C2539" i="1"/>
  <c r="D2539" i="1" s="1"/>
  <c r="B2540" i="1"/>
  <c r="C1365" i="1"/>
  <c r="D1365" i="1" s="1"/>
  <c r="B1366" i="1"/>
  <c r="I1300" i="1"/>
  <c r="E1301" i="1" s="1"/>
  <c r="I827" i="1"/>
  <c r="E828" i="1" s="1"/>
  <c r="B888" i="1"/>
  <c r="C887" i="1"/>
  <c r="D887" i="1" s="1"/>
  <c r="H84" i="1"/>
  <c r="F84" i="1"/>
  <c r="J84" i="1"/>
  <c r="G84" i="1" s="1"/>
  <c r="C151" i="1"/>
  <c r="D151" i="1" s="1"/>
  <c r="B152" i="1"/>
  <c r="H2887" i="1" l="1"/>
  <c r="J2887" i="1"/>
  <c r="G2887" i="1" s="1"/>
  <c r="F2887" i="1"/>
  <c r="C2948" i="1"/>
  <c r="D2948" i="1" s="1"/>
  <c r="B2949" i="1"/>
  <c r="I2758" i="1"/>
  <c r="E2759" i="1" s="1"/>
  <c r="H2479" i="1"/>
  <c r="I2479" i="1" s="1"/>
  <c r="E2480" i="1" s="1"/>
  <c r="J2479" i="1"/>
  <c r="G2479" i="1" s="1"/>
  <c r="F2479" i="1"/>
  <c r="C2540" i="1"/>
  <c r="D2540" i="1" s="1"/>
  <c r="B2541" i="1"/>
  <c r="H1301" i="1"/>
  <c r="J1301" i="1"/>
  <c r="G1301" i="1" s="1"/>
  <c r="F1301" i="1"/>
  <c r="C1366" i="1"/>
  <c r="D1366" i="1" s="1"/>
  <c r="B1367" i="1"/>
  <c r="B889" i="1"/>
  <c r="C888" i="1"/>
  <c r="D888" i="1" s="1"/>
  <c r="H828" i="1"/>
  <c r="J828" i="1"/>
  <c r="G828" i="1" s="1"/>
  <c r="F828" i="1"/>
  <c r="C152" i="1"/>
  <c r="D152" i="1" s="1"/>
  <c r="B153" i="1"/>
  <c r="I84" i="1"/>
  <c r="E85" i="1" s="1"/>
  <c r="C2949" i="1" l="1"/>
  <c r="D2949" i="1" s="1"/>
  <c r="B2950" i="1"/>
  <c r="I2887" i="1"/>
  <c r="E2888" i="1" s="1"/>
  <c r="J2759" i="1"/>
  <c r="G2759" i="1" s="1"/>
  <c r="H2759" i="1"/>
  <c r="I2759" i="1" s="1"/>
  <c r="E2760" i="1" s="1"/>
  <c r="F2759" i="1"/>
  <c r="H2480" i="1"/>
  <c r="I2480" i="1" s="1"/>
  <c r="E2481" i="1" s="1"/>
  <c r="J2480" i="1"/>
  <c r="G2480" i="1" s="1"/>
  <c r="F2480" i="1"/>
  <c r="C2541" i="1"/>
  <c r="D2541" i="1" s="1"/>
  <c r="B2542" i="1"/>
  <c r="C1367" i="1"/>
  <c r="D1367" i="1" s="1"/>
  <c r="B1368" i="1"/>
  <c r="I1301" i="1"/>
  <c r="E1302" i="1" s="1"/>
  <c r="I828" i="1"/>
  <c r="E829" i="1" s="1"/>
  <c r="B890" i="1"/>
  <c r="C889" i="1"/>
  <c r="D889" i="1" s="1"/>
  <c r="H85" i="1"/>
  <c r="F85" i="1"/>
  <c r="J85" i="1"/>
  <c r="G85" i="1" s="1"/>
  <c r="B154" i="1"/>
  <c r="C153" i="1"/>
  <c r="D153" i="1" s="1"/>
  <c r="C2950" i="1" l="1"/>
  <c r="D2950" i="1" s="1"/>
  <c r="B2951" i="1"/>
  <c r="J2888" i="1"/>
  <c r="G2888" i="1" s="1"/>
  <c r="H2888" i="1"/>
  <c r="I2888" i="1" s="1"/>
  <c r="E2889" i="1" s="1"/>
  <c r="F2888" i="1"/>
  <c r="H2760" i="1"/>
  <c r="J2760" i="1"/>
  <c r="G2760" i="1" s="1"/>
  <c r="F2760" i="1"/>
  <c r="J2481" i="1"/>
  <c r="G2481" i="1" s="1"/>
  <c r="H2481" i="1"/>
  <c r="F2481" i="1"/>
  <c r="C2542" i="1"/>
  <c r="D2542" i="1" s="1"/>
  <c r="B2543" i="1"/>
  <c r="B1369" i="1"/>
  <c r="C1368" i="1"/>
  <c r="D1368" i="1" s="1"/>
  <c r="J1302" i="1"/>
  <c r="G1302" i="1" s="1"/>
  <c r="H1302" i="1"/>
  <c r="F1302" i="1"/>
  <c r="B891" i="1"/>
  <c r="C890" i="1"/>
  <c r="D890" i="1" s="1"/>
  <c r="J829" i="1"/>
  <c r="G829" i="1" s="1"/>
  <c r="H829" i="1"/>
  <c r="I829" i="1" s="1"/>
  <c r="E830" i="1" s="1"/>
  <c r="F829" i="1"/>
  <c r="C154" i="1"/>
  <c r="D154" i="1" s="1"/>
  <c r="B155" i="1"/>
  <c r="I85" i="1"/>
  <c r="E86" i="1" s="1"/>
  <c r="J2889" i="1" l="1"/>
  <c r="G2889" i="1" s="1"/>
  <c r="H2889" i="1"/>
  <c r="F2889" i="1"/>
  <c r="C2951" i="1"/>
  <c r="D2951" i="1" s="1"/>
  <c r="B2952" i="1"/>
  <c r="I2760" i="1"/>
  <c r="E2761" i="1" s="1"/>
  <c r="C2543" i="1"/>
  <c r="D2543" i="1" s="1"/>
  <c r="B2544" i="1"/>
  <c r="I2481" i="1"/>
  <c r="E2482" i="1" s="1"/>
  <c r="I1302" i="1"/>
  <c r="E1303" i="1" s="1"/>
  <c r="C1369" i="1"/>
  <c r="D1369" i="1" s="1"/>
  <c r="B1370" i="1"/>
  <c r="J830" i="1"/>
  <c r="G830" i="1" s="1"/>
  <c r="H830" i="1"/>
  <c r="F830" i="1"/>
  <c r="C891" i="1"/>
  <c r="D891" i="1" s="1"/>
  <c r="B892" i="1"/>
  <c r="J86" i="1"/>
  <c r="G86" i="1" s="1"/>
  <c r="F86" i="1"/>
  <c r="H86" i="1"/>
  <c r="C155" i="1"/>
  <c r="D155" i="1" s="1"/>
  <c r="B156" i="1"/>
  <c r="B2953" i="1" l="1"/>
  <c r="C2952" i="1"/>
  <c r="D2952" i="1" s="1"/>
  <c r="I2889" i="1"/>
  <c r="E2890" i="1" s="1"/>
  <c r="H2761" i="1"/>
  <c r="J2761" i="1"/>
  <c r="G2761" i="1" s="1"/>
  <c r="F2761" i="1"/>
  <c r="C2544" i="1"/>
  <c r="D2544" i="1" s="1"/>
  <c r="B2545" i="1"/>
  <c r="H2482" i="1"/>
  <c r="J2482" i="1"/>
  <c r="G2482" i="1" s="1"/>
  <c r="F2482" i="1"/>
  <c r="B1371" i="1"/>
  <c r="C1370" i="1"/>
  <c r="D1370" i="1" s="1"/>
  <c r="J1303" i="1"/>
  <c r="G1303" i="1" s="1"/>
  <c r="H1303" i="1"/>
  <c r="F1303" i="1"/>
  <c r="C892" i="1"/>
  <c r="D892" i="1" s="1"/>
  <c r="B893" i="1"/>
  <c r="I830" i="1"/>
  <c r="E831" i="1" s="1"/>
  <c r="C156" i="1"/>
  <c r="D156" i="1" s="1"/>
  <c r="B157" i="1"/>
  <c r="I86" i="1"/>
  <c r="E87" i="1" s="1"/>
  <c r="H2890" i="1" l="1"/>
  <c r="J2890" i="1"/>
  <c r="G2890" i="1" s="1"/>
  <c r="F2890" i="1"/>
  <c r="C2953" i="1"/>
  <c r="D2953" i="1" s="1"/>
  <c r="B2954" i="1"/>
  <c r="I2761" i="1"/>
  <c r="E2762" i="1" s="1"/>
  <c r="I2482" i="1"/>
  <c r="E2483" i="1" s="1"/>
  <c r="C2545" i="1"/>
  <c r="D2545" i="1" s="1"/>
  <c r="B2546" i="1"/>
  <c r="I1303" i="1"/>
  <c r="E1304" i="1" s="1"/>
  <c r="B1372" i="1"/>
  <c r="C1371" i="1"/>
  <c r="D1371" i="1" s="1"/>
  <c r="C893" i="1"/>
  <c r="D893" i="1" s="1"/>
  <c r="B894" i="1"/>
  <c r="H831" i="1"/>
  <c r="J831" i="1"/>
  <c r="G831" i="1" s="1"/>
  <c r="F831" i="1"/>
  <c r="J87" i="1"/>
  <c r="G87" i="1" s="1"/>
  <c r="H87" i="1"/>
  <c r="F87" i="1"/>
  <c r="C157" i="1"/>
  <c r="D157" i="1" s="1"/>
  <c r="B158" i="1"/>
  <c r="C2954" i="1" l="1"/>
  <c r="D2954" i="1" s="1"/>
  <c r="B2955" i="1"/>
  <c r="I2890" i="1"/>
  <c r="E2891" i="1" s="1"/>
  <c r="H2762" i="1"/>
  <c r="J2762" i="1"/>
  <c r="G2762" i="1" s="1"/>
  <c r="F2762" i="1"/>
  <c r="C2546" i="1"/>
  <c r="D2546" i="1" s="1"/>
  <c r="B2547" i="1"/>
  <c r="H2483" i="1"/>
  <c r="J2483" i="1"/>
  <c r="G2483" i="1" s="1"/>
  <c r="F2483" i="1"/>
  <c r="H1304" i="1"/>
  <c r="J1304" i="1"/>
  <c r="G1304" i="1" s="1"/>
  <c r="F1304" i="1"/>
  <c r="B1373" i="1"/>
  <c r="C1372" i="1"/>
  <c r="D1372" i="1" s="1"/>
  <c r="I831" i="1"/>
  <c r="E832" i="1" s="1"/>
  <c r="C894" i="1"/>
  <c r="D894" i="1" s="1"/>
  <c r="B895" i="1"/>
  <c r="C158" i="1"/>
  <c r="D158" i="1" s="1"/>
  <c r="B159" i="1"/>
  <c r="I87" i="1"/>
  <c r="E88" i="1" s="1"/>
  <c r="J2891" i="1" l="1"/>
  <c r="G2891" i="1" s="1"/>
  <c r="H2891" i="1"/>
  <c r="F2891" i="1"/>
  <c r="C2955" i="1"/>
  <c r="D2955" i="1" s="1"/>
  <c r="B2956" i="1"/>
  <c r="I2762" i="1"/>
  <c r="E2763" i="1" s="1"/>
  <c r="I2483" i="1"/>
  <c r="E2484" i="1" s="1"/>
  <c r="C2547" i="1"/>
  <c r="D2547" i="1" s="1"/>
  <c r="B2548" i="1"/>
  <c r="C1373" i="1"/>
  <c r="D1373" i="1" s="1"/>
  <c r="B1374" i="1"/>
  <c r="I1304" i="1"/>
  <c r="E1305" i="1" s="1"/>
  <c r="C895" i="1"/>
  <c r="D895" i="1" s="1"/>
  <c r="B896" i="1"/>
  <c r="H832" i="1"/>
  <c r="J832" i="1"/>
  <c r="G832" i="1" s="1"/>
  <c r="F832" i="1"/>
  <c r="H88" i="1"/>
  <c r="J88" i="1"/>
  <c r="G88" i="1" s="1"/>
  <c r="F88" i="1"/>
  <c r="B160" i="1"/>
  <c r="C159" i="1"/>
  <c r="D159" i="1" s="1"/>
  <c r="C2956" i="1" l="1"/>
  <c r="D2956" i="1" s="1"/>
  <c r="B2957" i="1"/>
  <c r="I2891" i="1"/>
  <c r="E2892" i="1" s="1"/>
  <c r="J2763" i="1"/>
  <c r="G2763" i="1" s="1"/>
  <c r="H2763" i="1"/>
  <c r="F2763" i="1"/>
  <c r="C2548" i="1"/>
  <c r="D2548" i="1" s="1"/>
  <c r="B2549" i="1"/>
  <c r="H2484" i="1"/>
  <c r="J2484" i="1"/>
  <c r="G2484" i="1" s="1"/>
  <c r="F2484" i="1"/>
  <c r="J1305" i="1"/>
  <c r="G1305" i="1" s="1"/>
  <c r="H1305" i="1"/>
  <c r="F1305" i="1"/>
  <c r="B1375" i="1"/>
  <c r="C1374" i="1"/>
  <c r="D1374" i="1" s="1"/>
  <c r="I832" i="1"/>
  <c r="E833" i="1" s="1"/>
  <c r="C896" i="1"/>
  <c r="D896" i="1" s="1"/>
  <c r="B897" i="1"/>
  <c r="C160" i="1"/>
  <c r="D160" i="1" s="1"/>
  <c r="B161" i="1"/>
  <c r="I88" i="1"/>
  <c r="E89" i="1" s="1"/>
  <c r="H2892" i="1" l="1"/>
  <c r="J2892" i="1"/>
  <c r="G2892" i="1" s="1"/>
  <c r="F2892" i="1"/>
  <c r="C2957" i="1"/>
  <c r="D2957" i="1" s="1"/>
  <c r="B2958" i="1"/>
  <c r="I2763" i="1"/>
  <c r="E2764" i="1" s="1"/>
  <c r="C2549" i="1"/>
  <c r="D2549" i="1" s="1"/>
  <c r="B2550" i="1"/>
  <c r="I2484" i="1"/>
  <c r="E2485" i="1" s="1"/>
  <c r="C1375" i="1"/>
  <c r="D1375" i="1" s="1"/>
  <c r="B1376" i="1"/>
  <c r="I1305" i="1"/>
  <c r="E1306" i="1" s="1"/>
  <c r="B898" i="1"/>
  <c r="C897" i="1"/>
  <c r="D897" i="1" s="1"/>
  <c r="H833" i="1"/>
  <c r="J833" i="1"/>
  <c r="G833" i="1" s="1"/>
  <c r="F833" i="1"/>
  <c r="H89" i="1"/>
  <c r="F89" i="1"/>
  <c r="J89" i="1"/>
  <c r="G89" i="1" s="1"/>
  <c r="C161" i="1"/>
  <c r="D161" i="1" s="1"/>
  <c r="B162" i="1"/>
  <c r="I2892" i="1" l="1"/>
  <c r="E2893" i="1" s="1"/>
  <c r="B2959" i="1"/>
  <c r="C2958" i="1"/>
  <c r="D2958" i="1" s="1"/>
  <c r="J2764" i="1"/>
  <c r="G2764" i="1" s="1"/>
  <c r="H2764" i="1"/>
  <c r="F2764" i="1"/>
  <c r="H2485" i="1"/>
  <c r="I2485" i="1" s="1"/>
  <c r="E2486" i="1" s="1"/>
  <c r="J2485" i="1"/>
  <c r="G2485" i="1" s="1"/>
  <c r="F2485" i="1"/>
  <c r="C2550" i="1"/>
  <c r="D2550" i="1" s="1"/>
  <c r="B2551" i="1"/>
  <c r="H1306" i="1"/>
  <c r="J1306" i="1"/>
  <c r="G1306" i="1" s="1"/>
  <c r="F1306" i="1"/>
  <c r="C1376" i="1"/>
  <c r="D1376" i="1" s="1"/>
  <c r="B1377" i="1"/>
  <c r="I833" i="1"/>
  <c r="E834" i="1" s="1"/>
  <c r="B899" i="1"/>
  <c r="C898" i="1"/>
  <c r="D898" i="1" s="1"/>
  <c r="C162" i="1"/>
  <c r="D162" i="1" s="1"/>
  <c r="B163" i="1"/>
  <c r="I89" i="1"/>
  <c r="E90" i="1" s="1"/>
  <c r="C2959" i="1" l="1"/>
  <c r="D2959" i="1" s="1"/>
  <c r="B2960" i="1"/>
  <c r="H2893" i="1"/>
  <c r="J2893" i="1"/>
  <c r="G2893" i="1" s="1"/>
  <c r="F2893" i="1"/>
  <c r="I2764" i="1"/>
  <c r="E2765" i="1" s="1"/>
  <c r="H2486" i="1"/>
  <c r="I2486" i="1" s="1"/>
  <c r="E2487" i="1" s="1"/>
  <c r="J2486" i="1"/>
  <c r="G2486" i="1" s="1"/>
  <c r="F2486" i="1"/>
  <c r="C2551" i="1"/>
  <c r="D2551" i="1" s="1"/>
  <c r="B2552" i="1"/>
  <c r="C1377" i="1"/>
  <c r="D1377" i="1" s="1"/>
  <c r="B1378" i="1"/>
  <c r="I1306" i="1"/>
  <c r="E1307" i="1" s="1"/>
  <c r="C899" i="1"/>
  <c r="D899" i="1" s="1"/>
  <c r="B900" i="1"/>
  <c r="H834" i="1"/>
  <c r="J834" i="1"/>
  <c r="G834" i="1" s="1"/>
  <c r="F834" i="1"/>
  <c r="J90" i="1"/>
  <c r="G90" i="1" s="1"/>
  <c r="H90" i="1"/>
  <c r="F90" i="1"/>
  <c r="C163" i="1"/>
  <c r="D163" i="1" s="1"/>
  <c r="B164" i="1"/>
  <c r="I2893" i="1" l="1"/>
  <c r="E2894" i="1" s="1"/>
  <c r="C2960" i="1"/>
  <c r="D2960" i="1" s="1"/>
  <c r="B2961" i="1"/>
  <c r="J2765" i="1"/>
  <c r="G2765" i="1" s="1"/>
  <c r="H2765" i="1"/>
  <c r="F2765" i="1"/>
  <c r="H2487" i="1"/>
  <c r="J2487" i="1"/>
  <c r="G2487" i="1" s="1"/>
  <c r="F2487" i="1"/>
  <c r="C2552" i="1"/>
  <c r="D2552" i="1" s="1"/>
  <c r="B2553" i="1"/>
  <c r="J1307" i="1"/>
  <c r="G1307" i="1" s="1"/>
  <c r="H1307" i="1"/>
  <c r="F1307" i="1"/>
  <c r="B1379" i="1"/>
  <c r="C1378" i="1"/>
  <c r="D1378" i="1" s="1"/>
  <c r="I834" i="1"/>
  <c r="E835" i="1" s="1"/>
  <c r="C900" i="1"/>
  <c r="D900" i="1" s="1"/>
  <c r="B901" i="1"/>
  <c r="C164" i="1"/>
  <c r="D164" i="1" s="1"/>
  <c r="B165" i="1"/>
  <c r="I90" i="1"/>
  <c r="E91" i="1" s="1"/>
  <c r="C2961" i="1" l="1"/>
  <c r="D2961" i="1" s="1"/>
  <c r="B2962" i="1"/>
  <c r="H2894" i="1"/>
  <c r="I2894" i="1" s="1"/>
  <c r="E2895" i="1" s="1"/>
  <c r="J2894" i="1"/>
  <c r="G2894" i="1" s="1"/>
  <c r="F2894" i="1"/>
  <c r="I2765" i="1"/>
  <c r="E2766" i="1" s="1"/>
  <c r="B2554" i="1"/>
  <c r="C2553" i="1"/>
  <c r="D2553" i="1" s="1"/>
  <c r="I2487" i="1"/>
  <c r="E2488" i="1" s="1"/>
  <c r="C1379" i="1"/>
  <c r="D1379" i="1" s="1"/>
  <c r="B1380" i="1"/>
  <c r="I1307" i="1"/>
  <c r="E1308" i="1" s="1"/>
  <c r="C901" i="1"/>
  <c r="D901" i="1" s="1"/>
  <c r="B902" i="1"/>
  <c r="H835" i="1"/>
  <c r="J835" i="1"/>
  <c r="G835" i="1" s="1"/>
  <c r="F835" i="1"/>
  <c r="F91" i="1"/>
  <c r="H91" i="1"/>
  <c r="J91" i="1"/>
  <c r="G91" i="1" s="1"/>
  <c r="C165" i="1"/>
  <c r="D165" i="1" s="1"/>
  <c r="B166" i="1"/>
  <c r="H2895" i="1" l="1"/>
  <c r="J2895" i="1"/>
  <c r="G2895" i="1" s="1"/>
  <c r="F2895" i="1"/>
  <c r="B2963" i="1"/>
  <c r="C2962" i="1"/>
  <c r="D2962" i="1" s="1"/>
  <c r="H2766" i="1"/>
  <c r="J2766" i="1"/>
  <c r="G2766" i="1" s="1"/>
  <c r="F2766" i="1"/>
  <c r="J2488" i="1"/>
  <c r="G2488" i="1" s="1"/>
  <c r="H2488" i="1"/>
  <c r="F2488" i="1"/>
  <c r="C2554" i="1"/>
  <c r="D2554" i="1" s="1"/>
  <c r="B2555" i="1"/>
  <c r="J1308" i="1"/>
  <c r="G1308" i="1" s="1"/>
  <c r="H1308" i="1"/>
  <c r="I1308" i="1" s="1"/>
  <c r="E1309" i="1" s="1"/>
  <c r="F1308" i="1"/>
  <c r="C1380" i="1"/>
  <c r="D1380" i="1" s="1"/>
  <c r="B1381" i="1"/>
  <c r="I835" i="1"/>
  <c r="E836" i="1" s="1"/>
  <c r="C902" i="1"/>
  <c r="D902" i="1" s="1"/>
  <c r="B903" i="1"/>
  <c r="C166" i="1"/>
  <c r="D166" i="1" s="1"/>
  <c r="B167" i="1"/>
  <c r="I91" i="1"/>
  <c r="E92" i="1" s="1"/>
  <c r="B2964" i="1" l="1"/>
  <c r="C2963" i="1"/>
  <c r="D2963" i="1" s="1"/>
  <c r="I2895" i="1"/>
  <c r="E2896" i="1" s="1"/>
  <c r="I2766" i="1"/>
  <c r="E2767" i="1" s="1"/>
  <c r="I2488" i="1"/>
  <c r="E2489" i="1" s="1"/>
  <c r="C2555" i="1"/>
  <c r="D2555" i="1" s="1"/>
  <c r="B2556" i="1"/>
  <c r="H1309" i="1"/>
  <c r="J1309" i="1"/>
  <c r="G1309" i="1" s="1"/>
  <c r="F1309" i="1"/>
  <c r="C1381" i="1"/>
  <c r="D1381" i="1" s="1"/>
  <c r="B1382" i="1"/>
  <c r="B904" i="1"/>
  <c r="C903" i="1"/>
  <c r="D903" i="1" s="1"/>
  <c r="H836" i="1"/>
  <c r="I836" i="1" s="1"/>
  <c r="E837" i="1" s="1"/>
  <c r="J836" i="1"/>
  <c r="G836" i="1" s="1"/>
  <c r="F836" i="1"/>
  <c r="J92" i="1"/>
  <c r="G92" i="1" s="1"/>
  <c r="F92" i="1"/>
  <c r="H92" i="1"/>
  <c r="C167" i="1"/>
  <c r="D167" i="1" s="1"/>
  <c r="B168" i="1"/>
  <c r="C2964" i="1" l="1"/>
  <c r="D2964" i="1" s="1"/>
  <c r="B2965" i="1"/>
  <c r="J2896" i="1"/>
  <c r="G2896" i="1" s="1"/>
  <c r="H2896" i="1"/>
  <c r="F2896" i="1"/>
  <c r="H2767" i="1"/>
  <c r="J2767" i="1"/>
  <c r="G2767" i="1" s="1"/>
  <c r="F2767" i="1"/>
  <c r="C2556" i="1"/>
  <c r="D2556" i="1" s="1"/>
  <c r="B2557" i="1"/>
  <c r="H2489" i="1"/>
  <c r="J2489" i="1"/>
  <c r="G2489" i="1" s="1"/>
  <c r="F2489" i="1"/>
  <c r="B1383" i="1"/>
  <c r="C1382" i="1"/>
  <c r="D1382" i="1" s="1"/>
  <c r="I1309" i="1"/>
  <c r="E1310" i="1" s="1"/>
  <c r="H837" i="1"/>
  <c r="J837" i="1"/>
  <c r="G837" i="1" s="1"/>
  <c r="F837" i="1"/>
  <c r="B905" i="1"/>
  <c r="C904" i="1"/>
  <c r="D904" i="1" s="1"/>
  <c r="C168" i="1"/>
  <c r="D168" i="1" s="1"/>
  <c r="B169" i="1"/>
  <c r="I92" i="1"/>
  <c r="E93" i="1" s="1"/>
  <c r="I2896" i="1" l="1"/>
  <c r="E2897" i="1" s="1"/>
  <c r="B2966" i="1"/>
  <c r="C2965" i="1"/>
  <c r="D2965" i="1" s="1"/>
  <c r="I2767" i="1"/>
  <c r="E2768" i="1" s="1"/>
  <c r="I2489" i="1"/>
  <c r="E2490" i="1" s="1"/>
  <c r="C2557" i="1"/>
  <c r="D2557" i="1" s="1"/>
  <c r="B2558" i="1"/>
  <c r="H1310" i="1"/>
  <c r="J1310" i="1"/>
  <c r="G1310" i="1" s="1"/>
  <c r="F1310" i="1"/>
  <c r="C1383" i="1"/>
  <c r="D1383" i="1" s="1"/>
  <c r="B1384" i="1"/>
  <c r="C905" i="1"/>
  <c r="D905" i="1" s="1"/>
  <c r="B906" i="1"/>
  <c r="I837" i="1"/>
  <c r="E838" i="1" s="1"/>
  <c r="H93" i="1"/>
  <c r="J93" i="1"/>
  <c r="G93" i="1" s="1"/>
  <c r="F93" i="1"/>
  <c r="C169" i="1"/>
  <c r="D169" i="1" s="1"/>
  <c r="B170" i="1"/>
  <c r="B2967" i="1" l="1"/>
  <c r="C2966" i="1"/>
  <c r="D2966" i="1" s="1"/>
  <c r="H2897" i="1"/>
  <c r="J2897" i="1"/>
  <c r="G2897" i="1" s="1"/>
  <c r="F2897" i="1"/>
  <c r="H2768" i="1"/>
  <c r="J2768" i="1"/>
  <c r="G2768" i="1" s="1"/>
  <c r="F2768" i="1"/>
  <c r="C2558" i="1"/>
  <c r="D2558" i="1" s="1"/>
  <c r="B2559" i="1"/>
  <c r="H2490" i="1"/>
  <c r="J2490" i="1"/>
  <c r="G2490" i="1" s="1"/>
  <c r="F2490" i="1"/>
  <c r="B1385" i="1"/>
  <c r="C1384" i="1"/>
  <c r="D1384" i="1" s="1"/>
  <c r="I1310" i="1"/>
  <c r="E1311" i="1" s="1"/>
  <c r="H838" i="1"/>
  <c r="J838" i="1"/>
  <c r="G838" i="1" s="1"/>
  <c r="F838" i="1"/>
  <c r="B907" i="1"/>
  <c r="C906" i="1"/>
  <c r="D906" i="1" s="1"/>
  <c r="C170" i="1"/>
  <c r="D170" i="1" s="1"/>
  <c r="B171" i="1"/>
  <c r="I93" i="1"/>
  <c r="E94" i="1" s="1"/>
  <c r="C2967" i="1" l="1"/>
  <c r="D2967" i="1" s="1"/>
  <c r="B2968" i="1"/>
  <c r="I2897" i="1"/>
  <c r="E2898" i="1" s="1"/>
  <c r="I2768" i="1"/>
  <c r="E2769" i="1" s="1"/>
  <c r="I2490" i="1"/>
  <c r="E2491" i="1" s="1"/>
  <c r="C2559" i="1"/>
  <c r="D2559" i="1" s="1"/>
  <c r="B2560" i="1"/>
  <c r="J1311" i="1"/>
  <c r="G1311" i="1" s="1"/>
  <c r="H1311" i="1"/>
  <c r="F1311" i="1"/>
  <c r="C1385" i="1"/>
  <c r="D1385" i="1" s="1"/>
  <c r="B1386" i="1"/>
  <c r="B908" i="1"/>
  <c r="C907" i="1"/>
  <c r="D907" i="1" s="1"/>
  <c r="I838" i="1"/>
  <c r="E839" i="1" s="1"/>
  <c r="J94" i="1"/>
  <c r="G94" i="1" s="1"/>
  <c r="F94" i="1"/>
  <c r="H94" i="1"/>
  <c r="C171" i="1"/>
  <c r="D171" i="1" s="1"/>
  <c r="B172" i="1"/>
  <c r="H2898" i="1" l="1"/>
  <c r="I2898" i="1" s="1"/>
  <c r="E2899" i="1" s="1"/>
  <c r="J2898" i="1"/>
  <c r="G2898" i="1" s="1"/>
  <c r="F2898" i="1"/>
  <c r="C2968" i="1"/>
  <c r="D2968" i="1" s="1"/>
  <c r="B2969" i="1"/>
  <c r="C2969" i="1" s="1"/>
  <c r="D2969" i="1" s="1"/>
  <c r="J2769" i="1"/>
  <c r="G2769" i="1" s="1"/>
  <c r="H2769" i="1"/>
  <c r="F2769" i="1"/>
  <c r="C2560" i="1"/>
  <c r="D2560" i="1" s="1"/>
  <c r="B2561" i="1"/>
  <c r="J2491" i="1"/>
  <c r="G2491" i="1" s="1"/>
  <c r="H2491" i="1"/>
  <c r="F2491" i="1"/>
  <c r="C1386" i="1"/>
  <c r="D1386" i="1" s="1"/>
  <c r="B1387" i="1"/>
  <c r="I1311" i="1"/>
  <c r="E1312" i="1" s="1"/>
  <c r="J839" i="1"/>
  <c r="G839" i="1" s="1"/>
  <c r="H839" i="1"/>
  <c r="F839" i="1"/>
  <c r="C908" i="1"/>
  <c r="D908" i="1" s="1"/>
  <c r="B909" i="1"/>
  <c r="C172" i="1"/>
  <c r="D172" i="1" s="1"/>
  <c r="B173" i="1"/>
  <c r="I94" i="1"/>
  <c r="E95" i="1" s="1"/>
  <c r="J2899" i="1" l="1"/>
  <c r="G2899" i="1" s="1"/>
  <c r="H2899" i="1"/>
  <c r="F2899" i="1"/>
  <c r="I2769" i="1"/>
  <c r="E2770" i="1" s="1"/>
  <c r="I2491" i="1"/>
  <c r="E2492" i="1" s="1"/>
  <c r="B2562" i="1"/>
  <c r="C2561" i="1"/>
  <c r="D2561" i="1" s="1"/>
  <c r="H1312" i="1"/>
  <c r="J1312" i="1"/>
  <c r="G1312" i="1" s="1"/>
  <c r="F1312" i="1"/>
  <c r="B1388" i="1"/>
  <c r="C1387" i="1"/>
  <c r="D1387" i="1" s="1"/>
  <c r="C909" i="1"/>
  <c r="D909" i="1" s="1"/>
  <c r="B910" i="1"/>
  <c r="I839" i="1"/>
  <c r="E840" i="1" s="1"/>
  <c r="J95" i="1"/>
  <c r="G95" i="1" s="1"/>
  <c r="H95" i="1"/>
  <c r="F95" i="1"/>
  <c r="B174" i="1"/>
  <c r="C173" i="1"/>
  <c r="D173" i="1" s="1"/>
  <c r="I2899" i="1" l="1"/>
  <c r="E2900" i="1" s="1"/>
  <c r="H2770" i="1"/>
  <c r="J2770" i="1"/>
  <c r="G2770" i="1" s="1"/>
  <c r="F2770" i="1"/>
  <c r="C2562" i="1"/>
  <c r="D2562" i="1" s="1"/>
  <c r="B2563" i="1"/>
  <c r="H2492" i="1"/>
  <c r="J2492" i="1"/>
  <c r="G2492" i="1" s="1"/>
  <c r="F2492" i="1"/>
  <c r="B1389" i="1"/>
  <c r="C1388" i="1"/>
  <c r="D1388" i="1" s="1"/>
  <c r="I1312" i="1"/>
  <c r="E1313" i="1" s="1"/>
  <c r="H840" i="1"/>
  <c r="J840" i="1"/>
  <c r="G840" i="1" s="1"/>
  <c r="F840" i="1"/>
  <c r="C910" i="1"/>
  <c r="D910" i="1" s="1"/>
  <c r="B911" i="1"/>
  <c r="C174" i="1"/>
  <c r="D174" i="1" s="1"/>
  <c r="B175" i="1"/>
  <c r="I95" i="1"/>
  <c r="E96" i="1" s="1"/>
  <c r="H2900" i="1" l="1"/>
  <c r="J2900" i="1"/>
  <c r="G2900" i="1" s="1"/>
  <c r="F2900" i="1"/>
  <c r="I2770" i="1"/>
  <c r="E2771" i="1" s="1"/>
  <c r="I2492" i="1"/>
  <c r="E2493" i="1" s="1"/>
  <c r="B2564" i="1"/>
  <c r="C2563" i="1"/>
  <c r="D2563" i="1" s="1"/>
  <c r="H1313" i="1"/>
  <c r="J1313" i="1"/>
  <c r="G1313" i="1" s="1"/>
  <c r="F1313" i="1"/>
  <c r="C1389" i="1"/>
  <c r="D1389" i="1" s="1"/>
  <c r="B1390" i="1"/>
  <c r="C911" i="1"/>
  <c r="D911" i="1" s="1"/>
  <c r="B912" i="1"/>
  <c r="I840" i="1"/>
  <c r="E841" i="1" s="1"/>
  <c r="F96" i="1"/>
  <c r="J96" i="1"/>
  <c r="G96" i="1" s="1"/>
  <c r="H96" i="1"/>
  <c r="C175" i="1"/>
  <c r="D175" i="1" s="1"/>
  <c r="B176" i="1"/>
  <c r="I2900" i="1" l="1"/>
  <c r="E2901" i="1" s="1"/>
  <c r="H2771" i="1"/>
  <c r="J2771" i="1"/>
  <c r="G2771" i="1" s="1"/>
  <c r="F2771" i="1"/>
  <c r="C2564" i="1"/>
  <c r="D2564" i="1" s="1"/>
  <c r="B2565" i="1"/>
  <c r="H2493" i="1"/>
  <c r="J2493" i="1"/>
  <c r="G2493" i="1" s="1"/>
  <c r="F2493" i="1"/>
  <c r="C1390" i="1"/>
  <c r="D1390" i="1" s="1"/>
  <c r="B1391" i="1"/>
  <c r="I1313" i="1"/>
  <c r="E1314" i="1" s="1"/>
  <c r="H841" i="1"/>
  <c r="J841" i="1"/>
  <c r="G841" i="1" s="1"/>
  <c r="F841" i="1"/>
  <c r="C912" i="1"/>
  <c r="D912" i="1" s="1"/>
  <c r="B913" i="1"/>
  <c r="C176" i="1"/>
  <c r="D176" i="1" s="1"/>
  <c r="B177" i="1"/>
  <c r="I96" i="1"/>
  <c r="E97" i="1" s="1"/>
  <c r="H2901" i="1" l="1"/>
  <c r="J2901" i="1"/>
  <c r="G2901" i="1" s="1"/>
  <c r="F2901" i="1"/>
  <c r="I2771" i="1"/>
  <c r="E2772" i="1" s="1"/>
  <c r="I2493" i="1"/>
  <c r="E2494" i="1" s="1"/>
  <c r="C2565" i="1"/>
  <c r="D2565" i="1" s="1"/>
  <c r="B2566" i="1"/>
  <c r="C1391" i="1"/>
  <c r="D1391" i="1" s="1"/>
  <c r="B1392" i="1"/>
  <c r="H1314" i="1"/>
  <c r="J1314" i="1"/>
  <c r="G1314" i="1" s="1"/>
  <c r="F1314" i="1"/>
  <c r="B914" i="1"/>
  <c r="C913" i="1"/>
  <c r="D913" i="1" s="1"/>
  <c r="I841" i="1"/>
  <c r="E842" i="1" s="1"/>
  <c r="H97" i="1"/>
  <c r="J97" i="1"/>
  <c r="G97" i="1" s="1"/>
  <c r="F97" i="1"/>
  <c r="C177" i="1"/>
  <c r="D177" i="1" s="1"/>
  <c r="B178" i="1"/>
  <c r="I2901" i="1" l="1"/>
  <c r="E2902" i="1" s="1"/>
  <c r="J2772" i="1"/>
  <c r="G2772" i="1" s="1"/>
  <c r="H2772" i="1"/>
  <c r="F2772" i="1"/>
  <c r="B2567" i="1"/>
  <c r="C2566" i="1"/>
  <c r="D2566" i="1" s="1"/>
  <c r="H2494" i="1"/>
  <c r="J2494" i="1"/>
  <c r="G2494" i="1" s="1"/>
  <c r="F2494" i="1"/>
  <c r="I1314" i="1"/>
  <c r="E1315" i="1" s="1"/>
  <c r="B1393" i="1"/>
  <c r="C1392" i="1"/>
  <c r="D1392" i="1" s="1"/>
  <c r="J842" i="1"/>
  <c r="G842" i="1" s="1"/>
  <c r="H842" i="1"/>
  <c r="F842" i="1"/>
  <c r="C914" i="1"/>
  <c r="D914" i="1" s="1"/>
  <c r="B915" i="1"/>
  <c r="C178" i="1"/>
  <c r="D178" i="1" s="1"/>
  <c r="B179" i="1"/>
  <c r="I97" i="1"/>
  <c r="E98" i="1" s="1"/>
  <c r="H2902" i="1" l="1"/>
  <c r="J2902" i="1"/>
  <c r="G2902" i="1" s="1"/>
  <c r="F2902" i="1"/>
  <c r="I2772" i="1"/>
  <c r="E2773" i="1" s="1"/>
  <c r="I2494" i="1"/>
  <c r="E2495" i="1" s="1"/>
  <c r="B2568" i="1"/>
  <c r="C2567" i="1"/>
  <c r="D2567" i="1" s="1"/>
  <c r="C1393" i="1"/>
  <c r="D1393" i="1" s="1"/>
  <c r="B1394" i="1"/>
  <c r="H1315" i="1"/>
  <c r="J1315" i="1"/>
  <c r="G1315" i="1" s="1"/>
  <c r="F1315" i="1"/>
  <c r="B916" i="1"/>
  <c r="C915" i="1"/>
  <c r="D915" i="1" s="1"/>
  <c r="I842" i="1"/>
  <c r="E843" i="1" s="1"/>
  <c r="J98" i="1"/>
  <c r="G98" i="1" s="1"/>
  <c r="H98" i="1"/>
  <c r="F98" i="1"/>
  <c r="C179" i="1"/>
  <c r="D179" i="1" s="1"/>
  <c r="B180" i="1"/>
  <c r="I2902" i="1" l="1"/>
  <c r="E2903" i="1" s="1"/>
  <c r="J2773" i="1"/>
  <c r="G2773" i="1" s="1"/>
  <c r="H2773" i="1"/>
  <c r="F2773" i="1"/>
  <c r="C2568" i="1"/>
  <c r="D2568" i="1" s="1"/>
  <c r="B2569" i="1"/>
  <c r="H2495" i="1"/>
  <c r="J2495" i="1"/>
  <c r="G2495" i="1" s="1"/>
  <c r="F2495" i="1"/>
  <c r="I1315" i="1"/>
  <c r="E1316" i="1" s="1"/>
  <c r="B1395" i="1"/>
  <c r="C1394" i="1"/>
  <c r="D1394" i="1" s="1"/>
  <c r="J843" i="1"/>
  <c r="G843" i="1" s="1"/>
  <c r="H843" i="1"/>
  <c r="I843" i="1" s="1"/>
  <c r="E844" i="1" s="1"/>
  <c r="F843" i="1"/>
  <c r="B917" i="1"/>
  <c r="C916" i="1"/>
  <c r="D916" i="1" s="1"/>
  <c r="C180" i="1"/>
  <c r="D180" i="1" s="1"/>
  <c r="B181" i="1"/>
  <c r="I98" i="1"/>
  <c r="E99" i="1" s="1"/>
  <c r="J2903" i="1" l="1"/>
  <c r="G2903" i="1" s="1"/>
  <c r="H2903" i="1"/>
  <c r="F2903" i="1"/>
  <c r="I2773" i="1"/>
  <c r="E2774" i="1" s="1"/>
  <c r="C2569" i="1"/>
  <c r="D2569" i="1" s="1"/>
  <c r="B2570" i="1"/>
  <c r="I2495" i="1"/>
  <c r="E2496" i="1" s="1"/>
  <c r="J1316" i="1"/>
  <c r="G1316" i="1" s="1"/>
  <c r="H1316" i="1"/>
  <c r="F1316" i="1"/>
  <c r="C1395" i="1"/>
  <c r="D1395" i="1" s="1"/>
  <c r="B1396" i="1"/>
  <c r="J844" i="1"/>
  <c r="G844" i="1" s="1"/>
  <c r="H844" i="1"/>
  <c r="F844" i="1"/>
  <c r="C917" i="1"/>
  <c r="D917" i="1" s="1"/>
  <c r="B918" i="1"/>
  <c r="F99" i="1"/>
  <c r="H99" i="1"/>
  <c r="J99" i="1"/>
  <c r="G99" i="1" s="1"/>
  <c r="C181" i="1"/>
  <c r="D181" i="1" s="1"/>
  <c r="B182" i="1"/>
  <c r="I2903" i="1" l="1"/>
  <c r="E2904" i="1" s="1"/>
  <c r="H2774" i="1"/>
  <c r="J2774" i="1"/>
  <c r="G2774" i="1" s="1"/>
  <c r="F2774" i="1"/>
  <c r="J2496" i="1"/>
  <c r="G2496" i="1" s="1"/>
  <c r="H2496" i="1"/>
  <c r="I2496" i="1" s="1"/>
  <c r="E2497" i="1" s="1"/>
  <c r="F2496" i="1"/>
  <c r="C2570" i="1"/>
  <c r="D2570" i="1" s="1"/>
  <c r="B2571" i="1"/>
  <c r="C1396" i="1"/>
  <c r="D1396" i="1" s="1"/>
  <c r="B1397" i="1"/>
  <c r="I1316" i="1"/>
  <c r="E1317" i="1" s="1"/>
  <c r="B919" i="1"/>
  <c r="C918" i="1"/>
  <c r="D918" i="1" s="1"/>
  <c r="I844" i="1"/>
  <c r="E845" i="1" s="1"/>
  <c r="C182" i="1"/>
  <c r="D182" i="1" s="1"/>
  <c r="B183" i="1"/>
  <c r="I99" i="1"/>
  <c r="E100" i="1" s="1"/>
  <c r="J2904" i="1" l="1"/>
  <c r="G2904" i="1" s="1"/>
  <c r="H2904" i="1"/>
  <c r="I2904" i="1" s="1"/>
  <c r="E2905" i="1" s="1"/>
  <c r="F2904" i="1"/>
  <c r="I2774" i="1"/>
  <c r="E2775" i="1" s="1"/>
  <c r="H2497" i="1"/>
  <c r="J2497" i="1"/>
  <c r="G2497" i="1" s="1"/>
  <c r="F2497" i="1"/>
  <c r="B2572" i="1"/>
  <c r="C2571" i="1"/>
  <c r="D2571" i="1" s="1"/>
  <c r="H1317" i="1"/>
  <c r="J1317" i="1"/>
  <c r="G1317" i="1" s="1"/>
  <c r="F1317" i="1"/>
  <c r="C1397" i="1"/>
  <c r="D1397" i="1" s="1"/>
  <c r="B1398" i="1"/>
  <c r="J845" i="1"/>
  <c r="G845" i="1" s="1"/>
  <c r="H845" i="1"/>
  <c r="F845" i="1"/>
  <c r="C919" i="1"/>
  <c r="D919" i="1" s="1"/>
  <c r="B920" i="1"/>
  <c r="F100" i="1"/>
  <c r="H100" i="1"/>
  <c r="J100" i="1"/>
  <c r="G100" i="1" s="1"/>
  <c r="C183" i="1"/>
  <c r="D183" i="1" s="1"/>
  <c r="B184" i="1"/>
  <c r="H2905" i="1" l="1"/>
  <c r="J2905" i="1"/>
  <c r="G2905" i="1" s="1"/>
  <c r="F2905" i="1"/>
  <c r="H2775" i="1"/>
  <c r="J2775" i="1"/>
  <c r="G2775" i="1" s="1"/>
  <c r="F2775" i="1"/>
  <c r="C2572" i="1"/>
  <c r="D2572" i="1" s="1"/>
  <c r="B2573" i="1"/>
  <c r="I2497" i="1"/>
  <c r="E2498" i="1" s="1"/>
  <c r="B1399" i="1"/>
  <c r="C1398" i="1"/>
  <c r="D1398" i="1" s="1"/>
  <c r="I1317" i="1"/>
  <c r="E1318" i="1" s="1"/>
  <c r="C920" i="1"/>
  <c r="D920" i="1" s="1"/>
  <c r="B921" i="1"/>
  <c r="I845" i="1"/>
  <c r="E846" i="1" s="1"/>
  <c r="C184" i="1"/>
  <c r="D184" i="1" s="1"/>
  <c r="B185" i="1"/>
  <c r="I100" i="1"/>
  <c r="E101" i="1" s="1"/>
  <c r="I2905" i="1" l="1"/>
  <c r="E2906" i="1" s="1"/>
  <c r="I2775" i="1"/>
  <c r="E2776" i="1" s="1"/>
  <c r="H2498" i="1"/>
  <c r="J2498" i="1"/>
  <c r="G2498" i="1" s="1"/>
  <c r="F2498" i="1"/>
  <c r="B2574" i="1"/>
  <c r="C2573" i="1"/>
  <c r="D2573" i="1" s="1"/>
  <c r="H1318" i="1"/>
  <c r="J1318" i="1"/>
  <c r="G1318" i="1" s="1"/>
  <c r="F1318" i="1"/>
  <c r="C1399" i="1"/>
  <c r="D1399" i="1" s="1"/>
  <c r="B1400" i="1"/>
  <c r="J846" i="1"/>
  <c r="G846" i="1" s="1"/>
  <c r="H846" i="1"/>
  <c r="F846" i="1"/>
  <c r="C921" i="1"/>
  <c r="D921" i="1" s="1"/>
  <c r="B922" i="1"/>
  <c r="F101" i="1"/>
  <c r="H101" i="1"/>
  <c r="J101" i="1"/>
  <c r="G101" i="1" s="1"/>
  <c r="C185" i="1"/>
  <c r="D185" i="1" s="1"/>
  <c r="B186" i="1"/>
  <c r="H2906" i="1" l="1"/>
  <c r="J2906" i="1"/>
  <c r="G2906" i="1" s="1"/>
  <c r="F2906" i="1"/>
  <c r="H2776" i="1"/>
  <c r="J2776" i="1"/>
  <c r="G2776" i="1" s="1"/>
  <c r="F2776" i="1"/>
  <c r="B2575" i="1"/>
  <c r="C2574" i="1"/>
  <c r="D2574" i="1" s="1"/>
  <c r="I2498" i="1"/>
  <c r="E2499" i="1" s="1"/>
  <c r="B1401" i="1"/>
  <c r="C1400" i="1"/>
  <c r="D1400" i="1" s="1"/>
  <c r="I1318" i="1"/>
  <c r="E1319" i="1" s="1"/>
  <c r="I846" i="1"/>
  <c r="E847" i="1" s="1"/>
  <c r="B923" i="1"/>
  <c r="C922" i="1"/>
  <c r="D922" i="1" s="1"/>
  <c r="C186" i="1"/>
  <c r="D186" i="1" s="1"/>
  <c r="B187" i="1"/>
  <c r="I101" i="1"/>
  <c r="E102" i="1" s="1"/>
  <c r="I2906" i="1" l="1"/>
  <c r="E2907" i="1" s="1"/>
  <c r="I2776" i="1"/>
  <c r="E2777" i="1" s="1"/>
  <c r="J2499" i="1"/>
  <c r="G2499" i="1" s="1"/>
  <c r="H2499" i="1"/>
  <c r="F2499" i="1"/>
  <c r="C2575" i="1"/>
  <c r="D2575" i="1" s="1"/>
  <c r="B2576" i="1"/>
  <c r="J1319" i="1"/>
  <c r="G1319" i="1" s="1"/>
  <c r="H1319" i="1"/>
  <c r="F1319" i="1"/>
  <c r="C1401" i="1"/>
  <c r="D1401" i="1" s="1"/>
  <c r="B1402" i="1"/>
  <c r="J847" i="1"/>
  <c r="G847" i="1" s="1"/>
  <c r="H847" i="1"/>
  <c r="I847" i="1" s="1"/>
  <c r="E848" i="1" s="1"/>
  <c r="F847" i="1"/>
  <c r="B924" i="1"/>
  <c r="C923" i="1"/>
  <c r="D923" i="1" s="1"/>
  <c r="H102" i="1"/>
  <c r="J102" i="1"/>
  <c r="G102" i="1" s="1"/>
  <c r="F102" i="1"/>
  <c r="C187" i="1"/>
  <c r="D187" i="1" s="1"/>
  <c r="B188" i="1"/>
  <c r="J2907" i="1" l="1"/>
  <c r="G2907" i="1" s="1"/>
  <c r="H2907" i="1"/>
  <c r="F2907" i="1"/>
  <c r="H2777" i="1"/>
  <c r="J2777" i="1"/>
  <c r="G2777" i="1" s="1"/>
  <c r="F2777" i="1"/>
  <c r="C2576" i="1"/>
  <c r="D2576" i="1" s="1"/>
  <c r="B2577" i="1"/>
  <c r="I2499" i="1"/>
  <c r="E2500" i="1" s="1"/>
  <c r="C1402" i="1"/>
  <c r="D1402" i="1" s="1"/>
  <c r="B1403" i="1"/>
  <c r="I1319" i="1"/>
  <c r="E1320" i="1" s="1"/>
  <c r="J848" i="1"/>
  <c r="G848" i="1" s="1"/>
  <c r="H848" i="1"/>
  <c r="F848" i="1"/>
  <c r="C924" i="1"/>
  <c r="D924" i="1" s="1"/>
  <c r="B925" i="1"/>
  <c r="B189" i="1"/>
  <c r="C188" i="1"/>
  <c r="D188" i="1" s="1"/>
  <c r="I102" i="1"/>
  <c r="E103" i="1" s="1"/>
  <c r="I2907" i="1" l="1"/>
  <c r="E2908" i="1" s="1"/>
  <c r="I2777" i="1"/>
  <c r="E2778" i="1" s="1"/>
  <c r="H2500" i="1"/>
  <c r="J2500" i="1"/>
  <c r="G2500" i="1" s="1"/>
  <c r="F2500" i="1"/>
  <c r="B2578" i="1"/>
  <c r="C2577" i="1"/>
  <c r="D2577" i="1" s="1"/>
  <c r="H1320" i="1"/>
  <c r="J1320" i="1"/>
  <c r="G1320" i="1" s="1"/>
  <c r="F1320" i="1"/>
  <c r="B1404" i="1"/>
  <c r="C1403" i="1"/>
  <c r="D1403" i="1" s="1"/>
  <c r="C925" i="1"/>
  <c r="D925" i="1" s="1"/>
  <c r="B926" i="1"/>
  <c r="I848" i="1"/>
  <c r="E849" i="1" s="1"/>
  <c r="J103" i="1"/>
  <c r="G103" i="1" s="1"/>
  <c r="H103" i="1"/>
  <c r="F103" i="1"/>
  <c r="B190" i="1"/>
  <c r="C189" i="1"/>
  <c r="D189" i="1" s="1"/>
  <c r="H2908" i="1" l="1"/>
  <c r="J2908" i="1"/>
  <c r="G2908" i="1" s="1"/>
  <c r="F2908" i="1"/>
  <c r="H2778" i="1"/>
  <c r="J2778" i="1"/>
  <c r="G2778" i="1" s="1"/>
  <c r="F2778" i="1"/>
  <c r="C2578" i="1"/>
  <c r="D2578" i="1" s="1"/>
  <c r="B2579" i="1"/>
  <c r="I2500" i="1"/>
  <c r="E2501" i="1" s="1"/>
  <c r="C1404" i="1"/>
  <c r="D1404" i="1" s="1"/>
  <c r="B1405" i="1"/>
  <c r="I1320" i="1"/>
  <c r="E1321" i="1" s="1"/>
  <c r="H849" i="1"/>
  <c r="J849" i="1"/>
  <c r="G849" i="1" s="1"/>
  <c r="F849" i="1"/>
  <c r="B927" i="1"/>
  <c r="C926" i="1"/>
  <c r="D926" i="1" s="1"/>
  <c r="C190" i="1"/>
  <c r="D190" i="1" s="1"/>
  <c r="B191" i="1"/>
  <c r="I103" i="1"/>
  <c r="E104" i="1" s="1"/>
  <c r="I2908" i="1" l="1"/>
  <c r="E2909" i="1" s="1"/>
  <c r="I2778" i="1"/>
  <c r="E2779" i="1" s="1"/>
  <c r="H2501" i="1"/>
  <c r="J2501" i="1"/>
  <c r="G2501" i="1" s="1"/>
  <c r="F2501" i="1"/>
  <c r="C2579" i="1"/>
  <c r="D2579" i="1" s="1"/>
  <c r="B2580" i="1"/>
  <c r="H1321" i="1"/>
  <c r="J1321" i="1"/>
  <c r="G1321" i="1" s="1"/>
  <c r="F1321" i="1"/>
  <c r="B1406" i="1"/>
  <c r="C1405" i="1"/>
  <c r="D1405" i="1" s="1"/>
  <c r="C927" i="1"/>
  <c r="D927" i="1" s="1"/>
  <c r="B928" i="1"/>
  <c r="I849" i="1"/>
  <c r="E850" i="1" s="1"/>
  <c r="H104" i="1"/>
  <c r="J104" i="1"/>
  <c r="G104" i="1" s="1"/>
  <c r="F104" i="1"/>
  <c r="B192" i="1"/>
  <c r="C191" i="1"/>
  <c r="D191" i="1" s="1"/>
  <c r="H2909" i="1" l="1"/>
  <c r="J2909" i="1"/>
  <c r="G2909" i="1" s="1"/>
  <c r="F2909" i="1"/>
  <c r="H2779" i="1"/>
  <c r="J2779" i="1"/>
  <c r="G2779" i="1" s="1"/>
  <c r="F2779" i="1"/>
  <c r="C2580" i="1"/>
  <c r="D2580" i="1" s="1"/>
  <c r="B2581" i="1"/>
  <c r="I2501" i="1"/>
  <c r="E2502" i="1" s="1"/>
  <c r="C1406" i="1"/>
  <c r="D1406" i="1" s="1"/>
  <c r="B1407" i="1"/>
  <c r="I1321" i="1"/>
  <c r="E1322" i="1" s="1"/>
  <c r="H850" i="1"/>
  <c r="J850" i="1"/>
  <c r="G850" i="1" s="1"/>
  <c r="F850" i="1"/>
  <c r="B929" i="1"/>
  <c r="C928" i="1"/>
  <c r="D928" i="1" s="1"/>
  <c r="C192" i="1"/>
  <c r="D192" i="1" s="1"/>
  <c r="B193" i="1"/>
  <c r="I104" i="1"/>
  <c r="E105" i="1" s="1"/>
  <c r="I2909" i="1" l="1"/>
  <c r="E2910" i="1" s="1"/>
  <c r="I2779" i="1"/>
  <c r="B2582" i="1"/>
  <c r="C2581" i="1"/>
  <c r="D2581" i="1" s="1"/>
  <c r="H2502" i="1"/>
  <c r="J2502" i="1"/>
  <c r="G2502" i="1" s="1"/>
  <c r="F2502" i="1"/>
  <c r="J1322" i="1"/>
  <c r="G1322" i="1" s="1"/>
  <c r="H1322" i="1"/>
  <c r="F1322" i="1"/>
  <c r="C1407" i="1"/>
  <c r="D1407" i="1" s="1"/>
  <c r="B1408" i="1"/>
  <c r="C929" i="1"/>
  <c r="D929" i="1" s="1"/>
  <c r="B930" i="1"/>
  <c r="I850" i="1"/>
  <c r="E851" i="1" s="1"/>
  <c r="H105" i="1"/>
  <c r="J105" i="1"/>
  <c r="G105" i="1" s="1"/>
  <c r="F105" i="1"/>
  <c r="C193" i="1"/>
  <c r="D193" i="1" s="1"/>
  <c r="B194" i="1"/>
  <c r="H2910" i="1" l="1"/>
  <c r="J2910" i="1"/>
  <c r="G2910" i="1" s="1"/>
  <c r="F2910" i="1"/>
  <c r="I2502" i="1"/>
  <c r="E2503" i="1" s="1"/>
  <c r="C2582" i="1"/>
  <c r="D2582" i="1" s="1"/>
  <c r="B2583" i="1"/>
  <c r="B1409" i="1"/>
  <c r="C1408" i="1"/>
  <c r="D1408" i="1" s="1"/>
  <c r="I1322" i="1"/>
  <c r="E1323" i="1" s="1"/>
  <c r="H851" i="1"/>
  <c r="J851" i="1"/>
  <c r="G851" i="1" s="1"/>
  <c r="F851" i="1"/>
  <c r="C930" i="1"/>
  <c r="D930" i="1" s="1"/>
  <c r="B931" i="1"/>
  <c r="C194" i="1"/>
  <c r="D194" i="1" s="1"/>
  <c r="B195" i="1"/>
  <c r="I105" i="1"/>
  <c r="E106" i="1" s="1"/>
  <c r="I2910" i="1" l="1"/>
  <c r="E2911" i="1" s="1"/>
  <c r="B2584" i="1"/>
  <c r="C2583" i="1"/>
  <c r="D2583" i="1" s="1"/>
  <c r="J2503" i="1"/>
  <c r="G2503" i="1" s="1"/>
  <c r="H2503" i="1"/>
  <c r="I2503" i="1" s="1"/>
  <c r="E2504" i="1" s="1"/>
  <c r="F2503" i="1"/>
  <c r="H1323" i="1"/>
  <c r="J1323" i="1"/>
  <c r="G1323" i="1" s="1"/>
  <c r="F1323" i="1"/>
  <c r="B1410" i="1"/>
  <c r="C1409" i="1"/>
  <c r="D1409" i="1" s="1"/>
  <c r="C931" i="1"/>
  <c r="D931" i="1" s="1"/>
  <c r="B932" i="1"/>
  <c r="I851" i="1"/>
  <c r="E852" i="1" s="1"/>
  <c r="H106" i="1"/>
  <c r="J106" i="1"/>
  <c r="G106" i="1" s="1"/>
  <c r="F106" i="1"/>
  <c r="C195" i="1"/>
  <c r="D195" i="1" s="1"/>
  <c r="B196" i="1"/>
  <c r="H2911" i="1" l="1"/>
  <c r="J2911" i="1"/>
  <c r="G2911" i="1" s="1"/>
  <c r="F2911" i="1"/>
  <c r="J2504" i="1"/>
  <c r="G2504" i="1" s="1"/>
  <c r="H2504" i="1"/>
  <c r="I2504" i="1" s="1"/>
  <c r="E2505" i="1" s="1"/>
  <c r="F2504" i="1"/>
  <c r="C2584" i="1"/>
  <c r="D2584" i="1" s="1"/>
  <c r="B2585" i="1"/>
  <c r="C1410" i="1"/>
  <c r="D1410" i="1" s="1"/>
  <c r="B1411" i="1"/>
  <c r="I1323" i="1"/>
  <c r="E1324" i="1" s="1"/>
  <c r="J852" i="1"/>
  <c r="G852" i="1" s="1"/>
  <c r="H852" i="1"/>
  <c r="I852" i="1" s="1"/>
  <c r="E853" i="1" s="1"/>
  <c r="F852" i="1"/>
  <c r="B933" i="1"/>
  <c r="C932" i="1"/>
  <c r="D932" i="1" s="1"/>
  <c r="B197" i="1"/>
  <c r="C196" i="1"/>
  <c r="D196" i="1" s="1"/>
  <c r="I106" i="1"/>
  <c r="E107" i="1" s="1"/>
  <c r="I2911" i="1" l="1"/>
  <c r="E2912" i="1" s="1"/>
  <c r="H2505" i="1"/>
  <c r="J2505" i="1"/>
  <c r="G2505" i="1" s="1"/>
  <c r="F2505" i="1"/>
  <c r="C2585" i="1"/>
  <c r="D2585" i="1" s="1"/>
  <c r="B2586" i="1"/>
  <c r="H1324" i="1"/>
  <c r="J1324" i="1"/>
  <c r="G1324" i="1" s="1"/>
  <c r="F1324" i="1"/>
  <c r="C1411" i="1"/>
  <c r="D1411" i="1" s="1"/>
  <c r="B1412" i="1"/>
  <c r="H853" i="1"/>
  <c r="J853" i="1"/>
  <c r="G853" i="1" s="1"/>
  <c r="F853" i="1"/>
  <c r="C933" i="1"/>
  <c r="D933" i="1" s="1"/>
  <c r="B934" i="1"/>
  <c r="J107" i="1"/>
  <c r="G107" i="1" s="1"/>
  <c r="F107" i="1"/>
  <c r="H107" i="1"/>
  <c r="C197" i="1"/>
  <c r="D197" i="1" s="1"/>
  <c r="B198" i="1"/>
  <c r="J2912" i="1" l="1"/>
  <c r="G2912" i="1" s="1"/>
  <c r="H2912" i="1"/>
  <c r="I2912" i="1" s="1"/>
  <c r="E2913" i="1" s="1"/>
  <c r="F2912" i="1"/>
  <c r="I2505" i="1"/>
  <c r="E2506" i="1" s="1"/>
  <c r="C2586" i="1"/>
  <c r="D2586" i="1" s="1"/>
  <c r="B2587" i="1"/>
  <c r="B1413" i="1"/>
  <c r="C1412" i="1"/>
  <c r="D1412" i="1" s="1"/>
  <c r="I1324" i="1"/>
  <c r="E1325" i="1" s="1"/>
  <c r="B935" i="1"/>
  <c r="C934" i="1"/>
  <c r="D934" i="1" s="1"/>
  <c r="I853" i="1"/>
  <c r="E854" i="1" s="1"/>
  <c r="C198" i="1"/>
  <c r="D198" i="1" s="1"/>
  <c r="B199" i="1"/>
  <c r="I107" i="1"/>
  <c r="E108" i="1" s="1"/>
  <c r="H2913" i="1" l="1"/>
  <c r="J2913" i="1"/>
  <c r="G2913" i="1" s="1"/>
  <c r="F2913" i="1"/>
  <c r="C2587" i="1"/>
  <c r="D2587" i="1" s="1"/>
  <c r="B2588" i="1"/>
  <c r="H2506" i="1"/>
  <c r="I2506" i="1" s="1"/>
  <c r="E2507" i="1" s="1"/>
  <c r="J2506" i="1"/>
  <c r="G2506" i="1" s="1"/>
  <c r="F2506" i="1"/>
  <c r="H1325" i="1"/>
  <c r="J1325" i="1"/>
  <c r="G1325" i="1" s="1"/>
  <c r="F1325" i="1"/>
  <c r="B1414" i="1"/>
  <c r="C1413" i="1"/>
  <c r="D1413" i="1" s="1"/>
  <c r="H854" i="1"/>
  <c r="J854" i="1"/>
  <c r="G854" i="1" s="1"/>
  <c r="F854" i="1"/>
  <c r="C935" i="1"/>
  <c r="D935" i="1" s="1"/>
  <c r="B936" i="1"/>
  <c r="J108" i="1"/>
  <c r="G108" i="1" s="1"/>
  <c r="F108" i="1"/>
  <c r="H108" i="1"/>
  <c r="C199" i="1"/>
  <c r="D199" i="1" s="1"/>
  <c r="B200" i="1"/>
  <c r="I2913" i="1" l="1"/>
  <c r="E2914" i="1" s="1"/>
  <c r="J2507" i="1"/>
  <c r="G2507" i="1" s="1"/>
  <c r="H2507" i="1"/>
  <c r="F2507" i="1"/>
  <c r="C2588" i="1"/>
  <c r="D2588" i="1" s="1"/>
  <c r="B2589" i="1"/>
  <c r="C1414" i="1"/>
  <c r="D1414" i="1" s="1"/>
  <c r="B1415" i="1"/>
  <c r="I1325" i="1"/>
  <c r="E1326" i="1" s="1"/>
  <c r="C936" i="1"/>
  <c r="D936" i="1" s="1"/>
  <c r="B937" i="1"/>
  <c r="I854" i="1"/>
  <c r="E855" i="1" s="1"/>
  <c r="C200" i="1"/>
  <c r="D200" i="1" s="1"/>
  <c r="B201" i="1"/>
  <c r="I108" i="1"/>
  <c r="E109" i="1" s="1"/>
  <c r="J2914" i="1" l="1"/>
  <c r="G2914" i="1" s="1"/>
  <c r="H2914" i="1"/>
  <c r="F2914" i="1"/>
  <c r="C2589" i="1"/>
  <c r="D2589" i="1" s="1"/>
  <c r="B2590" i="1"/>
  <c r="I2507" i="1"/>
  <c r="E2508" i="1" s="1"/>
  <c r="C1415" i="1"/>
  <c r="D1415" i="1" s="1"/>
  <c r="B1416" i="1"/>
  <c r="J1326" i="1"/>
  <c r="G1326" i="1" s="1"/>
  <c r="H1326" i="1"/>
  <c r="F1326" i="1"/>
  <c r="C937" i="1"/>
  <c r="D937" i="1" s="1"/>
  <c r="B938" i="1"/>
  <c r="H855" i="1"/>
  <c r="J855" i="1"/>
  <c r="G855" i="1" s="1"/>
  <c r="F855" i="1"/>
  <c r="H109" i="1"/>
  <c r="F109" i="1"/>
  <c r="J109" i="1"/>
  <c r="G109" i="1" s="1"/>
  <c r="C201" i="1"/>
  <c r="D201" i="1" s="1"/>
  <c r="B202" i="1"/>
  <c r="I2914" i="1" l="1"/>
  <c r="E2915" i="1" s="1"/>
  <c r="H2508" i="1"/>
  <c r="J2508" i="1"/>
  <c r="G2508" i="1" s="1"/>
  <c r="F2508" i="1"/>
  <c r="C2590" i="1"/>
  <c r="D2590" i="1" s="1"/>
  <c r="B2591" i="1"/>
  <c r="B1417" i="1"/>
  <c r="C1416" i="1"/>
  <c r="D1416" i="1" s="1"/>
  <c r="I1326" i="1"/>
  <c r="E1327" i="1" s="1"/>
  <c r="I855" i="1"/>
  <c r="E856" i="1" s="1"/>
  <c r="B939" i="1"/>
  <c r="C938" i="1"/>
  <c r="D938" i="1" s="1"/>
  <c r="B203" i="1"/>
  <c r="C202" i="1"/>
  <c r="D202" i="1" s="1"/>
  <c r="I109" i="1"/>
  <c r="E110" i="1" s="1"/>
  <c r="H2915" i="1" l="1"/>
  <c r="J2915" i="1"/>
  <c r="G2915" i="1" s="1"/>
  <c r="F2915" i="1"/>
  <c r="C2591" i="1"/>
  <c r="D2591" i="1" s="1"/>
  <c r="B2592" i="1"/>
  <c r="I2508" i="1"/>
  <c r="E2509" i="1" s="1"/>
  <c r="J1327" i="1"/>
  <c r="G1327" i="1" s="1"/>
  <c r="H1327" i="1"/>
  <c r="I1327" i="1" s="1"/>
  <c r="E1328" i="1" s="1"/>
  <c r="F1327" i="1"/>
  <c r="C1417" i="1"/>
  <c r="D1417" i="1" s="1"/>
  <c r="B1418" i="1"/>
  <c r="B940" i="1"/>
  <c r="C939" i="1"/>
  <c r="D939" i="1" s="1"/>
  <c r="H856" i="1"/>
  <c r="I856" i="1" s="1"/>
  <c r="E857" i="1" s="1"/>
  <c r="J856" i="1"/>
  <c r="G856" i="1" s="1"/>
  <c r="F856" i="1"/>
  <c r="F110" i="1"/>
  <c r="H110" i="1"/>
  <c r="J110" i="1"/>
  <c r="G110" i="1" s="1"/>
  <c r="C203" i="1"/>
  <c r="D203" i="1" s="1"/>
  <c r="B204" i="1"/>
  <c r="I2915" i="1" l="1"/>
  <c r="E2916" i="1" s="1"/>
  <c r="H2509" i="1"/>
  <c r="J2509" i="1"/>
  <c r="G2509" i="1" s="1"/>
  <c r="F2509" i="1"/>
  <c r="C2592" i="1"/>
  <c r="D2592" i="1" s="1"/>
  <c r="B2593" i="1"/>
  <c r="H1328" i="1"/>
  <c r="J1328" i="1"/>
  <c r="G1328" i="1" s="1"/>
  <c r="F1328" i="1"/>
  <c r="C1418" i="1"/>
  <c r="D1418" i="1" s="1"/>
  <c r="B1419" i="1"/>
  <c r="J857" i="1"/>
  <c r="G857" i="1" s="1"/>
  <c r="H857" i="1"/>
  <c r="F857" i="1"/>
  <c r="B941" i="1"/>
  <c r="C940" i="1"/>
  <c r="D940" i="1" s="1"/>
  <c r="C204" i="1"/>
  <c r="D204" i="1" s="1"/>
  <c r="B205" i="1"/>
  <c r="I110" i="1"/>
  <c r="E111" i="1" s="1"/>
  <c r="H2916" i="1" l="1"/>
  <c r="J2916" i="1"/>
  <c r="G2916" i="1" s="1"/>
  <c r="F2916" i="1"/>
  <c r="C2593" i="1"/>
  <c r="D2593" i="1" s="1"/>
  <c r="B2594" i="1"/>
  <c r="I2509" i="1"/>
  <c r="E2510" i="1" s="1"/>
  <c r="B1420" i="1"/>
  <c r="C1419" i="1"/>
  <c r="D1419" i="1" s="1"/>
  <c r="I1328" i="1"/>
  <c r="E1329" i="1" s="1"/>
  <c r="C941" i="1"/>
  <c r="D941" i="1" s="1"/>
  <c r="B942" i="1"/>
  <c r="I857" i="1"/>
  <c r="E858" i="1" s="1"/>
  <c r="H111" i="1"/>
  <c r="F111" i="1"/>
  <c r="J111" i="1"/>
  <c r="G111" i="1" s="1"/>
  <c r="C205" i="1"/>
  <c r="D205" i="1" s="1"/>
  <c r="B206" i="1"/>
  <c r="I2916" i="1" l="1"/>
  <c r="E2917" i="1" s="1"/>
  <c r="C2594" i="1"/>
  <c r="D2594" i="1" s="1"/>
  <c r="B2595" i="1"/>
  <c r="J2510" i="1"/>
  <c r="G2510" i="1" s="1"/>
  <c r="H2510" i="1"/>
  <c r="F2510" i="1"/>
  <c r="H1329" i="1"/>
  <c r="J1329" i="1"/>
  <c r="G1329" i="1" s="1"/>
  <c r="F1329" i="1"/>
  <c r="B1421" i="1"/>
  <c r="C1420" i="1"/>
  <c r="D1420" i="1" s="1"/>
  <c r="H858" i="1"/>
  <c r="J858" i="1"/>
  <c r="G858" i="1" s="1"/>
  <c r="F858" i="1"/>
  <c r="C942" i="1"/>
  <c r="D942" i="1" s="1"/>
  <c r="B943" i="1"/>
  <c r="C206" i="1"/>
  <c r="D206" i="1" s="1"/>
  <c r="B207" i="1"/>
  <c r="I111" i="1"/>
  <c r="E112" i="1" s="1"/>
  <c r="H2917" i="1" l="1"/>
  <c r="J2917" i="1"/>
  <c r="G2917" i="1" s="1"/>
  <c r="F2917" i="1"/>
  <c r="I2510" i="1"/>
  <c r="E2511" i="1" s="1"/>
  <c r="C2595" i="1"/>
  <c r="D2595" i="1" s="1"/>
  <c r="B2596" i="1"/>
  <c r="C1421" i="1"/>
  <c r="D1421" i="1" s="1"/>
  <c r="B1422" i="1"/>
  <c r="I1329" i="1"/>
  <c r="E1330" i="1" s="1"/>
  <c r="B944" i="1"/>
  <c r="C943" i="1"/>
  <c r="D943" i="1" s="1"/>
  <c r="I858" i="1"/>
  <c r="E859" i="1" s="1"/>
  <c r="J112" i="1"/>
  <c r="G112" i="1" s="1"/>
  <c r="F112" i="1"/>
  <c r="H112" i="1"/>
  <c r="C207" i="1"/>
  <c r="D207" i="1" s="1"/>
  <c r="B208" i="1"/>
  <c r="I2917" i="1" l="1"/>
  <c r="E2918" i="1" s="1"/>
  <c r="C2596" i="1"/>
  <c r="D2596" i="1" s="1"/>
  <c r="B2597" i="1"/>
  <c r="H2511" i="1"/>
  <c r="J2511" i="1"/>
  <c r="G2511" i="1" s="1"/>
  <c r="F2511" i="1"/>
  <c r="J1330" i="1"/>
  <c r="G1330" i="1" s="1"/>
  <c r="H1330" i="1"/>
  <c r="F1330" i="1"/>
  <c r="C1422" i="1"/>
  <c r="D1422" i="1" s="1"/>
  <c r="B1423" i="1"/>
  <c r="H859" i="1"/>
  <c r="J859" i="1"/>
  <c r="G859" i="1" s="1"/>
  <c r="F859" i="1"/>
  <c r="B945" i="1"/>
  <c r="C944" i="1"/>
  <c r="D944" i="1" s="1"/>
  <c r="C208" i="1"/>
  <c r="D208" i="1" s="1"/>
  <c r="B209" i="1"/>
  <c r="I112" i="1"/>
  <c r="E113" i="1" s="1"/>
  <c r="H2918" i="1" l="1"/>
  <c r="J2918" i="1"/>
  <c r="G2918" i="1" s="1"/>
  <c r="F2918" i="1"/>
  <c r="C2597" i="1"/>
  <c r="D2597" i="1" s="1"/>
  <c r="B2598" i="1"/>
  <c r="I2511" i="1"/>
  <c r="E2512" i="1" s="1"/>
  <c r="C1423" i="1"/>
  <c r="D1423" i="1" s="1"/>
  <c r="B1424" i="1"/>
  <c r="I1330" i="1"/>
  <c r="E1331" i="1" s="1"/>
  <c r="C945" i="1"/>
  <c r="D945" i="1" s="1"/>
  <c r="B946" i="1"/>
  <c r="I859" i="1"/>
  <c r="E860" i="1" s="1"/>
  <c r="F113" i="1"/>
  <c r="H113" i="1"/>
  <c r="J113" i="1"/>
  <c r="G113" i="1" s="1"/>
  <c r="B210" i="1"/>
  <c r="C209" i="1"/>
  <c r="D209" i="1" s="1"/>
  <c r="I2918" i="1" l="1"/>
  <c r="E2919" i="1" s="1"/>
  <c r="H2512" i="1"/>
  <c r="J2512" i="1"/>
  <c r="G2512" i="1" s="1"/>
  <c r="F2512" i="1"/>
  <c r="C2598" i="1"/>
  <c r="D2598" i="1" s="1"/>
  <c r="B2599" i="1"/>
  <c r="H1331" i="1"/>
  <c r="J1331" i="1"/>
  <c r="G1331" i="1" s="1"/>
  <c r="F1331" i="1"/>
  <c r="C1424" i="1"/>
  <c r="D1424" i="1" s="1"/>
  <c r="B1425" i="1"/>
  <c r="J860" i="1"/>
  <c r="G860" i="1" s="1"/>
  <c r="H860" i="1"/>
  <c r="F860" i="1"/>
  <c r="B947" i="1"/>
  <c r="C946" i="1"/>
  <c r="D946" i="1" s="1"/>
  <c r="B211" i="1"/>
  <c r="C210" i="1"/>
  <c r="D210" i="1" s="1"/>
  <c r="I113" i="1"/>
  <c r="E114" i="1" s="1"/>
  <c r="H2919" i="1" l="1"/>
  <c r="J2919" i="1"/>
  <c r="G2919" i="1" s="1"/>
  <c r="F2919" i="1"/>
  <c r="C2599" i="1"/>
  <c r="D2599" i="1" s="1"/>
  <c r="B2600" i="1"/>
  <c r="I2512" i="1"/>
  <c r="E2513" i="1" s="1"/>
  <c r="B1426" i="1"/>
  <c r="C1425" i="1"/>
  <c r="D1425" i="1" s="1"/>
  <c r="I1331" i="1"/>
  <c r="E1332" i="1" s="1"/>
  <c r="B948" i="1"/>
  <c r="C947" i="1"/>
  <c r="D947" i="1" s="1"/>
  <c r="I860" i="1"/>
  <c r="E861" i="1" s="1"/>
  <c r="J114" i="1"/>
  <c r="G114" i="1" s="1"/>
  <c r="H114" i="1"/>
  <c r="F114" i="1"/>
  <c r="C211" i="1"/>
  <c r="D211" i="1" s="1"/>
  <c r="B212" i="1"/>
  <c r="I2919" i="1" l="1"/>
  <c r="E2920" i="1" s="1"/>
  <c r="C2600" i="1"/>
  <c r="D2600" i="1" s="1"/>
  <c r="B2601" i="1"/>
  <c r="H2513" i="1"/>
  <c r="J2513" i="1"/>
  <c r="G2513" i="1" s="1"/>
  <c r="F2513" i="1"/>
  <c r="H1332" i="1"/>
  <c r="J1332" i="1"/>
  <c r="G1332" i="1" s="1"/>
  <c r="F1332" i="1"/>
  <c r="C1426" i="1"/>
  <c r="D1426" i="1" s="1"/>
  <c r="B1427" i="1"/>
  <c r="H861" i="1"/>
  <c r="J861" i="1"/>
  <c r="G861" i="1" s="1"/>
  <c r="F861" i="1"/>
  <c r="C948" i="1"/>
  <c r="D948" i="1" s="1"/>
  <c r="B949" i="1"/>
  <c r="C212" i="1"/>
  <c r="D212" i="1" s="1"/>
  <c r="B213" i="1"/>
  <c r="I114" i="1"/>
  <c r="E115" i="1" s="1"/>
  <c r="H2920" i="1" l="1"/>
  <c r="J2920" i="1"/>
  <c r="G2920" i="1" s="1"/>
  <c r="F2920" i="1"/>
  <c r="I2513" i="1"/>
  <c r="E2514" i="1" s="1"/>
  <c r="C2601" i="1"/>
  <c r="D2601" i="1" s="1"/>
  <c r="B2602" i="1"/>
  <c r="C1427" i="1"/>
  <c r="D1427" i="1" s="1"/>
  <c r="B1428" i="1"/>
  <c r="I1332" i="1"/>
  <c r="E1333" i="1" s="1"/>
  <c r="C949" i="1"/>
  <c r="D949" i="1" s="1"/>
  <c r="B950" i="1"/>
  <c r="I861" i="1"/>
  <c r="E862" i="1" s="1"/>
  <c r="C213" i="1"/>
  <c r="D213" i="1" s="1"/>
  <c r="B214" i="1"/>
  <c r="J115" i="1"/>
  <c r="G115" i="1" s="1"/>
  <c r="H115" i="1"/>
  <c r="F115" i="1"/>
  <c r="I2920" i="1" l="1"/>
  <c r="E2921" i="1" s="1"/>
  <c r="C2602" i="1"/>
  <c r="D2602" i="1" s="1"/>
  <c r="B2603" i="1"/>
  <c r="J2514" i="1"/>
  <c r="G2514" i="1" s="1"/>
  <c r="H2514" i="1"/>
  <c r="I2514" i="1" s="1"/>
  <c r="E2515" i="1" s="1"/>
  <c r="F2514" i="1"/>
  <c r="H1333" i="1"/>
  <c r="J1333" i="1"/>
  <c r="G1333" i="1" s="1"/>
  <c r="F1333" i="1"/>
  <c r="C1428" i="1"/>
  <c r="D1428" i="1" s="1"/>
  <c r="B1429" i="1"/>
  <c r="H862" i="1"/>
  <c r="J862" i="1"/>
  <c r="G862" i="1" s="1"/>
  <c r="F862" i="1"/>
  <c r="B951" i="1"/>
  <c r="C950" i="1"/>
  <c r="D950" i="1" s="1"/>
  <c r="I115" i="1"/>
  <c r="E116" i="1" s="1"/>
  <c r="H116" i="1" s="1"/>
  <c r="C214" i="1"/>
  <c r="D214" i="1" s="1"/>
  <c r="B215" i="1"/>
  <c r="H2921" i="1" l="1"/>
  <c r="J2921" i="1"/>
  <c r="G2921" i="1" s="1"/>
  <c r="F2921" i="1"/>
  <c r="J2515" i="1"/>
  <c r="G2515" i="1" s="1"/>
  <c r="H2515" i="1"/>
  <c r="F2515" i="1"/>
  <c r="B2604" i="1"/>
  <c r="C2603" i="1"/>
  <c r="D2603" i="1" s="1"/>
  <c r="B1430" i="1"/>
  <c r="C1429" i="1"/>
  <c r="D1429" i="1" s="1"/>
  <c r="I1333" i="1"/>
  <c r="E1334" i="1" s="1"/>
  <c r="C951" i="1"/>
  <c r="D951" i="1" s="1"/>
  <c r="B952" i="1"/>
  <c r="I862" i="1"/>
  <c r="E863" i="1" s="1"/>
  <c r="F116" i="1"/>
  <c r="J116" i="1"/>
  <c r="G116" i="1" s="1"/>
  <c r="C215" i="1"/>
  <c r="D215" i="1" s="1"/>
  <c r="B216" i="1"/>
  <c r="I2921" i="1" l="1"/>
  <c r="E2922" i="1" s="1"/>
  <c r="I2515" i="1"/>
  <c r="E2516" i="1" s="1"/>
  <c r="C2604" i="1"/>
  <c r="D2604" i="1" s="1"/>
  <c r="B2605" i="1"/>
  <c r="J1334" i="1"/>
  <c r="G1334" i="1" s="1"/>
  <c r="H1334" i="1"/>
  <c r="F1334" i="1"/>
  <c r="C1430" i="1"/>
  <c r="D1430" i="1" s="1"/>
  <c r="B1431" i="1"/>
  <c r="H863" i="1"/>
  <c r="J863" i="1"/>
  <c r="G863" i="1" s="1"/>
  <c r="F863" i="1"/>
  <c r="C952" i="1"/>
  <c r="D952" i="1" s="1"/>
  <c r="B953" i="1"/>
  <c r="I116" i="1"/>
  <c r="E117" i="1" s="1"/>
  <c r="H117" i="1" s="1"/>
  <c r="J117" i="1"/>
  <c r="G117" i="1" s="1"/>
  <c r="F117" i="1"/>
  <c r="C216" i="1"/>
  <c r="D216" i="1" s="1"/>
  <c r="B217" i="1"/>
  <c r="J2922" i="1" l="1"/>
  <c r="G2922" i="1" s="1"/>
  <c r="H2922" i="1"/>
  <c r="I2922" i="1" s="1"/>
  <c r="E2923" i="1" s="1"/>
  <c r="F2922" i="1"/>
  <c r="C2605" i="1"/>
  <c r="D2605" i="1" s="1"/>
  <c r="B2606" i="1"/>
  <c r="H2516" i="1"/>
  <c r="I2516" i="1" s="1"/>
  <c r="E2517" i="1" s="1"/>
  <c r="J2516" i="1"/>
  <c r="G2516" i="1" s="1"/>
  <c r="F2516" i="1"/>
  <c r="I1334" i="1"/>
  <c r="E1335" i="1" s="1"/>
  <c r="C1431" i="1"/>
  <c r="D1431" i="1" s="1"/>
  <c r="B1432" i="1"/>
  <c r="C953" i="1"/>
  <c r="D953" i="1" s="1"/>
  <c r="B954" i="1"/>
  <c r="I863" i="1"/>
  <c r="E864" i="1" s="1"/>
  <c r="C217" i="1"/>
  <c r="D217" i="1" s="1"/>
  <c r="B218" i="1"/>
  <c r="I117" i="1"/>
  <c r="E118" i="1" s="1"/>
  <c r="H2923" i="1" l="1"/>
  <c r="J2923" i="1"/>
  <c r="G2923" i="1" s="1"/>
  <c r="F2923" i="1"/>
  <c r="H2517" i="1"/>
  <c r="J2517" i="1"/>
  <c r="G2517" i="1" s="1"/>
  <c r="F2517" i="1"/>
  <c r="C2606" i="1"/>
  <c r="D2606" i="1" s="1"/>
  <c r="B2607" i="1"/>
  <c r="B1433" i="1"/>
  <c r="C1432" i="1"/>
  <c r="D1432" i="1" s="1"/>
  <c r="J1335" i="1"/>
  <c r="G1335" i="1" s="1"/>
  <c r="H1335" i="1"/>
  <c r="I1335" i="1" s="1"/>
  <c r="E1336" i="1" s="1"/>
  <c r="F1335" i="1"/>
  <c r="J864" i="1"/>
  <c r="G864" i="1" s="1"/>
  <c r="H864" i="1"/>
  <c r="I864" i="1" s="1"/>
  <c r="E865" i="1" s="1"/>
  <c r="F864" i="1"/>
  <c r="C954" i="1"/>
  <c r="D954" i="1" s="1"/>
  <c r="B955" i="1"/>
  <c r="H118" i="1"/>
  <c r="J118" i="1"/>
  <c r="G118" i="1" s="1"/>
  <c r="F118" i="1"/>
  <c r="C218" i="1"/>
  <c r="D218" i="1" s="1"/>
  <c r="B219" i="1"/>
  <c r="I2923" i="1" l="1"/>
  <c r="E2924" i="1" s="1"/>
  <c r="C2607" i="1"/>
  <c r="D2607" i="1" s="1"/>
  <c r="B2608" i="1"/>
  <c r="I2517" i="1"/>
  <c r="E2518" i="1" s="1"/>
  <c r="H1336" i="1"/>
  <c r="J1336" i="1"/>
  <c r="G1336" i="1" s="1"/>
  <c r="F1336" i="1"/>
  <c r="B1434" i="1"/>
  <c r="C1433" i="1"/>
  <c r="D1433" i="1" s="1"/>
  <c r="J865" i="1"/>
  <c r="G865" i="1" s="1"/>
  <c r="H865" i="1"/>
  <c r="F865" i="1"/>
  <c r="C955" i="1"/>
  <c r="D955" i="1" s="1"/>
  <c r="B956" i="1"/>
  <c r="C219" i="1"/>
  <c r="D219" i="1" s="1"/>
  <c r="B220" i="1"/>
  <c r="I118" i="1"/>
  <c r="E119" i="1" s="1"/>
  <c r="H2924" i="1" l="1"/>
  <c r="J2924" i="1"/>
  <c r="G2924" i="1" s="1"/>
  <c r="F2924" i="1"/>
  <c r="J2518" i="1"/>
  <c r="G2518" i="1" s="1"/>
  <c r="H2518" i="1"/>
  <c r="I2518" i="1" s="1"/>
  <c r="E2519" i="1" s="1"/>
  <c r="F2518" i="1"/>
  <c r="C2608" i="1"/>
  <c r="D2608" i="1" s="1"/>
  <c r="B2609" i="1"/>
  <c r="C1434" i="1"/>
  <c r="D1434" i="1" s="1"/>
  <c r="B1435" i="1"/>
  <c r="I1336" i="1"/>
  <c r="E1337" i="1" s="1"/>
  <c r="C956" i="1"/>
  <c r="D956" i="1" s="1"/>
  <c r="B957" i="1"/>
  <c r="I865" i="1"/>
  <c r="E866" i="1" s="1"/>
  <c r="J119" i="1"/>
  <c r="G119" i="1" s="1"/>
  <c r="H119" i="1"/>
  <c r="F119" i="1"/>
  <c r="C220" i="1"/>
  <c r="D220" i="1" s="1"/>
  <c r="B221" i="1"/>
  <c r="I2924" i="1" l="1"/>
  <c r="E2925" i="1" s="1"/>
  <c r="H2519" i="1"/>
  <c r="J2519" i="1"/>
  <c r="G2519" i="1" s="1"/>
  <c r="F2519" i="1"/>
  <c r="C2609" i="1"/>
  <c r="D2609" i="1" s="1"/>
  <c r="B2610" i="1"/>
  <c r="B1436" i="1"/>
  <c r="C1435" i="1"/>
  <c r="D1435" i="1" s="1"/>
  <c r="H1337" i="1"/>
  <c r="J1337" i="1"/>
  <c r="G1337" i="1" s="1"/>
  <c r="F1337" i="1"/>
  <c r="H866" i="1"/>
  <c r="J866" i="1"/>
  <c r="G866" i="1" s="1"/>
  <c r="F866" i="1"/>
  <c r="C957" i="1"/>
  <c r="D957" i="1" s="1"/>
  <c r="B958" i="1"/>
  <c r="C221" i="1"/>
  <c r="D221" i="1" s="1"/>
  <c r="B222" i="1"/>
  <c r="I119" i="1"/>
  <c r="E120" i="1" s="1"/>
  <c r="H2925" i="1" l="1"/>
  <c r="J2925" i="1"/>
  <c r="G2925" i="1" s="1"/>
  <c r="F2925" i="1"/>
  <c r="C2610" i="1"/>
  <c r="D2610" i="1" s="1"/>
  <c r="B2611" i="1"/>
  <c r="I2519" i="1"/>
  <c r="E2520" i="1" s="1"/>
  <c r="I1337" i="1"/>
  <c r="E1338" i="1" s="1"/>
  <c r="B1437" i="1"/>
  <c r="C1436" i="1"/>
  <c r="D1436" i="1" s="1"/>
  <c r="C958" i="1"/>
  <c r="D958" i="1" s="1"/>
  <c r="B959" i="1"/>
  <c r="I866" i="1"/>
  <c r="E867" i="1" s="1"/>
  <c r="H120" i="1"/>
  <c r="J120" i="1"/>
  <c r="G120" i="1" s="1"/>
  <c r="F120" i="1"/>
  <c r="C222" i="1"/>
  <c r="D222" i="1" s="1"/>
  <c r="B223" i="1"/>
  <c r="I2925" i="1" l="1"/>
  <c r="E2926" i="1" s="1"/>
  <c r="H2520" i="1"/>
  <c r="J2520" i="1"/>
  <c r="G2520" i="1" s="1"/>
  <c r="F2520" i="1"/>
  <c r="C2611" i="1"/>
  <c r="D2611" i="1" s="1"/>
  <c r="B2612" i="1"/>
  <c r="J1338" i="1"/>
  <c r="G1338" i="1" s="1"/>
  <c r="H1338" i="1"/>
  <c r="F1338" i="1"/>
  <c r="B1438" i="1"/>
  <c r="C1437" i="1"/>
  <c r="D1437" i="1" s="1"/>
  <c r="H867" i="1"/>
  <c r="J867" i="1"/>
  <c r="G867" i="1" s="1"/>
  <c r="F867" i="1"/>
  <c r="C959" i="1"/>
  <c r="D959" i="1" s="1"/>
  <c r="B960" i="1"/>
  <c r="C223" i="1"/>
  <c r="D223" i="1" s="1"/>
  <c r="B224" i="1"/>
  <c r="I120" i="1"/>
  <c r="E121" i="1" s="1"/>
  <c r="J2926" i="1" l="1"/>
  <c r="G2926" i="1" s="1"/>
  <c r="H2926" i="1"/>
  <c r="F2926" i="1"/>
  <c r="C2612" i="1"/>
  <c r="D2612" i="1" s="1"/>
  <c r="B2613" i="1"/>
  <c r="I2520" i="1"/>
  <c r="E2521" i="1" s="1"/>
  <c r="C1438" i="1"/>
  <c r="D1438" i="1" s="1"/>
  <c r="B1439" i="1"/>
  <c r="I1338" i="1"/>
  <c r="E1339" i="1" s="1"/>
  <c r="C960" i="1"/>
  <c r="D960" i="1" s="1"/>
  <c r="B961" i="1"/>
  <c r="I867" i="1"/>
  <c r="E868" i="1" s="1"/>
  <c r="J121" i="1"/>
  <c r="G121" i="1" s="1"/>
  <c r="H121" i="1"/>
  <c r="F121" i="1"/>
  <c r="C224" i="1"/>
  <c r="D224" i="1" s="1"/>
  <c r="B225" i="1"/>
  <c r="I2926" i="1" l="1"/>
  <c r="E2927" i="1" s="1"/>
  <c r="H2521" i="1"/>
  <c r="J2521" i="1"/>
  <c r="G2521" i="1" s="1"/>
  <c r="F2521" i="1"/>
  <c r="C2613" i="1"/>
  <c r="D2613" i="1" s="1"/>
  <c r="B2614" i="1"/>
  <c r="H1339" i="1"/>
  <c r="J1339" i="1"/>
  <c r="G1339" i="1" s="1"/>
  <c r="F1339" i="1"/>
  <c r="C1439" i="1"/>
  <c r="D1439" i="1" s="1"/>
  <c r="B1440" i="1"/>
  <c r="J868" i="1"/>
  <c r="G868" i="1" s="1"/>
  <c r="H868" i="1"/>
  <c r="F868" i="1"/>
  <c r="C961" i="1"/>
  <c r="D961" i="1" s="1"/>
  <c r="B962" i="1"/>
  <c r="C225" i="1"/>
  <c r="D225" i="1" s="1"/>
  <c r="B226" i="1"/>
  <c r="I121" i="1"/>
  <c r="E122" i="1" s="1"/>
  <c r="H2927" i="1" l="1"/>
  <c r="J2927" i="1"/>
  <c r="G2927" i="1" s="1"/>
  <c r="F2927" i="1"/>
  <c r="C2614" i="1"/>
  <c r="D2614" i="1" s="1"/>
  <c r="B2615" i="1"/>
  <c r="I2521" i="1"/>
  <c r="E2522" i="1" s="1"/>
  <c r="B1441" i="1"/>
  <c r="C1440" i="1"/>
  <c r="D1440" i="1" s="1"/>
  <c r="I1339" i="1"/>
  <c r="E1340" i="1" s="1"/>
  <c r="C962" i="1"/>
  <c r="D962" i="1" s="1"/>
  <c r="B963" i="1"/>
  <c r="I868" i="1"/>
  <c r="E869" i="1" s="1"/>
  <c r="B227" i="1"/>
  <c r="C226" i="1"/>
  <c r="D226" i="1" s="1"/>
  <c r="J122" i="1"/>
  <c r="G122" i="1" s="1"/>
  <c r="H122" i="1"/>
  <c r="F122" i="1"/>
  <c r="I2927" i="1" l="1"/>
  <c r="E2928" i="1" s="1"/>
  <c r="J2522" i="1"/>
  <c r="G2522" i="1" s="1"/>
  <c r="H2522" i="1"/>
  <c r="I2522" i="1" s="1"/>
  <c r="E2523" i="1" s="1"/>
  <c r="F2522" i="1"/>
  <c r="B2616" i="1"/>
  <c r="C2615" i="1"/>
  <c r="D2615" i="1" s="1"/>
  <c r="H1340" i="1"/>
  <c r="J1340" i="1"/>
  <c r="G1340" i="1" s="1"/>
  <c r="F1340" i="1"/>
  <c r="C1441" i="1"/>
  <c r="D1441" i="1" s="1"/>
  <c r="B1442" i="1"/>
  <c r="H869" i="1"/>
  <c r="J869" i="1"/>
  <c r="G869" i="1" s="1"/>
  <c r="F869" i="1"/>
  <c r="C963" i="1"/>
  <c r="D963" i="1" s="1"/>
  <c r="B964" i="1"/>
  <c r="I122" i="1"/>
  <c r="E123" i="1" s="1"/>
  <c r="B228" i="1"/>
  <c r="C227" i="1"/>
  <c r="D227" i="1" s="1"/>
  <c r="H2928" i="1" l="1"/>
  <c r="J2928" i="1"/>
  <c r="G2928" i="1" s="1"/>
  <c r="F2928" i="1"/>
  <c r="J2523" i="1"/>
  <c r="G2523" i="1" s="1"/>
  <c r="H2523" i="1"/>
  <c r="F2523" i="1"/>
  <c r="C2616" i="1"/>
  <c r="D2616" i="1" s="1"/>
  <c r="B2617" i="1"/>
  <c r="C1442" i="1"/>
  <c r="D1442" i="1" s="1"/>
  <c r="B1443" i="1"/>
  <c r="I1340" i="1"/>
  <c r="E1341" i="1" s="1"/>
  <c r="C964" i="1"/>
  <c r="D964" i="1" s="1"/>
  <c r="B965" i="1"/>
  <c r="I869" i="1"/>
  <c r="E870" i="1" s="1"/>
  <c r="C228" i="1"/>
  <c r="D228" i="1" s="1"/>
  <c r="B229" i="1"/>
  <c r="J123" i="1"/>
  <c r="G123" i="1" s="1"/>
  <c r="H123" i="1"/>
  <c r="F123" i="1"/>
  <c r="I2928" i="1" l="1"/>
  <c r="E2929" i="1" s="1"/>
  <c r="I2523" i="1"/>
  <c r="E2524" i="1" s="1"/>
  <c r="C2617" i="1"/>
  <c r="D2617" i="1" s="1"/>
  <c r="B2618" i="1"/>
  <c r="J1341" i="1"/>
  <c r="G1341" i="1" s="1"/>
  <c r="H1341" i="1"/>
  <c r="F1341" i="1"/>
  <c r="B1444" i="1"/>
  <c r="C1443" i="1"/>
  <c r="D1443" i="1" s="1"/>
  <c r="C965" i="1"/>
  <c r="D965" i="1" s="1"/>
  <c r="B966" i="1"/>
  <c r="H870" i="1"/>
  <c r="J870" i="1"/>
  <c r="G870" i="1" s="1"/>
  <c r="F870" i="1"/>
  <c r="I123" i="1"/>
  <c r="E124" i="1" s="1"/>
  <c r="C229" i="1"/>
  <c r="D229" i="1" s="1"/>
  <c r="B230" i="1"/>
  <c r="J2929" i="1" l="1"/>
  <c r="G2929" i="1" s="1"/>
  <c r="H2929" i="1"/>
  <c r="I2929" i="1" s="1"/>
  <c r="E2930" i="1" s="1"/>
  <c r="F2929" i="1"/>
  <c r="B2619" i="1"/>
  <c r="C2618" i="1"/>
  <c r="D2618" i="1" s="1"/>
  <c r="H2524" i="1"/>
  <c r="J2524" i="1"/>
  <c r="G2524" i="1" s="1"/>
  <c r="F2524" i="1"/>
  <c r="B1445" i="1"/>
  <c r="C1444" i="1"/>
  <c r="D1444" i="1" s="1"/>
  <c r="I1341" i="1"/>
  <c r="E1342" i="1" s="1"/>
  <c r="I870" i="1"/>
  <c r="E871" i="1" s="1"/>
  <c r="C966" i="1"/>
  <c r="D966" i="1" s="1"/>
  <c r="B967" i="1"/>
  <c r="C230" i="1"/>
  <c r="D230" i="1" s="1"/>
  <c r="B231" i="1"/>
  <c r="J124" i="1"/>
  <c r="G124" i="1" s="1"/>
  <c r="H124" i="1"/>
  <c r="F124" i="1"/>
  <c r="J2930" i="1" l="1"/>
  <c r="G2930" i="1" s="1"/>
  <c r="H2930" i="1"/>
  <c r="I2930" i="1" s="1"/>
  <c r="E2931" i="1" s="1"/>
  <c r="F2930" i="1"/>
  <c r="I2524" i="1"/>
  <c r="E2525" i="1" s="1"/>
  <c r="B2620" i="1"/>
  <c r="C2619" i="1"/>
  <c r="D2619" i="1" s="1"/>
  <c r="J1342" i="1"/>
  <c r="G1342" i="1" s="1"/>
  <c r="H1342" i="1"/>
  <c r="F1342" i="1"/>
  <c r="B1446" i="1"/>
  <c r="C1445" i="1"/>
  <c r="D1445" i="1" s="1"/>
  <c r="C967" i="1"/>
  <c r="D967" i="1" s="1"/>
  <c r="B968" i="1"/>
  <c r="J871" i="1"/>
  <c r="G871" i="1" s="1"/>
  <c r="H871" i="1"/>
  <c r="F871" i="1"/>
  <c r="I124" i="1"/>
  <c r="E125" i="1" s="1"/>
  <c r="H125" i="1" s="1"/>
  <c r="C231" i="1"/>
  <c r="D231" i="1" s="1"/>
  <c r="B232" i="1"/>
  <c r="H2931" i="1" l="1"/>
  <c r="J2931" i="1"/>
  <c r="G2931" i="1" s="1"/>
  <c r="F2931" i="1"/>
  <c r="C2620" i="1"/>
  <c r="D2620" i="1" s="1"/>
  <c r="B2621" i="1"/>
  <c r="H2525" i="1"/>
  <c r="I2525" i="1" s="1"/>
  <c r="E2526" i="1" s="1"/>
  <c r="J2525" i="1"/>
  <c r="G2525" i="1" s="1"/>
  <c r="F2525" i="1"/>
  <c r="C1446" i="1"/>
  <c r="D1446" i="1" s="1"/>
  <c r="B1447" i="1"/>
  <c r="I1342" i="1"/>
  <c r="E1343" i="1" s="1"/>
  <c r="I871" i="1"/>
  <c r="E872" i="1" s="1"/>
  <c r="C968" i="1"/>
  <c r="D968" i="1" s="1"/>
  <c r="B969" i="1"/>
  <c r="F125" i="1"/>
  <c r="J125" i="1"/>
  <c r="G125" i="1" s="1"/>
  <c r="B233" i="1"/>
  <c r="C232" i="1"/>
  <c r="D232" i="1" s="1"/>
  <c r="I2931" i="1" l="1"/>
  <c r="E2932" i="1" s="1"/>
  <c r="J2526" i="1"/>
  <c r="G2526" i="1" s="1"/>
  <c r="H2526" i="1"/>
  <c r="F2526" i="1"/>
  <c r="C2621" i="1"/>
  <c r="D2621" i="1" s="1"/>
  <c r="B2622" i="1"/>
  <c r="J1343" i="1"/>
  <c r="G1343" i="1" s="1"/>
  <c r="H1343" i="1"/>
  <c r="F1343" i="1"/>
  <c r="C1447" i="1"/>
  <c r="D1447" i="1" s="1"/>
  <c r="B1448" i="1"/>
  <c r="C969" i="1"/>
  <c r="D969" i="1" s="1"/>
  <c r="B970" i="1"/>
  <c r="H872" i="1"/>
  <c r="I872" i="1" s="1"/>
  <c r="E873" i="1" s="1"/>
  <c r="J872" i="1"/>
  <c r="G872" i="1" s="1"/>
  <c r="F872" i="1"/>
  <c r="I125" i="1"/>
  <c r="E126" i="1" s="1"/>
  <c r="F126" i="1" s="1"/>
  <c r="C233" i="1"/>
  <c r="D233" i="1" s="1"/>
  <c r="B234" i="1"/>
  <c r="H2932" i="1" l="1"/>
  <c r="J2932" i="1"/>
  <c r="G2932" i="1" s="1"/>
  <c r="F2932" i="1"/>
  <c r="B2623" i="1"/>
  <c r="C2622" i="1"/>
  <c r="D2622" i="1" s="1"/>
  <c r="I2526" i="1"/>
  <c r="E2527" i="1" s="1"/>
  <c r="C1448" i="1"/>
  <c r="D1448" i="1" s="1"/>
  <c r="B1449" i="1"/>
  <c r="I1343" i="1"/>
  <c r="E1344" i="1" s="1"/>
  <c r="J873" i="1"/>
  <c r="G873" i="1" s="1"/>
  <c r="H873" i="1"/>
  <c r="F873" i="1"/>
  <c r="C970" i="1"/>
  <c r="D970" i="1" s="1"/>
  <c r="B971" i="1"/>
  <c r="J126" i="1"/>
  <c r="H126" i="1"/>
  <c r="B235" i="1"/>
  <c r="C234" i="1"/>
  <c r="D234" i="1" s="1"/>
  <c r="I2932" i="1" l="1"/>
  <c r="E2933" i="1" s="1"/>
  <c r="B2624" i="1"/>
  <c r="C2623" i="1"/>
  <c r="D2623" i="1" s="1"/>
  <c r="J2527" i="1"/>
  <c r="G2527" i="1" s="1"/>
  <c r="H2527" i="1"/>
  <c r="F2527" i="1"/>
  <c r="H1344" i="1"/>
  <c r="J1344" i="1"/>
  <c r="G1344" i="1" s="1"/>
  <c r="F1344" i="1"/>
  <c r="C1449" i="1"/>
  <c r="D1449" i="1" s="1"/>
  <c r="B1450" i="1"/>
  <c r="C971" i="1"/>
  <c r="D971" i="1" s="1"/>
  <c r="B972" i="1"/>
  <c r="I873" i="1"/>
  <c r="E874" i="1" s="1"/>
  <c r="G126" i="1"/>
  <c r="I126" i="1" s="1"/>
  <c r="E127" i="1" s="1"/>
  <c r="C235" i="1"/>
  <c r="D235" i="1" s="1"/>
  <c r="B236" i="1"/>
  <c r="H2933" i="1" l="1"/>
  <c r="J2933" i="1"/>
  <c r="G2933" i="1" s="1"/>
  <c r="F2933" i="1"/>
  <c r="I2527" i="1"/>
  <c r="E2528" i="1" s="1"/>
  <c r="C2624" i="1"/>
  <c r="D2624" i="1" s="1"/>
  <c r="B2625" i="1"/>
  <c r="C1450" i="1"/>
  <c r="D1450" i="1" s="1"/>
  <c r="B1451" i="1"/>
  <c r="I1344" i="1"/>
  <c r="E1345" i="1" s="1"/>
  <c r="H874" i="1"/>
  <c r="J874" i="1"/>
  <c r="G874" i="1" s="1"/>
  <c r="F874" i="1"/>
  <c r="C972" i="1"/>
  <c r="D972" i="1" s="1"/>
  <c r="B973" i="1"/>
  <c r="H127" i="1"/>
  <c r="F127" i="1"/>
  <c r="J127" i="1"/>
  <c r="G127" i="1" s="1"/>
  <c r="I127" i="1" s="1"/>
  <c r="E128" i="1" s="1"/>
  <c r="C236" i="1"/>
  <c r="D236" i="1" s="1"/>
  <c r="B237" i="1"/>
  <c r="I2933" i="1" l="1"/>
  <c r="E2934" i="1" s="1"/>
  <c r="B2626" i="1"/>
  <c r="C2625" i="1"/>
  <c r="D2625" i="1" s="1"/>
  <c r="H2528" i="1"/>
  <c r="J2528" i="1"/>
  <c r="G2528" i="1" s="1"/>
  <c r="F2528" i="1"/>
  <c r="H1345" i="1"/>
  <c r="J1345" i="1"/>
  <c r="G1345" i="1" s="1"/>
  <c r="F1345" i="1"/>
  <c r="C1451" i="1"/>
  <c r="D1451" i="1" s="1"/>
  <c r="B1452" i="1"/>
  <c r="C973" i="1"/>
  <c r="D973" i="1" s="1"/>
  <c r="B974" i="1"/>
  <c r="I874" i="1"/>
  <c r="E875" i="1" s="1"/>
  <c r="C237" i="1"/>
  <c r="D237" i="1" s="1"/>
  <c r="B238" i="1"/>
  <c r="H128" i="1"/>
  <c r="J128" i="1"/>
  <c r="G128" i="1" s="1"/>
  <c r="F128" i="1"/>
  <c r="J2934" i="1" l="1"/>
  <c r="G2934" i="1" s="1"/>
  <c r="H2934" i="1"/>
  <c r="F2934" i="1"/>
  <c r="I2528" i="1"/>
  <c r="E2529" i="1" s="1"/>
  <c r="B2627" i="1"/>
  <c r="C2626" i="1"/>
  <c r="D2626" i="1" s="1"/>
  <c r="C1452" i="1"/>
  <c r="D1452" i="1" s="1"/>
  <c r="B1453" i="1"/>
  <c r="I1345" i="1"/>
  <c r="E1346" i="1" s="1"/>
  <c r="C974" i="1"/>
  <c r="D974" i="1" s="1"/>
  <c r="B975" i="1"/>
  <c r="H875" i="1"/>
  <c r="J875" i="1"/>
  <c r="G875" i="1" s="1"/>
  <c r="F875" i="1"/>
  <c r="I128" i="1"/>
  <c r="E129" i="1" s="1"/>
  <c r="C238" i="1"/>
  <c r="D238" i="1" s="1"/>
  <c r="B239" i="1"/>
  <c r="I2934" i="1" l="1"/>
  <c r="E2935" i="1" s="1"/>
  <c r="H2529" i="1"/>
  <c r="J2529" i="1"/>
  <c r="G2529" i="1" s="1"/>
  <c r="F2529" i="1"/>
  <c r="C2627" i="1"/>
  <c r="D2627" i="1" s="1"/>
  <c r="B2628" i="1"/>
  <c r="J1346" i="1"/>
  <c r="G1346" i="1" s="1"/>
  <c r="H1346" i="1"/>
  <c r="I1346" i="1" s="1"/>
  <c r="E1347" i="1" s="1"/>
  <c r="F1346" i="1"/>
  <c r="C1453" i="1"/>
  <c r="D1453" i="1" s="1"/>
  <c r="B1454" i="1"/>
  <c r="I875" i="1"/>
  <c r="E876" i="1" s="1"/>
  <c r="C975" i="1"/>
  <c r="D975" i="1" s="1"/>
  <c r="B976" i="1"/>
  <c r="C239" i="1"/>
  <c r="D239" i="1" s="1"/>
  <c r="B240" i="1"/>
  <c r="H129" i="1"/>
  <c r="J129" i="1"/>
  <c r="G129" i="1" s="1"/>
  <c r="F129" i="1"/>
  <c r="J2935" i="1" l="1"/>
  <c r="G2935" i="1" s="1"/>
  <c r="H2935" i="1"/>
  <c r="I2935" i="1" s="1"/>
  <c r="E2936" i="1" s="1"/>
  <c r="F2935" i="1"/>
  <c r="C2628" i="1"/>
  <c r="D2628" i="1" s="1"/>
  <c r="B2629" i="1"/>
  <c r="I2529" i="1"/>
  <c r="E2530" i="1" s="1"/>
  <c r="H1347" i="1"/>
  <c r="J1347" i="1"/>
  <c r="G1347" i="1" s="1"/>
  <c r="F1347" i="1"/>
  <c r="C1454" i="1"/>
  <c r="D1454" i="1" s="1"/>
  <c r="B1455" i="1"/>
  <c r="C976" i="1"/>
  <c r="D976" i="1" s="1"/>
  <c r="B977" i="1"/>
  <c r="J876" i="1"/>
  <c r="G876" i="1" s="1"/>
  <c r="H876" i="1"/>
  <c r="F876" i="1"/>
  <c r="I129" i="1"/>
  <c r="E130" i="1" s="1"/>
  <c r="C240" i="1"/>
  <c r="D240" i="1" s="1"/>
  <c r="B241" i="1"/>
  <c r="H2936" i="1" l="1"/>
  <c r="J2936" i="1"/>
  <c r="G2936" i="1" s="1"/>
  <c r="F2936" i="1"/>
  <c r="J2530" i="1"/>
  <c r="G2530" i="1" s="1"/>
  <c r="H2530" i="1"/>
  <c r="F2530" i="1"/>
  <c r="C2629" i="1"/>
  <c r="D2629" i="1" s="1"/>
  <c r="B2630" i="1"/>
  <c r="C1455" i="1"/>
  <c r="D1455" i="1" s="1"/>
  <c r="B1456" i="1"/>
  <c r="I1347" i="1"/>
  <c r="E1348" i="1" s="1"/>
  <c r="C977" i="1"/>
  <c r="D977" i="1" s="1"/>
  <c r="B978" i="1"/>
  <c r="I876" i="1"/>
  <c r="E877" i="1" s="1"/>
  <c r="C241" i="1"/>
  <c r="D241" i="1" s="1"/>
  <c r="B242" i="1"/>
  <c r="J130" i="1"/>
  <c r="G130" i="1" s="1"/>
  <c r="H130" i="1"/>
  <c r="F130" i="1"/>
  <c r="I2936" i="1" l="1"/>
  <c r="E2937" i="1" s="1"/>
  <c r="C2630" i="1"/>
  <c r="D2630" i="1" s="1"/>
  <c r="B2631" i="1"/>
  <c r="I2530" i="1"/>
  <c r="E2531" i="1" s="1"/>
  <c r="H1348" i="1"/>
  <c r="J1348" i="1"/>
  <c r="G1348" i="1" s="1"/>
  <c r="F1348" i="1"/>
  <c r="C1456" i="1"/>
  <c r="D1456" i="1" s="1"/>
  <c r="B1457" i="1"/>
  <c r="H877" i="1"/>
  <c r="J877" i="1"/>
  <c r="G877" i="1" s="1"/>
  <c r="F877" i="1"/>
  <c r="C978" i="1"/>
  <c r="D978" i="1" s="1"/>
  <c r="B979" i="1"/>
  <c r="I130" i="1"/>
  <c r="E131" i="1" s="1"/>
  <c r="C242" i="1"/>
  <c r="D242" i="1" s="1"/>
  <c r="B243" i="1"/>
  <c r="H2937" i="1" l="1"/>
  <c r="J2937" i="1"/>
  <c r="G2937" i="1" s="1"/>
  <c r="F2937" i="1"/>
  <c r="J2531" i="1"/>
  <c r="G2531" i="1" s="1"/>
  <c r="H2531" i="1"/>
  <c r="F2531" i="1"/>
  <c r="C2631" i="1"/>
  <c r="D2631" i="1" s="1"/>
  <c r="B2632" i="1"/>
  <c r="C1457" i="1"/>
  <c r="D1457" i="1" s="1"/>
  <c r="B1458" i="1"/>
  <c r="I1348" i="1"/>
  <c r="E1349" i="1" s="1"/>
  <c r="C979" i="1"/>
  <c r="D979" i="1" s="1"/>
  <c r="B980" i="1"/>
  <c r="I877" i="1"/>
  <c r="E878" i="1" s="1"/>
  <c r="C243" i="1"/>
  <c r="D243" i="1" s="1"/>
  <c r="B244" i="1"/>
  <c r="J131" i="1"/>
  <c r="G131" i="1" s="1"/>
  <c r="H131" i="1"/>
  <c r="F131" i="1"/>
  <c r="I2937" i="1" l="1"/>
  <c r="E2938" i="1" s="1"/>
  <c r="C2632" i="1"/>
  <c r="D2632" i="1" s="1"/>
  <c r="B2633" i="1"/>
  <c r="I2531" i="1"/>
  <c r="E2532" i="1" s="1"/>
  <c r="H1349" i="1"/>
  <c r="J1349" i="1"/>
  <c r="G1349" i="1" s="1"/>
  <c r="F1349" i="1"/>
  <c r="C1458" i="1"/>
  <c r="D1458" i="1" s="1"/>
  <c r="B1459" i="1"/>
  <c r="H878" i="1"/>
  <c r="J878" i="1"/>
  <c r="G878" i="1" s="1"/>
  <c r="F878" i="1"/>
  <c r="C980" i="1"/>
  <c r="D980" i="1" s="1"/>
  <c r="B981" i="1"/>
  <c r="I131" i="1"/>
  <c r="E132" i="1" s="1"/>
  <c r="H132" i="1" s="1"/>
  <c r="B245" i="1"/>
  <c r="C244" i="1"/>
  <c r="D244" i="1" s="1"/>
  <c r="J2938" i="1" l="1"/>
  <c r="G2938" i="1" s="1"/>
  <c r="H2938" i="1"/>
  <c r="I2938" i="1" s="1"/>
  <c r="E2939" i="1" s="1"/>
  <c r="F2938" i="1"/>
  <c r="H2532" i="1"/>
  <c r="J2532" i="1"/>
  <c r="G2532" i="1" s="1"/>
  <c r="F2532" i="1"/>
  <c r="B2634" i="1"/>
  <c r="C2633" i="1"/>
  <c r="D2633" i="1" s="1"/>
  <c r="C1459" i="1"/>
  <c r="D1459" i="1" s="1"/>
  <c r="B1460" i="1"/>
  <c r="I1349" i="1"/>
  <c r="E1350" i="1" s="1"/>
  <c r="C981" i="1"/>
  <c r="D981" i="1" s="1"/>
  <c r="B982" i="1"/>
  <c r="I878" i="1"/>
  <c r="E879" i="1" s="1"/>
  <c r="F132" i="1"/>
  <c r="J132" i="1"/>
  <c r="G132" i="1" s="1"/>
  <c r="C245" i="1"/>
  <c r="D245" i="1" s="1"/>
  <c r="B246" i="1"/>
  <c r="H2939" i="1" l="1"/>
  <c r="J2939" i="1"/>
  <c r="G2939" i="1" s="1"/>
  <c r="F2939" i="1"/>
  <c r="C2634" i="1"/>
  <c r="D2634" i="1" s="1"/>
  <c r="B2635" i="1"/>
  <c r="I2532" i="1"/>
  <c r="E2533" i="1" s="1"/>
  <c r="J1350" i="1"/>
  <c r="G1350" i="1" s="1"/>
  <c r="H1350" i="1"/>
  <c r="F1350" i="1"/>
  <c r="C1460" i="1"/>
  <c r="D1460" i="1" s="1"/>
  <c r="B1461" i="1"/>
  <c r="H879" i="1"/>
  <c r="J879" i="1"/>
  <c r="G879" i="1" s="1"/>
  <c r="F879" i="1"/>
  <c r="C982" i="1"/>
  <c r="D982" i="1" s="1"/>
  <c r="B983" i="1"/>
  <c r="I132" i="1"/>
  <c r="E133" i="1" s="1"/>
  <c r="B247" i="1"/>
  <c r="C246" i="1"/>
  <c r="D246" i="1" s="1"/>
  <c r="I2939" i="1" l="1"/>
  <c r="E2940" i="1" s="1"/>
  <c r="H2533" i="1"/>
  <c r="J2533" i="1"/>
  <c r="G2533" i="1" s="1"/>
  <c r="F2533" i="1"/>
  <c r="B2636" i="1"/>
  <c r="C2635" i="1"/>
  <c r="D2635" i="1" s="1"/>
  <c r="C1461" i="1"/>
  <c r="D1461" i="1" s="1"/>
  <c r="B1462" i="1"/>
  <c r="I1350" i="1"/>
  <c r="E1351" i="1" s="1"/>
  <c r="C983" i="1"/>
  <c r="D983" i="1" s="1"/>
  <c r="B984" i="1"/>
  <c r="I879" i="1"/>
  <c r="E880" i="1" s="1"/>
  <c r="H133" i="1"/>
  <c r="F133" i="1"/>
  <c r="J133" i="1"/>
  <c r="G133" i="1" s="1"/>
  <c r="C247" i="1"/>
  <c r="D247" i="1" s="1"/>
  <c r="B248" i="1"/>
  <c r="H2940" i="1" l="1"/>
  <c r="J2940" i="1"/>
  <c r="G2940" i="1" s="1"/>
  <c r="F2940" i="1"/>
  <c r="C2636" i="1"/>
  <c r="D2636" i="1" s="1"/>
  <c r="B2637" i="1"/>
  <c r="I2533" i="1"/>
  <c r="E2534" i="1" s="1"/>
  <c r="J1351" i="1"/>
  <c r="G1351" i="1" s="1"/>
  <c r="H1351" i="1"/>
  <c r="I1351" i="1" s="1"/>
  <c r="E1352" i="1" s="1"/>
  <c r="F1351" i="1"/>
  <c r="C1462" i="1"/>
  <c r="D1462" i="1" s="1"/>
  <c r="B1463" i="1"/>
  <c r="H880" i="1"/>
  <c r="J880" i="1"/>
  <c r="G880" i="1" s="1"/>
  <c r="F880" i="1"/>
  <c r="B985" i="1"/>
  <c r="C984" i="1"/>
  <c r="D984" i="1" s="1"/>
  <c r="I133" i="1"/>
  <c r="E134" i="1" s="1"/>
  <c r="H134" i="1" s="1"/>
  <c r="F134" i="1"/>
  <c r="B249" i="1"/>
  <c r="C248" i="1"/>
  <c r="D248" i="1" s="1"/>
  <c r="I2940" i="1" l="1"/>
  <c r="E2941" i="1" s="1"/>
  <c r="J2534" i="1"/>
  <c r="G2534" i="1" s="1"/>
  <c r="H2534" i="1"/>
  <c r="I2534" i="1" s="1"/>
  <c r="E2535" i="1" s="1"/>
  <c r="F2534" i="1"/>
  <c r="B2638" i="1"/>
  <c r="C2637" i="1"/>
  <c r="D2637" i="1" s="1"/>
  <c r="H1352" i="1"/>
  <c r="J1352" i="1"/>
  <c r="G1352" i="1" s="1"/>
  <c r="F1352" i="1"/>
  <c r="C1463" i="1"/>
  <c r="D1463" i="1" s="1"/>
  <c r="B1464" i="1"/>
  <c r="C985" i="1"/>
  <c r="D985" i="1" s="1"/>
  <c r="B986" i="1"/>
  <c r="I880" i="1"/>
  <c r="E881" i="1" s="1"/>
  <c r="J134" i="1"/>
  <c r="B250" i="1"/>
  <c r="C249" i="1"/>
  <c r="D249" i="1" s="1"/>
  <c r="H2941" i="1" l="1"/>
  <c r="J2941" i="1"/>
  <c r="G2941" i="1" s="1"/>
  <c r="F2941" i="1"/>
  <c r="H2535" i="1"/>
  <c r="J2535" i="1"/>
  <c r="G2535" i="1" s="1"/>
  <c r="F2535" i="1"/>
  <c r="B2639" i="1"/>
  <c r="C2638" i="1"/>
  <c r="D2638" i="1" s="1"/>
  <c r="C1464" i="1"/>
  <c r="D1464" i="1" s="1"/>
  <c r="B1465" i="1"/>
  <c r="I1352" i="1"/>
  <c r="E1353" i="1" s="1"/>
  <c r="H881" i="1"/>
  <c r="J881" i="1"/>
  <c r="G881" i="1" s="1"/>
  <c r="F881" i="1"/>
  <c r="C986" i="1"/>
  <c r="D986" i="1" s="1"/>
  <c r="B987" i="1"/>
  <c r="G134" i="1"/>
  <c r="I134" i="1" s="1"/>
  <c r="E135" i="1" s="1"/>
  <c r="C250" i="1"/>
  <c r="D250" i="1" s="1"/>
  <c r="B251" i="1"/>
  <c r="I2941" i="1" l="1"/>
  <c r="E2942" i="1" s="1"/>
  <c r="B2640" i="1"/>
  <c r="C2639" i="1"/>
  <c r="D2639" i="1" s="1"/>
  <c r="I2535" i="1"/>
  <c r="E2536" i="1" s="1"/>
  <c r="C1465" i="1"/>
  <c r="D1465" i="1" s="1"/>
  <c r="B1466" i="1"/>
  <c r="H1353" i="1"/>
  <c r="J1353" i="1"/>
  <c r="G1353" i="1" s="1"/>
  <c r="F1353" i="1"/>
  <c r="B988" i="1"/>
  <c r="C987" i="1"/>
  <c r="D987" i="1" s="1"/>
  <c r="I881" i="1"/>
  <c r="E882" i="1" s="1"/>
  <c r="H135" i="1"/>
  <c r="J135" i="1"/>
  <c r="G135" i="1" s="1"/>
  <c r="I135" i="1" s="1"/>
  <c r="E136" i="1" s="1"/>
  <c r="F135" i="1"/>
  <c r="C251" i="1"/>
  <c r="D251" i="1" s="1"/>
  <c r="B252" i="1"/>
  <c r="H2942" i="1" l="1"/>
  <c r="J2942" i="1"/>
  <c r="G2942" i="1" s="1"/>
  <c r="F2942" i="1"/>
  <c r="H2536" i="1"/>
  <c r="J2536" i="1"/>
  <c r="G2536" i="1" s="1"/>
  <c r="F2536" i="1"/>
  <c r="B2641" i="1"/>
  <c r="C2640" i="1"/>
  <c r="D2640" i="1" s="1"/>
  <c r="I1353" i="1"/>
  <c r="E1354" i="1" s="1"/>
  <c r="C1466" i="1"/>
  <c r="D1466" i="1" s="1"/>
  <c r="B1467" i="1"/>
  <c r="H882" i="1"/>
  <c r="J882" i="1"/>
  <c r="G882" i="1" s="1"/>
  <c r="F882" i="1"/>
  <c r="C988" i="1"/>
  <c r="D988" i="1" s="1"/>
  <c r="B989" i="1"/>
  <c r="H136" i="1"/>
  <c r="J136" i="1"/>
  <c r="G136" i="1" s="1"/>
  <c r="F136" i="1"/>
  <c r="B253" i="1"/>
  <c r="C252" i="1"/>
  <c r="D252" i="1" s="1"/>
  <c r="I2942" i="1" l="1"/>
  <c r="E2943" i="1" s="1"/>
  <c r="B2642" i="1"/>
  <c r="C2641" i="1"/>
  <c r="D2641" i="1" s="1"/>
  <c r="I2536" i="1"/>
  <c r="E2537" i="1" s="1"/>
  <c r="C1467" i="1"/>
  <c r="D1467" i="1" s="1"/>
  <c r="B1468" i="1"/>
  <c r="J1354" i="1"/>
  <c r="G1354" i="1" s="1"/>
  <c r="H1354" i="1"/>
  <c r="F1354" i="1"/>
  <c r="B990" i="1"/>
  <c r="C989" i="1"/>
  <c r="D989" i="1" s="1"/>
  <c r="I882" i="1"/>
  <c r="E883" i="1" s="1"/>
  <c r="C253" i="1"/>
  <c r="D253" i="1" s="1"/>
  <c r="B254" i="1"/>
  <c r="I136" i="1"/>
  <c r="E137" i="1" s="1"/>
  <c r="H2943" i="1" l="1"/>
  <c r="J2943" i="1"/>
  <c r="G2943" i="1" s="1"/>
  <c r="F2943" i="1"/>
  <c r="H2537" i="1"/>
  <c r="J2537" i="1"/>
  <c r="G2537" i="1" s="1"/>
  <c r="F2537" i="1"/>
  <c r="B2643" i="1"/>
  <c r="C2642" i="1"/>
  <c r="D2642" i="1" s="1"/>
  <c r="I1354" i="1"/>
  <c r="E1355" i="1" s="1"/>
  <c r="C1468" i="1"/>
  <c r="D1468" i="1" s="1"/>
  <c r="B1469" i="1"/>
  <c r="H883" i="1"/>
  <c r="J883" i="1"/>
  <c r="G883" i="1" s="1"/>
  <c r="F883" i="1"/>
  <c r="C990" i="1"/>
  <c r="D990" i="1" s="1"/>
  <c r="B991" i="1"/>
  <c r="J137" i="1"/>
  <c r="G137" i="1" s="1"/>
  <c r="H137" i="1"/>
  <c r="F137" i="1"/>
  <c r="B255" i="1"/>
  <c r="C254" i="1"/>
  <c r="D254" i="1" s="1"/>
  <c r="I2943" i="1" l="1"/>
  <c r="E2944" i="1" s="1"/>
  <c r="C2643" i="1"/>
  <c r="D2643" i="1" s="1"/>
  <c r="B2644" i="1"/>
  <c r="I2537" i="1"/>
  <c r="E2538" i="1" s="1"/>
  <c r="C1469" i="1"/>
  <c r="D1469" i="1" s="1"/>
  <c r="B1470" i="1"/>
  <c r="J1355" i="1"/>
  <c r="G1355" i="1" s="1"/>
  <c r="H1355" i="1"/>
  <c r="I1355" i="1" s="1"/>
  <c r="E1356" i="1" s="1"/>
  <c r="F1355" i="1"/>
  <c r="C991" i="1"/>
  <c r="D991" i="1" s="1"/>
  <c r="B992" i="1"/>
  <c r="I883" i="1"/>
  <c r="E884" i="1" s="1"/>
  <c r="B256" i="1"/>
  <c r="C255" i="1"/>
  <c r="D255" i="1" s="1"/>
  <c r="I137" i="1"/>
  <c r="E138" i="1" s="1"/>
  <c r="H2944" i="1" l="1"/>
  <c r="J2944" i="1"/>
  <c r="G2944" i="1" s="1"/>
  <c r="F2944" i="1"/>
  <c r="H2538" i="1"/>
  <c r="J2538" i="1"/>
  <c r="G2538" i="1" s="1"/>
  <c r="F2538" i="1"/>
  <c r="C2644" i="1"/>
  <c r="D2644" i="1" s="1"/>
  <c r="B2645" i="1"/>
  <c r="H1356" i="1"/>
  <c r="J1356" i="1"/>
  <c r="G1356" i="1" s="1"/>
  <c r="F1356" i="1"/>
  <c r="C1470" i="1"/>
  <c r="D1470" i="1" s="1"/>
  <c r="B1471" i="1"/>
  <c r="J884" i="1"/>
  <c r="G884" i="1" s="1"/>
  <c r="H884" i="1"/>
  <c r="F884" i="1"/>
  <c r="B993" i="1"/>
  <c r="C992" i="1"/>
  <c r="D992" i="1" s="1"/>
  <c r="J138" i="1"/>
  <c r="G138" i="1" s="1"/>
  <c r="H138" i="1"/>
  <c r="F138" i="1"/>
  <c r="C256" i="1"/>
  <c r="D256" i="1" s="1"/>
  <c r="B257" i="1"/>
  <c r="I2944" i="1" l="1"/>
  <c r="E2945" i="1" s="1"/>
  <c r="C2645" i="1"/>
  <c r="D2645" i="1" s="1"/>
  <c r="B2646" i="1"/>
  <c r="I2538" i="1"/>
  <c r="E2539" i="1" s="1"/>
  <c r="C1471" i="1"/>
  <c r="D1471" i="1" s="1"/>
  <c r="B1472" i="1"/>
  <c r="I1356" i="1"/>
  <c r="E1357" i="1" s="1"/>
  <c r="B994" i="1"/>
  <c r="C993" i="1"/>
  <c r="D993" i="1" s="1"/>
  <c r="I884" i="1"/>
  <c r="E885" i="1" s="1"/>
  <c r="B258" i="1"/>
  <c r="C257" i="1"/>
  <c r="D257" i="1" s="1"/>
  <c r="I138" i="1"/>
  <c r="E139" i="1" s="1"/>
  <c r="H2945" i="1" l="1"/>
  <c r="J2945" i="1"/>
  <c r="G2945" i="1" s="1"/>
  <c r="F2945" i="1"/>
  <c r="H2539" i="1"/>
  <c r="J2539" i="1"/>
  <c r="G2539" i="1" s="1"/>
  <c r="F2539" i="1"/>
  <c r="C2646" i="1"/>
  <c r="D2646" i="1" s="1"/>
  <c r="B2647" i="1"/>
  <c r="J1357" i="1"/>
  <c r="G1357" i="1" s="1"/>
  <c r="H1357" i="1"/>
  <c r="I1357" i="1" s="1"/>
  <c r="E1358" i="1" s="1"/>
  <c r="F1357" i="1"/>
  <c r="C1472" i="1"/>
  <c r="D1472" i="1" s="1"/>
  <c r="B1473" i="1"/>
  <c r="J885" i="1"/>
  <c r="G885" i="1" s="1"/>
  <c r="H885" i="1"/>
  <c r="I885" i="1" s="1"/>
  <c r="E886" i="1" s="1"/>
  <c r="F885" i="1"/>
  <c r="C994" i="1"/>
  <c r="D994" i="1" s="1"/>
  <c r="B995" i="1"/>
  <c r="J139" i="1"/>
  <c r="G139" i="1" s="1"/>
  <c r="H139" i="1"/>
  <c r="F139" i="1"/>
  <c r="B259" i="1"/>
  <c r="C258" i="1"/>
  <c r="D258" i="1" s="1"/>
  <c r="I2945" i="1" l="1"/>
  <c r="E2946" i="1" s="1"/>
  <c r="C2647" i="1"/>
  <c r="D2647" i="1" s="1"/>
  <c r="B2648" i="1"/>
  <c r="I2539" i="1"/>
  <c r="E2540" i="1" s="1"/>
  <c r="J1358" i="1"/>
  <c r="G1358" i="1" s="1"/>
  <c r="H1358" i="1"/>
  <c r="F1358" i="1"/>
  <c r="C1473" i="1"/>
  <c r="D1473" i="1" s="1"/>
  <c r="B1474" i="1"/>
  <c r="J886" i="1"/>
  <c r="G886" i="1" s="1"/>
  <c r="H886" i="1"/>
  <c r="F886" i="1"/>
  <c r="C995" i="1"/>
  <c r="D995" i="1" s="1"/>
  <c r="B996" i="1"/>
  <c r="C259" i="1"/>
  <c r="D259" i="1" s="1"/>
  <c r="B260" i="1"/>
  <c r="I139" i="1"/>
  <c r="E140" i="1" s="1"/>
  <c r="J2946" i="1" l="1"/>
  <c r="G2946" i="1" s="1"/>
  <c r="H2946" i="1"/>
  <c r="I2946" i="1" s="1"/>
  <c r="E2947" i="1" s="1"/>
  <c r="F2946" i="1"/>
  <c r="H2540" i="1"/>
  <c r="J2540" i="1"/>
  <c r="G2540" i="1" s="1"/>
  <c r="F2540" i="1"/>
  <c r="C2648" i="1"/>
  <c r="D2648" i="1" s="1"/>
  <c r="B2649" i="1"/>
  <c r="I1358" i="1"/>
  <c r="E1359" i="1" s="1"/>
  <c r="C1474" i="1"/>
  <c r="D1474" i="1" s="1"/>
  <c r="B1475" i="1"/>
  <c r="C996" i="1"/>
  <c r="D996" i="1" s="1"/>
  <c r="B997" i="1"/>
  <c r="I886" i="1"/>
  <c r="E887" i="1" s="1"/>
  <c r="H140" i="1"/>
  <c r="J140" i="1"/>
  <c r="G140" i="1" s="1"/>
  <c r="F140" i="1"/>
  <c r="C260" i="1"/>
  <c r="D260" i="1" s="1"/>
  <c r="B261" i="1"/>
  <c r="J2947" i="1" l="1"/>
  <c r="G2947" i="1" s="1"/>
  <c r="H2947" i="1"/>
  <c r="I2947" i="1" s="1"/>
  <c r="E2948" i="1" s="1"/>
  <c r="F2947" i="1"/>
  <c r="C2649" i="1"/>
  <c r="D2649" i="1" s="1"/>
  <c r="B2650" i="1"/>
  <c r="I2540" i="1"/>
  <c r="E2541" i="1" s="1"/>
  <c r="C1475" i="1"/>
  <c r="D1475" i="1" s="1"/>
  <c r="B1476" i="1"/>
  <c r="J1359" i="1"/>
  <c r="G1359" i="1" s="1"/>
  <c r="H1359" i="1"/>
  <c r="I1359" i="1" s="1"/>
  <c r="E1360" i="1" s="1"/>
  <c r="F1359" i="1"/>
  <c r="H887" i="1"/>
  <c r="J887" i="1"/>
  <c r="G887" i="1" s="1"/>
  <c r="F887" i="1"/>
  <c r="B998" i="1"/>
  <c r="C997" i="1"/>
  <c r="D997" i="1" s="1"/>
  <c r="C261" i="1"/>
  <c r="D261" i="1" s="1"/>
  <c r="B262" i="1"/>
  <c r="I140" i="1"/>
  <c r="E141" i="1" s="1"/>
  <c r="H2948" i="1" l="1"/>
  <c r="J2948" i="1"/>
  <c r="G2948" i="1" s="1"/>
  <c r="F2948" i="1"/>
  <c r="H2541" i="1"/>
  <c r="J2541" i="1"/>
  <c r="G2541" i="1" s="1"/>
  <c r="F2541" i="1"/>
  <c r="C2650" i="1"/>
  <c r="D2650" i="1" s="1"/>
  <c r="B2651" i="1"/>
  <c r="H1360" i="1"/>
  <c r="J1360" i="1"/>
  <c r="G1360" i="1" s="1"/>
  <c r="F1360" i="1"/>
  <c r="C1476" i="1"/>
  <c r="D1476" i="1" s="1"/>
  <c r="B1477" i="1"/>
  <c r="C998" i="1"/>
  <c r="D998" i="1" s="1"/>
  <c r="B999" i="1"/>
  <c r="I887" i="1"/>
  <c r="E888" i="1" s="1"/>
  <c r="C262" i="1"/>
  <c r="D262" i="1" s="1"/>
  <c r="B263" i="1"/>
  <c r="H141" i="1"/>
  <c r="J141" i="1"/>
  <c r="G141" i="1" s="1"/>
  <c r="F141" i="1"/>
  <c r="I2948" i="1" l="1"/>
  <c r="E2949" i="1" s="1"/>
  <c r="C2651" i="1"/>
  <c r="D2651" i="1" s="1"/>
  <c r="B2652" i="1"/>
  <c r="I2541" i="1"/>
  <c r="E2542" i="1" s="1"/>
  <c r="C1477" i="1"/>
  <c r="D1477" i="1" s="1"/>
  <c r="B1478" i="1"/>
  <c r="I1360" i="1"/>
  <c r="E1361" i="1" s="1"/>
  <c r="H888" i="1"/>
  <c r="J888" i="1"/>
  <c r="G888" i="1" s="1"/>
  <c r="F888" i="1"/>
  <c r="B1000" i="1"/>
  <c r="C999" i="1"/>
  <c r="D999" i="1" s="1"/>
  <c r="I141" i="1"/>
  <c r="E142" i="1" s="1"/>
  <c r="C263" i="1"/>
  <c r="D263" i="1" s="1"/>
  <c r="B264" i="1"/>
  <c r="J2949" i="1" l="1"/>
  <c r="G2949" i="1" s="1"/>
  <c r="H2949" i="1"/>
  <c r="F2949" i="1"/>
  <c r="H2542" i="1"/>
  <c r="J2542" i="1"/>
  <c r="G2542" i="1" s="1"/>
  <c r="F2542" i="1"/>
  <c r="C2652" i="1"/>
  <c r="D2652" i="1" s="1"/>
  <c r="B2653" i="1"/>
  <c r="H1361" i="1"/>
  <c r="J1361" i="1"/>
  <c r="G1361" i="1" s="1"/>
  <c r="F1361" i="1"/>
  <c r="C1478" i="1"/>
  <c r="D1478" i="1" s="1"/>
  <c r="B1479" i="1"/>
  <c r="B1001" i="1"/>
  <c r="C1000" i="1"/>
  <c r="D1000" i="1" s="1"/>
  <c r="I888" i="1"/>
  <c r="E889" i="1" s="1"/>
  <c r="B265" i="1"/>
  <c r="C264" i="1"/>
  <c r="D264" i="1" s="1"/>
  <c r="H142" i="1"/>
  <c r="J142" i="1"/>
  <c r="G142" i="1" s="1"/>
  <c r="F142" i="1"/>
  <c r="I2949" i="1" l="1"/>
  <c r="E2950" i="1" s="1"/>
  <c r="C2653" i="1"/>
  <c r="D2653" i="1" s="1"/>
  <c r="B2654" i="1"/>
  <c r="I2542" i="1"/>
  <c r="E2543" i="1" s="1"/>
  <c r="C1479" i="1"/>
  <c r="D1479" i="1" s="1"/>
  <c r="B1480" i="1"/>
  <c r="I1361" i="1"/>
  <c r="E1362" i="1" s="1"/>
  <c r="H889" i="1"/>
  <c r="J889" i="1"/>
  <c r="G889" i="1" s="1"/>
  <c r="F889" i="1"/>
  <c r="C1001" i="1"/>
  <c r="D1001" i="1" s="1"/>
  <c r="B1002" i="1"/>
  <c r="I142" i="1"/>
  <c r="E143" i="1" s="1"/>
  <c r="B266" i="1"/>
  <c r="C265" i="1"/>
  <c r="D265" i="1" s="1"/>
  <c r="H2950" i="1" l="1"/>
  <c r="J2950" i="1"/>
  <c r="G2950" i="1" s="1"/>
  <c r="F2950" i="1"/>
  <c r="J2543" i="1"/>
  <c r="G2543" i="1" s="1"/>
  <c r="H2543" i="1"/>
  <c r="I2543" i="1" s="1"/>
  <c r="E2544" i="1" s="1"/>
  <c r="F2543" i="1"/>
  <c r="C2654" i="1"/>
  <c r="D2654" i="1" s="1"/>
  <c r="B2655" i="1"/>
  <c r="H1362" i="1"/>
  <c r="J1362" i="1"/>
  <c r="G1362" i="1" s="1"/>
  <c r="F1362" i="1"/>
  <c r="C1480" i="1"/>
  <c r="D1480" i="1" s="1"/>
  <c r="B1481" i="1"/>
  <c r="C1002" i="1"/>
  <c r="D1002" i="1" s="1"/>
  <c r="B1003" i="1"/>
  <c r="I889" i="1"/>
  <c r="E890" i="1" s="1"/>
  <c r="C266" i="1"/>
  <c r="D266" i="1" s="1"/>
  <c r="B267" i="1"/>
  <c r="H143" i="1"/>
  <c r="J143" i="1"/>
  <c r="G143" i="1" s="1"/>
  <c r="F143" i="1"/>
  <c r="I2950" i="1" l="1"/>
  <c r="E2951" i="1" s="1"/>
  <c r="J2544" i="1"/>
  <c r="G2544" i="1" s="1"/>
  <c r="H2544" i="1"/>
  <c r="F2544" i="1"/>
  <c r="C2655" i="1"/>
  <c r="D2655" i="1" s="1"/>
  <c r="B2656" i="1"/>
  <c r="C1481" i="1"/>
  <c r="D1481" i="1" s="1"/>
  <c r="B1482" i="1"/>
  <c r="I1362" i="1"/>
  <c r="E1363" i="1" s="1"/>
  <c r="H890" i="1"/>
  <c r="J890" i="1"/>
  <c r="G890" i="1" s="1"/>
  <c r="F890" i="1"/>
  <c r="B1004" i="1"/>
  <c r="C1003" i="1"/>
  <c r="D1003" i="1" s="1"/>
  <c r="I143" i="1"/>
  <c r="E144" i="1" s="1"/>
  <c r="H144" i="1" s="1"/>
  <c r="C267" i="1"/>
  <c r="D267" i="1" s="1"/>
  <c r="B268" i="1"/>
  <c r="H2951" i="1" l="1"/>
  <c r="J2951" i="1"/>
  <c r="G2951" i="1" s="1"/>
  <c r="F2951" i="1"/>
  <c r="C2656" i="1"/>
  <c r="D2656" i="1" s="1"/>
  <c r="B2657" i="1"/>
  <c r="I2544" i="1"/>
  <c r="E2545" i="1" s="1"/>
  <c r="H1363" i="1"/>
  <c r="J1363" i="1"/>
  <c r="G1363" i="1" s="1"/>
  <c r="F1363" i="1"/>
  <c r="C1482" i="1"/>
  <c r="D1482" i="1" s="1"/>
  <c r="B1483" i="1"/>
  <c r="C1004" i="1"/>
  <c r="D1004" i="1" s="1"/>
  <c r="B1005" i="1"/>
  <c r="I890" i="1"/>
  <c r="E891" i="1" s="1"/>
  <c r="F144" i="1"/>
  <c r="J144" i="1"/>
  <c r="B269" i="1"/>
  <c r="C268" i="1"/>
  <c r="D268" i="1" s="1"/>
  <c r="I2951" i="1" l="1"/>
  <c r="E2952" i="1" s="1"/>
  <c r="H2545" i="1"/>
  <c r="J2545" i="1"/>
  <c r="G2545" i="1" s="1"/>
  <c r="F2545" i="1"/>
  <c r="C2657" i="1"/>
  <c r="D2657" i="1" s="1"/>
  <c r="B2658" i="1"/>
  <c r="C1483" i="1"/>
  <c r="D1483" i="1" s="1"/>
  <c r="B1484" i="1"/>
  <c r="I1363" i="1"/>
  <c r="E1364" i="1" s="1"/>
  <c r="H891" i="1"/>
  <c r="J891" i="1"/>
  <c r="G891" i="1" s="1"/>
  <c r="F891" i="1"/>
  <c r="C1005" i="1"/>
  <c r="D1005" i="1" s="1"/>
  <c r="B1006" i="1"/>
  <c r="G144" i="1"/>
  <c r="I144" i="1" s="1"/>
  <c r="E145" i="1" s="1"/>
  <c r="C269" i="1"/>
  <c r="D269" i="1" s="1"/>
  <c r="B270" i="1"/>
  <c r="H2952" i="1" l="1"/>
  <c r="J2952" i="1"/>
  <c r="G2952" i="1" s="1"/>
  <c r="F2952" i="1"/>
  <c r="C2658" i="1"/>
  <c r="D2658" i="1" s="1"/>
  <c r="B2659" i="1"/>
  <c r="I2545" i="1"/>
  <c r="E2546" i="1" s="1"/>
  <c r="H1364" i="1"/>
  <c r="J1364" i="1"/>
  <c r="G1364" i="1" s="1"/>
  <c r="F1364" i="1"/>
  <c r="B1485" i="1"/>
  <c r="C1484" i="1"/>
  <c r="D1484" i="1" s="1"/>
  <c r="C1006" i="1"/>
  <c r="D1006" i="1" s="1"/>
  <c r="B1007" i="1"/>
  <c r="I891" i="1"/>
  <c r="E892" i="1" s="1"/>
  <c r="J145" i="1"/>
  <c r="G145" i="1" s="1"/>
  <c r="H145" i="1"/>
  <c r="F145" i="1"/>
  <c r="I145" i="1"/>
  <c r="E146" i="1" s="1"/>
  <c r="J146" i="1" s="1"/>
  <c r="G146" i="1" s="1"/>
  <c r="B271" i="1"/>
  <c r="C270" i="1"/>
  <c r="D270" i="1" s="1"/>
  <c r="I2952" i="1" l="1"/>
  <c r="E2953" i="1" s="1"/>
  <c r="H2546" i="1"/>
  <c r="J2546" i="1"/>
  <c r="G2546" i="1" s="1"/>
  <c r="F2546" i="1"/>
  <c r="C2659" i="1"/>
  <c r="D2659" i="1" s="1"/>
  <c r="B2660" i="1"/>
  <c r="C1485" i="1"/>
  <c r="D1485" i="1" s="1"/>
  <c r="B1486" i="1"/>
  <c r="I1364" i="1"/>
  <c r="E1365" i="1" s="1"/>
  <c r="H892" i="1"/>
  <c r="J892" i="1"/>
  <c r="G892" i="1" s="1"/>
  <c r="F892" i="1"/>
  <c r="B1008" i="1"/>
  <c r="C1007" i="1"/>
  <c r="D1007" i="1" s="1"/>
  <c r="F146" i="1"/>
  <c r="H146" i="1"/>
  <c r="I146" i="1" s="1"/>
  <c r="E147" i="1" s="1"/>
  <c r="J147" i="1" s="1"/>
  <c r="G147" i="1" s="1"/>
  <c r="C271" i="1"/>
  <c r="D271" i="1" s="1"/>
  <c r="B272" i="1"/>
  <c r="H2953" i="1" l="1"/>
  <c r="J2953" i="1"/>
  <c r="G2953" i="1" s="1"/>
  <c r="F2953" i="1"/>
  <c r="I2546" i="1"/>
  <c r="E2547" i="1" s="1"/>
  <c r="C2660" i="1"/>
  <c r="D2660" i="1" s="1"/>
  <c r="B2661" i="1"/>
  <c r="J1365" i="1"/>
  <c r="G1365" i="1" s="1"/>
  <c r="H1365" i="1"/>
  <c r="I1365" i="1" s="1"/>
  <c r="E1366" i="1" s="1"/>
  <c r="F1365" i="1"/>
  <c r="C1486" i="1"/>
  <c r="D1486" i="1" s="1"/>
  <c r="B1487" i="1"/>
  <c r="C1008" i="1"/>
  <c r="D1008" i="1" s="1"/>
  <c r="B1009" i="1"/>
  <c r="I892" i="1"/>
  <c r="E893" i="1" s="1"/>
  <c r="F147" i="1"/>
  <c r="H147" i="1"/>
  <c r="B273" i="1"/>
  <c r="C272" i="1"/>
  <c r="D272" i="1" s="1"/>
  <c r="I2953" i="1" l="1"/>
  <c r="E2954" i="1" s="1"/>
  <c r="H2547" i="1"/>
  <c r="J2547" i="1"/>
  <c r="G2547" i="1" s="1"/>
  <c r="F2547" i="1"/>
  <c r="C2661" i="1"/>
  <c r="D2661" i="1" s="1"/>
  <c r="B2662" i="1"/>
  <c r="J1366" i="1"/>
  <c r="G1366" i="1" s="1"/>
  <c r="H1366" i="1"/>
  <c r="F1366" i="1"/>
  <c r="C1487" i="1"/>
  <c r="D1487" i="1" s="1"/>
  <c r="B1488" i="1"/>
  <c r="J893" i="1"/>
  <c r="G893" i="1" s="1"/>
  <c r="H893" i="1"/>
  <c r="F893" i="1"/>
  <c r="B1010" i="1"/>
  <c r="C1009" i="1"/>
  <c r="D1009" i="1" s="1"/>
  <c r="I147" i="1"/>
  <c r="E148" i="1" s="1"/>
  <c r="H148" i="1" s="1"/>
  <c r="C273" i="1"/>
  <c r="D273" i="1" s="1"/>
  <c r="B274" i="1"/>
  <c r="H2954" i="1" l="1"/>
  <c r="J2954" i="1"/>
  <c r="G2954" i="1" s="1"/>
  <c r="F2954" i="1"/>
  <c r="C2662" i="1"/>
  <c r="D2662" i="1" s="1"/>
  <c r="B2663" i="1"/>
  <c r="I2547" i="1"/>
  <c r="E2548" i="1" s="1"/>
  <c r="B1489" i="1"/>
  <c r="C1488" i="1"/>
  <c r="D1488" i="1" s="1"/>
  <c r="I1366" i="1"/>
  <c r="E1367" i="1" s="1"/>
  <c r="C1010" i="1"/>
  <c r="D1010" i="1" s="1"/>
  <c r="B1011" i="1"/>
  <c r="I893" i="1"/>
  <c r="E894" i="1" s="1"/>
  <c r="F148" i="1"/>
  <c r="J148" i="1"/>
  <c r="B275" i="1"/>
  <c r="C274" i="1"/>
  <c r="D274" i="1" s="1"/>
  <c r="I2954" i="1" l="1"/>
  <c r="E2955" i="1" s="1"/>
  <c r="H2548" i="1"/>
  <c r="J2548" i="1"/>
  <c r="G2548" i="1" s="1"/>
  <c r="F2548" i="1"/>
  <c r="C2663" i="1"/>
  <c r="D2663" i="1" s="1"/>
  <c r="B2664" i="1"/>
  <c r="H1367" i="1"/>
  <c r="J1367" i="1"/>
  <c r="G1367" i="1" s="1"/>
  <c r="F1367" i="1"/>
  <c r="B1490" i="1"/>
  <c r="C1489" i="1"/>
  <c r="D1489" i="1" s="1"/>
  <c r="J894" i="1"/>
  <c r="G894" i="1" s="1"/>
  <c r="H894" i="1"/>
  <c r="F894" i="1"/>
  <c r="C1011" i="1"/>
  <c r="D1011" i="1" s="1"/>
  <c r="B1012" i="1"/>
  <c r="G148" i="1"/>
  <c r="I148" i="1" s="1"/>
  <c r="E149" i="1" s="1"/>
  <c r="C275" i="1"/>
  <c r="D275" i="1" s="1"/>
  <c r="B276" i="1"/>
  <c r="H2955" i="1" l="1"/>
  <c r="J2955" i="1"/>
  <c r="G2955" i="1" s="1"/>
  <c r="F2955" i="1"/>
  <c r="C2664" i="1"/>
  <c r="D2664" i="1" s="1"/>
  <c r="B2665" i="1"/>
  <c r="I2548" i="1"/>
  <c r="E2549" i="1" s="1"/>
  <c r="C1490" i="1"/>
  <c r="D1490" i="1" s="1"/>
  <c r="B1491" i="1"/>
  <c r="I1367" i="1"/>
  <c r="E1368" i="1" s="1"/>
  <c r="C1012" i="1"/>
  <c r="D1012" i="1" s="1"/>
  <c r="B1013" i="1"/>
  <c r="I894" i="1"/>
  <c r="E895" i="1" s="1"/>
  <c r="H149" i="1"/>
  <c r="J149" i="1"/>
  <c r="G149" i="1" s="1"/>
  <c r="I149" i="1" s="1"/>
  <c r="E150" i="1" s="1"/>
  <c r="F149" i="1"/>
  <c r="B277" i="1"/>
  <c r="C276" i="1"/>
  <c r="D276" i="1" s="1"/>
  <c r="I2955" i="1" l="1"/>
  <c r="E2956" i="1" s="1"/>
  <c r="H2549" i="1"/>
  <c r="J2549" i="1"/>
  <c r="G2549" i="1" s="1"/>
  <c r="F2549" i="1"/>
  <c r="C2665" i="1"/>
  <c r="D2665" i="1" s="1"/>
  <c r="B2666" i="1"/>
  <c r="H1368" i="1"/>
  <c r="J1368" i="1"/>
  <c r="G1368" i="1" s="1"/>
  <c r="F1368" i="1"/>
  <c r="C1491" i="1"/>
  <c r="D1491" i="1" s="1"/>
  <c r="B1492" i="1"/>
  <c r="H895" i="1"/>
  <c r="J895" i="1"/>
  <c r="G895" i="1" s="1"/>
  <c r="F895" i="1"/>
  <c r="B1014" i="1"/>
  <c r="C1013" i="1"/>
  <c r="D1013" i="1" s="1"/>
  <c r="H150" i="1"/>
  <c r="J150" i="1"/>
  <c r="G150" i="1" s="1"/>
  <c r="F150" i="1"/>
  <c r="C277" i="1"/>
  <c r="D277" i="1" s="1"/>
  <c r="B278" i="1"/>
  <c r="J2956" i="1" l="1"/>
  <c r="G2956" i="1" s="1"/>
  <c r="H2956" i="1"/>
  <c r="F2956" i="1"/>
  <c r="C2666" i="1"/>
  <c r="D2666" i="1" s="1"/>
  <c r="B2667" i="1"/>
  <c r="I2549" i="1"/>
  <c r="E2550" i="1" s="1"/>
  <c r="B1493" i="1"/>
  <c r="C1492" i="1"/>
  <c r="D1492" i="1" s="1"/>
  <c r="I1368" i="1"/>
  <c r="E1369" i="1" s="1"/>
  <c r="C1014" i="1"/>
  <c r="D1014" i="1" s="1"/>
  <c r="B1015" i="1"/>
  <c r="I895" i="1"/>
  <c r="E896" i="1" s="1"/>
  <c r="C278" i="1"/>
  <c r="D278" i="1" s="1"/>
  <c r="B279" i="1"/>
  <c r="I150" i="1"/>
  <c r="E151" i="1" s="1"/>
  <c r="I2956" i="1" l="1"/>
  <c r="E2957" i="1" s="1"/>
  <c r="H2550" i="1"/>
  <c r="J2550" i="1"/>
  <c r="G2550" i="1" s="1"/>
  <c r="F2550" i="1"/>
  <c r="C2667" i="1"/>
  <c r="D2667" i="1" s="1"/>
  <c r="B2668" i="1"/>
  <c r="H1369" i="1"/>
  <c r="J1369" i="1"/>
  <c r="G1369" i="1" s="1"/>
  <c r="F1369" i="1"/>
  <c r="C1493" i="1"/>
  <c r="D1493" i="1" s="1"/>
  <c r="B1494" i="1"/>
  <c r="H896" i="1"/>
  <c r="J896" i="1"/>
  <c r="G896" i="1" s="1"/>
  <c r="F896" i="1"/>
  <c r="C1015" i="1"/>
  <c r="D1015" i="1" s="1"/>
  <c r="B1016" i="1"/>
  <c r="C279" i="1"/>
  <c r="D279" i="1" s="1"/>
  <c r="B280" i="1"/>
  <c r="H151" i="1"/>
  <c r="J151" i="1"/>
  <c r="G151" i="1" s="1"/>
  <c r="F151" i="1"/>
  <c r="J2957" i="1" l="1"/>
  <c r="G2957" i="1" s="1"/>
  <c r="H2957" i="1"/>
  <c r="F2957" i="1"/>
  <c r="C2668" i="1"/>
  <c r="D2668" i="1" s="1"/>
  <c r="B2669" i="1"/>
  <c r="I2550" i="1"/>
  <c r="E2551" i="1" s="1"/>
  <c r="B1495" i="1"/>
  <c r="C1494" i="1"/>
  <c r="D1494" i="1" s="1"/>
  <c r="I1369" i="1"/>
  <c r="E1370" i="1" s="1"/>
  <c r="B1017" i="1"/>
  <c r="C1016" i="1"/>
  <c r="D1016" i="1" s="1"/>
  <c r="I896" i="1"/>
  <c r="E897" i="1" s="1"/>
  <c r="I151" i="1"/>
  <c r="E152" i="1" s="1"/>
  <c r="C280" i="1"/>
  <c r="D280" i="1" s="1"/>
  <c r="B281" i="1"/>
  <c r="I2957" i="1" l="1"/>
  <c r="E2958" i="1" s="1"/>
  <c r="C2669" i="1"/>
  <c r="D2669" i="1" s="1"/>
  <c r="B2670" i="1"/>
  <c r="J2551" i="1"/>
  <c r="G2551" i="1" s="1"/>
  <c r="H2551" i="1"/>
  <c r="F2551" i="1"/>
  <c r="H1370" i="1"/>
  <c r="J1370" i="1"/>
  <c r="G1370" i="1" s="1"/>
  <c r="F1370" i="1"/>
  <c r="C1495" i="1"/>
  <c r="D1495" i="1" s="1"/>
  <c r="B1496" i="1"/>
  <c r="H897" i="1"/>
  <c r="J897" i="1"/>
  <c r="G897" i="1" s="1"/>
  <c r="F897" i="1"/>
  <c r="B1018" i="1"/>
  <c r="C1017" i="1"/>
  <c r="D1017" i="1" s="1"/>
  <c r="C281" i="1"/>
  <c r="D281" i="1" s="1"/>
  <c r="B282" i="1"/>
  <c r="H152" i="1"/>
  <c r="J152" i="1"/>
  <c r="G152" i="1" s="1"/>
  <c r="F152" i="1"/>
  <c r="J2958" i="1" l="1"/>
  <c r="G2958" i="1" s="1"/>
  <c r="H2958" i="1"/>
  <c r="F2958" i="1"/>
  <c r="I2551" i="1"/>
  <c r="E2552" i="1" s="1"/>
  <c r="C2670" i="1"/>
  <c r="D2670" i="1" s="1"/>
  <c r="B2671" i="1"/>
  <c r="C1496" i="1"/>
  <c r="D1496" i="1" s="1"/>
  <c r="B1497" i="1"/>
  <c r="I1370" i="1"/>
  <c r="E1371" i="1" s="1"/>
  <c r="C1018" i="1"/>
  <c r="D1018" i="1" s="1"/>
  <c r="B1019" i="1"/>
  <c r="I897" i="1"/>
  <c r="E898" i="1" s="1"/>
  <c r="B283" i="1"/>
  <c r="C282" i="1"/>
  <c r="D282" i="1" s="1"/>
  <c r="I152" i="1"/>
  <c r="E153" i="1" s="1"/>
  <c r="I2958" i="1" l="1"/>
  <c r="E2959" i="1" s="1"/>
  <c r="B2672" i="1"/>
  <c r="C2671" i="1"/>
  <c r="D2671" i="1" s="1"/>
  <c r="H2552" i="1"/>
  <c r="J2552" i="1"/>
  <c r="G2552" i="1" s="1"/>
  <c r="F2552" i="1"/>
  <c r="H1371" i="1"/>
  <c r="J1371" i="1"/>
  <c r="G1371" i="1" s="1"/>
  <c r="F1371" i="1"/>
  <c r="C1497" i="1"/>
  <c r="D1497" i="1" s="1"/>
  <c r="B1498" i="1"/>
  <c r="H898" i="1"/>
  <c r="J898" i="1"/>
  <c r="G898" i="1" s="1"/>
  <c r="F898" i="1"/>
  <c r="B1020" i="1"/>
  <c r="C1019" i="1"/>
  <c r="D1019" i="1" s="1"/>
  <c r="J153" i="1"/>
  <c r="G153" i="1" s="1"/>
  <c r="H153" i="1"/>
  <c r="F153" i="1"/>
  <c r="C283" i="1"/>
  <c r="D283" i="1" s="1"/>
  <c r="B284" i="1"/>
  <c r="H2959" i="1" l="1"/>
  <c r="J2959" i="1"/>
  <c r="G2959" i="1" s="1"/>
  <c r="F2959" i="1"/>
  <c r="I2552" i="1"/>
  <c r="E2553" i="1" s="1"/>
  <c r="C2672" i="1"/>
  <c r="D2672" i="1" s="1"/>
  <c r="B2673" i="1"/>
  <c r="C1498" i="1"/>
  <c r="D1498" i="1" s="1"/>
  <c r="B1499" i="1"/>
  <c r="I1371" i="1"/>
  <c r="E1372" i="1" s="1"/>
  <c r="C1020" i="1"/>
  <c r="D1020" i="1" s="1"/>
  <c r="B1021" i="1"/>
  <c r="I898" i="1"/>
  <c r="E899" i="1" s="1"/>
  <c r="I153" i="1"/>
  <c r="E154" i="1" s="1"/>
  <c r="J154" i="1" s="1"/>
  <c r="G154" i="1" s="1"/>
  <c r="B285" i="1"/>
  <c r="C284" i="1"/>
  <c r="D284" i="1" s="1"/>
  <c r="I2959" i="1" l="1"/>
  <c r="E2960" i="1" s="1"/>
  <c r="B2674" i="1"/>
  <c r="C2673" i="1"/>
  <c r="D2673" i="1" s="1"/>
  <c r="H2553" i="1"/>
  <c r="J2553" i="1"/>
  <c r="G2553" i="1" s="1"/>
  <c r="F2553" i="1"/>
  <c r="H1372" i="1"/>
  <c r="J1372" i="1"/>
  <c r="G1372" i="1" s="1"/>
  <c r="F1372" i="1"/>
  <c r="C1499" i="1"/>
  <c r="D1499" i="1" s="1"/>
  <c r="B1500" i="1"/>
  <c r="H899" i="1"/>
  <c r="J899" i="1"/>
  <c r="G899" i="1" s="1"/>
  <c r="F899" i="1"/>
  <c r="B1022" i="1"/>
  <c r="C1021" i="1"/>
  <c r="D1021" i="1" s="1"/>
  <c r="F154" i="1"/>
  <c r="H154" i="1"/>
  <c r="C285" i="1"/>
  <c r="D285" i="1" s="1"/>
  <c r="B286" i="1"/>
  <c r="H2960" i="1" l="1"/>
  <c r="J2960" i="1"/>
  <c r="G2960" i="1" s="1"/>
  <c r="F2960" i="1"/>
  <c r="I2553" i="1"/>
  <c r="E2554" i="1" s="1"/>
  <c r="C2674" i="1"/>
  <c r="D2674" i="1" s="1"/>
  <c r="B2675" i="1"/>
  <c r="C1500" i="1"/>
  <c r="D1500" i="1" s="1"/>
  <c r="B1501" i="1"/>
  <c r="I1372" i="1"/>
  <c r="E1373" i="1" s="1"/>
  <c r="C1022" i="1"/>
  <c r="D1022" i="1" s="1"/>
  <c r="B1023" i="1"/>
  <c r="I899" i="1"/>
  <c r="E900" i="1" s="1"/>
  <c r="I154" i="1"/>
  <c r="E155" i="1" s="1"/>
  <c r="J155" i="1" s="1"/>
  <c r="G155" i="1" s="1"/>
  <c r="B287" i="1"/>
  <c r="C286" i="1"/>
  <c r="D286" i="1" s="1"/>
  <c r="I2960" i="1" l="1"/>
  <c r="E2961" i="1" s="1"/>
  <c r="C2675" i="1"/>
  <c r="D2675" i="1" s="1"/>
  <c r="B2676" i="1"/>
  <c r="H2554" i="1"/>
  <c r="J2554" i="1"/>
  <c r="G2554" i="1" s="1"/>
  <c r="F2554" i="1"/>
  <c r="H1373" i="1"/>
  <c r="J1373" i="1"/>
  <c r="G1373" i="1" s="1"/>
  <c r="F1373" i="1"/>
  <c r="B1502" i="1"/>
  <c r="C1501" i="1"/>
  <c r="D1501" i="1" s="1"/>
  <c r="H900" i="1"/>
  <c r="J900" i="1"/>
  <c r="G900" i="1" s="1"/>
  <c r="F900" i="1"/>
  <c r="C1023" i="1"/>
  <c r="D1023" i="1" s="1"/>
  <c r="B1024" i="1"/>
  <c r="H155" i="1"/>
  <c r="F155" i="1"/>
  <c r="C287" i="1"/>
  <c r="D287" i="1" s="1"/>
  <c r="B288" i="1"/>
  <c r="J2961" i="1" l="1"/>
  <c r="G2961" i="1" s="1"/>
  <c r="H2961" i="1"/>
  <c r="F2961" i="1"/>
  <c r="C2676" i="1"/>
  <c r="D2676" i="1" s="1"/>
  <c r="B2677" i="1"/>
  <c r="I2554" i="1"/>
  <c r="E2555" i="1" s="1"/>
  <c r="B1503" i="1"/>
  <c r="C1502" i="1"/>
  <c r="D1502" i="1" s="1"/>
  <c r="I1373" i="1"/>
  <c r="E1374" i="1" s="1"/>
  <c r="B1025" i="1"/>
  <c r="C1024" i="1"/>
  <c r="D1024" i="1" s="1"/>
  <c r="I900" i="1"/>
  <c r="E901" i="1" s="1"/>
  <c r="I155" i="1"/>
  <c r="E156" i="1" s="1"/>
  <c r="C288" i="1"/>
  <c r="D288" i="1" s="1"/>
  <c r="B289" i="1"/>
  <c r="I2961" i="1" l="1"/>
  <c r="E2962" i="1" s="1"/>
  <c r="H2555" i="1"/>
  <c r="J2555" i="1"/>
  <c r="G2555" i="1" s="1"/>
  <c r="F2555" i="1"/>
  <c r="C2677" i="1"/>
  <c r="D2677" i="1" s="1"/>
  <c r="B2678" i="1"/>
  <c r="J1374" i="1"/>
  <c r="G1374" i="1" s="1"/>
  <c r="H1374" i="1"/>
  <c r="F1374" i="1"/>
  <c r="C1503" i="1"/>
  <c r="D1503" i="1" s="1"/>
  <c r="B1504" i="1"/>
  <c r="J901" i="1"/>
  <c r="G901" i="1" s="1"/>
  <c r="H901" i="1"/>
  <c r="I901" i="1" s="1"/>
  <c r="E902" i="1" s="1"/>
  <c r="F901" i="1"/>
  <c r="B1026" i="1"/>
  <c r="C1025" i="1"/>
  <c r="D1025" i="1" s="1"/>
  <c r="F156" i="1"/>
  <c r="H156" i="1"/>
  <c r="J156" i="1"/>
  <c r="G156" i="1" s="1"/>
  <c r="B290" i="1"/>
  <c r="C289" i="1"/>
  <c r="D289" i="1" s="1"/>
  <c r="H2962" i="1" l="1"/>
  <c r="J2962" i="1"/>
  <c r="G2962" i="1" s="1"/>
  <c r="F2962" i="1"/>
  <c r="C2678" i="1"/>
  <c r="D2678" i="1" s="1"/>
  <c r="B2679" i="1"/>
  <c r="I2555" i="1"/>
  <c r="E2556" i="1" s="1"/>
  <c r="B1505" i="1"/>
  <c r="C1504" i="1"/>
  <c r="D1504" i="1" s="1"/>
  <c r="I1374" i="1"/>
  <c r="E1375" i="1" s="1"/>
  <c r="H902" i="1"/>
  <c r="J902" i="1"/>
  <c r="G902" i="1" s="1"/>
  <c r="F902" i="1"/>
  <c r="C1026" i="1"/>
  <c r="D1026" i="1" s="1"/>
  <c r="B1027" i="1"/>
  <c r="I156" i="1"/>
  <c r="E157" i="1" s="1"/>
  <c r="B291" i="1"/>
  <c r="C290" i="1"/>
  <c r="D290" i="1" s="1"/>
  <c r="I2962" i="1" l="1"/>
  <c r="E2963" i="1" s="1"/>
  <c r="B2680" i="1"/>
  <c r="C2679" i="1"/>
  <c r="D2679" i="1" s="1"/>
  <c r="J2556" i="1"/>
  <c r="G2556" i="1" s="1"/>
  <c r="H2556" i="1"/>
  <c r="F2556" i="1"/>
  <c r="J1375" i="1"/>
  <c r="G1375" i="1" s="1"/>
  <c r="H1375" i="1"/>
  <c r="F1375" i="1"/>
  <c r="B1506" i="1"/>
  <c r="C1505" i="1"/>
  <c r="D1505" i="1" s="1"/>
  <c r="B1028" i="1"/>
  <c r="C1027" i="1"/>
  <c r="D1027" i="1" s="1"/>
  <c r="I902" i="1"/>
  <c r="E903" i="1" s="1"/>
  <c r="H157" i="1"/>
  <c r="J157" i="1"/>
  <c r="F157" i="1"/>
  <c r="C291" i="1"/>
  <c r="D291" i="1" s="1"/>
  <c r="B292" i="1"/>
  <c r="J2963" i="1" l="1"/>
  <c r="G2963" i="1" s="1"/>
  <c r="H2963" i="1"/>
  <c r="F2963" i="1"/>
  <c r="I2556" i="1"/>
  <c r="E2557" i="1" s="1"/>
  <c r="C2680" i="1"/>
  <c r="D2680" i="1" s="1"/>
  <c r="B2681" i="1"/>
  <c r="C1506" i="1"/>
  <c r="D1506" i="1" s="1"/>
  <c r="B1507" i="1"/>
  <c r="I1375" i="1"/>
  <c r="E1376" i="1" s="1"/>
  <c r="H903" i="1"/>
  <c r="J903" i="1"/>
  <c r="G903" i="1" s="1"/>
  <c r="F903" i="1"/>
  <c r="B1029" i="1"/>
  <c r="C1028" i="1"/>
  <c r="D1028" i="1" s="1"/>
  <c r="G157" i="1"/>
  <c r="I157" i="1" s="1"/>
  <c r="E158" i="1" s="1"/>
  <c r="C292" i="1"/>
  <c r="D292" i="1" s="1"/>
  <c r="B293" i="1"/>
  <c r="I2963" i="1" l="1"/>
  <c r="E2964" i="1" s="1"/>
  <c r="B2682" i="1"/>
  <c r="C2681" i="1"/>
  <c r="D2681" i="1" s="1"/>
  <c r="H2557" i="1"/>
  <c r="J2557" i="1"/>
  <c r="G2557" i="1" s="1"/>
  <c r="F2557" i="1"/>
  <c r="H1376" i="1"/>
  <c r="J1376" i="1"/>
  <c r="G1376" i="1" s="1"/>
  <c r="F1376" i="1"/>
  <c r="C1507" i="1"/>
  <c r="D1507" i="1" s="1"/>
  <c r="B1508" i="1"/>
  <c r="C1029" i="1"/>
  <c r="D1029" i="1" s="1"/>
  <c r="B1030" i="1"/>
  <c r="I903" i="1"/>
  <c r="E904" i="1" s="1"/>
  <c r="H158" i="1"/>
  <c r="J158" i="1"/>
  <c r="G158" i="1" s="1"/>
  <c r="F158" i="1"/>
  <c r="I158" i="1"/>
  <c r="E159" i="1" s="1"/>
  <c r="B294" i="1"/>
  <c r="C293" i="1"/>
  <c r="D293" i="1" s="1"/>
  <c r="H2964" i="1" l="1"/>
  <c r="J2964" i="1"/>
  <c r="G2964" i="1" s="1"/>
  <c r="F2964" i="1"/>
  <c r="I2557" i="1"/>
  <c r="E2558" i="1" s="1"/>
  <c r="C2682" i="1"/>
  <c r="D2682" i="1" s="1"/>
  <c r="B2683" i="1"/>
  <c r="B1509" i="1"/>
  <c r="C1508" i="1"/>
  <c r="D1508" i="1" s="1"/>
  <c r="I1376" i="1"/>
  <c r="E1377" i="1" s="1"/>
  <c r="H904" i="1"/>
  <c r="J904" i="1"/>
  <c r="G904" i="1" s="1"/>
  <c r="F904" i="1"/>
  <c r="C1030" i="1"/>
  <c r="D1030" i="1" s="1"/>
  <c r="B1031" i="1"/>
  <c r="H159" i="1"/>
  <c r="J159" i="1"/>
  <c r="G159" i="1" s="1"/>
  <c r="F159" i="1"/>
  <c r="B295" i="1"/>
  <c r="C294" i="1"/>
  <c r="D294" i="1" s="1"/>
  <c r="I2964" i="1" l="1"/>
  <c r="E2965" i="1" s="1"/>
  <c r="B2684" i="1"/>
  <c r="C2683" i="1"/>
  <c r="D2683" i="1" s="1"/>
  <c r="H2558" i="1"/>
  <c r="J2558" i="1"/>
  <c r="G2558" i="1" s="1"/>
  <c r="F2558" i="1"/>
  <c r="H1377" i="1"/>
  <c r="I1377" i="1" s="1"/>
  <c r="E1378" i="1" s="1"/>
  <c r="J1377" i="1"/>
  <c r="G1377" i="1" s="1"/>
  <c r="F1377" i="1"/>
  <c r="B1510" i="1"/>
  <c r="C1509" i="1"/>
  <c r="D1509" i="1" s="1"/>
  <c r="B1032" i="1"/>
  <c r="C1031" i="1"/>
  <c r="D1031" i="1" s="1"/>
  <c r="I904" i="1"/>
  <c r="E905" i="1" s="1"/>
  <c r="I159" i="1"/>
  <c r="E160" i="1" s="1"/>
  <c r="C295" i="1"/>
  <c r="D295" i="1" s="1"/>
  <c r="B296" i="1"/>
  <c r="J2965" i="1" l="1"/>
  <c r="G2965" i="1" s="1"/>
  <c r="H2965" i="1"/>
  <c r="F2965" i="1"/>
  <c r="I2558" i="1"/>
  <c r="E2559" i="1" s="1"/>
  <c r="C2684" i="1"/>
  <c r="D2684" i="1" s="1"/>
  <c r="B2685" i="1"/>
  <c r="H1378" i="1"/>
  <c r="J1378" i="1"/>
  <c r="G1378" i="1" s="1"/>
  <c r="F1378" i="1"/>
  <c r="B1511" i="1"/>
  <c r="C1510" i="1"/>
  <c r="D1510" i="1" s="1"/>
  <c r="H905" i="1"/>
  <c r="J905" i="1"/>
  <c r="G905" i="1" s="1"/>
  <c r="F905" i="1"/>
  <c r="C1032" i="1"/>
  <c r="D1032" i="1" s="1"/>
  <c r="B1033" i="1"/>
  <c r="H160" i="1"/>
  <c r="J160" i="1"/>
  <c r="G160" i="1" s="1"/>
  <c r="F160" i="1"/>
  <c r="B297" i="1"/>
  <c r="C296" i="1"/>
  <c r="D296" i="1" s="1"/>
  <c r="I2965" i="1" l="1"/>
  <c r="E2966" i="1" s="1"/>
  <c r="B2686" i="1"/>
  <c r="C2686" i="1" s="1"/>
  <c r="D2686" i="1" s="1"/>
  <c r="C2685" i="1"/>
  <c r="D2685" i="1" s="1"/>
  <c r="J2559" i="1"/>
  <c r="G2559" i="1" s="1"/>
  <c r="H2559" i="1"/>
  <c r="I2559" i="1" s="1"/>
  <c r="E2560" i="1" s="1"/>
  <c r="F2559" i="1"/>
  <c r="C1511" i="1"/>
  <c r="D1511" i="1" s="1"/>
  <c r="B1512" i="1"/>
  <c r="I1378" i="1"/>
  <c r="E1379" i="1" s="1"/>
  <c r="C1033" i="1"/>
  <c r="D1033" i="1" s="1"/>
  <c r="B1034" i="1"/>
  <c r="I905" i="1"/>
  <c r="E906" i="1" s="1"/>
  <c r="I160" i="1"/>
  <c r="E161" i="1" s="1"/>
  <c r="C297" i="1"/>
  <c r="D297" i="1" s="1"/>
  <c r="B298" i="1"/>
  <c r="J2966" i="1" l="1"/>
  <c r="G2966" i="1" s="1"/>
  <c r="H2966" i="1"/>
  <c r="F2966" i="1"/>
  <c r="H2560" i="1"/>
  <c r="J2560" i="1"/>
  <c r="G2560" i="1" s="1"/>
  <c r="F2560" i="1"/>
  <c r="H1379" i="1"/>
  <c r="J1379" i="1"/>
  <c r="G1379" i="1" s="1"/>
  <c r="F1379" i="1"/>
  <c r="C1512" i="1"/>
  <c r="D1512" i="1" s="1"/>
  <c r="B1513" i="1"/>
  <c r="C1034" i="1"/>
  <c r="D1034" i="1" s="1"/>
  <c r="B1035" i="1"/>
  <c r="H906" i="1"/>
  <c r="J906" i="1"/>
  <c r="G906" i="1" s="1"/>
  <c r="F906" i="1"/>
  <c r="J161" i="1"/>
  <c r="G161" i="1" s="1"/>
  <c r="H161" i="1"/>
  <c r="F161" i="1"/>
  <c r="B299" i="1"/>
  <c r="C298" i="1"/>
  <c r="D298" i="1" s="1"/>
  <c r="I2966" i="1" l="1"/>
  <c r="E2967" i="1" s="1"/>
  <c r="I2560" i="1"/>
  <c r="E2561" i="1" s="1"/>
  <c r="C1513" i="1"/>
  <c r="D1513" i="1" s="1"/>
  <c r="B1514" i="1"/>
  <c r="I1379" i="1"/>
  <c r="E1380" i="1" s="1"/>
  <c r="I906" i="1"/>
  <c r="E907" i="1" s="1"/>
  <c r="C1035" i="1"/>
  <c r="D1035" i="1" s="1"/>
  <c r="B1036" i="1"/>
  <c r="I161" i="1"/>
  <c r="E162" i="1" s="1"/>
  <c r="B300" i="1"/>
  <c r="C299" i="1"/>
  <c r="D299" i="1" s="1"/>
  <c r="H2967" i="1" l="1"/>
  <c r="J2967" i="1"/>
  <c r="G2967" i="1" s="1"/>
  <c r="F2967" i="1"/>
  <c r="J2561" i="1"/>
  <c r="G2561" i="1" s="1"/>
  <c r="H2561" i="1"/>
  <c r="F2561" i="1"/>
  <c r="H1380" i="1"/>
  <c r="J1380" i="1"/>
  <c r="G1380" i="1" s="1"/>
  <c r="F1380" i="1"/>
  <c r="C1514" i="1"/>
  <c r="D1514" i="1" s="1"/>
  <c r="B1515" i="1"/>
  <c r="C1036" i="1"/>
  <c r="D1036" i="1" s="1"/>
  <c r="B1037" i="1"/>
  <c r="H907" i="1"/>
  <c r="I907" i="1" s="1"/>
  <c r="E908" i="1" s="1"/>
  <c r="J907" i="1"/>
  <c r="G907" i="1" s="1"/>
  <c r="F907" i="1"/>
  <c r="J162" i="1"/>
  <c r="G162" i="1" s="1"/>
  <c r="H162" i="1"/>
  <c r="F162" i="1"/>
  <c r="C300" i="1"/>
  <c r="D300" i="1" s="1"/>
  <c r="B301" i="1"/>
  <c r="I2967" i="1" l="1"/>
  <c r="E2968" i="1" s="1"/>
  <c r="I2561" i="1"/>
  <c r="E2562" i="1" s="1"/>
  <c r="C1515" i="1"/>
  <c r="D1515" i="1" s="1"/>
  <c r="B1516" i="1"/>
  <c r="I1380" i="1"/>
  <c r="E1381" i="1" s="1"/>
  <c r="H908" i="1"/>
  <c r="J908" i="1"/>
  <c r="G908" i="1" s="1"/>
  <c r="F908" i="1"/>
  <c r="C1037" i="1"/>
  <c r="D1037" i="1" s="1"/>
  <c r="B1038" i="1"/>
  <c r="I162" i="1"/>
  <c r="E163" i="1" s="1"/>
  <c r="C301" i="1"/>
  <c r="D301" i="1" s="1"/>
  <c r="B302" i="1"/>
  <c r="H2968" i="1" l="1"/>
  <c r="J2968" i="1"/>
  <c r="G2968" i="1" s="1"/>
  <c r="F2968" i="1"/>
  <c r="H2562" i="1"/>
  <c r="J2562" i="1"/>
  <c r="G2562" i="1" s="1"/>
  <c r="F2562" i="1"/>
  <c r="H1381" i="1"/>
  <c r="J1381" i="1"/>
  <c r="G1381" i="1" s="1"/>
  <c r="F1381" i="1"/>
  <c r="C1516" i="1"/>
  <c r="D1516" i="1" s="1"/>
  <c r="B1517" i="1"/>
  <c r="C1038" i="1"/>
  <c r="D1038" i="1" s="1"/>
  <c r="B1039" i="1"/>
  <c r="I908" i="1"/>
  <c r="E909" i="1" s="1"/>
  <c r="J163" i="1"/>
  <c r="G163" i="1" s="1"/>
  <c r="H163" i="1"/>
  <c r="F163" i="1"/>
  <c r="B303" i="1"/>
  <c r="C302" i="1"/>
  <c r="D302" i="1" s="1"/>
  <c r="I2968" i="1" l="1"/>
  <c r="E2969" i="1" s="1"/>
  <c r="I2562" i="1"/>
  <c r="E2563" i="1" s="1"/>
  <c r="C1517" i="1"/>
  <c r="D1517" i="1" s="1"/>
  <c r="B1518" i="1"/>
  <c r="I1381" i="1"/>
  <c r="E1382" i="1" s="1"/>
  <c r="J909" i="1"/>
  <c r="G909" i="1" s="1"/>
  <c r="H909" i="1"/>
  <c r="F909" i="1"/>
  <c r="C1039" i="1"/>
  <c r="D1039" i="1" s="1"/>
  <c r="B1040" i="1"/>
  <c r="I163" i="1"/>
  <c r="E164" i="1" s="1"/>
  <c r="H164" i="1"/>
  <c r="J164" i="1"/>
  <c r="G164" i="1" s="1"/>
  <c r="F164" i="1"/>
  <c r="B304" i="1"/>
  <c r="C303" i="1"/>
  <c r="D303" i="1" s="1"/>
  <c r="H2969" i="1" l="1"/>
  <c r="J2969" i="1"/>
  <c r="G2969" i="1" s="1"/>
  <c r="F2969" i="1"/>
  <c r="H2563" i="1"/>
  <c r="J2563" i="1"/>
  <c r="G2563" i="1" s="1"/>
  <c r="F2563" i="1"/>
  <c r="B1519" i="1"/>
  <c r="C1518" i="1"/>
  <c r="D1518" i="1" s="1"/>
  <c r="J1382" i="1"/>
  <c r="G1382" i="1" s="1"/>
  <c r="H1382" i="1"/>
  <c r="F1382" i="1"/>
  <c r="C1040" i="1"/>
  <c r="D1040" i="1" s="1"/>
  <c r="B1041" i="1"/>
  <c r="I909" i="1"/>
  <c r="E910" i="1" s="1"/>
  <c r="I164" i="1"/>
  <c r="E165" i="1" s="1"/>
  <c r="C304" i="1"/>
  <c r="D304" i="1" s="1"/>
  <c r="B305" i="1"/>
  <c r="I2969" i="1" l="1"/>
  <c r="I2563" i="1"/>
  <c r="E2564" i="1" s="1"/>
  <c r="I1382" i="1"/>
  <c r="E1383" i="1" s="1"/>
  <c r="C1519" i="1"/>
  <c r="D1519" i="1" s="1"/>
  <c r="B1520" i="1"/>
  <c r="H910" i="1"/>
  <c r="J910" i="1"/>
  <c r="G910" i="1" s="1"/>
  <c r="F910" i="1"/>
  <c r="B1042" i="1"/>
  <c r="C1041" i="1"/>
  <c r="D1041" i="1" s="1"/>
  <c r="H165" i="1"/>
  <c r="F165" i="1"/>
  <c r="J165" i="1"/>
  <c r="G165" i="1" s="1"/>
  <c r="C305" i="1"/>
  <c r="D305" i="1" s="1"/>
  <c r="B306" i="1"/>
  <c r="J2564" i="1" l="1"/>
  <c r="G2564" i="1" s="1"/>
  <c r="H2564" i="1"/>
  <c r="F2564" i="1"/>
  <c r="B1521" i="1"/>
  <c r="C1520" i="1"/>
  <c r="D1520" i="1" s="1"/>
  <c r="H1383" i="1"/>
  <c r="J1383" i="1"/>
  <c r="G1383" i="1" s="1"/>
  <c r="F1383" i="1"/>
  <c r="C1042" i="1"/>
  <c r="D1042" i="1" s="1"/>
  <c r="B1043" i="1"/>
  <c r="I910" i="1"/>
  <c r="E911" i="1" s="1"/>
  <c r="I165" i="1"/>
  <c r="E166" i="1" s="1"/>
  <c r="B307" i="1"/>
  <c r="C306" i="1"/>
  <c r="D306" i="1" s="1"/>
  <c r="I2564" i="1" l="1"/>
  <c r="E2565" i="1" s="1"/>
  <c r="I1383" i="1"/>
  <c r="E1384" i="1" s="1"/>
  <c r="C1521" i="1"/>
  <c r="D1521" i="1" s="1"/>
  <c r="B1522" i="1"/>
  <c r="H911" i="1"/>
  <c r="J911" i="1"/>
  <c r="G911" i="1" s="1"/>
  <c r="F911" i="1"/>
  <c r="B1044" i="1"/>
  <c r="C1043" i="1"/>
  <c r="D1043" i="1" s="1"/>
  <c r="H166" i="1"/>
  <c r="J166" i="1"/>
  <c r="G166" i="1" s="1"/>
  <c r="F166" i="1"/>
  <c r="C307" i="1"/>
  <c r="D307" i="1" s="1"/>
  <c r="B308" i="1"/>
  <c r="H2565" i="1" l="1"/>
  <c r="J2565" i="1"/>
  <c r="G2565" i="1" s="1"/>
  <c r="F2565" i="1"/>
  <c r="B1523" i="1"/>
  <c r="C1522" i="1"/>
  <c r="D1522" i="1" s="1"/>
  <c r="H1384" i="1"/>
  <c r="J1384" i="1"/>
  <c r="G1384" i="1" s="1"/>
  <c r="F1384" i="1"/>
  <c r="C1044" i="1"/>
  <c r="D1044" i="1" s="1"/>
  <c r="B1045" i="1"/>
  <c r="I911" i="1"/>
  <c r="E912" i="1" s="1"/>
  <c r="I166" i="1"/>
  <c r="E167" i="1" s="1"/>
  <c r="B309" i="1"/>
  <c r="C308" i="1"/>
  <c r="D308" i="1" s="1"/>
  <c r="I2565" i="1" l="1"/>
  <c r="E2566" i="1" s="1"/>
  <c r="I1384" i="1"/>
  <c r="E1385" i="1" s="1"/>
  <c r="C1523" i="1"/>
  <c r="D1523" i="1" s="1"/>
  <c r="B1524" i="1"/>
  <c r="J912" i="1"/>
  <c r="G912" i="1" s="1"/>
  <c r="H912" i="1"/>
  <c r="F912" i="1"/>
  <c r="C1045" i="1"/>
  <c r="D1045" i="1" s="1"/>
  <c r="B1046" i="1"/>
  <c r="H167" i="1"/>
  <c r="F167" i="1"/>
  <c r="J167" i="1"/>
  <c r="G167" i="1" s="1"/>
  <c r="B310" i="1"/>
  <c r="C309" i="1"/>
  <c r="D309" i="1" s="1"/>
  <c r="H2566" i="1" l="1"/>
  <c r="J2566" i="1"/>
  <c r="G2566" i="1" s="1"/>
  <c r="F2566" i="1"/>
  <c r="B1525" i="1"/>
  <c r="C1524" i="1"/>
  <c r="D1524" i="1" s="1"/>
  <c r="J1385" i="1"/>
  <c r="G1385" i="1" s="1"/>
  <c r="H1385" i="1"/>
  <c r="I1385" i="1" s="1"/>
  <c r="E1386" i="1" s="1"/>
  <c r="F1385" i="1"/>
  <c r="C1046" i="1"/>
  <c r="D1046" i="1" s="1"/>
  <c r="B1047" i="1"/>
  <c r="I912" i="1"/>
  <c r="E913" i="1" s="1"/>
  <c r="I167" i="1"/>
  <c r="E168" i="1" s="1"/>
  <c r="C310" i="1"/>
  <c r="D310" i="1" s="1"/>
  <c r="B311" i="1"/>
  <c r="I2566" i="1" l="1"/>
  <c r="E2567" i="1" s="1"/>
  <c r="H1386" i="1"/>
  <c r="J1386" i="1"/>
  <c r="G1386" i="1" s="1"/>
  <c r="F1386" i="1"/>
  <c r="B1526" i="1"/>
  <c r="C1525" i="1"/>
  <c r="D1525" i="1" s="1"/>
  <c r="H913" i="1"/>
  <c r="J913" i="1"/>
  <c r="G913" i="1" s="1"/>
  <c r="F913" i="1"/>
  <c r="C1047" i="1"/>
  <c r="D1047" i="1" s="1"/>
  <c r="B1048" i="1"/>
  <c r="H168" i="1"/>
  <c r="J168" i="1"/>
  <c r="G168" i="1" s="1"/>
  <c r="F168" i="1"/>
  <c r="C311" i="1"/>
  <c r="D311" i="1" s="1"/>
  <c r="B312" i="1"/>
  <c r="H2567" i="1" l="1"/>
  <c r="J2567" i="1"/>
  <c r="G2567" i="1" s="1"/>
  <c r="F2567" i="1"/>
  <c r="B1527" i="1"/>
  <c r="C1526" i="1"/>
  <c r="D1526" i="1" s="1"/>
  <c r="I1386" i="1"/>
  <c r="E1387" i="1" s="1"/>
  <c r="C1048" i="1"/>
  <c r="D1048" i="1" s="1"/>
  <c r="B1049" i="1"/>
  <c r="I913" i="1"/>
  <c r="E914" i="1" s="1"/>
  <c r="I168" i="1"/>
  <c r="E169" i="1" s="1"/>
  <c r="C312" i="1"/>
  <c r="D312" i="1" s="1"/>
  <c r="B313" i="1"/>
  <c r="I2567" i="1" l="1"/>
  <c r="E2568" i="1" s="1"/>
  <c r="H1387" i="1"/>
  <c r="I1387" i="1" s="1"/>
  <c r="E1388" i="1" s="1"/>
  <c r="J1387" i="1"/>
  <c r="G1387" i="1" s="1"/>
  <c r="F1387" i="1"/>
  <c r="C1527" i="1"/>
  <c r="D1527" i="1" s="1"/>
  <c r="B1528" i="1"/>
  <c r="H914" i="1"/>
  <c r="J914" i="1"/>
  <c r="G914" i="1" s="1"/>
  <c r="F914" i="1"/>
  <c r="C1049" i="1"/>
  <c r="D1049" i="1" s="1"/>
  <c r="B1050" i="1"/>
  <c r="J169" i="1"/>
  <c r="G169" i="1" s="1"/>
  <c r="F169" i="1"/>
  <c r="H169" i="1"/>
  <c r="C313" i="1"/>
  <c r="D313" i="1" s="1"/>
  <c r="B314" i="1"/>
  <c r="H2568" i="1" l="1"/>
  <c r="J2568" i="1"/>
  <c r="G2568" i="1" s="1"/>
  <c r="F2568" i="1"/>
  <c r="H1388" i="1"/>
  <c r="J1388" i="1"/>
  <c r="G1388" i="1" s="1"/>
  <c r="F1388" i="1"/>
  <c r="B1529" i="1"/>
  <c r="C1528" i="1"/>
  <c r="D1528" i="1" s="1"/>
  <c r="C1050" i="1"/>
  <c r="D1050" i="1" s="1"/>
  <c r="B1051" i="1"/>
  <c r="I914" i="1"/>
  <c r="E915" i="1" s="1"/>
  <c r="I169" i="1"/>
  <c r="E170" i="1" s="1"/>
  <c r="J170" i="1"/>
  <c r="G170" i="1" s="1"/>
  <c r="H170" i="1"/>
  <c r="F170" i="1"/>
  <c r="C314" i="1"/>
  <c r="D314" i="1" s="1"/>
  <c r="B315" i="1"/>
  <c r="I2568" i="1" l="1"/>
  <c r="E2569" i="1" s="1"/>
  <c r="B1530" i="1"/>
  <c r="C1529" i="1"/>
  <c r="D1529" i="1" s="1"/>
  <c r="I1388" i="1"/>
  <c r="E1389" i="1" s="1"/>
  <c r="H915" i="1"/>
  <c r="J915" i="1"/>
  <c r="G915" i="1" s="1"/>
  <c r="F915" i="1"/>
  <c r="C1051" i="1"/>
  <c r="D1051" i="1" s="1"/>
  <c r="B1052" i="1"/>
  <c r="I170" i="1"/>
  <c r="E171" i="1" s="1"/>
  <c r="C315" i="1"/>
  <c r="D315" i="1" s="1"/>
  <c r="B316" i="1"/>
  <c r="J2569" i="1" l="1"/>
  <c r="G2569" i="1" s="1"/>
  <c r="H2569" i="1"/>
  <c r="I2569" i="1" s="1"/>
  <c r="E2570" i="1" s="1"/>
  <c r="F2569" i="1"/>
  <c r="H1389" i="1"/>
  <c r="J1389" i="1"/>
  <c r="G1389" i="1" s="1"/>
  <c r="F1389" i="1"/>
  <c r="C1530" i="1"/>
  <c r="D1530" i="1" s="1"/>
  <c r="B1531" i="1"/>
  <c r="C1052" i="1"/>
  <c r="D1052" i="1" s="1"/>
  <c r="B1053" i="1"/>
  <c r="I915" i="1"/>
  <c r="E916" i="1" s="1"/>
  <c r="H171" i="1"/>
  <c r="F171" i="1"/>
  <c r="J171" i="1"/>
  <c r="G171" i="1" s="1"/>
  <c r="C316" i="1"/>
  <c r="D316" i="1" s="1"/>
  <c r="B317" i="1"/>
  <c r="H2570" i="1" l="1"/>
  <c r="J2570" i="1"/>
  <c r="G2570" i="1" s="1"/>
  <c r="F2570" i="1"/>
  <c r="C1531" i="1"/>
  <c r="D1531" i="1" s="1"/>
  <c r="B1532" i="1"/>
  <c r="I1389" i="1"/>
  <c r="E1390" i="1" s="1"/>
  <c r="H916" i="1"/>
  <c r="J916" i="1"/>
  <c r="G916" i="1" s="1"/>
  <c r="F916" i="1"/>
  <c r="C1053" i="1"/>
  <c r="D1053" i="1" s="1"/>
  <c r="B1054" i="1"/>
  <c r="I171" i="1"/>
  <c r="E172" i="1" s="1"/>
  <c r="C317" i="1"/>
  <c r="D317" i="1" s="1"/>
  <c r="B318" i="1"/>
  <c r="I2570" i="1" l="1"/>
  <c r="E2571" i="1" s="1"/>
  <c r="J1390" i="1"/>
  <c r="G1390" i="1" s="1"/>
  <c r="H1390" i="1"/>
  <c r="I1390" i="1" s="1"/>
  <c r="E1391" i="1" s="1"/>
  <c r="F1390" i="1"/>
  <c r="B1533" i="1"/>
  <c r="C1532" i="1"/>
  <c r="D1532" i="1" s="1"/>
  <c r="C1054" i="1"/>
  <c r="D1054" i="1" s="1"/>
  <c r="B1055" i="1"/>
  <c r="I916" i="1"/>
  <c r="E917" i="1" s="1"/>
  <c r="H172" i="1"/>
  <c r="F172" i="1"/>
  <c r="J172" i="1"/>
  <c r="G172" i="1" s="1"/>
  <c r="C318" i="1"/>
  <c r="D318" i="1" s="1"/>
  <c r="B319" i="1"/>
  <c r="H2571" i="1" l="1"/>
  <c r="J2571" i="1"/>
  <c r="G2571" i="1" s="1"/>
  <c r="F2571" i="1"/>
  <c r="J1391" i="1"/>
  <c r="G1391" i="1" s="1"/>
  <c r="H1391" i="1"/>
  <c r="I1391" i="1" s="1"/>
  <c r="E1392" i="1" s="1"/>
  <c r="F1391" i="1"/>
  <c r="B1534" i="1"/>
  <c r="C1533" i="1"/>
  <c r="D1533" i="1" s="1"/>
  <c r="H917" i="1"/>
  <c r="J917" i="1"/>
  <c r="G917" i="1" s="1"/>
  <c r="F917" i="1"/>
  <c r="B1056" i="1"/>
  <c r="C1055" i="1"/>
  <c r="D1055" i="1" s="1"/>
  <c r="I172" i="1"/>
  <c r="E173" i="1" s="1"/>
  <c r="C319" i="1"/>
  <c r="D319" i="1" s="1"/>
  <c r="B320" i="1"/>
  <c r="I2571" i="1" l="1"/>
  <c r="E2572" i="1" s="1"/>
  <c r="H1392" i="1"/>
  <c r="J1392" i="1"/>
  <c r="G1392" i="1" s="1"/>
  <c r="F1392" i="1"/>
  <c r="C1534" i="1"/>
  <c r="D1534" i="1" s="1"/>
  <c r="B1535" i="1"/>
  <c r="C1056" i="1"/>
  <c r="D1056" i="1" s="1"/>
  <c r="B1057" i="1"/>
  <c r="I917" i="1"/>
  <c r="E918" i="1" s="1"/>
  <c r="H173" i="1"/>
  <c r="F173" i="1"/>
  <c r="J173" i="1"/>
  <c r="G173" i="1" s="1"/>
  <c r="C320" i="1"/>
  <c r="D320" i="1" s="1"/>
  <c r="B321" i="1"/>
  <c r="H2572" i="1" l="1"/>
  <c r="J2572" i="1"/>
  <c r="G2572" i="1" s="1"/>
  <c r="F2572" i="1"/>
  <c r="C1535" i="1"/>
  <c r="D1535" i="1" s="1"/>
  <c r="B1536" i="1"/>
  <c r="I1392" i="1"/>
  <c r="E1393" i="1" s="1"/>
  <c r="J918" i="1"/>
  <c r="G918" i="1" s="1"/>
  <c r="H918" i="1"/>
  <c r="I918" i="1" s="1"/>
  <c r="E919" i="1" s="1"/>
  <c r="F918" i="1"/>
  <c r="B1058" i="1"/>
  <c r="C1057" i="1"/>
  <c r="D1057" i="1" s="1"/>
  <c r="I173" i="1"/>
  <c r="E174" i="1" s="1"/>
  <c r="C321" i="1"/>
  <c r="D321" i="1" s="1"/>
  <c r="B322" i="1"/>
  <c r="I2572" i="1" l="1"/>
  <c r="E2573" i="1" s="1"/>
  <c r="H1393" i="1"/>
  <c r="J1393" i="1"/>
  <c r="G1393" i="1" s="1"/>
  <c r="F1393" i="1"/>
  <c r="C1536" i="1"/>
  <c r="D1536" i="1" s="1"/>
  <c r="B1537" i="1"/>
  <c r="H919" i="1"/>
  <c r="J919" i="1"/>
  <c r="G919" i="1" s="1"/>
  <c r="F919" i="1"/>
  <c r="C1058" i="1"/>
  <c r="D1058" i="1" s="1"/>
  <c r="B1059" i="1"/>
  <c r="J174" i="1"/>
  <c r="G174" i="1" s="1"/>
  <c r="H174" i="1"/>
  <c r="F174" i="1"/>
  <c r="C322" i="1"/>
  <c r="D322" i="1" s="1"/>
  <c r="B323" i="1"/>
  <c r="H2573" i="1" l="1"/>
  <c r="J2573" i="1"/>
  <c r="G2573" i="1" s="1"/>
  <c r="F2573" i="1"/>
  <c r="B1538" i="1"/>
  <c r="C1537" i="1"/>
  <c r="D1537" i="1" s="1"/>
  <c r="I1393" i="1"/>
  <c r="E1394" i="1" s="1"/>
  <c r="C1059" i="1"/>
  <c r="D1059" i="1" s="1"/>
  <c r="B1060" i="1"/>
  <c r="I919" i="1"/>
  <c r="E920" i="1" s="1"/>
  <c r="I174" i="1"/>
  <c r="E175" i="1" s="1"/>
  <c r="F175" i="1"/>
  <c r="H175" i="1"/>
  <c r="J175" i="1"/>
  <c r="G175" i="1" s="1"/>
  <c r="C323" i="1"/>
  <c r="D323" i="1" s="1"/>
  <c r="B324" i="1"/>
  <c r="I2573" i="1" l="1"/>
  <c r="E2574" i="1" s="1"/>
  <c r="H1394" i="1"/>
  <c r="J1394" i="1"/>
  <c r="G1394" i="1" s="1"/>
  <c r="F1394" i="1"/>
  <c r="B1539" i="1"/>
  <c r="C1538" i="1"/>
  <c r="D1538" i="1" s="1"/>
  <c r="H920" i="1"/>
  <c r="J920" i="1"/>
  <c r="G920" i="1" s="1"/>
  <c r="F920" i="1"/>
  <c r="C1060" i="1"/>
  <c r="D1060" i="1" s="1"/>
  <c r="B1061" i="1"/>
  <c r="I175" i="1"/>
  <c r="E176" i="1" s="1"/>
  <c r="B325" i="1"/>
  <c r="C324" i="1"/>
  <c r="D324" i="1" s="1"/>
  <c r="J2574" i="1" l="1"/>
  <c r="G2574" i="1" s="1"/>
  <c r="H2574" i="1"/>
  <c r="F2574" i="1"/>
  <c r="C1539" i="1"/>
  <c r="D1539" i="1" s="1"/>
  <c r="B1540" i="1"/>
  <c r="I1394" i="1"/>
  <c r="E1395" i="1" s="1"/>
  <c r="C1061" i="1"/>
  <c r="D1061" i="1" s="1"/>
  <c r="B1062" i="1"/>
  <c r="I920" i="1"/>
  <c r="E921" i="1" s="1"/>
  <c r="J176" i="1"/>
  <c r="G176" i="1" s="1"/>
  <c r="H176" i="1"/>
  <c r="F176" i="1"/>
  <c r="C325" i="1"/>
  <c r="D325" i="1" s="1"/>
  <c r="B326" i="1"/>
  <c r="I2574" i="1" l="1"/>
  <c r="E2575" i="1" s="1"/>
  <c r="C1540" i="1"/>
  <c r="D1540" i="1" s="1"/>
  <c r="B1541" i="1"/>
  <c r="J1395" i="1"/>
  <c r="G1395" i="1" s="1"/>
  <c r="H1395" i="1"/>
  <c r="F1395" i="1"/>
  <c r="H921" i="1"/>
  <c r="J921" i="1"/>
  <c r="G921" i="1" s="1"/>
  <c r="F921" i="1"/>
  <c r="C1062" i="1"/>
  <c r="D1062" i="1" s="1"/>
  <c r="B1063" i="1"/>
  <c r="I176" i="1"/>
  <c r="E177" i="1" s="1"/>
  <c r="B327" i="1"/>
  <c r="C326" i="1"/>
  <c r="D326" i="1" s="1"/>
  <c r="H2575" i="1" l="1"/>
  <c r="J2575" i="1"/>
  <c r="G2575" i="1" s="1"/>
  <c r="F2575" i="1"/>
  <c r="I1395" i="1"/>
  <c r="E1396" i="1" s="1"/>
  <c r="C1541" i="1"/>
  <c r="D1541" i="1" s="1"/>
  <c r="B1542" i="1"/>
  <c r="C1063" i="1"/>
  <c r="D1063" i="1" s="1"/>
  <c r="B1064" i="1"/>
  <c r="I921" i="1"/>
  <c r="E922" i="1" s="1"/>
  <c r="F177" i="1"/>
  <c r="H177" i="1"/>
  <c r="J177" i="1"/>
  <c r="G177" i="1" s="1"/>
  <c r="C327" i="1"/>
  <c r="D327" i="1" s="1"/>
  <c r="B328" i="1"/>
  <c r="I2575" i="1" l="1"/>
  <c r="E2576" i="1" s="1"/>
  <c r="C1542" i="1"/>
  <c r="D1542" i="1" s="1"/>
  <c r="B1543" i="1"/>
  <c r="H1396" i="1"/>
  <c r="J1396" i="1"/>
  <c r="G1396" i="1" s="1"/>
  <c r="F1396" i="1"/>
  <c r="H922" i="1"/>
  <c r="J922" i="1"/>
  <c r="G922" i="1" s="1"/>
  <c r="F922" i="1"/>
  <c r="C1064" i="1"/>
  <c r="D1064" i="1" s="1"/>
  <c r="B1065" i="1"/>
  <c r="I177" i="1"/>
  <c r="E178" i="1" s="1"/>
  <c r="C328" i="1"/>
  <c r="D328" i="1" s="1"/>
  <c r="B329" i="1"/>
  <c r="H2576" i="1" l="1"/>
  <c r="J2576" i="1"/>
  <c r="G2576" i="1" s="1"/>
  <c r="F2576" i="1"/>
  <c r="I1396" i="1"/>
  <c r="E1397" i="1" s="1"/>
  <c r="C1543" i="1"/>
  <c r="D1543" i="1" s="1"/>
  <c r="B1544" i="1"/>
  <c r="C1065" i="1"/>
  <c r="D1065" i="1" s="1"/>
  <c r="B1066" i="1"/>
  <c r="I922" i="1"/>
  <c r="E923" i="1" s="1"/>
  <c r="J178" i="1"/>
  <c r="G178" i="1" s="1"/>
  <c r="H178" i="1"/>
  <c r="F178" i="1"/>
  <c r="B330" i="1"/>
  <c r="C329" i="1"/>
  <c r="D329" i="1" s="1"/>
  <c r="I2576" i="1" l="1"/>
  <c r="E2577" i="1" s="1"/>
  <c r="B1545" i="1"/>
  <c r="C1544" i="1"/>
  <c r="D1544" i="1" s="1"/>
  <c r="H1397" i="1"/>
  <c r="J1397" i="1"/>
  <c r="G1397" i="1" s="1"/>
  <c r="F1397" i="1"/>
  <c r="H923" i="1"/>
  <c r="J923" i="1"/>
  <c r="G923" i="1" s="1"/>
  <c r="F923" i="1"/>
  <c r="B1067" i="1"/>
  <c r="C1066" i="1"/>
  <c r="D1066" i="1" s="1"/>
  <c r="I178" i="1"/>
  <c r="E179" i="1" s="1"/>
  <c r="B331" i="1"/>
  <c r="C330" i="1"/>
  <c r="D330" i="1" s="1"/>
  <c r="J2577" i="1" l="1"/>
  <c r="G2577" i="1" s="1"/>
  <c r="H2577" i="1"/>
  <c r="F2577" i="1"/>
  <c r="I1397" i="1"/>
  <c r="E1398" i="1" s="1"/>
  <c r="C1545" i="1"/>
  <c r="D1545" i="1" s="1"/>
  <c r="B1546" i="1"/>
  <c r="B1068" i="1"/>
  <c r="C1067" i="1"/>
  <c r="D1067" i="1" s="1"/>
  <c r="I923" i="1"/>
  <c r="E924" i="1" s="1"/>
  <c r="F179" i="1"/>
  <c r="J179" i="1"/>
  <c r="H179" i="1"/>
  <c r="C331" i="1"/>
  <c r="D331" i="1" s="1"/>
  <c r="B332" i="1"/>
  <c r="I2577" i="1" l="1"/>
  <c r="E2578" i="1" s="1"/>
  <c r="C1546" i="1"/>
  <c r="D1546" i="1" s="1"/>
  <c r="B1547" i="1"/>
  <c r="J1398" i="1"/>
  <c r="G1398" i="1" s="1"/>
  <c r="H1398" i="1"/>
  <c r="F1398" i="1"/>
  <c r="H924" i="1"/>
  <c r="J924" i="1"/>
  <c r="G924" i="1" s="1"/>
  <c r="F924" i="1"/>
  <c r="C1068" i="1"/>
  <c r="D1068" i="1" s="1"/>
  <c r="B1069" i="1"/>
  <c r="G179" i="1"/>
  <c r="I179" i="1" s="1"/>
  <c r="E180" i="1" s="1"/>
  <c r="C332" i="1"/>
  <c r="D332" i="1" s="1"/>
  <c r="B333" i="1"/>
  <c r="H2578" i="1" l="1"/>
  <c r="J2578" i="1"/>
  <c r="G2578" i="1" s="1"/>
  <c r="F2578" i="1"/>
  <c r="I1398" i="1"/>
  <c r="E1399" i="1" s="1"/>
  <c r="B1548" i="1"/>
  <c r="C1547" i="1"/>
  <c r="D1547" i="1" s="1"/>
  <c r="C1069" i="1"/>
  <c r="D1069" i="1" s="1"/>
  <c r="B1070" i="1"/>
  <c r="I924" i="1"/>
  <c r="E925" i="1" s="1"/>
  <c r="H180" i="1"/>
  <c r="J180" i="1"/>
  <c r="G180" i="1" s="1"/>
  <c r="F180" i="1"/>
  <c r="I180" i="1" s="1"/>
  <c r="E181" i="1" s="1"/>
  <c r="H181" i="1" s="1"/>
  <c r="C333" i="1"/>
  <c r="D333" i="1" s="1"/>
  <c r="B334" i="1"/>
  <c r="I2578" i="1" l="1"/>
  <c r="E2579" i="1" s="1"/>
  <c r="C1548" i="1"/>
  <c r="D1548" i="1" s="1"/>
  <c r="B1549" i="1"/>
  <c r="H1399" i="1"/>
  <c r="J1399" i="1"/>
  <c r="G1399" i="1" s="1"/>
  <c r="F1399" i="1"/>
  <c r="H925" i="1"/>
  <c r="J925" i="1"/>
  <c r="G925" i="1" s="1"/>
  <c r="F925" i="1"/>
  <c r="C1070" i="1"/>
  <c r="D1070" i="1" s="1"/>
  <c r="B1071" i="1"/>
  <c r="F181" i="1"/>
  <c r="J181" i="1"/>
  <c r="C334" i="1"/>
  <c r="D334" i="1" s="1"/>
  <c r="B335" i="1"/>
  <c r="H2579" i="1" l="1"/>
  <c r="J2579" i="1"/>
  <c r="G2579" i="1" s="1"/>
  <c r="F2579" i="1"/>
  <c r="I1399" i="1"/>
  <c r="E1400" i="1" s="1"/>
  <c r="B1550" i="1"/>
  <c r="C1549" i="1"/>
  <c r="D1549" i="1" s="1"/>
  <c r="B1072" i="1"/>
  <c r="C1071" i="1"/>
  <c r="D1071" i="1" s="1"/>
  <c r="I925" i="1"/>
  <c r="E926" i="1" s="1"/>
  <c r="G181" i="1"/>
  <c r="I181" i="1" s="1"/>
  <c r="E182" i="1" s="1"/>
  <c r="B336" i="1"/>
  <c r="C335" i="1"/>
  <c r="D335" i="1" s="1"/>
  <c r="I2579" i="1" l="1"/>
  <c r="E2580" i="1" s="1"/>
  <c r="C1550" i="1"/>
  <c r="D1550" i="1" s="1"/>
  <c r="B1551" i="1"/>
  <c r="H1400" i="1"/>
  <c r="J1400" i="1"/>
  <c r="G1400" i="1" s="1"/>
  <c r="F1400" i="1"/>
  <c r="J926" i="1"/>
  <c r="G926" i="1" s="1"/>
  <c r="H926" i="1"/>
  <c r="I926" i="1" s="1"/>
  <c r="E927" i="1" s="1"/>
  <c r="F926" i="1"/>
  <c r="C1072" i="1"/>
  <c r="D1072" i="1" s="1"/>
  <c r="B1073" i="1"/>
  <c r="H182" i="1"/>
  <c r="F182" i="1"/>
  <c r="J182" i="1"/>
  <c r="C336" i="1"/>
  <c r="D336" i="1" s="1"/>
  <c r="B337" i="1"/>
  <c r="H2580" i="1" l="1"/>
  <c r="J2580" i="1"/>
  <c r="G2580" i="1" s="1"/>
  <c r="F2580" i="1"/>
  <c r="C1551" i="1"/>
  <c r="D1551" i="1" s="1"/>
  <c r="B1552" i="1"/>
  <c r="I1400" i="1"/>
  <c r="E1401" i="1" s="1"/>
  <c r="H927" i="1"/>
  <c r="J927" i="1"/>
  <c r="G927" i="1" s="1"/>
  <c r="F927" i="1"/>
  <c r="B1074" i="1"/>
  <c r="C1073" i="1"/>
  <c r="D1073" i="1" s="1"/>
  <c r="G182" i="1"/>
  <c r="I182" i="1" s="1"/>
  <c r="E183" i="1" s="1"/>
  <c r="C337" i="1"/>
  <c r="D337" i="1" s="1"/>
  <c r="B338" i="1"/>
  <c r="I2580" i="1" l="1"/>
  <c r="E2581" i="1" s="1"/>
  <c r="H1401" i="1"/>
  <c r="J1401" i="1"/>
  <c r="G1401" i="1" s="1"/>
  <c r="F1401" i="1"/>
  <c r="C1552" i="1"/>
  <c r="D1552" i="1" s="1"/>
  <c r="B1553" i="1"/>
  <c r="B1075" i="1"/>
  <c r="C1074" i="1"/>
  <c r="D1074" i="1" s="1"/>
  <c r="I927" i="1"/>
  <c r="E928" i="1" s="1"/>
  <c r="H183" i="1"/>
  <c r="J183" i="1"/>
  <c r="G183" i="1" s="1"/>
  <c r="F183" i="1"/>
  <c r="C338" i="1"/>
  <c r="D338" i="1" s="1"/>
  <c r="B339" i="1"/>
  <c r="H2581" i="1" l="1"/>
  <c r="I2581" i="1" s="1"/>
  <c r="E2582" i="1" s="1"/>
  <c r="J2581" i="1"/>
  <c r="G2581" i="1" s="1"/>
  <c r="F2581" i="1"/>
  <c r="C1553" i="1"/>
  <c r="D1553" i="1" s="1"/>
  <c r="B1554" i="1"/>
  <c r="I1401" i="1"/>
  <c r="E1402" i="1" s="1"/>
  <c r="H928" i="1"/>
  <c r="I928" i="1" s="1"/>
  <c r="E929" i="1" s="1"/>
  <c r="J928" i="1"/>
  <c r="G928" i="1" s="1"/>
  <c r="F928" i="1"/>
  <c r="C1075" i="1"/>
  <c r="D1075" i="1" s="1"/>
  <c r="B1076" i="1"/>
  <c r="I183" i="1"/>
  <c r="E184" i="1" s="1"/>
  <c r="C339" i="1"/>
  <c r="D339" i="1" s="1"/>
  <c r="B340" i="1"/>
  <c r="H2582" i="1" l="1"/>
  <c r="J2582" i="1"/>
  <c r="G2582" i="1" s="1"/>
  <c r="F2582" i="1"/>
  <c r="C1554" i="1"/>
  <c r="D1554" i="1" s="1"/>
  <c r="B1555" i="1"/>
  <c r="H1402" i="1"/>
  <c r="J1402" i="1"/>
  <c r="G1402" i="1" s="1"/>
  <c r="F1402" i="1"/>
  <c r="H929" i="1"/>
  <c r="J929" i="1"/>
  <c r="G929" i="1" s="1"/>
  <c r="F929" i="1"/>
  <c r="C1076" i="1"/>
  <c r="D1076" i="1" s="1"/>
  <c r="B1077" i="1"/>
  <c r="H184" i="1"/>
  <c r="J184" i="1"/>
  <c r="F184" i="1"/>
  <c r="C340" i="1"/>
  <c r="D340" i="1" s="1"/>
  <c r="B341" i="1"/>
  <c r="I2582" i="1" l="1"/>
  <c r="E2583" i="1" s="1"/>
  <c r="I1402" i="1"/>
  <c r="E1403" i="1" s="1"/>
  <c r="C1555" i="1"/>
  <c r="D1555" i="1" s="1"/>
  <c r="B1556" i="1"/>
  <c r="B1078" i="1"/>
  <c r="C1077" i="1"/>
  <c r="D1077" i="1" s="1"/>
  <c r="I929" i="1"/>
  <c r="E930" i="1" s="1"/>
  <c r="G184" i="1"/>
  <c r="I184" i="1" s="1"/>
  <c r="E185" i="1" s="1"/>
  <c r="B342" i="1"/>
  <c r="C341" i="1"/>
  <c r="D341" i="1" s="1"/>
  <c r="H2583" i="1" l="1"/>
  <c r="I2583" i="1" s="1"/>
  <c r="E2584" i="1" s="1"/>
  <c r="J2583" i="1"/>
  <c r="G2583" i="1" s="1"/>
  <c r="F2583" i="1"/>
  <c r="C1556" i="1"/>
  <c r="D1556" i="1" s="1"/>
  <c r="B1557" i="1"/>
  <c r="J1403" i="1"/>
  <c r="G1403" i="1" s="1"/>
  <c r="H1403" i="1"/>
  <c r="F1403" i="1"/>
  <c r="H930" i="1"/>
  <c r="J930" i="1"/>
  <c r="G930" i="1" s="1"/>
  <c r="F930" i="1"/>
  <c r="C1078" i="1"/>
  <c r="D1078" i="1" s="1"/>
  <c r="B1079" i="1"/>
  <c r="J185" i="1"/>
  <c r="G185" i="1" s="1"/>
  <c r="F185" i="1"/>
  <c r="H185" i="1"/>
  <c r="C342" i="1"/>
  <c r="D342" i="1" s="1"/>
  <c r="B343" i="1"/>
  <c r="H2584" i="1" l="1"/>
  <c r="J2584" i="1"/>
  <c r="G2584" i="1" s="1"/>
  <c r="F2584" i="1"/>
  <c r="I1403" i="1"/>
  <c r="E1404" i="1" s="1"/>
  <c r="C1557" i="1"/>
  <c r="D1557" i="1" s="1"/>
  <c r="B1558" i="1"/>
  <c r="C1079" i="1"/>
  <c r="D1079" i="1" s="1"/>
  <c r="B1080" i="1"/>
  <c r="I930" i="1"/>
  <c r="E931" i="1" s="1"/>
  <c r="I185" i="1"/>
  <c r="E186" i="1" s="1"/>
  <c r="C343" i="1"/>
  <c r="D343" i="1" s="1"/>
  <c r="B344" i="1"/>
  <c r="I2584" i="1" l="1"/>
  <c r="E2585" i="1" s="1"/>
  <c r="C1558" i="1"/>
  <c r="D1558" i="1" s="1"/>
  <c r="B1559" i="1"/>
  <c r="H1404" i="1"/>
  <c r="I1404" i="1" s="1"/>
  <c r="E1405" i="1" s="1"/>
  <c r="J1404" i="1"/>
  <c r="G1404" i="1" s="1"/>
  <c r="F1404" i="1"/>
  <c r="H931" i="1"/>
  <c r="J931" i="1"/>
  <c r="G931" i="1" s="1"/>
  <c r="F931" i="1"/>
  <c r="C1080" i="1"/>
  <c r="D1080" i="1" s="1"/>
  <c r="B1081" i="1"/>
  <c r="F186" i="1"/>
  <c r="H186" i="1"/>
  <c r="J186" i="1"/>
  <c r="B345" i="1"/>
  <c r="C344" i="1"/>
  <c r="D344" i="1" s="1"/>
  <c r="H2585" i="1" l="1"/>
  <c r="J2585" i="1"/>
  <c r="G2585" i="1" s="1"/>
  <c r="F2585" i="1"/>
  <c r="H1405" i="1"/>
  <c r="J1405" i="1"/>
  <c r="G1405" i="1" s="1"/>
  <c r="F1405" i="1"/>
  <c r="C1559" i="1"/>
  <c r="D1559" i="1" s="1"/>
  <c r="B1560" i="1"/>
  <c r="B1082" i="1"/>
  <c r="C1081" i="1"/>
  <c r="D1081" i="1" s="1"/>
  <c r="I931" i="1"/>
  <c r="E932" i="1" s="1"/>
  <c r="G186" i="1"/>
  <c r="I186" i="1" s="1"/>
  <c r="E187" i="1" s="1"/>
  <c r="C345" i="1"/>
  <c r="D345" i="1" s="1"/>
  <c r="B346" i="1"/>
  <c r="I2585" i="1" l="1"/>
  <c r="E2586" i="1" s="1"/>
  <c r="C1560" i="1"/>
  <c r="D1560" i="1" s="1"/>
  <c r="B1561" i="1"/>
  <c r="I1405" i="1"/>
  <c r="E1406" i="1" s="1"/>
  <c r="H932" i="1"/>
  <c r="J932" i="1"/>
  <c r="G932" i="1" s="1"/>
  <c r="F932" i="1"/>
  <c r="C1082" i="1"/>
  <c r="D1082" i="1" s="1"/>
  <c r="B1083" i="1"/>
  <c r="F187" i="1"/>
  <c r="J187" i="1"/>
  <c r="G187" i="1" s="1"/>
  <c r="H187" i="1"/>
  <c r="C346" i="1"/>
  <c r="D346" i="1" s="1"/>
  <c r="B347" i="1"/>
  <c r="H2586" i="1" l="1"/>
  <c r="J2586" i="1"/>
  <c r="G2586" i="1" s="1"/>
  <c r="F2586" i="1"/>
  <c r="C1561" i="1"/>
  <c r="D1561" i="1" s="1"/>
  <c r="B1562" i="1"/>
  <c r="J1406" i="1"/>
  <c r="G1406" i="1" s="1"/>
  <c r="H1406" i="1"/>
  <c r="F1406" i="1"/>
  <c r="B1084" i="1"/>
  <c r="C1083" i="1"/>
  <c r="D1083" i="1" s="1"/>
  <c r="I932" i="1"/>
  <c r="E933" i="1" s="1"/>
  <c r="I187" i="1"/>
  <c r="E188" i="1" s="1"/>
  <c r="C347" i="1"/>
  <c r="D347" i="1" s="1"/>
  <c r="B348" i="1"/>
  <c r="I2586" i="1" l="1"/>
  <c r="E2587" i="1" s="1"/>
  <c r="I1406" i="1"/>
  <c r="E1407" i="1" s="1"/>
  <c r="C1562" i="1"/>
  <c r="D1562" i="1" s="1"/>
  <c r="B1563" i="1"/>
  <c r="J933" i="1"/>
  <c r="G933" i="1" s="1"/>
  <c r="H933" i="1"/>
  <c r="I933" i="1" s="1"/>
  <c r="E934" i="1" s="1"/>
  <c r="F933" i="1"/>
  <c r="C1084" i="1"/>
  <c r="D1084" i="1" s="1"/>
  <c r="B1085" i="1"/>
  <c r="H188" i="1"/>
  <c r="J188" i="1"/>
  <c r="G188" i="1" s="1"/>
  <c r="F188" i="1"/>
  <c r="C348" i="1"/>
  <c r="D348" i="1" s="1"/>
  <c r="B349" i="1"/>
  <c r="J2587" i="1" l="1"/>
  <c r="G2587" i="1" s="1"/>
  <c r="H2587" i="1"/>
  <c r="F2587" i="1"/>
  <c r="B1564" i="1"/>
  <c r="C1563" i="1"/>
  <c r="D1563" i="1" s="1"/>
  <c r="J1407" i="1"/>
  <c r="G1407" i="1" s="1"/>
  <c r="H1407" i="1"/>
  <c r="I1407" i="1" s="1"/>
  <c r="E1408" i="1" s="1"/>
  <c r="F1407" i="1"/>
  <c r="J934" i="1"/>
  <c r="G934" i="1" s="1"/>
  <c r="H934" i="1"/>
  <c r="F934" i="1"/>
  <c r="B1086" i="1"/>
  <c r="C1085" i="1"/>
  <c r="D1085" i="1" s="1"/>
  <c r="I188" i="1"/>
  <c r="E189" i="1" s="1"/>
  <c r="C349" i="1"/>
  <c r="D349" i="1" s="1"/>
  <c r="B350" i="1"/>
  <c r="I2587" i="1" l="1"/>
  <c r="E2588" i="1" s="1"/>
  <c r="J1408" i="1"/>
  <c r="G1408" i="1" s="1"/>
  <c r="H1408" i="1"/>
  <c r="I1408" i="1" s="1"/>
  <c r="E1409" i="1" s="1"/>
  <c r="F1408" i="1"/>
  <c r="C1564" i="1"/>
  <c r="D1564" i="1" s="1"/>
  <c r="B1565" i="1"/>
  <c r="B1087" i="1"/>
  <c r="C1086" i="1"/>
  <c r="D1086" i="1" s="1"/>
  <c r="I934" i="1"/>
  <c r="E935" i="1" s="1"/>
  <c r="H189" i="1"/>
  <c r="F189" i="1"/>
  <c r="J189" i="1"/>
  <c r="G189" i="1" s="1"/>
  <c r="C350" i="1"/>
  <c r="D350" i="1" s="1"/>
  <c r="B351" i="1"/>
  <c r="J2588" i="1" l="1"/>
  <c r="G2588" i="1" s="1"/>
  <c r="H2588" i="1"/>
  <c r="F2588" i="1"/>
  <c r="H1409" i="1"/>
  <c r="J1409" i="1"/>
  <c r="G1409" i="1" s="1"/>
  <c r="F1409" i="1"/>
  <c r="C1565" i="1"/>
  <c r="D1565" i="1" s="1"/>
  <c r="B1566" i="1"/>
  <c r="H935" i="1"/>
  <c r="J935" i="1"/>
  <c r="G935" i="1" s="1"/>
  <c r="F935" i="1"/>
  <c r="B1088" i="1"/>
  <c r="C1087" i="1"/>
  <c r="D1087" i="1" s="1"/>
  <c r="I189" i="1"/>
  <c r="E190" i="1" s="1"/>
  <c r="C351" i="1"/>
  <c r="D351" i="1" s="1"/>
  <c r="B352" i="1"/>
  <c r="I2588" i="1" l="1"/>
  <c r="E2589" i="1" s="1"/>
  <c r="C1566" i="1"/>
  <c r="D1566" i="1" s="1"/>
  <c r="B1567" i="1"/>
  <c r="I1409" i="1"/>
  <c r="E1410" i="1" s="1"/>
  <c r="C1088" i="1"/>
  <c r="D1088" i="1" s="1"/>
  <c r="B1089" i="1"/>
  <c r="I935" i="1"/>
  <c r="E936" i="1" s="1"/>
  <c r="J190" i="1"/>
  <c r="G190" i="1" s="1"/>
  <c r="H190" i="1"/>
  <c r="F190" i="1"/>
  <c r="B353" i="1"/>
  <c r="C352" i="1"/>
  <c r="D352" i="1" s="1"/>
  <c r="H2589" i="1" l="1"/>
  <c r="I2589" i="1" s="1"/>
  <c r="E2590" i="1" s="1"/>
  <c r="J2589" i="1"/>
  <c r="G2589" i="1" s="1"/>
  <c r="F2589" i="1"/>
  <c r="H1410" i="1"/>
  <c r="J1410" i="1"/>
  <c r="G1410" i="1" s="1"/>
  <c r="F1410" i="1"/>
  <c r="C1567" i="1"/>
  <c r="D1567" i="1" s="1"/>
  <c r="B1568" i="1"/>
  <c r="H936" i="1"/>
  <c r="J936" i="1"/>
  <c r="G936" i="1" s="1"/>
  <c r="F936" i="1"/>
  <c r="B1090" i="1"/>
  <c r="C1089" i="1"/>
  <c r="D1089" i="1" s="1"/>
  <c r="I190" i="1"/>
  <c r="E191" i="1" s="1"/>
  <c r="C353" i="1"/>
  <c r="D353" i="1" s="1"/>
  <c r="B354" i="1"/>
  <c r="H2590" i="1" l="1"/>
  <c r="J2590" i="1"/>
  <c r="G2590" i="1" s="1"/>
  <c r="F2590" i="1"/>
  <c r="B1569" i="1"/>
  <c r="C1568" i="1"/>
  <c r="D1568" i="1" s="1"/>
  <c r="I1410" i="1"/>
  <c r="E1411" i="1" s="1"/>
  <c r="B1091" i="1"/>
  <c r="C1090" i="1"/>
  <c r="D1090" i="1" s="1"/>
  <c r="I936" i="1"/>
  <c r="E937" i="1" s="1"/>
  <c r="J191" i="1"/>
  <c r="G191" i="1" s="1"/>
  <c r="H191" i="1"/>
  <c r="F191" i="1"/>
  <c r="C354" i="1"/>
  <c r="D354" i="1" s="1"/>
  <c r="B355" i="1"/>
  <c r="I2590" i="1" l="1"/>
  <c r="E2591" i="1" s="1"/>
  <c r="J1411" i="1"/>
  <c r="G1411" i="1" s="1"/>
  <c r="H1411" i="1"/>
  <c r="F1411" i="1"/>
  <c r="C1569" i="1"/>
  <c r="D1569" i="1" s="1"/>
  <c r="B1570" i="1"/>
  <c r="H937" i="1"/>
  <c r="J937" i="1"/>
  <c r="G937" i="1" s="1"/>
  <c r="F937" i="1"/>
  <c r="B1092" i="1"/>
  <c r="C1091" i="1"/>
  <c r="D1091" i="1" s="1"/>
  <c r="I191" i="1"/>
  <c r="E192" i="1" s="1"/>
  <c r="C355" i="1"/>
  <c r="D355" i="1" s="1"/>
  <c r="B356" i="1"/>
  <c r="H2591" i="1" l="1"/>
  <c r="J2591" i="1"/>
  <c r="G2591" i="1" s="1"/>
  <c r="F2591" i="1"/>
  <c r="C1570" i="1"/>
  <c r="D1570" i="1" s="1"/>
  <c r="B1571" i="1"/>
  <c r="I1411" i="1"/>
  <c r="E1412" i="1" s="1"/>
  <c r="C1092" i="1"/>
  <c r="D1092" i="1" s="1"/>
  <c r="B1093" i="1"/>
  <c r="I937" i="1"/>
  <c r="E938" i="1" s="1"/>
  <c r="J192" i="1"/>
  <c r="G192" i="1" s="1"/>
  <c r="H192" i="1"/>
  <c r="I192" i="1" s="1"/>
  <c r="E193" i="1" s="1"/>
  <c r="F192" i="1"/>
  <c r="C356" i="1"/>
  <c r="D356" i="1" s="1"/>
  <c r="B357" i="1"/>
  <c r="I2591" i="1" l="1"/>
  <c r="E2592" i="1" s="1"/>
  <c r="B1572" i="1"/>
  <c r="C1571" i="1"/>
  <c r="D1571" i="1" s="1"/>
  <c r="H1412" i="1"/>
  <c r="J1412" i="1"/>
  <c r="G1412" i="1" s="1"/>
  <c r="F1412" i="1"/>
  <c r="J938" i="1"/>
  <c r="G938" i="1" s="1"/>
  <c r="H938" i="1"/>
  <c r="F938" i="1"/>
  <c r="B1094" i="1"/>
  <c r="C1093" i="1"/>
  <c r="D1093" i="1" s="1"/>
  <c r="J193" i="1"/>
  <c r="G193" i="1" s="1"/>
  <c r="H193" i="1"/>
  <c r="F193" i="1"/>
  <c r="C357" i="1"/>
  <c r="D357" i="1" s="1"/>
  <c r="B358" i="1"/>
  <c r="H2592" i="1" l="1"/>
  <c r="J2592" i="1"/>
  <c r="G2592" i="1" s="1"/>
  <c r="F2592" i="1"/>
  <c r="I1412" i="1"/>
  <c r="E1413" i="1" s="1"/>
  <c r="C1572" i="1"/>
  <c r="D1572" i="1" s="1"/>
  <c r="B1573" i="1"/>
  <c r="C1094" i="1"/>
  <c r="D1094" i="1" s="1"/>
  <c r="B1095" i="1"/>
  <c r="I938" i="1"/>
  <c r="E939" i="1" s="1"/>
  <c r="I193" i="1"/>
  <c r="E194" i="1" s="1"/>
  <c r="C358" i="1"/>
  <c r="D358" i="1" s="1"/>
  <c r="B359" i="1"/>
  <c r="I2592" i="1" l="1"/>
  <c r="E2593" i="1" s="1"/>
  <c r="B1574" i="1"/>
  <c r="C1573" i="1"/>
  <c r="D1573" i="1" s="1"/>
  <c r="H1413" i="1"/>
  <c r="J1413" i="1"/>
  <c r="G1413" i="1" s="1"/>
  <c r="F1413" i="1"/>
  <c r="H939" i="1"/>
  <c r="J939" i="1"/>
  <c r="G939" i="1" s="1"/>
  <c r="F939" i="1"/>
  <c r="C1095" i="1"/>
  <c r="D1095" i="1" s="1"/>
  <c r="B1096" i="1"/>
  <c r="J194" i="1"/>
  <c r="G194" i="1" s="1"/>
  <c r="H194" i="1"/>
  <c r="I194" i="1" s="1"/>
  <c r="E195" i="1" s="1"/>
  <c r="F194" i="1"/>
  <c r="C359" i="1"/>
  <c r="D359" i="1" s="1"/>
  <c r="B360" i="1"/>
  <c r="H2593" i="1" l="1"/>
  <c r="J2593" i="1"/>
  <c r="G2593" i="1" s="1"/>
  <c r="F2593" i="1"/>
  <c r="I1413" i="1"/>
  <c r="E1414" i="1" s="1"/>
  <c r="C1574" i="1"/>
  <c r="D1574" i="1" s="1"/>
  <c r="B1575" i="1"/>
  <c r="C1096" i="1"/>
  <c r="D1096" i="1" s="1"/>
  <c r="B1097" i="1"/>
  <c r="I939" i="1"/>
  <c r="E940" i="1" s="1"/>
  <c r="H195" i="1"/>
  <c r="J195" i="1"/>
  <c r="G195" i="1" s="1"/>
  <c r="F195" i="1"/>
  <c r="B361" i="1"/>
  <c r="C360" i="1"/>
  <c r="D360" i="1" s="1"/>
  <c r="I2593" i="1" l="1"/>
  <c r="E2594" i="1" s="1"/>
  <c r="C1575" i="1"/>
  <c r="D1575" i="1" s="1"/>
  <c r="B1576" i="1"/>
  <c r="H1414" i="1"/>
  <c r="I1414" i="1" s="1"/>
  <c r="E1415" i="1" s="1"/>
  <c r="J1414" i="1"/>
  <c r="G1414" i="1" s="1"/>
  <c r="F1414" i="1"/>
  <c r="H940" i="1"/>
  <c r="J940" i="1"/>
  <c r="G940" i="1" s="1"/>
  <c r="F940" i="1"/>
  <c r="B1098" i="1"/>
  <c r="C1097" i="1"/>
  <c r="D1097" i="1" s="1"/>
  <c r="I195" i="1"/>
  <c r="E196" i="1" s="1"/>
  <c r="C361" i="1"/>
  <c r="D361" i="1" s="1"/>
  <c r="B362" i="1"/>
  <c r="H2594" i="1" l="1"/>
  <c r="J2594" i="1"/>
  <c r="G2594" i="1" s="1"/>
  <c r="F2594" i="1"/>
  <c r="J1415" i="1"/>
  <c r="G1415" i="1" s="1"/>
  <c r="H1415" i="1"/>
  <c r="I1415" i="1" s="1"/>
  <c r="E1416" i="1" s="1"/>
  <c r="F1415" i="1"/>
  <c r="C1576" i="1"/>
  <c r="D1576" i="1" s="1"/>
  <c r="B1577" i="1"/>
  <c r="B1099" i="1"/>
  <c r="C1098" i="1"/>
  <c r="D1098" i="1" s="1"/>
  <c r="I940" i="1"/>
  <c r="E941" i="1" s="1"/>
  <c r="J196" i="1"/>
  <c r="G196" i="1" s="1"/>
  <c r="H196" i="1"/>
  <c r="I196" i="1" s="1"/>
  <c r="E197" i="1" s="1"/>
  <c r="F196" i="1"/>
  <c r="B363" i="1"/>
  <c r="C362" i="1"/>
  <c r="D362" i="1" s="1"/>
  <c r="I2594" i="1" l="1"/>
  <c r="E2595" i="1" s="1"/>
  <c r="J1416" i="1"/>
  <c r="G1416" i="1" s="1"/>
  <c r="H1416" i="1"/>
  <c r="F1416" i="1"/>
  <c r="C1577" i="1"/>
  <c r="D1577" i="1" s="1"/>
  <c r="B1578" i="1"/>
  <c r="H941" i="1"/>
  <c r="J941" i="1"/>
  <c r="G941" i="1" s="1"/>
  <c r="F941" i="1"/>
  <c r="B1100" i="1"/>
  <c r="C1099" i="1"/>
  <c r="D1099" i="1" s="1"/>
  <c r="H197" i="1"/>
  <c r="J197" i="1"/>
  <c r="G197" i="1" s="1"/>
  <c r="F197" i="1"/>
  <c r="C363" i="1"/>
  <c r="D363" i="1" s="1"/>
  <c r="B364" i="1"/>
  <c r="J2595" i="1" l="1"/>
  <c r="G2595" i="1" s="1"/>
  <c r="H2595" i="1"/>
  <c r="F2595" i="1"/>
  <c r="C1578" i="1"/>
  <c r="D1578" i="1" s="1"/>
  <c r="B1579" i="1"/>
  <c r="I1416" i="1"/>
  <c r="E1417" i="1" s="1"/>
  <c r="C1100" i="1"/>
  <c r="D1100" i="1" s="1"/>
  <c r="B1101" i="1"/>
  <c r="I941" i="1"/>
  <c r="E942" i="1" s="1"/>
  <c r="I197" i="1"/>
  <c r="E198" i="1" s="1"/>
  <c r="C364" i="1"/>
  <c r="D364" i="1" s="1"/>
  <c r="B365" i="1"/>
  <c r="I2595" i="1" l="1"/>
  <c r="E2596" i="1" s="1"/>
  <c r="C1579" i="1"/>
  <c r="D1579" i="1" s="1"/>
  <c r="B1580" i="1"/>
  <c r="H1417" i="1"/>
  <c r="J1417" i="1"/>
  <c r="G1417" i="1" s="1"/>
  <c r="F1417" i="1"/>
  <c r="J942" i="1"/>
  <c r="G942" i="1" s="1"/>
  <c r="H942" i="1"/>
  <c r="F942" i="1"/>
  <c r="C1101" i="1"/>
  <c r="D1101" i="1" s="1"/>
  <c r="B1102" i="1"/>
  <c r="H198" i="1"/>
  <c r="J198" i="1"/>
  <c r="G198" i="1" s="1"/>
  <c r="F198" i="1"/>
  <c r="C365" i="1"/>
  <c r="D365" i="1" s="1"/>
  <c r="B366" i="1"/>
  <c r="H2596" i="1" l="1"/>
  <c r="J2596" i="1"/>
  <c r="G2596" i="1" s="1"/>
  <c r="F2596" i="1"/>
  <c r="B1581" i="1"/>
  <c r="C1580" i="1"/>
  <c r="D1580" i="1" s="1"/>
  <c r="I1417" i="1"/>
  <c r="E1418" i="1" s="1"/>
  <c r="C1102" i="1"/>
  <c r="D1102" i="1" s="1"/>
  <c r="B1103" i="1"/>
  <c r="I942" i="1"/>
  <c r="E943" i="1" s="1"/>
  <c r="I198" i="1"/>
  <c r="E199" i="1" s="1"/>
  <c r="C366" i="1"/>
  <c r="D366" i="1" s="1"/>
  <c r="B367" i="1"/>
  <c r="I2596" i="1" l="1"/>
  <c r="E2597" i="1" s="1"/>
  <c r="H1418" i="1"/>
  <c r="J1418" i="1"/>
  <c r="G1418" i="1" s="1"/>
  <c r="F1418" i="1"/>
  <c r="B1582" i="1"/>
  <c r="C1581" i="1"/>
  <c r="D1581" i="1" s="1"/>
  <c r="H943" i="1"/>
  <c r="J943" i="1"/>
  <c r="G943" i="1" s="1"/>
  <c r="F943" i="1"/>
  <c r="C1103" i="1"/>
  <c r="D1103" i="1" s="1"/>
  <c r="B1104" i="1"/>
  <c r="H199" i="1"/>
  <c r="F199" i="1"/>
  <c r="J199" i="1"/>
  <c r="B368" i="1"/>
  <c r="C367" i="1"/>
  <c r="D367" i="1" s="1"/>
  <c r="H2597" i="1" l="1"/>
  <c r="J2597" i="1"/>
  <c r="G2597" i="1" s="1"/>
  <c r="F2597" i="1"/>
  <c r="C1582" i="1"/>
  <c r="D1582" i="1" s="1"/>
  <c r="B1583" i="1"/>
  <c r="I1418" i="1"/>
  <c r="E1419" i="1" s="1"/>
  <c r="C1104" i="1"/>
  <c r="D1104" i="1" s="1"/>
  <c r="B1105" i="1"/>
  <c r="I943" i="1"/>
  <c r="E944" i="1" s="1"/>
  <c r="G199" i="1"/>
  <c r="I199" i="1" s="1"/>
  <c r="E200" i="1" s="1"/>
  <c r="B369" i="1"/>
  <c r="C368" i="1"/>
  <c r="D368" i="1" s="1"/>
  <c r="I2597" i="1" l="1"/>
  <c r="E2598" i="1" s="1"/>
  <c r="B1584" i="1"/>
  <c r="C1583" i="1"/>
  <c r="D1583" i="1" s="1"/>
  <c r="J1419" i="1"/>
  <c r="G1419" i="1" s="1"/>
  <c r="H1419" i="1"/>
  <c r="F1419" i="1"/>
  <c r="H944" i="1"/>
  <c r="J944" i="1"/>
  <c r="G944" i="1" s="1"/>
  <c r="F944" i="1"/>
  <c r="C1105" i="1"/>
  <c r="D1105" i="1" s="1"/>
  <c r="B1106" i="1"/>
  <c r="F200" i="1"/>
  <c r="H200" i="1"/>
  <c r="J200" i="1"/>
  <c r="G200" i="1" s="1"/>
  <c r="B370" i="1"/>
  <c r="C369" i="1"/>
  <c r="D369" i="1" s="1"/>
  <c r="J2598" i="1" l="1"/>
  <c r="G2598" i="1" s="1"/>
  <c r="H2598" i="1"/>
  <c r="F2598" i="1"/>
  <c r="I1419" i="1"/>
  <c r="E1420" i="1" s="1"/>
  <c r="B1585" i="1"/>
  <c r="C1584" i="1"/>
  <c r="D1584" i="1" s="1"/>
  <c r="C1106" i="1"/>
  <c r="D1106" i="1" s="1"/>
  <c r="B1107" i="1"/>
  <c r="I944" i="1"/>
  <c r="E945" i="1" s="1"/>
  <c r="I200" i="1"/>
  <c r="E201" i="1" s="1"/>
  <c r="C370" i="1"/>
  <c r="D370" i="1" s="1"/>
  <c r="B371" i="1"/>
  <c r="I2598" i="1" l="1"/>
  <c r="E2599" i="1" s="1"/>
  <c r="C1585" i="1"/>
  <c r="D1585" i="1" s="1"/>
  <c r="B1586" i="1"/>
  <c r="H1420" i="1"/>
  <c r="J1420" i="1"/>
  <c r="G1420" i="1" s="1"/>
  <c r="F1420" i="1"/>
  <c r="H945" i="1"/>
  <c r="J945" i="1"/>
  <c r="G945" i="1" s="1"/>
  <c r="F945" i="1"/>
  <c r="C1107" i="1"/>
  <c r="D1107" i="1" s="1"/>
  <c r="B1108" i="1"/>
  <c r="J201" i="1"/>
  <c r="G201" i="1" s="1"/>
  <c r="H201" i="1"/>
  <c r="I201" i="1" s="1"/>
  <c r="E202" i="1" s="1"/>
  <c r="F201" i="1"/>
  <c r="B372" i="1"/>
  <c r="C371" i="1"/>
  <c r="D371" i="1" s="1"/>
  <c r="H2599" i="1" l="1"/>
  <c r="J2599" i="1"/>
  <c r="G2599" i="1" s="1"/>
  <c r="F2599" i="1"/>
  <c r="I1420" i="1"/>
  <c r="E1421" i="1" s="1"/>
  <c r="C1586" i="1"/>
  <c r="D1586" i="1" s="1"/>
  <c r="B1587" i="1"/>
  <c r="C1108" i="1"/>
  <c r="D1108" i="1" s="1"/>
  <c r="B1109" i="1"/>
  <c r="I945" i="1"/>
  <c r="E946" i="1" s="1"/>
  <c r="H202" i="1"/>
  <c r="F202" i="1"/>
  <c r="J202" i="1"/>
  <c r="G202" i="1" s="1"/>
  <c r="C372" i="1"/>
  <c r="D372" i="1" s="1"/>
  <c r="B373" i="1"/>
  <c r="I2599" i="1" l="1"/>
  <c r="E2600" i="1" s="1"/>
  <c r="B1588" i="1"/>
  <c r="C1587" i="1"/>
  <c r="D1587" i="1" s="1"/>
  <c r="H1421" i="1"/>
  <c r="J1421" i="1"/>
  <c r="G1421" i="1" s="1"/>
  <c r="F1421" i="1"/>
  <c r="J946" i="1"/>
  <c r="G946" i="1" s="1"/>
  <c r="H946" i="1"/>
  <c r="F946" i="1"/>
  <c r="C1109" i="1"/>
  <c r="D1109" i="1" s="1"/>
  <c r="B1110" i="1"/>
  <c r="I202" i="1"/>
  <c r="E203" i="1" s="1"/>
  <c r="C373" i="1"/>
  <c r="D373" i="1" s="1"/>
  <c r="B374" i="1"/>
  <c r="H2600" i="1" l="1"/>
  <c r="J2600" i="1"/>
  <c r="G2600" i="1" s="1"/>
  <c r="F2600" i="1"/>
  <c r="I1421" i="1"/>
  <c r="E1422" i="1" s="1"/>
  <c r="B1589" i="1"/>
  <c r="C1588" i="1"/>
  <c r="D1588" i="1" s="1"/>
  <c r="C1110" i="1"/>
  <c r="D1110" i="1" s="1"/>
  <c r="B1111" i="1"/>
  <c r="I946" i="1"/>
  <c r="E947" i="1" s="1"/>
  <c r="J203" i="1"/>
  <c r="G203" i="1" s="1"/>
  <c r="H203" i="1"/>
  <c r="F203" i="1"/>
  <c r="C374" i="1"/>
  <c r="D374" i="1" s="1"/>
  <c r="B375" i="1"/>
  <c r="I2600" i="1" l="1"/>
  <c r="E2601" i="1" s="1"/>
  <c r="B1590" i="1"/>
  <c r="C1589" i="1"/>
  <c r="D1589" i="1" s="1"/>
  <c r="H1422" i="1"/>
  <c r="J1422" i="1"/>
  <c r="G1422" i="1" s="1"/>
  <c r="F1422" i="1"/>
  <c r="H947" i="1"/>
  <c r="J947" i="1"/>
  <c r="G947" i="1" s="1"/>
  <c r="F947" i="1"/>
  <c r="C1111" i="1"/>
  <c r="D1111" i="1" s="1"/>
  <c r="B1112" i="1"/>
  <c r="I203" i="1"/>
  <c r="E204" i="1" s="1"/>
  <c r="C375" i="1"/>
  <c r="D375" i="1" s="1"/>
  <c r="B376" i="1"/>
  <c r="H2601" i="1" l="1"/>
  <c r="J2601" i="1"/>
  <c r="G2601" i="1" s="1"/>
  <c r="F2601" i="1"/>
  <c r="I1422" i="1"/>
  <c r="E1423" i="1" s="1"/>
  <c r="C1590" i="1"/>
  <c r="D1590" i="1" s="1"/>
  <c r="B1591" i="1"/>
  <c r="C1112" i="1"/>
  <c r="D1112" i="1" s="1"/>
  <c r="B1113" i="1"/>
  <c r="I947" i="1"/>
  <c r="E948" i="1" s="1"/>
  <c r="F204" i="1"/>
  <c r="H204" i="1"/>
  <c r="J204" i="1"/>
  <c r="G204" i="1" s="1"/>
  <c r="C376" i="1"/>
  <c r="D376" i="1" s="1"/>
  <c r="B377" i="1"/>
  <c r="I2601" i="1" l="1"/>
  <c r="E2602" i="1" s="1"/>
  <c r="B1592" i="1"/>
  <c r="C1591" i="1"/>
  <c r="D1591" i="1" s="1"/>
  <c r="J1423" i="1"/>
  <c r="G1423" i="1" s="1"/>
  <c r="H1423" i="1"/>
  <c r="F1423" i="1"/>
  <c r="H948" i="1"/>
  <c r="J948" i="1"/>
  <c r="G948" i="1" s="1"/>
  <c r="F948" i="1"/>
  <c r="C1113" i="1"/>
  <c r="D1113" i="1" s="1"/>
  <c r="B1114" i="1"/>
  <c r="I204" i="1"/>
  <c r="E205" i="1" s="1"/>
  <c r="C377" i="1"/>
  <c r="D377" i="1" s="1"/>
  <c r="B378" i="1"/>
  <c r="H2602" i="1" l="1"/>
  <c r="J2602" i="1"/>
  <c r="G2602" i="1" s="1"/>
  <c r="F2602" i="1"/>
  <c r="I1423" i="1"/>
  <c r="E1424" i="1" s="1"/>
  <c r="B1593" i="1"/>
  <c r="C1592" i="1"/>
  <c r="D1592" i="1" s="1"/>
  <c r="C1114" i="1"/>
  <c r="D1114" i="1" s="1"/>
  <c r="B1115" i="1"/>
  <c r="I948" i="1"/>
  <c r="E949" i="1" s="1"/>
  <c r="J205" i="1"/>
  <c r="G205" i="1" s="1"/>
  <c r="H205" i="1"/>
  <c r="I205" i="1" s="1"/>
  <c r="E206" i="1" s="1"/>
  <c r="F205" i="1"/>
  <c r="C378" i="1"/>
  <c r="D378" i="1" s="1"/>
  <c r="B379" i="1"/>
  <c r="I2602" i="1" l="1"/>
  <c r="E2603" i="1" s="1"/>
  <c r="B1594" i="1"/>
  <c r="C1593" i="1"/>
  <c r="D1593" i="1" s="1"/>
  <c r="J1424" i="1"/>
  <c r="G1424" i="1" s="1"/>
  <c r="H1424" i="1"/>
  <c r="F1424" i="1"/>
  <c r="C1115" i="1"/>
  <c r="D1115" i="1" s="1"/>
  <c r="B1116" i="1"/>
  <c r="H949" i="1"/>
  <c r="J949" i="1"/>
  <c r="G949" i="1" s="1"/>
  <c r="F949" i="1"/>
  <c r="J206" i="1"/>
  <c r="G206" i="1" s="1"/>
  <c r="F206" i="1"/>
  <c r="H206" i="1"/>
  <c r="I206" i="1" s="1"/>
  <c r="E207" i="1" s="1"/>
  <c r="B380" i="1"/>
  <c r="C379" i="1"/>
  <c r="D379" i="1" s="1"/>
  <c r="J2603" i="1" l="1"/>
  <c r="G2603" i="1" s="1"/>
  <c r="H2603" i="1"/>
  <c r="F2603" i="1"/>
  <c r="I1424" i="1"/>
  <c r="E1425" i="1" s="1"/>
  <c r="C1594" i="1"/>
  <c r="D1594" i="1" s="1"/>
  <c r="B1595" i="1"/>
  <c r="C1116" i="1"/>
  <c r="D1116" i="1" s="1"/>
  <c r="B1117" i="1"/>
  <c r="I949" i="1"/>
  <c r="E950" i="1" s="1"/>
  <c r="F207" i="1"/>
  <c r="H207" i="1"/>
  <c r="J207" i="1"/>
  <c r="G207" i="1" s="1"/>
  <c r="C380" i="1"/>
  <c r="D380" i="1" s="1"/>
  <c r="B381" i="1"/>
  <c r="I2603" i="1" l="1"/>
  <c r="E2604" i="1" s="1"/>
  <c r="B1596" i="1"/>
  <c r="C1595" i="1"/>
  <c r="D1595" i="1" s="1"/>
  <c r="H1425" i="1"/>
  <c r="J1425" i="1"/>
  <c r="G1425" i="1" s="1"/>
  <c r="F1425" i="1"/>
  <c r="J950" i="1"/>
  <c r="G950" i="1" s="1"/>
  <c r="H950" i="1"/>
  <c r="F950" i="1"/>
  <c r="C1117" i="1"/>
  <c r="D1117" i="1" s="1"/>
  <c r="B1118" i="1"/>
  <c r="I207" i="1"/>
  <c r="E208" i="1" s="1"/>
  <c r="C381" i="1"/>
  <c r="D381" i="1" s="1"/>
  <c r="B382" i="1"/>
  <c r="H2604" i="1" l="1"/>
  <c r="J2604" i="1"/>
  <c r="G2604" i="1" s="1"/>
  <c r="F2604" i="1"/>
  <c r="I1425" i="1"/>
  <c r="E1426" i="1" s="1"/>
  <c r="C1596" i="1"/>
  <c r="D1596" i="1" s="1"/>
  <c r="B1597" i="1"/>
  <c r="C1118" i="1"/>
  <c r="D1118" i="1" s="1"/>
  <c r="B1119" i="1"/>
  <c r="I950" i="1"/>
  <c r="E951" i="1" s="1"/>
  <c r="F208" i="1"/>
  <c r="H208" i="1"/>
  <c r="J208" i="1"/>
  <c r="G208" i="1" s="1"/>
  <c r="C382" i="1"/>
  <c r="D382" i="1" s="1"/>
  <c r="B383" i="1"/>
  <c r="I2604" i="1" l="1"/>
  <c r="E2605" i="1" s="1"/>
  <c r="C1597" i="1"/>
  <c r="D1597" i="1" s="1"/>
  <c r="B1598" i="1"/>
  <c r="H1426" i="1"/>
  <c r="J1426" i="1"/>
  <c r="G1426" i="1" s="1"/>
  <c r="F1426" i="1"/>
  <c r="H951" i="1"/>
  <c r="J951" i="1"/>
  <c r="G951" i="1" s="1"/>
  <c r="F951" i="1"/>
  <c r="B1120" i="1"/>
  <c r="C1119" i="1"/>
  <c r="D1119" i="1" s="1"/>
  <c r="I208" i="1"/>
  <c r="E209" i="1" s="1"/>
  <c r="C383" i="1"/>
  <c r="D383" i="1" s="1"/>
  <c r="B384" i="1"/>
  <c r="H2605" i="1" l="1"/>
  <c r="J2605" i="1"/>
  <c r="G2605" i="1" s="1"/>
  <c r="F2605" i="1"/>
  <c r="I1426" i="1"/>
  <c r="E1427" i="1" s="1"/>
  <c r="C1598" i="1"/>
  <c r="D1598" i="1" s="1"/>
  <c r="B1599" i="1"/>
  <c r="C1120" i="1"/>
  <c r="D1120" i="1" s="1"/>
  <c r="B1121" i="1"/>
  <c r="I951" i="1"/>
  <c r="E952" i="1" s="1"/>
  <c r="H209" i="1"/>
  <c r="J209" i="1"/>
  <c r="G209" i="1" s="1"/>
  <c r="F209" i="1"/>
  <c r="B385" i="1"/>
  <c r="C384" i="1"/>
  <c r="D384" i="1" s="1"/>
  <c r="I2605" i="1" l="1"/>
  <c r="E2606" i="1" s="1"/>
  <c r="C1599" i="1"/>
  <c r="D1599" i="1" s="1"/>
  <c r="B1600" i="1"/>
  <c r="J1427" i="1"/>
  <c r="G1427" i="1" s="1"/>
  <c r="H1427" i="1"/>
  <c r="F1427" i="1"/>
  <c r="H952" i="1"/>
  <c r="J952" i="1"/>
  <c r="G952" i="1" s="1"/>
  <c r="F952" i="1"/>
  <c r="C1121" i="1"/>
  <c r="D1121" i="1" s="1"/>
  <c r="B1122" i="1"/>
  <c r="I209" i="1"/>
  <c r="E210" i="1" s="1"/>
  <c r="B386" i="1"/>
  <c r="C385" i="1"/>
  <c r="D385" i="1" s="1"/>
  <c r="J2606" i="1" l="1"/>
  <c r="G2606" i="1" s="1"/>
  <c r="H2606" i="1"/>
  <c r="F2606" i="1"/>
  <c r="I1427" i="1"/>
  <c r="E1428" i="1" s="1"/>
  <c r="C1600" i="1"/>
  <c r="D1600" i="1" s="1"/>
  <c r="B1601" i="1"/>
  <c r="C1122" i="1"/>
  <c r="D1122" i="1" s="1"/>
  <c r="B1123" i="1"/>
  <c r="I952" i="1"/>
  <c r="E953" i="1" s="1"/>
  <c r="H210" i="1"/>
  <c r="J210" i="1"/>
  <c r="G210" i="1" s="1"/>
  <c r="F210" i="1"/>
  <c r="C386" i="1"/>
  <c r="D386" i="1" s="1"/>
  <c r="B387" i="1"/>
  <c r="I2606" i="1" l="1"/>
  <c r="E2607" i="1" s="1"/>
  <c r="C1601" i="1"/>
  <c r="D1601" i="1" s="1"/>
  <c r="B1602" i="1"/>
  <c r="H1428" i="1"/>
  <c r="J1428" i="1"/>
  <c r="G1428" i="1" s="1"/>
  <c r="F1428" i="1"/>
  <c r="J953" i="1"/>
  <c r="G953" i="1" s="1"/>
  <c r="H953" i="1"/>
  <c r="F953" i="1"/>
  <c r="C1123" i="1"/>
  <c r="D1123" i="1" s="1"/>
  <c r="B1124" i="1"/>
  <c r="I210" i="1"/>
  <c r="E211" i="1" s="1"/>
  <c r="C387" i="1"/>
  <c r="D387" i="1" s="1"/>
  <c r="B388" i="1"/>
  <c r="H2607" i="1" l="1"/>
  <c r="J2607" i="1"/>
  <c r="G2607" i="1" s="1"/>
  <c r="F2607" i="1"/>
  <c r="I1428" i="1"/>
  <c r="E1429" i="1" s="1"/>
  <c r="C1602" i="1"/>
  <c r="D1602" i="1" s="1"/>
  <c r="B1603" i="1"/>
  <c r="I953" i="1"/>
  <c r="E954" i="1" s="1"/>
  <c r="C1124" i="1"/>
  <c r="D1124" i="1" s="1"/>
  <c r="B1125" i="1"/>
  <c r="H211" i="1"/>
  <c r="J211" i="1"/>
  <c r="G211" i="1" s="1"/>
  <c r="F211" i="1"/>
  <c r="C388" i="1"/>
  <c r="D388" i="1" s="1"/>
  <c r="B389" i="1"/>
  <c r="I2607" i="1" l="1"/>
  <c r="E2608" i="1" s="1"/>
  <c r="C1603" i="1"/>
  <c r="D1603" i="1" s="1"/>
  <c r="B1604" i="1"/>
  <c r="H1429" i="1"/>
  <c r="J1429" i="1"/>
  <c r="G1429" i="1" s="1"/>
  <c r="F1429" i="1"/>
  <c r="C1125" i="1"/>
  <c r="D1125" i="1" s="1"/>
  <c r="B1126" i="1"/>
  <c r="J954" i="1"/>
  <c r="G954" i="1" s="1"/>
  <c r="H954" i="1"/>
  <c r="I954" i="1" s="1"/>
  <c r="E955" i="1" s="1"/>
  <c r="F954" i="1"/>
  <c r="I211" i="1"/>
  <c r="E212" i="1" s="1"/>
  <c r="C389" i="1"/>
  <c r="D389" i="1" s="1"/>
  <c r="B390" i="1"/>
  <c r="H2608" i="1" l="1"/>
  <c r="J2608" i="1"/>
  <c r="G2608" i="1" s="1"/>
  <c r="F2608" i="1"/>
  <c r="I1429" i="1"/>
  <c r="E1430" i="1" s="1"/>
  <c r="C1604" i="1"/>
  <c r="D1604" i="1" s="1"/>
  <c r="B1605" i="1"/>
  <c r="H955" i="1"/>
  <c r="J955" i="1"/>
  <c r="G955" i="1" s="1"/>
  <c r="F955" i="1"/>
  <c r="C1126" i="1"/>
  <c r="D1126" i="1" s="1"/>
  <c r="B1127" i="1"/>
  <c r="H212" i="1"/>
  <c r="J212" i="1"/>
  <c r="G212" i="1" s="1"/>
  <c r="F212" i="1"/>
  <c r="C390" i="1"/>
  <c r="D390" i="1" s="1"/>
  <c r="B391" i="1"/>
  <c r="I2608" i="1" l="1"/>
  <c r="E2609" i="1" s="1"/>
  <c r="C1605" i="1"/>
  <c r="D1605" i="1" s="1"/>
  <c r="B1606" i="1"/>
  <c r="J1430" i="1"/>
  <c r="G1430" i="1" s="1"/>
  <c r="H1430" i="1"/>
  <c r="F1430" i="1"/>
  <c r="C1127" i="1"/>
  <c r="D1127" i="1" s="1"/>
  <c r="B1128" i="1"/>
  <c r="I955" i="1"/>
  <c r="E956" i="1" s="1"/>
  <c r="I212" i="1"/>
  <c r="E213" i="1" s="1"/>
  <c r="C391" i="1"/>
  <c r="D391" i="1" s="1"/>
  <c r="B392" i="1"/>
  <c r="H2609" i="1" l="1"/>
  <c r="J2609" i="1"/>
  <c r="G2609" i="1" s="1"/>
  <c r="F2609" i="1"/>
  <c r="I1430" i="1"/>
  <c r="E1431" i="1" s="1"/>
  <c r="C1606" i="1"/>
  <c r="D1606" i="1" s="1"/>
  <c r="B1607" i="1"/>
  <c r="C1128" i="1"/>
  <c r="D1128" i="1" s="1"/>
  <c r="B1129" i="1"/>
  <c r="H956" i="1"/>
  <c r="J956" i="1"/>
  <c r="G956" i="1" s="1"/>
  <c r="F956" i="1"/>
  <c r="F213" i="1"/>
  <c r="H213" i="1"/>
  <c r="J213" i="1"/>
  <c r="G213" i="1" s="1"/>
  <c r="C392" i="1"/>
  <c r="D392" i="1" s="1"/>
  <c r="B393" i="1"/>
  <c r="I2609" i="1" l="1"/>
  <c r="E2610" i="1" s="1"/>
  <c r="C1607" i="1"/>
  <c r="D1607" i="1" s="1"/>
  <c r="B1608" i="1"/>
  <c r="J1431" i="1"/>
  <c r="G1431" i="1" s="1"/>
  <c r="H1431" i="1"/>
  <c r="I1431" i="1" s="1"/>
  <c r="E1432" i="1" s="1"/>
  <c r="F1431" i="1"/>
  <c r="I956" i="1"/>
  <c r="E957" i="1" s="1"/>
  <c r="C1129" i="1"/>
  <c r="D1129" i="1" s="1"/>
  <c r="B1130" i="1"/>
  <c r="I213" i="1"/>
  <c r="E214" i="1" s="1"/>
  <c r="C393" i="1"/>
  <c r="D393" i="1" s="1"/>
  <c r="B394" i="1"/>
  <c r="H2610" i="1" l="1"/>
  <c r="J2610" i="1"/>
  <c r="G2610" i="1" s="1"/>
  <c r="F2610" i="1"/>
  <c r="J1432" i="1"/>
  <c r="G1432" i="1" s="1"/>
  <c r="H1432" i="1"/>
  <c r="F1432" i="1"/>
  <c r="C1608" i="1"/>
  <c r="D1608" i="1" s="1"/>
  <c r="B1609" i="1"/>
  <c r="C1130" i="1"/>
  <c r="D1130" i="1" s="1"/>
  <c r="B1131" i="1"/>
  <c r="H957" i="1"/>
  <c r="I957" i="1" s="1"/>
  <c r="E958" i="1" s="1"/>
  <c r="J957" i="1"/>
  <c r="G957" i="1" s="1"/>
  <c r="F957" i="1"/>
  <c r="H214" i="1"/>
  <c r="J214" i="1"/>
  <c r="G214" i="1" s="1"/>
  <c r="F214" i="1"/>
  <c r="C394" i="1"/>
  <c r="D394" i="1" s="1"/>
  <c r="B395" i="1"/>
  <c r="I2610" i="1" l="1"/>
  <c r="E2611" i="1" s="1"/>
  <c r="C1609" i="1"/>
  <c r="D1609" i="1" s="1"/>
  <c r="B1610" i="1"/>
  <c r="I1432" i="1"/>
  <c r="E1433" i="1" s="1"/>
  <c r="H958" i="1"/>
  <c r="J958" i="1"/>
  <c r="G958" i="1" s="1"/>
  <c r="F958" i="1"/>
  <c r="B1132" i="1"/>
  <c r="C1131" i="1"/>
  <c r="D1131" i="1" s="1"/>
  <c r="I214" i="1"/>
  <c r="E215" i="1" s="1"/>
  <c r="B396" i="1"/>
  <c r="C395" i="1"/>
  <c r="D395" i="1" s="1"/>
  <c r="J2611" i="1" l="1"/>
  <c r="G2611" i="1" s="1"/>
  <c r="H2611" i="1"/>
  <c r="F2611" i="1"/>
  <c r="H1433" i="1"/>
  <c r="J1433" i="1"/>
  <c r="G1433" i="1" s="1"/>
  <c r="F1433" i="1"/>
  <c r="C1610" i="1"/>
  <c r="D1610" i="1" s="1"/>
  <c r="B1611" i="1"/>
  <c r="C1132" i="1"/>
  <c r="D1132" i="1" s="1"/>
  <c r="B1133" i="1"/>
  <c r="I958" i="1"/>
  <c r="E959" i="1" s="1"/>
  <c r="J215" i="1"/>
  <c r="G215" i="1" s="1"/>
  <c r="H215" i="1"/>
  <c r="I215" i="1" s="1"/>
  <c r="E216" i="1" s="1"/>
  <c r="F215" i="1"/>
  <c r="B397" i="1"/>
  <c r="C396" i="1"/>
  <c r="D396" i="1" s="1"/>
  <c r="I2611" i="1" l="1"/>
  <c r="E2612" i="1" s="1"/>
  <c r="C1611" i="1"/>
  <c r="D1611" i="1" s="1"/>
  <c r="B1612" i="1"/>
  <c r="I1433" i="1"/>
  <c r="E1434" i="1" s="1"/>
  <c r="H959" i="1"/>
  <c r="J959" i="1"/>
  <c r="G959" i="1" s="1"/>
  <c r="F959" i="1"/>
  <c r="B1134" i="1"/>
  <c r="C1133" i="1"/>
  <c r="D1133" i="1" s="1"/>
  <c r="H216" i="1"/>
  <c r="F216" i="1"/>
  <c r="J216" i="1"/>
  <c r="C397" i="1"/>
  <c r="D397" i="1" s="1"/>
  <c r="B398" i="1"/>
  <c r="J2612" i="1" l="1"/>
  <c r="G2612" i="1" s="1"/>
  <c r="H2612" i="1"/>
  <c r="I2612" i="1" s="1"/>
  <c r="E2613" i="1" s="1"/>
  <c r="F2612" i="1"/>
  <c r="H1434" i="1"/>
  <c r="J1434" i="1"/>
  <c r="G1434" i="1" s="1"/>
  <c r="F1434" i="1"/>
  <c r="C1612" i="1"/>
  <c r="D1612" i="1" s="1"/>
  <c r="B1613" i="1"/>
  <c r="C1134" i="1"/>
  <c r="D1134" i="1" s="1"/>
  <c r="B1135" i="1"/>
  <c r="I959" i="1"/>
  <c r="E960" i="1" s="1"/>
  <c r="G216" i="1"/>
  <c r="I216" i="1" s="1"/>
  <c r="E217" i="1" s="1"/>
  <c r="C398" i="1"/>
  <c r="D398" i="1" s="1"/>
  <c r="B399" i="1"/>
  <c r="H2613" i="1" l="1"/>
  <c r="J2613" i="1"/>
  <c r="G2613" i="1" s="1"/>
  <c r="F2613" i="1"/>
  <c r="C1613" i="1"/>
  <c r="D1613" i="1" s="1"/>
  <c r="B1614" i="1"/>
  <c r="I1434" i="1"/>
  <c r="E1435" i="1" s="1"/>
  <c r="H960" i="1"/>
  <c r="J960" i="1"/>
  <c r="G960" i="1" s="1"/>
  <c r="F960" i="1"/>
  <c r="B1136" i="1"/>
  <c r="C1135" i="1"/>
  <c r="D1135" i="1" s="1"/>
  <c r="H217" i="1"/>
  <c r="J217" i="1"/>
  <c r="G217" i="1" s="1"/>
  <c r="F217" i="1"/>
  <c r="C399" i="1"/>
  <c r="D399" i="1" s="1"/>
  <c r="B400" i="1"/>
  <c r="I2613" i="1" l="1"/>
  <c r="E2614" i="1" s="1"/>
  <c r="J1435" i="1"/>
  <c r="G1435" i="1" s="1"/>
  <c r="H1435" i="1"/>
  <c r="F1435" i="1"/>
  <c r="C1614" i="1"/>
  <c r="D1614" i="1" s="1"/>
  <c r="B1615" i="1"/>
  <c r="C1136" i="1"/>
  <c r="D1136" i="1" s="1"/>
  <c r="B1137" i="1"/>
  <c r="I960" i="1"/>
  <c r="E961" i="1" s="1"/>
  <c r="I217" i="1"/>
  <c r="E218" i="1" s="1"/>
  <c r="B401" i="1"/>
  <c r="C400" i="1"/>
  <c r="D400" i="1" s="1"/>
  <c r="J2614" i="1" l="1"/>
  <c r="G2614" i="1" s="1"/>
  <c r="H2614" i="1"/>
  <c r="F2614" i="1"/>
  <c r="C1615" i="1"/>
  <c r="D1615" i="1" s="1"/>
  <c r="B1616" i="1"/>
  <c r="I1435" i="1"/>
  <c r="E1436" i="1" s="1"/>
  <c r="J961" i="1"/>
  <c r="G961" i="1" s="1"/>
  <c r="H961" i="1"/>
  <c r="I961" i="1" s="1"/>
  <c r="E962" i="1" s="1"/>
  <c r="F961" i="1"/>
  <c r="B1138" i="1"/>
  <c r="C1137" i="1"/>
  <c r="D1137" i="1" s="1"/>
  <c r="H218" i="1"/>
  <c r="J218" i="1"/>
  <c r="G218" i="1" s="1"/>
  <c r="F218" i="1"/>
  <c r="B402" i="1"/>
  <c r="C401" i="1"/>
  <c r="D401" i="1" s="1"/>
  <c r="I2614" i="1" l="1"/>
  <c r="E2615" i="1" s="1"/>
  <c r="H1436" i="1"/>
  <c r="J1436" i="1"/>
  <c r="G1436" i="1" s="1"/>
  <c r="F1436" i="1"/>
  <c r="C1616" i="1"/>
  <c r="D1616" i="1" s="1"/>
  <c r="B1617" i="1"/>
  <c r="J962" i="1"/>
  <c r="G962" i="1" s="1"/>
  <c r="H962" i="1"/>
  <c r="I962" i="1" s="1"/>
  <c r="E963" i="1" s="1"/>
  <c r="F962" i="1"/>
  <c r="C1138" i="1"/>
  <c r="D1138" i="1" s="1"/>
  <c r="B1139" i="1"/>
  <c r="I218" i="1"/>
  <c r="E219" i="1" s="1"/>
  <c r="B403" i="1"/>
  <c r="C402" i="1"/>
  <c r="D402" i="1" s="1"/>
  <c r="H2615" i="1" l="1"/>
  <c r="J2615" i="1"/>
  <c r="G2615" i="1" s="1"/>
  <c r="F2615" i="1"/>
  <c r="C1617" i="1"/>
  <c r="D1617" i="1" s="1"/>
  <c r="B1618" i="1"/>
  <c r="I1436" i="1"/>
  <c r="E1437" i="1" s="1"/>
  <c r="H963" i="1"/>
  <c r="J963" i="1"/>
  <c r="G963" i="1" s="1"/>
  <c r="F963" i="1"/>
  <c r="C1139" i="1"/>
  <c r="D1139" i="1" s="1"/>
  <c r="B1140" i="1"/>
  <c r="J219" i="1"/>
  <c r="G219" i="1" s="1"/>
  <c r="F219" i="1"/>
  <c r="H219" i="1"/>
  <c r="C403" i="1"/>
  <c r="D403" i="1" s="1"/>
  <c r="B404" i="1"/>
  <c r="I2615" i="1" l="1"/>
  <c r="E2616" i="1" s="1"/>
  <c r="H1437" i="1"/>
  <c r="J1437" i="1"/>
  <c r="G1437" i="1" s="1"/>
  <c r="F1437" i="1"/>
  <c r="C1618" i="1"/>
  <c r="D1618" i="1" s="1"/>
  <c r="B1619" i="1"/>
  <c r="B1141" i="1"/>
  <c r="C1140" i="1"/>
  <c r="D1140" i="1" s="1"/>
  <c r="I963" i="1"/>
  <c r="E964" i="1" s="1"/>
  <c r="I219" i="1"/>
  <c r="E220" i="1" s="1"/>
  <c r="C404" i="1"/>
  <c r="D404" i="1" s="1"/>
  <c r="B405" i="1"/>
  <c r="H2616" i="1" l="1"/>
  <c r="J2616" i="1"/>
  <c r="G2616" i="1" s="1"/>
  <c r="F2616" i="1"/>
  <c r="C1619" i="1"/>
  <c r="D1619" i="1" s="1"/>
  <c r="B1620" i="1"/>
  <c r="I1437" i="1"/>
  <c r="E1438" i="1" s="1"/>
  <c r="H964" i="1"/>
  <c r="J964" i="1"/>
  <c r="G964" i="1" s="1"/>
  <c r="F964" i="1"/>
  <c r="B1142" i="1"/>
  <c r="C1141" i="1"/>
  <c r="D1141" i="1" s="1"/>
  <c r="H220" i="1"/>
  <c r="J220" i="1"/>
  <c r="G220" i="1" s="1"/>
  <c r="F220" i="1"/>
  <c r="C405" i="1"/>
  <c r="D405" i="1" s="1"/>
  <c r="B406" i="1"/>
  <c r="I2616" i="1" l="1"/>
  <c r="E2617" i="1" s="1"/>
  <c r="H1438" i="1"/>
  <c r="J1438" i="1"/>
  <c r="G1438" i="1" s="1"/>
  <c r="F1438" i="1"/>
  <c r="C1620" i="1"/>
  <c r="D1620" i="1" s="1"/>
  <c r="B1621" i="1"/>
  <c r="C1142" i="1"/>
  <c r="D1142" i="1" s="1"/>
  <c r="B1143" i="1"/>
  <c r="I964" i="1"/>
  <c r="E965" i="1" s="1"/>
  <c r="I220" i="1"/>
  <c r="E221" i="1" s="1"/>
  <c r="B407" i="1"/>
  <c r="C406" i="1"/>
  <c r="D406" i="1" s="1"/>
  <c r="J2617" i="1" l="1"/>
  <c r="G2617" i="1" s="1"/>
  <c r="H2617" i="1"/>
  <c r="I2617" i="1" s="1"/>
  <c r="E2618" i="1" s="1"/>
  <c r="F2617" i="1"/>
  <c r="C1621" i="1"/>
  <c r="D1621" i="1" s="1"/>
  <c r="B1622" i="1"/>
  <c r="I1438" i="1"/>
  <c r="E1439" i="1" s="1"/>
  <c r="C1143" i="1"/>
  <c r="D1143" i="1" s="1"/>
  <c r="B1144" i="1"/>
  <c r="H965" i="1"/>
  <c r="J965" i="1"/>
  <c r="G965" i="1" s="1"/>
  <c r="F965" i="1"/>
  <c r="J221" i="1"/>
  <c r="G221" i="1" s="1"/>
  <c r="F221" i="1"/>
  <c r="H221" i="1"/>
  <c r="I221" i="1" s="1"/>
  <c r="E222" i="1" s="1"/>
  <c r="C407" i="1"/>
  <c r="D407" i="1" s="1"/>
  <c r="B408" i="1"/>
  <c r="H2618" i="1" l="1"/>
  <c r="J2618" i="1"/>
  <c r="G2618" i="1" s="1"/>
  <c r="F2618" i="1"/>
  <c r="J1439" i="1"/>
  <c r="G1439" i="1" s="1"/>
  <c r="H1439" i="1"/>
  <c r="F1439" i="1"/>
  <c r="C1622" i="1"/>
  <c r="D1622" i="1" s="1"/>
  <c r="B1623" i="1"/>
  <c r="C1144" i="1"/>
  <c r="D1144" i="1" s="1"/>
  <c r="B1145" i="1"/>
  <c r="I965" i="1"/>
  <c r="E966" i="1" s="1"/>
  <c r="H222" i="1"/>
  <c r="J222" i="1"/>
  <c r="G222" i="1" s="1"/>
  <c r="F222" i="1"/>
  <c r="C408" i="1"/>
  <c r="D408" i="1" s="1"/>
  <c r="B409" i="1"/>
  <c r="I2618" i="1" l="1"/>
  <c r="E2619" i="1" s="1"/>
  <c r="I1439" i="1"/>
  <c r="E1440" i="1" s="1"/>
  <c r="C1623" i="1"/>
  <c r="D1623" i="1" s="1"/>
  <c r="B1624" i="1"/>
  <c r="H966" i="1"/>
  <c r="J966" i="1"/>
  <c r="G966" i="1" s="1"/>
  <c r="F966" i="1"/>
  <c r="B1146" i="1"/>
  <c r="C1145" i="1"/>
  <c r="D1145" i="1" s="1"/>
  <c r="I222" i="1"/>
  <c r="E223" i="1" s="1"/>
  <c r="C409" i="1"/>
  <c r="D409" i="1" s="1"/>
  <c r="B410" i="1"/>
  <c r="H2619" i="1" l="1"/>
  <c r="J2619" i="1"/>
  <c r="G2619" i="1" s="1"/>
  <c r="F2619" i="1"/>
  <c r="C1624" i="1"/>
  <c r="D1624" i="1" s="1"/>
  <c r="B1625" i="1"/>
  <c r="J1440" i="1"/>
  <c r="G1440" i="1" s="1"/>
  <c r="H1440" i="1"/>
  <c r="I1440" i="1" s="1"/>
  <c r="E1441" i="1" s="1"/>
  <c r="F1440" i="1"/>
  <c r="C1146" i="1"/>
  <c r="D1146" i="1" s="1"/>
  <c r="B1147" i="1"/>
  <c r="I966" i="1"/>
  <c r="E967" i="1" s="1"/>
  <c r="H223" i="1"/>
  <c r="J223" i="1"/>
  <c r="G223" i="1" s="1"/>
  <c r="F223" i="1"/>
  <c r="C410" i="1"/>
  <c r="D410" i="1" s="1"/>
  <c r="B411" i="1"/>
  <c r="I2619" i="1" l="1"/>
  <c r="E2620" i="1" s="1"/>
  <c r="H1441" i="1"/>
  <c r="J1441" i="1"/>
  <c r="G1441" i="1" s="1"/>
  <c r="F1441" i="1"/>
  <c r="B1626" i="1"/>
  <c r="C1625" i="1"/>
  <c r="D1625" i="1" s="1"/>
  <c r="B1148" i="1"/>
  <c r="C1147" i="1"/>
  <c r="D1147" i="1" s="1"/>
  <c r="H967" i="1"/>
  <c r="J967" i="1"/>
  <c r="G967" i="1" s="1"/>
  <c r="F967" i="1"/>
  <c r="I223" i="1"/>
  <c r="E224" i="1" s="1"/>
  <c r="B412" i="1"/>
  <c r="C411" i="1"/>
  <c r="D411" i="1" s="1"/>
  <c r="H2620" i="1" l="1"/>
  <c r="J2620" i="1"/>
  <c r="G2620" i="1" s="1"/>
  <c r="F2620" i="1"/>
  <c r="C1626" i="1"/>
  <c r="D1626" i="1" s="1"/>
  <c r="B1627" i="1"/>
  <c r="I1441" i="1"/>
  <c r="E1442" i="1" s="1"/>
  <c r="I967" i="1"/>
  <c r="E968" i="1" s="1"/>
  <c r="B1149" i="1"/>
  <c r="C1148" i="1"/>
  <c r="D1148" i="1" s="1"/>
  <c r="J224" i="1"/>
  <c r="G224" i="1" s="1"/>
  <c r="H224" i="1"/>
  <c r="I224" i="1" s="1"/>
  <c r="E225" i="1" s="1"/>
  <c r="F224" i="1"/>
  <c r="B413" i="1"/>
  <c r="C412" i="1"/>
  <c r="D412" i="1" s="1"/>
  <c r="I2620" i="1" l="1"/>
  <c r="E2621" i="1" s="1"/>
  <c r="H1442" i="1"/>
  <c r="J1442" i="1"/>
  <c r="G1442" i="1" s="1"/>
  <c r="F1442" i="1"/>
  <c r="C1627" i="1"/>
  <c r="D1627" i="1" s="1"/>
  <c r="B1628" i="1"/>
  <c r="C1149" i="1"/>
  <c r="D1149" i="1" s="1"/>
  <c r="B1150" i="1"/>
  <c r="H968" i="1"/>
  <c r="J968" i="1"/>
  <c r="G968" i="1" s="1"/>
  <c r="F968" i="1"/>
  <c r="J225" i="1"/>
  <c r="G225" i="1" s="1"/>
  <c r="F225" i="1"/>
  <c r="H225" i="1"/>
  <c r="I225" i="1" s="1"/>
  <c r="E226" i="1" s="1"/>
  <c r="B414" i="1"/>
  <c r="C413" i="1"/>
  <c r="D413" i="1" s="1"/>
  <c r="J2621" i="1" l="1"/>
  <c r="G2621" i="1" s="1"/>
  <c r="H2621" i="1"/>
  <c r="I2621" i="1" s="1"/>
  <c r="E2622" i="1" s="1"/>
  <c r="F2621" i="1"/>
  <c r="C1628" i="1"/>
  <c r="D1628" i="1" s="1"/>
  <c r="B1629" i="1"/>
  <c r="I1442" i="1"/>
  <c r="E1443" i="1" s="1"/>
  <c r="I968" i="1"/>
  <c r="E969" i="1" s="1"/>
  <c r="C1150" i="1"/>
  <c r="D1150" i="1" s="1"/>
  <c r="B1151" i="1"/>
  <c r="J226" i="1"/>
  <c r="G226" i="1" s="1"/>
  <c r="F226" i="1"/>
  <c r="H226" i="1"/>
  <c r="I226" i="1" s="1"/>
  <c r="E227" i="1" s="1"/>
  <c r="C414" i="1"/>
  <c r="D414" i="1" s="1"/>
  <c r="B415" i="1"/>
  <c r="J2622" i="1" l="1"/>
  <c r="G2622" i="1" s="1"/>
  <c r="H2622" i="1"/>
  <c r="F2622" i="1"/>
  <c r="J1443" i="1"/>
  <c r="G1443" i="1" s="1"/>
  <c r="H1443" i="1"/>
  <c r="I1443" i="1" s="1"/>
  <c r="E1444" i="1" s="1"/>
  <c r="F1443" i="1"/>
  <c r="C1629" i="1"/>
  <c r="D1629" i="1" s="1"/>
  <c r="B1630" i="1"/>
  <c r="B1152" i="1"/>
  <c r="C1151" i="1"/>
  <c r="D1151" i="1" s="1"/>
  <c r="J969" i="1"/>
  <c r="G969" i="1" s="1"/>
  <c r="H969" i="1"/>
  <c r="F969" i="1"/>
  <c r="H227" i="1"/>
  <c r="F227" i="1"/>
  <c r="J227" i="1"/>
  <c r="B416" i="1"/>
  <c r="C415" i="1"/>
  <c r="D415" i="1" s="1"/>
  <c r="I2622" i="1" l="1"/>
  <c r="E2623" i="1" s="1"/>
  <c r="H1444" i="1"/>
  <c r="J1444" i="1"/>
  <c r="G1444" i="1" s="1"/>
  <c r="F1444" i="1"/>
  <c r="C1630" i="1"/>
  <c r="D1630" i="1" s="1"/>
  <c r="B1631" i="1"/>
  <c r="I969" i="1"/>
  <c r="E970" i="1" s="1"/>
  <c r="C1152" i="1"/>
  <c r="D1152" i="1" s="1"/>
  <c r="B1153" i="1"/>
  <c r="G227" i="1"/>
  <c r="I227" i="1" s="1"/>
  <c r="E228" i="1" s="1"/>
  <c r="C416" i="1"/>
  <c r="D416" i="1" s="1"/>
  <c r="B417" i="1"/>
  <c r="H2623" i="1" l="1"/>
  <c r="J2623" i="1"/>
  <c r="G2623" i="1" s="1"/>
  <c r="F2623" i="1"/>
  <c r="C1631" i="1"/>
  <c r="D1631" i="1" s="1"/>
  <c r="B1632" i="1"/>
  <c r="I1444" i="1"/>
  <c r="E1445" i="1" s="1"/>
  <c r="C1153" i="1"/>
  <c r="D1153" i="1" s="1"/>
  <c r="B1154" i="1"/>
  <c r="J970" i="1"/>
  <c r="G970" i="1" s="1"/>
  <c r="H970" i="1"/>
  <c r="I970" i="1" s="1"/>
  <c r="E971" i="1" s="1"/>
  <c r="F970" i="1"/>
  <c r="J228" i="1"/>
  <c r="G228" i="1" s="1"/>
  <c r="F228" i="1"/>
  <c r="H228" i="1"/>
  <c r="B418" i="1"/>
  <c r="C417" i="1"/>
  <c r="D417" i="1" s="1"/>
  <c r="I2623" i="1" l="1"/>
  <c r="E2624" i="1" s="1"/>
  <c r="H1445" i="1"/>
  <c r="J1445" i="1"/>
  <c r="G1445" i="1" s="1"/>
  <c r="F1445" i="1"/>
  <c r="C1632" i="1"/>
  <c r="D1632" i="1" s="1"/>
  <c r="B1633" i="1"/>
  <c r="H971" i="1"/>
  <c r="J971" i="1"/>
  <c r="G971" i="1" s="1"/>
  <c r="F971" i="1"/>
  <c r="C1154" i="1"/>
  <c r="D1154" i="1" s="1"/>
  <c r="B1155" i="1"/>
  <c r="I228" i="1"/>
  <c r="E229" i="1" s="1"/>
  <c r="B419" i="1"/>
  <c r="C418" i="1"/>
  <c r="D418" i="1" s="1"/>
  <c r="H2624" i="1" l="1"/>
  <c r="J2624" i="1"/>
  <c r="G2624" i="1" s="1"/>
  <c r="F2624" i="1"/>
  <c r="C1633" i="1"/>
  <c r="D1633" i="1" s="1"/>
  <c r="B1634" i="1"/>
  <c r="I1445" i="1"/>
  <c r="E1446" i="1" s="1"/>
  <c r="B1156" i="1"/>
  <c r="C1155" i="1"/>
  <c r="D1155" i="1" s="1"/>
  <c r="I971" i="1"/>
  <c r="E972" i="1" s="1"/>
  <c r="J229" i="1"/>
  <c r="G229" i="1" s="1"/>
  <c r="F229" i="1"/>
  <c r="H229" i="1"/>
  <c r="I229" i="1" s="1"/>
  <c r="E230" i="1" s="1"/>
  <c r="B420" i="1"/>
  <c r="C419" i="1"/>
  <c r="D419" i="1" s="1"/>
  <c r="I2624" i="1" l="1"/>
  <c r="E2625" i="1" s="1"/>
  <c r="C1634" i="1"/>
  <c r="D1634" i="1" s="1"/>
  <c r="B1635" i="1"/>
  <c r="J1446" i="1"/>
  <c r="G1446" i="1" s="1"/>
  <c r="H1446" i="1"/>
  <c r="I1446" i="1" s="1"/>
  <c r="E1447" i="1" s="1"/>
  <c r="F1446" i="1"/>
  <c r="H972" i="1"/>
  <c r="J972" i="1"/>
  <c r="G972" i="1" s="1"/>
  <c r="F972" i="1"/>
  <c r="C1156" i="1"/>
  <c r="D1156" i="1" s="1"/>
  <c r="B1157" i="1"/>
  <c r="F230" i="1"/>
  <c r="H230" i="1"/>
  <c r="J230" i="1"/>
  <c r="G230" i="1" s="1"/>
  <c r="B421" i="1"/>
  <c r="C420" i="1"/>
  <c r="D420" i="1" s="1"/>
  <c r="J2625" i="1" l="1"/>
  <c r="G2625" i="1" s="1"/>
  <c r="H2625" i="1"/>
  <c r="I2625" i="1" s="1"/>
  <c r="E2626" i="1" s="1"/>
  <c r="F2625" i="1"/>
  <c r="J1447" i="1"/>
  <c r="G1447" i="1" s="1"/>
  <c r="H1447" i="1"/>
  <c r="I1447" i="1" s="1"/>
  <c r="E1448" i="1" s="1"/>
  <c r="F1447" i="1"/>
  <c r="C1635" i="1"/>
  <c r="D1635" i="1" s="1"/>
  <c r="B1636" i="1"/>
  <c r="B1158" i="1"/>
  <c r="C1157" i="1"/>
  <c r="D1157" i="1" s="1"/>
  <c r="I972" i="1"/>
  <c r="E973" i="1" s="1"/>
  <c r="I230" i="1"/>
  <c r="E231" i="1" s="1"/>
  <c r="C421" i="1"/>
  <c r="D421" i="1" s="1"/>
  <c r="B422" i="1"/>
  <c r="J2626" i="1" l="1"/>
  <c r="G2626" i="1" s="1"/>
  <c r="H2626" i="1"/>
  <c r="I2626" i="1" s="1"/>
  <c r="E2627" i="1" s="1"/>
  <c r="F2626" i="1"/>
  <c r="H1448" i="1"/>
  <c r="J1448" i="1"/>
  <c r="G1448" i="1" s="1"/>
  <c r="F1448" i="1"/>
  <c r="C1636" i="1"/>
  <c r="D1636" i="1" s="1"/>
  <c r="B1637" i="1"/>
  <c r="H973" i="1"/>
  <c r="J973" i="1"/>
  <c r="G973" i="1" s="1"/>
  <c r="F973" i="1"/>
  <c r="C1158" i="1"/>
  <c r="D1158" i="1" s="1"/>
  <c r="B1159" i="1"/>
  <c r="H231" i="1"/>
  <c r="F231" i="1"/>
  <c r="J231" i="1"/>
  <c r="G231" i="1" s="1"/>
  <c r="C422" i="1"/>
  <c r="D422" i="1" s="1"/>
  <c r="B423" i="1"/>
  <c r="H2627" i="1" l="1"/>
  <c r="J2627" i="1"/>
  <c r="G2627" i="1" s="1"/>
  <c r="F2627" i="1"/>
  <c r="C1637" i="1"/>
  <c r="D1637" i="1" s="1"/>
  <c r="B1638" i="1"/>
  <c r="I1448" i="1"/>
  <c r="E1449" i="1" s="1"/>
  <c r="C1159" i="1"/>
  <c r="D1159" i="1" s="1"/>
  <c r="B1160" i="1"/>
  <c r="I973" i="1"/>
  <c r="E974" i="1" s="1"/>
  <c r="I231" i="1"/>
  <c r="E232" i="1" s="1"/>
  <c r="B424" i="1"/>
  <c r="C423" i="1"/>
  <c r="D423" i="1" s="1"/>
  <c r="I2627" i="1" l="1"/>
  <c r="E2628" i="1" s="1"/>
  <c r="H1449" i="1"/>
  <c r="J1449" i="1"/>
  <c r="G1449" i="1" s="1"/>
  <c r="F1449" i="1"/>
  <c r="C1638" i="1"/>
  <c r="D1638" i="1" s="1"/>
  <c r="B1639" i="1"/>
  <c r="H974" i="1"/>
  <c r="J974" i="1"/>
  <c r="G974" i="1" s="1"/>
  <c r="F974" i="1"/>
  <c r="C1160" i="1"/>
  <c r="D1160" i="1" s="1"/>
  <c r="B1161" i="1"/>
  <c r="J232" i="1"/>
  <c r="G232" i="1" s="1"/>
  <c r="H232" i="1"/>
  <c r="I232" i="1" s="1"/>
  <c r="E233" i="1" s="1"/>
  <c r="F232" i="1"/>
  <c r="C424" i="1"/>
  <c r="D424" i="1" s="1"/>
  <c r="B425" i="1"/>
  <c r="H2628" i="1" l="1"/>
  <c r="J2628" i="1"/>
  <c r="G2628" i="1" s="1"/>
  <c r="F2628" i="1"/>
  <c r="C1639" i="1"/>
  <c r="D1639" i="1" s="1"/>
  <c r="B1640" i="1"/>
  <c r="I1449" i="1"/>
  <c r="E1450" i="1" s="1"/>
  <c r="B1162" i="1"/>
  <c r="C1161" i="1"/>
  <c r="D1161" i="1" s="1"/>
  <c r="I974" i="1"/>
  <c r="E975" i="1" s="1"/>
  <c r="J233" i="1"/>
  <c r="G233" i="1" s="1"/>
  <c r="F233" i="1"/>
  <c r="H233" i="1"/>
  <c r="I233" i="1" s="1"/>
  <c r="E234" i="1" s="1"/>
  <c r="C425" i="1"/>
  <c r="D425" i="1" s="1"/>
  <c r="B426" i="1"/>
  <c r="I2628" i="1" l="1"/>
  <c r="E2629" i="1" s="1"/>
  <c r="H1450" i="1"/>
  <c r="J1450" i="1"/>
  <c r="G1450" i="1" s="1"/>
  <c r="F1450" i="1"/>
  <c r="C1640" i="1"/>
  <c r="D1640" i="1" s="1"/>
  <c r="B1641" i="1"/>
  <c r="H975" i="1"/>
  <c r="J975" i="1"/>
  <c r="G975" i="1" s="1"/>
  <c r="F975" i="1"/>
  <c r="C1162" i="1"/>
  <c r="D1162" i="1" s="1"/>
  <c r="B1163" i="1"/>
  <c r="F234" i="1"/>
  <c r="H234" i="1"/>
  <c r="J234" i="1"/>
  <c r="G234" i="1" s="1"/>
  <c r="C426" i="1"/>
  <c r="D426" i="1" s="1"/>
  <c r="B427" i="1"/>
  <c r="J2629" i="1" l="1"/>
  <c r="G2629" i="1" s="1"/>
  <c r="H2629" i="1"/>
  <c r="F2629" i="1"/>
  <c r="C1641" i="1"/>
  <c r="D1641" i="1" s="1"/>
  <c r="B1642" i="1"/>
  <c r="I1450" i="1"/>
  <c r="E1451" i="1" s="1"/>
  <c r="C1163" i="1"/>
  <c r="D1163" i="1" s="1"/>
  <c r="B1164" i="1"/>
  <c r="I975" i="1"/>
  <c r="E976" i="1" s="1"/>
  <c r="I234" i="1"/>
  <c r="E235" i="1" s="1"/>
  <c r="B428" i="1"/>
  <c r="C427" i="1"/>
  <c r="D427" i="1" s="1"/>
  <c r="I2629" i="1" l="1"/>
  <c r="E2630" i="1" s="1"/>
  <c r="H1451" i="1"/>
  <c r="J1451" i="1"/>
  <c r="G1451" i="1" s="1"/>
  <c r="F1451" i="1"/>
  <c r="C1642" i="1"/>
  <c r="D1642" i="1" s="1"/>
  <c r="B1643" i="1"/>
  <c r="H976" i="1"/>
  <c r="J976" i="1"/>
  <c r="G976" i="1" s="1"/>
  <c r="F976" i="1"/>
  <c r="B1165" i="1"/>
  <c r="C1164" i="1"/>
  <c r="D1164" i="1" s="1"/>
  <c r="F235" i="1"/>
  <c r="H235" i="1"/>
  <c r="J235" i="1"/>
  <c r="G235" i="1" s="1"/>
  <c r="C428" i="1"/>
  <c r="D428" i="1" s="1"/>
  <c r="B429" i="1"/>
  <c r="J2630" i="1" l="1"/>
  <c r="G2630" i="1" s="1"/>
  <c r="H2630" i="1"/>
  <c r="I2630" i="1" s="1"/>
  <c r="E2631" i="1" s="1"/>
  <c r="F2630" i="1"/>
  <c r="C1643" i="1"/>
  <c r="D1643" i="1" s="1"/>
  <c r="B1644" i="1"/>
  <c r="I1451" i="1"/>
  <c r="E1452" i="1" s="1"/>
  <c r="B1166" i="1"/>
  <c r="C1165" i="1"/>
  <c r="D1165" i="1" s="1"/>
  <c r="I976" i="1"/>
  <c r="E977" i="1" s="1"/>
  <c r="I235" i="1"/>
  <c r="E236" i="1" s="1"/>
  <c r="C429" i="1"/>
  <c r="D429" i="1" s="1"/>
  <c r="B430" i="1"/>
  <c r="H2631" i="1" l="1"/>
  <c r="J2631" i="1"/>
  <c r="G2631" i="1" s="1"/>
  <c r="F2631" i="1"/>
  <c r="H1452" i="1"/>
  <c r="J1452" i="1"/>
  <c r="G1452" i="1" s="1"/>
  <c r="F1452" i="1"/>
  <c r="C1644" i="1"/>
  <c r="D1644" i="1" s="1"/>
  <c r="B1645" i="1"/>
  <c r="J977" i="1"/>
  <c r="G977" i="1" s="1"/>
  <c r="H977" i="1"/>
  <c r="I977" i="1" s="1"/>
  <c r="E978" i="1" s="1"/>
  <c r="F977" i="1"/>
  <c r="C1166" i="1"/>
  <c r="D1166" i="1" s="1"/>
  <c r="B1167" i="1"/>
  <c r="J236" i="1"/>
  <c r="G236" i="1" s="1"/>
  <c r="H236" i="1"/>
  <c r="F236" i="1"/>
  <c r="C430" i="1"/>
  <c r="D430" i="1" s="1"/>
  <c r="B431" i="1"/>
  <c r="I2631" i="1" l="1"/>
  <c r="E2632" i="1" s="1"/>
  <c r="C1645" i="1"/>
  <c r="D1645" i="1" s="1"/>
  <c r="B1646" i="1"/>
  <c r="I1452" i="1"/>
  <c r="E1453" i="1" s="1"/>
  <c r="J978" i="1"/>
  <c r="G978" i="1" s="1"/>
  <c r="H978" i="1"/>
  <c r="F978" i="1"/>
  <c r="B1168" i="1"/>
  <c r="C1167" i="1"/>
  <c r="D1167" i="1" s="1"/>
  <c r="I236" i="1"/>
  <c r="E237" i="1" s="1"/>
  <c r="C431" i="1"/>
  <c r="D431" i="1" s="1"/>
  <c r="B432" i="1"/>
  <c r="H2632" i="1" l="1"/>
  <c r="J2632" i="1"/>
  <c r="G2632" i="1" s="1"/>
  <c r="F2632" i="1"/>
  <c r="H1453" i="1"/>
  <c r="J1453" i="1"/>
  <c r="G1453" i="1" s="1"/>
  <c r="F1453" i="1"/>
  <c r="C1646" i="1"/>
  <c r="D1646" i="1" s="1"/>
  <c r="B1647" i="1"/>
  <c r="B1169" i="1"/>
  <c r="C1168" i="1"/>
  <c r="D1168" i="1" s="1"/>
  <c r="I978" i="1"/>
  <c r="E979" i="1" s="1"/>
  <c r="F237" i="1"/>
  <c r="H237" i="1"/>
  <c r="J237" i="1"/>
  <c r="G237" i="1" s="1"/>
  <c r="B433" i="1"/>
  <c r="C432" i="1"/>
  <c r="D432" i="1" s="1"/>
  <c r="I2632" i="1" l="1"/>
  <c r="E2633" i="1" s="1"/>
  <c r="C1647" i="1"/>
  <c r="D1647" i="1" s="1"/>
  <c r="B1648" i="1"/>
  <c r="I1453" i="1"/>
  <c r="E1454" i="1" s="1"/>
  <c r="J979" i="1"/>
  <c r="G979" i="1" s="1"/>
  <c r="H979" i="1"/>
  <c r="I979" i="1" s="1"/>
  <c r="E980" i="1" s="1"/>
  <c r="F979" i="1"/>
  <c r="B1170" i="1"/>
  <c r="C1169" i="1"/>
  <c r="D1169" i="1" s="1"/>
  <c r="I237" i="1"/>
  <c r="E238" i="1" s="1"/>
  <c r="B434" i="1"/>
  <c r="C433" i="1"/>
  <c r="D433" i="1" s="1"/>
  <c r="J2633" i="1" l="1"/>
  <c r="G2633" i="1" s="1"/>
  <c r="H2633" i="1"/>
  <c r="F2633" i="1"/>
  <c r="J1454" i="1"/>
  <c r="G1454" i="1" s="1"/>
  <c r="H1454" i="1"/>
  <c r="F1454" i="1"/>
  <c r="C1648" i="1"/>
  <c r="D1648" i="1" s="1"/>
  <c r="B1649" i="1"/>
  <c r="H980" i="1"/>
  <c r="J980" i="1"/>
  <c r="G980" i="1" s="1"/>
  <c r="F980" i="1"/>
  <c r="C1170" i="1"/>
  <c r="D1170" i="1" s="1"/>
  <c r="B1171" i="1"/>
  <c r="H238" i="1"/>
  <c r="J238" i="1"/>
  <c r="G238" i="1" s="1"/>
  <c r="F238" i="1"/>
  <c r="C434" i="1"/>
  <c r="D434" i="1" s="1"/>
  <c r="B435" i="1"/>
  <c r="I2633" i="1" l="1"/>
  <c r="E2634" i="1" s="1"/>
  <c r="C1649" i="1"/>
  <c r="D1649" i="1" s="1"/>
  <c r="B1650" i="1"/>
  <c r="I1454" i="1"/>
  <c r="E1455" i="1" s="1"/>
  <c r="B1172" i="1"/>
  <c r="C1171" i="1"/>
  <c r="D1171" i="1" s="1"/>
  <c r="I980" i="1"/>
  <c r="E981" i="1" s="1"/>
  <c r="I238" i="1"/>
  <c r="E239" i="1" s="1"/>
  <c r="C435" i="1"/>
  <c r="D435" i="1" s="1"/>
  <c r="B436" i="1"/>
  <c r="H2634" i="1" l="1"/>
  <c r="J2634" i="1"/>
  <c r="G2634" i="1" s="1"/>
  <c r="F2634" i="1"/>
  <c r="J1455" i="1"/>
  <c r="G1455" i="1" s="1"/>
  <c r="H1455" i="1"/>
  <c r="F1455" i="1"/>
  <c r="C1650" i="1"/>
  <c r="D1650" i="1" s="1"/>
  <c r="B1651" i="1"/>
  <c r="H981" i="1"/>
  <c r="J981" i="1"/>
  <c r="G981" i="1" s="1"/>
  <c r="F981" i="1"/>
  <c r="C1172" i="1"/>
  <c r="D1172" i="1" s="1"/>
  <c r="B1173" i="1"/>
  <c r="J239" i="1"/>
  <c r="G239" i="1" s="1"/>
  <c r="H239" i="1"/>
  <c r="I239" i="1" s="1"/>
  <c r="E240" i="1" s="1"/>
  <c r="F239" i="1"/>
  <c r="B437" i="1"/>
  <c r="C436" i="1"/>
  <c r="D436" i="1" s="1"/>
  <c r="I2634" i="1" l="1"/>
  <c r="E2635" i="1" s="1"/>
  <c r="C1651" i="1"/>
  <c r="D1651" i="1" s="1"/>
  <c r="B1652" i="1"/>
  <c r="I1455" i="1"/>
  <c r="E1456" i="1" s="1"/>
  <c r="C1173" i="1"/>
  <c r="D1173" i="1" s="1"/>
  <c r="B1174" i="1"/>
  <c r="I981" i="1"/>
  <c r="E982" i="1" s="1"/>
  <c r="H240" i="1"/>
  <c r="J240" i="1"/>
  <c r="F240" i="1"/>
  <c r="C437" i="1"/>
  <c r="D437" i="1" s="1"/>
  <c r="B438" i="1"/>
  <c r="H2635" i="1" l="1"/>
  <c r="J2635" i="1"/>
  <c r="G2635" i="1" s="1"/>
  <c r="F2635" i="1"/>
  <c r="C1652" i="1"/>
  <c r="D1652" i="1" s="1"/>
  <c r="B1653" i="1"/>
  <c r="H1456" i="1"/>
  <c r="J1456" i="1"/>
  <c r="G1456" i="1" s="1"/>
  <c r="F1456" i="1"/>
  <c r="C1174" i="1"/>
  <c r="D1174" i="1" s="1"/>
  <c r="B1175" i="1"/>
  <c r="H982" i="1"/>
  <c r="J982" i="1"/>
  <c r="G982" i="1" s="1"/>
  <c r="F982" i="1"/>
  <c r="G240" i="1"/>
  <c r="I240" i="1" s="1"/>
  <c r="E241" i="1" s="1"/>
  <c r="B439" i="1"/>
  <c r="C438" i="1"/>
  <c r="D438" i="1" s="1"/>
  <c r="I2635" i="1" l="1"/>
  <c r="E2636" i="1" s="1"/>
  <c r="I1456" i="1"/>
  <c r="E1457" i="1" s="1"/>
  <c r="C1653" i="1"/>
  <c r="D1653" i="1" s="1"/>
  <c r="B1654" i="1"/>
  <c r="I982" i="1"/>
  <c r="E983" i="1" s="1"/>
  <c r="B1176" i="1"/>
  <c r="C1175" i="1"/>
  <c r="D1175" i="1" s="1"/>
  <c r="J241" i="1"/>
  <c r="G241" i="1" s="1"/>
  <c r="H241" i="1"/>
  <c r="F241" i="1"/>
  <c r="B440" i="1"/>
  <c r="C439" i="1"/>
  <c r="D439" i="1" s="1"/>
  <c r="H2636" i="1" l="1"/>
  <c r="J2636" i="1"/>
  <c r="G2636" i="1" s="1"/>
  <c r="F2636" i="1"/>
  <c r="C1654" i="1"/>
  <c r="D1654" i="1" s="1"/>
  <c r="B1655" i="1"/>
  <c r="H1457" i="1"/>
  <c r="J1457" i="1"/>
  <c r="G1457" i="1" s="1"/>
  <c r="F1457" i="1"/>
  <c r="B1177" i="1"/>
  <c r="C1176" i="1"/>
  <c r="D1176" i="1" s="1"/>
  <c r="H983" i="1"/>
  <c r="J983" i="1"/>
  <c r="G983" i="1" s="1"/>
  <c r="F983" i="1"/>
  <c r="I241" i="1"/>
  <c r="E242" i="1" s="1"/>
  <c r="C440" i="1"/>
  <c r="D440" i="1" s="1"/>
  <c r="B441" i="1"/>
  <c r="I2636" i="1" l="1"/>
  <c r="E2637" i="1" s="1"/>
  <c r="C1655" i="1"/>
  <c r="D1655" i="1" s="1"/>
  <c r="B1656" i="1"/>
  <c r="I1457" i="1"/>
  <c r="E1458" i="1" s="1"/>
  <c r="I983" i="1"/>
  <c r="E984" i="1" s="1"/>
  <c r="B1178" i="1"/>
  <c r="C1177" i="1"/>
  <c r="D1177" i="1" s="1"/>
  <c r="J242" i="1"/>
  <c r="G242" i="1" s="1"/>
  <c r="H242" i="1"/>
  <c r="I242" i="1" s="1"/>
  <c r="E243" i="1" s="1"/>
  <c r="F242" i="1"/>
  <c r="C441" i="1"/>
  <c r="D441" i="1" s="1"/>
  <c r="B442" i="1"/>
  <c r="J2637" i="1" l="1"/>
  <c r="G2637" i="1" s="1"/>
  <c r="H2637" i="1"/>
  <c r="F2637" i="1"/>
  <c r="H1458" i="1"/>
  <c r="J1458" i="1"/>
  <c r="G1458" i="1" s="1"/>
  <c r="F1458" i="1"/>
  <c r="C1656" i="1"/>
  <c r="D1656" i="1" s="1"/>
  <c r="B1657" i="1"/>
  <c r="H984" i="1"/>
  <c r="J984" i="1"/>
  <c r="G984" i="1" s="1"/>
  <c r="F984" i="1"/>
  <c r="C1178" i="1"/>
  <c r="D1178" i="1" s="1"/>
  <c r="B1179" i="1"/>
  <c r="H243" i="1"/>
  <c r="J243" i="1"/>
  <c r="G243" i="1" s="1"/>
  <c r="F243" i="1"/>
  <c r="C442" i="1"/>
  <c r="D442" i="1" s="1"/>
  <c r="B443" i="1"/>
  <c r="I2637" i="1" l="1"/>
  <c r="E2638" i="1" s="1"/>
  <c r="C1657" i="1"/>
  <c r="D1657" i="1" s="1"/>
  <c r="B1658" i="1"/>
  <c r="I1458" i="1"/>
  <c r="E1459" i="1" s="1"/>
  <c r="C1179" i="1"/>
  <c r="D1179" i="1" s="1"/>
  <c r="B1180" i="1"/>
  <c r="I984" i="1"/>
  <c r="E985" i="1" s="1"/>
  <c r="I243" i="1"/>
  <c r="E244" i="1" s="1"/>
  <c r="C443" i="1"/>
  <c r="D443" i="1" s="1"/>
  <c r="B444" i="1"/>
  <c r="H2638" i="1" l="1"/>
  <c r="J2638" i="1"/>
  <c r="G2638" i="1" s="1"/>
  <c r="F2638" i="1"/>
  <c r="H1459" i="1"/>
  <c r="J1459" i="1"/>
  <c r="G1459" i="1" s="1"/>
  <c r="F1459" i="1"/>
  <c r="C1658" i="1"/>
  <c r="D1658" i="1" s="1"/>
  <c r="B1659" i="1"/>
  <c r="H985" i="1"/>
  <c r="J985" i="1"/>
  <c r="G985" i="1" s="1"/>
  <c r="F985" i="1"/>
  <c r="B1181" i="1"/>
  <c r="C1180" i="1"/>
  <c r="D1180" i="1" s="1"/>
  <c r="H244" i="1"/>
  <c r="F244" i="1"/>
  <c r="J244" i="1"/>
  <c r="G244" i="1" s="1"/>
  <c r="C444" i="1"/>
  <c r="D444" i="1" s="1"/>
  <c r="B445" i="1"/>
  <c r="I2638" i="1" l="1"/>
  <c r="E2639" i="1" s="1"/>
  <c r="C1659" i="1"/>
  <c r="D1659" i="1" s="1"/>
  <c r="B1660" i="1"/>
  <c r="I1459" i="1"/>
  <c r="E1460" i="1" s="1"/>
  <c r="B1182" i="1"/>
  <c r="C1181" i="1"/>
  <c r="D1181" i="1" s="1"/>
  <c r="I985" i="1"/>
  <c r="E986" i="1" s="1"/>
  <c r="I244" i="1"/>
  <c r="E245" i="1" s="1"/>
  <c r="C445" i="1"/>
  <c r="D445" i="1" s="1"/>
  <c r="B446" i="1"/>
  <c r="H2639" i="1" l="1"/>
  <c r="J2639" i="1"/>
  <c r="G2639" i="1" s="1"/>
  <c r="F2639" i="1"/>
  <c r="H1460" i="1"/>
  <c r="J1460" i="1"/>
  <c r="G1460" i="1" s="1"/>
  <c r="F1460" i="1"/>
  <c r="C1660" i="1"/>
  <c r="D1660" i="1" s="1"/>
  <c r="B1661" i="1"/>
  <c r="H986" i="1"/>
  <c r="J986" i="1"/>
  <c r="G986" i="1" s="1"/>
  <c r="F986" i="1"/>
  <c r="C1182" i="1"/>
  <c r="D1182" i="1" s="1"/>
  <c r="B1183" i="1"/>
  <c r="H245" i="1"/>
  <c r="F245" i="1"/>
  <c r="J245" i="1"/>
  <c r="G245" i="1" s="1"/>
  <c r="C446" i="1"/>
  <c r="D446" i="1" s="1"/>
  <c r="B447" i="1"/>
  <c r="I2639" i="1" l="1"/>
  <c r="E2640" i="1" s="1"/>
  <c r="C1661" i="1"/>
  <c r="D1661" i="1" s="1"/>
  <c r="B1662" i="1"/>
  <c r="I1460" i="1"/>
  <c r="E1461" i="1" s="1"/>
  <c r="B1184" i="1"/>
  <c r="C1183" i="1"/>
  <c r="D1183" i="1" s="1"/>
  <c r="I986" i="1"/>
  <c r="E987" i="1" s="1"/>
  <c r="I245" i="1"/>
  <c r="E246" i="1" s="1"/>
  <c r="C447" i="1"/>
  <c r="D447" i="1" s="1"/>
  <c r="B448" i="1"/>
  <c r="H2640" i="1" l="1"/>
  <c r="J2640" i="1"/>
  <c r="G2640" i="1" s="1"/>
  <c r="F2640" i="1"/>
  <c r="H1461" i="1"/>
  <c r="J1461" i="1"/>
  <c r="G1461" i="1" s="1"/>
  <c r="F1461" i="1"/>
  <c r="C1662" i="1"/>
  <c r="D1662" i="1" s="1"/>
  <c r="B1663" i="1"/>
  <c r="J987" i="1"/>
  <c r="G987" i="1" s="1"/>
  <c r="H987" i="1"/>
  <c r="I987" i="1" s="1"/>
  <c r="E988" i="1" s="1"/>
  <c r="F987" i="1"/>
  <c r="C1184" i="1"/>
  <c r="D1184" i="1" s="1"/>
  <c r="B1185" i="1"/>
  <c r="H246" i="1"/>
  <c r="F246" i="1"/>
  <c r="J246" i="1"/>
  <c r="B449" i="1"/>
  <c r="C448" i="1"/>
  <c r="D448" i="1" s="1"/>
  <c r="I2640" i="1" l="1"/>
  <c r="E2641" i="1" s="1"/>
  <c r="C1663" i="1"/>
  <c r="D1663" i="1" s="1"/>
  <c r="B1664" i="1"/>
  <c r="I1461" i="1"/>
  <c r="E1462" i="1" s="1"/>
  <c r="H988" i="1"/>
  <c r="J988" i="1"/>
  <c r="G988" i="1" s="1"/>
  <c r="F988" i="1"/>
  <c r="C1185" i="1"/>
  <c r="D1185" i="1" s="1"/>
  <c r="B1186" i="1"/>
  <c r="G246" i="1"/>
  <c r="I246" i="1" s="1"/>
  <c r="E247" i="1" s="1"/>
  <c r="C449" i="1"/>
  <c r="D449" i="1" s="1"/>
  <c r="B450" i="1"/>
  <c r="H2641" i="1" l="1"/>
  <c r="J2641" i="1"/>
  <c r="G2641" i="1" s="1"/>
  <c r="F2641" i="1"/>
  <c r="J1462" i="1"/>
  <c r="G1462" i="1" s="1"/>
  <c r="H1462" i="1"/>
  <c r="F1462" i="1"/>
  <c r="C1664" i="1"/>
  <c r="D1664" i="1" s="1"/>
  <c r="B1665" i="1"/>
  <c r="B1187" i="1"/>
  <c r="C1186" i="1"/>
  <c r="D1186" i="1" s="1"/>
  <c r="I988" i="1"/>
  <c r="E989" i="1" s="1"/>
  <c r="J247" i="1"/>
  <c r="G247" i="1" s="1"/>
  <c r="F247" i="1"/>
  <c r="H247" i="1"/>
  <c r="I247" i="1" s="1"/>
  <c r="E248" i="1" s="1"/>
  <c r="C450" i="1"/>
  <c r="D450" i="1" s="1"/>
  <c r="B451" i="1"/>
  <c r="I2641" i="1" l="1"/>
  <c r="E2642" i="1" s="1"/>
  <c r="C1665" i="1"/>
  <c r="D1665" i="1" s="1"/>
  <c r="B1666" i="1"/>
  <c r="I1462" i="1"/>
  <c r="E1463" i="1" s="1"/>
  <c r="H989" i="1"/>
  <c r="J989" i="1"/>
  <c r="G989" i="1" s="1"/>
  <c r="F989" i="1"/>
  <c r="C1187" i="1"/>
  <c r="D1187" i="1" s="1"/>
  <c r="B1188" i="1"/>
  <c r="H248" i="1"/>
  <c r="F248" i="1"/>
  <c r="J248" i="1"/>
  <c r="G248" i="1" s="1"/>
  <c r="C451" i="1"/>
  <c r="D451" i="1" s="1"/>
  <c r="B452" i="1"/>
  <c r="H2642" i="1" l="1"/>
  <c r="J2642" i="1"/>
  <c r="G2642" i="1" s="1"/>
  <c r="F2642" i="1"/>
  <c r="J1463" i="1"/>
  <c r="G1463" i="1" s="1"/>
  <c r="H1463" i="1"/>
  <c r="F1463" i="1"/>
  <c r="C1666" i="1"/>
  <c r="D1666" i="1" s="1"/>
  <c r="B1667" i="1"/>
  <c r="C1188" i="1"/>
  <c r="D1188" i="1" s="1"/>
  <c r="B1189" i="1"/>
  <c r="I989" i="1"/>
  <c r="E990" i="1" s="1"/>
  <c r="I248" i="1"/>
  <c r="E249" i="1" s="1"/>
  <c r="C452" i="1"/>
  <c r="D452" i="1" s="1"/>
  <c r="B453" i="1"/>
  <c r="I2642" i="1" l="1"/>
  <c r="E2643" i="1" s="1"/>
  <c r="I1463" i="1"/>
  <c r="E1464" i="1" s="1"/>
  <c r="C1667" i="1"/>
  <c r="D1667" i="1" s="1"/>
  <c r="B1668" i="1"/>
  <c r="J990" i="1"/>
  <c r="G990" i="1" s="1"/>
  <c r="H990" i="1"/>
  <c r="I990" i="1" s="1"/>
  <c r="E991" i="1" s="1"/>
  <c r="F990" i="1"/>
  <c r="C1189" i="1"/>
  <c r="D1189" i="1" s="1"/>
  <c r="B1190" i="1"/>
  <c r="H249" i="1"/>
  <c r="F249" i="1"/>
  <c r="J249" i="1"/>
  <c r="C453" i="1"/>
  <c r="D453" i="1" s="1"/>
  <c r="B454" i="1"/>
  <c r="J2643" i="1" l="1"/>
  <c r="G2643" i="1" s="1"/>
  <c r="H2643" i="1"/>
  <c r="F2643" i="1"/>
  <c r="C1668" i="1"/>
  <c r="D1668" i="1" s="1"/>
  <c r="B1669" i="1"/>
  <c r="H1464" i="1"/>
  <c r="J1464" i="1"/>
  <c r="G1464" i="1" s="1"/>
  <c r="F1464" i="1"/>
  <c r="H991" i="1"/>
  <c r="J991" i="1"/>
  <c r="G991" i="1" s="1"/>
  <c r="F991" i="1"/>
  <c r="C1190" i="1"/>
  <c r="D1190" i="1" s="1"/>
  <c r="B1191" i="1"/>
  <c r="G249" i="1"/>
  <c r="I249" i="1" s="1"/>
  <c r="E250" i="1" s="1"/>
  <c r="B455" i="1"/>
  <c r="C454" i="1"/>
  <c r="D454" i="1" s="1"/>
  <c r="I2643" i="1" l="1"/>
  <c r="E2644" i="1" s="1"/>
  <c r="C1669" i="1"/>
  <c r="D1669" i="1" s="1"/>
  <c r="B1670" i="1"/>
  <c r="I1464" i="1"/>
  <c r="E1465" i="1" s="1"/>
  <c r="C1191" i="1"/>
  <c r="D1191" i="1" s="1"/>
  <c r="B1192" i="1"/>
  <c r="I991" i="1"/>
  <c r="E992" i="1" s="1"/>
  <c r="F250" i="1"/>
  <c r="H250" i="1"/>
  <c r="J250" i="1"/>
  <c r="G250" i="1" s="1"/>
  <c r="B456" i="1"/>
  <c r="C455" i="1"/>
  <c r="D455" i="1" s="1"/>
  <c r="J2644" i="1" l="1"/>
  <c r="G2644" i="1" s="1"/>
  <c r="H2644" i="1"/>
  <c r="I2644" i="1" s="1"/>
  <c r="E2645" i="1" s="1"/>
  <c r="F2644" i="1"/>
  <c r="H1465" i="1"/>
  <c r="J1465" i="1"/>
  <c r="G1465" i="1" s="1"/>
  <c r="F1465" i="1"/>
  <c r="C1670" i="1"/>
  <c r="D1670" i="1" s="1"/>
  <c r="B1671" i="1"/>
  <c r="H992" i="1"/>
  <c r="J992" i="1"/>
  <c r="G992" i="1" s="1"/>
  <c r="F992" i="1"/>
  <c r="C1192" i="1"/>
  <c r="D1192" i="1" s="1"/>
  <c r="B1193" i="1"/>
  <c r="I250" i="1"/>
  <c r="E251" i="1" s="1"/>
  <c r="B457" i="1"/>
  <c r="C456" i="1"/>
  <c r="D456" i="1" s="1"/>
  <c r="H2645" i="1" l="1"/>
  <c r="J2645" i="1"/>
  <c r="G2645" i="1" s="1"/>
  <c r="F2645" i="1"/>
  <c r="C1671" i="1"/>
  <c r="D1671" i="1" s="1"/>
  <c r="B1672" i="1"/>
  <c r="I1465" i="1"/>
  <c r="E1466" i="1" s="1"/>
  <c r="C1193" i="1"/>
  <c r="D1193" i="1" s="1"/>
  <c r="B1194" i="1"/>
  <c r="I992" i="1"/>
  <c r="E993" i="1" s="1"/>
  <c r="H251" i="1"/>
  <c r="F251" i="1"/>
  <c r="J251" i="1"/>
  <c r="G251" i="1" s="1"/>
  <c r="B458" i="1"/>
  <c r="C457" i="1"/>
  <c r="D457" i="1" s="1"/>
  <c r="I2645" i="1" l="1"/>
  <c r="E2646" i="1" s="1"/>
  <c r="C1672" i="1"/>
  <c r="D1672" i="1" s="1"/>
  <c r="B1673" i="1"/>
  <c r="H1466" i="1"/>
  <c r="J1466" i="1"/>
  <c r="G1466" i="1" s="1"/>
  <c r="F1466" i="1"/>
  <c r="H993" i="1"/>
  <c r="J993" i="1"/>
  <c r="G993" i="1" s="1"/>
  <c r="F993" i="1"/>
  <c r="B1195" i="1"/>
  <c r="C1194" i="1"/>
  <c r="D1194" i="1" s="1"/>
  <c r="I251" i="1"/>
  <c r="E252" i="1" s="1"/>
  <c r="C458" i="1"/>
  <c r="D458" i="1" s="1"/>
  <c r="B459" i="1"/>
  <c r="H2646" i="1" l="1"/>
  <c r="J2646" i="1"/>
  <c r="G2646" i="1" s="1"/>
  <c r="F2646" i="1"/>
  <c r="I1466" i="1"/>
  <c r="E1467" i="1" s="1"/>
  <c r="C1673" i="1"/>
  <c r="D1673" i="1" s="1"/>
  <c r="B1674" i="1"/>
  <c r="C1195" i="1"/>
  <c r="D1195" i="1" s="1"/>
  <c r="B1196" i="1"/>
  <c r="I993" i="1"/>
  <c r="E994" i="1" s="1"/>
  <c r="F252" i="1"/>
  <c r="H252" i="1"/>
  <c r="J252" i="1"/>
  <c r="G252" i="1" s="1"/>
  <c r="B460" i="1"/>
  <c r="C459" i="1"/>
  <c r="D459" i="1" s="1"/>
  <c r="I2646" i="1" l="1"/>
  <c r="E2647" i="1" s="1"/>
  <c r="C1674" i="1"/>
  <c r="D1674" i="1" s="1"/>
  <c r="B1675" i="1"/>
  <c r="H1467" i="1"/>
  <c r="J1467" i="1"/>
  <c r="G1467" i="1" s="1"/>
  <c r="F1467" i="1"/>
  <c r="H994" i="1"/>
  <c r="J994" i="1"/>
  <c r="G994" i="1" s="1"/>
  <c r="F994" i="1"/>
  <c r="C1196" i="1"/>
  <c r="D1196" i="1" s="1"/>
  <c r="B1197" i="1"/>
  <c r="I252" i="1"/>
  <c r="E253" i="1" s="1"/>
  <c r="C460" i="1"/>
  <c r="D460" i="1" s="1"/>
  <c r="B461" i="1"/>
  <c r="H2647" i="1" l="1"/>
  <c r="J2647" i="1"/>
  <c r="G2647" i="1" s="1"/>
  <c r="F2647" i="1"/>
  <c r="I1467" i="1"/>
  <c r="E1468" i="1" s="1"/>
  <c r="C1675" i="1"/>
  <c r="D1675" i="1" s="1"/>
  <c r="B1676" i="1"/>
  <c r="C1197" i="1"/>
  <c r="D1197" i="1" s="1"/>
  <c r="B1198" i="1"/>
  <c r="I994" i="1"/>
  <c r="E995" i="1" s="1"/>
  <c r="F253" i="1"/>
  <c r="H253" i="1"/>
  <c r="J253" i="1"/>
  <c r="G253" i="1" s="1"/>
  <c r="B462" i="1"/>
  <c r="C461" i="1"/>
  <c r="D461" i="1" s="1"/>
  <c r="I2647" i="1" l="1"/>
  <c r="E2648" i="1" s="1"/>
  <c r="C1676" i="1"/>
  <c r="D1676" i="1" s="1"/>
  <c r="B1677" i="1"/>
  <c r="H1468" i="1"/>
  <c r="J1468" i="1"/>
  <c r="G1468" i="1" s="1"/>
  <c r="F1468" i="1"/>
  <c r="J995" i="1"/>
  <c r="G995" i="1" s="1"/>
  <c r="H995" i="1"/>
  <c r="I995" i="1" s="1"/>
  <c r="E996" i="1" s="1"/>
  <c r="F995" i="1"/>
  <c r="B1199" i="1"/>
  <c r="C1198" i="1"/>
  <c r="D1198" i="1" s="1"/>
  <c r="I253" i="1"/>
  <c r="E254" i="1" s="1"/>
  <c r="C462" i="1"/>
  <c r="D462" i="1" s="1"/>
  <c r="B463" i="1"/>
  <c r="H2648" i="1" l="1"/>
  <c r="J2648" i="1"/>
  <c r="G2648" i="1" s="1"/>
  <c r="F2648" i="1"/>
  <c r="I1468" i="1"/>
  <c r="E1469" i="1" s="1"/>
  <c r="C1677" i="1"/>
  <c r="D1677" i="1" s="1"/>
  <c r="B1678" i="1"/>
  <c r="H996" i="1"/>
  <c r="J996" i="1"/>
  <c r="G996" i="1" s="1"/>
  <c r="F996" i="1"/>
  <c r="C1199" i="1"/>
  <c r="D1199" i="1" s="1"/>
  <c r="B1200" i="1"/>
  <c r="F254" i="1"/>
  <c r="H254" i="1"/>
  <c r="J254" i="1"/>
  <c r="G254" i="1" s="1"/>
  <c r="C463" i="1"/>
  <c r="D463" i="1" s="1"/>
  <c r="B464" i="1"/>
  <c r="I2648" i="1" l="1"/>
  <c r="E2649" i="1" s="1"/>
  <c r="C1678" i="1"/>
  <c r="D1678" i="1" s="1"/>
  <c r="B1679" i="1"/>
  <c r="H1469" i="1"/>
  <c r="J1469" i="1"/>
  <c r="G1469" i="1" s="1"/>
  <c r="F1469" i="1"/>
  <c r="C1200" i="1"/>
  <c r="D1200" i="1" s="1"/>
  <c r="B1201" i="1"/>
  <c r="I996" i="1"/>
  <c r="E997" i="1" s="1"/>
  <c r="I254" i="1"/>
  <c r="E255" i="1" s="1"/>
  <c r="C464" i="1"/>
  <c r="D464" i="1" s="1"/>
  <c r="B465" i="1"/>
  <c r="H2649" i="1" l="1"/>
  <c r="J2649" i="1"/>
  <c r="G2649" i="1" s="1"/>
  <c r="F2649" i="1"/>
  <c r="I1469" i="1"/>
  <c r="E1470" i="1" s="1"/>
  <c r="C1679" i="1"/>
  <c r="D1679" i="1" s="1"/>
  <c r="B1680" i="1"/>
  <c r="C1201" i="1"/>
  <c r="D1201" i="1" s="1"/>
  <c r="B1202" i="1"/>
  <c r="H997" i="1"/>
  <c r="J997" i="1"/>
  <c r="G997" i="1" s="1"/>
  <c r="F997" i="1"/>
  <c r="J255" i="1"/>
  <c r="G255" i="1" s="1"/>
  <c r="F255" i="1"/>
  <c r="H255" i="1"/>
  <c r="I255" i="1" s="1"/>
  <c r="E256" i="1" s="1"/>
  <c r="B466" i="1"/>
  <c r="C465" i="1"/>
  <c r="D465" i="1" s="1"/>
  <c r="I2649" i="1" l="1"/>
  <c r="E2650" i="1" s="1"/>
  <c r="C1680" i="1"/>
  <c r="D1680" i="1" s="1"/>
  <c r="B1681" i="1"/>
  <c r="J1470" i="1"/>
  <c r="G1470" i="1" s="1"/>
  <c r="H1470" i="1"/>
  <c r="F1470" i="1"/>
  <c r="I997" i="1"/>
  <c r="E998" i="1" s="1"/>
  <c r="C1202" i="1"/>
  <c r="D1202" i="1" s="1"/>
  <c r="B1203" i="1"/>
  <c r="F256" i="1"/>
  <c r="H256" i="1"/>
  <c r="J256" i="1"/>
  <c r="G256" i="1" s="1"/>
  <c r="C466" i="1"/>
  <c r="D466" i="1" s="1"/>
  <c r="B467" i="1"/>
  <c r="H2650" i="1" l="1"/>
  <c r="J2650" i="1"/>
  <c r="G2650" i="1" s="1"/>
  <c r="F2650" i="1"/>
  <c r="I1470" i="1"/>
  <c r="E1471" i="1" s="1"/>
  <c r="C1681" i="1"/>
  <c r="D1681" i="1" s="1"/>
  <c r="B1682" i="1"/>
  <c r="C1203" i="1"/>
  <c r="D1203" i="1" s="1"/>
  <c r="B1204" i="1"/>
  <c r="H998" i="1"/>
  <c r="J998" i="1"/>
  <c r="G998" i="1" s="1"/>
  <c r="F998" i="1"/>
  <c r="I256" i="1"/>
  <c r="E257" i="1" s="1"/>
  <c r="C467" i="1"/>
  <c r="D467" i="1" s="1"/>
  <c r="B468" i="1"/>
  <c r="I2650" i="1" l="1"/>
  <c r="E2651" i="1" s="1"/>
  <c r="C1682" i="1"/>
  <c r="D1682" i="1" s="1"/>
  <c r="B1683" i="1"/>
  <c r="J1471" i="1"/>
  <c r="G1471" i="1" s="1"/>
  <c r="H1471" i="1"/>
  <c r="F1471" i="1"/>
  <c r="I998" i="1"/>
  <c r="E999" i="1" s="1"/>
  <c r="C1204" i="1"/>
  <c r="D1204" i="1" s="1"/>
  <c r="B1205" i="1"/>
  <c r="H257" i="1"/>
  <c r="J257" i="1"/>
  <c r="G257" i="1" s="1"/>
  <c r="F257" i="1"/>
  <c r="C468" i="1"/>
  <c r="D468" i="1" s="1"/>
  <c r="B469" i="1"/>
  <c r="J2651" i="1" l="1"/>
  <c r="G2651" i="1" s="1"/>
  <c r="H2651" i="1"/>
  <c r="I2651" i="1" s="1"/>
  <c r="E2652" i="1" s="1"/>
  <c r="F2651" i="1"/>
  <c r="I1471" i="1"/>
  <c r="E1472" i="1" s="1"/>
  <c r="C1683" i="1"/>
  <c r="D1683" i="1" s="1"/>
  <c r="B1684" i="1"/>
  <c r="C1205" i="1"/>
  <c r="D1205" i="1" s="1"/>
  <c r="B1206" i="1"/>
  <c r="H999" i="1"/>
  <c r="J999" i="1"/>
  <c r="G999" i="1" s="1"/>
  <c r="F999" i="1"/>
  <c r="I257" i="1"/>
  <c r="E258" i="1" s="1"/>
  <c r="C469" i="1"/>
  <c r="D469" i="1" s="1"/>
  <c r="B470" i="1"/>
  <c r="J2652" i="1" l="1"/>
  <c r="G2652" i="1" s="1"/>
  <c r="H2652" i="1"/>
  <c r="F2652" i="1"/>
  <c r="C1684" i="1"/>
  <c r="D1684" i="1" s="1"/>
  <c r="B1685" i="1"/>
  <c r="H1472" i="1"/>
  <c r="I1472" i="1" s="1"/>
  <c r="E1473" i="1" s="1"/>
  <c r="J1472" i="1"/>
  <c r="G1472" i="1" s="1"/>
  <c r="F1472" i="1"/>
  <c r="I999" i="1"/>
  <c r="E1000" i="1" s="1"/>
  <c r="C1206" i="1"/>
  <c r="D1206" i="1" s="1"/>
  <c r="B1207" i="1"/>
  <c r="J258" i="1"/>
  <c r="G258" i="1" s="1"/>
  <c r="H258" i="1"/>
  <c r="I258" i="1" s="1"/>
  <c r="E259" i="1" s="1"/>
  <c r="F258" i="1"/>
  <c r="C470" i="1"/>
  <c r="D470" i="1" s="1"/>
  <c r="B471" i="1"/>
  <c r="I2652" i="1" l="1"/>
  <c r="E2653" i="1" s="1"/>
  <c r="H1473" i="1"/>
  <c r="J1473" i="1"/>
  <c r="G1473" i="1" s="1"/>
  <c r="F1473" i="1"/>
  <c r="C1685" i="1"/>
  <c r="D1685" i="1" s="1"/>
  <c r="B1686" i="1"/>
  <c r="C1207" i="1"/>
  <c r="D1207" i="1" s="1"/>
  <c r="B1208" i="1"/>
  <c r="J1000" i="1"/>
  <c r="G1000" i="1" s="1"/>
  <c r="H1000" i="1"/>
  <c r="F1000" i="1"/>
  <c r="J259" i="1"/>
  <c r="G259" i="1" s="1"/>
  <c r="H259" i="1"/>
  <c r="I259" i="1" s="1"/>
  <c r="E260" i="1" s="1"/>
  <c r="F259" i="1"/>
  <c r="B472" i="1"/>
  <c r="C471" i="1"/>
  <c r="D471" i="1" s="1"/>
  <c r="H2653" i="1" l="1"/>
  <c r="J2653" i="1"/>
  <c r="G2653" i="1" s="1"/>
  <c r="F2653" i="1"/>
  <c r="B1687" i="1"/>
  <c r="C1686" i="1"/>
  <c r="D1686" i="1" s="1"/>
  <c r="I1473" i="1"/>
  <c r="E1474" i="1" s="1"/>
  <c r="I1000" i="1"/>
  <c r="E1001" i="1" s="1"/>
  <c r="B1209" i="1"/>
  <c r="C1208" i="1"/>
  <c r="D1208" i="1" s="1"/>
  <c r="J260" i="1"/>
  <c r="G260" i="1" s="1"/>
  <c r="F260" i="1"/>
  <c r="H260" i="1"/>
  <c r="I260" i="1" s="1"/>
  <c r="E261" i="1" s="1"/>
  <c r="B473" i="1"/>
  <c r="C472" i="1"/>
  <c r="D472" i="1" s="1"/>
  <c r="I2653" i="1" l="1"/>
  <c r="E2654" i="1" s="1"/>
  <c r="H1474" i="1"/>
  <c r="J1474" i="1"/>
  <c r="G1474" i="1" s="1"/>
  <c r="F1474" i="1"/>
  <c r="C1687" i="1"/>
  <c r="D1687" i="1" s="1"/>
  <c r="B1688" i="1"/>
  <c r="C1209" i="1"/>
  <c r="D1209" i="1" s="1"/>
  <c r="B1210" i="1"/>
  <c r="H1001" i="1"/>
  <c r="J1001" i="1"/>
  <c r="G1001" i="1" s="1"/>
  <c r="F1001" i="1"/>
  <c r="F261" i="1"/>
  <c r="J261" i="1"/>
  <c r="G261" i="1" s="1"/>
  <c r="H261" i="1"/>
  <c r="B474" i="1"/>
  <c r="C473" i="1"/>
  <c r="D473" i="1" s="1"/>
  <c r="H2654" i="1" l="1"/>
  <c r="J2654" i="1"/>
  <c r="G2654" i="1" s="1"/>
  <c r="F2654" i="1"/>
  <c r="C1688" i="1"/>
  <c r="D1688" i="1" s="1"/>
  <c r="B1689" i="1"/>
  <c r="I1474" i="1"/>
  <c r="E1475" i="1" s="1"/>
  <c r="I1001" i="1"/>
  <c r="E1002" i="1" s="1"/>
  <c r="C1210" i="1"/>
  <c r="D1210" i="1" s="1"/>
  <c r="B1211" i="1"/>
  <c r="I261" i="1"/>
  <c r="E262" i="1" s="1"/>
  <c r="C474" i="1"/>
  <c r="D474" i="1" s="1"/>
  <c r="B475" i="1"/>
  <c r="I2654" i="1" l="1"/>
  <c r="E2655" i="1" s="1"/>
  <c r="H1475" i="1"/>
  <c r="J1475" i="1"/>
  <c r="G1475" i="1" s="1"/>
  <c r="F1475" i="1"/>
  <c r="C1689" i="1"/>
  <c r="D1689" i="1" s="1"/>
  <c r="B1690" i="1"/>
  <c r="C1211" i="1"/>
  <c r="D1211" i="1" s="1"/>
  <c r="B1212" i="1"/>
  <c r="H1002" i="1"/>
  <c r="J1002" i="1"/>
  <c r="G1002" i="1" s="1"/>
  <c r="F1002" i="1"/>
  <c r="H262" i="1"/>
  <c r="F262" i="1"/>
  <c r="J262" i="1"/>
  <c r="B476" i="1"/>
  <c r="C475" i="1"/>
  <c r="D475" i="1" s="1"/>
  <c r="H2655" i="1" l="1"/>
  <c r="J2655" i="1"/>
  <c r="G2655" i="1" s="1"/>
  <c r="F2655" i="1"/>
  <c r="C1690" i="1"/>
  <c r="D1690" i="1" s="1"/>
  <c r="B1691" i="1"/>
  <c r="I1475" i="1"/>
  <c r="E1476" i="1" s="1"/>
  <c r="I1002" i="1"/>
  <c r="E1003" i="1" s="1"/>
  <c r="C1212" i="1"/>
  <c r="D1212" i="1" s="1"/>
  <c r="B1213" i="1"/>
  <c r="G262" i="1"/>
  <c r="I262" i="1" s="1"/>
  <c r="E263" i="1" s="1"/>
  <c r="C476" i="1"/>
  <c r="D476" i="1" s="1"/>
  <c r="B477" i="1"/>
  <c r="I2655" i="1" l="1"/>
  <c r="E2656" i="1" s="1"/>
  <c r="C1691" i="1"/>
  <c r="D1691" i="1" s="1"/>
  <c r="B1692" i="1"/>
  <c r="H1476" i="1"/>
  <c r="J1476" i="1"/>
  <c r="G1476" i="1" s="1"/>
  <c r="F1476" i="1"/>
  <c r="C1213" i="1"/>
  <c r="D1213" i="1" s="1"/>
  <c r="B1214" i="1"/>
  <c r="J1003" i="1"/>
  <c r="G1003" i="1" s="1"/>
  <c r="H1003" i="1"/>
  <c r="F1003" i="1"/>
  <c r="J263" i="1"/>
  <c r="G263" i="1" s="1"/>
  <c r="H263" i="1"/>
  <c r="I263" i="1" s="1"/>
  <c r="E264" i="1" s="1"/>
  <c r="F263" i="1"/>
  <c r="B478" i="1"/>
  <c r="C477" i="1"/>
  <c r="D477" i="1" s="1"/>
  <c r="H2656" i="1" l="1"/>
  <c r="J2656" i="1"/>
  <c r="G2656" i="1" s="1"/>
  <c r="F2656" i="1"/>
  <c r="I1476" i="1"/>
  <c r="E1477" i="1" s="1"/>
  <c r="C1692" i="1"/>
  <c r="D1692" i="1" s="1"/>
  <c r="B1693" i="1"/>
  <c r="I1003" i="1"/>
  <c r="E1004" i="1" s="1"/>
  <c r="B1215" i="1"/>
  <c r="C1214" i="1"/>
  <c r="D1214" i="1" s="1"/>
  <c r="H264" i="1"/>
  <c r="F264" i="1"/>
  <c r="J264" i="1"/>
  <c r="G264" i="1" s="1"/>
  <c r="B479" i="1"/>
  <c r="C478" i="1"/>
  <c r="D478" i="1" s="1"/>
  <c r="I2656" i="1" l="1"/>
  <c r="E2657" i="1" s="1"/>
  <c r="B1694" i="1"/>
  <c r="C1693" i="1"/>
  <c r="D1693" i="1" s="1"/>
  <c r="H1477" i="1"/>
  <c r="J1477" i="1"/>
  <c r="G1477" i="1" s="1"/>
  <c r="F1477" i="1"/>
  <c r="C1215" i="1"/>
  <c r="D1215" i="1" s="1"/>
  <c r="B1216" i="1"/>
  <c r="H1004" i="1"/>
  <c r="J1004" i="1"/>
  <c r="G1004" i="1" s="1"/>
  <c r="F1004" i="1"/>
  <c r="I264" i="1"/>
  <c r="E265" i="1" s="1"/>
  <c r="C479" i="1"/>
  <c r="D479" i="1" s="1"/>
  <c r="B480" i="1"/>
  <c r="H2657" i="1" l="1"/>
  <c r="J2657" i="1"/>
  <c r="G2657" i="1" s="1"/>
  <c r="F2657" i="1"/>
  <c r="I1477" i="1"/>
  <c r="E1478" i="1" s="1"/>
  <c r="B1695" i="1"/>
  <c r="C1694" i="1"/>
  <c r="D1694" i="1" s="1"/>
  <c r="I1004" i="1"/>
  <c r="E1005" i="1" s="1"/>
  <c r="C1216" i="1"/>
  <c r="D1216" i="1" s="1"/>
  <c r="B1217" i="1"/>
  <c r="H265" i="1"/>
  <c r="F265" i="1"/>
  <c r="J265" i="1"/>
  <c r="G265" i="1" s="1"/>
  <c r="C480" i="1"/>
  <c r="D480" i="1" s="1"/>
  <c r="B481" i="1"/>
  <c r="I2657" i="1" l="1"/>
  <c r="E2658" i="1" s="1"/>
  <c r="C1695" i="1"/>
  <c r="D1695" i="1" s="1"/>
  <c r="B1696" i="1"/>
  <c r="J1478" i="1"/>
  <c r="G1478" i="1" s="1"/>
  <c r="H1478" i="1"/>
  <c r="F1478" i="1"/>
  <c r="C1217" i="1"/>
  <c r="D1217" i="1" s="1"/>
  <c r="B1218" i="1"/>
  <c r="H1005" i="1"/>
  <c r="J1005" i="1"/>
  <c r="G1005" i="1" s="1"/>
  <c r="F1005" i="1"/>
  <c r="I265" i="1"/>
  <c r="E266" i="1" s="1"/>
  <c r="C481" i="1"/>
  <c r="D481" i="1" s="1"/>
  <c r="B482" i="1"/>
  <c r="H2658" i="1" l="1"/>
  <c r="J2658" i="1"/>
  <c r="G2658" i="1" s="1"/>
  <c r="F2658" i="1"/>
  <c r="I1478" i="1"/>
  <c r="E1479" i="1" s="1"/>
  <c r="C1696" i="1"/>
  <c r="D1696" i="1" s="1"/>
  <c r="B1697" i="1"/>
  <c r="I1005" i="1"/>
  <c r="E1006" i="1" s="1"/>
  <c r="B1219" i="1"/>
  <c r="C1218" i="1"/>
  <c r="D1218" i="1" s="1"/>
  <c r="F266" i="1"/>
  <c r="H266" i="1"/>
  <c r="J266" i="1"/>
  <c r="G266" i="1" s="1"/>
  <c r="C482" i="1"/>
  <c r="D482" i="1" s="1"/>
  <c r="B483" i="1"/>
  <c r="I2658" i="1" l="1"/>
  <c r="E2659" i="1" s="1"/>
  <c r="J1479" i="1"/>
  <c r="G1479" i="1" s="1"/>
  <c r="H1479" i="1"/>
  <c r="F1479" i="1"/>
  <c r="B1698" i="1"/>
  <c r="C1697" i="1"/>
  <c r="D1697" i="1" s="1"/>
  <c r="C1219" i="1"/>
  <c r="D1219" i="1" s="1"/>
  <c r="B1220" i="1"/>
  <c r="H1006" i="1"/>
  <c r="J1006" i="1"/>
  <c r="G1006" i="1" s="1"/>
  <c r="F1006" i="1"/>
  <c r="I266" i="1"/>
  <c r="E267" i="1" s="1"/>
  <c r="B484" i="1"/>
  <c r="C483" i="1"/>
  <c r="D483" i="1" s="1"/>
  <c r="J2659" i="1" l="1"/>
  <c r="G2659" i="1" s="1"/>
  <c r="H2659" i="1"/>
  <c r="F2659" i="1"/>
  <c r="B1699" i="1"/>
  <c r="C1698" i="1"/>
  <c r="D1698" i="1" s="1"/>
  <c r="I1479" i="1"/>
  <c r="E1480" i="1" s="1"/>
  <c r="C1220" i="1"/>
  <c r="D1220" i="1" s="1"/>
  <c r="B1221" i="1"/>
  <c r="I1006" i="1"/>
  <c r="E1007" i="1" s="1"/>
  <c r="J267" i="1"/>
  <c r="G267" i="1" s="1"/>
  <c r="H267" i="1"/>
  <c r="F267" i="1"/>
  <c r="C484" i="1"/>
  <c r="D484" i="1" s="1"/>
  <c r="B485" i="1"/>
  <c r="I2659" i="1" l="1"/>
  <c r="E2660" i="1" s="1"/>
  <c r="H1480" i="1"/>
  <c r="J1480" i="1"/>
  <c r="G1480" i="1" s="1"/>
  <c r="F1480" i="1"/>
  <c r="B1700" i="1"/>
  <c r="C1699" i="1"/>
  <c r="D1699" i="1" s="1"/>
  <c r="C1221" i="1"/>
  <c r="D1221" i="1" s="1"/>
  <c r="B1222" i="1"/>
  <c r="H1007" i="1"/>
  <c r="J1007" i="1"/>
  <c r="G1007" i="1" s="1"/>
  <c r="F1007" i="1"/>
  <c r="I267" i="1"/>
  <c r="E268" i="1" s="1"/>
  <c r="C485" i="1"/>
  <c r="D485" i="1" s="1"/>
  <c r="B486" i="1"/>
  <c r="J2660" i="1" l="1"/>
  <c r="G2660" i="1" s="1"/>
  <c r="H2660" i="1"/>
  <c r="F2660" i="1"/>
  <c r="C1700" i="1"/>
  <c r="D1700" i="1" s="1"/>
  <c r="B1701" i="1"/>
  <c r="I1480" i="1"/>
  <c r="E1481" i="1" s="1"/>
  <c r="C1222" i="1"/>
  <c r="D1222" i="1" s="1"/>
  <c r="B1223" i="1"/>
  <c r="I1007" i="1"/>
  <c r="E1008" i="1" s="1"/>
  <c r="H268" i="1"/>
  <c r="J268" i="1"/>
  <c r="G268" i="1" s="1"/>
  <c r="F268" i="1"/>
  <c r="B487" i="1"/>
  <c r="C486" i="1"/>
  <c r="D486" i="1" s="1"/>
  <c r="I2660" i="1" l="1"/>
  <c r="E2661" i="1" s="1"/>
  <c r="H1481" i="1"/>
  <c r="J1481" i="1"/>
  <c r="G1481" i="1" s="1"/>
  <c r="F1481" i="1"/>
  <c r="C1701" i="1"/>
  <c r="D1701" i="1" s="1"/>
  <c r="B1702" i="1"/>
  <c r="H1008" i="1"/>
  <c r="J1008" i="1"/>
  <c r="G1008" i="1" s="1"/>
  <c r="F1008" i="1"/>
  <c r="C1223" i="1"/>
  <c r="D1223" i="1" s="1"/>
  <c r="B1224" i="1"/>
  <c r="I268" i="1"/>
  <c r="E269" i="1" s="1"/>
  <c r="B488" i="1"/>
  <c r="C487" i="1"/>
  <c r="D487" i="1" s="1"/>
  <c r="H2661" i="1" l="1"/>
  <c r="J2661" i="1"/>
  <c r="G2661" i="1" s="1"/>
  <c r="F2661" i="1"/>
  <c r="B1703" i="1"/>
  <c r="C1702" i="1"/>
  <c r="D1702" i="1" s="1"/>
  <c r="I1481" i="1"/>
  <c r="E1482" i="1" s="1"/>
  <c r="B1225" i="1"/>
  <c r="C1224" i="1"/>
  <c r="D1224" i="1" s="1"/>
  <c r="I1008" i="1"/>
  <c r="E1009" i="1" s="1"/>
  <c r="J269" i="1"/>
  <c r="G269" i="1" s="1"/>
  <c r="F269" i="1"/>
  <c r="H269" i="1"/>
  <c r="I269" i="1" s="1"/>
  <c r="E270" i="1" s="1"/>
  <c r="C488" i="1"/>
  <c r="D488" i="1" s="1"/>
  <c r="B489" i="1"/>
  <c r="I2661" i="1" l="1"/>
  <c r="E2662" i="1" s="1"/>
  <c r="H1482" i="1"/>
  <c r="J1482" i="1"/>
  <c r="G1482" i="1" s="1"/>
  <c r="F1482" i="1"/>
  <c r="B1704" i="1"/>
  <c r="C1703" i="1"/>
  <c r="D1703" i="1" s="1"/>
  <c r="H1009" i="1"/>
  <c r="J1009" i="1"/>
  <c r="G1009" i="1" s="1"/>
  <c r="F1009" i="1"/>
  <c r="C1225" i="1"/>
  <c r="D1225" i="1" s="1"/>
  <c r="B1226" i="1"/>
  <c r="H270" i="1"/>
  <c r="F270" i="1"/>
  <c r="J270" i="1"/>
  <c r="G270" i="1" s="1"/>
  <c r="B490" i="1"/>
  <c r="C489" i="1"/>
  <c r="D489" i="1" s="1"/>
  <c r="H2662" i="1" l="1"/>
  <c r="J2662" i="1"/>
  <c r="G2662" i="1" s="1"/>
  <c r="F2662" i="1"/>
  <c r="C1704" i="1"/>
  <c r="D1704" i="1" s="1"/>
  <c r="B1705" i="1"/>
  <c r="I1482" i="1"/>
  <c r="E1483" i="1" s="1"/>
  <c r="I1009" i="1"/>
  <c r="E1010" i="1" s="1"/>
  <c r="B1227" i="1"/>
  <c r="C1226" i="1"/>
  <c r="D1226" i="1" s="1"/>
  <c r="I270" i="1"/>
  <c r="E271" i="1" s="1"/>
  <c r="C490" i="1"/>
  <c r="D490" i="1" s="1"/>
  <c r="B491" i="1"/>
  <c r="I2662" i="1" l="1"/>
  <c r="E2663" i="1" s="1"/>
  <c r="H1483" i="1"/>
  <c r="J1483" i="1"/>
  <c r="G1483" i="1" s="1"/>
  <c r="F1483" i="1"/>
  <c r="B1706" i="1"/>
  <c r="C1705" i="1"/>
  <c r="D1705" i="1" s="1"/>
  <c r="J1010" i="1"/>
  <c r="G1010" i="1" s="1"/>
  <c r="H1010" i="1"/>
  <c r="F1010" i="1"/>
  <c r="C1227" i="1"/>
  <c r="D1227" i="1" s="1"/>
  <c r="B1228" i="1"/>
  <c r="F271" i="1"/>
  <c r="H271" i="1"/>
  <c r="J271" i="1"/>
  <c r="G271" i="1" s="1"/>
  <c r="B492" i="1"/>
  <c r="C491" i="1"/>
  <c r="D491" i="1" s="1"/>
  <c r="H2663" i="1" l="1"/>
  <c r="J2663" i="1"/>
  <c r="G2663" i="1" s="1"/>
  <c r="F2663" i="1"/>
  <c r="B1707" i="1"/>
  <c r="C1706" i="1"/>
  <c r="D1706" i="1" s="1"/>
  <c r="I1483" i="1"/>
  <c r="E1484" i="1" s="1"/>
  <c r="C1228" i="1"/>
  <c r="D1228" i="1" s="1"/>
  <c r="B1229" i="1"/>
  <c r="I1010" i="1"/>
  <c r="E1011" i="1" s="1"/>
  <c r="I271" i="1"/>
  <c r="E272" i="1" s="1"/>
  <c r="B493" i="1"/>
  <c r="C492" i="1"/>
  <c r="D492" i="1" s="1"/>
  <c r="I2663" i="1" l="1"/>
  <c r="E2664" i="1" s="1"/>
  <c r="J1484" i="1"/>
  <c r="G1484" i="1" s="1"/>
  <c r="H1484" i="1"/>
  <c r="F1484" i="1"/>
  <c r="C1707" i="1"/>
  <c r="D1707" i="1" s="1"/>
  <c r="B1708" i="1"/>
  <c r="J1011" i="1"/>
  <c r="G1011" i="1" s="1"/>
  <c r="H1011" i="1"/>
  <c r="I1011" i="1" s="1"/>
  <c r="E1012" i="1" s="1"/>
  <c r="F1011" i="1"/>
  <c r="C1229" i="1"/>
  <c r="D1229" i="1" s="1"/>
  <c r="B1230" i="1"/>
  <c r="H272" i="1"/>
  <c r="F272" i="1"/>
  <c r="J272" i="1"/>
  <c r="G272" i="1" s="1"/>
  <c r="C493" i="1"/>
  <c r="D493" i="1" s="1"/>
  <c r="B494" i="1"/>
  <c r="H2664" i="1" l="1"/>
  <c r="J2664" i="1"/>
  <c r="G2664" i="1" s="1"/>
  <c r="F2664" i="1"/>
  <c r="C1708" i="1"/>
  <c r="D1708" i="1" s="1"/>
  <c r="B1709" i="1"/>
  <c r="I1484" i="1"/>
  <c r="E1485" i="1" s="1"/>
  <c r="H1012" i="1"/>
  <c r="J1012" i="1"/>
  <c r="G1012" i="1" s="1"/>
  <c r="F1012" i="1"/>
  <c r="C1230" i="1"/>
  <c r="D1230" i="1" s="1"/>
  <c r="B1231" i="1"/>
  <c r="I272" i="1"/>
  <c r="E273" i="1" s="1"/>
  <c r="B495" i="1"/>
  <c r="C494" i="1"/>
  <c r="D494" i="1" s="1"/>
  <c r="I2664" i="1" l="1"/>
  <c r="E2665" i="1" s="1"/>
  <c r="H1485" i="1"/>
  <c r="J1485" i="1"/>
  <c r="G1485" i="1" s="1"/>
  <c r="F1485" i="1"/>
  <c r="C1709" i="1"/>
  <c r="D1709" i="1" s="1"/>
  <c r="B1710" i="1"/>
  <c r="C1231" i="1"/>
  <c r="D1231" i="1" s="1"/>
  <c r="B1232" i="1"/>
  <c r="C1232" i="1" s="1"/>
  <c r="D1232" i="1" s="1"/>
  <c r="I1012" i="1"/>
  <c r="E1013" i="1" s="1"/>
  <c r="H273" i="1"/>
  <c r="J273" i="1"/>
  <c r="G273" i="1" s="1"/>
  <c r="F273" i="1"/>
  <c r="B496" i="1"/>
  <c r="C495" i="1"/>
  <c r="D495" i="1" s="1"/>
  <c r="H2665" i="1" l="1"/>
  <c r="J2665" i="1"/>
  <c r="G2665" i="1" s="1"/>
  <c r="F2665" i="1"/>
  <c r="B1711" i="1"/>
  <c r="C1710" i="1"/>
  <c r="D1710" i="1" s="1"/>
  <c r="I1485" i="1"/>
  <c r="E1486" i="1" s="1"/>
  <c r="H1013" i="1"/>
  <c r="J1013" i="1"/>
  <c r="G1013" i="1" s="1"/>
  <c r="F1013" i="1"/>
  <c r="I273" i="1"/>
  <c r="E274" i="1" s="1"/>
  <c r="B497" i="1"/>
  <c r="C496" i="1"/>
  <c r="D496" i="1" s="1"/>
  <c r="I2665" i="1" l="1"/>
  <c r="E2666" i="1" s="1"/>
  <c r="H1486" i="1"/>
  <c r="J1486" i="1"/>
  <c r="G1486" i="1" s="1"/>
  <c r="F1486" i="1"/>
  <c r="C1711" i="1"/>
  <c r="D1711" i="1" s="1"/>
  <c r="B1712" i="1"/>
  <c r="I1013" i="1"/>
  <c r="E1014" i="1" s="1"/>
  <c r="J274" i="1"/>
  <c r="G274" i="1" s="1"/>
  <c r="F274" i="1"/>
  <c r="H274" i="1"/>
  <c r="I274" i="1" s="1"/>
  <c r="E275" i="1" s="1"/>
  <c r="B498" i="1"/>
  <c r="C497" i="1"/>
  <c r="D497" i="1" s="1"/>
  <c r="H2666" i="1" l="1"/>
  <c r="J2666" i="1"/>
  <c r="G2666" i="1" s="1"/>
  <c r="F2666" i="1"/>
  <c r="C1712" i="1"/>
  <c r="D1712" i="1" s="1"/>
  <c r="B1713" i="1"/>
  <c r="I1486" i="1"/>
  <c r="E1487" i="1" s="1"/>
  <c r="H1014" i="1"/>
  <c r="J1014" i="1"/>
  <c r="G1014" i="1" s="1"/>
  <c r="F1014" i="1"/>
  <c r="J275" i="1"/>
  <c r="G275" i="1" s="1"/>
  <c r="F275" i="1"/>
  <c r="H275" i="1"/>
  <c r="C498" i="1"/>
  <c r="D498" i="1" s="1"/>
  <c r="B499" i="1"/>
  <c r="I2666" i="1" l="1"/>
  <c r="E2667" i="1" s="1"/>
  <c r="H1487" i="1"/>
  <c r="J1487" i="1"/>
  <c r="G1487" i="1" s="1"/>
  <c r="F1487" i="1"/>
  <c r="C1713" i="1"/>
  <c r="D1713" i="1" s="1"/>
  <c r="B1714" i="1"/>
  <c r="I1014" i="1"/>
  <c r="E1015" i="1" s="1"/>
  <c r="I275" i="1"/>
  <c r="E276" i="1" s="1"/>
  <c r="C499" i="1"/>
  <c r="D499" i="1" s="1"/>
  <c r="B500" i="1"/>
  <c r="J2667" i="1" l="1"/>
  <c r="G2667" i="1" s="1"/>
  <c r="H2667" i="1"/>
  <c r="F2667" i="1"/>
  <c r="C1714" i="1"/>
  <c r="D1714" i="1" s="1"/>
  <c r="B1715" i="1"/>
  <c r="I1487" i="1"/>
  <c r="E1488" i="1" s="1"/>
  <c r="H1015" i="1"/>
  <c r="J1015" i="1"/>
  <c r="G1015" i="1" s="1"/>
  <c r="F1015" i="1"/>
  <c r="H276" i="1"/>
  <c r="J276" i="1"/>
  <c r="G276" i="1" s="1"/>
  <c r="F276" i="1"/>
  <c r="B501" i="1"/>
  <c r="C500" i="1"/>
  <c r="D500" i="1" s="1"/>
  <c r="I2667" i="1" l="1"/>
  <c r="E2668" i="1" s="1"/>
  <c r="J1488" i="1"/>
  <c r="G1488" i="1" s="1"/>
  <c r="H1488" i="1"/>
  <c r="F1488" i="1"/>
  <c r="C1715" i="1"/>
  <c r="D1715" i="1" s="1"/>
  <c r="B1716" i="1"/>
  <c r="I1015" i="1"/>
  <c r="E1016" i="1" s="1"/>
  <c r="I276" i="1"/>
  <c r="E277" i="1" s="1"/>
  <c r="B502" i="1"/>
  <c r="C501" i="1"/>
  <c r="D501" i="1" s="1"/>
  <c r="J2668" i="1" l="1"/>
  <c r="G2668" i="1" s="1"/>
  <c r="H2668" i="1"/>
  <c r="F2668" i="1"/>
  <c r="C1716" i="1"/>
  <c r="D1716" i="1" s="1"/>
  <c r="B1717" i="1"/>
  <c r="I1488" i="1"/>
  <c r="E1489" i="1" s="1"/>
  <c r="H1016" i="1"/>
  <c r="J1016" i="1"/>
  <c r="G1016" i="1" s="1"/>
  <c r="F1016" i="1"/>
  <c r="H277" i="1"/>
  <c r="J277" i="1"/>
  <c r="G277" i="1" s="1"/>
  <c r="F277" i="1"/>
  <c r="C502" i="1"/>
  <c r="D502" i="1" s="1"/>
  <c r="B503" i="1"/>
  <c r="I2668" i="1" l="1"/>
  <c r="E2669" i="1" s="1"/>
  <c r="H1489" i="1"/>
  <c r="J1489" i="1"/>
  <c r="G1489" i="1" s="1"/>
  <c r="F1489" i="1"/>
  <c r="C1717" i="1"/>
  <c r="D1717" i="1" s="1"/>
  <c r="B1718" i="1"/>
  <c r="I1016" i="1"/>
  <c r="E1017" i="1" s="1"/>
  <c r="I277" i="1"/>
  <c r="E278" i="1" s="1"/>
  <c r="C503" i="1"/>
  <c r="D503" i="1" s="1"/>
  <c r="B504" i="1"/>
  <c r="H2669" i="1" l="1"/>
  <c r="J2669" i="1"/>
  <c r="G2669" i="1" s="1"/>
  <c r="F2669" i="1"/>
  <c r="C1718" i="1"/>
  <c r="D1718" i="1" s="1"/>
  <c r="B1719" i="1"/>
  <c r="I1489" i="1"/>
  <c r="E1490" i="1" s="1"/>
  <c r="H1017" i="1"/>
  <c r="J1017" i="1"/>
  <c r="G1017" i="1" s="1"/>
  <c r="F1017" i="1"/>
  <c r="H278" i="1"/>
  <c r="F278" i="1"/>
  <c r="J278" i="1"/>
  <c r="G278" i="1" s="1"/>
  <c r="B505" i="1"/>
  <c r="C504" i="1"/>
  <c r="D504" i="1" s="1"/>
  <c r="I2669" i="1" l="1"/>
  <c r="E2670" i="1" s="1"/>
  <c r="H1490" i="1"/>
  <c r="J1490" i="1"/>
  <c r="G1490" i="1" s="1"/>
  <c r="F1490" i="1"/>
  <c r="C1719" i="1"/>
  <c r="D1719" i="1" s="1"/>
  <c r="B1720" i="1"/>
  <c r="I1017" i="1"/>
  <c r="E1018" i="1" s="1"/>
  <c r="I278" i="1"/>
  <c r="E279" i="1" s="1"/>
  <c r="B506" i="1"/>
  <c r="C505" i="1"/>
  <c r="D505" i="1" s="1"/>
  <c r="H2670" i="1" l="1"/>
  <c r="J2670" i="1"/>
  <c r="G2670" i="1" s="1"/>
  <c r="F2670" i="1"/>
  <c r="C1720" i="1"/>
  <c r="D1720" i="1" s="1"/>
  <c r="B1721" i="1"/>
  <c r="I1490" i="1"/>
  <c r="E1491" i="1" s="1"/>
  <c r="H1018" i="1"/>
  <c r="J1018" i="1"/>
  <c r="G1018" i="1" s="1"/>
  <c r="F1018" i="1"/>
  <c r="H279" i="1"/>
  <c r="F279" i="1"/>
  <c r="J279" i="1"/>
  <c r="G279" i="1" s="1"/>
  <c r="C506" i="1"/>
  <c r="D506" i="1" s="1"/>
  <c r="B507" i="1"/>
  <c r="I2670" i="1" l="1"/>
  <c r="E2671" i="1" s="1"/>
  <c r="J1491" i="1"/>
  <c r="G1491" i="1" s="1"/>
  <c r="H1491" i="1"/>
  <c r="F1491" i="1"/>
  <c r="C1721" i="1"/>
  <c r="D1721" i="1" s="1"/>
  <c r="B1722" i="1"/>
  <c r="I1018" i="1"/>
  <c r="E1019" i="1" s="1"/>
  <c r="I279" i="1"/>
  <c r="E280" i="1" s="1"/>
  <c r="B508" i="1"/>
  <c r="C507" i="1"/>
  <c r="D507" i="1" s="1"/>
  <c r="H2671" i="1" l="1"/>
  <c r="J2671" i="1"/>
  <c r="G2671" i="1" s="1"/>
  <c r="F2671" i="1"/>
  <c r="C1722" i="1"/>
  <c r="D1722" i="1" s="1"/>
  <c r="B1723" i="1"/>
  <c r="I1491" i="1"/>
  <c r="E1492" i="1" s="1"/>
  <c r="J1019" i="1"/>
  <c r="G1019" i="1" s="1"/>
  <c r="H1019" i="1"/>
  <c r="F1019" i="1"/>
  <c r="F280" i="1"/>
  <c r="H280" i="1"/>
  <c r="J280" i="1"/>
  <c r="G280" i="1" s="1"/>
  <c r="B509" i="1"/>
  <c r="C508" i="1"/>
  <c r="D508" i="1" s="1"/>
  <c r="I2671" i="1" l="1"/>
  <c r="E2672" i="1" s="1"/>
  <c r="J1492" i="1"/>
  <c r="G1492" i="1" s="1"/>
  <c r="H1492" i="1"/>
  <c r="F1492" i="1"/>
  <c r="C1723" i="1"/>
  <c r="D1723" i="1" s="1"/>
  <c r="B1724" i="1"/>
  <c r="I1019" i="1"/>
  <c r="E1020" i="1" s="1"/>
  <c r="I280" i="1"/>
  <c r="E281" i="1" s="1"/>
  <c r="B510" i="1"/>
  <c r="C509" i="1"/>
  <c r="D509" i="1" s="1"/>
  <c r="H2672" i="1" l="1"/>
  <c r="J2672" i="1"/>
  <c r="G2672" i="1" s="1"/>
  <c r="F2672" i="1"/>
  <c r="C1724" i="1"/>
  <c r="D1724" i="1" s="1"/>
  <c r="B1725" i="1"/>
  <c r="I1492" i="1"/>
  <c r="E1493" i="1" s="1"/>
  <c r="H1020" i="1"/>
  <c r="J1020" i="1"/>
  <c r="G1020" i="1" s="1"/>
  <c r="F1020" i="1"/>
  <c r="F281" i="1"/>
  <c r="H281" i="1"/>
  <c r="J281" i="1"/>
  <c r="G281" i="1" s="1"/>
  <c r="C510" i="1"/>
  <c r="D510" i="1" s="1"/>
  <c r="B511" i="1"/>
  <c r="I2672" i="1" l="1"/>
  <c r="E2673" i="1" s="1"/>
  <c r="H1493" i="1"/>
  <c r="J1493" i="1"/>
  <c r="G1493" i="1" s="1"/>
  <c r="F1493" i="1"/>
  <c r="C1725" i="1"/>
  <c r="D1725" i="1" s="1"/>
  <c r="B1726" i="1"/>
  <c r="I1020" i="1"/>
  <c r="E1021" i="1" s="1"/>
  <c r="I281" i="1"/>
  <c r="E282" i="1" s="1"/>
  <c r="B512" i="1"/>
  <c r="C511" i="1"/>
  <c r="D511" i="1" s="1"/>
  <c r="H2673" i="1" l="1"/>
  <c r="J2673" i="1"/>
  <c r="G2673" i="1" s="1"/>
  <c r="F2673" i="1"/>
  <c r="C1726" i="1"/>
  <c r="D1726" i="1" s="1"/>
  <c r="B1727" i="1"/>
  <c r="I1493" i="1"/>
  <c r="E1494" i="1" s="1"/>
  <c r="H1021" i="1"/>
  <c r="J1021" i="1"/>
  <c r="G1021" i="1" s="1"/>
  <c r="F1021" i="1"/>
  <c r="J282" i="1"/>
  <c r="G282" i="1" s="1"/>
  <c r="H282" i="1"/>
  <c r="F282" i="1"/>
  <c r="C512" i="1"/>
  <c r="D512" i="1" s="1"/>
  <c r="B513" i="1"/>
  <c r="I2673" i="1" l="1"/>
  <c r="E2674" i="1" s="1"/>
  <c r="C1727" i="1"/>
  <c r="D1727" i="1" s="1"/>
  <c r="B1728" i="1"/>
  <c r="H1494" i="1"/>
  <c r="J1494" i="1"/>
  <c r="G1494" i="1" s="1"/>
  <c r="F1494" i="1"/>
  <c r="I1021" i="1"/>
  <c r="E1022" i="1" s="1"/>
  <c r="I282" i="1"/>
  <c r="E283" i="1" s="1"/>
  <c r="C513" i="1"/>
  <c r="D513" i="1" s="1"/>
  <c r="B514" i="1"/>
  <c r="H2674" i="1" l="1"/>
  <c r="J2674" i="1"/>
  <c r="G2674" i="1" s="1"/>
  <c r="F2674" i="1"/>
  <c r="I1494" i="1"/>
  <c r="E1495" i="1" s="1"/>
  <c r="C1728" i="1"/>
  <c r="D1728" i="1" s="1"/>
  <c r="B1729" i="1"/>
  <c r="H1022" i="1"/>
  <c r="J1022" i="1"/>
  <c r="G1022" i="1" s="1"/>
  <c r="F1022" i="1"/>
  <c r="H283" i="1"/>
  <c r="J283" i="1"/>
  <c r="G283" i="1" s="1"/>
  <c r="F283" i="1"/>
  <c r="C514" i="1"/>
  <c r="D514" i="1" s="1"/>
  <c r="B515" i="1"/>
  <c r="I2674" i="1" l="1"/>
  <c r="E2675" i="1" s="1"/>
  <c r="C1729" i="1"/>
  <c r="D1729" i="1" s="1"/>
  <c r="B1730" i="1"/>
  <c r="J1495" i="1"/>
  <c r="G1495" i="1" s="1"/>
  <c r="H1495" i="1"/>
  <c r="F1495" i="1"/>
  <c r="I1022" i="1"/>
  <c r="E1023" i="1" s="1"/>
  <c r="I283" i="1"/>
  <c r="E284" i="1" s="1"/>
  <c r="C515" i="1"/>
  <c r="D515" i="1" s="1"/>
  <c r="B516" i="1"/>
  <c r="J2675" i="1" l="1"/>
  <c r="G2675" i="1" s="1"/>
  <c r="H2675" i="1"/>
  <c r="F2675" i="1"/>
  <c r="I1495" i="1"/>
  <c r="E1496" i="1" s="1"/>
  <c r="C1730" i="1"/>
  <c r="D1730" i="1" s="1"/>
  <c r="B1731" i="1"/>
  <c r="J1023" i="1"/>
  <c r="G1023" i="1" s="1"/>
  <c r="H1023" i="1"/>
  <c r="F1023" i="1"/>
  <c r="F284" i="1"/>
  <c r="H284" i="1"/>
  <c r="J284" i="1"/>
  <c r="G284" i="1" s="1"/>
  <c r="C516" i="1"/>
  <c r="D516" i="1" s="1"/>
  <c r="B517" i="1"/>
  <c r="I2675" i="1" l="1"/>
  <c r="E2676" i="1" s="1"/>
  <c r="C1731" i="1"/>
  <c r="D1731" i="1" s="1"/>
  <c r="B1732" i="1"/>
  <c r="J1496" i="1"/>
  <c r="G1496" i="1" s="1"/>
  <c r="H1496" i="1"/>
  <c r="F1496" i="1"/>
  <c r="I1023" i="1"/>
  <c r="E1024" i="1" s="1"/>
  <c r="I284" i="1"/>
  <c r="E285" i="1" s="1"/>
  <c r="B518" i="1"/>
  <c r="C517" i="1"/>
  <c r="D517" i="1" s="1"/>
  <c r="J2676" i="1" l="1"/>
  <c r="G2676" i="1" s="1"/>
  <c r="H2676" i="1"/>
  <c r="F2676" i="1"/>
  <c r="I1496" i="1"/>
  <c r="E1497" i="1" s="1"/>
  <c r="C1732" i="1"/>
  <c r="D1732" i="1" s="1"/>
  <c r="B1733" i="1"/>
  <c r="H1024" i="1"/>
  <c r="J1024" i="1"/>
  <c r="G1024" i="1" s="1"/>
  <c r="F1024" i="1"/>
  <c r="F285" i="1"/>
  <c r="J285" i="1"/>
  <c r="G285" i="1" s="1"/>
  <c r="H285" i="1"/>
  <c r="I285" i="1" s="1"/>
  <c r="E286" i="1" s="1"/>
  <c r="C518" i="1"/>
  <c r="D518" i="1" s="1"/>
  <c r="B519" i="1"/>
  <c r="I2676" i="1" l="1"/>
  <c r="E2677" i="1" s="1"/>
  <c r="C1733" i="1"/>
  <c r="D1733" i="1" s="1"/>
  <c r="B1734" i="1"/>
  <c r="H1497" i="1"/>
  <c r="J1497" i="1"/>
  <c r="G1497" i="1" s="1"/>
  <c r="F1497" i="1"/>
  <c r="I1024" i="1"/>
  <c r="E1025" i="1" s="1"/>
  <c r="F286" i="1"/>
  <c r="H286" i="1"/>
  <c r="J286" i="1"/>
  <c r="G286" i="1" s="1"/>
  <c r="C519" i="1"/>
  <c r="D519" i="1" s="1"/>
  <c r="B520" i="1"/>
  <c r="H2677" i="1" l="1"/>
  <c r="J2677" i="1"/>
  <c r="G2677" i="1" s="1"/>
  <c r="F2677" i="1"/>
  <c r="I1497" i="1"/>
  <c r="E1498" i="1" s="1"/>
  <c r="C1734" i="1"/>
  <c r="D1734" i="1" s="1"/>
  <c r="B1735" i="1"/>
  <c r="H1025" i="1"/>
  <c r="J1025" i="1"/>
  <c r="G1025" i="1" s="1"/>
  <c r="F1025" i="1"/>
  <c r="I286" i="1"/>
  <c r="E287" i="1" s="1"/>
  <c r="B521" i="1"/>
  <c r="C520" i="1"/>
  <c r="D520" i="1" s="1"/>
  <c r="I2677" i="1" l="1"/>
  <c r="E2678" i="1" s="1"/>
  <c r="C1735" i="1"/>
  <c r="D1735" i="1" s="1"/>
  <c r="B1736" i="1"/>
  <c r="H1498" i="1"/>
  <c r="J1498" i="1"/>
  <c r="G1498" i="1" s="1"/>
  <c r="F1498" i="1"/>
  <c r="I1025" i="1"/>
  <c r="E1026" i="1" s="1"/>
  <c r="F287" i="1"/>
  <c r="H287" i="1"/>
  <c r="I287" i="1" s="1"/>
  <c r="E288" i="1" s="1"/>
  <c r="J287" i="1"/>
  <c r="G287" i="1" s="1"/>
  <c r="C521" i="1"/>
  <c r="D521" i="1" s="1"/>
  <c r="B522" i="1"/>
  <c r="H2678" i="1" l="1"/>
  <c r="J2678" i="1"/>
  <c r="G2678" i="1" s="1"/>
  <c r="F2678" i="1"/>
  <c r="I1498" i="1"/>
  <c r="E1499" i="1" s="1"/>
  <c r="C1736" i="1"/>
  <c r="D1736" i="1" s="1"/>
  <c r="B1737" i="1"/>
  <c r="H1026" i="1"/>
  <c r="J1026" i="1"/>
  <c r="G1026" i="1" s="1"/>
  <c r="F1026" i="1"/>
  <c r="H288" i="1"/>
  <c r="J288" i="1"/>
  <c r="G288" i="1" s="1"/>
  <c r="F288" i="1"/>
  <c r="B523" i="1"/>
  <c r="C522" i="1"/>
  <c r="D522" i="1" s="1"/>
  <c r="I2678" i="1" l="1"/>
  <c r="E2679" i="1" s="1"/>
  <c r="C1737" i="1"/>
  <c r="D1737" i="1" s="1"/>
  <c r="B1738" i="1"/>
  <c r="J1499" i="1"/>
  <c r="G1499" i="1" s="1"/>
  <c r="H1499" i="1"/>
  <c r="I1499" i="1" s="1"/>
  <c r="E1500" i="1" s="1"/>
  <c r="F1499" i="1"/>
  <c r="I1026" i="1"/>
  <c r="E1027" i="1" s="1"/>
  <c r="I288" i="1"/>
  <c r="E289" i="1" s="1"/>
  <c r="B524" i="1"/>
  <c r="C523" i="1"/>
  <c r="D523" i="1" s="1"/>
  <c r="H2679" i="1" l="1"/>
  <c r="J2679" i="1"/>
  <c r="G2679" i="1" s="1"/>
  <c r="F2679" i="1"/>
  <c r="J1500" i="1"/>
  <c r="G1500" i="1" s="1"/>
  <c r="H1500" i="1"/>
  <c r="I1500" i="1" s="1"/>
  <c r="E1501" i="1" s="1"/>
  <c r="F1500" i="1"/>
  <c r="C1738" i="1"/>
  <c r="D1738" i="1" s="1"/>
  <c r="B1739" i="1"/>
  <c r="J1027" i="1"/>
  <c r="G1027" i="1" s="1"/>
  <c r="H1027" i="1"/>
  <c r="F1027" i="1"/>
  <c r="F289" i="1"/>
  <c r="J289" i="1"/>
  <c r="G289" i="1" s="1"/>
  <c r="H289" i="1"/>
  <c r="I289" i="1" s="1"/>
  <c r="E290" i="1" s="1"/>
  <c r="C524" i="1"/>
  <c r="D524" i="1" s="1"/>
  <c r="B525" i="1"/>
  <c r="I2679" i="1" l="1"/>
  <c r="E2680" i="1" s="1"/>
  <c r="H1501" i="1"/>
  <c r="J1501" i="1"/>
  <c r="G1501" i="1" s="1"/>
  <c r="F1501" i="1"/>
  <c r="C1739" i="1"/>
  <c r="D1739" i="1" s="1"/>
  <c r="B1740" i="1"/>
  <c r="I1027" i="1"/>
  <c r="E1028" i="1" s="1"/>
  <c r="F290" i="1"/>
  <c r="J290" i="1"/>
  <c r="G290" i="1" s="1"/>
  <c r="H290" i="1"/>
  <c r="C525" i="1"/>
  <c r="D525" i="1" s="1"/>
  <c r="B526" i="1"/>
  <c r="H2680" i="1" l="1"/>
  <c r="J2680" i="1"/>
  <c r="G2680" i="1" s="1"/>
  <c r="F2680" i="1"/>
  <c r="C1740" i="1"/>
  <c r="D1740" i="1" s="1"/>
  <c r="B1741" i="1"/>
  <c r="I1501" i="1"/>
  <c r="E1502" i="1" s="1"/>
  <c r="H1028" i="1"/>
  <c r="J1028" i="1"/>
  <c r="G1028" i="1" s="1"/>
  <c r="F1028" i="1"/>
  <c r="I290" i="1"/>
  <c r="E291" i="1" s="1"/>
  <c r="C526" i="1"/>
  <c r="D526" i="1" s="1"/>
  <c r="B527" i="1"/>
  <c r="I2680" i="1" l="1"/>
  <c r="E2681" i="1" s="1"/>
  <c r="H1502" i="1"/>
  <c r="J1502" i="1"/>
  <c r="G1502" i="1" s="1"/>
  <c r="F1502" i="1"/>
  <c r="C1741" i="1"/>
  <c r="D1741" i="1" s="1"/>
  <c r="B1742" i="1"/>
  <c r="I1028" i="1"/>
  <c r="E1029" i="1" s="1"/>
  <c r="J291" i="1"/>
  <c r="G291" i="1" s="1"/>
  <c r="H291" i="1"/>
  <c r="F291" i="1"/>
  <c r="I291" i="1" s="1"/>
  <c r="E292" i="1" s="1"/>
  <c r="C527" i="1"/>
  <c r="D527" i="1" s="1"/>
  <c r="B528" i="1"/>
  <c r="H2681" i="1" l="1"/>
  <c r="J2681" i="1"/>
  <c r="G2681" i="1" s="1"/>
  <c r="F2681" i="1"/>
  <c r="C1742" i="1"/>
  <c r="D1742" i="1" s="1"/>
  <c r="B1743" i="1"/>
  <c r="I1502" i="1"/>
  <c r="E1503" i="1" s="1"/>
  <c r="H1029" i="1"/>
  <c r="J1029" i="1"/>
  <c r="G1029" i="1" s="1"/>
  <c r="F1029" i="1"/>
  <c r="H292" i="1"/>
  <c r="F292" i="1"/>
  <c r="J292" i="1"/>
  <c r="G292" i="1" s="1"/>
  <c r="B529" i="1"/>
  <c r="C528" i="1"/>
  <c r="D528" i="1" s="1"/>
  <c r="I2681" i="1" l="1"/>
  <c r="E2682" i="1" s="1"/>
  <c r="H1503" i="1"/>
  <c r="J1503" i="1"/>
  <c r="G1503" i="1" s="1"/>
  <c r="F1503" i="1"/>
  <c r="C1743" i="1"/>
  <c r="D1743" i="1" s="1"/>
  <c r="B1744" i="1"/>
  <c r="I1029" i="1"/>
  <c r="E1030" i="1" s="1"/>
  <c r="I292" i="1"/>
  <c r="E293" i="1" s="1"/>
  <c r="C529" i="1"/>
  <c r="D529" i="1" s="1"/>
  <c r="B530" i="1"/>
  <c r="H2682" i="1" l="1"/>
  <c r="J2682" i="1"/>
  <c r="G2682" i="1" s="1"/>
  <c r="F2682" i="1"/>
  <c r="C1744" i="1"/>
  <c r="D1744" i="1" s="1"/>
  <c r="B1745" i="1"/>
  <c r="I1503" i="1"/>
  <c r="E1504" i="1" s="1"/>
  <c r="H1030" i="1"/>
  <c r="J1030" i="1"/>
  <c r="G1030" i="1" s="1"/>
  <c r="F1030" i="1"/>
  <c r="H293" i="1"/>
  <c r="F293" i="1"/>
  <c r="J293" i="1"/>
  <c r="G293" i="1" s="1"/>
  <c r="B531" i="1"/>
  <c r="C530" i="1"/>
  <c r="D530" i="1" s="1"/>
  <c r="I2682" i="1" l="1"/>
  <c r="E2683" i="1" s="1"/>
  <c r="J1504" i="1"/>
  <c r="G1504" i="1" s="1"/>
  <c r="H1504" i="1"/>
  <c r="F1504" i="1"/>
  <c r="C1745" i="1"/>
  <c r="D1745" i="1" s="1"/>
  <c r="B1746" i="1"/>
  <c r="I1030" i="1"/>
  <c r="E1031" i="1" s="1"/>
  <c r="I293" i="1"/>
  <c r="E294" i="1" s="1"/>
  <c r="C531" i="1"/>
  <c r="D531" i="1" s="1"/>
  <c r="B532" i="1"/>
  <c r="J2683" i="1" l="1"/>
  <c r="G2683" i="1" s="1"/>
  <c r="H2683" i="1"/>
  <c r="F2683" i="1"/>
  <c r="C1746" i="1"/>
  <c r="D1746" i="1" s="1"/>
  <c r="B1747" i="1"/>
  <c r="I1504" i="1"/>
  <c r="E1505" i="1" s="1"/>
  <c r="J1031" i="1"/>
  <c r="G1031" i="1" s="1"/>
  <c r="H1031" i="1"/>
  <c r="I1031" i="1" s="1"/>
  <c r="E1032" i="1" s="1"/>
  <c r="F1031" i="1"/>
  <c r="F294" i="1"/>
  <c r="J294" i="1"/>
  <c r="G294" i="1" s="1"/>
  <c r="H294" i="1"/>
  <c r="I294" i="1" s="1"/>
  <c r="E295" i="1" s="1"/>
  <c r="C532" i="1"/>
  <c r="D532" i="1" s="1"/>
  <c r="B533" i="1"/>
  <c r="I2683" i="1" l="1"/>
  <c r="E2684" i="1" s="1"/>
  <c r="H1505" i="1"/>
  <c r="J1505" i="1"/>
  <c r="G1505" i="1" s="1"/>
  <c r="F1505" i="1"/>
  <c r="C1747" i="1"/>
  <c r="D1747" i="1" s="1"/>
  <c r="B1748" i="1"/>
  <c r="H1032" i="1"/>
  <c r="J1032" i="1"/>
  <c r="G1032" i="1" s="1"/>
  <c r="F1032" i="1"/>
  <c r="F295" i="1"/>
  <c r="H295" i="1"/>
  <c r="J295" i="1"/>
  <c r="G295" i="1" s="1"/>
  <c r="C533" i="1"/>
  <c r="D533" i="1" s="1"/>
  <c r="B534" i="1"/>
  <c r="J2684" i="1" l="1"/>
  <c r="G2684" i="1" s="1"/>
  <c r="H2684" i="1"/>
  <c r="F2684" i="1"/>
  <c r="C1748" i="1"/>
  <c r="D1748" i="1" s="1"/>
  <c r="B1749" i="1"/>
  <c r="I1505" i="1"/>
  <c r="E1506" i="1" s="1"/>
  <c r="I1032" i="1"/>
  <c r="E1033" i="1" s="1"/>
  <c r="I295" i="1"/>
  <c r="E296" i="1" s="1"/>
  <c r="B535" i="1"/>
  <c r="C534" i="1"/>
  <c r="D534" i="1" s="1"/>
  <c r="I2684" i="1" l="1"/>
  <c r="E2685" i="1" s="1"/>
  <c r="C1749" i="1"/>
  <c r="D1749" i="1" s="1"/>
  <c r="B1750" i="1"/>
  <c r="H1506" i="1"/>
  <c r="J1506" i="1"/>
  <c r="G1506" i="1" s="1"/>
  <c r="F1506" i="1"/>
  <c r="H1033" i="1"/>
  <c r="J1033" i="1"/>
  <c r="G1033" i="1" s="1"/>
  <c r="F1033" i="1"/>
  <c r="H296" i="1"/>
  <c r="F296" i="1"/>
  <c r="J296" i="1"/>
  <c r="G296" i="1" s="1"/>
  <c r="C535" i="1"/>
  <c r="D535" i="1" s="1"/>
  <c r="B536" i="1"/>
  <c r="H2685" i="1" l="1"/>
  <c r="J2685" i="1"/>
  <c r="G2685" i="1" s="1"/>
  <c r="F2685" i="1"/>
  <c r="I1506" i="1"/>
  <c r="E1507" i="1" s="1"/>
  <c r="C1750" i="1"/>
  <c r="D1750" i="1" s="1"/>
  <c r="B1751" i="1"/>
  <c r="I1033" i="1"/>
  <c r="E1034" i="1" s="1"/>
  <c r="I296" i="1"/>
  <c r="E297" i="1" s="1"/>
  <c r="C536" i="1"/>
  <c r="D536" i="1" s="1"/>
  <c r="B537" i="1"/>
  <c r="I2685" i="1" l="1"/>
  <c r="E2686" i="1" s="1"/>
  <c r="C1751" i="1"/>
  <c r="D1751" i="1" s="1"/>
  <c r="B1752" i="1"/>
  <c r="J1507" i="1"/>
  <c r="G1507" i="1" s="1"/>
  <c r="H1507" i="1"/>
  <c r="F1507" i="1"/>
  <c r="H1034" i="1"/>
  <c r="J1034" i="1"/>
  <c r="G1034" i="1" s="1"/>
  <c r="F1034" i="1"/>
  <c r="F297" i="1"/>
  <c r="J297" i="1"/>
  <c r="G297" i="1" s="1"/>
  <c r="H297" i="1"/>
  <c r="I297" i="1" s="1"/>
  <c r="E298" i="1" s="1"/>
  <c r="C537" i="1"/>
  <c r="D537" i="1" s="1"/>
  <c r="B538" i="1"/>
  <c r="J2686" i="1" l="1"/>
  <c r="G2686" i="1" s="1"/>
  <c r="H2686" i="1"/>
  <c r="F2686" i="1"/>
  <c r="C1752" i="1"/>
  <c r="D1752" i="1" s="1"/>
  <c r="B1753" i="1"/>
  <c r="I1507" i="1"/>
  <c r="E1508" i="1" s="1"/>
  <c r="I1034" i="1"/>
  <c r="E1035" i="1" s="1"/>
  <c r="H298" i="1"/>
  <c r="F298" i="1"/>
  <c r="J298" i="1"/>
  <c r="G298" i="1" s="1"/>
  <c r="B539" i="1"/>
  <c r="C538" i="1"/>
  <c r="D538" i="1" s="1"/>
  <c r="I2686" i="1" l="1"/>
  <c r="J1508" i="1"/>
  <c r="G1508" i="1" s="1"/>
  <c r="H1508" i="1"/>
  <c r="F1508" i="1"/>
  <c r="C1753" i="1"/>
  <c r="D1753" i="1" s="1"/>
  <c r="B1754" i="1"/>
  <c r="J1035" i="1"/>
  <c r="G1035" i="1" s="1"/>
  <c r="H1035" i="1"/>
  <c r="F1035" i="1"/>
  <c r="I298" i="1"/>
  <c r="E299" i="1" s="1"/>
  <c r="C539" i="1"/>
  <c r="D539" i="1" s="1"/>
  <c r="B540" i="1"/>
  <c r="C1754" i="1" l="1"/>
  <c r="D1754" i="1" s="1"/>
  <c r="B1755" i="1"/>
  <c r="I1508" i="1"/>
  <c r="E1509" i="1" s="1"/>
  <c r="I1035" i="1"/>
  <c r="E1036" i="1" s="1"/>
  <c r="F299" i="1"/>
  <c r="H299" i="1"/>
  <c r="J299" i="1"/>
  <c r="G299" i="1" s="1"/>
  <c r="B541" i="1"/>
  <c r="C540" i="1"/>
  <c r="D540" i="1" s="1"/>
  <c r="H1509" i="1" l="1"/>
  <c r="J1509" i="1"/>
  <c r="G1509" i="1" s="1"/>
  <c r="F1509" i="1"/>
  <c r="C1755" i="1"/>
  <c r="D1755" i="1" s="1"/>
  <c r="B1756" i="1"/>
  <c r="H1036" i="1"/>
  <c r="J1036" i="1"/>
  <c r="G1036" i="1" s="1"/>
  <c r="F1036" i="1"/>
  <c r="I299" i="1"/>
  <c r="E300" i="1" s="1"/>
  <c r="C541" i="1"/>
  <c r="D541" i="1" s="1"/>
  <c r="B542" i="1"/>
  <c r="C1756" i="1" l="1"/>
  <c r="D1756" i="1" s="1"/>
  <c r="B1757" i="1"/>
  <c r="I1509" i="1"/>
  <c r="E1510" i="1" s="1"/>
  <c r="I1036" i="1"/>
  <c r="E1037" i="1" s="1"/>
  <c r="J300" i="1"/>
  <c r="G300" i="1" s="1"/>
  <c r="H300" i="1"/>
  <c r="F300" i="1"/>
  <c r="C542" i="1"/>
  <c r="D542" i="1" s="1"/>
  <c r="B543" i="1"/>
  <c r="H1510" i="1" l="1"/>
  <c r="J1510" i="1"/>
  <c r="G1510" i="1" s="1"/>
  <c r="F1510" i="1"/>
  <c r="C1757" i="1"/>
  <c r="D1757" i="1" s="1"/>
  <c r="B1758" i="1"/>
  <c r="H1037" i="1"/>
  <c r="J1037" i="1"/>
  <c r="G1037" i="1" s="1"/>
  <c r="F1037" i="1"/>
  <c r="I300" i="1"/>
  <c r="E301" i="1" s="1"/>
  <c r="B544" i="1"/>
  <c r="C543" i="1"/>
  <c r="D543" i="1" s="1"/>
  <c r="C1758" i="1" l="1"/>
  <c r="D1758" i="1" s="1"/>
  <c r="B1759" i="1"/>
  <c r="I1510" i="1"/>
  <c r="E1511" i="1" s="1"/>
  <c r="I1037" i="1"/>
  <c r="E1038" i="1" s="1"/>
  <c r="H301" i="1"/>
  <c r="F301" i="1"/>
  <c r="J301" i="1"/>
  <c r="G301" i="1" s="1"/>
  <c r="B545" i="1"/>
  <c r="C544" i="1"/>
  <c r="D544" i="1" s="1"/>
  <c r="C1759" i="1" l="1"/>
  <c r="D1759" i="1" s="1"/>
  <c r="B1760" i="1"/>
  <c r="J1511" i="1"/>
  <c r="G1511" i="1" s="1"/>
  <c r="H1511" i="1"/>
  <c r="F1511" i="1"/>
  <c r="J1038" i="1"/>
  <c r="G1038" i="1" s="1"/>
  <c r="H1038" i="1"/>
  <c r="F1038" i="1"/>
  <c r="I301" i="1"/>
  <c r="E302" i="1" s="1"/>
  <c r="B546" i="1"/>
  <c r="C545" i="1"/>
  <c r="D545" i="1" s="1"/>
  <c r="I1511" i="1" l="1"/>
  <c r="E1512" i="1" s="1"/>
  <c r="C1760" i="1"/>
  <c r="D1760" i="1" s="1"/>
  <c r="B1761" i="1"/>
  <c r="I1038" i="1"/>
  <c r="E1039" i="1" s="1"/>
  <c r="J302" i="1"/>
  <c r="G302" i="1" s="1"/>
  <c r="H302" i="1"/>
  <c r="F302" i="1"/>
  <c r="C546" i="1"/>
  <c r="D546" i="1" s="1"/>
  <c r="B547" i="1"/>
  <c r="C1761" i="1" l="1"/>
  <c r="D1761" i="1" s="1"/>
  <c r="B1762" i="1"/>
  <c r="J1512" i="1"/>
  <c r="G1512" i="1" s="1"/>
  <c r="H1512" i="1"/>
  <c r="F1512" i="1"/>
  <c r="H1039" i="1"/>
  <c r="J1039" i="1"/>
  <c r="G1039" i="1" s="1"/>
  <c r="F1039" i="1"/>
  <c r="I302" i="1"/>
  <c r="E303" i="1" s="1"/>
  <c r="C547" i="1"/>
  <c r="D547" i="1" s="1"/>
  <c r="B548" i="1"/>
  <c r="I1512" i="1" l="1"/>
  <c r="E1513" i="1" s="1"/>
  <c r="C1762" i="1"/>
  <c r="D1762" i="1" s="1"/>
  <c r="B1763" i="1"/>
  <c r="I1039" i="1"/>
  <c r="E1040" i="1" s="1"/>
  <c r="J303" i="1"/>
  <c r="G303" i="1" s="1"/>
  <c r="H303" i="1"/>
  <c r="F303" i="1"/>
  <c r="B549" i="1"/>
  <c r="C548" i="1"/>
  <c r="D548" i="1" s="1"/>
  <c r="C1763" i="1" l="1"/>
  <c r="D1763" i="1" s="1"/>
  <c r="B1764" i="1"/>
  <c r="H1513" i="1"/>
  <c r="J1513" i="1"/>
  <c r="G1513" i="1" s="1"/>
  <c r="F1513" i="1"/>
  <c r="H1040" i="1"/>
  <c r="J1040" i="1"/>
  <c r="G1040" i="1" s="1"/>
  <c r="F1040" i="1"/>
  <c r="I303" i="1"/>
  <c r="E304" i="1" s="1"/>
  <c r="C549" i="1"/>
  <c r="D549" i="1" s="1"/>
  <c r="B550" i="1"/>
  <c r="I1513" i="1" l="1"/>
  <c r="E1514" i="1" s="1"/>
  <c r="C1764" i="1"/>
  <c r="D1764" i="1" s="1"/>
  <c r="B1765" i="1"/>
  <c r="I1040" i="1"/>
  <c r="E1041" i="1" s="1"/>
  <c r="H304" i="1"/>
  <c r="J304" i="1"/>
  <c r="G304" i="1" s="1"/>
  <c r="F304" i="1"/>
  <c r="C550" i="1"/>
  <c r="D550" i="1" s="1"/>
  <c r="B551" i="1"/>
  <c r="C1765" i="1" l="1"/>
  <c r="D1765" i="1" s="1"/>
  <c r="B1766" i="1"/>
  <c r="H1514" i="1"/>
  <c r="I1514" i="1" s="1"/>
  <c r="E1515" i="1" s="1"/>
  <c r="J1514" i="1"/>
  <c r="G1514" i="1" s="1"/>
  <c r="F1514" i="1"/>
  <c r="H1041" i="1"/>
  <c r="J1041" i="1"/>
  <c r="G1041" i="1" s="1"/>
  <c r="F1041" i="1"/>
  <c r="I304" i="1"/>
  <c r="E305" i="1" s="1"/>
  <c r="B552" i="1"/>
  <c r="C551" i="1"/>
  <c r="D551" i="1" s="1"/>
  <c r="J1515" i="1" l="1"/>
  <c r="G1515" i="1" s="1"/>
  <c r="H1515" i="1"/>
  <c r="F1515" i="1"/>
  <c r="C1766" i="1"/>
  <c r="D1766" i="1" s="1"/>
  <c r="B1767" i="1"/>
  <c r="I1041" i="1"/>
  <c r="E1042" i="1" s="1"/>
  <c r="J305" i="1"/>
  <c r="G305" i="1" s="1"/>
  <c r="H305" i="1"/>
  <c r="F305" i="1"/>
  <c r="B553" i="1"/>
  <c r="C552" i="1"/>
  <c r="D552" i="1" s="1"/>
  <c r="C1767" i="1" l="1"/>
  <c r="D1767" i="1" s="1"/>
  <c r="B1768" i="1"/>
  <c r="I1515" i="1"/>
  <c r="E1516" i="1" s="1"/>
  <c r="H1042" i="1"/>
  <c r="J1042" i="1"/>
  <c r="G1042" i="1" s="1"/>
  <c r="F1042" i="1"/>
  <c r="I305" i="1"/>
  <c r="E306" i="1" s="1"/>
  <c r="B554" i="1"/>
  <c r="C553" i="1"/>
  <c r="D553" i="1" s="1"/>
  <c r="J1516" i="1" l="1"/>
  <c r="G1516" i="1" s="1"/>
  <c r="H1516" i="1"/>
  <c r="F1516" i="1"/>
  <c r="C1768" i="1"/>
  <c r="D1768" i="1" s="1"/>
  <c r="B1769" i="1"/>
  <c r="I1042" i="1"/>
  <c r="E1043" i="1" s="1"/>
  <c r="F306" i="1"/>
  <c r="J306" i="1"/>
  <c r="G306" i="1" s="1"/>
  <c r="H306" i="1"/>
  <c r="I306" i="1" s="1"/>
  <c r="E307" i="1" s="1"/>
  <c r="B555" i="1"/>
  <c r="C554" i="1"/>
  <c r="D554" i="1" s="1"/>
  <c r="C1769" i="1" l="1"/>
  <c r="D1769" i="1" s="1"/>
  <c r="B1770" i="1"/>
  <c r="I1516" i="1"/>
  <c r="E1517" i="1" s="1"/>
  <c r="J1043" i="1"/>
  <c r="G1043" i="1" s="1"/>
  <c r="H1043" i="1"/>
  <c r="F1043" i="1"/>
  <c r="F307" i="1"/>
  <c r="H307" i="1"/>
  <c r="J307" i="1"/>
  <c r="G307" i="1" s="1"/>
  <c r="B556" i="1"/>
  <c r="C555" i="1"/>
  <c r="D555" i="1" s="1"/>
  <c r="H1517" i="1" l="1"/>
  <c r="J1517" i="1"/>
  <c r="G1517" i="1" s="1"/>
  <c r="F1517" i="1"/>
  <c r="C1770" i="1"/>
  <c r="D1770" i="1" s="1"/>
  <c r="B1771" i="1"/>
  <c r="I1043" i="1"/>
  <c r="E1044" i="1" s="1"/>
  <c r="I307" i="1"/>
  <c r="E308" i="1" s="1"/>
  <c r="C556" i="1"/>
  <c r="D556" i="1" s="1"/>
  <c r="B557" i="1"/>
  <c r="C1771" i="1" l="1"/>
  <c r="D1771" i="1" s="1"/>
  <c r="B1772" i="1"/>
  <c r="I1517" i="1"/>
  <c r="E1518" i="1" s="1"/>
  <c r="H1044" i="1"/>
  <c r="J1044" i="1"/>
  <c r="G1044" i="1" s="1"/>
  <c r="F1044" i="1"/>
  <c r="J308" i="1"/>
  <c r="G308" i="1" s="1"/>
  <c r="F308" i="1"/>
  <c r="H308" i="1"/>
  <c r="C557" i="1"/>
  <c r="D557" i="1" s="1"/>
  <c r="B558" i="1"/>
  <c r="H1518" i="1" l="1"/>
  <c r="J1518" i="1"/>
  <c r="G1518" i="1" s="1"/>
  <c r="F1518" i="1"/>
  <c r="C1772" i="1"/>
  <c r="D1772" i="1" s="1"/>
  <c r="B1773" i="1"/>
  <c r="I1044" i="1"/>
  <c r="E1045" i="1" s="1"/>
  <c r="I308" i="1"/>
  <c r="E309" i="1" s="1"/>
  <c r="C558" i="1"/>
  <c r="D558" i="1" s="1"/>
  <c r="B559" i="1"/>
  <c r="C1773" i="1" l="1"/>
  <c r="D1773" i="1" s="1"/>
  <c r="B1774" i="1"/>
  <c r="I1518" i="1"/>
  <c r="E1519" i="1" s="1"/>
  <c r="H1045" i="1"/>
  <c r="J1045" i="1"/>
  <c r="G1045" i="1" s="1"/>
  <c r="F1045" i="1"/>
  <c r="J309" i="1"/>
  <c r="G309" i="1" s="1"/>
  <c r="F309" i="1"/>
  <c r="H309" i="1"/>
  <c r="I309" i="1" s="1"/>
  <c r="E310" i="1" s="1"/>
  <c r="B560" i="1"/>
  <c r="C559" i="1"/>
  <c r="D559" i="1" s="1"/>
  <c r="J1519" i="1" l="1"/>
  <c r="G1519" i="1" s="1"/>
  <c r="H1519" i="1"/>
  <c r="F1519" i="1"/>
  <c r="B1775" i="1"/>
  <c r="C1774" i="1"/>
  <c r="D1774" i="1" s="1"/>
  <c r="I1045" i="1"/>
  <c r="E1046" i="1" s="1"/>
  <c r="J310" i="1"/>
  <c r="G310" i="1" s="1"/>
  <c r="F310" i="1"/>
  <c r="H310" i="1"/>
  <c r="I310" i="1" s="1"/>
  <c r="E311" i="1" s="1"/>
  <c r="C560" i="1"/>
  <c r="D560" i="1" s="1"/>
  <c r="B561" i="1"/>
  <c r="C1775" i="1" l="1"/>
  <c r="D1775" i="1" s="1"/>
  <c r="B1776" i="1"/>
  <c r="I1519" i="1"/>
  <c r="E1520" i="1" s="1"/>
  <c r="J1046" i="1"/>
  <c r="G1046" i="1" s="1"/>
  <c r="H1046" i="1"/>
  <c r="F1046" i="1"/>
  <c r="H311" i="1"/>
  <c r="F311" i="1"/>
  <c r="J311" i="1"/>
  <c r="G311" i="1" s="1"/>
  <c r="B562" i="1"/>
  <c r="C561" i="1"/>
  <c r="D561" i="1" s="1"/>
  <c r="J1520" i="1" l="1"/>
  <c r="G1520" i="1" s="1"/>
  <c r="H1520" i="1"/>
  <c r="F1520" i="1"/>
  <c r="C1776" i="1"/>
  <c r="D1776" i="1" s="1"/>
  <c r="B1777" i="1"/>
  <c r="I1046" i="1"/>
  <c r="E1047" i="1" s="1"/>
  <c r="I311" i="1"/>
  <c r="E312" i="1" s="1"/>
  <c r="C562" i="1"/>
  <c r="D562" i="1" s="1"/>
  <c r="B563" i="1"/>
  <c r="C1777" i="1" l="1"/>
  <c r="D1777" i="1" s="1"/>
  <c r="B1778" i="1"/>
  <c r="I1520" i="1"/>
  <c r="E1521" i="1" s="1"/>
  <c r="H1047" i="1"/>
  <c r="J1047" i="1"/>
  <c r="G1047" i="1" s="1"/>
  <c r="F1047" i="1"/>
  <c r="H312" i="1"/>
  <c r="J312" i="1"/>
  <c r="G312" i="1" s="1"/>
  <c r="F312" i="1"/>
  <c r="C563" i="1"/>
  <c r="D563" i="1" s="1"/>
  <c r="B564" i="1"/>
  <c r="J1521" i="1" l="1"/>
  <c r="G1521" i="1" s="1"/>
  <c r="H1521" i="1"/>
  <c r="F1521" i="1"/>
  <c r="C1778" i="1"/>
  <c r="D1778" i="1" s="1"/>
  <c r="B1779" i="1"/>
  <c r="I1047" i="1"/>
  <c r="E1048" i="1" s="1"/>
  <c r="I312" i="1"/>
  <c r="E313" i="1" s="1"/>
  <c r="B565" i="1"/>
  <c r="C564" i="1"/>
  <c r="D564" i="1" s="1"/>
  <c r="C1779" i="1" l="1"/>
  <c r="D1779" i="1" s="1"/>
  <c r="B1780" i="1"/>
  <c r="I1521" i="1"/>
  <c r="E1522" i="1" s="1"/>
  <c r="H1048" i="1"/>
  <c r="J1048" i="1"/>
  <c r="G1048" i="1" s="1"/>
  <c r="F1048" i="1"/>
  <c r="J313" i="1"/>
  <c r="G313" i="1" s="1"/>
  <c r="H313" i="1"/>
  <c r="I313" i="1" s="1"/>
  <c r="E314" i="1" s="1"/>
  <c r="F313" i="1"/>
  <c r="B566" i="1"/>
  <c r="C565" i="1"/>
  <c r="D565" i="1" s="1"/>
  <c r="C1780" i="1" l="1"/>
  <c r="D1780" i="1" s="1"/>
  <c r="B1781" i="1"/>
  <c r="H1522" i="1"/>
  <c r="J1522" i="1"/>
  <c r="G1522" i="1" s="1"/>
  <c r="F1522" i="1"/>
  <c r="I1048" i="1"/>
  <c r="E1049" i="1" s="1"/>
  <c r="J314" i="1"/>
  <c r="G314" i="1" s="1"/>
  <c r="H314" i="1"/>
  <c r="I314" i="1" s="1"/>
  <c r="E315" i="1" s="1"/>
  <c r="F314" i="1"/>
  <c r="C566" i="1"/>
  <c r="D566" i="1" s="1"/>
  <c r="B567" i="1"/>
  <c r="I1522" i="1" l="1"/>
  <c r="E1523" i="1" s="1"/>
  <c r="C1781" i="1"/>
  <c r="D1781" i="1" s="1"/>
  <c r="B1782" i="1"/>
  <c r="H1049" i="1"/>
  <c r="J1049" i="1"/>
  <c r="G1049" i="1" s="1"/>
  <c r="F1049" i="1"/>
  <c r="J315" i="1"/>
  <c r="G315" i="1" s="1"/>
  <c r="H315" i="1"/>
  <c r="I315" i="1" s="1"/>
  <c r="E316" i="1" s="1"/>
  <c r="F315" i="1"/>
  <c r="C567" i="1"/>
  <c r="D567" i="1" s="1"/>
  <c r="B568" i="1"/>
  <c r="C1782" i="1" l="1"/>
  <c r="D1782" i="1" s="1"/>
  <c r="B1783" i="1"/>
  <c r="H1523" i="1"/>
  <c r="J1523" i="1"/>
  <c r="G1523" i="1" s="1"/>
  <c r="F1523" i="1"/>
  <c r="I1049" i="1"/>
  <c r="E1050" i="1" s="1"/>
  <c r="F316" i="1"/>
  <c r="H316" i="1"/>
  <c r="J316" i="1"/>
  <c r="G316" i="1" s="1"/>
  <c r="C568" i="1"/>
  <c r="D568" i="1" s="1"/>
  <c r="B569" i="1"/>
  <c r="I1523" i="1" l="1"/>
  <c r="E1524" i="1" s="1"/>
  <c r="C1783" i="1"/>
  <c r="D1783" i="1" s="1"/>
  <c r="B1784" i="1"/>
  <c r="J1050" i="1"/>
  <c r="G1050" i="1" s="1"/>
  <c r="H1050" i="1"/>
  <c r="F1050" i="1"/>
  <c r="I316" i="1"/>
  <c r="E317" i="1" s="1"/>
  <c r="B570" i="1"/>
  <c r="C569" i="1"/>
  <c r="D569" i="1" s="1"/>
  <c r="C1784" i="1" l="1"/>
  <c r="D1784" i="1" s="1"/>
  <c r="B1785" i="1"/>
  <c r="J1524" i="1"/>
  <c r="G1524" i="1" s="1"/>
  <c r="H1524" i="1"/>
  <c r="I1524" i="1" s="1"/>
  <c r="E1525" i="1" s="1"/>
  <c r="F1524" i="1"/>
  <c r="I1050" i="1"/>
  <c r="E1051" i="1" s="1"/>
  <c r="H317" i="1"/>
  <c r="J317" i="1"/>
  <c r="G317" i="1" s="1"/>
  <c r="F317" i="1"/>
  <c r="B571" i="1"/>
  <c r="C570" i="1"/>
  <c r="D570" i="1" s="1"/>
  <c r="H1525" i="1" l="1"/>
  <c r="J1525" i="1"/>
  <c r="G1525" i="1" s="1"/>
  <c r="F1525" i="1"/>
  <c r="C1785" i="1"/>
  <c r="D1785" i="1" s="1"/>
  <c r="B1786" i="1"/>
  <c r="J1051" i="1"/>
  <c r="G1051" i="1" s="1"/>
  <c r="H1051" i="1"/>
  <c r="F1051" i="1"/>
  <c r="I317" i="1"/>
  <c r="E318" i="1" s="1"/>
  <c r="C571" i="1"/>
  <c r="D571" i="1" s="1"/>
  <c r="B572" i="1"/>
  <c r="C1786" i="1" l="1"/>
  <c r="D1786" i="1" s="1"/>
  <c r="B1787" i="1"/>
  <c r="I1525" i="1"/>
  <c r="E1526" i="1" s="1"/>
  <c r="I1051" i="1"/>
  <c r="E1052" i="1" s="1"/>
  <c r="H318" i="1"/>
  <c r="J318" i="1"/>
  <c r="G318" i="1" s="1"/>
  <c r="F318" i="1"/>
  <c r="C572" i="1"/>
  <c r="D572" i="1" s="1"/>
  <c r="B573" i="1"/>
  <c r="H1526" i="1" l="1"/>
  <c r="J1526" i="1"/>
  <c r="G1526" i="1" s="1"/>
  <c r="F1526" i="1"/>
  <c r="C1787" i="1"/>
  <c r="D1787" i="1" s="1"/>
  <c r="B1788" i="1"/>
  <c r="H1052" i="1"/>
  <c r="J1052" i="1"/>
  <c r="G1052" i="1" s="1"/>
  <c r="F1052" i="1"/>
  <c r="I318" i="1"/>
  <c r="E319" i="1" s="1"/>
  <c r="B574" i="1"/>
  <c r="C573" i="1"/>
  <c r="D573" i="1" s="1"/>
  <c r="C1788" i="1" l="1"/>
  <c r="D1788" i="1" s="1"/>
  <c r="B1789" i="1"/>
  <c r="I1526" i="1"/>
  <c r="E1527" i="1" s="1"/>
  <c r="I1052" i="1"/>
  <c r="E1053" i="1" s="1"/>
  <c r="H319" i="1"/>
  <c r="J319" i="1"/>
  <c r="G319" i="1" s="1"/>
  <c r="F319" i="1"/>
  <c r="C574" i="1"/>
  <c r="D574" i="1" s="1"/>
  <c r="B575" i="1"/>
  <c r="C1789" i="1" l="1"/>
  <c r="D1789" i="1" s="1"/>
  <c r="B1790" i="1"/>
  <c r="H1527" i="1"/>
  <c r="J1527" i="1"/>
  <c r="G1527" i="1" s="1"/>
  <c r="F1527" i="1"/>
  <c r="H1053" i="1"/>
  <c r="I1053" i="1" s="1"/>
  <c r="E1054" i="1" s="1"/>
  <c r="J1053" i="1"/>
  <c r="G1053" i="1" s="1"/>
  <c r="F1053" i="1"/>
  <c r="I319" i="1"/>
  <c r="E320" i="1" s="1"/>
  <c r="C575" i="1"/>
  <c r="D575" i="1" s="1"/>
  <c r="B576" i="1"/>
  <c r="I1527" i="1" l="1"/>
  <c r="E1528" i="1" s="1"/>
  <c r="C1790" i="1"/>
  <c r="D1790" i="1" s="1"/>
  <c r="B1791" i="1"/>
  <c r="J1054" i="1"/>
  <c r="G1054" i="1" s="1"/>
  <c r="H1054" i="1"/>
  <c r="F1054" i="1"/>
  <c r="J320" i="1"/>
  <c r="G320" i="1" s="1"/>
  <c r="H320" i="1"/>
  <c r="I320" i="1" s="1"/>
  <c r="E321" i="1" s="1"/>
  <c r="F320" i="1"/>
  <c r="B577" i="1"/>
  <c r="C576" i="1"/>
  <c r="D576" i="1" s="1"/>
  <c r="C1791" i="1" l="1"/>
  <c r="D1791" i="1" s="1"/>
  <c r="B1792" i="1"/>
  <c r="J1528" i="1"/>
  <c r="G1528" i="1" s="1"/>
  <c r="H1528" i="1"/>
  <c r="I1528" i="1" s="1"/>
  <c r="E1529" i="1" s="1"/>
  <c r="F1528" i="1"/>
  <c r="I1054" i="1"/>
  <c r="E1055" i="1" s="1"/>
  <c r="J321" i="1"/>
  <c r="G321" i="1" s="1"/>
  <c r="F321" i="1"/>
  <c r="H321" i="1"/>
  <c r="I321" i="1" s="1"/>
  <c r="E322" i="1" s="1"/>
  <c r="B578" i="1"/>
  <c r="C577" i="1"/>
  <c r="D577" i="1" s="1"/>
  <c r="H1529" i="1" l="1"/>
  <c r="J1529" i="1"/>
  <c r="G1529" i="1" s="1"/>
  <c r="F1529" i="1"/>
  <c r="C1792" i="1"/>
  <c r="D1792" i="1" s="1"/>
  <c r="B1793" i="1"/>
  <c r="H1055" i="1"/>
  <c r="J1055" i="1"/>
  <c r="G1055" i="1" s="1"/>
  <c r="F1055" i="1"/>
  <c r="J322" i="1"/>
  <c r="G322" i="1" s="1"/>
  <c r="F322" i="1"/>
  <c r="H322" i="1"/>
  <c r="I322" i="1" s="1"/>
  <c r="E323" i="1" s="1"/>
  <c r="C578" i="1"/>
  <c r="D578" i="1" s="1"/>
  <c r="B579" i="1"/>
  <c r="C1793" i="1" l="1"/>
  <c r="D1793" i="1" s="1"/>
  <c r="B1794" i="1"/>
  <c r="I1529" i="1"/>
  <c r="E1530" i="1" s="1"/>
  <c r="I1055" i="1"/>
  <c r="E1056" i="1" s="1"/>
  <c r="H323" i="1"/>
  <c r="J323" i="1"/>
  <c r="F323" i="1"/>
  <c r="C579" i="1"/>
  <c r="D579" i="1" s="1"/>
  <c r="B580" i="1"/>
  <c r="H1530" i="1" l="1"/>
  <c r="J1530" i="1"/>
  <c r="G1530" i="1" s="1"/>
  <c r="F1530" i="1"/>
  <c r="C1794" i="1"/>
  <c r="D1794" i="1" s="1"/>
  <c r="B1795" i="1"/>
  <c r="H1056" i="1"/>
  <c r="J1056" i="1"/>
  <c r="G1056" i="1" s="1"/>
  <c r="F1056" i="1"/>
  <c r="G323" i="1"/>
  <c r="I323" i="1" s="1"/>
  <c r="E324" i="1" s="1"/>
  <c r="C580" i="1"/>
  <c r="D580" i="1" s="1"/>
  <c r="B581" i="1"/>
  <c r="C1795" i="1" l="1"/>
  <c r="D1795" i="1" s="1"/>
  <c r="B1796" i="1"/>
  <c r="I1530" i="1"/>
  <c r="E1531" i="1" s="1"/>
  <c r="I1056" i="1"/>
  <c r="E1057" i="1" s="1"/>
  <c r="H324" i="1"/>
  <c r="F324" i="1"/>
  <c r="J324" i="1"/>
  <c r="G324" i="1" s="1"/>
  <c r="C581" i="1"/>
  <c r="D581" i="1" s="1"/>
  <c r="B582" i="1"/>
  <c r="H1531" i="1" l="1"/>
  <c r="I1531" i="1" s="1"/>
  <c r="E1532" i="1" s="1"/>
  <c r="J1531" i="1"/>
  <c r="G1531" i="1" s="1"/>
  <c r="F1531" i="1"/>
  <c r="C1796" i="1"/>
  <c r="D1796" i="1" s="1"/>
  <c r="B1797" i="1"/>
  <c r="H1057" i="1"/>
  <c r="J1057" i="1"/>
  <c r="G1057" i="1" s="1"/>
  <c r="F1057" i="1"/>
  <c r="I324" i="1"/>
  <c r="E325" i="1" s="1"/>
  <c r="C582" i="1"/>
  <c r="D582" i="1" s="1"/>
  <c r="B583" i="1"/>
  <c r="J1532" i="1" l="1"/>
  <c r="G1532" i="1" s="1"/>
  <c r="H1532" i="1"/>
  <c r="I1532" i="1" s="1"/>
  <c r="E1533" i="1" s="1"/>
  <c r="F1532" i="1"/>
  <c r="C1797" i="1"/>
  <c r="D1797" i="1" s="1"/>
  <c r="B1798" i="1"/>
  <c r="I1057" i="1"/>
  <c r="E1058" i="1" s="1"/>
  <c r="J325" i="1"/>
  <c r="G325" i="1" s="1"/>
  <c r="H325" i="1"/>
  <c r="F325" i="1"/>
  <c r="C583" i="1"/>
  <c r="D583" i="1" s="1"/>
  <c r="B584" i="1"/>
  <c r="H1533" i="1" l="1"/>
  <c r="J1533" i="1"/>
  <c r="G1533" i="1" s="1"/>
  <c r="F1533" i="1"/>
  <c r="C1798" i="1"/>
  <c r="D1798" i="1" s="1"/>
  <c r="B1799" i="1"/>
  <c r="H1058" i="1"/>
  <c r="J1058" i="1"/>
  <c r="G1058" i="1" s="1"/>
  <c r="F1058" i="1"/>
  <c r="I325" i="1"/>
  <c r="E326" i="1" s="1"/>
  <c r="B585" i="1"/>
  <c r="C584" i="1"/>
  <c r="D584" i="1" s="1"/>
  <c r="C1799" i="1" l="1"/>
  <c r="D1799" i="1" s="1"/>
  <c r="B1800" i="1"/>
  <c r="I1533" i="1"/>
  <c r="E1534" i="1" s="1"/>
  <c r="I1058" i="1"/>
  <c r="E1059" i="1" s="1"/>
  <c r="J326" i="1"/>
  <c r="G326" i="1" s="1"/>
  <c r="H326" i="1"/>
  <c r="I326" i="1" s="1"/>
  <c r="E327" i="1" s="1"/>
  <c r="F326" i="1"/>
  <c r="C585" i="1"/>
  <c r="D585" i="1" s="1"/>
  <c r="B586" i="1"/>
  <c r="H1534" i="1" l="1"/>
  <c r="I1534" i="1" s="1"/>
  <c r="E1535" i="1" s="1"/>
  <c r="J1534" i="1"/>
  <c r="G1534" i="1" s="1"/>
  <c r="F1534" i="1"/>
  <c r="B1801" i="1"/>
  <c r="C1800" i="1"/>
  <c r="D1800" i="1" s="1"/>
  <c r="J1059" i="1"/>
  <c r="G1059" i="1" s="1"/>
  <c r="H1059" i="1"/>
  <c r="F1059" i="1"/>
  <c r="F327" i="1"/>
  <c r="H327" i="1"/>
  <c r="J327" i="1"/>
  <c r="G327" i="1" s="1"/>
  <c r="C586" i="1"/>
  <c r="D586" i="1" s="1"/>
  <c r="B587" i="1"/>
  <c r="H1535" i="1" l="1"/>
  <c r="J1535" i="1"/>
  <c r="G1535" i="1" s="1"/>
  <c r="F1535" i="1"/>
  <c r="C1801" i="1"/>
  <c r="D1801" i="1" s="1"/>
  <c r="B1802" i="1"/>
  <c r="I1059" i="1"/>
  <c r="E1060" i="1" s="1"/>
  <c r="I327" i="1"/>
  <c r="E328" i="1" s="1"/>
  <c r="C587" i="1"/>
  <c r="D587" i="1" s="1"/>
  <c r="B588" i="1"/>
  <c r="C1802" i="1" l="1"/>
  <c r="D1802" i="1" s="1"/>
  <c r="B1803" i="1"/>
  <c r="I1535" i="1"/>
  <c r="E1536" i="1" s="1"/>
  <c r="H1060" i="1"/>
  <c r="I1060" i="1" s="1"/>
  <c r="E1061" i="1" s="1"/>
  <c r="J1060" i="1"/>
  <c r="G1060" i="1" s="1"/>
  <c r="F1060" i="1"/>
  <c r="H328" i="1"/>
  <c r="J328" i="1"/>
  <c r="G328" i="1" s="1"/>
  <c r="F328" i="1"/>
  <c r="B589" i="1"/>
  <c r="C588" i="1"/>
  <c r="D588" i="1" s="1"/>
  <c r="J1536" i="1" l="1"/>
  <c r="G1536" i="1" s="1"/>
  <c r="H1536" i="1"/>
  <c r="F1536" i="1"/>
  <c r="C1803" i="1"/>
  <c r="D1803" i="1" s="1"/>
  <c r="B1804" i="1"/>
  <c r="H1061" i="1"/>
  <c r="I1061" i="1" s="1"/>
  <c r="E1062" i="1" s="1"/>
  <c r="J1061" i="1"/>
  <c r="G1061" i="1" s="1"/>
  <c r="F1061" i="1"/>
  <c r="I328" i="1"/>
  <c r="E329" i="1" s="1"/>
  <c r="B590" i="1"/>
  <c r="C589" i="1"/>
  <c r="D589" i="1" s="1"/>
  <c r="C1804" i="1" l="1"/>
  <c r="D1804" i="1" s="1"/>
  <c r="B1805" i="1"/>
  <c r="I1536" i="1"/>
  <c r="E1537" i="1" s="1"/>
  <c r="J1062" i="1"/>
  <c r="G1062" i="1" s="1"/>
  <c r="H1062" i="1"/>
  <c r="F1062" i="1"/>
  <c r="H329" i="1"/>
  <c r="F329" i="1"/>
  <c r="J329" i="1"/>
  <c r="G329" i="1" s="1"/>
  <c r="C590" i="1"/>
  <c r="D590" i="1" s="1"/>
  <c r="B591" i="1"/>
  <c r="J1537" i="1" l="1"/>
  <c r="G1537" i="1" s="1"/>
  <c r="H1537" i="1"/>
  <c r="F1537" i="1"/>
  <c r="C1805" i="1"/>
  <c r="D1805" i="1" s="1"/>
  <c r="B1806" i="1"/>
  <c r="I1062" i="1"/>
  <c r="E1063" i="1" s="1"/>
  <c r="I329" i="1"/>
  <c r="E330" i="1" s="1"/>
  <c r="C591" i="1"/>
  <c r="D591" i="1" s="1"/>
  <c r="B592" i="1"/>
  <c r="C1806" i="1" l="1"/>
  <c r="D1806" i="1" s="1"/>
  <c r="B1807" i="1"/>
  <c r="I1537" i="1"/>
  <c r="E1538" i="1" s="1"/>
  <c r="H1063" i="1"/>
  <c r="J1063" i="1"/>
  <c r="G1063" i="1" s="1"/>
  <c r="F1063" i="1"/>
  <c r="H330" i="1"/>
  <c r="J330" i="1"/>
  <c r="G330" i="1" s="1"/>
  <c r="F330" i="1"/>
  <c r="B593" i="1"/>
  <c r="C592" i="1"/>
  <c r="D592" i="1" s="1"/>
  <c r="H1538" i="1" l="1"/>
  <c r="J1538" i="1"/>
  <c r="G1538" i="1" s="1"/>
  <c r="F1538" i="1"/>
  <c r="C1807" i="1"/>
  <c r="D1807" i="1" s="1"/>
  <c r="B1808" i="1"/>
  <c r="I1063" i="1"/>
  <c r="E1064" i="1" s="1"/>
  <c r="I330" i="1"/>
  <c r="E331" i="1" s="1"/>
  <c r="C593" i="1"/>
  <c r="D593" i="1" s="1"/>
  <c r="B594" i="1"/>
  <c r="C1808" i="1" l="1"/>
  <c r="D1808" i="1" s="1"/>
  <c r="B1809" i="1"/>
  <c r="I1538" i="1"/>
  <c r="E1539" i="1" s="1"/>
  <c r="H1064" i="1"/>
  <c r="J1064" i="1"/>
  <c r="G1064" i="1" s="1"/>
  <c r="F1064" i="1"/>
  <c r="H331" i="1"/>
  <c r="J331" i="1"/>
  <c r="F331" i="1"/>
  <c r="C594" i="1"/>
  <c r="D594" i="1" s="1"/>
  <c r="B595" i="1"/>
  <c r="C1809" i="1" l="1"/>
  <c r="D1809" i="1" s="1"/>
  <c r="B1810" i="1"/>
  <c r="J1539" i="1"/>
  <c r="G1539" i="1" s="1"/>
  <c r="H1539" i="1"/>
  <c r="F1539" i="1"/>
  <c r="I1064" i="1"/>
  <c r="E1065" i="1" s="1"/>
  <c r="G331" i="1"/>
  <c r="I331" i="1" s="1"/>
  <c r="E332" i="1" s="1"/>
  <c r="B596" i="1"/>
  <c r="C595" i="1"/>
  <c r="D595" i="1" s="1"/>
  <c r="I1539" i="1" l="1"/>
  <c r="E1540" i="1" s="1"/>
  <c r="C1810" i="1"/>
  <c r="D1810" i="1" s="1"/>
  <c r="B1811" i="1"/>
  <c r="H1065" i="1"/>
  <c r="J1065" i="1"/>
  <c r="G1065" i="1" s="1"/>
  <c r="F1065" i="1"/>
  <c r="F332" i="1"/>
  <c r="J332" i="1"/>
  <c r="G332" i="1" s="1"/>
  <c r="H332" i="1"/>
  <c r="C596" i="1"/>
  <c r="D596" i="1" s="1"/>
  <c r="B597" i="1"/>
  <c r="C1811" i="1" l="1"/>
  <c r="D1811" i="1" s="1"/>
  <c r="B1812" i="1"/>
  <c r="H1540" i="1"/>
  <c r="J1540" i="1"/>
  <c r="G1540" i="1" s="1"/>
  <c r="F1540" i="1"/>
  <c r="I1065" i="1"/>
  <c r="E1066" i="1" s="1"/>
  <c r="I332" i="1"/>
  <c r="E333" i="1" s="1"/>
  <c r="C597" i="1"/>
  <c r="D597" i="1" s="1"/>
  <c r="B598" i="1"/>
  <c r="I1540" i="1" l="1"/>
  <c r="E1541" i="1" s="1"/>
  <c r="C1812" i="1"/>
  <c r="D1812" i="1" s="1"/>
  <c r="B1813" i="1"/>
  <c r="H1066" i="1"/>
  <c r="J1066" i="1"/>
  <c r="G1066" i="1" s="1"/>
  <c r="F1066" i="1"/>
  <c r="F333" i="1"/>
  <c r="J333" i="1"/>
  <c r="G333" i="1" s="1"/>
  <c r="H333" i="1"/>
  <c r="I333" i="1" s="1"/>
  <c r="E334" i="1" s="1"/>
  <c r="B599" i="1"/>
  <c r="C598" i="1"/>
  <c r="D598" i="1" s="1"/>
  <c r="C1813" i="1" l="1"/>
  <c r="D1813" i="1" s="1"/>
  <c r="B1814" i="1"/>
  <c r="J1541" i="1"/>
  <c r="G1541" i="1" s="1"/>
  <c r="H1541" i="1"/>
  <c r="F1541" i="1"/>
  <c r="I1066" i="1"/>
  <c r="E1067" i="1" s="1"/>
  <c r="H334" i="1"/>
  <c r="J334" i="1"/>
  <c r="G334" i="1" s="1"/>
  <c r="F334" i="1"/>
  <c r="B600" i="1"/>
  <c r="C599" i="1"/>
  <c r="D599" i="1" s="1"/>
  <c r="B1815" i="1" l="1"/>
  <c r="C1814" i="1"/>
  <c r="D1814" i="1" s="1"/>
  <c r="I1541" i="1"/>
  <c r="E1542" i="1" s="1"/>
  <c r="H1067" i="1"/>
  <c r="J1067" i="1"/>
  <c r="G1067" i="1" s="1"/>
  <c r="F1067" i="1"/>
  <c r="I334" i="1"/>
  <c r="E335" i="1" s="1"/>
  <c r="C600" i="1"/>
  <c r="D600" i="1" s="1"/>
  <c r="B601" i="1"/>
  <c r="H1542" i="1" l="1"/>
  <c r="J1542" i="1"/>
  <c r="G1542" i="1" s="1"/>
  <c r="F1542" i="1"/>
  <c r="C1815" i="1"/>
  <c r="D1815" i="1" s="1"/>
  <c r="B1816" i="1"/>
  <c r="I1067" i="1"/>
  <c r="E1068" i="1" s="1"/>
  <c r="H335" i="1"/>
  <c r="F335" i="1"/>
  <c r="J335" i="1"/>
  <c r="G335" i="1" s="1"/>
  <c r="B602" i="1"/>
  <c r="C601" i="1"/>
  <c r="D601" i="1" s="1"/>
  <c r="B1817" i="1" l="1"/>
  <c r="C1816" i="1"/>
  <c r="D1816" i="1" s="1"/>
  <c r="I1542" i="1"/>
  <c r="E1543" i="1" s="1"/>
  <c r="H1068" i="1"/>
  <c r="J1068" i="1"/>
  <c r="G1068" i="1" s="1"/>
  <c r="F1068" i="1"/>
  <c r="I335" i="1"/>
  <c r="E336" i="1" s="1"/>
  <c r="C602" i="1"/>
  <c r="D602" i="1" s="1"/>
  <c r="B603" i="1"/>
  <c r="H1543" i="1" l="1"/>
  <c r="J1543" i="1"/>
  <c r="G1543" i="1" s="1"/>
  <c r="F1543" i="1"/>
  <c r="B1818" i="1"/>
  <c r="C1817" i="1"/>
  <c r="D1817" i="1" s="1"/>
  <c r="I1068" i="1"/>
  <c r="E1069" i="1" s="1"/>
  <c r="J336" i="1"/>
  <c r="G336" i="1" s="1"/>
  <c r="H336" i="1"/>
  <c r="F336" i="1"/>
  <c r="C603" i="1"/>
  <c r="D603" i="1" s="1"/>
  <c r="B604" i="1"/>
  <c r="C1818" i="1" l="1"/>
  <c r="D1818" i="1" s="1"/>
  <c r="B1819" i="1"/>
  <c r="I1543" i="1"/>
  <c r="E1544" i="1" s="1"/>
  <c r="J1069" i="1"/>
  <c r="G1069" i="1" s="1"/>
  <c r="H1069" i="1"/>
  <c r="F1069" i="1"/>
  <c r="I336" i="1"/>
  <c r="E337" i="1" s="1"/>
  <c r="C604" i="1"/>
  <c r="D604" i="1" s="1"/>
  <c r="B605" i="1"/>
  <c r="B1820" i="1" l="1"/>
  <c r="C1819" i="1"/>
  <c r="D1819" i="1" s="1"/>
  <c r="J1544" i="1"/>
  <c r="G1544" i="1" s="1"/>
  <c r="H1544" i="1"/>
  <c r="F1544" i="1"/>
  <c r="I1069" i="1"/>
  <c r="E1070" i="1" s="1"/>
  <c r="F337" i="1"/>
  <c r="H337" i="1"/>
  <c r="J337" i="1"/>
  <c r="G337" i="1" s="1"/>
  <c r="B606" i="1"/>
  <c r="C605" i="1"/>
  <c r="D605" i="1" s="1"/>
  <c r="I1544" i="1" l="1"/>
  <c r="E1545" i="1" s="1"/>
  <c r="C1820" i="1"/>
  <c r="D1820" i="1" s="1"/>
  <c r="B1821" i="1"/>
  <c r="H1070" i="1"/>
  <c r="J1070" i="1"/>
  <c r="G1070" i="1" s="1"/>
  <c r="F1070" i="1"/>
  <c r="I337" i="1"/>
  <c r="E338" i="1" s="1"/>
  <c r="B607" i="1"/>
  <c r="C606" i="1"/>
  <c r="D606" i="1" s="1"/>
  <c r="C1821" i="1" l="1"/>
  <c r="D1821" i="1" s="1"/>
  <c r="B1822" i="1"/>
  <c r="H1545" i="1"/>
  <c r="J1545" i="1"/>
  <c r="G1545" i="1" s="1"/>
  <c r="F1545" i="1"/>
  <c r="I1070" i="1"/>
  <c r="E1071" i="1" s="1"/>
  <c r="J338" i="1"/>
  <c r="G338" i="1" s="1"/>
  <c r="H338" i="1"/>
  <c r="F338" i="1"/>
  <c r="C607" i="1"/>
  <c r="D607" i="1" s="1"/>
  <c r="B608" i="1"/>
  <c r="I1545" i="1" l="1"/>
  <c r="E1546" i="1" s="1"/>
  <c r="C1822" i="1"/>
  <c r="D1822" i="1" s="1"/>
  <c r="B1823" i="1"/>
  <c r="H1071" i="1"/>
  <c r="J1071" i="1"/>
  <c r="G1071" i="1" s="1"/>
  <c r="F1071" i="1"/>
  <c r="I338" i="1"/>
  <c r="E339" i="1" s="1"/>
  <c r="C608" i="1"/>
  <c r="D608" i="1" s="1"/>
  <c r="B609" i="1"/>
  <c r="C1823" i="1" l="1"/>
  <c r="D1823" i="1" s="1"/>
  <c r="B1824" i="1"/>
  <c r="H1546" i="1"/>
  <c r="J1546" i="1"/>
  <c r="G1546" i="1" s="1"/>
  <c r="F1546" i="1"/>
  <c r="I1071" i="1"/>
  <c r="E1072" i="1" s="1"/>
  <c r="J339" i="1"/>
  <c r="G339" i="1" s="1"/>
  <c r="H339" i="1"/>
  <c r="F339" i="1"/>
  <c r="C609" i="1"/>
  <c r="D609" i="1" s="1"/>
  <c r="B610" i="1"/>
  <c r="I1546" i="1" l="1"/>
  <c r="E1547" i="1" s="1"/>
  <c r="C1824" i="1"/>
  <c r="D1824" i="1" s="1"/>
  <c r="B1825" i="1"/>
  <c r="H1072" i="1"/>
  <c r="J1072" i="1"/>
  <c r="G1072" i="1" s="1"/>
  <c r="F1072" i="1"/>
  <c r="I339" i="1"/>
  <c r="E340" i="1" s="1"/>
  <c r="C610" i="1"/>
  <c r="D610" i="1" s="1"/>
  <c r="B611" i="1"/>
  <c r="C1825" i="1" l="1"/>
  <c r="D1825" i="1" s="1"/>
  <c r="B1826" i="1"/>
  <c r="J1547" i="1"/>
  <c r="G1547" i="1" s="1"/>
  <c r="H1547" i="1"/>
  <c r="F1547" i="1"/>
  <c r="I1072" i="1"/>
  <c r="E1073" i="1" s="1"/>
  <c r="H340" i="1"/>
  <c r="F340" i="1"/>
  <c r="J340" i="1"/>
  <c r="G340" i="1" s="1"/>
  <c r="C611" i="1"/>
  <c r="D611" i="1" s="1"/>
  <c r="B612" i="1"/>
  <c r="I1547" i="1" l="1"/>
  <c r="E1548" i="1" s="1"/>
  <c r="C1826" i="1"/>
  <c r="D1826" i="1" s="1"/>
  <c r="B1827" i="1"/>
  <c r="H1073" i="1"/>
  <c r="J1073" i="1"/>
  <c r="G1073" i="1" s="1"/>
  <c r="F1073" i="1"/>
  <c r="I340" i="1"/>
  <c r="E341" i="1" s="1"/>
  <c r="C612" i="1"/>
  <c r="D612" i="1" s="1"/>
  <c r="B613" i="1"/>
  <c r="C1827" i="1" l="1"/>
  <c r="D1827" i="1" s="1"/>
  <c r="B1828" i="1"/>
  <c r="H1548" i="1"/>
  <c r="J1548" i="1"/>
  <c r="G1548" i="1" s="1"/>
  <c r="F1548" i="1"/>
  <c r="I1073" i="1"/>
  <c r="E1074" i="1" s="1"/>
  <c r="H341" i="1"/>
  <c r="F341" i="1"/>
  <c r="J341" i="1"/>
  <c r="G341" i="1" s="1"/>
  <c r="B614" i="1"/>
  <c r="C613" i="1"/>
  <c r="D613" i="1" s="1"/>
  <c r="B1829" i="1" l="1"/>
  <c r="C1828" i="1"/>
  <c r="D1828" i="1" s="1"/>
  <c r="I1548" i="1"/>
  <c r="E1549" i="1" s="1"/>
  <c r="J1074" i="1"/>
  <c r="G1074" i="1" s="1"/>
  <c r="H1074" i="1"/>
  <c r="F1074" i="1"/>
  <c r="I341" i="1"/>
  <c r="E342" i="1" s="1"/>
  <c r="B615" i="1"/>
  <c r="C614" i="1"/>
  <c r="D614" i="1" s="1"/>
  <c r="J1549" i="1" l="1"/>
  <c r="G1549" i="1" s="1"/>
  <c r="H1549" i="1"/>
  <c r="I1549" i="1" s="1"/>
  <c r="E1550" i="1" s="1"/>
  <c r="F1549" i="1"/>
  <c r="B1830" i="1"/>
  <c r="C1829" i="1"/>
  <c r="D1829" i="1" s="1"/>
  <c r="I1074" i="1"/>
  <c r="E1075" i="1" s="1"/>
  <c r="H342" i="1"/>
  <c r="I342" i="1" s="1"/>
  <c r="E343" i="1" s="1"/>
  <c r="J342" i="1"/>
  <c r="G342" i="1" s="1"/>
  <c r="F342" i="1"/>
  <c r="B616" i="1"/>
  <c r="C615" i="1"/>
  <c r="D615" i="1" s="1"/>
  <c r="H1550" i="1" l="1"/>
  <c r="J1550" i="1"/>
  <c r="G1550" i="1" s="1"/>
  <c r="F1550" i="1"/>
  <c r="C1830" i="1"/>
  <c r="D1830" i="1" s="1"/>
  <c r="B1831" i="1"/>
  <c r="H1075" i="1"/>
  <c r="J1075" i="1"/>
  <c r="G1075" i="1" s="1"/>
  <c r="F1075" i="1"/>
  <c r="H343" i="1"/>
  <c r="I343" i="1" s="1"/>
  <c r="E344" i="1" s="1"/>
  <c r="J343" i="1"/>
  <c r="G343" i="1" s="1"/>
  <c r="F343" i="1"/>
  <c r="C616" i="1"/>
  <c r="D616" i="1" s="1"/>
  <c r="B617" i="1"/>
  <c r="C1831" i="1" l="1"/>
  <c r="D1831" i="1" s="1"/>
  <c r="B1832" i="1"/>
  <c r="I1550" i="1"/>
  <c r="E1551" i="1" s="1"/>
  <c r="I1075" i="1"/>
  <c r="E1076" i="1" s="1"/>
  <c r="H344" i="1"/>
  <c r="J344" i="1"/>
  <c r="G344" i="1" s="1"/>
  <c r="F344" i="1"/>
  <c r="C617" i="1"/>
  <c r="D617" i="1" s="1"/>
  <c r="B618" i="1"/>
  <c r="H1551" i="1" l="1"/>
  <c r="J1551" i="1"/>
  <c r="G1551" i="1" s="1"/>
  <c r="F1551" i="1"/>
  <c r="C1832" i="1"/>
  <c r="D1832" i="1" s="1"/>
  <c r="B1833" i="1"/>
  <c r="H1076" i="1"/>
  <c r="J1076" i="1"/>
  <c r="G1076" i="1" s="1"/>
  <c r="F1076" i="1"/>
  <c r="I344" i="1"/>
  <c r="E345" i="1" s="1"/>
  <c r="C618" i="1"/>
  <c r="D618" i="1" s="1"/>
  <c r="B619" i="1"/>
  <c r="C1833" i="1" l="1"/>
  <c r="D1833" i="1" s="1"/>
  <c r="B1834" i="1"/>
  <c r="I1551" i="1"/>
  <c r="E1552" i="1" s="1"/>
  <c r="I1076" i="1"/>
  <c r="E1077" i="1" s="1"/>
  <c r="F345" i="1"/>
  <c r="J345" i="1"/>
  <c r="G345" i="1" s="1"/>
  <c r="H345" i="1"/>
  <c r="I345" i="1" s="1"/>
  <c r="E346" i="1" s="1"/>
  <c r="B620" i="1"/>
  <c r="C619" i="1"/>
  <c r="D619" i="1" s="1"/>
  <c r="C1834" i="1" l="1"/>
  <c r="D1834" i="1" s="1"/>
  <c r="B1835" i="1"/>
  <c r="J1552" i="1"/>
  <c r="G1552" i="1" s="1"/>
  <c r="H1552" i="1"/>
  <c r="F1552" i="1"/>
  <c r="J1077" i="1"/>
  <c r="G1077" i="1" s="1"/>
  <c r="H1077" i="1"/>
  <c r="F1077" i="1"/>
  <c r="H346" i="1"/>
  <c r="I346" i="1" s="1"/>
  <c r="E347" i="1" s="1"/>
  <c r="F346" i="1"/>
  <c r="J346" i="1"/>
  <c r="G346" i="1" s="1"/>
  <c r="B621" i="1"/>
  <c r="C620" i="1"/>
  <c r="D620" i="1" s="1"/>
  <c r="C1835" i="1" l="1"/>
  <c r="D1835" i="1" s="1"/>
  <c r="B1836" i="1"/>
  <c r="I1552" i="1"/>
  <c r="E1553" i="1" s="1"/>
  <c r="I1077" i="1"/>
  <c r="E1078" i="1" s="1"/>
  <c r="J347" i="1"/>
  <c r="G347" i="1" s="1"/>
  <c r="H347" i="1"/>
  <c r="F347" i="1"/>
  <c r="C621" i="1"/>
  <c r="D621" i="1" s="1"/>
  <c r="B622" i="1"/>
  <c r="H1553" i="1" l="1"/>
  <c r="J1553" i="1"/>
  <c r="G1553" i="1" s="1"/>
  <c r="F1553" i="1"/>
  <c r="C1836" i="1"/>
  <c r="D1836" i="1" s="1"/>
  <c r="B1837" i="1"/>
  <c r="H1078" i="1"/>
  <c r="J1078" i="1"/>
  <c r="G1078" i="1" s="1"/>
  <c r="F1078" i="1"/>
  <c r="I347" i="1"/>
  <c r="E348" i="1" s="1"/>
  <c r="C622" i="1"/>
  <c r="D622" i="1" s="1"/>
  <c r="B623" i="1"/>
  <c r="C1837" i="1" l="1"/>
  <c r="D1837" i="1" s="1"/>
  <c r="B1838" i="1"/>
  <c r="I1553" i="1"/>
  <c r="E1554" i="1" s="1"/>
  <c r="I1078" i="1"/>
  <c r="E1079" i="1" s="1"/>
  <c r="J348" i="1"/>
  <c r="G348" i="1" s="1"/>
  <c r="F348" i="1"/>
  <c r="H348" i="1"/>
  <c r="B624" i="1"/>
  <c r="C623" i="1"/>
  <c r="D623" i="1" s="1"/>
  <c r="C1838" i="1" l="1"/>
  <c r="D1838" i="1" s="1"/>
  <c r="B1839" i="1"/>
  <c r="H1554" i="1"/>
  <c r="I1554" i="1" s="1"/>
  <c r="E1555" i="1" s="1"/>
  <c r="J1554" i="1"/>
  <c r="G1554" i="1" s="1"/>
  <c r="F1554" i="1"/>
  <c r="H1079" i="1"/>
  <c r="J1079" i="1"/>
  <c r="G1079" i="1" s="1"/>
  <c r="F1079" i="1"/>
  <c r="I348" i="1"/>
  <c r="E349" i="1" s="1"/>
  <c r="B625" i="1"/>
  <c r="C624" i="1"/>
  <c r="D624" i="1" s="1"/>
  <c r="J1555" i="1" l="1"/>
  <c r="G1555" i="1" s="1"/>
  <c r="H1555" i="1"/>
  <c r="F1555" i="1"/>
  <c r="C1839" i="1"/>
  <c r="D1839" i="1" s="1"/>
  <c r="B1840" i="1"/>
  <c r="I1079" i="1"/>
  <c r="E1080" i="1" s="1"/>
  <c r="F349" i="1"/>
  <c r="J349" i="1"/>
  <c r="G349" i="1" s="1"/>
  <c r="H349" i="1"/>
  <c r="C625" i="1"/>
  <c r="D625" i="1" s="1"/>
  <c r="B626" i="1"/>
  <c r="C1840" i="1" l="1"/>
  <c r="D1840" i="1" s="1"/>
  <c r="B1841" i="1"/>
  <c r="I1555" i="1"/>
  <c r="E1556" i="1" s="1"/>
  <c r="H1080" i="1"/>
  <c r="J1080" i="1"/>
  <c r="G1080" i="1" s="1"/>
  <c r="F1080" i="1"/>
  <c r="I349" i="1"/>
  <c r="E350" i="1" s="1"/>
  <c r="B627" i="1"/>
  <c r="C626" i="1"/>
  <c r="D626" i="1" s="1"/>
  <c r="C1841" i="1" l="1"/>
  <c r="D1841" i="1" s="1"/>
  <c r="B1842" i="1"/>
  <c r="H1556" i="1"/>
  <c r="J1556" i="1"/>
  <c r="G1556" i="1" s="1"/>
  <c r="F1556" i="1"/>
  <c r="I1080" i="1"/>
  <c r="E1081" i="1" s="1"/>
  <c r="J350" i="1"/>
  <c r="G350" i="1" s="1"/>
  <c r="F350" i="1"/>
  <c r="H350" i="1"/>
  <c r="B628" i="1"/>
  <c r="C627" i="1"/>
  <c r="D627" i="1" s="1"/>
  <c r="I1556" i="1" l="1"/>
  <c r="E1557" i="1" s="1"/>
  <c r="C1842" i="1"/>
  <c r="D1842" i="1" s="1"/>
  <c r="B1843" i="1"/>
  <c r="H1081" i="1"/>
  <c r="J1081" i="1"/>
  <c r="G1081" i="1" s="1"/>
  <c r="F1081" i="1"/>
  <c r="I350" i="1"/>
  <c r="E351" i="1" s="1"/>
  <c r="C628" i="1"/>
  <c r="D628" i="1" s="1"/>
  <c r="B629" i="1"/>
  <c r="C1843" i="1" l="1"/>
  <c r="D1843" i="1" s="1"/>
  <c r="B1844" i="1"/>
  <c r="J1557" i="1"/>
  <c r="G1557" i="1" s="1"/>
  <c r="H1557" i="1"/>
  <c r="F1557" i="1"/>
  <c r="I1081" i="1"/>
  <c r="E1082" i="1" s="1"/>
  <c r="H351" i="1"/>
  <c r="I351" i="1" s="1"/>
  <c r="E352" i="1" s="1"/>
  <c r="F351" i="1"/>
  <c r="J351" i="1"/>
  <c r="G351" i="1" s="1"/>
  <c r="C629" i="1"/>
  <c r="D629" i="1" s="1"/>
  <c r="B630" i="1"/>
  <c r="I1557" i="1" l="1"/>
  <c r="E1558" i="1" s="1"/>
  <c r="C1844" i="1"/>
  <c r="D1844" i="1" s="1"/>
  <c r="B1845" i="1"/>
  <c r="H1082" i="1"/>
  <c r="J1082" i="1"/>
  <c r="G1082" i="1" s="1"/>
  <c r="F1082" i="1"/>
  <c r="F352" i="1"/>
  <c r="J352" i="1"/>
  <c r="G352" i="1" s="1"/>
  <c r="H352" i="1"/>
  <c r="B631" i="1"/>
  <c r="C630" i="1"/>
  <c r="D630" i="1" s="1"/>
  <c r="C1845" i="1" l="1"/>
  <c r="D1845" i="1" s="1"/>
  <c r="B1846" i="1"/>
  <c r="H1558" i="1"/>
  <c r="J1558" i="1"/>
  <c r="G1558" i="1" s="1"/>
  <c r="F1558" i="1"/>
  <c r="I1082" i="1"/>
  <c r="E1083" i="1" s="1"/>
  <c r="I352" i="1"/>
  <c r="E353" i="1" s="1"/>
  <c r="C631" i="1"/>
  <c r="D631" i="1" s="1"/>
  <c r="B632" i="1"/>
  <c r="I1558" i="1" l="1"/>
  <c r="E1559" i="1" s="1"/>
  <c r="C1846" i="1"/>
  <c r="D1846" i="1" s="1"/>
  <c r="B1847" i="1"/>
  <c r="H1083" i="1"/>
  <c r="J1083" i="1"/>
  <c r="G1083" i="1" s="1"/>
  <c r="F1083" i="1"/>
  <c r="H353" i="1"/>
  <c r="I353" i="1" s="1"/>
  <c r="E354" i="1" s="1"/>
  <c r="J353" i="1"/>
  <c r="G353" i="1" s="1"/>
  <c r="F353" i="1"/>
  <c r="B633" i="1"/>
  <c r="C632" i="1"/>
  <c r="D632" i="1" s="1"/>
  <c r="C1847" i="1" l="1"/>
  <c r="D1847" i="1" s="1"/>
  <c r="B1848" i="1"/>
  <c r="H1559" i="1"/>
  <c r="J1559" i="1"/>
  <c r="G1559" i="1" s="1"/>
  <c r="F1559" i="1"/>
  <c r="I1083" i="1"/>
  <c r="E1084" i="1" s="1"/>
  <c r="H354" i="1"/>
  <c r="I354" i="1" s="1"/>
  <c r="E355" i="1" s="1"/>
  <c r="J354" i="1"/>
  <c r="G354" i="1" s="1"/>
  <c r="F354" i="1"/>
  <c r="C633" i="1"/>
  <c r="D633" i="1" s="1"/>
  <c r="B634" i="1"/>
  <c r="I1559" i="1" l="1"/>
  <c r="E1560" i="1" s="1"/>
  <c r="C1848" i="1"/>
  <c r="D1848" i="1" s="1"/>
  <c r="B1849" i="1"/>
  <c r="H1084" i="1"/>
  <c r="J1084" i="1"/>
  <c r="G1084" i="1" s="1"/>
  <c r="F1084" i="1"/>
  <c r="H355" i="1"/>
  <c r="I355" i="1" s="1"/>
  <c r="E356" i="1" s="1"/>
  <c r="J355" i="1"/>
  <c r="G355" i="1" s="1"/>
  <c r="F355" i="1"/>
  <c r="B635" i="1"/>
  <c r="C634" i="1"/>
  <c r="D634" i="1" s="1"/>
  <c r="C1849" i="1" l="1"/>
  <c r="D1849" i="1" s="1"/>
  <c r="B1850" i="1"/>
  <c r="J1560" i="1"/>
  <c r="G1560" i="1" s="1"/>
  <c r="H1560" i="1"/>
  <c r="F1560" i="1"/>
  <c r="I1084" i="1"/>
  <c r="E1085" i="1" s="1"/>
  <c r="H356" i="1"/>
  <c r="J356" i="1"/>
  <c r="F356" i="1"/>
  <c r="C635" i="1"/>
  <c r="D635" i="1" s="1"/>
  <c r="B636" i="1"/>
  <c r="C1850" i="1" l="1"/>
  <c r="D1850" i="1" s="1"/>
  <c r="B1851" i="1"/>
  <c r="I1560" i="1"/>
  <c r="E1561" i="1" s="1"/>
  <c r="J1085" i="1"/>
  <c r="G1085" i="1" s="1"/>
  <c r="H1085" i="1"/>
  <c r="F1085" i="1"/>
  <c r="I356" i="1"/>
  <c r="E357" i="1" s="1"/>
  <c r="G356" i="1"/>
  <c r="B637" i="1"/>
  <c r="C636" i="1"/>
  <c r="D636" i="1" s="1"/>
  <c r="H1561" i="1" l="1"/>
  <c r="J1561" i="1"/>
  <c r="G1561" i="1" s="1"/>
  <c r="F1561" i="1"/>
  <c r="C1851" i="1"/>
  <c r="D1851" i="1" s="1"/>
  <c r="B1852" i="1"/>
  <c r="I1085" i="1"/>
  <c r="E1086" i="1" s="1"/>
  <c r="J357" i="1"/>
  <c r="G357" i="1" s="1"/>
  <c r="H357" i="1"/>
  <c r="F357" i="1"/>
  <c r="C637" i="1"/>
  <c r="D637" i="1" s="1"/>
  <c r="B638" i="1"/>
  <c r="C1852" i="1" l="1"/>
  <c r="D1852" i="1" s="1"/>
  <c r="B1853" i="1"/>
  <c r="I1561" i="1"/>
  <c r="E1562" i="1" s="1"/>
  <c r="J1086" i="1"/>
  <c r="G1086" i="1" s="1"/>
  <c r="H1086" i="1"/>
  <c r="F1086" i="1"/>
  <c r="I357" i="1"/>
  <c r="E358" i="1" s="1"/>
  <c r="B639" i="1"/>
  <c r="C638" i="1"/>
  <c r="D638" i="1" s="1"/>
  <c r="H1562" i="1" l="1"/>
  <c r="J1562" i="1"/>
  <c r="G1562" i="1" s="1"/>
  <c r="F1562" i="1"/>
  <c r="C1853" i="1"/>
  <c r="D1853" i="1" s="1"/>
  <c r="B1854" i="1"/>
  <c r="I1086" i="1"/>
  <c r="E1087" i="1" s="1"/>
  <c r="F358" i="1"/>
  <c r="J358" i="1"/>
  <c r="G358" i="1" s="1"/>
  <c r="H358" i="1"/>
  <c r="B640" i="1"/>
  <c r="C639" i="1"/>
  <c r="D639" i="1" s="1"/>
  <c r="C1854" i="1" l="1"/>
  <c r="D1854" i="1" s="1"/>
  <c r="B1855" i="1"/>
  <c r="I1562" i="1"/>
  <c r="E1563" i="1" s="1"/>
  <c r="H1087" i="1"/>
  <c r="J1087" i="1"/>
  <c r="G1087" i="1" s="1"/>
  <c r="F1087" i="1"/>
  <c r="I358" i="1"/>
  <c r="E359" i="1" s="1"/>
  <c r="B641" i="1"/>
  <c r="C640" i="1"/>
  <c r="D640" i="1" s="1"/>
  <c r="C1855" i="1" l="1"/>
  <c r="D1855" i="1" s="1"/>
  <c r="B1856" i="1"/>
  <c r="J1563" i="1"/>
  <c r="G1563" i="1" s="1"/>
  <c r="H1563" i="1"/>
  <c r="I1563" i="1" s="1"/>
  <c r="E1564" i="1" s="1"/>
  <c r="F1563" i="1"/>
  <c r="I1087" i="1"/>
  <c r="E1088" i="1" s="1"/>
  <c r="H359" i="1"/>
  <c r="I359" i="1" s="1"/>
  <c r="E360" i="1" s="1"/>
  <c r="F359" i="1"/>
  <c r="J359" i="1"/>
  <c r="G359" i="1" s="1"/>
  <c r="B642" i="1"/>
  <c r="C641" i="1"/>
  <c r="D641" i="1" s="1"/>
  <c r="H1564" i="1" l="1"/>
  <c r="J1564" i="1"/>
  <c r="G1564" i="1" s="1"/>
  <c r="F1564" i="1"/>
  <c r="C1856" i="1"/>
  <c r="D1856" i="1" s="1"/>
  <c r="B1857" i="1"/>
  <c r="H1088" i="1"/>
  <c r="J1088" i="1"/>
  <c r="G1088" i="1" s="1"/>
  <c r="F1088" i="1"/>
  <c r="F360" i="1"/>
  <c r="J360" i="1"/>
  <c r="G360" i="1" s="1"/>
  <c r="H360" i="1"/>
  <c r="C642" i="1"/>
  <c r="D642" i="1" s="1"/>
  <c r="B643" i="1"/>
  <c r="C1857" i="1" l="1"/>
  <c r="D1857" i="1" s="1"/>
  <c r="B1858" i="1"/>
  <c r="I1564" i="1"/>
  <c r="E1565" i="1" s="1"/>
  <c r="I1088" i="1"/>
  <c r="E1089" i="1" s="1"/>
  <c r="I360" i="1"/>
  <c r="E361" i="1" s="1"/>
  <c r="B644" i="1"/>
  <c r="C643" i="1"/>
  <c r="D643" i="1" s="1"/>
  <c r="J1565" i="1" l="1"/>
  <c r="G1565" i="1" s="1"/>
  <c r="H1565" i="1"/>
  <c r="F1565" i="1"/>
  <c r="C1858" i="1"/>
  <c r="D1858" i="1" s="1"/>
  <c r="B1859" i="1"/>
  <c r="J1089" i="1"/>
  <c r="G1089" i="1" s="1"/>
  <c r="H1089" i="1"/>
  <c r="F1089" i="1"/>
  <c r="J361" i="1"/>
  <c r="G361" i="1" s="1"/>
  <c r="F361" i="1"/>
  <c r="H361" i="1"/>
  <c r="B645" i="1"/>
  <c r="C644" i="1"/>
  <c r="D644" i="1" s="1"/>
  <c r="C1859" i="1" l="1"/>
  <c r="D1859" i="1" s="1"/>
  <c r="B1860" i="1"/>
  <c r="I1565" i="1"/>
  <c r="E1566" i="1" s="1"/>
  <c r="I1089" i="1"/>
  <c r="E1090" i="1" s="1"/>
  <c r="I361" i="1"/>
  <c r="E362" i="1" s="1"/>
  <c r="B646" i="1"/>
  <c r="C645" i="1"/>
  <c r="D645" i="1" s="1"/>
  <c r="H1566" i="1" l="1"/>
  <c r="J1566" i="1"/>
  <c r="G1566" i="1" s="1"/>
  <c r="F1566" i="1"/>
  <c r="C1860" i="1"/>
  <c r="D1860" i="1" s="1"/>
  <c r="B1861" i="1"/>
  <c r="H1090" i="1"/>
  <c r="J1090" i="1"/>
  <c r="G1090" i="1" s="1"/>
  <c r="F1090" i="1"/>
  <c r="H362" i="1"/>
  <c r="I362" i="1" s="1"/>
  <c r="E363" i="1" s="1"/>
  <c r="J362" i="1"/>
  <c r="G362" i="1" s="1"/>
  <c r="F362" i="1"/>
  <c r="B647" i="1"/>
  <c r="C646" i="1"/>
  <c r="D646" i="1" s="1"/>
  <c r="C1861" i="1" l="1"/>
  <c r="D1861" i="1" s="1"/>
  <c r="B1862" i="1"/>
  <c r="I1566" i="1"/>
  <c r="E1567" i="1" s="1"/>
  <c r="I1090" i="1"/>
  <c r="E1091" i="1" s="1"/>
  <c r="J363" i="1"/>
  <c r="G363" i="1" s="1"/>
  <c r="H363" i="1"/>
  <c r="F363" i="1"/>
  <c r="B648" i="1"/>
  <c r="C647" i="1"/>
  <c r="D647" i="1" s="1"/>
  <c r="C1862" i="1" l="1"/>
  <c r="D1862" i="1" s="1"/>
  <c r="B1863" i="1"/>
  <c r="H1567" i="1"/>
  <c r="J1567" i="1"/>
  <c r="G1567" i="1" s="1"/>
  <c r="F1567" i="1"/>
  <c r="H1091" i="1"/>
  <c r="J1091" i="1"/>
  <c r="G1091" i="1" s="1"/>
  <c r="F1091" i="1"/>
  <c r="I363" i="1"/>
  <c r="E364" i="1" s="1"/>
  <c r="B649" i="1"/>
  <c r="C648" i="1"/>
  <c r="D648" i="1" s="1"/>
  <c r="I1567" i="1" l="1"/>
  <c r="E1568" i="1" s="1"/>
  <c r="C1863" i="1"/>
  <c r="D1863" i="1" s="1"/>
  <c r="B1864" i="1"/>
  <c r="I1091" i="1"/>
  <c r="E1092" i="1" s="1"/>
  <c r="J364" i="1"/>
  <c r="G364" i="1" s="1"/>
  <c r="H364" i="1"/>
  <c r="F364" i="1"/>
  <c r="C649" i="1"/>
  <c r="D649" i="1" s="1"/>
  <c r="B650" i="1"/>
  <c r="C1864" i="1" l="1"/>
  <c r="D1864" i="1" s="1"/>
  <c r="B1865" i="1"/>
  <c r="J1568" i="1"/>
  <c r="G1568" i="1" s="1"/>
  <c r="H1568" i="1"/>
  <c r="F1568" i="1"/>
  <c r="J1092" i="1"/>
  <c r="G1092" i="1" s="1"/>
  <c r="H1092" i="1"/>
  <c r="F1092" i="1"/>
  <c r="I364" i="1"/>
  <c r="E365" i="1" s="1"/>
  <c r="C650" i="1"/>
  <c r="D650" i="1" s="1"/>
  <c r="B651" i="1"/>
  <c r="I1568" i="1" l="1"/>
  <c r="E1569" i="1" s="1"/>
  <c r="C1865" i="1"/>
  <c r="D1865" i="1" s="1"/>
  <c r="B1866" i="1"/>
  <c r="I1092" i="1"/>
  <c r="E1093" i="1" s="1"/>
  <c r="J365" i="1"/>
  <c r="G365" i="1" s="1"/>
  <c r="F365" i="1"/>
  <c r="H365" i="1"/>
  <c r="B652" i="1"/>
  <c r="C651" i="1"/>
  <c r="D651" i="1" s="1"/>
  <c r="C1866" i="1" l="1"/>
  <c r="D1866" i="1" s="1"/>
  <c r="B1867" i="1"/>
  <c r="H1569" i="1"/>
  <c r="J1569" i="1"/>
  <c r="G1569" i="1" s="1"/>
  <c r="F1569" i="1"/>
  <c r="J1093" i="1"/>
  <c r="G1093" i="1" s="1"/>
  <c r="H1093" i="1"/>
  <c r="F1093" i="1"/>
  <c r="I365" i="1"/>
  <c r="E366" i="1" s="1"/>
  <c r="C652" i="1"/>
  <c r="D652" i="1" s="1"/>
  <c r="B653" i="1"/>
  <c r="I1569" i="1" l="1"/>
  <c r="E1570" i="1" s="1"/>
  <c r="C1867" i="1"/>
  <c r="D1867" i="1" s="1"/>
  <c r="B1868" i="1"/>
  <c r="I1093" i="1"/>
  <c r="E1094" i="1" s="1"/>
  <c r="F366" i="1"/>
  <c r="J366" i="1"/>
  <c r="G366" i="1" s="1"/>
  <c r="H366" i="1"/>
  <c r="C653" i="1"/>
  <c r="D653" i="1" s="1"/>
  <c r="B654" i="1"/>
  <c r="C1868" i="1" l="1"/>
  <c r="D1868" i="1" s="1"/>
  <c r="B1869" i="1"/>
  <c r="J1570" i="1"/>
  <c r="G1570" i="1" s="1"/>
  <c r="H1570" i="1"/>
  <c r="F1570" i="1"/>
  <c r="H1094" i="1"/>
  <c r="J1094" i="1"/>
  <c r="G1094" i="1" s="1"/>
  <c r="F1094" i="1"/>
  <c r="I366" i="1"/>
  <c r="E367" i="1" s="1"/>
  <c r="C654" i="1"/>
  <c r="D654" i="1" s="1"/>
  <c r="B655" i="1"/>
  <c r="I1570" i="1" l="1"/>
  <c r="E1571" i="1" s="1"/>
  <c r="C1869" i="1"/>
  <c r="D1869" i="1" s="1"/>
  <c r="B1870" i="1"/>
  <c r="I1094" i="1"/>
  <c r="E1095" i="1" s="1"/>
  <c r="H367" i="1"/>
  <c r="I367" i="1" s="1"/>
  <c r="E368" i="1" s="1"/>
  <c r="F367" i="1"/>
  <c r="J367" i="1"/>
  <c r="G367" i="1" s="1"/>
  <c r="B656" i="1"/>
  <c r="C655" i="1"/>
  <c r="D655" i="1" s="1"/>
  <c r="C1870" i="1" l="1"/>
  <c r="D1870" i="1" s="1"/>
  <c r="B1871" i="1"/>
  <c r="J1571" i="1"/>
  <c r="G1571" i="1" s="1"/>
  <c r="H1571" i="1"/>
  <c r="F1571" i="1"/>
  <c r="H1095" i="1"/>
  <c r="J1095" i="1"/>
  <c r="G1095" i="1" s="1"/>
  <c r="F1095" i="1"/>
  <c r="H368" i="1"/>
  <c r="J368" i="1"/>
  <c r="G368" i="1" s="1"/>
  <c r="F368" i="1"/>
  <c r="B657" i="1"/>
  <c r="C656" i="1"/>
  <c r="D656" i="1" s="1"/>
  <c r="I1571" i="1" l="1"/>
  <c r="E1572" i="1" s="1"/>
  <c r="C1871" i="1"/>
  <c r="D1871" i="1" s="1"/>
  <c r="B1872" i="1"/>
  <c r="I1095" i="1"/>
  <c r="E1096" i="1" s="1"/>
  <c r="I368" i="1"/>
  <c r="E369" i="1" s="1"/>
  <c r="B658" i="1"/>
  <c r="C657" i="1"/>
  <c r="D657" i="1" s="1"/>
  <c r="C1872" i="1" l="1"/>
  <c r="D1872" i="1" s="1"/>
  <c r="B1873" i="1"/>
  <c r="H1572" i="1"/>
  <c r="J1572" i="1"/>
  <c r="G1572" i="1" s="1"/>
  <c r="F1572" i="1"/>
  <c r="H1096" i="1"/>
  <c r="J1096" i="1"/>
  <c r="G1096" i="1" s="1"/>
  <c r="F1096" i="1"/>
  <c r="H369" i="1"/>
  <c r="I369" i="1" s="1"/>
  <c r="E370" i="1" s="1"/>
  <c r="J369" i="1"/>
  <c r="G369" i="1" s="1"/>
  <c r="F369" i="1"/>
  <c r="C658" i="1"/>
  <c r="D658" i="1" s="1"/>
  <c r="B659" i="1"/>
  <c r="I1572" i="1" l="1"/>
  <c r="E1573" i="1" s="1"/>
  <c r="C1873" i="1"/>
  <c r="D1873" i="1" s="1"/>
  <c r="B1874" i="1"/>
  <c r="I1096" i="1"/>
  <c r="E1097" i="1" s="1"/>
  <c r="J370" i="1"/>
  <c r="G370" i="1" s="1"/>
  <c r="F370" i="1"/>
  <c r="H370" i="1"/>
  <c r="C659" i="1"/>
  <c r="D659" i="1" s="1"/>
  <c r="B660" i="1"/>
  <c r="C1874" i="1" l="1"/>
  <c r="D1874" i="1" s="1"/>
  <c r="B1875" i="1"/>
  <c r="H1573" i="1"/>
  <c r="J1573" i="1"/>
  <c r="G1573" i="1" s="1"/>
  <c r="F1573" i="1"/>
  <c r="J1097" i="1"/>
  <c r="G1097" i="1" s="1"/>
  <c r="H1097" i="1"/>
  <c r="I1097" i="1" s="1"/>
  <c r="E1098" i="1" s="1"/>
  <c r="F1097" i="1"/>
  <c r="I370" i="1"/>
  <c r="E371" i="1" s="1"/>
  <c r="C660" i="1"/>
  <c r="D660" i="1" s="1"/>
  <c r="B661" i="1"/>
  <c r="I1573" i="1" l="1"/>
  <c r="E1574" i="1" s="1"/>
  <c r="C1875" i="1"/>
  <c r="D1875" i="1" s="1"/>
  <c r="B1876" i="1"/>
  <c r="H1098" i="1"/>
  <c r="J1098" i="1"/>
  <c r="G1098" i="1" s="1"/>
  <c r="F1098" i="1"/>
  <c r="F371" i="1"/>
  <c r="H371" i="1"/>
  <c r="J371" i="1"/>
  <c r="G371" i="1" s="1"/>
  <c r="C661" i="1"/>
  <c r="D661" i="1" s="1"/>
  <c r="B662" i="1"/>
  <c r="C1876" i="1" l="1"/>
  <c r="D1876" i="1" s="1"/>
  <c r="B1877" i="1"/>
  <c r="J1574" i="1"/>
  <c r="G1574" i="1" s="1"/>
  <c r="H1574" i="1"/>
  <c r="F1574" i="1"/>
  <c r="I1098" i="1"/>
  <c r="E1099" i="1" s="1"/>
  <c r="I371" i="1"/>
  <c r="E372" i="1" s="1"/>
  <c r="B663" i="1"/>
  <c r="C662" i="1"/>
  <c r="D662" i="1" s="1"/>
  <c r="I1574" i="1" l="1"/>
  <c r="E1575" i="1" s="1"/>
  <c r="C1877" i="1"/>
  <c r="D1877" i="1" s="1"/>
  <c r="B1878" i="1"/>
  <c r="H1099" i="1"/>
  <c r="J1099" i="1"/>
  <c r="G1099" i="1" s="1"/>
  <c r="F1099" i="1"/>
  <c r="H372" i="1"/>
  <c r="I372" i="1" s="1"/>
  <c r="E373" i="1" s="1"/>
  <c r="J372" i="1"/>
  <c r="G372" i="1" s="1"/>
  <c r="F372" i="1"/>
  <c r="B664" i="1"/>
  <c r="C663" i="1"/>
  <c r="D663" i="1" s="1"/>
  <c r="C1878" i="1" l="1"/>
  <c r="D1878" i="1" s="1"/>
  <c r="B1879" i="1"/>
  <c r="J1575" i="1"/>
  <c r="G1575" i="1" s="1"/>
  <c r="H1575" i="1"/>
  <c r="F1575" i="1"/>
  <c r="I1099" i="1"/>
  <c r="E1100" i="1" s="1"/>
  <c r="H373" i="1"/>
  <c r="I373" i="1" s="1"/>
  <c r="E374" i="1" s="1"/>
  <c r="F373" i="1"/>
  <c r="J373" i="1"/>
  <c r="G373" i="1" s="1"/>
  <c r="C664" i="1"/>
  <c r="D664" i="1" s="1"/>
  <c r="B665" i="1"/>
  <c r="I1575" i="1" l="1"/>
  <c r="E1576" i="1" s="1"/>
  <c r="C1879" i="1"/>
  <c r="D1879" i="1" s="1"/>
  <c r="B1880" i="1"/>
  <c r="H1100" i="1"/>
  <c r="J1100" i="1"/>
  <c r="G1100" i="1" s="1"/>
  <c r="F1100" i="1"/>
  <c r="H374" i="1"/>
  <c r="F374" i="1"/>
  <c r="J374" i="1"/>
  <c r="G374" i="1" s="1"/>
  <c r="B666" i="1"/>
  <c r="C665" i="1"/>
  <c r="D665" i="1" s="1"/>
  <c r="C1880" i="1" l="1"/>
  <c r="D1880" i="1" s="1"/>
  <c r="B1881" i="1"/>
  <c r="H1576" i="1"/>
  <c r="J1576" i="1"/>
  <c r="G1576" i="1" s="1"/>
  <c r="F1576" i="1"/>
  <c r="I1100" i="1"/>
  <c r="E1101" i="1" s="1"/>
  <c r="I374" i="1"/>
  <c r="E375" i="1" s="1"/>
  <c r="C666" i="1"/>
  <c r="D666" i="1" s="1"/>
  <c r="B667" i="1"/>
  <c r="I1576" i="1" l="1"/>
  <c r="E1577" i="1" s="1"/>
  <c r="C1881" i="1"/>
  <c r="D1881" i="1" s="1"/>
  <c r="B1882" i="1"/>
  <c r="J1101" i="1"/>
  <c r="G1101" i="1" s="1"/>
  <c r="H1101" i="1"/>
  <c r="F1101" i="1"/>
  <c r="H375" i="1"/>
  <c r="I375" i="1" s="1"/>
  <c r="E376" i="1" s="1"/>
  <c r="J375" i="1"/>
  <c r="G375" i="1" s="1"/>
  <c r="F375" i="1"/>
  <c r="B668" i="1"/>
  <c r="C667" i="1"/>
  <c r="D667" i="1" s="1"/>
  <c r="C1882" i="1" l="1"/>
  <c r="D1882" i="1" s="1"/>
  <c r="B1883" i="1"/>
  <c r="H1577" i="1"/>
  <c r="J1577" i="1"/>
  <c r="G1577" i="1" s="1"/>
  <c r="F1577" i="1"/>
  <c r="I1101" i="1"/>
  <c r="E1102" i="1" s="1"/>
  <c r="H376" i="1"/>
  <c r="I376" i="1" s="1"/>
  <c r="E377" i="1" s="1"/>
  <c r="F376" i="1"/>
  <c r="J376" i="1"/>
  <c r="G376" i="1" s="1"/>
  <c r="B669" i="1"/>
  <c r="C668" i="1"/>
  <c r="D668" i="1" s="1"/>
  <c r="I1577" i="1" l="1"/>
  <c r="E1578" i="1" s="1"/>
  <c r="C1883" i="1"/>
  <c r="D1883" i="1" s="1"/>
  <c r="B1884" i="1"/>
  <c r="J1102" i="1"/>
  <c r="G1102" i="1" s="1"/>
  <c r="H1102" i="1"/>
  <c r="F1102" i="1"/>
  <c r="H377" i="1"/>
  <c r="F377" i="1"/>
  <c r="J377" i="1"/>
  <c r="B670" i="1"/>
  <c r="C669" i="1"/>
  <c r="D669" i="1" s="1"/>
  <c r="C1884" i="1" l="1"/>
  <c r="D1884" i="1" s="1"/>
  <c r="B1885" i="1"/>
  <c r="J1578" i="1"/>
  <c r="G1578" i="1" s="1"/>
  <c r="H1578" i="1"/>
  <c r="F1578" i="1"/>
  <c r="I1102" i="1"/>
  <c r="E1103" i="1" s="1"/>
  <c r="I377" i="1"/>
  <c r="E378" i="1" s="1"/>
  <c r="G377" i="1"/>
  <c r="C670" i="1"/>
  <c r="D670" i="1" s="1"/>
  <c r="B671" i="1"/>
  <c r="I1578" i="1" l="1"/>
  <c r="E1579" i="1" s="1"/>
  <c r="C1885" i="1"/>
  <c r="D1885" i="1" s="1"/>
  <c r="B1886" i="1"/>
  <c r="H1103" i="1"/>
  <c r="J1103" i="1"/>
  <c r="G1103" i="1" s="1"/>
  <c r="F1103" i="1"/>
  <c r="H378" i="1"/>
  <c r="I378" i="1" s="1"/>
  <c r="E379" i="1" s="1"/>
  <c r="J378" i="1"/>
  <c r="G378" i="1" s="1"/>
  <c r="F378" i="1"/>
  <c r="C671" i="1"/>
  <c r="D671" i="1" s="1"/>
  <c r="B672" i="1"/>
  <c r="C1886" i="1" l="1"/>
  <c r="D1886" i="1" s="1"/>
  <c r="B1887" i="1"/>
  <c r="J1579" i="1"/>
  <c r="G1579" i="1" s="1"/>
  <c r="H1579" i="1"/>
  <c r="I1579" i="1" s="1"/>
  <c r="E1580" i="1" s="1"/>
  <c r="F1579" i="1"/>
  <c r="I1103" i="1"/>
  <c r="E1104" i="1" s="1"/>
  <c r="H379" i="1"/>
  <c r="I379" i="1" s="1"/>
  <c r="E380" i="1" s="1"/>
  <c r="H380" i="1" s="1"/>
  <c r="J379" i="1"/>
  <c r="G379" i="1" s="1"/>
  <c r="F379" i="1"/>
  <c r="C672" i="1"/>
  <c r="D672" i="1" s="1"/>
  <c r="B673" i="1"/>
  <c r="H1580" i="1" l="1"/>
  <c r="J1580" i="1"/>
  <c r="G1580" i="1" s="1"/>
  <c r="F1580" i="1"/>
  <c r="C1887" i="1"/>
  <c r="D1887" i="1" s="1"/>
  <c r="B1888" i="1"/>
  <c r="H1104" i="1"/>
  <c r="J1104" i="1"/>
  <c r="G1104" i="1" s="1"/>
  <c r="F1104" i="1"/>
  <c r="J380" i="1"/>
  <c r="G380" i="1" s="1"/>
  <c r="I380" i="1" s="1"/>
  <c r="E381" i="1" s="1"/>
  <c r="F380" i="1"/>
  <c r="B674" i="1"/>
  <c r="C673" i="1"/>
  <c r="D673" i="1" s="1"/>
  <c r="C1888" i="1" l="1"/>
  <c r="D1888" i="1" s="1"/>
  <c r="B1889" i="1"/>
  <c r="I1580" i="1"/>
  <c r="E1581" i="1" s="1"/>
  <c r="I1104" i="1"/>
  <c r="E1105" i="1" s="1"/>
  <c r="H381" i="1"/>
  <c r="J381" i="1"/>
  <c r="G381" i="1" s="1"/>
  <c r="F381" i="1"/>
  <c r="C674" i="1"/>
  <c r="D674" i="1" s="1"/>
  <c r="B675" i="1"/>
  <c r="H1581" i="1" l="1"/>
  <c r="J1581" i="1"/>
  <c r="G1581" i="1" s="1"/>
  <c r="F1581" i="1"/>
  <c r="C1889" i="1"/>
  <c r="D1889" i="1" s="1"/>
  <c r="B1890" i="1"/>
  <c r="H1105" i="1"/>
  <c r="J1105" i="1"/>
  <c r="G1105" i="1" s="1"/>
  <c r="F1105" i="1"/>
  <c r="I381" i="1"/>
  <c r="E382" i="1" s="1"/>
  <c r="B676" i="1"/>
  <c r="C675" i="1"/>
  <c r="D675" i="1" s="1"/>
  <c r="C1890" i="1" l="1"/>
  <c r="D1890" i="1" s="1"/>
  <c r="B1891" i="1"/>
  <c r="I1581" i="1"/>
  <c r="E1582" i="1" s="1"/>
  <c r="I1105" i="1"/>
  <c r="E1106" i="1" s="1"/>
  <c r="H382" i="1"/>
  <c r="F382" i="1"/>
  <c r="J382" i="1"/>
  <c r="G382" i="1" s="1"/>
  <c r="C676" i="1"/>
  <c r="D676" i="1" s="1"/>
  <c r="B677" i="1"/>
  <c r="C1891" i="1" l="1"/>
  <c r="D1891" i="1" s="1"/>
  <c r="B1892" i="1"/>
  <c r="H1582" i="1"/>
  <c r="J1582" i="1"/>
  <c r="G1582" i="1" s="1"/>
  <c r="F1582" i="1"/>
  <c r="H1106" i="1"/>
  <c r="J1106" i="1"/>
  <c r="G1106" i="1" s="1"/>
  <c r="F1106" i="1"/>
  <c r="I382" i="1"/>
  <c r="E383" i="1" s="1"/>
  <c r="B678" i="1"/>
  <c r="C677" i="1"/>
  <c r="D677" i="1" s="1"/>
  <c r="I1582" i="1" l="1"/>
  <c r="E1583" i="1" s="1"/>
  <c r="C1892" i="1"/>
  <c r="D1892" i="1" s="1"/>
  <c r="B1893" i="1"/>
  <c r="I1106" i="1"/>
  <c r="E1107" i="1" s="1"/>
  <c r="H383" i="1"/>
  <c r="F383" i="1"/>
  <c r="J383" i="1"/>
  <c r="G383" i="1" s="1"/>
  <c r="C678" i="1"/>
  <c r="D678" i="1" s="1"/>
  <c r="B679" i="1"/>
  <c r="C1893" i="1" l="1"/>
  <c r="D1893" i="1" s="1"/>
  <c r="B1894" i="1"/>
  <c r="J1583" i="1"/>
  <c r="G1583" i="1" s="1"/>
  <c r="H1583" i="1"/>
  <c r="I1583" i="1" s="1"/>
  <c r="E1584" i="1" s="1"/>
  <c r="F1583" i="1"/>
  <c r="H1107" i="1"/>
  <c r="J1107" i="1"/>
  <c r="G1107" i="1" s="1"/>
  <c r="F1107" i="1"/>
  <c r="I383" i="1"/>
  <c r="E384" i="1" s="1"/>
  <c r="H384" i="1" s="1"/>
  <c r="C679" i="1"/>
  <c r="D679" i="1" s="1"/>
  <c r="B680" i="1"/>
  <c r="H1584" i="1" l="1"/>
  <c r="J1584" i="1"/>
  <c r="G1584" i="1" s="1"/>
  <c r="F1584" i="1"/>
  <c r="C1894" i="1"/>
  <c r="D1894" i="1" s="1"/>
  <c r="B1895" i="1"/>
  <c r="I1107" i="1"/>
  <c r="E1108" i="1" s="1"/>
  <c r="F384" i="1"/>
  <c r="J384" i="1"/>
  <c r="B681" i="1"/>
  <c r="C680" i="1"/>
  <c r="D680" i="1" s="1"/>
  <c r="B1896" i="1" l="1"/>
  <c r="C1895" i="1"/>
  <c r="D1895" i="1" s="1"/>
  <c r="I1584" i="1"/>
  <c r="E1585" i="1" s="1"/>
  <c r="H1108" i="1"/>
  <c r="J1108" i="1"/>
  <c r="G1108" i="1" s="1"/>
  <c r="F1108" i="1"/>
  <c r="I384" i="1"/>
  <c r="E385" i="1" s="1"/>
  <c r="H385" i="1" s="1"/>
  <c r="G384" i="1"/>
  <c r="C681" i="1"/>
  <c r="D681" i="1" s="1"/>
  <c r="B682" i="1"/>
  <c r="H1585" i="1" l="1"/>
  <c r="J1585" i="1"/>
  <c r="G1585" i="1" s="1"/>
  <c r="F1585" i="1"/>
  <c r="C1896" i="1"/>
  <c r="D1896" i="1" s="1"/>
  <c r="B1897" i="1"/>
  <c r="I1108" i="1"/>
  <c r="E1109" i="1" s="1"/>
  <c r="J385" i="1"/>
  <c r="G385" i="1" s="1"/>
  <c r="I385" i="1" s="1"/>
  <c r="E386" i="1" s="1"/>
  <c r="F385" i="1"/>
  <c r="C682" i="1"/>
  <c r="D682" i="1" s="1"/>
  <c r="B683" i="1"/>
  <c r="C1897" i="1" l="1"/>
  <c r="D1897" i="1" s="1"/>
  <c r="B1898" i="1"/>
  <c r="I1585" i="1"/>
  <c r="E1586" i="1" s="1"/>
  <c r="J1109" i="1"/>
  <c r="G1109" i="1" s="1"/>
  <c r="H1109" i="1"/>
  <c r="F1109" i="1"/>
  <c r="J386" i="1"/>
  <c r="G386" i="1" s="1"/>
  <c r="H386" i="1"/>
  <c r="F386" i="1"/>
  <c r="B684" i="1"/>
  <c r="C683" i="1"/>
  <c r="D683" i="1" s="1"/>
  <c r="J1586" i="1" l="1"/>
  <c r="G1586" i="1" s="1"/>
  <c r="H1586" i="1"/>
  <c r="F1586" i="1"/>
  <c r="C1898" i="1"/>
  <c r="D1898" i="1" s="1"/>
  <c r="B1899" i="1"/>
  <c r="I1109" i="1"/>
  <c r="E1110" i="1" s="1"/>
  <c r="I386" i="1"/>
  <c r="E387" i="1" s="1"/>
  <c r="C684" i="1"/>
  <c r="D684" i="1" s="1"/>
  <c r="B685" i="1"/>
  <c r="C1899" i="1" l="1"/>
  <c r="D1899" i="1" s="1"/>
  <c r="B1900" i="1"/>
  <c r="I1586" i="1"/>
  <c r="E1587" i="1" s="1"/>
  <c r="J1110" i="1"/>
  <c r="G1110" i="1" s="1"/>
  <c r="H1110" i="1"/>
  <c r="F1110" i="1"/>
  <c r="H387" i="1"/>
  <c r="J387" i="1"/>
  <c r="G387" i="1" s="1"/>
  <c r="F387" i="1"/>
  <c r="B686" i="1"/>
  <c r="C685" i="1"/>
  <c r="D685" i="1" s="1"/>
  <c r="J1587" i="1" l="1"/>
  <c r="G1587" i="1" s="1"/>
  <c r="H1587" i="1"/>
  <c r="I1587" i="1" s="1"/>
  <c r="E1588" i="1" s="1"/>
  <c r="F1587" i="1"/>
  <c r="C1900" i="1"/>
  <c r="D1900" i="1" s="1"/>
  <c r="B1901" i="1"/>
  <c r="I1110" i="1"/>
  <c r="E1111" i="1" s="1"/>
  <c r="I387" i="1"/>
  <c r="E388" i="1" s="1"/>
  <c r="B687" i="1"/>
  <c r="C686" i="1"/>
  <c r="D686" i="1" s="1"/>
  <c r="J1588" i="1" l="1"/>
  <c r="G1588" i="1" s="1"/>
  <c r="H1588" i="1"/>
  <c r="F1588" i="1"/>
  <c r="C1901" i="1"/>
  <c r="D1901" i="1" s="1"/>
  <c r="B1902" i="1"/>
  <c r="H1111" i="1"/>
  <c r="J1111" i="1"/>
  <c r="G1111" i="1" s="1"/>
  <c r="F1111" i="1"/>
  <c r="J388" i="1"/>
  <c r="G388" i="1" s="1"/>
  <c r="F388" i="1"/>
  <c r="H388" i="1"/>
  <c r="B688" i="1"/>
  <c r="C687" i="1"/>
  <c r="D687" i="1" s="1"/>
  <c r="C1902" i="1" l="1"/>
  <c r="D1902" i="1" s="1"/>
  <c r="B1903" i="1"/>
  <c r="I1588" i="1"/>
  <c r="E1589" i="1" s="1"/>
  <c r="I1111" i="1"/>
  <c r="E1112" i="1" s="1"/>
  <c r="I388" i="1"/>
  <c r="E389" i="1" s="1"/>
  <c r="C688" i="1"/>
  <c r="D688" i="1" s="1"/>
  <c r="B689" i="1"/>
  <c r="H1589" i="1" l="1"/>
  <c r="J1589" i="1"/>
  <c r="G1589" i="1" s="1"/>
  <c r="F1589" i="1"/>
  <c r="C1903" i="1"/>
  <c r="D1903" i="1" s="1"/>
  <c r="B1904" i="1"/>
  <c r="H1112" i="1"/>
  <c r="J1112" i="1"/>
  <c r="G1112" i="1" s="1"/>
  <c r="F1112" i="1"/>
  <c r="F389" i="1"/>
  <c r="H389" i="1"/>
  <c r="J389" i="1"/>
  <c r="G389" i="1" s="1"/>
  <c r="C689" i="1"/>
  <c r="D689" i="1" s="1"/>
  <c r="B690" i="1"/>
  <c r="C1904" i="1" l="1"/>
  <c r="D1904" i="1" s="1"/>
  <c r="B1905" i="1"/>
  <c r="I1589" i="1"/>
  <c r="E1590" i="1" s="1"/>
  <c r="I1112" i="1"/>
  <c r="E1113" i="1" s="1"/>
  <c r="I389" i="1"/>
  <c r="E390" i="1" s="1"/>
  <c r="C690" i="1"/>
  <c r="D690" i="1" s="1"/>
  <c r="B691" i="1"/>
  <c r="H1590" i="1" l="1"/>
  <c r="J1590" i="1"/>
  <c r="G1590" i="1" s="1"/>
  <c r="F1590" i="1"/>
  <c r="C1905" i="1"/>
  <c r="D1905" i="1" s="1"/>
  <c r="B1906" i="1"/>
  <c r="H1113" i="1"/>
  <c r="J1113" i="1"/>
  <c r="G1113" i="1" s="1"/>
  <c r="F1113" i="1"/>
  <c r="J390" i="1"/>
  <c r="G390" i="1" s="1"/>
  <c r="H390" i="1"/>
  <c r="F390" i="1"/>
  <c r="C691" i="1"/>
  <c r="D691" i="1" s="1"/>
  <c r="B692" i="1"/>
  <c r="C1906" i="1" l="1"/>
  <c r="D1906" i="1" s="1"/>
  <c r="B1907" i="1"/>
  <c r="I1590" i="1"/>
  <c r="E1591" i="1" s="1"/>
  <c r="I1113" i="1"/>
  <c r="E1114" i="1" s="1"/>
  <c r="I390" i="1"/>
  <c r="E391" i="1" s="1"/>
  <c r="C692" i="1"/>
  <c r="D692" i="1" s="1"/>
  <c r="B693" i="1"/>
  <c r="J1591" i="1" l="1"/>
  <c r="G1591" i="1" s="1"/>
  <c r="H1591" i="1"/>
  <c r="F1591" i="1"/>
  <c r="C1907" i="1"/>
  <c r="D1907" i="1" s="1"/>
  <c r="B1908" i="1"/>
  <c r="H1114" i="1"/>
  <c r="J1114" i="1"/>
  <c r="G1114" i="1" s="1"/>
  <c r="F1114" i="1"/>
  <c r="J391" i="1"/>
  <c r="G391" i="1" s="1"/>
  <c r="F391" i="1"/>
  <c r="H391" i="1"/>
  <c r="B694" i="1"/>
  <c r="C693" i="1"/>
  <c r="D693" i="1" s="1"/>
  <c r="C1908" i="1" l="1"/>
  <c r="D1908" i="1" s="1"/>
  <c r="B1909" i="1"/>
  <c r="I1591" i="1"/>
  <c r="E1592" i="1" s="1"/>
  <c r="I1114" i="1"/>
  <c r="E1115" i="1" s="1"/>
  <c r="I391" i="1"/>
  <c r="E392" i="1" s="1"/>
  <c r="J392" i="1" s="1"/>
  <c r="G392" i="1" s="1"/>
  <c r="F392" i="1"/>
  <c r="C694" i="1"/>
  <c r="D694" i="1" s="1"/>
  <c r="B695" i="1"/>
  <c r="H1592" i="1" l="1"/>
  <c r="J1592" i="1"/>
  <c r="G1592" i="1" s="1"/>
  <c r="F1592" i="1"/>
  <c r="C1909" i="1"/>
  <c r="D1909" i="1" s="1"/>
  <c r="B1910" i="1"/>
  <c r="H1115" i="1"/>
  <c r="J1115" i="1"/>
  <c r="G1115" i="1" s="1"/>
  <c r="F1115" i="1"/>
  <c r="H392" i="1"/>
  <c r="I392" i="1" s="1"/>
  <c r="E393" i="1" s="1"/>
  <c r="C695" i="1"/>
  <c r="D695" i="1" s="1"/>
  <c r="B696" i="1"/>
  <c r="B1911" i="1" l="1"/>
  <c r="C1910" i="1"/>
  <c r="D1910" i="1" s="1"/>
  <c r="I1592" i="1"/>
  <c r="E1593" i="1" s="1"/>
  <c r="I1115" i="1"/>
  <c r="E1116" i="1" s="1"/>
  <c r="H393" i="1"/>
  <c r="J393" i="1"/>
  <c r="G393" i="1" s="1"/>
  <c r="F393" i="1"/>
  <c r="B697" i="1"/>
  <c r="C696" i="1"/>
  <c r="D696" i="1" s="1"/>
  <c r="H1593" i="1" l="1"/>
  <c r="J1593" i="1"/>
  <c r="G1593" i="1" s="1"/>
  <c r="F1593" i="1"/>
  <c r="C1911" i="1"/>
  <c r="D1911" i="1" s="1"/>
  <c r="B1912" i="1"/>
  <c r="H1116" i="1"/>
  <c r="J1116" i="1"/>
  <c r="G1116" i="1" s="1"/>
  <c r="F1116" i="1"/>
  <c r="I393" i="1"/>
  <c r="E394" i="1" s="1"/>
  <c r="C697" i="1"/>
  <c r="D697" i="1" s="1"/>
  <c r="B698" i="1"/>
  <c r="C1912" i="1" l="1"/>
  <c r="D1912" i="1" s="1"/>
  <c r="B1913" i="1"/>
  <c r="I1593" i="1"/>
  <c r="E1594" i="1" s="1"/>
  <c r="I1116" i="1"/>
  <c r="E1117" i="1" s="1"/>
  <c r="J394" i="1"/>
  <c r="G394" i="1" s="1"/>
  <c r="H394" i="1"/>
  <c r="F394" i="1"/>
  <c r="B699" i="1"/>
  <c r="C698" i="1"/>
  <c r="D698" i="1" s="1"/>
  <c r="C1913" i="1" l="1"/>
  <c r="D1913" i="1" s="1"/>
  <c r="B1914" i="1"/>
  <c r="J1594" i="1"/>
  <c r="G1594" i="1" s="1"/>
  <c r="H1594" i="1"/>
  <c r="I1594" i="1" s="1"/>
  <c r="E1595" i="1" s="1"/>
  <c r="F1594" i="1"/>
  <c r="J1117" i="1"/>
  <c r="G1117" i="1" s="1"/>
  <c r="H1117" i="1"/>
  <c r="F1117" i="1"/>
  <c r="I394" i="1"/>
  <c r="E395" i="1" s="1"/>
  <c r="B700" i="1"/>
  <c r="C699" i="1"/>
  <c r="D699" i="1" s="1"/>
  <c r="J1595" i="1" l="1"/>
  <c r="G1595" i="1" s="1"/>
  <c r="H1595" i="1"/>
  <c r="I1595" i="1" s="1"/>
  <c r="E1596" i="1" s="1"/>
  <c r="F1595" i="1"/>
  <c r="C1914" i="1"/>
  <c r="D1914" i="1" s="1"/>
  <c r="B1915" i="1"/>
  <c r="I1117" i="1"/>
  <c r="E1118" i="1" s="1"/>
  <c r="H395" i="1"/>
  <c r="J395" i="1"/>
  <c r="G395" i="1" s="1"/>
  <c r="F395" i="1"/>
  <c r="B701" i="1"/>
  <c r="C700" i="1"/>
  <c r="D700" i="1" s="1"/>
  <c r="J1596" i="1" l="1"/>
  <c r="G1596" i="1" s="1"/>
  <c r="H1596" i="1"/>
  <c r="F1596" i="1"/>
  <c r="C1915" i="1"/>
  <c r="D1915" i="1" s="1"/>
  <c r="B1916" i="1"/>
  <c r="H1118" i="1"/>
  <c r="J1118" i="1"/>
  <c r="G1118" i="1" s="1"/>
  <c r="F1118" i="1"/>
  <c r="I395" i="1"/>
  <c r="E396" i="1" s="1"/>
  <c r="H396" i="1" s="1"/>
  <c r="C701" i="1"/>
  <c r="D701" i="1" s="1"/>
  <c r="B702" i="1"/>
  <c r="C1916" i="1" l="1"/>
  <c r="D1916" i="1" s="1"/>
  <c r="B1917" i="1"/>
  <c r="I1596" i="1"/>
  <c r="E1597" i="1" s="1"/>
  <c r="I1118" i="1"/>
  <c r="E1119" i="1" s="1"/>
  <c r="F396" i="1"/>
  <c r="J396" i="1"/>
  <c r="G396" i="1" s="1"/>
  <c r="C702" i="1"/>
  <c r="D702" i="1" s="1"/>
  <c r="B703" i="1"/>
  <c r="H1597" i="1" l="1"/>
  <c r="J1597" i="1"/>
  <c r="G1597" i="1" s="1"/>
  <c r="F1597" i="1"/>
  <c r="C1917" i="1"/>
  <c r="D1917" i="1" s="1"/>
  <c r="B1918" i="1"/>
  <c r="H1119" i="1"/>
  <c r="J1119" i="1"/>
  <c r="G1119" i="1" s="1"/>
  <c r="F1119" i="1"/>
  <c r="I396" i="1"/>
  <c r="E397" i="1" s="1"/>
  <c r="J397" i="1" s="1"/>
  <c r="G397" i="1" s="1"/>
  <c r="B704" i="1"/>
  <c r="C703" i="1"/>
  <c r="D703" i="1" s="1"/>
  <c r="C1918" i="1" l="1"/>
  <c r="D1918" i="1" s="1"/>
  <c r="B1919" i="1"/>
  <c r="I1597" i="1"/>
  <c r="E1598" i="1" s="1"/>
  <c r="I1119" i="1"/>
  <c r="E1120" i="1" s="1"/>
  <c r="H397" i="1"/>
  <c r="F397" i="1"/>
  <c r="B705" i="1"/>
  <c r="C704" i="1"/>
  <c r="D704" i="1" s="1"/>
  <c r="C1919" i="1" l="1"/>
  <c r="D1919" i="1" s="1"/>
  <c r="B1920" i="1"/>
  <c r="H1598" i="1"/>
  <c r="J1598" i="1"/>
  <c r="G1598" i="1" s="1"/>
  <c r="F1598" i="1"/>
  <c r="H1120" i="1"/>
  <c r="I1120" i="1" s="1"/>
  <c r="E1121" i="1" s="1"/>
  <c r="J1120" i="1"/>
  <c r="G1120" i="1" s="1"/>
  <c r="F1120" i="1"/>
  <c r="I397" i="1"/>
  <c r="E398" i="1" s="1"/>
  <c r="F398" i="1" s="1"/>
  <c r="C705" i="1"/>
  <c r="D705" i="1" s="1"/>
  <c r="B706" i="1"/>
  <c r="I1598" i="1" l="1"/>
  <c r="E1599" i="1" s="1"/>
  <c r="C1920" i="1"/>
  <c r="D1920" i="1" s="1"/>
  <c r="B1921" i="1"/>
  <c r="H1121" i="1"/>
  <c r="J1121" i="1"/>
  <c r="G1121" i="1" s="1"/>
  <c r="F1121" i="1"/>
  <c r="J398" i="1"/>
  <c r="H398" i="1"/>
  <c r="C706" i="1"/>
  <c r="D706" i="1" s="1"/>
  <c r="B707" i="1"/>
  <c r="C1921" i="1" l="1"/>
  <c r="D1921" i="1" s="1"/>
  <c r="B1922" i="1"/>
  <c r="H1599" i="1"/>
  <c r="J1599" i="1"/>
  <c r="G1599" i="1" s="1"/>
  <c r="F1599" i="1"/>
  <c r="I1121" i="1"/>
  <c r="E1122" i="1" s="1"/>
  <c r="I398" i="1"/>
  <c r="E399" i="1" s="1"/>
  <c r="G398" i="1"/>
  <c r="B708" i="1"/>
  <c r="C707" i="1"/>
  <c r="D707" i="1" s="1"/>
  <c r="I1599" i="1" l="1"/>
  <c r="E1600" i="1" s="1"/>
  <c r="C1922" i="1"/>
  <c r="D1922" i="1" s="1"/>
  <c r="B1923" i="1"/>
  <c r="J1122" i="1"/>
  <c r="G1122" i="1" s="1"/>
  <c r="H1122" i="1"/>
  <c r="F1122" i="1"/>
  <c r="J399" i="1"/>
  <c r="G399" i="1" s="1"/>
  <c r="H399" i="1"/>
  <c r="F399" i="1"/>
  <c r="C708" i="1"/>
  <c r="D708" i="1" s="1"/>
  <c r="B709" i="1"/>
  <c r="C1923" i="1" l="1"/>
  <c r="D1923" i="1" s="1"/>
  <c r="B1924" i="1"/>
  <c r="H1600" i="1"/>
  <c r="J1600" i="1"/>
  <c r="G1600" i="1" s="1"/>
  <c r="F1600" i="1"/>
  <c r="I1122" i="1"/>
  <c r="E1123" i="1" s="1"/>
  <c r="I399" i="1"/>
  <c r="E400" i="1" s="1"/>
  <c r="B710" i="1"/>
  <c r="C709" i="1"/>
  <c r="D709" i="1" s="1"/>
  <c r="I1600" i="1" l="1"/>
  <c r="E1601" i="1" s="1"/>
  <c r="C1924" i="1"/>
  <c r="D1924" i="1" s="1"/>
  <c r="B1925" i="1"/>
  <c r="H1123" i="1"/>
  <c r="J1123" i="1"/>
  <c r="G1123" i="1" s="1"/>
  <c r="F1123" i="1"/>
  <c r="H400" i="1"/>
  <c r="J400" i="1"/>
  <c r="G400" i="1" s="1"/>
  <c r="F400" i="1"/>
  <c r="B711" i="1"/>
  <c r="C710" i="1"/>
  <c r="D710" i="1" s="1"/>
  <c r="C1925" i="1" l="1"/>
  <c r="D1925" i="1" s="1"/>
  <c r="B1926" i="1"/>
  <c r="H1601" i="1"/>
  <c r="J1601" i="1"/>
  <c r="G1601" i="1" s="1"/>
  <c r="F1601" i="1"/>
  <c r="I1123" i="1"/>
  <c r="E1124" i="1" s="1"/>
  <c r="I400" i="1"/>
  <c r="E401" i="1" s="1"/>
  <c r="C711" i="1"/>
  <c r="D711" i="1" s="1"/>
  <c r="B712" i="1"/>
  <c r="I1601" i="1" l="1"/>
  <c r="E1602" i="1" s="1"/>
  <c r="B1927" i="1"/>
  <c r="C1926" i="1"/>
  <c r="D1926" i="1" s="1"/>
  <c r="H1124" i="1"/>
  <c r="J1124" i="1"/>
  <c r="G1124" i="1" s="1"/>
  <c r="F1124" i="1"/>
  <c r="J401" i="1"/>
  <c r="G401" i="1" s="1"/>
  <c r="F401" i="1"/>
  <c r="H401" i="1"/>
  <c r="C712" i="1"/>
  <c r="D712" i="1" s="1"/>
  <c r="B713" i="1"/>
  <c r="C1927" i="1" l="1"/>
  <c r="D1927" i="1" s="1"/>
  <c r="B1928" i="1"/>
  <c r="H1602" i="1"/>
  <c r="J1602" i="1"/>
  <c r="G1602" i="1" s="1"/>
  <c r="F1602" i="1"/>
  <c r="I1124" i="1"/>
  <c r="E1125" i="1" s="1"/>
  <c r="I401" i="1"/>
  <c r="E402" i="1" s="1"/>
  <c r="B714" i="1"/>
  <c r="C713" i="1"/>
  <c r="D713" i="1" s="1"/>
  <c r="I1602" i="1" l="1"/>
  <c r="E1603" i="1" s="1"/>
  <c r="B1929" i="1"/>
  <c r="C1928" i="1"/>
  <c r="D1928" i="1" s="1"/>
  <c r="J1125" i="1"/>
  <c r="G1125" i="1" s="1"/>
  <c r="H1125" i="1"/>
  <c r="F1125" i="1"/>
  <c r="J402" i="1"/>
  <c r="G402" i="1" s="1"/>
  <c r="H402" i="1"/>
  <c r="F402" i="1"/>
  <c r="B715" i="1"/>
  <c r="C714" i="1"/>
  <c r="D714" i="1" s="1"/>
  <c r="C1929" i="1" l="1"/>
  <c r="D1929" i="1" s="1"/>
  <c r="B1930" i="1"/>
  <c r="J1603" i="1"/>
  <c r="G1603" i="1" s="1"/>
  <c r="H1603" i="1"/>
  <c r="F1603" i="1"/>
  <c r="I1125" i="1"/>
  <c r="E1126" i="1" s="1"/>
  <c r="I402" i="1"/>
  <c r="E403" i="1" s="1"/>
  <c r="B716" i="1"/>
  <c r="C715" i="1"/>
  <c r="D715" i="1" s="1"/>
  <c r="I1603" i="1" l="1"/>
  <c r="E1604" i="1" s="1"/>
  <c r="B1931" i="1"/>
  <c r="C1930" i="1"/>
  <c r="D1930" i="1" s="1"/>
  <c r="H1126" i="1"/>
  <c r="J1126" i="1"/>
  <c r="G1126" i="1" s="1"/>
  <c r="F1126" i="1"/>
  <c r="J403" i="1"/>
  <c r="G403" i="1" s="1"/>
  <c r="H403" i="1"/>
  <c r="F403" i="1"/>
  <c r="C716" i="1"/>
  <c r="D716" i="1" s="1"/>
  <c r="B717" i="1"/>
  <c r="C1931" i="1" l="1"/>
  <c r="D1931" i="1" s="1"/>
  <c r="B1932" i="1"/>
  <c r="J1604" i="1"/>
  <c r="G1604" i="1" s="1"/>
  <c r="H1604" i="1"/>
  <c r="I1604" i="1" s="1"/>
  <c r="E1605" i="1" s="1"/>
  <c r="F1604" i="1"/>
  <c r="I1126" i="1"/>
  <c r="E1127" i="1" s="1"/>
  <c r="I403" i="1"/>
  <c r="E404" i="1" s="1"/>
  <c r="C717" i="1"/>
  <c r="D717" i="1" s="1"/>
  <c r="B718" i="1"/>
  <c r="H1605" i="1" l="1"/>
  <c r="J1605" i="1"/>
  <c r="G1605" i="1" s="1"/>
  <c r="F1605" i="1"/>
  <c r="C1932" i="1"/>
  <c r="D1932" i="1" s="1"/>
  <c r="B1933" i="1"/>
  <c r="H1127" i="1"/>
  <c r="J1127" i="1"/>
  <c r="G1127" i="1" s="1"/>
  <c r="F1127" i="1"/>
  <c r="F404" i="1"/>
  <c r="H404" i="1"/>
  <c r="J404" i="1"/>
  <c r="G404" i="1" s="1"/>
  <c r="B719" i="1"/>
  <c r="C718" i="1"/>
  <c r="D718" i="1" s="1"/>
  <c r="C1933" i="1" l="1"/>
  <c r="D1933" i="1" s="1"/>
  <c r="B1934" i="1"/>
  <c r="I1605" i="1"/>
  <c r="E1606" i="1" s="1"/>
  <c r="I1127" i="1"/>
  <c r="E1128" i="1" s="1"/>
  <c r="I404" i="1"/>
  <c r="E405" i="1" s="1"/>
  <c r="B720" i="1"/>
  <c r="C719" i="1"/>
  <c r="D719" i="1" s="1"/>
  <c r="C1934" i="1" l="1"/>
  <c r="D1934" i="1" s="1"/>
  <c r="B1935" i="1"/>
  <c r="H1606" i="1"/>
  <c r="J1606" i="1"/>
  <c r="G1606" i="1" s="1"/>
  <c r="F1606" i="1"/>
  <c r="J1128" i="1"/>
  <c r="G1128" i="1" s="1"/>
  <c r="H1128" i="1"/>
  <c r="I1128" i="1" s="1"/>
  <c r="E1129" i="1" s="1"/>
  <c r="F1128" i="1"/>
  <c r="H405" i="1"/>
  <c r="I405" i="1" s="1"/>
  <c r="E406" i="1" s="1"/>
  <c r="J405" i="1"/>
  <c r="G405" i="1" s="1"/>
  <c r="F405" i="1"/>
  <c r="B721" i="1"/>
  <c r="C720" i="1"/>
  <c r="D720" i="1" s="1"/>
  <c r="I1606" i="1" l="1"/>
  <c r="E1607" i="1" s="1"/>
  <c r="B1936" i="1"/>
  <c r="C1935" i="1"/>
  <c r="D1935" i="1" s="1"/>
  <c r="H1129" i="1"/>
  <c r="J1129" i="1"/>
  <c r="G1129" i="1" s="1"/>
  <c r="F1129" i="1"/>
  <c r="H406" i="1"/>
  <c r="I406" i="1" s="1"/>
  <c r="E407" i="1" s="1"/>
  <c r="J406" i="1"/>
  <c r="G406" i="1" s="1"/>
  <c r="F406" i="1"/>
  <c r="C721" i="1"/>
  <c r="D721" i="1" s="1"/>
  <c r="B722" i="1"/>
  <c r="C1936" i="1" l="1"/>
  <c r="D1936" i="1" s="1"/>
  <c r="B1937" i="1"/>
  <c r="H1607" i="1"/>
  <c r="J1607" i="1"/>
  <c r="G1607" i="1" s="1"/>
  <c r="F1607" i="1"/>
  <c r="I1129" i="1"/>
  <c r="E1130" i="1" s="1"/>
  <c r="J407" i="1"/>
  <c r="G407" i="1" s="1"/>
  <c r="H407" i="1"/>
  <c r="I407" i="1" s="1"/>
  <c r="E408" i="1" s="1"/>
  <c r="F407" i="1"/>
  <c r="B723" i="1"/>
  <c r="C722" i="1"/>
  <c r="D722" i="1" s="1"/>
  <c r="C1937" i="1" l="1"/>
  <c r="D1937" i="1" s="1"/>
  <c r="B1938" i="1"/>
  <c r="I1607" i="1"/>
  <c r="E1608" i="1" s="1"/>
  <c r="J1130" i="1"/>
  <c r="G1130" i="1" s="1"/>
  <c r="H1130" i="1"/>
  <c r="F1130" i="1"/>
  <c r="J408" i="1"/>
  <c r="G408" i="1" s="1"/>
  <c r="F408" i="1"/>
  <c r="H408" i="1"/>
  <c r="C723" i="1"/>
  <c r="D723" i="1" s="1"/>
  <c r="B724" i="1"/>
  <c r="H1608" i="1" l="1"/>
  <c r="J1608" i="1"/>
  <c r="G1608" i="1" s="1"/>
  <c r="F1608" i="1"/>
  <c r="C1938" i="1"/>
  <c r="D1938" i="1" s="1"/>
  <c r="B1939" i="1"/>
  <c r="I1130" i="1"/>
  <c r="E1131" i="1" s="1"/>
  <c r="I408" i="1"/>
  <c r="E409" i="1" s="1"/>
  <c r="C724" i="1"/>
  <c r="D724" i="1" s="1"/>
  <c r="B725" i="1"/>
  <c r="C1939" i="1" l="1"/>
  <c r="D1939" i="1" s="1"/>
  <c r="B1940" i="1"/>
  <c r="I1608" i="1"/>
  <c r="E1609" i="1" s="1"/>
  <c r="H1131" i="1"/>
  <c r="J1131" i="1"/>
  <c r="G1131" i="1" s="1"/>
  <c r="F1131" i="1"/>
  <c r="J409" i="1"/>
  <c r="G409" i="1" s="1"/>
  <c r="H409" i="1"/>
  <c r="I409" i="1" s="1"/>
  <c r="E410" i="1" s="1"/>
  <c r="H410" i="1" s="1"/>
  <c r="F409" i="1"/>
  <c r="F410" i="1"/>
  <c r="J410" i="1"/>
  <c r="G410" i="1" s="1"/>
  <c r="C725" i="1"/>
  <c r="D725" i="1" s="1"/>
  <c r="B726" i="1"/>
  <c r="H1609" i="1" l="1"/>
  <c r="J1609" i="1"/>
  <c r="G1609" i="1" s="1"/>
  <c r="F1609" i="1"/>
  <c r="C1940" i="1"/>
  <c r="D1940" i="1" s="1"/>
  <c r="B1941" i="1"/>
  <c r="I1131" i="1"/>
  <c r="E1132" i="1" s="1"/>
  <c r="I410" i="1"/>
  <c r="E411" i="1" s="1"/>
  <c r="C726" i="1"/>
  <c r="D726" i="1" s="1"/>
  <c r="B727" i="1"/>
  <c r="C1941" i="1" l="1"/>
  <c r="D1941" i="1" s="1"/>
  <c r="B1942" i="1"/>
  <c r="I1609" i="1"/>
  <c r="E1610" i="1" s="1"/>
  <c r="H1132" i="1"/>
  <c r="J1132" i="1"/>
  <c r="G1132" i="1" s="1"/>
  <c r="F1132" i="1"/>
  <c r="J411" i="1"/>
  <c r="G411" i="1" s="1"/>
  <c r="H411" i="1"/>
  <c r="F411" i="1"/>
  <c r="B728" i="1"/>
  <c r="C727" i="1"/>
  <c r="D727" i="1" s="1"/>
  <c r="H1610" i="1" l="1"/>
  <c r="J1610" i="1"/>
  <c r="G1610" i="1" s="1"/>
  <c r="F1610" i="1"/>
  <c r="B1943" i="1"/>
  <c r="C1942" i="1"/>
  <c r="D1942" i="1" s="1"/>
  <c r="I1132" i="1"/>
  <c r="E1133" i="1" s="1"/>
  <c r="I411" i="1"/>
  <c r="E412" i="1" s="1"/>
  <c r="C728" i="1"/>
  <c r="D728" i="1" s="1"/>
  <c r="B729" i="1"/>
  <c r="C1943" i="1" l="1"/>
  <c r="D1943" i="1" s="1"/>
  <c r="B1944" i="1"/>
  <c r="I1610" i="1"/>
  <c r="E1611" i="1" s="1"/>
  <c r="J1133" i="1"/>
  <c r="G1133" i="1" s="1"/>
  <c r="H1133" i="1"/>
  <c r="I1133" i="1" s="1"/>
  <c r="E1134" i="1" s="1"/>
  <c r="F1133" i="1"/>
  <c r="J412" i="1"/>
  <c r="G412" i="1" s="1"/>
  <c r="H412" i="1"/>
  <c r="F412" i="1"/>
  <c r="B730" i="1"/>
  <c r="C729" i="1"/>
  <c r="D729" i="1" s="1"/>
  <c r="J1611" i="1" l="1"/>
  <c r="G1611" i="1" s="1"/>
  <c r="H1611" i="1"/>
  <c r="I1611" i="1" s="1"/>
  <c r="E1612" i="1" s="1"/>
  <c r="F1611" i="1"/>
  <c r="B1945" i="1"/>
  <c r="C1944" i="1"/>
  <c r="D1944" i="1" s="1"/>
  <c r="H1134" i="1"/>
  <c r="J1134" i="1"/>
  <c r="G1134" i="1" s="1"/>
  <c r="F1134" i="1"/>
  <c r="I412" i="1"/>
  <c r="E413" i="1" s="1"/>
  <c r="B731" i="1"/>
  <c r="C730" i="1"/>
  <c r="D730" i="1" s="1"/>
  <c r="J1612" i="1" l="1"/>
  <c r="G1612" i="1" s="1"/>
  <c r="H1612" i="1"/>
  <c r="F1612" i="1"/>
  <c r="C1945" i="1"/>
  <c r="D1945" i="1" s="1"/>
  <c r="B1946" i="1"/>
  <c r="I1134" i="1"/>
  <c r="E1135" i="1" s="1"/>
  <c r="J413" i="1"/>
  <c r="G413" i="1" s="1"/>
  <c r="F413" i="1"/>
  <c r="H413" i="1"/>
  <c r="C731" i="1"/>
  <c r="D731" i="1" s="1"/>
  <c r="B732" i="1"/>
  <c r="B1947" i="1" l="1"/>
  <c r="C1946" i="1"/>
  <c r="D1946" i="1" s="1"/>
  <c r="I1612" i="1"/>
  <c r="E1613" i="1" s="1"/>
  <c r="H1135" i="1"/>
  <c r="J1135" i="1"/>
  <c r="G1135" i="1" s="1"/>
  <c r="F1135" i="1"/>
  <c r="I413" i="1"/>
  <c r="E414" i="1" s="1"/>
  <c r="C732" i="1"/>
  <c r="D732" i="1" s="1"/>
  <c r="B733" i="1"/>
  <c r="H1613" i="1" l="1"/>
  <c r="J1613" i="1"/>
  <c r="G1613" i="1" s="1"/>
  <c r="F1613" i="1"/>
  <c r="B1948" i="1"/>
  <c r="C1947" i="1"/>
  <c r="D1947" i="1" s="1"/>
  <c r="I1135" i="1"/>
  <c r="E1136" i="1" s="1"/>
  <c r="J414" i="1"/>
  <c r="G414" i="1" s="1"/>
  <c r="F414" i="1"/>
  <c r="H414" i="1"/>
  <c r="B734" i="1"/>
  <c r="C733" i="1"/>
  <c r="D733" i="1" s="1"/>
  <c r="C1948" i="1" l="1"/>
  <c r="D1948" i="1" s="1"/>
  <c r="B1949" i="1"/>
  <c r="I1613" i="1"/>
  <c r="E1614" i="1" s="1"/>
  <c r="H1136" i="1"/>
  <c r="J1136" i="1"/>
  <c r="G1136" i="1" s="1"/>
  <c r="F1136" i="1"/>
  <c r="I414" i="1"/>
  <c r="E415" i="1" s="1"/>
  <c r="C734" i="1"/>
  <c r="D734" i="1" s="1"/>
  <c r="B735" i="1"/>
  <c r="H1614" i="1" l="1"/>
  <c r="J1614" i="1"/>
  <c r="G1614" i="1" s="1"/>
  <c r="F1614" i="1"/>
  <c r="C1949" i="1"/>
  <c r="D1949" i="1" s="1"/>
  <c r="B1950" i="1"/>
  <c r="I1136" i="1"/>
  <c r="E1137" i="1" s="1"/>
  <c r="J415" i="1"/>
  <c r="G415" i="1" s="1"/>
  <c r="F415" i="1"/>
  <c r="H415" i="1"/>
  <c r="I415" i="1" s="1"/>
  <c r="E416" i="1" s="1"/>
  <c r="C735" i="1"/>
  <c r="D735" i="1" s="1"/>
  <c r="B736" i="1"/>
  <c r="C1950" i="1" l="1"/>
  <c r="D1950" i="1" s="1"/>
  <c r="B1951" i="1"/>
  <c r="I1614" i="1"/>
  <c r="E1615" i="1" s="1"/>
  <c r="H1137" i="1"/>
  <c r="J1137" i="1"/>
  <c r="G1137" i="1" s="1"/>
  <c r="F1137" i="1"/>
  <c r="F416" i="1"/>
  <c r="J416" i="1"/>
  <c r="G416" i="1" s="1"/>
  <c r="H416" i="1"/>
  <c r="C736" i="1"/>
  <c r="D736" i="1" s="1"/>
  <c r="B737" i="1"/>
  <c r="C1951" i="1" l="1"/>
  <c r="D1951" i="1" s="1"/>
  <c r="B1952" i="1"/>
  <c r="H1615" i="1"/>
  <c r="J1615" i="1"/>
  <c r="G1615" i="1" s="1"/>
  <c r="F1615" i="1"/>
  <c r="I1137" i="1"/>
  <c r="E1138" i="1" s="1"/>
  <c r="I416" i="1"/>
  <c r="E417" i="1" s="1"/>
  <c r="C737" i="1"/>
  <c r="D737" i="1" s="1"/>
  <c r="B738" i="1"/>
  <c r="I1615" i="1" l="1"/>
  <c r="E1616" i="1" s="1"/>
  <c r="C1952" i="1"/>
  <c r="D1952" i="1" s="1"/>
  <c r="B1953" i="1"/>
  <c r="J1138" i="1"/>
  <c r="G1138" i="1" s="1"/>
  <c r="H1138" i="1"/>
  <c r="F1138" i="1"/>
  <c r="H417" i="1"/>
  <c r="F417" i="1"/>
  <c r="J417" i="1"/>
  <c r="G417" i="1" s="1"/>
  <c r="C738" i="1"/>
  <c r="D738" i="1" s="1"/>
  <c r="B739" i="1"/>
  <c r="C1953" i="1" l="1"/>
  <c r="D1953" i="1" s="1"/>
  <c r="B1954" i="1"/>
  <c r="H1616" i="1"/>
  <c r="J1616" i="1"/>
  <c r="G1616" i="1" s="1"/>
  <c r="F1616" i="1"/>
  <c r="I1138" i="1"/>
  <c r="E1139" i="1" s="1"/>
  <c r="I417" i="1"/>
  <c r="E418" i="1" s="1"/>
  <c r="C739" i="1"/>
  <c r="D739" i="1" s="1"/>
  <c r="B740" i="1"/>
  <c r="I1616" i="1" l="1"/>
  <c r="E1617" i="1" s="1"/>
  <c r="C1954" i="1"/>
  <c r="D1954" i="1" s="1"/>
  <c r="B1955" i="1"/>
  <c r="H1139" i="1"/>
  <c r="J1139" i="1"/>
  <c r="G1139" i="1" s="1"/>
  <c r="F1139" i="1"/>
  <c r="H418" i="1"/>
  <c r="J418" i="1"/>
  <c r="G418" i="1" s="1"/>
  <c r="F418" i="1"/>
  <c r="B741" i="1"/>
  <c r="C740" i="1"/>
  <c r="D740" i="1" s="1"/>
  <c r="C1955" i="1" l="1"/>
  <c r="D1955" i="1" s="1"/>
  <c r="B1956" i="1"/>
  <c r="H1617" i="1"/>
  <c r="J1617" i="1"/>
  <c r="G1617" i="1" s="1"/>
  <c r="F1617" i="1"/>
  <c r="I1139" i="1"/>
  <c r="E1140" i="1" s="1"/>
  <c r="I418" i="1"/>
  <c r="E419" i="1" s="1"/>
  <c r="J419" i="1" s="1"/>
  <c r="G419" i="1" s="1"/>
  <c r="H419" i="1"/>
  <c r="F419" i="1"/>
  <c r="B742" i="1"/>
  <c r="C741" i="1"/>
  <c r="D741" i="1" s="1"/>
  <c r="I1617" i="1" l="1"/>
  <c r="E1618" i="1" s="1"/>
  <c r="C1956" i="1"/>
  <c r="D1956" i="1" s="1"/>
  <c r="B1957" i="1"/>
  <c r="H1140" i="1"/>
  <c r="J1140" i="1"/>
  <c r="G1140" i="1" s="1"/>
  <c r="F1140" i="1"/>
  <c r="I419" i="1"/>
  <c r="E420" i="1" s="1"/>
  <c r="H420" i="1" s="1"/>
  <c r="F420" i="1"/>
  <c r="J420" i="1"/>
  <c r="G420" i="1" s="1"/>
  <c r="C742" i="1"/>
  <c r="D742" i="1" s="1"/>
  <c r="B743" i="1"/>
  <c r="C1957" i="1" l="1"/>
  <c r="D1957" i="1" s="1"/>
  <c r="B1958" i="1"/>
  <c r="H1618" i="1"/>
  <c r="J1618" i="1"/>
  <c r="G1618" i="1" s="1"/>
  <c r="F1618" i="1"/>
  <c r="I1140" i="1"/>
  <c r="E1141" i="1" s="1"/>
  <c r="I420" i="1"/>
  <c r="E421" i="1" s="1"/>
  <c r="C743" i="1"/>
  <c r="D743" i="1" s="1"/>
  <c r="B744" i="1"/>
  <c r="I1618" i="1" l="1"/>
  <c r="E1619" i="1" s="1"/>
  <c r="C1958" i="1"/>
  <c r="D1958" i="1" s="1"/>
  <c r="B1959" i="1"/>
  <c r="H1141" i="1"/>
  <c r="J1141" i="1"/>
  <c r="G1141" i="1" s="1"/>
  <c r="F1141" i="1"/>
  <c r="F421" i="1"/>
  <c r="H421" i="1"/>
  <c r="J421" i="1"/>
  <c r="G421" i="1" s="1"/>
  <c r="C744" i="1"/>
  <c r="D744" i="1" s="1"/>
  <c r="B745" i="1"/>
  <c r="C1959" i="1" l="1"/>
  <c r="D1959" i="1" s="1"/>
  <c r="B1960" i="1"/>
  <c r="J1619" i="1"/>
  <c r="G1619" i="1" s="1"/>
  <c r="H1619" i="1"/>
  <c r="F1619" i="1"/>
  <c r="I1141" i="1"/>
  <c r="E1142" i="1" s="1"/>
  <c r="I421" i="1"/>
  <c r="E422" i="1" s="1"/>
  <c r="B746" i="1"/>
  <c r="C745" i="1"/>
  <c r="D745" i="1" s="1"/>
  <c r="I1619" i="1" l="1"/>
  <c r="E1620" i="1" s="1"/>
  <c r="C1960" i="1"/>
  <c r="D1960" i="1" s="1"/>
  <c r="B1961" i="1"/>
  <c r="H1142" i="1"/>
  <c r="J1142" i="1"/>
  <c r="G1142" i="1" s="1"/>
  <c r="F1142" i="1"/>
  <c r="H422" i="1"/>
  <c r="J422" i="1"/>
  <c r="G422" i="1" s="1"/>
  <c r="F422" i="1"/>
  <c r="B747" i="1"/>
  <c r="C746" i="1"/>
  <c r="D746" i="1" s="1"/>
  <c r="C1961" i="1" l="1"/>
  <c r="D1961" i="1" s="1"/>
  <c r="B1962" i="1"/>
  <c r="J1620" i="1"/>
  <c r="G1620" i="1" s="1"/>
  <c r="H1620" i="1"/>
  <c r="I1620" i="1" s="1"/>
  <c r="E1621" i="1" s="1"/>
  <c r="F1620" i="1"/>
  <c r="I1142" i="1"/>
  <c r="E1143" i="1" s="1"/>
  <c r="I422" i="1"/>
  <c r="E423" i="1" s="1"/>
  <c r="B748" i="1"/>
  <c r="C747" i="1"/>
  <c r="D747" i="1" s="1"/>
  <c r="H1621" i="1" l="1"/>
  <c r="J1621" i="1"/>
  <c r="G1621" i="1" s="1"/>
  <c r="F1621" i="1"/>
  <c r="C1962" i="1"/>
  <c r="D1962" i="1" s="1"/>
  <c r="B1963" i="1"/>
  <c r="J1143" i="1"/>
  <c r="G1143" i="1" s="1"/>
  <c r="H1143" i="1"/>
  <c r="F1143" i="1"/>
  <c r="J423" i="1"/>
  <c r="G423" i="1" s="1"/>
  <c r="H423" i="1"/>
  <c r="F423" i="1"/>
  <c r="B749" i="1"/>
  <c r="C748" i="1"/>
  <c r="D748" i="1" s="1"/>
  <c r="C1963" i="1" l="1"/>
  <c r="D1963" i="1" s="1"/>
  <c r="B1964" i="1"/>
  <c r="I1621" i="1"/>
  <c r="E1622" i="1" s="1"/>
  <c r="I1143" i="1"/>
  <c r="E1144" i="1" s="1"/>
  <c r="I423" i="1"/>
  <c r="E424" i="1" s="1"/>
  <c r="H424" i="1" s="1"/>
  <c r="J424" i="1"/>
  <c r="G424" i="1" s="1"/>
  <c r="F424" i="1"/>
  <c r="C749" i="1"/>
  <c r="D749" i="1" s="1"/>
  <c r="B750" i="1"/>
  <c r="C1964" i="1" l="1"/>
  <c r="D1964" i="1" s="1"/>
  <c r="B1965" i="1"/>
  <c r="H1622" i="1"/>
  <c r="J1622" i="1"/>
  <c r="G1622" i="1" s="1"/>
  <c r="F1622" i="1"/>
  <c r="H1144" i="1"/>
  <c r="J1144" i="1"/>
  <c r="G1144" i="1" s="1"/>
  <c r="F1144" i="1"/>
  <c r="I424" i="1"/>
  <c r="E425" i="1" s="1"/>
  <c r="B751" i="1"/>
  <c r="C750" i="1"/>
  <c r="D750" i="1" s="1"/>
  <c r="I1622" i="1" l="1"/>
  <c r="E1623" i="1" s="1"/>
  <c r="C1965" i="1"/>
  <c r="D1965" i="1" s="1"/>
  <c r="B1966" i="1"/>
  <c r="I1144" i="1"/>
  <c r="E1145" i="1" s="1"/>
  <c r="H425" i="1"/>
  <c r="F425" i="1"/>
  <c r="J425" i="1"/>
  <c r="G425" i="1" s="1"/>
  <c r="C751" i="1"/>
  <c r="D751" i="1" s="1"/>
  <c r="B752" i="1"/>
  <c r="C1966" i="1" l="1"/>
  <c r="D1966" i="1" s="1"/>
  <c r="B1967" i="1"/>
  <c r="H1623" i="1"/>
  <c r="I1623" i="1" s="1"/>
  <c r="E1624" i="1" s="1"/>
  <c r="J1623" i="1"/>
  <c r="G1623" i="1" s="1"/>
  <c r="F1623" i="1"/>
  <c r="H1145" i="1"/>
  <c r="J1145" i="1"/>
  <c r="G1145" i="1" s="1"/>
  <c r="F1145" i="1"/>
  <c r="I425" i="1"/>
  <c r="E426" i="1" s="1"/>
  <c r="C752" i="1"/>
  <c r="D752" i="1" s="1"/>
  <c r="B753" i="1"/>
  <c r="H1624" i="1" l="1"/>
  <c r="J1624" i="1"/>
  <c r="G1624" i="1" s="1"/>
  <c r="F1624" i="1"/>
  <c r="C1967" i="1"/>
  <c r="D1967" i="1" s="1"/>
  <c r="B1968" i="1"/>
  <c r="I1145" i="1"/>
  <c r="E1146" i="1" s="1"/>
  <c r="H426" i="1"/>
  <c r="J426" i="1"/>
  <c r="G426" i="1" s="1"/>
  <c r="F426" i="1"/>
  <c r="C753" i="1"/>
  <c r="D753" i="1" s="1"/>
  <c r="B754" i="1"/>
  <c r="C754" i="1" s="1"/>
  <c r="D754" i="1" s="1"/>
  <c r="C1968" i="1" l="1"/>
  <c r="D1968" i="1" s="1"/>
  <c r="B1969" i="1"/>
  <c r="I1624" i="1"/>
  <c r="E1625" i="1" s="1"/>
  <c r="H1146" i="1"/>
  <c r="J1146" i="1"/>
  <c r="G1146" i="1" s="1"/>
  <c r="F1146" i="1"/>
  <c r="I426" i="1"/>
  <c r="E427" i="1" s="1"/>
  <c r="H1625" i="1" l="1"/>
  <c r="J1625" i="1"/>
  <c r="G1625" i="1" s="1"/>
  <c r="F1625" i="1"/>
  <c r="C1969" i="1"/>
  <c r="D1969" i="1" s="1"/>
  <c r="B1970" i="1"/>
  <c r="I1146" i="1"/>
  <c r="E1147" i="1" s="1"/>
  <c r="J427" i="1"/>
  <c r="G427" i="1" s="1"/>
  <c r="H427" i="1"/>
  <c r="F427" i="1"/>
  <c r="C1970" i="1" l="1"/>
  <c r="D1970" i="1" s="1"/>
  <c r="B1971" i="1"/>
  <c r="I1625" i="1"/>
  <c r="E1626" i="1" s="1"/>
  <c r="H1147" i="1"/>
  <c r="J1147" i="1"/>
  <c r="G1147" i="1" s="1"/>
  <c r="F1147" i="1"/>
  <c r="I427" i="1"/>
  <c r="E428" i="1" s="1"/>
  <c r="H1626" i="1" l="1"/>
  <c r="J1626" i="1"/>
  <c r="G1626" i="1" s="1"/>
  <c r="F1626" i="1"/>
  <c r="C1971" i="1"/>
  <c r="D1971" i="1" s="1"/>
  <c r="B1972" i="1"/>
  <c r="I1147" i="1"/>
  <c r="E1148" i="1" s="1"/>
  <c r="J428" i="1"/>
  <c r="G428" i="1" s="1"/>
  <c r="H428" i="1"/>
  <c r="F428" i="1"/>
  <c r="C1972" i="1" l="1"/>
  <c r="D1972" i="1" s="1"/>
  <c r="B1973" i="1"/>
  <c r="I1626" i="1"/>
  <c r="E1627" i="1" s="1"/>
  <c r="J1148" i="1"/>
  <c r="G1148" i="1" s="1"/>
  <c r="H1148" i="1"/>
  <c r="F1148" i="1"/>
  <c r="I428" i="1"/>
  <c r="E429" i="1" s="1"/>
  <c r="H429" i="1" s="1"/>
  <c r="F429" i="1"/>
  <c r="J429" i="1"/>
  <c r="G429" i="1" s="1"/>
  <c r="J1627" i="1" l="1"/>
  <c r="G1627" i="1" s="1"/>
  <c r="H1627" i="1"/>
  <c r="I1627" i="1" s="1"/>
  <c r="E1628" i="1" s="1"/>
  <c r="F1627" i="1"/>
  <c r="C1973" i="1"/>
  <c r="D1973" i="1" s="1"/>
  <c r="B1974" i="1"/>
  <c r="I1148" i="1"/>
  <c r="E1149" i="1" s="1"/>
  <c r="I429" i="1"/>
  <c r="E430" i="1" s="1"/>
  <c r="J1628" i="1" l="1"/>
  <c r="G1628" i="1" s="1"/>
  <c r="H1628" i="1"/>
  <c r="F1628" i="1"/>
  <c r="B1975" i="1"/>
  <c r="C1974" i="1"/>
  <c r="D1974" i="1" s="1"/>
  <c r="H1149" i="1"/>
  <c r="J1149" i="1"/>
  <c r="G1149" i="1" s="1"/>
  <c r="F1149" i="1"/>
  <c r="J430" i="1"/>
  <c r="G430" i="1" s="1"/>
  <c r="F430" i="1"/>
  <c r="H430" i="1"/>
  <c r="C1975" i="1" l="1"/>
  <c r="D1975" i="1" s="1"/>
  <c r="B1976" i="1"/>
  <c r="I1628" i="1"/>
  <c r="E1629" i="1" s="1"/>
  <c r="I1149" i="1"/>
  <c r="E1150" i="1" s="1"/>
  <c r="I430" i="1"/>
  <c r="E431" i="1" s="1"/>
  <c r="H1629" i="1" l="1"/>
  <c r="J1629" i="1"/>
  <c r="G1629" i="1" s="1"/>
  <c r="F1629" i="1"/>
  <c r="C1976" i="1"/>
  <c r="D1976" i="1" s="1"/>
  <c r="B1977" i="1"/>
  <c r="H1150" i="1"/>
  <c r="J1150" i="1"/>
  <c r="G1150" i="1" s="1"/>
  <c r="F1150" i="1"/>
  <c r="J431" i="1"/>
  <c r="G431" i="1" s="1"/>
  <c r="H431" i="1"/>
  <c r="F431" i="1"/>
  <c r="C1977" i="1" l="1"/>
  <c r="D1977" i="1" s="1"/>
  <c r="B1978" i="1"/>
  <c r="I1629" i="1"/>
  <c r="E1630" i="1" s="1"/>
  <c r="I1150" i="1"/>
  <c r="E1151" i="1" s="1"/>
  <c r="I431" i="1"/>
  <c r="E432" i="1" s="1"/>
  <c r="J432" i="1" s="1"/>
  <c r="G432" i="1" s="1"/>
  <c r="F432" i="1"/>
  <c r="H1630" i="1" l="1"/>
  <c r="J1630" i="1"/>
  <c r="G1630" i="1" s="1"/>
  <c r="F1630" i="1"/>
  <c r="C1978" i="1"/>
  <c r="D1978" i="1" s="1"/>
  <c r="B1979" i="1"/>
  <c r="J1151" i="1"/>
  <c r="G1151" i="1" s="1"/>
  <c r="H1151" i="1"/>
  <c r="F1151" i="1"/>
  <c r="H432" i="1"/>
  <c r="I432" i="1"/>
  <c r="E433" i="1" s="1"/>
  <c r="J433" i="1" s="1"/>
  <c r="G433" i="1" s="1"/>
  <c r="F433" i="1"/>
  <c r="C1979" i="1" l="1"/>
  <c r="D1979" i="1" s="1"/>
  <c r="B1980" i="1"/>
  <c r="I1630" i="1"/>
  <c r="E1631" i="1" s="1"/>
  <c r="I1151" i="1"/>
  <c r="E1152" i="1" s="1"/>
  <c r="H433" i="1"/>
  <c r="I433" i="1"/>
  <c r="E434" i="1" s="1"/>
  <c r="H1631" i="1" l="1"/>
  <c r="I1631" i="1" s="1"/>
  <c r="E1632" i="1" s="1"/>
  <c r="J1631" i="1"/>
  <c r="G1631" i="1" s="1"/>
  <c r="F1631" i="1"/>
  <c r="C1980" i="1"/>
  <c r="D1980" i="1" s="1"/>
  <c r="B1981" i="1"/>
  <c r="H1152" i="1"/>
  <c r="J1152" i="1"/>
  <c r="G1152" i="1" s="1"/>
  <c r="F1152" i="1"/>
  <c r="J434" i="1"/>
  <c r="G434" i="1" s="1"/>
  <c r="F434" i="1"/>
  <c r="H434" i="1"/>
  <c r="H1632" i="1" l="1"/>
  <c r="J1632" i="1"/>
  <c r="G1632" i="1" s="1"/>
  <c r="F1632" i="1"/>
  <c r="C1981" i="1"/>
  <c r="D1981" i="1" s="1"/>
  <c r="B1982" i="1"/>
  <c r="I1152" i="1"/>
  <c r="E1153" i="1" s="1"/>
  <c r="I434" i="1"/>
  <c r="E435" i="1" s="1"/>
  <c r="C1982" i="1" l="1"/>
  <c r="D1982" i="1" s="1"/>
  <c r="B1983" i="1"/>
  <c r="I1632" i="1"/>
  <c r="E1633" i="1" s="1"/>
  <c r="H1153" i="1"/>
  <c r="J1153" i="1"/>
  <c r="G1153" i="1" s="1"/>
  <c r="F1153" i="1"/>
  <c r="F435" i="1"/>
  <c r="H435" i="1"/>
  <c r="J435" i="1"/>
  <c r="G435" i="1" s="1"/>
  <c r="H1633" i="1" l="1"/>
  <c r="J1633" i="1"/>
  <c r="G1633" i="1" s="1"/>
  <c r="F1633" i="1"/>
  <c r="C1983" i="1"/>
  <c r="D1983" i="1" s="1"/>
  <c r="B1984" i="1"/>
  <c r="I1153" i="1"/>
  <c r="E1154" i="1" s="1"/>
  <c r="I435" i="1"/>
  <c r="E436" i="1" s="1"/>
  <c r="C1984" i="1" l="1"/>
  <c r="D1984" i="1" s="1"/>
  <c r="B1985" i="1"/>
  <c r="I1633" i="1"/>
  <c r="E1634" i="1" s="1"/>
  <c r="H1154" i="1"/>
  <c r="J1154" i="1"/>
  <c r="G1154" i="1" s="1"/>
  <c r="F1154" i="1"/>
  <c r="H436" i="1"/>
  <c r="J436" i="1"/>
  <c r="G436" i="1" s="1"/>
  <c r="F436" i="1"/>
  <c r="H1634" i="1" l="1"/>
  <c r="J1634" i="1"/>
  <c r="G1634" i="1" s="1"/>
  <c r="F1634" i="1"/>
  <c r="C1985" i="1"/>
  <c r="D1985" i="1" s="1"/>
  <c r="B1986" i="1"/>
  <c r="I1154" i="1"/>
  <c r="E1155" i="1" s="1"/>
  <c r="I436" i="1"/>
  <c r="E437" i="1" s="1"/>
  <c r="C1986" i="1" l="1"/>
  <c r="D1986" i="1" s="1"/>
  <c r="B1987" i="1"/>
  <c r="I1634" i="1"/>
  <c r="E1635" i="1" s="1"/>
  <c r="H1155" i="1"/>
  <c r="J1155" i="1"/>
  <c r="G1155" i="1" s="1"/>
  <c r="F1155" i="1"/>
  <c r="H437" i="1"/>
  <c r="F437" i="1"/>
  <c r="J437" i="1"/>
  <c r="G437" i="1" s="1"/>
  <c r="J1635" i="1" l="1"/>
  <c r="G1635" i="1" s="1"/>
  <c r="H1635" i="1"/>
  <c r="F1635" i="1"/>
  <c r="C1987" i="1"/>
  <c r="D1987" i="1" s="1"/>
  <c r="B1988" i="1"/>
  <c r="I1155" i="1"/>
  <c r="E1156" i="1" s="1"/>
  <c r="I437" i="1"/>
  <c r="E438" i="1" s="1"/>
  <c r="C1988" i="1" l="1"/>
  <c r="D1988" i="1" s="1"/>
  <c r="B1989" i="1"/>
  <c r="I1635" i="1"/>
  <c r="E1636" i="1" s="1"/>
  <c r="H1156" i="1"/>
  <c r="J1156" i="1"/>
  <c r="G1156" i="1" s="1"/>
  <c r="F1156" i="1"/>
  <c r="J438" i="1"/>
  <c r="G438" i="1" s="1"/>
  <c r="H438" i="1"/>
  <c r="F438" i="1"/>
  <c r="J1636" i="1" l="1"/>
  <c r="G1636" i="1" s="1"/>
  <c r="H1636" i="1"/>
  <c r="F1636" i="1"/>
  <c r="C1989" i="1"/>
  <c r="D1989" i="1" s="1"/>
  <c r="B1990" i="1"/>
  <c r="I1156" i="1"/>
  <c r="E1157" i="1" s="1"/>
  <c r="I438" i="1"/>
  <c r="E439" i="1" s="1"/>
  <c r="C1990" i="1" l="1"/>
  <c r="D1990" i="1" s="1"/>
  <c r="B1991" i="1"/>
  <c r="I1636" i="1"/>
  <c r="E1637" i="1" s="1"/>
  <c r="H1157" i="1"/>
  <c r="J1157" i="1"/>
  <c r="G1157" i="1" s="1"/>
  <c r="F1157" i="1"/>
  <c r="J439" i="1"/>
  <c r="G439" i="1" s="1"/>
  <c r="H439" i="1"/>
  <c r="F439" i="1"/>
  <c r="H1637" i="1" l="1"/>
  <c r="J1637" i="1"/>
  <c r="G1637" i="1" s="1"/>
  <c r="F1637" i="1"/>
  <c r="C1991" i="1"/>
  <c r="D1991" i="1" s="1"/>
  <c r="B1992" i="1"/>
  <c r="I1157" i="1"/>
  <c r="E1158" i="1" s="1"/>
  <c r="I439" i="1"/>
  <c r="E440" i="1" s="1"/>
  <c r="C1992" i="1" l="1"/>
  <c r="D1992" i="1" s="1"/>
  <c r="B1993" i="1"/>
  <c r="I1637" i="1"/>
  <c r="E1638" i="1" s="1"/>
  <c r="J1158" i="1"/>
  <c r="G1158" i="1" s="1"/>
  <c r="H1158" i="1"/>
  <c r="F1158" i="1"/>
  <c r="H440" i="1"/>
  <c r="J440" i="1"/>
  <c r="G440" i="1" s="1"/>
  <c r="F440" i="1"/>
  <c r="H1638" i="1" l="1"/>
  <c r="J1638" i="1"/>
  <c r="G1638" i="1" s="1"/>
  <c r="F1638" i="1"/>
  <c r="C1993" i="1"/>
  <c r="D1993" i="1" s="1"/>
  <c r="B1994" i="1"/>
  <c r="I1158" i="1"/>
  <c r="E1159" i="1" s="1"/>
  <c r="I440" i="1"/>
  <c r="E441" i="1" s="1"/>
  <c r="C1994" i="1" l="1"/>
  <c r="D1994" i="1" s="1"/>
  <c r="B1995" i="1"/>
  <c r="I1638" i="1"/>
  <c r="E1639" i="1" s="1"/>
  <c r="J1159" i="1"/>
  <c r="G1159" i="1" s="1"/>
  <c r="H1159" i="1"/>
  <c r="F1159" i="1"/>
  <c r="H441" i="1"/>
  <c r="J441" i="1"/>
  <c r="G441" i="1" s="1"/>
  <c r="F441" i="1"/>
  <c r="H1639" i="1" l="1"/>
  <c r="I1639" i="1" s="1"/>
  <c r="E1640" i="1" s="1"/>
  <c r="J1639" i="1"/>
  <c r="G1639" i="1" s="1"/>
  <c r="F1639" i="1"/>
  <c r="C1995" i="1"/>
  <c r="D1995" i="1" s="1"/>
  <c r="B1996" i="1"/>
  <c r="I1159" i="1"/>
  <c r="E1160" i="1" s="1"/>
  <c r="I441" i="1"/>
  <c r="E442" i="1" s="1"/>
  <c r="H1640" i="1" l="1"/>
  <c r="J1640" i="1"/>
  <c r="G1640" i="1" s="1"/>
  <c r="F1640" i="1"/>
  <c r="C1996" i="1"/>
  <c r="D1996" i="1" s="1"/>
  <c r="B1997" i="1"/>
  <c r="H1160" i="1"/>
  <c r="J1160" i="1"/>
  <c r="G1160" i="1" s="1"/>
  <c r="F1160" i="1"/>
  <c r="F442" i="1"/>
  <c r="H442" i="1"/>
  <c r="J442" i="1"/>
  <c r="G442" i="1" s="1"/>
  <c r="C1997" i="1" l="1"/>
  <c r="D1997" i="1" s="1"/>
  <c r="B1998" i="1"/>
  <c r="I1640" i="1"/>
  <c r="E1641" i="1" s="1"/>
  <c r="I1160" i="1"/>
  <c r="E1161" i="1" s="1"/>
  <c r="I442" i="1"/>
  <c r="E443" i="1" s="1"/>
  <c r="H1641" i="1" l="1"/>
  <c r="J1641" i="1"/>
  <c r="G1641" i="1" s="1"/>
  <c r="F1641" i="1"/>
  <c r="C1998" i="1"/>
  <c r="D1998" i="1" s="1"/>
  <c r="B1999" i="1"/>
  <c r="H1161" i="1"/>
  <c r="J1161" i="1"/>
  <c r="G1161" i="1" s="1"/>
  <c r="F1161" i="1"/>
  <c r="H443" i="1"/>
  <c r="J443" i="1"/>
  <c r="G443" i="1" s="1"/>
  <c r="F443" i="1"/>
  <c r="C1999" i="1" l="1"/>
  <c r="D1999" i="1" s="1"/>
  <c r="B2000" i="1"/>
  <c r="I1641" i="1"/>
  <c r="E1642" i="1" s="1"/>
  <c r="I1161" i="1"/>
  <c r="E1162" i="1" s="1"/>
  <c r="I443" i="1"/>
  <c r="E444" i="1" s="1"/>
  <c r="C2000" i="1" l="1"/>
  <c r="D2000" i="1" s="1"/>
  <c r="B2001" i="1"/>
  <c r="H1642" i="1"/>
  <c r="J1642" i="1"/>
  <c r="G1642" i="1" s="1"/>
  <c r="F1642" i="1"/>
  <c r="J1162" i="1"/>
  <c r="G1162" i="1" s="1"/>
  <c r="H1162" i="1"/>
  <c r="F1162" i="1"/>
  <c r="H444" i="1"/>
  <c r="J444" i="1"/>
  <c r="G444" i="1" s="1"/>
  <c r="F444" i="1"/>
  <c r="I1642" i="1" l="1"/>
  <c r="E1643" i="1" s="1"/>
  <c r="C2001" i="1"/>
  <c r="D2001" i="1" s="1"/>
  <c r="B2002" i="1"/>
  <c r="I1162" i="1"/>
  <c r="E1163" i="1" s="1"/>
  <c r="I444" i="1"/>
  <c r="E445" i="1" s="1"/>
  <c r="C2002" i="1" l="1"/>
  <c r="D2002" i="1" s="1"/>
  <c r="B2003" i="1"/>
  <c r="J1643" i="1"/>
  <c r="G1643" i="1" s="1"/>
  <c r="H1643" i="1"/>
  <c r="F1643" i="1"/>
  <c r="H1163" i="1"/>
  <c r="J1163" i="1"/>
  <c r="G1163" i="1" s="1"/>
  <c r="F1163" i="1"/>
  <c r="F445" i="1"/>
  <c r="H445" i="1"/>
  <c r="J445" i="1"/>
  <c r="G445" i="1" s="1"/>
  <c r="I1643" i="1" l="1"/>
  <c r="E1644" i="1" s="1"/>
  <c r="C2003" i="1"/>
  <c r="D2003" i="1" s="1"/>
  <c r="B2004" i="1"/>
  <c r="I1163" i="1"/>
  <c r="E1164" i="1" s="1"/>
  <c r="I445" i="1"/>
  <c r="E446" i="1" s="1"/>
  <c r="C2004" i="1" l="1"/>
  <c r="D2004" i="1" s="1"/>
  <c r="B2005" i="1"/>
  <c r="J1644" i="1"/>
  <c r="G1644" i="1" s="1"/>
  <c r="H1644" i="1"/>
  <c r="F1644" i="1"/>
  <c r="H1164" i="1"/>
  <c r="J1164" i="1"/>
  <c r="G1164" i="1" s="1"/>
  <c r="F1164" i="1"/>
  <c r="J446" i="1"/>
  <c r="G446" i="1" s="1"/>
  <c r="H446" i="1"/>
  <c r="F446" i="1"/>
  <c r="I1644" i="1" l="1"/>
  <c r="E1645" i="1" s="1"/>
  <c r="C2005" i="1"/>
  <c r="D2005" i="1" s="1"/>
  <c r="B2006" i="1"/>
  <c r="I1164" i="1"/>
  <c r="E1165" i="1" s="1"/>
  <c r="I446" i="1"/>
  <c r="E447" i="1" s="1"/>
  <c r="C2006" i="1" l="1"/>
  <c r="D2006" i="1" s="1"/>
  <c r="B2007" i="1"/>
  <c r="H1645" i="1"/>
  <c r="J1645" i="1"/>
  <c r="G1645" i="1" s="1"/>
  <c r="F1645" i="1"/>
  <c r="H1165" i="1"/>
  <c r="J1165" i="1"/>
  <c r="G1165" i="1" s="1"/>
  <c r="F1165" i="1"/>
  <c r="H447" i="1"/>
  <c r="J447" i="1"/>
  <c r="G447" i="1" s="1"/>
  <c r="F447" i="1"/>
  <c r="I1645" i="1" l="1"/>
  <c r="E1646" i="1" s="1"/>
  <c r="C2007" i="1"/>
  <c r="D2007" i="1" s="1"/>
  <c r="B2008" i="1"/>
  <c r="I1165" i="1"/>
  <c r="E1166" i="1" s="1"/>
  <c r="I447" i="1"/>
  <c r="E448" i="1" s="1"/>
  <c r="C2008" i="1" l="1"/>
  <c r="D2008" i="1" s="1"/>
  <c r="B2009" i="1"/>
  <c r="H1646" i="1"/>
  <c r="J1646" i="1"/>
  <c r="G1646" i="1" s="1"/>
  <c r="F1646" i="1"/>
  <c r="H1166" i="1"/>
  <c r="J1166" i="1"/>
  <c r="G1166" i="1" s="1"/>
  <c r="F1166" i="1"/>
  <c r="H448" i="1"/>
  <c r="J448" i="1"/>
  <c r="G448" i="1" s="1"/>
  <c r="F448" i="1"/>
  <c r="I1646" i="1" l="1"/>
  <c r="E1647" i="1" s="1"/>
  <c r="C2009" i="1"/>
  <c r="D2009" i="1" s="1"/>
  <c r="B2010" i="1"/>
  <c r="I1166" i="1"/>
  <c r="E1167" i="1" s="1"/>
  <c r="I448" i="1"/>
  <c r="E449" i="1" s="1"/>
  <c r="C2010" i="1" l="1"/>
  <c r="D2010" i="1" s="1"/>
  <c r="B2011" i="1"/>
  <c r="H1647" i="1"/>
  <c r="I1647" i="1" s="1"/>
  <c r="E1648" i="1" s="1"/>
  <c r="J1647" i="1"/>
  <c r="G1647" i="1" s="1"/>
  <c r="F1647" i="1"/>
  <c r="J1167" i="1"/>
  <c r="G1167" i="1" s="1"/>
  <c r="H1167" i="1"/>
  <c r="F1167" i="1"/>
  <c r="J449" i="1"/>
  <c r="G449" i="1" s="1"/>
  <c r="H449" i="1"/>
  <c r="F449" i="1"/>
  <c r="H1648" i="1" l="1"/>
  <c r="J1648" i="1"/>
  <c r="G1648" i="1" s="1"/>
  <c r="F1648" i="1"/>
  <c r="C2011" i="1"/>
  <c r="D2011" i="1" s="1"/>
  <c r="B2012" i="1"/>
  <c r="I1167" i="1"/>
  <c r="E1168" i="1" s="1"/>
  <c r="I449" i="1"/>
  <c r="E450" i="1" s="1"/>
  <c r="C2012" i="1" l="1"/>
  <c r="D2012" i="1" s="1"/>
  <c r="B2013" i="1"/>
  <c r="I1648" i="1"/>
  <c r="E1649" i="1" s="1"/>
  <c r="H1168" i="1"/>
  <c r="J1168" i="1"/>
  <c r="G1168" i="1" s="1"/>
  <c r="F1168" i="1"/>
  <c r="H450" i="1"/>
  <c r="F450" i="1"/>
  <c r="J450" i="1"/>
  <c r="G450" i="1" s="1"/>
  <c r="C2013" i="1" l="1"/>
  <c r="D2013" i="1" s="1"/>
  <c r="B2014" i="1"/>
  <c r="H1649" i="1"/>
  <c r="J1649" i="1"/>
  <c r="G1649" i="1" s="1"/>
  <c r="F1649" i="1"/>
  <c r="I1168" i="1"/>
  <c r="E1169" i="1" s="1"/>
  <c r="I450" i="1"/>
  <c r="E451" i="1" s="1"/>
  <c r="I1649" i="1" l="1"/>
  <c r="E1650" i="1" s="1"/>
  <c r="C2014" i="1"/>
  <c r="D2014" i="1" s="1"/>
  <c r="B2015" i="1"/>
  <c r="H1169" i="1"/>
  <c r="J1169" i="1"/>
  <c r="G1169" i="1" s="1"/>
  <c r="F1169" i="1"/>
  <c r="H451" i="1"/>
  <c r="F451" i="1"/>
  <c r="J451" i="1"/>
  <c r="G451" i="1" s="1"/>
  <c r="C2015" i="1" l="1"/>
  <c r="D2015" i="1" s="1"/>
  <c r="B2016" i="1"/>
  <c r="H1650" i="1"/>
  <c r="J1650" i="1"/>
  <c r="G1650" i="1" s="1"/>
  <c r="F1650" i="1"/>
  <c r="I1169" i="1"/>
  <c r="E1170" i="1" s="1"/>
  <c r="I451" i="1"/>
  <c r="E452" i="1" s="1"/>
  <c r="I1650" i="1" l="1"/>
  <c r="E1651" i="1" s="1"/>
  <c r="C2016" i="1"/>
  <c r="D2016" i="1" s="1"/>
  <c r="B2017" i="1"/>
  <c r="J1170" i="1"/>
  <c r="G1170" i="1" s="1"/>
  <c r="H1170" i="1"/>
  <c r="F1170" i="1"/>
  <c r="H452" i="1"/>
  <c r="J452" i="1"/>
  <c r="G452" i="1" s="1"/>
  <c r="F452" i="1"/>
  <c r="C2017" i="1" l="1"/>
  <c r="D2017" i="1" s="1"/>
  <c r="B2018" i="1"/>
  <c r="J1651" i="1"/>
  <c r="G1651" i="1" s="1"/>
  <c r="H1651" i="1"/>
  <c r="F1651" i="1"/>
  <c r="I1170" i="1"/>
  <c r="E1171" i="1" s="1"/>
  <c r="I452" i="1"/>
  <c r="E453" i="1" s="1"/>
  <c r="I1651" i="1" l="1"/>
  <c r="E1652" i="1" s="1"/>
  <c r="C2018" i="1"/>
  <c r="D2018" i="1" s="1"/>
  <c r="B2019" i="1"/>
  <c r="J1171" i="1"/>
  <c r="G1171" i="1" s="1"/>
  <c r="H1171" i="1"/>
  <c r="F1171" i="1"/>
  <c r="H453" i="1"/>
  <c r="J453" i="1"/>
  <c r="G453" i="1" s="1"/>
  <c r="F453" i="1"/>
  <c r="C2019" i="1" l="1"/>
  <c r="D2019" i="1" s="1"/>
  <c r="B2020" i="1"/>
  <c r="J1652" i="1"/>
  <c r="G1652" i="1" s="1"/>
  <c r="H1652" i="1"/>
  <c r="F1652" i="1"/>
  <c r="I1171" i="1"/>
  <c r="E1172" i="1" s="1"/>
  <c r="I453" i="1"/>
  <c r="E454" i="1" s="1"/>
  <c r="I1652" i="1" l="1"/>
  <c r="E1653" i="1" s="1"/>
  <c r="C2020" i="1"/>
  <c r="D2020" i="1" s="1"/>
  <c r="B2021" i="1"/>
  <c r="H1172" i="1"/>
  <c r="J1172" i="1"/>
  <c r="G1172" i="1" s="1"/>
  <c r="F1172" i="1"/>
  <c r="J454" i="1"/>
  <c r="G454" i="1" s="1"/>
  <c r="H454" i="1"/>
  <c r="F454" i="1"/>
  <c r="C2021" i="1" l="1"/>
  <c r="D2021" i="1" s="1"/>
  <c r="B2022" i="1"/>
  <c r="H1653" i="1"/>
  <c r="J1653" i="1"/>
  <c r="G1653" i="1" s="1"/>
  <c r="F1653" i="1"/>
  <c r="I1172" i="1"/>
  <c r="E1173" i="1" s="1"/>
  <c r="I454" i="1"/>
  <c r="E455" i="1" s="1"/>
  <c r="I1653" i="1" l="1"/>
  <c r="E1654" i="1" s="1"/>
  <c r="C2022" i="1"/>
  <c r="D2022" i="1" s="1"/>
  <c r="B2023" i="1"/>
  <c r="H1173" i="1"/>
  <c r="J1173" i="1"/>
  <c r="G1173" i="1" s="1"/>
  <c r="F1173" i="1"/>
  <c r="H455" i="1"/>
  <c r="J455" i="1"/>
  <c r="G455" i="1" s="1"/>
  <c r="F455" i="1"/>
  <c r="C2023" i="1" l="1"/>
  <c r="D2023" i="1" s="1"/>
  <c r="B2024" i="1"/>
  <c r="H1654" i="1"/>
  <c r="J1654" i="1"/>
  <c r="G1654" i="1" s="1"/>
  <c r="F1654" i="1"/>
  <c r="I1173" i="1"/>
  <c r="E1174" i="1" s="1"/>
  <c r="I455" i="1"/>
  <c r="E456" i="1" s="1"/>
  <c r="C2024" i="1" l="1"/>
  <c r="D2024" i="1" s="1"/>
  <c r="B2025" i="1"/>
  <c r="I1654" i="1"/>
  <c r="E1655" i="1" s="1"/>
  <c r="H1174" i="1"/>
  <c r="J1174" i="1"/>
  <c r="G1174" i="1" s="1"/>
  <c r="F1174" i="1"/>
  <c r="F456" i="1"/>
  <c r="J456" i="1"/>
  <c r="G456" i="1" s="1"/>
  <c r="H456" i="1"/>
  <c r="H1655" i="1" l="1"/>
  <c r="J1655" i="1"/>
  <c r="G1655" i="1" s="1"/>
  <c r="F1655" i="1"/>
  <c r="C2025" i="1"/>
  <c r="D2025" i="1" s="1"/>
  <c r="B2026" i="1"/>
  <c r="I1174" i="1"/>
  <c r="E1175" i="1" s="1"/>
  <c r="I456" i="1"/>
  <c r="E457" i="1" s="1"/>
  <c r="C2026" i="1" l="1"/>
  <c r="D2026" i="1" s="1"/>
  <c r="B2027" i="1"/>
  <c r="I1655" i="1"/>
  <c r="E1656" i="1" s="1"/>
  <c r="J1175" i="1"/>
  <c r="G1175" i="1" s="1"/>
  <c r="H1175" i="1"/>
  <c r="F1175" i="1"/>
  <c r="H457" i="1"/>
  <c r="F457" i="1"/>
  <c r="J457" i="1"/>
  <c r="G457" i="1" s="1"/>
  <c r="H1656" i="1" l="1"/>
  <c r="J1656" i="1"/>
  <c r="G1656" i="1" s="1"/>
  <c r="F1656" i="1"/>
  <c r="C2027" i="1"/>
  <c r="D2027" i="1" s="1"/>
  <c r="B2028" i="1"/>
  <c r="I1175" i="1"/>
  <c r="E1176" i="1" s="1"/>
  <c r="I457" i="1"/>
  <c r="E458" i="1" s="1"/>
  <c r="C2028" i="1" l="1"/>
  <c r="D2028" i="1" s="1"/>
  <c r="B2029" i="1"/>
  <c r="I1656" i="1"/>
  <c r="E1657" i="1" s="1"/>
  <c r="H1176" i="1"/>
  <c r="J1176" i="1"/>
  <c r="G1176" i="1" s="1"/>
  <c r="F1176" i="1"/>
  <c r="J458" i="1"/>
  <c r="G458" i="1" s="1"/>
  <c r="H458" i="1"/>
  <c r="F458" i="1"/>
  <c r="C2029" i="1" l="1"/>
  <c r="D2029" i="1" s="1"/>
  <c r="B2030" i="1"/>
  <c r="H1657" i="1"/>
  <c r="J1657" i="1"/>
  <c r="G1657" i="1" s="1"/>
  <c r="F1657" i="1"/>
  <c r="I1176" i="1"/>
  <c r="E1177" i="1" s="1"/>
  <c r="I458" i="1"/>
  <c r="E459" i="1" s="1"/>
  <c r="C2030" i="1" l="1"/>
  <c r="D2030" i="1" s="1"/>
  <c r="B2031" i="1"/>
  <c r="I1657" i="1"/>
  <c r="E1658" i="1" s="1"/>
  <c r="H1177" i="1"/>
  <c r="J1177" i="1"/>
  <c r="G1177" i="1" s="1"/>
  <c r="F1177" i="1"/>
  <c r="H459" i="1"/>
  <c r="J459" i="1"/>
  <c r="G459" i="1" s="1"/>
  <c r="F459" i="1"/>
  <c r="H1658" i="1" l="1"/>
  <c r="J1658" i="1"/>
  <c r="G1658" i="1" s="1"/>
  <c r="F1658" i="1"/>
  <c r="C2031" i="1"/>
  <c r="D2031" i="1" s="1"/>
  <c r="B2032" i="1"/>
  <c r="I1177" i="1"/>
  <c r="E1178" i="1" s="1"/>
  <c r="I459" i="1"/>
  <c r="E460" i="1" s="1"/>
  <c r="C2032" i="1" l="1"/>
  <c r="D2032" i="1" s="1"/>
  <c r="B2033" i="1"/>
  <c r="I1658" i="1"/>
  <c r="E1659" i="1" s="1"/>
  <c r="H1178" i="1"/>
  <c r="J1178" i="1"/>
  <c r="G1178" i="1" s="1"/>
  <c r="F1178" i="1"/>
  <c r="H460" i="1"/>
  <c r="J460" i="1"/>
  <c r="G460" i="1" s="1"/>
  <c r="F460" i="1"/>
  <c r="J1659" i="1" l="1"/>
  <c r="G1659" i="1" s="1"/>
  <c r="H1659" i="1"/>
  <c r="F1659" i="1"/>
  <c r="C2033" i="1"/>
  <c r="D2033" i="1" s="1"/>
  <c r="B2034" i="1"/>
  <c r="I1178" i="1"/>
  <c r="E1179" i="1" s="1"/>
  <c r="I460" i="1"/>
  <c r="E461" i="1" s="1"/>
  <c r="C2034" i="1" l="1"/>
  <c r="D2034" i="1" s="1"/>
  <c r="B2035" i="1"/>
  <c r="I1659" i="1"/>
  <c r="E1660" i="1" s="1"/>
  <c r="J1179" i="1"/>
  <c r="G1179" i="1" s="1"/>
  <c r="H1179" i="1"/>
  <c r="F1179" i="1"/>
  <c r="H461" i="1"/>
  <c r="J461" i="1"/>
  <c r="G461" i="1" s="1"/>
  <c r="F461" i="1"/>
  <c r="J1660" i="1" l="1"/>
  <c r="G1660" i="1" s="1"/>
  <c r="H1660" i="1"/>
  <c r="F1660" i="1"/>
  <c r="C2035" i="1"/>
  <c r="D2035" i="1" s="1"/>
  <c r="B2036" i="1"/>
  <c r="I1179" i="1"/>
  <c r="E1180" i="1" s="1"/>
  <c r="I461" i="1"/>
  <c r="E462" i="1" s="1"/>
  <c r="C2036" i="1" l="1"/>
  <c r="D2036" i="1" s="1"/>
  <c r="B2037" i="1"/>
  <c r="I1660" i="1"/>
  <c r="E1661" i="1" s="1"/>
  <c r="H1180" i="1"/>
  <c r="J1180" i="1"/>
  <c r="G1180" i="1" s="1"/>
  <c r="F1180" i="1"/>
  <c r="H462" i="1"/>
  <c r="F462" i="1"/>
  <c r="J462" i="1"/>
  <c r="G462" i="1" s="1"/>
  <c r="H1661" i="1" l="1"/>
  <c r="J1661" i="1"/>
  <c r="G1661" i="1" s="1"/>
  <c r="F1661" i="1"/>
  <c r="C2037" i="1"/>
  <c r="D2037" i="1" s="1"/>
  <c r="B2038" i="1"/>
  <c r="I1180" i="1"/>
  <c r="E1181" i="1" s="1"/>
  <c r="I462" i="1"/>
  <c r="E463" i="1" s="1"/>
  <c r="B2039" i="1" l="1"/>
  <c r="C2038" i="1"/>
  <c r="D2038" i="1" s="1"/>
  <c r="I1661" i="1"/>
  <c r="E1662" i="1" s="1"/>
  <c r="H1181" i="1"/>
  <c r="J1181" i="1"/>
  <c r="G1181" i="1" s="1"/>
  <c r="F1181" i="1"/>
  <c r="J463" i="1"/>
  <c r="G463" i="1" s="1"/>
  <c r="H463" i="1"/>
  <c r="F463" i="1"/>
  <c r="H1662" i="1" l="1"/>
  <c r="J1662" i="1"/>
  <c r="G1662" i="1" s="1"/>
  <c r="F1662" i="1"/>
  <c r="C2039" i="1"/>
  <c r="D2039" i="1" s="1"/>
  <c r="B2040" i="1"/>
  <c r="I1181" i="1"/>
  <c r="E1182" i="1" s="1"/>
  <c r="I463" i="1"/>
  <c r="E464" i="1" s="1"/>
  <c r="C2040" i="1" l="1"/>
  <c r="D2040" i="1" s="1"/>
  <c r="B2041" i="1"/>
  <c r="I1662" i="1"/>
  <c r="E1663" i="1" s="1"/>
  <c r="H1182" i="1"/>
  <c r="J1182" i="1"/>
  <c r="G1182" i="1" s="1"/>
  <c r="F1182" i="1"/>
  <c r="J464" i="1"/>
  <c r="G464" i="1" s="1"/>
  <c r="H464" i="1"/>
  <c r="F464" i="1"/>
  <c r="H1663" i="1" l="1"/>
  <c r="J1663" i="1"/>
  <c r="G1663" i="1" s="1"/>
  <c r="F1663" i="1"/>
  <c r="C2041" i="1"/>
  <c r="D2041" i="1" s="1"/>
  <c r="B2042" i="1"/>
  <c r="I1182" i="1"/>
  <c r="E1183" i="1" s="1"/>
  <c r="I464" i="1"/>
  <c r="E465" i="1" s="1"/>
  <c r="C2042" i="1" l="1"/>
  <c r="D2042" i="1" s="1"/>
  <c r="B2043" i="1"/>
  <c r="I1663" i="1"/>
  <c r="E1664" i="1" s="1"/>
  <c r="J1183" i="1"/>
  <c r="G1183" i="1" s="1"/>
  <c r="H1183" i="1"/>
  <c r="F1183" i="1"/>
  <c r="J465" i="1"/>
  <c r="G465" i="1" s="1"/>
  <c r="H465" i="1"/>
  <c r="F465" i="1"/>
  <c r="H1664" i="1" l="1"/>
  <c r="J1664" i="1"/>
  <c r="G1664" i="1" s="1"/>
  <c r="F1664" i="1"/>
  <c r="C2043" i="1"/>
  <c r="D2043" i="1" s="1"/>
  <c r="B2044" i="1"/>
  <c r="I1183" i="1"/>
  <c r="E1184" i="1" s="1"/>
  <c r="I465" i="1"/>
  <c r="E466" i="1" s="1"/>
  <c r="C2044" i="1" l="1"/>
  <c r="D2044" i="1" s="1"/>
  <c r="B2045" i="1"/>
  <c r="I1664" i="1"/>
  <c r="E1665" i="1" s="1"/>
  <c r="H1184" i="1"/>
  <c r="J1184" i="1"/>
  <c r="G1184" i="1" s="1"/>
  <c r="F1184" i="1"/>
  <c r="J466" i="1"/>
  <c r="G466" i="1" s="1"/>
  <c r="H466" i="1"/>
  <c r="F466" i="1"/>
  <c r="H1665" i="1" l="1"/>
  <c r="J1665" i="1"/>
  <c r="G1665" i="1" s="1"/>
  <c r="F1665" i="1"/>
  <c r="C2045" i="1"/>
  <c r="D2045" i="1" s="1"/>
  <c r="B2046" i="1"/>
  <c r="I1184" i="1"/>
  <c r="E1185" i="1" s="1"/>
  <c r="I466" i="1"/>
  <c r="E467" i="1" s="1"/>
  <c r="C2046" i="1" l="1"/>
  <c r="D2046" i="1" s="1"/>
  <c r="B2047" i="1"/>
  <c r="I1665" i="1"/>
  <c r="E1666" i="1" s="1"/>
  <c r="H1185" i="1"/>
  <c r="J1185" i="1"/>
  <c r="G1185" i="1" s="1"/>
  <c r="F1185" i="1"/>
  <c r="H467" i="1"/>
  <c r="J467" i="1"/>
  <c r="G467" i="1" s="1"/>
  <c r="F467" i="1"/>
  <c r="H1666" i="1" l="1"/>
  <c r="J1666" i="1"/>
  <c r="G1666" i="1" s="1"/>
  <c r="F1666" i="1"/>
  <c r="C2047" i="1"/>
  <c r="D2047" i="1" s="1"/>
  <c r="B2048" i="1"/>
  <c r="I1185" i="1"/>
  <c r="E1186" i="1" s="1"/>
  <c r="I467" i="1"/>
  <c r="E468" i="1" s="1"/>
  <c r="H468" i="1" s="1"/>
  <c r="F468" i="1"/>
  <c r="J468" i="1"/>
  <c r="G468" i="1" s="1"/>
  <c r="C2048" i="1" l="1"/>
  <c r="D2048" i="1" s="1"/>
  <c r="B2049" i="1"/>
  <c r="I1666" i="1"/>
  <c r="E1667" i="1" s="1"/>
  <c r="H1186" i="1"/>
  <c r="J1186" i="1"/>
  <c r="G1186" i="1" s="1"/>
  <c r="F1186" i="1"/>
  <c r="I468" i="1"/>
  <c r="E469" i="1" s="1"/>
  <c r="J469" i="1" s="1"/>
  <c r="G469" i="1" s="1"/>
  <c r="J1667" i="1" l="1"/>
  <c r="G1667" i="1" s="1"/>
  <c r="H1667" i="1"/>
  <c r="I1667" i="1" s="1"/>
  <c r="E1668" i="1" s="1"/>
  <c r="F1667" i="1"/>
  <c r="C2049" i="1"/>
  <c r="D2049" i="1" s="1"/>
  <c r="B2050" i="1"/>
  <c r="I1186" i="1"/>
  <c r="E1187" i="1" s="1"/>
  <c r="H469" i="1"/>
  <c r="I469" i="1" s="1"/>
  <c r="E470" i="1" s="1"/>
  <c r="F469" i="1"/>
  <c r="J1668" i="1" l="1"/>
  <c r="G1668" i="1" s="1"/>
  <c r="H1668" i="1"/>
  <c r="I1668" i="1" s="1"/>
  <c r="E1669" i="1" s="1"/>
  <c r="F1668" i="1"/>
  <c r="C2050" i="1"/>
  <c r="D2050" i="1" s="1"/>
  <c r="B2051" i="1"/>
  <c r="H1187" i="1"/>
  <c r="J1187" i="1"/>
  <c r="G1187" i="1" s="1"/>
  <c r="F1187" i="1"/>
  <c r="H470" i="1"/>
  <c r="J470" i="1"/>
  <c r="G470" i="1" s="1"/>
  <c r="F470" i="1"/>
  <c r="H1669" i="1" l="1"/>
  <c r="J1669" i="1"/>
  <c r="G1669" i="1" s="1"/>
  <c r="F1669" i="1"/>
  <c r="C2051" i="1"/>
  <c r="D2051" i="1" s="1"/>
  <c r="B2052" i="1"/>
  <c r="I1187" i="1"/>
  <c r="E1188" i="1" s="1"/>
  <c r="I470" i="1"/>
  <c r="E471" i="1" s="1"/>
  <c r="C2052" i="1" l="1"/>
  <c r="D2052" i="1" s="1"/>
  <c r="B2053" i="1"/>
  <c r="I1669" i="1"/>
  <c r="E1670" i="1" s="1"/>
  <c r="J1188" i="1"/>
  <c r="G1188" i="1" s="1"/>
  <c r="H1188" i="1"/>
  <c r="F1188" i="1"/>
  <c r="H471" i="1"/>
  <c r="F471" i="1"/>
  <c r="J471" i="1"/>
  <c r="G471" i="1" s="1"/>
  <c r="C2053" i="1" l="1"/>
  <c r="D2053" i="1" s="1"/>
  <c r="B2054" i="1"/>
  <c r="H1670" i="1"/>
  <c r="J1670" i="1"/>
  <c r="G1670" i="1" s="1"/>
  <c r="F1670" i="1"/>
  <c r="I1188" i="1"/>
  <c r="E1189" i="1" s="1"/>
  <c r="I471" i="1"/>
  <c r="E472" i="1" s="1"/>
  <c r="I1670" i="1" l="1"/>
  <c r="E1671" i="1" s="1"/>
  <c r="C2054" i="1"/>
  <c r="D2054" i="1" s="1"/>
  <c r="B2055" i="1"/>
  <c r="J1189" i="1"/>
  <c r="G1189" i="1" s="1"/>
  <c r="H1189" i="1"/>
  <c r="F1189" i="1"/>
  <c r="J472" i="1"/>
  <c r="G472" i="1" s="1"/>
  <c r="H472" i="1"/>
  <c r="F472" i="1"/>
  <c r="C2055" i="1" l="1"/>
  <c r="D2055" i="1" s="1"/>
  <c r="B2056" i="1"/>
  <c r="H1671" i="1"/>
  <c r="J1671" i="1"/>
  <c r="G1671" i="1" s="1"/>
  <c r="F1671" i="1"/>
  <c r="I1189" i="1"/>
  <c r="E1190" i="1" s="1"/>
  <c r="I472" i="1"/>
  <c r="E473" i="1" s="1"/>
  <c r="I1671" i="1" l="1"/>
  <c r="E1672" i="1" s="1"/>
  <c r="C2056" i="1"/>
  <c r="D2056" i="1" s="1"/>
  <c r="B2057" i="1"/>
  <c r="H1190" i="1"/>
  <c r="J1190" i="1"/>
  <c r="G1190" i="1" s="1"/>
  <c r="F1190" i="1"/>
  <c r="J473" i="1"/>
  <c r="G473" i="1" s="1"/>
  <c r="F473" i="1"/>
  <c r="H473" i="1"/>
  <c r="C2057" i="1" l="1"/>
  <c r="D2057" i="1" s="1"/>
  <c r="B2058" i="1"/>
  <c r="H1672" i="1"/>
  <c r="J1672" i="1"/>
  <c r="G1672" i="1" s="1"/>
  <c r="F1672" i="1"/>
  <c r="I1190" i="1"/>
  <c r="E1191" i="1" s="1"/>
  <c r="I473" i="1"/>
  <c r="E474" i="1" s="1"/>
  <c r="I1672" i="1" l="1"/>
  <c r="E1673" i="1" s="1"/>
  <c r="C2058" i="1"/>
  <c r="D2058" i="1" s="1"/>
  <c r="B2059" i="1"/>
  <c r="H1191" i="1"/>
  <c r="J1191" i="1"/>
  <c r="G1191" i="1" s="1"/>
  <c r="F1191" i="1"/>
  <c r="H474" i="1"/>
  <c r="J474" i="1"/>
  <c r="G474" i="1" s="1"/>
  <c r="F474" i="1"/>
  <c r="C2059" i="1" l="1"/>
  <c r="D2059" i="1" s="1"/>
  <c r="B2060" i="1"/>
  <c r="H1673" i="1"/>
  <c r="J1673" i="1"/>
  <c r="G1673" i="1" s="1"/>
  <c r="F1673" i="1"/>
  <c r="I1191" i="1"/>
  <c r="E1192" i="1" s="1"/>
  <c r="I474" i="1"/>
  <c r="E475" i="1" s="1"/>
  <c r="I1673" i="1" l="1"/>
  <c r="E1674" i="1" s="1"/>
  <c r="C2060" i="1"/>
  <c r="D2060" i="1" s="1"/>
  <c r="B2061" i="1"/>
  <c r="H1192" i="1"/>
  <c r="J1192" i="1"/>
  <c r="G1192" i="1" s="1"/>
  <c r="F1192" i="1"/>
  <c r="J475" i="1"/>
  <c r="G475" i="1" s="1"/>
  <c r="F475" i="1"/>
  <c r="H475" i="1"/>
  <c r="C2061" i="1" l="1"/>
  <c r="D2061" i="1" s="1"/>
  <c r="B2062" i="1"/>
  <c r="H1674" i="1"/>
  <c r="J1674" i="1"/>
  <c r="G1674" i="1" s="1"/>
  <c r="F1674" i="1"/>
  <c r="I1192" i="1"/>
  <c r="E1193" i="1" s="1"/>
  <c r="I475" i="1"/>
  <c r="E476" i="1" s="1"/>
  <c r="I1674" i="1" l="1"/>
  <c r="E1675" i="1" s="1"/>
  <c r="B2063" i="1"/>
  <c r="C2062" i="1"/>
  <c r="D2062" i="1" s="1"/>
  <c r="H1193" i="1"/>
  <c r="J1193" i="1"/>
  <c r="G1193" i="1" s="1"/>
  <c r="F1193" i="1"/>
  <c r="J476" i="1"/>
  <c r="G476" i="1" s="1"/>
  <c r="H476" i="1"/>
  <c r="F476" i="1"/>
  <c r="C2063" i="1" l="1"/>
  <c r="D2063" i="1" s="1"/>
  <c r="B2064" i="1"/>
  <c r="J1675" i="1"/>
  <c r="G1675" i="1" s="1"/>
  <c r="H1675" i="1"/>
  <c r="I1675" i="1" s="1"/>
  <c r="E1676" i="1" s="1"/>
  <c r="F1675" i="1"/>
  <c r="I1193" i="1"/>
  <c r="E1194" i="1" s="1"/>
  <c r="I476" i="1"/>
  <c r="E477" i="1" s="1"/>
  <c r="J1676" i="1" l="1"/>
  <c r="G1676" i="1" s="1"/>
  <c r="H1676" i="1"/>
  <c r="F1676" i="1"/>
  <c r="C2064" i="1"/>
  <c r="D2064" i="1" s="1"/>
  <c r="B2065" i="1"/>
  <c r="H1194" i="1"/>
  <c r="J1194" i="1"/>
  <c r="G1194" i="1" s="1"/>
  <c r="F1194" i="1"/>
  <c r="H477" i="1"/>
  <c r="J477" i="1"/>
  <c r="G477" i="1" s="1"/>
  <c r="F477" i="1"/>
  <c r="C2065" i="1" l="1"/>
  <c r="D2065" i="1" s="1"/>
  <c r="B2066" i="1"/>
  <c r="I1676" i="1"/>
  <c r="E1677" i="1" s="1"/>
  <c r="I1194" i="1"/>
  <c r="E1195" i="1" s="1"/>
  <c r="I477" i="1"/>
  <c r="E478" i="1" s="1"/>
  <c r="H1677" i="1" l="1"/>
  <c r="J1677" i="1"/>
  <c r="G1677" i="1" s="1"/>
  <c r="F1677" i="1"/>
  <c r="B2067" i="1"/>
  <c r="C2066" i="1"/>
  <c r="D2066" i="1" s="1"/>
  <c r="H1195" i="1"/>
  <c r="J1195" i="1"/>
  <c r="G1195" i="1" s="1"/>
  <c r="F1195" i="1"/>
  <c r="J478" i="1"/>
  <c r="G478" i="1" s="1"/>
  <c r="F478" i="1"/>
  <c r="H478" i="1"/>
  <c r="C2067" i="1" l="1"/>
  <c r="D2067" i="1" s="1"/>
  <c r="B2068" i="1"/>
  <c r="I1677" i="1"/>
  <c r="E1678" i="1" s="1"/>
  <c r="I1195" i="1"/>
  <c r="E1196" i="1" s="1"/>
  <c r="I478" i="1"/>
  <c r="E479" i="1" s="1"/>
  <c r="H1678" i="1" l="1"/>
  <c r="J1678" i="1"/>
  <c r="G1678" i="1" s="1"/>
  <c r="F1678" i="1"/>
  <c r="C2068" i="1"/>
  <c r="D2068" i="1" s="1"/>
  <c r="B2069" i="1"/>
  <c r="J1196" i="1"/>
  <c r="G1196" i="1" s="1"/>
  <c r="H1196" i="1"/>
  <c r="F1196" i="1"/>
  <c r="J479" i="1"/>
  <c r="G479" i="1" s="1"/>
  <c r="H479" i="1"/>
  <c r="F479" i="1"/>
  <c r="C2069" i="1" l="1"/>
  <c r="D2069" i="1" s="1"/>
  <c r="B2070" i="1"/>
  <c r="I1678" i="1"/>
  <c r="E1679" i="1" s="1"/>
  <c r="I1196" i="1"/>
  <c r="E1197" i="1" s="1"/>
  <c r="I479" i="1"/>
  <c r="E480" i="1" s="1"/>
  <c r="H480" i="1" s="1"/>
  <c r="J480" i="1"/>
  <c r="G480" i="1" s="1"/>
  <c r="F480" i="1"/>
  <c r="C2070" i="1" l="1"/>
  <c r="D2070" i="1" s="1"/>
  <c r="B2071" i="1"/>
  <c r="H1679" i="1"/>
  <c r="I1679" i="1" s="1"/>
  <c r="E1680" i="1" s="1"/>
  <c r="J1679" i="1"/>
  <c r="G1679" i="1" s="1"/>
  <c r="F1679" i="1"/>
  <c r="J1197" i="1"/>
  <c r="G1197" i="1" s="1"/>
  <c r="H1197" i="1"/>
  <c r="F1197" i="1"/>
  <c r="I480" i="1"/>
  <c r="E481" i="1" s="1"/>
  <c r="H1680" i="1" l="1"/>
  <c r="J1680" i="1"/>
  <c r="G1680" i="1" s="1"/>
  <c r="F1680" i="1"/>
  <c r="C2071" i="1"/>
  <c r="D2071" i="1" s="1"/>
  <c r="B2072" i="1"/>
  <c r="I1197" i="1"/>
  <c r="E1198" i="1" s="1"/>
  <c r="J481" i="1"/>
  <c r="G481" i="1" s="1"/>
  <c r="F481" i="1"/>
  <c r="H481" i="1"/>
  <c r="C2072" i="1" l="1"/>
  <c r="D2072" i="1" s="1"/>
  <c r="B2073" i="1"/>
  <c r="I1680" i="1"/>
  <c r="E1681" i="1" s="1"/>
  <c r="H1198" i="1"/>
  <c r="J1198" i="1"/>
  <c r="G1198" i="1" s="1"/>
  <c r="F1198" i="1"/>
  <c r="I481" i="1"/>
  <c r="E482" i="1" s="1"/>
  <c r="J482" i="1" s="1"/>
  <c r="G482" i="1" s="1"/>
  <c r="F482" i="1"/>
  <c r="H482" i="1"/>
  <c r="H1681" i="1" l="1"/>
  <c r="J1681" i="1"/>
  <c r="G1681" i="1" s="1"/>
  <c r="F1681" i="1"/>
  <c r="C2073" i="1"/>
  <c r="D2073" i="1" s="1"/>
  <c r="B2074" i="1"/>
  <c r="I1198" i="1"/>
  <c r="E1199" i="1" s="1"/>
  <c r="I482" i="1"/>
  <c r="E483" i="1" s="1"/>
  <c r="H483" i="1"/>
  <c r="F483" i="1"/>
  <c r="J483" i="1"/>
  <c r="G483" i="1" s="1"/>
  <c r="C2074" i="1" l="1"/>
  <c r="D2074" i="1" s="1"/>
  <c r="B2075" i="1"/>
  <c r="I1681" i="1"/>
  <c r="E1682" i="1" s="1"/>
  <c r="H1199" i="1"/>
  <c r="J1199" i="1"/>
  <c r="G1199" i="1" s="1"/>
  <c r="F1199" i="1"/>
  <c r="I483" i="1"/>
  <c r="E484" i="1" s="1"/>
  <c r="H1682" i="1" l="1"/>
  <c r="J1682" i="1"/>
  <c r="G1682" i="1" s="1"/>
  <c r="F1682" i="1"/>
  <c r="C2075" i="1"/>
  <c r="D2075" i="1" s="1"/>
  <c r="B2076" i="1"/>
  <c r="I1199" i="1"/>
  <c r="E1200" i="1" s="1"/>
  <c r="J484" i="1"/>
  <c r="G484" i="1" s="1"/>
  <c r="H484" i="1"/>
  <c r="F484" i="1"/>
  <c r="C2076" i="1" l="1"/>
  <c r="D2076" i="1" s="1"/>
  <c r="B2077" i="1"/>
  <c r="I1682" i="1"/>
  <c r="E1683" i="1" s="1"/>
  <c r="H1200" i="1"/>
  <c r="J1200" i="1"/>
  <c r="G1200" i="1" s="1"/>
  <c r="F1200" i="1"/>
  <c r="I484" i="1"/>
  <c r="E485" i="1" s="1"/>
  <c r="H485" i="1"/>
  <c r="J485" i="1"/>
  <c r="G485" i="1" s="1"/>
  <c r="F485" i="1"/>
  <c r="J1683" i="1" l="1"/>
  <c r="G1683" i="1" s="1"/>
  <c r="H1683" i="1"/>
  <c r="F1683" i="1"/>
  <c r="C2077" i="1"/>
  <c r="D2077" i="1" s="1"/>
  <c r="B2078" i="1"/>
  <c r="I1200" i="1"/>
  <c r="E1201" i="1" s="1"/>
  <c r="I485" i="1"/>
  <c r="E486" i="1" s="1"/>
  <c r="I1683" i="1" l="1"/>
  <c r="E1684" i="1" s="1"/>
  <c r="C2078" i="1"/>
  <c r="D2078" i="1" s="1"/>
  <c r="B2079" i="1"/>
  <c r="H1201" i="1"/>
  <c r="J1201" i="1"/>
  <c r="G1201" i="1" s="1"/>
  <c r="F1201" i="1"/>
  <c r="J486" i="1"/>
  <c r="G486" i="1" s="1"/>
  <c r="H486" i="1"/>
  <c r="F486" i="1"/>
  <c r="C2079" i="1" l="1"/>
  <c r="D2079" i="1" s="1"/>
  <c r="B2080" i="1"/>
  <c r="J1684" i="1"/>
  <c r="G1684" i="1" s="1"/>
  <c r="H1684" i="1"/>
  <c r="F1684" i="1"/>
  <c r="I1201" i="1"/>
  <c r="E1202" i="1" s="1"/>
  <c r="I486" i="1"/>
  <c r="E487" i="1" s="1"/>
  <c r="H487" i="1" s="1"/>
  <c r="I1684" i="1" l="1"/>
  <c r="E1685" i="1" s="1"/>
  <c r="C2080" i="1"/>
  <c r="D2080" i="1" s="1"/>
  <c r="B2081" i="1"/>
  <c r="H1202" i="1"/>
  <c r="J1202" i="1"/>
  <c r="G1202" i="1" s="1"/>
  <c r="F1202" i="1"/>
  <c r="J487" i="1"/>
  <c r="G487" i="1" s="1"/>
  <c r="F487" i="1"/>
  <c r="C2081" i="1" l="1"/>
  <c r="D2081" i="1" s="1"/>
  <c r="B2082" i="1"/>
  <c r="H1685" i="1"/>
  <c r="J1685" i="1"/>
  <c r="G1685" i="1" s="1"/>
  <c r="F1685" i="1"/>
  <c r="I1202" i="1"/>
  <c r="E1203" i="1" s="1"/>
  <c r="I487" i="1"/>
  <c r="E488" i="1" s="1"/>
  <c r="H488" i="1" s="1"/>
  <c r="J488" i="1"/>
  <c r="G488" i="1" s="1"/>
  <c r="F488" i="1"/>
  <c r="I1685" i="1" l="1"/>
  <c r="E1686" i="1" s="1"/>
  <c r="C2082" i="1"/>
  <c r="D2082" i="1" s="1"/>
  <c r="B2083" i="1"/>
  <c r="J1203" i="1"/>
  <c r="G1203" i="1" s="1"/>
  <c r="H1203" i="1"/>
  <c r="F1203" i="1"/>
  <c r="I488" i="1"/>
  <c r="E489" i="1" s="1"/>
  <c r="C2083" i="1" l="1"/>
  <c r="D2083" i="1" s="1"/>
  <c r="B2084" i="1"/>
  <c r="H1686" i="1"/>
  <c r="J1686" i="1"/>
  <c r="G1686" i="1" s="1"/>
  <c r="F1686" i="1"/>
  <c r="I1203" i="1"/>
  <c r="E1204" i="1" s="1"/>
  <c r="J489" i="1"/>
  <c r="G489" i="1" s="1"/>
  <c r="F489" i="1"/>
  <c r="H489" i="1"/>
  <c r="I1686" i="1" l="1"/>
  <c r="E1687" i="1" s="1"/>
  <c r="C2084" i="1"/>
  <c r="D2084" i="1" s="1"/>
  <c r="B2085" i="1"/>
  <c r="J1204" i="1"/>
  <c r="G1204" i="1" s="1"/>
  <c r="H1204" i="1"/>
  <c r="F1204" i="1"/>
  <c r="I489" i="1"/>
  <c r="E490" i="1" s="1"/>
  <c r="H490" i="1"/>
  <c r="J490" i="1"/>
  <c r="G490" i="1" s="1"/>
  <c r="F490" i="1"/>
  <c r="C2085" i="1" l="1"/>
  <c r="D2085" i="1" s="1"/>
  <c r="B2086" i="1"/>
  <c r="H1687" i="1"/>
  <c r="J1687" i="1"/>
  <c r="G1687" i="1" s="1"/>
  <c r="F1687" i="1"/>
  <c r="I1204" i="1"/>
  <c r="E1205" i="1" s="1"/>
  <c r="I490" i="1"/>
  <c r="E491" i="1" s="1"/>
  <c r="I1687" i="1" l="1"/>
  <c r="E1688" i="1" s="1"/>
  <c r="C2086" i="1"/>
  <c r="D2086" i="1" s="1"/>
  <c r="B2087" i="1"/>
  <c r="J1205" i="1"/>
  <c r="G1205" i="1" s="1"/>
  <c r="H1205" i="1"/>
  <c r="F1205" i="1"/>
  <c r="J491" i="1"/>
  <c r="G491" i="1" s="1"/>
  <c r="H491" i="1"/>
  <c r="F491" i="1"/>
  <c r="C2087" i="1" l="1"/>
  <c r="D2087" i="1" s="1"/>
  <c r="B2088" i="1"/>
  <c r="H1688" i="1"/>
  <c r="J1688" i="1"/>
  <c r="G1688" i="1" s="1"/>
  <c r="F1688" i="1"/>
  <c r="I1205" i="1"/>
  <c r="E1206" i="1" s="1"/>
  <c r="I491" i="1"/>
  <c r="E492" i="1" s="1"/>
  <c r="J492" i="1" s="1"/>
  <c r="G492" i="1" s="1"/>
  <c r="I1688" i="1" l="1"/>
  <c r="E1689" i="1" s="1"/>
  <c r="C2088" i="1"/>
  <c r="D2088" i="1" s="1"/>
  <c r="B2089" i="1"/>
  <c r="H1206" i="1"/>
  <c r="J1206" i="1"/>
  <c r="G1206" i="1" s="1"/>
  <c r="F1206" i="1"/>
  <c r="H492" i="1"/>
  <c r="I492" i="1" s="1"/>
  <c r="E493" i="1" s="1"/>
  <c r="H493" i="1" s="1"/>
  <c r="F492" i="1"/>
  <c r="C2089" i="1" l="1"/>
  <c r="D2089" i="1" s="1"/>
  <c r="B2090" i="1"/>
  <c r="J1689" i="1"/>
  <c r="G1689" i="1" s="1"/>
  <c r="H1689" i="1"/>
  <c r="I1689" i="1" s="1"/>
  <c r="E1690" i="1" s="1"/>
  <c r="F1689" i="1"/>
  <c r="I1206" i="1"/>
  <c r="E1207" i="1" s="1"/>
  <c r="J493" i="1"/>
  <c r="G493" i="1" s="1"/>
  <c r="F493" i="1"/>
  <c r="H1690" i="1" l="1"/>
  <c r="J1690" i="1"/>
  <c r="G1690" i="1" s="1"/>
  <c r="F1690" i="1"/>
  <c r="C2090" i="1"/>
  <c r="D2090" i="1" s="1"/>
  <c r="B2091" i="1"/>
  <c r="H1207" i="1"/>
  <c r="J1207" i="1"/>
  <c r="G1207" i="1" s="1"/>
  <c r="F1207" i="1"/>
  <c r="I493" i="1"/>
  <c r="E494" i="1" s="1"/>
  <c r="H494" i="1" s="1"/>
  <c r="F494" i="1"/>
  <c r="C2091" i="1" l="1"/>
  <c r="D2091" i="1" s="1"/>
  <c r="B2092" i="1"/>
  <c r="I1690" i="1"/>
  <c r="E1691" i="1" s="1"/>
  <c r="I1207" i="1"/>
  <c r="E1208" i="1" s="1"/>
  <c r="J494" i="1"/>
  <c r="G494" i="1" s="1"/>
  <c r="I494" i="1" s="1"/>
  <c r="E495" i="1" s="1"/>
  <c r="H1691" i="1" l="1"/>
  <c r="J1691" i="1"/>
  <c r="G1691" i="1" s="1"/>
  <c r="F1691" i="1"/>
  <c r="C2092" i="1"/>
  <c r="D2092" i="1" s="1"/>
  <c r="B2093" i="1"/>
  <c r="H1208" i="1"/>
  <c r="J1208" i="1"/>
  <c r="G1208" i="1" s="1"/>
  <c r="F1208" i="1"/>
  <c r="J495" i="1"/>
  <c r="G495" i="1" s="1"/>
  <c r="H495" i="1"/>
  <c r="F495" i="1"/>
  <c r="C2093" i="1" l="1"/>
  <c r="D2093" i="1" s="1"/>
  <c r="B2094" i="1"/>
  <c r="I1691" i="1"/>
  <c r="E1692" i="1" s="1"/>
  <c r="I1208" i="1"/>
  <c r="E1209" i="1" s="1"/>
  <c r="I495" i="1"/>
  <c r="E496" i="1" s="1"/>
  <c r="H1692" i="1" l="1"/>
  <c r="J1692" i="1"/>
  <c r="G1692" i="1" s="1"/>
  <c r="F1692" i="1"/>
  <c r="C2094" i="1"/>
  <c r="D2094" i="1" s="1"/>
  <c r="B2095" i="1"/>
  <c r="H1209" i="1"/>
  <c r="J1209" i="1"/>
  <c r="G1209" i="1" s="1"/>
  <c r="F1209" i="1"/>
  <c r="J496" i="1"/>
  <c r="G496" i="1" s="1"/>
  <c r="F496" i="1"/>
  <c r="H496" i="1"/>
  <c r="C2095" i="1" l="1"/>
  <c r="D2095" i="1" s="1"/>
  <c r="B2096" i="1"/>
  <c r="I1692" i="1"/>
  <c r="E1693" i="1" s="1"/>
  <c r="I1209" i="1"/>
  <c r="E1210" i="1" s="1"/>
  <c r="I496" i="1"/>
  <c r="E497" i="1" s="1"/>
  <c r="J1693" i="1" l="1"/>
  <c r="G1693" i="1" s="1"/>
  <c r="H1693" i="1"/>
  <c r="F1693" i="1"/>
  <c r="C2096" i="1"/>
  <c r="D2096" i="1" s="1"/>
  <c r="B2097" i="1"/>
  <c r="H1210" i="1"/>
  <c r="J1210" i="1"/>
  <c r="G1210" i="1" s="1"/>
  <c r="F1210" i="1"/>
  <c r="H497" i="1"/>
  <c r="F497" i="1"/>
  <c r="J497" i="1"/>
  <c r="G497" i="1" s="1"/>
  <c r="C2097" i="1" l="1"/>
  <c r="D2097" i="1" s="1"/>
  <c r="B2098" i="1"/>
  <c r="I1693" i="1"/>
  <c r="E1694" i="1" s="1"/>
  <c r="I1210" i="1"/>
  <c r="E1211" i="1" s="1"/>
  <c r="I497" i="1"/>
  <c r="E498" i="1" s="1"/>
  <c r="H1694" i="1" l="1"/>
  <c r="J1694" i="1"/>
  <c r="G1694" i="1" s="1"/>
  <c r="F1694" i="1"/>
  <c r="C2098" i="1"/>
  <c r="D2098" i="1" s="1"/>
  <c r="B2099" i="1"/>
  <c r="J1211" i="1"/>
  <c r="G1211" i="1" s="1"/>
  <c r="H1211" i="1"/>
  <c r="F1211" i="1"/>
  <c r="H498" i="1"/>
  <c r="J498" i="1"/>
  <c r="G498" i="1" s="1"/>
  <c r="F498" i="1"/>
  <c r="C2099" i="1" l="1"/>
  <c r="D2099" i="1" s="1"/>
  <c r="B2100" i="1"/>
  <c r="I1694" i="1"/>
  <c r="E1695" i="1" s="1"/>
  <c r="I1211" i="1"/>
  <c r="E1212" i="1" s="1"/>
  <c r="I498" i="1"/>
  <c r="E499" i="1" s="1"/>
  <c r="H1695" i="1" l="1"/>
  <c r="J1695" i="1"/>
  <c r="G1695" i="1" s="1"/>
  <c r="F1695" i="1"/>
  <c r="C2100" i="1"/>
  <c r="D2100" i="1" s="1"/>
  <c r="B2101" i="1"/>
  <c r="J1212" i="1"/>
  <c r="G1212" i="1" s="1"/>
  <c r="H1212" i="1"/>
  <c r="F1212" i="1"/>
  <c r="J499" i="1"/>
  <c r="G499" i="1" s="1"/>
  <c r="F499" i="1"/>
  <c r="H499" i="1"/>
  <c r="C2101" i="1" l="1"/>
  <c r="D2101" i="1" s="1"/>
  <c r="B2102" i="1"/>
  <c r="I1695" i="1"/>
  <c r="E1696" i="1" s="1"/>
  <c r="I1212" i="1"/>
  <c r="E1213" i="1" s="1"/>
  <c r="I499" i="1"/>
  <c r="E500" i="1" s="1"/>
  <c r="J1696" i="1" l="1"/>
  <c r="G1696" i="1" s="1"/>
  <c r="H1696" i="1"/>
  <c r="F1696" i="1"/>
  <c r="C2102" i="1"/>
  <c r="D2102" i="1" s="1"/>
  <c r="B2103" i="1"/>
  <c r="J1213" i="1"/>
  <c r="G1213" i="1" s="1"/>
  <c r="H1213" i="1"/>
  <c r="F1213" i="1"/>
  <c r="J500" i="1"/>
  <c r="G500" i="1" s="1"/>
  <c r="F500" i="1"/>
  <c r="H500" i="1"/>
  <c r="C2103" i="1" l="1"/>
  <c r="D2103" i="1" s="1"/>
  <c r="B2104" i="1"/>
  <c r="I1696" i="1"/>
  <c r="E1697" i="1" s="1"/>
  <c r="I1213" i="1"/>
  <c r="E1214" i="1" s="1"/>
  <c r="I500" i="1"/>
  <c r="E501" i="1" s="1"/>
  <c r="J1697" i="1" l="1"/>
  <c r="G1697" i="1" s="1"/>
  <c r="H1697" i="1"/>
  <c r="I1697" i="1" s="1"/>
  <c r="E1698" i="1" s="1"/>
  <c r="F1697" i="1"/>
  <c r="C2104" i="1"/>
  <c r="D2104" i="1" s="1"/>
  <c r="B2105" i="1"/>
  <c r="H1214" i="1"/>
  <c r="J1214" i="1"/>
  <c r="G1214" i="1" s="1"/>
  <c r="F1214" i="1"/>
  <c r="H501" i="1"/>
  <c r="J501" i="1"/>
  <c r="G501" i="1" s="1"/>
  <c r="F501" i="1"/>
  <c r="H1698" i="1" l="1"/>
  <c r="J1698" i="1"/>
  <c r="G1698" i="1" s="1"/>
  <c r="F1698" i="1"/>
  <c r="C2105" i="1"/>
  <c r="D2105" i="1" s="1"/>
  <c r="B2106" i="1"/>
  <c r="I1214" i="1"/>
  <c r="E1215" i="1" s="1"/>
  <c r="I501" i="1"/>
  <c r="E502" i="1" s="1"/>
  <c r="C2106" i="1" l="1"/>
  <c r="D2106" i="1" s="1"/>
  <c r="B2107" i="1"/>
  <c r="I1698" i="1"/>
  <c r="E1699" i="1" s="1"/>
  <c r="H1215" i="1"/>
  <c r="J1215" i="1"/>
  <c r="G1215" i="1" s="1"/>
  <c r="F1215" i="1"/>
  <c r="H502" i="1"/>
  <c r="J502" i="1"/>
  <c r="G502" i="1" s="1"/>
  <c r="F502" i="1"/>
  <c r="H1699" i="1" l="1"/>
  <c r="J1699" i="1"/>
  <c r="G1699" i="1" s="1"/>
  <c r="F1699" i="1"/>
  <c r="C2107" i="1"/>
  <c r="D2107" i="1" s="1"/>
  <c r="B2108" i="1"/>
  <c r="I1215" i="1"/>
  <c r="E1216" i="1" s="1"/>
  <c r="I502" i="1"/>
  <c r="E503" i="1" s="1"/>
  <c r="C2108" i="1" l="1"/>
  <c r="D2108" i="1" s="1"/>
  <c r="B2109" i="1"/>
  <c r="I1699" i="1"/>
  <c r="E1700" i="1" s="1"/>
  <c r="H1216" i="1"/>
  <c r="J1216" i="1"/>
  <c r="G1216" i="1" s="1"/>
  <c r="F1216" i="1"/>
  <c r="H503" i="1"/>
  <c r="F503" i="1"/>
  <c r="J503" i="1"/>
  <c r="G503" i="1" s="1"/>
  <c r="H1700" i="1" l="1"/>
  <c r="J1700" i="1"/>
  <c r="G1700" i="1" s="1"/>
  <c r="F1700" i="1"/>
  <c r="C2109" i="1"/>
  <c r="D2109" i="1" s="1"/>
  <c r="B2110" i="1"/>
  <c r="I1216" i="1"/>
  <c r="E1217" i="1" s="1"/>
  <c r="I503" i="1"/>
  <c r="E504" i="1" s="1"/>
  <c r="B2111" i="1" l="1"/>
  <c r="C2110" i="1"/>
  <c r="D2110" i="1" s="1"/>
  <c r="I1700" i="1"/>
  <c r="E1701" i="1" s="1"/>
  <c r="H1217" i="1"/>
  <c r="J1217" i="1"/>
  <c r="G1217" i="1" s="1"/>
  <c r="F1217" i="1"/>
  <c r="J504" i="1"/>
  <c r="G504" i="1" s="1"/>
  <c r="H504" i="1"/>
  <c r="F504" i="1"/>
  <c r="J1701" i="1" l="1"/>
  <c r="G1701" i="1" s="1"/>
  <c r="H1701" i="1"/>
  <c r="I1701" i="1" s="1"/>
  <c r="E1702" i="1" s="1"/>
  <c r="F1701" i="1"/>
  <c r="C2111" i="1"/>
  <c r="D2111" i="1" s="1"/>
  <c r="B2112" i="1"/>
  <c r="I1217" i="1"/>
  <c r="E1218" i="1" s="1"/>
  <c r="I504" i="1"/>
  <c r="E505" i="1" s="1"/>
  <c r="H505" i="1" s="1"/>
  <c r="H1702" i="1" l="1"/>
  <c r="J1702" i="1"/>
  <c r="G1702" i="1" s="1"/>
  <c r="F1702" i="1"/>
  <c r="C2112" i="1"/>
  <c r="D2112" i="1" s="1"/>
  <c r="B2113" i="1"/>
  <c r="H1218" i="1"/>
  <c r="J1218" i="1"/>
  <c r="G1218" i="1" s="1"/>
  <c r="F1218" i="1"/>
  <c r="J505" i="1"/>
  <c r="G505" i="1" s="1"/>
  <c r="I505" i="1" s="1"/>
  <c r="E506" i="1" s="1"/>
  <c r="F505" i="1"/>
  <c r="C2113" i="1" l="1"/>
  <c r="D2113" i="1" s="1"/>
  <c r="B2114" i="1"/>
  <c r="I1702" i="1"/>
  <c r="E1703" i="1" s="1"/>
  <c r="I1218" i="1"/>
  <c r="E1219" i="1" s="1"/>
  <c r="H506" i="1"/>
  <c r="F506" i="1"/>
  <c r="J506" i="1"/>
  <c r="G506" i="1" s="1"/>
  <c r="C2114" i="1" l="1"/>
  <c r="D2114" i="1" s="1"/>
  <c r="B2115" i="1"/>
  <c r="H1703" i="1"/>
  <c r="J1703" i="1"/>
  <c r="G1703" i="1" s="1"/>
  <c r="F1703" i="1"/>
  <c r="J1219" i="1"/>
  <c r="G1219" i="1" s="1"/>
  <c r="H1219" i="1"/>
  <c r="F1219" i="1"/>
  <c r="I506" i="1"/>
  <c r="E507" i="1" s="1"/>
  <c r="I1703" i="1" l="1"/>
  <c r="E1704" i="1" s="1"/>
  <c r="C2115" i="1"/>
  <c r="D2115" i="1" s="1"/>
  <c r="B2116" i="1"/>
  <c r="I1219" i="1"/>
  <c r="E1220" i="1" s="1"/>
  <c r="H507" i="1"/>
  <c r="J507" i="1"/>
  <c r="G507" i="1" s="1"/>
  <c r="F507" i="1"/>
  <c r="C2116" i="1" l="1"/>
  <c r="D2116" i="1" s="1"/>
  <c r="B2117" i="1"/>
  <c r="H1704" i="1"/>
  <c r="J1704" i="1"/>
  <c r="G1704" i="1" s="1"/>
  <c r="F1704" i="1"/>
  <c r="J1220" i="1"/>
  <c r="G1220" i="1" s="1"/>
  <c r="H1220" i="1"/>
  <c r="F1220" i="1"/>
  <c r="I507" i="1"/>
  <c r="E508" i="1" s="1"/>
  <c r="I1704" i="1" l="1"/>
  <c r="E1705" i="1" s="1"/>
  <c r="C2117" i="1"/>
  <c r="D2117" i="1" s="1"/>
  <c r="B2118" i="1"/>
  <c r="I1220" i="1"/>
  <c r="E1221" i="1" s="1"/>
  <c r="H508" i="1"/>
  <c r="J508" i="1"/>
  <c r="G508" i="1" s="1"/>
  <c r="F508" i="1"/>
  <c r="C2118" i="1" l="1"/>
  <c r="D2118" i="1" s="1"/>
  <c r="B2119" i="1"/>
  <c r="J1705" i="1"/>
  <c r="G1705" i="1" s="1"/>
  <c r="H1705" i="1"/>
  <c r="F1705" i="1"/>
  <c r="J1221" i="1"/>
  <c r="G1221" i="1" s="1"/>
  <c r="H1221" i="1"/>
  <c r="F1221" i="1"/>
  <c r="I508" i="1"/>
  <c r="E509" i="1" s="1"/>
  <c r="J509" i="1" s="1"/>
  <c r="G509" i="1" s="1"/>
  <c r="F509" i="1"/>
  <c r="H509" i="1"/>
  <c r="I1705" i="1" l="1"/>
  <c r="E1706" i="1" s="1"/>
  <c r="C2119" i="1"/>
  <c r="D2119" i="1" s="1"/>
  <c r="B2120" i="1"/>
  <c r="I1221" i="1"/>
  <c r="E1222" i="1" s="1"/>
  <c r="I509" i="1"/>
  <c r="E510" i="1" s="1"/>
  <c r="C2120" i="1" l="1"/>
  <c r="D2120" i="1" s="1"/>
  <c r="B2121" i="1"/>
  <c r="H1706" i="1"/>
  <c r="J1706" i="1"/>
  <c r="G1706" i="1" s="1"/>
  <c r="F1706" i="1"/>
  <c r="H1222" i="1"/>
  <c r="J1222" i="1"/>
  <c r="G1222" i="1" s="1"/>
  <c r="F1222" i="1"/>
  <c r="F510" i="1"/>
  <c r="J510" i="1"/>
  <c r="G510" i="1" s="1"/>
  <c r="H510" i="1"/>
  <c r="I1706" i="1" l="1"/>
  <c r="E1707" i="1" s="1"/>
  <c r="C2121" i="1"/>
  <c r="D2121" i="1" s="1"/>
  <c r="B2122" i="1"/>
  <c r="I1222" i="1"/>
  <c r="E1223" i="1" s="1"/>
  <c r="I510" i="1"/>
  <c r="E511" i="1" s="1"/>
  <c r="C2122" i="1" l="1"/>
  <c r="D2122" i="1" s="1"/>
  <c r="B2123" i="1"/>
  <c r="H1707" i="1"/>
  <c r="J1707" i="1"/>
  <c r="G1707" i="1" s="1"/>
  <c r="F1707" i="1"/>
  <c r="H1223" i="1"/>
  <c r="J1223" i="1"/>
  <c r="G1223" i="1" s="1"/>
  <c r="F1223" i="1"/>
  <c r="H511" i="1"/>
  <c r="F511" i="1"/>
  <c r="J511" i="1"/>
  <c r="G511" i="1" s="1"/>
  <c r="I1707" i="1" l="1"/>
  <c r="E1708" i="1" s="1"/>
  <c r="C2123" i="1"/>
  <c r="D2123" i="1" s="1"/>
  <c r="B2124" i="1"/>
  <c r="I1223" i="1"/>
  <c r="E1224" i="1" s="1"/>
  <c r="I511" i="1"/>
  <c r="E512" i="1" s="1"/>
  <c r="C2124" i="1" l="1"/>
  <c r="D2124" i="1" s="1"/>
  <c r="B2125" i="1"/>
  <c r="H1708" i="1"/>
  <c r="J1708" i="1"/>
  <c r="G1708" i="1" s="1"/>
  <c r="F1708" i="1"/>
  <c r="H1224" i="1"/>
  <c r="I1224" i="1" s="1"/>
  <c r="E1225" i="1" s="1"/>
  <c r="J1224" i="1"/>
  <c r="G1224" i="1" s="1"/>
  <c r="F1224" i="1"/>
  <c r="J512" i="1"/>
  <c r="G512" i="1" s="1"/>
  <c r="H512" i="1"/>
  <c r="F512" i="1"/>
  <c r="I1708" i="1" l="1"/>
  <c r="E1709" i="1" s="1"/>
  <c r="C2125" i="1"/>
  <c r="D2125" i="1" s="1"/>
  <c r="B2126" i="1"/>
  <c r="H1225" i="1"/>
  <c r="J1225" i="1"/>
  <c r="G1225" i="1" s="1"/>
  <c r="F1225" i="1"/>
  <c r="I512" i="1"/>
  <c r="E513" i="1" s="1"/>
  <c r="C2126" i="1" l="1"/>
  <c r="D2126" i="1" s="1"/>
  <c r="B2127" i="1"/>
  <c r="H1709" i="1"/>
  <c r="J1709" i="1"/>
  <c r="G1709" i="1" s="1"/>
  <c r="F1709" i="1"/>
  <c r="I1225" i="1"/>
  <c r="E1226" i="1" s="1"/>
  <c r="J513" i="1"/>
  <c r="G513" i="1" s="1"/>
  <c r="F513" i="1"/>
  <c r="H513" i="1"/>
  <c r="I1709" i="1" l="1"/>
  <c r="E1710" i="1" s="1"/>
  <c r="C2127" i="1"/>
  <c r="D2127" i="1" s="1"/>
  <c r="B2128" i="1"/>
  <c r="H1226" i="1"/>
  <c r="J1226" i="1"/>
  <c r="G1226" i="1" s="1"/>
  <c r="F1226" i="1"/>
  <c r="I513" i="1"/>
  <c r="E514" i="1" s="1"/>
  <c r="C2128" i="1" l="1"/>
  <c r="D2128" i="1" s="1"/>
  <c r="B2129" i="1"/>
  <c r="H1710" i="1"/>
  <c r="J1710" i="1"/>
  <c r="G1710" i="1" s="1"/>
  <c r="F1710" i="1"/>
  <c r="I1226" i="1"/>
  <c r="E1227" i="1" s="1"/>
  <c r="H514" i="1"/>
  <c r="F514" i="1"/>
  <c r="J514" i="1"/>
  <c r="G514" i="1" s="1"/>
  <c r="I1710" i="1" l="1"/>
  <c r="E1711" i="1" s="1"/>
  <c r="C2129" i="1"/>
  <c r="D2129" i="1" s="1"/>
  <c r="B2130" i="1"/>
  <c r="H1227" i="1"/>
  <c r="J1227" i="1"/>
  <c r="G1227" i="1" s="1"/>
  <c r="F1227" i="1"/>
  <c r="I514" i="1"/>
  <c r="E515" i="1" s="1"/>
  <c r="C2130" i="1" l="1"/>
  <c r="D2130" i="1" s="1"/>
  <c r="B2131" i="1"/>
  <c r="H1711" i="1"/>
  <c r="J1711" i="1"/>
  <c r="G1711" i="1" s="1"/>
  <c r="F1711" i="1"/>
  <c r="I1227" i="1"/>
  <c r="E1228" i="1" s="1"/>
  <c r="J515" i="1"/>
  <c r="G515" i="1" s="1"/>
  <c r="F515" i="1"/>
  <c r="H515" i="1"/>
  <c r="I1711" i="1" l="1"/>
  <c r="E1712" i="1" s="1"/>
  <c r="C2131" i="1"/>
  <c r="D2131" i="1" s="1"/>
  <c r="B2132" i="1"/>
  <c r="J1228" i="1"/>
  <c r="G1228" i="1" s="1"/>
  <c r="H1228" i="1"/>
  <c r="F1228" i="1"/>
  <c r="I515" i="1"/>
  <c r="E516" i="1" s="1"/>
  <c r="H516" i="1" s="1"/>
  <c r="C2132" i="1" l="1"/>
  <c r="D2132" i="1" s="1"/>
  <c r="B2133" i="1"/>
  <c r="J1712" i="1"/>
  <c r="G1712" i="1" s="1"/>
  <c r="H1712" i="1"/>
  <c r="I1712" i="1" s="1"/>
  <c r="E1713" i="1" s="1"/>
  <c r="F1712" i="1"/>
  <c r="I1228" i="1"/>
  <c r="E1229" i="1" s="1"/>
  <c r="J516" i="1"/>
  <c r="F516" i="1"/>
  <c r="J1713" i="1" l="1"/>
  <c r="G1713" i="1" s="1"/>
  <c r="H1713" i="1"/>
  <c r="F1713" i="1"/>
  <c r="C2133" i="1"/>
  <c r="D2133" i="1" s="1"/>
  <c r="B2134" i="1"/>
  <c r="J1229" i="1"/>
  <c r="G1229" i="1" s="1"/>
  <c r="H1229" i="1"/>
  <c r="F1229" i="1"/>
  <c r="G516" i="1"/>
  <c r="I516" i="1" s="1"/>
  <c r="E517" i="1" s="1"/>
  <c r="C2134" i="1" l="1"/>
  <c r="D2134" i="1" s="1"/>
  <c r="B2135" i="1"/>
  <c r="I1713" i="1"/>
  <c r="E1714" i="1" s="1"/>
  <c r="I1229" i="1"/>
  <c r="E1230" i="1" s="1"/>
  <c r="F517" i="1"/>
  <c r="H517" i="1"/>
  <c r="J517" i="1"/>
  <c r="G517" i="1" s="1"/>
  <c r="I517" i="1" s="1"/>
  <c r="E518" i="1" s="1"/>
  <c r="C2135" i="1" l="1"/>
  <c r="D2135" i="1" s="1"/>
  <c r="B2136" i="1"/>
  <c r="H1714" i="1"/>
  <c r="I1714" i="1" s="1"/>
  <c r="E1715" i="1" s="1"/>
  <c r="J1714" i="1"/>
  <c r="G1714" i="1" s="1"/>
  <c r="F1714" i="1"/>
  <c r="H1230" i="1"/>
  <c r="J1230" i="1"/>
  <c r="G1230" i="1" s="1"/>
  <c r="F1230" i="1"/>
  <c r="J518" i="1"/>
  <c r="G518" i="1" s="1"/>
  <c r="H518" i="1"/>
  <c r="F518" i="1"/>
  <c r="H1715" i="1" l="1"/>
  <c r="J1715" i="1"/>
  <c r="G1715" i="1" s="1"/>
  <c r="F1715" i="1"/>
  <c r="C2136" i="1"/>
  <c r="D2136" i="1" s="1"/>
  <c r="B2137" i="1"/>
  <c r="I1230" i="1"/>
  <c r="E1231" i="1" s="1"/>
  <c r="I518" i="1"/>
  <c r="E519" i="1" s="1"/>
  <c r="C2137" i="1" l="1"/>
  <c r="D2137" i="1" s="1"/>
  <c r="B2138" i="1"/>
  <c r="I1715" i="1"/>
  <c r="E1716" i="1" s="1"/>
  <c r="H1231" i="1"/>
  <c r="J1231" i="1"/>
  <c r="G1231" i="1" s="1"/>
  <c r="F1231" i="1"/>
  <c r="J519" i="1"/>
  <c r="G519" i="1" s="1"/>
  <c r="H519" i="1"/>
  <c r="F519" i="1"/>
  <c r="H1716" i="1" l="1"/>
  <c r="J1716" i="1"/>
  <c r="G1716" i="1" s="1"/>
  <c r="F1716" i="1"/>
  <c r="C2138" i="1"/>
  <c r="D2138" i="1" s="1"/>
  <c r="B2139" i="1"/>
  <c r="I1231" i="1"/>
  <c r="E1232" i="1" s="1"/>
  <c r="I519" i="1"/>
  <c r="E520" i="1" s="1"/>
  <c r="C2139" i="1" l="1"/>
  <c r="D2139" i="1" s="1"/>
  <c r="B2140" i="1"/>
  <c r="I1716" i="1"/>
  <c r="E1717" i="1" s="1"/>
  <c r="H1232" i="1"/>
  <c r="J1232" i="1"/>
  <c r="G1232" i="1" s="1"/>
  <c r="F1232" i="1"/>
  <c r="H520" i="1"/>
  <c r="F520" i="1"/>
  <c r="J520" i="1"/>
  <c r="G520" i="1" s="1"/>
  <c r="H1717" i="1" l="1"/>
  <c r="J1717" i="1"/>
  <c r="G1717" i="1" s="1"/>
  <c r="F1717" i="1"/>
  <c r="C2140" i="1"/>
  <c r="D2140" i="1" s="1"/>
  <c r="B2141" i="1"/>
  <c r="I1232" i="1"/>
  <c r="I520" i="1"/>
  <c r="E521" i="1" s="1"/>
  <c r="C2141" i="1" l="1"/>
  <c r="D2141" i="1" s="1"/>
  <c r="B2142" i="1"/>
  <c r="I1717" i="1"/>
  <c r="E1718" i="1" s="1"/>
  <c r="H521" i="1"/>
  <c r="J521" i="1"/>
  <c r="G521" i="1" s="1"/>
  <c r="F521" i="1"/>
  <c r="C2142" i="1" l="1"/>
  <c r="D2142" i="1" s="1"/>
  <c r="B2143" i="1"/>
  <c r="H1718" i="1"/>
  <c r="J1718" i="1"/>
  <c r="G1718" i="1" s="1"/>
  <c r="F1718" i="1"/>
  <c r="I521" i="1"/>
  <c r="E522" i="1" s="1"/>
  <c r="H522" i="1" s="1"/>
  <c r="J522" i="1"/>
  <c r="G522" i="1" s="1"/>
  <c r="F522" i="1"/>
  <c r="I1718" i="1" l="1"/>
  <c r="E1719" i="1" s="1"/>
  <c r="C2143" i="1"/>
  <c r="D2143" i="1" s="1"/>
  <c r="B2144" i="1"/>
  <c r="I522" i="1"/>
  <c r="E523" i="1" s="1"/>
  <c r="C2144" i="1" l="1"/>
  <c r="D2144" i="1" s="1"/>
  <c r="B2145" i="1"/>
  <c r="H1719" i="1"/>
  <c r="J1719" i="1"/>
  <c r="G1719" i="1" s="1"/>
  <c r="F1719" i="1"/>
  <c r="J523" i="1"/>
  <c r="G523" i="1" s="1"/>
  <c r="H523" i="1"/>
  <c r="F523" i="1"/>
  <c r="I1719" i="1" l="1"/>
  <c r="E1720" i="1" s="1"/>
  <c r="C2145" i="1"/>
  <c r="D2145" i="1" s="1"/>
  <c r="B2146" i="1"/>
  <c r="I523" i="1"/>
  <c r="E524" i="1" s="1"/>
  <c r="C2146" i="1" l="1"/>
  <c r="D2146" i="1" s="1"/>
  <c r="B2147" i="1"/>
  <c r="J1720" i="1"/>
  <c r="G1720" i="1" s="1"/>
  <c r="H1720" i="1"/>
  <c r="F1720" i="1"/>
  <c r="H524" i="1"/>
  <c r="J524" i="1"/>
  <c r="G524" i="1" s="1"/>
  <c r="F524" i="1"/>
  <c r="I1720" i="1" l="1"/>
  <c r="E1721" i="1" s="1"/>
  <c r="C2147" i="1"/>
  <c r="D2147" i="1" s="1"/>
  <c r="B2148" i="1"/>
  <c r="I524" i="1"/>
  <c r="E525" i="1" s="1"/>
  <c r="C2148" i="1" l="1"/>
  <c r="D2148" i="1" s="1"/>
  <c r="B2149" i="1"/>
  <c r="J1721" i="1"/>
  <c r="G1721" i="1" s="1"/>
  <c r="H1721" i="1"/>
  <c r="F1721" i="1"/>
  <c r="H525" i="1"/>
  <c r="F525" i="1"/>
  <c r="J525" i="1"/>
  <c r="G525" i="1" s="1"/>
  <c r="C2149" i="1" l="1"/>
  <c r="D2149" i="1" s="1"/>
  <c r="B2150" i="1"/>
  <c r="I1721" i="1"/>
  <c r="E1722" i="1" s="1"/>
  <c r="I525" i="1"/>
  <c r="E526" i="1" s="1"/>
  <c r="C2150" i="1" l="1"/>
  <c r="D2150" i="1" s="1"/>
  <c r="B2151" i="1"/>
  <c r="H1722" i="1"/>
  <c r="J1722" i="1"/>
  <c r="G1722" i="1" s="1"/>
  <c r="F1722" i="1"/>
  <c r="J526" i="1"/>
  <c r="G526" i="1" s="1"/>
  <c r="H526" i="1"/>
  <c r="F526" i="1"/>
  <c r="I1722" i="1" l="1"/>
  <c r="E1723" i="1" s="1"/>
  <c r="C2151" i="1"/>
  <c r="D2151" i="1" s="1"/>
  <c r="B2152" i="1"/>
  <c r="I526" i="1"/>
  <c r="E527" i="1" s="1"/>
  <c r="H527" i="1"/>
  <c r="J527" i="1"/>
  <c r="G527" i="1" s="1"/>
  <c r="F527" i="1"/>
  <c r="C2152" i="1" l="1"/>
  <c r="D2152" i="1" s="1"/>
  <c r="B2153" i="1"/>
  <c r="H1723" i="1"/>
  <c r="J1723" i="1"/>
  <c r="G1723" i="1" s="1"/>
  <c r="F1723" i="1"/>
  <c r="I527" i="1"/>
  <c r="E528" i="1" s="1"/>
  <c r="I1723" i="1" l="1"/>
  <c r="E1724" i="1" s="1"/>
  <c r="C2153" i="1"/>
  <c r="D2153" i="1" s="1"/>
  <c r="B2154" i="1"/>
  <c r="H528" i="1"/>
  <c r="J528" i="1"/>
  <c r="G528" i="1" s="1"/>
  <c r="F528" i="1"/>
  <c r="C2154" i="1" l="1"/>
  <c r="D2154" i="1" s="1"/>
  <c r="B2155" i="1"/>
  <c r="H1724" i="1"/>
  <c r="J1724" i="1"/>
  <c r="G1724" i="1" s="1"/>
  <c r="F1724" i="1"/>
  <c r="I528" i="1"/>
  <c r="E529" i="1" s="1"/>
  <c r="I1724" i="1" l="1"/>
  <c r="E1725" i="1" s="1"/>
  <c r="C2155" i="1"/>
  <c r="D2155" i="1" s="1"/>
  <c r="B2156" i="1"/>
  <c r="J529" i="1"/>
  <c r="G529" i="1" s="1"/>
  <c r="H529" i="1"/>
  <c r="F529" i="1"/>
  <c r="C2156" i="1" l="1"/>
  <c r="D2156" i="1" s="1"/>
  <c r="B2157" i="1"/>
  <c r="H1725" i="1"/>
  <c r="J1725" i="1"/>
  <c r="G1725" i="1" s="1"/>
  <c r="F1725" i="1"/>
  <c r="I529" i="1"/>
  <c r="E530" i="1" s="1"/>
  <c r="H530" i="1" s="1"/>
  <c r="F530" i="1"/>
  <c r="J530" i="1"/>
  <c r="G530" i="1" s="1"/>
  <c r="C2157" i="1" l="1"/>
  <c r="D2157" i="1" s="1"/>
  <c r="B2158" i="1"/>
  <c r="I1725" i="1"/>
  <c r="E1726" i="1" s="1"/>
  <c r="I530" i="1"/>
  <c r="E531" i="1" s="1"/>
  <c r="C2158" i="1" l="1"/>
  <c r="D2158" i="1" s="1"/>
  <c r="B2159" i="1"/>
  <c r="H1726" i="1"/>
  <c r="J1726" i="1"/>
  <c r="G1726" i="1" s="1"/>
  <c r="F1726" i="1"/>
  <c r="J531" i="1"/>
  <c r="G531" i="1" s="1"/>
  <c r="H531" i="1"/>
  <c r="F531" i="1"/>
  <c r="I1726" i="1" l="1"/>
  <c r="E1727" i="1" s="1"/>
  <c r="C2159" i="1"/>
  <c r="D2159" i="1" s="1"/>
  <c r="B2160" i="1"/>
  <c r="I531" i="1"/>
  <c r="E532" i="1" s="1"/>
  <c r="C2160" i="1" l="1"/>
  <c r="D2160" i="1" s="1"/>
  <c r="B2161" i="1"/>
  <c r="H1727" i="1"/>
  <c r="J1727" i="1"/>
  <c r="G1727" i="1" s="1"/>
  <c r="F1727" i="1"/>
  <c r="J532" i="1"/>
  <c r="G532" i="1" s="1"/>
  <c r="F532" i="1"/>
  <c r="H532" i="1"/>
  <c r="I1727" i="1" l="1"/>
  <c r="E1728" i="1" s="1"/>
  <c r="C2161" i="1"/>
  <c r="D2161" i="1" s="1"/>
  <c r="B2162" i="1"/>
  <c r="I532" i="1"/>
  <c r="E533" i="1" s="1"/>
  <c r="J533" i="1" s="1"/>
  <c r="G533" i="1" s="1"/>
  <c r="H533" i="1"/>
  <c r="F533" i="1"/>
  <c r="B2163" i="1" l="1"/>
  <c r="C2162" i="1"/>
  <c r="D2162" i="1" s="1"/>
  <c r="J1728" i="1"/>
  <c r="G1728" i="1" s="1"/>
  <c r="H1728" i="1"/>
  <c r="F1728" i="1"/>
  <c r="I533" i="1"/>
  <c r="E534" i="1" s="1"/>
  <c r="I1728" i="1" l="1"/>
  <c r="E1729" i="1" s="1"/>
  <c r="C2163" i="1"/>
  <c r="D2163" i="1" s="1"/>
  <c r="B2164" i="1"/>
  <c r="J534" i="1"/>
  <c r="G534" i="1" s="1"/>
  <c r="F534" i="1"/>
  <c r="H534" i="1"/>
  <c r="C2164" i="1" l="1"/>
  <c r="D2164" i="1" s="1"/>
  <c r="B2165" i="1"/>
  <c r="J1729" i="1"/>
  <c r="G1729" i="1" s="1"/>
  <c r="H1729" i="1"/>
  <c r="F1729" i="1"/>
  <c r="I534" i="1"/>
  <c r="E535" i="1" s="1"/>
  <c r="C2165" i="1" l="1"/>
  <c r="D2165" i="1" s="1"/>
  <c r="B2166" i="1"/>
  <c r="I1729" i="1"/>
  <c r="E1730" i="1" s="1"/>
  <c r="H535" i="1"/>
  <c r="F535" i="1"/>
  <c r="J535" i="1"/>
  <c r="G535" i="1" s="1"/>
  <c r="H1730" i="1" l="1"/>
  <c r="J1730" i="1"/>
  <c r="G1730" i="1" s="1"/>
  <c r="F1730" i="1"/>
  <c r="C2166" i="1"/>
  <c r="D2166" i="1" s="1"/>
  <c r="B2167" i="1"/>
  <c r="I535" i="1"/>
  <c r="E536" i="1" s="1"/>
  <c r="C2167" i="1" l="1"/>
  <c r="D2167" i="1" s="1"/>
  <c r="B2168" i="1"/>
  <c r="I1730" i="1"/>
  <c r="E1731" i="1" s="1"/>
  <c r="F536" i="1"/>
  <c r="H536" i="1"/>
  <c r="J536" i="1"/>
  <c r="G536" i="1" s="1"/>
  <c r="C2168" i="1" l="1"/>
  <c r="D2168" i="1" s="1"/>
  <c r="B2169" i="1"/>
  <c r="H1731" i="1"/>
  <c r="J1731" i="1"/>
  <c r="G1731" i="1" s="1"/>
  <c r="F1731" i="1"/>
  <c r="I536" i="1"/>
  <c r="E537" i="1" s="1"/>
  <c r="I1731" i="1" l="1"/>
  <c r="E1732" i="1" s="1"/>
  <c r="C2169" i="1"/>
  <c r="D2169" i="1" s="1"/>
  <c r="B2170" i="1"/>
  <c r="H537" i="1"/>
  <c r="J537" i="1"/>
  <c r="G537" i="1" s="1"/>
  <c r="F537" i="1"/>
  <c r="C2170" i="1" l="1"/>
  <c r="D2170" i="1" s="1"/>
  <c r="B2171" i="1"/>
  <c r="H1732" i="1"/>
  <c r="J1732" i="1"/>
  <c r="G1732" i="1" s="1"/>
  <c r="F1732" i="1"/>
  <c r="I537" i="1"/>
  <c r="E538" i="1" s="1"/>
  <c r="I1732" i="1" l="1"/>
  <c r="E1733" i="1" s="1"/>
  <c r="C2171" i="1"/>
  <c r="D2171" i="1" s="1"/>
  <c r="B2172" i="1"/>
  <c r="J538" i="1"/>
  <c r="G538" i="1" s="1"/>
  <c r="H538" i="1"/>
  <c r="F538" i="1"/>
  <c r="C2172" i="1" l="1"/>
  <c r="D2172" i="1" s="1"/>
  <c r="B2173" i="1"/>
  <c r="H1733" i="1"/>
  <c r="I1733" i="1" s="1"/>
  <c r="E1734" i="1" s="1"/>
  <c r="J1733" i="1"/>
  <c r="G1733" i="1" s="1"/>
  <c r="F1733" i="1"/>
  <c r="I538" i="1"/>
  <c r="E539" i="1" s="1"/>
  <c r="H539" i="1" s="1"/>
  <c r="H1734" i="1" l="1"/>
  <c r="J1734" i="1"/>
  <c r="G1734" i="1" s="1"/>
  <c r="F1734" i="1"/>
  <c r="C2173" i="1"/>
  <c r="D2173" i="1" s="1"/>
  <c r="B2174" i="1"/>
  <c r="F539" i="1"/>
  <c r="J539" i="1"/>
  <c r="B2175" i="1" l="1"/>
  <c r="C2174" i="1"/>
  <c r="D2174" i="1" s="1"/>
  <c r="I1734" i="1"/>
  <c r="E1735" i="1" s="1"/>
  <c r="G539" i="1"/>
  <c r="I539" i="1" s="1"/>
  <c r="E540" i="1" s="1"/>
  <c r="H1735" i="1" l="1"/>
  <c r="J1735" i="1"/>
  <c r="G1735" i="1" s="1"/>
  <c r="F1735" i="1"/>
  <c r="C2175" i="1"/>
  <c r="D2175" i="1" s="1"/>
  <c r="B2176" i="1"/>
  <c r="J540" i="1"/>
  <c r="G540" i="1" s="1"/>
  <c r="I540" i="1" s="1"/>
  <c r="E541" i="1" s="1"/>
  <c r="H540" i="1"/>
  <c r="F540" i="1"/>
  <c r="C2176" i="1" l="1"/>
  <c r="D2176" i="1" s="1"/>
  <c r="B2177" i="1"/>
  <c r="I1735" i="1"/>
  <c r="E1736" i="1" s="1"/>
  <c r="J541" i="1"/>
  <c r="G541" i="1" s="1"/>
  <c r="F541" i="1"/>
  <c r="H541" i="1"/>
  <c r="J1736" i="1" l="1"/>
  <c r="G1736" i="1" s="1"/>
  <c r="H1736" i="1"/>
  <c r="I1736" i="1" s="1"/>
  <c r="E1737" i="1" s="1"/>
  <c r="F1736" i="1"/>
  <c r="C2177" i="1"/>
  <c r="D2177" i="1" s="1"/>
  <c r="B2178" i="1"/>
  <c r="I541" i="1"/>
  <c r="E542" i="1" s="1"/>
  <c r="J1737" i="1" l="1"/>
  <c r="G1737" i="1" s="1"/>
  <c r="H1737" i="1"/>
  <c r="I1737" i="1" s="1"/>
  <c r="E1738" i="1" s="1"/>
  <c r="F1737" i="1"/>
  <c r="C2178" i="1"/>
  <c r="D2178" i="1" s="1"/>
  <c r="B2179" i="1"/>
  <c r="J542" i="1"/>
  <c r="G542" i="1" s="1"/>
  <c r="F542" i="1"/>
  <c r="H542" i="1"/>
  <c r="H1738" i="1" l="1"/>
  <c r="J1738" i="1"/>
  <c r="G1738" i="1" s="1"/>
  <c r="F1738" i="1"/>
  <c r="C2179" i="1"/>
  <c r="D2179" i="1" s="1"/>
  <c r="B2180" i="1"/>
  <c r="I542" i="1"/>
  <c r="E543" i="1" s="1"/>
  <c r="C2180" i="1" l="1"/>
  <c r="D2180" i="1" s="1"/>
  <c r="B2181" i="1"/>
  <c r="I1738" i="1"/>
  <c r="E1739" i="1" s="1"/>
  <c r="H543" i="1"/>
  <c r="F543" i="1"/>
  <c r="J543" i="1"/>
  <c r="G543" i="1" s="1"/>
  <c r="C2181" i="1" l="1"/>
  <c r="D2181" i="1" s="1"/>
  <c r="B2182" i="1"/>
  <c r="H1739" i="1"/>
  <c r="J1739" i="1"/>
  <c r="G1739" i="1" s="1"/>
  <c r="F1739" i="1"/>
  <c r="I543" i="1"/>
  <c r="E544" i="1" s="1"/>
  <c r="C2182" i="1" l="1"/>
  <c r="D2182" i="1" s="1"/>
  <c r="B2183" i="1"/>
  <c r="I1739" i="1"/>
  <c r="E1740" i="1" s="1"/>
  <c r="H544" i="1"/>
  <c r="J544" i="1"/>
  <c r="G544" i="1" s="1"/>
  <c r="F544" i="1"/>
  <c r="H1740" i="1" l="1"/>
  <c r="J1740" i="1"/>
  <c r="G1740" i="1" s="1"/>
  <c r="F1740" i="1"/>
  <c r="C2183" i="1"/>
  <c r="D2183" i="1" s="1"/>
  <c r="B2184" i="1"/>
  <c r="I544" i="1"/>
  <c r="E545" i="1" s="1"/>
  <c r="B2185" i="1" l="1"/>
  <c r="C2184" i="1"/>
  <c r="D2184" i="1" s="1"/>
  <c r="I1740" i="1"/>
  <c r="E1741" i="1" s="1"/>
  <c r="J545" i="1"/>
  <c r="G545" i="1" s="1"/>
  <c r="H545" i="1"/>
  <c r="F545" i="1"/>
  <c r="H1741" i="1" l="1"/>
  <c r="J1741" i="1"/>
  <c r="G1741" i="1" s="1"/>
  <c r="F1741" i="1"/>
  <c r="C2185" i="1"/>
  <c r="D2185" i="1" s="1"/>
  <c r="B2186" i="1"/>
  <c r="I545" i="1"/>
  <c r="E546" i="1" s="1"/>
  <c r="B2187" i="1" l="1"/>
  <c r="C2186" i="1"/>
  <c r="D2186" i="1" s="1"/>
  <c r="I1741" i="1"/>
  <c r="E1742" i="1" s="1"/>
  <c r="H546" i="1"/>
  <c r="J546" i="1"/>
  <c r="G546" i="1" s="1"/>
  <c r="F546" i="1"/>
  <c r="H1742" i="1" l="1"/>
  <c r="J1742" i="1"/>
  <c r="G1742" i="1" s="1"/>
  <c r="F1742" i="1"/>
  <c r="C2187" i="1"/>
  <c r="D2187" i="1" s="1"/>
  <c r="B2188" i="1"/>
  <c r="I546" i="1"/>
  <c r="E547" i="1" s="1"/>
  <c r="C2188" i="1" l="1"/>
  <c r="D2188" i="1" s="1"/>
  <c r="B2189" i="1"/>
  <c r="I1742" i="1"/>
  <c r="E1743" i="1" s="1"/>
  <c r="H547" i="1"/>
  <c r="J547" i="1"/>
  <c r="G547" i="1" s="1"/>
  <c r="F547" i="1"/>
  <c r="H1743" i="1" l="1"/>
  <c r="J1743" i="1"/>
  <c r="G1743" i="1" s="1"/>
  <c r="F1743" i="1"/>
  <c r="C2189" i="1"/>
  <c r="D2189" i="1" s="1"/>
  <c r="B2190" i="1"/>
  <c r="I547" i="1"/>
  <c r="E548" i="1" s="1"/>
  <c r="C2190" i="1" l="1"/>
  <c r="D2190" i="1" s="1"/>
  <c r="B2191" i="1"/>
  <c r="I1743" i="1"/>
  <c r="E1744" i="1" s="1"/>
  <c r="H548" i="1"/>
  <c r="F548" i="1"/>
  <c r="J548" i="1"/>
  <c r="G548" i="1" s="1"/>
  <c r="C2191" i="1" l="1"/>
  <c r="D2191" i="1" s="1"/>
  <c r="B2192" i="1"/>
  <c r="J1744" i="1"/>
  <c r="G1744" i="1" s="1"/>
  <c r="H1744" i="1"/>
  <c r="F1744" i="1"/>
  <c r="I548" i="1"/>
  <c r="E549" i="1" s="1"/>
  <c r="C2192" i="1" l="1"/>
  <c r="D2192" i="1" s="1"/>
  <c r="B2193" i="1"/>
  <c r="I1744" i="1"/>
  <c r="E1745" i="1" s="1"/>
  <c r="H549" i="1"/>
  <c r="F549" i="1"/>
  <c r="J549" i="1"/>
  <c r="G549" i="1" s="1"/>
  <c r="C2193" i="1" l="1"/>
  <c r="D2193" i="1" s="1"/>
  <c r="B2194" i="1"/>
  <c r="J1745" i="1"/>
  <c r="G1745" i="1" s="1"/>
  <c r="H1745" i="1"/>
  <c r="F1745" i="1"/>
  <c r="I549" i="1"/>
  <c r="E550" i="1" s="1"/>
  <c r="B2195" i="1" l="1"/>
  <c r="C2194" i="1"/>
  <c r="D2194" i="1" s="1"/>
  <c r="I1745" i="1"/>
  <c r="E1746" i="1" s="1"/>
  <c r="H550" i="1"/>
  <c r="J550" i="1"/>
  <c r="G550" i="1" s="1"/>
  <c r="F550" i="1"/>
  <c r="H1746" i="1" l="1"/>
  <c r="J1746" i="1"/>
  <c r="G1746" i="1" s="1"/>
  <c r="F1746" i="1"/>
  <c r="C2195" i="1"/>
  <c r="D2195" i="1" s="1"/>
  <c r="B2196" i="1"/>
  <c r="I550" i="1"/>
  <c r="E551" i="1" s="1"/>
  <c r="C2196" i="1" l="1"/>
  <c r="D2196" i="1" s="1"/>
  <c r="B2197" i="1"/>
  <c r="I1746" i="1"/>
  <c r="E1747" i="1" s="1"/>
  <c r="H551" i="1"/>
  <c r="J551" i="1"/>
  <c r="G551" i="1" s="1"/>
  <c r="F551" i="1"/>
  <c r="H1747" i="1" l="1"/>
  <c r="J1747" i="1"/>
  <c r="G1747" i="1" s="1"/>
  <c r="F1747" i="1"/>
  <c r="C2197" i="1"/>
  <c r="D2197" i="1" s="1"/>
  <c r="B2198" i="1"/>
  <c r="I551" i="1"/>
  <c r="E552" i="1" s="1"/>
  <c r="C2198" i="1" l="1"/>
  <c r="D2198" i="1" s="1"/>
  <c r="B2199" i="1"/>
  <c r="I1747" i="1"/>
  <c r="E1748" i="1" s="1"/>
  <c r="J552" i="1"/>
  <c r="G552" i="1" s="1"/>
  <c r="H552" i="1"/>
  <c r="F552" i="1"/>
  <c r="H1748" i="1" l="1"/>
  <c r="J1748" i="1"/>
  <c r="G1748" i="1" s="1"/>
  <c r="F1748" i="1"/>
  <c r="C2199" i="1"/>
  <c r="D2199" i="1" s="1"/>
  <c r="B2200" i="1"/>
  <c r="I552" i="1"/>
  <c r="E553" i="1" s="1"/>
  <c r="H553" i="1" s="1"/>
  <c r="C2200" i="1" l="1"/>
  <c r="D2200" i="1" s="1"/>
  <c r="B2201" i="1"/>
  <c r="I1748" i="1"/>
  <c r="E1749" i="1" s="1"/>
  <c r="J553" i="1"/>
  <c r="F553" i="1"/>
  <c r="H1749" i="1" l="1"/>
  <c r="J1749" i="1"/>
  <c r="G1749" i="1" s="1"/>
  <c r="F1749" i="1"/>
  <c r="C2201" i="1"/>
  <c r="D2201" i="1" s="1"/>
  <c r="B2202" i="1"/>
  <c r="G553" i="1"/>
  <c r="I553" i="1" s="1"/>
  <c r="E554" i="1" s="1"/>
  <c r="C2202" i="1" l="1"/>
  <c r="D2202" i="1" s="1"/>
  <c r="B2203" i="1"/>
  <c r="I1749" i="1"/>
  <c r="E1750" i="1" s="1"/>
  <c r="H554" i="1"/>
  <c r="J554" i="1"/>
  <c r="G554" i="1" s="1"/>
  <c r="I554" i="1" s="1"/>
  <c r="E555" i="1" s="1"/>
  <c r="F554" i="1"/>
  <c r="C2203" i="1" l="1"/>
  <c r="D2203" i="1" s="1"/>
  <c r="B2204" i="1"/>
  <c r="H1750" i="1"/>
  <c r="J1750" i="1"/>
  <c r="G1750" i="1" s="1"/>
  <c r="F1750" i="1"/>
  <c r="H555" i="1"/>
  <c r="J555" i="1"/>
  <c r="G555" i="1" s="1"/>
  <c r="F555" i="1"/>
  <c r="I1750" i="1" l="1"/>
  <c r="E1751" i="1" s="1"/>
  <c r="C2204" i="1"/>
  <c r="D2204" i="1" s="1"/>
  <c r="B2205" i="1"/>
  <c r="I555" i="1"/>
  <c r="E556" i="1" s="1"/>
  <c r="B2206" i="1" l="1"/>
  <c r="C2205" i="1"/>
  <c r="D2205" i="1" s="1"/>
  <c r="H1751" i="1"/>
  <c r="J1751" i="1"/>
  <c r="G1751" i="1" s="1"/>
  <c r="F1751" i="1"/>
  <c r="J556" i="1"/>
  <c r="G556" i="1" s="1"/>
  <c r="F556" i="1"/>
  <c r="H556" i="1"/>
  <c r="I1751" i="1" l="1"/>
  <c r="E1752" i="1" s="1"/>
  <c r="C2206" i="1"/>
  <c r="D2206" i="1" s="1"/>
  <c r="B2207" i="1"/>
  <c r="I556" i="1"/>
  <c r="E557" i="1" s="1"/>
  <c r="C2207" i="1" l="1"/>
  <c r="D2207" i="1" s="1"/>
  <c r="B2208" i="1"/>
  <c r="J1752" i="1"/>
  <c r="G1752" i="1" s="1"/>
  <c r="H1752" i="1"/>
  <c r="F1752" i="1"/>
  <c r="J557" i="1"/>
  <c r="G557" i="1" s="1"/>
  <c r="H557" i="1"/>
  <c r="F557" i="1"/>
  <c r="I1752" i="1" l="1"/>
  <c r="E1753" i="1" s="1"/>
  <c r="C2208" i="1"/>
  <c r="D2208" i="1" s="1"/>
  <c r="B2209" i="1"/>
  <c r="I557" i="1"/>
  <c r="E558" i="1" s="1"/>
  <c r="C2209" i="1" l="1"/>
  <c r="D2209" i="1" s="1"/>
  <c r="B2210" i="1"/>
  <c r="J1753" i="1"/>
  <c r="G1753" i="1" s="1"/>
  <c r="H1753" i="1"/>
  <c r="F1753" i="1"/>
  <c r="H558" i="1"/>
  <c r="J558" i="1"/>
  <c r="G558" i="1" s="1"/>
  <c r="F558" i="1"/>
  <c r="I1753" i="1" l="1"/>
  <c r="E1754" i="1" s="1"/>
  <c r="C2210" i="1"/>
  <c r="D2210" i="1" s="1"/>
  <c r="B2211" i="1"/>
  <c r="I558" i="1"/>
  <c r="E559" i="1" s="1"/>
  <c r="C2211" i="1" l="1"/>
  <c r="D2211" i="1" s="1"/>
  <c r="B2212" i="1"/>
  <c r="H1754" i="1"/>
  <c r="J1754" i="1"/>
  <c r="G1754" i="1" s="1"/>
  <c r="F1754" i="1"/>
  <c r="H559" i="1"/>
  <c r="J559" i="1"/>
  <c r="G559" i="1" s="1"/>
  <c r="F559" i="1"/>
  <c r="I1754" i="1" l="1"/>
  <c r="E1755" i="1" s="1"/>
  <c r="C2212" i="1"/>
  <c r="D2212" i="1" s="1"/>
  <c r="B2213" i="1"/>
  <c r="I559" i="1"/>
  <c r="E560" i="1" s="1"/>
  <c r="C2213" i="1" l="1"/>
  <c r="D2213" i="1" s="1"/>
  <c r="B2214" i="1"/>
  <c r="H1755" i="1"/>
  <c r="J1755" i="1"/>
  <c r="G1755" i="1" s="1"/>
  <c r="F1755" i="1"/>
  <c r="H560" i="1"/>
  <c r="J560" i="1"/>
  <c r="G560" i="1" s="1"/>
  <c r="F560" i="1"/>
  <c r="I1755" i="1" l="1"/>
  <c r="E1756" i="1" s="1"/>
  <c r="C2214" i="1"/>
  <c r="D2214" i="1" s="1"/>
  <c r="B2215" i="1"/>
  <c r="I560" i="1"/>
  <c r="E561" i="1" s="1"/>
  <c r="C2215" i="1" l="1"/>
  <c r="D2215" i="1" s="1"/>
  <c r="B2216" i="1"/>
  <c r="H1756" i="1"/>
  <c r="J1756" i="1"/>
  <c r="G1756" i="1" s="1"/>
  <c r="F1756" i="1"/>
  <c r="H561" i="1"/>
  <c r="J561" i="1"/>
  <c r="G561" i="1" s="1"/>
  <c r="F561" i="1"/>
  <c r="I1756" i="1" l="1"/>
  <c r="E1757" i="1" s="1"/>
  <c r="C2216" i="1"/>
  <c r="D2216" i="1" s="1"/>
  <c r="B2217" i="1"/>
  <c r="I561" i="1"/>
  <c r="E562" i="1" s="1"/>
  <c r="C2217" i="1" l="1"/>
  <c r="D2217" i="1" s="1"/>
  <c r="B2218" i="1"/>
  <c r="H1757" i="1"/>
  <c r="J1757" i="1"/>
  <c r="G1757" i="1" s="1"/>
  <c r="F1757" i="1"/>
  <c r="H562" i="1"/>
  <c r="J562" i="1"/>
  <c r="G562" i="1" s="1"/>
  <c r="F562" i="1"/>
  <c r="I1757" i="1" l="1"/>
  <c r="E1758" i="1" s="1"/>
  <c r="C2218" i="1"/>
  <c r="D2218" i="1" s="1"/>
  <c r="B2219" i="1"/>
  <c r="I562" i="1"/>
  <c r="E563" i="1" s="1"/>
  <c r="C2219" i="1" l="1"/>
  <c r="D2219" i="1" s="1"/>
  <c r="B2220" i="1"/>
  <c r="H1758" i="1"/>
  <c r="J1758" i="1"/>
  <c r="G1758" i="1" s="1"/>
  <c r="F1758" i="1"/>
  <c r="H563" i="1"/>
  <c r="F563" i="1"/>
  <c r="J563" i="1"/>
  <c r="G563" i="1" s="1"/>
  <c r="I1758" i="1" l="1"/>
  <c r="E1759" i="1" s="1"/>
  <c r="C2220" i="1"/>
  <c r="D2220" i="1" s="1"/>
  <c r="B2221" i="1"/>
  <c r="I563" i="1"/>
  <c r="E564" i="1" s="1"/>
  <c r="H1759" i="1" l="1"/>
  <c r="J1759" i="1"/>
  <c r="G1759" i="1" s="1"/>
  <c r="F1759" i="1"/>
  <c r="C2221" i="1"/>
  <c r="D2221" i="1" s="1"/>
  <c r="B2222" i="1"/>
  <c r="H564" i="1"/>
  <c r="F564" i="1"/>
  <c r="J564" i="1"/>
  <c r="G564" i="1" s="1"/>
  <c r="C2222" i="1" l="1"/>
  <c r="D2222" i="1" s="1"/>
  <c r="B2223" i="1"/>
  <c r="I1759" i="1"/>
  <c r="E1760" i="1" s="1"/>
  <c r="I564" i="1"/>
  <c r="E565" i="1" s="1"/>
  <c r="J1760" i="1" l="1"/>
  <c r="G1760" i="1" s="1"/>
  <c r="H1760" i="1"/>
  <c r="F1760" i="1"/>
  <c r="C2223" i="1"/>
  <c r="D2223" i="1" s="1"/>
  <c r="B2224" i="1"/>
  <c r="J565" i="1"/>
  <c r="G565" i="1" s="1"/>
  <c r="H565" i="1"/>
  <c r="F565" i="1"/>
  <c r="C2224" i="1" l="1"/>
  <c r="D2224" i="1" s="1"/>
  <c r="B2225" i="1"/>
  <c r="I1760" i="1"/>
  <c r="E1761" i="1" s="1"/>
  <c r="I565" i="1"/>
  <c r="E566" i="1" s="1"/>
  <c r="J1761" i="1" l="1"/>
  <c r="G1761" i="1" s="1"/>
  <c r="H1761" i="1"/>
  <c r="F1761" i="1"/>
  <c r="C2225" i="1"/>
  <c r="D2225" i="1" s="1"/>
  <c r="B2226" i="1"/>
  <c r="H566" i="1"/>
  <c r="J566" i="1"/>
  <c r="G566" i="1" s="1"/>
  <c r="F566" i="1"/>
  <c r="C2226" i="1" l="1"/>
  <c r="D2226" i="1" s="1"/>
  <c r="B2227" i="1"/>
  <c r="I1761" i="1"/>
  <c r="E1762" i="1" s="1"/>
  <c r="I566" i="1"/>
  <c r="E567" i="1" s="1"/>
  <c r="H1762" i="1" l="1"/>
  <c r="J1762" i="1"/>
  <c r="G1762" i="1" s="1"/>
  <c r="F1762" i="1"/>
  <c r="C2227" i="1"/>
  <c r="D2227" i="1" s="1"/>
  <c r="B2228" i="1"/>
  <c r="H567" i="1"/>
  <c r="F567" i="1"/>
  <c r="J567" i="1"/>
  <c r="G567" i="1" s="1"/>
  <c r="C2228" i="1" l="1"/>
  <c r="D2228" i="1" s="1"/>
  <c r="B2229" i="1"/>
  <c r="I1762" i="1"/>
  <c r="E1763" i="1" s="1"/>
  <c r="I567" i="1"/>
  <c r="E568" i="1" s="1"/>
  <c r="H1763" i="1" l="1"/>
  <c r="J1763" i="1"/>
  <c r="G1763" i="1" s="1"/>
  <c r="F1763" i="1"/>
  <c r="C2229" i="1"/>
  <c r="D2229" i="1" s="1"/>
  <c r="B2230" i="1"/>
  <c r="H568" i="1"/>
  <c r="J568" i="1"/>
  <c r="G568" i="1" s="1"/>
  <c r="F568" i="1"/>
  <c r="C2230" i="1" l="1"/>
  <c r="D2230" i="1" s="1"/>
  <c r="B2231" i="1"/>
  <c r="I1763" i="1"/>
  <c r="E1764" i="1" s="1"/>
  <c r="I568" i="1"/>
  <c r="E569" i="1" s="1"/>
  <c r="H1764" i="1" l="1"/>
  <c r="J1764" i="1"/>
  <c r="G1764" i="1" s="1"/>
  <c r="F1764" i="1"/>
  <c r="C2231" i="1"/>
  <c r="D2231" i="1" s="1"/>
  <c r="B2232" i="1"/>
  <c r="J569" i="1"/>
  <c r="G569" i="1" s="1"/>
  <c r="F569" i="1"/>
  <c r="H569" i="1"/>
  <c r="C2232" i="1" l="1"/>
  <c r="D2232" i="1" s="1"/>
  <c r="B2233" i="1"/>
  <c r="I1764" i="1"/>
  <c r="E1765" i="1" s="1"/>
  <c r="I569" i="1"/>
  <c r="E570" i="1" s="1"/>
  <c r="H1765" i="1" l="1"/>
  <c r="J1765" i="1"/>
  <c r="G1765" i="1" s="1"/>
  <c r="F1765" i="1"/>
  <c r="C2233" i="1"/>
  <c r="D2233" i="1" s="1"/>
  <c r="B2234" i="1"/>
  <c r="J570" i="1"/>
  <c r="G570" i="1" s="1"/>
  <c r="F570" i="1"/>
  <c r="H570" i="1"/>
  <c r="C2234" i="1" l="1"/>
  <c r="D2234" i="1" s="1"/>
  <c r="B2235" i="1"/>
  <c r="I1765" i="1"/>
  <c r="E1766" i="1" s="1"/>
  <c r="I570" i="1"/>
  <c r="E571" i="1" s="1"/>
  <c r="C2235" i="1" l="1"/>
  <c r="D2235" i="1" s="1"/>
  <c r="B2236" i="1"/>
  <c r="H1766" i="1"/>
  <c r="J1766" i="1"/>
  <c r="G1766" i="1" s="1"/>
  <c r="F1766" i="1"/>
  <c r="J571" i="1"/>
  <c r="G571" i="1" s="1"/>
  <c r="F571" i="1"/>
  <c r="H571" i="1"/>
  <c r="I1766" i="1" l="1"/>
  <c r="E1767" i="1" s="1"/>
  <c r="C2236" i="1"/>
  <c r="D2236" i="1" s="1"/>
  <c r="B2237" i="1"/>
  <c r="I571" i="1"/>
  <c r="E572" i="1" s="1"/>
  <c r="J572" i="1"/>
  <c r="G572" i="1" s="1"/>
  <c r="F572" i="1"/>
  <c r="H572" i="1"/>
  <c r="C2237" i="1" l="1"/>
  <c r="D2237" i="1" s="1"/>
  <c r="B2238" i="1"/>
  <c r="H1767" i="1"/>
  <c r="J1767" i="1"/>
  <c r="G1767" i="1" s="1"/>
  <c r="F1767" i="1"/>
  <c r="I572" i="1"/>
  <c r="E573" i="1" s="1"/>
  <c r="J573" i="1"/>
  <c r="G573" i="1" s="1"/>
  <c r="F573" i="1"/>
  <c r="H573" i="1"/>
  <c r="I1767" i="1" l="1"/>
  <c r="E1768" i="1" s="1"/>
  <c r="C2238" i="1"/>
  <c r="D2238" i="1" s="1"/>
  <c r="B2239" i="1"/>
  <c r="I573" i="1"/>
  <c r="E574" i="1" s="1"/>
  <c r="C2239" i="1" l="1"/>
  <c r="D2239" i="1" s="1"/>
  <c r="B2240" i="1"/>
  <c r="J1768" i="1"/>
  <c r="G1768" i="1" s="1"/>
  <c r="H1768" i="1"/>
  <c r="F1768" i="1"/>
  <c r="J574" i="1"/>
  <c r="G574" i="1" s="1"/>
  <c r="F574" i="1"/>
  <c r="H574" i="1"/>
  <c r="I1768" i="1" l="1"/>
  <c r="E1769" i="1" s="1"/>
  <c r="C2240" i="1"/>
  <c r="D2240" i="1" s="1"/>
  <c r="B2241" i="1"/>
  <c r="I574" i="1"/>
  <c r="E575" i="1" s="1"/>
  <c r="H575" i="1" s="1"/>
  <c r="F575" i="1"/>
  <c r="C2241" i="1" l="1"/>
  <c r="D2241" i="1" s="1"/>
  <c r="B2242" i="1"/>
  <c r="J1769" i="1"/>
  <c r="G1769" i="1" s="1"/>
  <c r="H1769" i="1"/>
  <c r="I1769" i="1" s="1"/>
  <c r="E1770" i="1" s="1"/>
  <c r="F1769" i="1"/>
  <c r="J575" i="1"/>
  <c r="G575" i="1" s="1"/>
  <c r="I575" i="1" s="1"/>
  <c r="E576" i="1" s="1"/>
  <c r="H1770" i="1" l="1"/>
  <c r="J1770" i="1"/>
  <c r="G1770" i="1" s="1"/>
  <c r="F1770" i="1"/>
  <c r="C2242" i="1"/>
  <c r="D2242" i="1" s="1"/>
  <c r="B2243" i="1"/>
  <c r="J576" i="1"/>
  <c r="G576" i="1" s="1"/>
  <c r="H576" i="1"/>
  <c r="F576" i="1"/>
  <c r="C2243" i="1" l="1"/>
  <c r="D2243" i="1" s="1"/>
  <c r="B2244" i="1"/>
  <c r="I1770" i="1"/>
  <c r="E1771" i="1" s="1"/>
  <c r="I576" i="1"/>
  <c r="E577" i="1" s="1"/>
  <c r="J577" i="1"/>
  <c r="G577" i="1" s="1"/>
  <c r="F577" i="1"/>
  <c r="H577" i="1"/>
  <c r="H1771" i="1" l="1"/>
  <c r="J1771" i="1"/>
  <c r="G1771" i="1" s="1"/>
  <c r="F1771" i="1"/>
  <c r="C2244" i="1"/>
  <c r="D2244" i="1" s="1"/>
  <c r="B2245" i="1"/>
  <c r="I577" i="1"/>
  <c r="E578" i="1" s="1"/>
  <c r="C2245" i="1" l="1"/>
  <c r="D2245" i="1" s="1"/>
  <c r="B2246" i="1"/>
  <c r="I1771" i="1"/>
  <c r="E1772" i="1" s="1"/>
  <c r="H578" i="1"/>
  <c r="J578" i="1"/>
  <c r="G578" i="1" s="1"/>
  <c r="F578" i="1"/>
  <c r="H1772" i="1" l="1"/>
  <c r="J1772" i="1"/>
  <c r="G1772" i="1" s="1"/>
  <c r="F1772" i="1"/>
  <c r="C2246" i="1"/>
  <c r="D2246" i="1" s="1"/>
  <c r="B2247" i="1"/>
  <c r="I578" i="1"/>
  <c r="E579" i="1" s="1"/>
  <c r="C2247" i="1" l="1"/>
  <c r="D2247" i="1" s="1"/>
  <c r="B2248" i="1"/>
  <c r="I1772" i="1"/>
  <c r="E1773" i="1" s="1"/>
  <c r="H579" i="1"/>
  <c r="F579" i="1"/>
  <c r="J579" i="1"/>
  <c r="G579" i="1" s="1"/>
  <c r="H1773" i="1" l="1"/>
  <c r="J1773" i="1"/>
  <c r="G1773" i="1" s="1"/>
  <c r="F1773" i="1"/>
  <c r="C2248" i="1"/>
  <c r="D2248" i="1" s="1"/>
  <c r="B2249" i="1"/>
  <c r="I579" i="1"/>
  <c r="E580" i="1" s="1"/>
  <c r="C2249" i="1" l="1"/>
  <c r="D2249" i="1" s="1"/>
  <c r="B2250" i="1"/>
  <c r="I1773" i="1"/>
  <c r="E1774" i="1" s="1"/>
  <c r="J580" i="1"/>
  <c r="G580" i="1" s="1"/>
  <c r="H580" i="1"/>
  <c r="F580" i="1"/>
  <c r="H1774" i="1" l="1"/>
  <c r="J1774" i="1"/>
  <c r="G1774" i="1" s="1"/>
  <c r="F1774" i="1"/>
  <c r="C2250" i="1"/>
  <c r="D2250" i="1" s="1"/>
  <c r="B2251" i="1"/>
  <c r="I580" i="1"/>
  <c r="E581" i="1" s="1"/>
  <c r="C2251" i="1" l="1"/>
  <c r="D2251" i="1" s="1"/>
  <c r="B2252" i="1"/>
  <c r="I1774" i="1"/>
  <c r="E1775" i="1" s="1"/>
  <c r="H581" i="1"/>
  <c r="J581" i="1"/>
  <c r="G581" i="1" s="1"/>
  <c r="F581" i="1"/>
  <c r="H1775" i="1" l="1"/>
  <c r="J1775" i="1"/>
  <c r="G1775" i="1" s="1"/>
  <c r="F1775" i="1"/>
  <c r="C2252" i="1"/>
  <c r="D2252" i="1" s="1"/>
  <c r="B2253" i="1"/>
  <c r="I581" i="1"/>
  <c r="E582" i="1" s="1"/>
  <c r="C2253" i="1" l="1"/>
  <c r="D2253" i="1" s="1"/>
  <c r="B2254" i="1"/>
  <c r="I1775" i="1"/>
  <c r="E1776" i="1" s="1"/>
  <c r="J582" i="1"/>
  <c r="G582" i="1" s="1"/>
  <c r="F582" i="1"/>
  <c r="H582" i="1"/>
  <c r="J1776" i="1" l="1"/>
  <c r="G1776" i="1" s="1"/>
  <c r="H1776" i="1"/>
  <c r="F1776" i="1"/>
  <c r="C2254" i="1"/>
  <c r="D2254" i="1" s="1"/>
  <c r="B2255" i="1"/>
  <c r="I582" i="1"/>
  <c r="E583" i="1" s="1"/>
  <c r="C2255" i="1" l="1"/>
  <c r="D2255" i="1" s="1"/>
  <c r="B2256" i="1"/>
  <c r="I1776" i="1"/>
  <c r="E1777" i="1" s="1"/>
  <c r="J583" i="1"/>
  <c r="G583" i="1" s="1"/>
  <c r="F583" i="1"/>
  <c r="H583" i="1"/>
  <c r="J1777" i="1" l="1"/>
  <c r="G1777" i="1" s="1"/>
  <c r="H1777" i="1"/>
  <c r="I1777" i="1" s="1"/>
  <c r="E1778" i="1" s="1"/>
  <c r="F1777" i="1"/>
  <c r="C2256" i="1"/>
  <c r="D2256" i="1" s="1"/>
  <c r="B2257" i="1"/>
  <c r="I583" i="1"/>
  <c r="E584" i="1" s="1"/>
  <c r="J584" i="1"/>
  <c r="G584" i="1" s="1"/>
  <c r="F584" i="1"/>
  <c r="H584" i="1"/>
  <c r="H1778" i="1" l="1"/>
  <c r="J1778" i="1"/>
  <c r="G1778" i="1" s="1"/>
  <c r="F1778" i="1"/>
  <c r="C2257" i="1"/>
  <c r="D2257" i="1" s="1"/>
  <c r="B2258" i="1"/>
  <c r="I584" i="1"/>
  <c r="E585" i="1" s="1"/>
  <c r="C2258" i="1" l="1"/>
  <c r="D2258" i="1" s="1"/>
  <c r="B2259" i="1"/>
  <c r="I1778" i="1"/>
  <c r="E1779" i="1" s="1"/>
  <c r="H585" i="1"/>
  <c r="J585" i="1"/>
  <c r="G585" i="1" s="1"/>
  <c r="F585" i="1"/>
  <c r="H1779" i="1" l="1"/>
  <c r="J1779" i="1"/>
  <c r="G1779" i="1" s="1"/>
  <c r="F1779" i="1"/>
  <c r="C2259" i="1"/>
  <c r="D2259" i="1" s="1"/>
  <c r="B2260" i="1"/>
  <c r="I585" i="1"/>
  <c r="E586" i="1" s="1"/>
  <c r="C2260" i="1" l="1"/>
  <c r="D2260" i="1" s="1"/>
  <c r="B2261" i="1"/>
  <c r="I1779" i="1"/>
  <c r="E1780" i="1" s="1"/>
  <c r="J586" i="1"/>
  <c r="G586" i="1" s="1"/>
  <c r="H586" i="1"/>
  <c r="F586" i="1"/>
  <c r="C2261" i="1" l="1"/>
  <c r="D2261" i="1" s="1"/>
  <c r="B2262" i="1"/>
  <c r="H1780" i="1"/>
  <c r="J1780" i="1"/>
  <c r="G1780" i="1" s="1"/>
  <c r="F1780" i="1"/>
  <c r="I586" i="1"/>
  <c r="E587" i="1" s="1"/>
  <c r="I1780" i="1" l="1"/>
  <c r="E1781" i="1" s="1"/>
  <c r="C2262" i="1"/>
  <c r="D2262" i="1" s="1"/>
  <c r="B2263" i="1"/>
  <c r="J587" i="1"/>
  <c r="G587" i="1" s="1"/>
  <c r="H587" i="1"/>
  <c r="F587" i="1"/>
  <c r="C2263" i="1" l="1"/>
  <c r="D2263" i="1" s="1"/>
  <c r="B2264" i="1"/>
  <c r="H1781" i="1"/>
  <c r="J1781" i="1"/>
  <c r="G1781" i="1" s="1"/>
  <c r="F1781" i="1"/>
  <c r="I587" i="1"/>
  <c r="E588" i="1" s="1"/>
  <c r="I1781" i="1" l="1"/>
  <c r="E1782" i="1" s="1"/>
  <c r="C2264" i="1"/>
  <c r="D2264" i="1" s="1"/>
  <c r="B2265" i="1"/>
  <c r="H588" i="1"/>
  <c r="J588" i="1"/>
  <c r="G588" i="1" s="1"/>
  <c r="F588" i="1"/>
  <c r="C2265" i="1" l="1"/>
  <c r="D2265" i="1" s="1"/>
  <c r="B2266" i="1"/>
  <c r="H1782" i="1"/>
  <c r="J1782" i="1"/>
  <c r="G1782" i="1" s="1"/>
  <c r="F1782" i="1"/>
  <c r="I588" i="1"/>
  <c r="E589" i="1" s="1"/>
  <c r="I1782" i="1" l="1"/>
  <c r="E1783" i="1" s="1"/>
  <c r="C2266" i="1"/>
  <c r="D2266" i="1" s="1"/>
  <c r="B2267" i="1"/>
  <c r="F589" i="1"/>
  <c r="J589" i="1"/>
  <c r="G589" i="1" s="1"/>
  <c r="H589" i="1"/>
  <c r="C2267" i="1" l="1"/>
  <c r="D2267" i="1" s="1"/>
  <c r="B2268" i="1"/>
  <c r="H1783" i="1"/>
  <c r="J1783" i="1"/>
  <c r="G1783" i="1" s="1"/>
  <c r="F1783" i="1"/>
  <c r="I589" i="1"/>
  <c r="E590" i="1" s="1"/>
  <c r="I1783" i="1" l="1"/>
  <c r="E1784" i="1" s="1"/>
  <c r="C2268" i="1"/>
  <c r="D2268" i="1" s="1"/>
  <c r="B2269" i="1"/>
  <c r="H590" i="1"/>
  <c r="J590" i="1"/>
  <c r="G590" i="1" s="1"/>
  <c r="F590" i="1"/>
  <c r="B2270" i="1" l="1"/>
  <c r="C2269" i="1"/>
  <c r="D2269" i="1" s="1"/>
  <c r="J1784" i="1"/>
  <c r="G1784" i="1" s="1"/>
  <c r="H1784" i="1"/>
  <c r="F1784" i="1"/>
  <c r="I590" i="1"/>
  <c r="E591" i="1" s="1"/>
  <c r="I1784" i="1" l="1"/>
  <c r="E1785" i="1" s="1"/>
  <c r="C2270" i="1"/>
  <c r="D2270" i="1" s="1"/>
  <c r="B2271" i="1"/>
  <c r="H591" i="1"/>
  <c r="J591" i="1"/>
  <c r="G591" i="1" s="1"/>
  <c r="F591" i="1"/>
  <c r="C2271" i="1" l="1"/>
  <c r="D2271" i="1" s="1"/>
  <c r="B2272" i="1"/>
  <c r="J1785" i="1"/>
  <c r="G1785" i="1" s="1"/>
  <c r="H1785" i="1"/>
  <c r="F1785" i="1"/>
  <c r="I591" i="1"/>
  <c r="E592" i="1" s="1"/>
  <c r="I1785" i="1" l="1"/>
  <c r="E1786" i="1" s="1"/>
  <c r="C2272" i="1"/>
  <c r="D2272" i="1" s="1"/>
  <c r="B2273" i="1"/>
  <c r="J592" i="1"/>
  <c r="G592" i="1" s="1"/>
  <c r="H592" i="1"/>
  <c r="F592" i="1"/>
  <c r="C2273" i="1" l="1"/>
  <c r="D2273" i="1" s="1"/>
  <c r="B2274" i="1"/>
  <c r="H1786" i="1"/>
  <c r="J1786" i="1"/>
  <c r="G1786" i="1" s="1"/>
  <c r="F1786" i="1"/>
  <c r="I592" i="1"/>
  <c r="E593" i="1" s="1"/>
  <c r="H593" i="1" s="1"/>
  <c r="F593" i="1"/>
  <c r="I1786" i="1" l="1"/>
  <c r="E1787" i="1" s="1"/>
  <c r="C2274" i="1"/>
  <c r="D2274" i="1" s="1"/>
  <c r="B2275" i="1"/>
  <c r="J593" i="1"/>
  <c r="G593" i="1" s="1"/>
  <c r="I593" i="1" s="1"/>
  <c r="E594" i="1" s="1"/>
  <c r="C2275" i="1" l="1"/>
  <c r="D2275" i="1" s="1"/>
  <c r="B2276" i="1"/>
  <c r="H1787" i="1"/>
  <c r="J1787" i="1"/>
  <c r="G1787" i="1" s="1"/>
  <c r="F1787" i="1"/>
  <c r="H594" i="1"/>
  <c r="J594" i="1"/>
  <c r="G594" i="1" s="1"/>
  <c r="F594" i="1"/>
  <c r="I1787" i="1" l="1"/>
  <c r="E1788" i="1" s="1"/>
  <c r="C2276" i="1"/>
  <c r="D2276" i="1" s="1"/>
  <c r="B2277" i="1"/>
  <c r="I594" i="1"/>
  <c r="E595" i="1" s="1"/>
  <c r="C2277" i="1" l="1"/>
  <c r="D2277" i="1" s="1"/>
  <c r="B2278" i="1"/>
  <c r="J1788" i="1"/>
  <c r="G1788" i="1" s="1"/>
  <c r="H1788" i="1"/>
  <c r="F1788" i="1"/>
  <c r="J595" i="1"/>
  <c r="G595" i="1" s="1"/>
  <c r="H595" i="1"/>
  <c r="F595" i="1"/>
  <c r="I1788" i="1" l="1"/>
  <c r="E1789" i="1" s="1"/>
  <c r="C2278" i="1"/>
  <c r="D2278" i="1" s="1"/>
  <c r="B2279" i="1"/>
  <c r="I595" i="1"/>
  <c r="E596" i="1" s="1"/>
  <c r="C2279" i="1" l="1"/>
  <c r="D2279" i="1" s="1"/>
  <c r="B2280" i="1"/>
  <c r="H1789" i="1"/>
  <c r="J1789" i="1"/>
  <c r="G1789" i="1" s="1"/>
  <c r="F1789" i="1"/>
  <c r="H596" i="1"/>
  <c r="J596" i="1"/>
  <c r="G596" i="1" s="1"/>
  <c r="F596" i="1"/>
  <c r="I1789" i="1" l="1"/>
  <c r="E1790" i="1" s="1"/>
  <c r="C2280" i="1"/>
  <c r="D2280" i="1" s="1"/>
  <c r="B2281" i="1"/>
  <c r="I596" i="1"/>
  <c r="E597" i="1" s="1"/>
  <c r="C2281" i="1" l="1"/>
  <c r="D2281" i="1" s="1"/>
  <c r="B2282" i="1"/>
  <c r="H1790" i="1"/>
  <c r="J1790" i="1"/>
  <c r="G1790" i="1" s="1"/>
  <c r="F1790" i="1"/>
  <c r="H597" i="1"/>
  <c r="J597" i="1"/>
  <c r="G597" i="1" s="1"/>
  <c r="F597" i="1"/>
  <c r="I1790" i="1" l="1"/>
  <c r="E1791" i="1" s="1"/>
  <c r="C2282" i="1"/>
  <c r="D2282" i="1" s="1"/>
  <c r="B2283" i="1"/>
  <c r="I597" i="1"/>
  <c r="E598" i="1" s="1"/>
  <c r="C2283" i="1" l="1"/>
  <c r="D2283" i="1" s="1"/>
  <c r="B2284" i="1"/>
  <c r="H1791" i="1"/>
  <c r="J1791" i="1"/>
  <c r="G1791" i="1" s="1"/>
  <c r="F1791" i="1"/>
  <c r="H598" i="1"/>
  <c r="F598" i="1"/>
  <c r="J598" i="1"/>
  <c r="G598" i="1" s="1"/>
  <c r="I1791" i="1" l="1"/>
  <c r="E1792" i="1" s="1"/>
  <c r="C2284" i="1"/>
  <c r="D2284" i="1" s="1"/>
  <c r="B2285" i="1"/>
  <c r="I598" i="1"/>
  <c r="E599" i="1" s="1"/>
  <c r="C2285" i="1" l="1"/>
  <c r="D2285" i="1" s="1"/>
  <c r="B2286" i="1"/>
  <c r="J1792" i="1"/>
  <c r="G1792" i="1" s="1"/>
  <c r="H1792" i="1"/>
  <c r="F1792" i="1"/>
  <c r="H599" i="1"/>
  <c r="J599" i="1"/>
  <c r="G599" i="1" s="1"/>
  <c r="F599" i="1"/>
  <c r="I1792" i="1" l="1"/>
  <c r="E1793" i="1" s="1"/>
  <c r="C2286" i="1"/>
  <c r="D2286" i="1" s="1"/>
  <c r="B2287" i="1"/>
  <c r="I599" i="1"/>
  <c r="E600" i="1" s="1"/>
  <c r="B2288" i="1" l="1"/>
  <c r="C2287" i="1"/>
  <c r="D2287" i="1" s="1"/>
  <c r="J1793" i="1"/>
  <c r="G1793" i="1" s="1"/>
  <c r="H1793" i="1"/>
  <c r="F1793" i="1"/>
  <c r="H600" i="1"/>
  <c r="J600" i="1"/>
  <c r="G600" i="1" s="1"/>
  <c r="F600" i="1"/>
  <c r="I1793" i="1" l="1"/>
  <c r="E1794" i="1" s="1"/>
  <c r="C2288" i="1"/>
  <c r="D2288" i="1" s="1"/>
  <c r="B2289" i="1"/>
  <c r="I600" i="1"/>
  <c r="E601" i="1" s="1"/>
  <c r="H601" i="1" s="1"/>
  <c r="J601" i="1"/>
  <c r="G601" i="1" s="1"/>
  <c r="F601" i="1"/>
  <c r="C2289" i="1" l="1"/>
  <c r="D2289" i="1" s="1"/>
  <c r="B2290" i="1"/>
  <c r="H1794" i="1"/>
  <c r="J1794" i="1"/>
  <c r="G1794" i="1" s="1"/>
  <c r="F1794" i="1"/>
  <c r="I601" i="1"/>
  <c r="E602" i="1" s="1"/>
  <c r="J602" i="1" s="1"/>
  <c r="G602" i="1" s="1"/>
  <c r="H602" i="1"/>
  <c r="F602" i="1"/>
  <c r="C2290" i="1" l="1"/>
  <c r="D2290" i="1" s="1"/>
  <c r="B2291" i="1"/>
  <c r="I1794" i="1"/>
  <c r="E1795" i="1" s="1"/>
  <c r="I602" i="1"/>
  <c r="E603" i="1" s="1"/>
  <c r="J603" i="1" s="1"/>
  <c r="G603" i="1" s="1"/>
  <c r="H603" i="1"/>
  <c r="F603" i="1"/>
  <c r="H1795" i="1" l="1"/>
  <c r="J1795" i="1"/>
  <c r="G1795" i="1" s="1"/>
  <c r="F1795" i="1"/>
  <c r="C2291" i="1"/>
  <c r="D2291" i="1" s="1"/>
  <c r="B2292" i="1"/>
  <c r="I603" i="1"/>
  <c r="E604" i="1" s="1"/>
  <c r="C2292" i="1" l="1"/>
  <c r="D2292" i="1" s="1"/>
  <c r="B2293" i="1"/>
  <c r="I1795" i="1"/>
  <c r="E1796" i="1" s="1"/>
  <c r="H604" i="1"/>
  <c r="J604" i="1"/>
  <c r="G604" i="1" s="1"/>
  <c r="F604" i="1"/>
  <c r="J1796" i="1" l="1"/>
  <c r="G1796" i="1" s="1"/>
  <c r="H1796" i="1"/>
  <c r="F1796" i="1"/>
  <c r="C2293" i="1"/>
  <c r="D2293" i="1" s="1"/>
  <c r="B2294" i="1"/>
  <c r="I604" i="1"/>
  <c r="E605" i="1" s="1"/>
  <c r="C2294" i="1" l="1"/>
  <c r="D2294" i="1" s="1"/>
  <c r="B2295" i="1"/>
  <c r="I1796" i="1"/>
  <c r="E1797" i="1" s="1"/>
  <c r="H605" i="1"/>
  <c r="J605" i="1"/>
  <c r="G605" i="1" s="1"/>
  <c r="F605" i="1"/>
  <c r="H1797" i="1" l="1"/>
  <c r="J1797" i="1"/>
  <c r="G1797" i="1" s="1"/>
  <c r="F1797" i="1"/>
  <c r="C2295" i="1"/>
  <c r="D2295" i="1" s="1"/>
  <c r="B2296" i="1"/>
  <c r="I605" i="1"/>
  <c r="E606" i="1" s="1"/>
  <c r="C2296" i="1" l="1"/>
  <c r="D2296" i="1" s="1"/>
  <c r="B2297" i="1"/>
  <c r="I1797" i="1"/>
  <c r="E1798" i="1" s="1"/>
  <c r="H606" i="1"/>
  <c r="J606" i="1"/>
  <c r="G606" i="1" s="1"/>
  <c r="F606" i="1"/>
  <c r="H1798" i="1" l="1"/>
  <c r="J1798" i="1"/>
  <c r="G1798" i="1" s="1"/>
  <c r="F1798" i="1"/>
  <c r="C2297" i="1"/>
  <c r="D2297" i="1" s="1"/>
  <c r="B2298" i="1"/>
  <c r="I606" i="1"/>
  <c r="E607" i="1" s="1"/>
  <c r="C2298" i="1" l="1"/>
  <c r="D2298" i="1" s="1"/>
  <c r="B2299" i="1"/>
  <c r="I1798" i="1"/>
  <c r="E1799" i="1" s="1"/>
  <c r="H607" i="1"/>
  <c r="J607" i="1"/>
  <c r="G607" i="1" s="1"/>
  <c r="F607" i="1"/>
  <c r="H1799" i="1" l="1"/>
  <c r="J1799" i="1"/>
  <c r="G1799" i="1" s="1"/>
  <c r="F1799" i="1"/>
  <c r="C2299" i="1"/>
  <c r="D2299" i="1" s="1"/>
  <c r="B2300" i="1"/>
  <c r="I607" i="1"/>
  <c r="E608" i="1" s="1"/>
  <c r="C2300" i="1" l="1"/>
  <c r="D2300" i="1" s="1"/>
  <c r="B2301" i="1"/>
  <c r="I1799" i="1"/>
  <c r="E1800" i="1" s="1"/>
  <c r="H608" i="1"/>
  <c r="F608" i="1"/>
  <c r="J608" i="1"/>
  <c r="G608" i="1" s="1"/>
  <c r="J1800" i="1" l="1"/>
  <c r="G1800" i="1" s="1"/>
  <c r="H1800" i="1"/>
  <c r="F1800" i="1"/>
  <c r="B2302" i="1"/>
  <c r="C2301" i="1"/>
  <c r="D2301" i="1" s="1"/>
  <c r="I608" i="1"/>
  <c r="E609" i="1" s="1"/>
  <c r="C2302" i="1" l="1"/>
  <c r="D2302" i="1" s="1"/>
  <c r="B2303" i="1"/>
  <c r="I1800" i="1"/>
  <c r="E1801" i="1" s="1"/>
  <c r="H609" i="1"/>
  <c r="J609" i="1"/>
  <c r="G609" i="1" s="1"/>
  <c r="F609" i="1"/>
  <c r="H1801" i="1" l="1"/>
  <c r="J1801" i="1"/>
  <c r="G1801" i="1" s="1"/>
  <c r="F1801" i="1"/>
  <c r="C2303" i="1"/>
  <c r="D2303" i="1" s="1"/>
  <c r="B2304" i="1"/>
  <c r="I609" i="1"/>
  <c r="E610" i="1" s="1"/>
  <c r="C2304" i="1" l="1"/>
  <c r="D2304" i="1" s="1"/>
  <c r="B2305" i="1"/>
  <c r="I1801" i="1"/>
  <c r="E1802" i="1" s="1"/>
  <c r="J610" i="1"/>
  <c r="G610" i="1" s="1"/>
  <c r="H610" i="1"/>
  <c r="F610" i="1"/>
  <c r="H1802" i="1" l="1"/>
  <c r="J1802" i="1"/>
  <c r="G1802" i="1" s="1"/>
  <c r="F1802" i="1"/>
  <c r="C2305" i="1"/>
  <c r="D2305" i="1" s="1"/>
  <c r="B2306" i="1"/>
  <c r="I610" i="1"/>
  <c r="E611" i="1" s="1"/>
  <c r="B2307" i="1" l="1"/>
  <c r="C2306" i="1"/>
  <c r="D2306" i="1" s="1"/>
  <c r="I1802" i="1"/>
  <c r="E1803" i="1" s="1"/>
  <c r="J611" i="1"/>
  <c r="G611" i="1" s="1"/>
  <c r="H611" i="1"/>
  <c r="F611" i="1"/>
  <c r="J1803" i="1" l="1"/>
  <c r="G1803" i="1" s="1"/>
  <c r="H1803" i="1"/>
  <c r="F1803" i="1"/>
  <c r="C2307" i="1"/>
  <c r="D2307" i="1" s="1"/>
  <c r="B2308" i="1"/>
  <c r="I611" i="1"/>
  <c r="E612" i="1" s="1"/>
  <c r="J612" i="1" s="1"/>
  <c r="G612" i="1" s="1"/>
  <c r="F612" i="1"/>
  <c r="H612" i="1"/>
  <c r="C2308" i="1" l="1"/>
  <c r="D2308" i="1" s="1"/>
  <c r="B2309" i="1"/>
  <c r="I1803" i="1"/>
  <c r="E1804" i="1" s="1"/>
  <c r="I612" i="1"/>
  <c r="E613" i="1" s="1"/>
  <c r="J1804" i="1" l="1"/>
  <c r="G1804" i="1" s="1"/>
  <c r="H1804" i="1"/>
  <c r="F1804" i="1"/>
  <c r="C2309" i="1"/>
  <c r="D2309" i="1" s="1"/>
  <c r="B2310" i="1"/>
  <c r="J613" i="1"/>
  <c r="G613" i="1" s="1"/>
  <c r="H613" i="1"/>
  <c r="F613" i="1"/>
  <c r="C2310" i="1" l="1"/>
  <c r="D2310" i="1" s="1"/>
  <c r="B2311" i="1"/>
  <c r="I1804" i="1"/>
  <c r="E1805" i="1" s="1"/>
  <c r="I613" i="1"/>
  <c r="E614" i="1" s="1"/>
  <c r="H1805" i="1" l="1"/>
  <c r="J1805" i="1"/>
  <c r="G1805" i="1" s="1"/>
  <c r="F1805" i="1"/>
  <c r="B2312" i="1"/>
  <c r="C2311" i="1"/>
  <c r="D2311" i="1" s="1"/>
  <c r="J614" i="1"/>
  <c r="G614" i="1" s="1"/>
  <c r="H614" i="1"/>
  <c r="F614" i="1"/>
  <c r="C2312" i="1" l="1"/>
  <c r="D2312" i="1" s="1"/>
  <c r="B2313" i="1"/>
  <c r="I1805" i="1"/>
  <c r="E1806" i="1" s="1"/>
  <c r="I614" i="1"/>
  <c r="E615" i="1" s="1"/>
  <c r="H1806" i="1" l="1"/>
  <c r="J1806" i="1"/>
  <c r="G1806" i="1" s="1"/>
  <c r="F1806" i="1"/>
  <c r="C2313" i="1"/>
  <c r="D2313" i="1" s="1"/>
  <c r="B2314" i="1"/>
  <c r="H615" i="1"/>
  <c r="J615" i="1"/>
  <c r="G615" i="1" s="1"/>
  <c r="F615" i="1"/>
  <c r="C2314" i="1" l="1"/>
  <c r="D2314" i="1" s="1"/>
  <c r="B2315" i="1"/>
  <c r="I1806" i="1"/>
  <c r="E1807" i="1" s="1"/>
  <c r="I615" i="1"/>
  <c r="E616" i="1" s="1"/>
  <c r="H1807" i="1" l="1"/>
  <c r="J1807" i="1"/>
  <c r="G1807" i="1" s="1"/>
  <c r="F1807" i="1"/>
  <c r="C2315" i="1"/>
  <c r="D2315" i="1" s="1"/>
  <c r="B2316" i="1"/>
  <c r="H616" i="1"/>
  <c r="J616" i="1"/>
  <c r="G616" i="1" s="1"/>
  <c r="F616" i="1"/>
  <c r="C2316" i="1" l="1"/>
  <c r="D2316" i="1" s="1"/>
  <c r="B2317" i="1"/>
  <c r="I1807" i="1"/>
  <c r="E1808" i="1" s="1"/>
  <c r="I616" i="1"/>
  <c r="E617" i="1" s="1"/>
  <c r="J1808" i="1" l="1"/>
  <c r="G1808" i="1" s="1"/>
  <c r="H1808" i="1"/>
  <c r="F1808" i="1"/>
  <c r="C2317" i="1"/>
  <c r="D2317" i="1" s="1"/>
  <c r="B2318" i="1"/>
  <c r="H617" i="1"/>
  <c r="J617" i="1"/>
  <c r="G617" i="1" s="1"/>
  <c r="F617" i="1"/>
  <c r="C2318" i="1" l="1"/>
  <c r="D2318" i="1" s="1"/>
  <c r="B2319" i="1"/>
  <c r="I1808" i="1"/>
  <c r="E1809" i="1" s="1"/>
  <c r="I617" i="1"/>
  <c r="E618" i="1" s="1"/>
  <c r="H1809" i="1" l="1"/>
  <c r="J1809" i="1"/>
  <c r="G1809" i="1" s="1"/>
  <c r="F1809" i="1"/>
  <c r="B2320" i="1"/>
  <c r="C2319" i="1"/>
  <c r="D2319" i="1" s="1"/>
  <c r="J618" i="1"/>
  <c r="G618" i="1" s="1"/>
  <c r="H618" i="1"/>
  <c r="F618" i="1"/>
  <c r="C2320" i="1" l="1"/>
  <c r="D2320" i="1" s="1"/>
  <c r="B2321" i="1"/>
  <c r="I1809" i="1"/>
  <c r="E1810" i="1" s="1"/>
  <c r="I618" i="1"/>
  <c r="E619" i="1" s="1"/>
  <c r="H1810" i="1" l="1"/>
  <c r="J1810" i="1"/>
  <c r="G1810" i="1" s="1"/>
  <c r="F1810" i="1"/>
  <c r="C2321" i="1"/>
  <c r="D2321" i="1" s="1"/>
  <c r="B2322" i="1"/>
  <c r="J619" i="1"/>
  <c r="G619" i="1" s="1"/>
  <c r="H619" i="1"/>
  <c r="F619" i="1"/>
  <c r="C2322" i="1" l="1"/>
  <c r="D2322" i="1" s="1"/>
  <c r="B2323" i="1"/>
  <c r="I1810" i="1"/>
  <c r="E1811" i="1" s="1"/>
  <c r="I619" i="1"/>
  <c r="E620" i="1" s="1"/>
  <c r="J1811" i="1" l="1"/>
  <c r="G1811" i="1" s="1"/>
  <c r="H1811" i="1"/>
  <c r="F1811" i="1"/>
  <c r="C2323" i="1"/>
  <c r="D2323" i="1" s="1"/>
  <c r="B2324" i="1"/>
  <c r="H620" i="1"/>
  <c r="J620" i="1"/>
  <c r="G620" i="1" s="1"/>
  <c r="F620" i="1"/>
  <c r="I1811" i="1" l="1"/>
  <c r="E1812" i="1" s="1"/>
  <c r="C2324" i="1"/>
  <c r="D2324" i="1" s="1"/>
  <c r="B2325" i="1"/>
  <c r="I620" i="1"/>
  <c r="E621" i="1" s="1"/>
  <c r="C2325" i="1" l="1"/>
  <c r="D2325" i="1" s="1"/>
  <c r="B2326" i="1"/>
  <c r="H1812" i="1"/>
  <c r="J1812" i="1"/>
  <c r="G1812" i="1" s="1"/>
  <c r="F1812" i="1"/>
  <c r="F621" i="1"/>
  <c r="H621" i="1"/>
  <c r="J621" i="1"/>
  <c r="G621" i="1" s="1"/>
  <c r="C2326" i="1" l="1"/>
  <c r="D2326" i="1" s="1"/>
  <c r="B2327" i="1"/>
  <c r="I1812" i="1"/>
  <c r="E1813" i="1" s="1"/>
  <c r="I621" i="1"/>
  <c r="E622" i="1" s="1"/>
  <c r="H1813" i="1" l="1"/>
  <c r="J1813" i="1"/>
  <c r="G1813" i="1" s="1"/>
  <c r="F1813" i="1"/>
  <c r="C2327" i="1"/>
  <c r="D2327" i="1" s="1"/>
  <c r="B2328" i="1"/>
  <c r="H622" i="1"/>
  <c r="J622" i="1"/>
  <c r="G622" i="1" s="1"/>
  <c r="F622" i="1"/>
  <c r="C2328" i="1" l="1"/>
  <c r="D2328" i="1" s="1"/>
  <c r="B2329" i="1"/>
  <c r="I1813" i="1"/>
  <c r="E1814" i="1" s="1"/>
  <c r="I622" i="1"/>
  <c r="E623" i="1" s="1"/>
  <c r="J1814" i="1" l="1"/>
  <c r="G1814" i="1" s="1"/>
  <c r="H1814" i="1"/>
  <c r="F1814" i="1"/>
  <c r="C2329" i="1"/>
  <c r="D2329" i="1" s="1"/>
  <c r="B2330" i="1"/>
  <c r="J623" i="1"/>
  <c r="G623" i="1" s="1"/>
  <c r="F623" i="1"/>
  <c r="H623" i="1"/>
  <c r="C2330" i="1" l="1"/>
  <c r="D2330" i="1" s="1"/>
  <c r="B2331" i="1"/>
  <c r="I1814" i="1"/>
  <c r="E1815" i="1" s="1"/>
  <c r="I623" i="1"/>
  <c r="E624" i="1" s="1"/>
  <c r="C2331" i="1" l="1"/>
  <c r="D2331" i="1" s="1"/>
  <c r="B2332" i="1"/>
  <c r="H1815" i="1"/>
  <c r="I1815" i="1" s="1"/>
  <c r="E1816" i="1" s="1"/>
  <c r="J1815" i="1"/>
  <c r="G1815" i="1" s="1"/>
  <c r="F1815" i="1"/>
  <c r="H624" i="1"/>
  <c r="F624" i="1"/>
  <c r="J624" i="1"/>
  <c r="G624" i="1" s="1"/>
  <c r="J1816" i="1" l="1"/>
  <c r="G1816" i="1" s="1"/>
  <c r="H1816" i="1"/>
  <c r="I1816" i="1" s="1"/>
  <c r="E1817" i="1" s="1"/>
  <c r="F1816" i="1"/>
  <c r="B2333" i="1"/>
  <c r="C2332" i="1"/>
  <c r="D2332" i="1" s="1"/>
  <c r="I624" i="1"/>
  <c r="E625" i="1" s="1"/>
  <c r="H1817" i="1" l="1"/>
  <c r="J1817" i="1"/>
  <c r="G1817" i="1" s="1"/>
  <c r="F1817" i="1"/>
  <c r="C2333" i="1"/>
  <c r="D2333" i="1" s="1"/>
  <c r="B2334" i="1"/>
  <c r="J625" i="1"/>
  <c r="G625" i="1" s="1"/>
  <c r="F625" i="1"/>
  <c r="H625" i="1"/>
  <c r="C2334" i="1" l="1"/>
  <c r="D2334" i="1" s="1"/>
  <c r="B2335" i="1"/>
  <c r="I1817" i="1"/>
  <c r="E1818" i="1" s="1"/>
  <c r="I625" i="1"/>
  <c r="E626" i="1" s="1"/>
  <c r="H1818" i="1" l="1"/>
  <c r="J1818" i="1"/>
  <c r="G1818" i="1" s="1"/>
  <c r="F1818" i="1"/>
  <c r="C2335" i="1"/>
  <c r="D2335" i="1" s="1"/>
  <c r="B2336" i="1"/>
  <c r="J626" i="1"/>
  <c r="G626" i="1" s="1"/>
  <c r="H626" i="1"/>
  <c r="F626" i="1"/>
  <c r="B2337" i="1" l="1"/>
  <c r="C2336" i="1"/>
  <c r="D2336" i="1" s="1"/>
  <c r="I1818" i="1"/>
  <c r="E1819" i="1" s="1"/>
  <c r="I626" i="1"/>
  <c r="E627" i="1" s="1"/>
  <c r="J1819" i="1" l="1"/>
  <c r="G1819" i="1" s="1"/>
  <c r="H1819" i="1"/>
  <c r="I1819" i="1" s="1"/>
  <c r="E1820" i="1" s="1"/>
  <c r="F1819" i="1"/>
  <c r="B2338" i="1"/>
  <c r="C2337" i="1"/>
  <c r="D2337" i="1" s="1"/>
  <c r="H627" i="1"/>
  <c r="J627" i="1"/>
  <c r="G627" i="1" s="1"/>
  <c r="F627" i="1"/>
  <c r="H1820" i="1" l="1"/>
  <c r="J1820" i="1"/>
  <c r="G1820" i="1" s="1"/>
  <c r="F1820" i="1"/>
  <c r="C2338" i="1"/>
  <c r="D2338" i="1" s="1"/>
  <c r="B2339" i="1"/>
  <c r="I627" i="1"/>
  <c r="E628" i="1" s="1"/>
  <c r="C2339" i="1" l="1"/>
  <c r="D2339" i="1" s="1"/>
  <c r="B2340" i="1"/>
  <c r="I1820" i="1"/>
  <c r="E1821" i="1" s="1"/>
  <c r="J628" i="1"/>
  <c r="G628" i="1" s="1"/>
  <c r="F628" i="1"/>
  <c r="H628" i="1"/>
  <c r="H1821" i="1" l="1"/>
  <c r="J1821" i="1"/>
  <c r="G1821" i="1" s="1"/>
  <c r="F1821" i="1"/>
  <c r="C2340" i="1"/>
  <c r="D2340" i="1" s="1"/>
  <c r="B2341" i="1"/>
  <c r="I628" i="1"/>
  <c r="E629" i="1" s="1"/>
  <c r="H629" i="1" s="1"/>
  <c r="F629" i="1"/>
  <c r="J629" i="1"/>
  <c r="G629" i="1" s="1"/>
  <c r="B2342" i="1" l="1"/>
  <c r="C2341" i="1"/>
  <c r="D2341" i="1" s="1"/>
  <c r="I1821" i="1"/>
  <c r="E1822" i="1" s="1"/>
  <c r="I629" i="1"/>
  <c r="E630" i="1" s="1"/>
  <c r="J1822" i="1" l="1"/>
  <c r="G1822" i="1" s="1"/>
  <c r="H1822" i="1"/>
  <c r="F1822" i="1"/>
  <c r="C2342" i="1"/>
  <c r="D2342" i="1" s="1"/>
  <c r="B2343" i="1"/>
  <c r="J630" i="1"/>
  <c r="G630" i="1" s="1"/>
  <c r="H630" i="1"/>
  <c r="F630" i="1"/>
  <c r="C2343" i="1" l="1"/>
  <c r="D2343" i="1" s="1"/>
  <c r="B2344" i="1"/>
  <c r="I1822" i="1"/>
  <c r="E1823" i="1" s="1"/>
  <c r="I630" i="1"/>
  <c r="E631" i="1" s="1"/>
  <c r="H1823" i="1" l="1"/>
  <c r="J1823" i="1"/>
  <c r="G1823" i="1" s="1"/>
  <c r="F1823" i="1"/>
  <c r="C2344" i="1"/>
  <c r="D2344" i="1" s="1"/>
  <c r="B2345" i="1"/>
  <c r="H631" i="1"/>
  <c r="F631" i="1"/>
  <c r="J631" i="1"/>
  <c r="G631" i="1" s="1"/>
  <c r="C2345" i="1" l="1"/>
  <c r="D2345" i="1" s="1"/>
  <c r="B2346" i="1"/>
  <c r="I1823" i="1"/>
  <c r="E1824" i="1" s="1"/>
  <c r="I631" i="1"/>
  <c r="E632" i="1" s="1"/>
  <c r="J1824" i="1" l="1"/>
  <c r="G1824" i="1" s="1"/>
  <c r="H1824" i="1"/>
  <c r="F1824" i="1"/>
  <c r="C2346" i="1"/>
  <c r="D2346" i="1" s="1"/>
  <c r="B2347" i="1"/>
  <c r="H632" i="1"/>
  <c r="J632" i="1"/>
  <c r="G632" i="1" s="1"/>
  <c r="F632" i="1"/>
  <c r="C2347" i="1" l="1"/>
  <c r="D2347" i="1" s="1"/>
  <c r="B2348" i="1"/>
  <c r="I1824" i="1"/>
  <c r="E1825" i="1" s="1"/>
  <c r="I632" i="1"/>
  <c r="E633" i="1" s="1"/>
  <c r="H1825" i="1" l="1"/>
  <c r="J1825" i="1"/>
  <c r="G1825" i="1" s="1"/>
  <c r="F1825" i="1"/>
  <c r="B2349" i="1"/>
  <c r="C2348" i="1"/>
  <c r="D2348" i="1" s="1"/>
  <c r="H633" i="1"/>
  <c r="J633" i="1"/>
  <c r="G633" i="1" s="1"/>
  <c r="F633" i="1"/>
  <c r="C2349" i="1" l="1"/>
  <c r="D2349" i="1" s="1"/>
  <c r="B2350" i="1"/>
  <c r="I1825" i="1"/>
  <c r="E1826" i="1" s="1"/>
  <c r="I633" i="1"/>
  <c r="E634" i="1" s="1"/>
  <c r="H1826" i="1" l="1"/>
  <c r="J1826" i="1"/>
  <c r="G1826" i="1" s="1"/>
  <c r="F1826" i="1"/>
  <c r="C2350" i="1"/>
  <c r="D2350" i="1" s="1"/>
  <c r="B2351" i="1"/>
  <c r="H634" i="1"/>
  <c r="F634" i="1"/>
  <c r="J634" i="1"/>
  <c r="G634" i="1" s="1"/>
  <c r="C2351" i="1" l="1"/>
  <c r="D2351" i="1" s="1"/>
  <c r="B2352" i="1"/>
  <c r="I1826" i="1"/>
  <c r="E1827" i="1" s="1"/>
  <c r="I634" i="1"/>
  <c r="E635" i="1" s="1"/>
  <c r="J1827" i="1" l="1"/>
  <c r="G1827" i="1" s="1"/>
  <c r="H1827" i="1"/>
  <c r="I1827" i="1" s="1"/>
  <c r="E1828" i="1" s="1"/>
  <c r="F1827" i="1"/>
  <c r="B2353" i="1"/>
  <c r="C2352" i="1"/>
  <c r="D2352" i="1" s="1"/>
  <c r="H635" i="1"/>
  <c r="F635" i="1"/>
  <c r="J635" i="1"/>
  <c r="G635" i="1" s="1"/>
  <c r="H1828" i="1" l="1"/>
  <c r="J1828" i="1"/>
  <c r="G1828" i="1" s="1"/>
  <c r="F1828" i="1"/>
  <c r="B2354" i="1"/>
  <c r="C2353" i="1"/>
  <c r="D2353" i="1" s="1"/>
  <c r="I635" i="1"/>
  <c r="E636" i="1" s="1"/>
  <c r="C2354" i="1" l="1"/>
  <c r="D2354" i="1" s="1"/>
  <c r="B2355" i="1"/>
  <c r="I1828" i="1"/>
  <c r="E1829" i="1" s="1"/>
  <c r="J636" i="1"/>
  <c r="G636" i="1" s="1"/>
  <c r="H636" i="1"/>
  <c r="F636" i="1"/>
  <c r="H1829" i="1" l="1"/>
  <c r="J1829" i="1"/>
  <c r="G1829" i="1" s="1"/>
  <c r="F1829" i="1"/>
  <c r="C2355" i="1"/>
  <c r="D2355" i="1" s="1"/>
  <c r="B2356" i="1"/>
  <c r="I636" i="1"/>
  <c r="E637" i="1" s="1"/>
  <c r="C2356" i="1" l="1"/>
  <c r="D2356" i="1" s="1"/>
  <c r="B2357" i="1"/>
  <c r="I1829" i="1"/>
  <c r="E1830" i="1" s="1"/>
  <c r="J637" i="1"/>
  <c r="G637" i="1" s="1"/>
  <c r="F637" i="1"/>
  <c r="H637" i="1"/>
  <c r="H1830" i="1" l="1"/>
  <c r="J1830" i="1"/>
  <c r="G1830" i="1" s="1"/>
  <c r="F1830" i="1"/>
  <c r="B2358" i="1"/>
  <c r="C2357" i="1"/>
  <c r="D2357" i="1" s="1"/>
  <c r="I637" i="1"/>
  <c r="E638" i="1" s="1"/>
  <c r="J638" i="1" s="1"/>
  <c r="G638" i="1" s="1"/>
  <c r="C2358" i="1" l="1"/>
  <c r="D2358" i="1" s="1"/>
  <c r="B2359" i="1"/>
  <c r="I1830" i="1"/>
  <c r="E1831" i="1" s="1"/>
  <c r="H638" i="1"/>
  <c r="F638" i="1"/>
  <c r="I638" i="1"/>
  <c r="E639" i="1" s="1"/>
  <c r="H1831" i="1" l="1"/>
  <c r="J1831" i="1"/>
  <c r="G1831" i="1" s="1"/>
  <c r="F1831" i="1"/>
  <c r="C2359" i="1"/>
  <c r="D2359" i="1" s="1"/>
  <c r="B2360" i="1"/>
  <c r="J639" i="1"/>
  <c r="G639" i="1" s="1"/>
  <c r="F639" i="1"/>
  <c r="H639" i="1"/>
  <c r="C2360" i="1" l="1"/>
  <c r="D2360" i="1" s="1"/>
  <c r="B2361" i="1"/>
  <c r="I1831" i="1"/>
  <c r="E1832" i="1" s="1"/>
  <c r="I639" i="1"/>
  <c r="E640" i="1" s="1"/>
  <c r="H640" i="1" s="1"/>
  <c r="F640" i="1"/>
  <c r="J1832" i="1" l="1"/>
  <c r="G1832" i="1" s="1"/>
  <c r="H1832" i="1"/>
  <c r="F1832" i="1"/>
  <c r="C2361" i="1"/>
  <c r="D2361" i="1" s="1"/>
  <c r="B2362" i="1"/>
  <c r="J640" i="1"/>
  <c r="G640" i="1" s="1"/>
  <c r="I640" i="1" s="1"/>
  <c r="E641" i="1" s="1"/>
  <c r="C2362" i="1" l="1"/>
  <c r="D2362" i="1" s="1"/>
  <c r="B2363" i="1"/>
  <c r="I1832" i="1"/>
  <c r="E1833" i="1" s="1"/>
  <c r="J641" i="1"/>
  <c r="G641" i="1" s="1"/>
  <c r="H641" i="1"/>
  <c r="F641" i="1"/>
  <c r="J1833" i="1" l="1"/>
  <c r="G1833" i="1" s="1"/>
  <c r="H1833" i="1"/>
  <c r="I1833" i="1" s="1"/>
  <c r="E1834" i="1" s="1"/>
  <c r="F1833" i="1"/>
  <c r="C2363" i="1"/>
  <c r="D2363" i="1" s="1"/>
  <c r="B2364" i="1"/>
  <c r="I641" i="1"/>
  <c r="E642" i="1" s="1"/>
  <c r="J642" i="1" s="1"/>
  <c r="G642" i="1" s="1"/>
  <c r="H642" i="1"/>
  <c r="F642" i="1"/>
  <c r="H1834" i="1" l="1"/>
  <c r="J1834" i="1"/>
  <c r="G1834" i="1" s="1"/>
  <c r="F1834" i="1"/>
  <c r="B2365" i="1"/>
  <c r="C2364" i="1"/>
  <c r="D2364" i="1" s="1"/>
  <c r="I642" i="1"/>
  <c r="E643" i="1" s="1"/>
  <c r="J643" i="1" s="1"/>
  <c r="G643" i="1" s="1"/>
  <c r="F643" i="1"/>
  <c r="C2365" i="1" l="1"/>
  <c r="D2365" i="1" s="1"/>
  <c r="B2366" i="1"/>
  <c r="I1834" i="1"/>
  <c r="E1835" i="1" s="1"/>
  <c r="H643" i="1"/>
  <c r="I643" i="1"/>
  <c r="E644" i="1" s="1"/>
  <c r="H1835" i="1" l="1"/>
  <c r="J1835" i="1"/>
  <c r="G1835" i="1" s="1"/>
  <c r="F1835" i="1"/>
  <c r="C2366" i="1"/>
  <c r="D2366" i="1" s="1"/>
  <c r="B2367" i="1"/>
  <c r="H644" i="1"/>
  <c r="F644" i="1"/>
  <c r="J644" i="1"/>
  <c r="G644" i="1" s="1"/>
  <c r="B2368" i="1" l="1"/>
  <c r="C2367" i="1"/>
  <c r="D2367" i="1" s="1"/>
  <c r="I1835" i="1"/>
  <c r="E1836" i="1" s="1"/>
  <c r="I644" i="1"/>
  <c r="E645" i="1" s="1"/>
  <c r="H1836" i="1" l="1"/>
  <c r="J1836" i="1"/>
  <c r="G1836" i="1" s="1"/>
  <c r="F1836" i="1"/>
  <c r="B2369" i="1"/>
  <c r="C2368" i="1"/>
  <c r="D2368" i="1" s="1"/>
  <c r="H645" i="1"/>
  <c r="J645" i="1"/>
  <c r="G645" i="1" s="1"/>
  <c r="F645" i="1"/>
  <c r="C2369" i="1" l="1"/>
  <c r="D2369" i="1" s="1"/>
  <c r="B2370" i="1"/>
  <c r="I1836" i="1"/>
  <c r="E1837" i="1" s="1"/>
  <c r="I645" i="1"/>
  <c r="E646" i="1" s="1"/>
  <c r="H1837" i="1" l="1"/>
  <c r="J1837" i="1"/>
  <c r="G1837" i="1" s="1"/>
  <c r="F1837" i="1"/>
  <c r="C2370" i="1"/>
  <c r="D2370" i="1" s="1"/>
  <c r="B2371" i="1"/>
  <c r="H646" i="1"/>
  <c r="F646" i="1"/>
  <c r="J646" i="1"/>
  <c r="G646" i="1" s="1"/>
  <c r="C2371" i="1" l="1"/>
  <c r="D2371" i="1" s="1"/>
  <c r="B2372" i="1"/>
  <c r="I1837" i="1"/>
  <c r="E1838" i="1" s="1"/>
  <c r="I646" i="1"/>
  <c r="E647" i="1" s="1"/>
  <c r="H1838" i="1" l="1"/>
  <c r="J1838" i="1"/>
  <c r="G1838" i="1" s="1"/>
  <c r="F1838" i="1"/>
  <c r="C2372" i="1"/>
  <c r="D2372" i="1" s="1"/>
  <c r="B2373" i="1"/>
  <c r="J647" i="1"/>
  <c r="G647" i="1" s="1"/>
  <c r="H647" i="1"/>
  <c r="F647" i="1"/>
  <c r="B2374" i="1" l="1"/>
  <c r="C2373" i="1"/>
  <c r="D2373" i="1" s="1"/>
  <c r="I1838" i="1"/>
  <c r="E1839" i="1" s="1"/>
  <c r="I647" i="1"/>
  <c r="E648" i="1" s="1"/>
  <c r="H1839" i="1" l="1"/>
  <c r="J1839" i="1"/>
  <c r="G1839" i="1" s="1"/>
  <c r="F1839" i="1"/>
  <c r="C2374" i="1"/>
  <c r="D2374" i="1" s="1"/>
  <c r="B2375" i="1"/>
  <c r="J648" i="1"/>
  <c r="G648" i="1" s="1"/>
  <c r="H648" i="1"/>
  <c r="F648" i="1"/>
  <c r="C2375" i="1" l="1"/>
  <c r="D2375" i="1" s="1"/>
  <c r="B2376" i="1"/>
  <c r="I1839" i="1"/>
  <c r="E1840" i="1" s="1"/>
  <c r="I648" i="1"/>
  <c r="E649" i="1" s="1"/>
  <c r="J1840" i="1" l="1"/>
  <c r="G1840" i="1" s="1"/>
  <c r="H1840" i="1"/>
  <c r="F1840" i="1"/>
  <c r="C2376" i="1"/>
  <c r="D2376" i="1" s="1"/>
  <c r="B2377" i="1"/>
  <c r="H649" i="1"/>
  <c r="J649" i="1"/>
  <c r="G649" i="1" s="1"/>
  <c r="F649" i="1"/>
  <c r="C2377" i="1" l="1"/>
  <c r="D2377" i="1" s="1"/>
  <c r="B2378" i="1"/>
  <c r="I1840" i="1"/>
  <c r="E1841" i="1" s="1"/>
  <c r="I649" i="1"/>
  <c r="E650" i="1" s="1"/>
  <c r="J1841" i="1" l="1"/>
  <c r="G1841" i="1" s="1"/>
  <c r="H1841" i="1"/>
  <c r="F1841" i="1"/>
  <c r="C2378" i="1"/>
  <c r="D2378" i="1" s="1"/>
  <c r="B2379" i="1"/>
  <c r="J650" i="1"/>
  <c r="G650" i="1" s="1"/>
  <c r="H650" i="1"/>
  <c r="F650" i="1"/>
  <c r="C2379" i="1" l="1"/>
  <c r="D2379" i="1" s="1"/>
  <c r="B2380" i="1"/>
  <c r="I1841" i="1"/>
  <c r="E1842" i="1" s="1"/>
  <c r="I650" i="1"/>
  <c r="E651" i="1" s="1"/>
  <c r="H1842" i="1" l="1"/>
  <c r="J1842" i="1"/>
  <c r="G1842" i="1" s="1"/>
  <c r="F1842" i="1"/>
  <c r="C2380" i="1"/>
  <c r="D2380" i="1" s="1"/>
  <c r="B2381" i="1"/>
  <c r="J651" i="1"/>
  <c r="G651" i="1" s="1"/>
  <c r="F651" i="1"/>
  <c r="H651" i="1"/>
  <c r="C2381" i="1" l="1"/>
  <c r="D2381" i="1" s="1"/>
  <c r="B2382" i="1"/>
  <c r="I1842" i="1"/>
  <c r="E1843" i="1" s="1"/>
  <c r="I651" i="1"/>
  <c r="E652" i="1" s="1"/>
  <c r="H1843" i="1" l="1"/>
  <c r="I1843" i="1" s="1"/>
  <c r="E1844" i="1" s="1"/>
  <c r="J1843" i="1"/>
  <c r="G1843" i="1" s="1"/>
  <c r="F1843" i="1"/>
  <c r="C2382" i="1"/>
  <c r="D2382" i="1" s="1"/>
  <c r="B2383" i="1"/>
  <c r="F652" i="1"/>
  <c r="J652" i="1"/>
  <c r="G652" i="1" s="1"/>
  <c r="H652" i="1"/>
  <c r="H1844" i="1" l="1"/>
  <c r="J1844" i="1"/>
  <c r="G1844" i="1" s="1"/>
  <c r="F1844" i="1"/>
  <c r="C2383" i="1"/>
  <c r="D2383" i="1" s="1"/>
  <c r="B2384" i="1"/>
  <c r="I652" i="1"/>
  <c r="E653" i="1" s="1"/>
  <c r="C2384" i="1" l="1"/>
  <c r="D2384" i="1" s="1"/>
  <c r="B2385" i="1"/>
  <c r="I1844" i="1"/>
  <c r="E1845" i="1" s="1"/>
  <c r="H653" i="1"/>
  <c r="F653" i="1"/>
  <c r="J653" i="1"/>
  <c r="G653" i="1" s="1"/>
  <c r="H1845" i="1" l="1"/>
  <c r="J1845" i="1"/>
  <c r="G1845" i="1" s="1"/>
  <c r="F1845" i="1"/>
  <c r="B2386" i="1"/>
  <c r="C2385" i="1"/>
  <c r="D2385" i="1" s="1"/>
  <c r="I653" i="1"/>
  <c r="E654" i="1" s="1"/>
  <c r="C2386" i="1" l="1"/>
  <c r="D2386" i="1" s="1"/>
  <c r="B2387" i="1"/>
  <c r="I1845" i="1"/>
  <c r="E1846" i="1" s="1"/>
  <c r="H654" i="1"/>
  <c r="F654" i="1"/>
  <c r="J654" i="1"/>
  <c r="G654" i="1" s="1"/>
  <c r="C2387" i="1" l="1"/>
  <c r="D2387" i="1" s="1"/>
  <c r="B2388" i="1"/>
  <c r="H1846" i="1"/>
  <c r="J1846" i="1"/>
  <c r="G1846" i="1" s="1"/>
  <c r="F1846" i="1"/>
  <c r="I654" i="1"/>
  <c r="E655" i="1" s="1"/>
  <c r="C2388" i="1" l="1"/>
  <c r="D2388" i="1" s="1"/>
  <c r="B2389" i="1"/>
  <c r="I1846" i="1"/>
  <c r="E1847" i="1" s="1"/>
  <c r="J655" i="1"/>
  <c r="G655" i="1" s="1"/>
  <c r="H655" i="1"/>
  <c r="F655" i="1"/>
  <c r="H1847" i="1" l="1"/>
  <c r="J1847" i="1"/>
  <c r="G1847" i="1" s="1"/>
  <c r="F1847" i="1"/>
  <c r="C2389" i="1"/>
  <c r="D2389" i="1" s="1"/>
  <c r="B2390" i="1"/>
  <c r="I655" i="1"/>
  <c r="E656" i="1" s="1"/>
  <c r="C2390" i="1" l="1"/>
  <c r="D2390" i="1" s="1"/>
  <c r="B2391" i="1"/>
  <c r="I1847" i="1"/>
  <c r="E1848" i="1" s="1"/>
  <c r="J656" i="1"/>
  <c r="G656" i="1" s="1"/>
  <c r="F656" i="1"/>
  <c r="H656" i="1"/>
  <c r="J1848" i="1" l="1"/>
  <c r="G1848" i="1" s="1"/>
  <c r="H1848" i="1"/>
  <c r="I1848" i="1" s="1"/>
  <c r="E1849" i="1" s="1"/>
  <c r="F1848" i="1"/>
  <c r="C2391" i="1"/>
  <c r="D2391" i="1" s="1"/>
  <c r="B2392" i="1"/>
  <c r="I656" i="1"/>
  <c r="E657" i="1" s="1"/>
  <c r="J1849" i="1" l="1"/>
  <c r="G1849" i="1" s="1"/>
  <c r="H1849" i="1"/>
  <c r="I1849" i="1" s="1"/>
  <c r="E1850" i="1" s="1"/>
  <c r="F1849" i="1"/>
  <c r="C2392" i="1"/>
  <c r="D2392" i="1" s="1"/>
  <c r="B2393" i="1"/>
  <c r="H657" i="1"/>
  <c r="F657" i="1"/>
  <c r="J657" i="1"/>
  <c r="G657" i="1" s="1"/>
  <c r="H1850" i="1" l="1"/>
  <c r="J1850" i="1"/>
  <c r="G1850" i="1" s="1"/>
  <c r="F1850" i="1"/>
  <c r="B2394" i="1"/>
  <c r="C2393" i="1"/>
  <c r="D2393" i="1" s="1"/>
  <c r="I657" i="1"/>
  <c r="E658" i="1" s="1"/>
  <c r="C2394" i="1" l="1"/>
  <c r="D2394" i="1" s="1"/>
  <c r="B2395" i="1"/>
  <c r="I1850" i="1"/>
  <c r="E1851" i="1" s="1"/>
  <c r="H658" i="1"/>
  <c r="F658" i="1"/>
  <c r="J658" i="1"/>
  <c r="G658" i="1" s="1"/>
  <c r="H1851" i="1" l="1"/>
  <c r="J1851" i="1"/>
  <c r="G1851" i="1" s="1"/>
  <c r="F1851" i="1"/>
  <c r="C2395" i="1"/>
  <c r="D2395" i="1" s="1"/>
  <c r="B2396" i="1"/>
  <c r="I658" i="1"/>
  <c r="E659" i="1" s="1"/>
  <c r="C2396" i="1" l="1"/>
  <c r="D2396" i="1" s="1"/>
  <c r="B2397" i="1"/>
  <c r="I1851" i="1"/>
  <c r="E1852" i="1" s="1"/>
  <c r="J659" i="1"/>
  <c r="G659" i="1" s="1"/>
  <c r="H659" i="1"/>
  <c r="F659" i="1"/>
  <c r="H1852" i="1" l="1"/>
  <c r="J1852" i="1"/>
  <c r="G1852" i="1" s="1"/>
  <c r="F1852" i="1"/>
  <c r="C2397" i="1"/>
  <c r="D2397" i="1" s="1"/>
  <c r="B2398" i="1"/>
  <c r="I659" i="1"/>
  <c r="E660" i="1" s="1"/>
  <c r="J660" i="1" s="1"/>
  <c r="G660" i="1" s="1"/>
  <c r="C2398" i="1" l="1"/>
  <c r="D2398" i="1" s="1"/>
  <c r="B2399" i="1"/>
  <c r="I1852" i="1"/>
  <c r="E1853" i="1" s="1"/>
  <c r="F660" i="1"/>
  <c r="H660" i="1"/>
  <c r="I660" i="1" s="1"/>
  <c r="E661" i="1" s="1"/>
  <c r="J661" i="1" s="1"/>
  <c r="G661" i="1" s="1"/>
  <c r="H1853" i="1" l="1"/>
  <c r="J1853" i="1"/>
  <c r="G1853" i="1" s="1"/>
  <c r="F1853" i="1"/>
  <c r="C2399" i="1"/>
  <c r="D2399" i="1" s="1"/>
  <c r="B2400" i="1"/>
  <c r="F661" i="1"/>
  <c r="H661" i="1"/>
  <c r="I661" i="1" s="1"/>
  <c r="E662" i="1" s="1"/>
  <c r="C2400" i="1" l="1"/>
  <c r="D2400" i="1" s="1"/>
  <c r="B2401" i="1"/>
  <c r="I1853" i="1"/>
  <c r="E1854" i="1" s="1"/>
  <c r="J662" i="1"/>
  <c r="G662" i="1" s="1"/>
  <c r="F662" i="1"/>
  <c r="H662" i="1"/>
  <c r="H1854" i="1" l="1"/>
  <c r="J1854" i="1"/>
  <c r="G1854" i="1" s="1"/>
  <c r="F1854" i="1"/>
  <c r="C2401" i="1"/>
  <c r="D2401" i="1" s="1"/>
  <c r="B2402" i="1"/>
  <c r="I662" i="1"/>
  <c r="E663" i="1" s="1"/>
  <c r="C2402" i="1" l="1"/>
  <c r="D2402" i="1" s="1"/>
  <c r="B2403" i="1"/>
  <c r="I1854" i="1"/>
  <c r="E1855" i="1" s="1"/>
  <c r="H663" i="1"/>
  <c r="F663" i="1"/>
  <c r="J663" i="1"/>
  <c r="G663" i="1" s="1"/>
  <c r="H1855" i="1" l="1"/>
  <c r="J1855" i="1"/>
  <c r="G1855" i="1" s="1"/>
  <c r="F1855" i="1"/>
  <c r="C2403" i="1"/>
  <c r="D2403" i="1" s="1"/>
  <c r="B2404" i="1"/>
  <c r="I663" i="1"/>
  <c r="E664" i="1" s="1"/>
  <c r="C2404" i="1" l="1"/>
  <c r="D2404" i="1" s="1"/>
  <c r="B2405" i="1"/>
  <c r="I1855" i="1"/>
  <c r="E1856" i="1" s="1"/>
  <c r="H664" i="1"/>
  <c r="J664" i="1"/>
  <c r="G664" i="1" s="1"/>
  <c r="F664" i="1"/>
  <c r="J1856" i="1" l="1"/>
  <c r="G1856" i="1" s="1"/>
  <c r="H1856" i="1"/>
  <c r="F1856" i="1"/>
  <c r="B2406" i="1"/>
  <c r="C2406" i="1" s="1"/>
  <c r="D2406" i="1" s="1"/>
  <c r="C2405" i="1"/>
  <c r="D2405" i="1" s="1"/>
  <c r="I664" i="1"/>
  <c r="E665" i="1" s="1"/>
  <c r="I1856" i="1" l="1"/>
  <c r="E1857" i="1" s="1"/>
  <c r="H665" i="1"/>
  <c r="J665" i="1"/>
  <c r="G665" i="1" s="1"/>
  <c r="F665" i="1"/>
  <c r="J1857" i="1" l="1"/>
  <c r="G1857" i="1" s="1"/>
  <c r="H1857" i="1"/>
  <c r="I1857" i="1" s="1"/>
  <c r="E1858" i="1" s="1"/>
  <c r="F1857" i="1"/>
  <c r="I665" i="1"/>
  <c r="E666" i="1" s="1"/>
  <c r="H1858" i="1" l="1"/>
  <c r="I1858" i="1" s="1"/>
  <c r="E1859" i="1" s="1"/>
  <c r="J1858" i="1"/>
  <c r="G1858" i="1" s="1"/>
  <c r="F1858" i="1"/>
  <c r="H666" i="1"/>
  <c r="J666" i="1"/>
  <c r="G666" i="1" s="1"/>
  <c r="F666" i="1"/>
  <c r="H1859" i="1" l="1"/>
  <c r="I1859" i="1" s="1"/>
  <c r="E1860" i="1" s="1"/>
  <c r="J1859" i="1"/>
  <c r="G1859" i="1" s="1"/>
  <c r="F1859" i="1"/>
  <c r="I666" i="1"/>
  <c r="E667" i="1" s="1"/>
  <c r="H667" i="1" s="1"/>
  <c r="J667" i="1"/>
  <c r="G667" i="1" s="1"/>
  <c r="F667" i="1"/>
  <c r="H1860" i="1" l="1"/>
  <c r="J1860" i="1"/>
  <c r="G1860" i="1" s="1"/>
  <c r="F1860" i="1"/>
  <c r="I667" i="1"/>
  <c r="E668" i="1" s="1"/>
  <c r="I1860" i="1" l="1"/>
  <c r="E1861" i="1" s="1"/>
  <c r="H668" i="1"/>
  <c r="J668" i="1"/>
  <c r="G668" i="1" s="1"/>
  <c r="F668" i="1"/>
  <c r="H1861" i="1" l="1"/>
  <c r="J1861" i="1"/>
  <c r="G1861" i="1" s="1"/>
  <c r="F1861" i="1"/>
  <c r="I668" i="1"/>
  <c r="E669" i="1" s="1"/>
  <c r="I1861" i="1" l="1"/>
  <c r="E1862" i="1" s="1"/>
  <c r="H669" i="1"/>
  <c r="F669" i="1"/>
  <c r="J669" i="1"/>
  <c r="G669" i="1" s="1"/>
  <c r="H1862" i="1" l="1"/>
  <c r="J1862" i="1"/>
  <c r="G1862" i="1" s="1"/>
  <c r="F1862" i="1"/>
  <c r="I669" i="1"/>
  <c r="E670" i="1" s="1"/>
  <c r="I1862" i="1" l="1"/>
  <c r="E1863" i="1" s="1"/>
  <c r="H670" i="1"/>
  <c r="J670" i="1"/>
  <c r="G670" i="1" s="1"/>
  <c r="F670" i="1"/>
  <c r="H1863" i="1" l="1"/>
  <c r="J1863" i="1"/>
  <c r="G1863" i="1" s="1"/>
  <c r="F1863" i="1"/>
  <c r="I670" i="1"/>
  <c r="E671" i="1" s="1"/>
  <c r="I1863" i="1" l="1"/>
  <c r="E1864" i="1" s="1"/>
  <c r="H671" i="1"/>
  <c r="J671" i="1"/>
  <c r="G671" i="1" s="1"/>
  <c r="F671" i="1"/>
  <c r="J1864" i="1" l="1"/>
  <c r="G1864" i="1" s="1"/>
  <c r="H1864" i="1"/>
  <c r="F1864" i="1"/>
  <c r="I671" i="1"/>
  <c r="E672" i="1" s="1"/>
  <c r="I1864" i="1" l="1"/>
  <c r="E1865" i="1" s="1"/>
  <c r="J672" i="1"/>
  <c r="G672" i="1" s="1"/>
  <c r="H672" i="1"/>
  <c r="F672" i="1"/>
  <c r="J1865" i="1" l="1"/>
  <c r="G1865" i="1" s="1"/>
  <c r="H1865" i="1"/>
  <c r="F1865" i="1"/>
  <c r="I672" i="1"/>
  <c r="E673" i="1" s="1"/>
  <c r="J673" i="1" s="1"/>
  <c r="G673" i="1" s="1"/>
  <c r="I1865" i="1" l="1"/>
  <c r="E1866" i="1" s="1"/>
  <c r="H673" i="1"/>
  <c r="F673" i="1"/>
  <c r="H1866" i="1" l="1"/>
  <c r="J1866" i="1"/>
  <c r="G1866" i="1" s="1"/>
  <c r="F1866" i="1"/>
  <c r="I673" i="1"/>
  <c r="E674" i="1" s="1"/>
  <c r="H674" i="1" s="1"/>
  <c r="F674" i="1"/>
  <c r="J674" i="1"/>
  <c r="G674" i="1" s="1"/>
  <c r="I1866" i="1" l="1"/>
  <c r="E1867" i="1" s="1"/>
  <c r="I674" i="1"/>
  <c r="E675" i="1" s="1"/>
  <c r="H1867" i="1" l="1"/>
  <c r="J1867" i="1"/>
  <c r="G1867" i="1" s="1"/>
  <c r="F1867" i="1"/>
  <c r="H675" i="1"/>
  <c r="J675" i="1"/>
  <c r="G675" i="1" s="1"/>
  <c r="F675" i="1"/>
  <c r="I1867" i="1" l="1"/>
  <c r="E1868" i="1" s="1"/>
  <c r="I675" i="1"/>
  <c r="E676" i="1" s="1"/>
  <c r="H1868" i="1" l="1"/>
  <c r="J1868" i="1"/>
  <c r="G1868" i="1" s="1"/>
  <c r="F1868" i="1"/>
  <c r="J676" i="1"/>
  <c r="G676" i="1" s="1"/>
  <c r="H676" i="1"/>
  <c r="F676" i="1"/>
  <c r="I1868" i="1" l="1"/>
  <c r="E1869" i="1" s="1"/>
  <c r="I676" i="1"/>
  <c r="E677" i="1" s="1"/>
  <c r="J677" i="1"/>
  <c r="G677" i="1" s="1"/>
  <c r="H677" i="1"/>
  <c r="F677" i="1"/>
  <c r="H1869" i="1" l="1"/>
  <c r="J1869" i="1"/>
  <c r="G1869" i="1" s="1"/>
  <c r="F1869" i="1"/>
  <c r="I677" i="1"/>
  <c r="E678" i="1" s="1"/>
  <c r="I1869" i="1" l="1"/>
  <c r="E1870" i="1" s="1"/>
  <c r="H678" i="1"/>
  <c r="J678" i="1"/>
  <c r="G678" i="1" s="1"/>
  <c r="F678" i="1"/>
  <c r="H1870" i="1" l="1"/>
  <c r="J1870" i="1"/>
  <c r="G1870" i="1" s="1"/>
  <c r="F1870" i="1"/>
  <c r="I678" i="1"/>
  <c r="E679" i="1" s="1"/>
  <c r="I1870" i="1" l="1"/>
  <c r="E1871" i="1" s="1"/>
  <c r="F679" i="1"/>
  <c r="J679" i="1"/>
  <c r="G679" i="1" s="1"/>
  <c r="H679" i="1"/>
  <c r="H1871" i="1" l="1"/>
  <c r="J1871" i="1"/>
  <c r="G1871" i="1" s="1"/>
  <c r="F1871" i="1"/>
  <c r="I679" i="1"/>
  <c r="E680" i="1" s="1"/>
  <c r="I1871" i="1" l="1"/>
  <c r="E1872" i="1" s="1"/>
  <c r="H680" i="1"/>
  <c r="F680" i="1"/>
  <c r="J680" i="1"/>
  <c r="G680" i="1" s="1"/>
  <c r="J1872" i="1" l="1"/>
  <c r="G1872" i="1" s="1"/>
  <c r="H1872" i="1"/>
  <c r="I1872" i="1" s="1"/>
  <c r="E1873" i="1" s="1"/>
  <c r="F1872" i="1"/>
  <c r="I680" i="1"/>
  <c r="E681" i="1" s="1"/>
  <c r="J1873" i="1" l="1"/>
  <c r="G1873" i="1" s="1"/>
  <c r="H1873" i="1"/>
  <c r="I1873" i="1" s="1"/>
  <c r="E1874" i="1" s="1"/>
  <c r="F1873" i="1"/>
  <c r="J681" i="1"/>
  <c r="G681" i="1" s="1"/>
  <c r="H681" i="1"/>
  <c r="F681" i="1"/>
  <c r="H1874" i="1" l="1"/>
  <c r="J1874" i="1"/>
  <c r="G1874" i="1" s="1"/>
  <c r="F1874" i="1"/>
  <c r="I681" i="1"/>
  <c r="E682" i="1" s="1"/>
  <c r="I1874" i="1" l="1"/>
  <c r="E1875" i="1" s="1"/>
  <c r="H682" i="1"/>
  <c r="J682" i="1"/>
  <c r="G682" i="1" s="1"/>
  <c r="F682" i="1"/>
  <c r="H1875" i="1" l="1"/>
  <c r="J1875" i="1"/>
  <c r="G1875" i="1" s="1"/>
  <c r="F1875" i="1"/>
  <c r="I682" i="1"/>
  <c r="E683" i="1" s="1"/>
  <c r="I1875" i="1" l="1"/>
  <c r="E1876" i="1" s="1"/>
  <c r="J683" i="1"/>
  <c r="G683" i="1" s="1"/>
  <c r="H683" i="1"/>
  <c r="F683" i="1"/>
  <c r="H1876" i="1" l="1"/>
  <c r="J1876" i="1"/>
  <c r="G1876" i="1" s="1"/>
  <c r="F1876" i="1"/>
  <c r="I683" i="1"/>
  <c r="E684" i="1" s="1"/>
  <c r="I1876" i="1" l="1"/>
  <c r="E1877" i="1" s="1"/>
  <c r="F684" i="1"/>
  <c r="H684" i="1"/>
  <c r="J684" i="1"/>
  <c r="G684" i="1" s="1"/>
  <c r="H1877" i="1" l="1"/>
  <c r="J1877" i="1"/>
  <c r="G1877" i="1" s="1"/>
  <c r="F1877" i="1"/>
  <c r="I684" i="1"/>
  <c r="E685" i="1" s="1"/>
  <c r="I1877" i="1" l="1"/>
  <c r="E1878" i="1" s="1"/>
  <c r="F685" i="1"/>
  <c r="J685" i="1"/>
  <c r="G685" i="1" s="1"/>
  <c r="H685" i="1"/>
  <c r="H1878" i="1" l="1"/>
  <c r="J1878" i="1"/>
  <c r="G1878" i="1" s="1"/>
  <c r="F1878" i="1"/>
  <c r="I685" i="1"/>
  <c r="E686" i="1" s="1"/>
  <c r="H686" i="1" s="1"/>
  <c r="J686" i="1"/>
  <c r="G686" i="1" s="1"/>
  <c r="F686" i="1"/>
  <c r="I1878" i="1" l="1"/>
  <c r="E1879" i="1" s="1"/>
  <c r="I686" i="1"/>
  <c r="E687" i="1" s="1"/>
  <c r="H1879" i="1" l="1"/>
  <c r="J1879" i="1"/>
  <c r="G1879" i="1" s="1"/>
  <c r="F1879" i="1"/>
  <c r="F687" i="1"/>
  <c r="J687" i="1"/>
  <c r="G687" i="1" s="1"/>
  <c r="H687" i="1"/>
  <c r="I1879" i="1" l="1"/>
  <c r="E1880" i="1" s="1"/>
  <c r="I687" i="1"/>
  <c r="E688" i="1" s="1"/>
  <c r="J1880" i="1" l="1"/>
  <c r="G1880" i="1" s="1"/>
  <c r="H1880" i="1"/>
  <c r="F1880" i="1"/>
  <c r="J688" i="1"/>
  <c r="G688" i="1" s="1"/>
  <c r="H688" i="1"/>
  <c r="F688" i="1"/>
  <c r="I1880" i="1" l="1"/>
  <c r="E1881" i="1" s="1"/>
  <c r="I688" i="1"/>
  <c r="E689" i="1" s="1"/>
  <c r="H689" i="1"/>
  <c r="J689" i="1"/>
  <c r="G689" i="1" s="1"/>
  <c r="F689" i="1"/>
  <c r="J1881" i="1" l="1"/>
  <c r="G1881" i="1" s="1"/>
  <c r="H1881" i="1"/>
  <c r="I1881" i="1" s="1"/>
  <c r="E1882" i="1" s="1"/>
  <c r="F1881" i="1"/>
  <c r="I689" i="1"/>
  <c r="E690" i="1" s="1"/>
  <c r="H1882" i="1" l="1"/>
  <c r="I1882" i="1" s="1"/>
  <c r="E1883" i="1" s="1"/>
  <c r="J1882" i="1"/>
  <c r="G1882" i="1" s="1"/>
  <c r="F1882" i="1"/>
  <c r="J690" i="1"/>
  <c r="G690" i="1" s="1"/>
  <c r="F690" i="1"/>
  <c r="H690" i="1"/>
  <c r="I690" i="1" s="1"/>
  <c r="E691" i="1" s="1"/>
  <c r="H1883" i="1" l="1"/>
  <c r="I1883" i="1" s="1"/>
  <c r="E1884" i="1" s="1"/>
  <c r="J1883" i="1"/>
  <c r="G1883" i="1" s="1"/>
  <c r="F1883" i="1"/>
  <c r="J691" i="1"/>
  <c r="G691" i="1" s="1"/>
  <c r="H691" i="1"/>
  <c r="F691" i="1"/>
  <c r="H1884" i="1" l="1"/>
  <c r="I1884" i="1" s="1"/>
  <c r="E1885" i="1" s="1"/>
  <c r="J1884" i="1"/>
  <c r="G1884" i="1" s="1"/>
  <c r="F1884" i="1"/>
  <c r="I691" i="1"/>
  <c r="E692" i="1" s="1"/>
  <c r="H1885" i="1" l="1"/>
  <c r="J1885" i="1"/>
  <c r="G1885" i="1" s="1"/>
  <c r="F1885" i="1"/>
  <c r="H692" i="1"/>
  <c r="J692" i="1"/>
  <c r="G692" i="1" s="1"/>
  <c r="F692" i="1"/>
  <c r="I1885" i="1" l="1"/>
  <c r="E1886" i="1" s="1"/>
  <c r="I692" i="1"/>
  <c r="E693" i="1" s="1"/>
  <c r="H1886" i="1" l="1"/>
  <c r="J1886" i="1"/>
  <c r="G1886" i="1" s="1"/>
  <c r="F1886" i="1"/>
  <c r="H693" i="1"/>
  <c r="J693" i="1"/>
  <c r="G693" i="1" s="1"/>
  <c r="F693" i="1"/>
  <c r="I1886" i="1" l="1"/>
  <c r="E1887" i="1" s="1"/>
  <c r="I693" i="1"/>
  <c r="E694" i="1" s="1"/>
  <c r="H1887" i="1" l="1"/>
  <c r="J1887" i="1"/>
  <c r="G1887" i="1" s="1"/>
  <c r="F1887" i="1"/>
  <c r="J694" i="1"/>
  <c r="G694" i="1" s="1"/>
  <c r="H694" i="1"/>
  <c r="F694" i="1"/>
  <c r="I1887" i="1" l="1"/>
  <c r="E1888" i="1" s="1"/>
  <c r="I694" i="1"/>
  <c r="E695" i="1" s="1"/>
  <c r="H1888" i="1" l="1"/>
  <c r="J1888" i="1"/>
  <c r="G1888" i="1" s="1"/>
  <c r="F1888" i="1"/>
  <c r="J695" i="1"/>
  <c r="G695" i="1" s="1"/>
  <c r="F695" i="1"/>
  <c r="H695" i="1"/>
  <c r="I695" i="1" s="1"/>
  <c r="E696" i="1" s="1"/>
  <c r="I1888" i="1" l="1"/>
  <c r="E1889" i="1" s="1"/>
  <c r="J696" i="1"/>
  <c r="G696" i="1" s="1"/>
  <c r="H696" i="1"/>
  <c r="F696" i="1"/>
  <c r="J1889" i="1" l="1"/>
  <c r="G1889" i="1" s="1"/>
  <c r="H1889" i="1"/>
  <c r="F1889" i="1"/>
  <c r="I696" i="1"/>
  <c r="E697" i="1" s="1"/>
  <c r="I1889" i="1" l="1"/>
  <c r="E1890" i="1" s="1"/>
  <c r="H697" i="1"/>
  <c r="F697" i="1"/>
  <c r="J697" i="1"/>
  <c r="G697" i="1" s="1"/>
  <c r="J1890" i="1" l="1"/>
  <c r="G1890" i="1" s="1"/>
  <c r="H1890" i="1"/>
  <c r="F1890" i="1"/>
  <c r="I697" i="1"/>
  <c r="E698" i="1" s="1"/>
  <c r="I1890" i="1" l="1"/>
  <c r="E1891" i="1" s="1"/>
  <c r="J698" i="1"/>
  <c r="G698" i="1" s="1"/>
  <c r="H698" i="1"/>
  <c r="F698" i="1"/>
  <c r="H1891" i="1" l="1"/>
  <c r="J1891" i="1"/>
  <c r="G1891" i="1" s="1"/>
  <c r="F1891" i="1"/>
  <c r="I698" i="1"/>
  <c r="E699" i="1" s="1"/>
  <c r="I1891" i="1" l="1"/>
  <c r="E1892" i="1" s="1"/>
  <c r="J699" i="1"/>
  <c r="G699" i="1" s="1"/>
  <c r="H699" i="1"/>
  <c r="F699" i="1"/>
  <c r="H1892" i="1" l="1"/>
  <c r="J1892" i="1"/>
  <c r="G1892" i="1" s="1"/>
  <c r="F1892" i="1"/>
  <c r="I699" i="1"/>
  <c r="E700" i="1" s="1"/>
  <c r="I1892" i="1" l="1"/>
  <c r="E1893" i="1" s="1"/>
  <c r="H700" i="1"/>
  <c r="F700" i="1"/>
  <c r="J700" i="1"/>
  <c r="G700" i="1" s="1"/>
  <c r="H1893" i="1" l="1"/>
  <c r="J1893" i="1"/>
  <c r="G1893" i="1" s="1"/>
  <c r="F1893" i="1"/>
  <c r="I700" i="1"/>
  <c r="E701" i="1" s="1"/>
  <c r="I1893" i="1" l="1"/>
  <c r="E1894" i="1" s="1"/>
  <c r="J701" i="1"/>
  <c r="G701" i="1" s="1"/>
  <c r="H701" i="1"/>
  <c r="F701" i="1"/>
  <c r="H1894" i="1" l="1"/>
  <c r="J1894" i="1"/>
  <c r="G1894" i="1" s="1"/>
  <c r="F1894" i="1"/>
  <c r="I701" i="1"/>
  <c r="E702" i="1" s="1"/>
  <c r="I1894" i="1" l="1"/>
  <c r="E1895" i="1" s="1"/>
  <c r="J702" i="1"/>
  <c r="G702" i="1" s="1"/>
  <c r="F702" i="1"/>
  <c r="H702" i="1"/>
  <c r="H1895" i="1" l="1"/>
  <c r="J1895" i="1"/>
  <c r="G1895" i="1" s="1"/>
  <c r="F1895" i="1"/>
  <c r="I702" i="1"/>
  <c r="E703" i="1" s="1"/>
  <c r="I1895" i="1" l="1"/>
  <c r="E1896" i="1" s="1"/>
  <c r="H703" i="1"/>
  <c r="F703" i="1"/>
  <c r="J703" i="1"/>
  <c r="G703" i="1" s="1"/>
  <c r="H1896" i="1" l="1"/>
  <c r="I1896" i="1" s="1"/>
  <c r="E1897" i="1" s="1"/>
  <c r="J1896" i="1"/>
  <c r="G1896" i="1" s="1"/>
  <c r="F1896" i="1"/>
  <c r="I703" i="1"/>
  <c r="E704" i="1" s="1"/>
  <c r="J1897" i="1" l="1"/>
  <c r="G1897" i="1" s="1"/>
  <c r="H1897" i="1"/>
  <c r="F1897" i="1"/>
  <c r="F704" i="1"/>
  <c r="J704" i="1"/>
  <c r="G704" i="1" s="1"/>
  <c r="H704" i="1"/>
  <c r="I1897" i="1" l="1"/>
  <c r="E1898" i="1" s="1"/>
  <c r="I704" i="1"/>
  <c r="E705" i="1" s="1"/>
  <c r="H705" i="1" s="1"/>
  <c r="J1898" i="1" l="1"/>
  <c r="G1898" i="1" s="1"/>
  <c r="H1898" i="1"/>
  <c r="F1898" i="1"/>
  <c r="J705" i="1"/>
  <c r="G705" i="1" s="1"/>
  <c r="I705" i="1" s="1"/>
  <c r="E706" i="1" s="1"/>
  <c r="F705" i="1"/>
  <c r="I1898" i="1" l="1"/>
  <c r="E1899" i="1" s="1"/>
  <c r="H706" i="1"/>
  <c r="J706" i="1"/>
  <c r="G706" i="1" s="1"/>
  <c r="F706" i="1"/>
  <c r="H1899" i="1" l="1"/>
  <c r="J1899" i="1"/>
  <c r="G1899" i="1" s="1"/>
  <c r="F1899" i="1"/>
  <c r="I706" i="1"/>
  <c r="E707" i="1" s="1"/>
  <c r="I1899" i="1" l="1"/>
  <c r="E1900" i="1" s="1"/>
  <c r="J707" i="1"/>
  <c r="G707" i="1" s="1"/>
  <c r="F707" i="1"/>
  <c r="H707" i="1"/>
  <c r="H1900" i="1" l="1"/>
  <c r="J1900" i="1"/>
  <c r="G1900" i="1" s="1"/>
  <c r="F1900" i="1"/>
  <c r="I707" i="1"/>
  <c r="E708" i="1" s="1"/>
  <c r="I1900" i="1" l="1"/>
  <c r="E1901" i="1" s="1"/>
  <c r="H708" i="1"/>
  <c r="J708" i="1"/>
  <c r="G708" i="1" s="1"/>
  <c r="F708" i="1"/>
  <c r="H1901" i="1" l="1"/>
  <c r="J1901" i="1"/>
  <c r="G1901" i="1" s="1"/>
  <c r="F1901" i="1"/>
  <c r="I708" i="1"/>
  <c r="E709" i="1" s="1"/>
  <c r="I1901" i="1" l="1"/>
  <c r="E1902" i="1" s="1"/>
  <c r="H709" i="1"/>
  <c r="J709" i="1"/>
  <c r="G709" i="1" s="1"/>
  <c r="F709" i="1"/>
  <c r="H1902" i="1" l="1"/>
  <c r="J1902" i="1"/>
  <c r="G1902" i="1" s="1"/>
  <c r="F1902" i="1"/>
  <c r="I709" i="1"/>
  <c r="E710" i="1" s="1"/>
  <c r="I1902" i="1" l="1"/>
  <c r="E1903" i="1" s="1"/>
  <c r="H710" i="1"/>
  <c r="J710" i="1"/>
  <c r="G710" i="1" s="1"/>
  <c r="F710" i="1"/>
  <c r="H1903" i="1" l="1"/>
  <c r="J1903" i="1"/>
  <c r="G1903" i="1" s="1"/>
  <c r="F1903" i="1"/>
  <c r="I710" i="1"/>
  <c r="E711" i="1" s="1"/>
  <c r="I1903" i="1" l="1"/>
  <c r="E1904" i="1" s="1"/>
  <c r="F711" i="1"/>
  <c r="H711" i="1"/>
  <c r="J711" i="1"/>
  <c r="G711" i="1" s="1"/>
  <c r="H1904" i="1" l="1"/>
  <c r="J1904" i="1"/>
  <c r="G1904" i="1" s="1"/>
  <c r="F1904" i="1"/>
  <c r="I711" i="1"/>
  <c r="E712" i="1" s="1"/>
  <c r="I1904" i="1" l="1"/>
  <c r="E1905" i="1" s="1"/>
  <c r="J712" i="1"/>
  <c r="G712" i="1" s="1"/>
  <c r="F712" i="1"/>
  <c r="H712" i="1"/>
  <c r="J1905" i="1" l="1"/>
  <c r="G1905" i="1" s="1"/>
  <c r="H1905" i="1"/>
  <c r="F1905" i="1"/>
  <c r="I712" i="1"/>
  <c r="E713" i="1" s="1"/>
  <c r="I1905" i="1" l="1"/>
  <c r="E1906" i="1" s="1"/>
  <c r="H713" i="1"/>
  <c r="J713" i="1"/>
  <c r="G713" i="1" s="1"/>
  <c r="F713" i="1"/>
  <c r="J1906" i="1" l="1"/>
  <c r="G1906" i="1" s="1"/>
  <c r="H1906" i="1"/>
  <c r="F1906" i="1"/>
  <c r="I713" i="1"/>
  <c r="E714" i="1" s="1"/>
  <c r="I1906" i="1" l="1"/>
  <c r="E1907" i="1" s="1"/>
  <c r="F714" i="1"/>
  <c r="J714" i="1"/>
  <c r="G714" i="1" s="1"/>
  <c r="H714" i="1"/>
  <c r="H1907" i="1" l="1"/>
  <c r="J1907" i="1"/>
  <c r="G1907" i="1" s="1"/>
  <c r="F1907" i="1"/>
  <c r="I714" i="1"/>
  <c r="E715" i="1" s="1"/>
  <c r="I1907" i="1" l="1"/>
  <c r="E1908" i="1" s="1"/>
  <c r="H715" i="1"/>
  <c r="J715" i="1"/>
  <c r="G715" i="1" s="1"/>
  <c r="F715" i="1"/>
  <c r="H1908" i="1" l="1"/>
  <c r="I1908" i="1" s="1"/>
  <c r="E1909" i="1" s="1"/>
  <c r="J1908" i="1"/>
  <c r="G1908" i="1" s="1"/>
  <c r="F1908" i="1"/>
  <c r="I715" i="1"/>
  <c r="E716" i="1" s="1"/>
  <c r="H1909" i="1" l="1"/>
  <c r="J1909" i="1"/>
  <c r="G1909" i="1" s="1"/>
  <c r="F1909" i="1"/>
  <c r="H716" i="1"/>
  <c r="J716" i="1"/>
  <c r="G716" i="1" s="1"/>
  <c r="F716" i="1"/>
  <c r="I1909" i="1" l="1"/>
  <c r="E1910" i="1" s="1"/>
  <c r="I716" i="1"/>
  <c r="E717" i="1" s="1"/>
  <c r="H1910" i="1" l="1"/>
  <c r="J1910" i="1"/>
  <c r="G1910" i="1" s="1"/>
  <c r="F1910" i="1"/>
  <c r="F717" i="1"/>
  <c r="H717" i="1"/>
  <c r="J717" i="1"/>
  <c r="G717" i="1" s="1"/>
  <c r="I1910" i="1" l="1"/>
  <c r="E1911" i="1" s="1"/>
  <c r="I717" i="1"/>
  <c r="E718" i="1" s="1"/>
  <c r="H1911" i="1" l="1"/>
  <c r="J1911" i="1"/>
  <c r="G1911" i="1" s="1"/>
  <c r="F1911" i="1"/>
  <c r="H718" i="1"/>
  <c r="J718" i="1"/>
  <c r="G718" i="1" s="1"/>
  <c r="F718" i="1"/>
  <c r="I1911" i="1" l="1"/>
  <c r="E1912" i="1" s="1"/>
  <c r="I718" i="1"/>
  <c r="E719" i="1" s="1"/>
  <c r="H1912" i="1" l="1"/>
  <c r="J1912" i="1"/>
  <c r="G1912" i="1" s="1"/>
  <c r="F1912" i="1"/>
  <c r="H719" i="1"/>
  <c r="F719" i="1"/>
  <c r="J719" i="1"/>
  <c r="G719" i="1" s="1"/>
  <c r="I1912" i="1" l="1"/>
  <c r="E1913" i="1" s="1"/>
  <c r="I719" i="1"/>
  <c r="E720" i="1" s="1"/>
  <c r="J1913" i="1" l="1"/>
  <c r="G1913" i="1" s="1"/>
  <c r="H1913" i="1"/>
  <c r="I1913" i="1" s="1"/>
  <c r="E1914" i="1" s="1"/>
  <c r="F1913" i="1"/>
  <c r="J720" i="1"/>
  <c r="G720" i="1" s="1"/>
  <c r="F720" i="1"/>
  <c r="H720" i="1"/>
  <c r="J1914" i="1" l="1"/>
  <c r="G1914" i="1" s="1"/>
  <c r="H1914" i="1"/>
  <c r="I1914" i="1" s="1"/>
  <c r="E1915" i="1" s="1"/>
  <c r="F1914" i="1"/>
  <c r="I720" i="1"/>
  <c r="E721" i="1" s="1"/>
  <c r="J721" i="1" s="1"/>
  <c r="G721" i="1" s="1"/>
  <c r="F721" i="1"/>
  <c r="H721" i="1"/>
  <c r="H1915" i="1" l="1"/>
  <c r="J1915" i="1"/>
  <c r="G1915" i="1" s="1"/>
  <c r="F1915" i="1"/>
  <c r="I721" i="1"/>
  <c r="E722" i="1" s="1"/>
  <c r="H722" i="1" s="1"/>
  <c r="I1915" i="1" l="1"/>
  <c r="E1916" i="1" s="1"/>
  <c r="J722" i="1"/>
  <c r="F722" i="1"/>
  <c r="H1916" i="1" l="1"/>
  <c r="J1916" i="1"/>
  <c r="G1916" i="1" s="1"/>
  <c r="F1916" i="1"/>
  <c r="G722" i="1"/>
  <c r="I722" i="1" s="1"/>
  <c r="E723" i="1" s="1"/>
  <c r="I1916" i="1" l="1"/>
  <c r="E1917" i="1" s="1"/>
  <c r="H723" i="1"/>
  <c r="J723" i="1"/>
  <c r="G723" i="1" s="1"/>
  <c r="I723" i="1" s="1"/>
  <c r="E724" i="1" s="1"/>
  <c r="F723" i="1"/>
  <c r="H1917" i="1" l="1"/>
  <c r="J1917" i="1"/>
  <c r="G1917" i="1" s="1"/>
  <c r="F1917" i="1"/>
  <c r="H724" i="1"/>
  <c r="F724" i="1"/>
  <c r="J724" i="1"/>
  <c r="G724" i="1" s="1"/>
  <c r="I1917" i="1" l="1"/>
  <c r="E1918" i="1" s="1"/>
  <c r="I724" i="1"/>
  <c r="E725" i="1" s="1"/>
  <c r="H1918" i="1" l="1"/>
  <c r="J1918" i="1"/>
  <c r="G1918" i="1" s="1"/>
  <c r="F1918" i="1"/>
  <c r="J725" i="1"/>
  <c r="G725" i="1" s="1"/>
  <c r="F725" i="1"/>
  <c r="H725" i="1"/>
  <c r="I1918" i="1" l="1"/>
  <c r="E1919" i="1" s="1"/>
  <c r="I725" i="1"/>
  <c r="E726" i="1" s="1"/>
  <c r="H1919" i="1" l="1"/>
  <c r="J1919" i="1"/>
  <c r="G1919" i="1" s="1"/>
  <c r="F1919" i="1"/>
  <c r="J726" i="1"/>
  <c r="G726" i="1" s="1"/>
  <c r="F726" i="1"/>
  <c r="H726" i="1"/>
  <c r="I1919" i="1" l="1"/>
  <c r="E1920" i="1" s="1"/>
  <c r="I726" i="1"/>
  <c r="E727" i="1" s="1"/>
  <c r="J727" i="1" s="1"/>
  <c r="G727" i="1" s="1"/>
  <c r="H1920" i="1" l="1"/>
  <c r="J1920" i="1"/>
  <c r="G1920" i="1" s="1"/>
  <c r="F1920" i="1"/>
  <c r="H727" i="1"/>
  <c r="I727" i="1" s="1"/>
  <c r="E728" i="1" s="1"/>
  <c r="J728" i="1" s="1"/>
  <c r="G728" i="1" s="1"/>
  <c r="F727" i="1"/>
  <c r="I1920" i="1" l="1"/>
  <c r="E1921" i="1" s="1"/>
  <c r="H728" i="1"/>
  <c r="I728" i="1" s="1"/>
  <c r="E729" i="1" s="1"/>
  <c r="F728" i="1"/>
  <c r="H1921" i="1" l="1"/>
  <c r="J1921" i="1"/>
  <c r="G1921" i="1" s="1"/>
  <c r="F1921" i="1"/>
  <c r="F729" i="1"/>
  <c r="H729" i="1"/>
  <c r="J729" i="1"/>
  <c r="G729" i="1" s="1"/>
  <c r="I1921" i="1" l="1"/>
  <c r="E1922" i="1" s="1"/>
  <c r="I729" i="1"/>
  <c r="E730" i="1" s="1"/>
  <c r="J1922" i="1" l="1"/>
  <c r="G1922" i="1" s="1"/>
  <c r="H1922" i="1"/>
  <c r="F1922" i="1"/>
  <c r="J730" i="1"/>
  <c r="G730" i="1" s="1"/>
  <c r="F730" i="1"/>
  <c r="H730" i="1"/>
  <c r="I1922" i="1" l="1"/>
  <c r="E1923" i="1" s="1"/>
  <c r="I730" i="1"/>
  <c r="E731" i="1" s="1"/>
  <c r="F731" i="1"/>
  <c r="H731" i="1"/>
  <c r="J731" i="1"/>
  <c r="G731" i="1" s="1"/>
  <c r="H1923" i="1" l="1"/>
  <c r="J1923" i="1"/>
  <c r="G1923" i="1" s="1"/>
  <c r="F1923" i="1"/>
  <c r="I731" i="1"/>
  <c r="E732" i="1" s="1"/>
  <c r="I1923" i="1" l="1"/>
  <c r="E1924" i="1" s="1"/>
  <c r="H732" i="1"/>
  <c r="J732" i="1"/>
  <c r="G732" i="1" s="1"/>
  <c r="F732" i="1"/>
  <c r="H1924" i="1" l="1"/>
  <c r="J1924" i="1"/>
  <c r="G1924" i="1" s="1"/>
  <c r="F1924" i="1"/>
  <c r="I732" i="1"/>
  <c r="E733" i="1" s="1"/>
  <c r="I1924" i="1" l="1"/>
  <c r="E1925" i="1" s="1"/>
  <c r="J733" i="1"/>
  <c r="G733" i="1" s="1"/>
  <c r="H733" i="1"/>
  <c r="F733" i="1"/>
  <c r="J1925" i="1" l="1"/>
  <c r="G1925" i="1" s="1"/>
  <c r="H1925" i="1"/>
  <c r="I1925" i="1" s="1"/>
  <c r="E1926" i="1" s="1"/>
  <c r="F1925" i="1"/>
  <c r="I733" i="1"/>
  <c r="E734" i="1" s="1"/>
  <c r="F734" i="1"/>
  <c r="H734" i="1"/>
  <c r="J734" i="1"/>
  <c r="G734" i="1" s="1"/>
  <c r="H1926" i="1" l="1"/>
  <c r="J1926" i="1"/>
  <c r="G1926" i="1" s="1"/>
  <c r="F1926" i="1"/>
  <c r="I734" i="1"/>
  <c r="E735" i="1" s="1"/>
  <c r="I1926" i="1" l="1"/>
  <c r="E1927" i="1" s="1"/>
  <c r="J735" i="1"/>
  <c r="G735" i="1" s="1"/>
  <c r="H735" i="1"/>
  <c r="F735" i="1"/>
  <c r="H1927" i="1" l="1"/>
  <c r="J1927" i="1"/>
  <c r="G1927" i="1" s="1"/>
  <c r="F1927" i="1"/>
  <c r="I735" i="1"/>
  <c r="E736" i="1" s="1"/>
  <c r="H736" i="1"/>
  <c r="J736" i="1"/>
  <c r="G736" i="1" s="1"/>
  <c r="F736" i="1"/>
  <c r="I1927" i="1" l="1"/>
  <c r="E1928" i="1" s="1"/>
  <c r="I736" i="1"/>
  <c r="E737" i="1" s="1"/>
  <c r="H1928" i="1" l="1"/>
  <c r="J1928" i="1"/>
  <c r="G1928" i="1" s="1"/>
  <c r="F1928" i="1"/>
  <c r="J737" i="1"/>
  <c r="G737" i="1" s="1"/>
  <c r="F737" i="1"/>
  <c r="H737" i="1"/>
  <c r="I1928" i="1" l="1"/>
  <c r="E1929" i="1" s="1"/>
  <c r="I737" i="1"/>
  <c r="E738" i="1" s="1"/>
  <c r="J738" i="1" s="1"/>
  <c r="G738" i="1" s="1"/>
  <c r="F738" i="1"/>
  <c r="H738" i="1"/>
  <c r="H1929" i="1" l="1"/>
  <c r="J1929" i="1"/>
  <c r="G1929" i="1" s="1"/>
  <c r="F1929" i="1"/>
  <c r="I738" i="1"/>
  <c r="E739" i="1" s="1"/>
  <c r="I1929" i="1" l="1"/>
  <c r="E1930" i="1" s="1"/>
  <c r="H739" i="1"/>
  <c r="F739" i="1"/>
  <c r="J739" i="1"/>
  <c r="G739" i="1" s="1"/>
  <c r="J1930" i="1" l="1"/>
  <c r="G1930" i="1" s="1"/>
  <c r="H1930" i="1"/>
  <c r="F1930" i="1"/>
  <c r="I739" i="1"/>
  <c r="E740" i="1" s="1"/>
  <c r="I1930" i="1" l="1"/>
  <c r="E1931" i="1" s="1"/>
  <c r="H740" i="1"/>
  <c r="J740" i="1"/>
  <c r="G740" i="1" s="1"/>
  <c r="F740" i="1"/>
  <c r="H1931" i="1" l="1"/>
  <c r="J1931" i="1"/>
  <c r="G1931" i="1" s="1"/>
  <c r="F1931" i="1"/>
  <c r="I740" i="1"/>
  <c r="E741" i="1" s="1"/>
  <c r="I1931" i="1" l="1"/>
  <c r="E1932" i="1" s="1"/>
  <c r="J741" i="1"/>
  <c r="G741" i="1" s="1"/>
  <c r="F741" i="1"/>
  <c r="H741" i="1"/>
  <c r="H1932" i="1" l="1"/>
  <c r="J1932" i="1"/>
  <c r="G1932" i="1" s="1"/>
  <c r="F1932" i="1"/>
  <c r="I741" i="1"/>
  <c r="E742" i="1" s="1"/>
  <c r="I1932" i="1" l="1"/>
  <c r="E1933" i="1" s="1"/>
  <c r="J742" i="1"/>
  <c r="G742" i="1" s="1"/>
  <c r="F742" i="1"/>
  <c r="H742" i="1"/>
  <c r="J1933" i="1" l="1"/>
  <c r="G1933" i="1" s="1"/>
  <c r="H1933" i="1"/>
  <c r="I1933" i="1" s="1"/>
  <c r="E1934" i="1" s="1"/>
  <c r="F1933" i="1"/>
  <c r="I742" i="1"/>
  <c r="E743" i="1" s="1"/>
  <c r="H1934" i="1" l="1"/>
  <c r="J1934" i="1"/>
  <c r="G1934" i="1" s="1"/>
  <c r="F1934" i="1"/>
  <c r="J743" i="1"/>
  <c r="G743" i="1" s="1"/>
  <c r="F743" i="1"/>
  <c r="H743" i="1"/>
  <c r="I1934" i="1" l="1"/>
  <c r="E1935" i="1" s="1"/>
  <c r="I743" i="1"/>
  <c r="E744" i="1" s="1"/>
  <c r="H1935" i="1" l="1"/>
  <c r="J1935" i="1"/>
  <c r="G1935" i="1" s="1"/>
  <c r="F1935" i="1"/>
  <c r="J744" i="1"/>
  <c r="G744" i="1" s="1"/>
  <c r="F744" i="1"/>
  <c r="H744" i="1"/>
  <c r="I1935" i="1" l="1"/>
  <c r="E1936" i="1" s="1"/>
  <c r="I744" i="1"/>
  <c r="E745" i="1" s="1"/>
  <c r="H1936" i="1" l="1"/>
  <c r="J1936" i="1"/>
  <c r="G1936" i="1" s="1"/>
  <c r="F1936" i="1"/>
  <c r="J745" i="1"/>
  <c r="G745" i="1" s="1"/>
  <c r="F745" i="1"/>
  <c r="H745" i="1"/>
  <c r="I1936" i="1" l="1"/>
  <c r="E1937" i="1" s="1"/>
  <c r="I745" i="1"/>
  <c r="E746" i="1" s="1"/>
  <c r="F746" i="1" s="1"/>
  <c r="H746" i="1"/>
  <c r="J746" i="1"/>
  <c r="G746" i="1" s="1"/>
  <c r="H1937" i="1" l="1"/>
  <c r="J1937" i="1"/>
  <c r="G1937" i="1" s="1"/>
  <c r="F1937" i="1"/>
  <c r="I746" i="1"/>
  <c r="E747" i="1" s="1"/>
  <c r="I1937" i="1" l="1"/>
  <c r="E1938" i="1" s="1"/>
  <c r="J747" i="1"/>
  <c r="G747" i="1" s="1"/>
  <c r="H747" i="1"/>
  <c r="F747" i="1"/>
  <c r="J1938" i="1" l="1"/>
  <c r="G1938" i="1" s="1"/>
  <c r="H1938" i="1"/>
  <c r="F1938" i="1"/>
  <c r="I747" i="1"/>
  <c r="E748" i="1" s="1"/>
  <c r="I1938" i="1" l="1"/>
  <c r="E1939" i="1" s="1"/>
  <c r="F748" i="1"/>
  <c r="H748" i="1"/>
  <c r="J748" i="1"/>
  <c r="G748" i="1" s="1"/>
  <c r="H1939" i="1" l="1"/>
  <c r="J1939" i="1"/>
  <c r="G1939" i="1" s="1"/>
  <c r="F1939" i="1"/>
  <c r="I748" i="1"/>
  <c r="E749" i="1" s="1"/>
  <c r="I1939" i="1" l="1"/>
  <c r="E1940" i="1" s="1"/>
  <c r="F749" i="1"/>
  <c r="J749" i="1"/>
  <c r="G749" i="1" s="1"/>
  <c r="H749" i="1"/>
  <c r="H1940" i="1" l="1"/>
  <c r="J1940" i="1"/>
  <c r="G1940" i="1" s="1"/>
  <c r="F1940" i="1"/>
  <c r="I749" i="1"/>
  <c r="E750" i="1" s="1"/>
  <c r="I1940" i="1" l="1"/>
  <c r="E1941" i="1" s="1"/>
  <c r="H750" i="1"/>
  <c r="J750" i="1"/>
  <c r="G750" i="1" s="1"/>
  <c r="F750" i="1"/>
  <c r="J1941" i="1" l="1"/>
  <c r="G1941" i="1" s="1"/>
  <c r="H1941" i="1"/>
  <c r="F1941" i="1"/>
  <c r="I750" i="1"/>
  <c r="E751" i="1" s="1"/>
  <c r="I1941" i="1" l="1"/>
  <c r="E1942" i="1" s="1"/>
  <c r="H751" i="1"/>
  <c r="J751" i="1"/>
  <c r="G751" i="1" s="1"/>
  <c r="F751" i="1"/>
  <c r="H1942" i="1" l="1"/>
  <c r="J1942" i="1"/>
  <c r="G1942" i="1" s="1"/>
  <c r="F1942" i="1"/>
  <c r="I751" i="1"/>
  <c r="E752" i="1" s="1"/>
  <c r="I1942" i="1" l="1"/>
  <c r="E1943" i="1" s="1"/>
  <c r="H752" i="1"/>
  <c r="F752" i="1"/>
  <c r="J752" i="1"/>
  <c r="G752" i="1" s="1"/>
  <c r="H1943" i="1" l="1"/>
  <c r="J1943" i="1"/>
  <c r="G1943" i="1" s="1"/>
  <c r="F1943" i="1"/>
  <c r="I752" i="1"/>
  <c r="E753" i="1" s="1"/>
  <c r="I1943" i="1" l="1"/>
  <c r="E1944" i="1" s="1"/>
  <c r="H753" i="1"/>
  <c r="J753" i="1"/>
  <c r="G753" i="1" s="1"/>
  <c r="F753" i="1"/>
  <c r="H1944" i="1" l="1"/>
  <c r="J1944" i="1"/>
  <c r="G1944" i="1" s="1"/>
  <c r="F1944" i="1"/>
  <c r="I753" i="1"/>
  <c r="E754" i="1" s="1"/>
  <c r="I1944" i="1" l="1"/>
  <c r="E1945" i="1" s="1"/>
  <c r="F754" i="1"/>
  <c r="J754" i="1"/>
  <c r="G754" i="1" s="1"/>
  <c r="H754" i="1"/>
  <c r="H1945" i="1" l="1"/>
  <c r="I1945" i="1" s="1"/>
  <c r="E1946" i="1" s="1"/>
  <c r="J1945" i="1"/>
  <c r="G1945" i="1" s="1"/>
  <c r="F1945" i="1"/>
  <c r="I754" i="1"/>
  <c r="J1946" i="1" l="1"/>
  <c r="G1946" i="1" s="1"/>
  <c r="H1946" i="1"/>
  <c r="F1946" i="1"/>
  <c r="I1946" i="1" l="1"/>
  <c r="E1947" i="1" s="1"/>
  <c r="H1947" i="1" l="1"/>
  <c r="J1947" i="1"/>
  <c r="G1947" i="1" s="1"/>
  <c r="F1947" i="1"/>
  <c r="I1947" i="1" l="1"/>
  <c r="E1948" i="1" s="1"/>
  <c r="H1948" i="1" l="1"/>
  <c r="J1948" i="1"/>
  <c r="G1948" i="1" s="1"/>
  <c r="F1948" i="1"/>
  <c r="I1948" i="1" l="1"/>
  <c r="E1949" i="1" s="1"/>
  <c r="H1949" i="1" l="1"/>
  <c r="J1949" i="1"/>
  <c r="G1949" i="1" s="1"/>
  <c r="F1949" i="1"/>
  <c r="I1949" i="1" l="1"/>
  <c r="E1950" i="1" s="1"/>
  <c r="H1950" i="1" l="1"/>
  <c r="J1950" i="1"/>
  <c r="G1950" i="1" s="1"/>
  <c r="F1950" i="1"/>
  <c r="I1950" i="1" l="1"/>
  <c r="E1951" i="1" s="1"/>
  <c r="H1951" i="1" l="1"/>
  <c r="J1951" i="1"/>
  <c r="G1951" i="1" s="1"/>
  <c r="F1951" i="1"/>
  <c r="I1951" i="1" l="1"/>
  <c r="E1952" i="1" s="1"/>
  <c r="J1952" i="1" l="1"/>
  <c r="G1952" i="1" s="1"/>
  <c r="H1952" i="1"/>
  <c r="I1952" i="1" s="1"/>
  <c r="E1953" i="1" s="1"/>
  <c r="F1952" i="1"/>
  <c r="J1953" i="1" l="1"/>
  <c r="G1953" i="1" s="1"/>
  <c r="H1953" i="1"/>
  <c r="F1953" i="1"/>
  <c r="I1953" i="1" l="1"/>
  <c r="E1954" i="1" s="1"/>
  <c r="H1954" i="1" l="1"/>
  <c r="I1954" i="1" s="1"/>
  <c r="E1955" i="1" s="1"/>
  <c r="J1954" i="1"/>
  <c r="G1954" i="1" s="1"/>
  <c r="F1954" i="1"/>
  <c r="H1955" i="1" l="1"/>
  <c r="I1955" i="1" s="1"/>
  <c r="E1956" i="1" s="1"/>
  <c r="J1955" i="1"/>
  <c r="G1955" i="1" s="1"/>
  <c r="F1955" i="1"/>
  <c r="H1956" i="1" l="1"/>
  <c r="J1956" i="1"/>
  <c r="G1956" i="1" s="1"/>
  <c r="F1956" i="1"/>
  <c r="I1956" i="1" l="1"/>
  <c r="E1957" i="1" s="1"/>
  <c r="H1957" i="1" l="1"/>
  <c r="J1957" i="1"/>
  <c r="G1957" i="1" s="1"/>
  <c r="F1957" i="1"/>
  <c r="I1957" i="1" l="1"/>
  <c r="E1958" i="1" s="1"/>
  <c r="H1958" i="1" l="1"/>
  <c r="J1958" i="1"/>
  <c r="G1958" i="1" s="1"/>
  <c r="F1958" i="1"/>
  <c r="I1958" i="1" l="1"/>
  <c r="E1959" i="1" s="1"/>
  <c r="H1959" i="1" l="1"/>
  <c r="I1959" i="1" s="1"/>
  <c r="E1960" i="1" s="1"/>
  <c r="J1959" i="1"/>
  <c r="G1959" i="1" s="1"/>
  <c r="F1959" i="1"/>
  <c r="J1960" i="1" l="1"/>
  <c r="G1960" i="1" s="1"/>
  <c r="H1960" i="1"/>
  <c r="F1960" i="1"/>
  <c r="I1960" i="1" l="1"/>
  <c r="E1961" i="1" s="1"/>
  <c r="J1961" i="1" l="1"/>
  <c r="G1961" i="1" s="1"/>
  <c r="H1961" i="1"/>
  <c r="I1961" i="1" s="1"/>
  <c r="E1962" i="1" s="1"/>
  <c r="F1961" i="1"/>
  <c r="H1962" i="1" l="1"/>
  <c r="J1962" i="1"/>
  <c r="G1962" i="1" s="1"/>
  <c r="F1962" i="1"/>
  <c r="I1962" i="1" l="1"/>
  <c r="E1963" i="1" s="1"/>
  <c r="H1963" i="1" l="1"/>
  <c r="J1963" i="1"/>
  <c r="G1963" i="1" s="1"/>
  <c r="F1963" i="1"/>
  <c r="I1963" i="1" l="1"/>
  <c r="E1964" i="1" s="1"/>
  <c r="H1964" i="1" l="1"/>
  <c r="J1964" i="1"/>
  <c r="G1964" i="1" s="1"/>
  <c r="F1964" i="1"/>
  <c r="I1964" i="1" l="1"/>
  <c r="E1965" i="1" s="1"/>
  <c r="H1965" i="1" l="1"/>
  <c r="J1965" i="1"/>
  <c r="G1965" i="1" s="1"/>
  <c r="F1965" i="1"/>
  <c r="I1965" i="1" l="1"/>
  <c r="E1966" i="1" s="1"/>
  <c r="H1966" i="1" l="1"/>
  <c r="J1966" i="1"/>
  <c r="G1966" i="1" s="1"/>
  <c r="F1966" i="1"/>
  <c r="I1966" i="1" l="1"/>
  <c r="E1967" i="1" s="1"/>
  <c r="H1967" i="1" l="1"/>
  <c r="J1967" i="1"/>
  <c r="G1967" i="1" s="1"/>
  <c r="F1967" i="1"/>
  <c r="I1967" i="1" l="1"/>
  <c r="E1968" i="1" s="1"/>
  <c r="J1968" i="1" l="1"/>
  <c r="G1968" i="1" s="1"/>
  <c r="H1968" i="1"/>
  <c r="F1968" i="1"/>
  <c r="I1968" i="1" l="1"/>
  <c r="E1969" i="1" s="1"/>
  <c r="J1969" i="1" l="1"/>
  <c r="G1969" i="1" s="1"/>
  <c r="H1969" i="1"/>
  <c r="I1969" i="1" s="1"/>
  <c r="E1970" i="1" s="1"/>
  <c r="F1969" i="1"/>
  <c r="H1970" i="1" l="1"/>
  <c r="J1970" i="1"/>
  <c r="G1970" i="1" s="1"/>
  <c r="F1970" i="1"/>
  <c r="I1970" i="1" l="1"/>
  <c r="E1971" i="1" s="1"/>
  <c r="H1971" i="1" l="1"/>
  <c r="J1971" i="1"/>
  <c r="G1971" i="1" s="1"/>
  <c r="F1971" i="1"/>
  <c r="I1971" i="1" l="1"/>
  <c r="E1972" i="1" s="1"/>
  <c r="H1972" i="1" l="1"/>
  <c r="J1972" i="1"/>
  <c r="G1972" i="1" s="1"/>
  <c r="F1972" i="1"/>
  <c r="I1972" i="1" l="1"/>
  <c r="E1973" i="1" s="1"/>
  <c r="H1973" i="1" l="1"/>
  <c r="J1973" i="1"/>
  <c r="G1973" i="1" s="1"/>
  <c r="F1973" i="1"/>
  <c r="I1973" i="1" l="1"/>
  <c r="E1974" i="1" s="1"/>
  <c r="H1974" i="1" l="1"/>
  <c r="J1974" i="1"/>
  <c r="G1974" i="1" s="1"/>
  <c r="F1974" i="1"/>
  <c r="I1974" i="1" l="1"/>
  <c r="E1975" i="1" s="1"/>
  <c r="H1975" i="1" l="1"/>
  <c r="J1975" i="1"/>
  <c r="G1975" i="1" s="1"/>
  <c r="F1975" i="1"/>
  <c r="I1975" i="1" l="1"/>
  <c r="E1976" i="1" s="1"/>
  <c r="J1976" i="1" l="1"/>
  <c r="G1976" i="1" s="1"/>
  <c r="H1976" i="1"/>
  <c r="I1976" i="1" s="1"/>
  <c r="E1977" i="1" s="1"/>
  <c r="F1976" i="1"/>
  <c r="J1977" i="1" l="1"/>
  <c r="G1977" i="1" s="1"/>
  <c r="H1977" i="1"/>
  <c r="F1977" i="1"/>
  <c r="I1977" i="1" l="1"/>
  <c r="E1978" i="1" s="1"/>
  <c r="H1978" i="1" l="1"/>
  <c r="J1978" i="1"/>
  <c r="G1978" i="1" s="1"/>
  <c r="F1978" i="1"/>
  <c r="I1978" i="1" l="1"/>
  <c r="E1979" i="1" s="1"/>
  <c r="H1979" i="1" l="1"/>
  <c r="J1979" i="1"/>
  <c r="G1979" i="1" s="1"/>
  <c r="F1979" i="1"/>
  <c r="I1979" i="1" l="1"/>
  <c r="E1980" i="1" s="1"/>
  <c r="H1980" i="1" l="1"/>
  <c r="J1980" i="1"/>
  <c r="G1980" i="1" s="1"/>
  <c r="F1980" i="1"/>
  <c r="I1980" i="1" l="1"/>
  <c r="E1981" i="1" s="1"/>
  <c r="H1981" i="1" l="1"/>
  <c r="J1981" i="1"/>
  <c r="G1981" i="1" s="1"/>
  <c r="F1981" i="1"/>
  <c r="I1981" i="1" l="1"/>
  <c r="E1982" i="1" s="1"/>
  <c r="H1982" i="1" l="1"/>
  <c r="J1982" i="1"/>
  <c r="G1982" i="1" s="1"/>
  <c r="F1982" i="1"/>
  <c r="I1982" i="1" l="1"/>
  <c r="E1983" i="1" s="1"/>
  <c r="H1983" i="1" l="1"/>
  <c r="J1983" i="1"/>
  <c r="G1983" i="1" s="1"/>
  <c r="F1983" i="1"/>
  <c r="I1983" i="1" l="1"/>
  <c r="E1984" i="1" s="1"/>
  <c r="J1984" i="1" l="1"/>
  <c r="G1984" i="1" s="1"/>
  <c r="H1984" i="1"/>
  <c r="F1984" i="1"/>
  <c r="I1984" i="1" l="1"/>
  <c r="E1985" i="1" s="1"/>
  <c r="J1985" i="1" l="1"/>
  <c r="G1985" i="1" s="1"/>
  <c r="H1985" i="1"/>
  <c r="I1985" i="1" s="1"/>
  <c r="E1986" i="1" s="1"/>
  <c r="F1985" i="1"/>
  <c r="H1986" i="1" l="1"/>
  <c r="J1986" i="1"/>
  <c r="G1986" i="1" s="1"/>
  <c r="F1986" i="1"/>
  <c r="I1986" i="1" l="1"/>
  <c r="E1987" i="1" s="1"/>
  <c r="H1987" i="1" l="1"/>
  <c r="I1987" i="1" s="1"/>
  <c r="E1988" i="1" s="1"/>
  <c r="J1987" i="1"/>
  <c r="G1987" i="1" s="1"/>
  <c r="F1987" i="1"/>
  <c r="H1988" i="1" l="1"/>
  <c r="J1988" i="1"/>
  <c r="G1988" i="1" s="1"/>
  <c r="F1988" i="1"/>
  <c r="I1988" i="1" l="1"/>
  <c r="E1989" i="1" s="1"/>
  <c r="H1989" i="1" l="1"/>
  <c r="J1989" i="1"/>
  <c r="G1989" i="1" s="1"/>
  <c r="F1989" i="1"/>
  <c r="I1989" i="1" l="1"/>
  <c r="E1990" i="1" s="1"/>
  <c r="H1990" i="1" l="1"/>
  <c r="J1990" i="1"/>
  <c r="G1990" i="1" s="1"/>
  <c r="F1990" i="1"/>
  <c r="I1990" i="1" l="1"/>
  <c r="E1991" i="1" s="1"/>
  <c r="H1991" i="1" l="1"/>
  <c r="J1991" i="1"/>
  <c r="G1991" i="1" s="1"/>
  <c r="F1991" i="1"/>
  <c r="I1991" i="1" l="1"/>
  <c r="E1992" i="1" s="1"/>
  <c r="J1992" i="1" l="1"/>
  <c r="G1992" i="1" s="1"/>
  <c r="H1992" i="1"/>
  <c r="F1992" i="1"/>
  <c r="I1992" i="1" l="1"/>
  <c r="E1993" i="1" s="1"/>
  <c r="J1993" i="1" l="1"/>
  <c r="G1993" i="1" s="1"/>
  <c r="H1993" i="1"/>
  <c r="F1993" i="1"/>
  <c r="I1993" i="1" l="1"/>
  <c r="E1994" i="1" s="1"/>
  <c r="H1994" i="1" l="1"/>
  <c r="J1994" i="1"/>
  <c r="G1994" i="1" s="1"/>
  <c r="F1994" i="1"/>
  <c r="I1994" i="1" l="1"/>
  <c r="E1995" i="1" s="1"/>
  <c r="H1995" i="1" l="1"/>
  <c r="J1995" i="1"/>
  <c r="G1995" i="1" s="1"/>
  <c r="F1995" i="1"/>
  <c r="I1995" i="1" l="1"/>
  <c r="E1996" i="1" s="1"/>
  <c r="H1996" i="1" l="1"/>
  <c r="I1996" i="1" s="1"/>
  <c r="E1997" i="1" s="1"/>
  <c r="J1996" i="1"/>
  <c r="G1996" i="1" s="1"/>
  <c r="F1996" i="1"/>
  <c r="H1997" i="1" l="1"/>
  <c r="J1997" i="1"/>
  <c r="G1997" i="1" s="1"/>
  <c r="F1997" i="1"/>
  <c r="I1997" i="1" l="1"/>
  <c r="E1998" i="1" s="1"/>
  <c r="H1998" i="1" l="1"/>
  <c r="I1998" i="1" s="1"/>
  <c r="E1999" i="1" s="1"/>
  <c r="J1998" i="1"/>
  <c r="G1998" i="1" s="1"/>
  <c r="F1998" i="1"/>
  <c r="H1999" i="1" l="1"/>
  <c r="J1999" i="1"/>
  <c r="G1999" i="1" s="1"/>
  <c r="F1999" i="1"/>
  <c r="I1999" i="1" l="1"/>
  <c r="E2000" i="1" s="1"/>
  <c r="J2000" i="1" l="1"/>
  <c r="G2000" i="1" s="1"/>
  <c r="H2000" i="1"/>
  <c r="F2000" i="1"/>
  <c r="I2000" i="1" l="1"/>
  <c r="E2001" i="1" s="1"/>
  <c r="J2001" i="1" l="1"/>
  <c r="G2001" i="1" s="1"/>
  <c r="H2001" i="1"/>
  <c r="F2001" i="1"/>
  <c r="I2001" i="1" l="1"/>
  <c r="E2002" i="1" s="1"/>
  <c r="H2002" i="1" l="1"/>
  <c r="J2002" i="1"/>
  <c r="G2002" i="1" s="1"/>
  <c r="F2002" i="1"/>
  <c r="I2002" i="1" l="1"/>
  <c r="E2003" i="1" s="1"/>
  <c r="H2003" i="1" l="1"/>
  <c r="J2003" i="1"/>
  <c r="G2003" i="1" s="1"/>
  <c r="F2003" i="1"/>
  <c r="I2003" i="1" l="1"/>
  <c r="E2004" i="1" s="1"/>
  <c r="H2004" i="1" l="1"/>
  <c r="J2004" i="1"/>
  <c r="G2004" i="1" s="1"/>
  <c r="F2004" i="1"/>
  <c r="I2004" i="1" l="1"/>
  <c r="E2005" i="1" s="1"/>
  <c r="H2005" i="1" l="1"/>
  <c r="J2005" i="1"/>
  <c r="G2005" i="1" s="1"/>
  <c r="F2005" i="1"/>
  <c r="I2005" i="1" l="1"/>
  <c r="E2006" i="1" s="1"/>
  <c r="H2006" i="1" l="1"/>
  <c r="J2006" i="1"/>
  <c r="G2006" i="1" s="1"/>
  <c r="F2006" i="1"/>
  <c r="I2006" i="1" l="1"/>
  <c r="E2007" i="1" s="1"/>
  <c r="H2007" i="1" l="1"/>
  <c r="J2007" i="1"/>
  <c r="G2007" i="1" s="1"/>
  <c r="F2007" i="1"/>
  <c r="I2007" i="1" l="1"/>
  <c r="E2008" i="1" s="1"/>
  <c r="J2008" i="1" l="1"/>
  <c r="G2008" i="1" s="1"/>
  <c r="H2008" i="1"/>
  <c r="F2008" i="1"/>
  <c r="I2008" i="1" l="1"/>
  <c r="E2009" i="1" s="1"/>
  <c r="J2009" i="1" l="1"/>
  <c r="G2009" i="1" s="1"/>
  <c r="H2009" i="1"/>
  <c r="F2009" i="1"/>
  <c r="I2009" i="1" l="1"/>
  <c r="E2010" i="1" s="1"/>
  <c r="H2010" i="1" l="1"/>
  <c r="J2010" i="1"/>
  <c r="G2010" i="1" s="1"/>
  <c r="F2010" i="1"/>
  <c r="I2010" i="1" l="1"/>
  <c r="E2011" i="1" s="1"/>
  <c r="H2011" i="1" l="1"/>
  <c r="J2011" i="1"/>
  <c r="G2011" i="1" s="1"/>
  <c r="F2011" i="1"/>
  <c r="I2011" i="1" l="1"/>
  <c r="E2012" i="1" s="1"/>
  <c r="H2012" i="1" l="1"/>
  <c r="J2012" i="1"/>
  <c r="G2012" i="1" s="1"/>
  <c r="F2012" i="1"/>
  <c r="I2012" i="1" l="1"/>
  <c r="E2013" i="1" s="1"/>
  <c r="H2013" i="1" l="1"/>
  <c r="J2013" i="1"/>
  <c r="G2013" i="1" s="1"/>
  <c r="F2013" i="1"/>
  <c r="I2013" i="1" l="1"/>
  <c r="E2014" i="1" s="1"/>
  <c r="H2014" i="1" l="1"/>
  <c r="J2014" i="1"/>
  <c r="G2014" i="1" s="1"/>
  <c r="F2014" i="1"/>
  <c r="I2014" i="1" l="1"/>
  <c r="E2015" i="1" s="1"/>
  <c r="H2015" i="1" l="1"/>
  <c r="J2015" i="1"/>
  <c r="G2015" i="1" s="1"/>
  <c r="F2015" i="1"/>
  <c r="I2015" i="1" l="1"/>
  <c r="E2016" i="1" s="1"/>
  <c r="J2016" i="1" l="1"/>
  <c r="G2016" i="1" s="1"/>
  <c r="H2016" i="1"/>
  <c r="F2016" i="1"/>
  <c r="I2016" i="1" l="1"/>
  <c r="E2017" i="1" s="1"/>
  <c r="J2017" i="1" l="1"/>
  <c r="G2017" i="1" s="1"/>
  <c r="H2017" i="1"/>
  <c r="I2017" i="1" s="1"/>
  <c r="E2018" i="1" s="1"/>
  <c r="F2017" i="1"/>
  <c r="H2018" i="1" l="1"/>
  <c r="J2018" i="1"/>
  <c r="G2018" i="1" s="1"/>
  <c r="F2018" i="1"/>
  <c r="I2018" i="1" l="1"/>
  <c r="E2019" i="1" s="1"/>
  <c r="H2019" i="1" l="1"/>
  <c r="J2019" i="1"/>
  <c r="G2019" i="1" s="1"/>
  <c r="F2019" i="1"/>
  <c r="I2019" i="1" l="1"/>
  <c r="E2020" i="1" s="1"/>
  <c r="H2020" i="1" l="1"/>
  <c r="J2020" i="1"/>
  <c r="G2020" i="1" s="1"/>
  <c r="F2020" i="1"/>
  <c r="I2020" i="1" l="1"/>
  <c r="E2021" i="1" s="1"/>
  <c r="H2021" i="1" l="1"/>
  <c r="J2021" i="1"/>
  <c r="G2021" i="1" s="1"/>
  <c r="F2021" i="1"/>
  <c r="I2021" i="1" l="1"/>
  <c r="E2022" i="1" s="1"/>
  <c r="H2022" i="1" l="1"/>
  <c r="J2022" i="1"/>
  <c r="G2022" i="1" s="1"/>
  <c r="F2022" i="1"/>
  <c r="I2022" i="1" l="1"/>
  <c r="E2023" i="1" s="1"/>
  <c r="H2023" i="1" l="1"/>
  <c r="J2023" i="1"/>
  <c r="G2023" i="1" s="1"/>
  <c r="F2023" i="1"/>
  <c r="I2023" i="1" l="1"/>
  <c r="E2024" i="1" s="1"/>
  <c r="J2024" i="1" l="1"/>
  <c r="G2024" i="1" s="1"/>
  <c r="H2024" i="1"/>
  <c r="F2024" i="1"/>
  <c r="I2024" i="1" l="1"/>
  <c r="E2025" i="1" s="1"/>
  <c r="J2025" i="1" l="1"/>
  <c r="G2025" i="1" s="1"/>
  <c r="H2025" i="1"/>
  <c r="F2025" i="1"/>
  <c r="I2025" i="1" l="1"/>
  <c r="E2026" i="1" s="1"/>
  <c r="H2026" i="1" l="1"/>
  <c r="J2026" i="1"/>
  <c r="G2026" i="1" s="1"/>
  <c r="F2026" i="1"/>
  <c r="I2026" i="1" l="1"/>
  <c r="E2027" i="1" s="1"/>
  <c r="H2027" i="1" l="1"/>
  <c r="J2027" i="1"/>
  <c r="G2027" i="1" s="1"/>
  <c r="F2027" i="1"/>
  <c r="I2027" i="1" l="1"/>
  <c r="E2028" i="1" s="1"/>
  <c r="H2028" i="1" l="1"/>
  <c r="J2028" i="1"/>
  <c r="G2028" i="1" s="1"/>
  <c r="F2028" i="1"/>
  <c r="I2028" i="1" l="1"/>
  <c r="E2029" i="1" s="1"/>
  <c r="H2029" i="1" l="1"/>
  <c r="J2029" i="1"/>
  <c r="G2029" i="1" s="1"/>
  <c r="F2029" i="1"/>
  <c r="I2029" i="1" l="1"/>
  <c r="E2030" i="1" s="1"/>
  <c r="H2030" i="1" l="1"/>
  <c r="J2030" i="1"/>
  <c r="G2030" i="1" s="1"/>
  <c r="F2030" i="1"/>
  <c r="I2030" i="1" l="1"/>
  <c r="E2031" i="1" s="1"/>
  <c r="H2031" i="1" l="1"/>
  <c r="J2031" i="1"/>
  <c r="G2031" i="1" s="1"/>
  <c r="F2031" i="1"/>
  <c r="I2031" i="1" l="1"/>
  <c r="E2032" i="1" s="1"/>
  <c r="J2032" i="1" l="1"/>
  <c r="G2032" i="1" s="1"/>
  <c r="H2032" i="1"/>
  <c r="I2032" i="1" s="1"/>
  <c r="E2033" i="1" s="1"/>
  <c r="F2032" i="1"/>
  <c r="J2033" i="1" l="1"/>
  <c r="G2033" i="1" s="1"/>
  <c r="H2033" i="1"/>
  <c r="F2033" i="1"/>
  <c r="I2033" i="1" l="1"/>
  <c r="E2034" i="1" s="1"/>
  <c r="H2034" i="1" l="1"/>
  <c r="J2034" i="1"/>
  <c r="G2034" i="1" s="1"/>
  <c r="F2034" i="1"/>
  <c r="I2034" i="1" l="1"/>
  <c r="E2035" i="1" s="1"/>
  <c r="H2035" i="1" l="1"/>
  <c r="J2035" i="1"/>
  <c r="G2035" i="1" s="1"/>
  <c r="F2035" i="1"/>
  <c r="I2035" i="1" l="1"/>
  <c r="E2036" i="1" s="1"/>
  <c r="H2036" i="1" l="1"/>
  <c r="J2036" i="1"/>
  <c r="G2036" i="1" s="1"/>
  <c r="F2036" i="1"/>
  <c r="I2036" i="1" l="1"/>
  <c r="E2037" i="1" s="1"/>
  <c r="H2037" i="1" l="1"/>
  <c r="J2037" i="1"/>
  <c r="G2037" i="1" s="1"/>
  <c r="F2037" i="1"/>
  <c r="I2037" i="1" l="1"/>
  <c r="E2038" i="1" s="1"/>
  <c r="H2038" i="1" l="1"/>
  <c r="J2038" i="1"/>
  <c r="G2038" i="1" s="1"/>
  <c r="F2038" i="1"/>
  <c r="I2038" i="1" l="1"/>
  <c r="E2039" i="1" s="1"/>
  <c r="H2039" i="1" l="1"/>
  <c r="J2039" i="1"/>
  <c r="G2039" i="1" s="1"/>
  <c r="F2039" i="1"/>
  <c r="I2039" i="1" l="1"/>
  <c r="E2040" i="1" s="1"/>
  <c r="J2040" i="1" l="1"/>
  <c r="G2040" i="1" s="1"/>
  <c r="H2040" i="1"/>
  <c r="F2040" i="1"/>
  <c r="I2040" i="1" l="1"/>
  <c r="E2041" i="1" s="1"/>
  <c r="H2041" i="1" l="1"/>
  <c r="J2041" i="1"/>
  <c r="G2041" i="1" s="1"/>
  <c r="F2041" i="1"/>
  <c r="I2041" i="1" l="1"/>
  <c r="E2042" i="1" s="1"/>
  <c r="H2042" i="1" l="1"/>
  <c r="J2042" i="1"/>
  <c r="G2042" i="1" s="1"/>
  <c r="F2042" i="1"/>
  <c r="I2042" i="1" l="1"/>
  <c r="E2043" i="1" s="1"/>
  <c r="J2043" i="1" l="1"/>
  <c r="G2043" i="1" s="1"/>
  <c r="H2043" i="1"/>
  <c r="F2043" i="1"/>
  <c r="I2043" i="1" l="1"/>
  <c r="E2044" i="1" s="1"/>
  <c r="H2044" i="1" l="1"/>
  <c r="J2044" i="1"/>
  <c r="G2044" i="1" s="1"/>
  <c r="F2044" i="1"/>
  <c r="I2044" i="1" l="1"/>
  <c r="E2045" i="1" s="1"/>
  <c r="H2045" i="1" l="1"/>
  <c r="J2045" i="1"/>
  <c r="G2045" i="1" s="1"/>
  <c r="F2045" i="1"/>
  <c r="I2045" i="1" l="1"/>
  <c r="E2046" i="1" s="1"/>
  <c r="H2046" i="1" l="1"/>
  <c r="J2046" i="1"/>
  <c r="G2046" i="1" s="1"/>
  <c r="F2046" i="1"/>
  <c r="I2046" i="1" l="1"/>
  <c r="E2047" i="1" s="1"/>
  <c r="H2047" i="1" l="1"/>
  <c r="J2047" i="1"/>
  <c r="G2047" i="1" s="1"/>
  <c r="F2047" i="1"/>
  <c r="I2047" i="1" l="1"/>
  <c r="E2048" i="1" s="1"/>
  <c r="J2048" i="1" l="1"/>
  <c r="G2048" i="1" s="1"/>
  <c r="H2048" i="1"/>
  <c r="F2048" i="1"/>
  <c r="I2048" i="1" l="1"/>
  <c r="E2049" i="1" s="1"/>
  <c r="H2049" i="1" l="1"/>
  <c r="J2049" i="1"/>
  <c r="G2049" i="1" s="1"/>
  <c r="F2049" i="1"/>
  <c r="I2049" i="1" l="1"/>
  <c r="E2050" i="1" s="1"/>
  <c r="H2050" i="1" l="1"/>
  <c r="J2050" i="1"/>
  <c r="G2050" i="1" s="1"/>
  <c r="F2050" i="1"/>
  <c r="I2050" i="1" l="1"/>
  <c r="E2051" i="1" s="1"/>
  <c r="J2051" i="1" l="1"/>
  <c r="G2051" i="1" s="1"/>
  <c r="H2051" i="1"/>
  <c r="F2051" i="1"/>
  <c r="I2051" i="1" l="1"/>
  <c r="E2052" i="1" s="1"/>
  <c r="H2052" i="1" l="1"/>
  <c r="J2052" i="1"/>
  <c r="G2052" i="1" s="1"/>
  <c r="F2052" i="1"/>
  <c r="I2052" i="1" l="1"/>
  <c r="E2053" i="1" s="1"/>
  <c r="H2053" i="1" l="1"/>
  <c r="J2053" i="1"/>
  <c r="G2053" i="1" s="1"/>
  <c r="F2053" i="1"/>
  <c r="I2053" i="1" l="1"/>
  <c r="E2054" i="1" s="1"/>
  <c r="J2054" i="1" l="1"/>
  <c r="G2054" i="1" s="1"/>
  <c r="H2054" i="1"/>
  <c r="F2054" i="1"/>
  <c r="I2054" i="1" l="1"/>
  <c r="E2055" i="1" s="1"/>
  <c r="H2055" i="1" l="1"/>
  <c r="J2055" i="1"/>
  <c r="G2055" i="1" s="1"/>
  <c r="F2055" i="1"/>
  <c r="I2055" i="1" l="1"/>
  <c r="E2056" i="1" s="1"/>
  <c r="J2056" i="1" l="1"/>
  <c r="G2056" i="1" s="1"/>
  <c r="H2056" i="1"/>
  <c r="F2056" i="1"/>
  <c r="I2056" i="1" l="1"/>
  <c r="E2057" i="1" s="1"/>
  <c r="H2057" i="1" l="1"/>
  <c r="J2057" i="1"/>
  <c r="G2057" i="1" s="1"/>
  <c r="F2057" i="1"/>
  <c r="I2057" i="1" l="1"/>
  <c r="E2058" i="1" s="1"/>
  <c r="H2058" i="1" l="1"/>
  <c r="J2058" i="1"/>
  <c r="G2058" i="1" s="1"/>
  <c r="F2058" i="1"/>
  <c r="I2058" i="1" l="1"/>
  <c r="E2059" i="1" s="1"/>
  <c r="J2059" i="1" l="1"/>
  <c r="G2059" i="1" s="1"/>
  <c r="H2059" i="1"/>
  <c r="F2059" i="1"/>
  <c r="I2059" i="1" l="1"/>
  <c r="E2060" i="1" s="1"/>
  <c r="H2060" i="1" l="1"/>
  <c r="J2060" i="1"/>
  <c r="G2060" i="1" s="1"/>
  <c r="F2060" i="1"/>
  <c r="I2060" i="1" l="1"/>
  <c r="E2061" i="1" s="1"/>
  <c r="H2061" i="1" l="1"/>
  <c r="J2061" i="1"/>
  <c r="G2061" i="1" s="1"/>
  <c r="F2061" i="1"/>
  <c r="I2061" i="1" l="1"/>
  <c r="E2062" i="1" s="1"/>
  <c r="J2062" i="1" l="1"/>
  <c r="G2062" i="1" s="1"/>
  <c r="H2062" i="1"/>
  <c r="F2062" i="1"/>
  <c r="I2062" i="1" l="1"/>
  <c r="E2063" i="1" s="1"/>
  <c r="H2063" i="1" l="1"/>
  <c r="J2063" i="1"/>
  <c r="G2063" i="1" s="1"/>
  <c r="F2063" i="1"/>
  <c r="I2063" i="1" l="1"/>
  <c r="E2064" i="1" s="1"/>
  <c r="J2064" i="1" l="1"/>
  <c r="G2064" i="1" s="1"/>
  <c r="H2064" i="1"/>
  <c r="F2064" i="1"/>
  <c r="I2064" i="1" l="1"/>
  <c r="E2065" i="1" s="1"/>
  <c r="H2065" i="1" l="1"/>
  <c r="J2065" i="1"/>
  <c r="G2065" i="1" s="1"/>
  <c r="F2065" i="1"/>
  <c r="I2065" i="1" l="1"/>
  <c r="E2066" i="1" s="1"/>
  <c r="H2066" i="1" l="1"/>
  <c r="J2066" i="1"/>
  <c r="G2066" i="1" s="1"/>
  <c r="F2066" i="1"/>
  <c r="I2066" i="1" l="1"/>
  <c r="E2067" i="1" s="1"/>
  <c r="H2067" i="1" l="1"/>
  <c r="J2067" i="1"/>
  <c r="G2067" i="1" s="1"/>
  <c r="F2067" i="1"/>
  <c r="I2067" i="1" l="1"/>
  <c r="E2068" i="1" s="1"/>
  <c r="H2068" i="1" l="1"/>
  <c r="J2068" i="1"/>
  <c r="G2068" i="1" s="1"/>
  <c r="F2068" i="1"/>
  <c r="I2068" i="1" l="1"/>
  <c r="E2069" i="1" s="1"/>
  <c r="H2069" i="1" l="1"/>
  <c r="J2069" i="1"/>
  <c r="G2069" i="1" s="1"/>
  <c r="F2069" i="1"/>
  <c r="I2069" i="1" l="1"/>
  <c r="E2070" i="1" s="1"/>
  <c r="H2070" i="1" l="1"/>
  <c r="J2070" i="1"/>
  <c r="G2070" i="1" s="1"/>
  <c r="F2070" i="1"/>
  <c r="I2070" i="1" l="1"/>
  <c r="E2071" i="1" s="1"/>
  <c r="H2071" i="1" l="1"/>
  <c r="J2071" i="1"/>
  <c r="G2071" i="1" s="1"/>
  <c r="F2071" i="1"/>
  <c r="I2071" i="1" l="1"/>
  <c r="E2072" i="1" s="1"/>
  <c r="J2072" i="1" l="1"/>
  <c r="G2072" i="1" s="1"/>
  <c r="H2072" i="1"/>
  <c r="F2072" i="1"/>
  <c r="I2072" i="1" l="1"/>
  <c r="E2073" i="1" s="1"/>
  <c r="J2073" i="1" l="1"/>
  <c r="G2073" i="1" s="1"/>
  <c r="H2073" i="1"/>
  <c r="I2073" i="1" s="1"/>
  <c r="E2074" i="1" s="1"/>
  <c r="F2073" i="1"/>
  <c r="H2074" i="1" l="1"/>
  <c r="J2074" i="1"/>
  <c r="G2074" i="1" s="1"/>
  <c r="F2074" i="1"/>
  <c r="I2074" i="1" l="1"/>
  <c r="E2075" i="1" s="1"/>
  <c r="H2075" i="1" l="1"/>
  <c r="J2075" i="1"/>
  <c r="G2075" i="1" s="1"/>
  <c r="F2075" i="1"/>
  <c r="I2075" i="1" l="1"/>
  <c r="E2076" i="1" s="1"/>
  <c r="H2076" i="1" l="1"/>
  <c r="J2076" i="1"/>
  <c r="G2076" i="1" s="1"/>
  <c r="F2076" i="1"/>
  <c r="I2076" i="1" l="1"/>
  <c r="E2077" i="1" s="1"/>
  <c r="H2077" i="1" l="1"/>
  <c r="J2077" i="1"/>
  <c r="G2077" i="1" s="1"/>
  <c r="F2077" i="1"/>
  <c r="I2077" i="1" l="1"/>
  <c r="E2078" i="1" s="1"/>
  <c r="H2078" i="1" l="1"/>
  <c r="J2078" i="1"/>
  <c r="G2078" i="1" s="1"/>
  <c r="F2078" i="1"/>
  <c r="I2078" i="1" l="1"/>
  <c r="E2079" i="1" s="1"/>
  <c r="H2079" i="1" l="1"/>
  <c r="J2079" i="1"/>
  <c r="G2079" i="1" s="1"/>
  <c r="F2079" i="1"/>
  <c r="I2079" i="1" l="1"/>
  <c r="E2080" i="1" s="1"/>
  <c r="J2080" i="1" l="1"/>
  <c r="G2080" i="1" s="1"/>
  <c r="H2080" i="1"/>
  <c r="I2080" i="1" s="1"/>
  <c r="E2081" i="1" s="1"/>
  <c r="F2080" i="1"/>
  <c r="J2081" i="1" l="1"/>
  <c r="G2081" i="1" s="1"/>
  <c r="H2081" i="1"/>
  <c r="F2081" i="1"/>
  <c r="I2081" i="1" l="1"/>
  <c r="E2082" i="1" s="1"/>
  <c r="H2082" i="1" l="1"/>
  <c r="J2082" i="1"/>
  <c r="G2082" i="1" s="1"/>
  <c r="F2082" i="1"/>
  <c r="I2082" i="1" l="1"/>
  <c r="E2083" i="1" s="1"/>
  <c r="H2083" i="1" l="1"/>
  <c r="J2083" i="1"/>
  <c r="G2083" i="1" s="1"/>
  <c r="F2083" i="1"/>
  <c r="I2083" i="1" l="1"/>
  <c r="E2084" i="1" s="1"/>
  <c r="H2084" i="1" l="1"/>
  <c r="J2084" i="1"/>
  <c r="G2084" i="1" s="1"/>
  <c r="F2084" i="1"/>
  <c r="I2084" i="1" l="1"/>
  <c r="E2085" i="1" s="1"/>
  <c r="H2085" i="1" l="1"/>
  <c r="J2085" i="1"/>
  <c r="G2085" i="1" s="1"/>
  <c r="F2085" i="1"/>
  <c r="I2085" i="1" l="1"/>
  <c r="E2086" i="1" s="1"/>
  <c r="H2086" i="1" l="1"/>
  <c r="J2086" i="1"/>
  <c r="G2086" i="1" s="1"/>
  <c r="F2086" i="1"/>
  <c r="I2086" i="1" l="1"/>
  <c r="E2087" i="1" s="1"/>
  <c r="H2087" i="1" l="1"/>
  <c r="J2087" i="1"/>
  <c r="G2087" i="1" s="1"/>
  <c r="F2087" i="1"/>
  <c r="I2087" i="1" l="1"/>
  <c r="E2088" i="1" s="1"/>
  <c r="J2088" i="1" l="1"/>
  <c r="G2088" i="1" s="1"/>
  <c r="H2088" i="1"/>
  <c r="F2088" i="1"/>
  <c r="I2088" i="1" l="1"/>
  <c r="E2089" i="1" s="1"/>
  <c r="J2089" i="1" l="1"/>
  <c r="G2089" i="1" s="1"/>
  <c r="H2089" i="1"/>
  <c r="F2089" i="1"/>
  <c r="I2089" i="1" l="1"/>
  <c r="E2090" i="1" s="1"/>
  <c r="H2090" i="1" l="1"/>
  <c r="J2090" i="1"/>
  <c r="G2090" i="1" s="1"/>
  <c r="F2090" i="1"/>
  <c r="I2090" i="1" l="1"/>
  <c r="E2091" i="1" s="1"/>
  <c r="H2091" i="1" l="1"/>
  <c r="J2091" i="1"/>
  <c r="G2091" i="1" s="1"/>
  <c r="F2091" i="1"/>
  <c r="I2091" i="1" l="1"/>
  <c r="E2092" i="1" s="1"/>
  <c r="H2092" i="1" l="1"/>
  <c r="J2092" i="1"/>
  <c r="G2092" i="1" s="1"/>
  <c r="F2092" i="1"/>
  <c r="I2092" i="1" l="1"/>
  <c r="E2093" i="1" s="1"/>
  <c r="H2093" i="1" l="1"/>
  <c r="J2093" i="1"/>
  <c r="G2093" i="1" s="1"/>
  <c r="F2093" i="1"/>
  <c r="I2093" i="1" l="1"/>
  <c r="E2094" i="1" s="1"/>
  <c r="H2094" i="1" l="1"/>
  <c r="J2094" i="1"/>
  <c r="G2094" i="1" s="1"/>
  <c r="F2094" i="1"/>
  <c r="I2094" i="1" l="1"/>
  <c r="E2095" i="1" s="1"/>
  <c r="H2095" i="1" l="1"/>
  <c r="J2095" i="1"/>
  <c r="G2095" i="1" s="1"/>
  <c r="F2095" i="1"/>
  <c r="I2095" i="1" l="1"/>
  <c r="E2096" i="1" s="1"/>
  <c r="J2096" i="1" l="1"/>
  <c r="G2096" i="1" s="1"/>
  <c r="H2096" i="1"/>
  <c r="F2096" i="1"/>
  <c r="I2096" i="1" l="1"/>
  <c r="E2097" i="1" s="1"/>
  <c r="J2097" i="1" l="1"/>
  <c r="G2097" i="1" s="1"/>
  <c r="H2097" i="1"/>
  <c r="F2097" i="1"/>
  <c r="I2097" i="1" l="1"/>
  <c r="E2098" i="1" s="1"/>
  <c r="H2098" i="1" l="1"/>
  <c r="J2098" i="1"/>
  <c r="G2098" i="1" s="1"/>
  <c r="F2098" i="1"/>
  <c r="I2098" i="1" l="1"/>
  <c r="E2099" i="1" s="1"/>
  <c r="H2099" i="1" l="1"/>
  <c r="J2099" i="1"/>
  <c r="G2099" i="1" s="1"/>
  <c r="F2099" i="1"/>
  <c r="I2099" i="1" l="1"/>
  <c r="E2100" i="1" s="1"/>
  <c r="H2100" i="1" l="1"/>
  <c r="J2100" i="1"/>
  <c r="G2100" i="1" s="1"/>
  <c r="F2100" i="1"/>
  <c r="I2100" i="1" l="1"/>
  <c r="E2101" i="1" s="1"/>
  <c r="H2101" i="1" l="1"/>
  <c r="J2101" i="1"/>
  <c r="G2101" i="1" s="1"/>
  <c r="F2101" i="1"/>
  <c r="I2101" i="1" l="1"/>
  <c r="E2102" i="1" s="1"/>
  <c r="H2102" i="1" l="1"/>
  <c r="J2102" i="1"/>
  <c r="G2102" i="1" s="1"/>
  <c r="F2102" i="1"/>
  <c r="I2102" i="1" l="1"/>
  <c r="E2103" i="1" s="1"/>
  <c r="H2103" i="1" l="1"/>
  <c r="J2103" i="1"/>
  <c r="G2103" i="1" s="1"/>
  <c r="F2103" i="1"/>
  <c r="I2103" i="1" l="1"/>
  <c r="E2104" i="1" s="1"/>
  <c r="J2104" i="1" l="1"/>
  <c r="G2104" i="1" s="1"/>
  <c r="H2104" i="1"/>
  <c r="F2104" i="1"/>
  <c r="I2104" i="1" l="1"/>
  <c r="E2105" i="1" s="1"/>
  <c r="J2105" i="1" l="1"/>
  <c r="G2105" i="1" s="1"/>
  <c r="H2105" i="1"/>
  <c r="I2105" i="1" s="1"/>
  <c r="E2106" i="1" s="1"/>
  <c r="F2105" i="1"/>
  <c r="H2106" i="1" l="1"/>
  <c r="J2106" i="1"/>
  <c r="G2106" i="1" s="1"/>
  <c r="F2106" i="1"/>
  <c r="I2106" i="1" l="1"/>
  <c r="E2107" i="1" s="1"/>
  <c r="H2107" i="1" l="1"/>
  <c r="J2107" i="1"/>
  <c r="G2107" i="1" s="1"/>
  <c r="F2107" i="1"/>
  <c r="I2107" i="1" l="1"/>
  <c r="E2108" i="1" s="1"/>
  <c r="H2108" i="1" l="1"/>
  <c r="J2108" i="1"/>
  <c r="G2108" i="1" s="1"/>
  <c r="F2108" i="1"/>
  <c r="I2108" i="1" l="1"/>
  <c r="E2109" i="1" s="1"/>
  <c r="H2109" i="1" l="1"/>
  <c r="J2109" i="1"/>
  <c r="G2109" i="1" s="1"/>
  <c r="F2109" i="1"/>
  <c r="I2109" i="1" l="1"/>
  <c r="E2110" i="1" s="1"/>
  <c r="H2110" i="1" l="1"/>
  <c r="J2110" i="1"/>
  <c r="G2110" i="1" s="1"/>
  <c r="F2110" i="1"/>
  <c r="I2110" i="1" l="1"/>
  <c r="E2111" i="1" s="1"/>
  <c r="H2111" i="1" l="1"/>
  <c r="J2111" i="1"/>
  <c r="G2111" i="1" s="1"/>
  <c r="F2111" i="1"/>
  <c r="I2111" i="1" l="1"/>
  <c r="E2112" i="1" s="1"/>
  <c r="J2112" i="1" l="1"/>
  <c r="G2112" i="1" s="1"/>
  <c r="H2112" i="1"/>
  <c r="F2112" i="1"/>
  <c r="I2112" i="1" l="1"/>
  <c r="E2113" i="1" s="1"/>
  <c r="J2113" i="1" l="1"/>
  <c r="G2113" i="1" s="1"/>
  <c r="H2113" i="1"/>
  <c r="F2113" i="1"/>
  <c r="I2113" i="1" l="1"/>
  <c r="E2114" i="1" s="1"/>
  <c r="H2114" i="1" l="1"/>
  <c r="J2114" i="1"/>
  <c r="G2114" i="1" s="1"/>
  <c r="F2114" i="1"/>
  <c r="I2114" i="1" l="1"/>
  <c r="E2115" i="1" s="1"/>
  <c r="H2115" i="1" l="1"/>
  <c r="J2115" i="1"/>
  <c r="G2115" i="1" s="1"/>
  <c r="F2115" i="1"/>
  <c r="I2115" i="1" l="1"/>
  <c r="E2116" i="1" s="1"/>
  <c r="H2116" i="1" l="1"/>
  <c r="J2116" i="1"/>
  <c r="G2116" i="1" s="1"/>
  <c r="F2116" i="1"/>
  <c r="I2116" i="1" l="1"/>
  <c r="E2117" i="1" s="1"/>
  <c r="H2117" i="1" l="1"/>
  <c r="J2117" i="1"/>
  <c r="G2117" i="1" s="1"/>
  <c r="F2117" i="1"/>
  <c r="I2117" i="1" l="1"/>
  <c r="E2118" i="1" s="1"/>
  <c r="H2118" i="1" l="1"/>
  <c r="J2118" i="1"/>
  <c r="G2118" i="1" s="1"/>
  <c r="F2118" i="1"/>
  <c r="I2118" i="1" l="1"/>
  <c r="E2119" i="1" s="1"/>
  <c r="H2119" i="1" l="1"/>
  <c r="J2119" i="1"/>
  <c r="G2119" i="1" s="1"/>
  <c r="F2119" i="1"/>
  <c r="I2119" i="1" l="1"/>
  <c r="E2120" i="1" s="1"/>
  <c r="J2120" i="1" l="1"/>
  <c r="G2120" i="1" s="1"/>
  <c r="H2120" i="1"/>
  <c r="I2120" i="1" s="1"/>
  <c r="E2121" i="1" s="1"/>
  <c r="F2120" i="1"/>
  <c r="J2121" i="1" l="1"/>
  <c r="G2121" i="1" s="1"/>
  <c r="H2121" i="1"/>
  <c r="I2121" i="1" s="1"/>
  <c r="E2122" i="1" s="1"/>
  <c r="F2121" i="1"/>
  <c r="H2122" i="1" l="1"/>
  <c r="J2122" i="1"/>
  <c r="G2122" i="1" s="1"/>
  <c r="F2122" i="1"/>
  <c r="I2122" i="1" l="1"/>
  <c r="E2123" i="1" s="1"/>
  <c r="H2123" i="1" l="1"/>
  <c r="J2123" i="1"/>
  <c r="G2123" i="1" s="1"/>
  <c r="F2123" i="1"/>
  <c r="I2123" i="1" l="1"/>
  <c r="E2124" i="1" s="1"/>
  <c r="H2124" i="1" l="1"/>
  <c r="J2124" i="1"/>
  <c r="G2124" i="1" s="1"/>
  <c r="F2124" i="1"/>
  <c r="I2124" i="1" l="1"/>
  <c r="E2125" i="1" s="1"/>
  <c r="H2125" i="1" l="1"/>
  <c r="J2125" i="1"/>
  <c r="G2125" i="1" s="1"/>
  <c r="F2125" i="1"/>
  <c r="I2125" i="1" l="1"/>
  <c r="E2126" i="1" s="1"/>
  <c r="H2126" i="1" l="1"/>
  <c r="J2126" i="1"/>
  <c r="G2126" i="1" s="1"/>
  <c r="F2126" i="1"/>
  <c r="I2126" i="1" l="1"/>
  <c r="E2127" i="1" s="1"/>
  <c r="H2127" i="1" l="1"/>
  <c r="J2127" i="1"/>
  <c r="G2127" i="1" s="1"/>
  <c r="F2127" i="1"/>
  <c r="I2127" i="1" l="1"/>
  <c r="E2128" i="1" s="1"/>
  <c r="J2128" i="1" l="1"/>
  <c r="G2128" i="1" s="1"/>
  <c r="H2128" i="1"/>
  <c r="F2128" i="1"/>
  <c r="I2128" i="1" l="1"/>
  <c r="E2129" i="1" s="1"/>
  <c r="J2129" i="1" l="1"/>
  <c r="G2129" i="1" s="1"/>
  <c r="H2129" i="1"/>
  <c r="F2129" i="1"/>
  <c r="I2129" i="1" l="1"/>
  <c r="E2130" i="1" s="1"/>
  <c r="H2130" i="1" l="1"/>
  <c r="I2130" i="1" s="1"/>
  <c r="E2131" i="1" s="1"/>
  <c r="J2130" i="1"/>
  <c r="G2130" i="1" s="1"/>
  <c r="F2130" i="1"/>
  <c r="H2131" i="1" l="1"/>
  <c r="J2131" i="1"/>
  <c r="G2131" i="1" s="1"/>
  <c r="F2131" i="1"/>
  <c r="I2131" i="1" l="1"/>
  <c r="E2132" i="1" s="1"/>
  <c r="H2132" i="1" l="1"/>
  <c r="J2132" i="1"/>
  <c r="G2132" i="1" s="1"/>
  <c r="F2132" i="1"/>
  <c r="I2132" i="1" l="1"/>
  <c r="E2133" i="1" s="1"/>
  <c r="H2133" i="1" l="1"/>
  <c r="J2133" i="1"/>
  <c r="G2133" i="1" s="1"/>
  <c r="F2133" i="1"/>
  <c r="I2133" i="1" l="1"/>
  <c r="E2134" i="1" s="1"/>
  <c r="H2134" i="1" l="1"/>
  <c r="J2134" i="1"/>
  <c r="G2134" i="1" s="1"/>
  <c r="F2134" i="1"/>
  <c r="I2134" i="1" l="1"/>
  <c r="E2135" i="1" s="1"/>
  <c r="H2135" i="1" l="1"/>
  <c r="J2135" i="1"/>
  <c r="G2135" i="1" s="1"/>
  <c r="F2135" i="1"/>
  <c r="I2135" i="1" l="1"/>
  <c r="E2136" i="1" s="1"/>
  <c r="J2136" i="1" l="1"/>
  <c r="G2136" i="1" s="1"/>
  <c r="H2136" i="1"/>
  <c r="F2136" i="1"/>
  <c r="I2136" i="1" l="1"/>
  <c r="E2137" i="1" s="1"/>
  <c r="J2137" i="1" l="1"/>
  <c r="G2137" i="1" s="1"/>
  <c r="H2137" i="1"/>
  <c r="I2137" i="1" s="1"/>
  <c r="E2138" i="1" s="1"/>
  <c r="F2137" i="1"/>
  <c r="H2138" i="1" l="1"/>
  <c r="J2138" i="1"/>
  <c r="G2138" i="1" s="1"/>
  <c r="F2138" i="1"/>
  <c r="I2138" i="1" l="1"/>
  <c r="E2139" i="1" s="1"/>
  <c r="H2139" i="1" l="1"/>
  <c r="J2139" i="1"/>
  <c r="G2139" i="1" s="1"/>
  <c r="F2139" i="1"/>
  <c r="I2139" i="1" l="1"/>
  <c r="E2140" i="1" s="1"/>
  <c r="H2140" i="1" l="1"/>
  <c r="J2140" i="1"/>
  <c r="G2140" i="1" s="1"/>
  <c r="F2140" i="1"/>
  <c r="I2140" i="1" l="1"/>
  <c r="E2141" i="1" s="1"/>
  <c r="H2141" i="1" l="1"/>
  <c r="J2141" i="1"/>
  <c r="G2141" i="1" s="1"/>
  <c r="F2141" i="1"/>
  <c r="I2141" i="1" l="1"/>
  <c r="E2142" i="1" s="1"/>
  <c r="H2142" i="1" l="1"/>
  <c r="J2142" i="1"/>
  <c r="G2142" i="1" s="1"/>
  <c r="F2142" i="1"/>
  <c r="I2142" i="1" l="1"/>
  <c r="E2143" i="1" s="1"/>
  <c r="H2143" i="1" l="1"/>
  <c r="J2143" i="1"/>
  <c r="G2143" i="1" s="1"/>
  <c r="F2143" i="1"/>
  <c r="I2143" i="1" l="1"/>
  <c r="E2144" i="1" s="1"/>
  <c r="J2144" i="1" l="1"/>
  <c r="G2144" i="1" s="1"/>
  <c r="H2144" i="1"/>
  <c r="I2144" i="1" s="1"/>
  <c r="E2145" i="1" s="1"/>
  <c r="F2144" i="1"/>
  <c r="J2145" i="1" l="1"/>
  <c r="G2145" i="1" s="1"/>
  <c r="H2145" i="1"/>
  <c r="F2145" i="1"/>
  <c r="I2145" i="1" l="1"/>
  <c r="E2146" i="1" s="1"/>
  <c r="H2146" i="1" l="1"/>
  <c r="J2146" i="1"/>
  <c r="G2146" i="1" s="1"/>
  <c r="F2146" i="1"/>
  <c r="I2146" i="1" l="1"/>
  <c r="E2147" i="1" s="1"/>
  <c r="H2147" i="1" l="1"/>
  <c r="J2147" i="1"/>
  <c r="G2147" i="1" s="1"/>
  <c r="F2147" i="1"/>
  <c r="I2147" i="1" l="1"/>
  <c r="E2148" i="1" s="1"/>
  <c r="H2148" i="1" l="1"/>
  <c r="J2148" i="1"/>
  <c r="G2148" i="1" s="1"/>
  <c r="F2148" i="1"/>
  <c r="I2148" i="1" l="1"/>
  <c r="E2149" i="1" s="1"/>
  <c r="H2149" i="1" l="1"/>
  <c r="J2149" i="1"/>
  <c r="G2149" i="1" s="1"/>
  <c r="F2149" i="1"/>
  <c r="I2149" i="1" l="1"/>
  <c r="E2150" i="1" s="1"/>
  <c r="H2150" i="1" l="1"/>
  <c r="J2150" i="1"/>
  <c r="G2150" i="1" s="1"/>
  <c r="F2150" i="1"/>
  <c r="I2150" i="1" l="1"/>
  <c r="E2151" i="1" s="1"/>
  <c r="H2151" i="1" l="1"/>
  <c r="J2151" i="1"/>
  <c r="G2151" i="1" s="1"/>
  <c r="F2151" i="1"/>
  <c r="I2151" i="1" l="1"/>
  <c r="E2152" i="1" s="1"/>
  <c r="J2152" i="1" l="1"/>
  <c r="G2152" i="1" s="1"/>
  <c r="H2152" i="1"/>
  <c r="F2152" i="1"/>
  <c r="I2152" i="1" l="1"/>
  <c r="E2153" i="1" s="1"/>
  <c r="J2153" i="1" l="1"/>
  <c r="G2153" i="1" s="1"/>
  <c r="H2153" i="1"/>
  <c r="I2153" i="1" s="1"/>
  <c r="E2154" i="1" s="1"/>
  <c r="F2153" i="1"/>
  <c r="H2154" i="1" l="1"/>
  <c r="J2154" i="1"/>
  <c r="G2154" i="1" s="1"/>
  <c r="F2154" i="1"/>
  <c r="I2154" i="1" l="1"/>
  <c r="E2155" i="1" s="1"/>
  <c r="H2155" i="1" l="1"/>
  <c r="J2155" i="1"/>
  <c r="G2155" i="1" s="1"/>
  <c r="F2155" i="1"/>
  <c r="I2155" i="1" l="1"/>
  <c r="E2156" i="1" s="1"/>
  <c r="H2156" i="1" l="1"/>
  <c r="J2156" i="1"/>
  <c r="G2156" i="1" s="1"/>
  <c r="F2156" i="1"/>
  <c r="I2156" i="1" l="1"/>
  <c r="E2157" i="1" s="1"/>
  <c r="H2157" i="1" l="1"/>
  <c r="J2157" i="1"/>
  <c r="G2157" i="1" s="1"/>
  <c r="F2157" i="1"/>
  <c r="I2157" i="1" l="1"/>
  <c r="E2158" i="1" s="1"/>
  <c r="H2158" i="1" l="1"/>
  <c r="J2158" i="1"/>
  <c r="G2158" i="1" s="1"/>
  <c r="F2158" i="1"/>
  <c r="I2158" i="1" l="1"/>
  <c r="E2159" i="1" s="1"/>
  <c r="H2159" i="1" l="1"/>
  <c r="J2159" i="1"/>
  <c r="G2159" i="1" s="1"/>
  <c r="F2159" i="1"/>
  <c r="I2159" i="1" l="1"/>
  <c r="E2160" i="1" s="1"/>
  <c r="J2160" i="1" l="1"/>
  <c r="G2160" i="1" s="1"/>
  <c r="H2160" i="1"/>
  <c r="I2160" i="1" s="1"/>
  <c r="E2161" i="1" s="1"/>
  <c r="F2160" i="1"/>
  <c r="J2161" i="1" l="1"/>
  <c r="G2161" i="1" s="1"/>
  <c r="H2161" i="1"/>
  <c r="F2161" i="1"/>
  <c r="I2161" i="1" l="1"/>
  <c r="E2162" i="1" s="1"/>
  <c r="H2162" i="1" l="1"/>
  <c r="J2162" i="1"/>
  <c r="G2162" i="1" s="1"/>
  <c r="F2162" i="1"/>
  <c r="I2162" i="1" l="1"/>
  <c r="E2163" i="1" s="1"/>
  <c r="H2163" i="1" l="1"/>
  <c r="J2163" i="1"/>
  <c r="G2163" i="1" s="1"/>
  <c r="F2163" i="1"/>
  <c r="I2163" i="1" l="1"/>
  <c r="E2164" i="1" s="1"/>
  <c r="H2164" i="1" l="1"/>
  <c r="I2164" i="1" s="1"/>
  <c r="E2165" i="1" s="1"/>
  <c r="J2164" i="1"/>
  <c r="G2164" i="1" s="1"/>
  <c r="F2164" i="1"/>
  <c r="J2165" i="1" l="1"/>
  <c r="G2165" i="1" s="1"/>
  <c r="H2165" i="1"/>
  <c r="F2165" i="1"/>
  <c r="I2165" i="1" l="1"/>
  <c r="E2166" i="1" s="1"/>
  <c r="H2166" i="1" l="1"/>
  <c r="J2166" i="1"/>
  <c r="G2166" i="1" s="1"/>
  <c r="F2166" i="1"/>
  <c r="I2166" i="1" l="1"/>
  <c r="E2167" i="1" s="1"/>
  <c r="H2167" i="1" l="1"/>
  <c r="J2167" i="1"/>
  <c r="G2167" i="1" s="1"/>
  <c r="F2167" i="1"/>
  <c r="I2167" i="1" l="1"/>
  <c r="E2168" i="1" s="1"/>
  <c r="J2168" i="1" l="1"/>
  <c r="G2168" i="1" s="1"/>
  <c r="H2168" i="1"/>
  <c r="I2168" i="1" s="1"/>
  <c r="E2169" i="1" s="1"/>
  <c r="F2168" i="1"/>
  <c r="H2169" i="1" l="1"/>
  <c r="J2169" i="1"/>
  <c r="G2169" i="1" s="1"/>
  <c r="F2169" i="1"/>
  <c r="I2169" i="1" l="1"/>
  <c r="E2170" i="1" s="1"/>
  <c r="H2170" i="1" l="1"/>
  <c r="J2170" i="1"/>
  <c r="G2170" i="1" s="1"/>
  <c r="F2170" i="1"/>
  <c r="I2170" i="1" l="1"/>
  <c r="E2171" i="1" s="1"/>
  <c r="H2171" i="1" l="1"/>
  <c r="J2171" i="1"/>
  <c r="G2171" i="1" s="1"/>
  <c r="F2171" i="1"/>
  <c r="I2171" i="1" l="1"/>
  <c r="E2172" i="1" s="1"/>
  <c r="H2172" i="1" l="1"/>
  <c r="J2172" i="1"/>
  <c r="G2172" i="1" s="1"/>
  <c r="F2172" i="1"/>
  <c r="I2172" i="1" l="1"/>
  <c r="E2173" i="1" s="1"/>
  <c r="J2173" i="1" l="1"/>
  <c r="G2173" i="1" s="1"/>
  <c r="H2173" i="1"/>
  <c r="F2173" i="1"/>
  <c r="I2173" i="1" l="1"/>
  <c r="E2174" i="1" s="1"/>
  <c r="H2174" i="1" l="1"/>
  <c r="J2174" i="1"/>
  <c r="G2174" i="1" s="1"/>
  <c r="F2174" i="1"/>
  <c r="I2174" i="1" l="1"/>
  <c r="E2175" i="1" s="1"/>
  <c r="H2175" i="1" l="1"/>
  <c r="J2175" i="1"/>
  <c r="G2175" i="1" s="1"/>
  <c r="F2175" i="1"/>
  <c r="I2175" i="1" l="1"/>
  <c r="E2176" i="1" s="1"/>
  <c r="J2176" i="1" l="1"/>
  <c r="G2176" i="1" s="1"/>
  <c r="H2176" i="1"/>
  <c r="F2176" i="1"/>
  <c r="I2176" i="1" l="1"/>
  <c r="E2177" i="1" s="1"/>
  <c r="H2177" i="1" l="1"/>
  <c r="J2177" i="1"/>
  <c r="G2177" i="1" s="1"/>
  <c r="F2177" i="1"/>
  <c r="I2177" i="1" l="1"/>
  <c r="E2178" i="1" s="1"/>
  <c r="H2178" i="1" l="1"/>
  <c r="J2178" i="1"/>
  <c r="G2178" i="1" s="1"/>
  <c r="F2178" i="1"/>
  <c r="I2178" i="1" l="1"/>
  <c r="E2179" i="1" s="1"/>
  <c r="H2179" i="1" l="1"/>
  <c r="J2179" i="1"/>
  <c r="G2179" i="1" s="1"/>
  <c r="F2179" i="1"/>
  <c r="I2179" i="1" l="1"/>
  <c r="E2180" i="1" s="1"/>
  <c r="H2180" i="1" l="1"/>
  <c r="J2180" i="1"/>
  <c r="G2180" i="1" s="1"/>
  <c r="F2180" i="1"/>
  <c r="I2180" i="1" l="1"/>
  <c r="E2181" i="1" s="1"/>
  <c r="J2181" i="1" l="1"/>
  <c r="G2181" i="1" s="1"/>
  <c r="H2181" i="1"/>
  <c r="F2181" i="1"/>
  <c r="I2181" i="1" l="1"/>
  <c r="E2182" i="1" s="1"/>
  <c r="H2182" i="1" l="1"/>
  <c r="J2182" i="1"/>
  <c r="G2182" i="1" s="1"/>
  <c r="F2182" i="1"/>
  <c r="I2182" i="1" l="1"/>
  <c r="E2183" i="1" s="1"/>
  <c r="H2183" i="1" l="1"/>
  <c r="J2183" i="1"/>
  <c r="G2183" i="1" s="1"/>
  <c r="F2183" i="1"/>
  <c r="I2183" i="1" l="1"/>
  <c r="E2184" i="1" s="1"/>
  <c r="J2184" i="1" l="1"/>
  <c r="G2184" i="1" s="1"/>
  <c r="H2184" i="1"/>
  <c r="F2184" i="1"/>
  <c r="I2184" i="1" l="1"/>
  <c r="E2185" i="1" s="1"/>
  <c r="H2185" i="1" l="1"/>
  <c r="J2185" i="1"/>
  <c r="G2185" i="1" s="1"/>
  <c r="F2185" i="1"/>
  <c r="I2185" i="1" l="1"/>
  <c r="E2186" i="1" s="1"/>
  <c r="H2186" i="1" l="1"/>
  <c r="J2186" i="1"/>
  <c r="G2186" i="1" s="1"/>
  <c r="F2186" i="1"/>
  <c r="I2186" i="1" l="1"/>
  <c r="E2187" i="1" s="1"/>
  <c r="H2187" i="1" l="1"/>
  <c r="J2187" i="1"/>
  <c r="G2187" i="1" s="1"/>
  <c r="F2187" i="1"/>
  <c r="I2187" i="1" l="1"/>
  <c r="E2188" i="1" s="1"/>
  <c r="H2188" i="1" l="1"/>
  <c r="J2188" i="1"/>
  <c r="G2188" i="1" s="1"/>
  <c r="F2188" i="1"/>
  <c r="I2188" i="1" l="1"/>
  <c r="E2189" i="1" s="1"/>
  <c r="J2189" i="1" l="1"/>
  <c r="G2189" i="1" s="1"/>
  <c r="H2189" i="1"/>
  <c r="I2189" i="1" s="1"/>
  <c r="E2190" i="1" s="1"/>
  <c r="F2189" i="1"/>
  <c r="H2190" i="1" l="1"/>
  <c r="J2190" i="1"/>
  <c r="G2190" i="1" s="1"/>
  <c r="F2190" i="1"/>
  <c r="I2190" i="1" l="1"/>
  <c r="E2191" i="1" s="1"/>
  <c r="H2191" i="1" l="1"/>
  <c r="J2191" i="1"/>
  <c r="G2191" i="1" s="1"/>
  <c r="F2191" i="1"/>
  <c r="I2191" i="1" l="1"/>
  <c r="E2192" i="1" s="1"/>
  <c r="J2192" i="1" l="1"/>
  <c r="G2192" i="1" s="1"/>
  <c r="H2192" i="1"/>
  <c r="F2192" i="1"/>
  <c r="I2192" i="1" l="1"/>
  <c r="E2193" i="1" s="1"/>
  <c r="H2193" i="1" l="1"/>
  <c r="J2193" i="1"/>
  <c r="G2193" i="1" s="1"/>
  <c r="F2193" i="1"/>
  <c r="I2193" i="1" l="1"/>
  <c r="E2194" i="1" s="1"/>
  <c r="H2194" i="1" l="1"/>
  <c r="J2194" i="1"/>
  <c r="G2194" i="1" s="1"/>
  <c r="F2194" i="1"/>
  <c r="I2194" i="1" l="1"/>
  <c r="E2195" i="1" s="1"/>
  <c r="H2195" i="1" l="1"/>
  <c r="J2195" i="1"/>
  <c r="G2195" i="1" s="1"/>
  <c r="F2195" i="1"/>
  <c r="I2195" i="1" l="1"/>
  <c r="E2196" i="1" s="1"/>
  <c r="H2196" i="1" l="1"/>
  <c r="J2196" i="1"/>
  <c r="G2196" i="1" s="1"/>
  <c r="F2196" i="1"/>
  <c r="I2196" i="1" l="1"/>
  <c r="E2197" i="1" s="1"/>
  <c r="H2197" i="1" l="1"/>
  <c r="J2197" i="1"/>
  <c r="G2197" i="1" s="1"/>
  <c r="F2197" i="1"/>
  <c r="I2197" i="1" l="1"/>
  <c r="E2198" i="1" s="1"/>
  <c r="H2198" i="1" l="1"/>
  <c r="J2198" i="1"/>
  <c r="G2198" i="1" s="1"/>
  <c r="F2198" i="1"/>
  <c r="I2198" i="1" l="1"/>
  <c r="E2199" i="1" s="1"/>
  <c r="J2199" i="1" l="1"/>
  <c r="G2199" i="1" s="1"/>
  <c r="H2199" i="1"/>
  <c r="F2199" i="1"/>
  <c r="I2199" i="1" l="1"/>
  <c r="E2200" i="1" s="1"/>
  <c r="J2200" i="1" l="1"/>
  <c r="G2200" i="1" s="1"/>
  <c r="H2200" i="1"/>
  <c r="F2200" i="1"/>
  <c r="I2200" i="1" l="1"/>
  <c r="E2201" i="1" s="1"/>
  <c r="H2201" i="1" l="1"/>
  <c r="J2201" i="1"/>
  <c r="G2201" i="1" s="1"/>
  <c r="F2201" i="1"/>
  <c r="I2201" i="1" l="1"/>
  <c r="E2202" i="1" s="1"/>
  <c r="H2202" i="1" l="1"/>
  <c r="J2202" i="1"/>
  <c r="G2202" i="1" s="1"/>
  <c r="F2202" i="1"/>
  <c r="I2202" i="1" l="1"/>
  <c r="E2203" i="1" s="1"/>
  <c r="H2203" i="1" l="1"/>
  <c r="J2203" i="1"/>
  <c r="G2203" i="1" s="1"/>
  <c r="F2203" i="1"/>
  <c r="I2203" i="1" l="1"/>
  <c r="E2204" i="1" s="1"/>
  <c r="H2204" i="1" l="1"/>
  <c r="J2204" i="1"/>
  <c r="G2204" i="1" s="1"/>
  <c r="F2204" i="1"/>
  <c r="I2204" i="1" l="1"/>
  <c r="E2205" i="1" s="1"/>
  <c r="H2205" i="1" l="1"/>
  <c r="J2205" i="1"/>
  <c r="G2205" i="1" s="1"/>
  <c r="F2205" i="1"/>
  <c r="I2205" i="1" l="1"/>
  <c r="E2206" i="1" s="1"/>
  <c r="H2206" i="1" l="1"/>
  <c r="J2206" i="1"/>
  <c r="G2206" i="1" s="1"/>
  <c r="F2206" i="1"/>
  <c r="I2206" i="1" l="1"/>
  <c r="E2207" i="1" s="1"/>
  <c r="J2207" i="1" l="1"/>
  <c r="G2207" i="1" s="1"/>
  <c r="H2207" i="1"/>
  <c r="I2207" i="1" s="1"/>
  <c r="E2208" i="1" s="1"/>
  <c r="F2207" i="1"/>
  <c r="J2208" i="1" l="1"/>
  <c r="G2208" i="1" s="1"/>
  <c r="H2208" i="1"/>
  <c r="F2208" i="1"/>
  <c r="I2208" i="1" l="1"/>
  <c r="E2209" i="1" s="1"/>
  <c r="H2209" i="1" l="1"/>
  <c r="J2209" i="1"/>
  <c r="G2209" i="1" s="1"/>
  <c r="F2209" i="1"/>
  <c r="I2209" i="1" l="1"/>
  <c r="E2210" i="1" s="1"/>
  <c r="H2210" i="1" l="1"/>
  <c r="J2210" i="1"/>
  <c r="G2210" i="1" s="1"/>
  <c r="F2210" i="1"/>
  <c r="I2210" i="1" l="1"/>
  <c r="E2211" i="1" s="1"/>
  <c r="H2211" i="1" l="1"/>
  <c r="J2211" i="1"/>
  <c r="G2211" i="1" s="1"/>
  <c r="F2211" i="1"/>
  <c r="I2211" i="1" l="1"/>
  <c r="E2212" i="1" s="1"/>
  <c r="H2212" i="1" l="1"/>
  <c r="J2212" i="1"/>
  <c r="G2212" i="1" s="1"/>
  <c r="F2212" i="1"/>
  <c r="I2212" i="1" l="1"/>
  <c r="E2213" i="1" s="1"/>
  <c r="H2213" i="1" l="1"/>
  <c r="J2213" i="1"/>
  <c r="G2213" i="1" s="1"/>
  <c r="F2213" i="1"/>
  <c r="I2213" i="1" l="1"/>
  <c r="E2214" i="1" s="1"/>
  <c r="H2214" i="1" l="1"/>
  <c r="J2214" i="1"/>
  <c r="G2214" i="1" s="1"/>
  <c r="F2214" i="1"/>
  <c r="I2214" i="1" l="1"/>
  <c r="E2215" i="1" s="1"/>
  <c r="J2215" i="1" l="1"/>
  <c r="G2215" i="1" s="1"/>
  <c r="H2215" i="1"/>
  <c r="F2215" i="1"/>
  <c r="I2215" i="1" l="1"/>
  <c r="E2216" i="1" s="1"/>
  <c r="J2216" i="1" l="1"/>
  <c r="G2216" i="1" s="1"/>
  <c r="H2216" i="1"/>
  <c r="I2216" i="1" s="1"/>
  <c r="E2217" i="1" s="1"/>
  <c r="F2216" i="1"/>
  <c r="H2217" i="1" l="1"/>
  <c r="J2217" i="1"/>
  <c r="G2217" i="1" s="1"/>
  <c r="F2217" i="1"/>
  <c r="I2217" i="1" l="1"/>
  <c r="E2218" i="1" s="1"/>
  <c r="H2218" i="1" l="1"/>
  <c r="J2218" i="1"/>
  <c r="G2218" i="1" s="1"/>
  <c r="F2218" i="1"/>
  <c r="I2218" i="1" l="1"/>
  <c r="E2219" i="1" s="1"/>
  <c r="H2219" i="1" l="1"/>
  <c r="J2219" i="1"/>
  <c r="G2219" i="1" s="1"/>
  <c r="F2219" i="1"/>
  <c r="I2219" i="1" l="1"/>
  <c r="E2220" i="1" s="1"/>
  <c r="H2220" i="1" l="1"/>
  <c r="J2220" i="1"/>
  <c r="G2220" i="1" s="1"/>
  <c r="F2220" i="1"/>
  <c r="I2220" i="1" l="1"/>
  <c r="E2221" i="1" s="1"/>
  <c r="H2221" i="1" l="1"/>
  <c r="J2221" i="1"/>
  <c r="G2221" i="1" s="1"/>
  <c r="F2221" i="1"/>
  <c r="I2221" i="1" l="1"/>
  <c r="E2222" i="1" s="1"/>
  <c r="H2222" i="1" l="1"/>
  <c r="J2222" i="1"/>
  <c r="G2222" i="1" s="1"/>
  <c r="F2222" i="1"/>
  <c r="I2222" i="1" l="1"/>
  <c r="E2223" i="1" s="1"/>
  <c r="J2223" i="1" l="1"/>
  <c r="G2223" i="1" s="1"/>
  <c r="H2223" i="1"/>
  <c r="F2223" i="1"/>
  <c r="I2223" i="1" l="1"/>
  <c r="E2224" i="1" s="1"/>
  <c r="J2224" i="1" l="1"/>
  <c r="G2224" i="1" s="1"/>
  <c r="H2224" i="1"/>
  <c r="F2224" i="1"/>
  <c r="I2224" i="1" l="1"/>
  <c r="E2225" i="1" s="1"/>
  <c r="H2225" i="1" l="1"/>
  <c r="J2225" i="1"/>
  <c r="G2225" i="1" s="1"/>
  <c r="F2225" i="1"/>
  <c r="I2225" i="1" l="1"/>
  <c r="E2226" i="1" s="1"/>
  <c r="H2226" i="1" l="1"/>
  <c r="J2226" i="1"/>
  <c r="G2226" i="1" s="1"/>
  <c r="F2226" i="1"/>
  <c r="I2226" i="1" l="1"/>
  <c r="E2227" i="1" s="1"/>
  <c r="H2227" i="1" l="1"/>
  <c r="J2227" i="1"/>
  <c r="G2227" i="1" s="1"/>
  <c r="F2227" i="1"/>
  <c r="I2227" i="1" l="1"/>
  <c r="E2228" i="1" s="1"/>
  <c r="H2228" i="1" l="1"/>
  <c r="J2228" i="1"/>
  <c r="G2228" i="1" s="1"/>
  <c r="F2228" i="1"/>
  <c r="I2228" i="1" l="1"/>
  <c r="E2229" i="1" s="1"/>
  <c r="H2229" i="1" l="1"/>
  <c r="J2229" i="1"/>
  <c r="G2229" i="1" s="1"/>
  <c r="F2229" i="1"/>
  <c r="I2229" i="1" l="1"/>
  <c r="E2230" i="1" s="1"/>
  <c r="H2230" i="1" l="1"/>
  <c r="J2230" i="1"/>
  <c r="G2230" i="1" s="1"/>
  <c r="F2230" i="1"/>
  <c r="I2230" i="1" l="1"/>
  <c r="E2231" i="1" s="1"/>
  <c r="J2231" i="1" l="1"/>
  <c r="G2231" i="1" s="1"/>
  <c r="H2231" i="1"/>
  <c r="I2231" i="1" s="1"/>
  <c r="E2232" i="1" s="1"/>
  <c r="F2231" i="1"/>
  <c r="J2232" i="1" l="1"/>
  <c r="G2232" i="1" s="1"/>
  <c r="H2232" i="1"/>
  <c r="F2232" i="1"/>
  <c r="I2232" i="1" l="1"/>
  <c r="E2233" i="1" s="1"/>
  <c r="H2233" i="1" l="1"/>
  <c r="I2233" i="1" s="1"/>
  <c r="E2234" i="1" s="1"/>
  <c r="J2233" i="1"/>
  <c r="G2233" i="1" s="1"/>
  <c r="F2233" i="1"/>
  <c r="H2234" i="1" l="1"/>
  <c r="I2234" i="1" s="1"/>
  <c r="E2235" i="1" s="1"/>
  <c r="J2234" i="1"/>
  <c r="G2234" i="1" s="1"/>
  <c r="F2234" i="1"/>
  <c r="H2235" i="1" l="1"/>
  <c r="J2235" i="1"/>
  <c r="G2235" i="1" s="1"/>
  <c r="F2235" i="1"/>
  <c r="I2235" i="1" l="1"/>
  <c r="E2236" i="1" s="1"/>
  <c r="H2236" i="1" l="1"/>
  <c r="J2236" i="1"/>
  <c r="G2236" i="1" s="1"/>
  <c r="F2236" i="1"/>
  <c r="I2236" i="1" l="1"/>
  <c r="E2237" i="1" s="1"/>
  <c r="H2237" i="1" l="1"/>
  <c r="J2237" i="1"/>
  <c r="G2237" i="1" s="1"/>
  <c r="F2237" i="1"/>
  <c r="I2237" i="1" l="1"/>
  <c r="E2238" i="1" s="1"/>
  <c r="H2238" i="1" l="1"/>
  <c r="J2238" i="1"/>
  <c r="G2238" i="1" s="1"/>
  <c r="F2238" i="1"/>
  <c r="I2238" i="1" l="1"/>
  <c r="E2239" i="1" s="1"/>
  <c r="J2239" i="1" l="1"/>
  <c r="G2239" i="1" s="1"/>
  <c r="H2239" i="1"/>
  <c r="I2239" i="1" s="1"/>
  <c r="E2240" i="1" s="1"/>
  <c r="F2239" i="1"/>
  <c r="J2240" i="1" l="1"/>
  <c r="G2240" i="1" s="1"/>
  <c r="H2240" i="1"/>
  <c r="F2240" i="1"/>
  <c r="I2240" i="1" l="1"/>
  <c r="E2241" i="1" s="1"/>
  <c r="H2241" i="1" l="1"/>
  <c r="J2241" i="1"/>
  <c r="G2241" i="1" s="1"/>
  <c r="F2241" i="1"/>
  <c r="I2241" i="1" l="1"/>
  <c r="E2242" i="1" s="1"/>
  <c r="H2242" i="1" l="1"/>
  <c r="J2242" i="1"/>
  <c r="G2242" i="1" s="1"/>
  <c r="F2242" i="1"/>
  <c r="I2242" i="1" l="1"/>
  <c r="E2243" i="1" s="1"/>
  <c r="H2243" i="1" l="1"/>
  <c r="J2243" i="1"/>
  <c r="G2243" i="1" s="1"/>
  <c r="F2243" i="1"/>
  <c r="I2243" i="1" l="1"/>
  <c r="E2244" i="1" s="1"/>
  <c r="H2244" i="1" l="1"/>
  <c r="J2244" i="1"/>
  <c r="G2244" i="1" s="1"/>
  <c r="F2244" i="1"/>
  <c r="I2244" i="1" l="1"/>
  <c r="E2245" i="1" s="1"/>
  <c r="H2245" i="1" l="1"/>
  <c r="J2245" i="1"/>
  <c r="G2245" i="1" s="1"/>
  <c r="F2245" i="1"/>
  <c r="I2245" i="1" l="1"/>
  <c r="E2246" i="1" s="1"/>
  <c r="H2246" i="1" l="1"/>
  <c r="J2246" i="1"/>
  <c r="G2246" i="1" s="1"/>
  <c r="F2246" i="1"/>
  <c r="I2246" i="1" l="1"/>
  <c r="E2247" i="1" s="1"/>
  <c r="J2247" i="1" l="1"/>
  <c r="G2247" i="1" s="1"/>
  <c r="H2247" i="1"/>
  <c r="F2247" i="1"/>
  <c r="I2247" i="1" l="1"/>
  <c r="E2248" i="1" s="1"/>
  <c r="J2248" i="1" l="1"/>
  <c r="G2248" i="1" s="1"/>
  <c r="H2248" i="1"/>
  <c r="F2248" i="1"/>
  <c r="I2248" i="1" l="1"/>
  <c r="E2249" i="1" s="1"/>
  <c r="H2249" i="1" l="1"/>
  <c r="I2249" i="1" s="1"/>
  <c r="E2250" i="1" s="1"/>
  <c r="J2249" i="1"/>
  <c r="G2249" i="1" s="1"/>
  <c r="F2249" i="1"/>
  <c r="H2250" i="1" l="1"/>
  <c r="J2250" i="1"/>
  <c r="G2250" i="1" s="1"/>
  <c r="F2250" i="1"/>
  <c r="I2250" i="1" l="1"/>
  <c r="E2251" i="1" s="1"/>
  <c r="H2251" i="1" l="1"/>
  <c r="J2251" i="1"/>
  <c r="G2251" i="1" s="1"/>
  <c r="F2251" i="1"/>
  <c r="I2251" i="1" l="1"/>
  <c r="E2252" i="1" s="1"/>
  <c r="H2252" i="1" l="1"/>
  <c r="J2252" i="1"/>
  <c r="G2252" i="1" s="1"/>
  <c r="F2252" i="1"/>
  <c r="I2252" i="1" l="1"/>
  <c r="E2253" i="1" s="1"/>
  <c r="H2253" i="1" l="1"/>
  <c r="J2253" i="1"/>
  <c r="G2253" i="1" s="1"/>
  <c r="F2253" i="1"/>
  <c r="I2253" i="1" l="1"/>
  <c r="E2254" i="1" s="1"/>
  <c r="H2254" i="1" l="1"/>
  <c r="J2254" i="1"/>
  <c r="G2254" i="1" s="1"/>
  <c r="F2254" i="1"/>
  <c r="I2254" i="1" l="1"/>
  <c r="E2255" i="1" s="1"/>
  <c r="J2255" i="1" l="1"/>
  <c r="G2255" i="1" s="1"/>
  <c r="H2255" i="1"/>
  <c r="I2255" i="1" s="1"/>
  <c r="E2256" i="1" s="1"/>
  <c r="F2255" i="1"/>
  <c r="J2256" i="1" l="1"/>
  <c r="G2256" i="1" s="1"/>
  <c r="H2256" i="1"/>
  <c r="I2256" i="1" s="1"/>
  <c r="E2257" i="1" s="1"/>
  <c r="F2256" i="1"/>
  <c r="H2257" i="1" l="1"/>
  <c r="J2257" i="1"/>
  <c r="G2257" i="1" s="1"/>
  <c r="F2257" i="1"/>
  <c r="I2257" i="1" l="1"/>
  <c r="E2258" i="1" s="1"/>
  <c r="H2258" i="1" l="1"/>
  <c r="J2258" i="1"/>
  <c r="G2258" i="1" s="1"/>
  <c r="F2258" i="1"/>
  <c r="I2258" i="1" l="1"/>
  <c r="E2259" i="1" s="1"/>
  <c r="H2259" i="1" l="1"/>
  <c r="J2259" i="1"/>
  <c r="G2259" i="1" s="1"/>
  <c r="F2259" i="1"/>
  <c r="I2259" i="1" l="1"/>
  <c r="E2260" i="1" s="1"/>
  <c r="H2260" i="1" l="1"/>
  <c r="J2260" i="1"/>
  <c r="G2260" i="1" s="1"/>
  <c r="F2260" i="1"/>
  <c r="I2260" i="1" l="1"/>
  <c r="E2261" i="1" s="1"/>
  <c r="H2261" i="1" l="1"/>
  <c r="J2261" i="1"/>
  <c r="G2261" i="1" s="1"/>
  <c r="F2261" i="1"/>
  <c r="I2261" i="1" l="1"/>
  <c r="E2262" i="1" s="1"/>
  <c r="H2262" i="1" l="1"/>
  <c r="J2262" i="1"/>
  <c r="G2262" i="1" s="1"/>
  <c r="F2262" i="1"/>
  <c r="I2262" i="1" l="1"/>
  <c r="E2263" i="1" s="1"/>
  <c r="J2263" i="1" l="1"/>
  <c r="G2263" i="1" s="1"/>
  <c r="H2263" i="1"/>
  <c r="I2263" i="1" s="1"/>
  <c r="E2264" i="1" s="1"/>
  <c r="F2263" i="1"/>
  <c r="J2264" i="1" l="1"/>
  <c r="G2264" i="1" s="1"/>
  <c r="H2264" i="1"/>
  <c r="I2264" i="1" s="1"/>
  <c r="E2265" i="1" s="1"/>
  <c r="F2264" i="1"/>
  <c r="H2265" i="1" l="1"/>
  <c r="J2265" i="1"/>
  <c r="G2265" i="1" s="1"/>
  <c r="F2265" i="1"/>
  <c r="I2265" i="1" l="1"/>
  <c r="E2266" i="1" s="1"/>
  <c r="H2266" i="1" l="1"/>
  <c r="J2266" i="1"/>
  <c r="G2266" i="1" s="1"/>
  <c r="F2266" i="1"/>
  <c r="I2266" i="1" l="1"/>
  <c r="E2267" i="1" s="1"/>
  <c r="H2267" i="1" l="1"/>
  <c r="J2267" i="1"/>
  <c r="G2267" i="1" s="1"/>
  <c r="F2267" i="1"/>
  <c r="I2267" i="1" l="1"/>
  <c r="E2268" i="1" s="1"/>
  <c r="H2268" i="1" l="1"/>
  <c r="J2268" i="1"/>
  <c r="G2268" i="1" s="1"/>
  <c r="F2268" i="1"/>
  <c r="I2268" i="1" l="1"/>
  <c r="E2269" i="1" s="1"/>
  <c r="H2269" i="1" l="1"/>
  <c r="J2269" i="1"/>
  <c r="G2269" i="1" s="1"/>
  <c r="F2269" i="1"/>
  <c r="I2269" i="1" l="1"/>
  <c r="E2270" i="1" s="1"/>
  <c r="H2270" i="1" l="1"/>
  <c r="J2270" i="1"/>
  <c r="G2270" i="1" s="1"/>
  <c r="F2270" i="1"/>
  <c r="I2270" i="1" l="1"/>
  <c r="E2271" i="1" s="1"/>
  <c r="J2271" i="1" l="1"/>
  <c r="G2271" i="1" s="1"/>
  <c r="H2271" i="1"/>
  <c r="F2271" i="1"/>
  <c r="I2271" i="1" l="1"/>
  <c r="E2272" i="1" s="1"/>
  <c r="J2272" i="1" l="1"/>
  <c r="G2272" i="1" s="1"/>
  <c r="H2272" i="1"/>
  <c r="F2272" i="1"/>
  <c r="I2272" i="1" l="1"/>
  <c r="E2273" i="1" s="1"/>
  <c r="H2273" i="1" l="1"/>
  <c r="J2273" i="1"/>
  <c r="G2273" i="1" s="1"/>
  <c r="F2273" i="1"/>
  <c r="I2273" i="1" l="1"/>
  <c r="E2274" i="1" s="1"/>
  <c r="H2274" i="1" l="1"/>
  <c r="J2274" i="1"/>
  <c r="G2274" i="1" s="1"/>
  <c r="F2274" i="1"/>
  <c r="I2274" i="1" l="1"/>
  <c r="E2275" i="1" s="1"/>
  <c r="H2275" i="1" l="1"/>
  <c r="J2275" i="1"/>
  <c r="G2275" i="1" s="1"/>
  <c r="F2275" i="1"/>
  <c r="I2275" i="1" l="1"/>
  <c r="E2276" i="1" s="1"/>
  <c r="H2276" i="1" l="1"/>
  <c r="J2276" i="1"/>
  <c r="G2276" i="1" s="1"/>
  <c r="F2276" i="1"/>
  <c r="I2276" i="1" l="1"/>
  <c r="E2277" i="1" s="1"/>
  <c r="H2277" i="1" l="1"/>
  <c r="J2277" i="1"/>
  <c r="G2277" i="1" s="1"/>
  <c r="F2277" i="1"/>
  <c r="I2277" i="1" l="1"/>
  <c r="E2278" i="1" s="1"/>
  <c r="H2278" i="1" l="1"/>
  <c r="J2278" i="1"/>
  <c r="G2278" i="1" s="1"/>
  <c r="F2278" i="1"/>
  <c r="I2278" i="1" l="1"/>
  <c r="E2279" i="1" s="1"/>
  <c r="J2279" i="1" l="1"/>
  <c r="G2279" i="1" s="1"/>
  <c r="H2279" i="1"/>
  <c r="F2279" i="1"/>
  <c r="I2279" i="1" l="1"/>
  <c r="E2280" i="1" s="1"/>
  <c r="J2280" i="1" l="1"/>
  <c r="G2280" i="1" s="1"/>
  <c r="H2280" i="1"/>
  <c r="I2280" i="1" s="1"/>
  <c r="E2281" i="1" s="1"/>
  <c r="F2280" i="1"/>
  <c r="H2281" i="1" l="1"/>
  <c r="J2281" i="1"/>
  <c r="G2281" i="1" s="1"/>
  <c r="F2281" i="1"/>
  <c r="I2281" i="1" l="1"/>
  <c r="E2282" i="1" s="1"/>
  <c r="H2282" i="1" l="1"/>
  <c r="J2282" i="1"/>
  <c r="G2282" i="1" s="1"/>
  <c r="F2282" i="1"/>
  <c r="I2282" i="1" l="1"/>
  <c r="E2283" i="1" s="1"/>
  <c r="H2283" i="1" l="1"/>
  <c r="J2283" i="1"/>
  <c r="G2283" i="1" s="1"/>
  <c r="F2283" i="1"/>
  <c r="I2283" i="1" l="1"/>
  <c r="E2284" i="1" s="1"/>
  <c r="H2284" i="1" l="1"/>
  <c r="J2284" i="1"/>
  <c r="G2284" i="1" s="1"/>
  <c r="F2284" i="1"/>
  <c r="I2284" i="1" l="1"/>
  <c r="E2285" i="1" s="1"/>
  <c r="H2285" i="1" l="1"/>
  <c r="J2285" i="1"/>
  <c r="G2285" i="1" s="1"/>
  <c r="F2285" i="1"/>
  <c r="I2285" i="1" l="1"/>
  <c r="E2286" i="1" s="1"/>
  <c r="H2286" i="1" l="1"/>
  <c r="J2286" i="1"/>
  <c r="G2286" i="1" s="1"/>
  <c r="F2286" i="1"/>
  <c r="I2286" i="1" l="1"/>
  <c r="E2287" i="1" s="1"/>
  <c r="J2287" i="1" l="1"/>
  <c r="G2287" i="1" s="1"/>
  <c r="H2287" i="1"/>
  <c r="I2287" i="1" s="1"/>
  <c r="E2288" i="1" s="1"/>
  <c r="F2287" i="1"/>
  <c r="H2288" i="1" l="1"/>
  <c r="J2288" i="1"/>
  <c r="G2288" i="1" s="1"/>
  <c r="F2288" i="1"/>
  <c r="I2288" i="1" l="1"/>
  <c r="E2289" i="1" s="1"/>
  <c r="H2289" i="1" l="1"/>
  <c r="J2289" i="1"/>
  <c r="G2289" i="1" s="1"/>
  <c r="F2289" i="1"/>
  <c r="I2289" i="1" l="1"/>
  <c r="E2290" i="1" s="1"/>
  <c r="J2290" i="1" l="1"/>
  <c r="G2290" i="1" s="1"/>
  <c r="H2290" i="1"/>
  <c r="F2290" i="1"/>
  <c r="I2290" i="1" l="1"/>
  <c r="E2291" i="1" s="1"/>
  <c r="H2291" i="1" l="1"/>
  <c r="J2291" i="1"/>
  <c r="G2291" i="1" s="1"/>
  <c r="F2291" i="1"/>
  <c r="I2291" i="1" l="1"/>
  <c r="E2292" i="1" s="1"/>
  <c r="H2292" i="1" l="1"/>
  <c r="J2292" i="1"/>
  <c r="G2292" i="1" s="1"/>
  <c r="F2292" i="1"/>
  <c r="I2292" i="1" l="1"/>
  <c r="E2293" i="1" s="1"/>
  <c r="H2293" i="1" l="1"/>
  <c r="J2293" i="1"/>
  <c r="G2293" i="1" s="1"/>
  <c r="F2293" i="1"/>
  <c r="I2293" i="1" l="1"/>
  <c r="E2294" i="1" s="1"/>
  <c r="H2294" i="1" l="1"/>
  <c r="J2294" i="1"/>
  <c r="G2294" i="1" s="1"/>
  <c r="F2294" i="1"/>
  <c r="I2294" i="1" l="1"/>
  <c r="E2295" i="1" s="1"/>
  <c r="J2295" i="1" l="1"/>
  <c r="G2295" i="1" s="1"/>
  <c r="H2295" i="1"/>
  <c r="F2295" i="1"/>
  <c r="I2295" i="1" l="1"/>
  <c r="E2296" i="1" s="1"/>
  <c r="H2296" i="1" l="1"/>
  <c r="J2296" i="1"/>
  <c r="G2296" i="1" s="1"/>
  <c r="F2296" i="1"/>
  <c r="I2296" i="1" l="1"/>
  <c r="E2297" i="1" s="1"/>
  <c r="H2297" i="1" l="1"/>
  <c r="J2297" i="1"/>
  <c r="G2297" i="1" s="1"/>
  <c r="F2297" i="1"/>
  <c r="I2297" i="1" l="1"/>
  <c r="E2298" i="1" s="1"/>
  <c r="J2298" i="1" l="1"/>
  <c r="G2298" i="1" s="1"/>
  <c r="H2298" i="1"/>
  <c r="I2298" i="1" s="1"/>
  <c r="E2299" i="1" s="1"/>
  <c r="F2298" i="1"/>
  <c r="H2299" i="1" l="1"/>
  <c r="J2299" i="1"/>
  <c r="G2299" i="1" s="1"/>
  <c r="F2299" i="1"/>
  <c r="I2299" i="1" l="1"/>
  <c r="E2300" i="1" s="1"/>
  <c r="H2300" i="1" l="1"/>
  <c r="J2300" i="1"/>
  <c r="G2300" i="1" s="1"/>
  <c r="F2300" i="1"/>
  <c r="I2300" i="1" l="1"/>
  <c r="E2301" i="1" s="1"/>
  <c r="J2301" i="1" l="1"/>
  <c r="G2301" i="1" s="1"/>
  <c r="H2301" i="1"/>
  <c r="F2301" i="1"/>
  <c r="I2301" i="1" l="1"/>
  <c r="E2302" i="1" s="1"/>
  <c r="H2302" i="1" l="1"/>
  <c r="J2302" i="1"/>
  <c r="G2302" i="1" s="1"/>
  <c r="F2302" i="1"/>
  <c r="I2302" i="1" l="1"/>
  <c r="E2303" i="1" s="1"/>
  <c r="J2303" i="1" l="1"/>
  <c r="G2303" i="1" s="1"/>
  <c r="H2303" i="1"/>
  <c r="I2303" i="1" s="1"/>
  <c r="E2304" i="1" s="1"/>
  <c r="F2303" i="1"/>
  <c r="H2304" i="1" l="1"/>
  <c r="J2304" i="1"/>
  <c r="G2304" i="1" s="1"/>
  <c r="F2304" i="1"/>
  <c r="I2304" i="1" l="1"/>
  <c r="E2305" i="1" s="1"/>
  <c r="H2305" i="1" l="1"/>
  <c r="J2305" i="1"/>
  <c r="G2305" i="1" s="1"/>
  <c r="F2305" i="1"/>
  <c r="I2305" i="1" l="1"/>
  <c r="E2306" i="1" s="1"/>
  <c r="J2306" i="1" l="1"/>
  <c r="G2306" i="1" s="1"/>
  <c r="H2306" i="1"/>
  <c r="I2306" i="1" s="1"/>
  <c r="E2307" i="1" s="1"/>
  <c r="F2306" i="1"/>
  <c r="H2307" i="1" l="1"/>
  <c r="J2307" i="1"/>
  <c r="G2307" i="1" s="1"/>
  <c r="F2307" i="1"/>
  <c r="I2307" i="1" l="1"/>
  <c r="E2308" i="1" s="1"/>
  <c r="H2308" i="1" l="1"/>
  <c r="J2308" i="1"/>
  <c r="G2308" i="1" s="1"/>
  <c r="F2308" i="1"/>
  <c r="I2308" i="1" l="1"/>
  <c r="E2309" i="1" s="1"/>
  <c r="J2309" i="1" l="1"/>
  <c r="G2309" i="1" s="1"/>
  <c r="H2309" i="1"/>
  <c r="I2309" i="1" s="1"/>
  <c r="E2310" i="1" s="1"/>
  <c r="F2309" i="1"/>
  <c r="H2310" i="1" l="1"/>
  <c r="J2310" i="1"/>
  <c r="G2310" i="1" s="1"/>
  <c r="F2310" i="1"/>
  <c r="I2310" i="1" l="1"/>
  <c r="E2311" i="1" s="1"/>
  <c r="J2311" i="1" l="1"/>
  <c r="G2311" i="1" s="1"/>
  <c r="H2311" i="1"/>
  <c r="I2311" i="1" s="1"/>
  <c r="E2312" i="1" s="1"/>
  <c r="F2311" i="1"/>
  <c r="H2312" i="1" l="1"/>
  <c r="J2312" i="1"/>
  <c r="G2312" i="1" s="1"/>
  <c r="F2312" i="1"/>
  <c r="I2312" i="1" l="1"/>
  <c r="E2313" i="1" s="1"/>
  <c r="H2313" i="1" l="1"/>
  <c r="J2313" i="1"/>
  <c r="G2313" i="1" s="1"/>
  <c r="F2313" i="1"/>
  <c r="I2313" i="1" l="1"/>
  <c r="E2314" i="1" s="1"/>
  <c r="J2314" i="1" l="1"/>
  <c r="G2314" i="1" s="1"/>
  <c r="H2314" i="1"/>
  <c r="F2314" i="1"/>
  <c r="I2314" i="1" l="1"/>
  <c r="E2315" i="1" s="1"/>
  <c r="H2315" i="1" l="1"/>
  <c r="J2315" i="1"/>
  <c r="G2315" i="1" s="1"/>
  <c r="F2315" i="1"/>
  <c r="I2315" i="1" l="1"/>
  <c r="E2316" i="1" s="1"/>
  <c r="H2316" i="1" l="1"/>
  <c r="J2316" i="1"/>
  <c r="G2316" i="1" s="1"/>
  <c r="F2316" i="1"/>
  <c r="I2316" i="1" l="1"/>
  <c r="E2317" i="1" s="1"/>
  <c r="J2317" i="1" l="1"/>
  <c r="G2317" i="1" s="1"/>
  <c r="H2317" i="1"/>
  <c r="F2317" i="1"/>
  <c r="I2317" i="1" l="1"/>
  <c r="E2318" i="1" s="1"/>
  <c r="H2318" i="1" l="1"/>
  <c r="J2318" i="1"/>
  <c r="G2318" i="1" s="1"/>
  <c r="F2318" i="1"/>
  <c r="I2318" i="1" l="1"/>
  <c r="E2319" i="1" s="1"/>
  <c r="J2319" i="1" l="1"/>
  <c r="G2319" i="1" s="1"/>
  <c r="H2319" i="1"/>
  <c r="F2319" i="1"/>
  <c r="I2319" i="1" l="1"/>
  <c r="E2320" i="1" s="1"/>
  <c r="H2320" i="1" l="1"/>
  <c r="J2320" i="1"/>
  <c r="G2320" i="1" s="1"/>
  <c r="F2320" i="1"/>
  <c r="I2320" i="1" l="1"/>
  <c r="E2321" i="1" s="1"/>
  <c r="J2321" i="1" l="1"/>
  <c r="G2321" i="1" s="1"/>
  <c r="H2321" i="1"/>
  <c r="F2321" i="1"/>
  <c r="I2321" i="1" l="1"/>
  <c r="E2322" i="1" s="1"/>
  <c r="H2322" i="1" l="1"/>
  <c r="J2322" i="1"/>
  <c r="G2322" i="1" s="1"/>
  <c r="F2322" i="1"/>
  <c r="I2322" i="1" l="1"/>
  <c r="E2323" i="1" s="1"/>
  <c r="J2323" i="1" l="1"/>
  <c r="G2323" i="1" s="1"/>
  <c r="H2323" i="1"/>
  <c r="F2323" i="1"/>
  <c r="I2323" i="1" l="1"/>
  <c r="E2324" i="1" s="1"/>
  <c r="J2324" i="1" l="1"/>
  <c r="G2324" i="1" s="1"/>
  <c r="H2324" i="1"/>
  <c r="F2324" i="1"/>
  <c r="I2324" i="1" l="1"/>
  <c r="E2325" i="1" s="1"/>
  <c r="H2325" i="1" l="1"/>
  <c r="J2325" i="1"/>
  <c r="G2325" i="1" s="1"/>
  <c r="F2325" i="1"/>
  <c r="I2325" i="1" l="1"/>
  <c r="E2326" i="1" s="1"/>
  <c r="H2326" i="1" l="1"/>
  <c r="J2326" i="1"/>
  <c r="G2326" i="1" s="1"/>
  <c r="F2326" i="1"/>
  <c r="I2326" i="1" l="1"/>
  <c r="E2327" i="1" s="1"/>
  <c r="J2327" i="1" l="1"/>
  <c r="G2327" i="1" s="1"/>
  <c r="H2327" i="1"/>
  <c r="F2327" i="1"/>
  <c r="I2327" i="1" l="1"/>
  <c r="E2328" i="1" s="1"/>
  <c r="J2328" i="1" l="1"/>
  <c r="G2328" i="1" s="1"/>
  <c r="H2328" i="1"/>
  <c r="F2328" i="1"/>
  <c r="I2328" i="1" l="1"/>
  <c r="E2329" i="1" s="1"/>
  <c r="H2329" i="1" l="1"/>
  <c r="J2329" i="1"/>
  <c r="G2329" i="1" s="1"/>
  <c r="F2329" i="1"/>
  <c r="I2329" i="1" l="1"/>
  <c r="E2330" i="1" s="1"/>
  <c r="H2330" i="1" l="1"/>
  <c r="J2330" i="1"/>
  <c r="G2330" i="1" s="1"/>
  <c r="F2330" i="1"/>
  <c r="I2330" i="1" l="1"/>
  <c r="E2331" i="1" s="1"/>
  <c r="J2331" i="1" l="1"/>
  <c r="G2331" i="1" s="1"/>
  <c r="H2331" i="1"/>
  <c r="F2331" i="1"/>
  <c r="I2331" i="1" l="1"/>
  <c r="E2332" i="1" s="1"/>
  <c r="J2332" i="1" l="1"/>
  <c r="G2332" i="1" s="1"/>
  <c r="H2332" i="1"/>
  <c r="I2332" i="1" s="1"/>
  <c r="E2333" i="1" s="1"/>
  <c r="F2332" i="1"/>
  <c r="H2333" i="1" l="1"/>
  <c r="J2333" i="1"/>
  <c r="G2333" i="1" s="1"/>
  <c r="F2333" i="1"/>
  <c r="I2333" i="1" l="1"/>
  <c r="E2334" i="1" s="1"/>
  <c r="H2334" i="1" l="1"/>
  <c r="J2334" i="1"/>
  <c r="G2334" i="1" s="1"/>
  <c r="F2334" i="1"/>
  <c r="I2334" i="1" l="1"/>
  <c r="E2335" i="1" s="1"/>
  <c r="J2335" i="1" l="1"/>
  <c r="G2335" i="1" s="1"/>
  <c r="H2335" i="1"/>
  <c r="F2335" i="1"/>
  <c r="I2335" i="1" l="1"/>
  <c r="E2336" i="1" s="1"/>
  <c r="J2336" i="1" l="1"/>
  <c r="G2336" i="1" s="1"/>
  <c r="H2336" i="1"/>
  <c r="F2336" i="1"/>
  <c r="I2336" i="1" l="1"/>
  <c r="E2337" i="1" s="1"/>
  <c r="H2337" i="1" l="1"/>
  <c r="J2337" i="1"/>
  <c r="G2337" i="1" s="1"/>
  <c r="F2337" i="1"/>
  <c r="I2337" i="1" l="1"/>
  <c r="E2338" i="1" s="1"/>
  <c r="H2338" i="1" l="1"/>
  <c r="J2338" i="1"/>
  <c r="G2338" i="1" s="1"/>
  <c r="F2338" i="1"/>
  <c r="I2338" i="1" l="1"/>
  <c r="E2339" i="1" s="1"/>
  <c r="J2339" i="1" l="1"/>
  <c r="G2339" i="1" s="1"/>
  <c r="H2339" i="1"/>
  <c r="F2339" i="1"/>
  <c r="I2339" i="1" l="1"/>
  <c r="E2340" i="1" s="1"/>
  <c r="J2340" i="1" l="1"/>
  <c r="G2340" i="1" s="1"/>
  <c r="H2340" i="1"/>
  <c r="F2340" i="1"/>
  <c r="I2340" i="1" l="1"/>
  <c r="E2341" i="1" s="1"/>
  <c r="H2341" i="1" l="1"/>
  <c r="J2341" i="1"/>
  <c r="G2341" i="1" s="1"/>
  <c r="F2341" i="1"/>
  <c r="I2341" i="1" l="1"/>
  <c r="E2342" i="1" s="1"/>
  <c r="H2342" i="1" l="1"/>
  <c r="J2342" i="1"/>
  <c r="G2342" i="1" s="1"/>
  <c r="F2342" i="1"/>
  <c r="I2342" i="1" l="1"/>
  <c r="E2343" i="1" s="1"/>
  <c r="J2343" i="1" l="1"/>
  <c r="G2343" i="1" s="1"/>
  <c r="H2343" i="1"/>
  <c r="I2343" i="1" s="1"/>
  <c r="E2344" i="1" s="1"/>
  <c r="F2343" i="1"/>
  <c r="J2344" i="1" l="1"/>
  <c r="G2344" i="1" s="1"/>
  <c r="H2344" i="1"/>
  <c r="F2344" i="1"/>
  <c r="I2344" i="1" l="1"/>
  <c r="E2345" i="1" s="1"/>
  <c r="H2345" i="1" l="1"/>
  <c r="J2345" i="1"/>
  <c r="G2345" i="1" s="1"/>
  <c r="F2345" i="1"/>
  <c r="I2345" i="1" l="1"/>
  <c r="E2346" i="1" s="1"/>
  <c r="H2346" i="1" l="1"/>
  <c r="J2346" i="1"/>
  <c r="G2346" i="1" s="1"/>
  <c r="F2346" i="1"/>
  <c r="I2346" i="1" l="1"/>
  <c r="E2347" i="1" s="1"/>
  <c r="J2347" i="1" l="1"/>
  <c r="G2347" i="1" s="1"/>
  <c r="H2347" i="1"/>
  <c r="F2347" i="1"/>
  <c r="I2347" i="1" l="1"/>
  <c r="E2348" i="1" s="1"/>
  <c r="J2348" i="1" l="1"/>
  <c r="G2348" i="1" s="1"/>
  <c r="H2348" i="1"/>
  <c r="F2348" i="1"/>
  <c r="I2348" i="1" l="1"/>
  <c r="E2349" i="1" s="1"/>
  <c r="H2349" i="1" l="1"/>
  <c r="J2349" i="1"/>
  <c r="G2349" i="1" s="1"/>
  <c r="F2349" i="1"/>
  <c r="I2349" i="1" l="1"/>
  <c r="E2350" i="1" s="1"/>
  <c r="H2350" i="1" l="1"/>
  <c r="J2350" i="1"/>
  <c r="G2350" i="1" s="1"/>
  <c r="F2350" i="1"/>
  <c r="I2350" i="1" l="1"/>
  <c r="E2351" i="1" s="1"/>
  <c r="J2351" i="1" l="1"/>
  <c r="G2351" i="1" s="1"/>
  <c r="H2351" i="1"/>
  <c r="F2351" i="1"/>
  <c r="I2351" i="1" l="1"/>
  <c r="E2352" i="1" s="1"/>
  <c r="J2352" i="1" l="1"/>
  <c r="G2352" i="1" s="1"/>
  <c r="H2352" i="1"/>
  <c r="F2352" i="1"/>
  <c r="I2352" i="1" l="1"/>
  <c r="E2353" i="1" s="1"/>
  <c r="H2353" i="1" l="1"/>
  <c r="J2353" i="1"/>
  <c r="G2353" i="1" s="1"/>
  <c r="F2353" i="1"/>
  <c r="I2353" i="1" l="1"/>
  <c r="E2354" i="1" s="1"/>
  <c r="H2354" i="1" l="1"/>
  <c r="J2354" i="1"/>
  <c r="G2354" i="1" s="1"/>
  <c r="F2354" i="1"/>
  <c r="I2354" i="1" l="1"/>
  <c r="E2355" i="1" s="1"/>
  <c r="J2355" i="1" l="1"/>
  <c r="G2355" i="1" s="1"/>
  <c r="H2355" i="1"/>
  <c r="F2355" i="1"/>
  <c r="I2355" i="1" l="1"/>
  <c r="E2356" i="1" s="1"/>
  <c r="J2356" i="1" l="1"/>
  <c r="G2356" i="1" s="1"/>
  <c r="H2356" i="1"/>
  <c r="F2356" i="1"/>
  <c r="I2356" i="1" l="1"/>
  <c r="E2357" i="1" s="1"/>
  <c r="H2357" i="1" l="1"/>
  <c r="J2357" i="1"/>
  <c r="G2357" i="1" s="1"/>
  <c r="F2357" i="1"/>
  <c r="I2357" i="1" l="1"/>
  <c r="E2358" i="1" s="1"/>
  <c r="H2358" i="1" l="1"/>
  <c r="J2358" i="1"/>
  <c r="G2358" i="1" s="1"/>
  <c r="F2358" i="1"/>
  <c r="I2358" i="1" l="1"/>
  <c r="E2359" i="1" s="1"/>
  <c r="J2359" i="1" l="1"/>
  <c r="G2359" i="1" s="1"/>
  <c r="H2359" i="1"/>
  <c r="I2359" i="1" s="1"/>
  <c r="E2360" i="1" s="1"/>
  <c r="F2359" i="1"/>
  <c r="J2360" i="1" l="1"/>
  <c r="G2360" i="1" s="1"/>
  <c r="H2360" i="1"/>
  <c r="I2360" i="1" s="1"/>
  <c r="E2361" i="1" s="1"/>
  <c r="F2360" i="1"/>
  <c r="H2361" i="1" l="1"/>
  <c r="J2361" i="1"/>
  <c r="G2361" i="1" s="1"/>
  <c r="F2361" i="1"/>
  <c r="I2361" i="1" l="1"/>
  <c r="E2362" i="1" s="1"/>
  <c r="H2362" i="1" l="1"/>
  <c r="J2362" i="1"/>
  <c r="G2362" i="1" s="1"/>
  <c r="F2362" i="1"/>
  <c r="I2362" i="1" l="1"/>
  <c r="E2363" i="1" s="1"/>
  <c r="J2363" i="1" l="1"/>
  <c r="G2363" i="1" s="1"/>
  <c r="H2363" i="1"/>
  <c r="I2363" i="1" s="1"/>
  <c r="E2364" i="1" s="1"/>
  <c r="F2363" i="1"/>
  <c r="J2364" i="1" l="1"/>
  <c r="G2364" i="1" s="1"/>
  <c r="H2364" i="1"/>
  <c r="I2364" i="1" s="1"/>
  <c r="E2365" i="1" s="1"/>
  <c r="F2364" i="1"/>
  <c r="H2365" i="1" l="1"/>
  <c r="J2365" i="1"/>
  <c r="G2365" i="1" s="1"/>
  <c r="F2365" i="1"/>
  <c r="I2365" i="1" l="1"/>
  <c r="E2366" i="1" s="1"/>
  <c r="H2366" i="1" l="1"/>
  <c r="J2366" i="1"/>
  <c r="G2366" i="1" s="1"/>
  <c r="F2366" i="1"/>
  <c r="I2366" i="1" l="1"/>
  <c r="E2367" i="1" s="1"/>
  <c r="J2367" i="1" l="1"/>
  <c r="G2367" i="1" s="1"/>
  <c r="H2367" i="1"/>
  <c r="I2367" i="1" s="1"/>
  <c r="E2368" i="1" s="1"/>
  <c r="F2367" i="1"/>
  <c r="J2368" i="1" l="1"/>
  <c r="G2368" i="1" s="1"/>
  <c r="H2368" i="1"/>
  <c r="I2368" i="1" s="1"/>
  <c r="E2369" i="1" s="1"/>
  <c r="F2368" i="1"/>
  <c r="J2369" i="1" l="1"/>
  <c r="G2369" i="1" s="1"/>
  <c r="H2369" i="1"/>
  <c r="I2369" i="1" s="1"/>
  <c r="E2370" i="1" s="1"/>
  <c r="F2369" i="1"/>
  <c r="H2370" i="1" l="1"/>
  <c r="J2370" i="1"/>
  <c r="G2370" i="1" s="1"/>
  <c r="F2370" i="1"/>
  <c r="I2370" i="1" l="1"/>
  <c r="E2371" i="1" s="1"/>
  <c r="H2371" i="1" l="1"/>
  <c r="J2371" i="1"/>
  <c r="G2371" i="1" s="1"/>
  <c r="F2371" i="1"/>
  <c r="I2371" i="1" l="1"/>
  <c r="E2372" i="1" s="1"/>
  <c r="H2372" i="1" l="1"/>
  <c r="I2372" i="1" s="1"/>
  <c r="E2373" i="1" s="1"/>
  <c r="J2372" i="1"/>
  <c r="G2372" i="1" s="1"/>
  <c r="F2372" i="1"/>
  <c r="H2373" i="1" l="1"/>
  <c r="I2373" i="1" s="1"/>
  <c r="E2374" i="1" s="1"/>
  <c r="J2373" i="1"/>
  <c r="G2373" i="1" s="1"/>
  <c r="F2373" i="1"/>
  <c r="J2374" i="1" l="1"/>
  <c r="G2374" i="1" s="1"/>
  <c r="H2374" i="1"/>
  <c r="F2374" i="1"/>
  <c r="I2374" i="1" l="1"/>
  <c r="E2375" i="1" s="1"/>
  <c r="H2375" i="1" l="1"/>
  <c r="J2375" i="1"/>
  <c r="G2375" i="1" s="1"/>
  <c r="F2375" i="1"/>
  <c r="I2375" i="1" l="1"/>
  <c r="E2376" i="1" s="1"/>
  <c r="J2376" i="1" l="1"/>
  <c r="G2376" i="1" s="1"/>
  <c r="H2376" i="1"/>
  <c r="I2376" i="1" s="1"/>
  <c r="E2377" i="1" s="1"/>
  <c r="F2376" i="1"/>
  <c r="J2377" i="1" l="1"/>
  <c r="G2377" i="1" s="1"/>
  <c r="H2377" i="1"/>
  <c r="F2377" i="1"/>
  <c r="I2377" i="1" l="1"/>
  <c r="E2378" i="1" s="1"/>
  <c r="H2378" i="1" l="1"/>
  <c r="J2378" i="1"/>
  <c r="G2378" i="1" s="1"/>
  <c r="F2378" i="1"/>
  <c r="I2378" i="1" l="1"/>
  <c r="E2379" i="1" s="1"/>
  <c r="H2379" i="1" l="1"/>
  <c r="J2379" i="1"/>
  <c r="G2379" i="1" s="1"/>
  <c r="F2379" i="1"/>
  <c r="I2379" i="1" l="1"/>
  <c r="E2380" i="1" s="1"/>
  <c r="H2380" i="1" l="1"/>
  <c r="J2380" i="1"/>
  <c r="G2380" i="1" s="1"/>
  <c r="F2380" i="1"/>
  <c r="I2380" i="1" l="1"/>
  <c r="E2381" i="1" s="1"/>
  <c r="H2381" i="1" l="1"/>
  <c r="J2381" i="1"/>
  <c r="G2381" i="1" s="1"/>
  <c r="F2381" i="1"/>
  <c r="I2381" i="1" l="1"/>
  <c r="E2382" i="1" s="1"/>
  <c r="H2382" i="1" l="1"/>
  <c r="J2382" i="1"/>
  <c r="G2382" i="1" s="1"/>
  <c r="F2382" i="1"/>
  <c r="I2382" i="1" l="1"/>
  <c r="E2383" i="1" s="1"/>
  <c r="H2383" i="1" l="1"/>
  <c r="J2383" i="1"/>
  <c r="G2383" i="1" s="1"/>
  <c r="F2383" i="1"/>
  <c r="I2383" i="1" l="1"/>
  <c r="E2384" i="1" s="1"/>
  <c r="J2384" i="1" l="1"/>
  <c r="G2384" i="1" s="1"/>
  <c r="H2384" i="1"/>
  <c r="F2384" i="1"/>
  <c r="I2384" i="1" l="1"/>
  <c r="E2385" i="1" s="1"/>
  <c r="J2385" i="1" l="1"/>
  <c r="G2385" i="1" s="1"/>
  <c r="H2385" i="1"/>
  <c r="I2385" i="1" s="1"/>
  <c r="E2386" i="1" s="1"/>
  <c r="F2385" i="1"/>
  <c r="H2386" i="1" l="1"/>
  <c r="J2386" i="1"/>
  <c r="G2386" i="1" s="1"/>
  <c r="F2386" i="1"/>
  <c r="I2386" i="1" l="1"/>
  <c r="E2387" i="1" s="1"/>
  <c r="H2387" i="1" l="1"/>
  <c r="J2387" i="1"/>
  <c r="G2387" i="1" s="1"/>
  <c r="F2387" i="1"/>
  <c r="I2387" i="1" l="1"/>
  <c r="E2388" i="1" s="1"/>
  <c r="H2388" i="1" l="1"/>
  <c r="J2388" i="1"/>
  <c r="G2388" i="1" s="1"/>
  <c r="F2388" i="1"/>
  <c r="I2388" i="1" l="1"/>
  <c r="E2389" i="1" s="1"/>
  <c r="H2389" i="1" l="1"/>
  <c r="J2389" i="1"/>
  <c r="G2389" i="1" s="1"/>
  <c r="F2389" i="1"/>
  <c r="I2389" i="1" l="1"/>
  <c r="E2390" i="1" s="1"/>
  <c r="H2390" i="1" l="1"/>
  <c r="J2390" i="1"/>
  <c r="G2390" i="1" s="1"/>
  <c r="F2390" i="1"/>
  <c r="I2390" i="1" l="1"/>
  <c r="E2391" i="1" s="1"/>
  <c r="H2391" i="1" l="1"/>
  <c r="J2391" i="1"/>
  <c r="G2391" i="1" s="1"/>
  <c r="F2391" i="1"/>
  <c r="I2391" i="1" l="1"/>
  <c r="E2392" i="1" s="1"/>
  <c r="J2392" i="1" l="1"/>
  <c r="G2392" i="1" s="1"/>
  <c r="H2392" i="1"/>
  <c r="F2392" i="1"/>
  <c r="I2392" i="1" l="1"/>
  <c r="E2393" i="1" s="1"/>
  <c r="J2393" i="1" l="1"/>
  <c r="G2393" i="1" s="1"/>
  <c r="H2393" i="1"/>
  <c r="F2393" i="1"/>
  <c r="I2393" i="1" l="1"/>
  <c r="E2394" i="1" s="1"/>
  <c r="H2394" i="1" l="1"/>
  <c r="J2394" i="1"/>
  <c r="G2394" i="1" s="1"/>
  <c r="F2394" i="1"/>
  <c r="I2394" i="1" l="1"/>
  <c r="E2395" i="1" s="1"/>
  <c r="H2395" i="1" l="1"/>
  <c r="J2395" i="1"/>
  <c r="G2395" i="1" s="1"/>
  <c r="F2395" i="1"/>
  <c r="I2395" i="1" l="1"/>
  <c r="E2396" i="1" s="1"/>
  <c r="J2396" i="1" l="1"/>
  <c r="G2396" i="1" s="1"/>
  <c r="H2396" i="1"/>
  <c r="F2396" i="1"/>
  <c r="I2396" i="1" l="1"/>
  <c r="E2397" i="1" s="1"/>
  <c r="H2397" i="1" l="1"/>
  <c r="J2397" i="1"/>
  <c r="G2397" i="1" s="1"/>
  <c r="F2397" i="1"/>
  <c r="I2397" i="1" l="1"/>
  <c r="E2398" i="1" s="1"/>
  <c r="J2398" i="1" l="1"/>
  <c r="G2398" i="1" s="1"/>
  <c r="H2398" i="1"/>
  <c r="F2398" i="1"/>
  <c r="I2398" i="1" l="1"/>
  <c r="E2399" i="1" s="1"/>
  <c r="H2399" i="1" l="1"/>
  <c r="J2399" i="1"/>
  <c r="G2399" i="1" s="1"/>
  <c r="F2399" i="1"/>
  <c r="I2399" i="1" l="1"/>
  <c r="E2400" i="1" s="1"/>
  <c r="J2400" i="1" l="1"/>
  <c r="G2400" i="1" s="1"/>
  <c r="H2400" i="1"/>
  <c r="F2400" i="1"/>
  <c r="I2400" i="1" l="1"/>
  <c r="E2401" i="1" s="1"/>
  <c r="J2401" i="1" l="1"/>
  <c r="G2401" i="1" s="1"/>
  <c r="H2401" i="1"/>
  <c r="F2401" i="1"/>
  <c r="I2401" i="1" l="1"/>
  <c r="E2402" i="1" s="1"/>
  <c r="H2402" i="1" l="1"/>
  <c r="J2402" i="1"/>
  <c r="G2402" i="1" s="1"/>
  <c r="F2402" i="1"/>
  <c r="I2402" i="1" l="1"/>
  <c r="E2403" i="1" s="1"/>
  <c r="H2403" i="1" l="1"/>
  <c r="J2403" i="1"/>
  <c r="G2403" i="1" s="1"/>
  <c r="F2403" i="1"/>
  <c r="I2403" i="1" l="1"/>
  <c r="E2404" i="1" s="1"/>
  <c r="H2404" i="1" l="1"/>
  <c r="J2404" i="1"/>
  <c r="G2404" i="1" s="1"/>
  <c r="F2404" i="1"/>
  <c r="I2404" i="1" l="1"/>
  <c r="E2405" i="1" s="1"/>
  <c r="H2405" i="1" l="1"/>
  <c r="J2405" i="1"/>
  <c r="G2405" i="1" s="1"/>
  <c r="F2405" i="1"/>
  <c r="I2405" i="1" l="1"/>
  <c r="E2406" i="1" s="1"/>
  <c r="H2406" i="1" l="1"/>
  <c r="J2406" i="1"/>
  <c r="G2406" i="1" s="1"/>
  <c r="F2406" i="1"/>
  <c r="I2406" i="1" l="1"/>
</calcChain>
</file>

<file path=xl/sharedStrings.xml><?xml version="1.0" encoding="utf-8"?>
<sst xmlns="http://schemas.openxmlformats.org/spreadsheetml/2006/main" count="73" uniqueCount="57">
  <si>
    <t>CAS TEST F01</t>
  </si>
  <si>
    <t>Delta T</t>
  </si>
  <si>
    <t>Theta 0</t>
  </si>
  <si>
    <t>s</t>
  </si>
  <si>
    <t>°C</t>
  </si>
  <si>
    <t>Emissivité Feu</t>
  </si>
  <si>
    <t>Boltzman</t>
  </si>
  <si>
    <t>x10^-8</t>
  </si>
  <si>
    <t>Temps</t>
  </si>
  <si>
    <t>ti</t>
  </si>
  <si>
    <t>(sec)</t>
  </si>
  <si>
    <t>Theta g</t>
  </si>
  <si>
    <t>Temp. gaz</t>
  </si>
  <si>
    <t>(°C)</t>
  </si>
  <si>
    <t>(min)</t>
  </si>
  <si>
    <t>Temp. acier</t>
  </si>
  <si>
    <t>Theta m</t>
  </si>
  <si>
    <t>Flux conv</t>
  </si>
  <si>
    <t>hnetc</t>
  </si>
  <si>
    <t>Coef de transfert de chaleur par convection</t>
  </si>
  <si>
    <t xml:space="preserve">Chaleur </t>
  </si>
  <si>
    <t>specif. ca</t>
  </si>
  <si>
    <t>(J/(kg.K)</t>
  </si>
  <si>
    <t>RhoA</t>
  </si>
  <si>
    <t>kg/m3</t>
  </si>
  <si>
    <t>Profilé</t>
  </si>
  <si>
    <t>h</t>
  </si>
  <si>
    <t>b</t>
  </si>
  <si>
    <t>tf</t>
  </si>
  <si>
    <t>tw</t>
  </si>
  <si>
    <t>r</t>
  </si>
  <si>
    <t>mm</t>
  </si>
  <si>
    <t>IPE300</t>
  </si>
  <si>
    <t>exposition</t>
  </si>
  <si>
    <t>côtés</t>
  </si>
  <si>
    <t>périmetre exposé</t>
  </si>
  <si>
    <t>Aa</t>
  </si>
  <si>
    <t>Am/V</t>
  </si>
  <si>
    <t>mm2</t>
  </si>
  <si>
    <t>hw</t>
  </si>
  <si>
    <t>1/m</t>
  </si>
  <si>
    <t>périmètre exposé box</t>
  </si>
  <si>
    <t>Am/Vb</t>
  </si>
  <si>
    <t>ksh</t>
  </si>
  <si>
    <t>Delta</t>
  </si>
  <si>
    <t>Theta</t>
  </si>
  <si>
    <t>hnetr</t>
  </si>
  <si>
    <t>Flux radiatif</t>
  </si>
  <si>
    <t>Galvanisé</t>
  </si>
  <si>
    <t>oui</t>
  </si>
  <si>
    <t>non</t>
  </si>
  <si>
    <t>Emissivité</t>
  </si>
  <si>
    <t>Acier</t>
  </si>
  <si>
    <t xml:space="preserve">Facteur de forme </t>
  </si>
  <si>
    <t>Durée</t>
  </si>
  <si>
    <t>Theta Gaz</t>
  </si>
  <si>
    <t>Theta acier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</si>
</sst>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6" formatCode="0.0000"/>
    <numFmt numFmtId="167" formatCode="0.000"/>
    <numFmt numFmtId="172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0" fontId="0" fillId="0" borderId="0" xfId="0" applyFill="1" applyBorder="1" applyAlignment="1">
      <alignment horizontal="right" vertical="center"/>
    </xf>
    <xf numFmtId="0" fontId="2" fillId="9" borderId="1" xfId="0" applyFont="1" applyFill="1" applyBorder="1" applyAlignment="1">
      <alignment horizontal="center" vertical="center"/>
    </xf>
    <xf numFmtId="172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167" fontId="0" fillId="7" borderId="1" xfId="0" applyNumberForma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172" fontId="0" fillId="0" borderId="6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969"/>
  <sheetViews>
    <sheetView tabSelected="1" workbookViewId="0">
      <pane ySplit="16" topLeftCell="A2913" activePane="bottomLeft" state="frozen"/>
      <selection pane="bottomLeft" activeCell="B2920" sqref="B2920"/>
    </sheetView>
  </sheetViews>
  <sheetFormatPr baseColWidth="10" defaultRowHeight="15" x14ac:dyDescent="0.25"/>
  <cols>
    <col min="8" max="8" width="12" bestFit="1" customWidth="1"/>
  </cols>
  <sheetData>
    <row r="2" spans="2:14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M2" s="25">
        <v>3</v>
      </c>
      <c r="N2" s="30" t="s">
        <v>49</v>
      </c>
    </row>
    <row r="3" spans="2:14" x14ac:dyDescent="0.25">
      <c r="M3" s="25">
        <v>4</v>
      </c>
      <c r="N3" s="30" t="s">
        <v>50</v>
      </c>
    </row>
    <row r="4" spans="2:14" x14ac:dyDescent="0.25">
      <c r="C4" s="2" t="s">
        <v>1</v>
      </c>
      <c r="D4" s="4">
        <v>5</v>
      </c>
      <c r="E4" t="s">
        <v>3</v>
      </c>
      <c r="H4" s="2" t="s">
        <v>25</v>
      </c>
      <c r="I4" s="4" t="s">
        <v>32</v>
      </c>
    </row>
    <row r="5" spans="2:14" x14ac:dyDescent="0.25">
      <c r="C5" s="2" t="s">
        <v>2</v>
      </c>
      <c r="D5" s="4">
        <v>20</v>
      </c>
      <c r="E5" t="s">
        <v>4</v>
      </c>
      <c r="H5" s="2" t="s">
        <v>26</v>
      </c>
      <c r="I5" s="4">
        <v>300</v>
      </c>
      <c r="J5" t="s">
        <v>31</v>
      </c>
      <c r="L5" s="24" t="s">
        <v>33</v>
      </c>
      <c r="M5" s="4">
        <v>4</v>
      </c>
      <c r="N5" t="s">
        <v>34</v>
      </c>
    </row>
    <row r="6" spans="2:14" x14ac:dyDescent="0.25">
      <c r="C6" s="2" t="s">
        <v>5</v>
      </c>
      <c r="D6" s="4">
        <v>1</v>
      </c>
      <c r="H6" s="2" t="s">
        <v>27</v>
      </c>
      <c r="I6" s="4">
        <v>150</v>
      </c>
      <c r="J6" t="s">
        <v>31</v>
      </c>
      <c r="L6" s="24" t="s">
        <v>35</v>
      </c>
      <c r="M6" s="26">
        <f>2*(h+2*b-tw+(PI()-3)*rr)-IF(Expo=3,b,0)</f>
        <v>1190.0477796076937</v>
      </c>
      <c r="N6" t="s">
        <v>31</v>
      </c>
    </row>
    <row r="7" spans="2:14" x14ac:dyDescent="0.25">
      <c r="C7" s="2" t="s">
        <v>6</v>
      </c>
      <c r="D7" s="4">
        <v>5.67</v>
      </c>
      <c r="E7" t="s">
        <v>7</v>
      </c>
      <c r="H7" s="2" t="s">
        <v>28</v>
      </c>
      <c r="I7" s="4">
        <v>10.7</v>
      </c>
      <c r="J7" t="s">
        <v>31</v>
      </c>
      <c r="L7" s="24" t="s">
        <v>36</v>
      </c>
      <c r="M7" s="26">
        <f>2*b*tf+hw*tw+(4-PI())*rr^2</f>
        <v>5381.2016529422972</v>
      </c>
      <c r="N7" t="s">
        <v>38</v>
      </c>
    </row>
    <row r="8" spans="2:14" x14ac:dyDescent="0.25">
      <c r="C8" s="2" t="s">
        <v>19</v>
      </c>
      <c r="D8" s="4">
        <v>25</v>
      </c>
      <c r="H8" s="2" t="s">
        <v>29</v>
      </c>
      <c r="I8" s="4">
        <v>7.1</v>
      </c>
      <c r="J8" t="s">
        <v>31</v>
      </c>
      <c r="L8" s="24" t="s">
        <v>37</v>
      </c>
      <c r="M8" s="28">
        <f>p/Aa*1000</f>
        <v>221.14907716885267</v>
      </c>
      <c r="N8" t="s">
        <v>40</v>
      </c>
    </row>
    <row r="9" spans="2:14" x14ac:dyDescent="0.25">
      <c r="C9" s="2" t="s">
        <v>23</v>
      </c>
      <c r="D9" s="4">
        <v>7850</v>
      </c>
      <c r="E9" t="s">
        <v>24</v>
      </c>
      <c r="H9" s="2" t="s">
        <v>30</v>
      </c>
      <c r="I9" s="4">
        <v>15</v>
      </c>
      <c r="J9" t="s">
        <v>31</v>
      </c>
      <c r="L9" s="24" t="s">
        <v>41</v>
      </c>
      <c r="M9" s="26">
        <f>2*(h+b)-IF(Expo=3,b,0)</f>
        <v>900</v>
      </c>
      <c r="N9" t="s">
        <v>31</v>
      </c>
    </row>
    <row r="10" spans="2:14" x14ac:dyDescent="0.25">
      <c r="C10" s="2" t="s">
        <v>53</v>
      </c>
      <c r="D10" s="4">
        <v>1</v>
      </c>
      <c r="H10" s="2" t="s">
        <v>39</v>
      </c>
      <c r="I10" s="27">
        <f>h-2*tf</f>
        <v>278.60000000000002</v>
      </c>
      <c r="J10" t="s">
        <v>31</v>
      </c>
      <c r="L10" s="24" t="s">
        <v>42</v>
      </c>
      <c r="M10" s="28">
        <f>pb/Aa*1000</f>
        <v>167.24888938289536</v>
      </c>
      <c r="N10" t="s">
        <v>40</v>
      </c>
    </row>
    <row r="11" spans="2:14" x14ac:dyDescent="0.25">
      <c r="C11" s="2"/>
      <c r="D11" s="3"/>
      <c r="H11" s="2" t="s">
        <v>48</v>
      </c>
      <c r="I11" s="4" t="s">
        <v>50</v>
      </c>
      <c r="L11" s="24" t="s">
        <v>43</v>
      </c>
      <c r="M11" s="29">
        <f>0.9*MassiveteBox/Massivete</f>
        <v>0.68064494037963863</v>
      </c>
    </row>
    <row r="12" spans="2:14" x14ac:dyDescent="0.25">
      <c r="C12" s="2"/>
      <c r="D12" s="3"/>
    </row>
    <row r="13" spans="2:14" x14ac:dyDescent="0.25">
      <c r="C13" s="2"/>
      <c r="D13" s="3"/>
    </row>
    <row r="14" spans="2:14" x14ac:dyDescent="0.25">
      <c r="B14" s="5" t="s">
        <v>8</v>
      </c>
      <c r="C14" s="5" t="s">
        <v>8</v>
      </c>
      <c r="D14" s="8" t="s">
        <v>12</v>
      </c>
      <c r="E14" s="14" t="s">
        <v>15</v>
      </c>
      <c r="F14" s="17" t="s">
        <v>17</v>
      </c>
      <c r="G14" s="17" t="s">
        <v>47</v>
      </c>
      <c r="H14" s="20" t="s">
        <v>20</v>
      </c>
      <c r="I14" s="17" t="s">
        <v>44</v>
      </c>
      <c r="J14" s="20" t="s">
        <v>51</v>
      </c>
    </row>
    <row r="15" spans="2:14" x14ac:dyDescent="0.25">
      <c r="B15" s="6" t="s">
        <v>9</v>
      </c>
      <c r="C15" s="6" t="s">
        <v>9</v>
      </c>
      <c r="D15" s="9" t="s">
        <v>11</v>
      </c>
      <c r="E15" s="15" t="s">
        <v>16</v>
      </c>
      <c r="F15" s="18" t="s">
        <v>18</v>
      </c>
      <c r="G15" s="18" t="s">
        <v>46</v>
      </c>
      <c r="H15" s="21" t="s">
        <v>21</v>
      </c>
      <c r="I15" s="18" t="s">
        <v>45</v>
      </c>
      <c r="J15" s="21" t="s">
        <v>52</v>
      </c>
    </row>
    <row r="16" spans="2:14" x14ac:dyDescent="0.25">
      <c r="B16" s="7" t="s">
        <v>10</v>
      </c>
      <c r="C16" s="7" t="s">
        <v>14</v>
      </c>
      <c r="D16" s="10" t="s">
        <v>13</v>
      </c>
      <c r="E16" s="16" t="s">
        <v>13</v>
      </c>
      <c r="F16" s="19"/>
      <c r="G16" s="19"/>
      <c r="H16" s="22" t="s">
        <v>22</v>
      </c>
      <c r="I16" s="19" t="s">
        <v>13</v>
      </c>
      <c r="J16" s="22"/>
    </row>
    <row r="17" spans="2:10" x14ac:dyDescent="0.25">
      <c r="B17" s="3">
        <v>0</v>
      </c>
      <c r="C17" s="13">
        <f>B17/60</f>
        <v>0</v>
      </c>
      <c r="D17" s="11">
        <f>20+345*LOG(8*C17+1,10)</f>
        <v>20</v>
      </c>
      <c r="E17" s="3">
        <f>Theta0</f>
        <v>20</v>
      </c>
      <c r="F17" s="3">
        <f>AlphaC*(D17-E17)</f>
        <v>0</v>
      </c>
      <c r="G17" s="13">
        <f>Phi*EpsilonF*Botzman/10^8*J17*((D17+273)^4-(E17+273)^4)</f>
        <v>0</v>
      </c>
      <c r="H17" s="23">
        <f>IF(E17&lt;600,425+0.773*E17-1.69/1000*E17^2+2.22/1000^2*E17^3,IF(E17&lt;735,666+13002/(738-E17),IF(E17&lt;900,545+17820/(E17-731),650)))</f>
        <v>439.80176</v>
      </c>
      <c r="I17" s="12">
        <f>ksh*Massivete/(H17*RhoA)*DeltaT*(F17+G17)</f>
        <v>0</v>
      </c>
      <c r="J17" s="3">
        <f>IF(E17&lt;=500,IF(Galva=Oui,0.35,0.7),0.7)</f>
        <v>0.7</v>
      </c>
    </row>
    <row r="18" spans="2:10" x14ac:dyDescent="0.25">
      <c r="B18" s="3">
        <f>B17+DeltaT</f>
        <v>5</v>
      </c>
      <c r="C18" s="13">
        <f t="shared" ref="C18:C81" si="0">B18/60</f>
        <v>8.3333333333333329E-2</v>
      </c>
      <c r="D18" s="11">
        <f t="shared" ref="D18:D81" si="1">20+345*LOG(8*C18+1,10)</f>
        <v>96.537818617642927</v>
      </c>
      <c r="E18" s="23">
        <f>E17+I17</f>
        <v>20</v>
      </c>
      <c r="F18" s="23">
        <f>AlphaC*(D18-E18)</f>
        <v>1913.4454654410731</v>
      </c>
      <c r="G18" s="13">
        <f>Phi*EpsilonF*Botzman/10^8*J18*((D18+273)^4-(E18+273)^4)</f>
        <v>447.62743255522747</v>
      </c>
      <c r="H18" s="23">
        <f>IF(E18&lt;600,425+0.773*E18-1.69/1000*E18^2+2.22/1000^2*E18^3,IF(E18&lt;735,666+13002/(738-E18),IF(E18&lt;900,545+17820/(E18-731),650)))</f>
        <v>439.80176</v>
      </c>
      <c r="I18" s="12">
        <f>ksh*Massivete/(H18*RhoA)*DeltaT*(F18+G18)</f>
        <v>0.51470517246462533</v>
      </c>
      <c r="J18" s="3">
        <f>IF(E18&lt;=500,IF(Galva=Oui,0.35,0.7),0.7)</f>
        <v>0.7</v>
      </c>
    </row>
    <row r="19" spans="2:10" x14ac:dyDescent="0.25">
      <c r="B19" s="3">
        <f>B18+DeltaT</f>
        <v>10</v>
      </c>
      <c r="C19" s="13">
        <f t="shared" si="0"/>
        <v>0.16666666666666666</v>
      </c>
      <c r="D19" s="11">
        <f t="shared" si="1"/>
        <v>146.95199092663501</v>
      </c>
      <c r="E19" s="23">
        <f t="shared" ref="E19:E26" si="2">E18+I18</f>
        <v>20.514705172464627</v>
      </c>
      <c r="F19" s="23">
        <f>AlphaC*(D19-E19)</f>
        <v>3160.9321438542593</v>
      </c>
      <c r="G19" s="13">
        <f>Phi*EpsilonF*Botzman/10^8*J19*((D19+273)^4-(E19+273)^4)</f>
        <v>939.88937863797537</v>
      </c>
      <c r="H19" s="23">
        <f t="shared" ref="H19:H26" si="3">IF(E19&lt;600,425+0.773*E19-1.69/1000*E19^2+2.22/1000^2*E19^3,IF(E19&lt;735,666+13002/(738-E19),IF(E19&lt;900,545+17820/(E19-731),650)))</f>
        <v>440.16579207628911</v>
      </c>
      <c r="I19" s="12">
        <f>ksh*Massivete/(H19*RhoA)*DeltaT*(F19+G19)</f>
        <v>0.89322460923806324</v>
      </c>
      <c r="J19" s="3">
        <f>IF(E19&lt;=500,IF(Galva=Oui,0.35,0.7),0.7)</f>
        <v>0.7</v>
      </c>
    </row>
    <row r="20" spans="2:10" x14ac:dyDescent="0.25">
      <c r="B20" s="3">
        <f>B19+DeltaT</f>
        <v>15</v>
      </c>
      <c r="C20" s="13">
        <f t="shared" si="0"/>
        <v>0.25</v>
      </c>
      <c r="D20" s="11">
        <f t="shared" si="1"/>
        <v>184.60683287828354</v>
      </c>
      <c r="E20" s="23">
        <f t="shared" si="2"/>
        <v>21.407929781702691</v>
      </c>
      <c r="F20" s="23">
        <f>AlphaC*(D20-E20)</f>
        <v>4079.9725774145218</v>
      </c>
      <c r="G20" s="13">
        <f>Phi*EpsilonF*Botzman/10^8*J20*((D20+273)^4-(E20+273)^4)</f>
        <v>1442.2277086733804</v>
      </c>
      <c r="H20" s="23">
        <f t="shared" si="3"/>
        <v>440.79558459660177</v>
      </c>
      <c r="I20" s="12">
        <f>ksh*Massivete/(H20*RhoA)*DeltaT*(F20+G20)</f>
        <v>1.2011051195267308</v>
      </c>
      <c r="J20" s="3">
        <f>IF(E20&lt;=500,IF(Galva=Oui,0.35,0.7),0.7)</f>
        <v>0.7</v>
      </c>
    </row>
    <row r="21" spans="2:10" x14ac:dyDescent="0.25">
      <c r="B21" s="3">
        <f>B20+DeltaT</f>
        <v>20</v>
      </c>
      <c r="C21" s="13">
        <f t="shared" si="0"/>
        <v>0.33333333333333331</v>
      </c>
      <c r="D21" s="11">
        <f t="shared" si="1"/>
        <v>214.67364350130407</v>
      </c>
      <c r="E21" s="23">
        <f t="shared" si="2"/>
        <v>22.609034901229421</v>
      </c>
      <c r="F21" s="23">
        <f>AlphaC*(D21-E21)</f>
        <v>4801.6152150018661</v>
      </c>
      <c r="G21" s="13">
        <f>Phi*EpsilonF*Botzman/10^8*J21*((D21+273)^4-(E21+273)^4)</f>
        <v>1941.8301408391121</v>
      </c>
      <c r="H21" s="23">
        <f t="shared" si="3"/>
        <v>441.63856587934629</v>
      </c>
      <c r="I21" s="12">
        <f>ksh*Massivete/(H21*RhoA)*DeltaT*(F21+G21)</f>
        <v>1.4639321588925265</v>
      </c>
      <c r="J21" s="3">
        <f>IF(E21&lt;=500,IF(Galva=Oui,0.35,0.7),0.7)</f>
        <v>0.7</v>
      </c>
    </row>
    <row r="22" spans="2:10" x14ac:dyDescent="0.25">
      <c r="B22" s="3">
        <f>B21+DeltaT</f>
        <v>25</v>
      </c>
      <c r="C22" s="13">
        <f t="shared" si="0"/>
        <v>0.41666666666666669</v>
      </c>
      <c r="D22" s="11">
        <f t="shared" si="1"/>
        <v>239.70362366757516</v>
      </c>
      <c r="E22" s="23">
        <f t="shared" si="2"/>
        <v>24.072967060121947</v>
      </c>
      <c r="F22" s="23">
        <f>AlphaC*(D22-E22)</f>
        <v>5390.7664151863301</v>
      </c>
      <c r="G22" s="13">
        <f>Phi*EpsilonF*Botzman/10^8*J22*((D22+273)^4-(E22+273)^4)</f>
        <v>2433.3754182869129</v>
      </c>
      <c r="H22" s="23">
        <f t="shared" si="3"/>
        <v>442.66000549687152</v>
      </c>
      <c r="I22" s="12">
        <f>ksh*Massivete/(H22*RhoA)*DeltaT*(F22+G22)</f>
        <v>1.694620785856636</v>
      </c>
      <c r="J22" s="3">
        <f>IF(E22&lt;=500,IF(Galva=Oui,0.35,0.7),0.7)</f>
        <v>0.7</v>
      </c>
    </row>
    <row r="23" spans="2:10" x14ac:dyDescent="0.25">
      <c r="B23" s="3">
        <f>B22+DeltaT</f>
        <v>30</v>
      </c>
      <c r="C23" s="13">
        <f t="shared" si="0"/>
        <v>0.5</v>
      </c>
      <c r="D23" s="11">
        <f t="shared" si="1"/>
        <v>261.1446514959265</v>
      </c>
      <c r="E23" s="23">
        <f t="shared" si="2"/>
        <v>25.767587845978582</v>
      </c>
      <c r="F23" s="23">
        <f>AlphaC*(D23-E23)</f>
        <v>5884.4265912486972</v>
      </c>
      <c r="G23" s="13">
        <f>Phi*EpsilonF*Botzman/10^8*J23*((D23+273)^4-(E23+273)^4)</f>
        <v>2914.6101044241359</v>
      </c>
      <c r="H23" s="23">
        <f t="shared" si="3"/>
        <v>443.83422018773041</v>
      </c>
      <c r="I23" s="12">
        <f>ksh*Massivete/(H23*RhoA)*DeltaT*(F23+G23)</f>
        <v>1.9007300664042677</v>
      </c>
      <c r="J23" s="3">
        <f>IF(E23&lt;=500,IF(Galva=Oui,0.35,0.7),0.7)</f>
        <v>0.7</v>
      </c>
    </row>
    <row r="24" spans="2:10" x14ac:dyDescent="0.25">
      <c r="B24" s="3">
        <f>B23+DeltaT</f>
        <v>35</v>
      </c>
      <c r="C24" s="13">
        <f t="shared" si="0"/>
        <v>0.58333333333333337</v>
      </c>
      <c r="D24" s="11">
        <f t="shared" si="1"/>
        <v>279.89804499722095</v>
      </c>
      <c r="E24" s="23">
        <f t="shared" si="2"/>
        <v>27.66831791238285</v>
      </c>
      <c r="F24" s="23">
        <f>AlphaC*(D24-E24)</f>
        <v>6305.7431771209522</v>
      </c>
      <c r="G24" s="13">
        <f>Phi*EpsilonF*Botzman/10^8*J24*((D24+273)^4-(E24+273)^4)</f>
        <v>3384.6749396347486</v>
      </c>
      <c r="H24" s="23">
        <f t="shared" si="3"/>
        <v>445.14087623316146</v>
      </c>
      <c r="I24" s="12">
        <f>ksh*Massivete/(H24*RhoA)*DeltaT*(F24+G24)</f>
        <v>2.0871378755648955</v>
      </c>
      <c r="J24" s="3">
        <f>IF(E24&lt;=500,IF(Galva=Oui,0.35,0.7),0.7)</f>
        <v>0.7</v>
      </c>
    </row>
    <row r="25" spans="2:10" x14ac:dyDescent="0.25">
      <c r="B25" s="3">
        <f>B24+DeltaT</f>
        <v>40</v>
      </c>
      <c r="C25" s="13">
        <f t="shared" si="0"/>
        <v>0.66666666666666663</v>
      </c>
      <c r="D25" s="11">
        <f t="shared" si="1"/>
        <v>296.56315945044241</v>
      </c>
      <c r="E25" s="23">
        <f t="shared" si="2"/>
        <v>29.755455787947746</v>
      </c>
      <c r="F25" s="23">
        <f>AlphaC*(D25-E25)</f>
        <v>6670.192591562366</v>
      </c>
      <c r="G25" s="13">
        <f>Phi*EpsilonF*Botzman/10^8*J25*((D25+273)^4-(E25+273)^4)</f>
        <v>3843.3838571817496</v>
      </c>
      <c r="H25" s="23">
        <f t="shared" si="3"/>
        <v>446.56314915996381</v>
      </c>
      <c r="I25" s="12">
        <f>ksh*Massivete/(H25*RhoA)*DeltaT*(F25+G25)</f>
        <v>2.2572189869074242</v>
      </c>
      <c r="J25" s="3">
        <f>IF(E25&lt;=500,IF(Galva=Oui,0.35,0.7),0.7)</f>
        <v>0.7</v>
      </c>
    </row>
    <row r="26" spans="2:10" x14ac:dyDescent="0.25">
      <c r="B26" s="3">
        <f>B25+DeltaT</f>
        <v>45</v>
      </c>
      <c r="C26" s="13">
        <f t="shared" si="0"/>
        <v>0.75</v>
      </c>
      <c r="D26" s="11">
        <f t="shared" si="1"/>
        <v>311.55882380491857</v>
      </c>
      <c r="E26" s="23">
        <f t="shared" si="2"/>
        <v>32.012674774855171</v>
      </c>
      <c r="F26" s="23">
        <f>AlphaC*(D26-E26)</f>
        <v>6988.6537257515856</v>
      </c>
      <c r="G26" s="13">
        <f>Phi*EpsilonF*Botzman/10^8*J26*((D26+273)^4-(E26+273)^4)</f>
        <v>4290.8844765164476</v>
      </c>
      <c r="H26" s="23">
        <f t="shared" si="3"/>
        <v>448.08669785999513</v>
      </c>
      <c r="I26" s="12">
        <f>ksh*Massivete/(H26*RhoA)*DeltaT*(F26+G26)</f>
        <v>2.4134336716672276</v>
      </c>
      <c r="J26" s="3">
        <f>IF(E26&lt;=500,IF(Galva=Oui,0.35,0.7),0.7)</f>
        <v>0.7</v>
      </c>
    </row>
    <row r="27" spans="2:10" x14ac:dyDescent="0.25">
      <c r="B27" s="3">
        <f>B26+DeltaT</f>
        <v>50</v>
      </c>
      <c r="C27" s="13">
        <f t="shared" si="0"/>
        <v>0.83333333333333337</v>
      </c>
      <c r="D27" s="11">
        <f t="shared" si="1"/>
        <v>325.18927054778601</v>
      </c>
      <c r="E27" s="23">
        <f t="shared" ref="E27:E39" si="4">E26+I26</f>
        <v>34.426108446522399</v>
      </c>
      <c r="F27" s="23">
        <f>AlphaC*(D27-E27)</f>
        <v>7269.0790525315906</v>
      </c>
      <c r="G27" s="13">
        <f>Phi*EpsilonF*Botzman/10^8*J27*((D27+273)^4-(E27+273)^4)</f>
        <v>4727.4879650539451</v>
      </c>
      <c r="H27" s="23">
        <f t="shared" ref="H27:H39" si="5">IF(E27&lt;600,425+0.773*E27-1.69/1000*E27^2+2.22/1000^2*E27^3,IF(E27&lt;735,666+13002/(738-E27),IF(E27&lt;900,545+17820/(E27-731),650)))</f>
        <v>449.69904335386997</v>
      </c>
      <c r="I27" s="12">
        <f>ksh*Massivete/(H27*RhoA)*DeltaT*(F27+G27)</f>
        <v>2.5576500405952585</v>
      </c>
      <c r="J27" s="3">
        <f>IF(E27&lt;=500,IF(Galva=Oui,0.35,0.7),0.7)</f>
        <v>0.7</v>
      </c>
    </row>
    <row r="28" spans="2:10" x14ac:dyDescent="0.25">
      <c r="B28" s="3">
        <f>B27+DeltaT</f>
        <v>55</v>
      </c>
      <c r="C28" s="13">
        <f t="shared" si="0"/>
        <v>0.91666666666666663</v>
      </c>
      <c r="D28" s="11">
        <f t="shared" si="1"/>
        <v>337.68247011356942</v>
      </c>
      <c r="E28" s="23">
        <f t="shared" si="4"/>
        <v>36.983758487117655</v>
      </c>
      <c r="F28" s="23">
        <f>AlphaC*(D28-E28)</f>
        <v>7517.4677906612942</v>
      </c>
      <c r="G28" s="13">
        <f>Phi*EpsilonF*Botzman/10^8*J28*((D28+273)^4-(E28+273)^4)</f>
        <v>5153.5800754926167</v>
      </c>
      <c r="H28" s="23">
        <f t="shared" si="5"/>
        <v>451.38916767069287</v>
      </c>
      <c r="I28" s="12">
        <f>ksh*Massivete/(H28*RhoA)*DeltaT*(F28+G28)</f>
        <v>2.6913333824724317</v>
      </c>
      <c r="J28" s="3">
        <f>IF(E28&lt;=500,IF(Galva=Oui,0.35,0.7),0.7)</f>
        <v>0.7</v>
      </c>
    </row>
    <row r="29" spans="2:10" x14ac:dyDescent="0.25">
      <c r="B29" s="3">
        <f>B28+DeltaT</f>
        <v>60</v>
      </c>
      <c r="C29" s="13">
        <f t="shared" si="0"/>
        <v>1</v>
      </c>
      <c r="D29" s="11">
        <f t="shared" si="1"/>
        <v>349.21366575656708</v>
      </c>
      <c r="E29" s="23">
        <f t="shared" si="4"/>
        <v>39.675091869590084</v>
      </c>
      <c r="F29" s="23">
        <f>AlphaC*(D29-E29)</f>
        <v>7738.4643471744257</v>
      </c>
      <c r="G29" s="13">
        <f>Phi*EpsilonF*Botzman/10^8*J29*((D29+273)^4-(E29+273)^4)</f>
        <v>5569.5734104378944</v>
      </c>
      <c r="H29" s="23">
        <f t="shared" si="5"/>
        <v>453.14724101449167</v>
      </c>
      <c r="I29" s="12">
        <f>ksh*Massivete/(H29*RhoA)*DeltaT*(F29+G29)</f>
        <v>2.8156637123897932</v>
      </c>
      <c r="J29" s="3">
        <f>IF(E29&lt;=500,IF(Galva=Oui,0.35,0.7),0.7)</f>
        <v>0.7</v>
      </c>
    </row>
    <row r="30" spans="2:10" x14ac:dyDescent="0.25">
      <c r="B30" s="3">
        <f>B29+DeltaT</f>
        <v>65</v>
      </c>
      <c r="C30" s="13">
        <f t="shared" si="0"/>
        <v>1.0833333333333333</v>
      </c>
      <c r="D30" s="11">
        <f t="shared" si="1"/>
        <v>359.92047639685626</v>
      </c>
      <c r="E30" s="23">
        <f t="shared" si="4"/>
        <v>42.490755581979876</v>
      </c>
      <c r="F30" s="23">
        <f>AlphaC*(D30-E30)</f>
        <v>7935.7430203719086</v>
      </c>
      <c r="G30" s="13">
        <f>Phi*EpsilonF*Botzman/10^8*J30*((D30+273)^4-(E30+273)^4)</f>
        <v>5975.8815698915114</v>
      </c>
      <c r="H30" s="23">
        <f t="shared" si="5"/>
        <v>454.9644278858982</v>
      </c>
      <c r="I30" s="12">
        <f>ksh*Massivete/(H30*RhoA)*DeltaT*(F30+G30)</f>
        <v>2.9316121107658648</v>
      </c>
      <c r="J30" s="3">
        <f>IF(E30&lt;=500,IF(Galva=Oui,0.35,0.7),0.7)</f>
        <v>0.7</v>
      </c>
    </row>
    <row r="31" spans="2:10" x14ac:dyDescent="0.25">
      <c r="B31" s="3">
        <f>B30+DeltaT</f>
        <v>70</v>
      </c>
      <c r="C31" s="13">
        <f t="shared" si="0"/>
        <v>1.1666666666666667</v>
      </c>
      <c r="D31" s="11">
        <f t="shared" si="1"/>
        <v>369.91295149454055</v>
      </c>
      <c r="E31" s="23">
        <f t="shared" si="4"/>
        <v>45.422367692745738</v>
      </c>
      <c r="F31" s="23">
        <f>AlphaC*(D31-E31)</f>
        <v>8112.2645950448696</v>
      </c>
      <c r="G31" s="13">
        <f>Phi*EpsilonF*Botzman/10^8*J31*((D31+273)^4-(E31+273)^4)</f>
        <v>6372.905304060655</v>
      </c>
      <c r="H31" s="23">
        <f t="shared" si="5"/>
        <v>456.83274400775804</v>
      </c>
      <c r="I31" s="12">
        <f>ksh*Massivete/(H31*RhoA)*DeltaT*(F31+G31)</f>
        <v>3.0399921917832287</v>
      </c>
      <c r="J31" s="3">
        <f>IF(E31&lt;=500,IF(Galva=Oui,0.35,0.7),0.7)</f>
        <v>0.7</v>
      </c>
    </row>
    <row r="32" spans="2:10" x14ac:dyDescent="0.25">
      <c r="B32" s="3">
        <f>B31+DeltaT</f>
        <v>75</v>
      </c>
      <c r="C32" s="13">
        <f t="shared" si="0"/>
        <v>1.25</v>
      </c>
      <c r="D32" s="11">
        <f t="shared" si="1"/>
        <v>379.28047637958758</v>
      </c>
      <c r="E32" s="23">
        <f t="shared" si="4"/>
        <v>48.462359884528965</v>
      </c>
      <c r="F32" s="23">
        <f>AlphaC*(D32-E32)</f>
        <v>8270.452912376466</v>
      </c>
      <c r="G32" s="13">
        <f>Phi*EpsilonF*Botzman/10^8*J32*((D32+273)^4-(E32+273)^4)</f>
        <v>6761.0254085561992</v>
      </c>
      <c r="H32" s="23">
        <f t="shared" si="5"/>
        <v>458.74494718604552</v>
      </c>
      <c r="I32" s="12">
        <f>ksh*Massivete/(H32*RhoA)*DeltaT*(F32+G32)</f>
        <v>3.1414959241811591</v>
      </c>
      <c r="J32" s="3">
        <f>IF(E32&lt;=500,IF(Galva=Oui,0.35,0.7),0.7)</f>
        <v>0.7</v>
      </c>
    </row>
    <row r="33" spans="2:10" x14ac:dyDescent="0.25">
      <c r="B33" s="3">
        <f>B32+DeltaT</f>
        <v>80</v>
      </c>
      <c r="C33" s="13">
        <f t="shared" si="0"/>
        <v>1.3333333333333333</v>
      </c>
      <c r="D33" s="11">
        <f t="shared" si="1"/>
        <v>388.0966424225615</v>
      </c>
      <c r="E33" s="23">
        <f t="shared" si="4"/>
        <v>51.603855808710122</v>
      </c>
      <c r="F33" s="23">
        <f>AlphaC*(D33-E33)</f>
        <v>8412.3196653462837</v>
      </c>
      <c r="G33" s="13">
        <f>Phi*EpsilonF*Botzman/10^8*J33*((D33+273)^4-(E33+273)^4)</f>
        <v>7140.5994602523133</v>
      </c>
      <c r="H33" s="23">
        <f t="shared" si="5"/>
        <v>460.69445158305581</v>
      </c>
      <c r="I33" s="12">
        <f>ksh*Massivete/(H33*RhoA)*DeltaT*(F33+G33)</f>
        <v>3.2367192550870616</v>
      </c>
      <c r="J33" s="3">
        <f>IF(E33&lt;=500,IF(Galva=Oui,0.35,0.7),0.7)</f>
        <v>0.7</v>
      </c>
    </row>
    <row r="34" spans="2:10" x14ac:dyDescent="0.25">
      <c r="B34" s="3">
        <f>B33+DeltaT</f>
        <v>85</v>
      </c>
      <c r="C34" s="13">
        <f t="shared" si="0"/>
        <v>1.4166666666666667</v>
      </c>
      <c r="D34" s="11">
        <f t="shared" si="1"/>
        <v>396.42276192482967</v>
      </c>
      <c r="E34" s="23">
        <f t="shared" si="4"/>
        <v>54.840575063797182</v>
      </c>
      <c r="F34" s="23">
        <f>AlphaC*(D34-E34)</f>
        <v>8539.5546715258115</v>
      </c>
      <c r="G34" s="13">
        <f>Phi*EpsilonF*Botzman/10^8*J34*((D34+273)^4-(E34+273)^4)</f>
        <v>7511.9607498677133</v>
      </c>
      <c r="H34" s="23">
        <f t="shared" si="5"/>
        <v>462.67525861291278</v>
      </c>
      <c r="I34" s="12">
        <f>ksh*Massivete/(H34*RhoA)*DeltaT*(F34+G34)</f>
        <v>3.3261808858316821</v>
      </c>
      <c r="J34" s="3">
        <f>IF(E34&lt;=500,IF(Galva=Oui,0.35,0.7),0.7)</f>
        <v>0.7</v>
      </c>
    </row>
    <row r="35" spans="2:10" x14ac:dyDescent="0.25">
      <c r="B35" s="3">
        <f>B34+DeltaT</f>
        <v>90</v>
      </c>
      <c r="C35" s="13">
        <f t="shared" si="0"/>
        <v>1.5</v>
      </c>
      <c r="D35" s="11">
        <f t="shared" si="1"/>
        <v>404.31045654585864</v>
      </c>
      <c r="E35" s="23">
        <f t="shared" si="4"/>
        <v>58.166755949628865</v>
      </c>
      <c r="F35" s="23">
        <f>AlphaC*(D35-E35)</f>
        <v>8653.5925149057439</v>
      </c>
      <c r="G35" s="13">
        <f>Phi*EpsilonF*Botzman/10^8*J35*((D35+273)^4-(E35+273)^4)</f>
        <v>7875.4184602059313</v>
      </c>
      <c r="H35" s="23">
        <f t="shared" si="5"/>
        <v>464.68189995005429</v>
      </c>
      <c r="I35" s="12">
        <f>ksh*Massivete/(H35*RhoA)*DeltaT*(F35+G35)</f>
        <v>3.4103363270618146</v>
      </c>
      <c r="J35" s="3">
        <f>IF(E35&lt;=500,IF(Galva=Oui,0.35,0.7),0.7)</f>
        <v>0.7</v>
      </c>
    </row>
    <row r="36" spans="2:10" x14ac:dyDescent="0.25">
      <c r="B36" s="3">
        <f>B35+DeltaT</f>
        <v>95</v>
      </c>
      <c r="C36" s="13">
        <f t="shared" si="0"/>
        <v>1.5833333333333333</v>
      </c>
      <c r="D36" s="11">
        <f t="shared" si="1"/>
        <v>411.80359769002513</v>
      </c>
      <c r="E36" s="23">
        <f t="shared" si="4"/>
        <v>61.577092276690678</v>
      </c>
      <c r="F36" s="23">
        <f>AlphaC*(D36-E36)</f>
        <v>8755.6626353333613</v>
      </c>
      <c r="G36" s="13">
        <f>Phi*EpsilonF*Botzman/10^8*J36*((D36+273)^4-(E36+273)^4)</f>
        <v>8231.2585315081324</v>
      </c>
      <c r="H36" s="23">
        <f t="shared" si="5"/>
        <v>466.70938957996111</v>
      </c>
      <c r="I36" s="12">
        <f>ksh*Massivete/(H36*RhoA)*DeltaT*(F36+G36)</f>
        <v>3.4895886240277778</v>
      </c>
      <c r="J36" s="3">
        <f>IF(E36&lt;=500,IF(Galva=Oui,0.35,0.7),0.7)</f>
        <v>0.7</v>
      </c>
    </row>
    <row r="37" spans="2:10" x14ac:dyDescent="0.25">
      <c r="B37" s="3">
        <f>B36+DeltaT</f>
        <v>100</v>
      </c>
      <c r="C37" s="13">
        <f t="shared" si="0"/>
        <v>1.6666666666666667</v>
      </c>
      <c r="D37" s="11">
        <f t="shared" si="1"/>
        <v>418.93978429667379</v>
      </c>
      <c r="E37" s="23">
        <f t="shared" si="4"/>
        <v>65.066680900718453</v>
      </c>
      <c r="F37" s="23">
        <f>AlphaC*(D37-E37)</f>
        <v>8846.8275848988833</v>
      </c>
      <c r="G37" s="13">
        <f>Phi*EpsilonF*Botzman/10^8*J37*((D37+273)^4-(E37+273)^4)</f>
        <v>8579.7448829453224</v>
      </c>
      <c r="H37" s="23">
        <f t="shared" si="5"/>
        <v>468.7531827540534</v>
      </c>
      <c r="I37" s="12">
        <f>ksh*Massivete/(H37*RhoA)*DeltaT*(F37+G37)</f>
        <v>3.5642966846757722</v>
      </c>
      <c r="J37" s="3">
        <f>IF(E37&lt;=500,IF(Galva=Oui,0.35,0.7),0.7)</f>
        <v>0.7</v>
      </c>
    </row>
    <row r="38" spans="2:10" x14ac:dyDescent="0.25">
      <c r="B38" s="3">
        <f>B37+DeltaT</f>
        <v>105</v>
      </c>
      <c r="C38" s="13">
        <f t="shared" si="0"/>
        <v>1.75</v>
      </c>
      <c r="D38" s="11">
        <f t="shared" si="1"/>
        <v>425.75148437421001</v>
      </c>
      <c r="E38" s="23">
        <f t="shared" si="4"/>
        <v>68.63097758539422</v>
      </c>
      <c r="F38" s="23">
        <f>AlphaC*(D38-E38)</f>
        <v>8928.0126697203941</v>
      </c>
      <c r="G38" s="13">
        <f>Phi*EpsilonF*Botzman/10^8*J38*((D38+273)^4-(E38+273)^4)</f>
        <v>8921.1207937288636</v>
      </c>
      <c r="H38" s="23">
        <f t="shared" si="5"/>
        <v>470.80914032979632</v>
      </c>
      <c r="I38" s="12">
        <f>ksh*Massivete/(H38*RhoA)*DeltaT*(F38+G38)</f>
        <v>3.6347818499930407</v>
      </c>
      <c r="J38" s="3">
        <f>IF(E38&lt;=500,IF(Galva=Oui,0.35,0.7),0.7)</f>
        <v>0.7</v>
      </c>
    </row>
    <row r="39" spans="2:10" x14ac:dyDescent="0.25">
      <c r="B39" s="3">
        <f>B38+DeltaT</f>
        <v>110</v>
      </c>
      <c r="C39" s="13">
        <f t="shared" si="0"/>
        <v>1.8333333333333333</v>
      </c>
      <c r="D39" s="11">
        <f t="shared" si="1"/>
        <v>432.26692810953892</v>
      </c>
      <c r="E39" s="23">
        <f t="shared" si="4"/>
        <v>72.265759435387267</v>
      </c>
      <c r="F39" s="23">
        <f>AlphaC*(D39-E39)</f>
        <v>9000.0292168537908</v>
      </c>
      <c r="G39" s="13">
        <f>Phi*EpsilonF*Botzman/10^8*J39*((D39+273)^4-(E39+273)^4)</f>
        <v>9255.6103279350446</v>
      </c>
      <c r="H39" s="23">
        <f t="shared" si="5"/>
        <v>472.87349739659373</v>
      </c>
      <c r="I39" s="12">
        <f>ksh*Massivete/(H39*RhoA)*DeltaT*(F39+G39)</f>
        <v>3.7013331538169543</v>
      </c>
      <c r="J39" s="3">
        <f>IF(E39&lt;=500,IF(Galva=Oui,0.35,0.7),0.7)</f>
        <v>0.7</v>
      </c>
    </row>
    <row r="40" spans="2:10" x14ac:dyDescent="0.25">
      <c r="B40" s="3">
        <f>B39+DeltaT</f>
        <v>115</v>
      </c>
      <c r="C40" s="13">
        <f t="shared" si="0"/>
        <v>1.9166666666666667</v>
      </c>
      <c r="D40" s="11">
        <f t="shared" si="1"/>
        <v>438.51081473155358</v>
      </c>
      <c r="E40" s="23">
        <f t="shared" ref="E40:E41" si="6">E39+I39</f>
        <v>75.967092589204228</v>
      </c>
      <c r="F40" s="23">
        <f>AlphaC*(D40-E40)</f>
        <v>9063.593053558734</v>
      </c>
      <c r="G40" s="13">
        <f>Phi*EpsilonF*Botzman/10^8*J40*((D40+273)^4-(E40+273)^4)</f>
        <v>9583.419735996913</v>
      </c>
      <c r="H40" s="23">
        <f t="shared" ref="H40:H41" si="7">IF(E40&lt;600,425+0.773*E40-1.69/1000*E40^2+2.22/1000^2*E40^3,IF(E40&lt;735,666+13002/(738-E40),IF(E40&lt;900,545+17820/(E40-731),650)))</f>
        <v>474.94283537753972</v>
      </c>
      <c r="I40" s="12">
        <f>ksh*Massivete/(H40*RhoA)*DeltaT*(F40+G40)</f>
        <v>3.7642115904910516</v>
      </c>
      <c r="J40" s="3">
        <f>IF(E40&lt;=500,IF(Galva=Oui,0.35,0.7),0.7)</f>
        <v>0.7</v>
      </c>
    </row>
    <row r="41" spans="2:10" x14ac:dyDescent="0.25">
      <c r="B41" s="3">
        <f>B40+DeltaT</f>
        <v>120</v>
      </c>
      <c r="C41" s="13">
        <f t="shared" si="0"/>
        <v>2</v>
      </c>
      <c r="D41" s="11">
        <f t="shared" si="1"/>
        <v>444.50487787550446</v>
      </c>
      <c r="E41" s="23">
        <f t="shared" si="6"/>
        <v>79.731304179695286</v>
      </c>
      <c r="F41" s="23">
        <f>AlphaC*(D41-E41)</f>
        <v>9119.3393423952293</v>
      </c>
      <c r="G41" s="13">
        <f>Phi*EpsilonF*Botzman/10^8*J41*((D41+273)^4-(E41+273)^4)</f>
        <v>9904.7387956161674</v>
      </c>
      <c r="H41" s="23">
        <f t="shared" si="7"/>
        <v>477.01405700012208</v>
      </c>
      <c r="I41" s="12">
        <f>ksh*Massivete/(H41*RhoA)*DeltaT*(F41+G41)</f>
        <v>3.8236536207162137</v>
      </c>
      <c r="J41" s="3">
        <f>IF(E41&lt;=500,IF(Galva=Oui,0.35,0.7),0.7)</f>
        <v>0.7</v>
      </c>
    </row>
    <row r="42" spans="2:10" x14ac:dyDescent="0.25">
      <c r="B42" s="3">
        <f>B41+DeltaT</f>
        <v>125</v>
      </c>
      <c r="C42" s="13">
        <f t="shared" si="0"/>
        <v>2.0833333333333335</v>
      </c>
      <c r="D42" s="11">
        <f t="shared" si="1"/>
        <v>450.26834213398865</v>
      </c>
      <c r="E42" s="23">
        <f t="shared" ref="E42:E105" si="8">E41+I41</f>
        <v>83.554957800411501</v>
      </c>
      <c r="F42" s="23">
        <f>AlphaC*(D42-E42)</f>
        <v>9167.8346083394281</v>
      </c>
      <c r="G42" s="13">
        <f>Phi*EpsilonF*Botzman/10^8*J42*((D42+273)^4-(E42+273)^4)</f>
        <v>10219.742073048956</v>
      </c>
      <c r="H42" s="23">
        <f t="shared" ref="H42:H105" si="9">IF(E42&lt;600,425+0.773*E42-1.69/1000*E42^2+2.22/1000^2*E42^3,IF(E42&lt;735,666+13002/(738-E42),IF(E42&lt;900,545+17820/(E42-731),650)))</f>
        <v>479.08436367344996</v>
      </c>
      <c r="I42" s="12">
        <f>ksh*Massivete/(H42*RhoA)*DeltaT*(F42+G42)</f>
        <v>3.8798740847220823</v>
      </c>
      <c r="J42" s="3">
        <f>IF(E42&lt;=500,IF(Galva=Oui,0.35,0.7),0.7)</f>
        <v>0.7</v>
      </c>
    </row>
    <row r="43" spans="2:10" x14ac:dyDescent="0.25">
      <c r="B43" s="3">
        <f>B42+DeltaT</f>
        <v>130</v>
      </c>
      <c r="C43" s="13">
        <f t="shared" si="0"/>
        <v>2.1666666666666665</v>
      </c>
      <c r="D43" s="11">
        <f t="shared" si="1"/>
        <v>455.81829499723057</v>
      </c>
      <c r="E43" s="23">
        <f t="shared" si="8"/>
        <v>87.434831885133576</v>
      </c>
      <c r="F43" s="23">
        <f>AlphaC*(D43-E43)</f>
        <v>9209.5865778024254</v>
      </c>
      <c r="G43" s="13">
        <f>Phi*EpsilonF*Botzman/10^8*J43*((D43+273)^4-(E43+273)^4)</f>
        <v>10528.590096781849</v>
      </c>
      <c r="H43" s="23">
        <f t="shared" si="9"/>
        <v>481.15123491379705</v>
      </c>
      <c r="I43" s="12">
        <f>ksh*Massivete/(H43*RhoA)*DeltaT*(F43+G43)</f>
        <v>3.933068648626032</v>
      </c>
      <c r="J43" s="3">
        <f>IF(E43&lt;=500,IF(Galva=Oui,0.35,0.7),0.7)</f>
        <v>0.7</v>
      </c>
    </row>
    <row r="44" spans="2:10" x14ac:dyDescent="0.25">
      <c r="B44" s="3">
        <f>B43+DeltaT</f>
        <v>135</v>
      </c>
      <c r="C44" s="13">
        <f t="shared" si="0"/>
        <v>2.25</v>
      </c>
      <c r="D44" s="11">
        <f t="shared" si="1"/>
        <v>461.16999232872598</v>
      </c>
      <c r="E44" s="23">
        <f t="shared" si="8"/>
        <v>91.36790053375961</v>
      </c>
      <c r="F44" s="23">
        <f>AlphaC*(D44-E44)</f>
        <v>9245.05229487416</v>
      </c>
      <c r="G44" s="13">
        <f>Phi*EpsilonF*Botzman/10^8*J44*((D44+273)^4-(E44+273)^4)</f>
        <v>10831.430442248229</v>
      </c>
      <c r="H44" s="23">
        <f t="shared" si="9"/>
        <v>483.21240953639119</v>
      </c>
      <c r="I44" s="12">
        <f>ksh*Massivete/(H44*RhoA)*DeltaT*(F44+G44)</f>
        <v>3.9834158788387466</v>
      </c>
      <c r="J44" s="3">
        <f>IF(E44&lt;=500,IF(Galva=Oui,0.35,0.7),0.7)</f>
        <v>0.7</v>
      </c>
    </row>
    <row r="45" spans="2:10" x14ac:dyDescent="0.25">
      <c r="B45" s="3">
        <f>B44+DeltaT</f>
        <v>140</v>
      </c>
      <c r="C45" s="13">
        <f t="shared" si="0"/>
        <v>2.3333333333333335</v>
      </c>
      <c r="D45" s="11">
        <f t="shared" si="1"/>
        <v>466.33711113825615</v>
      </c>
      <c r="E45" s="23">
        <f t="shared" si="8"/>
        <v>95.351316412598351</v>
      </c>
      <c r="F45" s="23">
        <f>AlphaC*(D45-E45)</f>
        <v>9274.644868141444</v>
      </c>
      <c r="G45" s="13">
        <f>Phi*EpsilonF*Botzman/10^8*J45*((D45+273)^4-(E45+273)^4)</f>
        <v>11128.39873010691</v>
      </c>
      <c r="H45" s="23">
        <f t="shared" si="9"/>
        <v>485.26586838769521</v>
      </c>
      <c r="I45" s="12">
        <f>ksh*Massivete/(H45*RhoA)*DeltaT*(F45+G45)</f>
        <v>4.0310790168523241</v>
      </c>
      <c r="J45" s="3">
        <f>IF(E45&lt;=500,IF(Galva=Oui,0.35,0.7),0.7)</f>
        <v>0.7</v>
      </c>
    </row>
    <row r="46" spans="2:10" x14ac:dyDescent="0.25">
      <c r="B46" s="3">
        <f>B45+DeltaT</f>
        <v>145</v>
      </c>
      <c r="C46" s="13">
        <f t="shared" si="0"/>
        <v>2.4166666666666665</v>
      </c>
      <c r="D46" s="11">
        <f t="shared" si="1"/>
        <v>471.33196020043101</v>
      </c>
      <c r="E46" s="23">
        <f t="shared" si="8"/>
        <v>99.382395429450668</v>
      </c>
      <c r="F46" s="23">
        <f>AlphaC*(D46-E46)</f>
        <v>9298.739119274509</v>
      </c>
      <c r="G46" s="13">
        <f>Phi*EpsilonF*Botzman/10^8*J46*((D46+273)^4-(E46+273)^4)</f>
        <v>11419.619542752162</v>
      </c>
      <c r="H46" s="23">
        <f t="shared" si="9"/>
        <v>487.30981843457789</v>
      </c>
      <c r="I46" s="12">
        <f>ksh*Massivete/(H46*RhoA)*DeltaT*(F46+G46)</f>
        <v>4.0762075101866193</v>
      </c>
      <c r="J46" s="3">
        <f>IF(E46&lt;=500,IF(Galva=Oui,0.35,0.7),0.7)</f>
        <v>0.7</v>
      </c>
    </row>
    <row r="47" spans="2:10" x14ac:dyDescent="0.25">
      <c r="B47" s="3">
        <f>B46+DeltaT</f>
        <v>150</v>
      </c>
      <c r="C47" s="13">
        <f t="shared" si="0"/>
        <v>2.5</v>
      </c>
      <c r="D47" s="11">
        <f t="shared" si="1"/>
        <v>476.16565668320209</v>
      </c>
      <c r="E47" s="23">
        <f t="shared" si="8"/>
        <v>103.45860293963729</v>
      </c>
      <c r="F47" s="23">
        <f>AlphaC*(D47-E47)</f>
        <v>9317.6763435891207</v>
      </c>
      <c r="G47" s="13">
        <f>Phi*EpsilonF*Botzman/10^8*J47*((D47+273)^4-(E47+273)^4)</f>
        <v>11705.207264798799</v>
      </c>
      <c r="H47" s="23">
        <f t="shared" si="9"/>
        <v>489.34267805871497</v>
      </c>
      <c r="I47" s="12">
        <f>ksh*Massivete/(H47*RhoA)*DeltaT*(F47+G47)</f>
        <v>4.11893834295548</v>
      </c>
      <c r="J47" s="3">
        <f>IF(E47&lt;=500,IF(Galva=Oui,0.35,0.7),0.7)</f>
        <v>0.7</v>
      </c>
    </row>
    <row r="48" spans="2:10" x14ac:dyDescent="0.25">
      <c r="B48" s="3">
        <f>B47+DeltaT</f>
        <v>155</v>
      </c>
      <c r="C48" s="13">
        <f t="shared" si="0"/>
        <v>2.5833333333333335</v>
      </c>
      <c r="D48" s="11">
        <f t="shared" si="1"/>
        <v>480.84827516350163</v>
      </c>
      <c r="E48" s="23">
        <f t="shared" si="8"/>
        <v>107.57754128259276</v>
      </c>
      <c r="F48" s="23">
        <f>AlphaC*(D48-E48)</f>
        <v>9331.7683470227221</v>
      </c>
      <c r="G48" s="13">
        <f>Phi*EpsilonF*Botzman/10^8*J48*((D48+273)^4-(E48+273)^4)</f>
        <v>11985.266853699088</v>
      </c>
      <c r="H48" s="23">
        <f t="shared" si="9"/>
        <v>491.36306342906374</v>
      </c>
      <c r="I48" s="12">
        <f>ksh*Massivete/(H48*RhoA)*DeltaT*(F48+G48)</f>
        <v>4.1593972002605568</v>
      </c>
      <c r="J48" s="3">
        <f>IF(E48&lt;=500,IF(Galva=Oui,0.35,0.7),0.7)</f>
        <v>0.7</v>
      </c>
    </row>
    <row r="49" spans="2:10" x14ac:dyDescent="0.25">
      <c r="B49" s="3">
        <f>B48+DeltaT</f>
        <v>160</v>
      </c>
      <c r="C49" s="13">
        <f t="shared" si="0"/>
        <v>2.6666666666666665</v>
      </c>
      <c r="D49" s="11">
        <f t="shared" si="1"/>
        <v>485.3889740535015</v>
      </c>
      <c r="E49" s="23">
        <f t="shared" si="8"/>
        <v>111.73693848285332</v>
      </c>
      <c r="F49" s="23">
        <f>AlphaC*(D49-E49)</f>
        <v>9341.3008892662056</v>
      </c>
      <c r="G49" s="13">
        <f>Phi*EpsilonF*Botzman/10^8*J49*((D49+273)^4-(E49+273)^4)</f>
        <v>12259.894546661457</v>
      </c>
      <c r="H49" s="23">
        <f t="shared" si="9"/>
        <v>493.36977584429223</v>
      </c>
      <c r="I49" s="12">
        <f>ksh*Massivete/(H49*RhoA)*DeltaT*(F49+G49)</f>
        <v>4.1976994935968461</v>
      </c>
      <c r="J49" s="3">
        <f>IF(E49&lt;=500,IF(Galva=Oui,0.35,0.7),0.7)</f>
        <v>0.7</v>
      </c>
    </row>
    <row r="50" spans="2:10" x14ac:dyDescent="0.25">
      <c r="B50" s="3">
        <f>B49+DeltaT</f>
        <v>165</v>
      </c>
      <c r="C50" s="13">
        <f t="shared" si="0"/>
        <v>2.75</v>
      </c>
      <c r="D50" s="11">
        <f t="shared" si="1"/>
        <v>489.79610342606952</v>
      </c>
      <c r="E50" s="23">
        <f t="shared" si="8"/>
        <v>115.93463797645016</v>
      </c>
      <c r="F50" s="23">
        <f>AlphaC*(D50-E50)</f>
        <v>9346.5366362404839</v>
      </c>
      <c r="G50" s="13">
        <f>Phi*EpsilonF*Botzman/10^8*J50*((D50+273)^4-(E50+273)^4)</f>
        <v>12529.178509819907</v>
      </c>
      <c r="H50" s="23">
        <f t="shared" si="9"/>
        <v>495.36178995203778</v>
      </c>
      <c r="I50" s="12">
        <f>ksh*Massivete/(H50*RhoA)*DeltaT*(F50+G50)</f>
        <v>4.2339512690728345</v>
      </c>
      <c r="J50" s="3">
        <f>IF(E50&lt;=500,IF(Galva=Oui,0.35,0.7),0.7)</f>
        <v>0.7</v>
      </c>
    </row>
    <row r="51" spans="2:10" x14ac:dyDescent="0.25">
      <c r="B51" s="3">
        <f>B50+DeltaT</f>
        <v>170</v>
      </c>
      <c r="C51" s="13">
        <f t="shared" si="0"/>
        <v>2.8333333333333335</v>
      </c>
      <c r="D51" s="11">
        <f t="shared" si="1"/>
        <v>494.07729742979745</v>
      </c>
      <c r="E51" s="23">
        <f t="shared" si="8"/>
        <v>120.16858924552299</v>
      </c>
      <c r="F51" s="23">
        <f>AlphaC*(D51-E51)</f>
        <v>9347.7177046068609</v>
      </c>
      <c r="G51" s="13">
        <f>Phi*EpsilonF*Botzman/10^8*J51*((D51+273)^4-(E51+273)^4)</f>
        <v>12793.199435253102</v>
      </c>
      <c r="H51" s="23">
        <f t="shared" si="9"/>
        <v>497.33824276383052</v>
      </c>
      <c r="I51" s="12">
        <f>ksh*Massivete/(H51*RhoA)*DeltaT*(F51+G51)</f>
        <v>4.2682500160879524</v>
      </c>
      <c r="J51" s="3">
        <f>IF(E51&lt;=500,IF(Galva=Oui,0.35,0.7),0.7)</f>
        <v>0.7</v>
      </c>
    </row>
    <row r="52" spans="2:10" x14ac:dyDescent="0.25">
      <c r="B52" s="3">
        <f>B51+DeltaT</f>
        <v>175</v>
      </c>
      <c r="C52" s="13">
        <f t="shared" si="0"/>
        <v>2.9166666666666665</v>
      </c>
      <c r="D52" s="11">
        <f t="shared" si="1"/>
        <v>498.23955386327367</v>
      </c>
      <c r="E52" s="23">
        <f t="shared" si="8"/>
        <v>124.43683926161094</v>
      </c>
      <c r="F52" s="23">
        <f>AlphaC*(D52-E52)</f>
        <v>9345.0678650415684</v>
      </c>
      <c r="G52" s="13">
        <f>Phi*EpsilonF*Botzman/10^8*J52*((D52+273)^4-(E52+273)^4)</f>
        <v>13052.031091039766</v>
      </c>
      <c r="H52" s="23">
        <f t="shared" si="9"/>
        <v>499.29842339420986</v>
      </c>
      <c r="I52" s="12">
        <f>ksh*Massivete/(H52*RhoA)*DeltaT*(F52+G52)</f>
        <v>4.3006853908660467</v>
      </c>
      <c r="J52" s="3">
        <f>IF(E52&lt;=500,IF(Galva=Oui,0.35,0.7),0.7)</f>
        <v>0.7</v>
      </c>
    </row>
    <row r="53" spans="2:10" x14ac:dyDescent="0.25">
      <c r="B53" s="3">
        <f>B52+DeltaT</f>
        <v>180</v>
      </c>
      <c r="C53" s="13">
        <f t="shared" si="0"/>
        <v>3</v>
      </c>
      <c r="D53" s="11">
        <f t="shared" si="1"/>
        <v>502.28930299185294</v>
      </c>
      <c r="E53" s="23">
        <f t="shared" si="8"/>
        <v>128.73752465247699</v>
      </c>
      <c r="F53" s="23">
        <f>AlphaC*(D53-E53)</f>
        <v>9338.7944584843972</v>
      </c>
      <c r="G53" s="13">
        <f>Phi*EpsilonF*Botzman/10^8*J53*((D53+273)^4-(E53+273)^4)</f>
        <v>13305.740829102544</v>
      </c>
      <c r="H53" s="23">
        <f t="shared" si="9"/>
        <v>501.24176346051485</v>
      </c>
      <c r="I53" s="12">
        <f>ksh*Massivete/(H53*RhoA)*DeltaT*(F53+G53)</f>
        <v>4.3313398666925185</v>
      </c>
      <c r="J53" s="3">
        <f>IF(E53&lt;=500,IF(Galva=Oui,0.35,0.7),0.7)</f>
        <v>0.7</v>
      </c>
    </row>
    <row r="54" spans="2:10" x14ac:dyDescent="0.25">
      <c r="B54" s="3">
        <f>B53+DeltaT</f>
        <v>185</v>
      </c>
      <c r="C54" s="13">
        <f t="shared" si="0"/>
        <v>3.0833333333333335</v>
      </c>
      <c r="D54" s="11">
        <f t="shared" si="1"/>
        <v>506.23246730622265</v>
      </c>
      <c r="E54" s="23">
        <f t="shared" si="8"/>
        <v>133.06886451916952</v>
      </c>
      <c r="F54" s="23">
        <f>AlphaC*(D54-E54)</f>
        <v>9329.0900696763292</v>
      </c>
      <c r="G54" s="13">
        <f>Phi*EpsilonF*Botzman/10^8*J54*((D54+273)^4-(E54+273)^4)</f>
        <v>13554.39005516112</v>
      </c>
      <c r="H54" s="23">
        <f t="shared" si="9"/>
        <v>503.16782808645939</v>
      </c>
      <c r="I54" s="12">
        <f>ksh*Massivete/(H54*RhoA)*DeltaT*(F54+G54)</f>
        <v>4.3602893206804971</v>
      </c>
      <c r="J54" s="3">
        <f>IF(E54&lt;=500,IF(Galva=Oui,0.35,0.7),0.7)</f>
        <v>0.7</v>
      </c>
    </row>
    <row r="55" spans="2:10" x14ac:dyDescent="0.25">
      <c r="B55" s="3">
        <f>B54+DeltaT</f>
        <v>190</v>
      </c>
      <c r="C55" s="13">
        <f t="shared" si="0"/>
        <v>3.1666666666666665</v>
      </c>
      <c r="D55" s="11">
        <f t="shared" si="1"/>
        <v>510.07451361691875</v>
      </c>
      <c r="E55" s="23">
        <f t="shared" si="8"/>
        <v>137.42915383985002</v>
      </c>
      <c r="F55" s="23">
        <f>AlphaC*(D55-E55)</f>
        <v>9316.1339944267183</v>
      </c>
      <c r="G55" s="13">
        <f>Phi*EpsilonF*Botzman/10^8*J55*((D55+273)^4-(E55+273)^4)</f>
        <v>13798.034664702975</v>
      </c>
      <c r="H55" s="23">
        <f t="shared" si="9"/>
        <v>505.07630745821137</v>
      </c>
      <c r="I55" s="12">
        <f>ksh*Massivete/(H55*RhoA)*DeltaT*(F55+G55)</f>
        <v>4.3876035652754934</v>
      </c>
      <c r="J55" s="3">
        <f>IF(E55&lt;=500,IF(Galva=Oui,0.35,0.7),0.7)</f>
        <v>0.7</v>
      </c>
    </row>
    <row r="56" spans="2:10" x14ac:dyDescent="0.25">
      <c r="B56" s="3">
        <f>B55+DeltaT</f>
        <v>195</v>
      </c>
      <c r="C56" s="13">
        <f t="shared" si="0"/>
        <v>3.25</v>
      </c>
      <c r="D56" s="11">
        <f t="shared" si="1"/>
        <v>513.82049863485054</v>
      </c>
      <c r="E56" s="23">
        <f t="shared" si="8"/>
        <v>141.81675740512551</v>
      </c>
      <c r="F56" s="23">
        <f>AlphaC*(D56-E56)</f>
        <v>9300.0935307431264</v>
      </c>
      <c r="G56" s="13">
        <f>Phi*EpsilonF*Botzman/10^8*J56*((D56+273)^4-(E56+273)^4)</f>
        <v>14036.725448491066</v>
      </c>
      <c r="H56" s="23">
        <f t="shared" si="9"/>
        <v>506.96700888648832</v>
      </c>
      <c r="I56" s="12">
        <f>ksh*Massivete/(H56*RhoA)*DeltaT*(F56+G56)</f>
        <v>4.413346831406419</v>
      </c>
      <c r="J56" s="3">
        <f>IF(E56&lt;=500,IF(Galva=Oui,0.35,0.7),0.7)</f>
        <v>0.7</v>
      </c>
    </row>
    <row r="57" spans="2:10" x14ac:dyDescent="0.25">
      <c r="B57" s="3">
        <f>B56+DeltaT</f>
        <v>200</v>
      </c>
      <c r="C57" s="13">
        <f t="shared" si="0"/>
        <v>3.3333333333333335</v>
      </c>
      <c r="D57" s="11">
        <f t="shared" si="1"/>
        <v>517.47510899146187</v>
      </c>
      <c r="E57" s="23">
        <f t="shared" si="8"/>
        <v>146.23010423653193</v>
      </c>
      <c r="F57" s="23">
        <f>AlphaC*(D57-E57)</f>
        <v>9281.1251188732476</v>
      </c>
      <c r="G57" s="13">
        <f>Phi*EpsilonF*Botzman/10^8*J57*((D57+273)^4-(E57+273)^4)</f>
        <v>14270.508470770392</v>
      </c>
      <c r="H57" s="23">
        <f t="shared" si="9"/>
        <v>508.83984933236258</v>
      </c>
      <c r="I57" s="12">
        <f>ksh*Massivete/(H57*RhoA)*DeltaT*(F57+G57)</f>
        <v>4.4375782091348643</v>
      </c>
      <c r="J57" s="3">
        <f>IF(E57&lt;=500,IF(Galva=Oui,0.35,0.7),0.7)</f>
        <v>0.7</v>
      </c>
    </row>
    <row r="58" spans="2:10" x14ac:dyDescent="0.25">
      <c r="B58" s="3">
        <f>B57+DeltaT</f>
        <v>205</v>
      </c>
      <c r="C58" s="13">
        <f t="shared" si="0"/>
        <v>3.4166666666666665</v>
      </c>
      <c r="D58" s="11">
        <f t="shared" si="1"/>
        <v>521.04269649314733</v>
      </c>
      <c r="E58" s="23">
        <f t="shared" si="8"/>
        <v>150.6676824456668</v>
      </c>
      <c r="F58" s="23">
        <f>AlphaC*(D58-E58)</f>
        <v>9259.3753511870127</v>
      </c>
      <c r="G58" s="13">
        <f>Phi*EpsilonF*Botzman/10^8*J58*((D58+273)^4-(E58+273)^4)</f>
        <v>14499.425423005776</v>
      </c>
      <c r="H58" s="23">
        <f t="shared" si="9"/>
        <v>510.69484835812449</v>
      </c>
      <c r="I58" s="12">
        <f>ksh*Massivete/(H58*RhoA)*DeltaT*(F58+G58)</f>
        <v>4.4603520507908483</v>
      </c>
      <c r="J58" s="3">
        <f>IF(E58&lt;=500,IF(Galva=Oui,0.35,0.7),0.7)</f>
        <v>0.7</v>
      </c>
    </row>
    <row r="59" spans="2:10" x14ac:dyDescent="0.25">
      <c r="B59" s="3">
        <f>B58+DeltaT</f>
        <v>210</v>
      </c>
      <c r="C59" s="13">
        <f t="shared" si="0"/>
        <v>3.5</v>
      </c>
      <c r="D59" s="11">
        <f t="shared" si="1"/>
        <v>524.52730927513983</v>
      </c>
      <c r="E59" s="23">
        <f t="shared" si="8"/>
        <v>155.12803449645764</v>
      </c>
      <c r="F59" s="23">
        <f>AlphaC*(D59-E59)</f>
        <v>9234.9818694670539</v>
      </c>
      <c r="G59" s="13">
        <f>Phi*EpsilonF*Botzman/10^8*J59*((D59+273)^4-(E59+273)^4)</f>
        <v>14723.51395568497</v>
      </c>
      <c r="H59" s="23">
        <f t="shared" si="9"/>
        <v>512.53212146781868</v>
      </c>
      <c r="I59" s="12">
        <f>ksh*Massivete/(H59*RhoA)*DeltaT*(F59+G59)</f>
        <v>4.4817183408719341</v>
      </c>
      <c r="J59" s="3">
        <f>IF(E59&lt;=500,IF(Galva=Oui,0.35,0.7),0.7)</f>
        <v>0.7</v>
      </c>
    </row>
    <row r="60" spans="2:10" x14ac:dyDescent="0.25">
      <c r="B60" s="3">
        <f>B59+DeltaT</f>
        <v>215</v>
      </c>
      <c r="C60" s="13">
        <f t="shared" si="0"/>
        <v>3.5833333333333335</v>
      </c>
      <c r="D60" s="11">
        <f t="shared" si="1"/>
        <v>527.93271941421131</v>
      </c>
      <c r="E60" s="23">
        <f t="shared" si="8"/>
        <v>159.60975283732958</v>
      </c>
      <c r="F60" s="23">
        <f>AlphaC*(D60-E60)</f>
        <v>9208.0741644220434</v>
      </c>
      <c r="G60" s="13">
        <f>Phi*EpsilonF*Botzman/10^8*J60*((D60+273)^4-(E60+273)^4)</f>
        <v>14942.807990449759</v>
      </c>
      <c r="H60" s="23">
        <f t="shared" si="9"/>
        <v>514.35187380498837</v>
      </c>
      <c r="I60" s="12">
        <f>ksh*Massivete/(H60*RhoA)*DeltaT*(F60+G60)</f>
        <v>4.5017230363922902</v>
      </c>
      <c r="J60" s="3">
        <f>IF(E60&lt;=500,IF(Galva=Oui,0.35,0.7),0.7)</f>
        <v>0.7</v>
      </c>
    </row>
    <row r="61" spans="2:10" x14ac:dyDescent="0.25">
      <c r="B61" s="3">
        <f>B60+DeltaT</f>
        <v>220</v>
      </c>
      <c r="C61" s="13">
        <f t="shared" si="0"/>
        <v>3.6666666666666665</v>
      </c>
      <c r="D61" s="11">
        <f t="shared" si="1"/>
        <v>531.2624474724937</v>
      </c>
      <c r="E61" s="23">
        <f t="shared" si="8"/>
        <v>164.11147587372187</v>
      </c>
      <c r="F61" s="23">
        <f>AlphaC*(D61-E61)</f>
        <v>9178.7742899692967</v>
      </c>
      <c r="G61" s="13">
        <f>Phi*EpsilonF*Botzman/10^8*J61*((D61+273)^4-(E61+273)^4)</f>
        <v>15157.338014573013</v>
      </c>
      <c r="H61" s="23">
        <f t="shared" si="9"/>
        <v>516.15439417781829</v>
      </c>
      <c r="I61" s="12">
        <f>ksh*Massivete/(H61*RhoA)*DeltaT*(F61+G61)</f>
        <v>4.520408380874902</v>
      </c>
      <c r="J61" s="3">
        <f>IF(E61&lt;=500,IF(Galva=Oui,0.35,0.7),0.7)</f>
        <v>0.7</v>
      </c>
    </row>
    <row r="62" spans="2:10" x14ac:dyDescent="0.25">
      <c r="B62" s="3">
        <f>B61+DeltaT</f>
        <v>225</v>
      </c>
      <c r="C62" s="13">
        <f t="shared" si="0"/>
        <v>3.75</v>
      </c>
      <c r="D62" s="11">
        <f t="shared" si="1"/>
        <v>534.51978437282401</v>
      </c>
      <c r="E62" s="23">
        <f t="shared" si="8"/>
        <v>168.63188425459677</v>
      </c>
      <c r="F62" s="23">
        <f>AlphaC*(D62-E62)</f>
        <v>9147.1975029556797</v>
      </c>
      <c r="G62" s="13">
        <f>Phi*EpsilonF*Botzman/10^8*J62*((D62+273)^4-(E62+273)^4)</f>
        <v>15367.131359578134</v>
      </c>
      <c r="H62" s="23">
        <f t="shared" si="9"/>
        <v>517.94004938429021</v>
      </c>
      <c r="I62" s="12">
        <f>ksh*Massivete/(H62*RhoA)*DeltaT*(F62+G62)</f>
        <v>4.5378131947647828</v>
      </c>
      <c r="J62" s="3">
        <f>IF(E62&lt;=500,IF(Galva=Oui,0.35,0.7),0.7)</f>
        <v>0.7</v>
      </c>
    </row>
    <row r="63" spans="2:10" x14ac:dyDescent="0.25">
      <c r="B63" s="3">
        <f>B62+DeltaT</f>
        <v>230</v>
      </c>
      <c r="C63" s="13">
        <f t="shared" si="0"/>
        <v>3.8333333333333335</v>
      </c>
      <c r="D63" s="11">
        <f t="shared" si="1"/>
        <v>537.70781094636891</v>
      </c>
      <c r="E63" s="23">
        <f t="shared" si="8"/>
        <v>173.16969744936156</v>
      </c>
      <c r="F63" s="23">
        <f>AlphaC*(D63-E63)</f>
        <v>9113.4528374251822</v>
      </c>
      <c r="G63" s="13">
        <f>Phi*EpsilonF*Botzman/10^8*J63*((D63+273)^4-(E63+273)^4)</f>
        <v>15572.212465598002</v>
      </c>
      <c r="H63" s="23">
        <f t="shared" si="9"/>
        <v>519.70927881218881</v>
      </c>
      <c r="I63" s="12">
        <f>ksh*Massivete/(H63*RhoA)*DeltaT*(F63+G63)</f>
        <v>4.5539731446891363</v>
      </c>
      <c r="J63" s="3">
        <f>IF(E63&lt;=500,IF(Galva=Oui,0.35,0.7),0.7)</f>
        <v>0.7</v>
      </c>
    </row>
    <row r="64" spans="2:10" x14ac:dyDescent="0.25">
      <c r="B64" s="3">
        <f>B63+DeltaT</f>
        <v>235</v>
      </c>
      <c r="C64" s="13">
        <f t="shared" si="0"/>
        <v>3.9166666666666665</v>
      </c>
      <c r="D64" s="11">
        <f t="shared" si="1"/>
        <v>540.82941544357084</v>
      </c>
      <c r="E64" s="23">
        <f t="shared" si="8"/>
        <v>177.7236705940507</v>
      </c>
      <c r="F64" s="23">
        <f>AlphaC*(D64-E64)</f>
        <v>9077.6436212380031</v>
      </c>
      <c r="G64" s="13">
        <f>Phi*EpsilonF*Botzman/10^8*J64*((D64+273)^4-(E64+273)^4)</f>
        <v>15772.603132890092</v>
      </c>
      <c r="H64" s="23">
        <f t="shared" si="9"/>
        <v>521.46258929086514</v>
      </c>
      <c r="I64" s="12">
        <f>ksh*Massivete/(H64*RhoA)*DeltaT*(F64+G64)</f>
        <v>4.5689209936900275</v>
      </c>
      <c r="J64" s="3">
        <f>IF(E64&lt;=500,IF(Galva=Oui,0.35,0.7),0.7)</f>
        <v>0.7</v>
      </c>
    </row>
    <row r="65" spans="2:10" x14ac:dyDescent="0.25">
      <c r="B65" s="3">
        <f>B64+DeltaT</f>
        <v>240</v>
      </c>
      <c r="C65" s="13">
        <f t="shared" si="0"/>
        <v>4</v>
      </c>
      <c r="D65" s="11">
        <f t="shared" si="1"/>
        <v>543.88730925787115</v>
      </c>
      <c r="E65" s="23">
        <f t="shared" si="8"/>
        <v>182.29259158774073</v>
      </c>
      <c r="F65" s="23">
        <f>AlphaC*(D65-E65)</f>
        <v>9039.8679417532603</v>
      </c>
      <c r="G65" s="13">
        <f>Phi*EpsilonF*Botzman/10^8*J65*((D65+273)^4-(E65+273)^4)</f>
        <v>15968.322761761652</v>
      </c>
      <c r="H65" s="23">
        <f t="shared" si="9"/>
        <v>523.20055017357856</v>
      </c>
      <c r="I65" s="12">
        <f>ksh*Massivete/(H65*RhoA)*DeltaT*(F65+G65)</f>
        <v>4.5826868342971698</v>
      </c>
      <c r="J65" s="3">
        <f>IF(E65&lt;=500,IF(Galva=Oui,0.35,0.7),0.7)</f>
        <v>0.7</v>
      </c>
    </row>
    <row r="66" spans="2:10" x14ac:dyDescent="0.25">
      <c r="B66" s="3">
        <f>B65+DeltaT</f>
        <v>245</v>
      </c>
      <c r="C66" s="13">
        <f t="shared" si="0"/>
        <v>4.083333333333333</v>
      </c>
      <c r="D66" s="11">
        <f t="shared" si="1"/>
        <v>546.88404107672807</v>
      </c>
      <c r="E66" s="23">
        <f t="shared" si="8"/>
        <v>186.87527842203789</v>
      </c>
      <c r="F66" s="23">
        <f>AlphaC*(D66-E66)</f>
        <v>9000.2190663672536</v>
      </c>
      <c r="G66" s="13">
        <f>Phi*EpsilonF*Botzman/10^8*J66*((D66+273)^4-(E66+273)^4)</f>
        <v>16159.388582011354</v>
      </c>
      <c r="H66" s="23">
        <f t="shared" si="9"/>
        <v>524.92378863103727</v>
      </c>
      <c r="I66" s="12">
        <f>ksh*Massivete/(H66*RhoA)*DeltaT*(F66+G66)</f>
        <v>4.5952983060854438</v>
      </c>
      <c r="J66" s="3">
        <f>IF(E66&lt;=500,IF(Galva=Oui,0.35,0.7),0.7)</f>
        <v>0.7</v>
      </c>
    </row>
    <row r="67" spans="2:10" x14ac:dyDescent="0.25">
      <c r="B67" s="3">
        <f>B66+DeltaT</f>
        <v>250</v>
      </c>
      <c r="C67" s="13">
        <f t="shared" si="0"/>
        <v>4.166666666666667</v>
      </c>
      <c r="D67" s="11">
        <f t="shared" si="1"/>
        <v>549.82200964500078</v>
      </c>
      <c r="E67" s="23">
        <f t="shared" si="8"/>
        <v>191.47057672812335</v>
      </c>
      <c r="F67" s="23">
        <f>AlphaC*(D67-E67)</f>
        <v>8958.7858229219364</v>
      </c>
      <c r="G67" s="13">
        <f>Phi*EpsilonF*Botzman/10^8*J67*((D67+273)^4-(E67+273)^4)</f>
        <v>16345.815872860636</v>
      </c>
      <c r="H67" s="23">
        <f t="shared" si="9"/>
        <v>526.63298513843392</v>
      </c>
      <c r="I67" s="12">
        <f>ksh*Massivete/(H67*RhoA)*DeltaT*(F67+G67)</f>
        <v>4.6067807991680656</v>
      </c>
      <c r="J67" s="3">
        <f>IF(E67&lt;=500,IF(Galva=Oui,0.35,0.7),0.7)</f>
        <v>0.7</v>
      </c>
    </row>
    <row r="68" spans="2:10" x14ac:dyDescent="0.25">
      <c r="B68" s="3">
        <f>B67+DeltaT</f>
        <v>255</v>
      </c>
      <c r="C68" s="13">
        <f t="shared" si="0"/>
        <v>4.25</v>
      </c>
      <c r="D68" s="11">
        <f t="shared" si="1"/>
        <v>552.70347530084507</v>
      </c>
      <c r="E68" s="23">
        <f t="shared" si="8"/>
        <v>196.07735752729141</v>
      </c>
      <c r="F68" s="23">
        <f>AlphaC*(D68-E68)</f>
        <v>8915.6529443388426</v>
      </c>
      <c r="G68" s="13">
        <f>Phi*EpsilonF*Botzman/10^8*J68*((D68+273)^4-(E68+273)^4)</f>
        <v>16527.618174226216</v>
      </c>
      <c r="H68" s="23">
        <f t="shared" si="9"/>
        <v>528.32886913986408</v>
      </c>
      <c r="I68" s="12">
        <f>ksh*Massivete/(H68*RhoA)*DeltaT*(F68+G68)</f>
        <v>4.6171576449065546</v>
      </c>
      <c r="J68" s="3">
        <f>IF(E68&lt;=500,IF(Galva=Oui,0.35,0.7),0.7)</f>
        <v>0.7</v>
      </c>
    </row>
    <row r="69" spans="2:10" x14ac:dyDescent="0.25">
      <c r="B69" s="3">
        <f>B68+DeltaT</f>
        <v>260</v>
      </c>
      <c r="C69" s="13">
        <f t="shared" si="0"/>
        <v>4.333333333333333</v>
      </c>
      <c r="D69" s="11">
        <f t="shared" si="1"/>
        <v>555.53057042311366</v>
      </c>
      <c r="E69" s="23">
        <f t="shared" si="8"/>
        <v>200.69451517219795</v>
      </c>
      <c r="F69" s="23">
        <f>AlphaC*(D69-E69)</f>
        <v>8870.9013812728917</v>
      </c>
      <c r="G69" s="13">
        <f>Phi*EpsilonF*Botzman/10^8*J69*((D69+273)^4-(E69+273)^4)</f>
        <v>16704.807490075727</v>
      </c>
      <c r="H69" s="23">
        <f t="shared" si="9"/>
        <v>530.01221487550333</v>
      </c>
      <c r="I69" s="12">
        <f>ksh*Massivete/(H69*RhoA)*DeltaT*(F69+G69)</f>
        <v>4.6264502949698585</v>
      </c>
      <c r="J69" s="3">
        <f>IF(E69&lt;=500,IF(Galva=Oui,0.35,0.7),0.7)</f>
        <v>0.7</v>
      </c>
    </row>
    <row r="70" spans="2:10" x14ac:dyDescent="0.25">
      <c r="B70" s="3">
        <f>B69+DeltaT</f>
        <v>265</v>
      </c>
      <c r="C70" s="13">
        <f t="shared" si="0"/>
        <v>4.416666666666667</v>
      </c>
      <c r="D70" s="11">
        <f t="shared" si="1"/>
        <v>558.30530891123158</v>
      </c>
      <c r="E70" s="23">
        <f t="shared" si="8"/>
        <v>205.32096546716781</v>
      </c>
      <c r="F70" s="23">
        <f>AlphaC*(D70-E70)</f>
        <v>8824.6085861015945</v>
      </c>
      <c r="G70" s="13">
        <f>Phi*EpsilonF*Botzman/10^8*J70*((D70+273)^4-(E70+273)^4)</f>
        <v>16877.394484507699</v>
      </c>
      <c r="H70" s="23">
        <f t="shared" si="9"/>
        <v>531.68383735833754</v>
      </c>
      <c r="I70" s="12">
        <f>ksh*Massivete/(H70*RhoA)*DeltaT*(F70+G70)</f>
        <v>4.6346784897432283</v>
      </c>
      <c r="J70" s="3">
        <f>IF(E70&lt;=500,IF(Galva=Oui,0.35,0.7),0.7)</f>
        <v>0.7</v>
      </c>
    </row>
    <row r="71" spans="2:10" x14ac:dyDescent="0.25">
      <c r="B71" s="3">
        <f>B70+DeltaT</f>
        <v>270</v>
      </c>
      <c r="C71" s="13">
        <f t="shared" si="0"/>
        <v>4.5</v>
      </c>
      <c r="D71" s="11">
        <f t="shared" si="1"/>
        <v>561.02959480311324</v>
      </c>
      <c r="E71" s="23">
        <f t="shared" si="8"/>
        <v>209.95564395691105</v>
      </c>
      <c r="F71" s="23">
        <f>AlphaC*(D71-E71)</f>
        <v>8776.8487711550551</v>
      </c>
      <c r="G71" s="13">
        <f>Phi*EpsilonF*Botzman/10^8*J71*((D71+273)^4-(E71+273)^4)</f>
        <v>17045.388671105466</v>
      </c>
      <c r="H71" s="23">
        <f t="shared" si="9"/>
        <v>533.34458848857412</v>
      </c>
      <c r="I71" s="12">
        <f>ksh*Massivete/(H71*RhoA)*DeltaT*(F71+G71)</f>
        <v>4.6418604169705056</v>
      </c>
      <c r="J71" s="3">
        <f>IF(E71&lt;=500,IF(Galva=Oui,0.35,0.7),0.7)</f>
        <v>0.7</v>
      </c>
    </row>
    <row r="72" spans="2:10" x14ac:dyDescent="0.25">
      <c r="B72" s="3">
        <f>B71+DeltaT</f>
        <v>275</v>
      </c>
      <c r="C72" s="13">
        <f t="shared" si="0"/>
        <v>4.583333333333333</v>
      </c>
      <c r="D72" s="11">
        <f t="shared" si="1"/>
        <v>563.70523012349622</v>
      </c>
      <c r="E72" s="23">
        <f t="shared" si="8"/>
        <v>214.59750437388155</v>
      </c>
      <c r="F72" s="23">
        <f>AlphaC*(D72-E72)</f>
        <v>8727.6931437403673</v>
      </c>
      <c r="G72" s="13">
        <f>Phi*EpsilonF*Botzman/10^8*J72*((D72+273)^4-(E72+273)^4)</f>
        <v>17208.798596031527</v>
      </c>
      <c r="H72" s="23">
        <f t="shared" si="9"/>
        <v>534.99535329513708</v>
      </c>
      <c r="I72" s="12">
        <f>ksh*Massivete/(H72*RhoA)*DeltaT*(F72+G72)</f>
        <v>4.648012861409569</v>
      </c>
      <c r="J72" s="3">
        <f>IF(E72&lt;=500,IF(Galva=Oui,0.35,0.7),0.7)</f>
        <v>0.7</v>
      </c>
    </row>
    <row r="73" spans="2:10" x14ac:dyDescent="0.25">
      <c r="B73" s="3">
        <f>B72+DeltaT</f>
        <v>280</v>
      </c>
      <c r="C73" s="13">
        <f t="shared" si="0"/>
        <v>4.666666666666667</v>
      </c>
      <c r="D73" s="11">
        <f t="shared" si="1"/>
        <v>566.33392204371251</v>
      </c>
      <c r="E73" s="23">
        <f t="shared" si="8"/>
        <v>219.24551723529112</v>
      </c>
      <c r="F73" s="23">
        <f>AlphaC*(D73-E73)</f>
        <v>8677.210120210535</v>
      </c>
      <c r="G73" s="13">
        <f>Phi*EpsilonF*Botzman/10^8*J73*((D73+273)^4-(E73+273)^4)</f>
        <v>17367.632015251904</v>
      </c>
      <c r="H73" s="23">
        <f t="shared" si="9"/>
        <v>536.63704629484789</v>
      </c>
      <c r="I73" s="12">
        <f>ksh*Massivete/(H73*RhoA)*DeltaT*(F73+G73)</f>
        <v>4.6531513461874248</v>
      </c>
      <c r="J73" s="3">
        <f>IF(E73&lt;=500,IF(Galva=Oui,0.35,0.7),0.7)</f>
        <v>0.7</v>
      </c>
    </row>
    <row r="74" spans="2:10" x14ac:dyDescent="0.25">
      <c r="B74" s="3">
        <f>B73+DeltaT</f>
        <v>285</v>
      </c>
      <c r="C74" s="13">
        <f t="shared" si="0"/>
        <v>4.75</v>
      </c>
      <c r="D74" s="11">
        <f t="shared" si="1"/>
        <v>568.91728942414215</v>
      </c>
      <c r="E74" s="23">
        <f t="shared" si="8"/>
        <v>223.89866858147855</v>
      </c>
      <c r="F74" s="23">
        <f>AlphaC*(D74-E74)</f>
        <v>8625.4655210665896</v>
      </c>
      <c r="G74" s="13">
        <f>Phi*EpsilonF*Botzman/10^8*J74*((D74+273)^4-(E74+273)^4)</f>
        <v>17521.896066210466</v>
      </c>
      <c r="H74" s="23">
        <f t="shared" si="9"/>
        <v>538.27060796104286</v>
      </c>
      <c r="I74" s="12">
        <f>ksh*Massivete/(H74*RhoA)*DeltaT*(F74+G74)</f>
        <v>4.6572902664580598</v>
      </c>
      <c r="J74" s="3">
        <f>IF(E74&lt;=500,IF(Galva=Oui,0.35,0.7),0.7)</f>
        <v>0.7</v>
      </c>
    </row>
    <row r="75" spans="2:10" x14ac:dyDescent="0.25">
      <c r="B75" s="3">
        <f>B74+DeltaT</f>
        <v>290</v>
      </c>
      <c r="C75" s="13">
        <f t="shared" si="0"/>
        <v>4.833333333333333</v>
      </c>
      <c r="D75" s="11">
        <f t="shared" si="1"/>
        <v>571.45686880213952</v>
      </c>
      <c r="E75" s="23">
        <f t="shared" si="8"/>
        <v>228.55595884793661</v>
      </c>
      <c r="F75" s="23">
        <f>AlphaC*(D75-E75)</f>
        <v>8572.5227488550736</v>
      </c>
      <c r="G75" s="13">
        <f>Phi*EpsilonF*Botzman/10^8*J75*((D75+273)^4-(E75+273)^4)</f>
        <v>17671.59743420939</v>
      </c>
      <c r="H75" s="23">
        <f t="shared" si="9"/>
        <v>539.89700129445362</v>
      </c>
      <c r="I75" s="12">
        <f>ksh*Massivete/(H75*RhoA)*DeltaT*(F75+G75)</f>
        <v>4.6604430158912509</v>
      </c>
      <c r="J75" s="3">
        <f>IF(E75&lt;=500,IF(Galva=Oui,0.35,0.7),0.7)</f>
        <v>0.7</v>
      </c>
    </row>
    <row r="76" spans="2:10" x14ac:dyDescent="0.25">
      <c r="B76" s="3">
        <f>B75+DeltaT</f>
        <v>295</v>
      </c>
      <c r="C76" s="13">
        <f t="shared" si="0"/>
        <v>4.916666666666667</v>
      </c>
      <c r="D76" s="11">
        <f t="shared" si="1"/>
        <v>573.95411988089165</v>
      </c>
      <c r="E76" s="23">
        <f t="shared" si="8"/>
        <v>233.21640186382785</v>
      </c>
      <c r="F76" s="23">
        <f>AlphaC*(D76-E76)</f>
        <v>8518.4429504265954</v>
      </c>
      <c r="G76" s="13">
        <f>Phi*EpsilonF*Botzman/10^8*J76*((D76+273)^4-(E76+273)^4)</f>
        <v>17816.742513693083</v>
      </c>
      <c r="H76" s="23">
        <f t="shared" si="9"/>
        <v>541.51720849021763</v>
      </c>
      <c r="I76" s="12">
        <f>ksh*Massivete/(H76*RhoA)*DeltaT*(F76+G76)</f>
        <v>4.6626221064529201</v>
      </c>
      <c r="J76" s="3">
        <f>IF(E76&lt;=500,IF(Galva=Oui,0.35,0.7),0.7)</f>
        <v>0.7</v>
      </c>
    </row>
    <row r="77" spans="2:10" x14ac:dyDescent="0.25">
      <c r="B77" s="3">
        <f>B76+DeltaT</f>
        <v>300</v>
      </c>
      <c r="C77" s="13">
        <f t="shared" si="0"/>
        <v>5</v>
      </c>
      <c r="D77" s="11">
        <f t="shared" si="1"/>
        <v>576.4104305683087</v>
      </c>
      <c r="E77" s="23">
        <f t="shared" si="8"/>
        <v>237.87902397028077</v>
      </c>
      <c r="F77" s="23">
        <f>AlphaC*(D77-E77)</f>
        <v>8463.2851649506993</v>
      </c>
      <c r="G77" s="13">
        <f>Phi*EpsilonF*Botzman/10^8*J77*((D77+273)^4-(E77+273)^4)</f>
        <v>17957.337564580346</v>
      </c>
      <c r="H77" s="23">
        <f t="shared" si="9"/>
        <v>543.13222769584411</v>
      </c>
      <c r="I77" s="12">
        <f>ksh*Massivete/(H77*RhoA)*DeltaT*(F77+G77)</f>
        <v>4.6638392818771708</v>
      </c>
      <c r="J77" s="3">
        <f>IF(E77&lt;=500,IF(Galva=Oui,0.35,0.7),0.7)</f>
        <v>0.7</v>
      </c>
    </row>
    <row r="78" spans="2:10" x14ac:dyDescent="0.25">
      <c r="B78" s="3">
        <f>B77+DeltaT</f>
        <v>305</v>
      </c>
      <c r="C78" s="13">
        <f t="shared" si="0"/>
        <v>5.083333333333333</v>
      </c>
      <c r="D78" s="11">
        <f t="shared" si="1"/>
        <v>578.82712160949586</v>
      </c>
      <c r="E78" s="23">
        <f t="shared" si="8"/>
        <v>242.54286325215793</v>
      </c>
      <c r="F78" s="23">
        <f>AlphaC*(D78-E78)</f>
        <v>8407.1064589334492</v>
      </c>
      <c r="G78" s="13">
        <f>Phi*EpsilonF*Botzman/10^8*J78*((D78+273)^4-(E78+273)^4)</f>
        <v>18093.388863740431</v>
      </c>
      <c r="H78" s="23">
        <f t="shared" si="9"/>
        <v>544.74306985589317</v>
      </c>
      <c r="I78" s="12">
        <f>ksh*Massivete/(H78*RhoA)*DeltaT*(F78+G78)</f>
        <v>4.6641056251752175</v>
      </c>
      <c r="J78" s="3">
        <f>IF(E78&lt;=500,IF(Galva=Oui,0.35,0.7),0.7)</f>
        <v>0.7</v>
      </c>
    </row>
    <row r="79" spans="2:10" x14ac:dyDescent="0.25">
      <c r="B79" s="3">
        <f>B78+DeltaT</f>
        <v>310</v>
      </c>
      <c r="C79" s="13">
        <f t="shared" si="0"/>
        <v>5.166666666666667</v>
      </c>
      <c r="D79" s="11">
        <f t="shared" si="1"/>
        <v>581.2054508515215</v>
      </c>
      <c r="E79" s="23">
        <f t="shared" si="8"/>
        <v>247.20696887733314</v>
      </c>
      <c r="F79" s="23">
        <f>AlphaC*(D79-E79)</f>
        <v>8349.96204935471</v>
      </c>
      <c r="G79" s="13">
        <f>Phi*EpsilonF*Botzman/10^8*J79*((D79+273)^4-(E79+273)^4)</f>
        <v>18224.902851665389</v>
      </c>
      <c r="H79" s="23">
        <f t="shared" si="9"/>
        <v>546.35075563998146</v>
      </c>
      <c r="I79" s="12">
        <f>ksh*Massivete/(H79*RhoA)*DeltaT*(F79+G79)</f>
        <v>4.6634316604776576</v>
      </c>
      <c r="J79" s="3">
        <f>IF(E79&lt;=500,IF(Galva=Oui,0.35,0.7),0.7)</f>
        <v>0.7</v>
      </c>
    </row>
    <row r="80" spans="2:10" x14ac:dyDescent="0.25">
      <c r="B80" s="3">
        <f>B79+DeltaT</f>
        <v>315</v>
      </c>
      <c r="C80" s="13">
        <f t="shared" si="0"/>
        <v>5.25</v>
      </c>
      <c r="D80" s="11">
        <f t="shared" si="1"/>
        <v>583.5466171749573</v>
      </c>
      <c r="E80" s="23">
        <f t="shared" si="8"/>
        <v>251.87040053781081</v>
      </c>
      <c r="F80" s="23">
        <f>AlphaC*(D80-E80)</f>
        <v>8291.9054159286625</v>
      </c>
      <c r="G80" s="13">
        <f>Phi*EpsilonF*Botzman/10^8*J80*((D80+273)^4-(E80+273)^4)</f>
        <v>18351.886274351</v>
      </c>
      <c r="H80" s="23">
        <f t="shared" si="9"/>
        <v>547.95631245154789</v>
      </c>
      <c r="I80" s="12">
        <f>ksh*Massivete/(H80*RhoA)*DeltaT*(F80+G80)</f>
        <v>4.6618274494622973</v>
      </c>
      <c r="J80" s="3">
        <f>IF(E80&lt;=500,IF(Galva=Oui,0.35,0.7),0.7)</f>
        <v>0.7</v>
      </c>
    </row>
    <row r="81" spans="2:10" x14ac:dyDescent="0.25">
      <c r="B81" s="3">
        <f>B80+DeltaT</f>
        <v>320</v>
      </c>
      <c r="C81" s="13">
        <f t="shared" si="0"/>
        <v>5.333333333333333</v>
      </c>
      <c r="D81" s="11">
        <f t="shared" si="1"/>
        <v>585.85176412295505</v>
      </c>
      <c r="E81" s="23">
        <f t="shared" si="8"/>
        <v>256.53222798727313</v>
      </c>
      <c r="F81" s="23">
        <f>AlphaC*(D81-E81)</f>
        <v>8232.988403392048</v>
      </c>
      <c r="G81" s="13">
        <f>Phi*EpsilonF*Botzman/10^8*J81*((D81+273)^4-(E81+273)^4)</f>
        <v>18474.346320363798</v>
      </c>
      <c r="H81" s="23">
        <f t="shared" si="9"/>
        <v>549.56077151556622</v>
      </c>
      <c r="I81" s="12">
        <f>ksh*Massivete/(H81*RhoA)*DeltaT*(F81+G81)</f>
        <v>4.6593026825807176</v>
      </c>
      <c r="J81" s="3">
        <f>IF(E81&lt;=500,IF(Galva=Oui,0.35,0.7),0.7)</f>
        <v>0.7</v>
      </c>
    </row>
    <row r="82" spans="2:10" x14ac:dyDescent="0.25">
      <c r="B82" s="3">
        <f>B81+DeltaT</f>
        <v>325</v>
      </c>
      <c r="C82" s="13">
        <f t="shared" ref="C82:C145" si="10">B82/60</f>
        <v>5.416666666666667</v>
      </c>
      <c r="D82" s="11">
        <f t="shared" ref="D82:D145" si="11">20+345*LOG(8*C82+1,10)</f>
        <v>588.12198325536099</v>
      </c>
      <c r="E82" s="23">
        <f t="shared" si="8"/>
        <v>261.19153066985388</v>
      </c>
      <c r="F82" s="23">
        <f>AlphaC*(D82-E82)</f>
        <v>8173.261314637678</v>
      </c>
      <c r="G82" s="13">
        <f>Phi*EpsilonF*Botzman/10^8*J82*((D82+273)^4-(E82+273)^4)</f>
        <v>18592.290753039957</v>
      </c>
      <c r="H82" s="23">
        <f t="shared" si="9"/>
        <v>551.16516504410208</v>
      </c>
      <c r="I82" s="12">
        <f>ksh*Massivete/(H82*RhoA)*DeltaT*(F82+G82)</f>
        <v>4.6558667652618038</v>
      </c>
      <c r="J82" s="3">
        <f>IF(E82&lt;=500,IF(Galva=Oui,0.35,0.7),0.7)</f>
        <v>0.7</v>
      </c>
    </row>
    <row r="83" spans="2:10" x14ac:dyDescent="0.25">
      <c r="B83" s="3">
        <f>B82+DeltaT</f>
        <v>330</v>
      </c>
      <c r="C83" s="13">
        <f t="shared" si="10"/>
        <v>5.5</v>
      </c>
      <c r="D83" s="11">
        <f t="shared" si="11"/>
        <v>590.35831725249352</v>
      </c>
      <c r="E83" s="23">
        <f t="shared" si="8"/>
        <v>265.84739743511568</v>
      </c>
      <c r="F83" s="23">
        <f>AlphaC*(D83-E83)</f>
        <v>8112.7729954344459</v>
      </c>
      <c r="G83" s="13">
        <f>Phi*EpsilonF*Botzman/10^8*J83*((D83+273)^4-(E83+273)^4)</f>
        <v>18705.728037734527</v>
      </c>
      <c r="H83" s="23">
        <f t="shared" si="9"/>
        <v>552.77052347926428</v>
      </c>
      <c r="I83" s="12">
        <f>ksh*Massivete/(H83*RhoA)*DeltaT*(F83+G83)</f>
        <v>4.6515288992398043</v>
      </c>
      <c r="J83" s="3">
        <f>IF(E83&lt;=500,IF(Galva=Oui,0.35,0.7),0.7)</f>
        <v>0.7</v>
      </c>
    </row>
    <row r="84" spans="2:10" x14ac:dyDescent="0.25">
      <c r="B84" s="3">
        <f>B83+DeltaT</f>
        <v>335</v>
      </c>
      <c r="C84" s="13">
        <f t="shared" si="10"/>
        <v>5.583333333333333</v>
      </c>
      <c r="D84" s="11">
        <f t="shared" si="11"/>
        <v>592.56176279067665</v>
      </c>
      <c r="E84" s="23">
        <f t="shared" si="8"/>
        <v>270.49892633435547</v>
      </c>
      <c r="F84" s="23">
        <f>AlphaC*(D84-E84)</f>
        <v>8051.5709114080291</v>
      </c>
      <c r="G84" s="13">
        <f>Phi*EpsilonF*Botzman/10^8*J84*((D84+273)^4-(E84+273)^4)</f>
        <v>18814.667464016078</v>
      </c>
      <c r="H84" s="23">
        <f t="shared" si="9"/>
        <v>554.37787281369265</v>
      </c>
      <c r="I84" s="12">
        <f>ksh*Massivete/(H84*RhoA)*DeltaT*(F84+G84)</f>
        <v>4.6462981591277712</v>
      </c>
      <c r="J84" s="3">
        <f>IF(E84&lt;=500,IF(Galva=Oui,0.35,0.7),0.7)</f>
        <v>0.7</v>
      </c>
    </row>
    <row r="85" spans="2:10" x14ac:dyDescent="0.25">
      <c r="B85" s="3">
        <f>B84+DeltaT</f>
        <v>340</v>
      </c>
      <c r="C85" s="13">
        <f t="shared" si="10"/>
        <v>5.666666666666667</v>
      </c>
      <c r="D85" s="11">
        <f t="shared" si="11"/>
        <v>594.73327320937915</v>
      </c>
      <c r="E85" s="23">
        <f t="shared" si="8"/>
        <v>275.14522449348323</v>
      </c>
      <c r="F85" s="23">
        <f>AlphaC*(D85-E85)</f>
        <v>7989.7012178973982</v>
      </c>
      <c r="G85" s="13">
        <f>Phi*EpsilonF*Botzman/10^8*J85*((D85+273)^4-(E85+273)^4)</f>
        <v>18919.119262681903</v>
      </c>
      <c r="H85" s="23">
        <f t="shared" si="9"/>
        <v>555.98823198927505</v>
      </c>
      <c r="I85" s="12">
        <f>ksh*Massivete/(H85*RhoA)*DeltaT*(F85+G85)</f>
        <v>4.6401835643341425</v>
      </c>
      <c r="J85" s="3">
        <f>IF(E85&lt;=500,IF(Galva=Oui,0.35,0.7),0.7)</f>
        <v>0.7</v>
      </c>
    </row>
    <row r="86" spans="2:10" x14ac:dyDescent="0.25">
      <c r="B86" s="3">
        <f>B85+DeltaT</f>
        <v>345</v>
      </c>
      <c r="C86" s="13">
        <f t="shared" si="10"/>
        <v>5.75</v>
      </c>
      <c r="D86" s="11">
        <f t="shared" si="11"/>
        <v>596.87376098782249</v>
      </c>
      <c r="E86" s="23">
        <f t="shared" si="8"/>
        <v>279.78540805781739</v>
      </c>
      <c r="F86" s="23">
        <f>AlphaC*(D86-E86)</f>
        <v>7927.2088232501274</v>
      </c>
      <c r="G86" s="13">
        <f>Phi*EpsilonF*Botzman/10^8*J86*((D86+273)^4-(E86+273)^4)</f>
        <v>19019.094717452594</v>
      </c>
      <c r="H86" s="23">
        <f t="shared" si="9"/>
        <v>557.60261037526561</v>
      </c>
      <c r="I86" s="12">
        <f>ksh*Massivete/(H86*RhoA)*DeltaT*(F86+G86)</f>
        <v>4.6331941464006814</v>
      </c>
      <c r="J86" s="3">
        <f>IF(E86&lt;=500,IF(Galva=Oui,0.35,0.7),0.7)</f>
        <v>0.7</v>
      </c>
    </row>
    <row r="87" spans="2:10" x14ac:dyDescent="0.25">
      <c r="B87" s="3">
        <f>B86+DeltaT</f>
        <v>350</v>
      </c>
      <c r="C87" s="13">
        <f t="shared" si="10"/>
        <v>5.833333333333333</v>
      </c>
      <c r="D87" s="11">
        <f t="shared" si="11"/>
        <v>598.98410004716266</v>
      </c>
      <c r="E87" s="23">
        <f t="shared" si="8"/>
        <v>284.41860220421808</v>
      </c>
      <c r="F87" s="23">
        <f>AlphaC*(D87-E87)</f>
        <v>7864.1374460736142</v>
      </c>
      <c r="G87" s="13">
        <f>Phi*EpsilonF*Botzman/10^8*J87*((D87+273)^4-(E87+273)^4)</f>
        <v>19114.606271192824</v>
      </c>
      <c r="H87" s="23">
        <f t="shared" si="9"/>
        <v>559.22200532740885</v>
      </c>
      <c r="I87" s="12">
        <f>ksh*Massivete/(H87*RhoA)*DeltaT*(F87+G87)</f>
        <v>4.6253390118239537</v>
      </c>
      <c r="J87" s="3">
        <f>IF(E87&lt;=500,IF(Galva=Oui,0.35,0.7),0.7)</f>
        <v>0.7</v>
      </c>
    </row>
    <row r="88" spans="2:10" x14ac:dyDescent="0.25">
      <c r="B88" s="3">
        <f>B87+DeltaT</f>
        <v>355</v>
      </c>
      <c r="C88" s="13">
        <f t="shared" si="10"/>
        <v>5.916666666666667</v>
      </c>
      <c r="D88" s="11">
        <f t="shared" si="11"/>
        <v>601.0651278927827</v>
      </c>
      <c r="E88" s="23">
        <f t="shared" si="8"/>
        <v>289.04394121604201</v>
      </c>
      <c r="F88" s="23">
        <f>AlphaC*(D88-E88)</f>
        <v>7800.5296669185173</v>
      </c>
      <c r="G88" s="13">
        <f>Phi*EpsilonF*Botzman/10^8*J88*((D88+273)^4-(E88+273)^4)</f>
        <v>19205.667626495742</v>
      </c>
      <c r="H88" s="23">
        <f t="shared" si="9"/>
        <v>560.84739983004943</v>
      </c>
      <c r="I88" s="12">
        <f>ksh*Massivete/(H88*RhoA)*DeltaT*(F88+G88)</f>
        <v>4.6166274004094889</v>
      </c>
      <c r="J88" s="3">
        <f>IF(E88&lt;=500,IF(Galva=Oui,0.35,0.7),0.7)</f>
        <v>0.7</v>
      </c>
    </row>
    <row r="89" spans="2:10" x14ac:dyDescent="0.25">
      <c r="B89" s="3">
        <f>B88+DeltaT</f>
        <v>360</v>
      </c>
      <c r="C89" s="13">
        <f t="shared" si="10"/>
        <v>6</v>
      </c>
      <c r="D89" s="11">
        <f t="shared" si="11"/>
        <v>603.11764760983715</v>
      </c>
      <c r="E89" s="23">
        <f t="shared" si="8"/>
        <v>293.66056861645149</v>
      </c>
      <c r="F89" s="23">
        <f>AlphaC*(D89-E89)</f>
        <v>7736.4269748346414</v>
      </c>
      <c r="G89" s="13">
        <f>Phi*EpsilonF*Botzman/10^8*J89*((D89+273)^4-(E89+273)^4)</f>
        <v>19292.29384046308</v>
      </c>
      <c r="H89" s="23">
        <f t="shared" si="9"/>
        <v>562.47976022351395</v>
      </c>
      <c r="I89" s="12">
        <f>ksh*Massivete/(H89*RhoA)*DeltaT*(F89+G89)</f>
        <v>4.6070687391979792</v>
      </c>
      <c r="J89" s="3">
        <f>IF(E89&lt;=500,IF(Galva=Oui,0.35,0.7),0.7)</f>
        <v>0.7</v>
      </c>
    </row>
    <row r="90" spans="2:10" x14ac:dyDescent="0.25">
      <c r="B90" s="3">
        <f>B89+DeltaT</f>
        <v>365</v>
      </c>
      <c r="C90" s="13">
        <f t="shared" si="10"/>
        <v>6.083333333333333</v>
      </c>
      <c r="D90" s="11">
        <f t="shared" si="11"/>
        <v>605.14242972395095</v>
      </c>
      <c r="E90" s="23">
        <f t="shared" si="8"/>
        <v>298.26763735564947</v>
      </c>
      <c r="F90" s="23">
        <f>AlphaC*(D90-E90)</f>
        <v>7671.8698092075374</v>
      </c>
      <c r="G90" s="13">
        <f>Phi*EpsilonF*Botzman/10^8*J90*((D90+273)^4-(E90+273)^4)</f>
        <v>19374.501413511211</v>
      </c>
      <c r="H90" s="23">
        <f t="shared" si="9"/>
        <v>564.1200340193169</v>
      </c>
      <c r="I90" s="12">
        <f>ksh*Massivete/(H90*RhoA)*DeltaT*(F90+G90)</f>
        <v>4.5966726919958951</v>
      </c>
      <c r="J90" s="3">
        <f>IF(E90&lt;=500,IF(Galva=Oui,0.35,0.7),0.7)</f>
        <v>0.7</v>
      </c>
    </row>
    <row r="91" spans="2:10" x14ac:dyDescent="0.25">
      <c r="B91" s="3">
        <f>B90+DeltaT</f>
        <v>370</v>
      </c>
      <c r="C91" s="13">
        <f t="shared" si="10"/>
        <v>6.166666666666667</v>
      </c>
      <c r="D91" s="11">
        <f t="shared" si="11"/>
        <v>607.14021393785993</v>
      </c>
      <c r="E91" s="23">
        <f t="shared" si="8"/>
        <v>302.86431004764535</v>
      </c>
      <c r="F91" s="23">
        <f>AlphaC*(D91-E91)</f>
        <v>7606.8975972553644</v>
      </c>
      <c r="G91" s="13">
        <f>Phi*EpsilonF*Botzman/10^8*J91*((D91+273)^4-(E91+273)^4)</f>
        <v>19452.308372034546</v>
      </c>
      <c r="H91" s="23">
        <f t="shared" si="9"/>
        <v>565.76914780593233</v>
      </c>
      <c r="I91" s="12">
        <f>ksh*Massivete/(H91*RhoA)*DeltaT*(F91+G91)</f>
        <v>4.585449204538758</v>
      </c>
      <c r="J91" s="3">
        <f>IF(E91&lt;=500,IF(Galva=Oui,0.35,0.7),0.7)</f>
        <v>0.7</v>
      </c>
    </row>
    <row r="92" spans="2:10" x14ac:dyDescent="0.25">
      <c r="B92" s="3">
        <f>B91+DeltaT</f>
        <v>375</v>
      </c>
      <c r="C92" s="13">
        <f t="shared" si="10"/>
        <v>6.25</v>
      </c>
      <c r="D92" s="11">
        <f t="shared" si="11"/>
        <v>609.11171075378797</v>
      </c>
      <c r="E92" s="23">
        <f t="shared" si="8"/>
        <v>307.44975925218409</v>
      </c>
      <c r="F92" s="23">
        <f>AlphaC*(D92-E92)</f>
        <v>7541.5487875400968</v>
      </c>
      <c r="G92" s="13">
        <f>Phi*EpsilonF*Botzman/10^8*J92*((D92+273)^4-(E92+273)^4)</f>
        <v>19525.734344762033</v>
      </c>
      <c r="H92" s="23">
        <f t="shared" si="9"/>
        <v>567.42800524801953</v>
      </c>
      <c r="I92" s="12">
        <f>ksh*Massivete/(H92*RhoA)*DeltaT*(F92+G92)</f>
        <v>4.5734085453135949</v>
      </c>
      <c r="J92" s="3">
        <f>IF(E92&lt;=500,IF(Galva=Oui,0.35,0.7),0.7)</f>
        <v>0.7</v>
      </c>
    </row>
    <row r="93" spans="2:10" x14ac:dyDescent="0.25">
      <c r="B93" s="3">
        <f>B92+DeltaT</f>
        <v>380</v>
      </c>
      <c r="C93" s="13">
        <f t="shared" si="10"/>
        <v>6.333333333333333</v>
      </c>
      <c r="D93" s="11">
        <f t="shared" si="11"/>
        <v>611.05760299046688</v>
      </c>
      <c r="E93" s="23">
        <f t="shared" si="8"/>
        <v>312.02316779749771</v>
      </c>
      <c r="F93" s="23">
        <f>AlphaC*(D93-E93)</f>
        <v>7475.8608798242294</v>
      </c>
      <c r="G93" s="13">
        <f>Phi*EpsilonF*Botzman/10^8*J93*((D93+273)^4-(E93+273)^4)</f>
        <v>19594.800632650458</v>
      </c>
      <c r="H93" s="23">
        <f t="shared" si="9"/>
        <v>569.09748518206925</v>
      </c>
      <c r="I93" s="12">
        <f>ksh*Massivete/(H93*RhoA)*DeltaT*(F93+G93)</f>
        <v>4.5605613420680662</v>
      </c>
      <c r="J93" s="3">
        <f>IF(E93&lt;=500,IF(Galva=Oui,0.35,0.7),0.7)</f>
        <v>0.7</v>
      </c>
    </row>
    <row r="94" spans="2:10" x14ac:dyDescent="0.25">
      <c r="B94" s="3">
        <f>B93+DeltaT</f>
        <v>385</v>
      </c>
      <c r="C94" s="13">
        <f t="shared" si="10"/>
        <v>6.416666666666667</v>
      </c>
      <c r="D94" s="11">
        <f t="shared" si="11"/>
        <v>612.97854720290206</v>
      </c>
      <c r="E94" s="23">
        <f t="shared" si="8"/>
        <v>316.58372913956578</v>
      </c>
      <c r="F94" s="23">
        <f>AlphaC*(D94-E94)</f>
        <v>7409.870451583407</v>
      </c>
      <c r="G94" s="13">
        <f>Phi*EpsilonF*Botzman/10^8*J94*((D94+273)^4-(E94+273)^4)</f>
        <v>19659.530272168482</v>
      </c>
      <c r="H94" s="23">
        <f t="shared" si="9"/>
        <v>570.77843981146452</v>
      </c>
      <c r="I94" s="12">
        <f>ksh*Massivete/(H94*RhoA)*DeltaT*(F94+G94)</f>
        <v>4.5469186140367119</v>
      </c>
      <c r="J94" s="3">
        <f>IF(E94&lt;=500,IF(Galva=Oui,0.35,0.7),0.7)</f>
        <v>0.7</v>
      </c>
    </row>
    <row r="95" spans="2:10" x14ac:dyDescent="0.25">
      <c r="B95" s="3">
        <f>B94+DeltaT</f>
        <v>390</v>
      </c>
      <c r="C95" s="13">
        <f t="shared" si="10"/>
        <v>6.5</v>
      </c>
      <c r="D95" s="11">
        <f t="shared" si="11"/>
        <v>614.87517501227217</v>
      </c>
      <c r="E95" s="23">
        <f t="shared" si="8"/>
        <v>321.13064775360249</v>
      </c>
      <c r="F95" s="23">
        <f>AlphaC*(D95-E95)</f>
        <v>7343.6131814667424</v>
      </c>
      <c r="G95" s="13">
        <f>Phi*EpsilonF*Botzman/10^8*J95*((D95+273)^4-(E95+273)^4)</f>
        <v>19719.9480918388</v>
      </c>
      <c r="H95" s="23">
        <f t="shared" si="9"/>
        <v>572.47169300392216</v>
      </c>
      <c r="I95" s="12">
        <f>ksh*Massivete/(H95*RhoA)*DeltaT*(F95+G95)</f>
        <v>4.5324917999198933</v>
      </c>
      <c r="J95" s="3">
        <f>IF(E95&lt;=500,IF(Galva=Oui,0.35,0.7),0.7)</f>
        <v>0.7</v>
      </c>
    </row>
    <row r="96" spans="2:10" x14ac:dyDescent="0.25">
      <c r="B96" s="3">
        <f>B95+DeltaT</f>
        <v>395</v>
      </c>
      <c r="C96" s="13">
        <f t="shared" si="10"/>
        <v>6.583333333333333</v>
      </c>
      <c r="D96" s="11">
        <f t="shared" si="11"/>
        <v>616.74809435270447</v>
      </c>
      <c r="E96" s="23">
        <f t="shared" si="8"/>
        <v>325.6631395535224</v>
      </c>
      <c r="F96" s="23">
        <f>AlphaC*(D96-E96)</f>
        <v>7277.1238699795522</v>
      </c>
      <c r="G96" s="13">
        <f>Phi*EpsilonF*Botzman/10^8*J96*((D96+273)^4-(E96+273)^4)</f>
        <v>19776.080761922141</v>
      </c>
      <c r="H96" s="23">
        <f t="shared" si="9"/>
        <v>574.17803869419595</v>
      </c>
      <c r="I96" s="12">
        <f>ksh*Massivete/(H96*RhoA)*DeltaT*(F96+G96)</f>
        <v>4.517292781658039</v>
      </c>
      <c r="J96" s="3">
        <f>IF(E96&lt;=500,IF(Galva=Oui,0.35,0.7),0.7)</f>
        <v>0.7</v>
      </c>
    </row>
    <row r="97" spans="2:10" x14ac:dyDescent="0.25">
      <c r="B97" s="3">
        <f>B96+DeltaT</f>
        <v>400</v>
      </c>
      <c r="C97" s="13">
        <f t="shared" si="10"/>
        <v>6.666666666666667</v>
      </c>
      <c r="D97" s="11">
        <f t="shared" si="11"/>
        <v>618.5978906410819</v>
      </c>
      <c r="E97" s="23">
        <f t="shared" si="8"/>
        <v>330.18043233518046</v>
      </c>
      <c r="F97" s="23">
        <f>AlphaC*(D97-E97)</f>
        <v>7210.4364576475364</v>
      </c>
      <c r="G97" s="13">
        <f>Phi*EpsilonF*Botzman/10^8*J97*((D97+273)^4-(E97+273)^4)</f>
        <v>19827.956837144506</v>
      </c>
      <c r="H97" s="23">
        <f t="shared" si="9"/>
        <v>575.89823939478981</v>
      </c>
      <c r="I97" s="12">
        <f>ksh*Massivete/(H97*RhoA)*DeltaT*(F97+G97)</f>
        <v>4.5013339040522844</v>
      </c>
      <c r="J97" s="3">
        <f>IF(E97&lt;=500,IF(Galva=Oui,0.35,0.7),0.7)</f>
        <v>0.7</v>
      </c>
    </row>
    <row r="98" spans="2:10" x14ac:dyDescent="0.25">
      <c r="B98" s="3">
        <f>B97+DeltaT</f>
        <v>405</v>
      </c>
      <c r="C98" s="13">
        <f t="shared" si="10"/>
        <v>6.75</v>
      </c>
      <c r="D98" s="11">
        <f t="shared" si="11"/>
        <v>620.42512787551414</v>
      </c>
      <c r="E98" s="23">
        <f t="shared" si="8"/>
        <v>334.68176623923273</v>
      </c>
      <c r="F98" s="23">
        <f>AlphaC*(D98-E98)</f>
        <v>7143.5840409070352</v>
      </c>
      <c r="G98" s="13">
        <f>Phi*EpsilonF*Botzman/10^8*J98*((D98+273)^4-(E98+273)^4)</f>
        <v>19875.606792390245</v>
      </c>
      <c r="H98" s="23">
        <f t="shared" si="9"/>
        <v>577.63302481724702</v>
      </c>
      <c r="I98" s="12">
        <f>ksh*Massivete/(H98*RhoA)*DeltaT*(F98+G98)</f>
        <v>4.4846279902926272</v>
      </c>
      <c r="J98" s="3">
        <f>IF(E98&lt;=500,IF(Galva=Oui,0.35,0.7),0.7)</f>
        <v>0.7</v>
      </c>
    </row>
    <row r="99" spans="2:10" x14ac:dyDescent="0.25">
      <c r="B99" s="3">
        <f>B98+DeltaT</f>
        <v>410</v>
      </c>
      <c r="C99" s="13">
        <f t="shared" si="10"/>
        <v>6.833333333333333</v>
      </c>
      <c r="D99" s="11">
        <f t="shared" si="11"/>
        <v>622.23034966763259</v>
      </c>
      <c r="E99" s="23">
        <f t="shared" si="8"/>
        <v>339.16639422952534</v>
      </c>
      <c r="F99" s="23">
        <f>AlphaC*(D99-E99)</f>
        <v>7076.5988859526815</v>
      </c>
      <c r="G99" s="13">
        <f>Phi*EpsilonF*Botzman/10^8*J99*((D99+273)^4-(E99+273)^4)</f>
        <v>19919.063051306057</v>
      </c>
      <c r="H99" s="23">
        <f t="shared" si="9"/>
        <v>579.38309060634924</v>
      </c>
      <c r="I99" s="12">
        <f>ksh*Massivete/(H99*RhoA)*DeltaT*(F99+G99)</f>
        <v>4.467188353466006</v>
      </c>
      <c r="J99" s="3">
        <f>IF(E99&lt;=500,IF(Galva=Oui,0.35,0.7),0.7)</f>
        <v>0.7</v>
      </c>
    </row>
    <row r="100" spans="2:10" x14ac:dyDescent="0.25">
      <c r="B100" s="3">
        <f>B99+DeltaT</f>
        <v>415</v>
      </c>
      <c r="C100" s="13">
        <f t="shared" si="10"/>
        <v>6.916666666666667</v>
      </c>
      <c r="D100" s="11">
        <f t="shared" si="11"/>
        <v>624.01408021343377</v>
      </c>
      <c r="E100" s="23">
        <f t="shared" si="8"/>
        <v>343.63358258299132</v>
      </c>
      <c r="F100" s="23">
        <f>AlphaC*(D100-E100)</f>
        <v>7009.512440761061</v>
      </c>
      <c r="G100" s="13">
        <f>Phi*EpsilonF*Botzman/10^8*J100*((D100+273)^4-(E100+273)^4)</f>
        <v>19958.360007784988</v>
      </c>
      <c r="H100" s="23">
        <f t="shared" si="9"/>
        <v>581.14909718929039</v>
      </c>
      <c r="I100" s="12">
        <f>ksh*Massivete/(H100*RhoA)*DeltaT*(F100+G100)</f>
        <v>4.4490288041287087</v>
      </c>
      <c r="J100" s="3">
        <f>IF(E100&lt;=500,IF(Galva=Oui,0.35,0.7),0.7)</f>
        <v>0.7</v>
      </c>
    </row>
    <row r="101" spans="2:10" x14ac:dyDescent="0.25">
      <c r="B101" s="3">
        <f>B100+DeltaT</f>
        <v>420</v>
      </c>
      <c r="C101" s="13">
        <f t="shared" si="10"/>
        <v>7</v>
      </c>
      <c r="D101" s="11">
        <f t="shared" si="11"/>
        <v>625.77682520700944</v>
      </c>
      <c r="E101" s="23">
        <f t="shared" si="8"/>
        <v>348.08261138712004</v>
      </c>
      <c r="F101" s="23">
        <f>AlphaC*(D101-E101)</f>
        <v>6942.3553454972352</v>
      </c>
      <c r="G101" s="13">
        <f>Phi*EpsilonF*Botzman/10^8*J101*((D101+273)^4-(E101+273)^4)</f>
        <v>19993.534040325208</v>
      </c>
      <c r="H101" s="23">
        <f t="shared" si="9"/>
        <v>582.931668741576</v>
      </c>
      <c r="I101" s="12">
        <f>ksh*Massivete/(H101*RhoA)*DeltaT*(F101+G101)</f>
        <v>4.4301636540403511</v>
      </c>
      <c r="J101" s="3">
        <f>IF(E101&lt;=500,IF(Galva=Oui,0.35,0.7),0.7)</f>
        <v>0.7</v>
      </c>
    </row>
    <row r="102" spans="2:10" x14ac:dyDescent="0.25">
      <c r="B102" s="3">
        <f>B101+DeltaT</f>
        <v>425</v>
      </c>
      <c r="C102" s="13">
        <f t="shared" si="10"/>
        <v>7.083333333333333</v>
      </c>
      <c r="D102" s="11">
        <f t="shared" si="11"/>
        <v>627.51907270115089</v>
      </c>
      <c r="E102" s="23">
        <f t="shared" si="8"/>
        <v>352.51277504116041</v>
      </c>
      <c r="F102" s="23">
        <f>AlphaC*(D102-E102)</f>
        <v>6875.1574414997622</v>
      </c>
      <c r="G102" s="13">
        <f>Phi*EpsilonF*Botzman/10^8*J102*((D102+273)^4-(E102+273)^4)</f>
        <v>20024.623519285884</v>
      </c>
      <c r="H102" s="23">
        <f t="shared" si="9"/>
        <v>584.73139227105719</v>
      </c>
      <c r="I102" s="12">
        <f>ksh*Massivete/(H102*RhoA)*DeltaT*(F102+G102)</f>
        <v>4.410607716170154</v>
      </c>
      <c r="J102" s="3">
        <f>IF(E102&lt;=500,IF(Galva=Oui,0.35,0.7),0.7)</f>
        <v>0.7</v>
      </c>
    </row>
    <row r="103" spans="2:10" x14ac:dyDescent="0.25">
      <c r="B103" s="3">
        <f>B102+DeltaT</f>
        <v>430</v>
      </c>
      <c r="C103" s="13">
        <f t="shared" si="10"/>
        <v>7.166666666666667</v>
      </c>
      <c r="D103" s="11">
        <f t="shared" si="11"/>
        <v>629.24129391848794</v>
      </c>
      <c r="E103" s="23">
        <f t="shared" si="8"/>
        <v>356.92338275733056</v>
      </c>
      <c r="F103" s="23">
        <f>AlphaC*(D103-E103)</f>
        <v>6807.9477790289347</v>
      </c>
      <c r="G103" s="13">
        <f>Phi*EpsilonF*Botzman/10^8*J103*((D103+273)^4-(E103+273)^4)</f>
        <v>20051.66880708898</v>
      </c>
      <c r="H103" s="23">
        <f t="shared" si="9"/>
        <v>586.5488168211258</v>
      </c>
      <c r="I103" s="12">
        <f>ksh*Massivete/(H103*RhoA)*DeltaT*(F103+G103)</f>
        <v>4.390376301099459</v>
      </c>
      <c r="J103" s="3">
        <f>IF(E103&lt;=500,IF(Galva=Oui,0.35,0.7),0.7)</f>
        <v>0.7</v>
      </c>
    </row>
    <row r="104" spans="2:10" x14ac:dyDescent="0.25">
      <c r="B104" s="3">
        <f>B103+DeltaT</f>
        <v>435</v>
      </c>
      <c r="C104" s="13">
        <f t="shared" si="10"/>
        <v>7.25</v>
      </c>
      <c r="D104" s="11">
        <f t="shared" si="11"/>
        <v>630.94394401653972</v>
      </c>
      <c r="E104" s="23">
        <f t="shared" si="8"/>
        <v>361.31375905843004</v>
      </c>
      <c r="F104" s="23">
        <f>AlphaC*(D104-E104)</f>
        <v>6740.7546239527419</v>
      </c>
      <c r="G104" s="13">
        <f>Phi*EpsilonF*Botzman/10^8*J104*((D104+273)^4-(E104+273)^4)</f>
        <v>20074.712251445424</v>
      </c>
      <c r="H104" s="23">
        <f t="shared" si="9"/>
        <v>588.38445279369671</v>
      </c>
      <c r="I104" s="12">
        <f>ksh*Massivete/(H104*RhoA)*DeltaT*(F104+G104)</f>
        <v>4.369485209958242</v>
      </c>
      <c r="J104" s="3">
        <f>IF(E104&lt;=500,IF(Galva=Oui,0.35,0.7),0.7)</f>
        <v>0.7</v>
      </c>
    </row>
    <row r="105" spans="2:10" x14ac:dyDescent="0.25">
      <c r="B105" s="3">
        <f>B104+DeltaT</f>
        <v>440</v>
      </c>
      <c r="C105" s="13">
        <f t="shared" si="10"/>
        <v>7.333333333333333</v>
      </c>
      <c r="D105" s="11">
        <f t="shared" si="11"/>
        <v>632.62746280977956</v>
      </c>
      <c r="E105" s="23">
        <f t="shared" si="8"/>
        <v>365.68324426838831</v>
      </c>
      <c r="F105" s="23">
        <f>AlphaC*(D105-E105)</f>
        <v>6673.6054635347809</v>
      </c>
      <c r="G105" s="13">
        <f>Phi*EpsilonF*Botzman/10^8*J105*((D105+273)^4-(E105+273)^4)</f>
        <v>20093.798171711471</v>
      </c>
      <c r="H105" s="23">
        <f t="shared" si="9"/>
        <v>590.23877139218143</v>
      </c>
      <c r="I105" s="12">
        <f>ksh*Massivete/(H105*RhoA)*DeltaT*(F105+G105)</f>
        <v>4.347950724046366</v>
      </c>
      <c r="J105" s="3">
        <f>IF(E105&lt;=500,IF(Galva=Oui,0.35,0.7),0.7)</f>
        <v>0.7</v>
      </c>
    </row>
    <row r="106" spans="2:10" x14ac:dyDescent="0.25">
      <c r="B106" s="3">
        <f>B105+DeltaT</f>
        <v>445</v>
      </c>
      <c r="C106" s="13">
        <f t="shared" si="10"/>
        <v>7.416666666666667</v>
      </c>
      <c r="D106" s="11">
        <f t="shared" si="11"/>
        <v>634.29227545158506</v>
      </c>
      <c r="E106" s="23">
        <f t="shared" ref="E106:E113" si="12">E105+I105</f>
        <v>370.03119499243468</v>
      </c>
      <c r="F106" s="23">
        <f>AlphaC*(D106-E106)</f>
        <v>6606.5270114787591</v>
      </c>
      <c r="G106" s="13">
        <f>Phi*EpsilonF*Botzman/10^8*J106*((D106+273)^4-(E106+273)^4)</f>
        <v>20108.972838510421</v>
      </c>
      <c r="H106" s="23">
        <f t="shared" ref="H106:H113" si="13">IF(E106&lt;600,425+0.773*E106-1.69/1000*E106^2+2.22/1000^2*E106^3,IF(E106&lt;735,666+13002/(738-E106),IF(E106&lt;900,545+17820/(E106-731),650)))</f>
        <v>592.11220418420828</v>
      </c>
      <c r="I106" s="12">
        <f>ksh*Massivete/(H106*RhoA)*DeltaT*(F106+G106)</f>
        <v>4.3257895913033284</v>
      </c>
      <c r="J106" s="3">
        <f>IF(E106&lt;=500,IF(Galva=Oui,0.35,0.7),0.7)</f>
        <v>0.7</v>
      </c>
    </row>
    <row r="107" spans="2:10" x14ac:dyDescent="0.25">
      <c r="B107" s="3">
        <f>B106+DeltaT</f>
        <v>450</v>
      </c>
      <c r="C107" s="13">
        <f t="shared" si="10"/>
        <v>7.5</v>
      </c>
      <c r="D107" s="11">
        <f t="shared" si="11"/>
        <v>635.93879307871464</v>
      </c>
      <c r="E107" s="23">
        <f t="shared" si="12"/>
        <v>374.35698458373798</v>
      </c>
      <c r="F107" s="23">
        <f>AlphaC*(D107-E107)</f>
        <v>6539.5452123744162</v>
      </c>
      <c r="G107" s="13">
        <f>Phi*EpsilonF*Botzman/10^8*J107*((D107+273)^4-(E107+273)^4)</f>
        <v>20120.284446782549</v>
      </c>
      <c r="H107" s="23">
        <f t="shared" si="13"/>
        <v>594.00514278340086</v>
      </c>
      <c r="I107" s="12">
        <f>ksh*Massivete/(H107*RhoA)*DeltaT*(F107+G107)</f>
        <v>4.3030190098021857</v>
      </c>
      <c r="J107" s="3">
        <f>IF(E107&lt;=500,IF(Galva=Oui,0.35,0.7),0.7)</f>
        <v>0.7</v>
      </c>
    </row>
    <row r="108" spans="2:10" x14ac:dyDescent="0.25">
      <c r="B108" s="3">
        <f>B107+DeltaT</f>
        <v>455</v>
      </c>
      <c r="C108" s="13">
        <f t="shared" si="10"/>
        <v>7.583333333333333</v>
      </c>
      <c r="D108" s="11">
        <f t="shared" si="11"/>
        <v>637.56741342075622</v>
      </c>
      <c r="E108" s="23">
        <f t="shared" si="12"/>
        <v>378.66000359354018</v>
      </c>
      <c r="F108" s="23">
        <f>AlphaC*(D108-E108)</f>
        <v>6472.6852456804008</v>
      </c>
      <c r="G108" s="13">
        <f>Phi*EpsilonF*Botzman/10^8*J108*((D108+273)^4-(E108+273)^4)</f>
        <v>20127.783082453781</v>
      </c>
      <c r="H108" s="23">
        <f t="shared" si="13"/>
        <v>595.91793864906026</v>
      </c>
      <c r="I108" s="12">
        <f>ksh*Massivete/(H108*RhoA)*DeltaT*(F108+G108)</f>
        <v>4.2796566084547356</v>
      </c>
      <c r="J108" s="3">
        <f>IF(E108&lt;=500,IF(Galva=Oui,0.35,0.7),0.7)</f>
        <v>0.7</v>
      </c>
    </row>
    <row r="109" spans="2:10" x14ac:dyDescent="0.25">
      <c r="B109" s="3">
        <f>B108+DeltaT</f>
        <v>460</v>
      </c>
      <c r="C109" s="13">
        <f t="shared" si="10"/>
        <v>7.666666666666667</v>
      </c>
      <c r="D109" s="11">
        <f t="shared" si="11"/>
        <v>639.17852137680859</v>
      </c>
      <c r="E109" s="23">
        <f t="shared" si="12"/>
        <v>382.93966020199491</v>
      </c>
      <c r="F109" s="23">
        <f>AlphaC*(D109-E109)</f>
        <v>6405.9715293703421</v>
      </c>
      <c r="G109" s="13">
        <f>Phi*EpsilonF*Botzman/10^8*J109*((D109+273)^4-(E109+273)^4)</f>
        <v>20131.520682940267</v>
      </c>
      <c r="H109" s="23">
        <f t="shared" si="13"/>
        <v>597.85090300213733</v>
      </c>
      <c r="I109" s="12">
        <f>ksh*Massivete/(H109*RhoA)*DeltaT*(F109+G109)</f>
        <v>4.2557204251251504</v>
      </c>
      <c r="J109" s="3">
        <f>IF(E109&lt;=500,IF(Galva=Oui,0.35,0.7),0.7)</f>
        <v>0.7</v>
      </c>
    </row>
    <row r="110" spans="2:10" x14ac:dyDescent="0.25">
      <c r="B110" s="3">
        <f>B109+DeltaT</f>
        <v>465</v>
      </c>
      <c r="C110" s="13">
        <f t="shared" si="10"/>
        <v>7.75</v>
      </c>
      <c r="D110" s="11">
        <f t="shared" si="11"/>
        <v>640.7724895614856</v>
      </c>
      <c r="E110" s="23">
        <f t="shared" si="12"/>
        <v>387.19538062712007</v>
      </c>
      <c r="F110" s="23">
        <f>AlphaC*(D110-E110)</f>
        <v>6339.4277233591383</v>
      </c>
      <c r="G110" s="13">
        <f>Phi*EpsilonF*Botzman/10^8*J110*((D110+273)^4-(E110+273)^4)</f>
        <v>20131.550991731372</v>
      </c>
      <c r="H110" s="23">
        <f t="shared" si="13"/>
        <v>599.80430685543092</v>
      </c>
      <c r="I110" s="12">
        <f>ksh*Massivete/(H110*RhoA)*DeltaT*(F110+G110)</f>
        <v>4.2312288823582618</v>
      </c>
      <c r="J110" s="3">
        <f>IF(E110&lt;=500,IF(Galva=Oui,0.35,0.7),0.7)</f>
        <v>0.7</v>
      </c>
    </row>
    <row r="111" spans="2:10" x14ac:dyDescent="0.25">
      <c r="B111" s="3">
        <f>B110+DeltaT</f>
        <v>470</v>
      </c>
      <c r="C111" s="13">
        <f t="shared" si="10"/>
        <v>7.833333333333333</v>
      </c>
      <c r="D111" s="11">
        <f t="shared" si="11"/>
        <v>642.34967882218234</v>
      </c>
      <c r="E111" s="23">
        <f t="shared" si="12"/>
        <v>391.42660950947834</v>
      </c>
      <c r="F111" s="23">
        <f>AlphaC*(D111-E111)</f>
        <v>6273.0767328175998</v>
      </c>
      <c r="G111" s="13">
        <f>Phi*EpsilonF*Botzman/10^8*J111*((D111+273)^4-(E111+273)^4)</f>
        <v>20127.929507317778</v>
      </c>
      <c r="H111" s="23">
        <f t="shared" si="13"/>
        <v>601.77838115548673</v>
      </c>
      <c r="I111" s="12">
        <f>ksh*Massivete/(H111*RhoA)*DeltaT*(F111+G111)</f>
        <v>4.2062007609364684</v>
      </c>
      <c r="J111" s="3">
        <f>IF(E111&lt;=500,IF(Galva=Oui,0.35,0.7),0.7)</f>
        <v>0.7</v>
      </c>
    </row>
    <row r="112" spans="2:10" x14ac:dyDescent="0.25">
      <c r="B112" s="3">
        <f>B111+DeltaT</f>
        <v>475</v>
      </c>
      <c r="C112" s="13">
        <f t="shared" si="10"/>
        <v>7.916666666666667</v>
      </c>
      <c r="D112" s="11">
        <f t="shared" si="11"/>
        <v>643.91043872939827</v>
      </c>
      <c r="E112" s="23">
        <f t="shared" si="12"/>
        <v>395.63281027041478</v>
      </c>
      <c r="F112" s="23">
        <f>AlphaC*(D112-E112)</f>
        <v>6206.9407114745873</v>
      </c>
      <c r="G112" s="13">
        <f>Phi*EpsilonF*Botzman/10^8*J112*((D112+273)^4-(E112+273)^4)</f>
        <v>20120.713426753337</v>
      </c>
      <c r="H112" s="23">
        <f t="shared" si="13"/>
        <v>603.77331703324842</v>
      </c>
      <c r="I112" s="12">
        <f>ksh*Massivete/(H112*RhoA)*DeltaT*(F112+G112)</f>
        <v>4.1806551714853333</v>
      </c>
      <c r="J112" s="3">
        <f>IF(E112&lt;=500,IF(Galva=Oui,0.35,0.7),0.7)</f>
        <v>0.7</v>
      </c>
    </row>
    <row r="113" spans="2:10" x14ac:dyDescent="0.25">
      <c r="B113" s="3">
        <f>B112+DeltaT</f>
        <v>480</v>
      </c>
      <c r="C113" s="13">
        <f t="shared" si="10"/>
        <v>8</v>
      </c>
      <c r="D113" s="11">
        <f t="shared" si="11"/>
        <v>645.45510804178502</v>
      </c>
      <c r="E113" s="23">
        <f t="shared" si="12"/>
        <v>399.81346544190012</v>
      </c>
      <c r="F113" s="23">
        <f>AlphaC*(D113-E113)</f>
        <v>6141.0410649971227</v>
      </c>
      <c r="G113" s="13">
        <f>Phi*EpsilonF*Botzman/10^8*J113*((D113+273)^4-(E113+273)^4)</f>
        <v>20109.96158416041</v>
      </c>
      <c r="H113" s="23">
        <f t="shared" si="13"/>
        <v>605.78926616008744</v>
      </c>
      <c r="I113" s="12">
        <f>ksh*Massivete/(H113*RhoA)*DeltaT*(F113+G113)</f>
        <v>4.1546115243527959</v>
      </c>
      <c r="J113" s="3">
        <f>IF(E113&lt;=500,IF(Galva=Oui,0.35,0.7),0.7)</f>
        <v>0.7</v>
      </c>
    </row>
    <row r="114" spans="2:10" x14ac:dyDescent="0.25">
      <c r="B114" s="3">
        <f>B113+DeltaT</f>
        <v>485</v>
      </c>
      <c r="C114" s="13">
        <f t="shared" si="10"/>
        <v>8.0833333333333339</v>
      </c>
      <c r="D114" s="11">
        <f t="shared" si="11"/>
        <v>646.98401514746593</v>
      </c>
      <c r="E114" s="23">
        <f t="shared" ref="E114:E177" si="14">E113+I113</f>
        <v>403.96807696625291</v>
      </c>
      <c r="F114" s="23">
        <f>AlphaC*(D114-E114)</f>
        <v>6075.3984545303256</v>
      </c>
      <c r="G114" s="13">
        <f>Phi*EpsilonF*Botzman/10^8*J114*((D114+273)^4-(E114+273)^4)</f>
        <v>20095.734384506315</v>
      </c>
      <c r="H114" s="23">
        <f t="shared" ref="H114:H177" si="15">IF(E114&lt;600,425+0.773*E114-1.69/1000*E114^2+2.22/1000^2*E114^3,IF(E114&lt;735,666+13002/(738-E114),IF(E114&lt;900,545+17820/(E114-731),650)))</f>
        <v>607.82634120544139</v>
      </c>
      <c r="I114" s="12">
        <f>ksh*Massivete/(H114*RhoA)*DeltaT*(F114+G114)</f>
        <v>4.1280894979899534</v>
      </c>
      <c r="J114" s="3">
        <f>IF(E114&lt;=500,IF(Galva=Oui,0.35,0.7),0.7)</f>
        <v>0.7</v>
      </c>
    </row>
    <row r="115" spans="2:10" x14ac:dyDescent="0.25">
      <c r="B115" s="3">
        <f>B114+DeltaT</f>
        <v>490</v>
      </c>
      <c r="C115" s="13">
        <f t="shared" si="10"/>
        <v>8.1666666666666661</v>
      </c>
      <c r="D115" s="11">
        <f t="shared" si="11"/>
        <v>648.49747848306515</v>
      </c>
      <c r="E115" s="23">
        <f t="shared" si="14"/>
        <v>408.09616646424286</v>
      </c>
      <c r="F115" s="23">
        <f>AlphaC*(D115-E115)</f>
        <v>6010.032800470557</v>
      </c>
      <c r="G115" s="13">
        <f>Phi*EpsilonF*Botzman/10^8*J115*((D115+273)^4-(E115+273)^4)</f>
        <v>20078.093732995061</v>
      </c>
      <c r="H115" s="23">
        <f t="shared" si="15"/>
        <v>609.88461639192144</v>
      </c>
      <c r="I115" s="12">
        <f>ksh*Massivete/(H115*RhoA)*DeltaT*(F115+G115)</f>
        <v>4.101109006062936</v>
      </c>
      <c r="J115" s="3">
        <f>IF(E115&lt;=500,IF(Galva=Oui,0.35,0.7),0.7)</f>
        <v>0.7</v>
      </c>
    </row>
    <row r="116" spans="2:10" x14ac:dyDescent="0.25">
      <c r="B116" s="3">
        <f>B115+DeltaT</f>
        <v>495</v>
      </c>
      <c r="C116" s="13">
        <f t="shared" si="10"/>
        <v>8.25</v>
      </c>
      <c r="D116" s="11">
        <f t="shared" si="11"/>
        <v>649.99580693178507</v>
      </c>
      <c r="E116" s="23">
        <f t="shared" si="14"/>
        <v>412.19727547030578</v>
      </c>
      <c r="F116" s="23">
        <f>AlphaC*(D116-E116)</f>
        <v>5944.9632865369822</v>
      </c>
      <c r="G116" s="13">
        <f>Phi*EpsilonF*Botzman/10^8*J116*((D116+273)^4-(E116+273)^4)</f>
        <v>20057.102960432308</v>
      </c>
      <c r="H116" s="23">
        <f t="shared" si="15"/>
        <v>611.96412814340454</v>
      </c>
      <c r="I116" s="12">
        <f>ksh*Massivete/(H116*RhoA)*DeltaT*(F116+G116)</f>
        <v>4.0736901635252192</v>
      </c>
      <c r="J116" s="3">
        <f>IF(E116&lt;=500,IF(Galva=Oui,0.35,0.7),0.7)</f>
        <v>0.7</v>
      </c>
    </row>
    <row r="117" spans="2:10" x14ac:dyDescent="0.25">
      <c r="B117" s="3">
        <f>B116+DeltaT</f>
        <v>500</v>
      </c>
      <c r="C117" s="13">
        <f t="shared" si="10"/>
        <v>8.3333333333333339</v>
      </c>
      <c r="D117" s="11">
        <f t="shared" si="11"/>
        <v>651.47930020177489</v>
      </c>
      <c r="E117" s="23">
        <f t="shared" si="14"/>
        <v>416.270965633831</v>
      </c>
      <c r="F117" s="23">
        <f>AlphaC*(D117-E117)</f>
        <v>5880.2083641985973</v>
      </c>
      <c r="G117" s="13">
        <f>Phi*EpsilonF*Botzman/10^8*J117*((D117+273)^4-(E117+273)^4)</f>
        <v>20032.826744933405</v>
      </c>
      <c r="H117" s="23">
        <f t="shared" si="15"/>
        <v>614.06487582131251</v>
      </c>
      <c r="I117" s="12">
        <f>ksh*Massivete/(H117*RhoA)*DeltaT*(F117+G117)</f>
        <v>4.0458532518780999</v>
      </c>
      <c r="J117" s="3">
        <f>IF(E117&lt;=500,IF(Galva=Oui,0.35,0.7),0.7)</f>
        <v>0.7</v>
      </c>
    </row>
    <row r="118" spans="2:10" x14ac:dyDescent="0.25">
      <c r="B118" s="3">
        <f>B117+DeltaT</f>
        <v>505</v>
      </c>
      <c r="C118" s="13">
        <f t="shared" si="10"/>
        <v>8.4166666666666661</v>
      </c>
      <c r="D118" s="11">
        <f t="shared" si="11"/>
        <v>652.94824918595157</v>
      </c>
      <c r="E118" s="23">
        <f t="shared" si="14"/>
        <v>420.3168188857091</v>
      </c>
      <c r="F118" s="23">
        <f>AlphaC*(D118-E118)</f>
        <v>5815.7857575060616</v>
      </c>
      <c r="G118" s="13">
        <f>Phi*EpsilonF*Botzman/10^8*J118*((D118+273)^4-(E118+273)^4)</f>
        <v>20005.33103035266</v>
      </c>
      <c r="H118" s="23">
        <f t="shared" si="15"/>
        <v>616.18682254400312</v>
      </c>
      <c r="I118" s="12">
        <f>ksh*Massivete/(H118*RhoA)*DeltaT*(F118+G118)</f>
        <v>4.0176186838435832</v>
      </c>
      <c r="J118" s="3">
        <f>IF(E118&lt;=500,IF(Galva=Oui,0.35,0.7),0.7)</f>
        <v>0.7</v>
      </c>
    </row>
    <row r="119" spans="2:10" x14ac:dyDescent="0.25">
      <c r="B119" s="3">
        <f>B118+DeltaT</f>
        <v>510</v>
      </c>
      <c r="C119" s="13">
        <f t="shared" si="10"/>
        <v>8.5</v>
      </c>
      <c r="D119" s="11">
        <f t="shared" si="11"/>
        <v>654.40293630435303</v>
      </c>
      <c r="E119" s="23">
        <f t="shared" si="14"/>
        <v>424.33443756955268</v>
      </c>
      <c r="F119" s="23">
        <f>AlphaC*(D119-E119)</f>
        <v>5751.7124683700085</v>
      </c>
      <c r="G119" s="13">
        <f>Phi*EpsilonF*Botzman/10^8*J119*((D119+273)^4-(E119+273)^4)</f>
        <v>19974.682941819556</v>
      </c>
      <c r="H119" s="23">
        <f t="shared" si="15"/>
        <v>618.32989608395451</v>
      </c>
      <c r="I119" s="12">
        <f>ksh*Massivete/(H119*RhoA)*DeltaT*(F119+G119)</f>
        <v>3.9890069676692872</v>
      </c>
      <c r="J119" s="3">
        <f>IF(E119&lt;=500,IF(Galva=Oui,0.35,0.7),0.7)</f>
        <v>0.7</v>
      </c>
    </row>
    <row r="120" spans="2:10" x14ac:dyDescent="0.25">
      <c r="B120" s="3">
        <f>B119+DeltaT</f>
        <v>515</v>
      </c>
      <c r="C120" s="13">
        <f t="shared" si="10"/>
        <v>8.5833333333333339</v>
      </c>
      <c r="D120" s="11">
        <f t="shared" si="11"/>
        <v>655.84363583003005</v>
      </c>
      <c r="E120" s="23">
        <f t="shared" si="14"/>
        <v>428.32344453722197</v>
      </c>
      <c r="F120" s="23">
        <f>AlphaC*(D120-E120)</f>
        <v>5688.0047823202021</v>
      </c>
      <c r="G120" s="13">
        <f>Phi*EpsilonF*Botzman/10^8*J120*((D120+273)^4-(E120+273)^4)</f>
        <v>19940.950698770394</v>
      </c>
      <c r="H120" s="23">
        <f t="shared" si="15"/>
        <v>620.4939898372179</v>
      </c>
      <c r="I120" s="12">
        <f>ksh*Massivete/(H120*RhoA)*DeltaT*(F120+G120)</f>
        <v>3.9600386712784665</v>
      </c>
      <c r="J120" s="3">
        <f>IF(E120&lt;=500,IF(Galva=Oui,0.35,0.7),0.7)</f>
        <v>0.7</v>
      </c>
    </row>
    <row r="121" spans="2:10" x14ac:dyDescent="0.25">
      <c r="B121" s="3">
        <f>B120+DeltaT</f>
        <v>520</v>
      </c>
      <c r="C121" s="13">
        <f t="shared" si="10"/>
        <v>8.6666666666666661</v>
      </c>
      <c r="D121" s="11">
        <f t="shared" si="11"/>
        <v>657.27061419942038</v>
      </c>
      <c r="E121" s="23">
        <f t="shared" si="14"/>
        <v>432.28348320850046</v>
      </c>
      <c r="F121" s="23">
        <f>AlphaC*(D121-E121)</f>
        <v>5624.6782747729976</v>
      </c>
      <c r="G121" s="13">
        <f>Phi*EpsilonF*Botzman/10^8*J121*((D121+273)^4-(E121+273)^4)</f>
        <v>19904.203525866862</v>
      </c>
      <c r="H121" s="23">
        <f t="shared" si="15"/>
        <v>622.67896385944437</v>
      </c>
      <c r="I121" s="12">
        <f>ksh*Massivete/(H121*RhoA)*DeltaT*(F121+G121)</f>
        <v>3.9307343864709132</v>
      </c>
      <c r="J121" s="3">
        <f>IF(E121&lt;=500,IF(Galva=Oui,0.35,0.7),0.7)</f>
        <v>0.7</v>
      </c>
    </row>
    <row r="122" spans="2:10" x14ac:dyDescent="0.25">
      <c r="B122" s="3">
        <f>B121+DeltaT</f>
        <v>525</v>
      </c>
      <c r="C122" s="13">
        <f t="shared" si="10"/>
        <v>8.75</v>
      </c>
      <c r="D122" s="11">
        <f t="shared" si="11"/>
        <v>658.68413030808085</v>
      </c>
      <c r="E122" s="23">
        <f t="shared" si="14"/>
        <v>436.21421759497139</v>
      </c>
      <c r="F122" s="23">
        <f>AlphaC*(D122-E122)</f>
        <v>5561.747817827737</v>
      </c>
      <c r="G122" s="13">
        <f>Phi*EpsilonF*Botzman/10^8*J122*((D122+273)^4-(E122+273)^4)</f>
        <v>19864.511562190597</v>
      </c>
      <c r="H122" s="23">
        <f t="shared" si="15"/>
        <v>624.88464596266579</v>
      </c>
      <c r="I122" s="12">
        <f>ksh*Massivete/(H122*RhoA)*DeltaT*(F122+G122)</f>
        <v>3.9011146933713303</v>
      </c>
      <c r="J122" s="3">
        <f>IF(E122&lt;=500,IF(Galva=Oui,0.35,0.7),0.7)</f>
        <v>0.7</v>
      </c>
    </row>
    <row r="123" spans="2:10" x14ac:dyDescent="0.25">
      <c r="B123" s="3">
        <f>B122+DeltaT</f>
        <v>530</v>
      </c>
      <c r="C123" s="13">
        <f t="shared" si="10"/>
        <v>8.8333333333333339</v>
      </c>
      <c r="D123" s="11">
        <f t="shared" si="11"/>
        <v>660.08443579260029</v>
      </c>
      <c r="E123" s="23">
        <f t="shared" si="14"/>
        <v>440.1153322883427</v>
      </c>
      <c r="F123" s="23">
        <f>AlphaC*(D123-E123)</f>
        <v>5499.2275876064396</v>
      </c>
      <c r="G123" s="13">
        <f>Phi*EpsilonF*Botzman/10^8*J123*((D123+273)^4-(E123+273)^4)</f>
        <v>19821.945769100726</v>
      </c>
      <c r="H123" s="23">
        <f t="shared" si="15"/>
        <v>627.11083286691166</v>
      </c>
      <c r="I123" s="12">
        <f>ksh*Massivete/(H123*RhoA)*DeltaT*(F123+G123)</f>
        <v>3.8712001253120558</v>
      </c>
      <c r="J123" s="3">
        <f>IF(E123&lt;=500,IF(Galva=Oui,0.35,0.7),0.7)</f>
        <v>0.7</v>
      </c>
    </row>
    <row r="124" spans="2:10" x14ac:dyDescent="0.25">
      <c r="B124" s="3">
        <f>B123+DeltaT</f>
        <v>535</v>
      </c>
      <c r="C124" s="13">
        <f t="shared" si="10"/>
        <v>8.9166666666666661</v>
      </c>
      <c r="D124" s="11">
        <f t="shared" si="11"/>
        <v>661.47177529945907</v>
      </c>
      <c r="E124" s="23">
        <f t="shared" si="14"/>
        <v>443.98653241365474</v>
      </c>
      <c r="F124" s="23">
        <f>AlphaC*(D124-E124)</f>
        <v>5437.1310721451082</v>
      </c>
      <c r="G124" s="13">
        <f>Phi*EpsilonF*Botzman/10^8*J124*((D124+273)^4-(E124+273)^4)</f>
        <v>19776.577837134799</v>
      </c>
      <c r="H124" s="23">
        <f t="shared" si="15"/>
        <v>629.35729140070259</v>
      </c>
      <c r="I124" s="12">
        <f>ksh*Massivete/(H124*RhoA)*DeltaT*(F124+G124)</f>
        <v>3.8410111343258269</v>
      </c>
      <c r="J124" s="3">
        <f>IF(E124&lt;=500,IF(Galva=Oui,0.35,0.7),0.7)</f>
        <v>0.7</v>
      </c>
    </row>
    <row r="125" spans="2:10" x14ac:dyDescent="0.25">
      <c r="B125" s="3">
        <f>B124+DeltaT</f>
        <v>540</v>
      </c>
      <c r="C125" s="13">
        <f t="shared" si="10"/>
        <v>9</v>
      </c>
      <c r="D125" s="11">
        <f t="shared" si="11"/>
        <v>662.84638674155724</v>
      </c>
      <c r="E125" s="23">
        <f t="shared" si="14"/>
        <v>447.82754354798055</v>
      </c>
      <c r="F125" s="23">
        <f>AlphaC*(D125-E125)</f>
        <v>5375.4710798394171</v>
      </c>
      <c r="G125" s="13">
        <f>Phi*EpsilonF*Botzman/10^8*J125*((D125+273)^4-(E125+273)^4)</f>
        <v>19728.480092327034</v>
      </c>
      <c r="H125" s="23">
        <f t="shared" si="15"/>
        <v>631.62375974443103</v>
      </c>
      <c r="I125" s="12">
        <f>ksh*Massivete/(H125*RhoA)*DeltaT*(F125+G125)</f>
        <v>3.8105680574127296</v>
      </c>
      <c r="J125" s="3">
        <f>IF(E125&lt;=500,IF(Galva=Oui,0.35,0.7),0.7)</f>
        <v>0.7</v>
      </c>
    </row>
    <row r="126" spans="2:10" x14ac:dyDescent="0.25">
      <c r="B126" s="3">
        <f>B125+DeltaT</f>
        <v>545</v>
      </c>
      <c r="C126" s="13">
        <f t="shared" si="10"/>
        <v>9.0833333333333339</v>
      </c>
      <c r="D126" s="11">
        <f t="shared" si="11"/>
        <v>664.20850154307959</v>
      </c>
      <c r="E126" s="23">
        <f t="shared" si="14"/>
        <v>451.63811160539331</v>
      </c>
      <c r="F126" s="23">
        <f>AlphaC*(D126-E126)</f>
        <v>5314.2597484421567</v>
      </c>
      <c r="G126" s="13">
        <f>Phi*EpsilonF*Botzman/10^8*J126*((D126+273)^4-(E126+273)^4)</f>
        <v>19677.725402306485</v>
      </c>
      <c r="H126" s="23">
        <f t="shared" si="15"/>
        <v>633.90994871067642</v>
      </c>
      <c r="I126" s="12">
        <f>ksh*Massivete/(H126*RhoA)*DeltaT*(F126+G126)</f>
        <v>3.7798910837326964</v>
      </c>
      <c r="J126" s="3">
        <f>IF(E126&lt;=500,IF(Galva=Oui,0.35,0.7),0.7)</f>
        <v>0.7</v>
      </c>
    </row>
    <row r="127" spans="2:10" x14ac:dyDescent="0.25">
      <c r="B127" s="3">
        <f>B126+DeltaT</f>
        <v>550</v>
      </c>
      <c r="C127" s="13">
        <f t="shared" si="10"/>
        <v>9.1666666666666661</v>
      </c>
      <c r="D127" s="11">
        <f t="shared" si="11"/>
        <v>665.55834487333186</v>
      </c>
      <c r="E127" s="23">
        <f t="shared" si="14"/>
        <v>455.41800268912601</v>
      </c>
      <c r="F127" s="23">
        <f>AlphaC*(D127-E127)</f>
        <v>5253.5085546051459</v>
      </c>
      <c r="G127" s="13">
        <f>Phi*EpsilonF*Botzman/10^8*J127*((D127+273)^4-(E127+273)^4)</f>
        <v>19624.387082527548</v>
      </c>
      <c r="H127" s="23">
        <f t="shared" si="15"/>
        <v>636.21554305554866</v>
      </c>
      <c r="I127" s="12">
        <f>ksh*Massivete/(H127*RhoA)*DeltaT*(F127+G127)</f>
        <v>3.7490002228620924</v>
      </c>
      <c r="J127" s="3">
        <f>IF(E127&lt;=500,IF(Galva=Oui,0.35,0.7),0.7)</f>
        <v>0.7</v>
      </c>
    </row>
    <row r="128" spans="2:10" x14ac:dyDescent="0.25">
      <c r="B128" s="3">
        <f>B127+DeltaT</f>
        <v>555</v>
      </c>
      <c r="C128" s="13">
        <f t="shared" si="10"/>
        <v>9.25</v>
      </c>
      <c r="D128" s="11">
        <f t="shared" si="11"/>
        <v>666.89613587013639</v>
      </c>
      <c r="E128" s="23">
        <f t="shared" si="14"/>
        <v>459.16700291198811</v>
      </c>
      <c r="F128" s="23">
        <f>AlphaC*(D128-E128)</f>
        <v>5193.2283239537073</v>
      </c>
      <c r="G128" s="13">
        <f>Phi*EpsilonF*Botzman/10^8*J128*((D128+273)^4-(E128+273)^4)</f>
        <v>19568.538802971038</v>
      </c>
      <c r="H128" s="23">
        <f t="shared" si="15"/>
        <v>638.54020281524333</v>
      </c>
      <c r="I128" s="12">
        <f>ksh*Massivete/(H128*RhoA)*DeltaT*(F128+G128)</f>
        <v>3.7179152742393797</v>
      </c>
      <c r="J128" s="3">
        <f>IF(E128&lt;=500,IF(Galva=Oui,0.35,0.7),0.7)</f>
        <v>0.7</v>
      </c>
    </row>
    <row r="129" spans="2:10" x14ac:dyDescent="0.25">
      <c r="B129" s="3">
        <f>B128+DeltaT</f>
        <v>560</v>
      </c>
      <c r="C129" s="13">
        <f t="shared" si="10"/>
        <v>9.3333333333333339</v>
      </c>
      <c r="D129" s="11">
        <f t="shared" si="11"/>
        <v>668.22208785334374</v>
      </c>
      <c r="E129" s="23">
        <f t="shared" si="14"/>
        <v>462.88491818622748</v>
      </c>
      <c r="F129" s="23">
        <f>AlphaC*(D129-E129)</f>
        <v>5133.4292416779062</v>
      </c>
      <c r="G129" s="13">
        <f>Phi*EpsilonF*Botzman/10^8*J129*((D129+273)^4-(E129+273)^4)</f>
        <v>19510.254495639645</v>
      </c>
      <c r="H129" s="23">
        <f t="shared" si="15"/>
        <v>640.88356466212178</v>
      </c>
      <c r="I129" s="12">
        <f>ksh*Massivete/(H129*RhoA)*DeltaT*(F129+G129)</f>
        <v>3.6866557979111674</v>
      </c>
      <c r="J129" s="3">
        <f>IF(E129&lt;=500,IF(Galva=Oui,0.35,0.7),0.7)</f>
        <v>0.7</v>
      </c>
    </row>
    <row r="130" spans="2:10" x14ac:dyDescent="0.25">
      <c r="B130" s="3">
        <f>B129+DeltaT</f>
        <v>565</v>
      </c>
      <c r="C130" s="13">
        <f t="shared" si="10"/>
        <v>9.4166666666666661</v>
      </c>
      <c r="D130" s="11">
        <f t="shared" si="11"/>
        <v>669.53640852897774</v>
      </c>
      <c r="E130" s="23">
        <f t="shared" si="14"/>
        <v>466.57157398413864</v>
      </c>
      <c r="F130" s="23">
        <f>AlphaC*(D130-E130)</f>
        <v>5074.1208636209776</v>
      </c>
      <c r="G130" s="13">
        <f>Phi*EpsilonF*Botzman/10^8*J130*((D130+273)^4-(E130+273)^4)</f>
        <v>19449.608263154973</v>
      </c>
      <c r="H130" s="23">
        <f t="shared" si="15"/>
        <v>643.24524327476536</v>
      </c>
      <c r="I130" s="12">
        <f>ksh*Massivete/(H130*RhoA)*DeltaT*(F130+G130)</f>
        <v>3.6552410866761056</v>
      </c>
      <c r="J130" s="3">
        <f>IF(E130&lt;=500,IF(Galva=Oui,0.35,0.7),0.7)</f>
        <v>0.7</v>
      </c>
    </row>
    <row r="131" spans="2:10" x14ac:dyDescent="0.25">
      <c r="B131" s="3">
        <f>B130+DeltaT</f>
        <v>570</v>
      </c>
      <c r="C131" s="13">
        <f t="shared" si="10"/>
        <v>9.5</v>
      </c>
      <c r="D131" s="11">
        <f t="shared" si="11"/>
        <v>670.83930018450621</v>
      </c>
      <c r="E131" s="23">
        <f t="shared" si="14"/>
        <v>470.22681507081472</v>
      </c>
      <c r="F131" s="23">
        <f>AlphaC*(D131-E131)</f>
        <v>5015.3121278422877</v>
      </c>
      <c r="G131" s="13">
        <f>Phi*EpsilonF*Botzman/10^8*J131*((D131+273)^4-(E131+273)^4)</f>
        <v>19386.674288746661</v>
      </c>
      <c r="H131" s="23">
        <f t="shared" si="15"/>
        <v>645.62483271663882</v>
      </c>
      <c r="I131" s="12">
        <f>ksh*Massivete/(H131*RhoA)*DeltaT*(F131+G131)</f>
        <v>3.6236901397103876</v>
      </c>
      <c r="J131" s="3">
        <f>IF(E131&lt;=500,IF(Galva=Oui,0.35,0.7),0.7)</f>
        <v>0.7</v>
      </c>
    </row>
    <row r="132" spans="2:10" x14ac:dyDescent="0.25">
      <c r="B132" s="3">
        <f>B131+DeltaT</f>
        <v>575</v>
      </c>
      <c r="C132" s="13">
        <f t="shared" si="10"/>
        <v>9.5833333333333339</v>
      </c>
      <c r="D132" s="11">
        <f t="shared" si="11"/>
        <v>672.13095987569295</v>
      </c>
      <c r="E132" s="23">
        <f t="shared" si="14"/>
        <v>473.85050521052511</v>
      </c>
      <c r="F132" s="23">
        <f>AlphaC*(D132-E132)</f>
        <v>4957.0113666291963</v>
      </c>
      <c r="G132" s="13">
        <f>Phi*EpsilonF*Botzman/10^8*J132*((D132+273)^4-(E132+273)^4)</f>
        <v>19321.526747904816</v>
      </c>
      <c r="H132" s="23">
        <f t="shared" si="15"/>
        <v>648.02190781819638</v>
      </c>
      <c r="I132" s="12">
        <f>ksh*Massivete/(H132*RhoA)*DeltaT*(F132+G132)</f>
        <v>3.5920216377447631</v>
      </c>
      <c r="J132" s="3">
        <f>IF(E132&lt;=500,IF(Galva=Oui,0.35,0.7),0.7)</f>
        <v>0.7</v>
      </c>
    </row>
    <row r="133" spans="2:10" x14ac:dyDescent="0.25">
      <c r="B133" s="3">
        <f>B132+DeltaT</f>
        <v>580</v>
      </c>
      <c r="C133" s="13">
        <f t="shared" si="10"/>
        <v>9.6666666666666661</v>
      </c>
      <c r="D133" s="11">
        <f t="shared" si="11"/>
        <v>673.41157960546536</v>
      </c>
      <c r="E133" s="23">
        <f t="shared" si="14"/>
        <v>477.44252684826989</v>
      </c>
      <c r="F133" s="23">
        <f>AlphaC*(D133-E133)</f>
        <v>4899.2263189298865</v>
      </c>
      <c r="G133" s="13">
        <f>Phi*EpsilonF*Botzman/10^8*J133*((D133+273)^4-(E133+273)^4)</f>
        <v>19254.239721949059</v>
      </c>
      <c r="H133" s="23">
        <f t="shared" si="15"/>
        <v>650.43602555747566</v>
      </c>
      <c r="I133" s="12">
        <f>ksh*Massivete/(H133*RhoA)*DeltaT*(F133+G133)</f>
        <v>3.5602539198498651</v>
      </c>
      <c r="J133" s="3">
        <f>IF(E133&lt;=500,IF(Galva=Oui,0.35,0.7),0.7)</f>
        <v>0.7</v>
      </c>
    </row>
    <row r="134" spans="2:10" x14ac:dyDescent="0.25">
      <c r="B134" s="3">
        <f>B133+DeltaT</f>
        <v>585</v>
      </c>
      <c r="C134" s="13">
        <f t="shared" si="10"/>
        <v>9.75</v>
      </c>
      <c r="D134" s="11">
        <f t="shared" si="11"/>
        <v>674.68134649520221</v>
      </c>
      <c r="E134" s="23">
        <f t="shared" si="14"/>
        <v>481.00278076811975</v>
      </c>
      <c r="F134" s="23">
        <f>AlphaC*(D134-E134)</f>
        <v>4841.9641431770615</v>
      </c>
      <c r="G134" s="13">
        <f>Phi*EpsilonF*Botzman/10^8*J134*((D134+273)^4-(E134+273)^4)</f>
        <v>19184.887113746481</v>
      </c>
      <c r="H134" s="23">
        <f t="shared" si="15"/>
        <v>652.86672643447707</v>
      </c>
      <c r="I134" s="12">
        <f>ksh*Massivete/(H134*RhoA)*DeltaT*(F134+G134)</f>
        <v>3.5284049618733189</v>
      </c>
      <c r="J134" s="3">
        <f>IF(E134&lt;=500,IF(Galva=Oui,0.35,0.7),0.7)</f>
        <v>0.7</v>
      </c>
    </row>
    <row r="135" spans="2:10" x14ac:dyDescent="0.25">
      <c r="B135" s="3">
        <f>B134+DeltaT</f>
        <v>590</v>
      </c>
      <c r="C135" s="13">
        <f t="shared" si="10"/>
        <v>9.8333333333333339</v>
      </c>
      <c r="D135" s="11">
        <f t="shared" si="11"/>
        <v>675.94044294882394</v>
      </c>
      <c r="E135" s="23">
        <f t="shared" si="14"/>
        <v>484.53118572999307</v>
      </c>
      <c r="F135" s="23">
        <f>AlphaC*(D135-E135)</f>
        <v>4785.2314304707716</v>
      </c>
      <c r="G135" s="13">
        <f>Phi*EpsilonF*Botzman/10^8*J135*((D135+273)^4-(E135+273)^4)</f>
        <v>19113.542565791813</v>
      </c>
      <c r="H135" s="23">
        <f t="shared" si="15"/>
        <v>655.31353583486975</v>
      </c>
      <c r="I135" s="12">
        <f>ksh*Massivete/(H135*RhoA)*DeltaT*(F135+G135)</f>
        <v>3.4964923565597896</v>
      </c>
      <c r="J135" s="3">
        <f>IF(E135&lt;=500,IF(Galva=Oui,0.35,0.7),0.7)</f>
        <v>0.7</v>
      </c>
    </row>
    <row r="136" spans="2:10" x14ac:dyDescent="0.25">
      <c r="B136" s="3">
        <f>B135+DeltaT</f>
        <v>595</v>
      </c>
      <c r="C136" s="13">
        <f t="shared" si="10"/>
        <v>9.9166666666666661</v>
      </c>
      <c r="D136" s="11">
        <f t="shared" si="11"/>
        <v>677.18904681004608</v>
      </c>
      <c r="E136" s="23">
        <f t="shared" si="14"/>
        <v>488.02767808655284</v>
      </c>
      <c r="F136" s="23">
        <f>AlphaC*(D136-E136)</f>
        <v>4729.0342180873313</v>
      </c>
      <c r="G136" s="13">
        <f>Phi*EpsilonF*Botzman/10^8*J136*((D136+273)^4-(E136+273)^4)</f>
        <v>19040.279380842028</v>
      </c>
      <c r="H136" s="23">
        <f t="shared" si="15"/>
        <v>657.77596537883471</v>
      </c>
      <c r="I136" s="12">
        <f>ksh*Massivete/(H136*RhoA)*DeltaT*(F136+G136)</f>
        <v>3.4645332953730055</v>
      </c>
      <c r="J136" s="3">
        <f>IF(E136&lt;=500,IF(Galva=Oui,0.35,0.7),0.7)</f>
        <v>0.7</v>
      </c>
    </row>
    <row r="137" spans="2:10" x14ac:dyDescent="0.25">
      <c r="B137" s="3">
        <f>B136+DeltaT</f>
        <v>600</v>
      </c>
      <c r="C137" s="13">
        <f t="shared" si="10"/>
        <v>10</v>
      </c>
      <c r="D137" s="11">
        <f t="shared" si="11"/>
        <v>678.42733151313416</v>
      </c>
      <c r="E137" s="23">
        <f t="shared" si="14"/>
        <v>491.49221138192587</v>
      </c>
      <c r="F137" s="23">
        <f>AlphaC*(D137-E137)</f>
        <v>4673.3780032802069</v>
      </c>
      <c r="G137" s="13">
        <f>Phi*EpsilonF*Botzman/10^8*J137*((D137+273)^4-(E137+273)^4)</f>
        <v>18965.170445277574</v>
      </c>
      <c r="H137" s="23">
        <f t="shared" si="15"/>
        <v>660.25351425113786</v>
      </c>
      <c r="I137" s="12">
        <f>ksh*Massivete/(H137*RhoA)*DeltaT*(F137+G137)</f>
        <v>3.4325445520274358</v>
      </c>
      <c r="J137" s="3">
        <f>IF(E137&lt;=500,IF(Galva=Oui,0.35,0.7),0.7)</f>
        <v>0.7</v>
      </c>
    </row>
    <row r="138" spans="2:10" x14ac:dyDescent="0.25">
      <c r="B138" s="3">
        <f>B137+DeltaT</f>
        <v>605</v>
      </c>
      <c r="C138" s="13">
        <f t="shared" si="10"/>
        <v>10.083333333333334</v>
      </c>
      <c r="D138" s="11">
        <f t="shared" si="11"/>
        <v>679.65546622748013</v>
      </c>
      <c r="E138" s="23">
        <f t="shared" si="14"/>
        <v>494.92475593395329</v>
      </c>
      <c r="F138" s="23">
        <f>AlphaC*(D138-E138)</f>
        <v>4618.2677573381707</v>
      </c>
      <c r="G138" s="13">
        <f>Phi*EpsilonF*Botzman/10^8*J138*((D138+273)^4-(E138+273)^4)</f>
        <v>18888.288155341666</v>
      </c>
      <c r="H138" s="23">
        <f t="shared" si="15"/>
        <v>662.74567050880194</v>
      </c>
      <c r="I138" s="12">
        <f>ksh*Massivete/(H138*RhoA)*DeltaT*(F138+G138)</f>
        <v>3.4005424677265919</v>
      </c>
      <c r="J138" s="3">
        <f>IF(E138&lt;=500,IF(Galva=Oui,0.35,0.7),0.7)</f>
        <v>0.7</v>
      </c>
    </row>
    <row r="139" spans="2:10" x14ac:dyDescent="0.25">
      <c r="B139" s="3">
        <f>B138+DeltaT</f>
        <v>610</v>
      </c>
      <c r="C139" s="13">
        <f t="shared" si="10"/>
        <v>10.166666666666666</v>
      </c>
      <c r="D139" s="11">
        <f t="shared" si="11"/>
        <v>680.87361599630106</v>
      </c>
      <c r="E139" s="23">
        <f t="shared" si="14"/>
        <v>498.3252984016799</v>
      </c>
      <c r="F139" s="23">
        <f>AlphaC*(D139-E139)</f>
        <v>4563.7079398655287</v>
      </c>
      <c r="G139" s="13">
        <f>Phi*EpsilonF*Botzman/10^8*J139*((D139+273)^4-(E139+273)^4)</f>
        <v>18809.70434638939</v>
      </c>
      <c r="H139" s="23">
        <f t="shared" si="15"/>
        <v>665.25191236304204</v>
      </c>
      <c r="I139" s="12">
        <f>ksh*Massivete/(H139*RhoA)*DeltaT*(F139+G139)</f>
        <v>3.3685429380949827</v>
      </c>
      <c r="J139" s="3">
        <f>IF(E139&lt;=500,IF(Galva=Oui,0.35,0.7),0.7)</f>
        <v>0.7</v>
      </c>
    </row>
    <row r="140" spans="2:10" x14ac:dyDescent="0.25">
      <c r="B140" s="3">
        <f>B139+DeltaT</f>
        <v>615</v>
      </c>
      <c r="C140" s="13">
        <f t="shared" si="10"/>
        <v>10.25</v>
      </c>
      <c r="D140" s="11">
        <f t="shared" si="11"/>
        <v>682.08194186974549</v>
      </c>
      <c r="E140" s="23">
        <f t="shared" si="14"/>
        <v>501.69384133977491</v>
      </c>
      <c r="F140" s="23">
        <f>AlphaC*(D140-E140)</f>
        <v>4509.7025132492645</v>
      </c>
      <c r="G140" s="13">
        <f>Phi*EpsilonF*Botzman/10^8*J140*((D140+273)^4-(E140+273)^4)</f>
        <v>18729.490225258374</v>
      </c>
      <c r="H140" s="23">
        <f t="shared" si="15"/>
        <v>667.77170943241674</v>
      </c>
      <c r="I140" s="12">
        <f>ksh*Massivete/(H140*RhoA)*DeltaT*(F140+G140)</f>
        <v>3.3365614017815526</v>
      </c>
      <c r="J140" s="3">
        <f>IF(E140&lt;=500,IF(Galva=Oui,0.35,0.7),0.7)</f>
        <v>0.7</v>
      </c>
    </row>
    <row r="141" spans="2:10" x14ac:dyDescent="0.25">
      <c r="B141" s="3">
        <f>B140+DeltaT</f>
        <v>620</v>
      </c>
      <c r="C141" s="13">
        <f t="shared" si="10"/>
        <v>10.333333333333334</v>
      </c>
      <c r="D141" s="11">
        <f t="shared" si="11"/>
        <v>683.28060103267455</v>
      </c>
      <c r="E141" s="23">
        <f t="shared" si="14"/>
        <v>505.03040274155649</v>
      </c>
      <c r="F141" s="23">
        <f>AlphaC*(D141-E141)</f>
        <v>4456.2549572779517</v>
      </c>
      <c r="G141" s="13">
        <f>Phi*EpsilonF*Botzman/10^8*J141*((D141+273)^4-(E141+273)^4)</f>
        <v>18647.716305853304</v>
      </c>
      <c r="H141" s="23">
        <f t="shared" si="15"/>
        <v>670.3045239644407</v>
      </c>
      <c r="I141" s="12">
        <f>ksh*Massivete/(H141*RhoA)*DeltaT*(F141+G141)</f>
        <v>3.3046128307039626</v>
      </c>
      <c r="J141" s="3">
        <f>IF(E141&lt;=500,IF(Galva=Oui,0.35,0.7),0.7)</f>
        <v>0.7</v>
      </c>
    </row>
    <row r="142" spans="2:10" x14ac:dyDescent="0.25">
      <c r="B142" s="3">
        <f>B141+DeltaT</f>
        <v>625</v>
      </c>
      <c r="C142" s="13">
        <f t="shared" si="10"/>
        <v>10.416666666666666</v>
      </c>
      <c r="D142" s="11">
        <f t="shared" si="11"/>
        <v>684.46974692737354</v>
      </c>
      <c r="E142" s="23">
        <f t="shared" si="14"/>
        <v>508.33501557226043</v>
      </c>
      <c r="F142" s="23">
        <f>AlphaC*(D142-E142)</f>
        <v>4403.3682838778277</v>
      </c>
      <c r="G142" s="13">
        <f>Phi*EpsilonF*Botzman/10^8*J142*((D142+273)^4-(E142+273)^4)</f>
        <v>18564.452348018454</v>
      </c>
      <c r="H142" s="23">
        <f t="shared" si="15"/>
        <v>672.84981202319295</v>
      </c>
      <c r="I142" s="12">
        <f>ksh*Massivete/(H142*RhoA)*DeltaT*(F142+G142)</f>
        <v>3.2727117218956021</v>
      </c>
      <c r="J142" s="3">
        <f>IF(E142&lt;=500,IF(Galva=Oui,0.35,0.7),0.7)</f>
        <v>0.7</v>
      </c>
    </row>
    <row r="143" spans="2:10" x14ac:dyDescent="0.25">
      <c r="B143" s="3">
        <f>B142+DeltaT</f>
        <v>630</v>
      </c>
      <c r="C143" s="13">
        <f t="shared" si="10"/>
        <v>10.5</v>
      </c>
      <c r="D143" s="11">
        <f t="shared" si="11"/>
        <v>685.64952937143096</v>
      </c>
      <c r="E143" s="23">
        <f t="shared" si="14"/>
        <v>511.60772729415601</v>
      </c>
      <c r="F143" s="23">
        <f>AlphaC*(D143-E143)</f>
        <v>4351.0450519318738</v>
      </c>
      <c r="G143" s="13">
        <f>Phi*EpsilonF*Botzman/10^8*J143*((D143+273)^4-(E143+273)^4)</f>
        <v>18479.767299753621</v>
      </c>
      <c r="H143" s="23">
        <f t="shared" si="15"/>
        <v>675.4070246407432</v>
      </c>
      <c r="I143" s="12">
        <f>ksh*Massivete/(H143*RhoA)*DeltaT*(F143+G143)</f>
        <v>3.240872090910289</v>
      </c>
      <c r="J143" s="3">
        <f>IF(E143&lt;=500,IF(Galva=Oui,0.35,0.7),0.7)</f>
        <v>0.7</v>
      </c>
    </row>
    <row r="144" spans="2:10" x14ac:dyDescent="0.25">
      <c r="B144" s="3">
        <f>B143+DeltaT</f>
        <v>635</v>
      </c>
      <c r="C144" s="13">
        <f t="shared" si="10"/>
        <v>10.583333333333334</v>
      </c>
      <c r="D144" s="11">
        <f t="shared" si="11"/>
        <v>686.82009467101307</v>
      </c>
      <c r="E144" s="23">
        <f t="shared" si="14"/>
        <v>514.84859938506634</v>
      </c>
      <c r="F144" s="23">
        <f>AlphaC*(D144-E144)</f>
        <v>4299.2873821486683</v>
      </c>
      <c r="G144" s="13">
        <f>Phi*EpsilonF*Botzman/10^8*J144*((D144+273)^4-(E144+273)^4)</f>
        <v>18393.729242812333</v>
      </c>
      <c r="H144" s="23">
        <f t="shared" si="15"/>
        <v>677.97560893049126</v>
      </c>
      <c r="I144" s="12">
        <f>ksh*Massivete/(H144*RhoA)*DeltaT*(F144+G144)</f>
        <v>3.2091074667337711</v>
      </c>
      <c r="J144" s="3">
        <f>IF(E144&lt;=500,IF(Galva=Oui,0.35,0.7),0.7)</f>
        <v>0.7</v>
      </c>
    </row>
    <row r="145" spans="2:10" x14ac:dyDescent="0.25">
      <c r="B145" s="3">
        <f>B144+DeltaT</f>
        <v>640</v>
      </c>
      <c r="C145" s="13">
        <f t="shared" si="10"/>
        <v>10.666666666666666</v>
      </c>
      <c r="D145" s="11">
        <f t="shared" si="11"/>
        <v>687.9815857297483</v>
      </c>
      <c r="E145" s="23">
        <f t="shared" si="14"/>
        <v>518.05770685180016</v>
      </c>
      <c r="F145" s="23">
        <f>AlphaC*(D145-E145)</f>
        <v>4248.0969719487039</v>
      </c>
      <c r="G145" s="13">
        <f>Phi*EpsilonF*Botzman/10^8*J145*((D145+273)^4-(E145+273)^4)</f>
        <v>18306.40534170438</v>
      </c>
      <c r="H145" s="23">
        <f t="shared" si="15"/>
        <v>680.55500916079905</v>
      </c>
      <c r="I145" s="12">
        <f>ksh*Massivete/(H145*RhoA)*DeltaT*(F145+G145)</f>
        <v>3.1774308881458775</v>
      </c>
      <c r="J145" s="3">
        <f>IF(E145&lt;=500,IF(Galva=Oui,0.35,0.7),0.7)</f>
        <v>0.7</v>
      </c>
    </row>
    <row r="146" spans="2:10" x14ac:dyDescent="0.25">
      <c r="B146" s="3">
        <f>B145+DeltaT</f>
        <v>645</v>
      </c>
      <c r="C146" s="13">
        <f t="shared" ref="C146:C209" si="16">B146/60</f>
        <v>10.75</v>
      </c>
      <c r="D146" s="11">
        <f t="shared" ref="D146:D209" si="17">20+345*LOG(8*C146+1,10)</f>
        <v>689.13414215342334</v>
      </c>
      <c r="E146" s="23">
        <f t="shared" si="14"/>
        <v>521.23513773994603</v>
      </c>
      <c r="F146" s="23">
        <f>AlphaC*(D146-E146)</f>
        <v>4197.4751103369326</v>
      </c>
      <c r="G146" s="13">
        <f>Phi*EpsilonF*Botzman/10^8*J146*((D146+273)^4-(E146+273)^4)</f>
        <v>18217.861796109348</v>
      </c>
      <c r="H146" s="23">
        <f t="shared" si="15"/>
        <v>683.1446677875457</v>
      </c>
      <c r="I146" s="12">
        <f>ksh*Massivete/(H146*RhoA)*DeltaT*(F146+G146)</f>
        <v>3.1458549014728097</v>
      </c>
      <c r="J146" s="3">
        <f>IF(E146&lt;=500,IF(Galva=Oui,0.35,0.7),0.7)</f>
        <v>0.7</v>
      </c>
    </row>
    <row r="147" spans="2:10" x14ac:dyDescent="0.25">
      <c r="B147" s="3">
        <f>B146+DeltaT</f>
        <v>650</v>
      </c>
      <c r="C147" s="13">
        <f t="shared" si="16"/>
        <v>10.833333333333334</v>
      </c>
      <c r="D147" s="11">
        <f t="shared" si="17"/>
        <v>690.2779003506829</v>
      </c>
      <c r="E147" s="23">
        <f t="shared" si="14"/>
        <v>524.38099264141886</v>
      </c>
      <c r="F147" s="23">
        <f>AlphaC*(D147-E147)</f>
        <v>4147.4226927316013</v>
      </c>
      <c r="G147" s="13">
        <f>Phi*EpsilonF*Botzman/10^8*J147*((D147+273)^4-(E147+273)^4)</f>
        <v>18128.163796693254</v>
      </c>
      <c r="H147" s="23">
        <f t="shared" si="15"/>
        <v>685.74402644450038</v>
      </c>
      <c r="I147" s="12">
        <f>ksh*Massivete/(H147*RhoA)*DeltaT*(F147+G147)</f>
        <v>3.1143915596653855</v>
      </c>
      <c r="J147" s="3">
        <f>IF(E147&lt;=500,IF(Galva=Oui,0.35,0.7),0.7)</f>
        <v>0.7</v>
      </c>
    </row>
    <row r="148" spans="2:10" x14ac:dyDescent="0.25">
      <c r="B148" s="3">
        <f>B147+DeltaT</f>
        <v>655</v>
      </c>
      <c r="C148" s="13">
        <f t="shared" si="16"/>
        <v>10.916666666666666</v>
      </c>
      <c r="D148" s="11">
        <f t="shared" si="17"/>
        <v>691.41299362991504</v>
      </c>
      <c r="E148" s="23">
        <f t="shared" si="14"/>
        <v>527.49538420108422</v>
      </c>
      <c r="F148" s="23">
        <f>AlphaC*(D148-E148)</f>
        <v>4097.94023572077</v>
      </c>
      <c r="G148" s="13">
        <f>Phi*EpsilonF*Botzman/10^8*J148*((D148+273)^4-(E148+273)^4)</f>
        <v>18037.375484306875</v>
      </c>
      <c r="H148" s="23">
        <f t="shared" si="15"/>
        <v>688.35252689064373</v>
      </c>
      <c r="I148" s="12">
        <f>ksh*Massivete/(H148*RhoA)*DeltaT*(F148+G148)</f>
        <v>3.0830524226361553</v>
      </c>
      <c r="J148" s="3">
        <f>IF(E148&lt;=500,IF(Galva=Oui,0.35,0.7),0.7)</f>
        <v>0.7</v>
      </c>
    </row>
    <row r="149" spans="2:10" x14ac:dyDescent="0.25">
      <c r="B149" s="3">
        <f>B148+DeltaT</f>
        <v>660</v>
      </c>
      <c r="C149" s="13">
        <f t="shared" si="16"/>
        <v>11</v>
      </c>
      <c r="D149" s="11">
        <f t="shared" si="17"/>
        <v>692.53955229249482</v>
      </c>
      <c r="E149" s="23">
        <f t="shared" si="14"/>
        <v>530.57843662372034</v>
      </c>
      <c r="F149" s="23">
        <f>AlphaC*(D149-E149)</f>
        <v>4049.0278917193618</v>
      </c>
      <c r="G149" s="13">
        <f>Phi*EpsilonF*Botzman/10^8*J149*((D149+273)^4-(E149+273)^4)</f>
        <v>17945.559912531804</v>
      </c>
      <c r="H149" s="23">
        <f t="shared" si="15"/>
        <v>690.9696119138041</v>
      </c>
      <c r="I149" s="12">
        <f>ksh*Massivete/(H149*RhoA)*DeltaT*(F149+G149)</f>
        <v>3.0518485587860398</v>
      </c>
      <c r="J149" s="3">
        <f>IF(E149&lt;=500,IF(Galva=Oui,0.35,0.7),0.7)</f>
        <v>0.7</v>
      </c>
    </row>
    <row r="150" spans="2:10" x14ac:dyDescent="0.25">
      <c r="B150" s="3">
        <f>B149+DeltaT</f>
        <v>665</v>
      </c>
      <c r="C150" s="13">
        <f t="shared" si="16"/>
        <v>11.083333333333334</v>
      </c>
      <c r="D150" s="11">
        <f t="shared" si="17"/>
        <v>693.65770372254713</v>
      </c>
      <c r="E150" s="23">
        <f t="shared" si="14"/>
        <v>533.63028518250633</v>
      </c>
      <c r="F150" s="23">
        <f>AlphaC*(D150-E150)</f>
        <v>4000.68546350102</v>
      </c>
      <c r="G150" s="13">
        <f>Phi*EpsilonF*Botzman/10^8*J150*((D150+273)^4-(E150+273)^4)</f>
        <v>17852.779013528212</v>
      </c>
      <c r="H150" s="23">
        <f t="shared" si="15"/>
        <v>693.59472619019027</v>
      </c>
      <c r="I150" s="12">
        <f>ksh*Massivete/(H150*RhoA)*DeltaT*(F150+G150)</f>
        <v>3.0207905476494821</v>
      </c>
      <c r="J150" s="3">
        <f>IF(E150&lt;=500,IF(Galva=Oui,0.35,0.7),0.7)</f>
        <v>0.7</v>
      </c>
    </row>
    <row r="151" spans="2:10" x14ac:dyDescent="0.25">
      <c r="B151" s="3">
        <f>B150+DeltaT</f>
        <v>670</v>
      </c>
      <c r="C151" s="13">
        <f t="shared" si="16"/>
        <v>11.166666666666666</v>
      </c>
      <c r="D151" s="11">
        <f t="shared" si="17"/>
        <v>694.76757247338639</v>
      </c>
      <c r="E151" s="23">
        <f t="shared" si="14"/>
        <v>536.65107573015575</v>
      </c>
      <c r="F151" s="23">
        <f>AlphaC*(D151-E151)</f>
        <v>3952.9124185807659</v>
      </c>
      <c r="G151" s="13">
        <f>Phi*EpsilonF*Botzman/10^8*J151*((D151+273)^4-(E151+273)^4)</f>
        <v>17759.093567128832</v>
      </c>
      <c r="H151" s="23">
        <f t="shared" si="15"/>
        <v>696.22731709961113</v>
      </c>
      <c r="I151" s="12">
        <f>ksh*Massivete/(H151*RhoA)*DeltaT*(F151+G151)</f>
        <v>2.9898884835862662</v>
      </c>
      <c r="J151" s="3">
        <f>IF(E151&lt;=500,IF(Galva=Oui,0.35,0.7),0.7)</f>
        <v>0.7</v>
      </c>
    </row>
    <row r="152" spans="2:10" x14ac:dyDescent="0.25">
      <c r="B152" s="3">
        <f>B151+DeltaT</f>
        <v>675</v>
      </c>
      <c r="C152" s="13">
        <f t="shared" si="16"/>
        <v>11.25</v>
      </c>
      <c r="D152" s="11">
        <f t="shared" si="17"/>
        <v>695.8692803507771</v>
      </c>
      <c r="E152" s="23">
        <f t="shared" si="14"/>
        <v>539.640964213742</v>
      </c>
      <c r="F152" s="23">
        <f>AlphaC*(D152-E152)</f>
        <v>3905.7079034258777</v>
      </c>
      <c r="G152" s="13">
        <f>Phi*EpsilonF*Botzman/10^8*J152*((D152+273)^4-(E152+273)^4)</f>
        <v>17664.563173112729</v>
      </c>
      <c r="H152" s="23">
        <f t="shared" si="15"/>
        <v>698.86683549636223</v>
      </c>
      <c r="I152" s="12">
        <f>ksh*Massivete/(H152*RhoA)*DeltaT*(F152+G152)</f>
        <v>2.9591519804474902</v>
      </c>
      <c r="J152" s="3">
        <f>IF(E152&lt;=500,IF(Galva=Oui,0.35,0.7),0.7)</f>
        <v>0.7</v>
      </c>
    </row>
    <row r="153" spans="2:10" x14ac:dyDescent="0.25">
      <c r="B153" s="3">
        <f>B152+DeltaT</f>
        <v>680</v>
      </c>
      <c r="C153" s="13">
        <f t="shared" si="16"/>
        <v>11.333333333333334</v>
      </c>
      <c r="D153" s="11">
        <f t="shared" si="17"/>
        <v>696.96294649315701</v>
      </c>
      <c r="E153" s="23">
        <f t="shared" si="14"/>
        <v>542.60011619418947</v>
      </c>
      <c r="F153" s="23">
        <f>AlphaC*(D153-E153)</f>
        <v>3859.0707574741882</v>
      </c>
      <c r="G153" s="13">
        <f>Phi*EpsilonF*Botzman/10^8*J153*((D153+273)^4-(E153+273)^4)</f>
        <v>17569.24622658511</v>
      </c>
      <c r="H153" s="23">
        <f t="shared" si="15"/>
        <v>701.51273643593959</v>
      </c>
      <c r="I153" s="12">
        <f>ksh*Massivete/(H153*RhoA)*DeltaT*(F153+G153)</f>
        <v>2.9285901771434606</v>
      </c>
      <c r="J153" s="3">
        <f>IF(E153&lt;=500,IF(Galva=Oui,0.35,0.7),0.7)</f>
        <v>0.7</v>
      </c>
    </row>
    <row r="154" spans="2:10" x14ac:dyDescent="0.25">
      <c r="B154" s="3">
        <f>B153+DeltaT</f>
        <v>685</v>
      </c>
      <c r="C154" s="13">
        <f t="shared" si="16"/>
        <v>11.416666666666666</v>
      </c>
      <c r="D154" s="11">
        <f t="shared" si="17"/>
        <v>698.04868744895111</v>
      </c>
      <c r="E154" s="23">
        <f t="shared" si="14"/>
        <v>545.52870637133287</v>
      </c>
      <c r="F154" s="23">
        <f>AlphaC*(D154-E154)</f>
        <v>3812.9995269404562</v>
      </c>
      <c r="G154" s="13">
        <f>Phi*EpsilonF*Botzman/10^8*J154*((D154+273)^4-(E154+273)^4)</f>
        <v>17473.199896380644</v>
      </c>
      <c r="H154" s="23">
        <f t="shared" si="15"/>
        <v>704.16447985790478</v>
      </c>
      <c r="I154" s="12">
        <f>ksh*Massivete/(H154*RhoA)*DeltaT*(F154+G154)</f>
        <v>2.8982117440415891</v>
      </c>
      <c r="J154" s="3">
        <f>IF(E154&lt;=500,IF(Galva=Oui,0.35,0.7),0.7)</f>
        <v>0.7</v>
      </c>
    </row>
    <row r="155" spans="2:10" x14ac:dyDescent="0.25">
      <c r="B155" s="3">
        <f>B154+DeltaT</f>
        <v>690</v>
      </c>
      <c r="C155" s="13">
        <f t="shared" si="16"/>
        <v>11.5</v>
      </c>
      <c r="D155" s="11">
        <f t="shared" si="17"/>
        <v>699.12661725110763</v>
      </c>
      <c r="E155" s="23">
        <f t="shared" si="14"/>
        <v>548.42691811537452</v>
      </c>
      <c r="F155" s="23">
        <f>AlphaC*(D155-E155)</f>
        <v>3767.4924783933279</v>
      </c>
      <c r="G155" s="13">
        <f>Phi*EpsilonF*Botzman/10^8*J155*((D155+273)^4-(E155+273)^4)</f>
        <v>17376.480106402512</v>
      </c>
      <c r="H155" s="23">
        <f t="shared" si="15"/>
        <v>706.8215312253808</v>
      </c>
      <c r="I155" s="12">
        <f>ksh*Massivete/(H155*RhoA)*DeltaT*(F155+G155)</f>
        <v>2.8680248901235679</v>
      </c>
      <c r="J155" s="3">
        <f>IF(E155&lt;=500,IF(Galva=Oui,0.35,0.7),0.7)</f>
        <v>0.7</v>
      </c>
    </row>
    <row r="156" spans="2:10" x14ac:dyDescent="0.25">
      <c r="B156" s="3">
        <f>B155+DeltaT</f>
        <v>695</v>
      </c>
      <c r="C156" s="13">
        <f t="shared" si="16"/>
        <v>11.583333333333334</v>
      </c>
      <c r="D156" s="11">
        <f t="shared" si="17"/>
        <v>700.19684748896907</v>
      </c>
      <c r="E156" s="23">
        <f t="shared" si="14"/>
        <v>551.29494300549811</v>
      </c>
      <c r="F156" s="23">
        <f>AlphaC*(D156-E156)</f>
        <v>3722.5476120867738</v>
      </c>
      <c r="G156" s="13">
        <f>Phi*EpsilonF*Botzman/10^8*J156*((D156+273)^4-(E156+273)^4)</f>
        <v>17279.141519802226</v>
      </c>
      <c r="H156" s="23">
        <f t="shared" si="15"/>
        <v>709.48336212178401</v>
      </c>
      <c r="I156" s="12">
        <f>ksh*Massivete/(H156*RhoA)*DeltaT*(F156+G156)</f>
        <v>2.8380373708322146</v>
      </c>
      <c r="J156" s="3">
        <f>IF(E156&lt;=500,IF(Galva=Oui,0.35,0.7),0.7)</f>
        <v>0.7</v>
      </c>
    </row>
    <row r="157" spans="2:10" x14ac:dyDescent="0.25">
      <c r="B157" s="3">
        <f>B156+DeltaT</f>
        <v>700</v>
      </c>
      <c r="C157" s="13">
        <f t="shared" si="16"/>
        <v>11.666666666666666</v>
      </c>
      <c r="D157" s="11">
        <f t="shared" si="17"/>
        <v>701.25948737759654</v>
      </c>
      <c r="E157" s="23">
        <f t="shared" si="14"/>
        <v>554.13298037633035</v>
      </c>
      <c r="F157" s="23">
        <f>AlphaC*(D157-E157)</f>
        <v>3678.1626750316545</v>
      </c>
      <c r="G157" s="13">
        <f>Phi*EpsilonF*Botzman/10^8*J157*((D157+273)^4-(E157+273)^4)</f>
        <v>17181.237525901332</v>
      </c>
      <c r="H157" s="23">
        <f t="shared" si="15"/>
        <v>712.14945080554367</v>
      </c>
      <c r="I157" s="12">
        <f>ksh*Massivete/(H157*RhoA)*DeltaT*(F157+G157)</f>
        <v>2.8082564965400998</v>
      </c>
      <c r="J157" s="3">
        <f>IF(E157&lt;=500,IF(Galva=Oui,0.35,0.7),0.7)</f>
        <v>0.7</v>
      </c>
    </row>
    <row r="158" spans="2:10" x14ac:dyDescent="0.25">
      <c r="B158" s="3">
        <f>B157+DeltaT</f>
        <v>705</v>
      </c>
      <c r="C158" s="13">
        <f t="shared" si="16"/>
        <v>11.75</v>
      </c>
      <c r="D158" s="11">
        <f t="shared" si="17"/>
        <v>702.31464382465242</v>
      </c>
      <c r="E158" s="23">
        <f t="shared" si="14"/>
        <v>556.94123687287049</v>
      </c>
      <c r="F158" s="23">
        <f>AlphaC*(D158-E158)</f>
        <v>3634.3351737945482</v>
      </c>
      <c r="G158" s="13">
        <f>Phi*EpsilonF*Botzman/10^8*J158*((D158+273)^4-(E158+273)^4)</f>
        <v>17082.820229751862</v>
      </c>
      <c r="H158" s="23">
        <f t="shared" si="15"/>
        <v>714.81928272364451</v>
      </c>
      <c r="I158" s="12">
        <f>ksh*Massivete/(H158*RhoA)*DeltaT*(F158+G158)</f>
        <v>2.7786891415740853</v>
      </c>
      <c r="J158" s="3">
        <f>IF(E158&lt;=500,IF(Galva=Oui,0.35,0.7),0.7)</f>
        <v>0.7</v>
      </c>
    </row>
    <row r="159" spans="2:10" x14ac:dyDescent="0.25">
      <c r="B159" s="3">
        <f>B158+DeltaT</f>
        <v>710</v>
      </c>
      <c r="C159" s="13">
        <f t="shared" si="16"/>
        <v>11.833333333333334</v>
      </c>
      <c r="D159" s="11">
        <f t="shared" si="17"/>
        <v>703.36242149494376</v>
      </c>
      <c r="E159" s="23">
        <f t="shared" si="14"/>
        <v>559.71992601444458</v>
      </c>
      <c r="F159" s="23">
        <f>AlphaC*(D159-E159)</f>
        <v>3591.0623870124796</v>
      </c>
      <c r="G159" s="13">
        <f>Phi*EpsilonF*Botzman/10^8*J159*((D159+273)^4-(E159+273)^4)</f>
        <v>16983.940444228825</v>
      </c>
      <c r="H159" s="23">
        <f t="shared" si="15"/>
        <v>717.49235098495342</v>
      </c>
      <c r="I159" s="12">
        <f>ksh*Massivete/(H159*RhoA)*DeltaT*(F159+G159)</f>
        <v>2.7493417537319043</v>
      </c>
      <c r="J159" s="3">
        <f>IF(E159&lt;=500,IF(Galva=Oui,0.35,0.7),0.7)</f>
        <v>0.7</v>
      </c>
    </row>
    <row r="160" spans="2:10" x14ac:dyDescent="0.25">
      <c r="B160" s="3">
        <f>B159+DeltaT</f>
        <v>715</v>
      </c>
      <c r="C160" s="13">
        <f t="shared" si="16"/>
        <v>11.916666666666666</v>
      </c>
      <c r="D160" s="11">
        <f t="shared" si="17"/>
        <v>704.40292287272541</v>
      </c>
      <c r="E160" s="23">
        <f t="shared" si="14"/>
        <v>562.46926776817645</v>
      </c>
      <c r="F160" s="23">
        <f>AlphaC*(D160-E160)</f>
        <v>3548.341377613724</v>
      </c>
      <c r="G160" s="13">
        <f>Phi*EpsilonF*Botzman/10^8*J160*((D160+273)^4-(E160+273)^4)</f>
        <v>16884.647684546038</v>
      </c>
      <c r="H160" s="23">
        <f t="shared" si="15"/>
        <v>720.16815679435592</v>
      </c>
      <c r="I160" s="12">
        <f>ksh*Massivete/(H160*RhoA)*DeltaT*(F160+G160)</f>
        <v>2.7202203642295024</v>
      </c>
      <c r="J160" s="3">
        <f>IF(E160&lt;=500,IF(Galva=Oui,0.35,0.7),0.7)</f>
        <v>0.7</v>
      </c>
    </row>
    <row r="161" spans="2:10" x14ac:dyDescent="0.25">
      <c r="B161" s="3">
        <f>B160+DeltaT</f>
        <v>720</v>
      </c>
      <c r="C161" s="13">
        <f t="shared" si="16"/>
        <v>12</v>
      </c>
      <c r="D161" s="11">
        <f t="shared" si="17"/>
        <v>705.43624832185446</v>
      </c>
      <c r="E161" s="23">
        <f t="shared" si="14"/>
        <v>565.18948813240593</v>
      </c>
      <c r="F161" s="23">
        <f>AlphaC*(D161-E161)</f>
        <v>3506.1690047362135</v>
      </c>
      <c r="G161" s="13">
        <f>Phi*EpsilonF*Botzman/10^8*J161*((D161+273)^4-(E161+273)^4)</f>
        <v>16784.990165084502</v>
      </c>
      <c r="H161" s="23">
        <f t="shared" si="15"/>
        <v>722.84620984882065</v>
      </c>
      <c r="I161" s="12">
        <f>ksh*Massivete/(H161*RhoA)*DeltaT*(F161+G161)</f>
        <v>2.6913305980202304</v>
      </c>
      <c r="J161" s="3">
        <f>IF(E161&lt;=500,IF(Galva=Oui,0.35,0.7),0.7)</f>
        <v>0.7</v>
      </c>
    </row>
    <row r="162" spans="2:10" x14ac:dyDescent="0.25">
      <c r="B162" s="3">
        <f>B161+DeltaT</f>
        <v>725</v>
      </c>
      <c r="C162" s="13">
        <f t="shared" si="16"/>
        <v>12.083333333333334</v>
      </c>
      <c r="D162" s="11">
        <f t="shared" si="17"/>
        <v>706.46249614388421</v>
      </c>
      <c r="E162" s="23">
        <f t="shared" si="14"/>
        <v>567.8808187304262</v>
      </c>
      <c r="F162" s="23">
        <f>AlphaC*(D162-E162)</f>
        <v>3464.5419353364505</v>
      </c>
      <c r="G162" s="13">
        <f>Phi*EpsilonF*Botzman/10^8*J162*((D162+273)^4-(E162+273)^4)</f>
        <v>16685.014798421314</v>
      </c>
      <c r="H162" s="23">
        <f t="shared" si="15"/>
        <v>725.52602869655993</v>
      </c>
      <c r="I162" s="12">
        <f>ksh*Massivete/(H162*RhoA)*DeltaT*(F162+G162)</f>
        <v>2.6626776844297786</v>
      </c>
      <c r="J162" s="3">
        <f>IF(E162&lt;=500,IF(Galva=Oui,0.35,0.7),0.7)</f>
        <v>0.7</v>
      </c>
    </row>
    <row r="163" spans="2:10" x14ac:dyDescent="0.25">
      <c r="B163" s="3">
        <f>B162+DeltaT</f>
        <v>730</v>
      </c>
      <c r="C163" s="13">
        <f t="shared" si="16"/>
        <v>12.166666666666666</v>
      </c>
      <c r="D163" s="11">
        <f t="shared" si="17"/>
        <v>707.48176263418259</v>
      </c>
      <c r="E163" s="23">
        <f t="shared" si="14"/>
        <v>570.54349641485601</v>
      </c>
      <c r="F163" s="23">
        <f>AlphaC*(D163-E163)</f>
        <v>3423.4566554831645</v>
      </c>
      <c r="G163" s="13">
        <f>Phi*EpsilonF*Botzman/10^8*J163*((D163+273)^4-(E163+273)^4)</f>
        <v>16584.767196446919</v>
      </c>
      <c r="H163" s="23">
        <f t="shared" si="15"/>
        <v>728.20714106051901</v>
      </c>
      <c r="I163" s="12">
        <f>ksh*Massivete/(H163*RhoA)*DeltaT*(F163+G163)</f>
        <v>2.6342664680534593</v>
      </c>
      <c r="J163" s="3">
        <f>IF(E163&lt;=500,IF(Galva=Oui,0.35,0.7),0.7)</f>
        <v>0.7</v>
      </c>
    </row>
    <row r="164" spans="2:10" x14ac:dyDescent="0.25">
      <c r="B164" s="3">
        <f>B163+DeltaT</f>
        <v>735</v>
      </c>
      <c r="C164" s="13">
        <f t="shared" si="16"/>
        <v>12.25</v>
      </c>
      <c r="D164" s="11">
        <f t="shared" si="17"/>
        <v>708.49414213615466</v>
      </c>
      <c r="E164" s="23">
        <f t="shared" si="14"/>
        <v>573.17776288290952</v>
      </c>
      <c r="F164" s="23">
        <f>AlphaC*(D164-E164)</f>
        <v>3382.9094813311285</v>
      </c>
      <c r="G164" s="13">
        <f>Phi*EpsilonF*Botzman/10^8*J164*((D164+273)^4-(E164+273)^4)</f>
        <v>16484.291673458036</v>
      </c>
      <c r="H164" s="23">
        <f t="shared" si="15"/>
        <v>730.88908412746264</v>
      </c>
      <c r="I164" s="12">
        <f>ksh*Massivete/(H164*RhoA)*DeltaT*(F164+G164)</f>
        <v>2.6061014198653085</v>
      </c>
      <c r="J164" s="3">
        <f>IF(E164&lt;=500,IF(Galva=Oui,0.35,0.7),0.7)</f>
        <v>0.7</v>
      </c>
    </row>
    <row r="165" spans="2:10" x14ac:dyDescent="0.25">
      <c r="B165" s="3">
        <f>B164+DeltaT</f>
        <v>740</v>
      </c>
      <c r="C165" s="13">
        <f t="shared" si="16"/>
        <v>12.333333333333334</v>
      </c>
      <c r="D165" s="11">
        <f t="shared" si="17"/>
        <v>709.49972709364465</v>
      </c>
      <c r="E165" s="23">
        <f t="shared" si="14"/>
        <v>575.78386430277487</v>
      </c>
      <c r="F165" s="23">
        <f>AlphaC*(D165-E165)</f>
        <v>3342.8965697717445</v>
      </c>
      <c r="G165" s="13">
        <f>Phi*EpsilonF*Botzman/10^8*J165*((D165+273)^4-(E165+273)^4)</f>
        <v>16383.631251114526</v>
      </c>
      <c r="H165" s="23">
        <f t="shared" si="15"/>
        <v>733.57140480396515</v>
      </c>
      <c r="I165" s="12">
        <f>ksh*Massivete/(H165*RhoA)*DeltaT*(F165+G165)</f>
        <v>2.5781866484913771</v>
      </c>
      <c r="J165" s="3">
        <f>IF(E165&lt;=500,IF(Galva=Oui,0.35,0.7),0.7)</f>
        <v>0.7</v>
      </c>
    </row>
    <row r="166" spans="2:10" x14ac:dyDescent="0.25">
      <c r="B166" s="3">
        <f>B165+DeltaT</f>
        <v>745</v>
      </c>
      <c r="C166" s="13">
        <f t="shared" si="16"/>
        <v>12.416666666666666</v>
      </c>
      <c r="D166" s="11">
        <f t="shared" si="17"/>
        <v>710.49860810159248</v>
      </c>
      <c r="E166" s="23">
        <f t="shared" si="14"/>
        <v>578.36205095126627</v>
      </c>
      <c r="F166" s="23">
        <f>AlphaC*(D166-E166)</f>
        <v>3303.4139287581552</v>
      </c>
      <c r="G166" s="13">
        <f>Phi*EpsilonF*Botzman/10^8*J166*((D166+273)^4-(E166+273)^4)</f>
        <v>16282.827665149385</v>
      </c>
      <c r="H166" s="23">
        <f t="shared" si="15"/>
        <v>736.253659940636</v>
      </c>
      <c r="I166" s="12">
        <f>ksh*Massivete/(H166*RhoA)*DeltaT*(F166+G166)</f>
        <v>2.5505259116024916</v>
      </c>
      <c r="J166" s="3">
        <f>IF(E166&lt;=500,IF(Galva=Oui,0.35,0.7),0.7)</f>
        <v>0.7</v>
      </c>
    </row>
    <row r="167" spans="2:10" x14ac:dyDescent="0.25">
      <c r="B167" s="3">
        <f>B166+DeltaT</f>
        <v>750</v>
      </c>
      <c r="C167" s="13">
        <f t="shared" si="16"/>
        <v>12.5</v>
      </c>
      <c r="D167" s="11">
        <f t="shared" si="17"/>
        <v>711.49087395501169</v>
      </c>
      <c r="E167" s="23">
        <f t="shared" si="14"/>
        <v>580.91257686286872</v>
      </c>
      <c r="F167" s="23">
        <f>AlphaC*(D167-E167)</f>
        <v>3264.4574273035741</v>
      </c>
      <c r="G167" s="13">
        <f>Phi*EpsilonF*Botzman/10^8*J167*((D167+273)^4-(E167+273)^4)</f>
        <v>16181.921373722034</v>
      </c>
      <c r="H167" s="23">
        <f t="shared" si="15"/>
        <v>738.93541652592705</v>
      </c>
      <c r="I167" s="12">
        <f>ksh*Massivete/(H167*RhoA)*DeltaT*(F167+G167)</f>
        <v>2.5231226273846312</v>
      </c>
      <c r="J167" s="3">
        <f>IF(E167&lt;=500,IF(Galva=Oui,0.35,0.7),0.7)</f>
        <v>0.7</v>
      </c>
    </row>
    <row r="168" spans="2:10" x14ac:dyDescent="0.25">
      <c r="B168" s="3">
        <f>B167+DeltaT</f>
        <v>755</v>
      </c>
      <c r="C168" s="13">
        <f t="shared" si="16"/>
        <v>12.583333333333334</v>
      </c>
      <c r="D168" s="11">
        <f t="shared" si="17"/>
        <v>712.47661169635751</v>
      </c>
      <c r="E168" s="23">
        <f t="shared" si="14"/>
        <v>583.43569949025334</v>
      </c>
      <c r="F168" s="23">
        <f>AlphaC*(D168-E168)</f>
        <v>3226.0228051526042</v>
      </c>
      <c r="G168" s="13">
        <f>Phi*EpsilonF*Botzman/10^8*J168*((D168+273)^4-(E168+273)^4)</f>
        <v>16080.951567307757</v>
      </c>
      <c r="H168" s="23">
        <f t="shared" si="15"/>
        <v>741.61625185088315</v>
      </c>
      <c r="I168" s="12">
        <f>ksh*Massivete/(H168*RhoA)*DeltaT*(F168+G168)</f>
        <v>2.4959798860480178</v>
      </c>
      <c r="J168" s="3">
        <f>IF(E168&lt;=500,IF(Galva=Oui,0.35,0.7),0.7)</f>
        <v>0.7</v>
      </c>
    </row>
    <row r="169" spans="2:10" x14ac:dyDescent="0.25">
      <c r="B169" s="3">
        <f>B168+DeltaT</f>
        <v>760</v>
      </c>
      <c r="C169" s="13">
        <f t="shared" si="16"/>
        <v>12.666666666666666</v>
      </c>
      <c r="D169" s="11">
        <f t="shared" si="17"/>
        <v>713.45590666134581</v>
      </c>
      <c r="E169" s="23">
        <f t="shared" si="14"/>
        <v>585.9316793763013</v>
      </c>
      <c r="F169" s="23">
        <f>AlphaC*(D169-E169)</f>
        <v>3188.1056821261127</v>
      </c>
      <c r="G169" s="13">
        <f>Phi*EpsilonF*Botzman/10^8*J169*((D169+273)^4-(E169+273)^4)</f>
        <v>15979.956180017027</v>
      </c>
      <c r="H169" s="23">
        <f t="shared" si="15"/>
        <v>744.29575364619234</v>
      </c>
      <c r="I169" s="12">
        <f>ksh*Massivete/(H169*RhoA)*DeltaT*(F169+G169)</f>
        <v>2.4691004613387642</v>
      </c>
      <c r="J169" s="3">
        <f>IF(E169&lt;=500,IF(Galva=Oui,0.35,0.7),0.7)</f>
        <v>0.7</v>
      </c>
    </row>
    <row r="170" spans="2:10" x14ac:dyDescent="0.25">
      <c r="B170" s="3">
        <f>B169+DeltaT</f>
        <v>765</v>
      </c>
      <c r="C170" s="13">
        <f t="shared" si="16"/>
        <v>12.75</v>
      </c>
      <c r="D170" s="11">
        <f t="shared" si="17"/>
        <v>714.42884252328429</v>
      </c>
      <c r="E170" s="23">
        <f t="shared" si="14"/>
        <v>588.40077983764002</v>
      </c>
      <c r="F170" s="23">
        <f>AlphaC*(D170-E170)</f>
        <v>3150.7015671411068</v>
      </c>
      <c r="G170" s="13">
        <f>Phi*EpsilonF*Botzman/10^8*J170*((D170+273)^4-(E170+273)^4)</f>
        <v>15878.97190224189</v>
      </c>
      <c r="H170" s="23">
        <f t="shared" si="15"/>
        <v>746.97352019289997</v>
      </c>
      <c r="I170" s="12">
        <f>ksh*Massivete/(H170*RhoA)*DeltaT*(F170+G170)</f>
        <v>2.4424868220197475</v>
      </c>
      <c r="J170" s="3">
        <f>IF(E170&lt;=500,IF(Galva=Oui,0.35,0.7),0.7)</f>
        <v>0.7</v>
      </c>
    </row>
    <row r="171" spans="2:10" x14ac:dyDescent="0.25">
      <c r="B171" s="3">
        <f>B170+DeltaT</f>
        <v>770</v>
      </c>
      <c r="C171" s="13">
        <f t="shared" si="16"/>
        <v>12.833333333333334</v>
      </c>
      <c r="D171" s="11">
        <f t="shared" si="17"/>
        <v>715.39550133597538</v>
      </c>
      <c r="E171" s="23">
        <f t="shared" si="14"/>
        <v>590.84326665965978</v>
      </c>
      <c r="F171" s="23">
        <f>AlphaC*(D171-E171)</f>
        <v>3113.80586690789</v>
      </c>
      <c r="G171" s="13">
        <f>Phi*EpsilonF*Botzman/10^8*J171*((D171+273)^4-(E171+273)^4)</f>
        <v>15778.034194528993</v>
      </c>
      <c r="H171" s="23">
        <f t="shared" si="15"/>
        <v>749.64916040813046</v>
      </c>
      <c r="I171" s="12">
        <f>ksh*Massivete/(H171*RhoA)*DeltaT*(F171+G171)</f>
        <v>2.4161411432901461</v>
      </c>
      <c r="J171" s="3">
        <f>IF(E171&lt;=500,IF(Galva=Oui,0.35,0.7),0.7)</f>
        <v>0.7</v>
      </c>
    </row>
    <row r="172" spans="2:10" x14ac:dyDescent="0.25">
      <c r="B172" s="3">
        <f>B171+DeltaT</f>
        <v>775</v>
      </c>
      <c r="C172" s="13">
        <f t="shared" si="16"/>
        <v>12.916666666666666</v>
      </c>
      <c r="D172" s="11">
        <f t="shared" si="17"/>
        <v>716.35596357524128</v>
      </c>
      <c r="E172" s="23">
        <f t="shared" si="14"/>
        <v>593.25940780294991</v>
      </c>
      <c r="F172" s="23">
        <f>AlphaC*(D172-E172)</f>
        <v>3077.413894307284</v>
      </c>
      <c r="G172" s="13">
        <f>Phi*EpsilonF*Botzman/10^8*J172*((D172+273)^4-(E172+273)^4)</f>
        <v>15677.177302580893</v>
      </c>
      <c r="H172" s="23">
        <f t="shared" si="15"/>
        <v>752.32229390715679</v>
      </c>
      <c r="I172" s="12">
        <f>ksh*Massivete/(H172*RhoA)*DeltaT*(F172+G172)</f>
        <v>2.3900653181155236</v>
      </c>
      <c r="J172" s="3">
        <f>IF(E172&lt;=500,IF(Galva=Oui,0.35,0.7),0.7)</f>
        <v>0.7</v>
      </c>
    </row>
    <row r="173" spans="2:10" x14ac:dyDescent="0.25">
      <c r="B173" s="3">
        <f>B172+DeltaT</f>
        <v>780</v>
      </c>
      <c r="C173" s="13">
        <f t="shared" si="16"/>
        <v>13</v>
      </c>
      <c r="D173" s="11">
        <f t="shared" si="17"/>
        <v>717.31030817912858</v>
      </c>
      <c r="E173" s="23">
        <f t="shared" si="14"/>
        <v>595.6494731210654</v>
      </c>
      <c r="F173" s="23">
        <f>AlphaC*(D173-E173)</f>
        <v>3041.5208764515796</v>
      </c>
      <c r="G173" s="13">
        <f>Phi*EpsilonF*Botzman/10^8*J173*((D173+273)^4-(E173+273)^4)</f>
        <v>15576.434273291738</v>
      </c>
      <c r="H173" s="23">
        <f t="shared" si="15"/>
        <v>754.99255104313033</v>
      </c>
      <c r="I173" s="12">
        <f>ksh*Massivete/(H173*RhoA)*DeltaT*(F173+G173)</f>
        <v>2.3642609684431157</v>
      </c>
      <c r="J173" s="3">
        <f>IF(E173&lt;=500,IF(Galva=Oui,0.35,0.7),0.7)</f>
        <v>0.7</v>
      </c>
    </row>
    <row r="174" spans="2:10" x14ac:dyDescent="0.25">
      <c r="B174" s="3">
        <f>B173+DeltaT</f>
        <v>785</v>
      </c>
      <c r="C174" s="13">
        <f t="shared" si="16"/>
        <v>13.083333333333334</v>
      </c>
      <c r="D174" s="11">
        <f t="shared" si="17"/>
        <v>718.25861258684074</v>
      </c>
      <c r="E174" s="23">
        <f t="shared" si="14"/>
        <v>598.01373408950849</v>
      </c>
      <c r="F174" s="23">
        <f>AlphaC*(D174-E174)</f>
        <v>3006.1219624333062</v>
      </c>
      <c r="G174" s="13">
        <f>Phi*EpsilonF*Botzman/10^8*J174*((D174+273)^4-(E174+273)^4)</f>
        <v>15475.836971725546</v>
      </c>
      <c r="H174" s="23">
        <f t="shared" si="15"/>
        <v>757.65957292577002</v>
      </c>
      <c r="I174" s="12">
        <f>ksh*Massivete/(H174*RhoA)*DeltaT*(F174+G174)</f>
        <v>2.3387294562792409</v>
      </c>
      <c r="J174" s="3">
        <f>IF(E174&lt;=500,IF(Galva=Oui,0.35,0.7),0.7)</f>
        <v>0.7</v>
      </c>
    </row>
    <row r="175" spans="2:10" x14ac:dyDescent="0.25">
      <c r="B175" s="3">
        <f>B174+DeltaT</f>
        <v>790</v>
      </c>
      <c r="C175" s="13">
        <f t="shared" si="16"/>
        <v>13.166666666666666</v>
      </c>
      <c r="D175" s="11">
        <f t="shared" si="17"/>
        <v>719.20095277644396</v>
      </c>
      <c r="E175" s="23">
        <f t="shared" si="14"/>
        <v>600.35246354578771</v>
      </c>
      <c r="F175" s="23">
        <f>AlphaC*(D175-E175)</f>
        <v>2971.2122307664058</v>
      </c>
      <c r="G175" s="13">
        <f>Phi*EpsilonF*Botzman/10^8*J175*((D175+273)^4-(E175+273)^4)</f>
        <v>15375.416098948481</v>
      </c>
      <c r="H175" s="23">
        <f t="shared" si="15"/>
        <v>760.45864659063511</v>
      </c>
      <c r="I175" s="12">
        <f>ksh*Massivete/(H175*RhoA)*DeltaT*(F175+G175)</f>
        <v>2.3130592644723849</v>
      </c>
      <c r="J175" s="3">
        <f>IF(E175&lt;=500,IF(Galva=Oui,0.35,0.7),0.7)</f>
        <v>0.7</v>
      </c>
    </row>
    <row r="176" spans="2:10" x14ac:dyDescent="0.25">
      <c r="B176" s="3">
        <f>B175+DeltaT</f>
        <v>795</v>
      </c>
      <c r="C176" s="13">
        <f t="shared" si="16"/>
        <v>13.25</v>
      </c>
      <c r="D176" s="11">
        <f t="shared" si="17"/>
        <v>720.13740330139717</v>
      </c>
      <c r="E176" s="23">
        <f t="shared" si="14"/>
        <v>602.66552281026009</v>
      </c>
      <c r="F176" s="23">
        <f>AlphaC*(D176-E176)</f>
        <v>2936.7970122784272</v>
      </c>
      <c r="G176" s="13">
        <f>Phi*EpsilonF*Botzman/10^8*J176*((D176+273)^4-(E176+273)^4)</f>
        <v>15275.2451968968</v>
      </c>
      <c r="H176" s="23">
        <f t="shared" si="15"/>
        <v>762.07307960240689</v>
      </c>
      <c r="I176" s="12">
        <f>ksh*Massivete/(H176*RhoA)*DeltaT*(F176+G176)</f>
        <v>2.2912270472535408</v>
      </c>
      <c r="J176" s="3">
        <f>IF(E176&lt;=500,IF(Galva=Oui,0.35,0.7),0.7)</f>
        <v>0.7</v>
      </c>
    </row>
    <row r="177" spans="2:10" x14ac:dyDescent="0.25">
      <c r="B177" s="3">
        <f>B176+DeltaT</f>
        <v>800</v>
      </c>
      <c r="C177" s="13">
        <f t="shared" si="16"/>
        <v>13.333333333333334</v>
      </c>
      <c r="D177" s="11">
        <f t="shared" si="17"/>
        <v>721.06803732594688</v>
      </c>
      <c r="E177" s="23">
        <f t="shared" si="14"/>
        <v>604.95674985751361</v>
      </c>
      <c r="F177" s="23">
        <f>AlphaC*(D177-E177)</f>
        <v>2902.7821867108314</v>
      </c>
      <c r="G177" s="13">
        <f>Phi*EpsilonF*Botzman/10^8*J177*((D177+273)^4-(E177+273)^4)</f>
        <v>15174.970914695245</v>
      </c>
      <c r="H177" s="23">
        <f t="shared" si="15"/>
        <v>763.72761854566204</v>
      </c>
      <c r="I177" s="12">
        <f>ksh*Massivete/(H177*RhoA)*DeltaT*(F177+G177)</f>
        <v>2.2694052437704237</v>
      </c>
      <c r="J177" s="3">
        <f>IF(E177&lt;=500,IF(Galva=Oui,0.35,0.7),0.7)</f>
        <v>0.7</v>
      </c>
    </row>
    <row r="178" spans="2:10" x14ac:dyDescent="0.25">
      <c r="B178" s="3">
        <f>B177+DeltaT</f>
        <v>805</v>
      </c>
      <c r="C178" s="13">
        <f t="shared" si="16"/>
        <v>13.416666666666666</v>
      </c>
      <c r="D178" s="11">
        <f t="shared" si="17"/>
        <v>721.99292665942812</v>
      </c>
      <c r="E178" s="23">
        <f t="shared" ref="E178:E241" si="18">E177+I177</f>
        <v>607.22615510128401</v>
      </c>
      <c r="F178" s="23">
        <f>AlphaC*(D178-E178)</f>
        <v>2869.169288953603</v>
      </c>
      <c r="G178" s="13">
        <f>Phi*EpsilonF*Botzman/10^8*J178*((D178+273)^4-(E178+273)^4)</f>
        <v>15074.641383971635</v>
      </c>
      <c r="H178" s="23">
        <f t="shared" ref="H178:H241" si="19">IF(E178&lt;600,425+0.773*E178-1.69/1000*E178^2+2.22/1000^2*E178^3,IF(E178&lt;735,666+13002/(738-E178),IF(E178&lt;900,545+17820/(E178-731),650)))</f>
        <v>765.42355071130635</v>
      </c>
      <c r="I178" s="12">
        <f>ksh*Massivete/(H178*RhoA)*DeltaT*(F178+G178)</f>
        <v>2.247599657789662</v>
      </c>
      <c r="J178" s="3">
        <f>IF(E178&lt;=500,IF(Galva=Oui,0.35,0.7),0.7)</f>
        <v>0.7</v>
      </c>
    </row>
    <row r="179" spans="2:10" x14ac:dyDescent="0.25">
      <c r="B179" s="3">
        <f>B178+DeltaT</f>
        <v>810</v>
      </c>
      <c r="C179" s="13">
        <f t="shared" si="16"/>
        <v>13.5</v>
      </c>
      <c r="D179" s="11">
        <f t="shared" si="17"/>
        <v>722.91214178951509</v>
      </c>
      <c r="E179" s="23">
        <f t="shared" si="18"/>
        <v>609.4737547590737</v>
      </c>
      <c r="F179" s="23">
        <f>AlphaC*(D179-E179)</f>
        <v>2835.9596757610348</v>
      </c>
      <c r="G179" s="13">
        <f>Phi*EpsilonF*Botzman/10^8*J179*((D179+273)^4-(E179+273)^4)</f>
        <v>14974.304024791916</v>
      </c>
      <c r="H179" s="23">
        <f t="shared" si="19"/>
        <v>767.16221769045978</v>
      </c>
      <c r="I179" s="12">
        <f>ksh*Massivete/(H179*RhoA)*DeltaT*(F179+G179)</f>
        <v>2.2258159147931424</v>
      </c>
      <c r="J179" s="3">
        <f>IF(E179&lt;=500,IF(Galva=Oui,0.35,0.7),0.7)</f>
        <v>0.7</v>
      </c>
    </row>
    <row r="180" spans="2:10" x14ac:dyDescent="0.25">
      <c r="B180" s="3">
        <f>B179+DeltaT</f>
        <v>815</v>
      </c>
      <c r="C180" s="13">
        <f t="shared" si="16"/>
        <v>13.583333333333334</v>
      </c>
      <c r="D180" s="11">
        <f t="shared" si="17"/>
        <v>723.82575191445744</v>
      </c>
      <c r="E180" s="23">
        <f t="shared" si="18"/>
        <v>611.69957067386679</v>
      </c>
      <c r="F180" s="23">
        <f>AlphaC*(D180-E180)</f>
        <v>2803.1545310147662</v>
      </c>
      <c r="G180" s="13">
        <f>Phi*EpsilonF*Botzman/10^8*J180*((D180+273)^4-(E180+273)^4)</f>
        <v>14874.005531741752</v>
      </c>
      <c r="H180" s="23">
        <f t="shared" si="19"/>
        <v>768.94501823446865</v>
      </c>
      <c r="I180" s="12">
        <f>ksh*Massivete/(H180*RhoA)*DeltaT*(F180+G180)</f>
        <v>2.2040594589564924</v>
      </c>
      <c r="J180" s="3">
        <f>IF(E180&lt;=500,IF(Galva=Oui,0.35,0.7),0.7)</f>
        <v>0.7</v>
      </c>
    </row>
    <row r="181" spans="2:10" x14ac:dyDescent="0.25">
      <c r="B181" s="3">
        <f>B180+DeltaT</f>
        <v>820</v>
      </c>
      <c r="C181" s="13">
        <f t="shared" si="16"/>
        <v>13.666666666666666</v>
      </c>
      <c r="D181" s="11">
        <f t="shared" si="17"/>
        <v>724.73382497433931</v>
      </c>
      <c r="E181" s="23">
        <f t="shared" si="18"/>
        <v>613.90363013282331</v>
      </c>
      <c r="F181" s="23">
        <f>AlphaC*(D181-E181)</f>
        <v>2770.7548710379001</v>
      </c>
      <c r="G181" s="13">
        <f>Phi*EpsilonF*Botzman/10^8*J181*((D181+273)^4-(E181+273)^4)</f>
        <v>14773.791861587822</v>
      </c>
      <c r="H181" s="23">
        <f t="shared" si="19"/>
        <v>770.77341129250078</v>
      </c>
      <c r="I181" s="12">
        <f>ksh*Massivete/(H181*RhoA)*DeltaT*(F181+G181)</f>
        <v>2.1823355502830153</v>
      </c>
      <c r="J181" s="3">
        <f>IF(E181&lt;=500,IF(Galva=Oui,0.35,0.7),0.7)</f>
        <v>0.7</v>
      </c>
    </row>
    <row r="182" spans="2:10" x14ac:dyDescent="0.25">
      <c r="B182" s="3">
        <f>B181+DeltaT</f>
        <v>825</v>
      </c>
      <c r="C182" s="13">
        <f t="shared" si="16"/>
        <v>13.75</v>
      </c>
      <c r="D182" s="11">
        <f t="shared" si="17"/>
        <v>725.63642768139675</v>
      </c>
      <c r="E182" s="23">
        <f t="shared" si="18"/>
        <v>616.08596568310634</v>
      </c>
      <c r="F182" s="23">
        <f>AlphaC*(D182-E182)</f>
        <v>2738.7615499572603</v>
      </c>
      <c r="G182" s="13">
        <f>Phi*EpsilonF*Botzman/10^8*J182*((D182+273)^4-(E182+273)^4)</f>
        <v>14673.708222528383</v>
      </c>
      <c r="H182" s="23">
        <f t="shared" si="19"/>
        <v>772.64891923930293</v>
      </c>
      <c r="I182" s="12">
        <f>ksh*Massivete/(H182*RhoA)*DeltaT*(F182+G182)</f>
        <v>2.1606492618897857</v>
      </c>
      <c r="J182" s="3">
        <f>IF(E182&lt;=500,IF(Galva=Oui,0.35,0.7),0.7)</f>
        <v>0.7</v>
      </c>
    </row>
    <row r="183" spans="2:10" x14ac:dyDescent="0.25">
      <c r="B183" s="3">
        <f>B182+DeltaT</f>
        <v>830</v>
      </c>
      <c r="C183" s="13">
        <f t="shared" si="16"/>
        <v>13.833333333333334</v>
      </c>
      <c r="D183" s="11">
        <f t="shared" si="17"/>
        <v>726.53362554942794</v>
      </c>
      <c r="E183" s="23">
        <f t="shared" si="18"/>
        <v>618.24661494499617</v>
      </c>
      <c r="F183" s="23">
        <f>AlphaC*(D183-E183)</f>
        <v>2707.1752651107945</v>
      </c>
      <c r="G183" s="13">
        <f>Phi*EpsilonF*Botzman/10^8*J183*((D183+273)^4-(E183+273)^4)</f>
        <v>14573.799065038367</v>
      </c>
      <c r="H183" s="23">
        <f t="shared" si="19"/>
        <v>774.57313130671059</v>
      </c>
      <c r="I183" s="12">
        <f>ksh*Massivete/(H183*RhoA)*DeltaT*(F183+G183)</f>
        <v>2.1390054774418346</v>
      </c>
      <c r="J183" s="3">
        <f>IF(E183&lt;=500,IF(Galva=Oui,0.35,0.7),0.7)</f>
        <v>0.7</v>
      </c>
    </row>
    <row r="184" spans="2:10" x14ac:dyDescent="0.25">
      <c r="B184" s="3">
        <f>B183+DeltaT</f>
        <v>835</v>
      </c>
      <c r="C184" s="13">
        <f t="shared" si="16"/>
        <v>13.916666666666666</v>
      </c>
      <c r="D184" s="11">
        <f t="shared" si="17"/>
        <v>727.42548292232823</v>
      </c>
      <c r="E184" s="23">
        <f t="shared" si="18"/>
        <v>620.38562042243802</v>
      </c>
      <c r="F184" s="23">
        <f>AlphaC*(D184-E184)</f>
        <v>2675.9965624972551</v>
      </c>
      <c r="G184" s="13">
        <f>Phi*EpsilonF*Botzman/10^8*J184*((D184+273)^4-(E184+273)^4)</f>
        <v>14474.108074312921</v>
      </c>
      <c r="H184" s="23">
        <f t="shared" si="19"/>
        <v>776.54770723358445</v>
      </c>
      <c r="I184" s="12">
        <f>ksh*Massivete/(H184*RhoA)*DeltaT*(F184+G184)</f>
        <v>2.1174088887299676</v>
      </c>
      <c r="J184" s="3">
        <f>IF(E184&lt;=500,IF(Galva=Oui,0.35,0.7),0.7)</f>
        <v>0.7</v>
      </c>
    </row>
    <row r="185" spans="2:10" x14ac:dyDescent="0.25">
      <c r="B185" s="3">
        <f>B184+DeltaT</f>
        <v>840</v>
      </c>
      <c r="C185" s="13">
        <f t="shared" si="16"/>
        <v>14</v>
      </c>
      <c r="D185" s="11">
        <f t="shared" si="17"/>
        <v>728.31206300177973</v>
      </c>
      <c r="E185" s="23">
        <f t="shared" si="18"/>
        <v>622.50302931116801</v>
      </c>
      <c r="F185" s="23">
        <f>AlphaC*(D185-E185)</f>
        <v>2645.2258422652931</v>
      </c>
      <c r="G185" s="13">
        <f>Phi*EpsilonF*Botzman/10^8*J185*((D185+273)^4-(E185+273)^4)</f>
        <v>14374.678164309655</v>
      </c>
      <c r="H185" s="23">
        <f t="shared" si="19"/>
        <v>778.57438115004368</v>
      </c>
      <c r="I185" s="12">
        <f>ksh*Massivete/(H185*RhoA)*DeltaT*(F185+G185)</f>
        <v>2.0958639933870864</v>
      </c>
      <c r="J185" s="3">
        <f>IF(E185&lt;=500,IF(Galva=Oui,0.35,0.7),0.7)</f>
        <v>0.7</v>
      </c>
    </row>
    <row r="186" spans="2:10" x14ac:dyDescent="0.25">
      <c r="B186" s="3">
        <f>B185+DeltaT</f>
        <v>845</v>
      </c>
      <c r="C186" s="13">
        <f t="shared" si="16"/>
        <v>14.083333333333334</v>
      </c>
      <c r="D186" s="11">
        <f t="shared" si="17"/>
        <v>729.19342787412802</v>
      </c>
      <c r="E186" s="23">
        <f t="shared" si="18"/>
        <v>624.59889330455508</v>
      </c>
      <c r="F186" s="23">
        <f>AlphaC*(D186-E186)</f>
        <v>2614.8633642393233</v>
      </c>
      <c r="G186" s="13">
        <f>Phi*EpsilonF*Botzman/10^8*J186*((D186+273)^4-(E186+273)^4)</f>
        <v>14275.551473388767</v>
      </c>
      <c r="H186" s="23">
        <f t="shared" si="19"/>
        <v>780.65496571315441</v>
      </c>
      <c r="I186" s="12">
        <f>ksh*Massivete/(H186*RhoA)*DeltaT*(F186+G186)</f>
        <v>2.0743750927375659</v>
      </c>
      <c r="J186" s="3">
        <f>IF(E186&lt;=500,IF(Galva=Oui,0.35,0.7),0.7)</f>
        <v>0.7</v>
      </c>
    </row>
    <row r="187" spans="2:10" x14ac:dyDescent="0.25">
      <c r="B187" s="3">
        <f>B186+DeltaT</f>
        <v>850</v>
      </c>
      <c r="C187" s="13">
        <f t="shared" si="16"/>
        <v>14.166666666666666</v>
      </c>
      <c r="D187" s="11">
        <f t="shared" si="17"/>
        <v>730.06963853647221</v>
      </c>
      <c r="E187" s="23">
        <f t="shared" si="18"/>
        <v>626.67326839729265</v>
      </c>
      <c r="F187" s="23">
        <f>AlphaC*(D187-E187)</f>
        <v>2584.9092534794891</v>
      </c>
      <c r="G187" s="13">
        <f>Phi*EpsilonF*Botzman/10^8*J187*((D187+273)^4-(E187+273)^4)</f>
        <v>14176.769361546765</v>
      </c>
      <c r="H187" s="23">
        <f t="shared" si="19"/>
        <v>782.79135651265096</v>
      </c>
      <c r="I187" s="12">
        <f>ksh*Massivete/(H187*RhoA)*DeltaT*(F187+G187)</f>
        <v>2.0529462897735611</v>
      </c>
      <c r="J187" s="3">
        <f>IF(E187&lt;=500,IF(Galva=Oui,0.35,0.7),0.7)</f>
        <v>0.7</v>
      </c>
    </row>
    <row r="188" spans="2:10" x14ac:dyDescent="0.25">
      <c r="B188" s="3">
        <f>B187+DeltaT</f>
        <v>855</v>
      </c>
      <c r="C188" s="13">
        <f t="shared" si="16"/>
        <v>14.25</v>
      </c>
      <c r="D188" s="11">
        <f t="shared" si="17"/>
        <v>730.9407549219959</v>
      </c>
      <c r="E188" s="23">
        <f t="shared" si="18"/>
        <v>628.7262146870662</v>
      </c>
      <c r="F188" s="23">
        <f>AlphaC*(D188-E188)</f>
        <v>2555.3635058732425</v>
      </c>
      <c r="G188" s="13">
        <f>Phi*EpsilonF*Botzman/10^8*J188*((D188+273)^4-(E188+273)^4)</f>
        <v>14078.372409238171</v>
      </c>
      <c r="H188" s="23">
        <f t="shared" si="19"/>
        <v>784.98553676680467</v>
      </c>
      <c r="I188" s="12">
        <f>ksh*Massivete/(H188*RhoA)*DeltaT*(F188+G188)</f>
        <v>2.0315814872517919</v>
      </c>
      <c r="J188" s="3">
        <f>IF(E188&lt;=500,IF(Galva=Oui,0.35,0.7),0.7)</f>
        <v>0.7</v>
      </c>
    </row>
    <row r="189" spans="2:10" x14ac:dyDescent="0.25">
      <c r="B189" s="3">
        <f>B188+DeltaT</f>
        <v>860</v>
      </c>
      <c r="C189" s="13">
        <f t="shared" si="16"/>
        <v>14.333333333333334</v>
      </c>
      <c r="D189" s="11">
        <f t="shared" si="17"/>
        <v>731.80683592456774</v>
      </c>
      <c r="E189" s="23">
        <f t="shared" si="18"/>
        <v>630.75779617431795</v>
      </c>
      <c r="F189" s="23">
        <f>AlphaC*(D189-E189)</f>
        <v>2526.2259937562449</v>
      </c>
      <c r="G189" s="13">
        <f>Phi*EpsilonF*Botzman/10^8*J189*((D189+273)^4-(E189+273)^4)</f>
        <v>13980.400417777846</v>
      </c>
      <c r="H189" s="23">
        <f t="shared" si="19"/>
        <v>787.23958233023848</v>
      </c>
      <c r="I189" s="12">
        <f>ksh*Massivete/(H189*RhoA)*DeltaT*(F189+G189)</f>
        <v>2.0102843859039337</v>
      </c>
      <c r="J189" s="3">
        <f>IF(E189&lt;=500,IF(Galva=Oui,0.35,0.7),0.7)</f>
        <v>0.7</v>
      </c>
    </row>
    <row r="190" spans="2:10" x14ac:dyDescent="0.25">
      <c r="B190" s="3">
        <f>B189+DeltaT</f>
        <v>865</v>
      </c>
      <c r="C190" s="13">
        <f t="shared" si="16"/>
        <v>14.416666666666666</v>
      </c>
      <c r="D190" s="11">
        <f t="shared" si="17"/>
        <v>732.66793942263337</v>
      </c>
      <c r="E190" s="23">
        <f t="shared" si="18"/>
        <v>632.76808056022185</v>
      </c>
      <c r="F190" s="23">
        <f>AlphaC*(D190-E190)</f>
        <v>2497.4964715602882</v>
      </c>
      <c r="G190" s="13">
        <f>Phi*EpsilonF*Botzman/10^8*J190*((D190+273)^4-(E190+273)^4)</f>
        <v>13882.8924113139</v>
      </c>
      <c r="H190" s="23">
        <f t="shared" si="19"/>
        <v>789.55566703732654</v>
      </c>
      <c r="I190" s="12">
        <f>ksh*Massivete/(H190*RhoA)*DeltaT*(F190+G190)</f>
        <v>1.9890584827532285</v>
      </c>
      <c r="J190" s="3">
        <f>IF(E190&lt;=500,IF(Galva=Oui,0.35,0.7),0.7)</f>
        <v>0.7</v>
      </c>
    </row>
    <row r="191" spans="2:10" x14ac:dyDescent="0.25">
      <c r="B191" s="3">
        <f>B190+DeltaT</f>
        <v>870</v>
      </c>
      <c r="C191" s="13">
        <f t="shared" si="16"/>
        <v>14.5</v>
      </c>
      <c r="D191" s="11">
        <f t="shared" si="17"/>
        <v>733.52412230242578</v>
      </c>
      <c r="E191" s="23">
        <f t="shared" si="18"/>
        <v>634.75713904297504</v>
      </c>
      <c r="F191" s="23">
        <f>AlphaC*(D191-E191)</f>
        <v>2469.1745814862684</v>
      </c>
      <c r="G191" s="13">
        <f>Phi*EpsilonF*Botzman/10^8*J191*((D191+273)^4-(E191+273)^4)</f>
        <v>13785.886640360839</v>
      </c>
      <c r="H191" s="23">
        <f t="shared" si="19"/>
        <v>791.93606840682287</v>
      </c>
      <c r="I191" s="12">
        <f>ksh*Massivete/(H191*RhoA)*DeltaT*(F191+G191)</f>
        <v>1.9679070695297489</v>
      </c>
      <c r="J191" s="3">
        <f>IF(E191&lt;=500,IF(Galva=Oui,0.35,0.7),0.7)</f>
        <v>0.7</v>
      </c>
    </row>
    <row r="192" spans="2:10" x14ac:dyDescent="0.25">
      <c r="B192" s="3">
        <f>B191+DeltaT</f>
        <v>875</v>
      </c>
      <c r="C192" s="13">
        <f t="shared" si="16"/>
        <v>14.583333333333334</v>
      </c>
      <c r="D192" s="11">
        <f t="shared" si="17"/>
        <v>734.37544048051529</v>
      </c>
      <c r="E192" s="23">
        <f t="shared" si="18"/>
        <v>636.72504611250474</v>
      </c>
      <c r="F192" s="23">
        <f>AlphaC*(D192-E192)</f>
        <v>2441.2598592002637</v>
      </c>
      <c r="G192" s="13">
        <f>Phi*EpsilonF*Botzman/10^8*J192*((D192+273)^4-(E192+273)^4)</f>
        <v>13689.420586879845</v>
      </c>
      <c r="H192" s="23">
        <f t="shared" si="19"/>
        <v>794.38317373556856</v>
      </c>
      <c r="I192" s="12">
        <f>ksh*Massivete/(H192*RhoA)*DeltaT*(F192+G192)</f>
        <v>1.9468332311762246</v>
      </c>
      <c r="J192" s="3">
        <f>IF(E192&lt;=500,IF(Galva=Oui,0.35,0.7),0.7)</f>
        <v>0.7</v>
      </c>
    </row>
    <row r="193" spans="2:10" x14ac:dyDescent="0.25">
      <c r="B193" s="3">
        <f>B192+DeltaT</f>
        <v>880</v>
      </c>
      <c r="C193" s="13">
        <f t="shared" si="16"/>
        <v>14.666666666666666</v>
      </c>
      <c r="D193" s="11">
        <f t="shared" si="17"/>
        <v>735.22194892572395</v>
      </c>
      <c r="E193" s="23">
        <f t="shared" si="18"/>
        <v>638.67187934368098</v>
      </c>
      <c r="F193" s="23">
        <f>AlphaC*(D193-E193)</f>
        <v>2413.751739551074</v>
      </c>
      <c r="G193" s="13">
        <f>Phi*EpsilonF*Botzman/10^8*J193*((D193+273)^4-(E193+273)^4)</f>
        <v>13593.530970893204</v>
      </c>
      <c r="H193" s="23">
        <f t="shared" si="19"/>
        <v>796.89948661152732</v>
      </c>
      <c r="I193" s="12">
        <f>ksh*Massivete/(H193*RhoA)*DeltaT*(F193+G193)</f>
        <v>1.9258398444362739</v>
      </c>
      <c r="J193" s="3">
        <f>IF(E193&lt;=500,IF(Galva=Oui,0.35,0.7),0.7)</f>
        <v>0.7</v>
      </c>
    </row>
    <row r="194" spans="2:10" x14ac:dyDescent="0.25">
      <c r="B194" s="3">
        <f>B193+DeltaT</f>
        <v>885</v>
      </c>
      <c r="C194" s="13">
        <f t="shared" si="16"/>
        <v>14.75</v>
      </c>
      <c r="D194" s="11">
        <f t="shared" si="17"/>
        <v>736.06370168042304</v>
      </c>
      <c r="E194" s="23">
        <f t="shared" si="18"/>
        <v>640.59771918811725</v>
      </c>
      <c r="F194" s="23">
        <f>AlphaC*(D194-E194)</f>
        <v>2386.6495623076444</v>
      </c>
      <c r="G194" s="13">
        <f>Phi*EpsilonF*Botzman/10^8*J194*((D194+273)^4-(E194+273)^4)</f>
        <v>13498.253758617418</v>
      </c>
      <c r="H194" s="23">
        <f t="shared" si="19"/>
        <v>799.48763387903955</v>
      </c>
      <c r="I194" s="12">
        <f>ksh*Massivete/(H194*RhoA)*DeltaT*(F194+G194)</f>
        <v>1.9049295765164225</v>
      </c>
      <c r="J194" s="3">
        <f>IF(E194&lt;=500,IF(Galva=Oui,0.35,0.7),0.7)</f>
        <v>0.7</v>
      </c>
    </row>
    <row r="195" spans="2:10" x14ac:dyDescent="0.25">
      <c r="B195" s="3">
        <f>B194+DeltaT</f>
        <v>890</v>
      </c>
      <c r="C195" s="13">
        <f t="shared" si="16"/>
        <v>14.833333333333334</v>
      </c>
      <c r="D195" s="11">
        <f t="shared" si="17"/>
        <v>736.9007518812366</v>
      </c>
      <c r="E195" s="23">
        <f t="shared" si="18"/>
        <v>642.5026487646337</v>
      </c>
      <c r="F195" s="23">
        <f>AlphaC*(D195-E195)</f>
        <v>2359.9525779150727</v>
      </c>
      <c r="G195" s="13">
        <f>Phi*EpsilonF*Botzman/10^8*J195*((D195+273)^4-(E195+273)^4)</f>
        <v>13403.624172099551</v>
      </c>
      <c r="H195" s="23">
        <f t="shared" si="19"/>
        <v>802.15037309207446</v>
      </c>
      <c r="I195" s="12">
        <f>ksh*Massivete/(H195*RhoA)*DeltaT*(F195+G195)</f>
        <v>1.8841048838132537</v>
      </c>
      <c r="J195" s="3">
        <f>IF(E195&lt;=500,IF(Galva=Oui,0.35,0.7),0.7)</f>
        <v>0.7</v>
      </c>
    </row>
    <row r="196" spans="2:10" x14ac:dyDescent="0.25">
      <c r="B196" s="3">
        <f>B195+DeltaT</f>
        <v>895</v>
      </c>
      <c r="C196" s="13">
        <f t="shared" si="16"/>
        <v>14.916666666666666</v>
      </c>
      <c r="D196" s="11">
        <f t="shared" si="17"/>
        <v>737.73315177916845</v>
      </c>
      <c r="E196" s="23">
        <f t="shared" si="18"/>
        <v>644.38675364844698</v>
      </c>
      <c r="F196" s="23">
        <f>AlphaC*(D196-E196)</f>
        <v>2333.6599532680366</v>
      </c>
      <c r="G196" s="13">
        <f>Phi*EpsilonF*Botzman/10^8*J196*((D196+273)^4-(E196+273)^4)</f>
        <v>13309.676700340082</v>
      </c>
      <c r="H196" s="23">
        <f t="shared" si="19"/>
        <v>804.89060049442776</v>
      </c>
      <c r="I196" s="12">
        <f>ksh*Massivete/(H196*RhoA)*DeltaT*(F196+G196)</f>
        <v>1.863368010696812</v>
      </c>
      <c r="J196" s="3">
        <f>IF(E196&lt;=500,IF(Galva=Oui,0.35,0.7),0.7)</f>
        <v>0.7</v>
      </c>
    </row>
    <row r="197" spans="2:10" x14ac:dyDescent="0.25">
      <c r="B197" s="3">
        <f>B196+DeltaT</f>
        <v>900</v>
      </c>
      <c r="C197" s="13">
        <f t="shared" si="16"/>
        <v>15</v>
      </c>
      <c r="D197" s="11">
        <f t="shared" si="17"/>
        <v>738.56095275917517</v>
      </c>
      <c r="E197" s="23">
        <f t="shared" si="18"/>
        <v>646.25012165914382</v>
      </c>
      <c r="F197" s="23">
        <f>AlphaC*(D197-E197)</f>
        <v>2307.7707775007839</v>
      </c>
      <c r="G197" s="13">
        <f>Phi*EpsilonF*Botzman/10^8*J197*((D197+273)^4-(E197+273)^4)</f>
        <v>13216.44511188517</v>
      </c>
      <c r="H197" s="23">
        <f t="shared" si="19"/>
        <v>807.71135956929345</v>
      </c>
      <c r="I197" s="12">
        <f>ksh*Massivete/(H197*RhoA)*DeltaT*(F197+G197)</f>
        <v>1.8427209883413402</v>
      </c>
      <c r="J197" s="3">
        <f>IF(E197&lt;=500,IF(Galva=Oui,0.35,0.7),0.7)</f>
        <v>0.7</v>
      </c>
    </row>
    <row r="198" spans="2:10" x14ac:dyDescent="0.25">
      <c r="B198" s="3">
        <f>B197+DeltaT</f>
        <v>905</v>
      </c>
      <c r="C198" s="13">
        <f t="shared" si="16"/>
        <v>15.083333333333334</v>
      </c>
      <c r="D198" s="11">
        <f t="shared" si="17"/>
        <v>739.38420535920011</v>
      </c>
      <c r="E198" s="23">
        <f t="shared" si="18"/>
        <v>648.0928426474851</v>
      </c>
      <c r="F198" s="23">
        <f>AlphaC*(D198-E198)</f>
        <v>2282.2840677928752</v>
      </c>
      <c r="G198" s="13">
        <f>Phi*EpsilonF*Botzman/10^8*J198*((D198+273)^4-(E198+273)^4)</f>
        <v>13123.962468870395</v>
      </c>
      <c r="H198" s="23">
        <f t="shared" si="19"/>
        <v>810.61585020445875</v>
      </c>
      <c r="I198" s="12">
        <f>ksh*Massivete/(H198*RhoA)*DeltaT*(F198+G198)</f>
        <v>1.8221656335943528</v>
      </c>
      <c r="J198" s="3">
        <f>IF(E198&lt;=500,IF(Galva=Oui,0.35,0.7),0.7)</f>
        <v>0.7</v>
      </c>
    </row>
    <row r="199" spans="2:10" x14ac:dyDescent="0.25">
      <c r="B199" s="3">
        <f>B198+DeltaT</f>
        <v>910</v>
      </c>
      <c r="C199" s="13">
        <f t="shared" si="16"/>
        <v>15.166666666666666</v>
      </c>
      <c r="D199" s="11">
        <f t="shared" si="17"/>
        <v>740.20295928868723</v>
      </c>
      <c r="E199" s="23">
        <f t="shared" si="18"/>
        <v>649.91500828107951</v>
      </c>
      <c r="F199" s="23">
        <f>AlphaC*(D199-E199)</f>
        <v>2257.1987751901929</v>
      </c>
      <c r="G199" s="13">
        <f>Phi*EpsilonF*Botzman/10^8*J199*((D199+273)^4-(E199+273)^4)</f>
        <v>13032.2611424976</v>
      </c>
      <c r="H199" s="23">
        <f t="shared" si="19"/>
        <v>813.60743852357314</v>
      </c>
      <c r="I199" s="12">
        <f>ksh*Massivete/(H199*RhoA)*DeltaT*(F199+G199)</f>
        <v>1.8017035478750958</v>
      </c>
      <c r="J199" s="3">
        <f>IF(E199&lt;=500,IF(Galva=Oui,0.35,0.7),0.7)</f>
        <v>0.7</v>
      </c>
    </row>
    <row r="200" spans="2:10" x14ac:dyDescent="0.25">
      <c r="B200" s="3">
        <f>B199+DeltaT</f>
        <v>915</v>
      </c>
      <c r="C200" s="13">
        <f t="shared" si="16"/>
        <v>15.25</v>
      </c>
      <c r="D200" s="11">
        <f t="shared" si="17"/>
        <v>741.01726344659221</v>
      </c>
      <c r="E200" s="23">
        <f t="shared" si="18"/>
        <v>651.71671182895466</v>
      </c>
      <c r="F200" s="23">
        <f>AlphaC*(D200-E200)</f>
        <v>2232.5137904409389</v>
      </c>
      <c r="G200" s="13">
        <f>Phi*EpsilonF*Botzman/10^8*J200*((D200+273)^4-(E200+273)^4)</f>
        <v>12941.372829926731</v>
      </c>
      <c r="H200" s="23">
        <f t="shared" si="19"/>
        <v>816.68966743855697</v>
      </c>
      <c r="I200" s="12">
        <f>ksh*Massivete/(H200*RhoA)*DeltaT*(F200+G200)</f>
        <v>1.7813361160936376</v>
      </c>
      <c r="J200" s="3">
        <f>IF(E200&lt;=500,IF(Galva=Oui,0.35,0.7),0.7)</f>
        <v>0.7</v>
      </c>
    </row>
    <row r="201" spans="2:10" x14ac:dyDescent="0.25">
      <c r="B201" s="3">
        <f>B200+DeltaT</f>
        <v>920</v>
      </c>
      <c r="C201" s="13">
        <f t="shared" si="16"/>
        <v>15.333333333333334</v>
      </c>
      <c r="D201" s="11">
        <f t="shared" si="17"/>
        <v>741.82716593890734</v>
      </c>
      <c r="E201" s="23">
        <f t="shared" si="18"/>
        <v>653.49804794504826</v>
      </c>
      <c r="F201" s="23">
        <f>AlphaC*(D201-E201)</f>
        <v>2208.2279498464773</v>
      </c>
      <c r="G201" s="13">
        <f>Phi*EpsilonF*Botzman/10^8*J201*((D201+273)^4-(E201+273)^4)</f>
        <v>12851.328572563658</v>
      </c>
      <c r="H201" s="23">
        <f t="shared" si="19"/>
        <v>819.86626798330985</v>
      </c>
      <c r="I201" s="12">
        <f>ksh*Massivete/(H201*RhoA)*DeltaT*(F201+G201)</f>
        <v>1.7610645055819161</v>
      </c>
      <c r="J201" s="3">
        <f>IF(E201&lt;=500,IF(Galva=Oui,0.35,0.7),0.7)</f>
        <v>0.7</v>
      </c>
    </row>
    <row r="202" spans="2:10" x14ac:dyDescent="0.25">
      <c r="B202" s="3">
        <f>B201+DeltaT</f>
        <v>925</v>
      </c>
      <c r="C202" s="13">
        <f t="shared" si="16"/>
        <v>15.416666666666666</v>
      </c>
      <c r="D202" s="11">
        <f t="shared" si="17"/>
        <v>742.63271409571371</v>
      </c>
      <c r="E202" s="23">
        <f t="shared" si="18"/>
        <v>655.25911245063014</v>
      </c>
      <c r="F202" s="23">
        <f>AlphaC*(D202-E202)</f>
        <v>2184.3400411270891</v>
      </c>
      <c r="G202" s="13">
        <f>Phi*EpsilonF*Botzman/10^8*J202*((D202+273)^4-(E202+273)^4)</f>
        <v>12762.158775725096</v>
      </c>
      <c r="H202" s="23">
        <f t="shared" si="19"/>
        <v>823.1411714944677</v>
      </c>
      <c r="I202" s="12">
        <f>ksh*Massivete/(H202*RhoA)*DeltaT*(F202+G202)</f>
        <v>1.7408896650284307</v>
      </c>
      <c r="J202" s="3">
        <f>IF(E202&lt;=500,IF(Galva=Oui,0.35,0.7),0.7)</f>
        <v>0.7</v>
      </c>
    </row>
    <row r="203" spans="2:10" x14ac:dyDescent="0.25">
      <c r="B203" s="3">
        <f>B202+DeltaT</f>
        <v>930</v>
      </c>
      <c r="C203" s="13">
        <f t="shared" si="16"/>
        <v>15.5</v>
      </c>
      <c r="D203" s="11">
        <f t="shared" si="17"/>
        <v>743.43395448777937</v>
      </c>
      <c r="E203" s="23">
        <f t="shared" si="18"/>
        <v>657.00000211565862</v>
      </c>
      <c r="F203" s="23">
        <f>AlphaC*(D203-E203)</f>
        <v>2160.8488093030192</v>
      </c>
      <c r="G203" s="13">
        <f>Phi*EpsilonF*Botzman/10^8*J203*((D203+273)^4-(E203+273)^4)</f>
        <v>12673.893229662262</v>
      </c>
      <c r="H203" s="23">
        <f t="shared" si="19"/>
        <v>826.51852271114069</v>
      </c>
      <c r="I203" s="12">
        <f>ksh*Massivete/(H203*RhoA)*DeltaT*(F203+G203)</f>
        <v>1.7208123234087109</v>
      </c>
      <c r="J203" s="3">
        <f>IF(E203&lt;=500,IF(Galva=Oui,0.35,0.7),0.7)</f>
        <v>0.7</v>
      </c>
    </row>
    <row r="204" spans="2:10" x14ac:dyDescent="0.25">
      <c r="B204" s="3">
        <f>B203+DeltaT</f>
        <v>935</v>
      </c>
      <c r="C204" s="13">
        <f t="shared" si="16"/>
        <v>15.583333333333334</v>
      </c>
      <c r="D204" s="11">
        <f t="shared" si="17"/>
        <v>744.23093294271484</v>
      </c>
      <c r="E204" s="23">
        <f t="shared" si="18"/>
        <v>658.72081443906734</v>
      </c>
      <c r="F204" s="23">
        <f>AlphaC*(D204-E204)</f>
        <v>2137.7529625911875</v>
      </c>
      <c r="G204" s="13">
        <f>Phi*EpsilonF*Botzman/10^8*J204*((D204+273)^4-(E204+273)^4)</f>
        <v>12586.561131923812</v>
      </c>
      <c r="H204" s="23">
        <f t="shared" si="19"/>
        <v>830.00269387236426</v>
      </c>
      <c r="I204" s="12">
        <f>ksh*Massivete/(H204*RhoA)*DeltaT*(F204+G204)</f>
        <v>1.7008329889040945</v>
      </c>
      <c r="J204" s="3">
        <f>IF(E204&lt;=500,IF(Galva=Oui,0.35,0.7),0.7)</f>
        <v>0.7</v>
      </c>
    </row>
    <row r="205" spans="2:10" x14ac:dyDescent="0.25">
      <c r="B205" s="3">
        <f>B204+DeltaT</f>
        <v>940</v>
      </c>
      <c r="C205" s="13">
        <f t="shared" si="16"/>
        <v>15.666666666666666</v>
      </c>
      <c r="D205" s="11">
        <f t="shared" si="17"/>
        <v>745.0236945607013</v>
      </c>
      <c r="E205" s="23">
        <f t="shared" si="18"/>
        <v>660.42164742797138</v>
      </c>
      <c r="F205" s="23">
        <f>AlphaC*(D205-E205)</f>
        <v>2115.0511783182483</v>
      </c>
      <c r="G205" s="13">
        <f>Phi*EpsilonF*Botzman/10^8*J205*((D205+273)^4-(E205+273)^4)</f>
        <v>12500.191111039652</v>
      </c>
      <c r="H205" s="23">
        <f t="shared" si="19"/>
        <v>833.59829989852028</v>
      </c>
      <c r="I205" s="12">
        <f>ksh*Massivete/(H205*RhoA)*DeltaT*(F205+G205)</f>
        <v>1.6809519478021</v>
      </c>
      <c r="J205" s="3">
        <f>IF(E205&lt;=500,IF(Galva=Oui,0.35,0.7),0.7)</f>
        <v>0.7</v>
      </c>
    </row>
    <row r="206" spans="2:10" x14ac:dyDescent="0.25">
      <c r="B206" s="3">
        <f>B205+DeltaT</f>
        <v>945</v>
      </c>
      <c r="C206" s="13">
        <f t="shared" si="16"/>
        <v>15.75</v>
      </c>
      <c r="D206" s="11">
        <f t="shared" si="17"/>
        <v>745.81228372980513</v>
      </c>
      <c r="E206" s="23">
        <f t="shared" si="18"/>
        <v>662.10259937577348</v>
      </c>
      <c r="F206" s="23">
        <f>AlphaC*(D206-E206)</f>
        <v>2092.7421088507913</v>
      </c>
      <c r="G206" s="13">
        <f>Phi*EpsilonF*Botzman/10^8*J206*((D206+273)^4-(E206+273)^4)</f>
        <v>12414.811251506824</v>
      </c>
      <c r="H206" s="23">
        <f t="shared" si="19"/>
        <v>837.31021475127773</v>
      </c>
      <c r="I206" s="12">
        <f>ksh*Massivete/(H206*RhoA)*DeltaT*(F206+G206)</f>
        <v>1.6611692633724637</v>
      </c>
      <c r="J206" s="3">
        <f>IF(E206&lt;=500,IF(Galva=Oui,0.35,0.7),0.7)</f>
        <v>0.7</v>
      </c>
    </row>
    <row r="207" spans="2:10" x14ac:dyDescent="0.25">
      <c r="B207" s="3">
        <f>B206+DeltaT</f>
        <v>950</v>
      </c>
      <c r="C207" s="13">
        <f t="shared" si="16"/>
        <v>15.833333333333334</v>
      </c>
      <c r="D207" s="11">
        <f t="shared" si="17"/>
        <v>746.59674414089125</v>
      </c>
      <c r="E207" s="23">
        <f t="shared" si="18"/>
        <v>663.76376863914595</v>
      </c>
      <c r="F207" s="23">
        <f>AlphaC*(D207-E207)</f>
        <v>2070.8243875436324</v>
      </c>
      <c r="G207" s="13">
        <f>Phi*EpsilonF*Botzman/10^8*J207*((D207+273)^4-(E207+273)^4)</f>
        <v>12330.449120058705</v>
      </c>
      <c r="H207" s="23">
        <f t="shared" si="19"/>
        <v>841.1435890757806</v>
      </c>
      <c r="I207" s="12">
        <f>ksh*Massivete/(H207*RhoA)*DeltaT*(F207+G207)</f>
        <v>1.6414847747138612</v>
      </c>
      <c r="J207" s="3">
        <f>IF(E207&lt;=500,IF(Galva=Oui,0.35,0.7),0.7)</f>
        <v>0.7</v>
      </c>
    </row>
    <row r="208" spans="2:10" x14ac:dyDescent="0.25">
      <c r="B208" s="3">
        <f>B207+DeltaT</f>
        <v>955</v>
      </c>
      <c r="C208" s="13">
        <f t="shared" si="16"/>
        <v>15.916666666666666</v>
      </c>
      <c r="D208" s="11">
        <f t="shared" si="17"/>
        <v>747.37711880214908</v>
      </c>
      <c r="E208" s="23">
        <f t="shared" si="18"/>
        <v>665.40525341385978</v>
      </c>
      <c r="F208" s="23">
        <f>AlphaC*(D208-E208)</f>
        <v>2049.2966347072324</v>
      </c>
      <c r="G208" s="13">
        <f>Phi*EpsilonF*Botzman/10^8*J208*((D208+273)^4-(E208+273)^4)</f>
        <v>12247.131793199025</v>
      </c>
      <c r="H208" s="23">
        <f t="shared" si="19"/>
        <v>845.10386923896692</v>
      </c>
      <c r="I208" s="12">
        <f>ksh*Massivete/(H208*RhoA)*DeltaT*(F208+G208)</f>
        <v>1.6218980955675373</v>
      </c>
      <c r="J208" s="3">
        <f>IF(E208&lt;=500,IF(Galva=Oui,0.35,0.7),0.7)</f>
        <v>0.7</v>
      </c>
    </row>
    <row r="209" spans="2:10" x14ac:dyDescent="0.25">
      <c r="B209" s="3">
        <f>B208+DeltaT</f>
        <v>960</v>
      </c>
      <c r="C209" s="13">
        <f t="shared" si="16"/>
        <v>16</v>
      </c>
      <c r="D209" s="11">
        <f t="shared" si="17"/>
        <v>748.15345005324082</v>
      </c>
      <c r="E209" s="23">
        <f t="shared" si="18"/>
        <v>667.02715150942731</v>
      </c>
      <c r="F209" s="23">
        <f>AlphaC*(D209-E209)</f>
        <v>2028.1574635953375</v>
      </c>
      <c r="G209" s="13">
        <f>Phi*EpsilonF*Botzman/10^8*J209*((D209+273)^4-(E209+273)^4)</f>
        <v>12164.885885981223</v>
      </c>
      <c r="H209" s="23">
        <f t="shared" si="19"/>
        <v>849.19681788912635</v>
      </c>
      <c r="I209" s="12">
        <f>ksh*Massivete/(H209*RhoA)*DeltaT*(F209+G209)</f>
        <v>1.6024086130953603</v>
      </c>
      <c r="J209" s="3">
        <f>IF(E209&lt;=500,IF(Galva=Oui,0.35,0.7),0.7)</f>
        <v>0.7</v>
      </c>
    </row>
    <row r="210" spans="2:10" x14ac:dyDescent="0.25">
      <c r="B210" s="3">
        <f>B209+DeltaT</f>
        <v>965</v>
      </c>
      <c r="C210" s="13">
        <f t="shared" ref="C210:C273" si="20">B210/60</f>
        <v>16.083333333333332</v>
      </c>
      <c r="D210" s="11">
        <f t="shared" ref="D210:D273" si="21">20+345*LOG(8*C210+1,10)</f>
        <v>748.92577957908554</v>
      </c>
      <c r="E210" s="23">
        <f t="shared" si="18"/>
        <v>668.62956012252266</v>
      </c>
      <c r="F210" s="23">
        <f>AlphaC*(D210-E210)</f>
        <v>2007.4054864140721</v>
      </c>
      <c r="G210" s="13">
        <f>Phi*EpsilonF*Botzman/10^8*J210*((D210+273)^4-(E210+273)^4)</f>
        <v>12083.737582014803</v>
      </c>
      <c r="H210" s="23">
        <f t="shared" si="19"/>
        <v>853.42853617425874</v>
      </c>
      <c r="I210" s="12">
        <f>ksh*Massivete/(H210*RhoA)*DeltaT*(F210+G210)</f>
        <v>1.583015486621604</v>
      </c>
      <c r="J210" s="3">
        <f>IF(E210&lt;=500,IF(Galva=Oui,0.35,0.7),0.7)</f>
        <v>0.7</v>
      </c>
    </row>
    <row r="211" spans="2:10" x14ac:dyDescent="0.25">
      <c r="B211" s="3">
        <f>B210+DeltaT</f>
        <v>970</v>
      </c>
      <c r="C211" s="13">
        <f t="shared" si="20"/>
        <v>16.166666666666668</v>
      </c>
      <c r="D211" s="11">
        <f t="shared" si="21"/>
        <v>749.69414842329047</v>
      </c>
      <c r="E211" s="23">
        <f t="shared" si="18"/>
        <v>670.21257560914421</v>
      </c>
      <c r="F211" s="23">
        <f>AlphaC*(D211-E211)</f>
        <v>1987.0393203536564</v>
      </c>
      <c r="G211" s="13">
        <f>Phi*EpsilonF*Botzman/10^8*J211*((D211+273)^4-(E211+273)^4)</f>
        <v>12003.712664678684</v>
      </c>
      <c r="H211" s="23">
        <f t="shared" si="19"/>
        <v>857.8054877705888</v>
      </c>
      <c r="I211" s="12">
        <f>ksh*Massivete/(H211*RhoA)*DeltaT*(F211+G211)</f>
        <v>1.5637176463395142</v>
      </c>
      <c r="J211" s="3">
        <f>IF(E211&lt;=500,IF(Galva=Oui,0.35,0.7),0.7)</f>
        <v>0.7</v>
      </c>
    </row>
    <row r="212" spans="2:10" x14ac:dyDescent="0.25">
      <c r="B212" s="3">
        <f>B211+DeltaT</f>
        <v>975</v>
      </c>
      <c r="C212" s="13">
        <f t="shared" si="20"/>
        <v>16.25</v>
      </c>
      <c r="D212" s="11">
        <f t="shared" si="21"/>
        <v>750.45859700123856</v>
      </c>
      <c r="E212" s="23">
        <f t="shared" si="18"/>
        <v>671.77629325548378</v>
      </c>
      <c r="F212" s="23">
        <f>AlphaC*(D212-E212)</f>
        <v>1967.0575936438695</v>
      </c>
      <c r="G212" s="13">
        <f>Phi*EpsilonF*Botzman/10^8*J212*((D212+273)^4-(E212+273)^4)</f>
        <v>11924.836549521389</v>
      </c>
      <c r="H212" s="23">
        <f t="shared" si="19"/>
        <v>862.33452488789681</v>
      </c>
      <c r="I212" s="12">
        <f>ksh*Massivete/(H212*RhoA)*DeltaT*(F212+G212)</f>
        <v>1.5445137919859957</v>
      </c>
      <c r="J212" s="3">
        <f>IF(E212&lt;=500,IF(Galva=Oui,0.35,0.7),0.7)</f>
        <v>0.7</v>
      </c>
    </row>
    <row r="213" spans="2:10" x14ac:dyDescent="0.25">
      <c r="B213" s="3">
        <f>B212+DeltaT</f>
        <v>980</v>
      </c>
      <c r="C213" s="13">
        <f t="shared" si="20"/>
        <v>16.333333333333332</v>
      </c>
      <c r="D213" s="11">
        <f t="shared" si="21"/>
        <v>751.21916511284519</v>
      </c>
      <c r="E213" s="23">
        <f t="shared" si="18"/>
        <v>673.32080704746977</v>
      </c>
      <c r="F213" s="23">
        <f>AlphaC*(D213-E213)</f>
        <v>1947.4589516343854</v>
      </c>
      <c r="G213" s="13">
        <f>Phi*EpsilonF*Botzman/10^8*J213*((D213+273)^4-(E213+273)^4)</f>
        <v>11847.134317827144</v>
      </c>
      <c r="H213" s="23">
        <f t="shared" si="19"/>
        <v>867.0229164353135</v>
      </c>
      <c r="I213" s="12">
        <f>ksh*Massivete/(H213*RhoA)*DeltaT*(F213+G213)</f>
        <v>1.5254023914903654</v>
      </c>
      <c r="J213" s="3">
        <f>IF(E213&lt;=500,IF(Galva=Oui,0.35,0.7),0.7)</f>
        <v>0.7</v>
      </c>
    </row>
    <row r="214" spans="2:10" x14ac:dyDescent="0.25">
      <c r="B214" s="3">
        <f>B213+DeltaT</f>
        <v>985</v>
      </c>
      <c r="C214" s="13">
        <f t="shared" si="20"/>
        <v>16.416666666666668</v>
      </c>
      <c r="D214" s="11">
        <f t="shared" si="21"/>
        <v>751.97589195499108</v>
      </c>
      <c r="E214" s="23">
        <f t="shared" si="18"/>
        <v>674.84620943896016</v>
      </c>
      <c r="F214" s="23">
        <f>AlphaC*(D214-E214)</f>
        <v>1928.2420629007731</v>
      </c>
      <c r="G214" s="13">
        <f>Phi*EpsilonF*Botzman/10^8*J214*((D214+273)^4-(E214+273)^4)</f>
        <v>11770.63075132521</v>
      </c>
      <c r="H214" s="23">
        <f t="shared" si="19"/>
        <v>871.87837855010798</v>
      </c>
      <c r="I214" s="12">
        <f>ksh*Massivete/(H214*RhoA)*DeltaT*(F214+G214)</f>
        <v>1.506381679605983</v>
      </c>
      <c r="J214" s="3">
        <f>IF(E214&lt;=500,IF(Galva=Oui,0.35,0.7),0.7)</f>
        <v>0.7</v>
      </c>
    </row>
    <row r="215" spans="2:10" x14ac:dyDescent="0.25">
      <c r="B215" s="3">
        <f>B214+DeltaT</f>
        <v>990</v>
      </c>
      <c r="C215" s="13">
        <f t="shared" si="20"/>
        <v>16.5</v>
      </c>
      <c r="D215" s="11">
        <f t="shared" si="21"/>
        <v>752.72881613364461</v>
      </c>
      <c r="E215" s="23">
        <f t="shared" si="18"/>
        <v>676.35259111856612</v>
      </c>
      <c r="F215" s="23">
        <f>AlphaC*(D215-E215)</f>
        <v>1909.4056253769622</v>
      </c>
      <c r="G215" s="13">
        <f>Phi*EpsilonF*Botzman/10^8*J215*((D215+273)^4-(E215+273)^4)</f>
        <v>11695.350368018262</v>
      </c>
      <c r="H215" s="23">
        <f t="shared" si="19"/>
        <v>876.90910771297263</v>
      </c>
      <c r="I215" s="12">
        <f>ksh*Massivete/(H215*RhoA)*DeltaT*(F215+G215)</f>
        <v>1.4874496565370772</v>
      </c>
      <c r="J215" s="3">
        <f>IF(E215&lt;=500,IF(Galva=Oui,0.35,0.7),0.7)</f>
        <v>0.7</v>
      </c>
    </row>
    <row r="216" spans="2:10" x14ac:dyDescent="0.25">
      <c r="B216" s="3">
        <f>B215+DeltaT</f>
        <v>995</v>
      </c>
      <c r="C216" s="13">
        <f t="shared" si="20"/>
        <v>16.583333333333332</v>
      </c>
      <c r="D216" s="11">
        <f t="shared" si="21"/>
        <v>753.4779756756792</v>
      </c>
      <c r="E216" s="23">
        <f t="shared" si="18"/>
        <v>677.84004077510315</v>
      </c>
      <c r="F216" s="23">
        <f>AlphaC*(D216-E216)</f>
        <v>1890.9483725144014</v>
      </c>
      <c r="G216" s="13">
        <f>Phi*EpsilonF*Botzman/10^8*J216*((D216+273)^4-(E216+273)^4)</f>
        <v>11621.317459103728</v>
      </c>
      <c r="H216" s="23">
        <f t="shared" si="19"/>
        <v>882.12381669665751</v>
      </c>
      <c r="I216" s="12">
        <f>ksh*Massivete/(H216*RhoA)*DeltaT*(F216+G216)</f>
        <v>1.4686040865769776</v>
      </c>
      <c r="J216" s="3">
        <f>IF(E216&lt;=500,IF(Galva=Oui,0.35,0.7),0.7)</f>
        <v>0.7</v>
      </c>
    </row>
    <row r="217" spans="2:10" x14ac:dyDescent="0.25">
      <c r="B217" s="3">
        <f>B216+DeltaT</f>
        <v>1000</v>
      </c>
      <c r="C217" s="13">
        <f t="shared" si="20"/>
        <v>16.666666666666668</v>
      </c>
      <c r="D217" s="11">
        <f t="shared" si="21"/>
        <v>754.22340804039925</v>
      </c>
      <c r="E217" s="23">
        <f t="shared" si="18"/>
        <v>679.30864486168014</v>
      </c>
      <c r="F217" s="23">
        <f>AlphaC*(D217-E217)</f>
        <v>1872.8690794679778</v>
      </c>
      <c r="G217" s="13">
        <f>Phi*EpsilonF*Botzman/10^8*J217*((D217+273)^4-(E217+273)^4)</f>
        <v>11548.556126958543</v>
      </c>
      <c r="H217" s="23">
        <f t="shared" si="19"/>
        <v>887.53177362079566</v>
      </c>
      <c r="I217" s="12">
        <f>ksh*Massivete/(H217*RhoA)*DeltaT*(F217+G217)</f>
        <v>1.44984249677842</v>
      </c>
      <c r="J217" s="3">
        <f>IF(E217&lt;=500,IF(Galva=Oui,0.35,0.7),0.7)</f>
        <v>0.7</v>
      </c>
    </row>
    <row r="218" spans="2:10" x14ac:dyDescent="0.25">
      <c r="B218" s="3">
        <f>B217+DeltaT</f>
        <v>1005</v>
      </c>
      <c r="C218" s="13">
        <f t="shared" si="20"/>
        <v>16.75</v>
      </c>
      <c r="D218" s="11">
        <f t="shared" si="21"/>
        <v>754.96515013077715</v>
      </c>
      <c r="E218" s="23">
        <f t="shared" si="18"/>
        <v>680.75848735845852</v>
      </c>
      <c r="F218" s="23">
        <f>AlphaC*(D218-E218)</f>
        <v>1855.1665693079656</v>
      </c>
      <c r="G218" s="13">
        <f>Phi*EpsilonF*Botzman/10^8*J218*((D218+273)^4-(E218+273)^4)</f>
        <v>11477.090324154646</v>
      </c>
      <c r="H218" s="23">
        <f t="shared" si="19"/>
        <v>893.14284441470454</v>
      </c>
      <c r="I218" s="12">
        <f>ksh*Massivete/(H218*RhoA)*DeltaT*(F218+G218)</f>
        <v>1.4311621756817234</v>
      </c>
      <c r="J218" s="3">
        <f>IF(E218&lt;=500,IF(Galva=Oui,0.35,0.7),0.7)</f>
        <v>0.7</v>
      </c>
    </row>
    <row r="219" spans="2:10" x14ac:dyDescent="0.25">
      <c r="B219" s="3">
        <f>B218+DeltaT</f>
        <v>1010</v>
      </c>
      <c r="C219" s="13">
        <f t="shared" si="20"/>
        <v>16.833333333333332</v>
      </c>
      <c r="D219" s="11">
        <f t="shared" si="21"/>
        <v>755.70323830441725</v>
      </c>
      <c r="E219" s="23">
        <f t="shared" si="18"/>
        <v>682.18964953414024</v>
      </c>
      <c r="F219" s="23">
        <f>AlphaC*(D219-E219)</f>
        <v>1837.8397192569253</v>
      </c>
      <c r="G219" s="13">
        <f>Phi*EpsilonF*Botzman/10^8*J219*((D219+273)^4-(E219+273)^4)</f>
        <v>11406.943893467866</v>
      </c>
      <c r="H219" s="23">
        <f t="shared" si="19"/>
        <v>898.96753902223873</v>
      </c>
      <c r="I219" s="12">
        <f>ksh*Massivete/(H219*RhoA)*DeltaT*(F219+G219)</f>
        <v>1.4125601721324463</v>
      </c>
      <c r="J219" s="3">
        <f>IF(E219&lt;=500,IF(Galva=Oui,0.35,0.7),0.7)</f>
        <v>0.7</v>
      </c>
    </row>
    <row r="220" spans="2:10" x14ac:dyDescent="0.25">
      <c r="B220" s="3">
        <f>B219+DeltaT</f>
        <v>1015</v>
      </c>
      <c r="C220" s="13">
        <f t="shared" si="20"/>
        <v>16.916666666666668</v>
      </c>
      <c r="D220" s="11">
        <f t="shared" si="21"/>
        <v>756.43770838424939</v>
      </c>
      <c r="E220" s="23">
        <f t="shared" si="18"/>
        <v>683.60220970627267</v>
      </c>
      <c r="F220" s="23">
        <f>AlphaC*(D220-E220)</f>
        <v>1820.887466949418</v>
      </c>
      <c r="G220" s="13">
        <f>Phi*EpsilonF*Botzman/10^8*J220*((D220+273)^4-(E220+273)^4)</f>
        <v>11338.140608838636</v>
      </c>
      <c r="H220" s="23">
        <f t="shared" si="19"/>
        <v>905.01706171876026</v>
      </c>
      <c r="I220" s="12">
        <f>ksh*Massivete/(H220*RhoA)*DeltaT*(F220+G220)</f>
        <v>1.3940332942268419</v>
      </c>
      <c r="J220" s="3">
        <f>IF(E220&lt;=500,IF(Galva=Oui,0.35,0.7),0.7)</f>
        <v>0.7</v>
      </c>
    </row>
    <row r="221" spans="2:10" x14ac:dyDescent="0.25">
      <c r="B221" s="3">
        <f>B220+DeltaT</f>
        <v>1020</v>
      </c>
      <c r="C221" s="13">
        <f t="shared" si="20"/>
        <v>17</v>
      </c>
      <c r="D221" s="11">
        <f t="shared" si="21"/>
        <v>757.16859566896028</v>
      </c>
      <c r="E221" s="23">
        <f t="shared" si="18"/>
        <v>684.99624300049948</v>
      </c>
      <c r="F221" s="23">
        <f>AlphaC*(D221-E221)</f>
        <v>1804.3088167115202</v>
      </c>
      <c r="G221" s="13">
        <f>Phi*EpsilonF*Botzman/10^8*J221*((D221+273)^4-(E221+273)^4)</f>
        <v>11270.704217234104</v>
      </c>
      <c r="H221" s="23">
        <f t="shared" si="19"/>
        <v>911.30336595050278</v>
      </c>
      <c r="I221" s="12">
        <f>ksh*Massivete/(H221*RhoA)*DeltaT*(F221+G221)</f>
        <v>1.3755781084306467</v>
      </c>
      <c r="J221" s="3">
        <f>IF(E221&lt;=500,IF(Galva=Oui,0.35,0.7),0.7)</f>
        <v>0.7</v>
      </c>
    </row>
    <row r="222" spans="2:10" x14ac:dyDescent="0.25">
      <c r="B222" s="3">
        <f>B221+DeltaT</f>
        <v>1025</v>
      </c>
      <c r="C222" s="13">
        <f t="shared" si="20"/>
        <v>17.083333333333332</v>
      </c>
      <c r="D222" s="11">
        <f t="shared" si="21"/>
        <v>757.89593494317478</v>
      </c>
      <c r="E222" s="23">
        <f t="shared" si="18"/>
        <v>686.37182110893013</v>
      </c>
      <c r="F222" s="23">
        <f>AlphaC*(D222-E222)</f>
        <v>1788.1028458561161</v>
      </c>
      <c r="G222" s="13">
        <f>Phi*EpsilonF*Botzman/10^8*J222*((D222+273)^4-(E222+273)^4)</f>
        <v>11204.658481357141</v>
      </c>
      <c r="H222" s="23">
        <f t="shared" si="19"/>
        <v>917.83921415149814</v>
      </c>
      <c r="I222" s="12">
        <f>ksh*Massivete/(H222*RhoA)*DeltaT*(F222+G222)</f>
        <v>1.3571909389256038</v>
      </c>
      <c r="J222" s="3">
        <f>IF(E222&lt;=500,IF(Galva=Oui,0.35,0.7),0.7)</f>
        <v>0.7</v>
      </c>
    </row>
    <row r="223" spans="2:10" x14ac:dyDescent="0.25">
      <c r="B223" s="3">
        <f>B222+DeltaT</f>
        <v>1030</v>
      </c>
      <c r="C223" s="13">
        <f t="shared" si="20"/>
        <v>17.166666666666668</v>
      </c>
      <c r="D223" s="11">
        <f t="shared" si="21"/>
        <v>758.61976048738848</v>
      </c>
      <c r="E223" s="23">
        <f t="shared" si="18"/>
        <v>687.72901204785569</v>
      </c>
      <c r="F223" s="23">
        <f>AlphaC*(D223-E223)</f>
        <v>1772.2687109883195</v>
      </c>
      <c r="G223" s="13">
        <f>Phi*EpsilonF*Botzman/10^8*J223*((D223+273)^4-(E223+273)^4)</f>
        <v>11140.027223135005</v>
      </c>
      <c r="H223" s="23">
        <f t="shared" si="19"/>
        <v>924.63824304342916</v>
      </c>
      <c r="I223" s="12">
        <f>ksh*Massivete/(H223*RhoA)*DeltaT*(F223+G223)</f>
        <v>1.3388678672472119</v>
      </c>
      <c r="J223" s="3">
        <f>IF(E223&lt;=500,IF(Galva=Oui,0.35,0.7),0.7)</f>
        <v>0.7</v>
      </c>
    </row>
    <row r="224" spans="2:10" x14ac:dyDescent="0.25">
      <c r="B224" s="3">
        <f>B223+DeltaT</f>
        <v>1035</v>
      </c>
      <c r="C224" s="13">
        <f t="shared" si="20"/>
        <v>17.25</v>
      </c>
      <c r="D224" s="11">
        <f t="shared" si="21"/>
        <v>759.34010608766278</v>
      </c>
      <c r="E224" s="23">
        <f t="shared" si="18"/>
        <v>689.06787991510294</v>
      </c>
      <c r="F224" s="23">
        <f>AlphaC*(D224-E224)</f>
        <v>1756.805654313996</v>
      </c>
      <c r="G224" s="13">
        <f>Phi*EpsilonF*Botzman/10^8*J224*((D224+273)^4-(E224+273)^4)</f>
        <v>11076.834367912548</v>
      </c>
      <c r="H224" s="23">
        <f t="shared" si="19"/>
        <v>931.71503497991853</v>
      </c>
      <c r="I224" s="12">
        <f>ksh*Massivete/(H224*RhoA)*DeltaT*(F224+G224)</f>
        <v>1.3206047322882148</v>
      </c>
      <c r="J224" s="3">
        <f>IF(E224&lt;=500,IF(Galva=Oui,0.35,0.7),0.7)</f>
        <v>0.7</v>
      </c>
    </row>
    <row r="225" spans="2:10" x14ac:dyDescent="0.25">
      <c r="B225" s="3">
        <f>B224+DeltaT</f>
        <v>1040</v>
      </c>
      <c r="C225" s="13">
        <f t="shared" si="20"/>
        <v>17.333333333333332</v>
      </c>
      <c r="D225" s="11">
        <f t="shared" si="21"/>
        <v>760.05700504508843</v>
      </c>
      <c r="E225" s="23">
        <f t="shared" si="18"/>
        <v>690.38848464739112</v>
      </c>
      <c r="F225" s="23">
        <f>AlphaC*(D225-E225)</f>
        <v>1741.7130099424326</v>
      </c>
      <c r="G225" s="13">
        <f>Phi*EpsilonF*Botzman/10^8*J225*((D225+273)^4-(E225+273)^4)</f>
        <v>11015.103989261277</v>
      </c>
      <c r="H225" s="23">
        <f t="shared" si="19"/>
        <v>939.08519595958535</v>
      </c>
      <c r="I225" s="12">
        <f>ksh*Massivete/(H225*RhoA)*DeltaT*(F225+G225)</f>
        <v>1.3023971307542166</v>
      </c>
      <c r="J225" s="3">
        <f>IF(E225&lt;=500,IF(Galva=Oui,0.35,0.7),0.7)</f>
        <v>0.7</v>
      </c>
    </row>
    <row r="226" spans="2:10" x14ac:dyDescent="0.25">
      <c r="B226" s="3">
        <f>B225+DeltaT</f>
        <v>1045</v>
      </c>
      <c r="C226" s="13">
        <f t="shared" si="20"/>
        <v>17.416666666666668</v>
      </c>
      <c r="D226" s="11">
        <f t="shared" si="21"/>
        <v>760.77049018502191</v>
      </c>
      <c r="E226" s="23">
        <f t="shared" si="18"/>
        <v>691.69088177814535</v>
      </c>
      <c r="F226" s="23">
        <f>AlphaC*(D226-E226)</f>
        <v>1726.990210171914</v>
      </c>
      <c r="G226" s="13">
        <f>Phi*EpsilonF*Botzman/10^8*J226*((D226+273)^4-(E226+273)^4)</f>
        <v>10954.86035429997</v>
      </c>
      <c r="H226" s="23">
        <f t="shared" si="19"/>
        <v>946.76544100258798</v>
      </c>
      <c r="I226" s="12">
        <f>ksh*Massivete/(H226*RhoA)*DeltaT*(F226+G226)</f>
        <v>1.2842404181710387</v>
      </c>
      <c r="J226" s="3">
        <f>IF(E226&lt;=500,IF(Galva=Oui,0.35,0.7),0.7)</f>
        <v>0.7</v>
      </c>
    </row>
    <row r="227" spans="2:10" x14ac:dyDescent="0.25">
      <c r="B227" s="3">
        <f>B226+DeltaT</f>
        <v>1050</v>
      </c>
      <c r="C227" s="13">
        <f t="shared" si="20"/>
        <v>17.5</v>
      </c>
      <c r="D227" s="11">
        <f t="shared" si="21"/>
        <v>761.48059386610601</v>
      </c>
      <c r="E227" s="23">
        <f t="shared" si="18"/>
        <v>692.97512219631642</v>
      </c>
      <c r="F227" s="23">
        <f>AlphaC*(D227-E227)</f>
        <v>1712.6367917447396</v>
      </c>
      <c r="G227" s="13">
        <f>Phi*EpsilonF*Botzman/10^8*J227*((D227+273)^4-(E227+273)^4)</f>
        <v>10896.127969408484</v>
      </c>
      <c r="H227" s="23">
        <f t="shared" si="19"/>
        <v>954.77368766420682</v>
      </c>
      <c r="I227" s="12">
        <f>ksh*Massivete/(H227*RhoA)*DeltaT*(F227+G227)</f>
        <v>1.2661297105586644</v>
      </c>
      <c r="J227" s="3">
        <f>IF(E227&lt;=500,IF(Galva=Oui,0.35,0.7),0.7)</f>
        <v>0.7</v>
      </c>
    </row>
    <row r="228" spans="2:10" x14ac:dyDescent="0.25">
      <c r="B228" s="3">
        <f>B227+DeltaT</f>
        <v>1055</v>
      </c>
      <c r="C228" s="13">
        <f t="shared" si="20"/>
        <v>17.583333333333332</v>
      </c>
      <c r="D228" s="11">
        <f t="shared" si="21"/>
        <v>762.18734798907394</v>
      </c>
      <c r="E228" s="23">
        <f t="shared" si="18"/>
        <v>694.24125190687505</v>
      </c>
      <c r="F228" s="23">
        <f>AlphaC*(D228-E228)</f>
        <v>1698.6524020549723</v>
      </c>
      <c r="G228" s="13">
        <f>Phi*EpsilonF*Botzman/10^8*J228*((D228+273)^4-(E228+273)^4)</f>
        <v>10838.931626193867</v>
      </c>
      <c r="H228" s="23">
        <f t="shared" si="19"/>
        <v>963.12915854744892</v>
      </c>
      <c r="I228" s="12">
        <f>ksh*Massivete/(H228*RhoA)*DeltaT*(F228+G228)</f>
        <v>1.2480598869027126</v>
      </c>
      <c r="J228" s="3">
        <f>IF(E228&lt;=500,IF(Galva=Oui,0.35,0.7),0.7)</f>
        <v>0.7</v>
      </c>
    </row>
    <row r="229" spans="2:10" x14ac:dyDescent="0.25">
      <c r="B229" s="3">
        <f>B228+DeltaT</f>
        <v>1060</v>
      </c>
      <c r="C229" s="13">
        <f t="shared" si="20"/>
        <v>17.666666666666668</v>
      </c>
      <c r="D229" s="11">
        <f t="shared" si="21"/>
        <v>762.89078400534959</v>
      </c>
      <c r="E229" s="23">
        <f t="shared" si="18"/>
        <v>695.4893117937778</v>
      </c>
      <c r="F229" s="23">
        <f>AlphaC*(D229-E229)</f>
        <v>1685.0368052892945</v>
      </c>
      <c r="G229" s="13">
        <f>Phi*EpsilonF*Botzman/10^8*J229*((D229+273)^4-(E229+273)^4)</f>
        <v>10783.296447547717</v>
      </c>
      <c r="H229" s="23">
        <f t="shared" si="19"/>
        <v>971.85249377583409</v>
      </c>
      <c r="I229" s="12">
        <f>ksh*Massivete/(H229*RhoA)*DeltaT*(F229+G229)</f>
        <v>1.230025592572848</v>
      </c>
      <c r="J229" s="3">
        <f>IF(E229&lt;=500,IF(Galva=Oui,0.35,0.7),0.7)</f>
        <v>0.7</v>
      </c>
    </row>
    <row r="230" spans="2:10" x14ac:dyDescent="0.25">
      <c r="B230" s="3">
        <f>B229+DeltaT</f>
        <v>1065</v>
      </c>
      <c r="C230" s="13">
        <f t="shared" si="20"/>
        <v>17.75</v>
      </c>
      <c r="D230" s="11">
        <f t="shared" si="21"/>
        <v>763.59093292544617</v>
      </c>
      <c r="E230" s="23">
        <f t="shared" si="18"/>
        <v>696.71933738635062</v>
      </c>
      <c r="F230" s="23">
        <f>AlphaC*(D230-E230)</f>
        <v>1671.7898884773888</v>
      </c>
      <c r="G230" s="13">
        <f>Phi*EpsilonF*Botzman/10^8*J230*((D230+273)^4-(E230+273)^4)</f>
        <v>10729.247933607476</v>
      </c>
      <c r="H230" s="23">
        <f t="shared" si="19"/>
        <v>980.96587449884851</v>
      </c>
      <c r="I230" s="12">
        <f>ksh*Massivete/(H230*RhoA)*DeltaT*(F230+G230)</f>
        <v>1.2120212438574121</v>
      </c>
      <c r="J230" s="3">
        <f>IF(E230&lt;=500,IF(Galva=Oui,0.35,0.7),0.7)</f>
        <v>0.7</v>
      </c>
    </row>
    <row r="231" spans="2:10" x14ac:dyDescent="0.25">
      <c r="B231" s="3">
        <f>B230+DeltaT</f>
        <v>1070</v>
      </c>
      <c r="C231" s="13">
        <f t="shared" si="20"/>
        <v>17.833333333333332</v>
      </c>
      <c r="D231" s="11">
        <f t="shared" si="21"/>
        <v>764.28782532716878</v>
      </c>
      <c r="E231" s="23">
        <f t="shared" si="18"/>
        <v>697.93135863020802</v>
      </c>
      <c r="F231" s="23">
        <f>AlphaC*(D231-E231)</f>
        <v>1658.9116674240188</v>
      </c>
      <c r="G231" s="13">
        <f>Phi*EpsilonF*Botzman/10^8*J231*((D231+273)^4-(E231+273)^4)</f>
        <v>10676.812007405613</v>
      </c>
      <c r="H231" s="23">
        <f t="shared" si="19"/>
        <v>990.49315862759192</v>
      </c>
      <c r="I231" s="12">
        <f>ksh*Massivete/(H231*RhoA)*DeltaT*(F231+G231)</f>
        <v>1.1940410338053684</v>
      </c>
      <c r="J231" s="3">
        <f>IF(E231&lt;=500,IF(Galva=Oui,0.35,0.7),0.7)</f>
        <v>0.7</v>
      </c>
    </row>
    <row r="232" spans="2:10" x14ac:dyDescent="0.25">
      <c r="B232" s="3">
        <f>B231+DeltaT</f>
        <v>1075</v>
      </c>
      <c r="C232" s="13">
        <f t="shared" si="20"/>
        <v>17.916666666666668</v>
      </c>
      <c r="D232" s="11">
        <f t="shared" si="21"/>
        <v>764.98149136362747</v>
      </c>
      <c r="E232" s="23">
        <f t="shared" si="18"/>
        <v>699.12539966401334</v>
      </c>
      <c r="F232" s="23">
        <f>AlphaC*(D232-E232)</f>
        <v>1646.4022924903531</v>
      </c>
      <c r="G232" s="13">
        <f>Phi*EpsilonF*Botzman/10^8*J232*((D232+273)^4-(E232+273)^4)</f>
        <v>10626.015059957535</v>
      </c>
      <c r="H232" s="23">
        <f t="shared" si="19"/>
        <v>1000.4600301385967</v>
      </c>
      <c r="I232" s="12">
        <f>ksh*Massivete/(H232*RhoA)*DeltaT*(F232+G232)</f>
        <v>1.1760789395903521</v>
      </c>
      <c r="J232" s="3">
        <f>IF(E232&lt;=500,IF(Galva=Oui,0.35,0.7),0.7)</f>
        <v>0.7</v>
      </c>
    </row>
    <row r="233" spans="2:10" x14ac:dyDescent="0.25">
      <c r="B233" s="3">
        <f>B232+DeltaT</f>
        <v>1080</v>
      </c>
      <c r="C233" s="13">
        <f t="shared" si="20"/>
        <v>18</v>
      </c>
      <c r="D233" s="11">
        <f t="shared" si="21"/>
        <v>765.67196077106621</v>
      </c>
      <c r="E233" s="23">
        <f t="shared" si="18"/>
        <v>700.30147860360364</v>
      </c>
      <c r="F233" s="23">
        <f>AlphaC*(D233-E233)</f>
        <v>1634.2620541865642</v>
      </c>
      <c r="G233" s="13">
        <f>Phi*EpsilonF*Botzman/10^8*J233*((D233+273)^4-(E233+273)^4)</f>
        <v>10576.883994503209</v>
      </c>
      <c r="H233" s="23">
        <f t="shared" si="19"/>
        <v>1010.8941634417225</v>
      </c>
      <c r="I233" s="12">
        <f>ksh*Massivete/(H233*RhoA)*DeltaT*(F233+G233)</f>
        <v>1.1581287316371844</v>
      </c>
      <c r="J233" s="3">
        <f>IF(E233&lt;=500,IF(Galva=Oui,0.35,0.7),0.7)</f>
        <v>0.7</v>
      </c>
    </row>
    <row r="234" spans="2:10" x14ac:dyDescent="0.25">
      <c r="B234" s="3">
        <f>B233+DeltaT</f>
        <v>1085</v>
      </c>
      <c r="C234" s="13">
        <f t="shared" si="20"/>
        <v>18.083333333333332</v>
      </c>
      <c r="D234" s="11">
        <f t="shared" si="21"/>
        <v>766.35926287651193</v>
      </c>
      <c r="E234" s="23">
        <f t="shared" si="18"/>
        <v>701.45960733524078</v>
      </c>
      <c r="F234" s="23">
        <f>AlphaC*(D234-E234)</f>
        <v>1622.491388531779</v>
      </c>
      <c r="G234" s="13">
        <f>Phi*EpsilonF*Botzman/10^8*J234*((D234+273)^4-(E234+273)^4)</f>
        <v>10529.446269574626</v>
      </c>
      <c r="H234" s="23">
        <f t="shared" si="19"/>
        <v>1021.8254044855835</v>
      </c>
      <c r="I234" s="12">
        <f>ksh*Massivete/(H234*RhoA)*DeltaT*(F234+G234)</f>
        <v>1.1401839847783872</v>
      </c>
      <c r="J234" s="3">
        <f>IF(E234&lt;=500,IF(Galva=Oui,0.35,0.7),0.7)</f>
        <v>0.7</v>
      </c>
    </row>
    <row r="235" spans="2:10" x14ac:dyDescent="0.25">
      <c r="B235" s="3">
        <f>B234+DeltaT</f>
        <v>1090</v>
      </c>
      <c r="C235" s="13">
        <f t="shared" si="20"/>
        <v>18.166666666666668</v>
      </c>
      <c r="D235" s="11">
        <f t="shared" si="21"/>
        <v>767.04342660524821</v>
      </c>
      <c r="E235" s="23">
        <f t="shared" si="18"/>
        <v>702.59979132001911</v>
      </c>
      <c r="F235" s="23">
        <f>AlphaC*(D235-E235)</f>
        <v>1611.0908821307276</v>
      </c>
      <c r="G235" s="13">
        <f>Phi*EpsilonF*Botzman/10^8*J235*((D235+273)^4-(E235+273)^4)</f>
        <v>10483.729940516436</v>
      </c>
      <c r="H235" s="23">
        <f t="shared" si="19"/>
        <v>1033.2859704737486</v>
      </c>
      <c r="I235" s="12">
        <f>ksh*Massivete/(H235*RhoA)*DeltaT*(F235+G235)</f>
        <v>1.1222380917372119</v>
      </c>
      <c r="J235" s="3">
        <f>IF(E235&lt;=500,IF(Galva=Oui,0.35,0.7),0.7)</f>
        <v>0.7</v>
      </c>
    </row>
    <row r="236" spans="2:10" x14ac:dyDescent="0.25">
      <c r="B236" s="3">
        <f>B235+DeltaT</f>
        <v>1095</v>
      </c>
      <c r="C236" s="13">
        <f t="shared" si="20"/>
        <v>18.25</v>
      </c>
      <c r="D236" s="11">
        <f t="shared" si="21"/>
        <v>767.72448048812055</v>
      </c>
      <c r="E236" s="23">
        <f t="shared" si="18"/>
        <v>703.72202941175635</v>
      </c>
      <c r="F236" s="23">
        <f>AlphaC*(D236-E236)</f>
        <v>1600.0612769091049</v>
      </c>
      <c r="G236" s="13">
        <f>Phi*EpsilonF*Botzman/10^8*J236*((D236+273)^4-(E236+273)^4)</f>
        <v>10439.76369903502</v>
      </c>
      <c r="H236" s="23">
        <f t="shared" si="19"/>
        <v>1045.310670289778</v>
      </c>
      <c r="I236" s="12">
        <f>ksh*Massivete/(H236*RhoA)*DeltaT*(F236+G236)</f>
        <v>1.1042842792638543</v>
      </c>
      <c r="J236" s="3">
        <f>IF(E236&lt;=500,IF(Galva=Oui,0.35,0.7),0.7)</f>
        <v>0.7</v>
      </c>
    </row>
    <row r="237" spans="2:10" x14ac:dyDescent="0.25">
      <c r="B237" s="3">
        <f>B236+DeltaT</f>
        <v>1100</v>
      </c>
      <c r="C237" s="13">
        <f t="shared" si="20"/>
        <v>18.333333333333332</v>
      </c>
      <c r="D237" s="11">
        <f t="shared" si="21"/>
        <v>768.40245266867544</v>
      </c>
      <c r="E237" s="23">
        <f t="shared" si="18"/>
        <v>704.82631369102023</v>
      </c>
      <c r="F237" s="23">
        <f>AlphaC*(D237-E237)</f>
        <v>1589.4034744413802</v>
      </c>
      <c r="G237" s="13">
        <f>Phi*EpsilonF*Botzman/10^8*J237*((D237+273)^4-(E237+273)^4)</f>
        <v>10397.576910295169</v>
      </c>
      <c r="H237" s="23">
        <f t="shared" si="19"/>
        <v>1057.9371479822698</v>
      </c>
      <c r="I237" s="12">
        <f>ksh*Massivete/(H237*RhoA)*DeltaT*(F237+G237)</f>
        <v>1.0863156272826988</v>
      </c>
      <c r="J237" s="3">
        <f>IF(E237&lt;=500,IF(Galva=Oui,0.35,0.7),0.7)</f>
        <v>0.7</v>
      </c>
    </row>
    <row r="238" spans="2:10" x14ac:dyDescent="0.25">
      <c r="B238" s="3">
        <f>B237+DeltaT</f>
        <v>1105</v>
      </c>
      <c r="C238" s="13">
        <f t="shared" si="20"/>
        <v>18.416666666666668</v>
      </c>
      <c r="D238" s="11">
        <f t="shared" si="21"/>
        <v>769.0773709101378</v>
      </c>
      <c r="E238" s="23">
        <f t="shared" si="18"/>
        <v>705.91262931830295</v>
      </c>
      <c r="F238" s="23">
        <f>AlphaC*(D238-E238)</f>
        <v>1579.1185397958714</v>
      </c>
      <c r="G238" s="13">
        <f>Phi*EpsilonF*Botzman/10^8*J238*((D238+273)^4-(E238+273)^4)</f>
        <v>10357.199647020976</v>
      </c>
      <c r="H238" s="23">
        <f t="shared" si="19"/>
        <v>1071.2061519461445</v>
      </c>
      <c r="I238" s="12">
        <f>ksh*Massivete/(H238*RhoA)*DeltaT*(F238+G238)</f>
        <v>1.0683250914399498</v>
      </c>
      <c r="J238" s="3">
        <f>IF(E238&lt;=500,IF(Galva=Oui,0.35,0.7),0.7)</f>
        <v>0.7</v>
      </c>
    </row>
    <row r="239" spans="2:10" x14ac:dyDescent="0.25">
      <c r="B239" s="3">
        <f>B238+DeltaT</f>
        <v>1110</v>
      </c>
      <c r="C239" s="13">
        <f t="shared" si="20"/>
        <v>18.5</v>
      </c>
      <c r="D239" s="11">
        <f t="shared" si="21"/>
        <v>769.74926260223458</v>
      </c>
      <c r="E239" s="23">
        <f t="shared" si="18"/>
        <v>706.98095440974294</v>
      </c>
      <c r="F239" s="23">
        <f>AlphaC*(D239-E239)</f>
        <v>1569.207704812291</v>
      </c>
      <c r="G239" s="13">
        <f>Phi*EpsilonF*Botzman/10^8*J239*((D239+273)^4-(E239+273)^4)</f>
        <v>10318.662719990307</v>
      </c>
      <c r="H239" s="23">
        <f t="shared" si="19"/>
        <v>1085.1618327574806</v>
      </c>
      <c r="I239" s="12">
        <f>ksh*Massivete/(H239*RhoA)*DeltaT*(F239+G239)</f>
        <v>1.0503055294722787</v>
      </c>
      <c r="J239" s="3">
        <f>IF(E239&lt;=500,IF(Galva=Oui,0.35,0.7),0.7)</f>
        <v>0.7</v>
      </c>
    </row>
    <row r="240" spans="2:10" x14ac:dyDescent="0.25">
      <c r="B240" s="3">
        <f>B239+DeltaT</f>
        <v>1115</v>
      </c>
      <c r="C240" s="13">
        <f t="shared" si="20"/>
        <v>18.583333333333332</v>
      </c>
      <c r="D240" s="11">
        <f t="shared" si="21"/>
        <v>770.41815476786292</v>
      </c>
      <c r="E240" s="23">
        <f t="shared" si="18"/>
        <v>708.03125993921526</v>
      </c>
      <c r="F240" s="23">
        <f>AlphaC*(D240-E240)</f>
        <v>1559.6723707161914</v>
      </c>
      <c r="G240" s="13">
        <f>Phi*EpsilonF*Botzman/10^8*J240*((D240+273)^4-(E240+273)^4)</f>
        <v>10281.997704238691</v>
      </c>
      <c r="H240" s="23">
        <f t="shared" si="19"/>
        <v>1099.8520729809934</v>
      </c>
      <c r="I240" s="12">
        <f>ksh*Massivete/(H240*RhoA)*DeltaT*(F240+G240)</f>
        <v>1.0322497318469814</v>
      </c>
      <c r="J240" s="3">
        <f>IF(E240&lt;=500,IF(Galva=Oui,0.35,0.7),0.7)</f>
        <v>0.7</v>
      </c>
    </row>
    <row r="241" spans="2:10" x14ac:dyDescent="0.25">
      <c r="B241" s="3">
        <f>B240+DeltaT</f>
        <v>1120</v>
      </c>
      <c r="C241" s="13">
        <f t="shared" si="20"/>
        <v>18.666666666666668</v>
      </c>
      <c r="D241" s="11">
        <f t="shared" si="21"/>
        <v>771.08407406961271</v>
      </c>
      <c r="E241" s="23">
        <f t="shared" si="18"/>
        <v>709.06350967106221</v>
      </c>
      <c r="F241" s="23">
        <f>AlphaC*(D241-E241)</f>
        <v>1550.5141099637626</v>
      </c>
      <c r="G241" s="13">
        <f>Phi*EpsilonF*Botzman/10^8*J241*((D241+273)^4-(E241+273)^4)</f>
        <v>10247.236960209893</v>
      </c>
      <c r="H241" s="23">
        <f t="shared" si="19"/>
        <v>1115.328852676975</v>
      </c>
      <c r="I241" s="12">
        <f>ksh*Massivete/(H241*RhoA)*DeltaT*(F241+G241)</f>
        <v>1.0141504571515501</v>
      </c>
      <c r="J241" s="3">
        <f>IF(E241&lt;=500,IF(Galva=Oui,0.35,0.7),0.7)</f>
        <v>0.7</v>
      </c>
    </row>
    <row r="242" spans="2:10" x14ac:dyDescent="0.25">
      <c r="B242" s="3">
        <f>B241+DeltaT</f>
        <v>1125</v>
      </c>
      <c r="C242" s="13">
        <f t="shared" si="20"/>
        <v>18.75</v>
      </c>
      <c r="D242" s="11">
        <f t="shared" si="21"/>
        <v>771.74704681614344</v>
      </c>
      <c r="E242" s="23">
        <f t="shared" ref="E242:E305" si="22">E241+I241</f>
        <v>710.07766012821378</v>
      </c>
      <c r="F242" s="23">
        <f>AlphaC*(D242-E242)</f>
        <v>1541.7346671982414</v>
      </c>
      <c r="G242" s="13">
        <f>Phi*EpsilonF*Botzman/10^8*J242*((D242+273)^4-(E242+273)^4)</f>
        <v>10214.413649007343</v>
      </c>
      <c r="H242" s="23">
        <f t="shared" ref="H242:H305" si="23">IF(E242&lt;600,425+0.773*E242-1.69/1000*E242^2+2.22/1000^2*E242^3,IF(E242&lt;735,666+13002/(738-E242),IF(E242&lt;900,545+17820/(E242-731),650)))</f>
        <v>1131.6486547940672</v>
      </c>
      <c r="I242" s="12">
        <f>ksh*Massivete/(H242*RhoA)*DeltaT*(F242+G242)</f>
        <v>0.99600047273388426</v>
      </c>
      <c r="J242" s="3">
        <f>IF(E242&lt;=500,IF(Galva=Oui,0.35,0.7),0.7)</f>
        <v>0.7</v>
      </c>
    </row>
    <row r="243" spans="2:10" x14ac:dyDescent="0.25">
      <c r="B243" s="3">
        <f>B242+DeltaT</f>
        <v>1130</v>
      </c>
      <c r="C243" s="13">
        <f t="shared" si="20"/>
        <v>18.833333333333332</v>
      </c>
      <c r="D243" s="11">
        <f t="shared" si="21"/>
        <v>772.40709896842009</v>
      </c>
      <c r="E243" s="23">
        <f t="shared" si="22"/>
        <v>711.07366060094762</v>
      </c>
      <c r="F243" s="23">
        <f>AlphaC*(D243-E243)</f>
        <v>1533.3359591868116</v>
      </c>
      <c r="G243" s="13">
        <f>Phi*EpsilonF*Botzman/10^8*J243*((D243+273)^4-(E243+273)^4)</f>
        <v>10183.561740811401</v>
      </c>
      <c r="H243" s="23">
        <f t="shared" si="23"/>
        <v>1148.8729151522757</v>
      </c>
      <c r="I243" s="12">
        <f>ksh*Massivete/(H243*RhoA)*DeltaT*(F243+G243)</f>
        <v>0.97779260111164323</v>
      </c>
      <c r="J243" s="3">
        <f>IF(E243&lt;=500,IF(Galva=Oui,0.35,0.7),0.7)</f>
        <v>0.7</v>
      </c>
    </row>
    <row r="244" spans="2:10" x14ac:dyDescent="0.25">
      <c r="B244" s="3">
        <f>B243+DeltaT</f>
        <v>1135</v>
      </c>
      <c r="C244" s="13">
        <f t="shared" si="20"/>
        <v>18.916666666666668</v>
      </c>
      <c r="D244" s="11">
        <f t="shared" si="21"/>
        <v>773.06425614581474</v>
      </c>
      <c r="E244" s="23">
        <f t="shared" si="22"/>
        <v>712.05145320205929</v>
      </c>
      <c r="F244" s="23">
        <f>AlphaC*(D244-E244)</f>
        <v>1525.3200735938863</v>
      </c>
      <c r="G244" s="13">
        <f>Phi*EpsilonF*Botzman/10^8*J244*((D244+273)^4-(E244+273)^4)</f>
        <v>10154.716015439128</v>
      </c>
      <c r="H244" s="23">
        <f t="shared" si="23"/>
        <v>1167.0685223047576</v>
      </c>
      <c r="I244" s="12">
        <f>ksh*Massivete/(H244*RhoA)*DeltaT*(F244+G244)</f>
        <v>0.95951977267846178</v>
      </c>
      <c r="J244" s="3">
        <f>IF(E244&lt;=500,IF(Galva=Oui,0.35,0.7),0.7)</f>
        <v>0.7</v>
      </c>
    </row>
    <row r="245" spans="2:10" x14ac:dyDescent="0.25">
      <c r="B245" s="3">
        <f>B244+DeltaT</f>
        <v>1140</v>
      </c>
      <c r="C245" s="13">
        <f t="shared" si="20"/>
        <v>19</v>
      </c>
      <c r="D245" s="11">
        <f t="shared" si="21"/>
        <v>773.71854363207149</v>
      </c>
      <c r="E245" s="23">
        <f t="shared" si="22"/>
        <v>713.0109729747378</v>
      </c>
      <c r="F245" s="23">
        <f>AlphaC*(D245-E245)</f>
        <v>1517.6892664333423</v>
      </c>
      <c r="G245" s="13">
        <f>Phi*EpsilonF*Botzman/10^8*J245*((D245+273)^4-(E245+273)^4)</f>
        <v>10127.912053926686</v>
      </c>
      <c r="H245" s="23">
        <f t="shared" si="23"/>
        <v>1186.3083732254108</v>
      </c>
      <c r="I245" s="12">
        <f>ksh*Massivete/(H245*RhoA)*DeltaT*(F245+G245)</f>
        <v>0.94117508523256532</v>
      </c>
      <c r="J245" s="3">
        <f>IF(E245&lt;=500,IF(Galva=Oui,0.35,0.7),0.7)</f>
        <v>0.7</v>
      </c>
    </row>
    <row r="246" spans="2:10" x14ac:dyDescent="0.25">
      <c r="B246" s="3">
        <f>B245+DeltaT</f>
        <v>1145</v>
      </c>
      <c r="C246" s="13">
        <f t="shared" si="20"/>
        <v>19.083333333333332</v>
      </c>
      <c r="D246" s="11">
        <f t="shared" si="21"/>
        <v>774.36998638114494</v>
      </c>
      <c r="E246" s="23">
        <f t="shared" si="22"/>
        <v>713.95214805997034</v>
      </c>
      <c r="F246" s="23">
        <f>AlphaC*(D246-E246)</f>
        <v>1510.4459580293651</v>
      </c>
      <c r="G246" s="13">
        <f>Phi*EpsilonF*Botzman/10^8*J246*((D246+273)^4-(E246+273)^4)</f>
        <v>10103.186219925818</v>
      </c>
      <c r="H246" s="23">
        <f t="shared" si="23"/>
        <v>1206.6719915119356</v>
      </c>
      <c r="I246" s="12">
        <f>ksh*Massivete/(H246*RhoA)*DeltaT*(F246+G246)</f>
        <v>0.92275187083744692</v>
      </c>
      <c r="J246" s="3">
        <f>IF(E246&lt;=500,IF(Galva=Oui,0.35,0.7),0.7)</f>
        <v>0.7</v>
      </c>
    </row>
    <row r="247" spans="2:10" x14ac:dyDescent="0.25">
      <c r="B247" s="3">
        <f>B246+DeltaT</f>
        <v>1150</v>
      </c>
      <c r="C247" s="13">
        <f t="shared" si="20"/>
        <v>19.166666666666668</v>
      </c>
      <c r="D247" s="11">
        <f t="shared" si="21"/>
        <v>775.01860902291014</v>
      </c>
      <c r="E247" s="23">
        <f t="shared" si="22"/>
        <v>714.87489993080783</v>
      </c>
      <c r="F247" s="23">
        <f>AlphaC*(D247-E247)</f>
        <v>1503.5927273025577</v>
      </c>
      <c r="G247" s="13">
        <f>Phi*EpsilonF*Botzman/10^8*J247*((D247+273)^4-(E247+273)^4)</f>
        <v>10080.575629611832</v>
      </c>
      <c r="H247" s="23">
        <f t="shared" si="23"/>
        <v>1228.2462156313686</v>
      </c>
      <c r="I247" s="12">
        <f>ksh*Massivete/(H247*RhoA)*DeltaT*(F247+G247)</f>
        <v>0.90424377048990467</v>
      </c>
      <c r="J247" s="3">
        <f>IF(E247&lt;=500,IF(Galva=Oui,0.35,0.7),0.7)</f>
        <v>0.7</v>
      </c>
    </row>
    <row r="248" spans="2:10" x14ac:dyDescent="0.25">
      <c r="B248" s="3">
        <f>B247+DeltaT</f>
        <v>1155</v>
      </c>
      <c r="C248" s="13">
        <f t="shared" si="20"/>
        <v>19.25</v>
      </c>
      <c r="D248" s="11">
        <f t="shared" si="21"/>
        <v>775.6644358687505</v>
      </c>
      <c r="E248" s="23">
        <f t="shared" si="22"/>
        <v>715.7791437012977</v>
      </c>
      <c r="F248" s="23">
        <f>AlphaC*(D248-E248)</f>
        <v>1497.1323041863202</v>
      </c>
      <c r="G248" s="13">
        <f>Phi*EpsilonF*Botzman/10^8*J248*((D248+273)^4-(E248+273)^4)</f>
        <v>10060.118108718669</v>
      </c>
      <c r="H248" s="23">
        <f t="shared" si="23"/>
        <v>1251.1259656793386</v>
      </c>
      <c r="I248" s="12">
        <f>ksh*Massivete/(H248*RhoA)*DeltaT*(F248+G248)</f>
        <v>0.88564481701488107</v>
      </c>
      <c r="J248" s="3">
        <f>IF(E248&lt;=500,IF(Galva=Oui,0.35,0.7),0.7)</f>
        <v>0.7</v>
      </c>
    </row>
    <row r="249" spans="2:10" x14ac:dyDescent="0.25">
      <c r="B249" s="3">
        <f>B248+DeltaT</f>
        <v>1160</v>
      </c>
      <c r="C249" s="13">
        <f t="shared" si="20"/>
        <v>19.333333333333332</v>
      </c>
      <c r="D249" s="11">
        <f t="shared" si="21"/>
        <v>776.30749091702512</v>
      </c>
      <c r="E249" s="23">
        <f t="shared" si="22"/>
        <v>716.66478851831255</v>
      </c>
      <c r="F249" s="23">
        <f>AlphaC*(D249-E249)</f>
        <v>1491.0675599678143</v>
      </c>
      <c r="G249" s="13">
        <f>Phi*EpsilonF*Botzman/10^8*J249*((D249+273)^4-(E249+273)^4)</f>
        <v>10041.852135240617</v>
      </c>
      <c r="H249" s="23">
        <f t="shared" si="23"/>
        <v>1275.4150981892044</v>
      </c>
      <c r="I249" s="12">
        <f>ksh*Massivete/(H249*RhoA)*DeltaT*(F249+G249)</f>
        <v>0.86694952652367596</v>
      </c>
      <c r="J249" s="3">
        <f>IF(E249&lt;=500,IF(Galva=Oui,0.35,0.7),0.7)</f>
        <v>0.7</v>
      </c>
    </row>
    <row r="250" spans="2:10" x14ac:dyDescent="0.25">
      <c r="B250" s="3">
        <f>B249+DeltaT</f>
        <v>1165</v>
      </c>
      <c r="C250" s="13">
        <f t="shared" si="20"/>
        <v>19.416666666666668</v>
      </c>
      <c r="D250" s="11">
        <f t="shared" si="21"/>
        <v>776.94779785842013</v>
      </c>
      <c r="E250" s="23">
        <f t="shared" si="22"/>
        <v>717.53173804483617</v>
      </c>
      <c r="F250" s="23">
        <f>AlphaC*(D250-E250)</f>
        <v>1485.401495339599</v>
      </c>
      <c r="G250" s="13">
        <f>Phi*EpsilonF*Botzman/10^8*J250*((D250+273)^4-(E250+273)^4)</f>
        <v>10025.816766278056</v>
      </c>
      <c r="H250" s="23">
        <f t="shared" si="23"/>
        <v>1301.2273597280105</v>
      </c>
      <c r="I250" s="12">
        <f>ksh*Massivete/(H250*RhoA)*DeltaT*(F250+G250)</f>
        <v>0.84815299865786986</v>
      </c>
      <c r="J250" s="3">
        <f>IF(E250&lt;=500,IF(Galva=Oui,0.35,0.7),0.7)</f>
        <v>0.7</v>
      </c>
    </row>
    <row r="251" spans="2:10" x14ac:dyDescent="0.25">
      <c r="B251" s="3">
        <f>B250+DeltaT</f>
        <v>1170</v>
      </c>
      <c r="C251" s="13">
        <f t="shared" si="20"/>
        <v>19.5</v>
      </c>
      <c r="D251" s="11">
        <f t="shared" si="21"/>
        <v>777.58538008118558</v>
      </c>
      <c r="E251" s="23">
        <f t="shared" si="22"/>
        <v>718.37989104349401</v>
      </c>
      <c r="F251" s="23">
        <f>AlphaC*(D251-E251)</f>
        <v>1480.1372259422892</v>
      </c>
      <c r="G251" s="13">
        <f>Phi*EpsilonF*Botzman/10^8*J251*((D251+273)^4-(E251+273)^4)</f>
        <v>10012.051547465115</v>
      </c>
      <c r="H251" s="23">
        <f t="shared" si="23"/>
        <v>1328.6874513705779</v>
      </c>
      <c r="I251" s="12">
        <f>ksh*Massivete/(H251*RhoA)*DeltaT*(F251+G251)</f>
        <v>0.8292510256905804</v>
      </c>
      <c r="J251" s="3">
        <f>IF(E251&lt;=500,IF(Galva=Oui,0.35,0.7),0.7)</f>
        <v>0.7</v>
      </c>
    </row>
    <row r="252" spans="2:10" x14ac:dyDescent="0.25">
      <c r="B252" s="3">
        <f>B251+DeltaT</f>
        <v>1175</v>
      </c>
      <c r="C252" s="13">
        <f t="shared" si="20"/>
        <v>19.583333333333332</v>
      </c>
      <c r="D252" s="11">
        <f t="shared" si="21"/>
        <v>778.22026067626143</v>
      </c>
      <c r="E252" s="23">
        <f t="shared" si="22"/>
        <v>719.20914206918462</v>
      </c>
      <c r="F252" s="23">
        <f>AlphaC*(D252-E252)</f>
        <v>1475.2779651769201</v>
      </c>
      <c r="G252" s="13">
        <f>Phi*EpsilonF*Botzman/10^8*J252*((D252+273)^4-(E252+273)^4)</f>
        <v>10000.596403399277</v>
      </c>
      <c r="H252" s="23">
        <f t="shared" si="23"/>
        <v>1357.9322176704795</v>
      </c>
      <c r="I252" s="12">
        <f>ksh*Massivete/(H252*RhoA)*DeltaT*(F252+G252)</f>
        <v>0.81024021036416594</v>
      </c>
      <c r="J252" s="3">
        <f>IF(E252&lt;=500,IF(Galva=Oui,0.35,0.7),0.7)</f>
        <v>0.7</v>
      </c>
    </row>
    <row r="253" spans="2:10" x14ac:dyDescent="0.25">
      <c r="B253" s="3">
        <f>B252+DeltaT</f>
        <v>1180</v>
      </c>
      <c r="C253" s="13">
        <f t="shared" si="20"/>
        <v>19.666666666666668</v>
      </c>
      <c r="D253" s="11">
        <f t="shared" si="21"/>
        <v>778.85246244229529</v>
      </c>
      <c r="E253" s="23">
        <f t="shared" si="22"/>
        <v>720.01938227954884</v>
      </c>
      <c r="F253" s="23">
        <f>AlphaC*(D253-E253)</f>
        <v>1470.8270040686614</v>
      </c>
      <c r="G253" s="13">
        <f>Phi*EpsilonF*Botzman/10^8*J253*((D253+273)^4-(E253+273)^4)</f>
        <v>9991.4915075121262</v>
      </c>
      <c r="H253" s="23">
        <f t="shared" si="23"/>
        <v>1389.1119754696479</v>
      </c>
      <c r="I253" s="12">
        <f>ksh*Massivete/(H253*RhoA)*DeltaT*(F253+G253)</f>
        <v>0.79111809210500206</v>
      </c>
      <c r="J253" s="3">
        <f>IF(E253&lt;=500,IF(Galva=Oui,0.35,0.7),0.7)</f>
        <v>0.7</v>
      </c>
    </row>
    <row r="254" spans="2:10" x14ac:dyDescent="0.25">
      <c r="B254" s="3">
        <f>B253+DeltaT</f>
        <v>1185</v>
      </c>
      <c r="C254" s="13">
        <f t="shared" si="20"/>
        <v>19.75</v>
      </c>
      <c r="D254" s="11">
        <f t="shared" si="21"/>
        <v>779.48200789055568</v>
      </c>
      <c r="E254" s="23">
        <f t="shared" si="22"/>
        <v>720.8105003716538</v>
      </c>
      <c r="F254" s="23">
        <f>AlphaC*(D254-E254)</f>
        <v>1466.7876879725468</v>
      </c>
      <c r="G254" s="13">
        <f>Phi*EpsilonF*Botzman/10^8*J254*((D254+273)^4-(E254+273)^4)</f>
        <v>9984.7771298779189</v>
      </c>
      <c r="H254" s="23">
        <f t="shared" si="23"/>
        <v>1422.391999832221</v>
      </c>
      <c r="I254" s="12">
        <f>ksh*Massivete/(H254*RhoA)*DeltaT*(F254+G254)</f>
        <v>0.77188328096716818</v>
      </c>
      <c r="J254" s="3">
        <f>IF(E254&lt;=500,IF(Galva=Oui,0.35,0.7),0.7)</f>
        <v>0.7</v>
      </c>
    </row>
    <row r="255" spans="2:10" x14ac:dyDescent="0.25">
      <c r="B255" s="3">
        <f>B254+DeltaT</f>
        <v>1190</v>
      </c>
      <c r="C255" s="13">
        <f t="shared" si="20"/>
        <v>19.833333333333332</v>
      </c>
      <c r="D255" s="11">
        <f t="shared" si="21"/>
        <v>780.10891924974067</v>
      </c>
      <c r="E255" s="23">
        <f t="shared" si="22"/>
        <v>721.58238365262093</v>
      </c>
      <c r="F255" s="23">
        <f>AlphaC*(D255-E255)</f>
        <v>1463.1633899279932</v>
      </c>
      <c r="G255" s="13">
        <f>Phi*EpsilonF*Botzman/10^8*J255*((D255+273)^4-(E255+273)^4)</f>
        <v>9980.4934615652037</v>
      </c>
      <c r="H255" s="23">
        <f t="shared" si="23"/>
        <v>1457.9541865817605</v>
      </c>
      <c r="I255" s="12">
        <f>ksh*Massivete/(H255*RhoA)*DeltaT*(F255+G255)</f>
        <v>0.75253559831555505</v>
      </c>
      <c r="J255" s="3">
        <f>IF(E255&lt;=500,IF(Galva=Oui,0.35,0.7),0.7)</f>
        <v>0.7</v>
      </c>
    </row>
    <row r="256" spans="2:10" x14ac:dyDescent="0.25">
      <c r="B256" s="3">
        <f>B255+DeltaT</f>
        <v>1195</v>
      </c>
      <c r="C256" s="13">
        <f t="shared" si="20"/>
        <v>19.916666666666668</v>
      </c>
      <c r="D256" s="11">
        <f t="shared" si="21"/>
        <v>780.73321847068837</v>
      </c>
      <c r="E256" s="23">
        <f t="shared" si="22"/>
        <v>722.33491925093654</v>
      </c>
      <c r="F256" s="23">
        <f>AlphaC*(D256-E256)</f>
        <v>1459.9574804937959</v>
      </c>
      <c r="G256" s="13">
        <f>Phi*EpsilonF*Botzman/10^8*J256*((D256+273)^4-(E256+273)^4)</f>
        <v>9978.6804143055233</v>
      </c>
      <c r="H256" s="23">
        <f t="shared" si="23"/>
        <v>1495.9989133970678</v>
      </c>
      <c r="I256" s="12">
        <f>ksh*Massivete/(H256*RhoA)*DeltaT*(F256+G256)</f>
        <v>0.73307622286437379</v>
      </c>
      <c r="J256" s="3">
        <f>IF(E256&lt;=500,IF(Galva=Oui,0.35,0.7),0.7)</f>
        <v>0.7</v>
      </c>
    </row>
    <row r="257" spans="2:10" x14ac:dyDescent="0.25">
      <c r="B257" s="3">
        <f>B256+DeltaT</f>
        <v>1200</v>
      </c>
      <c r="C257" s="13">
        <f t="shared" si="20"/>
        <v>20</v>
      </c>
      <c r="D257" s="11">
        <f t="shared" si="21"/>
        <v>781.3549272309881</v>
      </c>
      <c r="E257" s="23">
        <f t="shared" si="22"/>
        <v>723.06799547380092</v>
      </c>
      <c r="F257" s="23">
        <f>AlphaC*(D257-E257)</f>
        <v>1457.1732939296794</v>
      </c>
      <c r="G257" s="13">
        <f>Phi*EpsilonF*Botzman/10^8*J257*((D257+273)^4-(E257+273)^4)</f>
        <v>9979.377394487401</v>
      </c>
      <c r="H257" s="23">
        <f t="shared" si="23"/>
        <v>1536.7471242181334</v>
      </c>
      <c r="I257" s="12">
        <f>ksh*Massivete/(H257*RhoA)*DeltaT*(F257+G257)</f>
        <v>0.71350784024102332</v>
      </c>
      <c r="J257" s="3">
        <f>IF(E257&lt;=500,IF(Galva=Oui,0.35,0.7),0.7)</f>
        <v>0.7</v>
      </c>
    </row>
    <row r="258" spans="2:10" x14ac:dyDescent="0.25">
      <c r="B258" s="3">
        <f>B257+DeltaT</f>
        <v>1205</v>
      </c>
      <c r="C258" s="13">
        <f t="shared" si="20"/>
        <v>20.083333333333332</v>
      </c>
      <c r="D258" s="11">
        <f t="shared" si="21"/>
        <v>781.97406693949733</v>
      </c>
      <c r="E258" s="23">
        <f t="shared" si="22"/>
        <v>723.78150331404197</v>
      </c>
      <c r="F258" s="23">
        <f>AlphaC*(D258-E258)</f>
        <v>1454.8140906363842</v>
      </c>
      <c r="G258" s="13">
        <f>Phi*EpsilonF*Botzman/10^8*J258*((D258+273)^4-(E258+273)^4)</f>
        <v>9982.6230507990076</v>
      </c>
      <c r="H258" s="23">
        <f t="shared" si="23"/>
        <v>1580.4426648733249</v>
      </c>
      <c r="I258" s="12">
        <f>ksh*Massivete/(H258*RhoA)*DeltaT*(F258+G258)</f>
        <v>0.69383479375375634</v>
      </c>
      <c r="J258" s="3">
        <f>IF(E258&lt;=500,IF(Galva=Oui,0.35,0.7),0.7)</f>
        <v>0.7</v>
      </c>
    </row>
    <row r="259" spans="2:10" x14ac:dyDescent="0.25">
      <c r="B259" s="3">
        <f>B258+DeltaT</f>
        <v>1210</v>
      </c>
      <c r="C259" s="13">
        <f t="shared" si="20"/>
        <v>20.166666666666668</v>
      </c>
      <c r="D259" s="11">
        <f t="shared" si="21"/>
        <v>782.59065874076532</v>
      </c>
      <c r="E259" s="23">
        <f t="shared" si="22"/>
        <v>724.47533810779578</v>
      </c>
      <c r="F259" s="23">
        <f>AlphaC*(D259-E259)</f>
        <v>1452.8830158242386</v>
      </c>
      <c r="G259" s="13">
        <f>Phi*EpsilonF*Botzman/10^8*J259*((D259+273)^4-(E259+273)^4)</f>
        <v>9988.4549952412654</v>
      </c>
      <c r="H259" s="23">
        <f t="shared" si="23"/>
        <v>1627.3549014112145</v>
      </c>
      <c r="I259" s="12">
        <f>ksh*Massivete/(H259*RhoA)*DeltaT*(F259+G259)</f>
        <v>0.67406323351398145</v>
      </c>
      <c r="J259" s="3">
        <f>IF(E259&lt;=500,IF(Galva=Oui,0.35,0.7),0.7)</f>
        <v>0.7</v>
      </c>
    </row>
    <row r="260" spans="2:10" x14ac:dyDescent="0.25">
      <c r="B260" s="3">
        <f>B259+DeltaT</f>
        <v>1215</v>
      </c>
      <c r="C260" s="13">
        <f t="shared" si="20"/>
        <v>20.25</v>
      </c>
      <c r="D260" s="11">
        <f t="shared" si="21"/>
        <v>783.20472351936542</v>
      </c>
      <c r="E260" s="23">
        <f t="shared" si="22"/>
        <v>725.14940134130973</v>
      </c>
      <c r="F260" s="23">
        <f>AlphaC*(D260-E260)</f>
        <v>1451.3830544513921</v>
      </c>
      <c r="G260" s="13">
        <f>Phi*EpsilonF*Botzman/10^8*J260*((D260+273)^4-(E260+273)^4)</f>
        <v>9996.9094977235891</v>
      </c>
      <c r="H260" s="23">
        <f t="shared" si="23"/>
        <v>1677.7816566629244</v>
      </c>
      <c r="I260" s="12">
        <f>ksh*Massivete/(H260*RhoA)*DeltaT*(F260+G260)</f>
        <v>0.65420126051529282</v>
      </c>
      <c r="J260" s="3">
        <f>IF(E260&lt;=500,IF(Galva=Oui,0.35,0.7),0.7)</f>
        <v>0.7</v>
      </c>
    </row>
    <row r="261" spans="2:10" x14ac:dyDescent="0.25">
      <c r="B261" s="3">
        <f>B260+DeltaT</f>
        <v>1220</v>
      </c>
      <c r="C261" s="13">
        <f t="shared" si="20"/>
        <v>20.333333333333332</v>
      </c>
      <c r="D261" s="11">
        <f t="shared" si="21"/>
        <v>783.81628190414062</v>
      </c>
      <c r="E261" s="23">
        <f t="shared" si="22"/>
        <v>725.80360260182499</v>
      </c>
      <c r="F261" s="23">
        <f>AlphaC*(D261-E261)</f>
        <v>1450.3169825578907</v>
      </c>
      <c r="G261" s="13">
        <f>Phi*EpsilonF*Botzman/10^8*J261*((D261+273)^4-(E261+273)^4)</f>
        <v>10008.021155042945</v>
      </c>
      <c r="H261" s="23">
        <f t="shared" si="23"/>
        <v>1732.0525051393895</v>
      </c>
      <c r="I261" s="12">
        <f>ksh*Massivete/(H261*RhoA)*DeltaT*(F261+G261)</f>
        <v>0.63425906172230984</v>
      </c>
      <c r="J261" s="3">
        <f>IF(E261&lt;=500,IF(Galva=Oui,0.35,0.7),0.7)</f>
        <v>0.7</v>
      </c>
    </row>
    <row r="262" spans="2:10" x14ac:dyDescent="0.25">
      <c r="B262" s="3">
        <f>B261+DeltaT</f>
        <v>1225</v>
      </c>
      <c r="C262" s="13">
        <f t="shared" si="20"/>
        <v>20.416666666666668</v>
      </c>
      <c r="D262" s="11">
        <f t="shared" si="21"/>
        <v>784.42535427236078</v>
      </c>
      <c r="E262" s="23">
        <f t="shared" si="22"/>
        <v>726.43786166354732</v>
      </c>
      <c r="F262" s="23">
        <f>AlphaC*(D262-E262)</f>
        <v>1449.6873152203364</v>
      </c>
      <c r="G262" s="13">
        <f>Phi*EpsilonF*Botzman/10^8*J262*((D262+273)^4-(E262+273)^4)</f>
        <v>10021.822535727286</v>
      </c>
      <c r="H262" s="23">
        <f t="shared" si="23"/>
        <v>1790.5324715591562</v>
      </c>
      <c r="I262" s="12">
        <f>ksh*Massivete/(H262*RhoA)*DeltaT*(F262+G262)</f>
        <v>0.61424903169951184</v>
      </c>
      <c r="J262" s="3">
        <f>IF(E262&lt;=500,IF(Galva=Oui,0.35,0.7),0.7)</f>
        <v>0.7</v>
      </c>
    </row>
    <row r="263" spans="2:10" x14ac:dyDescent="0.25">
      <c r="B263" s="3">
        <f>B262+DeltaT</f>
        <v>1230</v>
      </c>
      <c r="C263" s="13">
        <f t="shared" si="20"/>
        <v>20.5</v>
      </c>
      <c r="D263" s="11">
        <f t="shared" si="21"/>
        <v>785.03196075379753</v>
      </c>
      <c r="E263" s="23">
        <f t="shared" si="22"/>
        <v>727.05211069524682</v>
      </c>
      <c r="F263" s="23">
        <f>AlphaC*(D263-E263)</f>
        <v>1449.4962514637677</v>
      </c>
      <c r="G263" s="13">
        <f>Phi*EpsilonF*Botzman/10^8*J263*((D263+273)^4-(E263+273)^4)</f>
        <v>10038.343803001684</v>
      </c>
      <c r="H263" s="23">
        <f t="shared" si="23"/>
        <v>1853.6261841956152</v>
      </c>
      <c r="I263" s="12">
        <f>ksh*Massivete/(H263*RhoA)*DeltaT*(F263+G263)</f>
        <v>0.59418587584688587</v>
      </c>
      <c r="J263" s="3">
        <f>IF(E263&lt;=500,IF(Galva=Oui,0.35,0.7),0.7)</f>
        <v>0.7</v>
      </c>
    </row>
    <row r="264" spans="2:10" x14ac:dyDescent="0.25">
      <c r="B264" s="3">
        <f>B263+DeltaT</f>
        <v>1235</v>
      </c>
      <c r="C264" s="13">
        <f t="shared" si="20"/>
        <v>20.583333333333332</v>
      </c>
      <c r="D264" s="11">
        <f t="shared" si="21"/>
        <v>785.63612123471592</v>
      </c>
      <c r="E264" s="23">
        <f t="shared" si="22"/>
        <v>727.64629657109367</v>
      </c>
      <c r="F264" s="23">
        <f>AlphaC*(D264-E264)</f>
        <v>1449.745616590556</v>
      </c>
      <c r="G264" s="13">
        <f>Phi*EpsilonF*Botzman/10^8*J264*((D264+273)^4-(E264+273)^4)</f>
        <v>10057.612318989288</v>
      </c>
      <c r="H264" s="23">
        <f t="shared" si="23"/>
        <v>1921.7825409311936</v>
      </c>
      <c r="I264" s="12">
        <f>ksh*Massivete/(H264*RhoA)*DeltaT*(F264+G264)</f>
        <v>0.57408668994345169</v>
      </c>
      <c r="J264" s="3">
        <f>IF(E264&lt;=500,IF(Galva=Oui,0.35,0.7),0.7)</f>
        <v>0.7</v>
      </c>
    </row>
    <row r="265" spans="2:10" x14ac:dyDescent="0.25">
      <c r="B265" s="3">
        <f>B264+DeltaT</f>
        <v>1240</v>
      </c>
      <c r="C265" s="13">
        <f t="shared" si="20"/>
        <v>20.666666666666668</v>
      </c>
      <c r="D265" s="11">
        <f t="shared" si="21"/>
        <v>786.23785536178582</v>
      </c>
      <c r="E265" s="23">
        <f t="shared" si="22"/>
        <v>728.22038326103711</v>
      </c>
      <c r="F265" s="23">
        <f>AlphaC*(D265-E265)</f>
        <v>1450.4368025187177</v>
      </c>
      <c r="G265" s="13">
        <f>Phi*EpsilonF*Botzman/10^8*J265*((D265+273)^4-(E265+273)^4)</f>
        <v>10079.652234182298</v>
      </c>
      <c r="H265" s="23">
        <f t="shared" si="23"/>
        <v>1995.4999535307804</v>
      </c>
      <c r="I265" s="12">
        <f>ksh*Massivete/(H265*RhoA)*DeltaT*(F265+G265)</f>
        <v>0.55397101047503738</v>
      </c>
      <c r="J265" s="3">
        <f>IF(E265&lt;=500,IF(Galva=Oui,0.35,0.7),0.7)</f>
        <v>0.7</v>
      </c>
    </row>
    <row r="266" spans="2:10" x14ac:dyDescent="0.25">
      <c r="B266" s="3">
        <f>B265+DeltaT</f>
        <v>1245</v>
      </c>
      <c r="C266" s="13">
        <f t="shared" si="20"/>
        <v>20.75</v>
      </c>
      <c r="D266" s="11">
        <f t="shared" si="21"/>
        <v>786.83718254591622</v>
      </c>
      <c r="E266" s="23">
        <f t="shared" si="22"/>
        <v>728.77435427151215</v>
      </c>
      <c r="F266" s="23">
        <f>AlphaC*(D266-E266)</f>
        <v>1451.5707068601018</v>
      </c>
      <c r="G266" s="13">
        <f>Phi*EpsilonF*Botzman/10^8*J266*((D266+273)^4-(E266+273)^4)</f>
        <v>10104.48406717901</v>
      </c>
      <c r="H266" s="23">
        <f t="shared" si="23"/>
        <v>2075.3322443383186</v>
      </c>
      <c r="I266" s="12">
        <f>ksh*Massivete/(H266*RhoA)*DeltaT*(F266+G266)</f>
        <v>0.53386083018379415</v>
      </c>
      <c r="J266" s="3">
        <f>IF(E266&lt;=500,IF(Galva=Oui,0.35,0.7),0.7)</f>
        <v>0.7</v>
      </c>
    </row>
    <row r="267" spans="2:10" x14ac:dyDescent="0.25">
      <c r="B267" s="3">
        <f>B266+DeltaT</f>
        <v>1250</v>
      </c>
      <c r="C267" s="13">
        <f t="shared" si="20"/>
        <v>20.833333333333332</v>
      </c>
      <c r="D267" s="11">
        <f t="shared" si="21"/>
        <v>787.43412196601128</v>
      </c>
      <c r="E267" s="23">
        <f t="shared" si="22"/>
        <v>729.30821510169596</v>
      </c>
      <c r="F267" s="23">
        <f>AlphaC*(D267-E267)</f>
        <v>1453.1476716078828</v>
      </c>
      <c r="G267" s="13">
        <f>Phi*EpsilonF*Botzman/10^8*J267*((D267+273)^4-(E267+273)^4)</f>
        <v>10132.124280654538</v>
      </c>
      <c r="H267" s="23">
        <f t="shared" si="23"/>
        <v>2161.8952795227347</v>
      </c>
      <c r="I267" s="12">
        <f>ksh*Massivete/(H267*RhoA)*DeltaT*(F267+G267)</f>
        <v>0.51378057346871664</v>
      </c>
      <c r="J267" s="3">
        <f>IF(E267&lt;=500,IF(Galva=Oui,0.35,0.7),0.7)</f>
        <v>0.7</v>
      </c>
    </row>
    <row r="268" spans="2:10" x14ac:dyDescent="0.25">
      <c r="B268" s="3">
        <f>B267+DeltaT</f>
        <v>1255</v>
      </c>
      <c r="C268" s="13">
        <f t="shared" si="20"/>
        <v>20.916666666666668</v>
      </c>
      <c r="D268" s="11">
        <f t="shared" si="21"/>
        <v>788.02869257265456</v>
      </c>
      <c r="E268" s="23">
        <f t="shared" si="22"/>
        <v>729.82199567516466</v>
      </c>
      <c r="F268" s="23">
        <f>AlphaC*(D268-E268)</f>
        <v>1455.1674224372478</v>
      </c>
      <c r="G268" s="13">
        <f>Phi*EpsilonF*Botzman/10^8*J268*((D268+273)^4-(E268+273)^4)</f>
        <v>10162.584860471739</v>
      </c>
      <c r="H268" s="23">
        <f t="shared" si="23"/>
        <v>2255.8744343427315</v>
      </c>
      <c r="I268" s="12">
        <f>ksh*Massivete/(H268*RhoA)*DeltaT*(F268+G268)</f>
        <v>0.49375702672874938</v>
      </c>
      <c r="J268" s="3">
        <f>IF(E268&lt;=500,IF(Galva=Oui,0.35,0.7),0.7)</f>
        <v>0.7</v>
      </c>
    </row>
    <row r="269" spans="2:10" x14ac:dyDescent="0.25">
      <c r="B269" s="3">
        <f>B268+DeltaT</f>
        <v>1260</v>
      </c>
      <c r="C269" s="13">
        <f t="shared" si="20"/>
        <v>21</v>
      </c>
      <c r="D269" s="11">
        <f t="shared" si="21"/>
        <v>788.62091309171728</v>
      </c>
      <c r="E269" s="23">
        <f t="shared" si="22"/>
        <v>730.31575270189342</v>
      </c>
      <c r="F269" s="23">
        <f>AlphaC*(D269-E269)</f>
        <v>1457.6290097455967</v>
      </c>
      <c r="G269" s="13">
        <f>Phi*EpsilonF*Botzman/10^8*J269*((D269+273)^4-(E269+273)^4)</f>
        <v>10195.872905702054</v>
      </c>
      <c r="H269" s="23">
        <f t="shared" si="23"/>
        <v>2358.0329988864</v>
      </c>
      <c r="I269" s="12">
        <f>ksh*Massivete/(H269*RhoA)*DeltaT*(F269+G269)</f>
        <v>0.47381921950392414</v>
      </c>
      <c r="J269" s="3">
        <f>IF(E269&lt;=500,IF(Galva=Oui,0.35,0.7),0.7)</f>
        <v>0.7</v>
      </c>
    </row>
    <row r="270" spans="2:10" x14ac:dyDescent="0.25">
      <c r="B270" s="3">
        <f>B269+DeltaT</f>
        <v>1265</v>
      </c>
      <c r="C270" s="13">
        <f t="shared" si="20"/>
        <v>21.083333333333332</v>
      </c>
      <c r="D270" s="11">
        <f t="shared" si="21"/>
        <v>789.21080202789813</v>
      </c>
      <c r="E270" s="23">
        <f t="shared" si="22"/>
        <v>730.7895719213974</v>
      </c>
      <c r="F270" s="23">
        <f>AlphaC*(D270-E270)</f>
        <v>1460.5307526625184</v>
      </c>
      <c r="G270" s="13">
        <f>Phi*EpsilonF*Botzman/10^8*J270*((D270+273)^4-(E270+273)^4)</f>
        <v>10231.990238056629</v>
      </c>
      <c r="H270" s="23">
        <f t="shared" si="23"/>
        <v>2469.2216476278636</v>
      </c>
      <c r="I270" s="12">
        <f>ksh*Massivete/(H270*RhoA)*DeltaT*(F270+G270)</f>
        <v>0.45399825335231864</v>
      </c>
      <c r="J270" s="3">
        <f>IF(E270&lt;=500,IF(Galva=Oui,0.35,0.7),0.7)</f>
        <v>0.7</v>
      </c>
    </row>
    <row r="271" spans="2:10" x14ac:dyDescent="0.25">
      <c r="B271" s="3">
        <f>B270+DeltaT</f>
        <v>1270</v>
      </c>
      <c r="C271" s="13">
        <f t="shared" si="20"/>
        <v>21.166666666666668</v>
      </c>
      <c r="D271" s="11">
        <f t="shared" si="21"/>
        <v>789.79837766819219</v>
      </c>
      <c r="E271" s="23">
        <f t="shared" si="22"/>
        <v>731.24357017474972</v>
      </c>
      <c r="F271" s="23">
        <f>AlphaC*(D271-E271)</f>
        <v>1463.8701873360617</v>
      </c>
      <c r="G271" s="13">
        <f>Phi*EpsilonF*Botzman/10^8*J271*((D271+273)^4-(E271+273)^4)</f>
        <v>10270.933039776184</v>
      </c>
      <c r="H271" s="23">
        <f t="shared" si="23"/>
        <v>2590.3891132279118</v>
      </c>
      <c r="I271" s="12">
        <f>ksh*Massivete/(H271*RhoA)*DeltaT*(F271+G271)</f>
        <v>0.43432707679960009</v>
      </c>
      <c r="J271" s="3">
        <f>IF(E271&lt;=500,IF(Galva=Oui,0.35,0.7),0.7)</f>
        <v>0.7</v>
      </c>
    </row>
    <row r="272" spans="2:10" x14ac:dyDescent="0.25">
      <c r="B272" s="3">
        <f>B271+DeltaT</f>
        <v>1275</v>
      </c>
      <c r="C272" s="13">
        <f t="shared" si="20"/>
        <v>21.25</v>
      </c>
      <c r="D272" s="11">
        <f t="shared" si="21"/>
        <v>790.38365808529295</v>
      </c>
      <c r="E272" s="23">
        <f t="shared" si="22"/>
        <v>731.67789725154933</v>
      </c>
      <c r="F272" s="23">
        <f>AlphaC*(D272-E272)</f>
        <v>1467.6440208435906</v>
      </c>
      <c r="G272" s="13">
        <f>Phi*EpsilonF*Botzman/10^8*J272*((D272+273)^4-(E272+273)^4)</f>
        <v>10312.691529333617</v>
      </c>
      <c r="H272" s="23">
        <f t="shared" si="23"/>
        <v>2722.5942246329882</v>
      </c>
      <c r="I272" s="12">
        <f>ksh*Massivete/(H272*RhoA)*DeltaT*(F272+G272)</f>
        <v>0.41484020638850638</v>
      </c>
      <c r="J272" s="3">
        <f>IF(E272&lt;=500,IF(Galva=Oui,0.35,0.7),0.7)</f>
        <v>0.7</v>
      </c>
    </row>
    <row r="273" spans="2:10" x14ac:dyDescent="0.25">
      <c r="B273" s="3">
        <f>B272+DeltaT</f>
        <v>1280</v>
      </c>
      <c r="C273" s="13">
        <f t="shared" si="20"/>
        <v>21.333333333333332</v>
      </c>
      <c r="D273" s="11">
        <f t="shared" si="21"/>
        <v>790.96666114092716</v>
      </c>
      <c r="E273" s="23">
        <f t="shared" si="22"/>
        <v>732.0927374579378</v>
      </c>
      <c r="F273" s="23">
        <f>AlphaC*(D273-E273)</f>
        <v>1471.8480920747338</v>
      </c>
      <c r="G273" s="13">
        <f>Phi*EpsilonF*Botzman/10^8*J273*((D273+273)^4-(E273+273)^4)</f>
        <v>10357.249684319902</v>
      </c>
      <c r="H273" s="23">
        <f t="shared" si="23"/>
        <v>2867.0194920947361</v>
      </c>
      <c r="I273" s="12">
        <f>ksh*Massivete/(H273*RhoA)*DeltaT*(F273+G273)</f>
        <v>0.39557339578719536</v>
      </c>
      <c r="J273" s="3">
        <f>IF(E273&lt;=500,IF(Galva=Oui,0.35,0.7),0.7)</f>
        <v>0.7</v>
      </c>
    </row>
    <row r="274" spans="2:10" x14ac:dyDescent="0.25">
      <c r="B274" s="3">
        <f>B273+DeltaT</f>
        <v>1285</v>
      </c>
      <c r="C274" s="13">
        <f t="shared" ref="C274:C337" si="24">B274/60</f>
        <v>21.416666666666668</v>
      </c>
      <c r="D274" s="11">
        <f t="shared" ref="D274:D337" si="25">20+345*LOG(8*C274+1,10)</f>
        <v>791.54740448912651</v>
      </c>
      <c r="E274" s="23">
        <f t="shared" si="22"/>
        <v>732.48831085372501</v>
      </c>
      <c r="F274" s="23">
        <f>AlphaC*(D274-E274)</f>
        <v>1476.4773408850374</v>
      </c>
      <c r="G274" s="13">
        <f>Phi*EpsilonF*Botzman/10^8*J274*((D274+273)^4-(E274+273)^4)</f>
        <v>10404.585020566157</v>
      </c>
      <c r="H274" s="23">
        <f t="shared" si="23"/>
        <v>3024.9864477003844</v>
      </c>
      <c r="I274" s="12">
        <f>ksh*Massivete/(H274*RhoA)*DeltaT*(F274+G274)</f>
        <v>0.37656325701015103</v>
      </c>
      <c r="J274" s="3">
        <f>IF(E274&lt;=500,IF(Galva=Oui,0.35,0.7),0.7)</f>
        <v>0.7</v>
      </c>
    </row>
    <row r="275" spans="2:10" x14ac:dyDescent="0.25">
      <c r="B275" s="3">
        <f>B274+DeltaT</f>
        <v>1290</v>
      </c>
      <c r="C275" s="13">
        <f t="shared" si="24"/>
        <v>21.5</v>
      </c>
      <c r="D275" s="11">
        <f t="shared" si="25"/>
        <v>792.1259055794344</v>
      </c>
      <c r="E275" s="23">
        <f t="shared" si="22"/>
        <v>732.86487411073517</v>
      </c>
      <c r="F275" s="23">
        <f>AlphaC*(D275-E275)</f>
        <v>1481.5257867174807</v>
      </c>
      <c r="G275" s="13">
        <f>Phi*EpsilonF*Botzman/10^8*J275*((D275+273)^4-(E275+273)^4)</f>
        <v>10454.668435874226</v>
      </c>
      <c r="H275" s="23">
        <f t="shared" si="23"/>
        <v>3197.972979899318</v>
      </c>
      <c r="I275" s="12">
        <f>ksh*Massivete/(H275*RhoA)*DeltaT*(F275+G275)</f>
        <v>0.35784683996144034</v>
      </c>
      <c r="J275" s="3">
        <f>IF(E275&lt;=500,IF(Galva=Oui,0.35,0.7),0.7)</f>
        <v>0.7</v>
      </c>
    </row>
    <row r="276" spans="2:10" x14ac:dyDescent="0.25">
      <c r="B276" s="3">
        <f>B275+DeltaT</f>
        <v>1295</v>
      </c>
      <c r="C276" s="13">
        <f t="shared" si="24"/>
        <v>21.583333333333332</v>
      </c>
      <c r="D276" s="11">
        <f t="shared" si="25"/>
        <v>792.70218166005225</v>
      </c>
      <c r="E276" s="23">
        <f t="shared" si="22"/>
        <v>733.22272095069661</v>
      </c>
      <c r="F276" s="23">
        <f>AlphaC*(D276-E276)</f>
        <v>1486.9865177338909</v>
      </c>
      <c r="G276" s="13">
        <f>Phi*EpsilonF*Botzman/10^8*J276*((D276+273)^4-(E276+273)^4)</f>
        <v>10507.464125678771</v>
      </c>
      <c r="H276" s="23">
        <f t="shared" si="23"/>
        <v>3387.6329349435682</v>
      </c>
      <c r="I276" s="12">
        <f>ksh*Massivete/(H276*RhoA)*DeltaT*(F276+G276)</f>
        <v>0.33946117860535119</v>
      </c>
      <c r="J276" s="3">
        <f>IF(E276&lt;=500,IF(Galva=Oui,0.35,0.7),0.7)</f>
        <v>0.7</v>
      </c>
    </row>
    <row r="277" spans="2:10" x14ac:dyDescent="0.25">
      <c r="B277" s="3">
        <f>B276+DeltaT</f>
        <v>1300</v>
      </c>
      <c r="C277" s="13">
        <f t="shared" si="24"/>
        <v>21.666666666666668</v>
      </c>
      <c r="D277" s="11">
        <f t="shared" si="25"/>
        <v>793.27624978092604</v>
      </c>
      <c r="E277" s="23">
        <f t="shared" si="22"/>
        <v>733.56218212930196</v>
      </c>
      <c r="F277" s="23">
        <f>AlphaC*(D277-E277)</f>
        <v>1492.851691290602</v>
      </c>
      <c r="G277" s="13">
        <f>Phi*EpsilonF*Botzman/10^8*J277*((D277+273)^4-(E277+273)^4)</f>
        <v>10562.929576544144</v>
      </c>
      <c r="H277" s="23">
        <f t="shared" si="23"/>
        <v>3595.8182978281775</v>
      </c>
      <c r="I277" s="12">
        <f>ksh*Massivete/(H277*RhoA)*DeltaT*(F277+G277)</f>
        <v>0.32144281396983371</v>
      </c>
      <c r="J277" s="3">
        <f>IF(E277&lt;=500,IF(Galva=Oui,0.35,0.7),0.7)</f>
        <v>0.7</v>
      </c>
    </row>
    <row r="278" spans="2:10" x14ac:dyDescent="0.25">
      <c r="B278" s="3">
        <f>B277+DeltaT</f>
        <v>1305</v>
      </c>
      <c r="C278" s="13">
        <f t="shared" si="24"/>
        <v>21.75</v>
      </c>
      <c r="D278" s="11">
        <f t="shared" si="25"/>
        <v>793.84812679677157</v>
      </c>
      <c r="E278" s="23">
        <f t="shared" si="22"/>
        <v>733.8836249432718</v>
      </c>
      <c r="F278" s="23">
        <f>AlphaC*(D278-E278)</f>
        <v>1499.1125463374942</v>
      </c>
      <c r="G278" s="13">
        <f>Phi*EpsilonF*Botzman/10^8*J278*((D278+273)^4-(E278+273)^4)</f>
        <v>10621.015641656399</v>
      </c>
      <c r="H278" s="23">
        <f t="shared" si="23"/>
        <v>3824.6043110304713</v>
      </c>
      <c r="I278" s="12">
        <f>ksh*Massivete/(H278*RhoA)*DeltaT*(F278+G278)</f>
        <v>0.30382730575854711</v>
      </c>
      <c r="J278" s="3">
        <f>IF(E278&lt;=500,IF(Galva=Oui,0.35,0.7),0.7)</f>
        <v>0.7</v>
      </c>
    </row>
    <row r="279" spans="2:10" x14ac:dyDescent="0.25">
      <c r="B279" s="3">
        <f>B278+DeltaT</f>
        <v>1310</v>
      </c>
      <c r="C279" s="13">
        <f t="shared" si="24"/>
        <v>21.833333333333332</v>
      </c>
      <c r="D279" s="11">
        <f t="shared" si="25"/>
        <v>794.41782937004484</v>
      </c>
      <c r="E279" s="23">
        <f t="shared" si="22"/>
        <v>734.18745224903034</v>
      </c>
      <c r="F279" s="23">
        <f>AlphaC*(D279-E279)</f>
        <v>1505.7594280253625</v>
      </c>
      <c r="G279" s="13">
        <f>Phi*EpsilonF*Botzman/10^8*J279*((D279+273)^4-(E279+273)^4)</f>
        <v>10681.666700449894</v>
      </c>
      <c r="H279" s="23">
        <f t="shared" si="23"/>
        <v>4076.3179420357851</v>
      </c>
      <c r="I279" s="12">
        <f>ksh*Massivete/(H279*RhoA)*DeltaT*(F279+G279)</f>
        <v>0.28664874546274927</v>
      </c>
      <c r="J279" s="3">
        <f>IF(E279&lt;=500,IF(Galva=Oui,0.35,0.7),0.7)</f>
        <v>0.7</v>
      </c>
    </row>
    <row r="280" spans="2:10" x14ac:dyDescent="0.25">
      <c r="B280" s="3">
        <f>B279+DeltaT</f>
        <v>1315</v>
      </c>
      <c r="C280" s="13">
        <f t="shared" si="24"/>
        <v>21.916666666666668</v>
      </c>
      <c r="D280" s="11">
        <f t="shared" si="25"/>
        <v>794.98537397385542</v>
      </c>
      <c r="E280" s="23">
        <f t="shared" si="22"/>
        <v>734.47410099449314</v>
      </c>
      <c r="F280" s="23">
        <f>AlphaC*(D280-E280)</f>
        <v>1512.7818244840569</v>
      </c>
      <c r="G280" s="13">
        <f>Phi*EpsilonF*Botzman/10^8*J280*((D280+273)^4-(E280+273)^4)</f>
        <v>10744.820902291231</v>
      </c>
      <c r="H280" s="23">
        <f t="shared" si="23"/>
        <v>4353.570171378442</v>
      </c>
      <c r="I280" s="12">
        <f>ksh*Massivete/(H280*RhoA)*DeltaT*(F280+G280)</f>
        <v>0.2699392844232632</v>
      </c>
      <c r="J280" s="3">
        <f>IF(E280&lt;=500,IF(Galva=Oui,0.35,0.7),0.7)</f>
        <v>0.7</v>
      </c>
    </row>
    <row r="281" spans="2:10" x14ac:dyDescent="0.25">
      <c r="B281" s="3">
        <f>B280+DeltaT</f>
        <v>1320</v>
      </c>
      <c r="C281" s="13">
        <f t="shared" si="24"/>
        <v>22</v>
      </c>
      <c r="D281" s="11">
        <f t="shared" si="25"/>
        <v>795.55077689482323</v>
      </c>
      <c r="E281" s="23">
        <f t="shared" si="22"/>
        <v>734.74404027891637</v>
      </c>
      <c r="F281" s="23">
        <f>AlphaC*(D281-E281)</f>
        <v>1520.1684153976714</v>
      </c>
      <c r="G281" s="13">
        <f>Phi*EpsilonF*Botzman/10^8*J281*((D281+273)^4-(E281+273)^4)</f>
        <v>10810.410491826704</v>
      </c>
      <c r="H281" s="23">
        <f t="shared" si="23"/>
        <v>4659.2926429669587</v>
      </c>
      <c r="I281" s="12">
        <f>ksh*Massivete/(H281*RhoA)*DeltaT*(F281+G281)</f>
        <v>0.25372869022822114</v>
      </c>
      <c r="J281" s="3">
        <f>IF(E281&lt;=500,IF(Galva=Oui,0.35,0.7),0.7)</f>
        <v>0.7</v>
      </c>
    </row>
    <row r="282" spans="2:10" x14ac:dyDescent="0.25">
      <c r="B282" s="3">
        <f>B281+DeltaT</f>
        <v>1325</v>
      </c>
      <c r="C282" s="13">
        <f t="shared" si="24"/>
        <v>22.083333333333332</v>
      </c>
      <c r="D282" s="11">
        <f t="shared" si="25"/>
        <v>796.11405423588383</v>
      </c>
      <c r="E282" s="23">
        <f t="shared" si="22"/>
        <v>734.99776896914454</v>
      </c>
      <c r="F282" s="23">
        <f>AlphaC*(D282-E282)</f>
        <v>1527.9071316684822</v>
      </c>
      <c r="G282" s="13">
        <f>Phi*EpsilonF*Botzman/10^8*J282*((D282+273)^4-(E282+273)^4)</f>
        <v>10878.362211292189</v>
      </c>
      <c r="H282" s="23">
        <f t="shared" si="23"/>
        <v>4996.7792992517343</v>
      </c>
      <c r="I282" s="12">
        <f>ksh*Massivete/(H282*RhoA)*DeltaT*(F282+G282)</f>
        <v>0.23804394411984181</v>
      </c>
      <c r="J282" s="3">
        <f>IF(E282&lt;=500,IF(Galva=Oui,0.35,0.7),0.7)</f>
        <v>0.7</v>
      </c>
    </row>
    <row r="283" spans="2:10" x14ac:dyDescent="0.25">
      <c r="B283" s="3">
        <f>B282+DeltaT</f>
        <v>1330</v>
      </c>
      <c r="C283" s="13">
        <f t="shared" si="24"/>
        <v>22.166666666666668</v>
      </c>
      <c r="D283" s="11">
        <f t="shared" si="25"/>
        <v>796.67522191904027</v>
      </c>
      <c r="E283" s="23">
        <f t="shared" si="22"/>
        <v>735.23581291326434</v>
      </c>
      <c r="F283" s="23">
        <f>AlphaC*(D283-E283)</f>
        <v>1535.9852251443981</v>
      </c>
      <c r="G283" s="13">
        <f>Phi*EpsilonF*Botzman/10^8*J283*((D283+273)^4-(E283+273)^4)</f>
        <v>10948.597772888845</v>
      </c>
      <c r="H283" s="23">
        <f t="shared" si="23"/>
        <v>4751.9846721032281</v>
      </c>
      <c r="I283" s="12">
        <f>ksh*Massivete/(H283*RhoA)*DeltaT*(F283+G283)</f>
        <v>0.25188662612690516</v>
      </c>
      <c r="J283" s="3">
        <f>IF(E283&lt;=500,IF(Galva=Oui,0.35,0.7),0.7)</f>
        <v>0.7</v>
      </c>
    </row>
    <row r="284" spans="2:10" x14ac:dyDescent="0.25">
      <c r="B284" s="3">
        <f>B283+DeltaT</f>
        <v>1335</v>
      </c>
      <c r="C284" s="13">
        <f t="shared" si="24"/>
        <v>22.25</v>
      </c>
      <c r="D284" s="11">
        <f t="shared" si="25"/>
        <v>797.23429568806307</v>
      </c>
      <c r="E284" s="23">
        <f t="shared" si="22"/>
        <v>735.4876995393912</v>
      </c>
      <c r="F284" s="23">
        <f>AlphaC*(D284-E284)</f>
        <v>1543.6649037167967</v>
      </c>
      <c r="G284" s="13">
        <f>Phi*EpsilonF*Botzman/10^8*J284*((D284+273)^4-(E284+273)^4)</f>
        <v>11016.315950264232</v>
      </c>
      <c r="H284" s="23">
        <f t="shared" si="23"/>
        <v>4515.854074249688</v>
      </c>
      <c r="I284" s="12">
        <f>ksh*Massivete/(H284*RhoA)*DeltaT*(F284+G284)</f>
        <v>0.26665834372190172</v>
      </c>
      <c r="J284" s="3">
        <f>IF(E284&lt;=500,IF(Galva=Oui,0.35,0.7),0.7)</f>
        <v>0.7</v>
      </c>
    </row>
    <row r="285" spans="2:10" x14ac:dyDescent="0.25">
      <c r="B285" s="3">
        <f>B284+DeltaT</f>
        <v>1340</v>
      </c>
      <c r="C285" s="13">
        <f t="shared" si="24"/>
        <v>22.333333333333332</v>
      </c>
      <c r="D285" s="11">
        <f t="shared" si="25"/>
        <v>797.79129111114128</v>
      </c>
      <c r="E285" s="23">
        <f t="shared" si="22"/>
        <v>735.75435788311313</v>
      </c>
      <c r="F285" s="23">
        <f>AlphaC*(D285-E285)</f>
        <v>1550.9233307007037</v>
      </c>
      <c r="G285" s="13">
        <f>Phi*EpsilonF*Botzman/10^8*J285*((D285+273)^4-(E285+273)^4)</f>
        <v>11081.361558909215</v>
      </c>
      <c r="H285" s="23">
        <f t="shared" si="23"/>
        <v>4293.1402195855626</v>
      </c>
      <c r="I285" s="12">
        <f>ksh*Massivete/(H285*RhoA)*DeltaT*(F285+G285)</f>
        <v>0.28210639926312869</v>
      </c>
      <c r="J285" s="3">
        <f>IF(E285&lt;=500,IF(Galva=Oui,0.35,0.7),0.7)</f>
        <v>0.7</v>
      </c>
    </row>
    <row r="286" spans="2:10" x14ac:dyDescent="0.25">
      <c r="B286" s="3">
        <f>B285+DeltaT</f>
        <v>1345</v>
      </c>
      <c r="C286" s="13">
        <f t="shared" si="24"/>
        <v>22.416666666666668</v>
      </c>
      <c r="D286" s="11">
        <f t="shared" si="25"/>
        <v>798.34622358348281</v>
      </c>
      <c r="E286" s="23">
        <f t="shared" si="22"/>
        <v>736.0364642823763</v>
      </c>
      <c r="F286" s="23">
        <f>AlphaC*(D286-E286)</f>
        <v>1557.7439825276629</v>
      </c>
      <c r="G286" s="13">
        <f>Phi*EpsilonF*Botzman/10^8*J286*((D286+273)^4-(E286+273)^4)</f>
        <v>11143.619828448029</v>
      </c>
      <c r="H286" s="23">
        <f t="shared" si="23"/>
        <v>4083.1964411732474</v>
      </c>
      <c r="I286" s="12">
        <f>ksh*Massivete/(H286*RhoA)*DeltaT*(F286+G286)</f>
        <v>0.29823333239740801</v>
      </c>
      <c r="J286" s="3">
        <f>IF(E286&lt;=500,IF(Galva=Oui,0.35,0.7),0.7)</f>
        <v>0.7</v>
      </c>
    </row>
    <row r="287" spans="2:10" x14ac:dyDescent="0.25">
      <c r="B287" s="3">
        <f>B286+DeltaT</f>
        <v>1350</v>
      </c>
      <c r="C287" s="13">
        <f t="shared" si="24"/>
        <v>22.5</v>
      </c>
      <c r="D287" s="11">
        <f t="shared" si="25"/>
        <v>798.89910832986868</v>
      </c>
      <c r="E287" s="23">
        <f t="shared" si="22"/>
        <v>736.33469761477375</v>
      </c>
      <c r="F287" s="23">
        <f>AlphaC*(D287-E287)</f>
        <v>1564.1102678773734</v>
      </c>
      <c r="G287" s="13">
        <f>Phi*EpsilonF*Botzman/10^8*J287*((D287+273)^4-(E287+273)^4)</f>
        <v>11202.974848746797</v>
      </c>
      <c r="H287" s="23">
        <f t="shared" si="23"/>
        <v>3885.3955175734513</v>
      </c>
      <c r="I287" s="12">
        <f>ksh*Massivete/(H287*RhoA)*DeltaT*(F287+G287)</f>
        <v>0.31503776555330576</v>
      </c>
      <c r="J287" s="3">
        <f>IF(E287&lt;=500,IF(Galva=Oui,0.35,0.7),0.7)</f>
        <v>0.7</v>
      </c>
    </row>
    <row r="288" spans="2:10" x14ac:dyDescent="0.25">
      <c r="B288" s="3">
        <f>B287+DeltaT</f>
        <v>1355</v>
      </c>
      <c r="C288" s="13">
        <f t="shared" si="24"/>
        <v>22.583333333333332</v>
      </c>
      <c r="D288" s="11">
        <f t="shared" si="25"/>
        <v>799.44996040715796</v>
      </c>
      <c r="E288" s="23">
        <f t="shared" si="22"/>
        <v>736.649735380327</v>
      </c>
      <c r="F288" s="23">
        <f>AlphaC*(D288-E288)</f>
        <v>1570.005625670774</v>
      </c>
      <c r="G288" s="13">
        <f>Phi*EpsilonF*Botzman/10^8*J288*((D288+273)^4-(E288+273)^4)</f>
        <v>11259.310154889068</v>
      </c>
      <c r="H288" s="23">
        <f t="shared" si="23"/>
        <v>3699.1300256382265</v>
      </c>
      <c r="I288" s="12">
        <f>ksh*Massivete/(H288*RhoA)*DeltaT*(F288+G288)</f>
        <v>0.33251404747978491</v>
      </c>
      <c r="J288" s="3">
        <f>IF(E288&lt;=500,IF(Galva=Oui,0.35,0.7),0.7)</f>
        <v>0.7</v>
      </c>
    </row>
    <row r="289" spans="2:10" x14ac:dyDescent="0.25">
      <c r="B289" s="3">
        <f>B288+DeltaT</f>
        <v>1360</v>
      </c>
      <c r="C289" s="13">
        <f t="shared" si="24"/>
        <v>22.666666666666668</v>
      </c>
      <c r="D289" s="11">
        <f t="shared" si="25"/>
        <v>799.99879470674989</v>
      </c>
      <c r="E289" s="23">
        <f t="shared" si="22"/>
        <v>736.98224942780678</v>
      </c>
      <c r="F289" s="23">
        <f>AlphaC*(D289-E289)</f>
        <v>1575.4136319735778</v>
      </c>
      <c r="G289" s="13">
        <f>Phi*EpsilonF*Botzman/10^8*J289*((D289+273)^4-(E289+273)^4)</f>
        <v>11312.509371459555</v>
      </c>
      <c r="H289" s="23">
        <f t="shared" si="23"/>
        <v>3523.8126046982961</v>
      </c>
      <c r="I289" s="12">
        <f>ksh*Massivete/(H289*RhoA)*DeltaT*(F289+G289)</f>
        <v>0.35065192518280752</v>
      </c>
      <c r="J289" s="3">
        <f>IF(E289&lt;=500,IF(Galva=Oui,0.35,0.7),0.7)</f>
        <v>0.7</v>
      </c>
    </row>
    <row r="290" spans="2:10" x14ac:dyDescent="0.25">
      <c r="B290" s="3">
        <f>B289+DeltaT</f>
        <v>1365</v>
      </c>
      <c r="C290" s="13">
        <f t="shared" si="24"/>
        <v>22.75</v>
      </c>
      <c r="D290" s="11">
        <f t="shared" si="25"/>
        <v>800.54562595699815</v>
      </c>
      <c r="E290" s="23">
        <f t="shared" si="22"/>
        <v>737.33290135298955</v>
      </c>
      <c r="F290" s="23">
        <f>AlphaC*(D290-E290)</f>
        <v>1580.318115100215</v>
      </c>
      <c r="G290" s="13">
        <f>Phi*EpsilonF*Botzman/10^8*J290*((D290+273)^4-(E290+273)^4)</f>
        <v>11362.456912585369</v>
      </c>
      <c r="H290" s="23">
        <f t="shared" si="23"/>
        <v>3358.8761377654764</v>
      </c>
      <c r="I290" s="12">
        <f>ksh*Massivete/(H290*RhoA)*DeltaT*(F290+G290)</f>
        <v>0.36943625471749342</v>
      </c>
      <c r="J290" s="3">
        <f>IF(E290&lt;=500,IF(Galva=Oui,0.35,0.7),0.7)</f>
        <v>0.7</v>
      </c>
    </row>
    <row r="291" spans="2:10" x14ac:dyDescent="0.25">
      <c r="B291" s="3">
        <f>B290+DeltaT</f>
        <v>1370</v>
      </c>
      <c r="C291" s="13">
        <f t="shared" si="24"/>
        <v>22.833333333333332</v>
      </c>
      <c r="D291" s="11">
        <f t="shared" si="25"/>
        <v>801.09046872558224</v>
      </c>
      <c r="E291" s="23">
        <f t="shared" si="22"/>
        <v>737.70233760770702</v>
      </c>
      <c r="F291" s="23">
        <f>AlphaC*(D291-E291)</f>
        <v>1584.7032779468805</v>
      </c>
      <c r="G291" s="13">
        <f>Phi*EpsilonF*Botzman/10^8*J291*((D291+273)^4-(E291+273)^4)</f>
        <v>11409.038732597886</v>
      </c>
      <c r="H291" s="23">
        <f t="shared" si="23"/>
        <v>3203.7738551858042</v>
      </c>
      <c r="I291" s="12">
        <f>ksh*Massivete/(H291*RhoA)*DeltaT*(F291+G291)</f>
        <v>0.38884676145021063</v>
      </c>
      <c r="J291" s="3">
        <f>IF(E291&lt;=500,IF(Galva=Oui,0.35,0.7),0.7)</f>
        <v>0.7</v>
      </c>
    </row>
    <row r="292" spans="2:10" x14ac:dyDescent="0.25">
      <c r="B292" s="3">
        <f>B291+DeltaT</f>
        <v>1375</v>
      </c>
      <c r="C292" s="13">
        <f t="shared" si="24"/>
        <v>22.916666666666668</v>
      </c>
      <c r="D292" s="11">
        <f t="shared" si="25"/>
        <v>801.63333742183727</v>
      </c>
      <c r="E292" s="23">
        <f t="shared" si="22"/>
        <v>738.09118436915719</v>
      </c>
      <c r="F292" s="23">
        <f>AlphaC*(D292-E292)</f>
        <v>1588.5538263170019</v>
      </c>
      <c r="G292" s="13">
        <f>Phi*EpsilonF*Botzman/10^8*J292*((D292+273)^4-(E292+273)^4)</f>
        <v>11452.143120544153</v>
      </c>
      <c r="H292" s="23">
        <f t="shared" si="23"/>
        <v>3057.9793659726779</v>
      </c>
      <c r="I292" s="12">
        <f>ksh*Massivete/(H292*RhoA)*DeltaT*(F292+G292)</f>
        <v>0.40885786017058373</v>
      </c>
      <c r="J292" s="3">
        <f>IF(E292&lt;=500,IF(Galva=Oui,0.35,0.7),0.7)</f>
        <v>0.7</v>
      </c>
    </row>
    <row r="293" spans="2:10" x14ac:dyDescent="0.25">
      <c r="B293" s="3">
        <f>B292+DeltaT</f>
        <v>1380</v>
      </c>
      <c r="C293" s="13">
        <f t="shared" si="24"/>
        <v>23</v>
      </c>
      <c r="D293" s="11">
        <f t="shared" si="25"/>
        <v>802.17424629903962</v>
      </c>
      <c r="E293" s="23">
        <f t="shared" si="22"/>
        <v>738.50004222932773</v>
      </c>
      <c r="F293" s="23">
        <f>AlphaC*(D293-E293)</f>
        <v>1591.8551017427972</v>
      </c>
      <c r="G293" s="13">
        <f>Phi*EpsilonF*Botzman/10^8*J293*((D293+273)^4-(E293+273)^4)</f>
        <v>11491.66153015153</v>
      </c>
      <c r="H293" s="23">
        <f t="shared" si="23"/>
        <v>2920.986621824301</v>
      </c>
      <c r="I293" s="12">
        <f>ksh*Massivete/(H293*RhoA)*DeltaT*(F293+G293)</f>
        <v>0.42943854476370896</v>
      </c>
      <c r="J293" s="3">
        <f>IF(E293&lt;=500,IF(Galva=Oui,0.35,0.7),0.7)</f>
        <v>0.7</v>
      </c>
    </row>
    <row r="294" spans="2:10" x14ac:dyDescent="0.25">
      <c r="B294" s="3">
        <f>B293+DeltaT</f>
        <v>1385</v>
      </c>
      <c r="C294" s="13">
        <f t="shared" si="24"/>
        <v>23.083333333333332</v>
      </c>
      <c r="D294" s="11">
        <f t="shared" si="25"/>
        <v>802.71320945665286</v>
      </c>
      <c r="E294" s="23">
        <f t="shared" si="22"/>
        <v>738.92948077409142</v>
      </c>
      <c r="F294" s="23">
        <f>AlphaC*(D294-E294)</f>
        <v>1594.5932170640363</v>
      </c>
      <c r="G294" s="13">
        <f>Phi*EpsilonF*Botzman/10^8*J294*((D294+273)^4-(E294+273)^4)</f>
        <v>11527.489435307829</v>
      </c>
      <c r="H294" s="23">
        <f t="shared" si="23"/>
        <v>2792.3098185980366</v>
      </c>
      <c r="I294" s="12">
        <f>ksh*Massivete/(H294*RhoA)*DeltaT*(F294+G294)</f>
        <v>0.4505523560231004</v>
      </c>
      <c r="J294" s="3">
        <f>IF(E294&lt;=500,IF(Galva=Oui,0.35,0.7),0.7)</f>
        <v>0.7</v>
      </c>
    </row>
    <row r="295" spans="2:10" x14ac:dyDescent="0.25">
      <c r="B295" s="3">
        <f>B294+DeltaT</f>
        <v>1390</v>
      </c>
      <c r="C295" s="13">
        <f t="shared" si="24"/>
        <v>23.166666666666668</v>
      </c>
      <c r="D295" s="11">
        <f t="shared" si="25"/>
        <v>803.25024084253243</v>
      </c>
      <c r="E295" s="23">
        <f t="shared" si="22"/>
        <v>739.3800331301145</v>
      </c>
      <c r="F295" s="23">
        <f>AlphaC*(D295-E295)</f>
        <v>1596.7551928104485</v>
      </c>
      <c r="G295" s="13">
        <f>Phi*EpsilonF*Botzman/10^8*J295*((D295+273)^4-(E295+273)^4)</f>
        <v>11559.527199715656</v>
      </c>
      <c r="H295" s="23">
        <f t="shared" si="23"/>
        <v>2671.4832397812397</v>
      </c>
      <c r="I295" s="12">
        <f>ksh*Massivete/(H295*RhoA)*DeltaT*(F295+G295)</f>
        <v>0.47215743459497128</v>
      </c>
      <c r="J295" s="3">
        <f>IF(E295&lt;=500,IF(Galva=Oui,0.35,0.7),0.7)</f>
        <v>0.7</v>
      </c>
    </row>
    <row r="296" spans="2:10" x14ac:dyDescent="0.25">
      <c r="B296" s="3">
        <f>B295+DeltaT</f>
        <v>1395</v>
      </c>
      <c r="C296" s="13">
        <f t="shared" si="24"/>
        <v>23.25</v>
      </c>
      <c r="D296" s="11">
        <f t="shared" si="25"/>
        <v>803.78535425509222</v>
      </c>
      <c r="E296" s="23">
        <f t="shared" si="22"/>
        <v>739.85219056470942</v>
      </c>
      <c r="F296" s="23">
        <f>AlphaC*(D296-E296)</f>
        <v>1598.32909225957</v>
      </c>
      <c r="G296" s="13">
        <f>Phi*EpsilonF*Botzman/10^8*J296*((D296+273)^4-(E296+273)^4)</f>
        <v>11587.680948193431</v>
      </c>
      <c r="H296" s="23">
        <f t="shared" si="23"/>
        <v>2558.0610462727836</v>
      </c>
      <c r="I296" s="12">
        <f>ksh*Massivete/(H296*RhoA)*DeltaT*(F296+G296)</f>
        <v>0.4942066640230105</v>
      </c>
      <c r="J296" s="3">
        <f>IF(E296&lt;=500,IF(Galva=Oui,0.35,0.7),0.7)</f>
        <v>0.7</v>
      </c>
    </row>
    <row r="297" spans="2:10" x14ac:dyDescent="0.25">
      <c r="B297" s="3">
        <f>B296+DeltaT</f>
        <v>1400</v>
      </c>
      <c r="C297" s="13">
        <f t="shared" si="24"/>
        <v>23.333333333333332</v>
      </c>
      <c r="D297" s="11">
        <f t="shared" si="25"/>
        <v>804.3185633454309</v>
      </c>
      <c r="E297" s="23">
        <f t="shared" si="22"/>
        <v>740.34639722873237</v>
      </c>
      <c r="F297" s="23">
        <f>AlphaC*(D297-E297)</f>
        <v>1599.3041529174634</v>
      </c>
      <c r="G297" s="13">
        <f>Phi*EpsilonF*Botzman/10^8*J297*((D297+273)^4-(E297+273)^4)</f>
        <v>11611.863426190987</v>
      </c>
      <c r="H297" s="23">
        <f t="shared" si="23"/>
        <v>2451.6170165781496</v>
      </c>
      <c r="I297" s="12">
        <f>ksh*Massivete/(H297*RhoA)*DeltaT*(F297+G297)</f>
        <v>0.51664790646838843</v>
      </c>
      <c r="J297" s="3">
        <f>IF(E297&lt;=500,IF(Galva=Oui,0.35,0.7),0.7)</f>
        <v>0.7</v>
      </c>
    </row>
    <row r="298" spans="2:10" x14ac:dyDescent="0.25">
      <c r="B298" s="3">
        <f>B297+DeltaT</f>
        <v>1405</v>
      </c>
      <c r="C298" s="13">
        <f t="shared" si="24"/>
        <v>23.416666666666668</v>
      </c>
      <c r="D298" s="11">
        <f t="shared" si="25"/>
        <v>804.84988161942272</v>
      </c>
      <c r="E298" s="23">
        <f t="shared" si="22"/>
        <v>740.86304513520076</v>
      </c>
      <c r="F298" s="23">
        <f>AlphaC*(D298-E298)</f>
        <v>1599.6709121055487</v>
      </c>
      <c r="G298" s="13">
        <f>Phi*EpsilonF*Botzman/10^8*J298*((D298+273)^4-(E298+273)^4)</f>
        <v>11631.994833519779</v>
      </c>
      <c r="H298" s="23">
        <f t="shared" si="23"/>
        <v>2351.7442413298122</v>
      </c>
      <c r="I298" s="12">
        <f>ksh*Massivete/(H298*RhoA)*DeltaT*(F298+G298)</f>
        <v>0.53942433099982601</v>
      </c>
      <c r="J298" s="3">
        <f>IF(E298&lt;=500,IF(Galva=Oui,0.35,0.7),0.7)</f>
        <v>0.7</v>
      </c>
    </row>
    <row r="299" spans="2:10" x14ac:dyDescent="0.25">
      <c r="B299" s="3">
        <f>B298+DeltaT</f>
        <v>1410</v>
      </c>
      <c r="C299" s="13">
        <f t="shared" si="24"/>
        <v>23.5</v>
      </c>
      <c r="D299" s="11">
        <f t="shared" si="25"/>
        <v>805.37932243976911</v>
      </c>
      <c r="E299" s="23">
        <f t="shared" si="22"/>
        <v>741.40246946620061</v>
      </c>
      <c r="F299" s="23">
        <f>AlphaC*(D299-E299)</f>
        <v>1599.4213243392123</v>
      </c>
      <c r="G299" s="13">
        <f>Phi*EpsilonF*Botzman/10^8*J299*((D299+273)^4-(E299+273)^4)</f>
        <v>11648.00361812036</v>
      </c>
      <c r="H299" s="23">
        <f t="shared" si="23"/>
        <v>2258.0547758779967</v>
      </c>
      <c r="I299" s="12">
        <f>ksh*Massivete/(H299*RhoA)*DeltaT*(F299+G299)</f>
        <v>0.56247483149674626</v>
      </c>
      <c r="J299" s="3">
        <f>IF(E299&lt;=500,IF(Galva=Oui,0.35,0.7),0.7)</f>
        <v>0.7</v>
      </c>
    </row>
    <row r="300" spans="2:10" x14ac:dyDescent="0.25">
      <c r="B300" s="3">
        <f>B299+DeltaT</f>
        <v>1415</v>
      </c>
      <c r="C300" s="13">
        <f t="shared" si="24"/>
        <v>23.583333333333332</v>
      </c>
      <c r="D300" s="11">
        <f t="shared" si="25"/>
        <v>805.90689902801591</v>
      </c>
      <c r="E300" s="23">
        <f t="shared" si="22"/>
        <v>741.96494429769734</v>
      </c>
      <c r="F300" s="23">
        <f>AlphaC*(D300-E300)</f>
        <v>1598.5488682579644</v>
      </c>
      <c r="G300" s="13">
        <f>Phi*EpsilonF*Botzman/10^8*J300*((D300+273)^4-(E300+273)^4)</f>
        <v>11659.827215928195</v>
      </c>
      <c r="H300" s="23">
        <f t="shared" si="23"/>
        <v>2170.1792545578392</v>
      </c>
      <c r="I300" s="12">
        <f>ksh*Massivete/(H300*RhoA)*DeltaT*(F300+G300)</f>
        <v>0.5857345283172648</v>
      </c>
      <c r="J300" s="3">
        <f>IF(E300&lt;=500,IF(Galva=Oui,0.35,0.7),0.7)</f>
        <v>0.7</v>
      </c>
    </row>
    <row r="301" spans="2:10" x14ac:dyDescent="0.25">
      <c r="B301" s="3">
        <f>B300+DeltaT</f>
        <v>1420</v>
      </c>
      <c r="C301" s="13">
        <f t="shared" si="24"/>
        <v>23.666666666666668</v>
      </c>
      <c r="D301" s="11">
        <f t="shared" si="25"/>
        <v>806.43262446653398</v>
      </c>
      <c r="E301" s="23">
        <f t="shared" si="22"/>
        <v>742.55067882601463</v>
      </c>
      <c r="F301" s="23">
        <f>AlphaC*(D301-E301)</f>
        <v>1597.0486410129838</v>
      </c>
      <c r="G301" s="13">
        <f>Phi*EpsilonF*Botzman/10^8*J301*((D301+273)^4-(E301+273)^4)</f>
        <v>11667.412723567095</v>
      </c>
      <c r="H301" s="23">
        <f t="shared" si="23"/>
        <v>2087.7664701286212</v>
      </c>
      <c r="I301" s="12">
        <f>ksh*Massivete/(H301*RhoA)*DeltaT*(F301+G301)</f>
        <v>0.60913534509560641</v>
      </c>
      <c r="J301" s="3">
        <f>IF(E301&lt;=500,IF(Galva=Oui,0.35,0.7),0.7)</f>
        <v>0.7</v>
      </c>
    </row>
    <row r="302" spans="2:10" x14ac:dyDescent="0.25">
      <c r="B302" s="3">
        <f>B301+DeltaT</f>
        <v>1425</v>
      </c>
      <c r="C302" s="13">
        <f t="shared" si="24"/>
        <v>23.75</v>
      </c>
      <c r="D302" s="11">
        <f t="shared" si="25"/>
        <v>806.95651170046585</v>
      </c>
      <c r="E302" s="23">
        <f t="shared" si="22"/>
        <v>743.15981417111027</v>
      </c>
      <c r="F302" s="23">
        <f>AlphaC*(D302-E302)</f>
        <v>1594.9174382338897</v>
      </c>
      <c r="G302" s="13">
        <f>Phi*EpsilonF*Botzman/10^8*J302*((D302+273)^4-(E302+273)^4)</f>
        <v>11670.717491693031</v>
      </c>
      <c r="H302" s="23">
        <f t="shared" si="23"/>
        <v>2010.4829217980491</v>
      </c>
      <c r="I302" s="12">
        <f>ksh*Massivete/(H302*RhoA)*DeltaT*(F302+G302)</f>
        <v>0.63260664949504264</v>
      </c>
      <c r="J302" s="3">
        <f>IF(E302&lt;=500,IF(Galva=Oui,0.35,0.7),0.7)</f>
        <v>0.7</v>
      </c>
    </row>
    <row r="303" spans="2:10" x14ac:dyDescent="0.25">
      <c r="B303" s="3">
        <f>B302+DeltaT</f>
        <v>1430</v>
      </c>
      <c r="C303" s="13">
        <f t="shared" si="24"/>
        <v>23.833333333333332</v>
      </c>
      <c r="D303" s="11">
        <f t="shared" si="25"/>
        <v>807.478573539639</v>
      </c>
      <c r="E303" s="23">
        <f t="shared" si="22"/>
        <v>743.79242082060534</v>
      </c>
      <c r="F303" s="23">
        <f>AlphaC*(D303-E303)</f>
        <v>1592.1538179758413</v>
      </c>
      <c r="G303" s="13">
        <f>Phi*EpsilonF*Botzman/10^8*J303*((D303+273)^4-(E303+273)^4)</f>
        <v>11669.709628291872</v>
      </c>
      <c r="H303" s="23">
        <f t="shared" si="23"/>
        <v>1938.0123351865116</v>
      </c>
      <c r="I303" s="12">
        <f>ksh*Massivete/(H303*RhoA)*DeltaT*(F303+G303)</f>
        <v>0.65607594458672669</v>
      </c>
      <c r="J303" s="3">
        <f>IF(E303&lt;=500,IF(Galva=Oui,0.35,0.7),0.7)</f>
        <v>0.7</v>
      </c>
    </row>
    <row r="304" spans="2:10" x14ac:dyDescent="0.25">
      <c r="B304" s="3">
        <f>B303+DeltaT</f>
        <v>1435</v>
      </c>
      <c r="C304" s="13">
        <f t="shared" si="24"/>
        <v>23.916666666666668</v>
      </c>
      <c r="D304" s="11">
        <f t="shared" si="25"/>
        <v>807.99882266044369</v>
      </c>
      <c r="E304" s="23">
        <f t="shared" si="22"/>
        <v>744.44849676519209</v>
      </c>
      <c r="F304" s="23">
        <f>AlphaC*(D304-E304)</f>
        <v>1588.7581473812902</v>
      </c>
      <c r="G304" s="13">
        <f>Phi*EpsilonF*Botzman/10^8*J304*((D304+273)^4-(E304+273)^4)</f>
        <v>11664.368403060258</v>
      </c>
      <c r="H304" s="23">
        <f t="shared" si="23"/>
        <v>1870.0551575490877</v>
      </c>
      <c r="I304" s="12">
        <f>ksh*Massivete/(H304*RhoA)*DeltaT*(F304+G304)</f>
        <v>0.67946959586609501</v>
      </c>
      <c r="J304" s="3">
        <f>IF(E304&lt;=500,IF(Galva=Oui,0.35,0.7),0.7)</f>
        <v>0.7</v>
      </c>
    </row>
    <row r="305" spans="2:10" x14ac:dyDescent="0.25">
      <c r="B305" s="3">
        <f>B304+DeltaT</f>
        <v>1440</v>
      </c>
      <c r="C305" s="13">
        <f t="shared" si="24"/>
        <v>24</v>
      </c>
      <c r="D305" s="11">
        <f t="shared" si="25"/>
        <v>808.51727160768178</v>
      </c>
      <c r="E305" s="23">
        <f t="shared" si="22"/>
        <v>745.12796636105816</v>
      </c>
      <c r="F305" s="23">
        <f>AlphaC*(D305-E305)</f>
        <v>1584.7326311655906</v>
      </c>
      <c r="G305" s="13">
        <f>Phi*EpsilonF*Botzman/10^8*J305*((D305+273)^4-(E305+273)^4)</f>
        <v>11654.68454609907</v>
      </c>
      <c r="H305" s="23">
        <f t="shared" si="23"/>
        <v>1806.3280315501345</v>
      </c>
      <c r="I305" s="12">
        <f>ksh*Massivete/(H305*RhoA)*DeltaT*(F305+G305)</f>
        <v>0.7027135778420307</v>
      </c>
      <c r="J305" s="3">
        <f>IF(E305&lt;=500,IF(Galva=Oui,0.35,0.7),0.7)</f>
        <v>0.7</v>
      </c>
    </row>
    <row r="306" spans="2:10" x14ac:dyDescent="0.25">
      <c r="B306" s="3">
        <f>B305+DeltaT</f>
        <v>1445</v>
      </c>
      <c r="C306" s="13">
        <f t="shared" si="24"/>
        <v>24.083333333333332</v>
      </c>
      <c r="D306" s="11">
        <f t="shared" si="25"/>
        <v>809.03393279638044</v>
      </c>
      <c r="E306" s="23">
        <f t="shared" ref="E306:E369" si="26">E305+I305</f>
        <v>745.83067993890018</v>
      </c>
      <c r="F306" s="23">
        <f>AlphaC*(D306-E306)</f>
        <v>1580.0813214370066</v>
      </c>
      <c r="G306" s="13">
        <f>Phi*EpsilonF*Botzman/10^8*J306*((D306+273)^4-(E306+273)^4)</f>
        <v>11640.660436438924</v>
      </c>
      <c r="H306" s="23">
        <f t="shared" ref="H306:H369" si="27">IF(E306&lt;600,425+0.773*E306-1.69/1000*E306^2+2.22/1000^2*E306^3,IF(E306&lt;735,666+13002/(738-E306),IF(E306&lt;900,545+17820/(E306-731),650)))</f>
        <v>1746.563250870176</v>
      </c>
      <c r="I306" s="12">
        <f>ksh*Massivete/(H306*RhoA)*DeltaT*(F306+G306)</f>
        <v>0.72573422368898188</v>
      </c>
      <c r="J306" s="3">
        <f>IF(E306&lt;=500,IF(Galva=Oui,0.35,0.7),0.7)</f>
        <v>0.7</v>
      </c>
    </row>
    <row r="307" spans="2:10" x14ac:dyDescent="0.25">
      <c r="B307" s="3">
        <f>B306+DeltaT</f>
        <v>1450</v>
      </c>
      <c r="C307" s="13">
        <f t="shared" si="24"/>
        <v>24.166666666666668</v>
      </c>
      <c r="D307" s="11">
        <f t="shared" si="25"/>
        <v>809.54881851357629</v>
      </c>
      <c r="E307" s="23">
        <f t="shared" si="26"/>
        <v>746.55641416258914</v>
      </c>
      <c r="F307" s="23">
        <f>AlphaC*(D307-E307)</f>
        <v>1574.8101087746791</v>
      </c>
      <c r="G307" s="13">
        <f>Phi*EpsilonF*Botzman/10^8*J307*((D307+273)^4-(E307+273)^4)</f>
        <v>11622.310178314305</v>
      </c>
      <c r="H307" s="23">
        <f t="shared" si="27"/>
        <v>1690.5082009101077</v>
      </c>
      <c r="I307" s="12">
        <f>ksh*Massivete/(H307*RhoA)*DeltaT*(F307+G307)</f>
        <v>0.74845896165012671</v>
      </c>
      <c r="J307" s="3">
        <f>IF(E307&lt;=500,IF(Galva=Oui,0.35,0.7),0.7)</f>
        <v>0.7</v>
      </c>
    </row>
    <row r="308" spans="2:10" x14ac:dyDescent="0.25">
      <c r="B308" s="3">
        <f>B307+DeltaT</f>
        <v>1455</v>
      </c>
      <c r="C308" s="13">
        <f t="shared" si="24"/>
        <v>24.25</v>
      </c>
      <c r="D308" s="11">
        <f t="shared" si="25"/>
        <v>810.06194092006865</v>
      </c>
      <c r="E308" s="23">
        <f t="shared" si="26"/>
        <v>747.30487312423929</v>
      </c>
      <c r="F308" s="23">
        <f>AlphaC*(D308-E308)</f>
        <v>1568.9266948957338</v>
      </c>
      <c r="G308" s="13">
        <f>Phi*EpsilonF*Botzman/10^8*J308*((D308+273)^4-(E308+273)^4)</f>
        <v>11599.659565507118</v>
      </c>
      <c r="H308" s="23">
        <f t="shared" si="27"/>
        <v>1637.9247878358694</v>
      </c>
      <c r="I308" s="12">
        <f>ksh*Massivete/(H308*RhoA)*DeltaT*(F308+G308)</f>
        <v>0.77081702269253982</v>
      </c>
      <c r="J308" s="3">
        <f>IF(E308&lt;=500,IF(Galva=Oui,0.35,0.7),0.7)</f>
        <v>0.7</v>
      </c>
    </row>
    <row r="309" spans="2:10" x14ac:dyDescent="0.25">
      <c r="B309" s="3">
        <f>B308+DeltaT</f>
        <v>1460</v>
      </c>
      <c r="C309" s="13">
        <f t="shared" si="24"/>
        <v>24.333333333333332</v>
      </c>
      <c r="D309" s="11">
        <f t="shared" si="25"/>
        <v>810.57331205214336</v>
      </c>
      <c r="E309" s="23">
        <f t="shared" si="26"/>
        <v>748.07569014693183</v>
      </c>
      <c r="F309" s="23">
        <f>AlphaC*(D309-E309)</f>
        <v>1562.4405476302882</v>
      </c>
      <c r="G309" s="13">
        <f>Phi*EpsilonF*Botzman/10^8*J309*((D309+273)^4-(E309+273)^4)</f>
        <v>11572.745936405918</v>
      </c>
      <c r="H309" s="23">
        <f t="shared" si="27"/>
        <v>1588.5888591713469</v>
      </c>
      <c r="I309" s="12">
        <f>ksh*Massivete/(H309*RhoA)*DeltaT*(F309+G309)</f>
        <v>0.79274010528049088</v>
      </c>
      <c r="J309" s="3">
        <f>IF(E309&lt;=500,IF(Galva=Oui,0.35,0.7),0.7)</f>
        <v>0.7</v>
      </c>
    </row>
    <row r="310" spans="2:10" x14ac:dyDescent="0.25">
      <c r="B310" s="3">
        <f>B309+DeltaT</f>
        <v>1465</v>
      </c>
      <c r="C310" s="13">
        <f t="shared" si="24"/>
        <v>24.416666666666668</v>
      </c>
      <c r="D310" s="11">
        <f t="shared" si="25"/>
        <v>811.08294382326653</v>
      </c>
      <c r="E310" s="23">
        <f t="shared" si="26"/>
        <v>748.86843025221231</v>
      </c>
      <c r="F310" s="23">
        <f>AlphaC*(D310-E310)</f>
        <v>1555.3628392763558</v>
      </c>
      <c r="G310" s="13">
        <f>Phi*EpsilonF*Botzman/10^8*J310*((D310+273)^4-(E310+273)^4)</f>
        <v>11541.617924585888</v>
      </c>
      <c r="H310" s="23">
        <f t="shared" si="27"/>
        <v>1542.2896190919564</v>
      </c>
      <c r="I310" s="12">
        <f>ksh*Massivete/(H310*RhoA)*DeltaT*(F310+G310)</f>
        <v>0.81416298495868278</v>
      </c>
      <c r="J310" s="3">
        <f>IF(E310&lt;=500,IF(Galva=Oui,0.35,0.7),0.7)</f>
        <v>0.7</v>
      </c>
    </row>
    <row r="311" spans="2:10" x14ac:dyDescent="0.25">
      <c r="B311" s="3">
        <f>B310+DeltaT</f>
        <v>1470</v>
      </c>
      <c r="C311" s="13">
        <f t="shared" si="24"/>
        <v>24.5</v>
      </c>
      <c r="D311" s="11">
        <f t="shared" si="25"/>
        <v>811.59084802574955</v>
      </c>
      <c r="E311" s="23">
        <f t="shared" si="26"/>
        <v>749.68259323717098</v>
      </c>
      <c r="F311" s="23">
        <f>AlphaC*(D311-E311)</f>
        <v>1547.7063697144645</v>
      </c>
      <c r="G311" s="13">
        <f>Phi*EpsilonF*Botzman/10^8*J311*((D311+273)^4-(E311+273)^4)</f>
        <v>11506.335111644888</v>
      </c>
      <c r="H311" s="23">
        <f t="shared" si="27"/>
        <v>1498.8290414922294</v>
      </c>
      <c r="I311" s="12">
        <f>ksh*Massivete/(H311*RhoA)*DeltaT*(F311+G311)</f>
        <v>0.83502405861115403</v>
      </c>
      <c r="J311" s="3">
        <f>IF(E311&lt;=500,IF(Galva=Oui,0.35,0.7),0.7)</f>
        <v>0.7</v>
      </c>
    </row>
    <row r="312" spans="2:10" x14ac:dyDescent="0.25">
      <c r="B312" s="3">
        <f>B311+DeltaT</f>
        <v>1475</v>
      </c>
      <c r="C312" s="13">
        <f t="shared" si="24"/>
        <v>24.583333333333332</v>
      </c>
      <c r="D312" s="11">
        <f t="shared" si="25"/>
        <v>812.09703633238701</v>
      </c>
      <c r="E312" s="23">
        <f t="shared" si="26"/>
        <v>750.51761729578209</v>
      </c>
      <c r="F312" s="23">
        <f>AlphaC*(D312-E312)</f>
        <v>1539.4854759151231</v>
      </c>
      <c r="G312" s="13">
        <f>Phi*EpsilonF*Botzman/10^8*J312*((D312+273)^4-(E312+273)^4)</f>
        <v>11466.967590663828</v>
      </c>
      <c r="H312" s="23">
        <f t="shared" si="27"/>
        <v>1458.0212837942593</v>
      </c>
      <c r="I312" s="12">
        <f>ksh*Massivete/(H312*RhoA)*DeltaT*(F312+G312)</f>
        <v>0.85526581565921045</v>
      </c>
      <c r="J312" s="3">
        <f>IF(E312&lt;=500,IF(Galva=Oui,0.35,0.7),0.7)</f>
        <v>0.7</v>
      </c>
    </row>
    <row r="313" spans="2:10" x14ac:dyDescent="0.25">
      <c r="B313" s="3">
        <f>B312+DeltaT</f>
        <v>1480</v>
      </c>
      <c r="C313" s="13">
        <f t="shared" si="24"/>
        <v>24.666666666666668</v>
      </c>
      <c r="D313" s="11">
        <f t="shared" si="25"/>
        <v>812.60152029806591</v>
      </c>
      <c r="E313" s="23">
        <f t="shared" si="26"/>
        <v>751.3728831114413</v>
      </c>
      <c r="F313" s="23">
        <f>AlphaC*(D313-E313)</f>
        <v>1530.7159296656152</v>
      </c>
      <c r="G313" s="13">
        <f>Phi*EpsilonF*Botzman/10^8*J313*((D313+273)^4-(E313+273)^4)</f>
        <v>11423.595449969278</v>
      </c>
      <c r="H313" s="23">
        <f t="shared" si="27"/>
        <v>1419.6921043292291</v>
      </c>
      <c r="I313" s="12">
        <f>ksh*Massivete/(H313*RhoA)*DeltaT*(F313+G313)</f>
        <v>0.8748352309575298</v>
      </c>
      <c r="J313" s="3">
        <f>IF(E313&lt;=500,IF(Galva=Oui,0.35,0.7),0.7)</f>
        <v>0.7</v>
      </c>
    </row>
    <row r="314" spans="2:10" x14ac:dyDescent="0.25">
      <c r="B314" s="3">
        <f>B313+DeltaT</f>
        <v>1485</v>
      </c>
      <c r="C314" s="13">
        <f t="shared" si="24"/>
        <v>24.75</v>
      </c>
      <c r="D314" s="11">
        <f t="shared" si="25"/>
        <v>813.10431136134866</v>
      </c>
      <c r="E314" s="23">
        <f t="shared" si="26"/>
        <v>752.2477183423988</v>
      </c>
      <c r="F314" s="23">
        <f>AlphaC*(D314-E314)</f>
        <v>1521.4148254737465</v>
      </c>
      <c r="G314" s="13">
        <f>Phi*EpsilonF*Botzman/10^8*J314*((D314+273)^4-(E314+273)^4)</f>
        <v>11376.308187835633</v>
      </c>
      <c r="H314" s="23">
        <f t="shared" si="27"/>
        <v>1383.6782859617001</v>
      </c>
      <c r="I314" s="12">
        <f>ksh*Massivete/(H314*RhoA)*DeltaT*(F314+G314)</f>
        <v>0.89368407662162341</v>
      </c>
      <c r="J314" s="3">
        <f>IF(E314&lt;=500,IF(Galva=Oui,0.35,0.7),0.7)</f>
        <v>0.7</v>
      </c>
    </row>
    <row r="315" spans="2:10" x14ac:dyDescent="0.25">
      <c r="B315" s="3">
        <f>B314+DeltaT</f>
        <v>1490</v>
      </c>
      <c r="C315" s="13">
        <f t="shared" si="24"/>
        <v>24.833333333333332</v>
      </c>
      <c r="D315" s="11">
        <f t="shared" si="25"/>
        <v>813.60542084602866</v>
      </c>
      <c r="E315" s="23">
        <f t="shared" si="26"/>
        <v>753.14140241902044</v>
      </c>
      <c r="F315" s="23">
        <f>AlphaC*(D315-E315)</f>
        <v>1511.6004606752058</v>
      </c>
      <c r="G315" s="13">
        <f>Phi*EpsilonF*Botzman/10^8*J315*((D315+273)^4-(E315+273)^4)</f>
        <v>11325.204069370102</v>
      </c>
      <c r="H315" s="23">
        <f t="shared" si="27"/>
        <v>1349.8270684377171</v>
      </c>
      <c r="I315" s="12">
        <f>ksh*Massivete/(H315*RhoA)*DeltaT*(F315+G315)</f>
        <v>0.91176915236625411</v>
      </c>
      <c r="J315" s="3">
        <f>IF(E315&lt;=500,IF(Galva=Oui,0.35,0.7),0.7)</f>
        <v>0.7</v>
      </c>
    </row>
    <row r="316" spans="2:10" x14ac:dyDescent="0.25">
      <c r="B316" s="3">
        <f>B315+DeltaT</f>
        <v>1495</v>
      </c>
      <c r="C316" s="13">
        <f t="shared" si="24"/>
        <v>24.916666666666668</v>
      </c>
      <c r="D316" s="11">
        <f t="shared" si="25"/>
        <v>814.10485996266141</v>
      </c>
      <c r="E316" s="23">
        <f t="shared" si="26"/>
        <v>754.05317157138666</v>
      </c>
      <c r="F316" s="23">
        <f>AlphaC*(D316-E316)</f>
        <v>1501.2922097818687</v>
      </c>
      <c r="G316" s="13">
        <f>Phi*EpsilonF*Botzman/10^8*J316*((D316+273)^4-(E316+273)^4)</f>
        <v>11270.389437092324</v>
      </c>
      <c r="H316" s="23">
        <f t="shared" si="27"/>
        <v>1317.9955917266493</v>
      </c>
      <c r="I316" s="12">
        <f>ksh*Massivete/(H316*RhoA)*DeltaT*(F316+G316)</f>
        <v>0.9290524360661756</v>
      </c>
      <c r="J316" s="3">
        <f>IF(E316&lt;=500,IF(Galva=Oui,0.35,0.7),0.7)</f>
        <v>0.7</v>
      </c>
    </row>
    <row r="317" spans="2:10" x14ac:dyDescent="0.25">
      <c r="B317" s="3">
        <f>B316+DeltaT</f>
        <v>1500</v>
      </c>
      <c r="C317" s="13">
        <f t="shared" si="24"/>
        <v>25</v>
      </c>
      <c r="D317" s="11">
        <f t="shared" si="25"/>
        <v>814.60263981006858</v>
      </c>
      <c r="E317" s="23">
        <f t="shared" si="26"/>
        <v>754.98222400745283</v>
      </c>
      <c r="F317" s="23">
        <f>AlphaC*(D317-E317)</f>
        <v>1490.5103950653938</v>
      </c>
      <c r="G317" s="13">
        <f>Phi*EpsilonF*Botzman/10^8*J317*((D317+273)^4-(E317+273)^4)</f>
        <v>11211.97798667309</v>
      </c>
      <c r="H317" s="23">
        <f t="shared" si="27"/>
        <v>1288.0503523969326</v>
      </c>
      <c r="I317" s="12">
        <f>ksh*Massivete/(H317*RhoA)*DeltaT*(F317+G317)</f>
        <v>0.94550115810248025</v>
      </c>
      <c r="J317" s="3">
        <f>IF(E317&lt;=500,IF(Galva=Oui,0.35,0.7),0.7)</f>
        <v>0.7</v>
      </c>
    </row>
    <row r="318" spans="2:10" x14ac:dyDescent="0.25">
      <c r="B318" s="3">
        <f>B317+DeltaT</f>
        <v>1505</v>
      </c>
      <c r="C318" s="13">
        <f t="shared" si="24"/>
        <v>25.083333333333332</v>
      </c>
      <c r="D318" s="11">
        <f t="shared" si="25"/>
        <v>815.09877137681826</v>
      </c>
      <c r="E318" s="23">
        <f t="shared" si="26"/>
        <v>755.92772516555533</v>
      </c>
      <c r="F318" s="23">
        <f>AlphaC*(D318-E318)</f>
        <v>1479.2761552815732</v>
      </c>
      <c r="G318" s="13">
        <f>Phi*EpsilonF*Botzman/10^8*J318*((D318+273)^4-(E318+273)^4)</f>
        <v>11150.090018972556</v>
      </c>
      <c r="H318" s="23">
        <f t="shared" si="27"/>
        <v>1259.8666748229134</v>
      </c>
      <c r="I318" s="12">
        <f>ksh*Massivete/(H318*RhoA)*DeltaT*(F318+G318)</f>
        <v>0.96108780458763221</v>
      </c>
      <c r="J318" s="3">
        <f>IF(E318&lt;=500,IF(Galva=Oui,0.35,0.7),0.7)</f>
        <v>0.7</v>
      </c>
    </row>
    <row r="319" spans="2:10" x14ac:dyDescent="0.25">
      <c r="B319" s="3">
        <f>B318+DeltaT</f>
        <v>1510</v>
      </c>
      <c r="C319" s="13">
        <f t="shared" si="24"/>
        <v>25.166666666666668</v>
      </c>
      <c r="D319" s="11">
        <f t="shared" si="25"/>
        <v>815.59326554268023</v>
      </c>
      <c r="E319" s="23">
        <f t="shared" si="26"/>
        <v>756.88881297014291</v>
      </c>
      <c r="F319" s="23">
        <f>AlphaC*(D319-E319)</f>
        <v>1467.611314313433</v>
      </c>
      <c r="G319" s="13">
        <f>Phi*EpsilonF*Botzman/10^8*J319*((D319+273)^4-(E319+273)^4)</f>
        <v>11084.851678955529</v>
      </c>
      <c r="H319" s="23">
        <f t="shared" si="27"/>
        <v>1233.3281987687685</v>
      </c>
      <c r="I319" s="12">
        <f>ksh*Massivete/(H319*RhoA)*DeltaT*(F319+G319)</f>
        <v>0.97579005574966748</v>
      </c>
      <c r="J319" s="3">
        <f>IF(E319&lt;=500,IF(Galva=Oui,0.35,0.7),0.7)</f>
        <v>0.7</v>
      </c>
    </row>
    <row r="320" spans="2:10" x14ac:dyDescent="0.25">
      <c r="B320" s="3">
        <f>B319+DeltaT</f>
        <v>1515</v>
      </c>
      <c r="C320" s="13">
        <f t="shared" si="24"/>
        <v>25.25</v>
      </c>
      <c r="D320" s="11">
        <f t="shared" si="25"/>
        <v>816.08613308005829</v>
      </c>
      <c r="E320" s="23">
        <f t="shared" si="26"/>
        <v>757.86460302589262</v>
      </c>
      <c r="F320" s="23">
        <f>AlphaC*(D320-E320)</f>
        <v>1455.5382513541417</v>
      </c>
      <c r="G320" s="13">
        <f>Phi*EpsilonF*Botzman/10^8*J320*((D320+273)^4-(E320+273)^4)</f>
        <v>11016.394191313122</v>
      </c>
      <c r="H320" s="23">
        <f t="shared" si="27"/>
        <v>1208.3263846417065</v>
      </c>
      <c r="I320" s="12">
        <f>ksh*Massivete/(H320*RhoA)*DeltaT*(F320+G320)</f>
        <v>0.98959066660097661</v>
      </c>
      <c r="J320" s="3">
        <f>IF(E320&lt;=500,IF(Galva=Oui,0.35,0.7),0.7)</f>
        <v>0.7</v>
      </c>
    </row>
    <row r="321" spans="2:10" x14ac:dyDescent="0.25">
      <c r="B321" s="3">
        <f>B320+DeltaT</f>
        <v>1520</v>
      </c>
      <c r="C321" s="13">
        <f t="shared" si="24"/>
        <v>25.333333333333332</v>
      </c>
      <c r="D321" s="11">
        <f t="shared" si="25"/>
        <v>816.57738465539751</v>
      </c>
      <c r="E321" s="23">
        <f t="shared" si="26"/>
        <v>758.8541936924936</v>
      </c>
      <c r="F321" s="23">
        <f>AlphaC*(D321-E321)</f>
        <v>1443.079774072598</v>
      </c>
      <c r="G321" s="13">
        <f>Phi*EpsilonF*Botzman/10^8*J321*((D321+273)^4-(E321+273)^4)</f>
        <v>10944.853101726574</v>
      </c>
      <c r="H321" s="23">
        <f t="shared" si="27"/>
        <v>1184.7600374554117</v>
      </c>
      <c r="I321" s="12">
        <f>ksh*Massivete/(H321*RhoA)*DeltaT*(F321+G321)</f>
        <v>1.0024772975353162</v>
      </c>
      <c r="J321" s="3">
        <f>IF(E321&lt;=500,IF(Galva=Oui,0.35,0.7),0.7)</f>
        <v>0.7</v>
      </c>
    </row>
    <row r="322" spans="2:10" x14ac:dyDescent="0.25">
      <c r="B322" s="3">
        <f>B321+DeltaT</f>
        <v>1525</v>
      </c>
      <c r="C322" s="13">
        <f t="shared" si="24"/>
        <v>25.416666666666668</v>
      </c>
      <c r="D322" s="11">
        <f t="shared" si="25"/>
        <v>817.06703083056959</v>
      </c>
      <c r="E322" s="23">
        <f t="shared" si="26"/>
        <v>759.85667099002887</v>
      </c>
      <c r="F322" s="23">
        <f>AlphaC*(D322-E322)</f>
        <v>1430.2589960135178</v>
      </c>
      <c r="G322" s="13">
        <f>Phi*EpsilonF*Botzman/10^8*J322*((D322+273)^4-(E322+273)^4)</f>
        <v>10870.367531718837</v>
      </c>
      <c r="H322" s="23">
        <f t="shared" si="27"/>
        <v>1162.5348503005603</v>
      </c>
      <c r="I322" s="12">
        <f>ksh*Massivete/(H322*RhoA)*DeltaT*(F322+G322)</f>
        <v>1.0144423027174845</v>
      </c>
      <c r="J322" s="3">
        <f>IF(E322&lt;=500,IF(Galva=Oui,0.35,0.7),0.7)</f>
        <v>0.7</v>
      </c>
    </row>
    <row r="323" spans="2:10" x14ac:dyDescent="0.25">
      <c r="B323" s="3">
        <f>B322+DeltaT</f>
        <v>1530</v>
      </c>
      <c r="C323" s="13">
        <f t="shared" si="24"/>
        <v>25.5</v>
      </c>
      <c r="D323" s="11">
        <f t="shared" si="25"/>
        <v>817.55508206423519</v>
      </c>
      <c r="E323" s="23">
        <f t="shared" si="26"/>
        <v>760.87111329274637</v>
      </c>
      <c r="F323" s="23">
        <f>AlphaC*(D323-E323)</f>
        <v>1417.0992192872204</v>
      </c>
      <c r="G323" s="13">
        <f>Phi*EpsilonF*Botzman/10^8*J323*((D323+273)^4-(E323+273)^4)</f>
        <v>10793.079453999422</v>
      </c>
      <c r="H323" s="23">
        <f t="shared" si="27"/>
        <v>1141.562967886679</v>
      </c>
      <c r="I323" s="12">
        <f>ksh*Massivete/(H323*RhoA)*DeltaT*(F323+G323)</f>
        <v>1.0254824840913321</v>
      </c>
      <c r="J323" s="3">
        <f>IF(E323&lt;=500,IF(Galva=Oui,0.35,0.7),0.7)</f>
        <v>0.7</v>
      </c>
    </row>
    <row r="324" spans="2:10" x14ac:dyDescent="0.25">
      <c r="B324" s="3">
        <f>B323+DeltaT</f>
        <v>1535</v>
      </c>
      <c r="C324" s="13">
        <f t="shared" si="24"/>
        <v>25.583333333333332</v>
      </c>
      <c r="D324" s="11">
        <f t="shared" si="25"/>
        <v>818.04154871318474</v>
      </c>
      <c r="E324" s="23">
        <f t="shared" si="26"/>
        <v>761.89659577683767</v>
      </c>
      <c r="F324" s="23">
        <f>AlphaC*(D324-E324)</f>
        <v>1403.6238234086768</v>
      </c>
      <c r="G324" s="13">
        <f>Phi*EpsilonF*Botzman/10^8*J324*((D324+273)^4-(E324+273)^4)</f>
        <v>10713.132994147592</v>
      </c>
      <c r="H324" s="23">
        <f t="shared" si="27"/>
        <v>1121.7625705016721</v>
      </c>
      <c r="I324" s="12">
        <f>ksh*Massivete/(H324*RhoA)*DeltaT*(F324+G324)</f>
        <v>1.0355988185760887</v>
      </c>
      <c r="J324" s="3">
        <f>IF(E324&lt;=500,IF(Galva=Oui,0.35,0.7),0.7)</f>
        <v>0.7</v>
      </c>
    </row>
    <row r="325" spans="2:10" x14ac:dyDescent="0.25">
      <c r="B325" s="3">
        <f>B324+DeltaT</f>
        <v>1540</v>
      </c>
      <c r="C325" s="13">
        <f t="shared" si="24"/>
        <v>25.666666666666668</v>
      </c>
      <c r="D325" s="11">
        <f t="shared" si="25"/>
        <v>818.52644103365697</v>
      </c>
      <c r="E325" s="23">
        <f t="shared" si="26"/>
        <v>762.93219459541376</v>
      </c>
      <c r="F325" s="23">
        <f>AlphaC*(D325-E325)</f>
        <v>1389.8561609560802</v>
      </c>
      <c r="G325" s="13">
        <f>Phi*EpsilonF*Botzman/10^8*J325*((D325+273)^4-(E325+273)^4)</f>
        <v>10630.673763436116</v>
      </c>
      <c r="H325" s="23">
        <f t="shared" si="27"/>
        <v>1103.0574785348258</v>
      </c>
      <c r="I325" s="12">
        <f>ksh*Massivete/(H325*RhoA)*DeltaT*(F325+G325)</f>
        <v>1.0447961655933893</v>
      </c>
      <c r="J325" s="3">
        <f>IF(E325&lt;=500,IF(Galva=Oui,0.35,0.7),0.7)</f>
        <v>0.7</v>
      </c>
    </row>
    <row r="326" spans="2:10" x14ac:dyDescent="0.25">
      <c r="B326" s="3">
        <f>B325+DeltaT</f>
        <v>1545</v>
      </c>
      <c r="C326" s="13">
        <f t="shared" si="24"/>
        <v>25.75</v>
      </c>
      <c r="D326" s="11">
        <f t="shared" si="25"/>
        <v>819.00976918263655</v>
      </c>
      <c r="E326" s="23">
        <f t="shared" si="26"/>
        <v>763.97699076100719</v>
      </c>
      <c r="F326" s="23">
        <f>AlphaC*(D326-E326)</f>
        <v>1375.8194605407339</v>
      </c>
      <c r="G326" s="13">
        <f>Phi*EpsilonF*Botzman/10^8*J326*((D326+273)^4-(E326+273)^4)</f>
        <v>10545.848226599112</v>
      </c>
      <c r="H326" s="23">
        <f t="shared" si="27"/>
        <v>1085.376777527888</v>
      </c>
      <c r="I326" s="12">
        <f>ksh*Massivete/(H326*RhoA)*DeltaT*(F326+G326)</f>
        <v>1.0530829615119253</v>
      </c>
      <c r="J326" s="3">
        <f>IF(E326&lt;=500,IF(Galva=Oui,0.35,0.7),0.7)</f>
        <v>0.7</v>
      </c>
    </row>
    <row r="327" spans="2:10" x14ac:dyDescent="0.25">
      <c r="B327" s="3">
        <f>B326+DeltaT</f>
        <v>1550</v>
      </c>
      <c r="C327" s="13">
        <f t="shared" si="24"/>
        <v>25.833333333333332</v>
      </c>
      <c r="D327" s="11">
        <f t="shared" si="25"/>
        <v>819.49154321912977</v>
      </c>
      <c r="E327" s="23">
        <f t="shared" si="26"/>
        <v>765.03007372251909</v>
      </c>
      <c r="F327" s="23">
        <f>AlphaC*(D327-E327)</f>
        <v>1361.536737415267</v>
      </c>
      <c r="G327" s="13">
        <f>Phi*EpsilonF*Botzman/10^8*J327*((D327+273)^4-(E327+273)^4)</f>
        <v>10458.803107407313</v>
      </c>
      <c r="H327" s="23">
        <f t="shared" si="27"/>
        <v>1068.6544635578553</v>
      </c>
      <c r="I327" s="12">
        <f>ksh*Massivete/(H327*RhoA)*DeltaT*(F327+G327)</f>
        <v>1.0604709069538407</v>
      </c>
      <c r="J327" s="3">
        <f>IF(E327&lt;=500,IF(Galva=Oui,0.35,0.7),0.7)</f>
        <v>0.7</v>
      </c>
    </row>
    <row r="328" spans="2:10" x14ac:dyDescent="0.25">
      <c r="B328" s="3">
        <f>B327+DeltaT</f>
        <v>1555</v>
      </c>
      <c r="C328" s="13">
        <f t="shared" si="24"/>
        <v>25.916666666666668</v>
      </c>
      <c r="D328" s="11">
        <f t="shared" si="25"/>
        <v>819.97177310542247</v>
      </c>
      <c r="E328" s="23">
        <f t="shared" si="26"/>
        <v>766.0905446294729</v>
      </c>
      <c r="F328" s="23">
        <f>AlphaC*(D328-E328)</f>
        <v>1347.0307118987394</v>
      </c>
      <c r="G328" s="13">
        <f>Phi*EpsilonF*Botzman/10^8*J328*((D328+273)^4-(E328+273)^4)</f>
        <v>10369.684834055668</v>
      </c>
      <c r="H328" s="23">
        <f t="shared" si="27"/>
        <v>1052.829108614997</v>
      </c>
      <c r="I328" s="12">
        <f>ksh*Massivete/(H328*RhoA)*DeltaT*(F328+G328)</f>
        <v>1.0669746522141816</v>
      </c>
      <c r="J328" s="3">
        <f>IF(E328&lt;=500,IF(Galva=Oui,0.35,0.7),0.7)</f>
        <v>0.7</v>
      </c>
    </row>
    <row r="329" spans="2:10" x14ac:dyDescent="0.25">
      <c r="B329" s="3">
        <f>B328+DeltaT</f>
        <v>1560</v>
      </c>
      <c r="C329" s="13">
        <f t="shared" si="24"/>
        <v>26</v>
      </c>
      <c r="D329" s="11">
        <f t="shared" si="25"/>
        <v>820.45046870831357</v>
      </c>
      <c r="E329" s="23">
        <f t="shared" si="26"/>
        <v>767.15751928168709</v>
      </c>
      <c r="F329" s="23">
        <f>AlphaC*(D329-E329)</f>
        <v>1332.3237356656618</v>
      </c>
      <c r="G329" s="13">
        <f>Phi*EpsilonF*Botzman/10^8*J329*((D329+273)^4-(E329+273)^4)</f>
        <v>10278.639025588574</v>
      </c>
      <c r="H329" s="23">
        <f t="shared" si="27"/>
        <v>1037.8435455201541</v>
      </c>
      <c r="I329" s="12">
        <f>ksh*Massivete/(H329*RhoA)*DeltaT*(F329+G329)</f>
        <v>1.0726114853321531</v>
      </c>
      <c r="J329" s="3">
        <f>IF(E329&lt;=500,IF(Galva=Oui,0.35,0.7),0.7)</f>
        <v>0.7</v>
      </c>
    </row>
    <row r="330" spans="2:10" x14ac:dyDescent="0.25">
      <c r="B330" s="3">
        <f>B329+DeltaT</f>
        <v>1565</v>
      </c>
      <c r="C330" s="13">
        <f t="shared" si="24"/>
        <v>26.083333333333332</v>
      </c>
      <c r="D330" s="11">
        <f t="shared" si="25"/>
        <v>820.92763980033419</v>
      </c>
      <c r="E330" s="23">
        <f t="shared" si="26"/>
        <v>768.2301307670192</v>
      </c>
      <c r="F330" s="23">
        <f>AlphaC*(D330-E330)</f>
        <v>1317.4377258328745</v>
      </c>
      <c r="G330" s="13">
        <f>Phi*EpsilonF*Botzman/10^8*J330*((D330+273)^4-(E330+273)^4)</f>
        <v>10185.810019910534</v>
      </c>
      <c r="H330" s="23">
        <f t="shared" si="27"/>
        <v>1023.6445718258417</v>
      </c>
      <c r="I330" s="12">
        <f>ksh*Massivete/(H330*RhoA)*DeltaT*(F330+G330)</f>
        <v>1.0774010266482636</v>
      </c>
      <c r="J330" s="3">
        <f>IF(E330&lt;=500,IF(Galva=Oui,0.35,0.7),0.7)</f>
        <v>0.7</v>
      </c>
    </row>
    <row r="331" spans="2:10" x14ac:dyDescent="0.25">
      <c r="B331" s="3">
        <f>B330+DeltaT</f>
        <v>1570</v>
      </c>
      <c r="C331" s="13">
        <f t="shared" si="24"/>
        <v>26.166666666666668</v>
      </c>
      <c r="D331" s="11">
        <f t="shared" si="25"/>
        <v>821.40329606094269</v>
      </c>
      <c r="E331" s="23">
        <f t="shared" si="26"/>
        <v>769.30753179366752</v>
      </c>
      <c r="F331" s="23">
        <f>AlphaC*(D331-E331)</f>
        <v>1302.3941066818793</v>
      </c>
      <c r="G331" s="13">
        <f>Phi*EpsilonF*Botzman/10^8*J331*((D331+273)^4-(E331+273)^4)</f>
        <v>10091.340443329189</v>
      </c>
      <c r="H331" s="23">
        <f t="shared" si="27"/>
        <v>1010.1826720651775</v>
      </c>
      <c r="I331" s="12">
        <f>ksh*Massivete/(H331*RhoA)*DeltaT*(F331+G331)</f>
        <v>1.081364933002281</v>
      </c>
      <c r="J331" s="3">
        <f>IF(E331&lt;=500,IF(Galva=Oui,0.35,0.7),0.7)</f>
        <v>0.7</v>
      </c>
    </row>
    <row r="332" spans="2:10" x14ac:dyDescent="0.25">
      <c r="B332" s="3">
        <f>B331+DeltaT</f>
        <v>1575</v>
      </c>
      <c r="C332" s="13">
        <f t="shared" si="24"/>
        <v>26.25</v>
      </c>
      <c r="D332" s="11">
        <f t="shared" si="25"/>
        <v>821.87744707770401</v>
      </c>
      <c r="E332" s="23">
        <f t="shared" si="26"/>
        <v>770.38889672666983</v>
      </c>
      <c r="F332" s="23">
        <f>AlphaC*(D332-E332)</f>
        <v>1287.2137587758543</v>
      </c>
      <c r="G332" s="13">
        <f>Phi*EpsilonF*Botzman/10^8*J332*((D332+273)^4-(E332+273)^4)</f>
        <v>9995.3708210844961</v>
      </c>
      <c r="H332" s="23">
        <f t="shared" si="27"/>
        <v>997.41175764982154</v>
      </c>
      <c r="I332" s="12">
        <f>ksh*Massivete/(H332*RhoA)*DeltaT*(F332+G332)</f>
        <v>1.0845266140915972</v>
      </c>
      <c r="J332" s="3">
        <f>IF(E332&lt;=500,IF(Galva=Oui,0.35,0.7),0.7)</f>
        <v>0.7</v>
      </c>
    </row>
    <row r="333" spans="2:10" x14ac:dyDescent="0.25">
      <c r="B333" s="3">
        <f>B332+DeltaT</f>
        <v>1580</v>
      </c>
      <c r="C333" s="13">
        <f t="shared" si="24"/>
        <v>26.333333333333332</v>
      </c>
      <c r="D333" s="11">
        <f t="shared" si="25"/>
        <v>822.350102347448</v>
      </c>
      <c r="E333" s="23">
        <f t="shared" si="26"/>
        <v>771.47342334076143</v>
      </c>
      <c r="F333" s="23">
        <f>AlphaC*(D333-E333)</f>
        <v>1271.9169751671643</v>
      </c>
      <c r="G333" s="13">
        <f>Phi*EpsilonF*Botzman/10^8*J333*((D333+273)^4-(E333+273)^4)</f>
        <v>9898.0392278933832</v>
      </c>
      <c r="H333" s="23">
        <f t="shared" si="27"/>
        <v>985.2889236713811</v>
      </c>
      <c r="I333" s="12">
        <f>ksh*Massivete/(H333*RhoA)*DeltaT*(F333+G333)</f>
        <v>1.0869109629250824</v>
      </c>
      <c r="J333" s="3">
        <f>IF(E333&lt;=500,IF(Galva=Oui,0.35,0.7),0.7)</f>
        <v>0.7</v>
      </c>
    </row>
    <row r="334" spans="2:10" x14ac:dyDescent="0.25">
      <c r="B334" s="3">
        <f>B333+DeltaT</f>
        <v>1585</v>
      </c>
      <c r="C334" s="13">
        <f t="shared" si="24"/>
        <v>26.416666666666668</v>
      </c>
      <c r="D334" s="11">
        <f t="shared" si="25"/>
        <v>822.82127127741228</v>
      </c>
      <c r="E334" s="23">
        <f t="shared" si="26"/>
        <v>772.56033430368655</v>
      </c>
      <c r="F334" s="23">
        <f>AlphaC*(D334-E334)</f>
        <v>1256.5234243431432</v>
      </c>
      <c r="G334" s="13">
        <f>Phi*EpsilonF*Botzman/10^8*J334*((D334+273)^4-(E334+273)^4)</f>
        <v>9799.4809772086282</v>
      </c>
      <c r="H334" s="23">
        <f t="shared" si="27"/>
        <v>973.77422182860801</v>
      </c>
      <c r="I334" s="12">
        <f>ksh*Massivete/(H334*RhoA)*DeltaT*(F334+G334)</f>
        <v>1.0885441017831043</v>
      </c>
      <c r="J334" s="3">
        <f>IF(E334&lt;=500,IF(Galva=Oui,0.35,0.7),0.7)</f>
        <v>0.7</v>
      </c>
    </row>
    <row r="335" spans="2:10" x14ac:dyDescent="0.25">
      <c r="B335" s="3">
        <f>B334+DeltaT</f>
        <v>1590</v>
      </c>
      <c r="C335" s="13">
        <f t="shared" si="24"/>
        <v>26.5</v>
      </c>
      <c r="D335" s="11">
        <f t="shared" si="25"/>
        <v>823.29096318636448</v>
      </c>
      <c r="E335" s="23">
        <f t="shared" si="26"/>
        <v>773.64887840546965</v>
      </c>
      <c r="F335" s="23">
        <f>AlphaC*(D335-E335)</f>
        <v>1241.052119522371</v>
      </c>
      <c r="G335" s="13">
        <f>Phi*EpsilonF*Botzman/10^8*J335*((D335+273)^4-(E335+273)^4)</f>
        <v>9699.8283476230681</v>
      </c>
      <c r="H335" s="23">
        <f t="shared" si="27"/>
        <v>962.83044868337299</v>
      </c>
      <c r="I335" s="12">
        <f>ksh*Massivete/(H335*RhoA)*DeltaT*(F335+G335)</f>
        <v>1.0894531446307305</v>
      </c>
      <c r="J335" s="3">
        <f>IF(E335&lt;=500,IF(Galva=Oui,0.35,0.7),0.7)</f>
        <v>0.7</v>
      </c>
    </row>
    <row r="336" spans="2:10" x14ac:dyDescent="0.25">
      <c r="B336" s="3">
        <f>B335+DeltaT</f>
        <v>1595</v>
      </c>
      <c r="C336" s="13">
        <f t="shared" si="24"/>
        <v>26.583333333333332</v>
      </c>
      <c r="D336" s="11">
        <f t="shared" si="25"/>
        <v>823.75918730570834</v>
      </c>
      <c r="E336" s="23">
        <f t="shared" si="26"/>
        <v>774.73833155010038</v>
      </c>
      <c r="F336" s="23">
        <f>AlphaC*(D336-E336)</f>
        <v>1225.5213938901989</v>
      </c>
      <c r="G336" s="13">
        <f>Phi*EpsilonF*Botzman/10^8*J336*((D336+273)^4-(E336+273)^4)</f>
        <v>9599.2103446541078</v>
      </c>
      <c r="H336" s="23">
        <f t="shared" si="27"/>
        <v>952.42294844027037</v>
      </c>
      <c r="I336" s="12">
        <f>ksh*Massivete/(H336*RhoA)*DeltaT*(F336+G336)</f>
        <v>1.0896659765300238</v>
      </c>
      <c r="J336" s="3">
        <f>IF(E336&lt;=500,IF(Galva=Oui,0.35,0.7),0.7)</f>
        <v>0.7</v>
      </c>
    </row>
    <row r="337" spans="2:10" x14ac:dyDescent="0.25">
      <c r="B337" s="3">
        <f>B336+DeltaT</f>
        <v>1600</v>
      </c>
      <c r="C337" s="13">
        <f t="shared" si="24"/>
        <v>26.666666666666668</v>
      </c>
      <c r="D337" s="11">
        <f t="shared" si="25"/>
        <v>824.22595278057292</v>
      </c>
      <c r="E337" s="23">
        <f t="shared" si="26"/>
        <v>775.82799752663038</v>
      </c>
      <c r="F337" s="23">
        <f>AlphaC*(D337-E337)</f>
        <v>1209.9488813485636</v>
      </c>
      <c r="G337" s="13">
        <f>Phi*EpsilonF*Botzman/10^8*J337*((D337+273)^4-(E337+273)^4)</f>
        <v>9497.7524960020273</v>
      </c>
      <c r="H337" s="23">
        <f t="shared" si="27"/>
        <v>942.51942944616042</v>
      </c>
      <c r="I337" s="12">
        <f>ksh*Massivete/(H337*RhoA)*DeltaT*(F337+G337)</f>
        <v>1.089211050256039</v>
      </c>
      <c r="J337" s="3">
        <f>IF(E337&lt;=500,IF(Galva=Oui,0.35,0.7),0.7)</f>
        <v>0.7</v>
      </c>
    </row>
    <row r="338" spans="2:10" x14ac:dyDescent="0.25">
      <c r="B338" s="3">
        <f>B337+DeltaT</f>
        <v>1605</v>
      </c>
      <c r="C338" s="13">
        <f t="shared" ref="C338:C401" si="28">B338/60</f>
        <v>26.75</v>
      </c>
      <c r="D338" s="11">
        <f t="shared" ref="D338:D401" si="29">20+345*LOG(8*C338+1,10)</f>
        <v>824.69126867088369</v>
      </c>
      <c r="E338" s="23">
        <f t="shared" si="26"/>
        <v>776.91720857688642</v>
      </c>
      <c r="F338" s="23">
        <f>AlphaC*(D338-E338)</f>
        <v>1194.3515023499317</v>
      </c>
      <c r="G338" s="13">
        <f>Phi*EpsilonF*Botzman/10^8*J338*((D338+273)^4-(E338+273)^4)</f>
        <v>9395.5766782837527</v>
      </c>
      <c r="H338" s="23">
        <f t="shared" si="27"/>
        <v>933.08979361541901</v>
      </c>
      <c r="I338" s="12">
        <f>ksh*Massivete/(H338*RhoA)*DeltaT*(F338+G338)</f>
        <v>1.0881172000365542</v>
      </c>
      <c r="J338" s="3">
        <f>IF(E338&lt;=500,IF(Galva=Oui,0.35,0.7),0.7)</f>
        <v>0.7</v>
      </c>
    </row>
    <row r="339" spans="2:10" x14ac:dyDescent="0.25">
      <c r="B339" s="3">
        <f>B338+DeltaT</f>
        <v>1610</v>
      </c>
      <c r="C339" s="13">
        <f t="shared" si="28"/>
        <v>26.833333333333332</v>
      </c>
      <c r="D339" s="11">
        <f t="shared" si="29"/>
        <v>825.15514395241814</v>
      </c>
      <c r="E339" s="23">
        <f t="shared" si="26"/>
        <v>778.00532577692297</v>
      </c>
      <c r="F339" s="23">
        <f>AlphaC*(D339-E339)</f>
        <v>1178.7454543873791</v>
      </c>
      <c r="G339" s="13">
        <f>Phi*EpsilonF*Botzman/10^8*J339*((D339+273)^4-(E339+273)^4)</f>
        <v>9292.8009731968086</v>
      </c>
      <c r="H339" s="23">
        <f t="shared" si="27"/>
        <v>924.10597800278708</v>
      </c>
      <c r="I339" s="12">
        <f>ksh*Massivete/(H339*RhoA)*DeltaT*(F339+G339)</f>
        <v>1.0864134721036569</v>
      </c>
      <c r="J339" s="3">
        <f>IF(E339&lt;=500,IF(Galva=Oui,0.35,0.7),0.7)</f>
        <v>0.7</v>
      </c>
    </row>
    <row r="340" spans="2:10" x14ac:dyDescent="0.25">
      <c r="B340" s="3">
        <f>B339+DeltaT</f>
        <v>1615</v>
      </c>
      <c r="C340" s="13">
        <f t="shared" si="28"/>
        <v>26.916666666666668</v>
      </c>
      <c r="D340" s="11">
        <f t="shared" si="29"/>
        <v>825.61758751784373</v>
      </c>
      <c r="E340" s="23">
        <f t="shared" si="26"/>
        <v>779.09173924902666</v>
      </c>
      <c r="F340" s="23">
        <f>AlphaC*(D340-E340)</f>
        <v>1163.1462067204268</v>
      </c>
      <c r="G340" s="13">
        <f>Phi*EpsilonF*Botzman/10^8*J340*((D340+273)^4-(E340+273)^4)</f>
        <v>9189.5395510538747</v>
      </c>
      <c r="H340" s="23">
        <f t="shared" si="27"/>
        <v>915.54180776713463</v>
      </c>
      <c r="I340" s="12">
        <f>ksh*Massivete/(H340*RhoA)*DeltaT*(F340+G340)</f>
        <v>1.0841289715604867</v>
      </c>
      <c r="J340" s="3">
        <f>IF(E340&lt;=500,IF(Galva=Oui,0.35,0.7),0.7)</f>
        <v>0.7</v>
      </c>
    </row>
    <row r="341" spans="2:10" x14ac:dyDescent="0.25">
      <c r="B341" s="3">
        <f>B340+DeltaT</f>
        <v>1620</v>
      </c>
      <c r="C341" s="13">
        <f t="shared" si="28"/>
        <v>27</v>
      </c>
      <c r="D341" s="11">
        <f t="shared" si="29"/>
        <v>826.07860817774269</v>
      </c>
      <c r="E341" s="23">
        <f t="shared" si="26"/>
        <v>780.17586822058718</v>
      </c>
      <c r="F341" s="23">
        <f>AlphaC*(D341-E341)</f>
        <v>1147.5684989288879</v>
      </c>
      <c r="G341" s="13">
        <f>Phi*EpsilonF*Botzman/10^8*J341*((D341+273)^4-(E341+273)^4)</f>
        <v>9085.9025796456644</v>
      </c>
      <c r="H341" s="23">
        <f t="shared" si="27"/>
        <v>907.37285979507658</v>
      </c>
      <c r="I341" s="12">
        <f>ksh*Massivete/(H341*RhoA)*DeltaT*(F341+G341)</f>
        <v>1.0812927249240507</v>
      </c>
      <c r="J341" s="3">
        <f>IF(E341&lt;=500,IF(Galva=Oui,0.35,0.7),0.7)</f>
        <v>0.7</v>
      </c>
    </row>
    <row r="342" spans="2:10" x14ac:dyDescent="0.25">
      <c r="B342" s="3">
        <f>B341+DeltaT</f>
        <v>1625</v>
      </c>
      <c r="C342" s="13">
        <f t="shared" si="28"/>
        <v>27.083333333333332</v>
      </c>
      <c r="D342" s="11">
        <f t="shared" si="29"/>
        <v>826.53821466161685</v>
      </c>
      <c r="E342" s="23">
        <f t="shared" si="26"/>
        <v>781.25716094551126</v>
      </c>
      <c r="F342" s="23">
        <f>AlphaC*(D342-E342)</f>
        <v>1132.0263429026397</v>
      </c>
      <c r="G342" s="13">
        <f>Phi*EpsilonF*Botzman/10^8*J342*((D342+273)^4-(E342+273)^4)</f>
        <v>8981.9961564267942</v>
      </c>
      <c r="H342" s="23">
        <f t="shared" si="27"/>
        <v>899.57633628211545</v>
      </c>
      <c r="I342" s="12">
        <f>ksh*Massivete/(H342*RhoA)*DeltaT*(F342+G342)</f>
        <v>1.0779335575990727</v>
      </c>
      <c r="J342" s="3">
        <f>IF(E342&lt;=500,IF(Galva=Oui,0.35,0.7),0.7)</f>
        <v>0.7</v>
      </c>
    </row>
    <row r="343" spans="2:10" x14ac:dyDescent="0.25">
      <c r="B343" s="3">
        <f>B342+DeltaT</f>
        <v>1630</v>
      </c>
      <c r="C343" s="13">
        <f t="shared" si="28"/>
        <v>27.166666666666668</v>
      </c>
      <c r="D343" s="11">
        <f t="shared" si="29"/>
        <v>826.99641561888166</v>
      </c>
      <c r="E343" s="23">
        <f t="shared" si="26"/>
        <v>782.33509450311033</v>
      </c>
      <c r="F343" s="23">
        <f>AlphaC*(D343-E343)</f>
        <v>1116.5330278942834</v>
      </c>
      <c r="G343" s="13">
        <f>Phi*EpsilonF*Botzman/10^8*J343*((D343+273)^4-(E343+273)^4)</f>
        <v>8877.9222620823712</v>
      </c>
      <c r="H343" s="23">
        <f t="shared" si="27"/>
        <v>892.13094759999535</v>
      </c>
      <c r="I343" s="12">
        <f>ksh*Massivete/(H343*RhoA)*DeltaT*(F343+G343)</f>
        <v>1.0740799854644605</v>
      </c>
      <c r="J343" s="3">
        <f>IF(E343&lt;=500,IF(Galva=Oui,0.35,0.7),0.7)</f>
        <v>0.7</v>
      </c>
    </row>
    <row r="344" spans="2:10" x14ac:dyDescent="0.25">
      <c r="B344" s="3">
        <f>B343+DeltaT</f>
        <v>1635</v>
      </c>
      <c r="C344" s="13">
        <f t="shared" si="28"/>
        <v>27.25</v>
      </c>
      <c r="D344" s="11">
        <f t="shared" si="29"/>
        <v>827.45321961984075</v>
      </c>
      <c r="E344" s="23">
        <f t="shared" si="26"/>
        <v>783.40917448857476</v>
      </c>
      <c r="F344" s="23">
        <f>AlphaC*(D344-E344)</f>
        <v>1101.1011282816498</v>
      </c>
      <c r="G344" s="13">
        <f>Phi*EpsilonF*Botzman/10^8*J344*((D344+273)^4-(E344+273)^4)</f>
        <v>8773.7787335994271</v>
      </c>
      <c r="H344" s="23">
        <f t="shared" si="27"/>
        <v>885.01680381141614</v>
      </c>
      <c r="I344" s="12">
        <f>ksh*Massivete/(H344*RhoA)*DeltaT*(F344+G344)</f>
        <v>1.0697601197063129</v>
      </c>
      <c r="J344" s="3">
        <f>IF(E344&lt;=500,IF(Galva=Oui,0.35,0.7),0.7)</f>
        <v>0.7</v>
      </c>
    </row>
    <row r="345" spans="2:10" x14ac:dyDescent="0.25">
      <c r="B345" s="3">
        <f>B344+DeltaT</f>
        <v>1640</v>
      </c>
      <c r="C345" s="13">
        <f t="shared" si="28"/>
        <v>27.333333333333332</v>
      </c>
      <c r="D345" s="11">
        <f t="shared" si="29"/>
        <v>827.90863515664978</v>
      </c>
      <c r="E345" s="23">
        <f t="shared" si="26"/>
        <v>784.47893460828107</v>
      </c>
      <c r="F345" s="23">
        <f>AlphaC*(D345-E345)</f>
        <v>1085.7425137092177</v>
      </c>
      <c r="G345" s="13">
        <f>Phi*EpsilonF*Botzman/10^8*J345*((D345+273)^4-(E345+273)^4)</f>
        <v>8669.659255055265</v>
      </c>
      <c r="H345" s="23">
        <f t="shared" si="27"/>
        <v>878.21531422655949</v>
      </c>
      <c r="I345" s="12">
        <f>ksh*Massivete/(H345*RhoA)*DeltaT*(F345+G345)</f>
        <v>1.0650015840073934</v>
      </c>
      <c r="J345" s="3">
        <f>IF(E345&lt;=500,IF(Galva=Oui,0.35,0.7),0.7)</f>
        <v>0.7</v>
      </c>
    </row>
    <row r="346" spans="2:10" x14ac:dyDescent="0.25">
      <c r="B346" s="3">
        <f>B345+DeltaT</f>
        <v>1645</v>
      </c>
      <c r="C346" s="13">
        <f t="shared" si="28"/>
        <v>27.416666666666668</v>
      </c>
      <c r="D346" s="11">
        <f t="shared" si="29"/>
        <v>828.36267064426227</v>
      </c>
      <c r="E346" s="23">
        <f t="shared" si="26"/>
        <v>785.54393619228847</v>
      </c>
      <c r="F346" s="23">
        <f>AlphaC*(D346-E346)</f>
        <v>1070.4683612993449</v>
      </c>
      <c r="G346" s="13">
        <f>Phi*EpsilonF*Botzman/10^8*J346*((D346+273)^4-(E346+273)^4)</f>
        <v>8565.6533644188185</v>
      </c>
      <c r="H346" s="23">
        <f t="shared" si="27"/>
        <v>871.70909442944503</v>
      </c>
      <c r="I346" s="12">
        <f>ksh*Massivete/(H346*RhoA)*DeltaT*(F346+G346)</f>
        <v>1.0598314431961351</v>
      </c>
      <c r="J346" s="3">
        <f>IF(E346&lt;=500,IF(Galva=Oui,0.35,0.7),0.7)</f>
        <v>0.7</v>
      </c>
    </row>
    <row r="347" spans="2:10" x14ac:dyDescent="0.25">
      <c r="B347" s="3">
        <f>B346+DeltaT</f>
        <v>1650</v>
      </c>
      <c r="C347" s="13">
        <f t="shared" si="28"/>
        <v>27.5</v>
      </c>
      <c r="D347" s="11">
        <f t="shared" si="29"/>
        <v>828.81533442136299</v>
      </c>
      <c r="E347" s="23">
        <f t="shared" si="26"/>
        <v>786.60376763548459</v>
      </c>
      <c r="F347" s="23">
        <f>AlphaC*(D347-E347)</f>
        <v>1055.2891696469601</v>
      </c>
      <c r="G347" s="13">
        <f>Phi*EpsilonF*Botzman/10^8*J347*((D347+273)^4-(E347+273)^4)</f>
        <v>8461.8464747602302</v>
      </c>
      <c r="H347" s="23">
        <f t="shared" si="27"/>
        <v>865.48188023553701</v>
      </c>
      <c r="I347" s="12">
        <f>ksh*Massivete/(H347*RhoA)*DeltaT*(F347+G347)</f>
        <v>1.0542761424673852</v>
      </c>
      <c r="J347" s="3">
        <f>IF(E347&lt;=500,IF(Galva=Oui,0.35,0.7),0.7)</f>
        <v>0.7</v>
      </c>
    </row>
    <row r="348" spans="2:10" x14ac:dyDescent="0.25">
      <c r="B348" s="3">
        <f>B347+DeltaT</f>
        <v>1655</v>
      </c>
      <c r="C348" s="13">
        <f t="shared" si="28"/>
        <v>27.583333333333332</v>
      </c>
      <c r="D348" s="11">
        <f t="shared" si="29"/>
        <v>829.26663475128748</v>
      </c>
      <c r="E348" s="23">
        <f t="shared" si="26"/>
        <v>787.658043777952</v>
      </c>
      <c r="F348" s="23">
        <f>AlphaC*(D348-E348)</f>
        <v>1040.2147743333871</v>
      </c>
      <c r="G348" s="13">
        <f>Phi*EpsilonF*Botzman/10^8*J348*((D348+273)^4-(E348+273)^4)</f>
        <v>8358.3199083568798</v>
      </c>
      <c r="H348" s="23">
        <f t="shared" si="27"/>
        <v>859.51844807487873</v>
      </c>
      <c r="I348" s="12">
        <f>ksh*Massivete/(H348*RhoA)*DeltaT*(F348+G348)</f>
        <v>1.0483614563069175</v>
      </c>
      <c r="J348" s="3">
        <f>IF(E348&lt;=500,IF(Galva=Oui,0.35,0.7),0.7)</f>
        <v>0.7</v>
      </c>
    </row>
    <row r="349" spans="2:10" x14ac:dyDescent="0.25">
      <c r="B349" s="3">
        <f>B348+DeltaT</f>
        <v>1660</v>
      </c>
      <c r="C349" s="13">
        <f t="shared" si="28"/>
        <v>27.666666666666668</v>
      </c>
      <c r="D349" s="11">
        <f t="shared" si="29"/>
        <v>829.71657982292584</v>
      </c>
      <c r="E349" s="23">
        <f t="shared" si="26"/>
        <v>788.70640523425891</v>
      </c>
      <c r="F349" s="23">
        <f>AlphaC*(D349-E349)</f>
        <v>1025.2543647166731</v>
      </c>
      <c r="G349" s="13">
        <f>Phi*EpsilonF*Botzman/10^8*J349*((D349+273)^4-(E349+273)^4)</f>
        <v>8255.1509422805302</v>
      </c>
      <c r="H349" s="23">
        <f t="shared" si="27"/>
        <v>853.80454132708121</v>
      </c>
      <c r="I349" s="12">
        <f>ksh*Massivete/(H349*RhoA)*DeltaT*(F349+G349)</f>
        <v>1.0421124462807825</v>
      </c>
      <c r="J349" s="3">
        <f>IF(E349&lt;=500,IF(Galva=Oui,0.35,0.7),0.7)</f>
        <v>0.7</v>
      </c>
    </row>
    <row r="350" spans="2:10" x14ac:dyDescent="0.25">
      <c r="B350" s="3">
        <f>B349+DeltaT</f>
        <v>1665</v>
      </c>
      <c r="C350" s="13">
        <f t="shared" si="28"/>
        <v>27.75</v>
      </c>
      <c r="D350" s="11">
        <f t="shared" si="29"/>
        <v>830.16517775161537</v>
      </c>
      <c r="E350" s="23">
        <f t="shared" si="26"/>
        <v>789.74851768053963</v>
      </c>
      <c r="F350" s="23">
        <f>AlphaC*(D350-E350)</f>
        <v>1010.4165017768935</v>
      </c>
      <c r="G350" s="13">
        <f>Phi*EpsilonF*Botzman/10^8*J350*((D350+273)^4-(E350+273)^4)</f>
        <v>8152.4128641481429</v>
      </c>
      <c r="H350" s="23">
        <f t="shared" si="27"/>
        <v>848.32680216547578</v>
      </c>
      <c r="I350" s="12">
        <f>ksh*Massivete/(H350*RhoA)*DeltaT*(F350+G350)</f>
        <v>1.0355534268865094</v>
      </c>
      <c r="J350" s="3">
        <f>IF(E350&lt;=500,IF(Galva=Oui,0.35,0.7),0.7)</f>
        <v>0.7</v>
      </c>
    </row>
    <row r="351" spans="2:10" x14ac:dyDescent="0.25">
      <c r="B351" s="3">
        <f>B350+DeltaT</f>
        <v>1670</v>
      </c>
      <c r="C351" s="13">
        <f t="shared" si="28"/>
        <v>27.833333333333332</v>
      </c>
      <c r="D351" s="11">
        <f t="shared" si="29"/>
        <v>830.61243658001865</v>
      </c>
      <c r="E351" s="23">
        <f t="shared" si="26"/>
        <v>790.78407110742614</v>
      </c>
      <c r="F351" s="23">
        <f>AlphaC*(D351-E351)</f>
        <v>995.70913681481272</v>
      </c>
      <c r="G351" s="13">
        <f>Phi*EpsilonF*Botzman/10^8*J351*((D351+273)^4-(E351+273)^4)</f>
        <v>8050.175036809821</v>
      </c>
      <c r="H351" s="23">
        <f t="shared" si="27"/>
        <v>843.07270849753945</v>
      </c>
      <c r="I351" s="12">
        <f>ksh*Massivete/(H351*RhoA)*DeltaT*(F351+G351)</f>
        <v>1.0287079387031288</v>
      </c>
      <c r="J351" s="3">
        <f>IF(E351&lt;=500,IF(Galva=Oui,0.35,0.7),0.7)</f>
        <v>0.7</v>
      </c>
    </row>
    <row r="352" spans="2:10" x14ac:dyDescent="0.25">
      <c r="B352" s="3">
        <f>B351+DeltaT</f>
        <v>1675</v>
      </c>
      <c r="C352" s="13">
        <f t="shared" si="28"/>
        <v>27.916666666666668</v>
      </c>
      <c r="D352" s="11">
        <f t="shared" si="29"/>
        <v>831.05836427898828</v>
      </c>
      <c r="E352" s="23">
        <f t="shared" si="26"/>
        <v>791.81277904612932</v>
      </c>
      <c r="F352" s="23">
        <f>AlphaC*(D352-E352)</f>
        <v>981.13963082147393</v>
      </c>
      <c r="G352" s="13">
        <f>Phi*EpsilonF*Botzman/10^8*J352*((D352+273)^4-(E352+273)^4)</f>
        <v>7948.5029708392813</v>
      </c>
      <c r="H352" s="23">
        <f t="shared" si="27"/>
        <v>838.03051561716495</v>
      </c>
      <c r="I352" s="12">
        <f>ksh*Massivete/(H352*RhoA)*DeltaT*(F352+G352)</f>
        <v>1.0215987281204351</v>
      </c>
      <c r="J352" s="3">
        <f>IF(E352&lt;=500,IF(Galva=Oui,0.35,0.7),0.7)</f>
        <v>0.7</v>
      </c>
    </row>
    <row r="353" spans="2:10" x14ac:dyDescent="0.25">
      <c r="B353" s="3">
        <f>B352+DeltaT</f>
        <v>1680</v>
      </c>
      <c r="C353" s="13">
        <f t="shared" si="28"/>
        <v>28</v>
      </c>
      <c r="D353" s="11">
        <f t="shared" si="29"/>
        <v>831.50296874842002</v>
      </c>
      <c r="E353" s="23">
        <f t="shared" si="26"/>
        <v>792.83437777424979</v>
      </c>
      <c r="F353" s="23">
        <f>AlphaC*(D353-E353)</f>
        <v>966.71477435425572</v>
      </c>
      <c r="G353" s="13">
        <f>Phi*EpsilonF*Botzman/10^8*J353*((D353+273)^4-(E353+273)^4)</f>
        <v>7847.4584037794475</v>
      </c>
      <c r="H353" s="23">
        <f t="shared" si="27"/>
        <v>833.18920221141025</v>
      </c>
      <c r="I353" s="12">
        <f>ksh*Massivete/(H353*RhoA)*DeltaT*(F353+G353)</f>
        <v>1.0142477329728756</v>
      </c>
      <c r="J353" s="3">
        <f>IF(E353&lt;=500,IF(Galva=Oui,0.35,0.7),0.7)</f>
        <v>0.7</v>
      </c>
    </row>
    <row r="354" spans="2:10" x14ac:dyDescent="0.25">
      <c r="B354" s="3">
        <f>B353+DeltaT</f>
        <v>1685</v>
      </c>
      <c r="C354" s="13">
        <f t="shared" si="28"/>
        <v>28.083333333333332</v>
      </c>
      <c r="D354" s="11">
        <f t="shared" si="29"/>
        <v>831.94625781809111</v>
      </c>
      <c r="E354" s="23">
        <f t="shared" si="26"/>
        <v>793.84862550722266</v>
      </c>
      <c r="F354" s="23">
        <f>AlphaC*(D354-E354)</f>
        <v>952.44080777171121</v>
      </c>
      <c r="G354" s="13">
        <f>Phi*EpsilonF*Botzman/10^8*J354*((D354+273)^4-(E354+273)^4)</f>
        <v>7747.0993851767616</v>
      </c>
      <c r="H354" s="23">
        <f t="shared" si="27"/>
        <v>828.53842038999085</v>
      </c>
      <c r="I354" s="12">
        <f>ksh*Massivete/(H354*RhoA)*DeltaT*(F354+G354)</f>
        <v>1.006676073448773</v>
      </c>
      <c r="J354" s="3">
        <f>IF(E354&lt;=500,IF(Galva=Oui,0.35,0.7),0.7)</f>
        <v>0.7</v>
      </c>
    </row>
    <row r="355" spans="2:10" x14ac:dyDescent="0.25">
      <c r="B355" s="3">
        <f>B354+DeltaT</f>
        <v>1690</v>
      </c>
      <c r="C355" s="13">
        <f t="shared" si="28"/>
        <v>28.166666666666668</v>
      </c>
      <c r="D355" s="11">
        <f t="shared" si="29"/>
        <v>832.38823924848953</v>
      </c>
      <c r="E355" s="23">
        <f t="shared" si="26"/>
        <v>794.85530158067149</v>
      </c>
      <c r="F355" s="23">
        <f>AlphaC*(D355-E355)</f>
        <v>938.32344169545081</v>
      </c>
      <c r="G355" s="13">
        <f>Phi*EpsilonF*Botzman/10^8*J355*((D355+273)^4-(E355+273)^4)</f>
        <v>7647.4803665202871</v>
      </c>
      <c r="H355" s="23">
        <f t="shared" si="27"/>
        <v>824.06844942995269</v>
      </c>
      <c r="I355" s="12">
        <f>ksh*Massivete/(H355*RhoA)*DeltaT*(F355+G355)</f>
        <v>0.99890404769132746</v>
      </c>
      <c r="J355" s="3">
        <f>IF(E355&lt;=500,IF(Galva=Oui,0.35,0.7),0.7)</f>
        <v>0.7</v>
      </c>
    </row>
    <row r="356" spans="2:10" x14ac:dyDescent="0.25">
      <c r="B356" s="3">
        <f>B355+DeltaT</f>
        <v>1695</v>
      </c>
      <c r="C356" s="13">
        <f t="shared" si="28"/>
        <v>28.25</v>
      </c>
      <c r="D356" s="11">
        <f t="shared" si="29"/>
        <v>832.82892073162725</v>
      </c>
      <c r="E356" s="23">
        <f t="shared" si="26"/>
        <v>795.85420562836282</v>
      </c>
      <c r="F356" s="23">
        <f>AlphaC*(D356-E356)</f>
        <v>924.36787758161074</v>
      </c>
      <c r="G356" s="13">
        <f>Phi*EpsilonF*Botzman/10^8*J356*((D356+273)^4-(E356+273)^4)</f>
        <v>7548.652295271806</v>
      </c>
      <c r="H356" s="23">
        <f t="shared" si="27"/>
        <v>819.77015295067838</v>
      </c>
      <c r="I356" s="12">
        <f>ksh*Massivete/(H356*RhoA)*DeltaT*(F356+G356)</f>
        <v>0.99095113155173864</v>
      </c>
      <c r="J356" s="3">
        <f>IF(E356&lt;=500,IF(Galva=Oui,0.35,0.7),0.7)</f>
        <v>0.7</v>
      </c>
    </row>
    <row r="357" spans="2:10" x14ac:dyDescent="0.25">
      <c r="B357" s="3">
        <f>B356+DeltaT</f>
        <v>1700</v>
      </c>
      <c r="C357" s="13">
        <f t="shared" si="28"/>
        <v>28.333333333333332</v>
      </c>
      <c r="D357" s="11">
        <f t="shared" si="29"/>
        <v>833.26830989184509</v>
      </c>
      <c r="E357" s="23">
        <f t="shared" si="26"/>
        <v>796.84515675991452</v>
      </c>
      <c r="F357" s="23">
        <f>AlphaC*(D357-E357)</f>
        <v>910.5788282982644</v>
      </c>
      <c r="G357" s="13">
        <f>Phi*EpsilonF*Botzman/10^8*J357*((D357+273)^4-(E357+273)^4)</f>
        <v>7450.6627122466243</v>
      </c>
      <c r="H357" s="23">
        <f t="shared" si="27"/>
        <v>815.63493925567707</v>
      </c>
      <c r="I357" s="12">
        <f>ksh*Massivete/(H357*RhoA)*DeltaT*(F357+G357)</f>
        <v>0.9828359819982504</v>
      </c>
      <c r="J357" s="3">
        <f>IF(E357&lt;=500,IF(Galva=Oui,0.35,0.7),0.7)</f>
        <v>0.7</v>
      </c>
    </row>
    <row r="358" spans="2:10" x14ac:dyDescent="0.25">
      <c r="B358" s="3">
        <f>B357+DeltaT</f>
        <v>1705</v>
      </c>
      <c r="C358" s="13">
        <f t="shared" si="28"/>
        <v>28.416666666666668</v>
      </c>
      <c r="D358" s="11">
        <f t="shared" si="29"/>
        <v>833.70641428660315</v>
      </c>
      <c r="E358" s="23">
        <f t="shared" si="26"/>
        <v>797.82799274191279</v>
      </c>
      <c r="F358" s="23">
        <f>AlphaC*(D358-E358)</f>
        <v>896.96053861725886</v>
      </c>
      <c r="G358" s="13">
        <f>Phi*EpsilonF*Botzman/10^8*J358*((D358+273)^4-(E358+273)^4)</f>
        <v>7353.5558516682877</v>
      </c>
      <c r="H358" s="23">
        <f t="shared" si="27"/>
        <v>811.65472459752266</v>
      </c>
      <c r="I358" s="12">
        <f>ksh*Massivete/(H358*RhoA)*DeltaT*(F358+G358)</f>
        <v>0.97457644372589303</v>
      </c>
      <c r="J358" s="3">
        <f>IF(E358&lt;=500,IF(Galva=Oui,0.35,0.7),0.7)</f>
        <v>0.7</v>
      </c>
    </row>
    <row r="359" spans="2:10" x14ac:dyDescent="0.25">
      <c r="B359" s="3">
        <f>B358+DeltaT</f>
        <v>1710</v>
      </c>
      <c r="C359" s="13">
        <f t="shared" si="28"/>
        <v>28.5</v>
      </c>
      <c r="D359" s="11">
        <f t="shared" si="29"/>
        <v>834.14324140726137</v>
      </c>
      <c r="E359" s="23">
        <f t="shared" si="26"/>
        <v>798.80256918563873</v>
      </c>
      <c r="F359" s="23">
        <f>AlphaC*(D359-E359)</f>
        <v>883.516805540566</v>
      </c>
      <c r="G359" s="13">
        <f>Phi*EpsilonF*Botzman/10^8*J359*((D359+273)^4-(E359+273)^4)</f>
        <v>7257.3727432828337</v>
      </c>
      <c r="H359" s="23">
        <f t="shared" si="27"/>
        <v>807.82189914087292</v>
      </c>
      <c r="I359" s="12">
        <f>ksh*Massivete/(H359*RhoA)*DeltaT*(F359+G359)</f>
        <v>0.96618955855111199</v>
      </c>
      <c r="J359" s="3">
        <f>IF(E359&lt;=500,IF(Galva=Oui,0.35,0.7),0.7)</f>
        <v>0.7</v>
      </c>
    </row>
    <row r="360" spans="2:10" x14ac:dyDescent="0.25">
      <c r="B360" s="3">
        <f>B359+DeltaT</f>
        <v>1715</v>
      </c>
      <c r="C360" s="13">
        <f t="shared" si="28"/>
        <v>28.583333333333332</v>
      </c>
      <c r="D360" s="11">
        <f t="shared" si="29"/>
        <v>834.5787986798473</v>
      </c>
      <c r="E360" s="23">
        <f t="shared" si="26"/>
        <v>799.76875874418988</v>
      </c>
      <c r="F360" s="23">
        <f>AlphaC*(D360-E360)</f>
        <v>870.25099839143536</v>
      </c>
      <c r="G360" s="13">
        <f>Phi*EpsilonF*Botzman/10^8*J360*((D360+273)^4-(E360+273)^4)</f>
        <v>7162.1513159739434</v>
      </c>
      <c r="H360" s="23">
        <f t="shared" si="27"/>
        <v>804.12929541578455</v>
      </c>
      <c r="I360" s="12">
        <f>ksh*Massivete/(H360*RhoA)*DeltaT*(F360+G360)</f>
        <v>0.95769157721237497</v>
      </c>
      <c r="J360" s="3">
        <f>IF(E360&lt;=500,IF(Galva=Oui,0.35,0.7),0.7)</f>
        <v>0.7</v>
      </c>
    </row>
    <row r="361" spans="2:10" x14ac:dyDescent="0.25">
      <c r="B361" s="3">
        <f>B360+DeltaT</f>
        <v>1720</v>
      </c>
      <c r="C361" s="13">
        <f t="shared" si="28"/>
        <v>28.666666666666668</v>
      </c>
      <c r="D361" s="11">
        <f t="shared" si="29"/>
        <v>835.0130934658149</v>
      </c>
      <c r="E361" s="23">
        <f t="shared" si="26"/>
        <v>800.72645032140224</v>
      </c>
      <c r="F361" s="23">
        <f>AlphaC*(D361-E361)</f>
        <v>857.16607861031662</v>
      </c>
      <c r="G361" s="13">
        <f>Phi*EpsilonF*Botzman/10^8*J361*((D361+273)^4-(E361+273)^4)</f>
        <v>7067.9265023761636</v>
      </c>
      <c r="H361" s="23">
        <f t="shared" si="27"/>
        <v>800.57015906960964</v>
      </c>
      <c r="I361" s="12">
        <f>ksh*Massivete/(H361*RhoA)*DeltaT*(F361+G361)</f>
        <v>0.9490979732330046</v>
      </c>
      <c r="J361" s="3">
        <f>IF(E361&lt;=500,IF(Galva=Oui,0.35,0.7),0.7)</f>
        <v>0.7</v>
      </c>
    </row>
    <row r="362" spans="2:10" x14ac:dyDescent="0.25">
      <c r="B362" s="3">
        <f>B361+DeltaT</f>
        <v>1725</v>
      </c>
      <c r="C362" s="13">
        <f t="shared" si="28"/>
        <v>28.75</v>
      </c>
      <c r="D362" s="11">
        <f t="shared" si="29"/>
        <v>835.44613306278973</v>
      </c>
      <c r="E362" s="23">
        <f t="shared" si="26"/>
        <v>801.67554829463529</v>
      </c>
      <c r="F362" s="23">
        <f>AlphaC*(D362-E362)</f>
        <v>844.26461920386089</v>
      </c>
      <c r="G362" s="13">
        <f>Phi*EpsilonF*Botzman/10^8*J362*((D362+273)^4-(E362+273)^4)</f>
        <v>6974.7303440280239</v>
      </c>
      <c r="H362" s="23">
        <f t="shared" si="27"/>
        <v>797.13812174065083</v>
      </c>
      <c r="I362" s="12">
        <f>ksh*Massivete/(H362*RhoA)*DeltaT*(F362+G362)</f>
        <v>0.94042345853444975</v>
      </c>
      <c r="J362" s="3">
        <f>IF(E362&lt;=500,IF(Galva=Oui,0.35,0.7),0.7)</f>
        <v>0.7</v>
      </c>
    </row>
    <row r="363" spans="2:10" x14ac:dyDescent="0.25">
      <c r="B363" s="3">
        <f>B362+DeltaT</f>
        <v>1730</v>
      </c>
      <c r="C363" s="13">
        <f t="shared" si="28"/>
        <v>28.833333333333332</v>
      </c>
      <c r="D363" s="11">
        <f t="shared" si="29"/>
        <v>835.87792470530565</v>
      </c>
      <c r="E363" s="23">
        <f t="shared" si="26"/>
        <v>802.61597175316979</v>
      </c>
      <c r="F363" s="23">
        <f>AlphaC*(D363-E363)</f>
        <v>831.54882380339643</v>
      </c>
      <c r="G363" s="13">
        <f>Phi*EpsilonF*Botzman/10^8*J363*((D363+273)^4-(E363+273)^4)</f>
        <v>6882.5920966584481</v>
      </c>
      <c r="H363" s="23">
        <f t="shared" si="27"/>
        <v>793.82717589056904</v>
      </c>
      <c r="I363" s="12">
        <f>ksh*Massivete/(H363*RhoA)*DeltaT*(F363+G363)</f>
        <v>0.93168200051918892</v>
      </c>
      <c r="J363" s="3">
        <f>IF(E363&lt;=500,IF(Galva=Oui,0.35,0.7),0.7)</f>
        <v>0.7</v>
      </c>
    </row>
    <row r="364" spans="2:10" x14ac:dyDescent="0.25">
      <c r="B364" s="3">
        <f>B363+DeltaT</f>
        <v>1735</v>
      </c>
      <c r="C364" s="13">
        <f t="shared" si="28"/>
        <v>28.916666666666668</v>
      </c>
      <c r="D364" s="11">
        <f t="shared" si="29"/>
        <v>836.30847556552953</v>
      </c>
      <c r="E364" s="23">
        <f t="shared" si="26"/>
        <v>803.54765375368902</v>
      </c>
      <c r="F364" s="23">
        <f>AlphaC*(D364-E364)</f>
        <v>819.02054529601287</v>
      </c>
      <c r="G364" s="13">
        <f>Phi*EpsilonF*Botzman/10^8*J364*((D364+273)^4-(E364+273)^4)</f>
        <v>6791.5383352352901</v>
      </c>
      <c r="H364" s="23">
        <f t="shared" si="27"/>
        <v>790.63165144529376</v>
      </c>
      <c r="I364" s="12">
        <f>ksh*Massivete/(H364*RhoA)*DeltaT*(F364+G364)</f>
        <v>0.92288684036966073</v>
      </c>
      <c r="J364" s="3">
        <f>IF(E364&lt;=500,IF(Galva=Oui,0.35,0.7),0.7)</f>
        <v>0.7</v>
      </c>
    </row>
    <row r="365" spans="2:10" x14ac:dyDescent="0.25">
      <c r="B365" s="3">
        <f>B364+DeltaT</f>
        <v>1740</v>
      </c>
      <c r="C365" s="13">
        <f t="shared" si="28"/>
        <v>29</v>
      </c>
      <c r="D365" s="11">
        <f t="shared" si="29"/>
        <v>836.73779275397635</v>
      </c>
      <c r="E365" s="23">
        <f t="shared" si="26"/>
        <v>804.47054059405866</v>
      </c>
      <c r="F365" s="23">
        <f>AlphaC*(D365-E365)</f>
        <v>806.68130399794222</v>
      </c>
      <c r="G365" s="13">
        <f>Phi*EpsilonF*Botzman/10^8*J365*((D365+273)^4-(E365+273)^4)</f>
        <v>6701.5930584504695</v>
      </c>
      <c r="H365" s="23">
        <f t="shared" si="27"/>
        <v>787.54619410600947</v>
      </c>
      <c r="I365" s="12">
        <f>ksh*Massivete/(H365*RhoA)*DeltaT*(F365+G365)</f>
        <v>0.91405051233628254</v>
      </c>
      <c r="J365" s="3">
        <f>IF(E365&lt;=500,IF(Galva=Oui,0.35,0.7),0.7)</f>
        <v>0.7</v>
      </c>
    </row>
    <row r="366" spans="2:10" x14ac:dyDescent="0.25">
      <c r="B366" s="3">
        <f>B365+DeltaT</f>
        <v>1745</v>
      </c>
      <c r="C366" s="13">
        <f t="shared" si="28"/>
        <v>29.083333333333332</v>
      </c>
      <c r="D366" s="11">
        <f t="shared" si="29"/>
        <v>837.16588332021365</v>
      </c>
      <c r="E366" s="23">
        <f t="shared" si="26"/>
        <v>805.38459110639496</v>
      </c>
      <c r="F366" s="23">
        <f>AlphaC*(D366-E366)</f>
        <v>794.53230534546719</v>
      </c>
      <c r="G366" s="13">
        <f>Phi*EpsilonF*Botzman/10^8*J366*((D366+273)^4-(E366+273)^4)</f>
        <v>6612.7777923457888</v>
      </c>
      <c r="H366" s="23">
        <f t="shared" si="27"/>
        <v>784.56574520267793</v>
      </c>
      <c r="I366" s="12">
        <f>ksh*Massivete/(H366*RhoA)*DeltaT*(F366+G366)</f>
        <v>0.90518486381065477</v>
      </c>
      <c r="J366" s="3">
        <f>IF(E366&lt;=500,IF(Galva=Oui,0.35,0.7),0.7)</f>
        <v>0.7</v>
      </c>
    </row>
    <row r="367" spans="2:10" x14ac:dyDescent="0.25">
      <c r="B367" s="3">
        <f>B366+DeltaT</f>
        <v>1750</v>
      </c>
      <c r="C367" s="13">
        <f t="shared" si="28"/>
        <v>29.166666666666668</v>
      </c>
      <c r="D367" s="11">
        <f t="shared" si="29"/>
        <v>837.59275425355565</v>
      </c>
      <c r="E367" s="23">
        <f t="shared" si="26"/>
        <v>806.2897759702056</v>
      </c>
      <c r="F367" s="23">
        <f>AlphaC*(D367-E367)</f>
        <v>782.57445708375144</v>
      </c>
      <c r="G367" s="13">
        <f>Phi*EpsilonF*Botzman/10^8*J367*((D367+273)^4-(E367+273)^4)</f>
        <v>6525.1116928217998</v>
      </c>
      <c r="H367" s="23">
        <f t="shared" si="27"/>
        <v>781.68552297262647</v>
      </c>
      <c r="I367" s="12">
        <f>ksh*Massivete/(H367*RhoA)*DeltaT*(F367+G367)</f>
        <v>0.89630107600249498</v>
      </c>
      <c r="J367" s="3">
        <f>IF(E367&lt;=500,IF(Galva=Oui,0.35,0.7),0.7)</f>
        <v>0.7</v>
      </c>
    </row>
    <row r="368" spans="2:10" x14ac:dyDescent="0.25">
      <c r="B368" s="3">
        <f>B367+DeltaT</f>
        <v>1755</v>
      </c>
      <c r="C368" s="13">
        <f t="shared" si="28"/>
        <v>29.25</v>
      </c>
      <c r="D368" s="11">
        <f t="shared" si="29"/>
        <v>838.01841248374888</v>
      </c>
      <c r="E368" s="23">
        <f t="shared" si="26"/>
        <v>807.18607704620808</v>
      </c>
      <c r="F368" s="23">
        <f>AlphaC*(D368-E368)</f>
        <v>770.80838593851979</v>
      </c>
      <c r="G368" s="13">
        <f>Phi*EpsilonF*Botzman/10^8*J368*((D368+273)^4-(E368+273)^4)</f>
        <v>6438.611646798432</v>
      </c>
      <c r="H368" s="23">
        <f t="shared" si="27"/>
        <v>778.90100515599306</v>
      </c>
      <c r="I368" s="12">
        <f>ksh*Massivete/(H368*RhoA)*DeltaT*(F368+G368)</f>
        <v>0.88740968505833451</v>
      </c>
      <c r="J368" s="3">
        <f>IF(E368&lt;=500,IF(Galva=Oui,0.35,0.7),0.7)</f>
        <v>0.7</v>
      </c>
    </row>
    <row r="369" spans="2:10" x14ac:dyDescent="0.25">
      <c r="B369" s="3">
        <f>B368+DeltaT</f>
        <v>1760</v>
      </c>
      <c r="C369" s="13">
        <f t="shared" si="28"/>
        <v>29.333333333333332</v>
      </c>
      <c r="D369" s="11">
        <f t="shared" si="29"/>
        <v>838.44286488164676</v>
      </c>
      <c r="E369" s="23">
        <f t="shared" si="26"/>
        <v>808.07348673126637</v>
      </c>
      <c r="F369" s="23">
        <f>AlphaC*(D369-E369)</f>
        <v>759.23445375950962</v>
      </c>
      <c r="G369" s="13">
        <f>Phi*EpsilonF*Botzman/10^8*J369*((D369+273)^4-(E369+273)^4)</f>
        <v>6353.2923718267293</v>
      </c>
      <c r="H369" s="23">
        <f t="shared" si="27"/>
        <v>776.20791280837398</v>
      </c>
      <c r="I369" s="12">
        <f>ksh*Massivete/(H369*RhoA)*DeltaT*(F369+G369)</f>
        <v>0.87852060347854144</v>
      </c>
      <c r="J369" s="3">
        <f>IF(E369&lt;=500,IF(Galva=Oui,0.35,0.7),0.7)</f>
        <v>0.7</v>
      </c>
    </row>
    <row r="370" spans="2:10" x14ac:dyDescent="0.25">
      <c r="B370" s="3">
        <f>B369+DeltaT</f>
        <v>1765</v>
      </c>
      <c r="C370" s="13">
        <f t="shared" si="28"/>
        <v>29.416666666666668</v>
      </c>
      <c r="D370" s="11">
        <f t="shared" si="29"/>
        <v>838.86611825987427</v>
      </c>
      <c r="E370" s="23">
        <f t="shared" ref="E370:E433" si="30">E369+I369</f>
        <v>808.95200733474496</v>
      </c>
      <c r="F370" s="23">
        <f>AlphaC*(D370-E370)</f>
        <v>747.85277312823268</v>
      </c>
      <c r="G370" s="13">
        <f>Phi*EpsilonF*Botzman/10^8*J370*((D370+273)^4-(E370+273)^4)</f>
        <v>6269.1665139744509</v>
      </c>
      <c r="H370" s="23">
        <f t="shared" ref="H370:H433" si="31">IF(E370&lt;600,425+0.773*E370-1.69/1000*E370^2+2.22/1000^2*E370^3,IF(E370&lt;735,666+13002/(738-E370),IF(E370&lt;900,545+17820/(E370-731),650)))</f>
        <v>773.60219523888031</v>
      </c>
      <c r="I370" s="12">
        <f>ksh*Massivete/(H370*RhoA)*DeltaT*(F370+G370)</f>
        <v>0.86964314170557244</v>
      </c>
      <c r="J370" s="3">
        <f>IF(E370&lt;=500,IF(Galva=Oui,0.35,0.7),0.7)</f>
        <v>0.7</v>
      </c>
    </row>
    <row r="371" spans="2:10" x14ac:dyDescent="0.25">
      <c r="B371" s="3">
        <f>B370+DeltaT</f>
        <v>1770</v>
      </c>
      <c r="C371" s="13">
        <f t="shared" si="28"/>
        <v>29.5</v>
      </c>
      <c r="D371" s="11">
        <f t="shared" si="29"/>
        <v>839.28817937348583</v>
      </c>
      <c r="E371" s="23">
        <f t="shared" si="30"/>
        <v>809.82165047645049</v>
      </c>
      <c r="F371" s="23">
        <f>AlphaC*(D371-E371)</f>
        <v>736.66322242588365</v>
      </c>
      <c r="G371" s="13">
        <f>Phi*EpsilonF*Botzman/10^8*J371*((D371+273)^4-(E371+273)^4)</f>
        <v>6186.2447438347162</v>
      </c>
      <c r="H371" s="23">
        <f t="shared" si="31"/>
        <v>771.08001598905969</v>
      </c>
      <c r="I371" s="12">
        <f>ksh*Massivete/(H371*RhoA)*DeltaT*(F371+G371)</f>
        <v>0.86078602977180485</v>
      </c>
      <c r="J371" s="3">
        <f>IF(E371&lt;=500,IF(Galva=Oui,0.35,0.7),0.7)</f>
        <v>0.7</v>
      </c>
    </row>
    <row r="372" spans="2:10" x14ac:dyDescent="0.25">
      <c r="B372" s="3">
        <f>B371+DeltaT</f>
        <v>1775</v>
      </c>
      <c r="C372" s="13">
        <f t="shared" si="28"/>
        <v>29.583333333333332</v>
      </c>
      <c r="D372" s="11">
        <f t="shared" si="29"/>
        <v>839.7090549206099</v>
      </c>
      <c r="E372" s="23">
        <f t="shared" si="30"/>
        <v>810.6824365062223</v>
      </c>
      <c r="F372" s="23">
        <f>AlphaC*(D372-E372)</f>
        <v>725.66546035968997</v>
      </c>
      <c r="G372" s="13">
        <f>Phi*EpsilonF*Botzman/10^8*J372*((D372+273)^4-(E372+273)^4)</f>
        <v>6104.5358505239446</v>
      </c>
      <c r="H372" s="23">
        <f t="shared" si="31"/>
        <v>768.63773977479286</v>
      </c>
      <c r="I372" s="12">
        <f>ksh*Massivete/(H372*RhoA)*DeltaT*(F372+G372)</f>
        <v>0.85195743890840303</v>
      </c>
      <c r="J372" s="3">
        <f>IF(E372&lt;=500,IF(Galva=Oui,0.35,0.7),0.7)</f>
        <v>0.7</v>
      </c>
    </row>
    <row r="373" spans="2:10" x14ac:dyDescent="0.25">
      <c r="B373" s="3">
        <f>B372+DeltaT</f>
        <v>1780</v>
      </c>
      <c r="C373" s="13">
        <f t="shared" si="28"/>
        <v>29.666666666666668</v>
      </c>
      <c r="D373" s="11">
        <f t="shared" si="29"/>
        <v>840.12875154308927</v>
      </c>
      <c r="E373" s="23">
        <f t="shared" si="30"/>
        <v>811.53439394513066</v>
      </c>
      <c r="F373" s="23">
        <f>AlphaC*(D373-E373)</f>
        <v>714.85893994896514</v>
      </c>
      <c r="G373" s="13">
        <f>Phi*EpsilonF*Botzman/10^8*J373*((D373+273)^4-(E373+273)^4)</f>
        <v>6024.0468335604382</v>
      </c>
      <c r="H373" s="23">
        <f t="shared" si="31"/>
        <v>766.27192031942332</v>
      </c>
      <c r="I373" s="12">
        <f>ksh*Massivete/(H373*RhoA)*DeltaT*(F373+G373)</f>
        <v>0.84316500302978004</v>
      </c>
      <c r="J373" s="3">
        <f>IF(E373&lt;=500,IF(Galva=Oui,0.35,0.7),0.7)</f>
        <v>0.7</v>
      </c>
    </row>
    <row r="374" spans="2:10" x14ac:dyDescent="0.25">
      <c r="B374" s="3">
        <f>B373+DeltaT</f>
        <v>1785</v>
      </c>
      <c r="C374" s="13">
        <f t="shared" si="28"/>
        <v>29.75</v>
      </c>
      <c r="D374" s="11">
        <f t="shared" si="29"/>
        <v>840.54727582710746</v>
      </c>
      <c r="E374" s="23">
        <f t="shared" si="30"/>
        <v>812.37755894816041</v>
      </c>
      <c r="F374" s="23">
        <f>AlphaC*(D374-E374)</f>
        <v>704.24292197367606</v>
      </c>
      <c r="G374" s="13">
        <f>Phi*EpsilonF*Botzman/10^8*J374*((D374+273)^4-(E374+273)^4)</f>
        <v>5944.7829925271944</v>
      </c>
      <c r="H374" s="23">
        <f t="shared" si="31"/>
        <v>763.97928901199646</v>
      </c>
      <c r="I374" s="12">
        <f>ksh*Massivete/(H374*RhoA)*DeltaT*(F374+G374)</f>
        <v>0.83441584001863756</v>
      </c>
      <c r="J374" s="3">
        <f>IF(E374&lt;=500,IF(Galva=Oui,0.35,0.7),0.7)</f>
        <v>0.7</v>
      </c>
    </row>
    <row r="375" spans="2:10" x14ac:dyDescent="0.25">
      <c r="B375" s="3">
        <f>B374+DeltaT</f>
        <v>1790</v>
      </c>
      <c r="C375" s="13">
        <f t="shared" si="28"/>
        <v>29.833333333333332</v>
      </c>
      <c r="D375" s="11">
        <f t="shared" si="29"/>
        <v>840.96463430381084</v>
      </c>
      <c r="E375" s="23">
        <f t="shared" si="30"/>
        <v>813.21197478817908</v>
      </c>
      <c r="F375" s="23">
        <f>AlphaC*(D375-E375)</f>
        <v>693.81648789079406</v>
      </c>
      <c r="G375" s="13">
        <f>Phi*EpsilonF*Botzman/10^8*J375*((D375+273)^4-(E375+273)^4)</f>
        <v>5866.7480144442825</v>
      </c>
      <c r="H375" s="23">
        <f t="shared" si="31"/>
        <v>761.75674432968697</v>
      </c>
      <c r="I375" s="12">
        <f>ksh*Massivete/(H375*RhoA)*DeltaT*(F375+G375)</f>
        <v>0.82571657274740118</v>
      </c>
      <c r="J375" s="3">
        <f>IF(E375&lt;=500,IF(Galva=Oui,0.35,0.7),0.7)</f>
        <v>0.7</v>
      </c>
    </row>
    <row r="376" spans="2:10" x14ac:dyDescent="0.25">
      <c r="B376" s="3">
        <f>B375+DeltaT</f>
        <v>1795</v>
      </c>
      <c r="C376" s="13">
        <f t="shared" si="28"/>
        <v>29.916666666666668</v>
      </c>
      <c r="D376" s="11">
        <f t="shared" si="29"/>
        <v>841.38083344991935</v>
      </c>
      <c r="E376" s="23">
        <f t="shared" si="30"/>
        <v>814.03769136092649</v>
      </c>
      <c r="F376" s="23">
        <f>AlphaC*(D376-E376)</f>
        <v>683.57855222482158</v>
      </c>
      <c r="G376" s="13">
        <f>Phi*EpsilonF*Botzman/10^8*J376*((D376+273)^4-(E376+273)^4)</f>
        <v>5789.9440587874897</v>
      </c>
      <c r="H376" s="23">
        <f t="shared" si="31"/>
        <v>759.60134196824777</v>
      </c>
      <c r="I376" s="12">
        <f>ksh*Massivete/(H376*RhoA)*DeltaT*(F376+G376)</f>
        <v>0.8170733497804672</v>
      </c>
      <c r="J376" s="3">
        <f>IF(E376&lt;=500,IF(Galva=Oui,0.35,0.7),0.7)</f>
        <v>0.7</v>
      </c>
    </row>
    <row r="377" spans="2:10" x14ac:dyDescent="0.25">
      <c r="B377" s="31">
        <f>B376+DeltaT</f>
        <v>1800</v>
      </c>
      <c r="C377" s="32">
        <f t="shared" si="28"/>
        <v>30</v>
      </c>
      <c r="D377" s="33">
        <f t="shared" si="29"/>
        <v>841.79587968832948</v>
      </c>
      <c r="E377" s="34">
        <f t="shared" si="30"/>
        <v>814.85476471070695</v>
      </c>
      <c r="F377" s="34">
        <f>AlphaC*(D377-E377)</f>
        <v>673.52787444056332</v>
      </c>
      <c r="G377" s="13">
        <f>Phi*EpsilonF*Botzman/10^8*J377*((D377+273)^4-(E377+273)^4)</f>
        <v>5714.3718401039569</v>
      </c>
      <c r="H377" s="34">
        <f t="shared" si="31"/>
        <v>757.51028562870283</v>
      </c>
      <c r="I377" s="35">
        <f>ksh*Massivete/(H377*RhoA)*DeltaT*(F377+G377)</f>
        <v>0.80849186570993847</v>
      </c>
      <c r="J377" s="36">
        <f>IF(E377&lt;=500,IF(Galva=Oui,0.35,0.7),0.7)</f>
        <v>0.7</v>
      </c>
    </row>
    <row r="378" spans="2:10" x14ac:dyDescent="0.25">
      <c r="B378" s="3">
        <f>B377+DeltaT</f>
        <v>1805</v>
      </c>
      <c r="C378" s="13">
        <f t="shared" si="28"/>
        <v>30.083333333333332</v>
      </c>
      <c r="D378" s="11">
        <f t="shared" si="29"/>
        <v>842.20977938870919</v>
      </c>
      <c r="E378" s="23">
        <f t="shared" si="30"/>
        <v>815.66325657641687</v>
      </c>
      <c r="F378" s="23">
        <f>AlphaC*(D378-E378)</f>
        <v>663.66307030730809</v>
      </c>
      <c r="G378" s="13">
        <f>Phi*EpsilonF*Botzman/10^8*J378*((D378+273)^4-(E378+273)^4)</f>
        <v>5640.0307081905248</v>
      </c>
      <c r="H378" s="23">
        <f t="shared" si="31"/>
        <v>755.48091841253131</v>
      </c>
      <c r="I378" s="12">
        <f>ksh*Massivete/(H378*RhoA)*DeltaT*(F378+G378)</f>
        <v>0.7999773810852121</v>
      </c>
      <c r="J378" s="3">
        <f>IF(E378&lt;=500,IF(Galva=Oui,0.35,0.7),0.7)</f>
        <v>0.7</v>
      </c>
    </row>
    <row r="379" spans="2:10" x14ac:dyDescent="0.25">
      <c r="B379" s="3">
        <f>B378+DeltaT</f>
        <v>1810</v>
      </c>
      <c r="C379" s="13">
        <f t="shared" si="28"/>
        <v>30.166666666666668</v>
      </c>
      <c r="D379" s="11">
        <f t="shared" si="29"/>
        <v>842.62253886808458</v>
      </c>
      <c r="E379" s="23">
        <f t="shared" si="30"/>
        <v>816.4632339575021</v>
      </c>
      <c r="F379" s="23">
        <f>AlphaC*(D379-E379)</f>
        <v>653.98262276456194</v>
      </c>
      <c r="G379" s="13">
        <f>Phi*EpsilonF*Botzman/10^8*J379*((D379+273)^4-(E379+273)^4)</f>
        <v>5566.91872580783</v>
      </c>
      <c r="H379" s="23">
        <f t="shared" si="31"/>
        <v>753.51071478129734</v>
      </c>
      <c r="I379" s="12">
        <f>ksh*Massivete/(H379*RhoA)*DeltaT*(F379+G379)</f>
        <v>0.79153474190285766</v>
      </c>
      <c r="J379" s="3">
        <f>IF(E379&lt;=500,IF(Galva=Oui,0.35,0.7),0.7)</f>
        <v>0.7</v>
      </c>
    </row>
    <row r="380" spans="2:10" x14ac:dyDescent="0.25">
      <c r="B380" s="3">
        <f>B379+DeltaT</f>
        <v>1815</v>
      </c>
      <c r="C380" s="13">
        <f t="shared" si="28"/>
        <v>30.25</v>
      </c>
      <c r="D380" s="11">
        <f t="shared" si="29"/>
        <v>843.03416439141756</v>
      </c>
      <c r="E380" s="23">
        <f t="shared" si="30"/>
        <v>817.25476869940496</v>
      </c>
      <c r="F380" s="23">
        <f>AlphaC*(D380-E380)</f>
        <v>644.48489230031498</v>
      </c>
      <c r="G380" s="13">
        <f>Phi*EpsilonF*Botzman/10^8*J380*((D380+273)^4-(E380+273)^4)</f>
        <v>5495.0327439167158</v>
      </c>
      <c r="H380" s="23">
        <f t="shared" si="31"/>
        <v>751.59727304008106</v>
      </c>
      <c r="I380" s="12">
        <f>ksh*Massivete/(H380*RhoA)*DeltaT*(F380+G380)</f>
        <v>0.78316839862956067</v>
      </c>
      <c r="J380" s="3">
        <f>IF(E380&lt;=500,IF(Galva=Oui,0.35,0.7),0.7)</f>
        <v>0.7</v>
      </c>
    </row>
    <row r="381" spans="2:10" x14ac:dyDescent="0.25">
      <c r="B381" s="3">
        <f>B380+DeltaT</f>
        <v>1820</v>
      </c>
      <c r="C381" s="13">
        <f t="shared" si="28"/>
        <v>30.333333333333332</v>
      </c>
      <c r="D381" s="11">
        <f t="shared" si="29"/>
        <v>843.44466217217825</v>
      </c>
      <c r="E381" s="23">
        <f t="shared" si="30"/>
        <v>818.03793709803449</v>
      </c>
      <c r="F381" s="23">
        <f>AlphaC*(D381-E381)</f>
        <v>635.16812685359412</v>
      </c>
      <c r="G381" s="13">
        <f>Phi*EpsilonF*Botzman/10^8*J381*((D381+273)^4-(E381+273)^4)</f>
        <v>5424.368474430883</v>
      </c>
      <c r="H381" s="23">
        <f t="shared" si="31"/>
        <v>749.7383083071993</v>
      </c>
      <c r="I381" s="12">
        <f>ksh*Massivete/(H381*RhoA)*DeltaT*(F381+G381)</f>
        <v>0.77488242473593838</v>
      </c>
      <c r="J381" s="3">
        <f>IF(E381&lt;=500,IF(Galva=Oui,0.35,0.7),0.7)</f>
        <v>0.7</v>
      </c>
    </row>
    <row r="382" spans="2:10" x14ac:dyDescent="0.25">
      <c r="B382" s="3">
        <f>B381+DeltaT</f>
        <v>1825</v>
      </c>
      <c r="C382" s="13">
        <f t="shared" si="28"/>
        <v>30.416666666666668</v>
      </c>
      <c r="D382" s="11">
        <f t="shared" si="29"/>
        <v>843.85403837290562</v>
      </c>
      <c r="E382" s="23">
        <f t="shared" si="30"/>
        <v>818.81281952277038</v>
      </c>
      <c r="F382" s="23">
        <f>AlphaC*(D382-E382)</f>
        <v>626.03047125338094</v>
      </c>
      <c r="G382" s="13">
        <f>Phi*EpsilonF*Botzman/10^8*J382*((D382+273)^4-(E382+273)^4)</f>
        <v>5354.9205604882782</v>
      </c>
      <c r="H382" s="23">
        <f t="shared" si="31"/>
        <v>747.93164593558197</v>
      </c>
      <c r="I382" s="12">
        <f>ksh*Massivete/(H382*RhoA)*DeltaT*(F382+G382)</f>
        <v>0.76668053472374831</v>
      </c>
      <c r="J382" s="3">
        <f>IF(E382&lt;=500,IF(Galva=Oui,0.35,0.7),0.7)</f>
        <v>0.7</v>
      </c>
    </row>
    <row r="383" spans="2:10" x14ac:dyDescent="0.25">
      <c r="B383" s="3">
        <f>B382+DeltaT</f>
        <v>1830</v>
      </c>
      <c r="C383" s="13">
        <f t="shared" si="28"/>
        <v>30.5</v>
      </c>
      <c r="D383" s="11">
        <f t="shared" si="29"/>
        <v>844.26229910576376</v>
      </c>
      <c r="E383" s="23">
        <f t="shared" si="30"/>
        <v>819.5795000574941</v>
      </c>
      <c r="F383" s="23">
        <f>AlphaC*(D383-E383)</f>
        <v>617.06997620674144</v>
      </c>
      <c r="G383" s="13">
        <f>Phi*EpsilonF*Botzman/10^8*J383*((D383+273)^4-(E383+273)^4)</f>
        <v>5286.6826442516103</v>
      </c>
      <c r="H383" s="23">
        <f t="shared" si="31"/>
        <v>746.175215353819</v>
      </c>
      <c r="I383" s="12">
        <f>ksh*Massivete/(H383*RhoA)*DeltaT*(F383+G383)</f>
        <v>0.75856610163327487</v>
      </c>
      <c r="J383" s="3">
        <f>IF(E383&lt;=500,IF(Galva=Oui,0.35,0.7),0.7)</f>
        <v>0.7</v>
      </c>
    </row>
    <row r="384" spans="2:10" x14ac:dyDescent="0.25">
      <c r="B384" s="3">
        <f>B383+DeltaT</f>
        <v>1835</v>
      </c>
      <c r="C384" s="13">
        <f t="shared" si="28"/>
        <v>30.583333333333332</v>
      </c>
      <c r="D384" s="11">
        <f t="shared" si="29"/>
        <v>844.66945043308908</v>
      </c>
      <c r="E384" s="23">
        <f t="shared" si="30"/>
        <v>820.33806615912738</v>
      </c>
      <c r="F384" s="23">
        <f>AlphaC*(D384-E384)</f>
        <v>608.28460684904258</v>
      </c>
      <c r="G384" s="13">
        <f>Phi*EpsilonF*Botzman/10^8*J384*((D384+273)^4-(E384+273)^4)</f>
        <v>5219.6474322543472</v>
      </c>
      <c r="H384" s="23">
        <f t="shared" si="31"/>
        <v>744.46704429732483</v>
      </c>
      <c r="I384" s="12">
        <f>ksh*Massivete/(H384*RhoA)*DeltaT*(F384+G384)</f>
        <v>0.75054217402126067</v>
      </c>
      <c r="J384" s="3">
        <f>IF(E384&lt;=500,IF(Galva=Oui,0.35,0.7),0.7)</f>
        <v>0.7</v>
      </c>
    </row>
    <row r="385" spans="2:10" x14ac:dyDescent="0.25">
      <c r="B385" s="3">
        <f>B384+DeltaT</f>
        <v>1840</v>
      </c>
      <c r="C385" s="13">
        <f t="shared" si="28"/>
        <v>30.666666666666668</v>
      </c>
      <c r="D385" s="11">
        <f t="shared" si="29"/>
        <v>845.07549836793135</v>
      </c>
      <c r="E385" s="23">
        <f t="shared" si="30"/>
        <v>821.08860833314861</v>
      </c>
      <c r="F385" s="23">
        <f>AlphaC*(D385-E385)</f>
        <v>599.6722508695683</v>
      </c>
      <c r="G385" s="13">
        <f>Phi*EpsilonF*Botzman/10^8*J385*((D385+273)^4-(E385+273)^4)</f>
        <v>5153.806758316402</v>
      </c>
      <c r="H385" s="23">
        <f t="shared" si="31"/>
        <v>742.80525340231088</v>
      </c>
      <c r="I385" s="12">
        <f>ksh*Massivete/(H385*RhoA)*DeltaT*(F385+G385)</f>
        <v>0.74261149240329993</v>
      </c>
      <c r="J385" s="3">
        <f>IF(E385&lt;=500,IF(Galva=Oui,0.35,0.7),0.7)</f>
        <v>0.7</v>
      </c>
    </row>
    <row r="386" spans="2:10" x14ac:dyDescent="0.25">
      <c r="B386" s="3">
        <f>B385+DeltaT</f>
        <v>1845</v>
      </c>
      <c r="C386" s="13">
        <f t="shared" si="28"/>
        <v>30.75</v>
      </c>
      <c r="D386" s="11">
        <f t="shared" si="29"/>
        <v>845.48044887458468</v>
      </c>
      <c r="E386" s="23">
        <f t="shared" si="30"/>
        <v>821.8312198255519</v>
      </c>
      <c r="F386" s="23">
        <f>AlphaC*(D386-E386)</f>
        <v>591.23072622581958</v>
      </c>
      <c r="G386" s="13">
        <f>Phi*EpsilonF*Botzman/10^8*J386*((D386+273)^4-(E386+273)^4)</f>
        <v>5089.151644055104</v>
      </c>
      <c r="H386" s="23">
        <f t="shared" si="31"/>
        <v>741.18805113731423</v>
      </c>
      <c r="I386" s="12">
        <f>ksh*Massivete/(H386*RhoA)*DeltaT*(F386+G386)</f>
        <v>0.73477650515697879</v>
      </c>
      <c r="J386" s="3">
        <f>IF(E386&lt;=500,IF(Galva=Oui,0.35,0.7),0.7)</f>
        <v>0.7</v>
      </c>
    </row>
    <row r="387" spans="2:10" x14ac:dyDescent="0.25">
      <c r="B387" s="3">
        <f>B386+DeltaT</f>
        <v>1850</v>
      </c>
      <c r="C387" s="13">
        <f t="shared" si="28"/>
        <v>30.833333333333332</v>
      </c>
      <c r="D387" s="11">
        <f t="shared" si="29"/>
        <v>845.88430786911476</v>
      </c>
      <c r="E387" s="23">
        <f t="shared" si="30"/>
        <v>822.56599633070891</v>
      </c>
      <c r="F387" s="23">
        <f>AlphaC*(D387-E387)</f>
        <v>582.95778846014628</v>
      </c>
      <c r="G387" s="13">
        <f>Phi*EpsilonF*Botzman/10^8*J387*((D387+273)^4-(E387+273)^4)</f>
        <v>5025.6723570263266</v>
      </c>
      <c r="H387" s="23">
        <f t="shared" si="31"/>
        <v>739.61372904893108</v>
      </c>
      <c r="I387" s="12">
        <f>ksh*Massivete/(H387*RhoA)*DeltaT*(F387+G387)</f>
        <v>0.72703938388522293</v>
      </c>
      <c r="J387" s="3">
        <f>IF(E387&lt;=500,IF(Galva=Oui,0.35,0.7),0.7)</f>
        <v>0.7</v>
      </c>
    </row>
    <row r="388" spans="2:10" x14ac:dyDescent="0.25">
      <c r="B388" s="3">
        <f>B387+DeltaT</f>
        <v>1855</v>
      </c>
      <c r="C388" s="13">
        <f t="shared" si="28"/>
        <v>30.916666666666668</v>
      </c>
      <c r="D388" s="11">
        <f t="shared" si="29"/>
        <v>846.28708121987745</v>
      </c>
      <c r="E388" s="23">
        <f t="shared" si="30"/>
        <v>823.29303571459411</v>
      </c>
      <c r="F388" s="23">
        <f>AlphaC*(D388-E388)</f>
        <v>574.85113763208346</v>
      </c>
      <c r="G388" s="13">
        <f>Phi*EpsilonF*Botzman/10^8*J388*((D388+273)^4-(E388+273)^4)</f>
        <v>4963.3584665323342</v>
      </c>
      <c r="H388" s="23">
        <f t="shared" si="31"/>
        <v>738.08065730014948</v>
      </c>
      <c r="I388" s="12">
        <f>ksh*Massivete/(H388*RhoA)*DeltaT*(F388+G388)</f>
        <v>0.71940203824119808</v>
      </c>
      <c r="J388" s="3">
        <f>IF(E388&lt;=500,IF(Galva=Oui,0.35,0.7),0.7)</f>
        <v>0.7</v>
      </c>
    </row>
    <row r="389" spans="2:10" x14ac:dyDescent="0.25">
      <c r="B389" s="3">
        <f>B388+DeltaT</f>
        <v>1860</v>
      </c>
      <c r="C389" s="13">
        <f t="shared" si="28"/>
        <v>31</v>
      </c>
      <c r="D389" s="11">
        <f t="shared" si="29"/>
        <v>846.68877474802889</v>
      </c>
      <c r="E389" s="23">
        <f t="shared" si="30"/>
        <v>824.01243775283535</v>
      </c>
      <c r="F389" s="23">
        <f>AlphaC*(D389-E389)</f>
        <v>566.90842487983844</v>
      </c>
      <c r="G389" s="13">
        <f>Phi*EpsilonF*Botzman/10^8*J389*((D389+273)^4-(E389+273)^4)</f>
        <v>4902.1988971352248</v>
      </c>
      <c r="H389" s="23">
        <f t="shared" si="31"/>
        <v>736.58728048127932</v>
      </c>
      <c r="I389" s="12">
        <f>ksh*Massivete/(H389*RhoA)*DeltaT*(F389+G389)</f>
        <v>0.71186613021791223</v>
      </c>
      <c r="J389" s="3">
        <f>IF(E389&lt;=500,IF(Galva=Oui,0.35,0.7),0.7)</f>
        <v>0.7</v>
      </c>
    </row>
    <row r="390" spans="2:10" x14ac:dyDescent="0.25">
      <c r="B390" s="3">
        <f>B389+DeltaT</f>
        <v>1865</v>
      </c>
      <c r="C390" s="13">
        <f t="shared" si="28"/>
        <v>31.083333333333332</v>
      </c>
      <c r="D390" s="11">
        <f t="shared" si="29"/>
        <v>847.08939422803235</v>
      </c>
      <c r="E390" s="23">
        <f t="shared" si="30"/>
        <v>824.72430388305327</v>
      </c>
      <c r="F390" s="23">
        <f>AlphaC*(D390-E390)</f>
        <v>559.12725862447701</v>
      </c>
      <c r="G390" s="13">
        <f>Phi*EpsilonF*Botzman/10^8*J390*((D390+273)^4-(E390+273)^4)</f>
        <v>4842.1819799224713</v>
      </c>
      <c r="H390" s="23">
        <f t="shared" si="31"/>
        <v>735.13211367496876</v>
      </c>
      <c r="I390" s="12">
        <f>ksh*Massivete/(H390*RhoA)*DeltaT*(F390+G390)</f>
        <v>0.70443308790796288</v>
      </c>
      <c r="J390" s="3">
        <f>IF(E390&lt;=500,IF(Galva=Oui,0.35,0.7),0.7)</f>
        <v>0.7</v>
      </c>
    </row>
    <row r="391" spans="2:10" x14ac:dyDescent="0.25">
      <c r="B391" s="3">
        <f>B390+DeltaT</f>
        <v>1870</v>
      </c>
      <c r="C391" s="13">
        <f t="shared" si="28"/>
        <v>31.166666666666668</v>
      </c>
      <c r="D391" s="11">
        <f t="shared" si="29"/>
        <v>847.48894538815455</v>
      </c>
      <c r="E391" s="23">
        <f t="shared" si="30"/>
        <v>825.42873697096127</v>
      </c>
      <c r="F391" s="23">
        <f>AlphaC*(D391-E391)</f>
        <v>551.505210429832</v>
      </c>
      <c r="G391" s="13">
        <f>Phi*EpsilonF*Botzman/10^8*J391*((D391+273)^4-(E391+273)^4)</f>
        <v>4783.2955015681919</v>
      </c>
      <c r="H391" s="23">
        <f t="shared" si="31"/>
        <v>733.71373875814947</v>
      </c>
      <c r="I391" s="12">
        <f>ksh*Massivete/(H391*RhoA)*DeltaT*(F391+G391)</f>
        <v>0.69710411873958189</v>
      </c>
      <c r="J391" s="3">
        <f>IF(E391&lt;=500,IF(Galva=Oui,0.35,0.7),0.7)</f>
        <v>0.7</v>
      </c>
    </row>
    <row r="392" spans="2:10" x14ac:dyDescent="0.25">
      <c r="B392" s="3">
        <f>B391+DeltaT</f>
        <v>1875</v>
      </c>
      <c r="C392" s="13">
        <f t="shared" si="28"/>
        <v>31.25</v>
      </c>
      <c r="D392" s="11">
        <f t="shared" si="29"/>
        <v>847.88743391095795</v>
      </c>
      <c r="E392" s="23">
        <f t="shared" si="30"/>
        <v>826.12584108970088</v>
      </c>
      <c r="F392" s="23">
        <f>AlphaC*(D392-E392)</f>
        <v>544.0398205314267</v>
      </c>
      <c r="G392" s="13">
        <f>Phi*EpsilonF*Botzman/10^8*J392*((D392+273)^4-(E392+273)^4)</f>
        <v>4725.5267512403043</v>
      </c>
      <c r="H392" s="23">
        <f t="shared" si="31"/>
        <v>732.33080092502166</v>
      </c>
      <c r="I392" s="12">
        <f>ksh*Massivete/(H392*RhoA)*DeltaT*(F392+G392)</f>
        <v>0.68988022219698819</v>
      </c>
      <c r="J392" s="3">
        <f>IF(E392&lt;=500,IF(Galva=Oui,0.35,0.7),0.7)</f>
        <v>0.7</v>
      </c>
    </row>
    <row r="393" spans="2:10" x14ac:dyDescent="0.25">
      <c r="B393" s="3">
        <f>B392+DeltaT</f>
        <v>1880</v>
      </c>
      <c r="C393" s="13">
        <f t="shared" si="28"/>
        <v>31.333333333333332</v>
      </c>
      <c r="D393" s="11">
        <f t="shared" si="29"/>
        <v>848.28486543378631</v>
      </c>
      <c r="E393" s="23">
        <f t="shared" si="30"/>
        <v>826.81572131189785</v>
      </c>
      <c r="F393" s="23">
        <f>AlphaC*(D393-E393)</f>
        <v>536.72860304721155</v>
      </c>
      <c r="G393" s="13">
        <f>Phi*EpsilonF*Botzman/10^8*J393*((D393+273)^4-(E393+273)^4)</f>
        <v>4668.8625654042999</v>
      </c>
      <c r="H393" s="23">
        <f t="shared" si="31"/>
        <v>730.98200541634094</v>
      </c>
      <c r="I393" s="12">
        <f>ksh*Massivete/(H393*RhoA)*DeltaT*(F393+G393)</f>
        <v>0.68276220203393534</v>
      </c>
      <c r="J393" s="3">
        <f>IF(E393&lt;=500,IF(Galva=Oui,0.35,0.7),0.7)</f>
        <v>0.7</v>
      </c>
    </row>
    <row r="394" spans="2:10" x14ac:dyDescent="0.25">
      <c r="B394" s="3">
        <f>B393+DeltaT</f>
        <v>1885</v>
      </c>
      <c r="C394" s="13">
        <f t="shared" si="28"/>
        <v>31.416666666666668</v>
      </c>
      <c r="D394" s="11">
        <f t="shared" si="29"/>
        <v>848.68124554924145</v>
      </c>
      <c r="E394" s="23">
        <f t="shared" si="30"/>
        <v>827.49848351393177</v>
      </c>
      <c r="F394" s="23">
        <f>AlphaC*(D394-E394)</f>
        <v>529.56905088274198</v>
      </c>
      <c r="G394" s="13">
        <f>Phi*EpsilonF*Botzman/10^8*J394*((D394+273)^4-(E394+273)^4)</f>
        <v>4613.2893705751412</v>
      </c>
      <c r="H394" s="23">
        <f t="shared" si="31"/>
        <v>729.66611444134537</v>
      </c>
      <c r="I394" s="12">
        <f>ksh*Massivete/(H394*RhoA)*DeltaT*(F394+G394)</f>
        <v>0.67575067799014343</v>
      </c>
      <c r="J394" s="3">
        <f>IF(E394&lt;=500,IF(Galva=Oui,0.35,0.7),0.7)</f>
        <v>0.7</v>
      </c>
    </row>
    <row r="395" spans="2:10" x14ac:dyDescent="0.25">
      <c r="B395" s="3">
        <f>B394+DeltaT</f>
        <v>1890</v>
      </c>
      <c r="C395" s="13">
        <f t="shared" si="28"/>
        <v>31.5</v>
      </c>
      <c r="D395" s="11">
        <f t="shared" si="29"/>
        <v>849.07657980565705</v>
      </c>
      <c r="E395" s="23">
        <f t="shared" si="30"/>
        <v>828.17423419192187</v>
      </c>
      <c r="F395" s="23">
        <f>AlphaC*(D395-E395)</f>
        <v>522.55864034337947</v>
      </c>
      <c r="G395" s="13">
        <f>Phi*EpsilonF*Botzman/10^8*J395*((D395+273)^4-(E395+273)^4)</f>
        <v>4558.7932240708187</v>
      </c>
      <c r="H395" s="23">
        <f t="shared" si="31"/>
        <v>728.38194427964299</v>
      </c>
      <c r="I395" s="12">
        <f>ksh*Massivete/(H395*RhoA)*DeltaT*(F395+G395)</f>
        <v>0.66884609702120201</v>
      </c>
      <c r="J395" s="3">
        <f>IF(E395&lt;=500,IF(Galva=Oui,0.35,0.7),0.7)</f>
        <v>0.7</v>
      </c>
    </row>
    <row r="396" spans="2:10" x14ac:dyDescent="0.25">
      <c r="B396" s="3">
        <f>B395+DeltaT</f>
        <v>1895</v>
      </c>
      <c r="C396" s="13">
        <f t="shared" si="28"/>
        <v>31.583333333333332</v>
      </c>
      <c r="D396" s="11">
        <f t="shared" si="29"/>
        <v>849.47087370756401</v>
      </c>
      <c r="E396" s="23">
        <f t="shared" si="30"/>
        <v>828.84308028894304</v>
      </c>
      <c r="F396" s="23">
        <f>AlphaC*(D396-E396)</f>
        <v>515.69483546552419</v>
      </c>
      <c r="G396" s="13">
        <f>Phi*EpsilonF*Botzman/10^8*J396*((D396+273)^4-(E396+273)^4)</f>
        <v>4505.3598528230295</v>
      </c>
      <c r="H396" s="23">
        <f t="shared" si="31"/>
        <v>727.12836255129412</v>
      </c>
      <c r="I396" s="12">
        <f>ksh*Massivete/(H396*RhoA)*DeltaT*(F396+G396)</f>
        <v>0.66204874405323699</v>
      </c>
      <c r="J396" s="3">
        <f>IF(E396&lt;=500,IF(Galva=Oui,0.35,0.7),0.7)</f>
        <v>0.7</v>
      </c>
    </row>
    <row r="397" spans="2:10" x14ac:dyDescent="0.25">
      <c r="B397" s="3">
        <f>B396+DeltaT</f>
        <v>1900</v>
      </c>
      <c r="C397" s="13">
        <f t="shared" si="28"/>
        <v>31.666666666666668</v>
      </c>
      <c r="D397" s="11">
        <f t="shared" si="29"/>
        <v>849.86413271615027</v>
      </c>
      <c r="E397" s="23">
        <f t="shared" si="30"/>
        <v>829.50512903299625</v>
      </c>
      <c r="F397" s="23">
        <f>AlphaC*(D397-E397)</f>
        <v>508.97509207885037</v>
      </c>
      <c r="G397" s="13">
        <f>Phi*EpsilonF*Botzman/10^8*J397*((D397+273)^4-(E397+273)^4)</f>
        <v>4452.9746902990491</v>
      </c>
      <c r="H397" s="23">
        <f t="shared" si="31"/>
        <v>725.90428564416004</v>
      </c>
      <c r="I397" s="12">
        <f>ksh*Massivete/(H397*RhoA)*DeltaT*(F397+G397)</f>
        <v>0.65535875227390894</v>
      </c>
      <c r="J397" s="3">
        <f>IF(E397&lt;=500,IF(Galva=Oui,0.35,0.7),0.7)</f>
        <v>0.7</v>
      </c>
    </row>
    <row r="398" spans="2:10" x14ac:dyDescent="0.25">
      <c r="B398" s="3">
        <f>B397+DeltaT</f>
        <v>1905</v>
      </c>
      <c r="C398" s="13">
        <f t="shared" si="28"/>
        <v>31.75</v>
      </c>
      <c r="D398" s="11">
        <f t="shared" si="29"/>
        <v>850.25636224971436</v>
      </c>
      <c r="E398" s="23">
        <f t="shared" si="30"/>
        <v>830.16048778527011</v>
      </c>
      <c r="F398" s="23">
        <f>AlphaC*(D398-E398)</f>
        <v>502.39686161110626</v>
      </c>
      <c r="G398" s="13">
        <f>Phi*EpsilonF*Botzman/10^8*J398*((D398+273)^4-(E398+273)^4)</f>
        <v>4401.6229115910101</v>
      </c>
      <c r="H398" s="23">
        <f t="shared" si="31"/>
        <v>724.70867628837027</v>
      </c>
      <c r="I398" s="12">
        <f>ksh*Massivete/(H398*RhoA)*DeltaT*(F398+G398)</f>
        <v>0.6487761129719043</v>
      </c>
      <c r="J398" s="3">
        <f>IF(E398&lt;=500,IF(Galva=Oui,0.35,0.7),0.7)</f>
        <v>0.7</v>
      </c>
    </row>
    <row r="399" spans="2:10" x14ac:dyDescent="0.25">
      <c r="B399" s="3">
        <f>B398+DeltaT</f>
        <v>1910</v>
      </c>
      <c r="C399" s="13">
        <f t="shared" si="28"/>
        <v>31.833333333333332</v>
      </c>
      <c r="D399" s="11">
        <f t="shared" si="29"/>
        <v>850.64756768411496</v>
      </c>
      <c r="E399" s="23">
        <f t="shared" si="30"/>
        <v>830.80926389824197</v>
      </c>
      <c r="F399" s="23">
        <f>AlphaC*(D399-E399)</f>
        <v>495.95759464682487</v>
      </c>
      <c r="G399" s="13">
        <f>Phi*EpsilonF*Botzman/10^8*J399*((D399+273)^4-(E399+273)^4)</f>
        <v>4351.2894667298069</v>
      </c>
      <c r="H399" s="23">
        <f t="shared" si="31"/>
        <v>723.54054126847313</v>
      </c>
      <c r="I399" s="12">
        <f>ksh*Massivete/(H399*RhoA)*DeltaT*(F399+G399)</f>
        <v>0.64230068493750936</v>
      </c>
      <c r="J399" s="3">
        <f>IF(E399&lt;=500,IF(Galva=Oui,0.35,0.7),0.7)</f>
        <v>0.7</v>
      </c>
    </row>
    <row r="400" spans="2:10" x14ac:dyDescent="0.25">
      <c r="B400" s="3">
        <f>B399+DeltaT</f>
        <v>1915</v>
      </c>
      <c r="C400" s="13">
        <f t="shared" si="28"/>
        <v>31.916666666666668</v>
      </c>
      <c r="D400" s="11">
        <f t="shared" si="29"/>
        <v>851.03775435321006</v>
      </c>
      <c r="E400" s="23">
        <f t="shared" si="30"/>
        <v>831.45156458317945</v>
      </c>
      <c r="F400" s="23">
        <f>AlphaC*(D400-E400)</f>
        <v>489.65474425076536</v>
      </c>
      <c r="G400" s="13">
        <f>Phi*EpsilonF*Botzman/10^8*J400*((D400+273)^4-(E400+273)^4)</f>
        <v>4301.9591122765596</v>
      </c>
      <c r="H400" s="23">
        <f t="shared" si="31"/>
        <v>722.39892926450193</v>
      </c>
      <c r="I400" s="12">
        <f>ksh*Massivete/(H400*RhoA)*DeltaT*(F400+G400)</f>
        <v>0.63593220343647361</v>
      </c>
      <c r="J400" s="3">
        <f>IF(E400&lt;=500,IF(Galva=Oui,0.35,0.7),0.7)</f>
        <v>0.7</v>
      </c>
    </row>
    <row r="401" spans="2:10" x14ac:dyDescent="0.25">
      <c r="B401" s="3">
        <f>B400+DeltaT</f>
        <v>1920</v>
      </c>
      <c r="C401" s="13">
        <f t="shared" si="28"/>
        <v>32</v>
      </c>
      <c r="D401" s="11">
        <f t="shared" si="29"/>
        <v>851.42692754929669</v>
      </c>
      <c r="E401" s="23">
        <f t="shared" si="30"/>
        <v>832.08749678661593</v>
      </c>
      <c r="F401" s="23">
        <f>AlphaC*(D401-E401)</f>
        <v>483.48576906701908</v>
      </c>
      <c r="G401" s="13">
        <f>Phi*EpsilonF*Botzman/10^8*J401*((D401+273)^4-(E401+273)^4)</f>
        <v>4253.6164412523676</v>
      </c>
      <c r="H401" s="23">
        <f t="shared" si="31"/>
        <v>721.28292881379753</v>
      </c>
      <c r="I401" s="12">
        <f>ksh*Massivete/(H401*RhoA)*DeltaT*(F401+G401)</f>
        <v>0.62967028877061981</v>
      </c>
      <c r="J401" s="3">
        <f>IF(E401&lt;=500,IF(Galva=Oui,0.35,0.7),0.7)</f>
        <v>0.7</v>
      </c>
    </row>
    <row r="402" spans="2:10" x14ac:dyDescent="0.25">
      <c r="B402" s="3">
        <f>B401+DeltaT</f>
        <v>1925</v>
      </c>
      <c r="C402" s="13">
        <f t="shared" ref="C402:C465" si="32">B402/60</f>
        <v>32.083333333333336</v>
      </c>
      <c r="D402" s="11">
        <f t="shared" ref="D402:D465" si="33">20+345*LOG(8*C402+1,10)</f>
        <v>851.81509252353851</v>
      </c>
      <c r="E402" s="23">
        <f t="shared" si="30"/>
        <v>832.71716707538656</v>
      </c>
      <c r="F402" s="23">
        <f>AlphaC*(D402-E402)</f>
        <v>477.44813620379887</v>
      </c>
      <c r="G402" s="13">
        <f>Phi*EpsilonF*Botzman/10^8*J402*((D402+273)^4-(E402+273)^4)</f>
        <v>4206.2459114574667</v>
      </c>
      <c r="H402" s="23">
        <f t="shared" si="31"/>
        <v>720.19166638599859</v>
      </c>
      <c r="I402" s="12">
        <f>ksh*Massivete/(H402*RhoA)*DeltaT*(F402+G402)</f>
        <v>0.62351445443742481</v>
      </c>
      <c r="J402" s="3">
        <f>IF(E402&lt;=500,IF(Galva=Oui,0.35,0.7),0.7)</f>
        <v>0.7</v>
      </c>
    </row>
    <row r="403" spans="2:10" x14ac:dyDescent="0.25">
      <c r="B403" s="3">
        <f>B402+DeltaT</f>
        <v>1930</v>
      </c>
      <c r="C403" s="13">
        <f t="shared" si="32"/>
        <v>32.166666666666664</v>
      </c>
      <c r="D403" s="11">
        <f t="shared" si="33"/>
        <v>852.20225448639337</v>
      </c>
      <c r="E403" s="23">
        <f t="shared" si="30"/>
        <v>833.340681529824</v>
      </c>
      <c r="F403" s="23">
        <f>AlphaC*(D403-E403)</f>
        <v>471.53932391423439</v>
      </c>
      <c r="G403" s="13">
        <f>Phi*EpsilonF*Botzman/10^8*J403*((D403+273)^4-(E403+273)^4)</f>
        <v>4159.8318722387794</v>
      </c>
      <c r="H403" s="23">
        <f t="shared" si="31"/>
        <v>719.1243045641329</v>
      </c>
      <c r="I403" s="12">
        <f>ksh*Massivete/(H403*RhoA)*DeltaT*(F403+G403)</f>
        <v>0.61746411490200293</v>
      </c>
      <c r="J403" s="3">
        <f>IF(E403&lt;=500,IF(Galva=Oui,0.35,0.7),0.7)</f>
        <v>0.7</v>
      </c>
    </row>
    <row r="404" spans="2:10" x14ac:dyDescent="0.25">
      <c r="B404" s="3">
        <f>B403+DeltaT</f>
        <v>1935</v>
      </c>
      <c r="C404" s="13">
        <f t="shared" si="32"/>
        <v>32.25</v>
      </c>
      <c r="D404" s="11">
        <f t="shared" si="33"/>
        <v>852.5884186080317</v>
      </c>
      <c r="E404" s="23">
        <f t="shared" si="30"/>
        <v>833.95814564472596</v>
      </c>
      <c r="F404" s="23">
        <f>AlphaC*(D404-E404)</f>
        <v>465.75682408264356</v>
      </c>
      <c r="G404" s="13">
        <f>Phi*EpsilonF*Botzman/10^8*J404*((D404+273)^4-(E404+273)^4)</f>
        <v>4114.3585897590256</v>
      </c>
      <c r="H404" s="23">
        <f t="shared" si="31"/>
        <v>718.08004032522933</v>
      </c>
      <c r="I404" s="12">
        <f>ksh*Massivete/(H404*RhoA)*DeltaT*(F404+G404)</f>
        <v>0.61151859299412226</v>
      </c>
      <c r="J404" s="3">
        <f>IF(E404&lt;=500,IF(Galva=Oui,0.35,0.7),0.7)</f>
        <v>0.7</v>
      </c>
    </row>
    <row r="405" spans="2:10" x14ac:dyDescent="0.25">
      <c r="B405" s="3">
        <f>B404+DeltaT</f>
        <v>1940</v>
      </c>
      <c r="C405" s="13">
        <f t="shared" si="32"/>
        <v>32.333333333333336</v>
      </c>
      <c r="D405" s="11">
        <f t="shared" si="33"/>
        <v>852.97359001875111</v>
      </c>
      <c r="E405" s="23">
        <f t="shared" si="30"/>
        <v>834.56966423772008</v>
      </c>
      <c r="F405" s="23">
        <f>AlphaC*(D405-E405)</f>
        <v>460.09814452577587</v>
      </c>
      <c r="G405" s="13">
        <f>Phi*EpsilonF*Botzman/10^8*J405*((D405+273)^4-(E405+273)^4)</f>
        <v>4069.8102708220199</v>
      </c>
      <c r="H405" s="23">
        <f t="shared" si="31"/>
        <v>717.05810341431959</v>
      </c>
      <c r="I405" s="12">
        <f>ksh*Massivete/(H405*RhoA)*DeltaT*(F405+G405)</f>
        <v>0.60567712694314235</v>
      </c>
      <c r="J405" s="3">
        <f>IF(E405&lt;=500,IF(Galva=Oui,0.35,0.7),0.7)</f>
        <v>0.7</v>
      </c>
    </row>
    <row r="406" spans="2:10" x14ac:dyDescent="0.25">
      <c r="B406" s="3">
        <f>B405+DeltaT</f>
        <v>1945</v>
      </c>
      <c r="C406" s="13">
        <f t="shared" si="32"/>
        <v>32.416666666666664</v>
      </c>
      <c r="D406" s="11">
        <f t="shared" si="33"/>
        <v>853.35777380938498</v>
      </c>
      <c r="E406" s="23">
        <f t="shared" si="30"/>
        <v>835.17534136466327</v>
      </c>
      <c r="F406" s="23">
        <f>AlphaC*(D406-E406)</f>
        <v>454.56081111804281</v>
      </c>
      <c r="G406" s="13">
        <f>Phi*EpsilonF*Botzman/10^8*J406*((D406+273)^4-(E406+273)^4)</f>
        <v>4026.1710853077066</v>
      </c>
      <c r="H406" s="23">
        <f t="shared" si="31"/>
        <v>716.05775480611601</v>
      </c>
      <c r="I406" s="12">
        <f>ksh*Massivete/(H406*RhoA)*DeltaT*(F406+G406)</f>
        <v>0.59993887706358107</v>
      </c>
      <c r="J406" s="3">
        <f>IF(E406&lt;=500,IF(Galva=Oui,0.35,0.7),0.7)</f>
        <v>0.7</v>
      </c>
    </row>
    <row r="407" spans="2:10" x14ac:dyDescent="0.25">
      <c r="B407" s="3">
        <f>B406+DeltaT</f>
        <v>1950</v>
      </c>
      <c r="C407" s="13">
        <f t="shared" si="32"/>
        <v>32.5</v>
      </c>
      <c r="D407" s="11">
        <f t="shared" si="33"/>
        <v>853.74097503170685</v>
      </c>
      <c r="E407" s="23">
        <f t="shared" si="30"/>
        <v>835.77528024172682</v>
      </c>
      <c r="F407" s="23">
        <f>AlphaC*(D407-E407)</f>
        <v>449.14236974950086</v>
      </c>
      <c r="G407" s="13">
        <f>Phi*EpsilonF*Botzman/10^8*J407*((D407+273)^4-(E407+273)^4)</f>
        <v>3983.4251872704076</v>
      </c>
      <c r="H407" s="23">
        <f t="shared" si="31"/>
        <v>715.07828524903505</v>
      </c>
      <c r="I407" s="12">
        <f>ksh*Massivete/(H407*RhoA)*DeltaT*(F407+G407)</f>
        <v>0.5943029321039901</v>
      </c>
      <c r="J407" s="3">
        <f>IF(E407&lt;=500,IF(Galva=Oui,0.35,0.7),0.7)</f>
        <v>0.7</v>
      </c>
    </row>
    <row r="408" spans="2:10" x14ac:dyDescent="0.25">
      <c r="B408" s="3">
        <f>B407+DeltaT</f>
        <v>1955</v>
      </c>
      <c r="C408" s="13">
        <f t="shared" si="32"/>
        <v>32.583333333333336</v>
      </c>
      <c r="D408" s="11">
        <f t="shared" si="33"/>
        <v>854.12319869882856</v>
      </c>
      <c r="E408" s="23">
        <f t="shared" si="30"/>
        <v>836.36958317383085</v>
      </c>
      <c r="F408" s="23">
        <f>AlphaC*(D408-E408)</f>
        <v>443.84038812494282</v>
      </c>
      <c r="G408" s="13">
        <f>Phi*EpsilonF*Botzman/10^8*J408*((D408+273)^4-(E408+273)^4)</f>
        <v>3941.5567347504611</v>
      </c>
      <c r="H408" s="23">
        <f t="shared" si="31"/>
        <v>714.11901388659669</v>
      </c>
      <c r="I408" s="12">
        <f>ksh*Massivete/(H408*RhoA)*DeltaT*(F408+G408)</f>
        <v>0.58876831527130435</v>
      </c>
      <c r="J408" s="3">
        <f>IF(E408&lt;=500,IF(Galva=Oui,0.35,0.7),0.7)</f>
        <v>0.7</v>
      </c>
    </row>
    <row r="409" spans="2:10" x14ac:dyDescent="0.25">
      <c r="B409" s="3">
        <f>B408+DeltaT</f>
        <v>1960</v>
      </c>
      <c r="C409" s="13">
        <f t="shared" si="32"/>
        <v>32.666666666666664</v>
      </c>
      <c r="D409" s="11">
        <f t="shared" si="33"/>
        <v>854.50444978559358</v>
      </c>
      <c r="E409" s="23">
        <f t="shared" si="30"/>
        <v>836.95835148910214</v>
      </c>
      <c r="F409" s="23">
        <f>AlphaC*(D409-E409)</f>
        <v>438.65245741228591</v>
      </c>
      <c r="G409" s="13">
        <f>Phi*EpsilonF*Botzman/10^8*J409*((D409+273)^4-(E409+273)^4)</f>
        <v>3900.5499083528321</v>
      </c>
      <c r="H409" s="23">
        <f t="shared" si="31"/>
        <v>713.17928695156036</v>
      </c>
      <c r="I409" s="12">
        <f>ksh*Massivete/(H409*RhoA)*DeltaT*(F409+G409)</f>
        <v>0.5833339899432467</v>
      </c>
      <c r="J409" s="3">
        <f>IF(E409&lt;=500,IF(Galva=Oui,0.35,0.7),0.7)</f>
        <v>0.7</v>
      </c>
    </row>
    <row r="410" spans="2:10" x14ac:dyDescent="0.25">
      <c r="B410" s="3">
        <f>B409+DeltaT</f>
        <v>1965</v>
      </c>
      <c r="C410" s="13">
        <f t="shared" si="32"/>
        <v>32.75</v>
      </c>
      <c r="D410" s="11">
        <f t="shared" si="33"/>
        <v>854.88473322896641</v>
      </c>
      <c r="E410" s="23">
        <f t="shared" si="30"/>
        <v>837.54168547904544</v>
      </c>
      <c r="F410" s="23">
        <f>AlphaC*(D410-E410)</f>
        <v>433.57619374802425</v>
      </c>
      <c r="G410" s="13">
        <f>Phi*EpsilonF*Botzman/10^8*J410*((D410+273)^4-(E410+273)^4)</f>
        <v>3860.3889286392891</v>
      </c>
      <c r="H410" s="23">
        <f t="shared" si="31"/>
        <v>712.25847652846483</v>
      </c>
      <c r="I410" s="12">
        <f>ksh*Massivete/(H410*RhoA)*DeltaT*(F410+G410)</f>
        <v>0.5779988650803235</v>
      </c>
      <c r="J410" s="3">
        <f>IF(E410&lt;=500,IF(Galva=Oui,0.35,0.7),0.7)</f>
        <v>0.7</v>
      </c>
    </row>
    <row r="411" spans="2:10" x14ac:dyDescent="0.25">
      <c r="B411" s="3">
        <f>B410+DeltaT</f>
        <v>1970</v>
      </c>
      <c r="C411" s="13">
        <f t="shared" si="32"/>
        <v>32.833333333333336</v>
      </c>
      <c r="D411" s="11">
        <f t="shared" si="33"/>
        <v>855.2640539284148</v>
      </c>
      <c r="E411" s="23">
        <f t="shared" si="30"/>
        <v>838.11968434412574</v>
      </c>
      <c r="F411" s="23">
        <f>AlphaC*(D411-E411)</f>
        <v>428.6092396072263</v>
      </c>
      <c r="G411" s="13">
        <f>Phi*EpsilonF*Botzman/10^8*J411*((D411+273)^4-(E411+273)^4)</f>
        <v>3821.0580723854691</v>
      </c>
      <c r="H411" s="23">
        <f t="shared" si="31"/>
        <v>711.35597938052751</v>
      </c>
      <c r="I411" s="12">
        <f>ksh*Massivete/(H411*RhoA)*DeltaT*(F411+G411)</f>
        <v>0.57276180034950019</v>
      </c>
      <c r="J411" s="3">
        <f>IF(E411&lt;=500,IF(Galva=Oui,0.35,0.7),0.7)</f>
        <v>0.7</v>
      </c>
    </row>
    <row r="412" spans="2:10" x14ac:dyDescent="0.25">
      <c r="B412" s="3">
        <f>B411+DeltaT</f>
        <v>1975</v>
      </c>
      <c r="C412" s="13">
        <f t="shared" si="32"/>
        <v>32.916666666666664</v>
      </c>
      <c r="D412" s="11">
        <f t="shared" si="33"/>
        <v>855.64241674628965</v>
      </c>
      <c r="E412" s="23">
        <f t="shared" si="30"/>
        <v>838.6924461444753</v>
      </c>
      <c r="F412" s="23">
        <f>AlphaC*(D412-E412)</f>
        <v>423.74926504535892</v>
      </c>
      <c r="G412" s="13">
        <f>Phi*EpsilonF*Botzman/10^8*J412*((D412+273)^4-(E412+273)^4)</f>
        <v>3782.5416877496878</v>
      </c>
      <c r="H412" s="23">
        <f t="shared" si="31"/>
        <v>710.47121583712101</v>
      </c>
      <c r="I412" s="12">
        <f>ksh*Massivete/(H412*RhoA)*DeltaT*(F412+G412)</f>
        <v>0.56762161097094277</v>
      </c>
      <c r="J412" s="3">
        <f>IF(E412&lt;=500,IF(Galva=Oui,0.35,0.7),0.7)</f>
        <v>0.7</v>
      </c>
    </row>
    <row r="413" spans="2:10" x14ac:dyDescent="0.25">
      <c r="B413" s="3">
        <f>B412+DeltaT</f>
        <v>1980</v>
      </c>
      <c r="C413" s="13">
        <f t="shared" si="32"/>
        <v>33</v>
      </c>
      <c r="D413" s="11">
        <f t="shared" si="33"/>
        <v>856.01982650819855</v>
      </c>
      <c r="E413" s="23">
        <f t="shared" si="30"/>
        <v>839.26006775544624</v>
      </c>
      <c r="F413" s="23">
        <f>AlphaC*(D413-E413)</f>
        <v>418.99396881880762</v>
      </c>
      <c r="G413" s="13">
        <f>Phi*EpsilonF*Botzman/10^8*J413*((D413+273)^4-(E413+273)^4)</f>
        <v>3744.824208399566</v>
      </c>
      <c r="H413" s="23">
        <f t="shared" si="31"/>
        <v>709.60362873829376</v>
      </c>
      <c r="I413" s="12">
        <f>ksh*Massivete/(H413*RhoA)*DeltaT*(F413+G413)</f>
        <v>0.56257707229899012</v>
      </c>
      <c r="J413" s="3">
        <f>IF(E413&lt;=500,IF(Galva=Oui,0.35,0.7),0.7)</f>
        <v>0.7</v>
      </c>
    </row>
    <row r="414" spans="2:10" x14ac:dyDescent="0.25">
      <c r="B414" s="3">
        <f>B413+DeltaT</f>
        <v>1985</v>
      </c>
      <c r="C414" s="13">
        <f t="shared" si="32"/>
        <v>33.083333333333336</v>
      </c>
      <c r="D414" s="11">
        <f t="shared" si="33"/>
        <v>856.39628800337516</v>
      </c>
      <c r="E414" s="23">
        <f t="shared" si="30"/>
        <v>839.82264482774519</v>
      </c>
      <c r="F414" s="23">
        <f>AlphaC*(D414-E414)</f>
        <v>414.3410793907492</v>
      </c>
      <c r="G414" s="13">
        <f>Phi*EpsilonF*Botzman/10^8*J414*((D414+273)^4-(E414+273)^4)</f>
        <v>3707.8901666424608</v>
      </c>
      <c r="H414" s="23">
        <f t="shared" si="31"/>
        <v>708.75268243302844</v>
      </c>
      <c r="I414" s="12">
        <f>ksh*Massivete/(H414*RhoA)*DeltaT*(F414+G414)</f>
        <v>0.55762692414839188</v>
      </c>
      <c r="J414" s="3">
        <f>IF(E414&lt;=500,IF(Galva=Oui,0.35,0.7),0.7)</f>
        <v>0.7</v>
      </c>
    </row>
    <row r="415" spans="2:10" x14ac:dyDescent="0.25">
      <c r="B415" s="3">
        <f>B414+DeltaT</f>
        <v>1990</v>
      </c>
      <c r="C415" s="13">
        <f t="shared" si="32"/>
        <v>33.166666666666664</v>
      </c>
      <c r="D415" s="11">
        <f t="shared" si="33"/>
        <v>856.77180598504333</v>
      </c>
      <c r="E415" s="23">
        <f t="shared" si="30"/>
        <v>840.38027175189359</v>
      </c>
      <c r="F415" s="23">
        <f>AlphaC*(D415-E415)</f>
        <v>409.78835582874353</v>
      </c>
      <c r="G415" s="13">
        <f>Phi*EpsilonF*Botzman/10^8*J415*((D415+273)^4-(E415+273)^4)</f>
        <v>3671.7242056031459</v>
      </c>
      <c r="H415" s="23">
        <f t="shared" si="31"/>
        <v>707.91786182814542</v>
      </c>
      <c r="I415" s="12">
        <f>ksh*Massivete/(H415*RhoA)*DeltaT*(F415+G415)</f>
        <v>0.55276987487638496</v>
      </c>
      <c r="J415" s="3">
        <f>IF(E415&lt;=500,IF(Galva=Oui,0.35,0.7),0.7)</f>
        <v>0.7</v>
      </c>
    </row>
    <row r="416" spans="2:10" x14ac:dyDescent="0.25">
      <c r="B416" s="3">
        <f>B415+DeltaT</f>
        <v>1995</v>
      </c>
      <c r="C416" s="13">
        <f t="shared" si="32"/>
        <v>33.25</v>
      </c>
      <c r="D416" s="11">
        <f t="shared" si="33"/>
        <v>857.14638517077833</v>
      </c>
      <c r="E416" s="23">
        <f t="shared" si="30"/>
        <v>840.93304162676998</v>
      </c>
      <c r="F416" s="23">
        <f>AlphaC*(D416-E416)</f>
        <v>405.33358860020883</v>
      </c>
      <c r="G416" s="13">
        <f>Phi*EpsilonF*Botzman/10^8*J416*((D416+273)^4-(E416+273)^4)</f>
        <v>3636.3110904927285</v>
      </c>
      <c r="H416" s="23">
        <f t="shared" si="31"/>
        <v>707.098671484958</v>
      </c>
      <c r="I416" s="12">
        <f>ksh*Massivete/(H416*RhoA)*DeltaT*(F416+G416)</f>
        <v>0.54800460523113703</v>
      </c>
      <c r="J416" s="3">
        <f>IF(E416&lt;=500,IF(Galva=Oui,0.35,0.7),0.7)</f>
        <v>0.7</v>
      </c>
    </row>
    <row r="417" spans="2:10" x14ac:dyDescent="0.25">
      <c r="B417" s="3">
        <f>B416+DeltaT</f>
        <v>2000</v>
      </c>
      <c r="C417" s="13">
        <f t="shared" si="32"/>
        <v>33.333333333333336</v>
      </c>
      <c r="D417" s="11">
        <f t="shared" si="33"/>
        <v>857.52003024286125</v>
      </c>
      <c r="E417" s="23">
        <f t="shared" si="30"/>
        <v>841.48104623200106</v>
      </c>
      <c r="F417" s="23">
        <f>AlphaC*(D417-E417)</f>
        <v>400.97460027150476</v>
      </c>
      <c r="G417" s="13">
        <f>Phi*EpsilonF*Botzman/10^8*J417*((D417+273)^4-(E417+273)^4)</f>
        <v>3601.635719008892</v>
      </c>
      <c r="H417" s="23">
        <f t="shared" si="31"/>
        <v>706.29463476096589</v>
      </c>
      <c r="I417" s="12">
        <f>ksh*Massivete/(H417*RhoA)*DeltaT*(F417+G417)</f>
        <v>0.54332977197640242</v>
      </c>
      <c r="J417" s="3">
        <f>IF(E417&lt;=500,IF(Galva=Oui,0.35,0.7),0.7)</f>
        <v>0.7</v>
      </c>
    </row>
    <row r="418" spans="2:10" x14ac:dyDescent="0.25">
      <c r="B418" s="3">
        <f>B417+DeltaT</f>
        <v>2005</v>
      </c>
      <c r="C418" s="13">
        <f t="shared" si="32"/>
        <v>33.416666666666664</v>
      </c>
      <c r="D418" s="11">
        <f t="shared" si="33"/>
        <v>857.89274584863097</v>
      </c>
      <c r="E418" s="23">
        <f t="shared" si="30"/>
        <v>842.02437600397741</v>
      </c>
      <c r="F418" s="23">
        <f>AlphaC*(D418-E418)</f>
        <v>396.70924611633893</v>
      </c>
      <c r="G418" s="13">
        <f>Phi*EpsilonF*Botzman/10^8*J418*((D418+273)^4-(E418+273)^4)</f>
        <v>3567.6831309096074</v>
      </c>
      <c r="H418" s="23">
        <f t="shared" si="31"/>
        <v>705.50529299405025</v>
      </c>
      <c r="I418" s="12">
        <f>ksh*Massivete/(H418*RhoA)*DeltaT*(F418+G418)</f>
        <v>0.53874401130242056</v>
      </c>
      <c r="J418" s="3">
        <f>IF(E418&lt;=500,IF(Galva=Oui,0.35,0.7),0.7)</f>
        <v>0.7</v>
      </c>
    </row>
    <row r="419" spans="2:10" x14ac:dyDescent="0.25">
      <c r="B419" s="3">
        <f>B418+DeltaT</f>
        <v>2010</v>
      </c>
      <c r="C419" s="13">
        <f t="shared" si="32"/>
        <v>33.5</v>
      </c>
      <c r="D419" s="11">
        <f t="shared" si="33"/>
        <v>858.26453660083064</v>
      </c>
      <c r="E419" s="23">
        <f t="shared" si="30"/>
        <v>842.56312001527988</v>
      </c>
      <c r="F419" s="23">
        <f>AlphaC*(D419-E419)</f>
        <v>392.535414638769</v>
      </c>
      <c r="G419" s="13">
        <f>Phi*EpsilonF*Botzman/10^8*J419*((D419+273)^4-(E419+273)^4)</f>
        <v>3534.4385167979367</v>
      </c>
      <c r="H419" s="23">
        <f t="shared" si="31"/>
        <v>704.73020472678911</v>
      </c>
      <c r="I419" s="12">
        <f>ksh*Massivete/(H419*RhoA)*DeltaT*(F419+G419)</f>
        <v>0.53424594203231268</v>
      </c>
      <c r="J419" s="3">
        <f>IF(E419&lt;=500,IF(Galva=Oui,0.35,0.7),0.7)</f>
        <v>0.7</v>
      </c>
    </row>
    <row r="420" spans="2:10" x14ac:dyDescent="0.25">
      <c r="B420" s="3">
        <f>B419+DeltaT</f>
        <v>2015</v>
      </c>
      <c r="C420" s="13">
        <f t="shared" si="32"/>
        <v>33.583333333333336</v>
      </c>
      <c r="D420" s="11">
        <f t="shared" si="33"/>
        <v>858.63540707795028</v>
      </c>
      <c r="E420" s="23">
        <f t="shared" si="30"/>
        <v>843.09736595731215</v>
      </c>
      <c r="F420" s="23">
        <f>AlphaC*(D420-E420)</f>
        <v>388.45102801595317</v>
      </c>
      <c r="G420" s="13">
        <f>Phi*EpsilonF*Botzman/10^8*J420*((D420+273)^4-(E420+273)^4)</f>
        <v>3501.8872261568445</v>
      </c>
      <c r="H420" s="23">
        <f t="shared" si="31"/>
        <v>703.96894496866275</v>
      </c>
      <c r="I420" s="12">
        <f>ksh*Massivete/(H420*RhoA)*DeltaT*(F420+G420)</f>
        <v>0.52983416863329535</v>
      </c>
      <c r="J420" s="3">
        <f>IF(E420&lt;=500,IF(Galva=Oui,0.35,0.7),0.7)</f>
        <v>0.7</v>
      </c>
    </row>
    <row r="421" spans="2:10" x14ac:dyDescent="0.25">
      <c r="B421" s="3">
        <f>B420+DeltaT</f>
        <v>2020</v>
      </c>
      <c r="C421" s="13">
        <f t="shared" si="32"/>
        <v>33.666666666666664</v>
      </c>
      <c r="D421" s="11">
        <f t="shared" si="33"/>
        <v>859.00536182456517</v>
      </c>
      <c r="E421" s="23">
        <f t="shared" si="30"/>
        <v>843.62720012594548</v>
      </c>
      <c r="F421" s="23">
        <f>AlphaC*(D421-E421)</f>
        <v>384.45404246549231</v>
      </c>
      <c r="G421" s="13">
        <f>Phi*EpsilonF*Botzman/10^8*J421*((D421+273)^4-(E421+273)^4)</f>
        <v>3470.0147746707644</v>
      </c>
      <c r="H421" s="23">
        <f t="shared" si="31"/>
        <v>703.22110449405443</v>
      </c>
      <c r="I421" s="12">
        <f>ksh*Massivete/(H421*RhoA)*DeltaT*(F421+G421)</f>
        <v>0.52550728404159264</v>
      </c>
      <c r="J421" s="3">
        <f>IF(E421&lt;=500,IF(Galva=Oui,0.35,0.7),0.7)</f>
        <v>0.7</v>
      </c>
    </row>
    <row r="422" spans="2:10" x14ac:dyDescent="0.25">
      <c r="B422" s="3">
        <f>B421+DeltaT</f>
        <v>2025</v>
      </c>
      <c r="C422" s="13">
        <f t="shared" si="32"/>
        <v>33.75</v>
      </c>
      <c r="D422" s="11">
        <f t="shared" si="33"/>
        <v>859.37440535166991</v>
      </c>
      <c r="E422" s="23">
        <f t="shared" si="30"/>
        <v>844.1527074099871</v>
      </c>
      <c r="F422" s="23">
        <f>AlphaC*(D422-E422)</f>
        <v>380.54244854207013</v>
      </c>
      <c r="G422" s="13">
        <f>Phi*EpsilonF*Botzman/10^8*J422*((D422+273)^4-(E422+273)^4)</f>
        <v>3438.8068508683627</v>
      </c>
      <c r="H422" s="23">
        <f t="shared" si="31"/>
        <v>702.48628917408621</v>
      </c>
      <c r="I422" s="12">
        <f>ksh*Massivete/(H422*RhoA)*DeltaT*(F422+G422)</f>
        <v>0.52126387230949345</v>
      </c>
      <c r="J422" s="3">
        <f>IF(E422&lt;=500,IF(Galva=Oui,0.35,0.7),0.7)</f>
        <v>0.7</v>
      </c>
    </row>
    <row r="423" spans="2:10" x14ac:dyDescent="0.25">
      <c r="B423" s="3">
        <f>B422+DeltaT</f>
        <v>2030</v>
      </c>
      <c r="C423" s="13">
        <f t="shared" si="32"/>
        <v>33.833333333333336</v>
      </c>
      <c r="D423" s="11">
        <f t="shared" si="33"/>
        <v>859.74254213700829</v>
      </c>
      <c r="E423" s="23">
        <f t="shared" si="30"/>
        <v>844.67397128229663</v>
      </c>
      <c r="F423" s="23">
        <f>AlphaC*(D423-E423)</f>
        <v>376.7142713677913</v>
      </c>
      <c r="G423" s="13">
        <f>Phi*EpsilonF*Botzman/10^8*J423*((D423+273)^4-(E423+273)^4)</f>
        <v>3408.2493221225018</v>
      </c>
      <c r="H423" s="23">
        <f t="shared" si="31"/>
        <v>701.76411934044268</v>
      </c>
      <c r="I423" s="12">
        <f>ksh*Massivete/(H423*RhoA)*DeltaT*(F423+G423)</f>
        <v>0.5171025110830797</v>
      </c>
      <c r="J423" s="3">
        <f>IF(E423&lt;=500,IF(Galva=Oui,0.35,0.7),0.7)</f>
        <v>0.7</v>
      </c>
    </row>
    <row r="424" spans="2:10" x14ac:dyDescent="0.25">
      <c r="B424" s="3">
        <f>B423+DeltaT</f>
        <v>2035</v>
      </c>
      <c r="C424" s="13">
        <f t="shared" si="32"/>
        <v>33.916666666666664</v>
      </c>
      <c r="D424" s="11">
        <f t="shared" si="33"/>
        <v>860.10977662539972</v>
      </c>
      <c r="E424" s="23">
        <f t="shared" si="30"/>
        <v>845.1910737933797</v>
      </c>
      <c r="F424" s="23">
        <f>AlphaC*(D424-E424)</f>
        <v>372.96757080050043</v>
      </c>
      <c r="G424" s="13">
        <f>Phi*EpsilonF*Botzman/10^8*J424*((D424+273)^4-(E424+273)^4)</f>
        <v>3378.3282400378957</v>
      </c>
      <c r="H424" s="23">
        <f t="shared" si="31"/>
        <v>701.05422917945384</v>
      </c>
      <c r="I424" s="12">
        <f>ksh*Massivete/(H424*RhoA)*DeltaT*(F424+G424)</f>
        <v>0.51302177391827464</v>
      </c>
      <c r="J424" s="3">
        <f>IF(E424&lt;=500,IF(Galva=Oui,0.35,0.7),0.7)</f>
        <v>0.7</v>
      </c>
    </row>
    <row r="425" spans="2:10" x14ac:dyDescent="0.25">
      <c r="B425" s="3">
        <f>B424+DeltaT</f>
        <v>2040</v>
      </c>
      <c r="C425" s="13">
        <f t="shared" si="32"/>
        <v>34</v>
      </c>
      <c r="D425" s="11">
        <f t="shared" si="33"/>
        <v>860.47611322906084</v>
      </c>
      <c r="E425" s="23">
        <f t="shared" si="30"/>
        <v>845.70409556729794</v>
      </c>
      <c r="F425" s="23">
        <f>AlphaC*(D425-E425)</f>
        <v>369.30044154407256</v>
      </c>
      <c r="G425" s="13">
        <f>Phi*EpsilonF*Botzman/10^8*J425*((D425+273)^4-(E425+273)^4)</f>
        <v>3349.0298452616348</v>
      </c>
      <c r="H425" s="23">
        <f t="shared" si="31"/>
        <v>700.3562661548109</v>
      </c>
      <c r="I425" s="12">
        <f>ksh*Massivete/(H425*RhoA)*DeltaT*(F425+G425)</f>
        <v>0.50902023244337391</v>
      </c>
      <c r="J425" s="3">
        <f>IF(E425&lt;=500,IF(Galva=Oui,0.35,0.7),0.7)</f>
        <v>0.7</v>
      </c>
    </row>
    <row r="426" spans="2:10" x14ac:dyDescent="0.25">
      <c r="B426" s="3">
        <f>B425+DeltaT</f>
        <v>2045</v>
      </c>
      <c r="C426" s="13">
        <f t="shared" si="32"/>
        <v>34.083333333333336</v>
      </c>
      <c r="D426" s="11">
        <f t="shared" si="33"/>
        <v>860.8415563279234</v>
      </c>
      <c r="E426" s="23">
        <f t="shared" si="30"/>
        <v>846.21311579974133</v>
      </c>
      <c r="F426" s="23">
        <f>AlphaC*(D426-E426)</f>
        <v>365.7110132045517</v>
      </c>
      <c r="G426" s="13">
        <f>Phi*EpsilonF*Botzman/10^8*J426*((D426+273)^4-(E426+273)^4)</f>
        <v>3320.3405717438304</v>
      </c>
      <c r="H426" s="23">
        <f t="shared" si="31"/>
        <v>699.66989045738501</v>
      </c>
      <c r="I426" s="12">
        <f>ksh*Massivete/(H426*RhoA)*DeltaT*(F426+G426)</f>
        <v>0.50509645837501893</v>
      </c>
      <c r="J426" s="3">
        <f>IF(E426&lt;=500,IF(Galva=Oui,0.35,0.7),0.7)</f>
        <v>0.7</v>
      </c>
    </row>
    <row r="427" spans="2:10" x14ac:dyDescent="0.25">
      <c r="B427" s="3">
        <f>B426+DeltaT</f>
        <v>2050</v>
      </c>
      <c r="C427" s="13">
        <f t="shared" si="32"/>
        <v>34.166666666666664</v>
      </c>
      <c r="D427" s="11">
        <f t="shared" si="33"/>
        <v>861.20611026994936</v>
      </c>
      <c r="E427" s="23">
        <f t="shared" si="30"/>
        <v>846.7182122581163</v>
      </c>
      <c r="F427" s="23">
        <f>AlphaC*(D427-E427)</f>
        <v>362.19745029582668</v>
      </c>
      <c r="G427" s="13">
        <f>Phi*EpsilonF*Botzman/10^8*J427*((D427+273)^4-(E427+273)^4)</f>
        <v>3292.247050481395</v>
      </c>
      <c r="H427" s="23">
        <f t="shared" si="31"/>
        <v>698.99477448071389</v>
      </c>
      <c r="I427" s="12">
        <f>ksh*Massivete/(H427*RhoA)*DeltaT*(F427+G427)</f>
        <v>0.50124902539524474</v>
      </c>
      <c r="J427" s="3">
        <f>IF(E427&lt;=500,IF(Galva=Oui,0.35,0.7),0.7)</f>
        <v>0.7</v>
      </c>
    </row>
    <row r="428" spans="2:10" x14ac:dyDescent="0.25">
      <c r="B428" s="3">
        <f>B427+DeltaT</f>
        <v>2055</v>
      </c>
      <c r="C428" s="13">
        <f t="shared" si="32"/>
        <v>34.25</v>
      </c>
      <c r="D428" s="11">
        <f t="shared" si="33"/>
        <v>861.56977937144052</v>
      </c>
      <c r="E428" s="23">
        <f t="shared" si="30"/>
        <v>847.21946128351158</v>
      </c>
      <c r="F428" s="23">
        <f>AlphaC*(D428-E428)</f>
        <v>358.75795219822351</v>
      </c>
      <c r="G428" s="13">
        <f>Phi*EpsilonF*Botzman/10^8*J428*((D428+273)^4-(E428+273)^4)</f>
        <v>3264.7361127692675</v>
      </c>
      <c r="H428" s="23">
        <f t="shared" si="31"/>
        <v>698.33060232080243</v>
      </c>
      <c r="I428" s="12">
        <f>ksh*Massivete/(H428*RhoA)*DeltaT*(F428+G428)</f>
        <v>0.49747651089590778</v>
      </c>
      <c r="J428" s="3">
        <f>IF(E428&lt;=500,IF(Galva=Oui,0.35,0.7),0.7)</f>
        <v>0.7</v>
      </c>
    </row>
    <row r="429" spans="2:10" x14ac:dyDescent="0.25">
      <c r="B429" s="3">
        <f>B428+DeltaT</f>
        <v>2060</v>
      </c>
      <c r="C429" s="13">
        <f t="shared" si="32"/>
        <v>34.333333333333336</v>
      </c>
      <c r="D429" s="11">
        <f t="shared" si="33"/>
        <v>861.93256791734495</v>
      </c>
      <c r="E429" s="23">
        <f t="shared" si="30"/>
        <v>847.7169377944075</v>
      </c>
      <c r="F429" s="23">
        <f>AlphaC*(D429-E429)</f>
        <v>355.39075307343637</v>
      </c>
      <c r="G429" s="13">
        <f>Phi*EpsilonF*Botzman/10^8*J429*((D429+273)^4-(E429+273)^4)</f>
        <v>3237.7947929911752</v>
      </c>
      <c r="H429" s="23">
        <f t="shared" si="31"/>
        <v>697.67706929896724</v>
      </c>
      <c r="I429" s="12">
        <f>ksh*Massivete/(H429*RhoA)*DeltaT*(F429+G429)</f>
        <v>0.4937774975977795</v>
      </c>
      <c r="J429" s="3">
        <f>IF(E429&lt;=500,IF(Galva=Oui,0.35,0.7),0.7)</f>
        <v>0.7</v>
      </c>
    </row>
    <row r="430" spans="2:10" x14ac:dyDescent="0.25">
      <c r="B430" s="3">
        <f>B429+DeltaT</f>
        <v>2065</v>
      </c>
      <c r="C430" s="13">
        <f t="shared" si="32"/>
        <v>34.416666666666664</v>
      </c>
      <c r="D430" s="11">
        <f t="shared" si="33"/>
        <v>862.29448016156073</v>
      </c>
      <c r="E430" s="23">
        <f t="shared" si="30"/>
        <v>848.21071529200526</v>
      </c>
      <c r="F430" s="23">
        <f>AlphaC*(D430-E430)</f>
        <v>352.09412173888666</v>
      </c>
      <c r="G430" s="13">
        <f>Phi*EpsilonF*Botzman/10^8*J430*((D430+273)^4-(E430+273)^4)</f>
        <v>3211.4103309719626</v>
      </c>
      <c r="H430" s="23">
        <f t="shared" si="31"/>
        <v>697.033881506527</v>
      </c>
      <c r="I430" s="12">
        <f>ksh*Massivete/(H430*RhoA)*DeltaT*(F430+G430)</f>
        <v>0.49015057505007587</v>
      </c>
      <c r="J430" s="3">
        <f>IF(E430&lt;=500,IF(Galva=Oui,0.35,0.7),0.7)</f>
        <v>0.7</v>
      </c>
    </row>
    <row r="431" spans="2:10" x14ac:dyDescent="0.25">
      <c r="B431" s="3">
        <f>B430+DeltaT</f>
        <v>2070</v>
      </c>
      <c r="C431" s="13">
        <f t="shared" si="32"/>
        <v>34.5</v>
      </c>
      <c r="D431" s="11">
        <f t="shared" si="33"/>
        <v>862.65552032723463</v>
      </c>
      <c r="E431" s="23">
        <f t="shared" si="30"/>
        <v>848.70086586705531</v>
      </c>
      <c r="F431" s="23">
        <f>AlphaC*(D431-E431)</f>
        <v>348.86636150448282</v>
      </c>
      <c r="G431" s="13">
        <f>Phi*EpsilonF*Botzman/10^8*J431*((D431+273)^4-(E431+273)^4)</f>
        <v>3185.5701739189344</v>
      </c>
      <c r="H431" s="23">
        <f t="shared" si="31"/>
        <v>696.4007553702105</v>
      </c>
      <c r="I431" s="12">
        <f>ksh*Massivete/(H431*RhoA)*DeltaT*(F431+G431)</f>
        <v>0.48659434101683996</v>
      </c>
      <c r="J431" s="3">
        <f>IF(E431&lt;=500,IF(Galva=Oui,0.35,0.7),0.7)</f>
        <v>0.7</v>
      </c>
    </row>
    <row r="432" spans="2:10" x14ac:dyDescent="0.25">
      <c r="B432" s="3">
        <f>B431+DeltaT</f>
        <v>2075</v>
      </c>
      <c r="C432" s="13">
        <f t="shared" si="32"/>
        <v>34.583333333333336</v>
      </c>
      <c r="D432" s="11">
        <f t="shared" si="33"/>
        <v>863.0156926070581</v>
      </c>
      <c r="E432" s="23">
        <f t="shared" si="30"/>
        <v>849.18746020807214</v>
      </c>
      <c r="F432" s="23">
        <f>AlphaC*(D432-E432)</f>
        <v>345.70580997464901</v>
      </c>
      <c r="G432" s="13">
        <f>Phi*EpsilonF*Botzman/10^8*J432*((D432+273)^4-(E432+273)^4)</f>
        <v>3160.2619779762963</v>
      </c>
      <c r="H432" s="23">
        <f t="shared" si="31"/>
        <v>695.77741723722147</v>
      </c>
      <c r="I432" s="12">
        <f>ksh*Massivete/(H432*RhoA)*DeltaT*(F432+G432)</f>
        <v>0.48310740275602881</v>
      </c>
      <c r="J432" s="3">
        <f>IF(E432&lt;=500,IF(Galva=Oui,0.35,0.7),0.7)</f>
        <v>0.7</v>
      </c>
    </row>
    <row r="433" spans="2:10" x14ac:dyDescent="0.25">
      <c r="B433" s="3">
        <f>B432+DeltaT</f>
        <v>2080</v>
      </c>
      <c r="C433" s="13">
        <f t="shared" si="32"/>
        <v>34.666666666666664</v>
      </c>
      <c r="D433" s="11">
        <f t="shared" si="33"/>
        <v>863.37500116355909</v>
      </c>
      <c r="E433" s="23">
        <f t="shared" si="30"/>
        <v>849.67056761082813</v>
      </c>
      <c r="F433" s="23">
        <f>AlphaC*(D433-E433)</f>
        <v>342.61083881827403</v>
      </c>
      <c r="G433" s="13">
        <f>Phi*EpsilonF*Botzman/10^8*J433*((D433+273)^4-(E433+273)^4)</f>
        <v>3135.4736094146124</v>
      </c>
      <c r="H433" s="23">
        <f t="shared" si="31"/>
        <v>695.16360297895812</v>
      </c>
      <c r="I433" s="12">
        <f>ksh*Massivete/(H433*RhoA)*DeltaT*(F433+G433)</f>
        <v>0.47968837819674809</v>
      </c>
      <c r="J433" s="3">
        <f>IF(E433&lt;=500,IF(Galva=Oui,0.35,0.7),0.7)</f>
        <v>0.7</v>
      </c>
    </row>
    <row r="434" spans="2:10" x14ac:dyDescent="0.25">
      <c r="B434" s="3">
        <f>B433+DeltaT</f>
        <v>2085</v>
      </c>
      <c r="C434" s="13">
        <f t="shared" si="32"/>
        <v>34.75</v>
      </c>
      <c r="D434" s="11">
        <f t="shared" si="33"/>
        <v>863.73345012939114</v>
      </c>
      <c r="E434" s="23">
        <f t="shared" ref="E434:E497" si="34">E433+I433</f>
        <v>850.15025598902491</v>
      </c>
      <c r="F434" s="23">
        <f>AlphaC*(D434-E434)</f>
        <v>339.57985350915578</v>
      </c>
      <c r="G434" s="13">
        <f>Phi*EpsilonF*Botzman/10^8*J434*((D434+273)^4-(E434+273)^4)</f>
        <v>3111.1931454789296</v>
      </c>
      <c r="H434" s="23">
        <f t="shared" ref="H434:H497" si="35">IF(E434&lt;600,425+0.773*E434-1.69/1000*E434^2+2.22/1000^2*E434^3,IF(E434&lt;735,666+13002/(738-E434),IF(E434&lt;900,545+17820/(E434-731),650)))</f>
        <v>694.55905761244378</v>
      </c>
      <c r="I434" s="12">
        <f>ksh*Massivete/(H434*RhoA)*DeltaT*(F434+G434)</f>
        <v>0.47633589702022849</v>
      </c>
      <c r="J434" s="3">
        <f>IF(E434&lt;=500,IF(Galva=Oui,0.35,0.7),0.7)</f>
        <v>0.7</v>
      </c>
    </row>
    <row r="435" spans="2:10" x14ac:dyDescent="0.25">
      <c r="B435" s="3">
        <f>B434+DeltaT</f>
        <v>2090</v>
      </c>
      <c r="C435" s="13">
        <f t="shared" si="32"/>
        <v>34.833333333333336</v>
      </c>
      <c r="D435" s="11">
        <f t="shared" si="33"/>
        <v>864.09104360761808</v>
      </c>
      <c r="E435" s="23">
        <f t="shared" si="34"/>
        <v>850.62659188604516</v>
      </c>
      <c r="F435" s="23">
        <f>AlphaC*(D435-E435)</f>
        <v>336.61129303932285</v>
      </c>
      <c r="G435" s="13">
        <f>Phi*EpsilonF*Botzman/10^8*J435*((D435+273)^4-(E435+273)^4)</f>
        <v>3087.4088749154735</v>
      </c>
      <c r="H435" s="23">
        <f t="shared" si="35"/>
        <v>693.96353493857885</v>
      </c>
      <c r="I435" s="12">
        <f>ksh*Massivete/(H435*RhoA)*DeltaT*(F435+G435)</f>
        <v>0.47304860164951695</v>
      </c>
      <c r="J435" s="3">
        <f>IF(E435&lt;=500,IF(Galva=Oui,0.35,0.7),0.7)</f>
        <v>0.7</v>
      </c>
    </row>
    <row r="436" spans="2:10" x14ac:dyDescent="0.25">
      <c r="B436" s="3">
        <f>B435+DeltaT</f>
        <v>2095</v>
      </c>
      <c r="C436" s="13">
        <f t="shared" si="32"/>
        <v>34.916666666666664</v>
      </c>
      <c r="D436" s="11">
        <f t="shared" si="33"/>
        <v>864.44778567199614</v>
      </c>
      <c r="E436" s="23">
        <f t="shared" si="34"/>
        <v>851.09964048769473</v>
      </c>
      <c r="F436" s="23">
        <f>AlphaC*(D436-E436)</f>
        <v>333.70362960753539</v>
      </c>
      <c r="G436" s="13">
        <f>Phi*EpsilonF*Botzman/10^8*J436*((D436+273)^4-(E436+273)^4)</f>
        <v>3064.1092981982083</v>
      </c>
      <c r="H436" s="23">
        <f t="shared" si="35"/>
        <v>693.3767971963731</v>
      </c>
      <c r="I436" s="12">
        <f>ksh*Massivete/(H436*RhoA)*DeltaT*(F436+G436)</f>
        <v>0.46982514815296006</v>
      </c>
      <c r="J436" s="3">
        <f>IF(E436&lt;=500,IF(Galva=Oui,0.35,0.7),0.7)</f>
        <v>0.7</v>
      </c>
    </row>
    <row r="437" spans="2:10" x14ac:dyDescent="0.25">
      <c r="B437" s="3">
        <f>B436+DeltaT</f>
        <v>2100</v>
      </c>
      <c r="C437" s="13">
        <f t="shared" si="32"/>
        <v>35</v>
      </c>
      <c r="D437" s="11">
        <f t="shared" si="33"/>
        <v>864.80368036725235</v>
      </c>
      <c r="E437" s="23">
        <f t="shared" si="34"/>
        <v>851.56946563584768</v>
      </c>
      <c r="F437" s="23">
        <f>AlphaC*(D437-E437)</f>
        <v>330.85536828511692</v>
      </c>
      <c r="G437" s="13">
        <f>Phi*EpsilonF*Botzman/10^8*J437*((D437+273)^4-(E437+273)^4)</f>
        <v>3041.2831274740606</v>
      </c>
      <c r="H437" s="23">
        <f t="shared" si="35"/>
        <v>692.7986147323669</v>
      </c>
      <c r="I437" s="12">
        <f>ksh*Massivete/(H437*RhoA)*DeltaT*(F437+G437)</f>
        <v>0.46666420706612577</v>
      </c>
      <c r="J437" s="3">
        <f>IF(E437&lt;=500,IF(Galva=Oui,0.35,0.7),0.7)</f>
        <v>0.7</v>
      </c>
    </row>
    <row r="438" spans="2:10" x14ac:dyDescent="0.25">
      <c r="B438" s="3">
        <f>B437+DeltaT</f>
        <v>2105</v>
      </c>
      <c r="C438" s="13">
        <f t="shared" si="32"/>
        <v>35.083333333333336</v>
      </c>
      <c r="D438" s="11">
        <f t="shared" si="33"/>
        <v>865.15873170936015</v>
      </c>
      <c r="E438" s="23">
        <f t="shared" si="34"/>
        <v>852.03612984291385</v>
      </c>
      <c r="F438" s="23">
        <f>AlphaC*(D438-E438)</f>
        <v>328.06504666115757</v>
      </c>
      <c r="G438" s="13">
        <f>Phi*EpsilonF*Botzman/10^8*J438*((D438+273)^4-(E438+273)^4)</f>
        <v>3018.9192862458535</v>
      </c>
      <c r="H438" s="23">
        <f t="shared" si="35"/>
        <v>692.22876568449101</v>
      </c>
      <c r="I438" s="12">
        <f>ksh*Massivete/(H438*RhoA)*DeltaT*(F438+G438)</f>
        <v>0.46356446413675084</v>
      </c>
      <c r="J438" s="3">
        <f>IF(E438&lt;=500,IF(Galva=Oui,0.35,0.7),0.7)</f>
        <v>0.7</v>
      </c>
    </row>
    <row r="439" spans="2:10" x14ac:dyDescent="0.25">
      <c r="B439" s="3">
        <f>B438+DeltaT</f>
        <v>2110</v>
      </c>
      <c r="C439" s="13">
        <f t="shared" si="32"/>
        <v>35.166666666666664</v>
      </c>
      <c r="D439" s="11">
        <f t="shared" si="33"/>
        <v>865.51294368581023</v>
      </c>
      <c r="E439" s="23">
        <f t="shared" si="34"/>
        <v>852.49969430705062</v>
      </c>
      <c r="F439" s="23">
        <f>AlphaC*(D439-E439)</f>
        <v>325.33123446899026</v>
      </c>
      <c r="G439" s="13">
        <f>Phi*EpsilonF*Botzman/10^8*J439*((D439+273)^4-(E439+273)^4)</f>
        <v>2997.0069088095265</v>
      </c>
      <c r="H439" s="23">
        <f t="shared" si="35"/>
        <v>691.66703567966022</v>
      </c>
      <c r="I439" s="12">
        <f>ksh*Massivete/(H439*RhoA)*DeltaT*(F439+G439)</f>
        <v>0.46052462099688102</v>
      </c>
      <c r="J439" s="3">
        <f>IF(E439&lt;=500,IF(Galva=Oui,0.35,0.7),0.7)</f>
        <v>0.7</v>
      </c>
    </row>
    <row r="440" spans="2:10" x14ac:dyDescent="0.25">
      <c r="B440" s="3">
        <f>B439+DeltaT</f>
        <v>2115</v>
      </c>
      <c r="C440" s="13">
        <f t="shared" si="32"/>
        <v>35.25</v>
      </c>
      <c r="D440" s="11">
        <f t="shared" si="33"/>
        <v>865.86632025588017</v>
      </c>
      <c r="E440" s="23">
        <f t="shared" si="34"/>
        <v>852.96021892804754</v>
      </c>
      <c r="F440" s="23">
        <f>AlphaC*(D440-E440)</f>
        <v>322.65253319581575</v>
      </c>
      <c r="G440" s="13">
        <f>Phi*EpsilonF*Botzman/10^8*J440*((D440+273)^4-(E440+273)^4)</f>
        <v>2975.5353394641511</v>
      </c>
      <c r="H440" s="23">
        <f t="shared" si="35"/>
        <v>691.11321754442906</v>
      </c>
      <c r="I440" s="12">
        <f>ksh*Massivete/(H440*RhoA)*DeltaT*(F440+G440)</f>
        <v>0.45754339576656478</v>
      </c>
      <c r="J440" s="3">
        <f>IF(E440&lt;=500,IF(Galva=Oui,0.35,0.7),0.7)</f>
        <v>0.7</v>
      </c>
    </row>
    <row r="441" spans="2:10" x14ac:dyDescent="0.25">
      <c r="B441" s="3">
        <f>B440+DeltaT</f>
        <v>2120</v>
      </c>
      <c r="C441" s="13">
        <f t="shared" si="32"/>
        <v>35.333333333333336</v>
      </c>
      <c r="D441" s="11">
        <f t="shared" si="33"/>
        <v>866.21886535089914</v>
      </c>
      <c r="E441" s="23">
        <f t="shared" si="34"/>
        <v>853.41776232381415</v>
      </c>
      <c r="F441" s="23">
        <f>AlphaC*(D441-E441)</f>
        <v>320.02757567712479</v>
      </c>
      <c r="G441" s="13">
        <f>Phi*EpsilonF*Botzman/10^8*J441*((D441+273)^4-(E441+273)^4)</f>
        <v>2954.4941315094593</v>
      </c>
      <c r="H441" s="23">
        <f t="shared" si="35"/>
        <v>690.56711102808197</v>
      </c>
      <c r="I441" s="12">
        <f>ksh*Massivete/(H441*RhoA)*DeltaT*(F441+G441)</f>
        <v>0.45461952359284574</v>
      </c>
      <c r="J441" s="3">
        <f>IF(E441&lt;=500,IF(Galva=Oui,0.35,0.7),0.7)</f>
        <v>0.7</v>
      </c>
    </row>
    <row r="442" spans="2:10" x14ac:dyDescent="0.25">
      <c r="B442" s="3">
        <f>B441+DeltaT</f>
        <v>2125</v>
      </c>
      <c r="C442" s="13">
        <f t="shared" si="32"/>
        <v>35.416666666666664</v>
      </c>
      <c r="D442" s="11">
        <f t="shared" si="33"/>
        <v>866.57058287451173</v>
      </c>
      <c r="E442" s="23">
        <f t="shared" si="34"/>
        <v>853.87238184740704</v>
      </c>
      <c r="F442" s="23">
        <f>AlphaC*(D442-E442)</f>
        <v>317.45502567761719</v>
      </c>
      <c r="G442" s="13">
        <f>Phi*EpsilonF*Botzman/10^8*J442*((D442+273)^4-(E442+273)^4)</f>
        <v>2933.8730460468296</v>
      </c>
      <c r="H442" s="23">
        <f t="shared" si="35"/>
        <v>690.02852253755714</v>
      </c>
      <c r="I442" s="12">
        <f>ksh*Massivete/(H442*RhoA)*DeltaT*(F442+G442)</f>
        <v>0.45175175712791399</v>
      </c>
      <c r="J442" s="3">
        <f>IF(E442&lt;=500,IF(Galva=Oui,0.35,0.7),0.7)</f>
        <v>0.7</v>
      </c>
    </row>
    <row r="443" spans="2:10" x14ac:dyDescent="0.25">
      <c r="B443" s="3">
        <f>B442+DeltaT</f>
        <v>2130</v>
      </c>
      <c r="C443" s="13">
        <f t="shared" si="32"/>
        <v>35.5</v>
      </c>
      <c r="D443" s="11">
        <f t="shared" si="33"/>
        <v>866.92147670293605</v>
      </c>
      <c r="E443" s="23">
        <f t="shared" si="34"/>
        <v>854.32413360453495</v>
      </c>
      <c r="F443" s="23">
        <f>AlphaC*(D443-E443)</f>
        <v>314.93357746002744</v>
      </c>
      <c r="G443" s="13">
        <f>Phi*EpsilonF*Botzman/10^8*J443*((D443+273)^4-(E443+273)^4)</f>
        <v>2913.6620505982846</v>
      </c>
      <c r="H443" s="23">
        <f t="shared" si="35"/>
        <v>689.49726488364081</v>
      </c>
      <c r="I443" s="12">
        <f>ksh*Massivete/(H443*RhoA)*DeltaT*(F443+G443)</f>
        <v>0.44893886694998547</v>
      </c>
      <c r="J443" s="3">
        <f>IF(E443&lt;=500,IF(Galva=Oui,0.35,0.7),0.7)</f>
        <v>0.7</v>
      </c>
    </row>
    <row r="444" spans="2:10" x14ac:dyDescent="0.25">
      <c r="B444" s="3">
        <f>B443+DeltaT</f>
        <v>2135</v>
      </c>
      <c r="C444" s="13">
        <f t="shared" si="32"/>
        <v>35.583333333333336</v>
      </c>
      <c r="D444" s="11">
        <f t="shared" si="33"/>
        <v>867.27155068521972</v>
      </c>
      <c r="E444" s="23">
        <f t="shared" si="34"/>
        <v>854.77307247148497</v>
      </c>
      <c r="F444" s="23">
        <f>AlphaC*(D444-E444)</f>
        <v>312.46195534336891</v>
      </c>
      <c r="G444" s="13">
        <f>Phi*EpsilonF*Botzman/10^8*J444*((D444+273)^4-(E444+273)^4)</f>
        <v>2893.8513175564235</v>
      </c>
      <c r="H444" s="23">
        <f t="shared" si="35"/>
        <v>688.97315703789604</v>
      </c>
      <c r="I444" s="12">
        <f>ksh*Massivete/(H444*RhoA)*DeltaT*(F444+G444)</f>
        <v>0.44617964193021287</v>
      </c>
      <c r="J444" s="3">
        <f>IF(E444&lt;=500,IF(Galva=Oui,0.35,0.7),0.7)</f>
        <v>0.7</v>
      </c>
    </row>
    <row r="445" spans="2:10" x14ac:dyDescent="0.25">
      <c r="B445" s="3">
        <f>B444+DeltaT</f>
        <v>2140</v>
      </c>
      <c r="C445" s="13">
        <f t="shared" si="32"/>
        <v>35.666666666666664</v>
      </c>
      <c r="D445" s="11">
        <f t="shared" si="33"/>
        <v>867.62080864349502</v>
      </c>
      <c r="E445" s="23">
        <f t="shared" si="34"/>
        <v>855.21925211341522</v>
      </c>
      <c r="F445" s="23">
        <f>AlphaC*(D445-E445)</f>
        <v>310.03891325199504</v>
      </c>
      <c r="G445" s="13">
        <f>Phi*EpsilonF*Botzman/10^8*J445*((D445+273)^4-(E445+273)^4)</f>
        <v>2874.431222481227</v>
      </c>
      <c r="H445" s="23">
        <f t="shared" si="35"/>
        <v>688.45602389982116</v>
      </c>
      <c r="I445" s="12">
        <f>ksh*Massivete/(H445*RhoA)*DeltaT*(F445+G445)</f>
        <v>0.44347288954927672</v>
      </c>
      <c r="J445" s="3">
        <f>IF(E445&lt;=500,IF(Galva=Oui,0.35,0.7),0.7)</f>
        <v>0.7</v>
      </c>
    </row>
    <row r="446" spans="2:10" x14ac:dyDescent="0.25">
      <c r="B446" s="3">
        <f>B445+DeltaT</f>
        <v>2145</v>
      </c>
      <c r="C446" s="13">
        <f t="shared" si="32"/>
        <v>35.75</v>
      </c>
      <c r="D446" s="11">
        <f t="shared" si="33"/>
        <v>867.96925437322739</v>
      </c>
      <c r="E446" s="23">
        <f t="shared" si="34"/>
        <v>855.66272500296452</v>
      </c>
      <c r="F446" s="23">
        <f>AlphaC*(D446-E446)</f>
        <v>307.66323425657163</v>
      </c>
      <c r="G446" s="13">
        <f>Phi*EpsilonF*Botzman/10^8*J446*((D446+273)^4-(E446+273)^4)</f>
        <v>2855.3923422519947</v>
      </c>
      <c r="H446" s="23">
        <f t="shared" si="35"/>
        <v>687.94569607375615</v>
      </c>
      <c r="I446" s="12">
        <f>ksh*Massivete/(H446*RhoA)*DeltaT*(F446+G446)</f>
        <v>0.4408174361661486</v>
      </c>
      <c r="J446" s="3">
        <f>IF(E446&lt;=500,IF(Galva=Oui,0.35,0.7),0.7)</f>
        <v>0.7</v>
      </c>
    </row>
    <row r="447" spans="2:10" x14ac:dyDescent="0.25">
      <c r="B447" s="3">
        <f>B446+DeltaT</f>
        <v>2150</v>
      </c>
      <c r="C447" s="13">
        <f t="shared" si="32"/>
        <v>35.833333333333336</v>
      </c>
      <c r="D447" s="11">
        <f t="shared" si="33"/>
        <v>868.3168916434638</v>
      </c>
      <c r="E447" s="23">
        <f t="shared" si="34"/>
        <v>856.10354243913071</v>
      </c>
      <c r="F447" s="23">
        <f>AlphaC*(D447-E447)</f>
        <v>305.33373010832747</v>
      </c>
      <c r="G447" s="13">
        <f>Phi*EpsilonF*Botzman/10^8*J447*((D447+273)^4-(E447+273)^4)</f>
        <v>2836.7254530901778</v>
      </c>
      <c r="H447" s="23">
        <f t="shared" si="35"/>
        <v>687.44200965508503</v>
      </c>
      <c r="I447" s="12">
        <f>ksh*Massivete/(H447*RhoA)*DeltaT*(F447+G447)</f>
        <v>0.43821212724254788</v>
      </c>
      <c r="J447" s="3">
        <f>IF(E447&lt;=500,IF(Galva=Oui,0.35,0.7),0.7)</f>
        <v>0.7</v>
      </c>
    </row>
    <row r="448" spans="2:10" x14ac:dyDescent="0.25">
      <c r="B448" s="3">
        <f>B447+DeltaT</f>
        <v>2155</v>
      </c>
      <c r="C448" s="13">
        <f t="shared" si="32"/>
        <v>35.916666666666664</v>
      </c>
      <c r="D448" s="11">
        <f t="shared" si="33"/>
        <v>868.66372419707727</v>
      </c>
      <c r="E448" s="23">
        <f t="shared" si="34"/>
        <v>856.54175456637324</v>
      </c>
      <c r="F448" s="23">
        <f>AlphaC*(D448-E448)</f>
        <v>303.04924076760074</v>
      </c>
      <c r="G448" s="13">
        <f>Phi*EpsilonF*Botzman/10^8*J448*((D448+273)^4-(E448+273)^4)</f>
        <v>2818.421528462381</v>
      </c>
      <c r="H448" s="23">
        <f t="shared" si="35"/>
        <v>686.94480602530257</v>
      </c>
      <c r="I448" s="12">
        <f>ksh*Massivete/(H448*RhoA)*DeltaT*(F448+G448)</f>
        <v>0.43565582752561238</v>
      </c>
      <c r="J448" s="3">
        <f>IF(E448&lt;=500,IF(Galva=Oui,0.35,0.7),0.7)</f>
        <v>0.7</v>
      </c>
    </row>
    <row r="449" spans="2:10" x14ac:dyDescent="0.25">
      <c r="B449" s="3">
        <f>B448+DeltaT</f>
        <v>2160</v>
      </c>
      <c r="C449" s="13">
        <f t="shared" si="32"/>
        <v>36</v>
      </c>
      <c r="D449" s="11">
        <f t="shared" si="33"/>
        <v>869.00975575100892</v>
      </c>
      <c r="E449" s="23">
        <f t="shared" si="34"/>
        <v>856.97741039389882</v>
      </c>
      <c r="F449" s="23">
        <f>AlphaC*(D449-E449)</f>
        <v>300.80863392775257</v>
      </c>
      <c r="G449" s="13">
        <f>Phi*EpsilonF*Botzman/10^8*J449*((D449+273)^4-(E449+273)^4)</f>
        <v>2800.4717368749025</v>
      </c>
      <c r="H449" s="23">
        <f t="shared" si="35"/>
        <v>686.45393165553617</v>
      </c>
      <c r="I449" s="12">
        <f>ksh*Massivete/(H449*RhoA)*DeltaT*(F449+G449)</f>
        <v>0.43314742119156341</v>
      </c>
      <c r="J449" s="3">
        <f>IF(E449&lt;=500,IF(Galva=Oui,0.35,0.7),0.7)</f>
        <v>0.7</v>
      </c>
    </row>
    <row r="450" spans="2:10" x14ac:dyDescent="0.25">
      <c r="B450" s="3">
        <f>B449+DeltaT</f>
        <v>2165</v>
      </c>
      <c r="C450" s="13">
        <f t="shared" si="32"/>
        <v>36.083333333333336</v>
      </c>
      <c r="D450" s="11">
        <f t="shared" si="33"/>
        <v>869.35498999650622</v>
      </c>
      <c r="E450" s="23">
        <f t="shared" si="34"/>
        <v>857.41055781509044</v>
      </c>
      <c r="F450" s="23">
        <f>AlphaC*(D450-E450)</f>
        <v>298.61080453539444</v>
      </c>
      <c r="G450" s="13">
        <f>Phi*EpsilonF*Botzman/10^8*J450*((D450+273)^4-(E450+273)^4)</f>
        <v>2782.867439569377</v>
      </c>
      <c r="H450" s="23">
        <f t="shared" si="35"/>
        <v>685.96923791813788</v>
      </c>
      <c r="I450" s="12">
        <f>ksh*Massivete/(H450*RhoA)*DeltaT*(F450+G450)</f>
        <v>0.43068581195282374</v>
      </c>
      <c r="J450" s="3">
        <f>IF(E450&lt;=500,IF(Galva=Oui,0.35,0.7),0.7)</f>
        <v>0.7</v>
      </c>
    </row>
    <row r="451" spans="2:10" x14ac:dyDescent="0.25">
      <c r="B451" s="3">
        <f>B450+DeltaT</f>
        <v>2170</v>
      </c>
      <c r="C451" s="13">
        <f t="shared" si="32"/>
        <v>36.166666666666664</v>
      </c>
      <c r="D451" s="11">
        <f t="shared" si="33"/>
        <v>869.69943059936008</v>
      </c>
      <c r="E451" s="23">
        <f t="shared" si="34"/>
        <v>857.84124362704324</v>
      </c>
      <c r="F451" s="23">
        <f>AlphaC*(D451-E451)</f>
        <v>296.4546743079211</v>
      </c>
      <c r="G451" s="13">
        <f>Phi*EpsilonF*Botzman/10^8*J451*((D451+273)^4-(E451+273)^4)</f>
        <v>2765.6001881298557</v>
      </c>
      <c r="H451" s="23">
        <f t="shared" si="35"/>
        <v>685.49058090597805</v>
      </c>
      <c r="I451" s="12">
        <f>ksh*Massivete/(H451*RhoA)*DeltaT*(F451+G451)</f>
        <v>0.42826992313112627</v>
      </c>
      <c r="J451" s="3">
        <f>IF(E451&lt;=500,IF(Galva=Oui,0.35,0.7),0.7)</f>
        <v>0.7</v>
      </c>
    </row>
    <row r="452" spans="2:10" x14ac:dyDescent="0.25">
      <c r="B452" s="3">
        <f>B451+DeltaT</f>
        <v>2175</v>
      </c>
      <c r="C452" s="13">
        <f t="shared" si="32"/>
        <v>36.25</v>
      </c>
      <c r="D452" s="11">
        <f t="shared" si="33"/>
        <v>870.04308120013809</v>
      </c>
      <c r="E452" s="23">
        <f t="shared" si="34"/>
        <v>858.26951355017434</v>
      </c>
      <c r="F452" s="23">
        <f>AlphaC*(D452-E452)</f>
        <v>294.3391912490938</v>
      </c>
      <c r="G452" s="13">
        <f>Phi*EpsilonF*Botzman/10^8*J452*((D452+273)^4-(E452+273)^4)</f>
        <v>2748.6617220098374</v>
      </c>
      <c r="H452" s="23">
        <f t="shared" si="35"/>
        <v>685.01782125909278</v>
      </c>
      <c r="I452" s="12">
        <f>ksh*Massivete/(H452*RhoA)*DeltaT*(F452+G452)</f>
        <v>0.42589869769881644</v>
      </c>
      <c r="J452" s="3">
        <f>IF(E452&lt;=500,IF(Galva=Oui,0.35,0.7),0.7)</f>
        <v>0.7</v>
      </c>
    </row>
    <row r="453" spans="2:10" x14ac:dyDescent="0.25">
      <c r="B453" s="3">
        <f>B452+DeltaT</f>
        <v>2180</v>
      </c>
      <c r="C453" s="13">
        <f t="shared" si="32"/>
        <v>36.333333333333336</v>
      </c>
      <c r="D453" s="11">
        <f t="shared" si="33"/>
        <v>870.38594541441444</v>
      </c>
      <c r="E453" s="23">
        <f t="shared" si="34"/>
        <v>858.69541224787315</v>
      </c>
      <c r="F453" s="23">
        <f>AlphaC*(D453-E453)</f>
        <v>292.26332916353215</v>
      </c>
      <c r="G453" s="13">
        <f>Phi*EpsilonF*Botzman/10^8*J453*((D453+273)^4-(E453+273)^4)</f>
        <v>2732.0439659877356</v>
      </c>
      <c r="H453" s="23">
        <f t="shared" si="35"/>
        <v>684.55082399835237</v>
      </c>
      <c r="I453" s="12">
        <f>ksh*Massivete/(H453*RhoA)*DeltaT*(F453+G453)</f>
        <v>0.42357109829053285</v>
      </c>
      <c r="J453" s="3">
        <f>IF(E453&lt;=500,IF(Galva=Oui,0.35,0.7),0.7)</f>
        <v>0.7</v>
      </c>
    </row>
    <row r="454" spans="2:10" x14ac:dyDescent="0.25">
      <c r="B454" s="3">
        <f>B453+DeltaT</f>
        <v>2185</v>
      </c>
      <c r="C454" s="13">
        <f t="shared" si="32"/>
        <v>36.416666666666664</v>
      </c>
      <c r="D454" s="11">
        <f t="shared" si="33"/>
        <v>870.72802683300029</v>
      </c>
      <c r="E454" s="23">
        <f t="shared" si="34"/>
        <v>859.11898334616365</v>
      </c>
      <c r="F454" s="23">
        <f>AlphaC*(D454-E454)</f>
        <v>290.226087170916</v>
      </c>
      <c r="G454" s="13">
        <f>Phi*EpsilonF*Botzman/10^8*J454*((D454+273)^4-(E454+273)^4)</f>
        <v>2715.739027560151</v>
      </c>
      <c r="H454" s="23">
        <f t="shared" si="35"/>
        <v>684.08945836584019</v>
      </c>
      <c r="I454" s="12">
        <f>ksh*Massivete/(H454*RhoA)*DeltaT*(F454+G454)</f>
        <v>0.42128610718751586</v>
      </c>
      <c r="J454" s="3">
        <f>IF(E454&lt;=500,IF(Galva=Oui,0.35,0.7),0.7)</f>
        <v>0.7</v>
      </c>
    </row>
    <row r="455" spans="2:10" x14ac:dyDescent="0.25">
      <c r="B455" s="3">
        <f>B454+DeltaT</f>
        <v>2190</v>
      </c>
      <c r="C455" s="13">
        <f t="shared" si="32"/>
        <v>36.5</v>
      </c>
      <c r="D455" s="11">
        <f t="shared" si="33"/>
        <v>871.06932902216784</v>
      </c>
      <c r="E455" s="23">
        <f t="shared" si="34"/>
        <v>859.54026945335113</v>
      </c>
      <c r="F455" s="23">
        <f>AlphaC*(D455-E455)</f>
        <v>288.22648922041765</v>
      </c>
      <c r="G455" s="13">
        <f>Phi*EpsilonF*Botzman/10^8*J455*((D455+273)^4-(E455+273)^4)</f>
        <v>2699.739194278086</v>
      </c>
      <c r="H455" s="23">
        <f t="shared" si="35"/>
        <v>683.63359767163934</v>
      </c>
      <c r="I455" s="12">
        <f>ksh*Massivete/(H455*RhoA)*DeltaT*(F455+G455)</f>
        <v>0.41904272627614103</v>
      </c>
      <c r="J455" s="3">
        <f>IF(E455&lt;=500,IF(Galva=Oui,0.35,0.7),0.7)</f>
        <v>0.7</v>
      </c>
    </row>
    <row r="456" spans="2:10" x14ac:dyDescent="0.25">
      <c r="B456" s="3">
        <f>B455+DeltaT</f>
        <v>2195</v>
      </c>
      <c r="C456" s="13">
        <f t="shared" si="32"/>
        <v>36.583333333333336</v>
      </c>
      <c r="D456" s="11">
        <f t="shared" si="33"/>
        <v>871.40985552387281</v>
      </c>
      <c r="E456" s="23">
        <f t="shared" si="34"/>
        <v>859.95931217962732</v>
      </c>
      <c r="F456" s="23">
        <f>AlphaC*(D456-E456)</f>
        <v>286.26358360613722</v>
      </c>
      <c r="G456" s="13">
        <f>Phi*EpsilonF*Botzman/10^8*J456*((D456+273)^4-(E456+273)^4)</f>
        <v>2684.036931035826</v>
      </c>
      <c r="H456" s="23">
        <f t="shared" si="35"/>
        <v>683.18311914674712</v>
      </c>
      <c r="I456" s="12">
        <f>ksh*Massivete/(H456*RhoA)*DeltaT*(F456+G456)</f>
        <v>0.41683997698290876</v>
      </c>
      <c r="J456" s="3">
        <f>IF(E456&lt;=500,IF(Galva=Oui,0.35,0.7),0.7)</f>
        <v>0.7</v>
      </c>
    </row>
    <row r="457" spans="2:10" x14ac:dyDescent="0.25">
      <c r="B457" s="3">
        <f>B456+DeltaT</f>
        <v>2200</v>
      </c>
      <c r="C457" s="13">
        <f t="shared" si="32"/>
        <v>36.666666666666664</v>
      </c>
      <c r="D457" s="11">
        <f t="shared" si="33"/>
        <v>871.74960985597761</v>
      </c>
      <c r="E457" s="23">
        <f t="shared" si="34"/>
        <v>860.37615215661026</v>
      </c>
      <c r="F457" s="23">
        <f>AlphaC*(D457-E457)</f>
        <v>284.33644248418375</v>
      </c>
      <c r="G457" s="13">
        <f>Phi*EpsilonF*Botzman/10^8*J457*((D457+273)^4-(E457+273)^4)</f>
        <v>2668.6248773185971</v>
      </c>
      <c r="H457" s="23">
        <f t="shared" si="35"/>
        <v>682.7379038018446</v>
      </c>
      <c r="I457" s="12">
        <f>ksh*Massivete/(H457*RhoA)*DeltaT*(F457+G457)</f>
        <v>0.4146769001875677</v>
      </c>
      <c r="J457" s="3">
        <f>IF(E457&lt;=500,IF(Galva=Oui,0.35,0.7),0.7)</f>
        <v>0.7</v>
      </c>
    </row>
    <row r="458" spans="2:10" x14ac:dyDescent="0.25">
      <c r="B458" s="3">
        <f>B457+DeltaT</f>
        <v>2205</v>
      </c>
      <c r="C458" s="13">
        <f t="shared" si="32"/>
        <v>36.75</v>
      </c>
      <c r="D458" s="11">
        <f t="shared" si="33"/>
        <v>872.08859551246621</v>
      </c>
      <c r="E458" s="23">
        <f t="shared" si="34"/>
        <v>860.79082905679786</v>
      </c>
      <c r="F458" s="23">
        <f>AlphaC*(D458-E458)</f>
        <v>282.4441613917088</v>
      </c>
      <c r="G458" s="13">
        <f>Phi*EpsilonF*Botzman/10^8*J458*((D458+273)^4-(E458+273)^4)</f>
        <v>2653.4958444132508</v>
      </c>
      <c r="H458" s="23">
        <f t="shared" si="35"/>
        <v>682.29783629166718</v>
      </c>
      <c r="I458" s="12">
        <f>ksh*Massivete/(H458*RhoA)*DeltaT*(F458+G458)</f>
        <v>0.41255255611570935</v>
      </c>
      <c r="J458" s="3">
        <f>IF(E458&lt;=500,IF(Galva=Oui,0.35,0.7),0.7)</f>
        <v>0.7</v>
      </c>
    </row>
    <row r="459" spans="2:10" x14ac:dyDescent="0.25">
      <c r="B459" s="3">
        <f>B458+DeltaT</f>
        <v>2210</v>
      </c>
      <c r="C459" s="13">
        <f t="shared" si="32"/>
        <v>36.833333333333336</v>
      </c>
      <c r="D459" s="11">
        <f t="shared" si="33"/>
        <v>872.42681596366197</v>
      </c>
      <c r="E459" s="23">
        <f t="shared" si="34"/>
        <v>861.20338161291352</v>
      </c>
      <c r="F459" s="23">
        <f>AlphaC*(D459-E459)</f>
        <v>280.5858587687112</v>
      </c>
      <c r="G459" s="13">
        <f>Phi*EpsilonF*Botzman/10^8*J459*((D459+273)^4-(E459+273)^4)</f>
        <v>2638.6428125919679</v>
      </c>
      <c r="H459" s="23">
        <f t="shared" si="35"/>
        <v>681.86280478473088</v>
      </c>
      <c r="I459" s="12">
        <f>ksh*Massivete/(H459*RhoA)*DeltaT*(F459+G459)</f>
        <v>0.41046602421301948</v>
      </c>
      <c r="J459" s="3">
        <f>IF(E459&lt;=500,IF(Galva=Oui,0.35,0.7),0.7)</f>
        <v>0.7</v>
      </c>
    </row>
    <row r="460" spans="2:10" x14ac:dyDescent="0.25">
      <c r="B460" s="3">
        <f>B459+DeltaT</f>
        <v>2215</v>
      </c>
      <c r="C460" s="13">
        <f t="shared" si="32"/>
        <v>36.916666666666664</v>
      </c>
      <c r="D460" s="11">
        <f t="shared" si="33"/>
        <v>872.76427465644019</v>
      </c>
      <c r="E460" s="23">
        <f t="shared" si="34"/>
        <v>861.61384763712658</v>
      </c>
      <c r="F460" s="23">
        <f>AlphaC*(D460-E460)</f>
        <v>278.76067548284027</v>
      </c>
      <c r="G460" s="13">
        <f>Phi*EpsilonF*Botzman/10^8*J460*((D460+273)^4-(E460+273)^4)</f>
        <v>2624.0589282708106</v>
      </c>
      <c r="H460" s="23">
        <f t="shared" si="35"/>
        <v>681.4327008381822</v>
      </c>
      <c r="I460" s="12">
        <f>ksh*Massivete/(H460*RhoA)*DeltaT*(F460+G460)</f>
        <v>0.40841640300211574</v>
      </c>
      <c r="J460" s="3">
        <f>IF(E460&lt;=500,IF(Galva=Oui,0.35,0.7),0.7)</f>
        <v>0.7</v>
      </c>
    </row>
    <row r="461" spans="2:10" x14ac:dyDescent="0.25">
      <c r="B461" s="3">
        <f>B460+DeltaT</f>
        <v>2220</v>
      </c>
      <c r="C461" s="13">
        <f t="shared" si="32"/>
        <v>37</v>
      </c>
      <c r="D461" s="11">
        <f t="shared" si="33"/>
        <v>873.10097501443829</v>
      </c>
      <c r="E461" s="23">
        <f t="shared" si="34"/>
        <v>862.02226404012868</v>
      </c>
      <c r="F461" s="23">
        <f>AlphaC*(D461-E461)</f>
        <v>276.96777435774038</v>
      </c>
      <c r="G461" s="13">
        <f>Phi*EpsilonF*Botzman/10^8*J461*((D461+273)^4-(E461+273)^4)</f>
        <v>2609.7375011505587</v>
      </c>
      <c r="H461" s="23">
        <f t="shared" si="35"/>
        <v>681.00741927755269</v>
      </c>
      <c r="I461" s="12">
        <f>ksh*Massivete/(H461*RhoA)*DeltaT*(F461+G461)</f>
        <v>0.40640280992370015</v>
      </c>
      <c r="J461" s="3">
        <f>IF(E461&lt;=500,IF(Galva=Oui,0.35,0.7),0.7)</f>
        <v>0.7</v>
      </c>
    </row>
    <row r="462" spans="2:10" x14ac:dyDescent="0.25">
      <c r="B462" s="3">
        <f>B461+DeltaT</f>
        <v>2225</v>
      </c>
      <c r="C462" s="13">
        <f t="shared" si="32"/>
        <v>37.083333333333336</v>
      </c>
      <c r="D462" s="11">
        <f t="shared" si="33"/>
        <v>873.43692043826491</v>
      </c>
      <c r="E462" s="23">
        <f t="shared" si="34"/>
        <v>862.42866685005242</v>
      </c>
      <c r="F462" s="23">
        <f>AlphaC*(D462-E462)</f>
        <v>275.20633970531208</v>
      </c>
      <c r="G462" s="13">
        <f>Phi*EpsilonF*Botzman/10^8*J462*((D462+273)^4-(E462+273)^4)</f>
        <v>2595.6720013441945</v>
      </c>
      <c r="H462" s="23">
        <f t="shared" si="35"/>
        <v>680.58685808120481</v>
      </c>
      <c r="I462" s="12">
        <f>ksh*Massivete/(H462*RhoA)*DeltaT*(F462+G462)</f>
        <v>0.40442438116328189</v>
      </c>
      <c r="J462" s="3">
        <f>IF(E462&lt;=500,IF(Galva=Oui,0.35,0.7),0.7)</f>
        <v>0.7</v>
      </c>
    </row>
    <row r="463" spans="2:10" x14ac:dyDescent="0.25">
      <c r="B463" s="3">
        <f>B462+DeltaT</f>
        <v>2230</v>
      </c>
      <c r="C463" s="13">
        <f t="shared" si="32"/>
        <v>37.166666666666664</v>
      </c>
      <c r="D463" s="11">
        <f t="shared" si="33"/>
        <v>873.77211430570594</v>
      </c>
      <c r="E463" s="23">
        <f t="shared" si="34"/>
        <v>862.83309123121569</v>
      </c>
      <c r="F463" s="23">
        <f>AlphaC*(D463-E463)</f>
        <v>273.47557686225628</v>
      </c>
      <c r="G463" s="13">
        <f>Phi*EpsilonF*Botzman/10^8*J463*((D463+273)^4-(E463+273)^4)</f>
        <v>2581.8560564959876</v>
      </c>
      <c r="H463" s="23">
        <f t="shared" si="35"/>
        <v>680.17091826927094</v>
      </c>
      <c r="I463" s="12">
        <f>ksh*Massivete/(H463*RhoA)*DeltaT*(F463+G463)</f>
        <v>0.402480271464774</v>
      </c>
      <c r="J463" s="3">
        <f>IF(E463&lt;=500,IF(Galva=Oui,0.35,0.7),0.7)</f>
        <v>0.7</v>
      </c>
    </row>
    <row r="464" spans="2:10" x14ac:dyDescent="0.25">
      <c r="B464" s="3">
        <f>B463+DeltaT</f>
        <v>2235</v>
      </c>
      <c r="C464" s="13">
        <f t="shared" si="32"/>
        <v>37.25</v>
      </c>
      <c r="D464" s="11">
        <f t="shared" si="33"/>
        <v>874.10655997192816</v>
      </c>
      <c r="E464" s="23">
        <f t="shared" si="34"/>
        <v>863.2355715026805</v>
      </c>
      <c r="F464" s="23">
        <f>AlphaC*(D464-E464)</f>
        <v>271.77471173119159</v>
      </c>
      <c r="G464" s="13">
        <f>Phi*EpsilonF*Botzman/10^8*J464*((D464+273)^4-(E464+273)^4)</f>
        <v>2568.2834488953931</v>
      </c>
      <c r="H464" s="23">
        <f t="shared" si="35"/>
        <v>679.75950379689459</v>
      </c>
      <c r="I464" s="12">
        <f>ksh*Massivete/(H464*RhoA)*DeltaT*(F464+G464)</f>
        <v>0.40056965393199406</v>
      </c>
      <c r="J464" s="3">
        <f>IF(E464&lt;=500,IF(Galva=Oui,0.35,0.7),0.7)</f>
        <v>0.7</v>
      </c>
    </row>
    <row r="465" spans="2:10" x14ac:dyDescent="0.25">
      <c r="B465" s="3">
        <f>B464+DeltaT</f>
        <v>2240</v>
      </c>
      <c r="C465" s="13">
        <f t="shared" si="32"/>
        <v>37.333333333333336</v>
      </c>
      <c r="D465" s="11">
        <f t="shared" si="33"/>
        <v>874.44026076968032</v>
      </c>
      <c r="E465" s="23">
        <f t="shared" si="34"/>
        <v>863.63614115661244</v>
      </c>
      <c r="F465" s="23">
        <f>AlphaC*(D465-E465)</f>
        <v>270.10299032669707</v>
      </c>
      <c r="G465" s="13">
        <f>Phi*EpsilonF*Botzman/10^8*J465*((D465+273)^4-(E465+273)^4)</f>
        <v>2554.9481125915026</v>
      </c>
      <c r="H465" s="23">
        <f t="shared" si="35"/>
        <v>679.35252145159075</v>
      </c>
      <c r="I465" s="12">
        <f>ksh*Massivete/(H465*RhoA)*DeltaT*(F465+G465)</f>
        <v>0.39869171981943735</v>
      </c>
      <c r="J465" s="3">
        <f>IF(E465&lt;=500,IF(Galva=Oui,0.35,0.7),0.7)</f>
        <v>0.7</v>
      </c>
    </row>
    <row r="466" spans="2:10" x14ac:dyDescent="0.25">
      <c r="B466" s="3">
        <f>B465+DeltaT</f>
        <v>2245</v>
      </c>
      <c r="C466" s="13">
        <f t="shared" ref="C466:C529" si="36">B466/60</f>
        <v>37.416666666666664</v>
      </c>
      <c r="D466" s="11">
        <f t="shared" ref="D466:D529" si="37">20+345*LOG(8*C466+1,10)</f>
        <v>874.77322000949323</v>
      </c>
      <c r="E466" s="23">
        <f t="shared" si="34"/>
        <v>864.03483287643189</v>
      </c>
      <c r="F466" s="23">
        <f>AlphaC*(D466-E466)</f>
        <v>268.45967832653344</v>
      </c>
      <c r="G466" s="13">
        <f>Phi*EpsilonF*Botzman/10^8*J466*((D466+273)^4-(E466+273)^4)</f>
        <v>2541.8441305104539</v>
      </c>
      <c r="H466" s="23">
        <f t="shared" si="35"/>
        <v>678.94988075455342</v>
      </c>
      <c r="I466" s="12">
        <f>ksh*Massivete/(H466*RhoA)*DeltaT*(F466+G466)</f>
        <v>0.39684567831318696</v>
      </c>
      <c r="J466" s="3">
        <f>IF(E466&lt;=500,IF(Galva=Oui,0.35,0.7),0.7)</f>
        <v>0.7</v>
      </c>
    </row>
    <row r="467" spans="2:10" x14ac:dyDescent="0.25">
      <c r="B467" s="3">
        <f>B466+DeltaT</f>
        <v>2250</v>
      </c>
      <c r="C467" s="13">
        <f t="shared" si="36"/>
        <v>37.5</v>
      </c>
      <c r="D467" s="11">
        <f t="shared" si="37"/>
        <v>875.10544097987588</v>
      </c>
      <c r="E467" s="23">
        <f t="shared" si="34"/>
        <v>864.43167855474508</v>
      </c>
      <c r="F467" s="23">
        <f>AlphaC*(D467-E467)</f>
        <v>266.84406062827009</v>
      </c>
      <c r="G467" s="13">
        <f>Phi*EpsilonF*Botzman/10^8*J467*((D467+273)^4-(E467+273)^4)</f>
        <v>2528.9657315797058</v>
      </c>
      <c r="H467" s="23">
        <f t="shared" si="35"/>
        <v>678.55149386574431</v>
      </c>
      <c r="I467" s="12">
        <f>ksh*Massivete/(H467*RhoA)*DeltaT*(F467+G467)</f>
        <v>0.39503075630301077</v>
      </c>
      <c r="J467" s="3">
        <f>IF(E467&lt;=500,IF(Galva=Oui,0.35,0.7),0.7)</f>
        <v>0.7</v>
      </c>
    </row>
    <row r="468" spans="2:10" x14ac:dyDescent="0.25">
      <c r="B468" s="3">
        <f>B467+DeltaT</f>
        <v>2255</v>
      </c>
      <c r="C468" s="13">
        <f t="shared" si="36"/>
        <v>37.583333333333336</v>
      </c>
      <c r="D468" s="11">
        <f t="shared" si="37"/>
        <v>875.43692694751155</v>
      </c>
      <c r="E468" s="23">
        <f t="shared" si="34"/>
        <v>864.82670931104803</v>
      </c>
      <c r="F468" s="23">
        <f>AlphaC*(D468-E468)</f>
        <v>265.25544091158793</v>
      </c>
      <c r="G468" s="13">
        <f>Phi*EpsilonF*Botzman/10^8*J468*((D468+273)^4-(E468+273)^4)</f>
        <v>2516.3072878635567</v>
      </c>
      <c r="H468" s="23">
        <f t="shared" si="35"/>
        <v>678.15727549260509</v>
      </c>
      <c r="I468" s="12">
        <f>ksh*Massivete/(H468*RhoA)*DeltaT*(F468+G468)</f>
        <v>0.39324619814674955</v>
      </c>
      <c r="J468" s="3">
        <f>IF(E468&lt;=500,IF(Galva=Oui,0.35,0.7),0.7)</f>
        <v>0.7</v>
      </c>
    </row>
    <row r="469" spans="2:10" x14ac:dyDescent="0.25">
      <c r="B469" s="3">
        <f>B468+DeltaT</f>
        <v>2260</v>
      </c>
      <c r="C469" s="13">
        <f t="shared" si="36"/>
        <v>37.666666666666664</v>
      </c>
      <c r="D469" s="11">
        <f t="shared" si="37"/>
        <v>875.76768115744926</v>
      </c>
      <c r="E469" s="23">
        <f t="shared" si="34"/>
        <v>865.21995550919473</v>
      </c>
      <c r="F469" s="23">
        <f>AlphaC*(D469-E469)</f>
        <v>263.69314120636318</v>
      </c>
      <c r="G469" s="13">
        <f>Phi*EpsilonF*Botzman/10^8*J469*((D469+273)^4-(E469+273)^4)</f>
        <v>2503.8633117102036</v>
      </c>
      <c r="H469" s="23">
        <f t="shared" si="35"/>
        <v>677.76714280224337</v>
      </c>
      <c r="I469" s="12">
        <f>ksh*Massivete/(H469*RhoA)*DeltaT*(F469+G469)</f>
        <v>0.39149126542748097</v>
      </c>
      <c r="J469" s="3">
        <f>IF(E469&lt;=500,IF(Galva=Oui,0.35,0.7),0.7)</f>
        <v>0.7</v>
      </c>
    </row>
    <row r="470" spans="2:10" x14ac:dyDescent="0.25">
      <c r="B470" s="3">
        <f>B469+DeltaT</f>
        <v>2265</v>
      </c>
      <c r="C470" s="13">
        <f t="shared" si="36"/>
        <v>37.75</v>
      </c>
      <c r="D470" s="11">
        <f t="shared" si="37"/>
        <v>876.09770683329521</v>
      </c>
      <c r="E470" s="23">
        <f t="shared" si="34"/>
        <v>865.61144677462221</v>
      </c>
      <c r="F470" s="23">
        <f>AlphaC*(D470-E470)</f>
        <v>262.15650146682492</v>
      </c>
      <c r="G470" s="13">
        <f>Phi*EpsilonF*Botzman/10^8*J470*((D470+273)^4-(E470+273)^4)</f>
        <v>2491.6284529162995</v>
      </c>
      <c r="H470" s="23">
        <f t="shared" si="35"/>
        <v>677.38101533694783</v>
      </c>
      <c r="I470" s="12">
        <f>ksh*Massivete/(H470*RhoA)*DeltaT*(F470+G470)</f>
        <v>0.38976523670475244</v>
      </c>
      <c r="J470" s="3">
        <f>IF(E470&lt;=500,IF(Galva=Oui,0.35,0.7),0.7)</f>
        <v>0.7</v>
      </c>
    </row>
    <row r="471" spans="2:10" x14ac:dyDescent="0.25">
      <c r="B471" s="3">
        <f>B470+DeltaT</f>
        <v>2270</v>
      </c>
      <c r="C471" s="13">
        <f t="shared" si="36"/>
        <v>37.833333333333336</v>
      </c>
      <c r="D471" s="11">
        <f t="shared" si="37"/>
        <v>876.42700717740081</v>
      </c>
      <c r="E471" s="23">
        <f t="shared" si="34"/>
        <v>866.00121201132697</v>
      </c>
      <c r="F471" s="23">
        <f>AlphaC*(D471-E471)</f>
        <v>260.644879151846</v>
      </c>
      <c r="G471" s="13">
        <f>Phi*EpsilonF*Botzman/10^8*J471*((D471+273)^4-(E471+273)^4)</f>
        <v>2479.5974959095065</v>
      </c>
      <c r="H471" s="23">
        <f t="shared" si="35"/>
        <v>676.9988149328974</v>
      </c>
      <c r="I471" s="12">
        <f>ksh*Massivete/(H471*RhoA)*DeltaT*(F471+G471)</f>
        <v>0.38806740726035055</v>
      </c>
      <c r="J471" s="3">
        <f>IF(E471&lt;=500,IF(Galva=Oui,0.35,0.7),0.7)</f>
        <v>0.7</v>
      </c>
    </row>
    <row r="472" spans="2:10" x14ac:dyDescent="0.25">
      <c r="B472" s="3">
        <f>B471+DeltaT</f>
        <v>2275</v>
      </c>
      <c r="C472" s="13">
        <f t="shared" si="36"/>
        <v>37.916666666666664</v>
      </c>
      <c r="D472" s="11">
        <f t="shared" si="37"/>
        <v>876.75558537104962</v>
      </c>
      <c r="E472" s="23">
        <f t="shared" si="34"/>
        <v>866.38927941858731</v>
      </c>
      <c r="F472" s="23">
        <f>AlphaC*(D472-E472)</f>
        <v>259.15764881155781</v>
      </c>
      <c r="G472" s="13">
        <f>Phi*EpsilonF*Botzman/10^8*J472*((D472+273)^4-(E472+273)^4)</f>
        <v>2467.7653569523568</v>
      </c>
      <c r="H472" s="23">
        <f t="shared" si="35"/>
        <v>676.62046564193122</v>
      </c>
      <c r="I472" s="12">
        <f>ksh*Massivete/(H472*RhoA)*DeltaT*(F472+G472)</f>
        <v>0.38639708883948193</v>
      </c>
      <c r="J472" s="3">
        <f>IF(E472&lt;=500,IF(Galva=Oui,0.35,0.7),0.7)</f>
        <v>0.7</v>
      </c>
    </row>
    <row r="473" spans="2:10" x14ac:dyDescent="0.25">
      <c r="B473" s="3">
        <f>B472+DeltaT</f>
        <v>2280</v>
      </c>
      <c r="C473" s="13">
        <f t="shared" si="36"/>
        <v>38</v>
      </c>
      <c r="D473" s="11">
        <f t="shared" si="37"/>
        <v>877.08344457464113</v>
      </c>
      <c r="E473" s="23">
        <f t="shared" si="34"/>
        <v>866.77567650742674</v>
      </c>
      <c r="F473" s="23">
        <f>AlphaC*(D473-E473)</f>
        <v>257.69420168035992</v>
      </c>
      <c r="G473" s="13">
        <f>Phi*EpsilonF*Botzman/10^8*J473*((D473+273)^4-(E473+273)^4)</f>
        <v>2456.1270813688943</v>
      </c>
      <c r="H473" s="23">
        <f t="shared" si="35"/>
        <v>676.24589365625638</v>
      </c>
      <c r="I473" s="12">
        <f>ksh*Massivete/(H473*RhoA)*DeltaT*(F473+G473)</f>
        <v>0.38475360938793907</v>
      </c>
      <c r="J473" s="3">
        <f>IF(E473&lt;=500,IF(Galva=Oui,0.35,0.7),0.7)</f>
        <v>0.7</v>
      </c>
    </row>
    <row r="474" spans="2:10" x14ac:dyDescent="0.25">
      <c r="B474" s="3">
        <f>B473+DeltaT</f>
        <v>2285</v>
      </c>
      <c r="C474" s="13">
        <f t="shared" si="36"/>
        <v>38.083333333333336</v>
      </c>
      <c r="D474" s="11">
        <f t="shared" si="37"/>
        <v>877.41058792787373</v>
      </c>
      <c r="E474" s="23">
        <f t="shared" si="34"/>
        <v>867.16043011681472</v>
      </c>
      <c r="F474" s="23">
        <f>AlphaC*(D474-E474)</f>
        <v>256.25394527647529</v>
      </c>
      <c r="G474" s="13">
        <f>Phi*EpsilonF*Botzman/10^8*J474*((D474+273)^4-(E474+273)^4)</f>
        <v>2444.6778407974307</v>
      </c>
      <c r="H474" s="23">
        <f t="shared" si="35"/>
        <v>675.87502723597356</v>
      </c>
      <c r="I474" s="12">
        <f>ksh*Massivete/(H474*RhoA)*DeltaT*(F474+G474)</f>
        <v>0.38313631278608795</v>
      </c>
      <c r="J474" s="3">
        <f>IF(E474&lt;=500,IF(Galva=Oui,0.35,0.7),0.7)</f>
        <v>0.7</v>
      </c>
    </row>
    <row r="475" spans="2:10" x14ac:dyDescent="0.25">
      <c r="B475" s="3">
        <f>B474+DeltaT</f>
        <v>2290</v>
      </c>
      <c r="C475" s="13">
        <f t="shared" si="36"/>
        <v>38.166666666666664</v>
      </c>
      <c r="D475" s="11">
        <f t="shared" si="37"/>
        <v>877.73701854992464</v>
      </c>
      <c r="E475" s="23">
        <f t="shared" si="34"/>
        <v>867.54356642960079</v>
      </c>
      <c r="F475" s="23">
        <f>AlphaC*(D475-E475)</f>
        <v>254.83630300809637</v>
      </c>
      <c r="G475" s="13">
        <f>Phi*EpsilonF*Botzman/10^8*J475*((D475+273)^4-(E475+273)^4)</f>
        <v>2433.4129304692615</v>
      </c>
      <c r="H475" s="23">
        <f t="shared" si="35"/>
        <v>675.50779663930666</v>
      </c>
      <c r="I475" s="12">
        <f>ksh*Massivete/(H475*RhoA)*DeltaT*(F475+G475)</f>
        <v>0.38154455857999214</v>
      </c>
      <c r="J475" s="3">
        <f>IF(E475&lt;=500,IF(Galva=Oui,0.35,0.7),0.7)</f>
        <v>0.7</v>
      </c>
    </row>
    <row r="476" spans="2:10" x14ac:dyDescent="0.25">
      <c r="B476" s="3">
        <f>B475+DeltaT</f>
        <v>2295</v>
      </c>
      <c r="C476" s="13">
        <f t="shared" si="36"/>
        <v>38.25</v>
      </c>
      <c r="D476" s="11">
        <f t="shared" si="37"/>
        <v>878.06273953962921</v>
      </c>
      <c r="E476" s="23">
        <f t="shared" si="34"/>
        <v>867.92511098818079</v>
      </c>
      <c r="F476" s="23">
        <f>AlphaC*(D476-E476)</f>
        <v>253.44071378621038</v>
      </c>
      <c r="G476" s="13">
        <f>Phi*EpsilonF*Botzman/10^8*J476*((D476+273)^4-(E476+273)^4)</f>
        <v>2422.3277665172459</v>
      </c>
      <c r="H476" s="23">
        <f t="shared" si="35"/>
        <v>675.14413405542678</v>
      </c>
      <c r="I476" s="12">
        <f>ksh*Massivete/(H476*RhoA)*DeltaT*(F476+G476)</f>
        <v>0.37997772171055122</v>
      </c>
      <c r="J476" s="3">
        <f>IF(E476&lt;=500,IF(Galva=Oui,0.35,0.7),0.7)</f>
        <v>0.7</v>
      </c>
    </row>
    <row r="477" spans="2:10" x14ac:dyDescent="0.25">
      <c r="B477" s="3">
        <f>B476+DeltaT</f>
        <v>2300</v>
      </c>
      <c r="C477" s="13">
        <f t="shared" si="36"/>
        <v>38.333333333333336</v>
      </c>
      <c r="D477" s="11">
        <f t="shared" si="37"/>
        <v>878.38775397565598</v>
      </c>
      <c r="E477" s="23">
        <f t="shared" si="34"/>
        <v>868.30508870989138</v>
      </c>
      <c r="F477" s="23">
        <f>AlphaC*(D477-E477)</f>
        <v>252.06663164411509</v>
      </c>
      <c r="G477" s="13">
        <f>Phi*EpsilonF*Botzman/10^8*J477*((D477+273)^4-(E477+273)^4)</f>
        <v>2411.4178833137862</v>
      </c>
      <c r="H477" s="23">
        <f t="shared" si="35"/>
        <v>674.78397353976766</v>
      </c>
      <c r="I477" s="12">
        <f>ksh*Massivete/(H477*RhoA)*DeltaT*(F477+G477)</f>
        <v>0.37843519224089184</v>
      </c>
      <c r="J477" s="3">
        <f>IF(E477&lt;=500,IF(Galva=Oui,0.35,0.7),0.7)</f>
        <v>0.7</v>
      </c>
    </row>
    <row r="478" spans="2:10" x14ac:dyDescent="0.25">
      <c r="B478" s="3">
        <f>B477+DeltaT</f>
        <v>2305</v>
      </c>
      <c r="C478" s="13">
        <f t="shared" si="36"/>
        <v>38.416666666666664</v>
      </c>
      <c r="D478" s="11">
        <f t="shared" si="37"/>
        <v>878.71206491668261</v>
      </c>
      <c r="E478" s="23">
        <f t="shared" si="34"/>
        <v>868.68352390213226</v>
      </c>
      <c r="F478" s="23">
        <f>AlphaC*(D478-E478)</f>
        <v>250.71352536375855</v>
      </c>
      <c r="G478" s="13">
        <f>Phi*EpsilonF*Botzman/10^8*J478*((D478+273)^4-(E478+273)^4)</f>
        <v>2400.6789308413649</v>
      </c>
      <c r="H478" s="23">
        <f t="shared" si="35"/>
        <v>674.42725095173159</v>
      </c>
      <c r="I478" s="12">
        <f>ksh*Massivete/(H478*RhoA)*DeltaT*(F478+G478)</f>
        <v>0.37691637508276488</v>
      </c>
      <c r="J478" s="3">
        <f>IF(E478&lt;=500,IF(Galva=Oui,0.35,0.7),0.7)</f>
        <v>0.7</v>
      </c>
    </row>
    <row r="479" spans="2:10" x14ac:dyDescent="0.25">
      <c r="B479" s="3">
        <f>B478+DeltaT</f>
        <v>2310</v>
      </c>
      <c r="C479" s="13">
        <f t="shared" si="36"/>
        <v>38.5</v>
      </c>
      <c r="D479" s="11">
        <f t="shared" si="37"/>
        <v>879.03567540156791</v>
      </c>
      <c r="E479" s="23">
        <f t="shared" si="34"/>
        <v>869.06044027721498</v>
      </c>
      <c r="F479" s="23">
        <f>AlphaC*(D479-E479)</f>
        <v>249.38087810882337</v>
      </c>
      <c r="G479" s="13">
        <f>Phi*EpsilonF*Botzman/10^8*J479*((D479+273)^4-(E479+273)^4)</f>
        <v>2390.1066720951176</v>
      </c>
      <c r="H479" s="23">
        <f t="shared" si="35"/>
        <v>674.07390389469117</v>
      </c>
      <c r="I479" s="12">
        <f>ksh*Massivete/(H479*RhoA)*DeltaT*(F479+G479)</f>
        <v>0.37542068972214004</v>
      </c>
      <c r="J479" s="3">
        <f>IF(E479&lt;=500,IF(Galva=Oui,0.35,0.7),0.7)</f>
        <v>0.7</v>
      </c>
    </row>
    <row r="480" spans="2:10" x14ac:dyDescent="0.25">
      <c r="B480" s="3">
        <f>B479+DeltaT</f>
        <v>2315</v>
      </c>
      <c r="C480" s="13">
        <f t="shared" si="36"/>
        <v>38.583333333333336</v>
      </c>
      <c r="D480" s="11">
        <f t="shared" si="37"/>
        <v>879.35858844952281</v>
      </c>
      <c r="E480" s="23">
        <f t="shared" si="34"/>
        <v>869.43586096693707</v>
      </c>
      <c r="F480" s="23">
        <f>AlphaC*(D480-E480)</f>
        <v>248.06818706464355</v>
      </c>
      <c r="G480" s="13">
        <f>Phi*EpsilonF*Botzman/10^8*J480*((D480+273)^4-(E480+273)^4)</f>
        <v>2379.6969805203853</v>
      </c>
      <c r="H480" s="23">
        <f t="shared" si="35"/>
        <v>673.72387165819691</v>
      </c>
      <c r="I480" s="12">
        <f>ksh*Massivete/(H480*RhoA)*DeltaT*(F480+G480)</f>
        <v>0.37394756994469036</v>
      </c>
      <c r="J480" s="3">
        <f>IF(E480&lt;=500,IF(Galva=Oui,0.35,0.7),0.7)</f>
        <v>0.7</v>
      </c>
    </row>
    <row r="481" spans="2:10" x14ac:dyDescent="0.25">
      <c r="B481" s="3">
        <f>B480+DeltaT</f>
        <v>2320</v>
      </c>
      <c r="C481" s="13">
        <f t="shared" si="36"/>
        <v>38.666666666666664</v>
      </c>
      <c r="D481" s="11">
        <f t="shared" si="37"/>
        <v>879.68080706027945</v>
      </c>
      <c r="E481" s="23">
        <f t="shared" si="34"/>
        <v>869.80980853688175</v>
      </c>
      <c r="F481" s="23">
        <f>AlphaC*(D481-E481)</f>
        <v>246.77496308494256</v>
      </c>
      <c r="G481" s="13">
        <f>Phi*EpsilonF*Botzman/10^8*J481*((D481+273)^4-(E481+273)^4)</f>
        <v>2369.4458374845035</v>
      </c>
      <c r="H481" s="23">
        <f t="shared" si="35"/>
        <v>673.37709516230063</v>
      </c>
      <c r="I481" s="12">
        <f>ksh*Massivete/(H481*RhoA)*DeltaT*(F481+G481)</f>
        <v>0.37249646356131488</v>
      </c>
      <c r="J481" s="3">
        <f>IF(E481&lt;=500,IF(Galva=Oui,0.35,0.7),0.7)</f>
        <v>0.7</v>
      </c>
    </row>
    <row r="482" spans="2:10" x14ac:dyDescent="0.25">
      <c r="B482" s="3">
        <f>B481+DeltaT</f>
        <v>2325</v>
      </c>
      <c r="C482" s="13">
        <f t="shared" si="36"/>
        <v>38.75</v>
      </c>
      <c r="D482" s="11">
        <f t="shared" si="37"/>
        <v>880.00233421425878</v>
      </c>
      <c r="E482" s="23">
        <f t="shared" si="34"/>
        <v>870.18230500044308</v>
      </c>
      <c r="F482" s="23">
        <f>AlphaC*(D482-E482)</f>
        <v>245.50073034539253</v>
      </c>
      <c r="G482" s="13">
        <f>Phi*EpsilonF*Botzman/10^8*J482*((D482+273)^4-(E482+273)^4)</f>
        <v>2359.3493297851496</v>
      </c>
      <c r="H482" s="23">
        <f t="shared" si="35"/>
        <v>673.03351690391446</v>
      </c>
      <c r="I482" s="12">
        <f>ksh*Massivete/(H482*RhoA)*DeltaT*(F482+G482)</f>
        <v>0.37106683213426755</v>
      </c>
      <c r="J482" s="3">
        <f>IF(E482&lt;=500,IF(Galva=Oui,0.35,0.7),0.7)</f>
        <v>0.7</v>
      </c>
    </row>
    <row r="483" spans="2:10" x14ac:dyDescent="0.25">
      <c r="B483" s="3">
        <f>B482+DeltaT</f>
        <v>2330</v>
      </c>
      <c r="C483" s="13">
        <f t="shared" si="36"/>
        <v>38.833333333333336</v>
      </c>
      <c r="D483" s="11">
        <f t="shared" si="37"/>
        <v>880.32317287273509</v>
      </c>
      <c r="E483" s="23">
        <f t="shared" si="34"/>
        <v>870.55337183257734</v>
      </c>
      <c r="F483" s="23">
        <f>AlphaC*(D483-E483)</f>
        <v>244.24502600394362</v>
      </c>
      <c r="G483" s="13">
        <f>Phi*EpsilonF*Botzman/10^8*J483*((D483+273)^4-(E483+273)^4)</f>
        <v>2349.4036471952295</v>
      </c>
      <c r="H483" s="23">
        <f t="shared" si="35"/>
        <v>672.69308090512288</v>
      </c>
      <c r="I483" s="12">
        <f>ksh*Massivete/(H483*RhoA)*DeltaT*(F483+G483)</f>
        <v>0.36965815070411762</v>
      </c>
      <c r="J483" s="3">
        <f>IF(E483&lt;=500,IF(Galva=Oui,0.35,0.7),0.7)</f>
        <v>0.7</v>
      </c>
    </row>
    <row r="484" spans="2:10" x14ac:dyDescent="0.25">
      <c r="B484" s="3">
        <f>B483+DeltaT</f>
        <v>2335</v>
      </c>
      <c r="C484" s="13">
        <f t="shared" si="36"/>
        <v>38.916666666666664</v>
      </c>
      <c r="D484" s="11">
        <f t="shared" si="37"/>
        <v>880.64332597799989</v>
      </c>
      <c r="E484" s="23">
        <f t="shared" si="34"/>
        <v>870.92302998328148</v>
      </c>
      <c r="F484" s="23">
        <f>AlphaC*(D484-E484)</f>
        <v>243.00739986796032</v>
      </c>
      <c r="G484" s="13">
        <f>Phi*EpsilonF*Botzman/10^8*J484*((D484+273)^4-(E484+273)^4)</f>
        <v>2339.6050800444755</v>
      </c>
      <c r="H484" s="23">
        <f t="shared" si="35"/>
        <v>672.3557326633736</v>
      </c>
      <c r="I484" s="12">
        <f>ksh*Massivete/(H484*RhoA)*DeltaT*(F484+G484)</f>
        <v>0.36826990751778954</v>
      </c>
      <c r="J484" s="3">
        <f>IF(E484&lt;=500,IF(Galva=Oui,0.35,0.7),0.7)</f>
        <v>0.7</v>
      </c>
    </row>
    <row r="485" spans="2:10" x14ac:dyDescent="0.25">
      <c r="B485" s="3">
        <f>B484+DeltaT</f>
        <v>2340</v>
      </c>
      <c r="C485" s="13">
        <f t="shared" si="36"/>
        <v>39</v>
      </c>
      <c r="D485" s="11">
        <f t="shared" si="37"/>
        <v>880.96279645352467</v>
      </c>
      <c r="E485" s="23">
        <f t="shared" si="34"/>
        <v>871.29129989079922</v>
      </c>
      <c r="F485" s="23">
        <f>AlphaC*(D485-E485)</f>
        <v>241.78741406813629</v>
      </c>
      <c r="G485" s="13">
        <f>Phi*EpsilonF*Botzman/10^8*J485*((D485+273)^4-(E485+273)^4)</f>
        <v>2329.9500168406394</v>
      </c>
      <c r="H485" s="23">
        <f t="shared" si="35"/>
        <v>672.02141910347143</v>
      </c>
      <c r="I485" s="12">
        <f>ksh*Massivete/(H485*RhoA)*DeltaT*(F485+G485)</f>
        <v>0.36690160375830377</v>
      </c>
      <c r="J485" s="3">
        <f>IF(E485&lt;=500,IF(Galva=Oui,0.35,0.7),0.7)</f>
        <v>0.7</v>
      </c>
    </row>
    <row r="486" spans="2:10" x14ac:dyDescent="0.25">
      <c r="B486" s="3">
        <f>B485+DeltaT</f>
        <v>2345</v>
      </c>
      <c r="C486" s="13">
        <f t="shared" si="36"/>
        <v>39.083333333333336</v>
      </c>
      <c r="D486" s="11">
        <f t="shared" si="37"/>
        <v>881.28158720412</v>
      </c>
      <c r="E486" s="23">
        <f t="shared" si="34"/>
        <v>871.65820149455749</v>
      </c>
      <c r="F486" s="23">
        <f>AlphaC*(D486-E486)</f>
        <v>240.58464273906282</v>
      </c>
      <c r="G486" s="13">
        <f>Phi*EpsilonF*Botzman/10^8*J486*((D486+273)^4-(E486+273)^4)</f>
        <v>2320.4349419269615</v>
      </c>
      <c r="H486" s="23">
        <f t="shared" si="35"/>
        <v>671.69008853130765</v>
      </c>
      <c r="I486" s="12">
        <f>ksh*Massivete/(H486*RhoA)*DeltaT*(F486+G486)</f>
        <v>0.36555275327592984</v>
      </c>
      <c r="J486" s="3">
        <f>IF(E486&lt;=500,IF(Galva=Oui,0.35,0.7),0.7)</f>
        <v>0.7</v>
      </c>
    </row>
    <row r="487" spans="2:10" x14ac:dyDescent="0.25">
      <c r="B487" s="3">
        <f>B486+DeltaT</f>
        <v>2350</v>
      </c>
      <c r="C487" s="13">
        <f t="shared" si="36"/>
        <v>39.166666666666664</v>
      </c>
      <c r="D487" s="11">
        <f t="shared" si="37"/>
        <v>881.59970111609459</v>
      </c>
      <c r="E487" s="23">
        <f t="shared" si="34"/>
        <v>872.02375424783338</v>
      </c>
      <c r="F487" s="23">
        <f>AlphaC*(D487-E487)</f>
        <v>239.39867170653031</v>
      </c>
      <c r="G487" s="13">
        <f>Phi*EpsilonF*Botzman/10^8*J487*((D487+273)^4-(E487+273)^4)</f>
        <v>2311.0564331804985</v>
      </c>
      <c r="H487" s="23">
        <f t="shared" si="35"/>
        <v>671.361690589256</v>
      </c>
      <c r="I487" s="12">
        <f>ksh*Massivete/(H487*RhoA)*DeltaT*(F487+G487)</f>
        <v>0.36422288232160982</v>
      </c>
      <c r="J487" s="3">
        <f>IF(E487&lt;=500,IF(Galva=Oui,0.35,0.7),0.7)</f>
        <v>0.7</v>
      </c>
    </row>
    <row r="488" spans="2:10" x14ac:dyDescent="0.25">
      <c r="B488" s="3">
        <f>B487+DeltaT</f>
        <v>2355</v>
      </c>
      <c r="C488" s="13">
        <f t="shared" si="36"/>
        <v>39.25</v>
      </c>
      <c r="D488" s="11">
        <f t="shared" si="37"/>
        <v>881.9171410574121</v>
      </c>
      <c r="E488" s="23">
        <f t="shared" si="34"/>
        <v>872.38797713015504</v>
      </c>
      <c r="F488" s="23">
        <f>AlphaC*(D488-E488)</f>
        <v>238.22909818142648</v>
      </c>
      <c r="G488" s="13">
        <f>Phi*EpsilonF*Botzman/10^8*J488*((D488+273)^4-(E488+273)^4)</f>
        <v>2301.8111597485436</v>
      </c>
      <c r="H488" s="23">
        <f t="shared" si="35"/>
        <v>671.03617621317096</v>
      </c>
      <c r="I488" s="12">
        <f>ksh*Massivete/(H488*RhoA)*DeltaT*(F488+G488)</f>
        <v>0.36291152928242859</v>
      </c>
      <c r="J488" s="3">
        <f>IF(E488&lt;=500,IF(Galva=Oui,0.35,0.7),0.7)</f>
        <v>0.7</v>
      </c>
    </row>
    <row r="489" spans="2:10" x14ac:dyDescent="0.25">
      <c r="B489" s="3">
        <f>B488+DeltaT</f>
        <v>2360</v>
      </c>
      <c r="C489" s="13">
        <f t="shared" si="36"/>
        <v>39.333333333333336</v>
      </c>
      <c r="D489" s="11">
        <f t="shared" si="37"/>
        <v>882.23390987784558</v>
      </c>
      <c r="E489" s="23">
        <f t="shared" si="34"/>
        <v>872.75088865943746</v>
      </c>
      <c r="F489" s="23">
        <f>AlphaC*(D489-E489)</f>
        <v>237.0755304602028</v>
      </c>
      <c r="G489" s="13">
        <f>Phi*EpsilonF*Botzman/10^8*J489*((D489+273)^4-(E489+273)^4)</f>
        <v>2292.6958798242313</v>
      </c>
      <c r="H489" s="23">
        <f t="shared" si="35"/>
        <v>670.71349759092732</v>
      </c>
      <c r="I489" s="12">
        <f>ksh*Massivete/(H489*RhoA)*DeltaT*(F489+G489)</f>
        <v>0.3616182444194565</v>
      </c>
      <c r="J489" s="3">
        <f>IF(E489&lt;=500,IF(Galva=Oui,0.35,0.7),0.7)</f>
        <v>0.7</v>
      </c>
    </row>
    <row r="490" spans="2:10" x14ac:dyDescent="0.25">
      <c r="B490" s="3">
        <f>B489+DeltaT</f>
        <v>2365</v>
      </c>
      <c r="C490" s="13">
        <f t="shared" si="36"/>
        <v>39.416666666666664</v>
      </c>
      <c r="D490" s="11">
        <f t="shared" si="37"/>
        <v>882.55001040913226</v>
      </c>
      <c r="E490" s="23">
        <f t="shared" si="34"/>
        <v>873.11250690385691</v>
      </c>
      <c r="F490" s="23">
        <f>AlphaC*(D490-E490)</f>
        <v>235.93758763188362</v>
      </c>
      <c r="G490" s="13">
        <f>Phi*EpsilonF*Botzman/10^8*J490*((D490+273)^4-(E490+273)^4)</f>
        <v>2283.7074384627858</v>
      </c>
      <c r="H490" s="23">
        <f t="shared" si="35"/>
        <v>670.39360812244149</v>
      </c>
      <c r="I490" s="12">
        <f>ksh*Massivete/(H490*RhoA)*DeltaT*(F490+G490)</f>
        <v>0.36034258960834353</v>
      </c>
      <c r="J490" s="3">
        <f>IF(E490&lt;=500,IF(Galva=Oui,0.35,0.7),0.7)</f>
        <v>0.7</v>
      </c>
    </row>
    <row r="491" spans="2:10" x14ac:dyDescent="0.25">
      <c r="B491" s="3">
        <f>B490+DeltaT</f>
        <v>2370</v>
      </c>
      <c r="C491" s="13">
        <f t="shared" si="36"/>
        <v>39.5</v>
      </c>
      <c r="D491" s="11">
        <f t="shared" si="37"/>
        <v>882.86544546512414</v>
      </c>
      <c r="E491" s="23">
        <f t="shared" si="34"/>
        <v>873.47284949346522</v>
      </c>
      <c r="F491" s="23">
        <f>AlphaC*(D491-E491)</f>
        <v>234.81489929147301</v>
      </c>
      <c r="G491" s="13">
        <f>Phi*EpsilonF*Botzman/10^8*J491*((D491+273)^4-(E491+273)^4)</f>
        <v>2274.8427654367279</v>
      </c>
      <c r="H491" s="23">
        <f t="shared" si="35"/>
        <v>670.07646238111738</v>
      </c>
      <c r="I491" s="12">
        <f>ksh*Massivete/(H491*RhoA)*DeltaT*(F491+G491)</f>
        <v>0.35908413808256667</v>
      </c>
      <c r="J491" s="3">
        <f>IF(E491&lt;=500,IF(Galva=Oui,0.35,0.7),0.7)</f>
        <v>0.7</v>
      </c>
    </row>
    <row r="492" spans="2:10" x14ac:dyDescent="0.25">
      <c r="B492" s="3">
        <f>B491+DeltaT</f>
        <v>2375</v>
      </c>
      <c r="C492" s="13">
        <f t="shared" si="36"/>
        <v>39.583333333333336</v>
      </c>
      <c r="D492" s="11">
        <f t="shared" si="37"/>
        <v>883.18021784193911</v>
      </c>
      <c r="E492" s="23">
        <f t="shared" si="34"/>
        <v>873.83193363154783</v>
      </c>
      <c r="F492" s="23">
        <f>AlphaC*(D492-E492)</f>
        <v>233.70710525978211</v>
      </c>
      <c r="G492" s="13">
        <f>Phi*EpsilonF*Botzman/10^8*J492*((D492+273)^4-(E492+273)^4)</f>
        <v>2266.0988731307266</v>
      </c>
      <c r="H492" s="23">
        <f t="shared" si="35"/>
        <v>669.7620160766628</v>
      </c>
      <c r="I492" s="12">
        <f>ksh*Massivete/(H492*RhoA)*DeltaT*(F492+G492)</f>
        <v>0.35784247417958942</v>
      </c>
      <c r="J492" s="3">
        <f>IF(E492&lt;=500,IF(Galva=Oui,0.35,0.7),0.7)</f>
        <v>0.7</v>
      </c>
    </row>
    <row r="493" spans="2:10" x14ac:dyDescent="0.25">
      <c r="B493" s="3">
        <f>B492+DeltaT</f>
        <v>2380</v>
      </c>
      <c r="C493" s="13">
        <f t="shared" si="36"/>
        <v>39.666666666666664</v>
      </c>
      <c r="D493" s="11">
        <f t="shared" si="37"/>
        <v>883.49433031810895</v>
      </c>
      <c r="E493" s="23">
        <f t="shared" si="34"/>
        <v>874.18977610572745</v>
      </c>
      <c r="F493" s="23">
        <f>AlphaC*(D493-E493)</f>
        <v>232.6138553095376</v>
      </c>
      <c r="G493" s="13">
        <f>Phi*EpsilonF*Botzman/10^8*J493*((D493+273)^4-(E493+273)^4)</f>
        <v>2257.4728544766808</v>
      </c>
      <c r="H493" s="23">
        <f t="shared" si="35"/>
        <v>669.45022601922494</v>
      </c>
      <c r="I493" s="12">
        <f>ksh*Massivete/(H493*RhoA)*DeltaT*(F493+G493)</f>
        <v>0.35661719309014628</v>
      </c>
      <c r="J493" s="3">
        <f>IF(E493&lt;=500,IF(Galva=Oui,0.35,0.7),0.7)</f>
        <v>0.7</v>
      </c>
    </row>
    <row r="494" spans="2:10" x14ac:dyDescent="0.25">
      <c r="B494" s="3">
        <f>B493+DeltaT</f>
        <v>2385</v>
      </c>
      <c r="C494" s="13">
        <f t="shared" si="36"/>
        <v>39.75</v>
      </c>
      <c r="D494" s="11">
        <f t="shared" si="37"/>
        <v>883.80778565472747</v>
      </c>
      <c r="E494" s="23">
        <f t="shared" si="34"/>
        <v>874.54639329881763</v>
      </c>
      <c r="F494" s="23">
        <f>AlphaC*(D494-E494)</f>
        <v>231.53480889774585</v>
      </c>
      <c r="G494" s="13">
        <f>Phi*EpsilonF*Botzman/10^8*J494*((D494+273)^4-(E494+273)^4)</f>
        <v>2248.9618809286794</v>
      </c>
      <c r="H494" s="23">
        <f t="shared" si="35"/>
        <v>669.14105008479362</v>
      </c>
      <c r="I494" s="12">
        <f>ksh*Massivete/(H494*RhoA)*DeltaT*(F494+G494)</f>
        <v>0.3554079006107449</v>
      </c>
      <c r="J494" s="3">
        <f>IF(E494&lt;=500,IF(Galva=Oui,0.35,0.7),0.7)</f>
        <v>0.7</v>
      </c>
    </row>
    <row r="495" spans="2:10" x14ac:dyDescent="0.25">
      <c r="B495" s="3">
        <f>B494+DeltaT</f>
        <v>2390</v>
      </c>
      <c r="C495" s="13">
        <f t="shared" si="36"/>
        <v>39.833333333333336</v>
      </c>
      <c r="D495" s="11">
        <f t="shared" si="37"/>
        <v>884.12058659559534</v>
      </c>
      <c r="E495" s="23">
        <f t="shared" si="34"/>
        <v>874.90180119942841</v>
      </c>
      <c r="F495" s="23">
        <f>AlphaC*(D495-E495)</f>
        <v>230.4696349041734</v>
      </c>
      <c r="G495" s="13">
        <f>Phi*EpsilonF*Botzman/10^8*J495*((D495+273)^4-(E495+273)^4)</f>
        <v>2240.5632004766471</v>
      </c>
      <c r="H495" s="23">
        <f t="shared" si="35"/>
        <v>668.83444718182432</v>
      </c>
      <c r="I495" s="12">
        <f>ksh*Massivete/(H495*RhoA)*DeltaT*(F495+G495)</f>
        <v>0.35421421289933269</v>
      </c>
      <c r="J495" s="3">
        <f>IF(E495&lt;=500,IF(Galva=Oui,0.35,0.7),0.7)</f>
        <v>0.7</v>
      </c>
    </row>
    <row r="496" spans="2:10" x14ac:dyDescent="0.25">
      <c r="B496" s="3">
        <f>B495+DeltaT</f>
        <v>2395</v>
      </c>
      <c r="C496" s="13">
        <f t="shared" si="36"/>
        <v>39.916666666666664</v>
      </c>
      <c r="D496" s="11">
        <f t="shared" si="37"/>
        <v>884.4327358673645</v>
      </c>
      <c r="E496" s="23">
        <f t="shared" si="34"/>
        <v>875.25601541232777</v>
      </c>
      <c r="F496" s="23">
        <f>AlphaC*(D496-E496)</f>
        <v>229.41801137591824</v>
      </c>
      <c r="G496" s="13">
        <f>Phi*EpsilonF*Botzman/10^8*J496*((D496+273)^4-(E496+273)^4)</f>
        <v>2232.2741357004229</v>
      </c>
      <c r="H496" s="23">
        <f t="shared" si="35"/>
        <v>668.53037721903661</v>
      </c>
      <c r="I496" s="12">
        <f>ksh*Massivete/(H496*RhoA)*DeltaT*(F496+G496)</f>
        <v>0.35303575623450623</v>
      </c>
      <c r="J496" s="3">
        <f>IF(E496&lt;=500,IF(Galva=Oui,0.35,0.7),0.7)</f>
        <v>0.7</v>
      </c>
    </row>
    <row r="497" spans="2:10" x14ac:dyDescent="0.25">
      <c r="B497" s="3">
        <f>B496+DeltaT</f>
        <v>2400</v>
      </c>
      <c r="C497" s="13">
        <f t="shared" si="36"/>
        <v>40</v>
      </c>
      <c r="D497" s="11">
        <f t="shared" si="37"/>
        <v>884.7442361796808</v>
      </c>
      <c r="E497" s="23">
        <f t="shared" si="34"/>
        <v>875.60905116856225</v>
      </c>
      <c r="F497" s="23">
        <f>AlphaC*(D497-E497)</f>
        <v>228.37962527796378</v>
      </c>
      <c r="G497" s="13">
        <f>Phi*EpsilonF*Botzman/10^8*J497*((D497+273)^4-(E497+273)^4)</f>
        <v>2224.0920818626032</v>
      </c>
      <c r="H497" s="23">
        <f t="shared" si="35"/>
        <v>668.22880107434128</v>
      </c>
      <c r="I497" s="12">
        <f>ksh*Massivete/(H497*RhoA)*DeltaT*(F497+G497)</f>
        <v>0.35187216677813821</v>
      </c>
      <c r="J497" s="3">
        <f>IF(E497&lt;=500,IF(Galva=Oui,0.35,0.7),0.7)</f>
        <v>0.7</v>
      </c>
    </row>
    <row r="498" spans="2:10" x14ac:dyDescent="0.25">
      <c r="B498" s="3">
        <f>B497+DeltaT</f>
        <v>2405</v>
      </c>
      <c r="C498" s="13">
        <f t="shared" si="36"/>
        <v>40.083333333333336</v>
      </c>
      <c r="D498" s="11">
        <f t="shared" si="37"/>
        <v>885.05509022532488</v>
      </c>
      <c r="E498" s="23">
        <f t="shared" ref="E498:E561" si="38">E497+I497</f>
        <v>875.96092333534034</v>
      </c>
      <c r="F498" s="23">
        <f>AlphaC*(D498-E498)</f>
        <v>227.35417224961338</v>
      </c>
      <c r="G498" s="13">
        <f>Phi*EpsilonF*Botzman/10^8*J498*((D498+273)^4-(E498+273)^4)</f>
        <v>2216.0145050406127</v>
      </c>
      <c r="H498" s="23">
        <f t="shared" ref="H498:H561" si="39">IF(E498&lt;600,425+0.773*E498-1.69/1000*E498^2+2.22/1000^2*E498^3,IF(E498&lt;735,666+13002/(738-E498),IF(E498&lt;900,545+17820/(E498-731),650)))</f>
        <v>667.9296805648562</v>
      </c>
      <c r="I498" s="12">
        <f>ksh*Massivete/(H498*RhoA)*DeltaT*(F498+G498)</f>
        <v>0.35072309034159327</v>
      </c>
      <c r="J498" s="3">
        <f>IF(E498&lt;=500,IF(Galva=Oui,0.35,0.7),0.7)</f>
        <v>0.7</v>
      </c>
    </row>
    <row r="499" spans="2:10" x14ac:dyDescent="0.25">
      <c r="B499" s="3">
        <f>B498+DeltaT</f>
        <v>2410</v>
      </c>
      <c r="C499" s="13">
        <f t="shared" si="36"/>
        <v>40.166666666666664</v>
      </c>
      <c r="D499" s="11">
        <f t="shared" si="37"/>
        <v>885.36530068035177</v>
      </c>
      <c r="E499" s="23">
        <f t="shared" si="38"/>
        <v>876.31164642568194</v>
      </c>
      <c r="F499" s="23">
        <f>AlphaC*(D499-E499)</f>
        <v>226.34135636674557</v>
      </c>
      <c r="G499" s="13">
        <f>Phi*EpsilonF*Botzman/10^8*J499*((D499+273)^4-(E499+273)^4)</f>
        <v>2208.0389402972346</v>
      </c>
      <c r="H499" s="23">
        <f t="shared" si="39"/>
        <v>667.63297841796771</v>
      </c>
      <c r="I499" s="12">
        <f>ksh*Massivete/(H499*RhoA)*DeltaT*(F499+G499)</f>
        <v>0.34958818215553372</v>
      </c>
      <c r="J499" s="3">
        <f>IF(E499&lt;=500,IF(Galva=Oui,0.35,0.7),0.7)</f>
        <v>0.7</v>
      </c>
    </row>
    <row r="500" spans="2:10" x14ac:dyDescent="0.25">
      <c r="B500" s="3">
        <f>B499+DeltaT</f>
        <v>2415</v>
      </c>
      <c r="C500" s="13">
        <f t="shared" si="36"/>
        <v>40.25</v>
      </c>
      <c r="D500" s="11">
        <f t="shared" si="37"/>
        <v>885.67487020423039</v>
      </c>
      <c r="E500" s="23">
        <f t="shared" si="38"/>
        <v>876.66123460783751</v>
      </c>
      <c r="F500" s="23">
        <f>AlphaC*(D500-E500)</f>
        <v>225.34088990982184</v>
      </c>
      <c r="G500" s="13">
        <f>Phi*EpsilonF*Botzman/10^8*J500*((D500+273)^4-(E500+273)^4)</f>
        <v>2200.1629898904212</v>
      </c>
      <c r="H500" s="23">
        <f t="shared" si="39"/>
        <v>667.33865824340046</v>
      </c>
      <c r="I500" s="12">
        <f>ksh*Massivete/(H500*RhoA)*DeltaT*(F500+G500)</f>
        <v>0.3484671066435332</v>
      </c>
      <c r="J500" s="3">
        <f>IF(E500&lt;=500,IF(Galva=Oui,0.35,0.7),0.7)</f>
        <v>0.7</v>
      </c>
    </row>
    <row r="501" spans="2:10" x14ac:dyDescent="0.25">
      <c r="B501" s="3">
        <f>B500+DeltaT</f>
        <v>2420</v>
      </c>
      <c r="C501" s="13">
        <f t="shared" si="36"/>
        <v>40.333333333333336</v>
      </c>
      <c r="D501" s="11">
        <f t="shared" si="37"/>
        <v>885.98380143997804</v>
      </c>
      <c r="E501" s="23">
        <f t="shared" si="38"/>
        <v>877.00970171448103</v>
      </c>
      <c r="F501" s="23">
        <f>AlphaC*(D501-E501)</f>
        <v>224.35249313742531</v>
      </c>
      <c r="G501" s="13">
        <f>Phi*EpsilonF*Botzman/10^8*J501*((D501+273)^4-(E501+273)^4)</f>
        <v>2192.3843215199777</v>
      </c>
      <c r="H501" s="23">
        <f t="shared" si="39"/>
        <v>667.04668450625729</v>
      </c>
      <c r="I501" s="12">
        <f>ksh*Massivete/(H501*RhoA)*DeltaT*(F501+G501)</f>
        <v>0.34735953719922863</v>
      </c>
      <c r="J501" s="3">
        <f>IF(E501&lt;=500,IF(Galva=Oui,0.35,0.7),0.7)</f>
        <v>0.7</v>
      </c>
    </row>
    <row r="502" spans="2:10" x14ac:dyDescent="0.25">
      <c r="B502" s="3">
        <f>B501+DeltaT</f>
        <v>2425</v>
      </c>
      <c r="C502" s="13">
        <f t="shared" si="36"/>
        <v>40.416666666666664</v>
      </c>
      <c r="D502" s="11">
        <f t="shared" si="37"/>
        <v>886.29209701429761</v>
      </c>
      <c r="E502" s="23">
        <f t="shared" si="38"/>
        <v>877.35706125168031</v>
      </c>
      <c r="F502" s="23">
        <f>AlphaC*(D502-E502)</f>
        <v>223.37589406543259</v>
      </c>
      <c r="G502" s="13">
        <f>Phi*EpsilonF*Botzman/10^8*J502*((D502+273)^4-(E502+273)^4)</f>
        <v>2184.7006666134789</v>
      </c>
      <c r="H502" s="23">
        <f t="shared" si="39"/>
        <v>666.75702250099266</v>
      </c>
      <c r="I502" s="12">
        <f>ksh*Massivete/(H502*RhoA)*DeltaT*(F502+G502)</f>
        <v>0.34626515596746932</v>
      </c>
      <c r="J502" s="3">
        <f>IF(E502&lt;=500,IF(Galva=Oui,0.35,0.7),0.7)</f>
        <v>0.7</v>
      </c>
    </row>
    <row r="503" spans="2:10" x14ac:dyDescent="0.25">
      <c r="B503" s="3">
        <f>B502+DeltaT</f>
        <v>2430</v>
      </c>
      <c r="C503" s="13">
        <f t="shared" si="36"/>
        <v>40.5</v>
      </c>
      <c r="D503" s="11">
        <f t="shared" si="37"/>
        <v>886.59975953771152</v>
      </c>
      <c r="E503" s="23">
        <f t="shared" si="38"/>
        <v>877.70332640764775</v>
      </c>
      <c r="F503" s="23">
        <f>AlphaC*(D503-E503)</f>
        <v>222.41082825159424</v>
      </c>
      <c r="G503" s="13">
        <f>Phi*EpsilonF*Botzman/10^8*J503*((D503+273)^4-(E503+273)^4)</f>
        <v>2177.1098186485051</v>
      </c>
      <c r="H503" s="23">
        <f t="shared" si="39"/>
        <v>666.46963832628558</v>
      </c>
      <c r="I503" s="12">
        <f>ksh*Massivete/(H503*RhoA)*DeltaT*(F503+G503)</f>
        <v>0.34518365362910958</v>
      </c>
      <c r="J503" s="3">
        <f>IF(E503&lt;=500,IF(Galva=Oui,0.35,0.7),0.7)</f>
        <v>0.7</v>
      </c>
    </row>
    <row r="504" spans="2:10" x14ac:dyDescent="0.25">
      <c r="B504" s="3">
        <f>B503+DeltaT</f>
        <v>2435</v>
      </c>
      <c r="C504" s="13">
        <f t="shared" si="36"/>
        <v>40.583333333333336</v>
      </c>
      <c r="D504" s="11">
        <f t="shared" si="37"/>
        <v>886.90679160469313</v>
      </c>
      <c r="E504" s="23">
        <f t="shared" si="38"/>
        <v>878.04851006127683</v>
      </c>
      <c r="F504" s="23">
        <f>AlphaC*(D504-E504)</f>
        <v>221.45703858540742</v>
      </c>
      <c r="G504" s="13">
        <f>Phi*EpsilonF*Botzman/10^8*J504*((D504+273)^4-(E504+273)^4)</f>
        <v>2169.609631512124</v>
      </c>
      <c r="H504" s="23">
        <f t="shared" si="39"/>
        <v>666.1844988607786</v>
      </c>
      <c r="I504" s="12">
        <f>ksh*Massivete/(H504*RhoA)*DeltaT*(F504+G504)</f>
        <v>0.34411472918965608</v>
      </c>
      <c r="J504" s="3">
        <f>IF(E504&lt;=500,IF(Galva=Oui,0.35,0.7),0.7)</f>
        <v>0.7</v>
      </c>
    </row>
    <row r="505" spans="2:10" x14ac:dyDescent="0.25">
      <c r="B505" s="3">
        <f>B504+DeltaT</f>
        <v>2440</v>
      </c>
      <c r="C505" s="13">
        <f t="shared" si="36"/>
        <v>40.666666666666664</v>
      </c>
      <c r="D505" s="11">
        <f t="shared" si="37"/>
        <v>887.21319579379895</v>
      </c>
      <c r="E505" s="23">
        <f t="shared" si="38"/>
        <v>878.39262479046647</v>
      </c>
      <c r="F505" s="23">
        <f>AlphaC*(D505-E505)</f>
        <v>220.51427508331187</v>
      </c>
      <c r="G505" s="13">
        <f>Phi*EpsilonF*Botzman/10^8*J505*((D505+273)^4-(E505+273)^4)</f>
        <v>2162.1980178976137</v>
      </c>
      <c r="H505" s="23">
        <f t="shared" si="39"/>
        <v>665.90157173965065</v>
      </c>
      <c r="I505" s="12">
        <f>ksh*Massivete/(H505*RhoA)*DeltaT*(F505+G505)</f>
        <v>0.3430580897718668</v>
      </c>
      <c r="J505" s="3">
        <f>IF(E505&lt;=500,IF(Galva=Oui,0.35,0.7),0.7)</f>
        <v>0.7</v>
      </c>
    </row>
    <row r="506" spans="2:10" x14ac:dyDescent="0.25">
      <c r="B506" s="3">
        <f>B505+DeltaT</f>
        <v>2445</v>
      </c>
      <c r="C506" s="13">
        <f t="shared" si="36"/>
        <v>40.75</v>
      </c>
      <c r="D506" s="11">
        <f t="shared" si="37"/>
        <v>887.5189746677986</v>
      </c>
      <c r="E506" s="23">
        <f t="shared" si="38"/>
        <v>878.7356828802383</v>
      </c>
      <c r="F506" s="23">
        <f>AlphaC*(D506-E506)</f>
        <v>219.58229468900754</v>
      </c>
      <c r="G506" s="13">
        <f>Phi*EpsilonF*Botzman/10^8*J506*((D506+273)^4-(E506+273)^4)</f>
        <v>2154.8729477364359</v>
      </c>
      <c r="H506" s="23">
        <f t="shared" si="39"/>
        <v>665.6208253319935</v>
      </c>
      <c r="I506" s="12">
        <f>ksh*Massivete/(H506*RhoA)*DeltaT*(F506+G506)</f>
        <v>0.34201345041207193</v>
      </c>
      <c r="J506" s="3">
        <f>IF(E506&lt;=500,IF(Galva=Oui,0.35,0.7),0.7)</f>
        <v>0.7</v>
      </c>
    </row>
    <row r="507" spans="2:10" x14ac:dyDescent="0.25">
      <c r="B507" s="3">
        <f>B506+DeltaT</f>
        <v>2450</v>
      </c>
      <c r="C507" s="13">
        <f t="shared" si="36"/>
        <v>40.833333333333336</v>
      </c>
      <c r="D507" s="11">
        <f t="shared" si="37"/>
        <v>887.82413077380329</v>
      </c>
      <c r="E507" s="23">
        <f t="shared" si="38"/>
        <v>879.07769633065038</v>
      </c>
      <c r="F507" s="23">
        <f>AlphaC*(D507-E507)</f>
        <v>218.66086107882268</v>
      </c>
      <c r="G507" s="13">
        <f>Phi*EpsilonF*Botzman/10^8*J507*((D507+273)^4-(E507+273)^4)</f>
        <v>2147.6324466665651</v>
      </c>
      <c r="H507" s="23">
        <f t="shared" si="39"/>
        <v>665.34222871896111</v>
      </c>
      <c r="I507" s="12">
        <f>ksh*Massivete/(H507*RhoA)*DeltaT*(F507+G507)</f>
        <v>0.34098053386045046</v>
      </c>
      <c r="J507" s="3">
        <f>IF(E507&lt;=500,IF(Galva=Oui,0.35,0.7),0.7)</f>
        <v>0.7</v>
      </c>
    </row>
    <row r="508" spans="2:10" x14ac:dyDescent="0.25">
      <c r="B508" s="3">
        <f>B507+DeltaT</f>
        <v>2455</v>
      </c>
      <c r="C508" s="13">
        <f t="shared" si="36"/>
        <v>40.916666666666664</v>
      </c>
      <c r="D508" s="11">
        <f t="shared" si="37"/>
        <v>888.12866664339242</v>
      </c>
      <c r="E508" s="23">
        <f t="shared" si="38"/>
        <v>879.41867686451087</v>
      </c>
      <c r="F508" s="23">
        <f>AlphaC*(D508-E508)</f>
        <v>217.74974447203874</v>
      </c>
      <c r="G508" s="13">
        <f>Phi*EpsilonF*Botzman/10^8*J508*((D508+273)^4-(E508+273)^4)</f>
        <v>2140.4745945352593</v>
      </c>
      <c r="H508" s="23">
        <f t="shared" si="39"/>
        <v>665.0657516726659</v>
      </c>
      <c r="I508" s="12">
        <f>ksh*Massivete/(H508*RhoA)*DeltaT*(F508+G508)</f>
        <v>0.33995907038505346</v>
      </c>
      <c r="J508" s="3">
        <f>IF(E508&lt;=500,IF(Galva=Oui,0.35,0.7),0.7)</f>
        <v>0.7</v>
      </c>
    </row>
    <row r="509" spans="2:10" x14ac:dyDescent="0.25">
      <c r="B509" s="3">
        <f>B508+DeltaT</f>
        <v>2460</v>
      </c>
      <c r="C509" s="13">
        <f t="shared" si="36"/>
        <v>41</v>
      </c>
      <c r="D509" s="11">
        <f t="shared" si="37"/>
        <v>888.43258479274107</v>
      </c>
      <c r="E509" s="23">
        <f t="shared" si="38"/>
        <v>879.75863593489589</v>
      </c>
      <c r="F509" s="23">
        <f>AlphaC*(D509-E509)</f>
        <v>216.84872144612939</v>
      </c>
      <c r="G509" s="13">
        <f>Phi*EpsilonF*Botzman/10^8*J509*((D509+273)^4-(E509+273)^4)</f>
        <v>2133.3975239378055</v>
      </c>
      <c r="H509" s="23">
        <f t="shared" si="39"/>
        <v>664.79136463579107</v>
      </c>
      <c r="I509" s="12">
        <f>ksh*Massivete/(H509*RhoA)*DeltaT*(F509+G509)</f>
        <v>0.33894879757986651</v>
      </c>
      <c r="J509" s="3">
        <f>IF(E509&lt;=500,IF(Galva=Oui,0.35,0.7),0.7)</f>
        <v>0.7</v>
      </c>
    </row>
    <row r="510" spans="2:10" x14ac:dyDescent="0.25">
      <c r="B510" s="3">
        <f>B509+DeltaT</f>
        <v>2465</v>
      </c>
      <c r="C510" s="13">
        <f t="shared" si="36"/>
        <v>41.083333333333336</v>
      </c>
      <c r="D510" s="11">
        <f t="shared" si="37"/>
        <v>888.7358877227432</v>
      </c>
      <c r="E510" s="23">
        <f t="shared" si="38"/>
        <v>880.09758473247575</v>
      </c>
      <c r="F510" s="23">
        <f>AlphaC*(D510-E510)</f>
        <v>215.9575747566862</v>
      </c>
      <c r="G510" s="13">
        <f>Phi*EpsilonF*Botzman/10^8*J510*((D510+273)^4-(E510+273)^4)</f>
        <v>2126.3994187889407</v>
      </c>
      <c r="H510" s="23">
        <f t="shared" si="39"/>
        <v>664.51903870189608</v>
      </c>
      <c r="I510" s="12">
        <f>ksh*Massivete/(H510*RhoA)*DeltaT*(F510+G510)</f>
        <v>0.33794946017647792</v>
      </c>
      <c r="J510" s="3">
        <f>IF(E510&lt;=500,IF(Galva=Oui,0.35,0.7),0.7)</f>
        <v>0.7</v>
      </c>
    </row>
    <row r="511" spans="2:10" x14ac:dyDescent="0.25">
      <c r="B511" s="3">
        <f>B510+DeltaT</f>
        <v>2470</v>
      </c>
      <c r="C511" s="13">
        <f t="shared" si="36"/>
        <v>41.166666666666664</v>
      </c>
      <c r="D511" s="11">
        <f t="shared" si="37"/>
        <v>889.0385779191364</v>
      </c>
      <c r="E511" s="23">
        <f t="shared" si="38"/>
        <v>880.4355341926522</v>
      </c>
      <c r="F511" s="23">
        <f>AlphaC*(D511-E511)</f>
        <v>215.07609316210505</v>
      </c>
      <c r="G511" s="13">
        <f>Phi*EpsilonF*Botzman/10^8*J511*((D511+273)^4-(E511+273)^4)</f>
        <v>2119.4785129293832</v>
      </c>
      <c r="H511" s="23">
        <f t="shared" si="39"/>
        <v>664.24874559638852</v>
      </c>
      <c r="I511" s="12">
        <f>ksh*Massivete/(H511*RhoA)*DeltaT*(F511+G511)</f>
        <v>0.33696080985978344</v>
      </c>
      <c r="J511" s="3">
        <f>IF(E511&lt;=500,IF(Galva=Oui,0.35,0.7),0.7)</f>
        <v>0.7</v>
      </c>
    </row>
    <row r="512" spans="2:10" x14ac:dyDescent="0.25">
      <c r="B512" s="3">
        <f>B511+DeltaT</f>
        <v>2475</v>
      </c>
      <c r="C512" s="13">
        <f t="shared" si="36"/>
        <v>41.25</v>
      </c>
      <c r="D512" s="11">
        <f t="shared" si="37"/>
        <v>889.34065785262283</v>
      </c>
      <c r="E512" s="23">
        <f t="shared" si="38"/>
        <v>880.77249500251196</v>
      </c>
      <c r="F512" s="23">
        <f>AlphaC*(D512-E512)</f>
        <v>214.20407125277166</v>
      </c>
      <c r="G512" s="13">
        <f>Phi*EpsilonF*Botzman/10^8*J512*((D512+273)^4-(E512+273)^4)</f>
        <v>2112.6330887641593</v>
      </c>
      <c r="H512" s="23">
        <f t="shared" si="39"/>
        <v>663.98045765813765</v>
      </c>
      <c r="I512" s="12">
        <f>ksh*Massivete/(H512*RhoA)*DeltaT*(F512+G512)</f>
        <v>0.33598260508728373</v>
      </c>
      <c r="J512" s="3">
        <f>IF(E512&lt;=500,IF(Galva=Oui,0.35,0.7),0.7)</f>
        <v>0.7</v>
      </c>
    </row>
    <row r="513" spans="2:10" x14ac:dyDescent="0.25">
      <c r="B513" s="3">
        <f>B512+DeltaT</f>
        <v>2480</v>
      </c>
      <c r="C513" s="13">
        <f t="shared" si="36"/>
        <v>41.333333333333336</v>
      </c>
      <c r="D513" s="11">
        <f t="shared" si="37"/>
        <v>889.64212997899153</v>
      </c>
      <c r="E513" s="23">
        <f t="shared" si="38"/>
        <v>881.1084776075993</v>
      </c>
      <c r="F513" s="23">
        <f>AlphaC*(D513-E513)</f>
        <v>213.3413092848059</v>
      </c>
      <c r="G513" s="13">
        <f>Phi*EpsilonF*Botzman/10^8*J513*((D513+273)^4-(E513+273)^4)</f>
        <v>2105.861475935365</v>
      </c>
      <c r="H513" s="23">
        <f t="shared" si="39"/>
        <v>663.71414782170746</v>
      </c>
      <c r="I513" s="12">
        <f>ksh*Massivete/(H513*RhoA)*DeltaT*(F513+G513)</f>
        <v>0.33501461091242618</v>
      </c>
      <c r="J513" s="3">
        <f>IF(E513&lt;=500,IF(Galva=Oui,0.35,0.7),0.7)</f>
        <v>0.7</v>
      </c>
    </row>
    <row r="514" spans="2:10" x14ac:dyDescent="0.25">
      <c r="B514" s="3">
        <f>B513+DeltaT</f>
        <v>2485</v>
      </c>
      <c r="C514" s="13">
        <f t="shared" si="36"/>
        <v>41.416666666666664</v>
      </c>
      <c r="D514" s="11">
        <f t="shared" si="37"/>
        <v>889.94299673923751</v>
      </c>
      <c r="E514" s="23">
        <f t="shared" si="38"/>
        <v>881.44349221851178</v>
      </c>
      <c r="F514" s="23">
        <f>AlphaC*(D514-E514)</f>
        <v>212.48761301814341</v>
      </c>
      <c r="G514" s="13">
        <f>Phi*EpsilonF*Botzman/10^8*J514*((D514+273)^4-(E514+273)^4)</f>
        <v>2099.1620500251383</v>
      </c>
      <c r="H514" s="23">
        <f t="shared" si="39"/>
        <v>663.44978960018636</v>
      </c>
      <c r="I514" s="12">
        <f>ksh*Massivete/(H514*RhoA)*DeltaT*(F514+G514)</f>
        <v>0.33405659881141503</v>
      </c>
      <c r="J514" s="3">
        <f>IF(E514&lt;=500,IF(Galva=Oui,0.35,0.7),0.7)</f>
        <v>0.7</v>
      </c>
    </row>
    <row r="515" spans="2:10" x14ac:dyDescent="0.25">
      <c r="B515" s="3">
        <f>B514+DeltaT</f>
        <v>2490</v>
      </c>
      <c r="C515" s="13">
        <f t="shared" si="36"/>
        <v>41.5</v>
      </c>
      <c r="D515" s="11">
        <f t="shared" si="37"/>
        <v>890.24326055968027</v>
      </c>
      <c r="E515" s="23">
        <f t="shared" si="38"/>
        <v>881.77754881732324</v>
      </c>
      <c r="F515" s="23">
        <f>AlphaC*(D515-E515)</f>
        <v>211.64279355892575</v>
      </c>
      <c r="G515" s="13">
        <f>Phi*EpsilonF*Botzman/10^8*J515*((D515+273)^4-(E515+273)^4)</f>
        <v>2092.5332312915175</v>
      </c>
      <c r="H515" s="23">
        <f t="shared" si="39"/>
        <v>663.18735706859172</v>
      </c>
      <c r="I515" s="12">
        <f>ksh*Massivete/(H515*RhoA)*DeltaT*(F515+G515)</f>
        <v>0.33310834651393101</v>
      </c>
      <c r="J515" s="3">
        <f>IF(E515&lt;=500,IF(Galva=Oui,0.35,0.7),0.7)</f>
        <v>0.7</v>
      </c>
    </row>
    <row r="516" spans="2:10" x14ac:dyDescent="0.25">
      <c r="B516" s="3">
        <f>B515+DeltaT</f>
        <v>2495</v>
      </c>
      <c r="C516" s="13">
        <f t="shared" si="36"/>
        <v>41.583333333333336</v>
      </c>
      <c r="D516" s="11">
        <f t="shared" si="37"/>
        <v>890.54292385208134</v>
      </c>
      <c r="E516" s="23">
        <f t="shared" si="38"/>
        <v>882.11065716383712</v>
      </c>
      <c r="F516" s="23">
        <f>AlphaC*(D516-E516)</f>
        <v>210.80666720610566</v>
      </c>
      <c r="G516" s="13">
        <f>Phi*EpsilonF*Botzman/10^8*J516*((D516+273)^4-(E516+273)^4)</f>
        <v>2085.973483434826</v>
      </c>
      <c r="H516" s="23">
        <f t="shared" si="39"/>
        <v>662.9268248478279</v>
      </c>
      <c r="I516" s="12">
        <f>ksh*Massivete/(H516*RhoA)*DeltaT*(F516+G516)</f>
        <v>0.33216963783746595</v>
      </c>
      <c r="J516" s="3">
        <f>IF(E516&lt;=500,IF(Galva=Oui,0.35,0.7),0.7)</f>
        <v>0.7</v>
      </c>
    </row>
    <row r="517" spans="2:10" x14ac:dyDescent="0.25">
      <c r="B517" s="3">
        <f>B516+DeltaT</f>
        <v>2500</v>
      </c>
      <c r="C517" s="13">
        <f t="shared" si="36"/>
        <v>41.666666666666664</v>
      </c>
      <c r="D517" s="11">
        <f t="shared" si="37"/>
        <v>890.84198901376055</v>
      </c>
      <c r="E517" s="23">
        <f t="shared" si="38"/>
        <v>882.44282680167453</v>
      </c>
      <c r="F517" s="23">
        <f>AlphaC*(D517-E517)</f>
        <v>209.97905530215064</v>
      </c>
      <c r="G517" s="13">
        <f>Phi*EpsilonF*Botzman/10^8*J517*((D517+273)^4-(E517+273)^4)</f>
        <v>2079.4813123944218</v>
      </c>
      <c r="H517" s="23">
        <f t="shared" si="39"/>
        <v>662.66816808917997</v>
      </c>
      <c r="I517" s="12">
        <f>ksh*Massivete/(H517*RhoA)*DeltaT*(F517+G517)</f>
        <v>0.33124026252528616</v>
      </c>
      <c r="J517" s="3">
        <f>IF(E517&lt;=500,IF(Galva=Oui,0.35,0.7),0.7)</f>
        <v>0.7</v>
      </c>
    </row>
    <row r="518" spans="2:10" x14ac:dyDescent="0.25">
      <c r="B518" s="3">
        <f>B517+DeltaT</f>
        <v>2505</v>
      </c>
      <c r="C518" s="13">
        <f t="shared" si="36"/>
        <v>41.75</v>
      </c>
      <c r="D518" s="11">
        <f t="shared" si="37"/>
        <v>891.14045842771145</v>
      </c>
      <c r="E518" s="23">
        <f t="shared" si="38"/>
        <v>882.77406706419981</v>
      </c>
      <c r="F518" s="23">
        <f>AlphaC*(D518-E518)</f>
        <v>209.15978408779097</v>
      </c>
      <c r="G518" s="13">
        <f>Phi*EpsilonF*Botzman/10^8*J518*((D518+273)^4-(E518+273)^4)</f>
        <v>2073.0552651762378</v>
      </c>
      <c r="H518" s="23">
        <f t="shared" si="39"/>
        <v>662.41136245932057</v>
      </c>
      <c r="I518" s="12">
        <f>ksh*Massivete/(H518*RhoA)*DeltaT*(F518+G518)</f>
        <v>0.33032001608813361</v>
      </c>
      <c r="J518" s="3">
        <f>IF(E518&lt;=500,IF(Galva=Oui,0.35,0.7),0.7)</f>
        <v>0.7</v>
      </c>
    </row>
    <row r="519" spans="2:10" x14ac:dyDescent="0.25">
      <c r="B519" s="3">
        <f>B518+DeltaT</f>
        <v>2510</v>
      </c>
      <c r="C519" s="13">
        <f t="shared" si="36"/>
        <v>41.833333333333336</v>
      </c>
      <c r="D519" s="11">
        <f t="shared" si="37"/>
        <v>891.43833446271458</v>
      </c>
      <c r="E519" s="23">
        <f t="shared" si="38"/>
        <v>883.10438708028789</v>
      </c>
      <c r="F519" s="23">
        <f>AlphaC*(D519-E519)</f>
        <v>208.34868456066715</v>
      </c>
      <c r="G519" s="13">
        <f>Phi*EpsilonF*Botzman/10^8*J519*((D519+273)^4-(E519+273)^4)</f>
        <v>2066.6939287083273</v>
      </c>
      <c r="H519" s="23">
        <f t="shared" si="39"/>
        <v>662.15638412581598</v>
      </c>
      <c r="I519" s="12">
        <f>ksh*Massivete/(H519*RhoA)*DeltaT*(F519+G519)</f>
        <v>0.32940869964929276</v>
      </c>
      <c r="J519" s="3">
        <f>IF(E519&lt;=500,IF(Galva=Oui,0.35,0.7),0.7)</f>
        <v>0.7</v>
      </c>
    </row>
    <row r="520" spans="2:10" x14ac:dyDescent="0.25">
      <c r="B520" s="3">
        <f>B519+DeltaT</f>
        <v>2515</v>
      </c>
      <c r="C520" s="13">
        <f t="shared" si="36"/>
        <v>41.916666666666664</v>
      </c>
      <c r="D520" s="11">
        <f t="shared" si="37"/>
        <v>891.73561947345047</v>
      </c>
      <c r="E520" s="23">
        <f t="shared" si="38"/>
        <v>883.43379577993721</v>
      </c>
      <c r="F520" s="23">
        <f>AlphaC*(D520-E520)</f>
        <v>207.54559233783141</v>
      </c>
      <c r="G520" s="13">
        <f>Phi*EpsilonF*Botzman/10^8*J520*((D520+273)^4-(E520+273)^4)</f>
        <v>2060.3959287265911</v>
      </c>
      <c r="H520" s="23">
        <f t="shared" si="39"/>
        <v>661.90320974310737</v>
      </c>
      <c r="I520" s="12">
        <f>ksh*Massivete/(H520*RhoA)*DeltaT*(F520+G520)</f>
        <v>0.32850611979337879</v>
      </c>
      <c r="J520" s="3">
        <f>IF(E520&lt;=500,IF(Galva=Oui,0.35,0.7),0.7)</f>
        <v>0.7</v>
      </c>
    </row>
    <row r="521" spans="2:10" x14ac:dyDescent="0.25">
      <c r="B521" s="3">
        <f>B520+DeltaT</f>
        <v>2520</v>
      </c>
      <c r="C521" s="13">
        <f t="shared" si="36"/>
        <v>42</v>
      </c>
      <c r="D521" s="11">
        <f t="shared" si="37"/>
        <v>892.03231580061174</v>
      </c>
      <c r="E521" s="23">
        <f t="shared" si="38"/>
        <v>883.76230189973057</v>
      </c>
      <c r="F521" s="23">
        <f>AlphaC*(D521-E521)</f>
        <v>206.75034752202919</v>
      </c>
      <c r="G521" s="13">
        <f>Phi*EpsilonF*Botzman/10^8*J521*((D521+273)^4-(E521+273)^4)</f>
        <v>2054.1599286877704</v>
      </c>
      <c r="H521" s="23">
        <f t="shared" si="39"/>
        <v>661.65181643895767</v>
      </c>
      <c r="I521" s="12">
        <f>ksh*Massivete/(H521*RhoA)*DeltaT*(F521+G521)</f>
        <v>0.3276120884184654</v>
      </c>
      <c r="J521" s="3">
        <f>IF(E521&lt;=500,IF(Galva=Oui,0.35,0.7),0.7)</f>
        <v>0.7</v>
      </c>
    </row>
    <row r="522" spans="2:10" x14ac:dyDescent="0.25">
      <c r="B522" s="3">
        <f>B521+DeltaT</f>
        <v>2525</v>
      </c>
      <c r="C522" s="13">
        <f t="shared" si="36"/>
        <v>42.083333333333336</v>
      </c>
      <c r="D522" s="11">
        <f t="shared" si="37"/>
        <v>892.32842577101314</v>
      </c>
      <c r="E522" s="23">
        <f t="shared" si="38"/>
        <v>884.08991398814908</v>
      </c>
      <c r="F522" s="23">
        <f>AlphaC*(D522-E522)</f>
        <v>205.96279457160165</v>
      </c>
      <c r="G522" s="13">
        <f>Phi*EpsilonF*Botzman/10^8*J522*((D522+273)^4-(E522+273)^4)</f>
        <v>2047.9846287109635</v>
      </c>
      <c r="H522" s="23">
        <f t="shared" si="39"/>
        <v>661.40218180133979</v>
      </c>
      <c r="I522" s="12">
        <f>ksh*Massivete/(H522*RhoA)*DeltaT*(F522+G522)</f>
        <v>0.32672642259175472</v>
      </c>
      <c r="J522" s="3">
        <f>IF(E522&lt;=500,IF(Galva=Oui,0.35,0.7),0.7)</f>
        <v>0.7</v>
      </c>
    </row>
    <row r="523" spans="2:10" x14ac:dyDescent="0.25">
      <c r="B523" s="3">
        <f>B522+DeltaT</f>
        <v>2530</v>
      </c>
      <c r="C523" s="13">
        <f t="shared" si="36"/>
        <v>42.166666666666664</v>
      </c>
      <c r="D523" s="11">
        <f t="shared" si="37"/>
        <v>892.62395169770116</v>
      </c>
      <c r="E523" s="23">
        <f t="shared" si="38"/>
        <v>884.4166404107408</v>
      </c>
      <c r="F523" s="23">
        <f>AlphaC*(D523-E523)</f>
        <v>205.18278217400905</v>
      </c>
      <c r="G523" s="13">
        <f>Phi*EpsilonF*Botzman/10^8*J523*((D523+273)^4-(E523+273)^4)</f>
        <v>2041.8687645455523</v>
      </c>
      <c r="H523" s="23">
        <f t="shared" si="39"/>
        <v>661.15428386575729</v>
      </c>
      <c r="I523" s="12">
        <f>ksh*Massivete/(H523*RhoA)*DeltaT*(F523+G523)</f>
        <v>0.3258489444085273</v>
      </c>
      <c r="J523" s="3">
        <f>IF(E523&lt;=500,IF(Galva=Oui,0.35,0.7),0.7)</f>
        <v>0.7</v>
      </c>
    </row>
    <row r="524" spans="2:10" x14ac:dyDescent="0.25">
      <c r="B524" s="3">
        <f>B523+DeltaT</f>
        <v>2535</v>
      </c>
      <c r="C524" s="13">
        <f t="shared" si="36"/>
        <v>42.25</v>
      </c>
      <c r="D524" s="11">
        <f t="shared" si="37"/>
        <v>892.91889588006313</v>
      </c>
      <c r="E524" s="23">
        <f t="shared" si="38"/>
        <v>884.74248935514936</v>
      </c>
      <c r="F524" s="23">
        <f>AlphaC*(D524-E524)</f>
        <v>204.41016312284432</v>
      </c>
      <c r="G524" s="13">
        <f>Phi*EpsilonF*Botzman/10^8*J524*((D524+273)^4-(E524+273)^4)</f>
        <v>2035.8111065669252</v>
      </c>
      <c r="H524" s="23">
        <f t="shared" si="39"/>
        <v>660.90810110297684</v>
      </c>
      <c r="I524" s="12">
        <f>ksh*Massivete/(H524*RhoA)*DeltaT*(F524+G524)</f>
        <v>0.32497948085459794</v>
      </c>
      <c r="J524" s="3">
        <f>IF(E524&lt;=500,IF(Galva=Oui,0.35,0.7),0.7)</f>
        <v>0.7</v>
      </c>
    </row>
    <row r="525" spans="2:10" x14ac:dyDescent="0.25">
      <c r="B525" s="3">
        <f>B524+DeltaT</f>
        <v>2540</v>
      </c>
      <c r="C525" s="13">
        <f t="shared" si="36"/>
        <v>42.333333333333336</v>
      </c>
      <c r="D525" s="11">
        <f t="shared" si="37"/>
        <v>893.21326060393358</v>
      </c>
      <c r="E525" s="23">
        <f t="shared" si="38"/>
        <v>885.06746883600397</v>
      </c>
      <c r="F525" s="23">
        <f>AlphaC*(D525-E525)</f>
        <v>203.64479419824022</v>
      </c>
      <c r="G525" s="13">
        <f>Phi*EpsilonF*Botzman/10^8*J525*((D525+273)^4-(E525+273)^4)</f>
        <v>2029.8104587965647</v>
      </c>
      <c r="H525" s="23">
        <f t="shared" si="39"/>
        <v>660.66361240716151</v>
      </c>
      <c r="I525" s="12">
        <f>ksh*Massivete/(H525*RhoA)*DeltaT*(F525+G525)</f>
        <v>0.3241178636718049</v>
      </c>
      <c r="J525" s="3">
        <f>IF(E525&lt;=500,IF(Galva=Oui,0.35,0.7),0.7)</f>
        <v>0.7</v>
      </c>
    </row>
    <row r="526" spans="2:10" x14ac:dyDescent="0.25">
      <c r="B526" s="3">
        <f>B525+DeltaT</f>
        <v>2545</v>
      </c>
      <c r="C526" s="13">
        <f t="shared" si="36"/>
        <v>42.416666666666664</v>
      </c>
      <c r="D526" s="11">
        <f t="shared" si="37"/>
        <v>893.50704814170047</v>
      </c>
      <c r="E526" s="23">
        <f t="shared" si="38"/>
        <v>885.39158669967583</v>
      </c>
      <c r="F526" s="23">
        <f>AlphaC*(D526-E526)</f>
        <v>202.88653605061597</v>
      </c>
      <c r="G526" s="13">
        <f>Phi*EpsilonF*Botzman/10^8*J526*((D526+273)^4-(E526+273)^4)</f>
        <v>2023.8656579495921</v>
      </c>
      <c r="H526" s="23">
        <f t="shared" si="39"/>
        <v>660.42079708438814</v>
      </c>
      <c r="I526" s="12">
        <f>ksh*Massivete/(H526*RhoA)*DeltaT*(F526+G526)</f>
        <v>0.32326392922701308</v>
      </c>
      <c r="J526" s="3">
        <f>IF(E526&lt;=500,IF(Galva=Oui,0.35,0.7),0.7)</f>
        <v>0.7</v>
      </c>
    </row>
    <row r="527" spans="2:10" x14ac:dyDescent="0.25">
      <c r="B527" s="3">
        <f>B526+DeltaT</f>
        <v>2550</v>
      </c>
      <c r="C527" s="13">
        <f t="shared" si="36"/>
        <v>42.5</v>
      </c>
      <c r="D527" s="11">
        <f t="shared" si="37"/>
        <v>893.80026075241165</v>
      </c>
      <c r="E527" s="23">
        <f t="shared" si="38"/>
        <v>885.71485062890281</v>
      </c>
      <c r="F527" s="23">
        <f>AlphaC*(D527-E527)</f>
        <v>202.13525308772091</v>
      </c>
      <c r="G527" s="13">
        <f>Phi*EpsilonF*Botzman/10^8*J527*((D527+273)^4-(E527+273)^4)</f>
        <v>2017.9755725059676</v>
      </c>
      <c r="H527" s="23">
        <f t="shared" si="39"/>
        <v>660.17963484153722</v>
      </c>
      <c r="I527" s="12">
        <f>ksh*Massivete/(H527*RhoA)*DeltaT*(F527+G527)</f>
        <v>0.32241751838411054</v>
      </c>
      <c r="J527" s="3">
        <f>IF(E527&lt;=500,IF(Galva=Oui,0.35,0.7),0.7)</f>
        <v>0.7</v>
      </c>
    </row>
    <row r="528" spans="2:10" x14ac:dyDescent="0.25">
      <c r="B528" s="3">
        <f>B527+DeltaT</f>
        <v>2555</v>
      </c>
      <c r="C528" s="13">
        <f t="shared" si="36"/>
        <v>42.583333333333336</v>
      </c>
      <c r="D528" s="11">
        <f t="shared" si="37"/>
        <v>894.09290068187806</v>
      </c>
      <c r="E528" s="23">
        <f t="shared" si="38"/>
        <v>886.03726814728691</v>
      </c>
      <c r="F528" s="23">
        <f>AlphaC*(D528-E528)</f>
        <v>201.39081336477886</v>
      </c>
      <c r="G528" s="13">
        <f>Phi*EpsilonF*Botzman/10^8*J528*((D528+273)^4-(E528+273)^4)</f>
        <v>2012.1391018066331</v>
      </c>
      <c r="H528" s="23">
        <f t="shared" si="39"/>
        <v>659.94010577554059</v>
      </c>
      <c r="I528" s="12">
        <f>ksh*Massivete/(H528*RhoA)*DeltaT*(F528+G528)</f>
        <v>0.32157847637919268</v>
      </c>
      <c r="J528" s="3">
        <f>IF(E528&lt;=500,IF(Galva=Oui,0.35,0.7),0.7)</f>
        <v>0.7</v>
      </c>
    </row>
    <row r="529" spans="2:10" x14ac:dyDescent="0.25">
      <c r="B529" s="3">
        <f>B528+DeltaT</f>
        <v>2560</v>
      </c>
      <c r="C529" s="13">
        <f t="shared" si="36"/>
        <v>42.666666666666664</v>
      </c>
      <c r="D529" s="11">
        <f t="shared" si="37"/>
        <v>894.38497016277745</v>
      </c>
      <c r="E529" s="23">
        <f t="shared" si="38"/>
        <v>886.35884662366607</v>
      </c>
      <c r="F529" s="23">
        <f>AlphaC*(D529-E529)</f>
        <v>200.65308847778454</v>
      </c>
      <c r="G529" s="13">
        <f>Phi*EpsilonF*Botzman/10^8*J529*((D529+273)^4-(E529+273)^4)</f>
        <v>2006.3551751741095</v>
      </c>
      <c r="H529" s="23">
        <f t="shared" si="39"/>
        <v>659.7021903629751</v>
      </c>
      <c r="I529" s="12">
        <f>ksh*Massivete/(H529*RhoA)*DeltaT*(F529+G529)</f>
        <v>0.32074665269890706</v>
      </c>
      <c r="J529" s="3">
        <f>IF(E529&lt;=500,IF(Galva=Oui,0.35,0.7),0.7)</f>
        <v>0.7</v>
      </c>
    </row>
    <row r="530" spans="2:10" x14ac:dyDescent="0.25">
      <c r="B530" s="3">
        <f>B529+DeltaT</f>
        <v>2565</v>
      </c>
      <c r="C530" s="13">
        <f t="shared" ref="C530:C593" si="40">B530/60</f>
        <v>42.75</v>
      </c>
      <c r="D530" s="11">
        <f t="shared" ref="D530:D593" si="41">20+345*LOG(8*C530+1,10)</f>
        <v>894.67647141475561</v>
      </c>
      <c r="E530" s="23">
        <f t="shared" si="38"/>
        <v>886.67959327636493</v>
      </c>
      <c r="F530" s="23">
        <f>AlphaC*(D530-E530)</f>
        <v>199.92195345976711</v>
      </c>
      <c r="G530" s="13">
        <f>Phi*EpsilonF*Botzman/10^8*J530*((D530+273)^4-(E530+273)^4)</f>
        <v>2000.6227510555682</v>
      </c>
      <c r="H530" s="23">
        <f t="shared" si="39"/>
        <v>659.46586944999046</v>
      </c>
      <c r="I530" s="12">
        <f>ksh*Massivete/(H530*RhoA)*DeltaT*(F530+G530)</f>
        <v>0.31992190096167433</v>
      </c>
      <c r="J530" s="3">
        <f>IF(E530&lt;=500,IF(Galva=Oui,0.35,0.7),0.7)</f>
        <v>0.7</v>
      </c>
    </row>
    <row r="531" spans="2:10" x14ac:dyDescent="0.25">
      <c r="B531" s="3">
        <f>B530+DeltaT</f>
        <v>2570</v>
      </c>
      <c r="C531" s="13">
        <f t="shared" si="40"/>
        <v>42.833333333333336</v>
      </c>
      <c r="D531" s="11">
        <f t="shared" si="41"/>
        <v>894.96740664452955</v>
      </c>
      <c r="E531" s="23">
        <f t="shared" si="38"/>
        <v>886.99951517732666</v>
      </c>
      <c r="F531" s="23">
        <f>AlphaC*(D531-E531)</f>
        <v>199.19728668007224</v>
      </c>
      <c r="G531" s="13">
        <f>Phi*EpsilonF*Botzman/10^8*J531*((D531+273)^4-(E531+273)^4)</f>
        <v>1994.9408161894366</v>
      </c>
      <c r="H531" s="23">
        <f t="shared" si="39"/>
        <v>659.23112424255794</v>
      </c>
      <c r="I531" s="12">
        <f>ksh*Massivete/(H531*RhoA)*DeltaT*(F531+G531)</f>
        <v>0.31910407880198277</v>
      </c>
      <c r="J531" s="3">
        <f>IF(E531&lt;=500,IF(Galva=Oui,0.35,0.7),0.7)</f>
        <v>0.7</v>
      </c>
    </row>
    <row r="532" spans="2:10" x14ac:dyDescent="0.25">
      <c r="B532" s="3">
        <f>B531+DeltaT</f>
        <v>2575</v>
      </c>
      <c r="C532" s="13">
        <f t="shared" si="40"/>
        <v>42.916666666666664</v>
      </c>
      <c r="D532" s="11">
        <f t="shared" si="41"/>
        <v>895.25777804598545</v>
      </c>
      <c r="E532" s="23">
        <f t="shared" si="38"/>
        <v>887.31861925612861</v>
      </c>
      <c r="F532" s="23">
        <f>AlphaC*(D532-E532)</f>
        <v>198.47896974642083</v>
      </c>
      <c r="G532" s="13">
        <f>Phi*EpsilonF*Botzman/10^8*J532*((D532+273)^4-(E532+273)^4)</f>
        <v>1989.308384794507</v>
      </c>
      <c r="H532" s="23">
        <f t="shared" si="39"/>
        <v>658.99793629703106</v>
      </c>
      <c r="I532" s="12">
        <f>ksh*Massivete/(H532*RhoA)*DeltaT*(F532+G532)</f>
        <v>0.31829304775759898</v>
      </c>
      <c r="J532" s="3">
        <f>IF(E532&lt;=500,IF(Galva=Oui,0.35,0.7),0.7)</f>
        <v>0.7</v>
      </c>
    </row>
    <row r="533" spans="2:10" x14ac:dyDescent="0.25">
      <c r="B533" s="3">
        <f>B532+DeltaT</f>
        <v>2580</v>
      </c>
      <c r="C533" s="13">
        <f t="shared" si="40"/>
        <v>43</v>
      </c>
      <c r="D533" s="11">
        <f t="shared" si="41"/>
        <v>895.54758780027953</v>
      </c>
      <c r="E533" s="23">
        <f t="shared" si="38"/>
        <v>887.63691230388622</v>
      </c>
      <c r="F533" s="23">
        <f>AlphaC*(D533-E533)</f>
        <v>197.76688740983275</v>
      </c>
      <c r="G533" s="13">
        <f>Phi*EpsilonF*Botzman/10^8*J533*((D533+273)^4-(E533+273)^4)</f>
        <v>1983.7244977804758</v>
      </c>
      <c r="H533" s="23">
        <f t="shared" si="39"/>
        <v>658.76628751100498</v>
      </c>
      <c r="I533" s="12">
        <f>ksh*Massivete/(H533*RhoA)*DeltaT*(F533+G533)</f>
        <v>0.3174886731595834</v>
      </c>
      <c r="J533" s="3">
        <f>IF(E533&lt;=500,IF(Galva=Oui,0.35,0.7),0.7)</f>
        <v>0.7</v>
      </c>
    </row>
    <row r="534" spans="2:10" x14ac:dyDescent="0.25">
      <c r="B534" s="3">
        <f>B533+DeltaT</f>
        <v>2585</v>
      </c>
      <c r="C534" s="13">
        <f t="shared" si="40"/>
        <v>43.083333333333336</v>
      </c>
      <c r="D534" s="11">
        <f t="shared" si="41"/>
        <v>895.83683807593547</v>
      </c>
      <c r="E534" s="23">
        <f t="shared" si="38"/>
        <v>887.95440097704579</v>
      </c>
      <c r="F534" s="23">
        <f>AlphaC*(D534-E534)</f>
        <v>197.06092747224204</v>
      </c>
      <c r="G534" s="13">
        <f>Phi*EpsilonF*Botzman/10^8*J534*((D534+273)^4-(E534+273)^4)</f>
        <v>1978.1882219805493</v>
      </c>
      <c r="H534" s="23">
        <f t="shared" si="39"/>
        <v>658.53616011446616</v>
      </c>
      <c r="I534" s="12">
        <f>ksh*Massivete/(H534*RhoA)*DeltaT*(F534+G534)</f>
        <v>0.31669082402520532</v>
      </c>
      <c r="J534" s="3">
        <f>IF(E534&lt;=500,IF(Galva=Oui,0.35,0.7),0.7)</f>
        <v>0.7</v>
      </c>
    </row>
    <row r="535" spans="2:10" x14ac:dyDescent="0.25">
      <c r="B535" s="3">
        <f>B534+DeltaT</f>
        <v>2590</v>
      </c>
      <c r="C535" s="13">
        <f t="shared" si="40"/>
        <v>43.166666666666664</v>
      </c>
      <c r="D535" s="11">
        <f t="shared" si="41"/>
        <v>896.12553102894253</v>
      </c>
      <c r="E535" s="23">
        <f t="shared" si="38"/>
        <v>888.27109180107095</v>
      </c>
      <c r="F535" s="23">
        <f>AlphaC*(D535-E535)</f>
        <v>196.36098069678951</v>
      </c>
      <c r="G535" s="13">
        <f>Phi*EpsilonF*Botzman/10^8*J535*((D535+273)^4-(E535+273)^4)</f>
        <v>1972.6986494041073</v>
      </c>
      <c r="H535" s="23">
        <f t="shared" si="39"/>
        <v>658.30753666122041</v>
      </c>
      <c r="I535" s="12">
        <f>ksh*Massivete/(H535*RhoA)*DeltaT*(F535+G535)</f>
        <v>0.31589937295349113</v>
      </c>
      <c r="J535" s="3">
        <f>IF(E535&lt;=500,IF(Galva=Oui,0.35,0.7),0.7)</f>
        <v>0.7</v>
      </c>
    </row>
    <row r="536" spans="2:10" x14ac:dyDescent="0.25">
      <c r="B536" s="3">
        <f>B535+DeltaT</f>
        <v>2595</v>
      </c>
      <c r="C536" s="13">
        <f t="shared" si="40"/>
        <v>43.25</v>
      </c>
      <c r="D536" s="11">
        <f t="shared" si="41"/>
        <v>896.41366880285136</v>
      </c>
      <c r="E536" s="23">
        <f t="shared" si="38"/>
        <v>888.58699117402443</v>
      </c>
      <c r="F536" s="23">
        <f>AlphaC*(D536-E536)</f>
        <v>195.66694072067321</v>
      </c>
      <c r="G536" s="13">
        <f>Phi*EpsilonF*Botzman/10^8*J536*((D536+273)^4-(E536+273)^4)</f>
        <v>1967.2548965107324</v>
      </c>
      <c r="H536" s="23">
        <f t="shared" si="39"/>
        <v>658.08040002059079</v>
      </c>
      <c r="I536" s="12">
        <f>ksh*Massivete/(H536*RhoA)*DeltaT*(F536+G536)</f>
        <v>0.31511419602360485</v>
      </c>
      <c r="J536" s="3">
        <f>IF(E536&lt;=500,IF(Galva=Oui,0.35,0.7),0.7)</f>
        <v>0.7</v>
      </c>
    </row>
    <row r="537" spans="2:10" x14ac:dyDescent="0.25">
      <c r="B537" s="3">
        <f>B536+DeltaT</f>
        <v>2600</v>
      </c>
      <c r="C537" s="13">
        <f t="shared" si="40"/>
        <v>43.333333333333336</v>
      </c>
      <c r="D537" s="11">
        <f t="shared" si="41"/>
        <v>896.70125352886953</v>
      </c>
      <c r="E537" s="23">
        <f t="shared" si="38"/>
        <v>888.90210537004805</v>
      </c>
      <c r="F537" s="23">
        <f>AlphaC*(D537-E537)</f>
        <v>194.97870397053703</v>
      </c>
      <c r="G537" s="13">
        <f>Phi*EpsilonF*Botzman/10^8*J537*((D537+273)^4-(E537+273)^4)</f>
        <v>1961.8561035034545</v>
      </c>
      <c r="H537" s="23">
        <f t="shared" si="39"/>
        <v>657.85473336937673</v>
      </c>
      <c r="I537" s="12">
        <f>ksh*Massivete/(H537*RhoA)*DeltaT*(F537+G537)</f>
        <v>0.31433517269576977</v>
      </c>
      <c r="J537" s="3">
        <f>IF(E537&lt;=500,IF(Galva=Oui,0.35,0.7),0.7)</f>
        <v>0.7</v>
      </c>
    </row>
    <row r="538" spans="2:10" x14ac:dyDescent="0.25">
      <c r="B538" s="3">
        <f>B537+DeltaT</f>
        <v>2605</v>
      </c>
      <c r="C538" s="13">
        <f t="shared" si="40"/>
        <v>43.416666666666664</v>
      </c>
      <c r="D538" s="11">
        <f t="shared" si="41"/>
        <v>896.98828732595643</v>
      </c>
      <c r="E538" s="23">
        <f t="shared" si="38"/>
        <v>889.21644054274384</v>
      </c>
      <c r="F538" s="23">
        <f>AlphaC*(D538-E538)</f>
        <v>194.29616958031488</v>
      </c>
      <c r="G538" s="13">
        <f>Phi*EpsilonF*Botzman/10^8*J538*((D538+273)^4-(E538+273)^4)</f>
        <v>1956.5014336419279</v>
      </c>
      <c r="H538" s="23">
        <f t="shared" si="39"/>
        <v>657.63052018406233</v>
      </c>
      <c r="I538" s="12">
        <f>ksh*Massivete/(H538*RhoA)*DeltaT*(F538+G538)</f>
        <v>0.31356218571484984</v>
      </c>
      <c r="J538" s="3">
        <f>IF(E538&lt;=500,IF(Galva=Oui,0.35,0.7),0.7)</f>
        <v>0.7</v>
      </c>
    </row>
    <row r="539" spans="2:10" x14ac:dyDescent="0.25">
      <c r="B539" s="3">
        <f>B538+DeltaT</f>
        <v>2610</v>
      </c>
      <c r="C539" s="13">
        <f t="shared" si="40"/>
        <v>43.5</v>
      </c>
      <c r="D539" s="11">
        <f t="shared" si="41"/>
        <v>897.27477230091699</v>
      </c>
      <c r="E539" s="23">
        <f t="shared" si="38"/>
        <v>889.53000272845873</v>
      </c>
      <c r="F539" s="23">
        <f>AlphaC*(D539-E539)</f>
        <v>193.61923931145668</v>
      </c>
      <c r="G539" s="13">
        <f>Phi*EpsilonF*Botzman/10^8*J539*((D539+273)^4-(E539+273)^4)</f>
        <v>1951.190072574291</v>
      </c>
      <c r="H539" s="23">
        <f t="shared" si="39"/>
        <v>657.40774423326889</v>
      </c>
      <c r="I539" s="12">
        <f>ksh*Massivete/(H539*RhoA)*DeltaT*(F539+G539)</f>
        <v>0.3127951210164191</v>
      </c>
      <c r="J539" s="3">
        <f>IF(E539&lt;=500,IF(Galva=Oui,0.35,0.7),0.7)</f>
        <v>0.7</v>
      </c>
    </row>
    <row r="540" spans="2:10" x14ac:dyDescent="0.25">
      <c r="B540" s="3">
        <f>B539+DeltaT</f>
        <v>2615</v>
      </c>
      <c r="C540" s="13">
        <f t="shared" si="40"/>
        <v>43.583333333333336</v>
      </c>
      <c r="D540" s="11">
        <f t="shared" si="41"/>
        <v>897.56071054849372</v>
      </c>
      <c r="E540" s="23">
        <f t="shared" si="38"/>
        <v>889.84279784947512</v>
      </c>
      <c r="F540" s="23">
        <f>AlphaC*(D540-E540)</f>
        <v>192.94781747546494</v>
      </c>
      <c r="G540" s="13">
        <f>Phi*EpsilonF*Botzman/10^8*J540*((D540+273)^4-(E540+273)^4)</f>
        <v>1945.9212276879589</v>
      </c>
      <c r="H540" s="23">
        <f t="shared" si="39"/>
        <v>657.18638957044084</v>
      </c>
      <c r="I540" s="12">
        <f>ksh*Massivete/(H540*RhoA)*DeltaT*(F540+G540)</f>
        <v>0.31203386763536911</v>
      </c>
      <c r="J540" s="3">
        <f>IF(E540&lt;=500,IF(Galva=Oui,0.35,0.7),0.7)</f>
        <v>0.7</v>
      </c>
    </row>
    <row r="541" spans="2:10" x14ac:dyDescent="0.25">
      <c r="B541" s="3">
        <f>B540+DeltaT</f>
        <v>2620</v>
      </c>
      <c r="C541" s="13">
        <f t="shared" si="40"/>
        <v>43.666666666666664</v>
      </c>
      <c r="D541" s="11">
        <f t="shared" si="41"/>
        <v>897.84610415145994</v>
      </c>
      <c r="E541" s="23">
        <f t="shared" si="38"/>
        <v>890.15483171711048</v>
      </c>
      <c r="F541" s="23">
        <f>AlphaC*(D541-E541)</f>
        <v>192.28181085873643</v>
      </c>
      <c r="G541" s="13">
        <f>Phi*EpsilonF*Botzman/10^8*J541*((D541+273)^4-(E541+273)^4)</f>
        <v>1940.6941274782755</v>
      </c>
      <c r="H541" s="23">
        <f t="shared" si="39"/>
        <v>656.96644052675788</v>
      </c>
      <c r="I541" s="12">
        <f>ksh*Massivete/(H541*RhoA)*DeltaT*(F541+G541)</f>
        <v>0.31127831761691943</v>
      </c>
      <c r="J541" s="3">
        <f>IF(E541&lt;=500,IF(Galva=Oui,0.35,0.7),0.7)</f>
        <v>0.7</v>
      </c>
    </row>
    <row r="542" spans="2:10" x14ac:dyDescent="0.25">
      <c r="B542" s="3">
        <f>B541+DeltaT</f>
        <v>2625</v>
      </c>
      <c r="C542" s="13">
        <f t="shared" si="40"/>
        <v>43.75</v>
      </c>
      <c r="D542" s="11">
        <f t="shared" si="41"/>
        <v>898.13095518070918</v>
      </c>
      <c r="E542" s="23">
        <f t="shared" si="38"/>
        <v>890.46611003472742</v>
      </c>
      <c r="F542" s="23">
        <f>AlphaC*(D542-E542)</f>
        <v>191.62112864954395</v>
      </c>
      <c r="G542" s="13">
        <f>Phi*EpsilonF*Botzman/10^8*J542*((D542+273)^4-(E542+273)^4)</f>
        <v>1935.5080209346072</v>
      </c>
      <c r="H542" s="23">
        <f t="shared" si="39"/>
        <v>656.74788170426484</v>
      </c>
      <c r="I542" s="12">
        <f>ksh*Massivete/(H542*RhoA)*DeltaT*(F542+G542)</f>
        <v>0.31052836592996541</v>
      </c>
      <c r="J542" s="3">
        <f>IF(E542&lt;=500,IF(Galva=Oui,0.35,0.7),0.7)</f>
        <v>0.7</v>
      </c>
    </row>
    <row r="543" spans="2:10" x14ac:dyDescent="0.25">
      <c r="B543" s="3">
        <f>B542+DeltaT</f>
        <v>2630</v>
      </c>
      <c r="C543" s="13">
        <f t="shared" si="40"/>
        <v>43.833333333333336</v>
      </c>
      <c r="D543" s="11">
        <f t="shared" si="41"/>
        <v>898.41526569534687</v>
      </c>
      <c r="E543" s="23">
        <f t="shared" si="38"/>
        <v>890.77663840065736</v>
      </c>
      <c r="F543" s="23">
        <f>AlphaC*(D543-E543)</f>
        <v>190.96568236723783</v>
      </c>
      <c r="G543" s="13">
        <f>Phi*EpsilonF*Botzman/10^8*J543*((D543+273)^4-(E543+273)^4)</f>
        <v>1930.3621769445574</v>
      </c>
      <c r="H543" s="23">
        <f t="shared" si="39"/>
        <v>656.53069796921375</v>
      </c>
      <c r="I543" s="12">
        <f>ksh*Massivete/(H543*RhoA)*DeltaT*(F543+G543)</f>
        <v>0.30978391038289477</v>
      </c>
      <c r="J543" s="3">
        <f>IF(E543&lt;=500,IF(Galva=Oui,0.35,0.7),0.7)</f>
        <v>0.7</v>
      </c>
    </row>
    <row r="544" spans="2:10" x14ac:dyDescent="0.25">
      <c r="B544" s="3">
        <f>B543+DeltaT</f>
        <v>2635</v>
      </c>
      <c r="C544" s="13">
        <f t="shared" si="40"/>
        <v>43.916666666666664</v>
      </c>
      <c r="D544" s="11">
        <f t="shared" si="41"/>
        <v>898.69903774277839</v>
      </c>
      <c r="E544" s="23">
        <f t="shared" si="38"/>
        <v>891.08642231104022</v>
      </c>
      <c r="F544" s="23">
        <f>AlphaC*(D544-E544)</f>
        <v>190.31538579345408</v>
      </c>
      <c r="G544" s="13">
        <f>Phi*EpsilonF*Botzman/10^8*J544*((D544+273)^4-(E544+273)^4)</f>
        <v>1925.2558837134118</v>
      </c>
      <c r="H544" s="23">
        <f t="shared" si="39"/>
        <v>656.31487444560787</v>
      </c>
      <c r="I544" s="12">
        <f>ksh*Massivete/(H544*RhoA)*DeltaT*(F544+G544)</f>
        <v>0.30904485154144051</v>
      </c>
      <c r="J544" s="3">
        <f>IF(E544&lt;=500,IF(Galva=Oui,0.35,0.7),0.7)</f>
        <v>0.7</v>
      </c>
    </row>
    <row r="545" spans="2:10" x14ac:dyDescent="0.25">
      <c r="B545" s="3">
        <f>B544+DeltaT</f>
        <v>2640</v>
      </c>
      <c r="C545" s="13">
        <f t="shared" si="40"/>
        <v>44</v>
      </c>
      <c r="D545" s="11">
        <f t="shared" si="41"/>
        <v>898.98227335879869</v>
      </c>
      <c r="E545" s="23">
        <f t="shared" si="38"/>
        <v>891.39546716258167</v>
      </c>
      <c r="F545" s="23">
        <f>AlphaC*(D545-E545)</f>
        <v>189.67015490542565</v>
      </c>
      <c r="G545" s="13">
        <f>Phi*EpsilonF*Botzman/10^8*J545*((D545+273)^4-(E545+273)^4)</f>
        <v>1920.1884482021717</v>
      </c>
      <c r="H545" s="23">
        <f t="shared" si="39"/>
        <v>656.10039650894316</v>
      </c>
      <c r="I545" s="12">
        <f>ksh*Massivete/(H545*RhoA)*DeltaT*(F545+G545)</f>
        <v>0.30831109264909101</v>
      </c>
      <c r="J545" s="3">
        <f>IF(E545&lt;=500,IF(Galva=Oui,0.35,0.7),0.7)</f>
        <v>0.7</v>
      </c>
    </row>
    <row r="546" spans="2:10" x14ac:dyDescent="0.25">
      <c r="B546" s="3">
        <f>B545+DeltaT</f>
        <v>2645</v>
      </c>
      <c r="C546" s="13">
        <f t="shared" si="40"/>
        <v>44.083333333333336</v>
      </c>
      <c r="D546" s="11">
        <f t="shared" si="41"/>
        <v>899.26497456767902</v>
      </c>
      <c r="E546" s="23">
        <f t="shared" si="38"/>
        <v>891.70377825523076</v>
      </c>
      <c r="F546" s="23">
        <f>AlphaC*(D546-E546)</f>
        <v>189.0299078112065</v>
      </c>
      <c r="G546" s="13">
        <f>Phi*EpsilonF*Botzman/10^8*J546*((D546+273)^4-(E546+273)^4)</f>
        <v>1915.1591955791605</v>
      </c>
      <c r="H546" s="23">
        <f t="shared" si="39"/>
        <v>655.88724978014</v>
      </c>
      <c r="I546" s="12">
        <f>ksh*Massivete/(H546*RhoA)*DeltaT*(F546+G546)</f>
        <v>0.30758253954931691</v>
      </c>
      <c r="J546" s="3">
        <f>IF(E546&lt;=500,IF(Galva=Oui,0.35,0.7),0.7)</f>
        <v>0.7</v>
      </c>
    </row>
    <row r="547" spans="2:10" x14ac:dyDescent="0.25">
      <c r="B547" s="3">
        <f>B546+DeltaT</f>
        <v>2650</v>
      </c>
      <c r="C547" s="13">
        <f t="shared" si="40"/>
        <v>44.166666666666664</v>
      </c>
      <c r="D547" s="11">
        <f t="shared" si="41"/>
        <v>899.54714338225358</v>
      </c>
      <c r="E547" s="23">
        <f t="shared" si="38"/>
        <v>892.0113607947801</v>
      </c>
      <c r="F547" s="23">
        <f>AlphaC*(D547-E547)</f>
        <v>188.39456468683693</v>
      </c>
      <c r="G547" s="13">
        <f>Phi*EpsilonF*Botzman/10^8*J547*((D547+273)^4-(E547+273)^4)</f>
        <v>1910.1674686889185</v>
      </c>
      <c r="H547" s="23">
        <f t="shared" si="39"/>
        <v>655.67542011965725</v>
      </c>
      <c r="I547" s="12">
        <f>ksh*Massivete/(H547*RhoA)*DeltaT*(F547+G547)</f>
        <v>0.30685910061017685</v>
      </c>
      <c r="J547" s="3">
        <f>IF(E547&lt;=500,IF(Galva=Oui,0.35,0.7),0.7)</f>
        <v>0.7</v>
      </c>
    </row>
    <row r="548" spans="2:10" x14ac:dyDescent="0.25">
      <c r="B548" s="3">
        <f>B547+DeltaT</f>
        <v>2655</v>
      </c>
      <c r="C548" s="13">
        <f t="shared" si="40"/>
        <v>44.25</v>
      </c>
      <c r="D548" s="11">
        <f t="shared" si="41"/>
        <v>899.82878180400735</v>
      </c>
      <c r="E548" s="23">
        <f t="shared" si="38"/>
        <v>892.31821989539026</v>
      </c>
      <c r="F548" s="23">
        <f>AlphaC*(D548-E548)</f>
        <v>187.7640477154273</v>
      </c>
      <c r="G548" s="13">
        <f>Phi*EpsilonF*Botzman/10^8*J548*((D548+273)^4-(E548+273)^4)</f>
        <v>1905.2126275360481</v>
      </c>
      <c r="H548" s="23">
        <f t="shared" si="39"/>
        <v>655.464893621785</v>
      </c>
      <c r="I548" s="12">
        <f>ksh*Massivete/(H548*RhoA)*DeltaT*(F548+G548)</f>
        <v>0.3061406866509766</v>
      </c>
      <c r="J548" s="3">
        <f>IF(E548&lt;=500,IF(Galva=Oui,0.35,0.7),0.7)</f>
        <v>0.7</v>
      </c>
    </row>
    <row r="549" spans="2:10" x14ac:dyDescent="0.25">
      <c r="B549" s="3">
        <f>B548+DeltaT</f>
        <v>2660</v>
      </c>
      <c r="C549" s="13">
        <f t="shared" si="40"/>
        <v>44.333333333333336</v>
      </c>
      <c r="D549" s="11">
        <f t="shared" si="41"/>
        <v>900.10989182315848</v>
      </c>
      <c r="E549" s="23">
        <f t="shared" si="38"/>
        <v>892.62436058204128</v>
      </c>
      <c r="F549" s="23">
        <f>AlphaC*(D549-E549)</f>
        <v>187.13828102793002</v>
      </c>
      <c r="G549" s="13">
        <f>Phi*EpsilonF*Botzman/10^8*J549*((D549+273)^4-(E549+273)^4)</f>
        <v>1900.2940487824812</v>
      </c>
      <c r="H549" s="23">
        <f t="shared" si="39"/>
        <v>655.25565660910684</v>
      </c>
      <c r="I549" s="12">
        <f>ksh*Massivete/(H549*RhoA)*DeltaT*(F549+G549)</f>
        <v>0.30542721087073704</v>
      </c>
      <c r="J549" s="3">
        <f>IF(E549&lt;=500,IF(Galva=Oui,0.35,0.7),0.7)</f>
        <v>0.7</v>
      </c>
    </row>
    <row r="550" spans="2:10" x14ac:dyDescent="0.25">
      <c r="B550" s="3">
        <f>B549+DeltaT</f>
        <v>2665</v>
      </c>
      <c r="C550" s="13">
        <f t="shared" si="40"/>
        <v>44.416666666666664</v>
      </c>
      <c r="D550" s="11">
        <f t="shared" si="41"/>
        <v>900.39047541874481</v>
      </c>
      <c r="E550" s="23">
        <f t="shared" si="38"/>
        <v>892.92978779291207</v>
      </c>
      <c r="F550" s="23">
        <f>AlphaC*(D550-E550)</f>
        <v>186.51719064581869</v>
      </c>
      <c r="G550" s="13">
        <f>Phi*EpsilonF*Botzman/10^8*J550*((D550+273)^4-(E550+273)^4)</f>
        <v>1895.4111252612861</v>
      </c>
      <c r="H550" s="23">
        <f t="shared" si="39"/>
        <v>655.04769562712909</v>
      </c>
      <c r="I550" s="12">
        <f>ksh*Massivete/(H550*RhoA)*DeltaT*(F550+G550)</f>
        <v>0.30471858877897662</v>
      </c>
      <c r="J550" s="3">
        <f>IF(E550&lt;=500,IF(Galva=Oui,0.35,0.7),0.7)</f>
        <v>0.7</v>
      </c>
    </row>
    <row r="551" spans="2:10" x14ac:dyDescent="0.25">
      <c r="B551" s="3">
        <f>B550+DeltaT</f>
        <v>2670</v>
      </c>
      <c r="C551" s="13">
        <f t="shared" si="40"/>
        <v>44.5</v>
      </c>
      <c r="D551" s="11">
        <f t="shared" si="41"/>
        <v>900.67053455870655</v>
      </c>
      <c r="E551" s="23">
        <f t="shared" si="38"/>
        <v>893.23450638169106</v>
      </c>
      <c r="F551" s="23">
        <f>AlphaC*(D551-E551)</f>
        <v>185.90070442538718</v>
      </c>
      <c r="G551" s="13">
        <f>Phi*EpsilonF*Botzman/10^8*J551*((D551+273)^4-(E551+273)^4)</f>
        <v>1890.5632655026347</v>
      </c>
      <c r="H551" s="23">
        <f t="shared" si="39"/>
        <v>654.84099743906927</v>
      </c>
      <c r="I551" s="12">
        <f>ksh*Massivete/(H551*RhoA)*DeltaT*(F551+G551)</f>
        <v>0.30401473812813995</v>
      </c>
      <c r="J551" s="3">
        <f>IF(E551&lt;=500,IF(Galva=Oui,0.35,0.7),0.7)</f>
        <v>0.7</v>
      </c>
    </row>
    <row r="552" spans="2:10" x14ac:dyDescent="0.25">
      <c r="B552" s="3">
        <f>B551+DeltaT</f>
        <v>2675</v>
      </c>
      <c r="C552" s="13">
        <f t="shared" si="40"/>
        <v>44.583333333333336</v>
      </c>
      <c r="D552" s="11">
        <f t="shared" si="41"/>
        <v>900.95007119996956</v>
      </c>
      <c r="E552" s="23">
        <f t="shared" si="38"/>
        <v>893.53852111981917</v>
      </c>
      <c r="F552" s="23">
        <f>AlphaC*(D552-E552)</f>
        <v>185.28875200375978</v>
      </c>
      <c r="G552" s="13">
        <f>Phi*EpsilonF*Botzman/10^8*J552*((D552+273)^4-(E552+273)^4)</f>
        <v>1885.749893274452</v>
      </c>
      <c r="H552" s="23">
        <f t="shared" si="39"/>
        <v>654.63554902079829</v>
      </c>
      <c r="I552" s="12">
        <f>ksh*Massivete/(H552*RhoA)*DeltaT*(F552+G552)</f>
        <v>0.30331557884806837</v>
      </c>
      <c r="J552" s="3">
        <f>IF(E552&lt;=500,IF(Galva=Oui,0.35,0.7),0.7)</f>
        <v>0.7</v>
      </c>
    </row>
    <row r="553" spans="2:10" x14ac:dyDescent="0.25">
      <c r="B553" s="3">
        <f>B552+DeltaT</f>
        <v>2680</v>
      </c>
      <c r="C553" s="13">
        <f t="shared" si="40"/>
        <v>44.666666666666664</v>
      </c>
      <c r="D553" s="11">
        <f t="shared" si="41"/>
        <v>901.22908728852678</v>
      </c>
      <c r="E553" s="23">
        <f t="shared" si="38"/>
        <v>893.84183669866718</v>
      </c>
      <c r="F553" s="23">
        <f>AlphaC*(D553-E553)</f>
        <v>184.68126474649011</v>
      </c>
      <c r="G553" s="13">
        <f>Phi*EpsilonF*Botzman/10^8*J553*((D553+273)^4-(E553+273)^4)</f>
        <v>1880.9704471361649</v>
      </c>
      <c r="H553" s="23">
        <f t="shared" si="39"/>
        <v>654.43133755593317</v>
      </c>
      <c r="I553" s="12">
        <f>ksh*Massivete/(H553*RhoA)*DeltaT*(F553+G553)</f>
        <v>0.30262103298227755</v>
      </c>
      <c r="J553" s="3">
        <f>IF(E553&lt;=500,IF(Galva=Oui,0.35,0.7),0.7)</f>
        <v>0.7</v>
      </c>
    </row>
    <row r="554" spans="2:10" x14ac:dyDescent="0.25">
      <c r="B554" s="3">
        <f>B553+DeltaT</f>
        <v>2685</v>
      </c>
      <c r="C554" s="13">
        <f t="shared" si="40"/>
        <v>44.75</v>
      </c>
      <c r="D554" s="11">
        <f t="shared" si="41"/>
        <v>901.50758475952</v>
      </c>
      <c r="E554" s="23">
        <f t="shared" si="38"/>
        <v>894.14445773164948</v>
      </c>
      <c r="F554" s="23">
        <f>AlphaC*(D554-E554)</f>
        <v>184.07817569676297</v>
      </c>
      <c r="G554" s="13">
        <f>Phi*EpsilonF*Botzman/10^8*J554*((D554+273)^4-(E554+273)^4)</f>
        <v>1876.2243800049509</v>
      </c>
      <c r="H554" s="23">
        <f t="shared" si="39"/>
        <v>654.22835043107307</v>
      </c>
      <c r="I554" s="12">
        <f>ksh*Massivete/(H554*RhoA)*DeltaT*(F554+G554)</f>
        <v>0.30193102462596844</v>
      </c>
      <c r="J554" s="3">
        <f>IF(E554&lt;=500,IF(Galva=Oui,0.35,0.7),0.7)</f>
        <v>0.7</v>
      </c>
    </row>
    <row r="555" spans="2:10" x14ac:dyDescent="0.25">
      <c r="B555" s="3">
        <f>B554+DeltaT</f>
        <v>2690</v>
      </c>
      <c r="C555" s="13">
        <f t="shared" si="40"/>
        <v>44.833333333333336</v>
      </c>
      <c r="D555" s="11">
        <f t="shared" si="41"/>
        <v>901.78556553732062</v>
      </c>
      <c r="E555" s="23">
        <f t="shared" si="38"/>
        <v>894.4463887562755</v>
      </c>
      <c r="F555" s="23">
        <f>AlphaC*(D555-E555)</f>
        <v>183.47941952612814</v>
      </c>
      <c r="G555" s="13">
        <f>Phi*EpsilonF*Botzman/10^8*J555*((D555+273)^4-(E555+273)^4)</f>
        <v>1871.5111587358153</v>
      </c>
      <c r="H555" s="23">
        <f t="shared" si="39"/>
        <v>654.02657523117534</v>
      </c>
      <c r="I555" s="12">
        <f>ksh*Massivete/(H555*RhoA)*DeltaT*(F555+G555)</f>
        <v>0.30124547986597017</v>
      </c>
      <c r="J555" s="3">
        <f>IF(E555&lt;=500,IF(Galva=Oui,0.35,0.7),0.7)</f>
        <v>0.7</v>
      </c>
    </row>
    <row r="556" spans="2:10" x14ac:dyDescent="0.25">
      <c r="B556" s="3">
        <f>B555+DeltaT</f>
        <v>2695</v>
      </c>
      <c r="C556" s="13">
        <f t="shared" si="40"/>
        <v>44.916666666666664</v>
      </c>
      <c r="D556" s="11">
        <f t="shared" si="41"/>
        <v>902.06303153560839</v>
      </c>
      <c r="E556" s="23">
        <f t="shared" si="38"/>
        <v>894.74763423614149</v>
      </c>
      <c r="F556" s="23">
        <f>AlphaC*(D556-E556)</f>
        <v>182.88493248667237</v>
      </c>
      <c r="G556" s="13">
        <f>Phi*EpsilonF*Botzman/10^8*J556*((D556+273)^4-(E556+273)^4)</f>
        <v>1866.8302637122099</v>
      </c>
      <c r="H556" s="23">
        <f t="shared" si="39"/>
        <v>653.82599973506592</v>
      </c>
      <c r="I556" s="12">
        <f>ksh*Massivete/(H556*RhoA)*DeltaT*(F556+G556)</f>
        <v>0.30056432672212979</v>
      </c>
      <c r="J556" s="3">
        <f>IF(E556&lt;=500,IF(Galva=Oui,0.35,0.7),0.7)</f>
        <v>0.7</v>
      </c>
    </row>
    <row r="557" spans="2:10" x14ac:dyDescent="0.25">
      <c r="B557" s="3">
        <f>B556+DeltaT</f>
        <v>2700</v>
      </c>
      <c r="C557" s="13">
        <f t="shared" si="40"/>
        <v>45</v>
      </c>
      <c r="D557" s="11">
        <f t="shared" si="41"/>
        <v>902.33998465745196</v>
      </c>
      <c r="E557" s="23">
        <f t="shared" si="38"/>
        <v>895.0481985628636</v>
      </c>
      <c r="F557" s="23">
        <f>AlphaC*(D557-E557)</f>
        <v>182.29465236470901</v>
      </c>
      <c r="G557" s="13">
        <f>Phi*EpsilonF*Botzman/10^8*J557*((D557+273)^4-(E557+273)^4)</f>
        <v>1862.1811884499484</v>
      </c>
      <c r="H557" s="23">
        <f t="shared" si="39"/>
        <v>653.62661191108009</v>
      </c>
      <c r="I557" s="12">
        <f>ksh*Massivete/(H557*RhoA)*DeltaT*(F557+G557)</f>
        <v>0.29988749509057772</v>
      </c>
      <c r="J557" s="3">
        <f>IF(E557&lt;=500,IF(Galva=Oui,0.35,0.7),0.7)</f>
        <v>0.7</v>
      </c>
    </row>
    <row r="558" spans="2:10" x14ac:dyDescent="0.25">
      <c r="B558" s="3">
        <f>B557+DeltaT</f>
        <v>2705</v>
      </c>
      <c r="C558" s="13">
        <f t="shared" si="40"/>
        <v>45.083333333333336</v>
      </c>
      <c r="D558" s="11">
        <f t="shared" si="41"/>
        <v>902.61642679538556</v>
      </c>
      <c r="E558" s="23">
        <f t="shared" si="38"/>
        <v>895.34808605795422</v>
      </c>
      <c r="F558" s="23">
        <f>AlphaC*(D558-E558)</f>
        <v>181.70851843578362</v>
      </c>
      <c r="G558" s="13">
        <f>Phi*EpsilonF*Botzman/10^8*J558*((D558+273)^4-(E558+273)^4)</f>
        <v>1857.5634392117674</v>
      </c>
      <c r="H558" s="23">
        <f t="shared" si="39"/>
        <v>653.4283999128296</v>
      </c>
      <c r="I558" s="12">
        <f>ksh*Massivete/(H558*RhoA)*DeltaT*(F558+G558)</f>
        <v>0.29921491668846029</v>
      </c>
      <c r="J558" s="3">
        <f>IF(E558&lt;=500,IF(Galva=Oui,0.35,0.7),0.7)</f>
        <v>0.7</v>
      </c>
    </row>
    <row r="559" spans="2:10" x14ac:dyDescent="0.25">
      <c r="B559" s="3">
        <f>B558+DeltaT</f>
        <v>2710</v>
      </c>
      <c r="C559" s="13">
        <f t="shared" si="40"/>
        <v>45.166666666666664</v>
      </c>
      <c r="D559" s="11">
        <f t="shared" si="41"/>
        <v>902.89235983148797</v>
      </c>
      <c r="E559" s="23">
        <f t="shared" si="38"/>
        <v>895.64730097464269</v>
      </c>
      <c r="F559" s="23">
        <f>AlphaC*(D559-E559)</f>
        <v>181.1264714211319</v>
      </c>
      <c r="G559" s="13">
        <f>Phi*EpsilonF*Botzman/10^8*J559*((D559+273)^4-(E559+273)^4)</f>
        <v>1852.9765346349639</v>
      </c>
      <c r="H559" s="23">
        <f t="shared" si="39"/>
        <v>653.23135207509085</v>
      </c>
      <c r="I559" s="12">
        <f>ksh*Massivete/(H559*RhoA)*DeltaT*(F559+G559)</f>
        <v>0.29854652500052853</v>
      </c>
      <c r="J559" s="3">
        <f>IF(E559&lt;=500,IF(Galva=Oui,0.35,0.7),0.7)</f>
        <v>0.7</v>
      </c>
    </row>
    <row r="560" spans="2:10" x14ac:dyDescent="0.25">
      <c r="B560" s="3">
        <f>B559+DeltaT</f>
        <v>2715</v>
      </c>
      <c r="C560" s="13">
        <f t="shared" si="40"/>
        <v>45.25</v>
      </c>
      <c r="D560" s="11">
        <f t="shared" si="41"/>
        <v>903.16778563745868</v>
      </c>
      <c r="E560" s="23">
        <f t="shared" si="38"/>
        <v>895.94584749964326</v>
      </c>
      <c r="F560" s="23">
        <f>AlphaC*(D560-E560)</f>
        <v>180.54845344538535</v>
      </c>
      <c r="G560" s="13">
        <f>Phi*EpsilonF*Botzman/10^8*J560*((D560+273)^4-(E560+273)^4)</f>
        <v>1848.4200053672348</v>
      </c>
      <c r="H560" s="23">
        <f t="shared" si="39"/>
        <v>653.03545690981116</v>
      </c>
      <c r="I560" s="12">
        <f>ksh*Massivete/(H560*RhoA)*DeltaT*(F560+G560)</f>
        <v>0.2978822552268483</v>
      </c>
      <c r="J560" s="3">
        <f>IF(E560&lt;=500,IF(Galva=Oui,0.35,0.7),0.7)</f>
        <v>0.7</v>
      </c>
    </row>
    <row r="561" spans="2:10" x14ac:dyDescent="0.25">
      <c r="B561" s="3">
        <f>B560+DeltaT</f>
        <v>2720</v>
      </c>
      <c r="C561" s="13">
        <f t="shared" si="40"/>
        <v>45.333333333333336</v>
      </c>
      <c r="D561" s="11">
        <f t="shared" si="41"/>
        <v>903.44270607469434</v>
      </c>
      <c r="E561" s="23">
        <f t="shared" si="38"/>
        <v>896.24372975487006</v>
      </c>
      <c r="F561" s="23">
        <f>AlphaC*(D561-E561)</f>
        <v>179.97440799560707</v>
      </c>
      <c r="G561" s="13">
        <f>Phi*EpsilonF*Botzman/10^8*J561*((D561+273)^4-(E561+273)^4)</f>
        <v>1843.8933937157485</v>
      </c>
      <c r="H561" s="23">
        <f t="shared" si="39"/>
        <v>652.84070310222955</v>
      </c>
      <c r="I561" s="12">
        <f>ksh*Massivete/(H561*RhoA)*DeltaT*(F561+G561)</f>
        <v>0.29722204423238946</v>
      </c>
      <c r="J561" s="3">
        <f>IF(E561&lt;=500,IF(Galva=Oui,0.35,0.7),0.7)</f>
        <v>0.7</v>
      </c>
    </row>
    <row r="562" spans="2:10" x14ac:dyDescent="0.25">
      <c r="B562" s="3">
        <f>B561+DeltaT</f>
        <v>2725</v>
      </c>
      <c r="C562" s="13">
        <f t="shared" si="40"/>
        <v>45.416666666666664</v>
      </c>
      <c r="D562" s="11">
        <f t="shared" si="41"/>
        <v>903.71712299436388</v>
      </c>
      <c r="E562" s="23">
        <f t="shared" ref="E562:E625" si="42">E561+I561</f>
        <v>896.54095179910246</v>
      </c>
      <c r="F562" s="23">
        <f>AlphaC*(D562-E562)</f>
        <v>179.40427988153544</v>
      </c>
      <c r="G562" s="13">
        <f>Phi*EpsilonF*Botzman/10^8*J562*((D562+273)^4-(E562+273)^4)</f>
        <v>1839.396253305079</v>
      </c>
      <c r="H562" s="23">
        <f t="shared" ref="H562:H625" si="43">IF(E562&lt;600,425+0.773*E562-1.69/1000*E562^2+2.22/1000^2*E562^3,IF(E562&lt;735,666+13002/(738-E562),IF(E562&lt;900,545+17820/(E562-731),650)))</f>
        <v>652.64707950710613</v>
      </c>
      <c r="I562" s="12">
        <f>ksh*Massivete/(H562*RhoA)*DeltaT*(F562+G562)</f>
        <v>0.29656583049784907</v>
      </c>
      <c r="J562" s="3">
        <f>IF(E562&lt;=500,IF(Galva=Oui,0.35,0.7),0.7)</f>
        <v>0.7</v>
      </c>
    </row>
    <row r="563" spans="2:10" x14ac:dyDescent="0.25">
      <c r="B563" s="3">
        <f>B562+DeltaT</f>
        <v>2730</v>
      </c>
      <c r="C563" s="13">
        <f t="shared" si="40"/>
        <v>45.5</v>
      </c>
      <c r="D563" s="11">
        <f t="shared" si="41"/>
        <v>903.99103823748374</v>
      </c>
      <c r="E563" s="23">
        <f t="shared" si="42"/>
        <v>896.83751762960026</v>
      </c>
      <c r="F563" s="23">
        <f>AlphaC*(D563-E563)</f>
        <v>178.83801519708697</v>
      </c>
      <c r="G563" s="13">
        <f>Phi*EpsilonF*Botzman/10^8*J563*((D563+273)^4-(E563+273)^4)</f>
        <v>1834.9281487464204</v>
      </c>
      <c r="H563" s="23">
        <f t="shared" si="43"/>
        <v>652.45457514505938</v>
      </c>
      <c r="I563" s="12">
        <f>ksh*Massivete/(H563*RhoA)*DeltaT*(F563+G563)</f>
        <v>0.29591355407207603</v>
      </c>
      <c r="J563" s="3">
        <f>IF(E563&lt;=500,IF(Galva=Oui,0.35,0.7),0.7)</f>
        <v>0.7</v>
      </c>
    </row>
    <row r="564" spans="2:10" x14ac:dyDescent="0.25">
      <c r="B564" s="3">
        <f>B563+DeltaT</f>
        <v>2735</v>
      </c>
      <c r="C564" s="13">
        <f t="shared" si="40"/>
        <v>45.583333333333336</v>
      </c>
      <c r="D564" s="11">
        <f t="shared" si="41"/>
        <v>904.26445363499181</v>
      </c>
      <c r="E564" s="23">
        <f t="shared" si="42"/>
        <v>897.13343118367231</v>
      </c>
      <c r="F564" s="23">
        <f>AlphaC*(D564-E564)</f>
        <v>178.27556128298738</v>
      </c>
      <c r="G564" s="13">
        <f>Phi*EpsilonF*Botzman/10^8*J564*((D564+273)^4-(E564+273)^4)</f>
        <v>1830.4886553153869</v>
      </c>
      <c r="H564" s="23">
        <f t="shared" si="43"/>
        <v>652.26317919900612</v>
      </c>
      <c r="I564" s="12">
        <f>ksh*Massivete/(H564*RhoA)*DeltaT*(F564+G564)</f>
        <v>0.29526515652569402</v>
      </c>
      <c r="J564" s="3">
        <f>IF(E564&lt;=500,IF(Galva=Oui,0.35,0.7),0.7)</f>
        <v>0.7</v>
      </c>
    </row>
    <row r="565" spans="2:10" x14ac:dyDescent="0.25">
      <c r="B565" s="3">
        <f>B564+DeltaT</f>
        <v>2740</v>
      </c>
      <c r="C565" s="13">
        <f t="shared" si="40"/>
        <v>45.666666666666664</v>
      </c>
      <c r="D565" s="11">
        <f t="shared" si="41"/>
        <v>904.53737100782064</v>
      </c>
      <c r="E565" s="23">
        <f t="shared" si="42"/>
        <v>897.42869634019803</v>
      </c>
      <c r="F565" s="23">
        <f>AlphaC*(D565-E565)</f>
        <v>177.71686669056521</v>
      </c>
      <c r="G565" s="13">
        <f>Phi*EpsilonF*Botzman/10^8*J565*((D565+273)^4-(E565+273)^4)</f>
        <v>1826.0773586402295</v>
      </c>
      <c r="H565" s="23">
        <f t="shared" si="43"/>
        <v>652.07288101070037</v>
      </c>
      <c r="I565" s="12">
        <f>ksh*Massivete/(H565*RhoA)*DeltaT*(F565+G565)</f>
        <v>0.29462058090620447</v>
      </c>
      <c r="J565" s="3">
        <f>IF(E565&lt;=500,IF(Galva=Oui,0.35,0.7),0.7)</f>
        <v>0.7</v>
      </c>
    </row>
    <row r="566" spans="2:10" x14ac:dyDescent="0.25">
      <c r="B566" s="3">
        <f>B565+DeltaT</f>
        <v>2745</v>
      </c>
      <c r="C566" s="13">
        <f t="shared" si="40"/>
        <v>45.75</v>
      </c>
      <c r="D566" s="11">
        <f t="shared" si="41"/>
        <v>904.80979216697085</v>
      </c>
      <c r="E566" s="23">
        <f t="shared" si="42"/>
        <v>897.72331692110424</v>
      </c>
      <c r="F566" s="23">
        <f>AlphaC*(D566-E566)</f>
        <v>177.16188114666522</v>
      </c>
      <c r="G566" s="13">
        <f>Phi*EpsilonF*Botzman/10^8*J566*((D566+273)^4-(E566+273)^4)</f>
        <v>1821.6938543994413</v>
      </c>
      <c r="H566" s="23">
        <f t="shared" si="43"/>
        <v>651.8836700773694</v>
      </c>
      <c r="I566" s="12">
        <f>ksh*Massivete/(H566*RhoA)*DeltaT*(F566+G566)</f>
        <v>0.29397977169441997</v>
      </c>
      <c r="J566" s="3">
        <f>IF(E566&lt;=500,IF(Galva=Oui,0.35,0.7),0.7)</f>
        <v>0.7</v>
      </c>
    </row>
    <row r="567" spans="2:10" x14ac:dyDescent="0.25">
      <c r="B567" s="3">
        <f>B566+DeltaT</f>
        <v>2750</v>
      </c>
      <c r="C567" s="13">
        <f t="shared" si="40"/>
        <v>45.833333333333336</v>
      </c>
      <c r="D567" s="11">
        <f t="shared" si="41"/>
        <v>905.08171891358211</v>
      </c>
      <c r="E567" s="23">
        <f t="shared" si="42"/>
        <v>898.01729669279871</v>
      </c>
      <c r="F567" s="23">
        <f>AlphaC*(D567-E567)</f>
        <v>176.61055551958498</v>
      </c>
      <c r="G567" s="13">
        <f>Phi*EpsilonF*Botzman/10^8*J567*((D567+273)^4-(E567+273)^4)</f>
        <v>1817.3377480274357</v>
      </c>
      <c r="H567" s="23">
        <f t="shared" si="43"/>
        <v>651.69553604844293</v>
      </c>
      <c r="I567" s="12">
        <f>ksh*Massivete/(H567*RhoA)*DeltaT*(F567+G567)</f>
        <v>0.29334267476203024</v>
      </c>
      <c r="J567" s="3">
        <f>IF(E567&lt;=500,IF(Galva=Oui,0.35,0.7),0.7)</f>
        <v>0.7</v>
      </c>
    </row>
    <row r="568" spans="2:10" x14ac:dyDescent="0.25">
      <c r="B568" s="3">
        <f>B567+DeltaT</f>
        <v>2755</v>
      </c>
      <c r="C568" s="13">
        <f t="shared" si="40"/>
        <v>45.916666666666664</v>
      </c>
      <c r="D568" s="11">
        <f t="shared" si="41"/>
        <v>905.3531530390062</v>
      </c>
      <c r="E568" s="23">
        <f t="shared" si="42"/>
        <v>898.31063936756073</v>
      </c>
      <c r="F568" s="23">
        <f>AlphaC*(D568-E568)</f>
        <v>176.06284178613691</v>
      </c>
      <c r="G568" s="13">
        <f>Phi*EpsilonF*Botzman/10^8*J568*((D568+273)^4-(E568+273)^4)</f>
        <v>1813.008654430447</v>
      </c>
      <c r="H568" s="23">
        <f t="shared" si="43"/>
        <v>651.50846872237253</v>
      </c>
      <c r="I568" s="12">
        <f>ksh*Massivete/(H568*RhoA)*DeltaT*(F568+G568)</f>
        <v>0.29270923733063725</v>
      </c>
      <c r="J568" s="3">
        <f>IF(E568&lt;=500,IF(Galva=Oui,0.35,0.7),0.7)</f>
        <v>0.7</v>
      </c>
    </row>
    <row r="569" spans="2:10" x14ac:dyDescent="0.25">
      <c r="B569" s="3">
        <f>B568+DeltaT</f>
        <v>2760</v>
      </c>
      <c r="C569" s="13">
        <f t="shared" si="40"/>
        <v>46</v>
      </c>
      <c r="D569" s="11">
        <f t="shared" si="41"/>
        <v>905.62409632487572</v>
      </c>
      <c r="E569" s="23">
        <f t="shared" si="42"/>
        <v>898.60334860489138</v>
      </c>
      <c r="F569" s="23">
        <f>AlphaC*(D569-E569)</f>
        <v>175.51869299960856</v>
      </c>
      <c r="G569" s="13">
        <f>Phi*EpsilonF*Botzman/10^8*J569*((D569+273)^4-(E569+273)^4)</f>
        <v>1808.7061977093401</v>
      </c>
      <c r="H569" s="23">
        <f t="shared" si="43"/>
        <v>651.32245804353784</v>
      </c>
      <c r="I569" s="12">
        <f>ksh*Massivete/(H569*RhoA)*DeltaT*(F569+G569)</f>
        <v>0.2920794079317483</v>
      </c>
      <c r="J569" s="3">
        <f>IF(E569&lt;=500,IF(Galva=Oui,0.35,0.7),0.7)</f>
        <v>0.7</v>
      </c>
    </row>
    <row r="570" spans="2:10" x14ac:dyDescent="0.25">
      <c r="B570" s="3">
        <f>B569+DeltaT</f>
        <v>2765</v>
      </c>
      <c r="C570" s="13">
        <f t="shared" si="40"/>
        <v>46.083333333333336</v>
      </c>
      <c r="D570" s="11">
        <f t="shared" si="41"/>
        <v>905.89455054317671</v>
      </c>
      <c r="E570" s="23">
        <f t="shared" si="42"/>
        <v>898.89542801282312</v>
      </c>
      <c r="F570" s="23">
        <f>AlphaC*(D570-E570)</f>
        <v>174.97806325883971</v>
      </c>
      <c r="G570" s="13">
        <f>Phi*EpsilonF*Botzman/10^8*J570*((D570+273)^4-(E570+273)^4)</f>
        <v>1804.4300108923419</v>
      </c>
      <c r="H570" s="23">
        <f t="shared" si="43"/>
        <v>651.13749409923764</v>
      </c>
      <c r="I570" s="12">
        <f>ksh*Massivete/(H570*RhoA)*DeltaT*(F570+G570)</f>
        <v>0.29145313636820819</v>
      </c>
      <c r="J570" s="3">
        <f>IF(E570&lt;=500,IF(Galva=Oui,0.35,0.7),0.7)</f>
        <v>0.7</v>
      </c>
    </row>
    <row r="571" spans="2:10" x14ac:dyDescent="0.25">
      <c r="B571" s="3">
        <f>B570+DeltaT</f>
        <v>2770</v>
      </c>
      <c r="C571" s="13">
        <f t="shared" si="40"/>
        <v>46.166666666666664</v>
      </c>
      <c r="D571" s="11">
        <f t="shared" si="41"/>
        <v>906.16451745631571</v>
      </c>
      <c r="E571" s="23">
        <f t="shared" si="42"/>
        <v>899.18688114919132</v>
      </c>
      <c r="F571" s="23">
        <f>AlphaC*(D571-E571)</f>
        <v>174.44090767810962</v>
      </c>
      <c r="G571" s="13">
        <f>Phi*EpsilonF*Botzman/10^8*J571*((D571+273)^4-(E571+273)^4)</f>
        <v>1800.1797356743436</v>
      </c>
      <c r="H571" s="23">
        <f t="shared" si="43"/>
        <v>650.95356711676368</v>
      </c>
      <c r="I571" s="12">
        <f>ksh*Massivete/(H571*RhoA)*DeltaT*(F571+G571)</f>
        <v>0.2908303736765398</v>
      </c>
      <c r="J571" s="3">
        <f>IF(E571&lt;=500,IF(Galva=Oui,0.35,0.7),0.7)</f>
        <v>0.7</v>
      </c>
    </row>
    <row r="572" spans="2:10" x14ac:dyDescent="0.25">
      <c r="B572" s="3">
        <f>B571+DeltaT</f>
        <v>2775</v>
      </c>
      <c r="C572" s="13">
        <f t="shared" si="40"/>
        <v>46.25</v>
      </c>
      <c r="D572" s="11">
        <f t="shared" si="41"/>
        <v>906.43399881719074</v>
      </c>
      <c r="E572" s="23">
        <f t="shared" si="42"/>
        <v>899.47771152286782</v>
      </c>
      <c r="F572" s="23">
        <f>AlphaC*(D572-E572)</f>
        <v>173.90718235807299</v>
      </c>
      <c r="G572" s="13">
        <f>Phi*EpsilonF*Botzman/10^8*J572*((D572+273)^4-(E572+273)^4)</f>
        <v>1795.9550221651075</v>
      </c>
      <c r="H572" s="23">
        <f t="shared" si="43"/>
        <v>650.77066746055164</v>
      </c>
      <c r="I572" s="12">
        <f>ksh*Massivete/(H572*RhoA)*DeltaT*(F572+G572)</f>
        <v>0.29021107209057789</v>
      </c>
      <c r="J572" s="3">
        <f>IF(E572&lt;=500,IF(Galva=Oui,0.35,0.7),0.7)</f>
        <v>0.7</v>
      </c>
    </row>
    <row r="573" spans="2:10" x14ac:dyDescent="0.25">
      <c r="B573" s="3">
        <f>B572+DeltaT</f>
        <v>2780</v>
      </c>
      <c r="C573" s="13">
        <f t="shared" si="40"/>
        <v>46.333333333333336</v>
      </c>
      <c r="D573" s="11">
        <f t="shared" si="41"/>
        <v>906.70299636925824</v>
      </c>
      <c r="E573" s="23">
        <f t="shared" si="42"/>
        <v>899.76792259495835</v>
      </c>
      <c r="F573" s="23">
        <f>AlphaC*(D573-E573)</f>
        <v>173.37684435749736</v>
      </c>
      <c r="G573" s="13">
        <f>Phi*EpsilonF*Botzman/10^8*J573*((D573+273)^4-(E573+273)^4)</f>
        <v>1791.7555286445865</v>
      </c>
      <c r="H573" s="23">
        <f t="shared" si="43"/>
        <v>650.58878562941049</v>
      </c>
      <c r="I573" s="12">
        <f>ksh*Massivete/(H573*RhoA)*DeltaT*(F573+G573)</f>
        <v>0.28959518500610332</v>
      </c>
      <c r="J573" s="3">
        <f>IF(E573&lt;=500,IF(Galva=Oui,0.35,0.7),0.7)</f>
        <v>0.7</v>
      </c>
    </row>
    <row r="574" spans="2:10" x14ac:dyDescent="0.25">
      <c r="B574" s="3">
        <f>B573+DeltaT</f>
        <v>2785</v>
      </c>
      <c r="C574" s="13">
        <f t="shared" si="40"/>
        <v>46.416666666666664</v>
      </c>
      <c r="D574" s="11">
        <f t="shared" si="41"/>
        <v>906.97151184660152</v>
      </c>
      <c r="E574" s="23">
        <f t="shared" si="42"/>
        <v>900.05751777996443</v>
      </c>
      <c r="F574" s="23">
        <f>AlphaC*(D574-E574)</f>
        <v>172.84985166592719</v>
      </c>
      <c r="G574" s="13">
        <f>Phi*EpsilonF*Botzman/10^8*J574*((D574+273)^4-(E574+273)^4)</f>
        <v>1787.5809213256075</v>
      </c>
      <c r="H574" s="23">
        <f t="shared" si="43"/>
        <v>650</v>
      </c>
      <c r="I574" s="12">
        <f>ksh*Massivete/(H574*RhoA)*DeltaT*(F574+G574)</f>
        <v>0.28916402013267684</v>
      </c>
      <c r="J574" s="3">
        <f>IF(E574&lt;=500,IF(Galva=Oui,0.35,0.7),0.7)</f>
        <v>0.7</v>
      </c>
    </row>
    <row r="575" spans="2:10" x14ac:dyDescent="0.25">
      <c r="B575" s="3">
        <f>B574+DeltaT</f>
        <v>2790</v>
      </c>
      <c r="C575" s="13">
        <f t="shared" si="40"/>
        <v>46.5</v>
      </c>
      <c r="D575" s="11">
        <f t="shared" si="41"/>
        <v>907.23954697399711</v>
      </c>
      <c r="E575" s="23">
        <f t="shared" si="42"/>
        <v>900.34668180009714</v>
      </c>
      <c r="F575" s="23">
        <f>AlphaC*(D575-E575)</f>
        <v>172.32162934749908</v>
      </c>
      <c r="G575" s="13">
        <f>Phi*EpsilonF*Botzman/10^8*J575*((D575+273)^4-(E575+273)^4)</f>
        <v>1783.38436424307</v>
      </c>
      <c r="H575" s="23">
        <f t="shared" si="43"/>
        <v>650</v>
      </c>
      <c r="I575" s="12">
        <f>ksh*Massivete/(H575*RhoA)*DeltaT*(F575+G575)</f>
        <v>0.28846711401150915</v>
      </c>
      <c r="J575" s="3">
        <f>IF(E575&lt;=500,IF(Galva=Oui,0.35,0.7),0.7)</f>
        <v>0.7</v>
      </c>
    </row>
    <row r="576" spans="2:10" x14ac:dyDescent="0.25">
      <c r="B576" s="3">
        <f>B575+DeltaT</f>
        <v>2795</v>
      </c>
      <c r="C576" s="13">
        <f t="shared" si="40"/>
        <v>46.583333333333336</v>
      </c>
      <c r="D576" s="11">
        <f t="shared" si="41"/>
        <v>907.50710346698213</v>
      </c>
      <c r="E576" s="23">
        <f t="shared" si="42"/>
        <v>900.63514891410864</v>
      </c>
      <c r="F576" s="23">
        <f>AlphaC*(D576-E576)</f>
        <v>171.79886382183724</v>
      </c>
      <c r="G576" s="13">
        <f>Phi*EpsilonF*Botzman/10^8*J576*((D576+273)^4-(E576+273)^4)</f>
        <v>1779.2344914744062</v>
      </c>
      <c r="H576" s="23">
        <f t="shared" si="43"/>
        <v>650</v>
      </c>
      <c r="I576" s="12">
        <f>ksh*Massivete/(H576*RhoA)*DeltaT*(F576+G576)</f>
        <v>0.28777789871636705</v>
      </c>
      <c r="J576" s="3">
        <f>IF(E576&lt;=500,IF(Galva=Oui,0.35,0.7),0.7)</f>
        <v>0.7</v>
      </c>
    </row>
    <row r="577" spans="2:10" x14ac:dyDescent="0.25">
      <c r="B577" s="3">
        <f>B576+DeltaT</f>
        <v>2800</v>
      </c>
      <c r="C577" s="13">
        <f t="shared" si="40"/>
        <v>46.666666666666664</v>
      </c>
      <c r="D577" s="11">
        <f t="shared" si="41"/>
        <v>907.77418303191939</v>
      </c>
      <c r="E577" s="23">
        <f t="shared" si="42"/>
        <v>900.92292681282504</v>
      </c>
      <c r="F577" s="23">
        <f>AlphaC*(D577-E577)</f>
        <v>171.28140547735882</v>
      </c>
      <c r="G577" s="13">
        <f>Phi*EpsilonF*Botzman/10^8*J577*((D577+273)^4-(E577+273)^4)</f>
        <v>1775.1299090202756</v>
      </c>
      <c r="H577" s="23">
        <f t="shared" si="43"/>
        <v>650</v>
      </c>
      <c r="I577" s="12">
        <f>ksh*Massivete/(H577*RhoA)*DeltaT*(F577+G577)</f>
        <v>0.28709614656426041</v>
      </c>
      <c r="J577" s="3">
        <f>IF(E577&lt;=500,IF(Galva=Oui,0.35,0.7),0.7)</f>
        <v>0.7</v>
      </c>
    </row>
    <row r="578" spans="2:10" x14ac:dyDescent="0.25">
      <c r="B578" s="3">
        <f>B577+DeltaT</f>
        <v>2805</v>
      </c>
      <c r="C578" s="13">
        <f t="shared" si="40"/>
        <v>46.75</v>
      </c>
      <c r="D578" s="11">
        <f t="shared" si="41"/>
        <v>908.04078736606289</v>
      </c>
      <c r="E578" s="23">
        <f t="shared" si="42"/>
        <v>901.21002295938933</v>
      </c>
      <c r="F578" s="23">
        <f>AlphaC*(D578-E578)</f>
        <v>170.7691101668388</v>
      </c>
      <c r="G578" s="13">
        <f>Phi*EpsilonF*Botzman/10^8*J578*((D578+273)^4-(E578+273)^4)</f>
        <v>1771.0692740861075</v>
      </c>
      <c r="H578" s="23">
        <f t="shared" si="43"/>
        <v>650</v>
      </c>
      <c r="I578" s="12">
        <f>ksh*Massivete/(H578*RhoA)*DeltaT*(F578+G578)</f>
        <v>0.28642163823090955</v>
      </c>
      <c r="J578" s="3">
        <f>IF(E578&lt;=500,IF(Galva=Oui,0.35,0.7),0.7)</f>
        <v>0.7</v>
      </c>
    </row>
    <row r="579" spans="2:10" x14ac:dyDescent="0.25">
      <c r="B579" s="3">
        <f>B578+DeltaT</f>
        <v>2810</v>
      </c>
      <c r="C579" s="13">
        <f t="shared" si="40"/>
        <v>46.833333333333336</v>
      </c>
      <c r="D579" s="11">
        <f t="shared" si="41"/>
        <v>908.30691815762316</v>
      </c>
      <c r="E579" s="23">
        <f t="shared" si="42"/>
        <v>901.49644459762021</v>
      </c>
      <c r="F579" s="23">
        <f>AlphaC*(D579-E579)</f>
        <v>170.26183900007368</v>
      </c>
      <c r="G579" s="13">
        <f>Phi*EpsilonF*Botzman/10^8*J579*((D579+273)^4-(E579+273)^4)</f>
        <v>1767.0512931772539</v>
      </c>
      <c r="H579" s="23">
        <f t="shared" si="43"/>
        <v>650</v>
      </c>
      <c r="I579" s="12">
        <f>ksh*Massivete/(H579*RhoA)*DeltaT*(F579+G579)</f>
        <v>0.28575416243919727</v>
      </c>
      <c r="J579" s="3">
        <f>IF(E579&lt;=500,IF(Galva=Oui,0.35,0.7),0.7)</f>
        <v>0.7</v>
      </c>
    </row>
    <row r="580" spans="2:10" x14ac:dyDescent="0.25">
      <c r="B580" s="3">
        <f>B579+DeltaT</f>
        <v>2815</v>
      </c>
      <c r="C580" s="13">
        <f t="shared" si="40"/>
        <v>46.916666666666664</v>
      </c>
      <c r="D580" s="11">
        <f t="shared" si="41"/>
        <v>908.57257708583029</v>
      </c>
      <c r="E580" s="23">
        <f t="shared" si="42"/>
        <v>901.78219876005937</v>
      </c>
      <c r="F580" s="23">
        <f>AlphaC*(D580-E580)</f>
        <v>169.75945814427291</v>
      </c>
      <c r="G580" s="13">
        <f>Phi*EpsilonF*Botzman/10^8*J580*((D580+273)^4-(E580+273)^4)</f>
        <v>1763.074720263684</v>
      </c>
      <c r="H580" s="23">
        <f t="shared" si="43"/>
        <v>650</v>
      </c>
      <c r="I580" s="12">
        <f>ksh*Massivete/(H580*RhoA)*DeltaT*(F580+G580)</f>
        <v>0.28509351565901875</v>
      </c>
      <c r="J580" s="3">
        <f>IF(E580&lt;=500,IF(Galva=Oui,0.35,0.7),0.7)</f>
        <v>0.7</v>
      </c>
    </row>
    <row r="581" spans="2:10" x14ac:dyDescent="0.25">
      <c r="B581" s="3">
        <f>B580+DeltaT</f>
        <v>2820</v>
      </c>
      <c r="C581" s="13">
        <f t="shared" si="40"/>
        <v>47</v>
      </c>
      <c r="D581" s="11">
        <f t="shared" si="41"/>
        <v>908.83776582099847</v>
      </c>
      <c r="E581" s="23">
        <f t="shared" si="42"/>
        <v>902.06729227571839</v>
      </c>
      <c r="F581" s="23">
        <f>AlphaC*(D581-E581)</f>
        <v>169.26183863200208</v>
      </c>
      <c r="G581" s="13">
        <f>Phi*EpsilonF*Botzman/10^8*J581*((D581+273)^4-(E581+273)^4)</f>
        <v>1759.1383550113965</v>
      </c>
      <c r="H581" s="23">
        <f t="shared" si="43"/>
        <v>650</v>
      </c>
      <c r="I581" s="12">
        <f>ksh*Massivete/(H581*RhoA)*DeltaT*(F581+G581)</f>
        <v>0.28443950181808614</v>
      </c>
      <c r="J581" s="3">
        <f>IF(E581&lt;=500,IF(Galva=Oui,0.35,0.7),0.7)</f>
        <v>0.7</v>
      </c>
    </row>
    <row r="582" spans="2:10" x14ac:dyDescent="0.25">
      <c r="B582" s="3">
        <f>B581+DeltaT</f>
        <v>2825</v>
      </c>
      <c r="C582" s="13">
        <f t="shared" si="40"/>
        <v>47.083333333333336</v>
      </c>
      <c r="D582" s="11">
        <f t="shared" si="41"/>
        <v>909.1024860245883</v>
      </c>
      <c r="E582" s="23">
        <f t="shared" si="42"/>
        <v>902.35173177753643</v>
      </c>
      <c r="F582" s="23">
        <f>AlphaC*(D582-E582)</f>
        <v>168.76885617629682</v>
      </c>
      <c r="G582" s="13">
        <f>Phi*EpsilonF*Botzman/10^8*J582*((D582+273)^4-(E582+273)^4)</f>
        <v>1755.2410410786658</v>
      </c>
      <c r="H582" s="23">
        <f t="shared" si="43"/>
        <v>650</v>
      </c>
      <c r="I582" s="12">
        <f>ksh*Massivete/(H582*RhoA)*DeltaT*(F582+G582)</f>
        <v>0.28379193202335329</v>
      </c>
      <c r="J582" s="3">
        <f>IF(E582&lt;=500,IF(Galva=Oui,0.35,0.7),0.7)</f>
        <v>0.7</v>
      </c>
    </row>
    <row r="583" spans="2:10" x14ac:dyDescent="0.25">
      <c r="B583" s="3">
        <f>B582+DeltaT</f>
        <v>2830</v>
      </c>
      <c r="C583" s="13">
        <f t="shared" si="40"/>
        <v>47.166666666666664</v>
      </c>
      <c r="D583" s="11">
        <f t="shared" si="41"/>
        <v>909.36673934927012</v>
      </c>
      <c r="E583" s="23">
        <f t="shared" si="42"/>
        <v>902.63552370955983</v>
      </c>
      <c r="F583" s="23">
        <f>AlphaC*(D583-E583)</f>
        <v>168.28039099275713</v>
      </c>
      <c r="G583" s="13">
        <f>Phi*EpsilonF*Botzman/10^8*J583*((D583+273)^4-(E583+273)^4)</f>
        <v>1751.3816644732001</v>
      </c>
      <c r="H583" s="23">
        <f t="shared" si="43"/>
        <v>650</v>
      </c>
      <c r="I583" s="12">
        <f>ksh*Massivete/(H583*RhoA)*DeltaT*(F583+G583)</f>
        <v>0.28315062429245536</v>
      </c>
      <c r="J583" s="3">
        <f>IF(E583&lt;=500,IF(Galva=Oui,0.35,0.7),0.7)</f>
        <v>0.7</v>
      </c>
    </row>
    <row r="584" spans="2:10" x14ac:dyDescent="0.25">
      <c r="B584" s="3">
        <f>B583+DeltaT</f>
        <v>2835</v>
      </c>
      <c r="C584" s="13">
        <f t="shared" si="40"/>
        <v>47.25</v>
      </c>
      <c r="D584" s="11">
        <f t="shared" si="41"/>
        <v>909.63052743898493</v>
      </c>
      <c r="E584" s="23">
        <f t="shared" si="42"/>
        <v>902.91867433385232</v>
      </c>
      <c r="F584" s="23">
        <f>AlphaC*(D584-E584)</f>
        <v>167.79632762831511</v>
      </c>
      <c r="G584" s="13">
        <f>Phi*EpsilonF*Botzman/10^8*J584*((D584+273)^4-(E584+273)^4)</f>
        <v>1747.5591519715849</v>
      </c>
      <c r="H584" s="23">
        <f t="shared" si="43"/>
        <v>650</v>
      </c>
      <c r="I584" s="12">
        <f>ksh*Massivete/(H584*RhoA)*DeltaT*(F584+G584)</f>
        <v>0.28251540329531954</v>
      </c>
      <c r="J584" s="3">
        <f>IF(E584&lt;=500,IF(Galva=Oui,0.35,0.7),0.7)</f>
        <v>0.7</v>
      </c>
    </row>
    <row r="585" spans="2:10" x14ac:dyDescent="0.25">
      <c r="B585" s="3">
        <f>B584+DeltaT</f>
        <v>2840</v>
      </c>
      <c r="C585" s="13">
        <f t="shared" si="40"/>
        <v>47.333333333333336</v>
      </c>
      <c r="D585" s="11">
        <f t="shared" si="41"/>
        <v>909.89385192900613</v>
      </c>
      <c r="E585" s="23">
        <f t="shared" si="42"/>
        <v>903.20118973714762</v>
      </c>
      <c r="F585" s="23">
        <f>AlphaC*(D585-E585)</f>
        <v>167.31655479646292</v>
      </c>
      <c r="G585" s="13">
        <f>Phi*EpsilonF*Botzman/10^8*J585*((D585+273)^4-(E585+273)^4)</f>
        <v>1743.7724695942431</v>
      </c>
      <c r="H585" s="23">
        <f t="shared" si="43"/>
        <v>650</v>
      </c>
      <c r="I585" s="12">
        <f>ksh*Massivete/(H585*RhoA)*DeltaT*(F585+G585)</f>
        <v>0.28188610010491716</v>
      </c>
      <c r="J585" s="3">
        <f>IF(E585&lt;=500,IF(Galva=Oui,0.35,0.7),0.7)</f>
        <v>0.7</v>
      </c>
    </row>
    <row r="586" spans="2:10" x14ac:dyDescent="0.25">
      <c r="B586" s="3">
        <f>B585+DeltaT</f>
        <v>2845</v>
      </c>
      <c r="C586" s="13">
        <f t="shared" si="40"/>
        <v>47.416666666666664</v>
      </c>
      <c r="D586" s="11">
        <f t="shared" si="41"/>
        <v>910.15671444600048</v>
      </c>
      <c r="E586" s="23">
        <f t="shared" si="42"/>
        <v>903.4830758372525</v>
      </c>
      <c r="F586" s="23">
        <f>AlphaC*(D586-E586)</f>
        <v>166.84096521869947</v>
      </c>
      <c r="G586" s="13">
        <f>Phi*EpsilonF*Botzman/10^8*J586*((D586+273)^4-(E586+273)^4)</f>
        <v>1740.0206211377849</v>
      </c>
      <c r="H586" s="23">
        <f t="shared" si="43"/>
        <v>650</v>
      </c>
      <c r="I586" s="12">
        <f>ksh*Massivete/(H586*RhoA)*DeltaT*(F586+G586)</f>
        <v>0.28126255195739858</v>
      </c>
      <c r="J586" s="3">
        <f>IF(E586&lt;=500,IF(Galva=Oui,0.35,0.7),0.7)</f>
        <v>0.7</v>
      </c>
    </row>
    <row r="587" spans="2:10" x14ac:dyDescent="0.25">
      <c r="B587" s="3">
        <f>B586+DeltaT</f>
        <v>2850</v>
      </c>
      <c r="C587" s="13">
        <f t="shared" si="40"/>
        <v>47.5</v>
      </c>
      <c r="D587" s="11">
        <f t="shared" si="41"/>
        <v>910.41911660808853</v>
      </c>
      <c r="E587" s="23">
        <f t="shared" si="42"/>
        <v>903.76433838920991</v>
      </c>
      <c r="F587" s="23">
        <f>AlphaC*(D587-E587)</f>
        <v>166.36945547196547</v>
      </c>
      <c r="G587" s="13">
        <f>Phi*EpsilonF*Botzman/10^8*J587*((D587+273)^4-(E587+273)^4)</f>
        <v>1736.3026467608011</v>
      </c>
      <c r="H587" s="23">
        <f t="shared" si="43"/>
        <v>650</v>
      </c>
      <c r="I587" s="12">
        <f>ksh*Massivete/(H587*RhoA)*DeltaT*(F587+G587)</f>
        <v>0.28064460202099367</v>
      </c>
      <c r="J587" s="3">
        <f>IF(E587&lt;=500,IF(Galva=Oui,0.35,0.7),0.7)</f>
        <v>0.7</v>
      </c>
    </row>
    <row r="588" spans="2:10" x14ac:dyDescent="0.25">
      <c r="B588" s="3">
        <f>B587+DeltaT</f>
        <v>2855</v>
      </c>
      <c r="C588" s="13">
        <f t="shared" si="40"/>
        <v>47.583333333333336</v>
      </c>
      <c r="D588" s="11">
        <f t="shared" si="41"/>
        <v>910.68106002490424</v>
      </c>
      <c r="E588" s="23">
        <f t="shared" si="42"/>
        <v>904.04498299123088</v>
      </c>
      <c r="F588" s="23">
        <f>AlphaC*(D588-E588)</f>
        <v>165.90192584183399</v>
      </c>
      <c r="G588" s="13">
        <f>Phi*EpsilonF*Botzman/10^8*J588*((D588+273)^4-(E588+273)^4)</f>
        <v>1732.6176216215817</v>
      </c>
      <c r="H588" s="23">
        <f t="shared" si="43"/>
        <v>650</v>
      </c>
      <c r="I588" s="12">
        <f>ksh*Massivete/(H588*RhoA)*DeltaT*(F588+G588)</f>
        <v>0.28003209917342092</v>
      </c>
      <c r="J588" s="3">
        <f>IF(E588&lt;=500,IF(Galva=Oui,0.35,0.7),0.7)</f>
        <v>0.7</v>
      </c>
    </row>
    <row r="589" spans="2:10" x14ac:dyDescent="0.25">
      <c r="B589" s="3">
        <f>B588+DeltaT</f>
        <v>2860</v>
      </c>
      <c r="C589" s="13">
        <f t="shared" si="40"/>
        <v>47.666666666666664</v>
      </c>
      <c r="D589" s="11">
        <f t="shared" si="41"/>
        <v>910.94254629765373</v>
      </c>
      <c r="E589" s="23">
        <f t="shared" si="42"/>
        <v>904.32501509040435</v>
      </c>
      <c r="F589" s="23">
        <f>AlphaC*(D589-E589)</f>
        <v>165.43828018123463</v>
      </c>
      <c r="G589" s="13">
        <f>Phi*EpsilonF*Botzman/10^8*J589*((D589+273)^4-(E589+273)^4)</f>
        <v>1728.9646545658286</v>
      </c>
      <c r="H589" s="23">
        <f t="shared" si="43"/>
        <v>650</v>
      </c>
      <c r="I589" s="12">
        <f>ksh*Massivete/(H589*RhoA)*DeltaT*(F589+G589)</f>
        <v>0.27942489778748608</v>
      </c>
      <c r="J589" s="3">
        <f>IF(E589&lt;=500,IF(Galva=Oui,0.35,0.7),0.7)</f>
        <v>0.7</v>
      </c>
    </row>
    <row r="590" spans="2:10" x14ac:dyDescent="0.25">
      <c r="B590" s="3">
        <f>B589+DeltaT</f>
        <v>2865</v>
      </c>
      <c r="C590" s="13">
        <f t="shared" si="40"/>
        <v>47.75</v>
      </c>
      <c r="D590" s="11">
        <f t="shared" si="41"/>
        <v>911.20357701917476</v>
      </c>
      <c r="E590" s="23">
        <f t="shared" si="42"/>
        <v>904.60443998819187</v>
      </c>
      <c r="F590" s="23">
        <f>AlphaC*(D590-E590)</f>
        <v>164.9784257745722</v>
      </c>
      <c r="G590" s="13">
        <f>Phi*EpsilonF*Botzman/10^8*J590*((D590+273)^4-(E590+273)^4)</f>
        <v>1725.3428868628525</v>
      </c>
      <c r="H590" s="23">
        <f t="shared" si="43"/>
        <v>650</v>
      </c>
      <c r="I590" s="12">
        <f>ksh*Massivete/(H590*RhoA)*DeltaT*(F590+G590)</f>
        <v>0.27882285752462876</v>
      </c>
      <c r="J590" s="3">
        <f>IF(E590&lt;=500,IF(Galva=Oui,0.35,0.7),0.7)</f>
        <v>0.7</v>
      </c>
    </row>
    <row r="591" spans="2:10" x14ac:dyDescent="0.25">
      <c r="B591" s="3">
        <f>B590+DeltaT</f>
        <v>2870</v>
      </c>
      <c r="C591" s="13">
        <f t="shared" si="40"/>
        <v>47.833333333333336</v>
      </c>
      <c r="D591" s="11">
        <f t="shared" si="41"/>
        <v>911.46415377399455</v>
      </c>
      <c r="E591" s="23">
        <f t="shared" si="42"/>
        <v>904.88326284571644</v>
      </c>
      <c r="F591" s="23">
        <f>AlphaC*(D591-E591)</f>
        <v>164.52227320695272</v>
      </c>
      <c r="G591" s="13">
        <f>Phi*EpsilonF*Botzman/10^8*J591*((D591+273)^4-(E591+273)^4)</f>
        <v>1721.7514909886247</v>
      </c>
      <c r="H591" s="23">
        <f t="shared" si="43"/>
        <v>650</v>
      </c>
      <c r="I591" s="12">
        <f>ksh*Massivete/(H591*RhoA)*DeltaT*(F591+G591)</f>
        <v>0.27822584313613269</v>
      </c>
      <c r="J591" s="3">
        <f>IF(E591&lt;=500,IF(Galva=Oui,0.35,0.7),0.7)</f>
        <v>0.7</v>
      </c>
    </row>
    <row r="592" spans="2:10" x14ac:dyDescent="0.25">
      <c r="B592" s="3">
        <f>B591+DeltaT</f>
        <v>2875</v>
      </c>
      <c r="C592" s="13">
        <f t="shared" si="40"/>
        <v>47.916666666666664</v>
      </c>
      <c r="D592" s="11">
        <f t="shared" si="41"/>
        <v>911.72427813838749</v>
      </c>
      <c r="E592" s="23">
        <f t="shared" si="42"/>
        <v>905.16148868885261</v>
      </c>
      <c r="F592" s="23">
        <f>AlphaC*(D592-E592)</f>
        <v>164.06973623837189</v>
      </c>
      <c r="G592" s="13">
        <f>Phi*EpsilonF*Botzman/10^8*J592*((D592+273)^4-(E592+273)^4)</f>
        <v>1718.1896694530892</v>
      </c>
      <c r="H592" s="23">
        <f t="shared" si="43"/>
        <v>650</v>
      </c>
      <c r="I592" s="12">
        <f>ksh*Massivete/(H592*RhoA)*DeltaT*(F592+G592)</f>
        <v>0.27763372427159727</v>
      </c>
      <c r="J592" s="3">
        <f>IF(E592&lt;=500,IF(Galva=Oui,0.35,0.7),0.7)</f>
        <v>0.7</v>
      </c>
    </row>
    <row r="593" spans="2:10" x14ac:dyDescent="0.25">
      <c r="B593" s="3">
        <f>B592+DeltaT</f>
        <v>2880</v>
      </c>
      <c r="C593" s="13">
        <f t="shared" si="40"/>
        <v>48</v>
      </c>
      <c r="D593" s="11">
        <f t="shared" si="41"/>
        <v>911.98395168043271</v>
      </c>
      <c r="E593" s="23">
        <f t="shared" si="42"/>
        <v>905.43912241312421</v>
      </c>
      <c r="F593" s="23">
        <f>AlphaC*(D593-E593)</f>
        <v>163.62073168271252</v>
      </c>
      <c r="G593" s="13">
        <f>Phi*EpsilonF*Botzman/10^8*J593*((D593+273)^4-(E593+273)^4)</f>
        <v>1714.6566536716639</v>
      </c>
      <c r="H593" s="23">
        <f t="shared" si="43"/>
        <v>650</v>
      </c>
      <c r="I593" s="12">
        <f>ksh*Massivete/(H593*RhoA)*DeltaT*(F593+G593)</f>
        <v>0.27704637529463522</v>
      </c>
      <c r="J593" s="3">
        <f>IF(E593&lt;=500,IF(Galva=Oui,0.35,0.7),0.7)</f>
        <v>0.7</v>
      </c>
    </row>
    <row r="594" spans="2:10" x14ac:dyDescent="0.25">
      <c r="B594" s="3">
        <f>B593+DeltaT</f>
        <v>2885</v>
      </c>
      <c r="C594" s="13">
        <f t="shared" ref="C594:C657" si="44">B594/60</f>
        <v>48.083333333333336</v>
      </c>
      <c r="D594" s="11">
        <f t="shared" ref="D594:D657" si="45">20+345*LOG(8*C594+1,10)</f>
        <v>912.24317596006995</v>
      </c>
      <c r="E594" s="23">
        <f t="shared" si="42"/>
        <v>905.71616878841883</v>
      </c>
      <c r="F594" s="23">
        <f>AlphaC*(D594-E594)</f>
        <v>163.17517929127803</v>
      </c>
      <c r="G594" s="13">
        <f>Phi*EpsilonF*Botzman/10^8*J594*((D594+273)^4-(E594+273)^4)</f>
        <v>1711.1517028775625</v>
      </c>
      <c r="H594" s="23">
        <f t="shared" si="43"/>
        <v>650</v>
      </c>
      <c r="I594" s="12">
        <f>ksh*Massivete/(H594*RhoA)*DeltaT*(F594+G594)</f>
        <v>0.27646367510526138</v>
      </c>
      <c r="J594" s="3">
        <f>IF(E594&lt;=500,IF(Galva=Oui,0.35,0.7),0.7)</f>
        <v>0.7</v>
      </c>
    </row>
    <row r="595" spans="2:10" x14ac:dyDescent="0.25">
      <c r="B595" s="3">
        <f>B594+DeltaT</f>
        <v>2890</v>
      </c>
      <c r="C595" s="13">
        <f t="shared" si="44"/>
        <v>48.166666666666664</v>
      </c>
      <c r="D595" s="11">
        <f t="shared" si="45"/>
        <v>912.50195252915682</v>
      </c>
      <c r="E595" s="23">
        <f t="shared" si="42"/>
        <v>905.99263246352405</v>
      </c>
      <c r="F595" s="23">
        <f>AlphaC*(D595-E595)</f>
        <v>162.73300164081945</v>
      </c>
      <c r="G595" s="13">
        <f>Phi*EpsilonF*Botzman/10^8*J595*((D595+273)^4-(E595+273)^4)</f>
        <v>1707.6741030755436</v>
      </c>
      <c r="H595" s="23">
        <f t="shared" si="43"/>
        <v>650</v>
      </c>
      <c r="I595" s="12">
        <f>ksh*Massivete/(H595*RhoA)*DeltaT*(F595+G595)</f>
        <v>0.27588550696905412</v>
      </c>
      <c r="J595" s="3">
        <f>IF(E595&lt;=500,IF(Galva=Oui,0.35,0.7),0.7)</f>
        <v>0.7</v>
      </c>
    </row>
    <row r="596" spans="2:10" x14ac:dyDescent="0.25">
      <c r="B596" s="3">
        <f>B595+DeltaT</f>
        <v>2895</v>
      </c>
      <c r="C596" s="13">
        <f t="shared" si="44"/>
        <v>48.25</v>
      </c>
      <c r="D596" s="11">
        <f t="shared" si="45"/>
        <v>912.76028293152444</v>
      </c>
      <c r="E596" s="23">
        <f t="shared" si="42"/>
        <v>906.26851797049312</v>
      </c>
      <c r="F596" s="23">
        <f>AlphaC*(D596-E596)</f>
        <v>162.29412402578305</v>
      </c>
      <c r="G596" s="13">
        <f>Phi*EpsilonF*Botzman/10^8*J596*((D596+273)^4-(E596+273)^4)</f>
        <v>1704.2231660333621</v>
      </c>
      <c r="H596" s="23">
        <f t="shared" si="43"/>
        <v>650</v>
      </c>
      <c r="I596" s="12">
        <f>ksh*Massivete/(H596*RhoA)*DeltaT*(F596+G596)</f>
        <v>0.27531175835250099</v>
      </c>
      <c r="J596" s="3">
        <f>IF(E596&lt;=500,IF(Galva=Oui,0.35,0.7),0.7)</f>
        <v>0.7</v>
      </c>
    </row>
    <row r="597" spans="2:10" x14ac:dyDescent="0.25">
      <c r="B597" s="3">
        <f>B596+DeltaT</f>
        <v>2900</v>
      </c>
      <c r="C597" s="13">
        <f t="shared" si="44"/>
        <v>48.333333333333336</v>
      </c>
      <c r="D597" s="11">
        <f t="shared" si="45"/>
        <v>913.01816870303094</v>
      </c>
      <c r="E597" s="23">
        <f t="shared" si="42"/>
        <v>906.54382972884559</v>
      </c>
      <c r="F597" s="23">
        <f>AlphaC*(D597-E597)</f>
        <v>161.85847435463359</v>
      </c>
      <c r="G597" s="13">
        <f>Phi*EpsilonF*Botzman/10^8*J597*((D597+273)^4-(E597+273)^4)</f>
        <v>1700.7982283112044</v>
      </c>
      <c r="H597" s="23">
        <f t="shared" si="43"/>
        <v>650</v>
      </c>
      <c r="I597" s="12">
        <f>ksh*Massivete/(H597*RhoA)*DeltaT*(F597+G597)</f>
        <v>0.27474232076454741</v>
      </c>
      <c r="J597" s="3">
        <f>IF(E597&lt;=500,IF(Galva=Oui,0.35,0.7),0.7)</f>
        <v>0.7</v>
      </c>
    </row>
    <row r="598" spans="2:10" x14ac:dyDescent="0.25">
      <c r="B598" s="3">
        <f>B597+DeltaT</f>
        <v>2905</v>
      </c>
      <c r="C598" s="13">
        <f t="shared" si="44"/>
        <v>48.416666666666664</v>
      </c>
      <c r="D598" s="11">
        <f t="shared" si="45"/>
        <v>913.27561137161933</v>
      </c>
      <c r="E598" s="23">
        <f t="shared" si="42"/>
        <v>906.81857204961011</v>
      </c>
      <c r="F598" s="23">
        <f>AlphaC*(D598-E598)</f>
        <v>161.42598305023057</v>
      </c>
      <c r="G598" s="13">
        <f>Phi*EpsilonF*Botzman/10^8*J598*((D598+273)^4-(E598+273)^4)</f>
        <v>1697.3986503275892</v>
      </c>
      <c r="H598" s="23">
        <f t="shared" si="43"/>
        <v>650</v>
      </c>
      <c r="I598" s="12">
        <f>ksh*Massivete/(H598*RhoA)*DeltaT*(F598+G598)</f>
        <v>0.27417708960412268</v>
      </c>
      <c r="J598" s="3">
        <f>IF(E598&lt;=500,IF(Galva=Oui,0.35,0.7),0.7)</f>
        <v>0.7</v>
      </c>
    </row>
    <row r="599" spans="2:10" x14ac:dyDescent="0.25">
      <c r="B599" s="3">
        <f>B598+DeltaT</f>
        <v>2910</v>
      </c>
      <c r="C599" s="13">
        <f t="shared" si="44"/>
        <v>48.5</v>
      </c>
      <c r="D599" s="11">
        <f t="shared" si="45"/>
        <v>913.53261245736905</v>
      </c>
      <c r="E599" s="23">
        <f t="shared" si="42"/>
        <v>907.09274913921422</v>
      </c>
      <c r="F599" s="23">
        <f>AlphaC*(D599-E599)</f>
        <v>160.99658295387087</v>
      </c>
      <c r="G599" s="13">
        <f>Phi*EpsilonF*Botzman/10^8*J599*((D599+273)^4-(E599+273)^4)</f>
        <v>1694.0238154589379</v>
      </c>
      <c r="H599" s="23">
        <f t="shared" si="43"/>
        <v>650</v>
      </c>
      <c r="I599" s="12">
        <f>ksh*Massivete/(H599*RhoA)*DeltaT*(F599+G599)</f>
        <v>0.27361596401317251</v>
      </c>
      <c r="J599" s="3">
        <f>IF(E599&lt;=500,IF(Galva=Oui,0.35,0.7),0.7)</f>
        <v>0.7</v>
      </c>
    </row>
    <row r="600" spans="2:10" x14ac:dyDescent="0.25">
      <c r="B600" s="3">
        <f>B599+DeltaT</f>
        <v>2915</v>
      </c>
      <c r="C600" s="13">
        <f t="shared" si="44"/>
        <v>48.583333333333336</v>
      </c>
      <c r="D600" s="11">
        <f t="shared" si="45"/>
        <v>913.78917347255128</v>
      </c>
      <c r="E600" s="23">
        <f t="shared" si="42"/>
        <v>907.36636510322739</v>
      </c>
      <c r="F600" s="23">
        <f>AlphaC*(D600-E600)</f>
        <v>160.57020923309722</v>
      </c>
      <c r="G600" s="13">
        <f>Phi*EpsilonF*Botzman/10^8*J600*((D600+273)^4-(E600+273)^4)</f>
        <v>1690.6731291738663</v>
      </c>
      <c r="H600" s="23">
        <f t="shared" si="43"/>
        <v>650</v>
      </c>
      <c r="I600" s="12">
        <f>ksh*Massivete/(H600*RhoA)*DeltaT*(F600+G600)</f>
        <v>0.27305884673536834</v>
      </c>
      <c r="J600" s="3">
        <f>IF(E600&lt;=500,IF(Galva=Oui,0.35,0.7),0.7)</f>
        <v>0.7</v>
      </c>
    </row>
    <row r="601" spans="2:10" x14ac:dyDescent="0.25">
      <c r="B601" s="3">
        <f>B600+DeltaT</f>
        <v>2920</v>
      </c>
      <c r="C601" s="13">
        <f t="shared" si="44"/>
        <v>48.666666666666664</v>
      </c>
      <c r="D601" s="11">
        <f t="shared" si="45"/>
        <v>914.0452959216816</v>
      </c>
      <c r="E601" s="23">
        <f t="shared" si="42"/>
        <v>907.63942394996275</v>
      </c>
      <c r="F601" s="23">
        <f>AlphaC*(D601-E601)</f>
        <v>160.14679929297131</v>
      </c>
      <c r="G601" s="13">
        <f>Phi*EpsilonF*Botzman/10^8*J601*((D601+273)^4-(E601+273)^4)</f>
        <v>1687.346018198939</v>
      </c>
      <c r="H601" s="23">
        <f t="shared" si="43"/>
        <v>650</v>
      </c>
      <c r="I601" s="12">
        <f>ksh*Massivete/(H601*RhoA)*DeltaT*(F601+G601)</f>
        <v>0.27250564397996901</v>
      </c>
      <c r="J601" s="3">
        <f>IF(E601&lt;=500,IF(Galva=Oui,0.35,0.7),0.7)</f>
        <v>0.7</v>
      </c>
    </row>
    <row r="602" spans="2:10" x14ac:dyDescent="0.25">
      <c r="B602" s="3">
        <f>B601+DeltaT</f>
        <v>2925</v>
      </c>
      <c r="C602" s="13">
        <f t="shared" si="44"/>
        <v>48.75</v>
      </c>
      <c r="D602" s="11">
        <f t="shared" si="45"/>
        <v>914.30098130157398</v>
      </c>
      <c r="E602" s="23">
        <f t="shared" si="42"/>
        <v>907.91192959394277</v>
      </c>
      <c r="F602" s="23">
        <f>AlphaC*(D602-E602)</f>
        <v>159.72629269078027</v>
      </c>
      <c r="G602" s="13">
        <f>Phi*EpsilonF*Botzman/10^8*J602*((D602+273)^4-(E602+273)^4)</f>
        <v>1684.0419297160315</v>
      </c>
      <c r="H602" s="23">
        <f t="shared" si="43"/>
        <v>650</v>
      </c>
      <c r="I602" s="12">
        <f>ksh*Massivete/(H602*RhoA)*DeltaT*(F602+G602)</f>
        <v>0.2719562652908506</v>
      </c>
      <c r="J602" s="3">
        <f>IF(E602&lt;=500,IF(Galva=Oui,0.35,0.7),0.7)</f>
        <v>0.7</v>
      </c>
    </row>
    <row r="603" spans="2:10" x14ac:dyDescent="0.25">
      <c r="B603" s="3">
        <f>B602+DeltaT</f>
        <v>2930</v>
      </c>
      <c r="C603" s="13">
        <f t="shared" si="44"/>
        <v>48.833333333333336</v>
      </c>
      <c r="D603" s="11">
        <f t="shared" si="45"/>
        <v>914.55623110139186</v>
      </c>
      <c r="E603" s="23">
        <f t="shared" si="42"/>
        <v>908.18388585923367</v>
      </c>
      <c r="F603" s="23">
        <f>AlphaC*(D603-E603)</f>
        <v>159.30863105395474</v>
      </c>
      <c r="G603" s="13">
        <f>Phi*EpsilonF*Botzman/10^8*J603*((D603+273)^4-(E603+273)^4)</f>
        <v>1680.7603305893356</v>
      </c>
      <c r="H603" s="23">
        <f t="shared" si="43"/>
        <v>650</v>
      </c>
      <c r="I603" s="12">
        <f>ksh*Massivete/(H603*RhoA)*DeltaT*(F603+G603)</f>
        <v>0.27141062342038219</v>
      </c>
      <c r="J603" s="3">
        <f>IF(E603&lt;=500,IF(Galva=Oui,0.35,0.7),0.7)</f>
        <v>0.7</v>
      </c>
    </row>
    <row r="604" spans="2:10" x14ac:dyDescent="0.25">
      <c r="B604" s="3">
        <f>B603+DeltaT</f>
        <v>2935</v>
      </c>
      <c r="C604" s="13">
        <f t="shared" si="44"/>
        <v>48.916666666666664</v>
      </c>
      <c r="D604" s="11">
        <f t="shared" si="45"/>
        <v>914.8110468027013</v>
      </c>
      <c r="E604" s="23">
        <f t="shared" si="42"/>
        <v>908.45529648265403</v>
      </c>
      <c r="F604" s="23">
        <f>AlphaC*(D604-E604)</f>
        <v>158.8937580011816</v>
      </c>
      <c r="G604" s="13">
        <f>Phi*EpsilonF*Botzman/10^8*J604*((D604+273)^4-(E604+273)^4)</f>
        <v>1677.5007066218484</v>
      </c>
      <c r="H604" s="23">
        <f t="shared" si="43"/>
        <v>650</v>
      </c>
      <c r="I604" s="12">
        <f>ksh*Massivete/(H604*RhoA)*DeltaT*(F604+G604)</f>
        <v>0.27086863420812218</v>
      </c>
      <c r="J604" s="3">
        <f>IF(E604&lt;=500,IF(Galva=Oui,0.35,0.7),0.7)</f>
        <v>0.7</v>
      </c>
    </row>
    <row r="605" spans="2:10" x14ac:dyDescent="0.25">
      <c r="B605" s="3">
        <f>B604+DeltaT</f>
        <v>2940</v>
      </c>
      <c r="C605" s="13">
        <f t="shared" si="44"/>
        <v>49</v>
      </c>
      <c r="D605" s="11">
        <f t="shared" si="45"/>
        <v>915.06542987952218</v>
      </c>
      <c r="E605" s="23">
        <f t="shared" si="42"/>
        <v>908.72616511686215</v>
      </c>
      <c r="F605" s="23">
        <f>AlphaC*(D605-E605)</f>
        <v>158.48161906650091</v>
      </c>
      <c r="G605" s="13">
        <f>Phi*EpsilonF*Botzman/10^8*J605*((D605+273)^4-(E605+273)^4)</f>
        <v>1674.2625618387933</v>
      </c>
      <c r="H605" s="23">
        <f t="shared" si="43"/>
        <v>650</v>
      </c>
      <c r="I605" s="12">
        <f>ksh*Massivete/(H605*RhoA)*DeltaT*(F605+G605)</f>
        <v>0.2703302164639268</v>
      </c>
      <c r="J605" s="3">
        <f>IF(E605&lt;=500,IF(Galva=Oui,0.35,0.7),0.7)</f>
        <v>0.7</v>
      </c>
    </row>
    <row r="606" spans="2:10" x14ac:dyDescent="0.25">
      <c r="B606" s="3">
        <f>B605+DeltaT</f>
        <v>2945</v>
      </c>
      <c r="C606" s="13">
        <f t="shared" si="44"/>
        <v>49.083333333333336</v>
      </c>
      <c r="D606" s="11">
        <f t="shared" si="45"/>
        <v>915.31938179837903</v>
      </c>
      <c r="E606" s="23">
        <f t="shared" si="42"/>
        <v>908.99649533332604</v>
      </c>
      <c r="F606" s="23">
        <f>AlphaC*(D606-E606)</f>
        <v>158.07216162632471</v>
      </c>
      <c r="G606" s="13">
        <f>Phi*EpsilonF*Botzman/10^8*J606*((D606+273)^4-(E606+273)^4)</f>
        <v>1671.0454177988483</v>
      </c>
      <c r="H606" s="23">
        <f t="shared" si="43"/>
        <v>650</v>
      </c>
      <c r="I606" s="12">
        <f>ksh*Massivete/(H606*RhoA)*DeltaT*(F606+G606)</f>
        <v>0.26979529185559148</v>
      </c>
      <c r="J606" s="3">
        <f>IF(E606&lt;=500,IF(Galva=Oui,0.35,0.7),0.7)</f>
        <v>0.7</v>
      </c>
    </row>
    <row r="607" spans="2:10" x14ac:dyDescent="0.25">
      <c r="B607" s="3">
        <f>B606+DeltaT</f>
        <v>2950</v>
      </c>
      <c r="C607" s="13">
        <f t="shared" si="44"/>
        <v>49.166666666666664</v>
      </c>
      <c r="D607" s="11">
        <f t="shared" si="45"/>
        <v>915.57290401835235</v>
      </c>
      <c r="E607" s="23">
        <f t="shared" si="42"/>
        <v>909.26629062518168</v>
      </c>
      <c r="F607" s="23">
        <f>AlphaC*(D607-E607)</f>
        <v>157.66533482926661</v>
      </c>
      <c r="G607" s="13">
        <f>Phi*EpsilonF*Botzman/10^8*J607*((D607+273)^4-(E607+273)^4)</f>
        <v>1667.8488129304433</v>
      </c>
      <c r="H607" s="23">
        <f t="shared" si="43"/>
        <v>650</v>
      </c>
      <c r="I607" s="12">
        <f>ksh*Massivete/(H607*RhoA)*DeltaT*(F607+G607)</f>
        <v>0.26926378480060442</v>
      </c>
      <c r="J607" s="3">
        <f>IF(E607&lt;=500,IF(Galva=Oui,0.35,0.7),0.7)</f>
        <v>0.7</v>
      </c>
    </row>
    <row r="608" spans="2:10" x14ac:dyDescent="0.25">
      <c r="B608" s="3">
        <f>B607+DeltaT</f>
        <v>2955</v>
      </c>
      <c r="C608" s="13">
        <f t="shared" si="44"/>
        <v>49.25</v>
      </c>
      <c r="D608" s="11">
        <f t="shared" si="45"/>
        <v>915.8259979911287</v>
      </c>
      <c r="E608" s="23">
        <f t="shared" si="42"/>
        <v>909.5355544099823</v>
      </c>
      <c r="F608" s="23">
        <f>AlphaC*(D608-E608)</f>
        <v>157.26108952866014</v>
      </c>
      <c r="G608" s="13">
        <f>Phi*EpsilonF*Botzman/10^8*J608*((D608+273)^4-(E608+273)^4)</f>
        <v>1664.6723018937353</v>
      </c>
      <c r="H608" s="23">
        <f t="shared" si="43"/>
        <v>650</v>
      </c>
      <c r="I608" s="12">
        <f>ksh*Massivete/(H608*RhoA)*DeltaT*(F608+G608)</f>
        <v>0.26873562236208415</v>
      </c>
      <c r="J608" s="3">
        <f>IF(E608&lt;=500,IF(Galva=Oui,0.35,0.7),0.7)</f>
        <v>0.7</v>
      </c>
    </row>
    <row r="609" spans="2:10" x14ac:dyDescent="0.25">
      <c r="B609" s="3">
        <f>B608+DeltaT</f>
        <v>2960</v>
      </c>
      <c r="C609" s="13">
        <f t="shared" si="44"/>
        <v>49.333333333333336</v>
      </c>
      <c r="D609" s="11">
        <f t="shared" si="45"/>
        <v>916.07866516105037</v>
      </c>
      <c r="E609" s="23">
        <f t="shared" si="42"/>
        <v>909.8042900323444</v>
      </c>
      <c r="F609" s="23">
        <f>AlphaC*(D609-E609)</f>
        <v>156.85937821764924</v>
      </c>
      <c r="G609" s="13">
        <f>Phi*EpsilonF*Botzman/10^8*J609*((D609+273)^4-(E609+273)^4)</f>
        <v>1661.5154549658989</v>
      </c>
      <c r="H609" s="23">
        <f t="shared" si="43"/>
        <v>650</v>
      </c>
      <c r="I609" s="12">
        <f>ksh*Massivete/(H609*RhoA)*DeltaT*(F609+G609)</f>
        <v>0.26821073414853547</v>
      </c>
      <c r="J609" s="3">
        <f>IF(E609&lt;=500,IF(Galva=Oui,0.35,0.7),0.7)</f>
        <v>0.7</v>
      </c>
    </row>
    <row r="610" spans="2:10" x14ac:dyDescent="0.25">
      <c r="B610" s="3">
        <f>B609+DeltaT</f>
        <v>2965</v>
      </c>
      <c r="C610" s="13">
        <f t="shared" si="44"/>
        <v>49.416666666666664</v>
      </c>
      <c r="D610" s="11">
        <f t="shared" si="45"/>
        <v>916.33090696516501</v>
      </c>
      <c r="E610" s="23">
        <f t="shared" si="42"/>
        <v>910.07250076649291</v>
      </c>
      <c r="F610" s="23">
        <f>AlphaC*(D610-E610)</f>
        <v>156.46015496680263</v>
      </c>
      <c r="G610" s="13">
        <f>Phi*EpsilonF*Botzman/10^8*J610*((D610+273)^4-(E610+273)^4)</f>
        <v>1658.3778574498256</v>
      </c>
      <c r="H610" s="23">
        <f t="shared" si="43"/>
        <v>650</v>
      </c>
      <c r="I610" s="12">
        <f>ksh*Massivete/(H610*RhoA)*DeltaT*(F610+G610)</f>
        <v>0.26768905221743078</v>
      </c>
      <c r="J610" s="3">
        <f>IF(E610&lt;=500,IF(Galva=Oui,0.35,0.7),0.7)</f>
        <v>0.7</v>
      </c>
    </row>
    <row r="611" spans="2:10" x14ac:dyDescent="0.25">
      <c r="B611" s="3">
        <f>B610+DeltaT</f>
        <v>2970</v>
      </c>
      <c r="C611" s="13">
        <f t="shared" si="44"/>
        <v>49.5</v>
      </c>
      <c r="D611" s="11">
        <f t="shared" si="45"/>
        <v>916.58272483327471</v>
      </c>
      <c r="E611" s="23">
        <f t="shared" si="42"/>
        <v>910.34018981871031</v>
      </c>
      <c r="F611" s="23">
        <f>AlphaC*(D611-E611)</f>
        <v>156.0633753641099</v>
      </c>
      <c r="G611" s="13">
        <f>Phi*EpsilonF*Botzman/10^8*J611*((D611+273)^4-(E611+273)^4)</f>
        <v>1655.2591091049565</v>
      </c>
      <c r="H611" s="23">
        <f t="shared" si="43"/>
        <v>650</v>
      </c>
      <c r="I611" s="12">
        <f>ksh*Massivete/(H611*RhoA)*DeltaT*(F611+G611)</f>
        <v>0.26717051098240696</v>
      </c>
      <c r="J611" s="3">
        <f>IF(E611&lt;=500,IF(Galva=Oui,0.35,0.7),0.7)</f>
        <v>0.7</v>
      </c>
    </row>
    <row r="612" spans="2:10" x14ac:dyDescent="0.25">
      <c r="B612" s="3">
        <f>B611+DeltaT</f>
        <v>2975</v>
      </c>
      <c r="C612" s="13">
        <f t="shared" si="44"/>
        <v>49.583333333333336</v>
      </c>
      <c r="D612" s="11">
        <f t="shared" si="45"/>
        <v>916.83412018798447</v>
      </c>
      <c r="E612" s="23">
        <f t="shared" si="42"/>
        <v>910.60736032969271</v>
      </c>
      <c r="F612" s="23">
        <f>AlphaC*(D612-E612)</f>
        <v>155.66899645729393</v>
      </c>
      <c r="G612" s="13">
        <f>Phi*EpsilonF*Botzman/10^8*J612*((D612+273)^4-(E612+273)^4)</f>
        <v>1652.1588236000721</v>
      </c>
      <c r="H612" s="23">
        <f t="shared" si="43"/>
        <v>650</v>
      </c>
      <c r="I612" s="12">
        <f>ksh*Massivete/(H612*RhoA)*DeltaT*(F612+G612)</f>
        <v>0.26665504712404287</v>
      </c>
      <c r="J612" s="3">
        <f>IF(E612&lt;=500,IF(Galva=Oui,0.35,0.7),0.7)</f>
        <v>0.7</v>
      </c>
    </row>
    <row r="613" spans="2:10" x14ac:dyDescent="0.25">
      <c r="B613" s="3">
        <f>B612+DeltaT</f>
        <v>2980</v>
      </c>
      <c r="C613" s="13">
        <f t="shared" si="44"/>
        <v>49.666666666666664</v>
      </c>
      <c r="D613" s="11">
        <f t="shared" si="45"/>
        <v>917.08509444475033</v>
      </c>
      <c r="E613" s="23">
        <f t="shared" si="42"/>
        <v>910.87401537681671</v>
      </c>
      <c r="F613" s="23">
        <f>AlphaC*(D613-E613)</f>
        <v>155.27697669834026</v>
      </c>
      <c r="G613" s="13">
        <f>Phi*EpsilonF*Botzman/10^8*J613*((D613+273)^4-(E613+273)^4)</f>
        <v>1649.0766279859845</v>
      </c>
      <c r="H613" s="23">
        <f t="shared" si="43"/>
        <v>650</v>
      </c>
      <c r="I613" s="12">
        <f>ksh*Massivete/(H613*RhoA)*DeltaT*(F613+G613)</f>
        <v>0.26614259950389951</v>
      </c>
      <c r="J613" s="3">
        <f>IF(E613&lt;=500,IF(Galva=Oui,0.35,0.7),0.7)</f>
        <v>0.7</v>
      </c>
    </row>
    <row r="614" spans="2:10" x14ac:dyDescent="0.25">
      <c r="B614" s="3">
        <f>B613+DeltaT</f>
        <v>2985</v>
      </c>
      <c r="C614" s="13">
        <f t="shared" si="44"/>
        <v>49.75</v>
      </c>
      <c r="D614" s="11">
        <f t="shared" si="45"/>
        <v>917.33564901192801</v>
      </c>
      <c r="E614" s="23">
        <f t="shared" si="42"/>
        <v>911.14015797632067</v>
      </c>
      <c r="F614" s="23">
        <f>AlphaC*(D614-E614)</f>
        <v>154.88727589018367</v>
      </c>
      <c r="G614" s="13">
        <f>Phi*EpsilonF*Botzman/10^8*J614*((D614+273)^4-(E614+273)^4)</f>
        <v>1646.0121621888413</v>
      </c>
      <c r="H614" s="23">
        <f t="shared" si="43"/>
        <v>650</v>
      </c>
      <c r="I614" s="12">
        <f>ksh*Massivete/(H614*RhoA)*DeltaT*(F614+G614)</f>
        <v>0.26563310908191823</v>
      </c>
      <c r="J614" s="3">
        <f>IF(E614&lt;=500,IF(Galva=Oui,0.35,0.7),0.7)</f>
        <v>0.7</v>
      </c>
    </row>
    <row r="615" spans="2:10" x14ac:dyDescent="0.25">
      <c r="B615" s="3">
        <f>B614+DeltaT</f>
        <v>2990</v>
      </c>
      <c r="C615" s="13">
        <f t="shared" si="44"/>
        <v>49.833333333333336</v>
      </c>
      <c r="D615" s="11">
        <f t="shared" si="45"/>
        <v>917.58578529081922</v>
      </c>
      <c r="E615" s="23">
        <f t="shared" si="42"/>
        <v>911.4057910854026</v>
      </c>
      <c r="F615" s="23">
        <f>AlphaC*(D615-E615)</f>
        <v>154.49985513541549</v>
      </c>
      <c r="G615" s="13">
        <f>Phi*EpsilonF*Botzman/10^8*J615*((D615+273)^4-(E615+273)^4)</f>
        <v>1642.9650785217327</v>
      </c>
      <c r="H615" s="23">
        <f t="shared" si="43"/>
        <v>650</v>
      </c>
      <c r="I615" s="12">
        <f>ksh*Massivete/(H615*RhoA)*DeltaT*(F615+G615)</f>
        <v>0.26512651883681726</v>
      </c>
      <c r="J615" s="3">
        <f>IF(E615&lt;=500,IF(Galva=Oui,0.35,0.7),0.7)</f>
        <v>0.7</v>
      </c>
    </row>
    <row r="616" spans="2:10" x14ac:dyDescent="0.25">
      <c r="B616" s="3">
        <f>B615+DeltaT</f>
        <v>2995</v>
      </c>
      <c r="C616" s="13">
        <f t="shared" si="44"/>
        <v>49.916666666666664</v>
      </c>
      <c r="D616" s="11">
        <f t="shared" si="45"/>
        <v>917.83550467571899</v>
      </c>
      <c r="E616" s="23">
        <f t="shared" si="42"/>
        <v>911.67091760423943</v>
      </c>
      <c r="F616" s="23">
        <f>AlphaC*(D616-E616)</f>
        <v>154.11467678698898</v>
      </c>
      <c r="G616" s="13">
        <f>Phi*EpsilonF*Botzman/10^8*J616*((D616+273)^4-(E616+273)^4)</f>
        <v>1639.9350412157473</v>
      </c>
      <c r="H616" s="23">
        <f t="shared" si="43"/>
        <v>650</v>
      </c>
      <c r="I616" s="12">
        <f>ksh*Massivete/(H616*RhoA)*DeltaT*(F616+G616)</f>
        <v>0.26462277368965104</v>
      </c>
      <c r="J616" s="3">
        <f>IF(E616&lt;=500,IF(Galva=Oui,0.35,0.7),0.7)</f>
        <v>0.7</v>
      </c>
    </row>
    <row r="617" spans="2:10" x14ac:dyDescent="0.25">
      <c r="B617" s="3">
        <f>B616+DeltaT</f>
        <v>3000</v>
      </c>
      <c r="C617" s="13">
        <f t="shared" si="44"/>
        <v>50</v>
      </c>
      <c r="D617" s="11">
        <f t="shared" si="45"/>
        <v>918.08480855396283</v>
      </c>
      <c r="E617" s="23">
        <f t="shared" si="42"/>
        <v>911.9355403779291</v>
      </c>
      <c r="F617" s="23">
        <f>AlphaC*(D617-E617)</f>
        <v>153.73170440084323</v>
      </c>
      <c r="G617" s="13">
        <f>Phi*EpsilonF*Botzman/10^8*J617*((D617+273)^4-(E617+273)^4)</f>
        <v>1636.9217259682746</v>
      </c>
      <c r="H617" s="23">
        <f t="shared" si="43"/>
        <v>650</v>
      </c>
      <c r="I617" s="12">
        <f>ksh*Massivete/(H617*RhoA)*DeltaT*(F617+G617)</f>
        <v>0.264121820430197</v>
      </c>
      <c r="J617" s="3">
        <f>IF(E617&lt;=500,IF(Galva=Oui,0.35,0.7),0.7)</f>
        <v>0.7</v>
      </c>
    </row>
    <row r="618" spans="2:10" x14ac:dyDescent="0.25">
      <c r="B618" s="3">
        <f>B617+DeltaT</f>
        <v>3005</v>
      </c>
      <c r="C618" s="13">
        <f t="shared" si="44"/>
        <v>50.083333333333336</v>
      </c>
      <c r="D618" s="11">
        <f t="shared" si="45"/>
        <v>918.33369830597258</v>
      </c>
      <c r="E618" s="23">
        <f t="shared" si="42"/>
        <v>912.19966219835931</v>
      </c>
      <c r="F618" s="23">
        <f>AlphaC*(D618-E618)</f>
        <v>153.35090269033174</v>
      </c>
      <c r="G618" s="13">
        <f>Phi*EpsilonF*Botzman/10^8*J618*((D618+273)^4-(E618+273)^4)</f>
        <v>1633.9248195082089</v>
      </c>
      <c r="H618" s="23">
        <f t="shared" si="43"/>
        <v>650</v>
      </c>
      <c r="I618" s="12">
        <f>ksh*Massivete/(H618*RhoA)*DeltaT*(F618+G618)</f>
        <v>0.26362360764610127</v>
      </c>
      <c r="J618" s="3">
        <f>IF(E618&lt;=500,IF(Galva=Oui,0.35,0.7),0.7)</f>
        <v>0.7</v>
      </c>
    </row>
    <row r="619" spans="2:10" x14ac:dyDescent="0.25">
      <c r="B619" s="3">
        <f>B618+DeltaT</f>
        <v>3010</v>
      </c>
      <c r="C619" s="13">
        <f t="shared" si="44"/>
        <v>50.166666666666664</v>
      </c>
      <c r="D619" s="11">
        <f t="shared" si="45"/>
        <v>918.5821753053018</v>
      </c>
      <c r="E619" s="23">
        <f t="shared" si="42"/>
        <v>912.46328580600539</v>
      </c>
      <c r="F619" s="23">
        <f>AlphaC*(D619-E619)</f>
        <v>152.97223748241038</v>
      </c>
      <c r="G619" s="13">
        <f>Phi*EpsilonF*Botzman/10^8*J619*((D619+273)^4-(E619+273)^4)</f>
        <v>1630.944019178118</v>
      </c>
      <c r="H619" s="23">
        <f t="shared" si="43"/>
        <v>650</v>
      </c>
      <c r="I619" s="12">
        <f>ksh*Massivete/(H619*RhoA)*DeltaT*(F619+G619)</f>
        <v>0.26312808565478585</v>
      </c>
      <c r="J619" s="3">
        <f>IF(E619&lt;=500,IF(Galva=Oui,0.35,0.7),0.7)</f>
        <v>0.7</v>
      </c>
    </row>
    <row r="620" spans="2:10" x14ac:dyDescent="0.25">
      <c r="B620" s="3">
        <f>B619+DeltaT</f>
        <v>3015</v>
      </c>
      <c r="C620" s="13">
        <f t="shared" si="44"/>
        <v>50.25</v>
      </c>
      <c r="D620" s="11">
        <f t="shared" si="45"/>
        <v>918.83024091868265</v>
      </c>
      <c r="E620" s="23">
        <f t="shared" si="42"/>
        <v>912.72641389166017</v>
      </c>
      <c r="F620" s="23">
        <f>AlphaC*(D620-E620)</f>
        <v>152.59567567556189</v>
      </c>
      <c r="G620" s="13">
        <f>Phi*EpsilonF*Botzman/10^8*J620*((D620+273)^4-(E620+273)^4)</f>
        <v>1627.9790325319459</v>
      </c>
      <c r="H620" s="23">
        <f t="shared" si="43"/>
        <v>650</v>
      </c>
      <c r="I620" s="12">
        <f>ksh*Massivete/(H620*RhoA)*DeltaT*(F620+G620)</f>
        <v>0.26263520643790378</v>
      </c>
      <c r="J620" s="3">
        <f>IF(E620&lt;=500,IF(Galva=Oui,0.35,0.7),0.7)</f>
        <v>0.7</v>
      </c>
    </row>
    <row r="621" spans="2:10" x14ac:dyDescent="0.25">
      <c r="B621" s="3">
        <f>B620+DeltaT</f>
        <v>3020</v>
      </c>
      <c r="C621" s="13">
        <f t="shared" si="44"/>
        <v>50.333333333333336</v>
      </c>
      <c r="D621" s="11">
        <f t="shared" si="45"/>
        <v>919.07789650606946</v>
      </c>
      <c r="E621" s="23">
        <f t="shared" si="42"/>
        <v>912.98904909809812</v>
      </c>
      <c r="F621" s="23">
        <f>AlphaC*(D621-E621)</f>
        <v>152.22118519928358</v>
      </c>
      <c r="G621" s="13">
        <f>Phi*EpsilonF*Botzman/10^8*J621*((D621+273)^4-(E621+273)^4)</f>
        <v>1625.0295769483366</v>
      </c>
      <c r="H621" s="23">
        <f t="shared" si="43"/>
        <v>650</v>
      </c>
      <c r="I621" s="12">
        <f>ksh*Massivete/(H621*RhoA)*DeltaT*(F621+G621)</f>
        <v>0.26214492357832869</v>
      </c>
      <c r="J621" s="3">
        <f>IF(E621&lt;=500,IF(Galva=Oui,0.35,0.7),0.7)</f>
        <v>0.7</v>
      </c>
    </row>
    <row r="622" spans="2:10" x14ac:dyDescent="0.25">
      <c r="B622" s="3">
        <f>B621+DeltaT</f>
        <v>3025</v>
      </c>
      <c r="C622" s="13">
        <f t="shared" si="44"/>
        <v>50.416666666666664</v>
      </c>
      <c r="D622" s="11">
        <f t="shared" si="45"/>
        <v>919.32514342068396</v>
      </c>
      <c r="E622" s="23">
        <f t="shared" si="42"/>
        <v>913.2511940216765</v>
      </c>
      <c r="F622" s="23">
        <f>AlphaC*(D622-E622)</f>
        <v>151.84873497518652</v>
      </c>
      <c r="G622" s="13">
        <f>Phi*EpsilonF*Botzman/10^8*J622*((D622+273)^4-(E622+273)^4)</f>
        <v>1622.0953792579969</v>
      </c>
      <c r="H622" s="23">
        <f t="shared" si="43"/>
        <v>650</v>
      </c>
      <c r="I622" s="12">
        <f>ksh*Massivete/(H622*RhoA)*DeltaT*(F622+G622)</f>
        <v>0.26165719219945283</v>
      </c>
      <c r="J622" s="3">
        <f>IF(E622&lt;=500,IF(Galva=Oui,0.35,0.7),0.7)</f>
        <v>0.7</v>
      </c>
    </row>
    <row r="623" spans="2:10" x14ac:dyDescent="0.25">
      <c r="B623" s="3">
        <f>B622+DeltaT</f>
        <v>3030</v>
      </c>
      <c r="C623" s="13">
        <f t="shared" si="44"/>
        <v>50.5</v>
      </c>
      <c r="D623" s="11">
        <f t="shared" si="45"/>
        <v>919.57198300906055</v>
      </c>
      <c r="E623" s="23">
        <f t="shared" si="42"/>
        <v>913.51285121387593</v>
      </c>
      <c r="F623" s="23">
        <f>AlphaC*(D623-E623)</f>
        <v>151.47829487961531</v>
      </c>
      <c r="G623" s="13">
        <f>Phi*EpsilonF*Botzman/10^8*J623*((D623+273)^4-(E623+273)^4)</f>
        <v>1619.1761753861861</v>
      </c>
      <c r="H623" s="23">
        <f t="shared" si="43"/>
        <v>650</v>
      </c>
      <c r="I623" s="12">
        <f>ksh*Massivete/(H623*RhoA)*DeltaT*(F623+G623)</f>
        <v>0.2611719689069405</v>
      </c>
      <c r="J623" s="3">
        <f>IF(E623&lt;=500,IF(Galva=Oui,0.35,0.7),0.7)</f>
        <v>0.7</v>
      </c>
    </row>
    <row r="624" spans="2:10" x14ac:dyDescent="0.25">
      <c r="B624" s="3">
        <f>B623+DeltaT</f>
        <v>3035</v>
      </c>
      <c r="C624" s="13">
        <f t="shared" si="44"/>
        <v>50.583333333333336</v>
      </c>
      <c r="D624" s="11">
        <f t="shared" si="45"/>
        <v>919.81841661108876</v>
      </c>
      <c r="E624" s="23">
        <f t="shared" si="42"/>
        <v>913.77402318278291</v>
      </c>
      <c r="F624" s="23">
        <f>AlphaC*(D624-E624)</f>
        <v>151.10983570764631</v>
      </c>
      <c r="G624" s="13">
        <f>Phi*EpsilonF*Botzman/10^8*J624*((D624+273)^4-(E624+273)^4)</f>
        <v>1616.2717100077639</v>
      </c>
      <c r="H624" s="23">
        <f t="shared" si="43"/>
        <v>650</v>
      </c>
      <c r="I624" s="12">
        <f>ksh*Massivete/(H624*RhoA)*DeltaT*(F624+G624)</f>
        <v>0.26068921173253751</v>
      </c>
      <c r="J624" s="3">
        <f>IF(E624&lt;=500,IF(Galva=Oui,0.35,0.7),0.7)</f>
        <v>0.7</v>
      </c>
    </row>
    <row r="625" spans="2:10" x14ac:dyDescent="0.25">
      <c r="B625" s="3">
        <f>B624+DeltaT</f>
        <v>3040</v>
      </c>
      <c r="C625" s="13">
        <f t="shared" si="44"/>
        <v>50.666666666666664</v>
      </c>
      <c r="D625" s="11">
        <f t="shared" si="45"/>
        <v>920.06444556005806</v>
      </c>
      <c r="E625" s="23">
        <f t="shared" si="42"/>
        <v>914.0347123945154</v>
      </c>
      <c r="F625" s="23">
        <f>AlphaC*(D625-E625)</f>
        <v>150.74332913856665</v>
      </c>
      <c r="G625" s="13">
        <f>Phi*EpsilonF*Botzman/10^8*J625*((D625+273)^4-(E625+273)^4)</f>
        <v>1613.3817362167154</v>
      </c>
      <c r="H625" s="23">
        <f t="shared" si="43"/>
        <v>650</v>
      </c>
      <c r="I625" s="12">
        <f>ksh*Massivete/(H625*RhoA)*DeltaT*(F625+G625)</f>
        <v>0.26020888008023396</v>
      </c>
      <c r="J625" s="3">
        <f>IF(E625&lt;=500,IF(Galva=Oui,0.35,0.7),0.7)</f>
        <v>0.7</v>
      </c>
    </row>
    <row r="626" spans="2:10" x14ac:dyDescent="0.25">
      <c r="B626" s="3">
        <f>B625+DeltaT</f>
        <v>3045</v>
      </c>
      <c r="C626" s="13">
        <f t="shared" si="44"/>
        <v>50.75</v>
      </c>
      <c r="D626" s="11">
        <f t="shared" si="45"/>
        <v>920.31007118270077</v>
      </c>
      <c r="E626" s="23">
        <f t="shared" ref="E626:E689" si="46">E625+I625</f>
        <v>914.29492127459559</v>
      </c>
      <c r="F626" s="23">
        <f>AlphaC*(D626-E626)</f>
        <v>150.37874770262931</v>
      </c>
      <c r="G626" s="13">
        <f>Phi*EpsilonF*Botzman/10^8*J626*((D626+273)^4-(E626+273)^4)</f>
        <v>1610.5060152062563</v>
      </c>
      <c r="H626" s="23">
        <f t="shared" ref="H626:H689" si="47">IF(E626&lt;600,425+0.773*E626-1.69/1000*E626^2+2.22/1000^2*E626^3,IF(E626&lt;735,666+13002/(738-E626),IF(E626&lt;900,545+17820/(E626-731),650)))</f>
        <v>650</v>
      </c>
      <c r="I626" s="12">
        <f>ksh*Massivete/(H626*RhoA)*DeltaT*(F626+G626)</f>
        <v>0.25973093467417613</v>
      </c>
      <c r="J626" s="3">
        <f>IF(E626&lt;=500,IF(Galva=Oui,0.35,0.7),0.7)</f>
        <v>0.7</v>
      </c>
    </row>
    <row r="627" spans="2:10" x14ac:dyDescent="0.25">
      <c r="B627" s="3">
        <f>B626+DeltaT</f>
        <v>3050</v>
      </c>
      <c r="C627" s="13">
        <f t="shared" si="44"/>
        <v>50.833333333333336</v>
      </c>
      <c r="D627" s="11">
        <f t="shared" si="45"/>
        <v>920.55529479923473</v>
      </c>
      <c r="E627" s="23">
        <f t="shared" si="46"/>
        <v>914.55465220926976</v>
      </c>
      <c r="F627" s="23">
        <f>AlphaC*(D627-E627)</f>
        <v>150.01606474912421</v>
      </c>
      <c r="G627" s="13">
        <f>Phi*EpsilonF*Botzman/10^8*J627*((D627+273)^4-(E627+273)^4)</f>
        <v>1607.6443159637745</v>
      </c>
      <c r="H627" s="23">
        <f t="shared" si="47"/>
        <v>650</v>
      </c>
      <c r="I627" s="12">
        <f>ksh*Massivete/(H627*RhoA)*DeltaT*(F627+G627)</f>
        <v>0.25925533750896074</v>
      </c>
      <c r="J627" s="3">
        <f>IF(E627&lt;=500,IF(Galva=Oui,0.35,0.7),0.7)</f>
        <v>0.7</v>
      </c>
    </row>
    <row r="628" spans="2:10" x14ac:dyDescent="0.25">
      <c r="B628" s="3">
        <f>B627+DeltaT</f>
        <v>3055</v>
      </c>
      <c r="C628" s="13">
        <f t="shared" si="44"/>
        <v>50.916666666666664</v>
      </c>
      <c r="D628" s="11">
        <f t="shared" si="45"/>
        <v>920.80011772340663</v>
      </c>
      <c r="E628" s="23">
        <f t="shared" si="46"/>
        <v>914.81390754677875</v>
      </c>
      <c r="F628" s="23">
        <f>AlphaC*(D628-E628)</f>
        <v>149.65525441569696</v>
      </c>
      <c r="G628" s="13">
        <f>Phi*EpsilonF*Botzman/10^8*J628*((D628+273)^4-(E628+273)^4)</f>
        <v>1604.7964149750833</v>
      </c>
      <c r="H628" s="23">
        <f t="shared" si="47"/>
        <v>650</v>
      </c>
      <c r="I628" s="12">
        <f>ksh*Massivete/(H628*RhoA)*DeltaT*(F628+G628)</f>
        <v>0.25878205180148678</v>
      </c>
      <c r="J628" s="3">
        <f>IF(E628&lt;=500,IF(Galva=Oui,0.35,0.7),0.7)</f>
        <v>0.7</v>
      </c>
    </row>
    <row r="629" spans="2:10" x14ac:dyDescent="0.25">
      <c r="B629" s="3">
        <f>B628+DeltaT</f>
        <v>3060</v>
      </c>
      <c r="C629" s="13">
        <f t="shared" si="44"/>
        <v>51</v>
      </c>
      <c r="D629" s="11">
        <f t="shared" si="45"/>
        <v>921.0445412625329</v>
      </c>
      <c r="E629" s="23">
        <f t="shared" si="46"/>
        <v>915.07268959858027</v>
      </c>
      <c r="F629" s="23">
        <f>AlphaC*(D629-E629)</f>
        <v>149.29629159881586</v>
      </c>
      <c r="G629" s="13">
        <f>Phi*EpsilonF*Botzman/10^8*J629*((D629+273)^4-(E629+273)^4)</f>
        <v>1601.9620959410299</v>
      </c>
      <c r="H629" s="23">
        <f t="shared" si="47"/>
        <v>650</v>
      </c>
      <c r="I629" s="12">
        <f>ksh*Massivete/(H629*RhoA)*DeltaT*(F629+G629)</f>
        <v>0.25831104194479909</v>
      </c>
      <c r="J629" s="3">
        <f>IF(E629&lt;=500,IF(Galva=Oui,0.35,0.7),0.7)</f>
        <v>0.7</v>
      </c>
    </row>
    <row r="630" spans="2:10" x14ac:dyDescent="0.25">
      <c r="B630" s="3">
        <f>B629+DeltaT</f>
        <v>3065</v>
      </c>
      <c r="C630" s="13">
        <f t="shared" si="44"/>
        <v>51.083333333333336</v>
      </c>
      <c r="D630" s="11">
        <f t="shared" si="45"/>
        <v>921.28856671754295</v>
      </c>
      <c r="E630" s="23">
        <f t="shared" si="46"/>
        <v>915.33100064052508</v>
      </c>
      <c r="F630" s="23">
        <f>AlphaC*(D630-E630)</f>
        <v>148.93915192544682</v>
      </c>
      <c r="G630" s="13">
        <f>Phi*EpsilonF*Botzman/10^8*J630*((D630+273)^4-(E630+273)^4)</f>
        <v>1599.1411495052555</v>
      </c>
      <c r="H630" s="23">
        <f t="shared" si="47"/>
        <v>650</v>
      </c>
      <c r="I630" s="12">
        <f>ksh*Massivete/(H630*RhoA)*DeltaT*(F630+G630)</f>
        <v>0.25784227346375477</v>
      </c>
      <c r="J630" s="3">
        <f>IF(E630&lt;=500,IF(Galva=Oui,0.35,0.7),0.7)</f>
        <v>0.7</v>
      </c>
    </row>
    <row r="631" spans="2:10" x14ac:dyDescent="0.25">
      <c r="B631" s="3">
        <f>B630+DeltaT</f>
        <v>3070</v>
      </c>
      <c r="C631" s="13">
        <f t="shared" si="44"/>
        <v>51.166666666666664</v>
      </c>
      <c r="D631" s="11">
        <f t="shared" si="45"/>
        <v>921.53219538302051</v>
      </c>
      <c r="E631" s="23">
        <f t="shared" si="46"/>
        <v>915.58884291398886</v>
      </c>
      <c r="F631" s="23">
        <f>AlphaC*(D631-E631)</f>
        <v>148.58381172579129</v>
      </c>
      <c r="G631" s="13">
        <f>Phi*EpsilonF*Botzman/10^8*J631*((D631+273)^4-(E631+273)^4)</f>
        <v>1596.3333729914925</v>
      </c>
      <c r="H631" s="23">
        <f t="shared" si="47"/>
        <v>650</v>
      </c>
      <c r="I631" s="12">
        <f>ksh*Massivete/(H631*RhoA)*DeltaT*(F631+G631)</f>
        <v>0.25737571297225359</v>
      </c>
      <c r="J631" s="3">
        <f>IF(E631&lt;=500,IF(Galva=Oui,0.35,0.7),0.7)</f>
        <v>0.7</v>
      </c>
    </row>
    <row r="632" spans="2:10" x14ac:dyDescent="0.25">
      <c r="B632" s="3">
        <f>B631+DeltaT</f>
        <v>3075</v>
      </c>
      <c r="C632" s="13">
        <f t="shared" si="44"/>
        <v>51.25</v>
      </c>
      <c r="D632" s="11">
        <f t="shared" si="45"/>
        <v>921.77542854724379</v>
      </c>
      <c r="E632" s="23">
        <f t="shared" si="46"/>
        <v>915.8462186269611</v>
      </c>
      <c r="F632" s="23">
        <f>AlphaC*(D632-E632)</f>
        <v>148.23024800706719</v>
      </c>
      <c r="G632" s="13">
        <f>Phi*EpsilonF*Botzman/10^8*J632*((D632+273)^4-(E632+273)^4)</f>
        <v>1593.5385701516054</v>
      </c>
      <c r="H632" s="23">
        <f t="shared" si="47"/>
        <v>650</v>
      </c>
      <c r="I632" s="12">
        <f>ksh*Massivete/(H632*RhoA)*DeltaT*(F632+G632)</f>
        <v>0.25691132813220641</v>
      </c>
      <c r="J632" s="3">
        <f>IF(E632&lt;=500,IF(Galva=Oui,0.35,0.7),0.7)</f>
        <v>0.7</v>
      </c>
    </row>
    <row r="633" spans="2:10" x14ac:dyDescent="0.25">
      <c r="B633" s="3">
        <f>B632+DeltaT</f>
        <v>3080</v>
      </c>
      <c r="C633" s="13">
        <f t="shared" si="44"/>
        <v>51.333333333333336</v>
      </c>
      <c r="D633" s="11">
        <f t="shared" si="45"/>
        <v>922.01826749222755</v>
      </c>
      <c r="E633" s="23">
        <f t="shared" si="46"/>
        <v>916.10312995509332</v>
      </c>
      <c r="F633" s="23">
        <f>AlphaC*(D633-E633)</f>
        <v>147.87843842835571</v>
      </c>
      <c r="G633" s="13">
        <f>Phi*EpsilonF*Botzman/10^8*J633*((D633+273)^4-(E633+273)^4)</f>
        <v>1590.7565509231592</v>
      </c>
      <c r="H633" s="23">
        <f t="shared" si="47"/>
        <v>650</v>
      </c>
      <c r="I633" s="12">
        <f>ksh*Massivete/(H633*RhoA)*DeltaT*(F633+G633)</f>
        <v>0.25644908761406632</v>
      </c>
      <c r="J633" s="3">
        <f>IF(E633&lt;=500,IF(Galva=Oui,0.35,0.7),0.7)</f>
        <v>0.7</v>
      </c>
    </row>
    <row r="634" spans="2:10" x14ac:dyDescent="0.25">
      <c r="B634" s="3">
        <f>B633+DeltaT</f>
        <v>3085</v>
      </c>
      <c r="C634" s="13">
        <f t="shared" si="44"/>
        <v>51.416666666666664</v>
      </c>
      <c r="D634" s="11">
        <f t="shared" si="45"/>
        <v>922.26071349376298</v>
      </c>
      <c r="E634" s="23">
        <f t="shared" si="46"/>
        <v>916.35957904270742</v>
      </c>
      <c r="F634" s="23">
        <f>AlphaC*(D634-E634)</f>
        <v>147.52836127638886</v>
      </c>
      <c r="G634" s="13">
        <f>Phi*EpsilonF*Botzman/10^8*J634*((D634+273)^4-(E634+273)^4)</f>
        <v>1587.9871311956294</v>
      </c>
      <c r="H634" s="23">
        <f t="shared" si="47"/>
        <v>650</v>
      </c>
      <c r="I634" s="12">
        <f>ksh*Massivete/(H634*RhoA)*DeltaT*(F634+G634)</f>
        <v>0.2559889610587735</v>
      </c>
      <c r="J634" s="3">
        <f>IF(E634&lt;=500,IF(Galva=Oui,0.35,0.7),0.7)</f>
        <v>0.7</v>
      </c>
    </row>
    <row r="635" spans="2:10" x14ac:dyDescent="0.25">
      <c r="B635" s="3">
        <f>B634+DeltaT</f>
        <v>3090</v>
      </c>
      <c r="C635" s="13">
        <f t="shared" si="44"/>
        <v>51.5</v>
      </c>
      <c r="D635" s="11">
        <f t="shared" si="45"/>
        <v>922.50276782145841</v>
      </c>
      <c r="E635" s="23">
        <f t="shared" si="46"/>
        <v>916.61556800376616</v>
      </c>
      <c r="F635" s="23">
        <f>AlphaC*(D635-E635)</f>
        <v>147.17999544230622</v>
      </c>
      <c r="G635" s="13">
        <f>Phi*EpsilonF*Botzman/10^8*J635*((D635+273)^4-(E635+273)^4)</f>
        <v>1585.2301325871463</v>
      </c>
      <c r="H635" s="23">
        <f t="shared" si="47"/>
        <v>650</v>
      </c>
      <c r="I635" s="12">
        <f>ksh*Massivete/(H635*RhoA)*DeltaT*(F635+G635)</f>
        <v>0.25553091904139635</v>
      </c>
      <c r="J635" s="3">
        <f>IF(E635&lt;=500,IF(Galva=Oui,0.35,0.7),0.7)</f>
        <v>0.7</v>
      </c>
    </row>
    <row r="636" spans="2:10" x14ac:dyDescent="0.25">
      <c r="B636" s="3">
        <f>B635+DeltaT</f>
        <v>3095</v>
      </c>
      <c r="C636" s="13">
        <f t="shared" si="44"/>
        <v>51.583333333333336</v>
      </c>
      <c r="D636" s="11">
        <f t="shared" si="45"/>
        <v>922.7444317387783</v>
      </c>
      <c r="E636" s="23">
        <f t="shared" si="46"/>
        <v>916.87109892280751</v>
      </c>
      <c r="F636" s="23">
        <f>AlphaC*(D636-E636)</f>
        <v>146.83332039926995</v>
      </c>
      <c r="G636" s="13">
        <f>Phi*EpsilonF*Botzman/10^8*J636*((D636+273)^4-(E636+273)^4)</f>
        <v>1582.485382227673</v>
      </c>
      <c r="H636" s="23">
        <f t="shared" si="47"/>
        <v>650</v>
      </c>
      <c r="I636" s="12">
        <f>ksh*Massivete/(H636*RhoA)*DeltaT*(F636+G636)</f>
        <v>0.25507493303584827</v>
      </c>
      <c r="J636" s="3">
        <f>IF(E636&lt;=500,IF(Galva=Oui,0.35,0.7),0.7)</f>
        <v>0.7</v>
      </c>
    </row>
    <row r="637" spans="2:10" x14ac:dyDescent="0.25">
      <c r="B637" s="3">
        <f>B636+DeltaT</f>
        <v>3100</v>
      </c>
      <c r="C637" s="13">
        <f t="shared" si="44"/>
        <v>51.666666666666664</v>
      </c>
      <c r="D637" s="11">
        <f t="shared" si="45"/>
        <v>922.98570650308386</v>
      </c>
      <c r="E637" s="23">
        <f t="shared" si="46"/>
        <v>917.12617385584338</v>
      </c>
      <c r="F637" s="23">
        <f>AlphaC*(D637-E637)</f>
        <v>146.48831618101212</v>
      </c>
      <c r="G637" s="13">
        <f>Phi*EpsilonF*Botzman/10^8*J637*((D637+273)^4-(E637+273)^4)</f>
        <v>1579.7527125522595</v>
      </c>
      <c r="H637" s="23">
        <f t="shared" si="47"/>
        <v>650</v>
      </c>
      <c r="I637" s="12">
        <f>ksh*Massivete/(H637*RhoA)*DeltaT*(F637+G637)</f>
        <v>0.25462097538122863</v>
      </c>
      <c r="J637" s="3">
        <f>IF(E637&lt;=500,IF(Galva=Oui,0.35,0.7),0.7)</f>
        <v>0.7</v>
      </c>
    </row>
    <row r="638" spans="2:10" x14ac:dyDescent="0.25">
      <c r="B638" s="3">
        <f>B637+DeltaT</f>
        <v>3105</v>
      </c>
      <c r="C638" s="13">
        <f t="shared" si="44"/>
        <v>51.75</v>
      </c>
      <c r="D638" s="11">
        <f t="shared" si="45"/>
        <v>923.22659336567187</v>
      </c>
      <c r="E638" s="23">
        <f t="shared" si="46"/>
        <v>917.38079483122465</v>
      </c>
      <c r="F638" s="23">
        <f>AlphaC*(D638-E638)</f>
        <v>146.14496336118066</v>
      </c>
      <c r="G638" s="13">
        <f>Phi*EpsilonF*Botzman/10^8*J638*((D638+273)^4-(E638+273)^4)</f>
        <v>1577.031961101655</v>
      </c>
      <c r="H638" s="23">
        <f t="shared" si="47"/>
        <v>650</v>
      </c>
      <c r="I638" s="12">
        <f>ksh*Massivete/(H638*RhoA)*DeltaT*(F638+G638)</f>
        <v>0.25416901924936641</v>
      </c>
      <c r="J638" s="3">
        <f>IF(E638&lt;=500,IF(Galva=Oui,0.35,0.7),0.7)</f>
        <v>0.7</v>
      </c>
    </row>
    <row r="639" spans="2:10" x14ac:dyDescent="0.25">
      <c r="B639" s="3">
        <f>B638+DeltaT</f>
        <v>3110</v>
      </c>
      <c r="C639" s="13">
        <f t="shared" si="44"/>
        <v>51.833333333333336</v>
      </c>
      <c r="D639" s="11">
        <f t="shared" si="45"/>
        <v>923.46709357181351</v>
      </c>
      <c r="E639" s="23">
        <f t="shared" si="46"/>
        <v>917.63496385047404</v>
      </c>
      <c r="F639" s="23">
        <f>AlphaC*(D639-E639)</f>
        <v>145.80324303348675</v>
      </c>
      <c r="G639" s="13">
        <f>Phi*EpsilonF*Botzman/10^8*J639*((D639+273)^4-(E639+273)^4)</f>
        <v>1574.3229703305515</v>
      </c>
      <c r="H639" s="23">
        <f t="shared" si="47"/>
        <v>650</v>
      </c>
      <c r="I639" s="12">
        <f>ksh*Massivete/(H639*RhoA)*DeltaT*(F639+G639)</f>
        <v>0.25371903861360767</v>
      </c>
      <c r="J639" s="3">
        <f>IF(E639&lt;=500,IF(Galva=Oui,0.35,0.7),0.7)</f>
        <v>0.7</v>
      </c>
    </row>
    <row r="640" spans="2:10" x14ac:dyDescent="0.25">
      <c r="B640" s="3">
        <f>B639+DeltaT</f>
        <v>3115</v>
      </c>
      <c r="C640" s="13">
        <f t="shared" si="44"/>
        <v>51.916666666666664</v>
      </c>
      <c r="D640" s="11">
        <f t="shared" si="45"/>
        <v>923.70720836079306</v>
      </c>
      <c r="E640" s="23">
        <f t="shared" si="46"/>
        <v>917.88868288908759</v>
      </c>
      <c r="F640" s="23">
        <f>AlphaC*(D640-E640)</f>
        <v>145.46313679263676</v>
      </c>
      <c r="G640" s="13">
        <f>Phi*EpsilonF*Botzman/10^8*J640*((D640+273)^4-(E640+273)^4)</f>
        <v>1571.625587422604</v>
      </c>
      <c r="H640" s="23">
        <f t="shared" si="47"/>
        <v>650</v>
      </c>
      <c r="I640" s="12">
        <f>ksh*Massivete/(H640*RhoA)*DeltaT*(F640+G640)</f>
        <v>0.25327100821871884</v>
      </c>
      <c r="J640" s="3">
        <f>IF(E640&lt;=500,IF(Galva=Oui,0.35,0.7),0.7)</f>
        <v>0.7</v>
      </c>
    </row>
    <row r="641" spans="2:10" x14ac:dyDescent="0.25">
      <c r="B641" s="3">
        <f>B640+DeltaT</f>
        <v>3120</v>
      </c>
      <c r="C641" s="13">
        <f t="shared" si="44"/>
        <v>52</v>
      </c>
      <c r="D641" s="11">
        <f t="shared" si="45"/>
        <v>923.94693896594617</v>
      </c>
      <c r="E641" s="23">
        <f t="shared" si="46"/>
        <v>918.14195389730628</v>
      </c>
      <c r="F641" s="23">
        <f>AlphaC*(D641-E641)</f>
        <v>145.12462671599735</v>
      </c>
      <c r="G641" s="13">
        <f>Phi*EpsilonF*Botzman/10^8*J641*((D641+273)^4-(E641+273)^4)</f>
        <v>1568.9396641141218</v>
      </c>
      <c r="H641" s="23">
        <f t="shared" si="47"/>
        <v>650</v>
      </c>
      <c r="I641" s="12">
        <f>ksh*Massivete/(H641*RhoA)*DeltaT*(F641+G641)</f>
        <v>0.25282490355217624</v>
      </c>
      <c r="J641" s="3">
        <f>IF(E641&lt;=500,IF(Galva=Oui,0.35,0.7),0.7)</f>
        <v>0.7</v>
      </c>
    </row>
    <row r="642" spans="2:10" x14ac:dyDescent="0.25">
      <c r="B642" s="3">
        <f>B641+DeltaT</f>
        <v>3125</v>
      </c>
      <c r="C642" s="13">
        <f t="shared" si="44"/>
        <v>52.083333333333336</v>
      </c>
      <c r="D642" s="11">
        <f t="shared" si="45"/>
        <v>924.18628661469813</v>
      </c>
      <c r="E642" s="23">
        <f t="shared" si="46"/>
        <v>918.39477880085849</v>
      </c>
      <c r="F642" s="23">
        <f>AlphaC*(D642-E642)</f>
        <v>144.7876953459911</v>
      </c>
      <c r="G642" s="13">
        <f>Phi*EpsilonF*Botzman/10^8*J642*((D642+273)^4-(E642+273)^4)</f>
        <v>1566.2650565229053</v>
      </c>
      <c r="H642" s="23">
        <f t="shared" si="47"/>
        <v>650</v>
      </c>
      <c r="I642" s="12">
        <f>ksh*Massivete/(H642*RhoA)*DeltaT*(F642+G642)</f>
        <v>0.25238070081632319</v>
      </c>
      <c r="J642" s="3">
        <f>IF(E642&lt;=500,IF(Galva=Oui,0.35,0.7),0.7)</f>
        <v>0.7</v>
      </c>
    </row>
    <row r="643" spans="2:10" x14ac:dyDescent="0.25">
      <c r="B643" s="3">
        <f>B642+DeltaT</f>
        <v>3130</v>
      </c>
      <c r="C643" s="13">
        <f t="shared" si="44"/>
        <v>52.166666666666664</v>
      </c>
      <c r="D643" s="11">
        <f t="shared" si="45"/>
        <v>924.42525252860116</v>
      </c>
      <c r="E643" s="23">
        <f t="shared" si="46"/>
        <v>918.64715950167476</v>
      </c>
      <c r="F643" s="23">
        <f>AlphaC*(D643-E643)</f>
        <v>144.45232567315998</v>
      </c>
      <c r="G643" s="13">
        <f>Phi*EpsilonF*Botzman/10^8*J643*((D643+273)^4-(E643+273)^4)</f>
        <v>1563.6016249848349</v>
      </c>
      <c r="H643" s="23">
        <f t="shared" si="47"/>
        <v>650</v>
      </c>
      <c r="I643" s="12">
        <f>ksh*Massivete/(H643*RhoA)*DeltaT*(F643+G643)</f>
        <v>0.25193837690176851</v>
      </c>
      <c r="J643" s="3">
        <f>IF(E643&lt;=500,IF(Galva=Oui,0.35,0.7),0.7)</f>
        <v>0.7</v>
      </c>
    </row>
    <row r="644" spans="2:10" x14ac:dyDescent="0.25">
      <c r="B644" s="3">
        <f>B643+DeltaT</f>
        <v>3135</v>
      </c>
      <c r="C644" s="13">
        <f t="shared" si="44"/>
        <v>52.25</v>
      </c>
      <c r="D644" s="11">
        <f t="shared" si="45"/>
        <v>924.66383792337183</v>
      </c>
      <c r="E644" s="23">
        <f t="shared" si="46"/>
        <v>918.89909787857653</v>
      </c>
      <c r="F644" s="23">
        <f>AlphaC*(D644-E644)</f>
        <v>144.11850111988258</v>
      </c>
      <c r="G644" s="13">
        <f>Phi*EpsilonF*Botzman/10^8*J644*((D644+273)^4-(E644+273)^4)</f>
        <v>1560.9492338957114</v>
      </c>
      <c r="H644" s="23">
        <f t="shared" si="47"/>
        <v>650</v>
      </c>
      <c r="I644" s="12">
        <f>ksh*Massivete/(H644*RhoA)*DeltaT*(F644+G644)</f>
        <v>0.25149790936165634</v>
      </c>
      <c r="J644" s="3">
        <f>IF(E644&lt;=500,IF(Galva=Oui,0.35,0.7),0.7)</f>
        <v>0.7</v>
      </c>
    </row>
    <row r="645" spans="2:10" x14ac:dyDescent="0.25">
      <c r="B645" s="3">
        <f>B644+DeltaT</f>
        <v>3140</v>
      </c>
      <c r="C645" s="13">
        <f t="shared" si="44"/>
        <v>52.333333333333336</v>
      </c>
      <c r="D645" s="11">
        <f t="shared" si="45"/>
        <v>924.9020440089289</v>
      </c>
      <c r="E645" s="23">
        <f t="shared" si="46"/>
        <v>919.15059578793819</v>
      </c>
      <c r="F645" s="23">
        <f>AlphaC*(D645-E645)</f>
        <v>143.78620552476775</v>
      </c>
      <c r="G645" s="13">
        <f>Phi*EpsilonF*Botzman/10^8*J645*((D645+273)^4-(E645+273)^4)</f>
        <v>1558.307751560433</v>
      </c>
      <c r="H645" s="23">
        <f t="shared" si="47"/>
        <v>650</v>
      </c>
      <c r="I645" s="12">
        <f>ksh*Massivete/(H645*RhoA)*DeltaT*(F645+G645)</f>
        <v>0.25105927638711772</v>
      </c>
      <c r="J645" s="3">
        <f>IF(E645&lt;=500,IF(Galva=Oui,0.35,0.7),0.7)</f>
        <v>0.7</v>
      </c>
    </row>
    <row r="646" spans="2:10" x14ac:dyDescent="0.25">
      <c r="B646" s="3">
        <f>B645+DeltaT</f>
        <v>3145</v>
      </c>
      <c r="C646" s="13">
        <f t="shared" si="44"/>
        <v>52.416666666666664</v>
      </c>
      <c r="D646" s="11">
        <f t="shared" si="45"/>
        <v>925.13987198942959</v>
      </c>
      <c r="E646" s="23">
        <f t="shared" si="46"/>
        <v>919.40165506432527</v>
      </c>
      <c r="F646" s="23">
        <f>AlphaC*(D646-E646)</f>
        <v>143.45542312760813</v>
      </c>
      <c r="G646" s="13">
        <f>Phi*EpsilonF*Botzman/10^8*J646*((D646+273)^4-(E646+273)^4)</f>
        <v>1555.6770500471603</v>
      </c>
      <c r="H646" s="23">
        <f t="shared" si="47"/>
        <v>650</v>
      </c>
      <c r="I646" s="12">
        <f>ksh*Massivete/(H646*RhoA)*DeltaT*(F646+G646)</f>
        <v>0.25062245678354045</v>
      </c>
      <c r="J646" s="3">
        <f>IF(E646&lt;=500,IF(Galva=Oui,0.35,0.7),0.7)</f>
        <v>0.7</v>
      </c>
    </row>
    <row r="647" spans="2:10" x14ac:dyDescent="0.25">
      <c r="B647" s="3">
        <f>B646+DeltaT</f>
        <v>3150</v>
      </c>
      <c r="C647" s="13">
        <f t="shared" si="44"/>
        <v>52.5</v>
      </c>
      <c r="D647" s="11">
        <f t="shared" si="45"/>
        <v>925.37732306330543</v>
      </c>
      <c r="E647" s="23">
        <f t="shared" si="46"/>
        <v>919.65227752110877</v>
      </c>
      <c r="F647" s="23">
        <f>AlphaC*(D647-E647)</f>
        <v>143.12613855491634</v>
      </c>
      <c r="G647" s="13">
        <f>Phi*EpsilonF*Botzman/10^8*J647*((D647+273)^4-(E647+273)^4)</f>
        <v>1553.0570050471235</v>
      </c>
      <c r="H647" s="23">
        <f t="shared" si="47"/>
        <v>650</v>
      </c>
      <c r="I647" s="12">
        <f>ksh*Massivete/(H647*RhoA)*DeltaT*(F647+G647)</f>
        <v>0.25018742994775733</v>
      </c>
      <c r="J647" s="3">
        <f>IF(E647&lt;=500,IF(Galva=Oui,0.35,0.7),0.7)</f>
        <v>0.7</v>
      </c>
    </row>
    <row r="648" spans="2:10" x14ac:dyDescent="0.25">
      <c r="B648" s="3">
        <f>B647+DeltaT</f>
        <v>3155</v>
      </c>
      <c r="C648" s="13">
        <f t="shared" si="44"/>
        <v>52.583333333333336</v>
      </c>
      <c r="D648" s="11">
        <f t="shared" si="45"/>
        <v>925.61439842330003</v>
      </c>
      <c r="E648" s="23">
        <f t="shared" si="46"/>
        <v>919.90246495105657</v>
      </c>
      <c r="F648" s="23">
        <f>AlphaC*(D648-E648)</f>
        <v>142.79833680608647</v>
      </c>
      <c r="G648" s="13">
        <f>Phi*EpsilonF*Botzman/10^8*J648*((D648+273)^4-(E648+273)^4)</f>
        <v>1550.4474957401062</v>
      </c>
      <c r="H648" s="23">
        <f t="shared" si="47"/>
        <v>650</v>
      </c>
      <c r="I648" s="12">
        <f>ksh*Massivete/(H648*RhoA)*DeltaT*(F648+G648)</f>
        <v>0.24975417584616372</v>
      </c>
      <c r="J648" s="3">
        <f>IF(E648&lt;=500,IF(Galva=Oui,0.35,0.7),0.7)</f>
        <v>0.7</v>
      </c>
    </row>
    <row r="649" spans="2:10" x14ac:dyDescent="0.25">
      <c r="B649" s="3">
        <f>B648+DeltaT</f>
        <v>3160</v>
      </c>
      <c r="C649" s="13">
        <f t="shared" si="44"/>
        <v>52.666666666666664</v>
      </c>
      <c r="D649" s="11">
        <f t="shared" si="45"/>
        <v>925.85109925650374</v>
      </c>
      <c r="E649" s="23">
        <f t="shared" si="46"/>
        <v>920.15221912690276</v>
      </c>
      <c r="F649" s="23">
        <f>AlphaC*(D649-E649)</f>
        <v>142.47200324002449</v>
      </c>
      <c r="G649" s="13">
        <f>Phi*EpsilonF*Botzman/10^8*J649*((D649+273)^4-(E649+273)^4)</f>
        <v>1547.8484046654232</v>
      </c>
      <c r="H649" s="23">
        <f t="shared" si="47"/>
        <v>650</v>
      </c>
      <c r="I649" s="12">
        <f>ksh*Massivete/(H649*RhoA)*DeltaT*(F649+G649)</f>
        <v>0.24932267499371477</v>
      </c>
      <c r="J649" s="3">
        <f>IF(E649&lt;=500,IF(Galva=Oui,0.35,0.7),0.7)</f>
        <v>0.7</v>
      </c>
    </row>
    <row r="650" spans="2:10" x14ac:dyDescent="0.25">
      <c r="B650" s="3">
        <f>B649+DeltaT</f>
        <v>3165</v>
      </c>
      <c r="C650" s="13">
        <f t="shared" si="44"/>
        <v>52.75</v>
      </c>
      <c r="D650" s="11">
        <f t="shared" si="45"/>
        <v>926.0874267443894</v>
      </c>
      <c r="E650" s="23">
        <f t="shared" si="46"/>
        <v>920.40154180189643</v>
      </c>
      <c r="F650" s="23">
        <f>AlphaC*(D650-E650)</f>
        <v>142.1471235623244</v>
      </c>
      <c r="G650" s="13">
        <f>Phi*EpsilonF*Botzman/10^8*J650*((D650+273)^4-(E650+273)^4)</f>
        <v>1545.2596175965728</v>
      </c>
      <c r="H650" s="23">
        <f t="shared" si="47"/>
        <v>650</v>
      </c>
      <c r="I650" s="12">
        <f>ksh*Massivete/(H650*RhoA)*DeltaT*(F650+G650)</f>
        <v>0.24889290843354506</v>
      </c>
      <c r="J650" s="3">
        <f>IF(E650&lt;=500,IF(Galva=Oui,0.35,0.7),0.7)</f>
        <v>0.7</v>
      </c>
    </row>
    <row r="651" spans="2:10" x14ac:dyDescent="0.25">
      <c r="B651" s="3">
        <f>B650+DeltaT</f>
        <v>3170</v>
      </c>
      <c r="C651" s="13">
        <f t="shared" si="44"/>
        <v>52.833333333333336</v>
      </c>
      <c r="D651" s="11">
        <f t="shared" si="45"/>
        <v>926.32338206284919</v>
      </c>
      <c r="E651" s="23">
        <f t="shared" si="46"/>
        <v>920.65043471032993</v>
      </c>
      <c r="F651" s="23">
        <f>AlphaC*(D651-E651)</f>
        <v>141.82368381298147</v>
      </c>
      <c r="G651" s="13">
        <f>Phi*EpsilonF*Botzman/10^8*J651*((D651+273)^4-(E651+273)^4)</f>
        <v>1542.681023422979</v>
      </c>
      <c r="H651" s="23">
        <f t="shared" si="47"/>
        <v>650</v>
      </c>
      <c r="I651" s="12">
        <f>ksh*Massivete/(H651*RhoA)*DeltaT*(F651+G651)</f>
        <v>0.24846485771771323</v>
      </c>
      <c r="J651" s="3">
        <f>IF(E651&lt;=500,IF(Galva=Oui,0.35,0.7),0.7)</f>
        <v>0.7</v>
      </c>
    </row>
    <row r="652" spans="2:10" x14ac:dyDescent="0.25">
      <c r="B652" s="3">
        <f>B651+DeltaT</f>
        <v>3175</v>
      </c>
      <c r="C652" s="13">
        <f t="shared" si="44"/>
        <v>52.916666666666664</v>
      </c>
      <c r="D652" s="11">
        <f t="shared" si="45"/>
        <v>926.55896638222748</v>
      </c>
      <c r="E652" s="23">
        <f t="shared" si="46"/>
        <v>920.89889956804768</v>
      </c>
      <c r="F652" s="23">
        <f>AlphaC*(D652-E652)</f>
        <v>141.50167035449499</v>
      </c>
      <c r="G652" s="13">
        <f>Phi*EpsilonF*Botzman/10^8*J652*((D652+273)^4-(E652+273)^4)</f>
        <v>1540.1125140337817</v>
      </c>
      <c r="H652" s="23">
        <f t="shared" si="47"/>
        <v>650</v>
      </c>
      <c r="I652" s="12">
        <f>ksh*Massivete/(H652*RhoA)*DeltaT*(F652+G652)</f>
        <v>0.24803850488830617</v>
      </c>
      <c r="J652" s="3">
        <f>IF(E652&lt;=500,IF(Galva=Oui,0.35,0.7),0.7)</f>
        <v>0.7</v>
      </c>
    </row>
    <row r="653" spans="2:10" x14ac:dyDescent="0.25">
      <c r="B653" s="3">
        <f>B652+DeltaT</f>
        <v>3180</v>
      </c>
      <c r="C653" s="13">
        <f t="shared" si="44"/>
        <v>53</v>
      </c>
      <c r="D653" s="11">
        <f t="shared" si="45"/>
        <v>926.79418086735745</v>
      </c>
      <c r="E653" s="23">
        <f t="shared" si="46"/>
        <v>921.146938072936</v>
      </c>
      <c r="F653" s="23">
        <f>AlphaC*(D653-E653)</f>
        <v>141.18106986053647</v>
      </c>
      <c r="G653" s="13">
        <f>Phi*EpsilonF*Botzman/10^8*J653*((D653+273)^4-(E653+273)^4)</f>
        <v>1537.5539842082424</v>
      </c>
      <c r="H653" s="23">
        <f t="shared" si="47"/>
        <v>650</v>
      </c>
      <c r="I653" s="12">
        <f>ksh*Massivete/(H653*RhoA)*DeltaT*(F653+G653)</f>
        <v>0.24761383245960245</v>
      </c>
      <c r="J653" s="3">
        <f>IF(E653&lt;=500,IF(Galva=Oui,0.35,0.7),0.7)</f>
        <v>0.7</v>
      </c>
    </row>
    <row r="654" spans="2:10" x14ac:dyDescent="0.25">
      <c r="B654" s="3">
        <f>B653+DeltaT</f>
        <v>3185</v>
      </c>
      <c r="C654" s="13">
        <f t="shared" si="44"/>
        <v>53.083333333333336</v>
      </c>
      <c r="D654" s="11">
        <f t="shared" si="45"/>
        <v>927.02902667759452</v>
      </c>
      <c r="E654" s="23">
        <f t="shared" si="46"/>
        <v>921.39455190539559</v>
      </c>
      <c r="F654" s="23">
        <f>AlphaC*(D654-E654)</f>
        <v>140.8618693049732</v>
      </c>
      <c r="G654" s="13">
        <f>Phi*EpsilonF*Botzman/10^8*J654*((D654+273)^4-(E654+273)^4)</f>
        <v>1535.0053315088257</v>
      </c>
      <c r="H654" s="23">
        <f t="shared" si="47"/>
        <v>650</v>
      </c>
      <c r="I654" s="12">
        <f>ksh*Massivete/(H654*RhoA)*DeltaT*(F654+G654)</f>
        <v>0.24719082340068263</v>
      </c>
      <c r="J654" s="3">
        <f>IF(E654&lt;=500,IF(Galva=Oui,0.35,0.7),0.7)</f>
        <v>0.7</v>
      </c>
    </row>
    <row r="655" spans="2:10" x14ac:dyDescent="0.25">
      <c r="B655" s="3">
        <f>B654+DeltaT</f>
        <v>3190</v>
      </c>
      <c r="C655" s="13">
        <f t="shared" si="44"/>
        <v>53.166666666666664</v>
      </c>
      <c r="D655" s="11">
        <f t="shared" si="45"/>
        <v>927.263504966852</v>
      </c>
      <c r="E655" s="23">
        <f t="shared" si="46"/>
        <v>921.64174272879632</v>
      </c>
      <c r="F655" s="23">
        <f>AlphaC*(D655-E655)</f>
        <v>140.54405595139201</v>
      </c>
      <c r="G655" s="13">
        <f>Phi*EpsilonF*Botzman/10^8*J655*((D655+273)^4-(E655+273)^4)</f>
        <v>1532.4664561796294</v>
      </c>
      <c r="H655" s="23">
        <f t="shared" si="47"/>
        <v>650</v>
      </c>
      <c r="I655" s="12">
        <f>ksh*Massivete/(H655*RhoA)*DeltaT*(F655+G655)</f>
        <v>0.24676946111890261</v>
      </c>
      <c r="J655" s="3">
        <f>IF(E655&lt;=500,IF(Galva=Oui,0.35,0.7),0.7)</f>
        <v>0.7</v>
      </c>
    </row>
    <row r="656" spans="2:10" x14ac:dyDescent="0.25">
      <c r="B656" s="3">
        <f>B655+DeltaT</f>
        <v>3195</v>
      </c>
      <c r="C656" s="13">
        <f t="shared" si="44"/>
        <v>53.25</v>
      </c>
      <c r="D656" s="11">
        <f t="shared" si="45"/>
        <v>927.4976168836331</v>
      </c>
      <c r="E656" s="23">
        <f t="shared" si="46"/>
        <v>921.88851218991522</v>
      </c>
      <c r="F656" s="23">
        <f>AlphaC*(D656-E656)</f>
        <v>140.22761734294704</v>
      </c>
      <c r="G656" s="13">
        <f>Phi*EpsilonF*Botzman/10^8*J656*((D656+273)^4-(E656+273)^4)</f>
        <v>1529.9372610479541</v>
      </c>
      <c r="H656" s="23">
        <f t="shared" si="47"/>
        <v>650</v>
      </c>
      <c r="I656" s="12">
        <f>ksh*Massivete/(H656*RhoA)*DeltaT*(F656+G656)</f>
        <v>0.24634972944387756</v>
      </c>
      <c r="J656" s="3">
        <f>IF(E656&lt;=500,IF(Galva=Oui,0.35,0.7),0.7)</f>
        <v>0.7</v>
      </c>
    </row>
    <row r="657" spans="2:10" x14ac:dyDescent="0.25">
      <c r="B657" s="3">
        <f>B656+DeltaT</f>
        <v>3200</v>
      </c>
      <c r="C657" s="13">
        <f t="shared" si="44"/>
        <v>53.333333333333336</v>
      </c>
      <c r="D657" s="11">
        <f t="shared" si="45"/>
        <v>927.73136357106671</v>
      </c>
      <c r="E657" s="23">
        <f t="shared" si="46"/>
        <v>922.13486191935908</v>
      </c>
      <c r="F657" s="23">
        <f>AlphaC*(D657-E657)</f>
        <v>139.91254129269066</v>
      </c>
      <c r="G657" s="13">
        <f>Phi*EpsilonF*Botzman/10^8*J657*((D657+273)^4-(E657+273)^4)</f>
        <v>1527.417651429884</v>
      </c>
      <c r="H657" s="23">
        <f t="shared" si="47"/>
        <v>650</v>
      </c>
      <c r="I657" s="12">
        <f>ksh*Massivete/(H657*RhoA)*DeltaT*(F657+G657)</f>
        <v>0.24593161261212895</v>
      </c>
      <c r="J657" s="3">
        <f>IF(E657&lt;=500,IF(Galva=Oui,0.35,0.7),0.7)</f>
        <v>0.7</v>
      </c>
    </row>
    <row r="658" spans="2:10" x14ac:dyDescent="0.25">
      <c r="B658" s="3">
        <f>B657+DeltaT</f>
        <v>3205</v>
      </c>
      <c r="C658" s="13">
        <f t="shared" ref="C658:C721" si="48">B658/60</f>
        <v>53.416666666666664</v>
      </c>
      <c r="D658" s="11">
        <f t="shared" ref="D658:D721" si="49">20+345*LOG(8*C658+1,10)</f>
        <v>927.96474616693956</v>
      </c>
      <c r="E658" s="23">
        <f t="shared" si="46"/>
        <v>922.38079353197122</v>
      </c>
      <c r="F658" s="23">
        <f>AlphaC*(D658-E658)</f>
        <v>139.59881587420853</v>
      </c>
      <c r="G658" s="13">
        <f>Phi*EpsilonF*Botzman/10^8*J658*((D658+273)^4-(E658+273)^4)</f>
        <v>1524.9075350398614</v>
      </c>
      <c r="H658" s="23">
        <f t="shared" si="47"/>
        <v>650</v>
      </c>
      <c r="I658" s="12">
        <f>ksh*Massivete/(H658*RhoA)*DeltaT*(F658+G658)</f>
        <v>0.24551509525236523</v>
      </c>
      <c r="J658" s="3">
        <f>IF(E658&lt;=500,IF(Galva=Oui,0.35,0.7),0.7)</f>
        <v>0.7</v>
      </c>
    </row>
    <row r="659" spans="2:10" x14ac:dyDescent="0.25">
      <c r="B659" s="3">
        <f>B658+DeltaT</f>
        <v>3210</v>
      </c>
      <c r="C659" s="13">
        <f t="shared" si="48"/>
        <v>53.5</v>
      </c>
      <c r="D659" s="11">
        <f t="shared" si="49"/>
        <v>928.19776580372979</v>
      </c>
      <c r="E659" s="23">
        <f t="shared" si="46"/>
        <v>922.62630862722358</v>
      </c>
      <c r="F659" s="23">
        <f>AlphaC*(D659-E659)</f>
        <v>139.28642941265537</v>
      </c>
      <c r="G659" s="13">
        <f>Phi*EpsilonF*Botzman/10^8*J659*((D659+273)^4-(E659+273)^4)</f>
        <v>1522.4068219029621</v>
      </c>
      <c r="H659" s="23">
        <f t="shared" si="47"/>
        <v>650</v>
      </c>
      <c r="I659" s="12">
        <f>ksh*Massivete/(H659*RhoA)*DeltaT*(F659+G659)</f>
        <v>0.24510016237122051</v>
      </c>
      <c r="J659" s="3">
        <f>IF(E659&lt;=500,IF(Galva=Oui,0.35,0.7),0.7)</f>
        <v>0.7</v>
      </c>
    </row>
    <row r="660" spans="2:10" x14ac:dyDescent="0.25">
      <c r="B660" s="3">
        <f>B659+DeltaT</f>
        <v>3215</v>
      </c>
      <c r="C660" s="13">
        <f t="shared" si="48"/>
        <v>53.583333333333336</v>
      </c>
      <c r="D660" s="11">
        <f t="shared" si="49"/>
        <v>928.43042360864047</v>
      </c>
      <c r="E660" s="23">
        <f t="shared" si="46"/>
        <v>922.87140878959485</v>
      </c>
      <c r="F660" s="23">
        <f>AlphaC*(D660-E660)</f>
        <v>138.97537047614037</v>
      </c>
      <c r="G660" s="13">
        <f>Phi*EpsilonF*Botzman/10^8*J660*((D660+273)^4-(E660+273)^4)</f>
        <v>1519.915424271757</v>
      </c>
      <c r="H660" s="23">
        <f t="shared" si="47"/>
        <v>650</v>
      </c>
      <c r="I660" s="12">
        <f>ksh*Massivete/(H660*RhoA)*DeltaT*(F660+G660)</f>
        <v>0.24468679933972076</v>
      </c>
      <c r="J660" s="3">
        <f>IF(E660&lt;=500,IF(Galva=Oui,0.35,0.7),0.7)</f>
        <v>0.7</v>
      </c>
    </row>
    <row r="661" spans="2:10" x14ac:dyDescent="0.25">
      <c r="B661" s="3">
        <f>B660+DeltaT</f>
        <v>3220</v>
      </c>
      <c r="C661" s="13">
        <f t="shared" si="48"/>
        <v>53.666666666666664</v>
      </c>
      <c r="D661" s="11">
        <f t="shared" si="49"/>
        <v>928.66272070363129</v>
      </c>
      <c r="E661" s="23">
        <f t="shared" si="46"/>
        <v>923.11609558893463</v>
      </c>
      <c r="F661" s="23">
        <f>AlphaC*(D661-E661)</f>
        <v>138.66562786741667</v>
      </c>
      <c r="G661" s="13">
        <f>Phi*EpsilonF*Botzman/10^8*J661*((D661+273)^4-(E661+273)^4)</f>
        <v>1517.4332565453137</v>
      </c>
      <c r="H661" s="23">
        <f t="shared" si="47"/>
        <v>650</v>
      </c>
      <c r="I661" s="12">
        <f>ksh*Massivete/(H661*RhoA)*DeltaT*(F661+G661)</f>
        <v>0.24427499188011081</v>
      </c>
      <c r="J661" s="3">
        <f>IF(E661&lt;=500,IF(Galva=Oui,0.35,0.7),0.7)</f>
        <v>0.7</v>
      </c>
    </row>
    <row r="662" spans="2:10" x14ac:dyDescent="0.25">
      <c r="B662" s="3">
        <f>B661+DeltaT</f>
        <v>3225</v>
      </c>
      <c r="C662" s="13">
        <f t="shared" si="48"/>
        <v>53.75</v>
      </c>
      <c r="D662" s="11">
        <f t="shared" si="49"/>
        <v>928.89465820545217</v>
      </c>
      <c r="E662" s="23">
        <f t="shared" si="46"/>
        <v>923.36037058081479</v>
      </c>
      <c r="F662" s="23">
        <f>AlphaC*(D662-E662)</f>
        <v>138.35719061593466</v>
      </c>
      <c r="G662" s="13">
        <f>Phi*EpsilonF*Botzman/10^8*J662*((D662+273)^4-(E662+273)^4)</f>
        <v>1514.9602351918215</v>
      </c>
      <c r="H662" s="23">
        <f t="shared" si="47"/>
        <v>650</v>
      </c>
      <c r="I662" s="12">
        <f>ksh*Massivete/(H662*RhoA)*DeltaT*(F662+G662)</f>
        <v>0.24386472605326923</v>
      </c>
      <c r="J662" s="3">
        <f>IF(E662&lt;=500,IF(Galva=Oui,0.35,0.7),0.7)</f>
        <v>0.7</v>
      </c>
    </row>
    <row r="663" spans="2:10" x14ac:dyDescent="0.25">
      <c r="B663" s="3">
        <f>B662+DeltaT</f>
        <v>3230</v>
      </c>
      <c r="C663" s="13">
        <f t="shared" si="48"/>
        <v>53.833333333333336</v>
      </c>
      <c r="D663" s="11">
        <f t="shared" si="49"/>
        <v>929.1262372256748</v>
      </c>
      <c r="E663" s="23">
        <f t="shared" si="46"/>
        <v>923.60423530686808</v>
      </c>
      <c r="F663" s="23">
        <f>AlphaC*(D663-E663)</f>
        <v>138.05004797016807</v>
      </c>
      <c r="G663" s="13">
        <f>Phi*EpsilonF*Botzman/10^8*J663*((D663+273)^4-(E663+273)^4)</f>
        <v>1512.4962786743479</v>
      </c>
      <c r="H663" s="23">
        <f t="shared" si="47"/>
        <v>650</v>
      </c>
      <c r="I663" s="12">
        <f>ksh*Massivete/(H663*RhoA)*DeltaT*(F663+G663)</f>
        <v>0.24345598824662582</v>
      </c>
      <c r="J663" s="3">
        <f>IF(E663&lt;=500,IF(Galva=Oui,0.35,0.7),0.7)</f>
        <v>0.7</v>
      </c>
    </row>
    <row r="664" spans="2:10" x14ac:dyDescent="0.25">
      <c r="B664" s="3">
        <f>B663+DeltaT</f>
        <v>3235</v>
      </c>
      <c r="C664" s="13">
        <f t="shared" si="48"/>
        <v>53.916666666666664</v>
      </c>
      <c r="D664" s="11">
        <f t="shared" si="49"/>
        <v>929.35745887072392</v>
      </c>
      <c r="E664" s="23">
        <f t="shared" si="46"/>
        <v>923.84769129511471</v>
      </c>
      <c r="F664" s="23">
        <f>AlphaC*(D664-E664)</f>
        <v>137.74418939023008</v>
      </c>
      <c r="G664" s="13">
        <f>Phi*EpsilonF*Botzman/10^8*J664*((D664+273)^4-(E664+273)^4)</f>
        <v>1510.0413073789587</v>
      </c>
      <c r="H664" s="23">
        <f t="shared" si="47"/>
        <v>650</v>
      </c>
      <c r="I664" s="12">
        <f>ksh*Massivete/(H664*RhoA)*DeltaT*(F664+G664)</f>
        <v>0.24304876516246979</v>
      </c>
      <c r="J664" s="3">
        <f>IF(E664&lt;=500,IF(Galva=Oui,0.35,0.7),0.7)</f>
        <v>0.7</v>
      </c>
    </row>
    <row r="665" spans="2:10" x14ac:dyDescent="0.25">
      <c r="B665" s="3">
        <f>B664+DeltaT</f>
        <v>3240</v>
      </c>
      <c r="C665" s="13">
        <f t="shared" si="48"/>
        <v>54</v>
      </c>
      <c r="D665" s="11">
        <f t="shared" si="49"/>
        <v>929.58832424191098</v>
      </c>
      <c r="E665" s="23">
        <f t="shared" si="46"/>
        <v>924.0907400602772</v>
      </c>
      <c r="F665" s="23">
        <f>AlphaC*(D665-E665)</f>
        <v>137.43960454084458</v>
      </c>
      <c r="G665" s="13">
        <f>Phi*EpsilonF*Botzman/10^8*J665*((D665+273)^4-(E665+273)^4)</f>
        <v>1507.5952435461991</v>
      </c>
      <c r="H665" s="23">
        <f t="shared" si="47"/>
        <v>650</v>
      </c>
      <c r="I665" s="12">
        <f>ksh*Massivete/(H665*RhoA)*DeltaT*(F665+G665)</f>
        <v>0.24264304380680671</v>
      </c>
      <c r="J665" s="3">
        <f>IF(E665&lt;=500,IF(Galva=Oui,0.35,0.7),0.7)</f>
        <v>0.7</v>
      </c>
    </row>
    <row r="666" spans="2:10" x14ac:dyDescent="0.25">
      <c r="B666" s="3">
        <f>B665+DeltaT</f>
        <v>3245</v>
      </c>
      <c r="C666" s="13">
        <f t="shared" si="48"/>
        <v>54.083333333333336</v>
      </c>
      <c r="D666" s="11">
        <f t="shared" si="49"/>
        <v>929.81883443546371</v>
      </c>
      <c r="E666" s="23">
        <f t="shared" si="46"/>
        <v>924.33338310408396</v>
      </c>
      <c r="F666" s="23">
        <f>AlphaC*(D666-E666)</f>
        <v>137.13628328449374</v>
      </c>
      <c r="G666" s="13">
        <f>Phi*EpsilonF*Botzman/10^8*J666*((D666+273)^4-(E666+273)^4)</f>
        <v>1505.158011205117</v>
      </c>
      <c r="H666" s="23">
        <f t="shared" si="47"/>
        <v>650</v>
      </c>
      <c r="I666" s="12">
        <f>ksh*Massivete/(H666*RhoA)*DeltaT*(F666+G666)</f>
        <v>0.24223881147861617</v>
      </c>
      <c r="J666" s="3">
        <f>IF(E666&lt;=500,IF(Galva=Oui,0.35,0.7),0.7)</f>
        <v>0.7</v>
      </c>
    </row>
    <row r="667" spans="2:10" x14ac:dyDescent="0.25">
      <c r="B667" s="3">
        <f>B666+DeltaT</f>
        <v>3250</v>
      </c>
      <c r="C667" s="13">
        <f t="shared" si="48"/>
        <v>54.166666666666664</v>
      </c>
      <c r="D667" s="11">
        <f t="shared" si="49"/>
        <v>930.04899054255793</v>
      </c>
      <c r="E667" s="23">
        <f t="shared" si="46"/>
        <v>924.57562191556258</v>
      </c>
      <c r="F667" s="23">
        <f>AlphaC*(D667-E667)</f>
        <v>136.83421567488381</v>
      </c>
      <c r="G667" s="13">
        <f>Phi*EpsilonF*Botzman/10^8*J667*((D667+273)^4-(E667+273)^4)</f>
        <v>1502.7295361090651</v>
      </c>
      <c r="H667" s="23">
        <f t="shared" si="47"/>
        <v>650</v>
      </c>
      <c r="I667" s="12">
        <f>ksh*Massivete/(H667*RhoA)*DeltaT*(F667+G667)</f>
        <v>0.24183605575941866</v>
      </c>
      <c r="J667" s="3">
        <f>IF(E667&lt;=500,IF(Galva=Oui,0.35,0.7),0.7)</f>
        <v>0.7</v>
      </c>
    </row>
    <row r="668" spans="2:10" x14ac:dyDescent="0.25">
      <c r="B668" s="3">
        <f>B667+DeltaT</f>
        <v>3255</v>
      </c>
      <c r="C668" s="13">
        <f t="shared" si="48"/>
        <v>54.25</v>
      </c>
      <c r="D668" s="11">
        <f t="shared" si="49"/>
        <v>930.27879364934972</v>
      </c>
      <c r="E668" s="23">
        <f t="shared" si="46"/>
        <v>924.81745797132203</v>
      </c>
      <c r="F668" s="23">
        <f>AlphaC*(D668-E668)</f>
        <v>136.53339195069236</v>
      </c>
      <c r="G668" s="13">
        <f>Phi*EpsilonF*Botzman/10^8*J668*((D668+273)^4-(E668+273)^4)</f>
        <v>1500.3097456754501</v>
      </c>
      <c r="H668" s="23">
        <f t="shared" si="47"/>
        <v>650</v>
      </c>
      <c r="I668" s="12">
        <f>ksh*Massivete/(H668*RhoA)*DeltaT*(F668+G668)</f>
        <v>0.2414347645034664</v>
      </c>
      <c r="J668" s="3">
        <f>IF(E668&lt;=500,IF(Galva=Oui,0.35,0.7),0.7)</f>
        <v>0.7</v>
      </c>
    </row>
    <row r="669" spans="2:10" x14ac:dyDescent="0.25">
      <c r="B669" s="3">
        <f>B668+DeltaT</f>
        <v>3260</v>
      </c>
      <c r="C669" s="13">
        <f t="shared" si="48"/>
        <v>54.333333333333336</v>
      </c>
      <c r="D669" s="11">
        <f t="shared" si="49"/>
        <v>930.50824483700433</v>
      </c>
      <c r="E669" s="23">
        <f t="shared" si="46"/>
        <v>925.05889273582545</v>
      </c>
      <c r="F669" s="23">
        <f>AlphaC*(D669-E669)</f>
        <v>136.23380252947186</v>
      </c>
      <c r="G669" s="13">
        <f>Phi*EpsilonF*Botzman/10^8*J669*((D669+273)^4-(E669+273)^4)</f>
        <v>1497.8985689267208</v>
      </c>
      <c r="H669" s="23">
        <f t="shared" si="47"/>
        <v>650</v>
      </c>
      <c r="I669" s="12">
        <f>ksh*Massivete/(H669*RhoA)*DeltaT*(F669+G669)</f>
        <v>0.24103492582813987</v>
      </c>
      <c r="J669" s="3">
        <f>IF(E669&lt;=500,IF(Galva=Oui,0.35,0.7),0.7)</f>
        <v>0.7</v>
      </c>
    </row>
    <row r="670" spans="2:10" x14ac:dyDescent="0.25">
      <c r="B670" s="3">
        <f>B669+DeltaT</f>
        <v>3265</v>
      </c>
      <c r="C670" s="13">
        <f t="shared" si="48"/>
        <v>54.416666666666664</v>
      </c>
      <c r="D670" s="11">
        <f t="shared" si="49"/>
        <v>930.73734518172716</v>
      </c>
      <c r="E670" s="23">
        <f t="shared" si="46"/>
        <v>925.29992766165356</v>
      </c>
      <c r="F670" s="23">
        <f>AlphaC*(D670-E670)</f>
        <v>135.93543800184023</v>
      </c>
      <c r="G670" s="13">
        <f>Phi*EpsilonF*Botzman/10^8*J670*((D670+273)^4-(E670+273)^4)</f>
        <v>1495.4959364331291</v>
      </c>
      <c r="H670" s="23">
        <f t="shared" si="47"/>
        <v>650</v>
      </c>
      <c r="I670" s="12">
        <f>ksh*Massivete/(H670*RhoA)*DeltaT*(F670+G670)</f>
        <v>0.24063652810464795</v>
      </c>
      <c r="J670" s="3">
        <f>IF(E670&lt;=500,IF(Galva=Oui,0.35,0.7),0.7)</f>
        <v>0.7</v>
      </c>
    </row>
    <row r="671" spans="2:10" x14ac:dyDescent="0.25">
      <c r="B671" s="3">
        <f>B670+DeltaT</f>
        <v>3270</v>
      </c>
      <c r="C671" s="13">
        <f t="shared" si="48"/>
        <v>54.5</v>
      </c>
      <c r="D671" s="11">
        <f t="shared" si="49"/>
        <v>930.96609575479545</v>
      </c>
      <c r="E671" s="23">
        <f t="shared" si="46"/>
        <v>925.54056418975824</v>
      </c>
      <c r="F671" s="23">
        <f>AlphaC*(D671-E671)</f>
        <v>135.6382891259301</v>
      </c>
      <c r="G671" s="13">
        <f>Phi*EpsilonF*Botzman/10^8*J671*((D671+273)^4-(E671+273)^4)</f>
        <v>1493.101780260143</v>
      </c>
      <c r="H671" s="23">
        <f t="shared" si="47"/>
        <v>650</v>
      </c>
      <c r="I671" s="12">
        <f>ksh*Massivete/(H671*RhoA)*DeltaT*(F671+G671)</f>
        <v>0.24023955994945284</v>
      </c>
      <c r="J671" s="3">
        <f>IF(E671&lt;=500,IF(Galva=Oui,0.35,0.7),0.7)</f>
        <v>0.7</v>
      </c>
    </row>
    <row r="672" spans="2:10" x14ac:dyDescent="0.25">
      <c r="B672" s="3">
        <f>B671+DeltaT</f>
        <v>3275</v>
      </c>
      <c r="C672" s="13">
        <f t="shared" si="48"/>
        <v>54.583333333333336</v>
      </c>
      <c r="D672" s="11">
        <f t="shared" si="49"/>
        <v>931.19449762258682</v>
      </c>
      <c r="E672" s="23">
        <f t="shared" si="46"/>
        <v>925.78080374970773</v>
      </c>
      <c r="F672" s="23">
        <f>AlphaC*(D672-E672)</f>
        <v>135.34234682197734</v>
      </c>
      <c r="G672" s="13">
        <f>Phi*EpsilonF*Botzman/10^8*J672*((D672+273)^4-(E672+273)^4)</f>
        <v>1490.7160339148809</v>
      </c>
      <c r="H672" s="23">
        <f t="shared" si="47"/>
        <v>650</v>
      </c>
      <c r="I672" s="12">
        <f>ksh*Massivete/(H672*RhoA)*DeltaT*(F672+G672)</f>
        <v>0.2398440102155707</v>
      </c>
      <c r="J672" s="3">
        <f>IF(E672&lt;=500,IF(Galva=Oui,0.35,0.7),0.7)</f>
        <v>0.7</v>
      </c>
    </row>
    <row r="673" spans="2:10" x14ac:dyDescent="0.25">
      <c r="B673" s="3">
        <f>B672+DeltaT</f>
        <v>3280</v>
      </c>
      <c r="C673" s="13">
        <f t="shared" si="48"/>
        <v>54.666666666666664</v>
      </c>
      <c r="D673" s="11">
        <f t="shared" si="49"/>
        <v>931.42255184660939</v>
      </c>
      <c r="E673" s="23">
        <f t="shared" si="46"/>
        <v>926.02064775992335</v>
      </c>
      <c r="F673" s="23">
        <f>AlphaC*(D673-E673)</f>
        <v>135.04760216715113</v>
      </c>
      <c r="G673" s="13">
        <f>Phi*EpsilonF*Botzman/10^8*J673*((D673+273)^4-(E673+273)^4)</f>
        <v>1488.3386322963722</v>
      </c>
      <c r="H673" s="23">
        <f t="shared" si="47"/>
        <v>650</v>
      </c>
      <c r="I673" s="12">
        <f>ksh*Massivete/(H673*RhoA)*DeltaT*(F673+G673)</f>
        <v>0.23944986798447268</v>
      </c>
      <c r="J673" s="3">
        <f>IF(E673&lt;=500,IF(Galva=Oui,0.35,0.7),0.7)</f>
        <v>0.7</v>
      </c>
    </row>
    <row r="674" spans="2:10" x14ac:dyDescent="0.25">
      <c r="B674" s="3">
        <f>B673+DeltaT</f>
        <v>3285</v>
      </c>
      <c r="C674" s="13">
        <f t="shared" si="48"/>
        <v>54.75</v>
      </c>
      <c r="D674" s="11">
        <f t="shared" si="49"/>
        <v>931.65025948353184</v>
      </c>
      <c r="E674" s="23">
        <f t="shared" si="46"/>
        <v>926.26009762790784</v>
      </c>
      <c r="F674" s="23">
        <f>AlphaC*(D674-E674)</f>
        <v>134.75404639060002</v>
      </c>
      <c r="G674" s="13">
        <f>Phi*EpsilonF*Botzman/10^8*J674*((D674+273)^4-(E674+273)^4)</f>
        <v>1485.9695116477778</v>
      </c>
      <c r="H674" s="23">
        <f t="shared" si="47"/>
        <v>650</v>
      </c>
      <c r="I674" s="12">
        <f>ksh*Massivete/(H674*RhoA)*DeltaT*(F674+G674)</f>
        <v>0.23905712255830666</v>
      </c>
      <c r="J674" s="3">
        <f>IF(E674&lt;=500,IF(Galva=Oui,0.35,0.7),0.7)</f>
        <v>0.7</v>
      </c>
    </row>
    <row r="675" spans="2:10" x14ac:dyDescent="0.25">
      <c r="B675" s="3">
        <f>B674+DeltaT</f>
        <v>3290</v>
      </c>
      <c r="C675" s="13">
        <f t="shared" si="48"/>
        <v>54.833333333333336</v>
      </c>
      <c r="D675" s="11">
        <f t="shared" si="49"/>
        <v>931.87762158521241</v>
      </c>
      <c r="E675" s="23">
        <f t="shared" si="46"/>
        <v>926.49915475046612</v>
      </c>
      <c r="F675" s="23">
        <f>AlphaC*(D675-E675)</f>
        <v>134.46167086865728</v>
      </c>
      <c r="G675" s="13">
        <f>Phi*EpsilonF*Botzman/10^8*J675*((D675+273)^4-(E675+273)^4)</f>
        <v>1483.6086095093146</v>
      </c>
      <c r="H675" s="23">
        <f t="shared" si="47"/>
        <v>650</v>
      </c>
      <c r="I675" s="12">
        <f>ksh*Massivete/(H675*RhoA)*DeltaT*(F675+G675)</f>
        <v>0.23866576345224627</v>
      </c>
      <c r="J675" s="3">
        <f>IF(E675&lt;=500,IF(Galva=Oui,0.35,0.7),0.7)</f>
        <v>0.7</v>
      </c>
    </row>
    <row r="676" spans="2:10" x14ac:dyDescent="0.25">
      <c r="B676" s="3">
        <f>B675+DeltaT</f>
        <v>3295</v>
      </c>
      <c r="C676" s="13">
        <f t="shared" si="48"/>
        <v>54.916666666666664</v>
      </c>
      <c r="D676" s="11">
        <f t="shared" si="49"/>
        <v>932.10463919872814</v>
      </c>
      <c r="E676" s="23">
        <f t="shared" si="46"/>
        <v>926.73782051391834</v>
      </c>
      <c r="F676" s="23">
        <f>AlphaC*(D676-E676)</f>
        <v>134.17046712024501</v>
      </c>
      <c r="G676" s="13">
        <f>Phi*EpsilonF*Botzman/10^8*J676*((D676+273)^4-(E676+273)^4)</f>
        <v>1481.2558646745356</v>
      </c>
      <c r="H676" s="23">
        <f t="shared" si="47"/>
        <v>650</v>
      </c>
      <c r="I676" s="12">
        <f>ksh*Massivete/(H676*RhoA)*DeltaT*(F676+G676)</f>
        <v>0.23827578038736458</v>
      </c>
      <c r="J676" s="3">
        <f>IF(E676&lt;=500,IF(Galva=Oui,0.35,0.7),0.7)</f>
        <v>0.7</v>
      </c>
    </row>
    <row r="677" spans="2:10" x14ac:dyDescent="0.25">
      <c r="B677" s="3">
        <f>B676+DeltaT</f>
        <v>3300</v>
      </c>
      <c r="C677" s="13">
        <f t="shared" si="48"/>
        <v>55</v>
      </c>
      <c r="D677" s="11">
        <f t="shared" si="49"/>
        <v>932.33131336640417</v>
      </c>
      <c r="E677" s="23">
        <f t="shared" si="46"/>
        <v>926.97609629430565</v>
      </c>
      <c r="F677" s="23">
        <f>AlphaC*(D677-E677)</f>
        <v>133.88042680246315</v>
      </c>
      <c r="G677" s="13">
        <f>Phi*EpsilonF*Botzman/10^8*J677*((D677+273)^4-(E677+273)^4)</f>
        <v>1478.9112171472768</v>
      </c>
      <c r="H677" s="23">
        <f t="shared" si="47"/>
        <v>650</v>
      </c>
      <c r="I677" s="12">
        <f>ksh*Massivete/(H677*RhoA)*DeltaT*(F677+G677)</f>
        <v>0.23788716328363274</v>
      </c>
      <c r="J677" s="3">
        <f>IF(E677&lt;=500,IF(Galva=Oui,0.35,0.7),0.7)</f>
        <v>0.7</v>
      </c>
    </row>
    <row r="678" spans="2:10" x14ac:dyDescent="0.25">
      <c r="B678" s="3">
        <f>B677+DeltaT</f>
        <v>3305</v>
      </c>
      <c r="C678" s="13">
        <f t="shared" si="48"/>
        <v>55.083333333333336</v>
      </c>
      <c r="D678" s="11">
        <f t="shared" si="49"/>
        <v>932.55764512584142</v>
      </c>
      <c r="E678" s="23">
        <f t="shared" si="46"/>
        <v>927.21398345758928</v>
      </c>
      <c r="F678" s="23">
        <f>AlphaC*(D678-E678)</f>
        <v>133.59154170630347</v>
      </c>
      <c r="G678" s="13">
        <f>Phi*EpsilonF*Botzman/10^8*J678*((D678+273)^4-(E678+273)^4)</f>
        <v>1476.5746080997881</v>
      </c>
      <c r="H678" s="23">
        <f t="shared" si="47"/>
        <v>650</v>
      </c>
      <c r="I678" s="12">
        <f>ksh*Massivete/(H678*RhoA)*DeltaT*(F678+G678)</f>
        <v>0.2374999022531126</v>
      </c>
      <c r="J678" s="3">
        <f>IF(E678&lt;=500,IF(Galva=Oui,0.35,0.7),0.7)</f>
        <v>0.7</v>
      </c>
    </row>
    <row r="679" spans="2:10" x14ac:dyDescent="0.25">
      <c r="B679" s="3">
        <f>B678+DeltaT</f>
        <v>3310</v>
      </c>
      <c r="C679" s="13">
        <f t="shared" si="48"/>
        <v>55.166666666666664</v>
      </c>
      <c r="D679" s="11">
        <f t="shared" si="49"/>
        <v>932.78363550994663</v>
      </c>
      <c r="E679" s="23">
        <f t="shared" si="46"/>
        <v>927.45148335984243</v>
      </c>
      <c r="F679" s="23">
        <f>AlphaC*(D679-E679)</f>
        <v>133.30380375260518</v>
      </c>
      <c r="G679" s="13">
        <f>Phi*EpsilonF*Botzman/10^8*J679*((D679+273)^4-(E679+273)^4)</f>
        <v>1474.2459798343693</v>
      </c>
      <c r="H679" s="23">
        <f t="shared" si="47"/>
        <v>650</v>
      </c>
      <c r="I679" s="12">
        <f>ksh*Massivete/(H679*RhoA)*DeltaT*(F679+G679)</f>
        <v>0.23711398759370092</v>
      </c>
      <c r="J679" s="3">
        <f>IF(E679&lt;=500,IF(Galva=Oui,0.35,0.7),0.7)</f>
        <v>0.7</v>
      </c>
    </row>
    <row r="680" spans="2:10" x14ac:dyDescent="0.25">
      <c r="B680" s="3">
        <f>B679+DeltaT</f>
        <v>3315</v>
      </c>
      <c r="C680" s="13">
        <f t="shared" si="48"/>
        <v>55.25</v>
      </c>
      <c r="D680" s="11">
        <f t="shared" si="49"/>
        <v>933.00928554695895</v>
      </c>
      <c r="E680" s="23">
        <f t="shared" si="46"/>
        <v>927.68859734743614</v>
      </c>
      <c r="F680" s="23">
        <f>AlphaC*(D680-E680)</f>
        <v>133.01720498807015</v>
      </c>
      <c r="G680" s="13">
        <f>Phi*EpsilonF*Botzman/10^8*J680*((D680+273)^4-(E680+273)^4)</f>
        <v>1471.9252757443207</v>
      </c>
      <c r="H680" s="23">
        <f t="shared" si="47"/>
        <v>650</v>
      </c>
      <c r="I680" s="12">
        <f>ksh*Massivete/(H680*RhoA)*DeltaT*(F680+G680)</f>
        <v>0.23672940978278215</v>
      </c>
      <c r="J680" s="3">
        <f>IF(E680&lt;=500,IF(Galva=Oui,0.35,0.7),0.7)</f>
        <v>0.7</v>
      </c>
    </row>
    <row r="681" spans="2:10" x14ac:dyDescent="0.25">
      <c r="B681" s="3">
        <f>B680+DeltaT</f>
        <v>3320</v>
      </c>
      <c r="C681" s="13">
        <f t="shared" si="48"/>
        <v>55.333333333333336</v>
      </c>
      <c r="D681" s="11">
        <f t="shared" si="49"/>
        <v>933.23459626047929</v>
      </c>
      <c r="E681" s="23">
        <f t="shared" si="46"/>
        <v>927.92532675721895</v>
      </c>
      <c r="F681" s="23">
        <f>AlphaC*(D681-E681)</f>
        <v>132.73173758150847</v>
      </c>
      <c r="G681" s="13">
        <f>Phi*EpsilonF*Botzman/10^8*J681*((D681+273)^4-(E681+273)^4)</f>
        <v>1469.6124402781775</v>
      </c>
      <c r="H681" s="23">
        <f t="shared" si="47"/>
        <v>650</v>
      </c>
      <c r="I681" s="12">
        <f>ksh*Massivete/(H681*RhoA)*DeltaT*(F681+G681)</f>
        <v>0.23634615947139925</v>
      </c>
      <c r="J681" s="3">
        <f>IF(E681&lt;=500,IF(Galva=Oui,0.35,0.7),0.7)</f>
        <v>0.7</v>
      </c>
    </row>
    <row r="682" spans="2:10" x14ac:dyDescent="0.25">
      <c r="B682" s="3">
        <f>B681+DeltaT</f>
        <v>3325</v>
      </c>
      <c r="C682" s="13">
        <f t="shared" si="48"/>
        <v>55.416666666666664</v>
      </c>
      <c r="D682" s="11">
        <f t="shared" si="49"/>
        <v>933.4595686694978</v>
      </c>
      <c r="E682" s="23">
        <f t="shared" si="46"/>
        <v>928.16167291669035</v>
      </c>
      <c r="F682" s="23">
        <f>AlphaC*(D682-E682)</f>
        <v>132.44739382018622</v>
      </c>
      <c r="G682" s="13">
        <f>Phi*EpsilonF*Botzman/10^8*J682*((D682+273)^4-(E682+273)^4)</f>
        <v>1467.3074189039821</v>
      </c>
      <c r="H682" s="23">
        <f t="shared" si="47"/>
        <v>650</v>
      </c>
      <c r="I682" s="12">
        <f>ksh*Massivete/(H682*RhoA)*DeltaT*(F682+G682)</f>
        <v>0.23596422747844495</v>
      </c>
      <c r="J682" s="3">
        <f>IF(E682&lt;=500,IF(Galva=Oui,0.35,0.7),0.7)</f>
        <v>0.7</v>
      </c>
    </row>
    <row r="683" spans="2:10" x14ac:dyDescent="0.25">
      <c r="B683" s="3">
        <f>B682+DeltaT</f>
        <v>3330</v>
      </c>
      <c r="C683" s="13">
        <f t="shared" si="48"/>
        <v>55.5</v>
      </c>
      <c r="D683" s="11">
        <f t="shared" si="49"/>
        <v>933.6842037884212</v>
      </c>
      <c r="E683" s="23">
        <f t="shared" si="46"/>
        <v>928.39763714416881</v>
      </c>
      <c r="F683" s="23">
        <f>AlphaC*(D683-E683)</f>
        <v>132.16416610630972</v>
      </c>
      <c r="G683" s="13">
        <f>Phi*EpsilonF*Botzman/10^8*J683*((D683+273)^4-(E683+273)^4)</f>
        <v>1465.0101580755932</v>
      </c>
      <c r="H683" s="23">
        <f t="shared" si="47"/>
        <v>650</v>
      </c>
      <c r="I683" s="12">
        <f>ksh*Massivete/(H683*RhoA)*DeltaT*(F683+G683)</f>
        <v>0.23558360478517371</v>
      </c>
      <c r="J683" s="3">
        <f>IF(E683&lt;=500,IF(Galva=Oui,0.35,0.7),0.7)</f>
        <v>0.7</v>
      </c>
    </row>
    <row r="684" spans="2:10" x14ac:dyDescent="0.25">
      <c r="B684" s="3">
        <f>B683+DeltaT</f>
        <v>3335</v>
      </c>
      <c r="C684" s="13">
        <f t="shared" si="48"/>
        <v>55.583333333333336</v>
      </c>
      <c r="D684" s="11">
        <f t="shared" si="49"/>
        <v>933.90850262710092</v>
      </c>
      <c r="E684" s="23">
        <f t="shared" si="46"/>
        <v>928.63322074895393</v>
      </c>
      <c r="F684" s="23">
        <f>AlphaC*(D684-E684)</f>
        <v>131.8820469536746</v>
      </c>
      <c r="G684" s="13">
        <f>Phi*EpsilonF*Botzman/10^8*J684*((D684+273)^4-(E684+273)^4)</f>
        <v>1462.7206052006602</v>
      </c>
      <c r="H684" s="23">
        <f t="shared" si="47"/>
        <v>650</v>
      </c>
      <c r="I684" s="12">
        <f>ksh*Massivete/(H684*RhoA)*DeltaT*(F684+G684)</f>
        <v>0.23520428252998407</v>
      </c>
      <c r="J684" s="3">
        <f>IF(E684&lt;=500,IF(Galva=Oui,0.35,0.7),0.7)</f>
        <v>0.7</v>
      </c>
    </row>
    <row r="685" spans="2:10" x14ac:dyDescent="0.25">
      <c r="B685" s="3">
        <f>B684+DeltaT</f>
        <v>3340</v>
      </c>
      <c r="C685" s="13">
        <f t="shared" si="48"/>
        <v>55.666666666666664</v>
      </c>
      <c r="D685" s="11">
        <f t="shared" si="49"/>
        <v>934.13246619085953</v>
      </c>
      <c r="E685" s="23">
        <f t="shared" si="46"/>
        <v>928.86842503148387</v>
      </c>
      <c r="F685" s="23">
        <f>AlphaC*(D685-E685)</f>
        <v>131.60102898439163</v>
      </c>
      <c r="G685" s="13">
        <f>Phi*EpsilonF*Botzman/10^8*J685*((D685+273)^4-(E685+273)^4)</f>
        <v>1460.4387086088104</v>
      </c>
      <c r="H685" s="23">
        <f t="shared" si="47"/>
        <v>650</v>
      </c>
      <c r="I685" s="12">
        <f>ksh*Massivete/(H685*RhoA)*DeltaT*(F685+G685)</f>
        <v>0.23482625200324284</v>
      </c>
      <c r="J685" s="3">
        <f>IF(E685&lt;=500,IF(Galva=Oui,0.35,0.7),0.7)</f>
        <v>0.7</v>
      </c>
    </row>
    <row r="686" spans="2:10" x14ac:dyDescent="0.25">
      <c r="B686" s="3">
        <f>B685+DeltaT</f>
        <v>3345</v>
      </c>
      <c r="C686" s="13">
        <f t="shared" si="48"/>
        <v>55.75</v>
      </c>
      <c r="D686" s="11">
        <f t="shared" si="49"/>
        <v>934.35609548051798</v>
      </c>
      <c r="E686" s="23">
        <f t="shared" si="46"/>
        <v>929.10325128348711</v>
      </c>
      <c r="F686" s="23">
        <f>AlphaC*(D686-E686)</f>
        <v>131.32110492577169</v>
      </c>
      <c r="G686" s="13">
        <f>Phi*EpsilonF*Botzman/10^8*J686*((D686+273)^4-(E686+273)^4)</f>
        <v>1458.1644175215924</v>
      </c>
      <c r="H686" s="23">
        <f t="shared" si="47"/>
        <v>650</v>
      </c>
      <c r="I686" s="12">
        <f>ksh*Massivete/(H686*RhoA)*DeltaT*(F686+G686)</f>
        <v>0.2344495046423925</v>
      </c>
      <c r="J686" s="3">
        <f>IF(E686&lt;=500,IF(Galva=Oui,0.35,0.7),0.7)</f>
        <v>0.7</v>
      </c>
    </row>
    <row r="687" spans="2:10" x14ac:dyDescent="0.25">
      <c r="B687" s="3">
        <f>B686+DeltaT</f>
        <v>3350</v>
      </c>
      <c r="C687" s="13">
        <f t="shared" si="48"/>
        <v>55.833333333333336</v>
      </c>
      <c r="D687" s="11">
        <f t="shared" si="49"/>
        <v>934.57939149242304</v>
      </c>
      <c r="E687" s="23">
        <f t="shared" si="46"/>
        <v>929.3377007881295</v>
      </c>
      <c r="F687" s="23">
        <f>AlphaC*(D687-E687)</f>
        <v>131.04226760733866</v>
      </c>
      <c r="G687" s="13">
        <f>Phi*EpsilonF*Botzman/10^8*J687*((D687+273)^4-(E687+273)^4)</f>
        <v>1455.8976820242476</v>
      </c>
      <c r="H687" s="23">
        <f t="shared" si="47"/>
        <v>650</v>
      </c>
      <c r="I687" s="12">
        <f>ksh*Massivete/(H687*RhoA)*DeltaT*(F687+G687)</f>
        <v>0.23407403202734706</v>
      </c>
      <c r="J687" s="3">
        <f>IF(E687&lt;=500,IF(Galva=Oui,0.35,0.7),0.7)</f>
        <v>0.7</v>
      </c>
    </row>
    <row r="688" spans="2:10" x14ac:dyDescent="0.25">
      <c r="B688" s="3">
        <f>B687+DeltaT</f>
        <v>3355</v>
      </c>
      <c r="C688" s="13">
        <f t="shared" si="48"/>
        <v>55.916666666666664</v>
      </c>
      <c r="D688" s="11">
        <f t="shared" si="49"/>
        <v>934.80235521847362</v>
      </c>
      <c r="E688" s="23">
        <f t="shared" si="46"/>
        <v>929.57177482015686</v>
      </c>
      <c r="F688" s="23">
        <f>AlphaC*(D688-E688)</f>
        <v>130.76450995791902</v>
      </c>
      <c r="G688" s="13">
        <f>Phi*EpsilonF*Botzman/10^8*J688*((D688+273)^4-(E688+273)^4)</f>
        <v>1453.6384530374846</v>
      </c>
      <c r="H688" s="23">
        <f t="shared" si="47"/>
        <v>650</v>
      </c>
      <c r="I688" s="12">
        <f>ksh*Massivete/(H688*RhoA)*DeltaT*(F688+G688)</f>
        <v>0.23369982587589902</v>
      </c>
      <c r="J688" s="3">
        <f>IF(E688&lt;=500,IF(Galva=Oui,0.35,0.7),0.7)</f>
        <v>0.7</v>
      </c>
    </row>
    <row r="689" spans="2:10" x14ac:dyDescent="0.25">
      <c r="B689" s="3">
        <f>B688+DeltaT</f>
        <v>3360</v>
      </c>
      <c r="C689" s="13">
        <f t="shared" si="48"/>
        <v>56</v>
      </c>
      <c r="D689" s="11">
        <f t="shared" si="49"/>
        <v>935.02498764614654</v>
      </c>
      <c r="E689" s="23">
        <f t="shared" si="46"/>
        <v>929.80547464603274</v>
      </c>
      <c r="F689" s="23">
        <f>AlphaC*(D689-E689)</f>
        <v>130.48782500284517</v>
      </c>
      <c r="G689" s="13">
        <f>Phi*EpsilonF*Botzman/10^8*J689*((D689+273)^4-(E689+273)^4)</f>
        <v>1451.3866822905015</v>
      </c>
      <c r="H689" s="23">
        <f t="shared" si="47"/>
        <v>650</v>
      </c>
      <c r="I689" s="12">
        <f>ksh*Massivete/(H689*RhoA)*DeltaT*(F689+G689)</f>
        <v>0.23332687803932811</v>
      </c>
      <c r="J689" s="3">
        <f>IF(E689&lt;=500,IF(Galva=Oui,0.35,0.7),0.7)</f>
        <v>0.7</v>
      </c>
    </row>
    <row r="690" spans="2:10" x14ac:dyDescent="0.25">
      <c r="B690" s="3">
        <f>B689+DeltaT</f>
        <v>3365</v>
      </c>
      <c r="C690" s="13">
        <f t="shared" si="48"/>
        <v>56.083333333333336</v>
      </c>
      <c r="D690" s="11">
        <f t="shared" si="49"/>
        <v>935.24728975852338</v>
      </c>
      <c r="E690" s="23">
        <f t="shared" ref="E690:E753" si="50">E689+I689</f>
        <v>930.03880152407203</v>
      </c>
      <c r="F690" s="23">
        <f>AlphaC*(D690-E690)</f>
        <v>130.21220586128379</v>
      </c>
      <c r="G690" s="13">
        <f>Phi*EpsilonF*Botzman/10^8*J690*((D690+273)^4-(E690+273)^4)</f>
        <v>1449.1423222958122</v>
      </c>
      <c r="H690" s="23">
        <f t="shared" ref="H690:H753" si="51">IF(E690&lt;600,425+0.773*E690-1.69/1000*E690^2+2.22/1000^2*E690^3,IF(E690&lt;735,666+13002/(738-E690),IF(E690&lt;900,545+17820/(E690-731),650)))</f>
        <v>650</v>
      </c>
      <c r="I690" s="12">
        <f>ksh*Massivete/(H690*RhoA)*DeltaT*(F690+G690)</f>
        <v>0.23295518049829392</v>
      </c>
      <c r="J690" s="3">
        <f>IF(E690&lt;=500,IF(Galva=Oui,0.35,0.7),0.7)</f>
        <v>0.7</v>
      </c>
    </row>
    <row r="691" spans="2:10" x14ac:dyDescent="0.25">
      <c r="B691" s="3">
        <f>B690+DeltaT</f>
        <v>3370</v>
      </c>
      <c r="C691" s="13">
        <f t="shared" si="48"/>
        <v>56.166666666666664</v>
      </c>
      <c r="D691" s="11">
        <f t="shared" si="49"/>
        <v>935.46926253431684</v>
      </c>
      <c r="E691" s="23">
        <f t="shared" si="50"/>
        <v>930.27175670457029</v>
      </c>
      <c r="F691" s="23">
        <f>AlphaC*(D691-E691)</f>
        <v>129.93764574366367</v>
      </c>
      <c r="G691" s="13">
        <f>Phi*EpsilonF*Botzman/10^8*J691*((D691+273)^4-(E691+273)^4)</f>
        <v>1446.9053263242558</v>
      </c>
      <c r="H691" s="23">
        <f t="shared" si="51"/>
        <v>650</v>
      </c>
      <c r="I691" s="12">
        <f>ksh*Massivete/(H691*RhoA)*DeltaT*(F691+G691)</f>
        <v>0.23258472535877034</v>
      </c>
      <c r="J691" s="3">
        <f>IF(E691&lt;=500,IF(Galva=Oui,0.35,0.7),0.7)</f>
        <v>0.7</v>
      </c>
    </row>
    <row r="692" spans="2:10" x14ac:dyDescent="0.25">
      <c r="B692" s="3">
        <f>B691+DeltaT</f>
        <v>3375</v>
      </c>
      <c r="C692" s="13">
        <f t="shared" si="48"/>
        <v>56.25</v>
      </c>
      <c r="D692" s="11">
        <f t="shared" si="49"/>
        <v>935.69090694789634</v>
      </c>
      <c r="E692" s="23">
        <f t="shared" si="50"/>
        <v>930.50434142992901</v>
      </c>
      <c r="F692" s="23">
        <f>AlphaC*(D692-E692)</f>
        <v>129.6641379491831</v>
      </c>
      <c r="G692" s="13">
        <f>Phi*EpsilonF*Botzman/10^8*J692*((D692+273)^4-(E692+273)^4)</f>
        <v>1444.6756483816921</v>
      </c>
      <c r="H692" s="23">
        <f t="shared" si="51"/>
        <v>650</v>
      </c>
      <c r="I692" s="12">
        <f>ksh*Massivete/(H692*RhoA)*DeltaT*(F692+G692)</f>
        <v>0.23221550484824038</v>
      </c>
      <c r="J692" s="3">
        <f>IF(E692&lt;=500,IF(Galva=Oui,0.35,0.7),0.7)</f>
        <v>0.7</v>
      </c>
    </row>
    <row r="693" spans="2:10" x14ac:dyDescent="0.25">
      <c r="B693" s="3">
        <f>B692+DeltaT</f>
        <v>3380</v>
      </c>
      <c r="C693" s="13">
        <f t="shared" si="48"/>
        <v>56.333333333333336</v>
      </c>
      <c r="D693" s="11">
        <f t="shared" si="49"/>
        <v>935.91222396931289</v>
      </c>
      <c r="E693" s="23">
        <f t="shared" si="50"/>
        <v>930.73655693477724</v>
      </c>
      <c r="F693" s="23">
        <f>AlphaC*(D693-E693)</f>
        <v>129.39167586339124</v>
      </c>
      <c r="G693" s="13">
        <f>Phi*EpsilonF*Botzman/10^8*J693*((D693+273)^4-(E693+273)^4)</f>
        <v>1442.4532431853484</v>
      </c>
      <c r="H693" s="23">
        <f t="shared" si="51"/>
        <v>650</v>
      </c>
      <c r="I693" s="12">
        <f>ksh*Massivete/(H693*RhoA)*DeltaT*(F693+G693)</f>
        <v>0.23184751131185094</v>
      </c>
      <c r="J693" s="3">
        <f>IF(E693&lt;=500,IF(Galva=Oui,0.35,0.7),0.7)</f>
        <v>0.7</v>
      </c>
    </row>
    <row r="694" spans="2:10" x14ac:dyDescent="0.25">
      <c r="B694" s="3">
        <f>B693+DeltaT</f>
        <v>3385</v>
      </c>
      <c r="C694" s="13">
        <f t="shared" si="48"/>
        <v>56.416666666666664</v>
      </c>
      <c r="D694" s="11">
        <f t="shared" si="49"/>
        <v>936.13321456432561</v>
      </c>
      <c r="E694" s="23">
        <f t="shared" si="50"/>
        <v>930.96840444608904</v>
      </c>
      <c r="F694" s="23">
        <f>AlphaC*(D694-E694)</f>
        <v>129.12025295591434</v>
      </c>
      <c r="G694" s="13">
        <f>Phi*EpsilonF*Botzman/10^8*J694*((D694+273)^4-(E694+273)^4)</f>
        <v>1440.2380661424825</v>
      </c>
      <c r="H694" s="23">
        <f t="shared" si="51"/>
        <v>650</v>
      </c>
      <c r="I694" s="12">
        <f>ksh*Massivete/(H694*RhoA)*DeltaT*(F694+G694)</f>
        <v>0.23148073720892989</v>
      </c>
      <c r="J694" s="3">
        <f>IF(E694&lt;=500,IF(Galva=Oui,0.35,0.7),0.7)</f>
        <v>0.7</v>
      </c>
    </row>
    <row r="695" spans="2:10" x14ac:dyDescent="0.25">
      <c r="B695" s="3">
        <f>B694+DeltaT</f>
        <v>3390</v>
      </c>
      <c r="C695" s="13">
        <f t="shared" si="48"/>
        <v>56.5</v>
      </c>
      <c r="D695" s="11">
        <f t="shared" si="49"/>
        <v>936.35387969442695</v>
      </c>
      <c r="E695" s="23">
        <f t="shared" si="50"/>
        <v>931.19988518329797</v>
      </c>
      <c r="F695" s="23">
        <f>AlphaC*(D695-E695)</f>
        <v>128.84986277822463</v>
      </c>
      <c r="G695" s="13">
        <f>Phi*EpsilonF*Botzman/10^8*J695*((D695+273)^4-(E695+273)^4)</f>
        <v>1438.0300733293848</v>
      </c>
      <c r="H695" s="23">
        <f t="shared" si="51"/>
        <v>650</v>
      </c>
      <c r="I695" s="12">
        <f>ksh*Massivete/(H695*RhoA)*DeltaT*(F695+G695)</f>
        <v>0.23111517510955978</v>
      </c>
      <c r="J695" s="3">
        <f>IF(E695&lt;=500,IF(Galva=Oui,0.35,0.7),0.7)</f>
        <v>0.7</v>
      </c>
    </row>
    <row r="696" spans="2:10" x14ac:dyDescent="0.25">
      <c r="B696" s="3">
        <f>B695+DeltaT</f>
        <v>3395</v>
      </c>
      <c r="C696" s="13">
        <f t="shared" si="48"/>
        <v>56.583333333333336</v>
      </c>
      <c r="D696" s="11">
        <f t="shared" si="49"/>
        <v>936.5742203168669</v>
      </c>
      <c r="E696" s="23">
        <f t="shared" si="50"/>
        <v>931.43100035840757</v>
      </c>
      <c r="F696" s="23">
        <f>AlphaC*(D696-E696)</f>
        <v>128.58049896148316</v>
      </c>
      <c r="G696" s="13">
        <f>Phi*EpsilonF*Botzman/10^8*J696*((D696+273)^4-(E696+273)^4)</f>
        <v>1435.8292214701762</v>
      </c>
      <c r="H696" s="23">
        <f t="shared" si="51"/>
        <v>650</v>
      </c>
      <c r="I696" s="12">
        <f>ksh*Massivete/(H696*RhoA)*DeltaT*(F696+G696)</f>
        <v>0.23075081769113259</v>
      </c>
      <c r="J696" s="3">
        <f>IF(E696&lt;=500,IF(Galva=Oui,0.35,0.7),0.7)</f>
        <v>0.7</v>
      </c>
    </row>
    <row r="697" spans="2:10" x14ac:dyDescent="0.25">
      <c r="B697" s="3">
        <f>B696+DeltaT</f>
        <v>3400</v>
      </c>
      <c r="C697" s="13">
        <f t="shared" si="48"/>
        <v>56.666666666666664</v>
      </c>
      <c r="D697" s="11">
        <f t="shared" si="49"/>
        <v>936.79423738467881</v>
      </c>
      <c r="E697" s="23">
        <f t="shared" si="50"/>
        <v>931.66175117609873</v>
      </c>
      <c r="F697" s="23">
        <f>AlphaC*(D697-E697)</f>
        <v>128.3121552145019</v>
      </c>
      <c r="G697" s="13">
        <f>Phi*EpsilonF*Botzman/10^8*J697*((D697+273)^4-(E697+273)^4)</f>
        <v>1433.635467918155</v>
      </c>
      <c r="H697" s="23">
        <f t="shared" si="51"/>
        <v>650</v>
      </c>
      <c r="I697" s="12">
        <f>ksh*Massivete/(H697*RhoA)*DeltaT*(F697+G697)</f>
        <v>0.23038765773529749</v>
      </c>
      <c r="J697" s="3">
        <f>IF(E697&lt;=500,IF(Galva=Oui,0.35,0.7),0.7)</f>
        <v>0.7</v>
      </c>
    </row>
    <row r="698" spans="2:10" x14ac:dyDescent="0.25">
      <c r="B698" s="3">
        <f>B697+DeltaT</f>
        <v>3405</v>
      </c>
      <c r="C698" s="13">
        <f t="shared" si="48"/>
        <v>56.75</v>
      </c>
      <c r="D698" s="11">
        <f t="shared" si="49"/>
        <v>937.01393184670371</v>
      </c>
      <c r="E698" s="23">
        <f t="shared" si="50"/>
        <v>931.892138833834</v>
      </c>
      <c r="F698" s="23">
        <f>AlphaC*(D698-E698)</f>
        <v>128.04482532174291</v>
      </c>
      <c r="G698" s="13">
        <f>Phi*EpsilonF*Botzman/10^8*J698*((D698+273)^4-(E698+273)^4)</f>
        <v>1431.448770636621</v>
      </c>
      <c r="H698" s="23">
        <f t="shared" si="51"/>
        <v>650</v>
      </c>
      <c r="I698" s="12">
        <f>ksh*Massivete/(H698*RhoA)*DeltaT*(F698+G698)</f>
        <v>0.23002568812483756</v>
      </c>
      <c r="J698" s="3">
        <f>IF(E698&lt;=500,IF(Galva=Oui,0.35,0.7),0.7)</f>
        <v>0.7</v>
      </c>
    </row>
    <row r="699" spans="2:10" x14ac:dyDescent="0.25">
      <c r="B699" s="3">
        <f>B698+DeltaT</f>
        <v>3410</v>
      </c>
      <c r="C699" s="13">
        <f t="shared" si="48"/>
        <v>56.833333333333336</v>
      </c>
      <c r="D699" s="11">
        <f t="shared" si="49"/>
        <v>937.23330464761511</v>
      </c>
      <c r="E699" s="23">
        <f t="shared" si="50"/>
        <v>932.12216452195878</v>
      </c>
      <c r="F699" s="23">
        <f>AlphaC*(D699-E699)</f>
        <v>127.77850314140835</v>
      </c>
      <c r="G699" s="13">
        <f>Phi*EpsilonF*Botzman/10^8*J699*((D699+273)^4-(E699+273)^4)</f>
        <v>1429.269088180871</v>
      </c>
      <c r="H699" s="23">
        <f t="shared" si="51"/>
        <v>650</v>
      </c>
      <c r="I699" s="12">
        <f>ksh*Massivete/(H699*RhoA)*DeltaT*(F699+G699)</f>
        <v>0.22966490184073224</v>
      </c>
      <c r="J699" s="3">
        <f>IF(E699&lt;=500,IF(Galva=Oui,0.35,0.7),0.7)</f>
        <v>0.7</v>
      </c>
    </row>
    <row r="700" spans="2:10" x14ac:dyDescent="0.25">
      <c r="B700" s="3">
        <f>B699+DeltaT</f>
        <v>3415</v>
      </c>
      <c r="C700" s="13">
        <f t="shared" si="48"/>
        <v>56.916666666666664</v>
      </c>
      <c r="D700" s="11">
        <f t="shared" si="49"/>
        <v>937.45235672794297</v>
      </c>
      <c r="E700" s="23">
        <f t="shared" si="50"/>
        <v>932.35182942379947</v>
      </c>
      <c r="F700" s="23">
        <f>AlphaC*(D700-E700)</f>
        <v>127.51318260358744</v>
      </c>
      <c r="G700" s="13">
        <f>Phi*EpsilonF*Botzman/10^8*J700*((D700+273)^4-(E700+273)^4)</f>
        <v>1427.0963796804961</v>
      </c>
      <c r="H700" s="23">
        <f t="shared" si="51"/>
        <v>650</v>
      </c>
      <c r="I700" s="12">
        <f>ksh*Massivete/(H700*RhoA)*DeltaT*(F700+G700)</f>
        <v>0.22930529195927277</v>
      </c>
      <c r="J700" s="3">
        <f>IF(E700&lt;=500,IF(Galva=Oui,0.35,0.7),0.7)</f>
        <v>0.7</v>
      </c>
    </row>
    <row r="701" spans="2:10" x14ac:dyDescent="0.25">
      <c r="B701" s="3">
        <f>B700+DeltaT</f>
        <v>3420</v>
      </c>
      <c r="C701" s="13">
        <f t="shared" si="48"/>
        <v>57</v>
      </c>
      <c r="D701" s="11">
        <f t="shared" si="49"/>
        <v>937.67108902409825</v>
      </c>
      <c r="E701" s="23">
        <f t="shared" si="50"/>
        <v>932.58113471575871</v>
      </c>
      <c r="F701" s="23">
        <f>AlphaC*(D701-E701)</f>
        <v>127.24885770848857</v>
      </c>
      <c r="G701" s="13">
        <f>Phi*EpsilonF*Botzman/10^8*J701*((D701+273)^4-(E701+273)^4)</f>
        <v>1424.9306048230237</v>
      </c>
      <c r="H701" s="23">
        <f t="shared" si="51"/>
        <v>650</v>
      </c>
      <c r="I701" s="12">
        <f>ksh*Massivete/(H701*RhoA)*DeltaT*(F701+G701)</f>
        <v>0.22894685164938894</v>
      </c>
      <c r="J701" s="3">
        <f>IF(E701&lt;=500,IF(Galva=Oui,0.35,0.7),0.7)</f>
        <v>0.7</v>
      </c>
    </row>
    <row r="702" spans="2:10" x14ac:dyDescent="0.25">
      <c r="B702" s="3">
        <f>B701+DeltaT</f>
        <v>3425</v>
      </c>
      <c r="C702" s="13">
        <f t="shared" si="48"/>
        <v>57.083333333333336</v>
      </c>
      <c r="D702" s="11">
        <f t="shared" si="49"/>
        <v>937.88950246839693</v>
      </c>
      <c r="E702" s="23">
        <f t="shared" si="50"/>
        <v>932.81008156740813</v>
      </c>
      <c r="F702" s="23">
        <f>AlphaC*(D702-E702)</f>
        <v>126.98552252471984</v>
      </c>
      <c r="G702" s="13">
        <f>Phi*EpsilonF*Botzman/10^8*J702*((D702+273)^4-(E702+273)^4)</f>
        <v>1422.7717238374366</v>
      </c>
      <c r="H702" s="23">
        <f t="shared" si="51"/>
        <v>650</v>
      </c>
      <c r="I702" s="12">
        <f>ksh*Massivete/(H702*RhoA)*DeltaT*(F702+G702)</f>
        <v>0.22858957416996409</v>
      </c>
      <c r="J702" s="3">
        <f>IF(E702&lt;=500,IF(Galva=Oui,0.35,0.7),0.7)</f>
        <v>0.7</v>
      </c>
    </row>
    <row r="703" spans="2:10" x14ac:dyDescent="0.25">
      <c r="B703" s="3">
        <f>B702+DeltaT</f>
        <v>3430</v>
      </c>
      <c r="C703" s="13">
        <f t="shared" si="48"/>
        <v>57.166666666666664</v>
      </c>
      <c r="D703" s="11">
        <f t="shared" si="49"/>
        <v>938.1075979890835</v>
      </c>
      <c r="E703" s="23">
        <f t="shared" si="50"/>
        <v>933.03867114157811</v>
      </c>
      <c r="F703" s="23">
        <f>AlphaC*(D703-E703)</f>
        <v>126.72317118763488</v>
      </c>
      <c r="G703" s="13">
        <f>Phi*EpsilonF*Botzman/10^8*J703*((D703+273)^4-(E703+273)^4)</f>
        <v>1420.6196974789484</v>
      </c>
      <c r="H703" s="23">
        <f t="shared" si="51"/>
        <v>650</v>
      </c>
      <c r="I703" s="12">
        <f>ksh*Massivete/(H703*RhoA)*DeltaT*(F703+G703)</f>
        <v>0.22823345286734589</v>
      </c>
      <c r="J703" s="3">
        <f>IF(E703&lt;=500,IF(Galva=Oui,0.35,0.7),0.7)</f>
        <v>0.7</v>
      </c>
    </row>
    <row r="704" spans="2:10" x14ac:dyDescent="0.25">
      <c r="B704" s="3">
        <f>B703+DeltaT</f>
        <v>3435</v>
      </c>
      <c r="C704" s="13">
        <f t="shared" si="48"/>
        <v>57.25</v>
      </c>
      <c r="D704" s="11">
        <f t="shared" si="49"/>
        <v>938.325376510355</v>
      </c>
      <c r="E704" s="23">
        <f t="shared" si="50"/>
        <v>933.26690459444546</v>
      </c>
      <c r="F704" s="23">
        <f>AlphaC*(D704-E704)</f>
        <v>126.46179789773839</v>
      </c>
      <c r="G704" s="13">
        <f>Phi*EpsilonF*Botzman/10^8*J704*((D704+273)^4-(E704+273)^4)</f>
        <v>1418.4744870141506</v>
      </c>
      <c r="H704" s="23">
        <f t="shared" si="51"/>
        <v>650</v>
      </c>
      <c r="I704" s="12">
        <f>ksh*Massivete/(H704*RhoA)*DeltaT*(F704+G704)</f>
        <v>0.22787848117291998</v>
      </c>
      <c r="J704" s="3">
        <f>IF(E704&lt;=500,IF(Galva=Oui,0.35,0.7),0.7)</f>
        <v>0.7</v>
      </c>
    </row>
    <row r="705" spans="2:10" x14ac:dyDescent="0.25">
      <c r="B705" s="3">
        <f>B704+DeltaT</f>
        <v>3440</v>
      </c>
      <c r="C705" s="13">
        <f t="shared" si="48"/>
        <v>57.333333333333336</v>
      </c>
      <c r="D705" s="11">
        <f t="shared" si="49"/>
        <v>938.54283895238439</v>
      </c>
      <c r="E705" s="23">
        <f t="shared" si="50"/>
        <v>933.49478307561833</v>
      </c>
      <c r="F705" s="23">
        <f>AlphaC*(D705-E705)</f>
        <v>126.20139691915142</v>
      </c>
      <c r="G705" s="13">
        <f>Phi*EpsilonF*Botzman/10^8*J705*((D705+273)^4-(E705+273)^4)</f>
        <v>1416.3360542060593</v>
      </c>
      <c r="H705" s="23">
        <f t="shared" si="51"/>
        <v>650</v>
      </c>
      <c r="I705" s="12">
        <f>ksh*Massivete/(H705*RhoA)*DeltaT*(F705+G705)</f>
        <v>0.22752465260067847</v>
      </c>
      <c r="J705" s="3">
        <f>IF(E705&lt;=500,IF(Galva=Oui,0.35,0.7),0.7)</f>
        <v>0.7</v>
      </c>
    </row>
    <row r="706" spans="2:10" x14ac:dyDescent="0.25">
      <c r="B706" s="3">
        <f>B705+DeltaT</f>
        <v>3445</v>
      </c>
      <c r="C706" s="13">
        <f t="shared" si="48"/>
        <v>57.416666666666664</v>
      </c>
      <c r="D706" s="11">
        <f t="shared" si="49"/>
        <v>938.7599862313441</v>
      </c>
      <c r="E706" s="23">
        <f t="shared" si="50"/>
        <v>933.72230772821899</v>
      </c>
      <c r="F706" s="23">
        <f>AlphaC*(D706-E706)</f>
        <v>125.94196257812769</v>
      </c>
      <c r="G706" s="13">
        <f>Phi*EpsilonF*Botzman/10^8*J706*((D706+273)^4-(E706+273)^4)</f>
        <v>1414.2043613008025</v>
      </c>
      <c r="H706" s="23">
        <f t="shared" si="51"/>
        <v>650</v>
      </c>
      <c r="I706" s="12">
        <f>ksh*Massivete/(H706*RhoA)*DeltaT*(F706+G706)</f>
        <v>0.22717196074503687</v>
      </c>
      <c r="J706" s="3">
        <f>IF(E706&lt;=500,IF(Galva=Oui,0.35,0.7),0.7)</f>
        <v>0.7</v>
      </c>
    </row>
    <row r="707" spans="2:10" x14ac:dyDescent="0.25">
      <c r="B707" s="3">
        <f>B706+DeltaT</f>
        <v>3450</v>
      </c>
      <c r="C707" s="13">
        <f t="shared" si="48"/>
        <v>57.5</v>
      </c>
      <c r="D707" s="11">
        <f t="shared" si="49"/>
        <v>938.97681925942857</v>
      </c>
      <c r="E707" s="23">
        <f t="shared" si="50"/>
        <v>933.94947968896406</v>
      </c>
      <c r="F707" s="23">
        <f>AlphaC*(D707-E707)</f>
        <v>125.68348926161264</v>
      </c>
      <c r="G707" s="13">
        <f>Phi*EpsilonF*Botzman/10^8*J707*((D707+273)^4-(E707+273)^4)</f>
        <v>1412.0793710143148</v>
      </c>
      <c r="H707" s="23">
        <f t="shared" si="51"/>
        <v>650</v>
      </c>
      <c r="I707" s="12">
        <f>ksh*Massivete/(H707*RhoA)*DeltaT*(F707+G707)</f>
        <v>0.22682039927865952</v>
      </c>
      <c r="J707" s="3">
        <f>IF(E707&lt;=500,IF(Galva=Oui,0.35,0.7),0.7)</f>
        <v>0.7</v>
      </c>
    </row>
    <row r="708" spans="2:10" x14ac:dyDescent="0.25">
      <c r="B708" s="3">
        <f>B707+DeltaT</f>
        <v>3455</v>
      </c>
      <c r="C708" s="13">
        <f t="shared" si="48"/>
        <v>57.583333333333336</v>
      </c>
      <c r="D708" s="11">
        <f t="shared" si="49"/>
        <v>939.19333894487761</v>
      </c>
      <c r="E708" s="23">
        <f t="shared" si="50"/>
        <v>934.17630008824267</v>
      </c>
      <c r="F708" s="23">
        <f>AlphaC*(D708-E708)</f>
        <v>125.42597141587351</v>
      </c>
      <c r="G708" s="13">
        <f>Phi*EpsilonF*Botzman/10^8*J708*((D708+273)^4-(E708+273)^4)</f>
        <v>1409.961046519112</v>
      </c>
      <c r="H708" s="23">
        <f t="shared" si="51"/>
        <v>650</v>
      </c>
      <c r="I708" s="12">
        <f>ksh*Massivete/(H708*RhoA)*DeltaT*(F708+G708)</f>
        <v>0.22646996195030653</v>
      </c>
      <c r="J708" s="3">
        <f>IF(E708&lt;=500,IF(Galva=Oui,0.35,0.7),0.7)</f>
        <v>0.7</v>
      </c>
    </row>
    <row r="709" spans="2:10" x14ac:dyDescent="0.25">
      <c r="B709" s="3">
        <f>B708+DeltaT</f>
        <v>3460</v>
      </c>
      <c r="C709" s="13">
        <f t="shared" si="48"/>
        <v>57.666666666666664</v>
      </c>
      <c r="D709" s="11">
        <f t="shared" si="49"/>
        <v>939.40954619199965</v>
      </c>
      <c r="E709" s="23">
        <f t="shared" si="50"/>
        <v>934.402770050193</v>
      </c>
      <c r="F709" s="23">
        <f>AlphaC*(D709-E709)</f>
        <v>125.16940354516635</v>
      </c>
      <c r="G709" s="13">
        <f>Phi*EpsilonF*Botzman/10^8*J709*((D709+273)^4-(E709+273)^4)</f>
        <v>1407.8493514323318</v>
      </c>
      <c r="H709" s="23">
        <f t="shared" si="51"/>
        <v>650</v>
      </c>
      <c r="I709" s="12">
        <f>ksh*Massivete/(H709*RhoA)*DeltaT*(F709+G709)</f>
        <v>0.22612064258287312</v>
      </c>
      <c r="J709" s="3">
        <f>IF(E709&lt;=500,IF(Galva=Oui,0.35,0.7),0.7)</f>
        <v>0.7</v>
      </c>
    </row>
    <row r="710" spans="2:10" x14ac:dyDescent="0.25">
      <c r="B710" s="3">
        <f>B709+DeltaT</f>
        <v>3465</v>
      </c>
      <c r="C710" s="13">
        <f t="shared" si="48"/>
        <v>57.75</v>
      </c>
      <c r="D710" s="11">
        <f t="shared" si="49"/>
        <v>939.62544190119377</v>
      </c>
      <c r="E710" s="23">
        <f t="shared" si="50"/>
        <v>934.62889069277583</v>
      </c>
      <c r="F710" s="23">
        <f>AlphaC*(D710-E710)</f>
        <v>124.91378021044852</v>
      </c>
      <c r="G710" s="13">
        <f>Phi*EpsilonF*Botzman/10^8*J710*((D710+273)^4-(E710+273)^4)</f>
        <v>1405.744249803691</v>
      </c>
      <c r="H710" s="23">
        <f t="shared" si="51"/>
        <v>650</v>
      </c>
      <c r="I710" s="12">
        <f>ksh*Massivete/(H710*RhoA)*DeltaT*(F710+G710)</f>
        <v>0.22577243507142364</v>
      </c>
      <c r="J710" s="3">
        <f>IF(E710&lt;=500,IF(Galva=Oui,0.35,0.7),0.7)</f>
        <v>0.7</v>
      </c>
    </row>
    <row r="711" spans="2:10" x14ac:dyDescent="0.25">
      <c r="B711" s="3">
        <f>B710+DeltaT</f>
        <v>3470</v>
      </c>
      <c r="C711" s="13">
        <f t="shared" si="48"/>
        <v>57.833333333333336</v>
      </c>
      <c r="D711" s="11">
        <f t="shared" si="49"/>
        <v>939.8410269689723</v>
      </c>
      <c r="E711" s="23">
        <f t="shared" si="50"/>
        <v>934.85466312784729</v>
      </c>
      <c r="F711" s="23">
        <f>AlphaC*(D711-E711)</f>
        <v>124.6590960281253</v>
      </c>
      <c r="G711" s="13">
        <f>Phi*EpsilonF*Botzman/10^8*J711*((D711+273)^4-(E711+273)^4)</f>
        <v>1403.6457061038277</v>
      </c>
      <c r="H711" s="23">
        <f t="shared" si="51"/>
        <v>650</v>
      </c>
      <c r="I711" s="12">
        <f>ksh*Massivete/(H711*RhoA)*DeltaT*(F711+G711)</f>
        <v>0.22542533338128695</v>
      </c>
      <c r="J711" s="3">
        <f>IF(E711&lt;=500,IF(Galva=Oui,0.35,0.7),0.7)</f>
        <v>0.7</v>
      </c>
    </row>
    <row r="712" spans="2:10" x14ac:dyDescent="0.25">
      <c r="B712" s="3">
        <f>B711+DeltaT</f>
        <v>3475</v>
      </c>
      <c r="C712" s="13">
        <f t="shared" si="48"/>
        <v>57.916666666666664</v>
      </c>
      <c r="D712" s="11">
        <f t="shared" si="49"/>
        <v>940.05630228798373</v>
      </c>
      <c r="E712" s="23">
        <f t="shared" si="50"/>
        <v>935.08008846122857</v>
      </c>
      <c r="F712" s="23">
        <f>AlphaC*(D712-E712)</f>
        <v>124.40534566887891</v>
      </c>
      <c r="G712" s="13">
        <f>Phi*EpsilonF*Botzman/10^8*J712*((D712+273)^4-(E712+273)^4)</f>
        <v>1401.5536852139912</v>
      </c>
      <c r="H712" s="23">
        <f t="shared" si="51"/>
        <v>650</v>
      </c>
      <c r="I712" s="12">
        <f>ksh*Massivete/(H712*RhoA)*DeltaT*(F712+G712)</f>
        <v>0.225079331546363</v>
      </c>
      <c r="J712" s="3">
        <f>IF(E712&lt;=500,IF(Galva=Oui,0.35,0.7),0.7)</f>
        <v>0.7</v>
      </c>
    </row>
    <row r="713" spans="2:10" x14ac:dyDescent="0.25">
      <c r="B713" s="3">
        <f>B712+DeltaT</f>
        <v>3480</v>
      </c>
      <c r="C713" s="13">
        <f t="shared" si="48"/>
        <v>58</v>
      </c>
      <c r="D713" s="11">
        <f t="shared" si="49"/>
        <v>940.27126874703401</v>
      </c>
      <c r="E713" s="23">
        <f t="shared" si="50"/>
        <v>935.30516779277491</v>
      </c>
      <c r="F713" s="23">
        <f>AlphaC*(D713-E713)</f>
        <v>124.15252385647761</v>
      </c>
      <c r="G713" s="13">
        <f>Phi*EpsilonF*Botzman/10^8*J713*((D713+273)^4-(E713+273)^4)</f>
        <v>1399.4681524143946</v>
      </c>
      <c r="H713" s="23">
        <f t="shared" si="51"/>
        <v>650</v>
      </c>
      <c r="I713" s="12">
        <f>ksh*Massivete/(H713*RhoA)*DeltaT*(F713+G713)</f>
        <v>0.22473442366722921</v>
      </c>
      <c r="J713" s="3">
        <f>IF(E713&lt;=500,IF(Galva=Oui,0.35,0.7),0.7)</f>
        <v>0.7</v>
      </c>
    </row>
    <row r="714" spans="2:10" x14ac:dyDescent="0.25">
      <c r="B714" s="3">
        <f>B713+DeltaT</f>
        <v>3485</v>
      </c>
      <c r="C714" s="13">
        <f t="shared" si="48"/>
        <v>58.083333333333336</v>
      </c>
      <c r="D714" s="11">
        <f t="shared" si="49"/>
        <v>940.48592723110914</v>
      </c>
      <c r="E714" s="23">
        <f t="shared" si="50"/>
        <v>935.52990221644211</v>
      </c>
      <c r="F714" s="23">
        <f>AlphaC*(D714-E714)</f>
        <v>123.90062536667585</v>
      </c>
      <c r="G714" s="13">
        <f>Phi*EpsilonF*Botzman/10^8*J714*((D714+273)^4-(E714+273)^4)</f>
        <v>1397.3890733748058</v>
      </c>
      <c r="H714" s="23">
        <f t="shared" si="51"/>
        <v>650</v>
      </c>
      <c r="I714" s="12">
        <f>ksh*Massivete/(H714*RhoA)*DeltaT*(F714+G714)</f>
        <v>0.22439060390959045</v>
      </c>
      <c r="J714" s="3">
        <f>IF(E714&lt;=500,IF(Galva=Oui,0.35,0.7),0.7)</f>
        <v>0.7</v>
      </c>
    </row>
    <row r="715" spans="2:10" x14ac:dyDescent="0.25">
      <c r="B715" s="3">
        <f>B714+DeltaT</f>
        <v>3490</v>
      </c>
      <c r="C715" s="13">
        <f t="shared" si="48"/>
        <v>58.166666666666664</v>
      </c>
      <c r="D715" s="11">
        <f t="shared" si="49"/>
        <v>940.70027862139693</v>
      </c>
      <c r="E715" s="23">
        <f t="shared" si="50"/>
        <v>935.75429282035168</v>
      </c>
      <c r="F715" s="23">
        <f>AlphaC*(D715-E715)</f>
        <v>123.64964502613134</v>
      </c>
      <c r="G715" s="13">
        <f>Phi*EpsilonF*Botzman/10^8*J715*((D715+273)^4-(E715+273)^4)</f>
        <v>1395.3164141444129</v>
      </c>
      <c r="H715" s="23">
        <f t="shared" si="51"/>
        <v>650</v>
      </c>
      <c r="I715" s="12">
        <f>ksh*Massivete/(H715*RhoA)*DeltaT*(F715+G715)</f>
        <v>0.22404786650262437</v>
      </c>
      <c r="J715" s="3">
        <f>IF(E715&lt;=500,IF(Galva=Oui,0.35,0.7),0.7)</f>
        <v>0.7</v>
      </c>
    </row>
    <row r="716" spans="2:10" x14ac:dyDescent="0.25">
      <c r="B716" s="3">
        <f>B715+DeltaT</f>
        <v>3495</v>
      </c>
      <c r="C716" s="13">
        <f t="shared" si="48"/>
        <v>58.25</v>
      </c>
      <c r="D716" s="11">
        <f t="shared" si="49"/>
        <v>940.91432379530863</v>
      </c>
      <c r="E716" s="23">
        <f t="shared" si="50"/>
        <v>935.97834068685427</v>
      </c>
      <c r="F716" s="23">
        <f>AlphaC*(D716-E716)</f>
        <v>123.39957771135914</v>
      </c>
      <c r="G716" s="13">
        <f>Phi*EpsilonF*Botzman/10^8*J716*((D716+273)^4-(E716+273)^4)</f>
        <v>1393.2501411418611</v>
      </c>
      <c r="H716" s="23">
        <f t="shared" si="51"/>
        <v>650</v>
      </c>
      <c r="I716" s="12">
        <f>ksh*Massivete/(H716*RhoA)*DeltaT*(F716+G716)</f>
        <v>0.22370620573735761</v>
      </c>
      <c r="J716" s="3">
        <f>IF(E716&lt;=500,IF(Galva=Oui,0.35,0.7),0.7)</f>
        <v>0.7</v>
      </c>
    </row>
    <row r="717" spans="2:10" x14ac:dyDescent="0.25">
      <c r="B717" s="3">
        <f>B716+DeltaT</f>
        <v>3500</v>
      </c>
      <c r="C717" s="13">
        <f t="shared" si="48"/>
        <v>58.333333333333336</v>
      </c>
      <c r="D717" s="11">
        <f t="shared" si="49"/>
        <v>941.12806362650053</v>
      </c>
      <c r="E717" s="23">
        <f t="shared" si="50"/>
        <v>936.20204689259162</v>
      </c>
      <c r="F717" s="23">
        <f>AlphaC*(D717-E717)</f>
        <v>123.15041834772273</v>
      </c>
      <c r="G717" s="13">
        <f>Phi*EpsilonF*Botzman/10^8*J717*((D717+273)^4-(E717+273)^4)</f>
        <v>1391.190221147202</v>
      </c>
      <c r="H717" s="23">
        <f t="shared" si="51"/>
        <v>650</v>
      </c>
      <c r="I717" s="12">
        <f>ksh*Massivete/(H717*RhoA)*DeltaT*(F717+G717)</f>
        <v>0.22336561596532947</v>
      </c>
      <c r="J717" s="3">
        <f>IF(E717&lt;=500,IF(Galva=Oui,0.35,0.7),0.7)</f>
        <v>0.7</v>
      </c>
    </row>
    <row r="718" spans="2:10" x14ac:dyDescent="0.25">
      <c r="B718" s="3">
        <f>B717+DeltaT</f>
        <v>3505</v>
      </c>
      <c r="C718" s="13">
        <f t="shared" si="48"/>
        <v>58.416666666666664</v>
      </c>
      <c r="D718" s="11">
        <f t="shared" si="49"/>
        <v>941.34149898489545</v>
      </c>
      <c r="E718" s="23">
        <f t="shared" si="50"/>
        <v>936.42541250855697</v>
      </c>
      <c r="F718" s="23">
        <f>AlphaC*(D718-E718)</f>
        <v>122.90216190846195</v>
      </c>
      <c r="G718" s="13">
        <f>Phi*EpsilonF*Botzman/10^8*J718*((D718+273)^4-(E718+273)^4)</f>
        <v>1389.1366212919606</v>
      </c>
      <c r="H718" s="23">
        <f t="shared" si="51"/>
        <v>650</v>
      </c>
      <c r="I718" s="12">
        <f>ksh*Massivete/(H718*RhoA)*DeltaT*(F718+G718)</f>
        <v>0.22302609159698353</v>
      </c>
      <c r="J718" s="3">
        <f>IF(E718&lt;=500,IF(Galva=Oui,0.35,0.7),0.7)</f>
        <v>0.7</v>
      </c>
    </row>
    <row r="719" spans="2:10" x14ac:dyDescent="0.25">
      <c r="B719" s="3">
        <f>B718+DeltaT</f>
        <v>3510</v>
      </c>
      <c r="C719" s="13">
        <f t="shared" si="48"/>
        <v>58.5</v>
      </c>
      <c r="D719" s="11">
        <f t="shared" si="49"/>
        <v>941.55463073670364</v>
      </c>
      <c r="E719" s="23">
        <f t="shared" si="50"/>
        <v>936.64843860015401</v>
      </c>
      <c r="F719" s="23">
        <f>AlphaC*(D719-E719)</f>
        <v>122.65480341374086</v>
      </c>
      <c r="G719" s="13">
        <f>Phi*EpsilonF*Botzman/10^8*J719*((D719+273)^4-(E719+273)^4)</f>
        <v>1387.0893090512477</v>
      </c>
      <c r="H719" s="23">
        <f t="shared" si="51"/>
        <v>650</v>
      </c>
      <c r="I719" s="12">
        <f>ksh*Massivete/(H719*RhoA)*DeltaT*(F719+G719)</f>
        <v>0.22268762710036352</v>
      </c>
      <c r="J719" s="3">
        <f>IF(E719&lt;=500,IF(Galva=Oui,0.35,0.7),0.7)</f>
        <v>0.7</v>
      </c>
    </row>
    <row r="720" spans="2:10" x14ac:dyDescent="0.25">
      <c r="B720" s="3">
        <f>B719+DeltaT</f>
        <v>3515</v>
      </c>
      <c r="C720" s="13">
        <f t="shared" si="48"/>
        <v>58.583333333333336</v>
      </c>
      <c r="D720" s="11">
        <f t="shared" si="49"/>
        <v>941.76745974444441</v>
      </c>
      <c r="E720" s="23">
        <f t="shared" si="50"/>
        <v>936.87112622725442</v>
      </c>
      <c r="F720" s="23">
        <f>AlphaC*(D720-E720)</f>
        <v>122.40833792974968</v>
      </c>
      <c r="G720" s="13">
        <f>Phi*EpsilonF*Botzman/10^8*J720*((D720+273)^4-(E720+273)^4)</f>
        <v>1385.04825223533</v>
      </c>
      <c r="H720" s="23">
        <f t="shared" si="51"/>
        <v>650</v>
      </c>
      <c r="I720" s="12">
        <f>ksh*Massivete/(H720*RhoA)*DeltaT*(F720+G720)</f>
        <v>0.22235021699973784</v>
      </c>
      <c r="J720" s="3">
        <f>IF(E720&lt;=500,IF(Galva=Oui,0.35,0.7),0.7)</f>
        <v>0.7</v>
      </c>
    </row>
    <row r="721" spans="2:10" x14ac:dyDescent="0.25">
      <c r="B721" s="3">
        <f>B720+DeltaT</f>
        <v>3520</v>
      </c>
      <c r="C721" s="13">
        <f t="shared" si="48"/>
        <v>58.666666666666664</v>
      </c>
      <c r="D721" s="11">
        <f t="shared" si="49"/>
        <v>941.97998686696644</v>
      </c>
      <c r="E721" s="23">
        <f t="shared" si="50"/>
        <v>937.09347644425418</v>
      </c>
      <c r="F721" s="23">
        <f>AlphaC*(D721-E721)</f>
        <v>122.16276056780657</v>
      </c>
      <c r="G721" s="13">
        <f>Phi*EpsilonF*Botzman/10^8*J721*((D721+273)^4-(E721+273)^4)</f>
        <v>1383.0134189820328</v>
      </c>
      <c r="H721" s="23">
        <f t="shared" si="51"/>
        <v>650</v>
      </c>
      <c r="I721" s="12">
        <f>ksh*Massivete/(H721*RhoA)*DeltaT*(F721+G721)</f>
        <v>0.22201385587434605</v>
      </c>
      <c r="J721" s="3">
        <f>IF(E721&lt;=500,IF(Galva=Oui,0.35,0.7),0.7)</f>
        <v>0.7</v>
      </c>
    </row>
    <row r="722" spans="2:10" x14ac:dyDescent="0.25">
      <c r="B722" s="3">
        <f>B721+DeltaT</f>
        <v>3525</v>
      </c>
      <c r="C722" s="13">
        <f t="shared" ref="C722:C785" si="52">B722/60</f>
        <v>58.75</v>
      </c>
      <c r="D722" s="11">
        <f t="shared" ref="D722:D785" si="53">20+345*LOG(8*C722+1,10)</f>
        <v>942.19221295946897</v>
      </c>
      <c r="E722" s="23">
        <f t="shared" si="50"/>
        <v>937.31549030012854</v>
      </c>
      <c r="F722" s="23">
        <f>AlphaC*(D722-E722)</f>
        <v>121.91806648351076</v>
      </c>
      <c r="G722" s="13">
        <f>Phi*EpsilonF*Botzman/10^8*J722*((D722+273)^4-(E722+273)^4)</f>
        <v>1380.9847777482905</v>
      </c>
      <c r="H722" s="23">
        <f t="shared" si="51"/>
        <v>650</v>
      </c>
      <c r="I722" s="12">
        <f>ksh*Massivete/(H722*RhoA)*DeltaT*(F722+G722)</f>
        <v>0.22167853835702797</v>
      </c>
      <c r="J722" s="3">
        <f>IF(E722&lt;=500,IF(Galva=Oui,0.35,0.7),0.7)</f>
        <v>0.7</v>
      </c>
    </row>
    <row r="723" spans="2:10" x14ac:dyDescent="0.25">
      <c r="B723" s="3">
        <f>B722+DeltaT</f>
        <v>3530</v>
      </c>
      <c r="C723" s="13">
        <f t="shared" si="52"/>
        <v>58.833333333333336</v>
      </c>
      <c r="D723" s="11">
        <f t="shared" si="53"/>
        <v>942.40413887352304</v>
      </c>
      <c r="E723" s="23">
        <f t="shared" si="50"/>
        <v>937.53716883848563</v>
      </c>
      <c r="F723" s="23">
        <f>AlphaC*(D723-E723)</f>
        <v>121.67425087593529</v>
      </c>
      <c r="G723" s="13">
        <f>Phi*EpsilonF*Botzman/10^8*J723*((D723+273)^4-(E723+273)^4)</f>
        <v>1378.9622973041876</v>
      </c>
      <c r="H723" s="23">
        <f t="shared" si="51"/>
        <v>650</v>
      </c>
      <c r="I723" s="12">
        <f>ksh*Massivete/(H723*RhoA)*DeltaT*(F723+G723)</f>
        <v>0.22134425913322547</v>
      </c>
      <c r="J723" s="3">
        <f>IF(E723&lt;=500,IF(Galva=Oui,0.35,0.7),0.7)</f>
        <v>0.7</v>
      </c>
    </row>
    <row r="724" spans="2:10" x14ac:dyDescent="0.25">
      <c r="B724" s="3">
        <f>B723+DeltaT</f>
        <v>3535</v>
      </c>
      <c r="C724" s="13">
        <f t="shared" si="52"/>
        <v>58.916666666666664</v>
      </c>
      <c r="D724" s="11">
        <f t="shared" si="53"/>
        <v>942.61576545709022</v>
      </c>
      <c r="E724" s="23">
        <f t="shared" si="50"/>
        <v>937.7585130976189</v>
      </c>
      <c r="F724" s="23">
        <f>AlphaC*(D724-E724)</f>
        <v>121.43130898678294</v>
      </c>
      <c r="G724" s="13">
        <f>Phi*EpsilonF*Botzman/10^8*J724*((D724+273)^4-(E724+273)^4)</f>
        <v>1376.945946724373</v>
      </c>
      <c r="H724" s="23">
        <f t="shared" si="51"/>
        <v>650</v>
      </c>
      <c r="I724" s="12">
        <f>ksh*Massivete/(H724*RhoA)*DeltaT*(F724+G724)</f>
        <v>0.22101101293959169</v>
      </c>
      <c r="J724" s="3">
        <f>IF(E724&lt;=500,IF(Galva=Oui,0.35,0.7),0.7)</f>
        <v>0.7</v>
      </c>
    </row>
    <row r="725" spans="2:10" x14ac:dyDescent="0.25">
      <c r="B725" s="3">
        <f>B724+DeltaT</f>
        <v>3540</v>
      </c>
      <c r="C725" s="13">
        <f t="shared" si="52"/>
        <v>59</v>
      </c>
      <c r="D725" s="11">
        <f t="shared" si="53"/>
        <v>942.82709355454483</v>
      </c>
      <c r="E725" s="23">
        <f t="shared" si="50"/>
        <v>937.97952411055849</v>
      </c>
      <c r="F725" s="23">
        <f>AlphaC*(D725-E725)</f>
        <v>121.18923609965861</v>
      </c>
      <c r="G725" s="13">
        <f>Phi*EpsilonF*Botzman/10^8*J725*((D725+273)^4-(E725+273)^4)</f>
        <v>1374.9356953823915</v>
      </c>
      <c r="H725" s="23">
        <f t="shared" si="51"/>
        <v>650</v>
      </c>
      <c r="I725" s="12">
        <f>ksh*Massivete/(H725*RhoA)*DeltaT*(F725+G725)</f>
        <v>0.22067879456304754</v>
      </c>
      <c r="J725" s="3">
        <f>IF(E725&lt;=500,IF(Galva=Oui,0.35,0.7),0.7)</f>
        <v>0.7</v>
      </c>
    </row>
    <row r="726" spans="2:10" x14ac:dyDescent="0.25">
      <c r="B726" s="3">
        <f>B725+DeltaT</f>
        <v>3545</v>
      </c>
      <c r="C726" s="13">
        <f t="shared" si="52"/>
        <v>59.083333333333336</v>
      </c>
      <c r="D726" s="11">
        <f t="shared" si="53"/>
        <v>943.03812400669335</v>
      </c>
      <c r="E726" s="23">
        <f t="shared" si="50"/>
        <v>938.2002029051215</v>
      </c>
      <c r="F726" s="23">
        <f>AlphaC*(D726-E726)</f>
        <v>120.94802753929628</v>
      </c>
      <c r="G726" s="13">
        <f>Phi*EpsilonF*Botzman/10^8*J726*((D726+273)^4-(E726+273)^4)</f>
        <v>1372.9315129434453</v>
      </c>
      <c r="H726" s="23">
        <f t="shared" si="51"/>
        <v>650</v>
      </c>
      <c r="I726" s="12">
        <f>ksh*Massivete/(H726*RhoA)*DeltaT*(F726+G726)</f>
        <v>0.22034759883959995</v>
      </c>
      <c r="J726" s="3">
        <f>IF(E726&lt;=500,IF(Galva=Oui,0.35,0.7),0.7)</f>
        <v>0.7</v>
      </c>
    </row>
    <row r="727" spans="2:10" x14ac:dyDescent="0.25">
      <c r="B727" s="3">
        <f>B726+DeltaT</f>
        <v>3550</v>
      </c>
      <c r="C727" s="13">
        <f t="shared" si="52"/>
        <v>59.166666666666664</v>
      </c>
      <c r="D727" s="11">
        <f t="shared" si="53"/>
        <v>943.24885765079443</v>
      </c>
      <c r="E727" s="23">
        <f t="shared" si="50"/>
        <v>938.42055050396107</v>
      </c>
      <c r="F727" s="23">
        <f>AlphaC*(D727-E727)</f>
        <v>120.70767867083418</v>
      </c>
      <c r="G727" s="13">
        <f>Phi*EpsilonF*Botzman/10^8*J727*((D727+273)^4-(E727+273)^4)</f>
        <v>1370.9333693579897</v>
      </c>
      <c r="H727" s="23">
        <f t="shared" si="51"/>
        <v>650</v>
      </c>
      <c r="I727" s="12">
        <f>ksh*Massivete/(H727*RhoA)*DeltaT*(F727+G727)</f>
        <v>0.22001742065329055</v>
      </c>
      <c r="J727" s="3">
        <f>IF(E727&lt;=500,IF(Galva=Oui,0.35,0.7),0.7)</f>
        <v>0.7</v>
      </c>
    </row>
    <row r="728" spans="2:10" x14ac:dyDescent="0.25">
      <c r="B728" s="3">
        <f>B727+DeltaT</f>
        <v>3555</v>
      </c>
      <c r="C728" s="13">
        <f t="shared" si="52"/>
        <v>59.25</v>
      </c>
      <c r="D728" s="11">
        <f t="shared" si="53"/>
        <v>943.45929532057892</v>
      </c>
      <c r="E728" s="23">
        <f t="shared" si="50"/>
        <v>938.6405679246144</v>
      </c>
      <c r="F728" s="23">
        <f>AlphaC*(D728-E728)</f>
        <v>120.46818489911288</v>
      </c>
      <c r="G728" s="13">
        <f>Phi*EpsilonF*Botzman/10^8*J728*((D728+273)^4-(E728+273)^4)</f>
        <v>1368.9412348560049</v>
      </c>
      <c r="H728" s="23">
        <f t="shared" si="51"/>
        <v>650</v>
      </c>
      <c r="I728" s="12">
        <f>ksh*Massivete/(H728*RhoA)*DeltaT*(F728+G728)</f>
        <v>0.21968825493524691</v>
      </c>
      <c r="J728" s="3">
        <f>IF(E728&lt;=500,IF(Galva=Oui,0.35,0.7),0.7)</f>
        <v>0.7</v>
      </c>
    </row>
    <row r="729" spans="2:10" x14ac:dyDescent="0.25">
      <c r="B729" s="3">
        <f>B728+DeltaT</f>
        <v>3560</v>
      </c>
      <c r="C729" s="13">
        <f t="shared" si="52"/>
        <v>59.333333333333336</v>
      </c>
      <c r="D729" s="11">
        <f t="shared" si="53"/>
        <v>943.66943784626949</v>
      </c>
      <c r="E729" s="23">
        <f t="shared" si="50"/>
        <v>938.86025617954965</v>
      </c>
      <c r="F729" s="23">
        <f>AlphaC*(D729-E729)</f>
        <v>120.22954166799593</v>
      </c>
      <c r="G729" s="13">
        <f>Phi*EpsilonF*Botzman/10^8*J729*((D729+273)^4-(E729+273)^4)</f>
        <v>1366.9550799408637</v>
      </c>
      <c r="H729" s="23">
        <f t="shared" si="51"/>
        <v>650</v>
      </c>
      <c r="I729" s="12">
        <f>ksh*Massivete/(H729*RhoA)*DeltaT*(F729+G729)</f>
        <v>0.21936009666267806</v>
      </c>
      <c r="J729" s="3">
        <f>IF(E729&lt;=500,IF(Galva=Oui,0.35,0.7),0.7)</f>
        <v>0.7</v>
      </c>
    </row>
    <row r="730" spans="2:10" x14ac:dyDescent="0.25">
      <c r="B730" s="3">
        <f>B729+DeltaT</f>
        <v>3565</v>
      </c>
      <c r="C730" s="13">
        <f t="shared" si="52"/>
        <v>59.416666666666664</v>
      </c>
      <c r="D730" s="11">
        <f t="shared" si="53"/>
        <v>943.87928605460104</v>
      </c>
      <c r="E730" s="23">
        <f t="shared" si="50"/>
        <v>939.07961627621228</v>
      </c>
      <c r="F730" s="23">
        <f>AlphaC*(D730-E730)</f>
        <v>119.99174445971903</v>
      </c>
      <c r="G730" s="13">
        <f>Phi*EpsilonF*Botzman/10^8*J730*((D730+273)^4-(E730+273)^4)</f>
        <v>1364.9748753835654</v>
      </c>
      <c r="H730" s="23">
        <f t="shared" si="51"/>
        <v>650</v>
      </c>
      <c r="I730" s="12">
        <f>ksh*Massivete/(H730*RhoA)*DeltaT*(F730+G730)</f>
        <v>0.21903294085792785</v>
      </c>
      <c r="J730" s="3">
        <f>IF(E730&lt;=500,IF(Galva=Oui,0.35,0.7),0.7)</f>
        <v>0.7</v>
      </c>
    </row>
    <row r="731" spans="2:10" x14ac:dyDescent="0.25">
      <c r="B731" s="3">
        <f>B730+DeltaT</f>
        <v>3570</v>
      </c>
      <c r="C731" s="13">
        <f t="shared" si="52"/>
        <v>59.5</v>
      </c>
      <c r="D731" s="11">
        <f t="shared" si="53"/>
        <v>944.0888407688393</v>
      </c>
      <c r="E731" s="23">
        <f t="shared" si="50"/>
        <v>939.29864921707019</v>
      </c>
      <c r="F731" s="23">
        <f>AlphaC*(D731-E731)</f>
        <v>119.75478879422781</v>
      </c>
      <c r="G731" s="13">
        <f>Phi*EpsilonF*Botzman/10^8*J731*((D731+273)^4-(E731+273)^4)</f>
        <v>1363.0005922170762</v>
      </c>
      <c r="H731" s="23">
        <f t="shared" si="51"/>
        <v>650</v>
      </c>
      <c r="I731" s="12">
        <f>ksh*Massivete/(H731*RhoA)*DeltaT*(F731+G731)</f>
        <v>0.21870678258754261</v>
      </c>
      <c r="J731" s="3">
        <f>IF(E731&lt;=500,IF(Galva=Oui,0.35,0.7),0.7)</f>
        <v>0.7</v>
      </c>
    </row>
    <row r="732" spans="2:10" x14ac:dyDescent="0.25">
      <c r="B732" s="3">
        <f>B731+DeltaT</f>
        <v>3575</v>
      </c>
      <c r="C732" s="13">
        <f t="shared" si="52"/>
        <v>59.583333333333336</v>
      </c>
      <c r="D732" s="11">
        <f t="shared" si="53"/>
        <v>944.29810280880019</v>
      </c>
      <c r="E732" s="23">
        <f t="shared" si="50"/>
        <v>939.51735599965775</v>
      </c>
      <c r="F732" s="23">
        <f>AlphaC*(D732-E732)</f>
        <v>119.51867022856106</v>
      </c>
      <c r="G732" s="13">
        <f>Phi*EpsilonF*Botzman/10^8*J732*((D732+273)^4-(E732+273)^4)</f>
        <v>1361.0322017310691</v>
      </c>
      <c r="H732" s="23">
        <f t="shared" si="51"/>
        <v>650</v>
      </c>
      <c r="I732" s="12">
        <f>ksh*Massivete/(H732*RhoA)*DeltaT*(F732+G732)</f>
        <v>0.21838161696140412</v>
      </c>
      <c r="J732" s="3">
        <f>IF(E732&lt;=500,IF(Galva=Oui,0.35,0.7),0.7)</f>
        <v>0.7</v>
      </c>
    </row>
    <row r="733" spans="2:10" x14ac:dyDescent="0.25">
      <c r="B733" s="3">
        <f>B732+DeltaT</f>
        <v>3580</v>
      </c>
      <c r="C733" s="13">
        <f t="shared" si="52"/>
        <v>59.666666666666664</v>
      </c>
      <c r="D733" s="11">
        <f t="shared" si="53"/>
        <v>944.50707299087026</v>
      </c>
      <c r="E733" s="23">
        <f t="shared" si="50"/>
        <v>939.73573761661919</v>
      </c>
      <c r="F733" s="23">
        <f>AlphaC*(D733-E733)</f>
        <v>119.28338435627666</v>
      </c>
      <c r="G733" s="13">
        <f>Phi*EpsilonF*Botzman/10^8*J733*((D733+273)^4-(E733+273)^4)</f>
        <v>1359.069675467252</v>
      </c>
      <c r="H733" s="23">
        <f t="shared" si="51"/>
        <v>650</v>
      </c>
      <c r="I733" s="12">
        <f>ksh*Massivete/(H733*RhoA)*DeltaT*(F733+G733)</f>
        <v>0.21805743913195613</v>
      </c>
      <c r="J733" s="3">
        <f>IF(E733&lt;=500,IF(Galva=Oui,0.35,0.7),0.7)</f>
        <v>0.7</v>
      </c>
    </row>
    <row r="734" spans="2:10" x14ac:dyDescent="0.25">
      <c r="B734" s="3">
        <f>B733+DeltaT</f>
        <v>3585</v>
      </c>
      <c r="C734" s="13">
        <f t="shared" si="52"/>
        <v>59.75</v>
      </c>
      <c r="D734" s="11">
        <f t="shared" si="53"/>
        <v>944.71575212802418</v>
      </c>
      <c r="E734" s="23">
        <f t="shared" si="50"/>
        <v>939.95379505575113</v>
      </c>
      <c r="F734" s="23">
        <f>AlphaC*(D734-E734)</f>
        <v>119.04892680682622</v>
      </c>
      <c r="G734" s="13">
        <f>Phi*EpsilonF*Botzman/10^8*J734*((D734+273)^4-(E734+273)^4)</f>
        <v>1357.1129852134864</v>
      </c>
      <c r="H734" s="23">
        <f t="shared" si="51"/>
        <v>650</v>
      </c>
      <c r="I734" s="12">
        <f>ksh*Massivete/(H734*RhoA)*DeltaT*(F734+G734)</f>
        <v>0.21773424429324426</v>
      </c>
      <c r="J734" s="3">
        <f>IF(E734&lt;=500,IF(Galva=Oui,0.35,0.7),0.7)</f>
        <v>0.7</v>
      </c>
    </row>
    <row r="735" spans="2:10" x14ac:dyDescent="0.25">
      <c r="B735" s="3">
        <f>B734+DeltaT</f>
        <v>3590</v>
      </c>
      <c r="C735" s="13">
        <f t="shared" si="52"/>
        <v>59.833333333333336</v>
      </c>
      <c r="D735" s="11">
        <f t="shared" si="53"/>
        <v>944.92414102984503</v>
      </c>
      <c r="E735" s="23">
        <f t="shared" si="50"/>
        <v>940.17152930004443</v>
      </c>
      <c r="F735" s="23">
        <f>AlphaC*(D735-E735)</f>
        <v>118.81529324501514</v>
      </c>
      <c r="G735" s="13">
        <f>Phi*EpsilonF*Botzman/10^8*J735*((D735+273)^4-(E735+273)^4)</f>
        <v>1355.1621029995529</v>
      </c>
      <c r="H735" s="23">
        <f t="shared" si="51"/>
        <v>650</v>
      </c>
      <c r="I735" s="12">
        <f>ksh*Massivete/(H735*RhoA)*DeltaT*(F735+G735)</f>
        <v>0.21741202768021195</v>
      </c>
      <c r="J735" s="3">
        <f>IF(E735&lt;=500,IF(Galva=Oui,0.35,0.7),0.7)</f>
        <v>0.7</v>
      </c>
    </row>
    <row r="736" spans="2:10" x14ac:dyDescent="0.25">
      <c r="B736" s="3">
        <f>B735+DeltaT</f>
        <v>3595</v>
      </c>
      <c r="C736" s="13">
        <f t="shared" si="52"/>
        <v>59.916666666666664</v>
      </c>
      <c r="D736" s="11">
        <f t="shared" si="53"/>
        <v>945.13224050254269</v>
      </c>
      <c r="E736" s="23">
        <f t="shared" si="50"/>
        <v>940.38894132772464</v>
      </c>
      <c r="F736" s="23">
        <f>AlphaC*(D736-E736)</f>
        <v>118.58247937045121</v>
      </c>
      <c r="G736" s="13">
        <f>Phi*EpsilonF*Botzman/10^8*J736*((D736+273)^4-(E736+273)^4)</f>
        <v>1353.2170010924519</v>
      </c>
      <c r="H736" s="23">
        <f t="shared" si="51"/>
        <v>650</v>
      </c>
      <c r="I736" s="12">
        <f>ksh*Massivete/(H736*RhoA)*DeltaT*(F736+G736)</f>
        <v>0.21709078456792619</v>
      </c>
      <c r="J736" s="3">
        <f>IF(E736&lt;=500,IF(Galva=Oui,0.35,0.7),0.7)</f>
        <v>0.7</v>
      </c>
    </row>
    <row r="737" spans="2:10" x14ac:dyDescent="0.25">
      <c r="B737" s="3">
        <f>B736+DeltaT</f>
        <v>3600</v>
      </c>
      <c r="C737" s="13">
        <f t="shared" si="52"/>
        <v>60</v>
      </c>
      <c r="D737" s="11">
        <f t="shared" si="53"/>
        <v>945.34005134897188</v>
      </c>
      <c r="E737" s="23">
        <f t="shared" si="50"/>
        <v>940.60603211229261</v>
      </c>
      <c r="F737" s="23">
        <f>AlphaC*(D737-E737)</f>
        <v>118.35048091698184</v>
      </c>
      <c r="G737" s="13">
        <f>Phi*EpsilonF*Botzman/10^8*J737*((D737+273)^4-(E737+273)^4)</f>
        <v>1351.2776519918871</v>
      </c>
      <c r="H737" s="23">
        <f t="shared" si="51"/>
        <v>650</v>
      </c>
      <c r="I737" s="12">
        <f>ksh*Massivete/(H737*RhoA)*DeltaT*(F737+G737)</f>
        <v>0.21677051027082783</v>
      </c>
      <c r="J737" s="3">
        <f>IF(E737&lt;=500,IF(Galva=Oui,0.35,0.7),0.7)</f>
        <v>0.7</v>
      </c>
    </row>
    <row r="738" spans="2:10" x14ac:dyDescent="0.25">
      <c r="B738" s="3">
        <f>B737+DeltaT</f>
        <v>3605</v>
      </c>
      <c r="C738" s="13">
        <f t="shared" si="52"/>
        <v>60.083333333333336</v>
      </c>
      <c r="D738" s="11">
        <f t="shared" si="53"/>
        <v>945.54757436865179</v>
      </c>
      <c r="E738" s="23">
        <f t="shared" si="50"/>
        <v>940.82280262256347</v>
      </c>
      <c r="F738" s="23">
        <f>AlphaC*(D738-E738)</f>
        <v>118.11929365220806</v>
      </c>
      <c r="G738" s="13">
        <f>Phi*EpsilonF*Botzman/10^8*J738*((D738+273)^4-(E738+273)^4)</f>
        <v>1349.3440284255475</v>
      </c>
      <c r="H738" s="23">
        <f t="shared" si="51"/>
        <v>650</v>
      </c>
      <c r="I738" s="12">
        <f>ksh*Massivete/(H738*RhoA)*DeltaT*(F738+G738)</f>
        <v>0.21645120014196456</v>
      </c>
      <c r="J738" s="3">
        <f>IF(E738&lt;=500,IF(Galva=Oui,0.35,0.7),0.7)</f>
        <v>0.7</v>
      </c>
    </row>
    <row r="739" spans="2:10" x14ac:dyDescent="0.25">
      <c r="B739" s="3">
        <f>B738+DeltaT</f>
        <v>3610</v>
      </c>
      <c r="C739" s="13">
        <f t="shared" si="52"/>
        <v>60.166666666666664</v>
      </c>
      <c r="D739" s="11">
        <f t="shared" si="53"/>
        <v>945.75481035778432</v>
      </c>
      <c r="E739" s="23">
        <f t="shared" si="50"/>
        <v>941.0392538227054</v>
      </c>
      <c r="F739" s="23">
        <f>AlphaC*(D739-E739)</f>
        <v>117.88891337697294</v>
      </c>
      <c r="G739" s="13">
        <f>Phi*EpsilonF*Botzman/10^8*J739*((D739+273)^4-(E739+273)^4)</f>
        <v>1347.4161033453765</v>
      </c>
      <c r="H739" s="23">
        <f t="shared" si="51"/>
        <v>650</v>
      </c>
      <c r="I739" s="12">
        <f>ksh*Massivete/(H739*RhoA)*DeltaT*(F739+G739)</f>
        <v>0.21613284957236464</v>
      </c>
      <c r="J739" s="3">
        <f>IF(E739&lt;=500,IF(Galva=Oui,0.35,0.7),0.7)</f>
        <v>0.7</v>
      </c>
    </row>
    <row r="740" spans="2:10" x14ac:dyDescent="0.25">
      <c r="B740" s="3">
        <f>B739+DeltaT</f>
        <v>3615</v>
      </c>
      <c r="C740" s="13">
        <f t="shared" si="52"/>
        <v>60.25</v>
      </c>
      <c r="D740" s="11">
        <f t="shared" si="53"/>
        <v>945.96176010927149</v>
      </c>
      <c r="E740" s="23">
        <f t="shared" si="50"/>
        <v>941.25538667227772</v>
      </c>
      <c r="F740" s="23">
        <f>AlphaC*(D740-E740)</f>
        <v>117.6593359248443</v>
      </c>
      <c r="G740" s="13">
        <f>Phi*EpsilonF*Botzman/10^8*J740*((D740+273)^4-(E740+273)^4)</f>
        <v>1345.4938499232017</v>
      </c>
      <c r="H740" s="23">
        <f t="shared" si="51"/>
        <v>650</v>
      </c>
      <c r="I740" s="12">
        <f>ksh*Massivete/(H740*RhoA)*DeltaT*(F740+G740)</f>
        <v>0.21581545399031624</v>
      </c>
      <c r="J740" s="3">
        <f>IF(E740&lt;=500,IF(Galva=Oui,0.35,0.7),0.7)</f>
        <v>0.7</v>
      </c>
    </row>
    <row r="741" spans="2:10" x14ac:dyDescent="0.25">
      <c r="B741" s="3">
        <f>B740+DeltaT</f>
        <v>3620</v>
      </c>
      <c r="C741" s="13">
        <f t="shared" si="52"/>
        <v>60.333333333333336</v>
      </c>
      <c r="D741" s="11">
        <f t="shared" si="53"/>
        <v>946.16842441273513</v>
      </c>
      <c r="E741" s="23">
        <f t="shared" si="50"/>
        <v>941.47120212626805</v>
      </c>
      <c r="F741" s="23">
        <f>AlphaC*(D741-E741)</f>
        <v>117.43055716167703</v>
      </c>
      <c r="G741" s="13">
        <f>Phi*EpsilonF*Botzman/10^8*J741*((D741+273)^4-(E741+273)^4)</f>
        <v>1343.5772415471395</v>
      </c>
      <c r="H741" s="23">
        <f t="shared" si="51"/>
        <v>650</v>
      </c>
      <c r="I741" s="12">
        <f>ksh*Massivete/(H741*RhoA)*DeltaT*(F741+G741)</f>
        <v>0.21549900886077267</v>
      </c>
      <c r="J741" s="3">
        <f>IF(E741&lt;=500,IF(Galva=Oui,0.35,0.7),0.7)</f>
        <v>0.7</v>
      </c>
    </row>
    <row r="742" spans="2:10" x14ac:dyDescent="0.25">
      <c r="B742" s="3">
        <f>B741+DeltaT</f>
        <v>3625</v>
      </c>
      <c r="C742" s="13">
        <f t="shared" si="52"/>
        <v>60.416666666666664</v>
      </c>
      <c r="D742" s="11">
        <f t="shared" si="53"/>
        <v>946.3748040545338</v>
      </c>
      <c r="E742" s="23">
        <f t="shared" si="50"/>
        <v>941.68670113512883</v>
      </c>
      <c r="F742" s="23">
        <f>AlphaC*(D742-E742)</f>
        <v>117.20257298512422</v>
      </c>
      <c r="G742" s="13">
        <f>Phi*EpsilonF*Botzman/10^8*J742*((D742+273)^4-(E742+273)^4)</f>
        <v>1341.666251817177</v>
      </c>
      <c r="H742" s="23">
        <f t="shared" si="51"/>
        <v>650</v>
      </c>
      <c r="I742" s="12">
        <f>ksh*Massivete/(H742*RhoA)*DeltaT*(F742+G742)</f>
        <v>0.21518350968462832</v>
      </c>
      <c r="J742" s="3">
        <f>IF(E742&lt;=500,IF(Galva=Oui,0.35,0.7),0.7)</f>
        <v>0.7</v>
      </c>
    </row>
    <row r="743" spans="2:10" x14ac:dyDescent="0.25">
      <c r="B743" s="3">
        <f>B742+DeltaT</f>
        <v>3630</v>
      </c>
      <c r="C743" s="13">
        <f t="shared" si="52"/>
        <v>60.5</v>
      </c>
      <c r="D743" s="11">
        <f t="shared" si="53"/>
        <v>946.58089981778096</v>
      </c>
      <c r="E743" s="23">
        <f t="shared" si="50"/>
        <v>941.90188464481344</v>
      </c>
      <c r="F743" s="23">
        <f>AlphaC*(D743-E743)</f>
        <v>116.97537932418811</v>
      </c>
      <c r="G743" s="13">
        <f>Phi*EpsilonF*Botzman/10^8*J743*((D743+273)^4-(E743+273)^4)</f>
        <v>1339.7608545418777</v>
      </c>
      <c r="H743" s="23">
        <f t="shared" si="51"/>
        <v>650</v>
      </c>
      <c r="I743" s="12">
        <f>ksh*Massivete/(H743*RhoA)*DeltaT*(F743+G743)</f>
        <v>0.21486895199816672</v>
      </c>
      <c r="J743" s="3">
        <f>IF(E743&lt;=500,IF(Galva=Oui,0.35,0.7),0.7)</f>
        <v>0.7</v>
      </c>
    </row>
    <row r="744" spans="2:10" x14ac:dyDescent="0.25">
      <c r="B744" s="3">
        <f>B743+DeltaT</f>
        <v>3635</v>
      </c>
      <c r="C744" s="13">
        <f t="shared" si="52"/>
        <v>60.583333333333336</v>
      </c>
      <c r="D744" s="11">
        <f t="shared" si="53"/>
        <v>946.78671248236299</v>
      </c>
      <c r="E744" s="23">
        <f t="shared" si="50"/>
        <v>942.11675359681158</v>
      </c>
      <c r="F744" s="23">
        <f>AlphaC*(D744-E744)</f>
        <v>116.74897213878523</v>
      </c>
      <c r="G744" s="13">
        <f>Phi*EpsilonF*Botzman/10^8*J744*((D744+273)^4-(E744+273)^4)</f>
        <v>1337.8610237349408</v>
      </c>
      <c r="H744" s="23">
        <f t="shared" si="51"/>
        <v>650</v>
      </c>
      <c r="I744" s="12">
        <f>ksh*Massivete/(H744*RhoA)*DeltaT*(F744+G744)</f>
        <v>0.21455533137248878</v>
      </c>
      <c r="J744" s="3">
        <f>IF(E744&lt;=500,IF(Galva=Oui,0.35,0.7),0.7)</f>
        <v>0.7</v>
      </c>
    </row>
    <row r="745" spans="2:10" x14ac:dyDescent="0.25">
      <c r="B745" s="3">
        <f>B744+DeltaT</f>
        <v>3640</v>
      </c>
      <c r="C745" s="13">
        <f t="shared" si="52"/>
        <v>60.666666666666664</v>
      </c>
      <c r="D745" s="11">
        <f t="shared" si="53"/>
        <v>946.9922428249572</v>
      </c>
      <c r="E745" s="23">
        <f t="shared" si="50"/>
        <v>942.33130892818406</v>
      </c>
      <c r="F745" s="23">
        <f>AlphaC*(D745-E745)</f>
        <v>116.52334741932862</v>
      </c>
      <c r="G745" s="13">
        <f>Phi*EpsilonF*Botzman/10^8*J745*((D745+273)^4-(E745+273)^4)</f>
        <v>1335.9667336114417</v>
      </c>
      <c r="H745" s="23">
        <f t="shared" si="51"/>
        <v>650</v>
      </c>
      <c r="I745" s="12">
        <f>ksh*Massivete/(H745*RhoA)*DeltaT*(F745+G745)</f>
        <v>0.21424264341289687</v>
      </c>
      <c r="J745" s="3">
        <f>IF(E745&lt;=500,IF(Galva=Oui,0.35,0.7),0.7)</f>
        <v>0.7</v>
      </c>
    </row>
    <row r="746" spans="2:10" x14ac:dyDescent="0.25">
      <c r="B746" s="3">
        <f>B745+DeltaT</f>
        <v>3645</v>
      </c>
      <c r="C746" s="13">
        <f t="shared" si="52"/>
        <v>60.75</v>
      </c>
      <c r="D746" s="11">
        <f t="shared" si="53"/>
        <v>947.19749161904872</v>
      </c>
      <c r="E746" s="23">
        <f t="shared" si="50"/>
        <v>942.545551571597</v>
      </c>
      <c r="F746" s="23">
        <f>AlphaC*(D746-E746)</f>
        <v>116.29850118629292</v>
      </c>
      <c r="G746" s="13">
        <f>Phi*EpsilonF*Botzman/10^8*J746*((D746+273)^4-(E746+273)^4)</f>
        <v>1334.0779585845089</v>
      </c>
      <c r="H746" s="23">
        <f t="shared" si="51"/>
        <v>650</v>
      </c>
      <c r="I746" s="12">
        <f>ksh*Massivete/(H746*RhoA)*DeltaT*(F746+G746)</f>
        <v>0.21393088375834005</v>
      </c>
      <c r="J746" s="3">
        <f>IF(E746&lt;=500,IF(Galva=Oui,0.35,0.7),0.7)</f>
        <v>0.7</v>
      </c>
    </row>
    <row r="747" spans="2:10" x14ac:dyDescent="0.25">
      <c r="B747" s="3">
        <f>B746+DeltaT</f>
        <v>3650</v>
      </c>
      <c r="C747" s="13">
        <f t="shared" si="52"/>
        <v>60.833333333333336</v>
      </c>
      <c r="D747" s="11">
        <f t="shared" si="53"/>
        <v>947.40245963494863</v>
      </c>
      <c r="E747" s="23">
        <f t="shared" si="50"/>
        <v>942.7594824553554</v>
      </c>
      <c r="F747" s="23">
        <f>AlphaC*(D747-E747)</f>
        <v>116.07442948983078</v>
      </c>
      <c r="G747" s="13">
        <f>Phi*EpsilonF*Botzman/10^8*J747*((D747+273)^4-(E747+273)^4)</f>
        <v>1332.1946732622418</v>
      </c>
      <c r="H747" s="23">
        <f t="shared" si="51"/>
        <v>650</v>
      </c>
      <c r="I747" s="12">
        <f>ksh*Massivete/(H747*RhoA)*DeltaT*(F747+G747)</f>
        <v>0.21362004808090337</v>
      </c>
      <c r="J747" s="3">
        <f>IF(E747&lt;=500,IF(Galva=Oui,0.35,0.7),0.7)</f>
        <v>0.7</v>
      </c>
    </row>
    <row r="748" spans="2:10" x14ac:dyDescent="0.25">
      <c r="B748" s="3">
        <f>B747+DeltaT</f>
        <v>3655</v>
      </c>
      <c r="C748" s="13">
        <f t="shared" si="52"/>
        <v>60.916666666666664</v>
      </c>
      <c r="D748" s="11">
        <f t="shared" si="53"/>
        <v>947.60714763981071</v>
      </c>
      <c r="E748" s="23">
        <f t="shared" si="50"/>
        <v>942.97310250343628</v>
      </c>
      <c r="F748" s="23">
        <f>AlphaC*(D748-E748)</f>
        <v>115.85112840936063</v>
      </c>
      <c r="G748" s="13">
        <f>Phi*EpsilonF*Botzman/10^8*J748*((D748+273)^4-(E748+273)^4)</f>
        <v>1330.3168524443297</v>
      </c>
      <c r="H748" s="23">
        <f t="shared" si="51"/>
        <v>650</v>
      </c>
      <c r="I748" s="12">
        <f>ksh*Massivete/(H748*RhoA)*DeltaT*(F748+G748)</f>
        <v>0.21331013208524802</v>
      </c>
      <c r="J748" s="3">
        <f>IF(E748&lt;=500,IF(Galva=Oui,0.35,0.7),0.7)</f>
        <v>0.7</v>
      </c>
    </row>
    <row r="749" spans="2:10" x14ac:dyDescent="0.25">
      <c r="B749" s="3">
        <f>B748+DeltaT</f>
        <v>3660</v>
      </c>
      <c r="C749" s="13">
        <f t="shared" si="52"/>
        <v>61</v>
      </c>
      <c r="D749" s="11">
        <f t="shared" si="53"/>
        <v>947.81155639764904</v>
      </c>
      <c r="E749" s="23">
        <f t="shared" si="50"/>
        <v>943.18641263552149</v>
      </c>
      <c r="F749" s="23">
        <f>AlphaC*(D749-E749)</f>
        <v>115.62859405318875</v>
      </c>
      <c r="G749" s="13">
        <f>Phi*EpsilonF*Botzman/10^8*J749*((D749+273)^4-(E749+273)^4)</f>
        <v>1328.4444711191541</v>
      </c>
      <c r="H749" s="23">
        <f t="shared" si="51"/>
        <v>650</v>
      </c>
      <c r="I749" s="12">
        <f>ksh*Massivete/(H749*RhoA)*DeltaT*(F749+G749)</f>
        <v>0.21300113150812844</v>
      </c>
      <c r="J749" s="3">
        <f>IF(E749&lt;=500,IF(Galva=Oui,0.35,0.7),0.7)</f>
        <v>0.7</v>
      </c>
    </row>
    <row r="750" spans="2:10" x14ac:dyDescent="0.25">
      <c r="B750" s="3">
        <f>B749+DeltaT</f>
        <v>3665</v>
      </c>
      <c r="C750" s="13">
        <f t="shared" si="52"/>
        <v>61.083333333333336</v>
      </c>
      <c r="D750" s="11">
        <f t="shared" si="53"/>
        <v>948.01568666935486</v>
      </c>
      <c r="E750" s="23">
        <f t="shared" si="50"/>
        <v>943.39941376702961</v>
      </c>
      <c r="F750" s="23">
        <f>AlphaC*(D750-E750)</f>
        <v>115.40682255813124</v>
      </c>
      <c r="G750" s="13">
        <f>Phi*EpsilonF*Botzman/10^8*J750*((D750+273)^4-(E750+273)^4)</f>
        <v>1326.5775044608913</v>
      </c>
      <c r="H750" s="23">
        <f t="shared" si="51"/>
        <v>650</v>
      </c>
      <c r="I750" s="12">
        <f>ksh*Massivete/(H750*RhoA)*DeltaT*(F750+G750)</f>
        <v>0.21269304211790888</v>
      </c>
      <c r="J750" s="3">
        <f>IF(E750&lt;=500,IF(Galva=Oui,0.35,0.7),0.7)</f>
        <v>0.7</v>
      </c>
    </row>
    <row r="751" spans="2:10" x14ac:dyDescent="0.25">
      <c r="B751" s="3">
        <f>B750+DeltaT</f>
        <v>3670</v>
      </c>
      <c r="C751" s="13">
        <f t="shared" si="52"/>
        <v>61.166666666666664</v>
      </c>
      <c r="D751" s="11">
        <f t="shared" si="53"/>
        <v>948.21953921271438</v>
      </c>
      <c r="E751" s="23">
        <f t="shared" si="50"/>
        <v>943.61210680914758</v>
      </c>
      <c r="F751" s="23">
        <f>AlphaC*(D751-E751)</f>
        <v>115.1858100891701</v>
      </c>
      <c r="G751" s="13">
        <f>Phi*EpsilonF*Botzman/10^8*J751*((D751+273)^4-(E751+273)^4)</f>
        <v>1324.7159278264794</v>
      </c>
      <c r="H751" s="23">
        <f t="shared" si="51"/>
        <v>650</v>
      </c>
      <c r="I751" s="12">
        <f>ksh*Massivete/(H751*RhoA)*DeltaT*(F751+G751)</f>
        <v>0.21238585971406559</v>
      </c>
      <c r="J751" s="3">
        <f>IF(E751&lt;=500,IF(Galva=Oui,0.35,0.7),0.7)</f>
        <v>0.7</v>
      </c>
    </row>
    <row r="752" spans="2:10" x14ac:dyDescent="0.25">
      <c r="B752" s="3">
        <f>B751+DeltaT</f>
        <v>3675</v>
      </c>
      <c r="C752" s="13">
        <f t="shared" si="52"/>
        <v>61.25</v>
      </c>
      <c r="D752" s="11">
        <f t="shared" si="53"/>
        <v>948.42311478242402</v>
      </c>
      <c r="E752" s="23">
        <f t="shared" si="50"/>
        <v>943.82449266886169</v>
      </c>
      <c r="F752" s="23">
        <f>AlphaC*(D752-E752)</f>
        <v>114.9655528390582</v>
      </c>
      <c r="G752" s="13">
        <f>Phi*EpsilonF*Botzman/10^8*J752*((D752+273)^4-(E752+273)^4)</f>
        <v>1322.8597167525859</v>
      </c>
      <c r="H752" s="23">
        <f t="shared" si="51"/>
        <v>650</v>
      </c>
      <c r="I752" s="12">
        <f>ksh*Massivete/(H752*RhoA)*DeltaT*(F752+G752)</f>
        <v>0.21207958012668116</v>
      </c>
      <c r="J752" s="3">
        <f>IF(E752&lt;=500,IF(Galva=Oui,0.35,0.7),0.7)</f>
        <v>0.7</v>
      </c>
    </row>
    <row r="753" spans="2:10" x14ac:dyDescent="0.25">
      <c r="B753" s="3">
        <f>B752+DeltaT</f>
        <v>3680</v>
      </c>
      <c r="C753" s="13">
        <f t="shared" si="52"/>
        <v>61.333333333333336</v>
      </c>
      <c r="D753" s="11">
        <f t="shared" si="53"/>
        <v>948.62641413010908</v>
      </c>
      <c r="E753" s="23">
        <f t="shared" si="50"/>
        <v>944.03657224898836</v>
      </c>
      <c r="F753" s="23">
        <f>AlphaC*(D753-E753)</f>
        <v>114.74604702801798</v>
      </c>
      <c r="G753" s="13">
        <f>Phi*EpsilonF*Botzman/10^8*J753*((D753+273)^4-(E753+273)^4)</f>
        <v>1321.0088469537368</v>
      </c>
      <c r="H753" s="23">
        <f t="shared" si="51"/>
        <v>650</v>
      </c>
      <c r="I753" s="12">
        <f>ksh*Massivete/(H753*RhoA)*DeltaT*(F753+G753)</f>
        <v>0.21177419921612411</v>
      </c>
      <c r="J753" s="3">
        <f>IF(E753&lt;=500,IF(Galva=Oui,0.35,0.7),0.7)</f>
        <v>0.7</v>
      </c>
    </row>
    <row r="754" spans="2:10" x14ac:dyDescent="0.25">
      <c r="B754" s="3">
        <f>B753+DeltaT</f>
        <v>3685</v>
      </c>
      <c r="C754" s="13">
        <f t="shared" si="52"/>
        <v>61.416666666666664</v>
      </c>
      <c r="D754" s="11">
        <f t="shared" si="53"/>
        <v>948.82943800433895</v>
      </c>
      <c r="E754" s="23">
        <f t="shared" ref="E754:E755" si="54">E753+I753</f>
        <v>944.24834644820453</v>
      </c>
      <c r="F754" s="23">
        <f>AlphaC*(D754-E754)</f>
        <v>114.52728890336061</v>
      </c>
      <c r="G754" s="13">
        <f>Phi*EpsilonF*Botzman/10^8*J754*((D754+273)^4-(E754+273)^4)</f>
        <v>1319.1632943186353</v>
      </c>
      <c r="H754" s="23">
        <f t="shared" ref="H754:H755" si="55">IF(E754&lt;600,425+0.773*E754-1.69/1000*E754^2+2.22/1000^2*E754^3,IF(E754&lt;735,666+13002/(738-E754),IF(E754&lt;900,545+17820/(E754-731),650)))</f>
        <v>650</v>
      </c>
      <c r="I754" s="12">
        <f>ksh*Massivete/(H754*RhoA)*DeltaT*(F754+G754)</f>
        <v>0.2114697128724497</v>
      </c>
      <c r="J754" s="3">
        <f>IF(E754&lt;=500,IF(Galva=Oui,0.35,0.7),0.7)</f>
        <v>0.7</v>
      </c>
    </row>
    <row r="755" spans="2:10" x14ac:dyDescent="0.25">
      <c r="B755" s="3">
        <f>B754+DeltaT</f>
        <v>3690</v>
      </c>
      <c r="C755" s="13">
        <f t="shared" si="52"/>
        <v>61.5</v>
      </c>
      <c r="D755" s="11">
        <f t="shared" si="53"/>
        <v>949.03218715064429</v>
      </c>
      <c r="E755" s="23">
        <f t="shared" si="54"/>
        <v>944.45981616107701</v>
      </c>
      <c r="F755" s="23">
        <f>AlphaC*(D755-E755)</f>
        <v>114.30927473918189</v>
      </c>
      <c r="G755" s="13">
        <f>Phi*EpsilonF*Botzman/10^8*J755*((D755+273)^4-(E755+273)^4)</f>
        <v>1317.3230349084361</v>
      </c>
      <c r="H755" s="23">
        <f t="shared" si="55"/>
        <v>650</v>
      </c>
      <c r="I755" s="12">
        <f>ksh*Massivete/(H755*RhoA)*DeltaT*(F755+G755)</f>
        <v>0.21116611701510057</v>
      </c>
      <c r="J755" s="3">
        <f>IF(E755&lt;=500,IF(Galva=Oui,0.35,0.7),0.7)</f>
        <v>0.7</v>
      </c>
    </row>
    <row r="756" spans="2:10" x14ac:dyDescent="0.25">
      <c r="B756" s="3">
        <f>B755+DeltaT</f>
        <v>3695</v>
      </c>
      <c r="C756" s="13">
        <f t="shared" si="52"/>
        <v>61.583333333333336</v>
      </c>
      <c r="D756" s="11">
        <f t="shared" si="53"/>
        <v>949.23466231153338</v>
      </c>
      <c r="E756" s="23">
        <f t="shared" ref="E756:E819" si="56">E755+I755</f>
        <v>944.67098227809208</v>
      </c>
      <c r="F756" s="23">
        <f>AlphaC*(D756-E756)</f>
        <v>114.09200083603253</v>
      </c>
      <c r="G756" s="13">
        <f>Phi*EpsilonF*Botzman/10^8*J756*((D756+273)^4-(E756+273)^4)</f>
        <v>1315.4880449536449</v>
      </c>
      <c r="H756" s="23">
        <f t="shared" ref="H756:H819" si="57">IF(E756&lt;600,425+0.773*E756-1.69/1000*E756^2+2.22/1000^2*E756^3,IF(E756&lt;735,666+13002/(738-E756),IF(E756&lt;900,545+17820/(E756-731),650)))</f>
        <v>650</v>
      </c>
      <c r="I756" s="12">
        <f>ksh*Massivete/(H756*RhoA)*DeltaT*(F756+G756)</f>
        <v>0.21086340759240085</v>
      </c>
      <c r="J756" s="3">
        <f>IF(E756&lt;=500,IF(Galva=Oui,0.35,0.7),0.7)</f>
        <v>0.7</v>
      </c>
    </row>
    <row r="757" spans="2:10" x14ac:dyDescent="0.25">
      <c r="B757" s="3">
        <f>B756+DeltaT</f>
        <v>3700</v>
      </c>
      <c r="C757" s="13">
        <f t="shared" si="52"/>
        <v>61.666666666666664</v>
      </c>
      <c r="D757" s="11">
        <f t="shared" si="53"/>
        <v>949.43686422650831</v>
      </c>
      <c r="E757" s="23">
        <f t="shared" si="56"/>
        <v>944.88184568568454</v>
      </c>
      <c r="F757" s="23">
        <f>AlphaC*(D757-E757)</f>
        <v>113.87546352059417</v>
      </c>
      <c r="G757" s="13">
        <f>Phi*EpsilonF*Botzman/10^8*J757*((D757+273)^4-(E757+273)^4)</f>
        <v>1313.658300852404</v>
      </c>
      <c r="H757" s="23">
        <f t="shared" si="57"/>
        <v>650</v>
      </c>
      <c r="I757" s="12">
        <f>ksh*Massivete/(H757*RhoA)*DeltaT*(F757+G757)</f>
        <v>0.21056158058125529</v>
      </c>
      <c r="J757" s="3">
        <f>IF(E757&lt;=500,IF(Galva=Oui,0.35,0.7),0.7)</f>
        <v>0.7</v>
      </c>
    </row>
    <row r="758" spans="2:10" x14ac:dyDescent="0.25">
      <c r="B758" s="3">
        <f>B757+DeltaT</f>
        <v>3705</v>
      </c>
      <c r="C758" s="13">
        <f t="shared" si="52"/>
        <v>61.75</v>
      </c>
      <c r="D758" s="11">
        <f t="shared" si="53"/>
        <v>949.63879363208116</v>
      </c>
      <c r="E758" s="23">
        <f t="shared" si="56"/>
        <v>945.09240726626581</v>
      </c>
      <c r="F758" s="23">
        <f>AlphaC*(D758-E758)</f>
        <v>113.65965914538378</v>
      </c>
      <c r="G758" s="13">
        <f>Phi*EpsilonF*Botzman/10^8*J758*((D758+273)^4-(E758+273)^4)</f>
        <v>1311.8337791673416</v>
      </c>
      <c r="H758" s="23">
        <f t="shared" si="57"/>
        <v>650</v>
      </c>
      <c r="I758" s="12">
        <f>ksh*Massivete/(H758*RhoA)*DeltaT*(F758+G758)</f>
        <v>0.21026063198664124</v>
      </c>
      <c r="J758" s="3">
        <f>IF(E758&lt;=500,IF(Galva=Oui,0.35,0.7),0.7)</f>
        <v>0.7</v>
      </c>
    </row>
    <row r="759" spans="2:10" x14ac:dyDescent="0.25">
      <c r="B759" s="3">
        <f>B758+DeltaT</f>
        <v>3710</v>
      </c>
      <c r="C759" s="13">
        <f t="shared" si="52"/>
        <v>61.833333333333336</v>
      </c>
      <c r="D759" s="11">
        <f t="shared" si="53"/>
        <v>949.84045126179058</v>
      </c>
      <c r="E759" s="23">
        <f t="shared" si="56"/>
        <v>945.30266789825248</v>
      </c>
      <c r="F759" s="23">
        <f>AlphaC*(D759-E759)</f>
        <v>113.44458408845242</v>
      </c>
      <c r="G759" s="13">
        <f>Phi*EpsilonF*Botzman/10^8*J759*((D759+273)^4-(E759+273)^4)</f>
        <v>1310.0144566239842</v>
      </c>
      <c r="H759" s="23">
        <f t="shared" si="57"/>
        <v>650</v>
      </c>
      <c r="I759" s="12">
        <f>ksh*Massivete/(H759*RhoA)*DeltaT*(F759+G759)</f>
        <v>0.20996055784132972</v>
      </c>
      <c r="J759" s="3">
        <f>IF(E759&lt;=500,IF(Galva=Oui,0.35,0.7),0.7)</f>
        <v>0.7</v>
      </c>
    </row>
    <row r="760" spans="2:10" x14ac:dyDescent="0.25">
      <c r="B760" s="3">
        <f>B759+DeltaT</f>
        <v>3715</v>
      </c>
      <c r="C760" s="13">
        <f t="shared" si="52"/>
        <v>61.916666666666664</v>
      </c>
      <c r="D760" s="11">
        <f t="shared" si="53"/>
        <v>950.04183784621705</v>
      </c>
      <c r="E760" s="23">
        <f t="shared" si="56"/>
        <v>945.51262845609381</v>
      </c>
      <c r="F760" s="23">
        <f>AlphaC*(D760-E760)</f>
        <v>113.23023475308105</v>
      </c>
      <c r="G760" s="13">
        <f>Phi*EpsilonF*Botzman/10^8*J760*((D760+273)^4-(E760+273)^4)</f>
        <v>1308.2003101081004</v>
      </c>
      <c r="H760" s="23">
        <f t="shared" si="57"/>
        <v>650</v>
      </c>
      <c r="I760" s="12">
        <f>ksh*Massivete/(H760*RhoA)*DeltaT*(F760+G760)</f>
        <v>0.2096613542054491</v>
      </c>
      <c r="J760" s="3">
        <f>IF(E760&lt;=500,IF(Galva=Oui,0.35,0.7),0.7)</f>
        <v>0.7</v>
      </c>
    </row>
    <row r="761" spans="2:10" x14ac:dyDescent="0.25">
      <c r="B761" s="3">
        <f>B760+DeltaT</f>
        <v>3720</v>
      </c>
      <c r="C761" s="13">
        <f t="shared" si="52"/>
        <v>62</v>
      </c>
      <c r="D761" s="11">
        <f t="shared" si="53"/>
        <v>950.24295411299954</v>
      </c>
      <c r="E761" s="23">
        <f t="shared" si="56"/>
        <v>945.72228981029923</v>
      </c>
      <c r="F761" s="23">
        <f>AlphaC*(D761-E761)</f>
        <v>113.01660756750778</v>
      </c>
      <c r="G761" s="13">
        <f>Phi*EpsilonF*Botzman/10^8*J761*((D761+273)^4-(E761+273)^4)</f>
        <v>1306.3913166639675</v>
      </c>
      <c r="H761" s="23">
        <f t="shared" si="57"/>
        <v>650</v>
      </c>
      <c r="I761" s="12">
        <f>ksh*Massivete/(H761*RhoA)*DeltaT*(F761+G761)</f>
        <v>0.20936301716618874</v>
      </c>
      <c r="J761" s="3">
        <f>IF(E761&lt;=500,IF(Galva=Oui,0.35,0.7),0.7)</f>
        <v>0.7</v>
      </c>
    </row>
    <row r="762" spans="2:10" x14ac:dyDescent="0.25">
      <c r="B762" s="3">
        <f>B761+DeltaT</f>
        <v>3725</v>
      </c>
      <c r="C762" s="13">
        <f t="shared" si="52"/>
        <v>62.083333333333336</v>
      </c>
      <c r="D762" s="11">
        <f t="shared" si="53"/>
        <v>950.44380078685015</v>
      </c>
      <c r="E762" s="23">
        <f t="shared" si="56"/>
        <v>945.93165282746543</v>
      </c>
      <c r="F762" s="23">
        <f>AlphaC*(D762-E762)</f>
        <v>112.80369898461799</v>
      </c>
      <c r="G762" s="13">
        <f>Phi*EpsilonF*Botzman/10^8*J762*((D762+273)^4-(E762+273)^4)</f>
        <v>1304.5874534916763</v>
      </c>
      <c r="H762" s="23">
        <f t="shared" si="57"/>
        <v>650</v>
      </c>
      <c r="I762" s="12">
        <f>ksh*Massivete/(H762*RhoA)*DeltaT*(F762+G762)</f>
        <v>0.20906554283735632</v>
      </c>
      <c r="J762" s="3">
        <f>IF(E762&lt;=500,IF(Galva=Oui,0.35,0.7),0.7)</f>
        <v>0.7</v>
      </c>
    </row>
    <row r="763" spans="2:10" x14ac:dyDescent="0.25">
      <c r="B763" s="3">
        <f>B762+DeltaT</f>
        <v>3730</v>
      </c>
      <c r="C763" s="13">
        <f t="shared" si="52"/>
        <v>62.166666666666664</v>
      </c>
      <c r="D763" s="11">
        <f t="shared" si="53"/>
        <v>950.64437858957103</v>
      </c>
      <c r="E763" s="23">
        <f t="shared" si="56"/>
        <v>946.14071837030281</v>
      </c>
      <c r="F763" s="23">
        <f>AlphaC*(D763-E763)</f>
        <v>112.59150548170567</v>
      </c>
      <c r="G763" s="13">
        <f>Phi*EpsilonF*Botzman/10^8*J763*((D763+273)^4-(E763+273)^4)</f>
        <v>1302.7886979455043</v>
      </c>
      <c r="H763" s="23">
        <f t="shared" si="57"/>
        <v>650</v>
      </c>
      <c r="I763" s="12">
        <f>ksh*Massivete/(H763*RhoA)*DeltaT*(F763+G763)</f>
        <v>0.20876892735910205</v>
      </c>
      <c r="J763" s="3">
        <f>IF(E763&lt;=500,IF(Galva=Oui,0.35,0.7),0.7)</f>
        <v>0.7</v>
      </c>
    </row>
    <row r="764" spans="2:10" x14ac:dyDescent="0.25">
      <c r="B764" s="3">
        <f>B763+DeltaT</f>
        <v>3735</v>
      </c>
      <c r="C764" s="13">
        <f t="shared" si="52"/>
        <v>62.25</v>
      </c>
      <c r="D764" s="11">
        <f t="shared" si="53"/>
        <v>950.84468824006944</v>
      </c>
      <c r="E764" s="23">
        <f t="shared" si="56"/>
        <v>946.34948729766188</v>
      </c>
      <c r="F764" s="23">
        <f>AlphaC*(D764-E764)</f>
        <v>112.3800235601891</v>
      </c>
      <c r="G764" s="13">
        <f>Phi*EpsilonF*Botzman/10^8*J764*((D764+273)^4-(E764+273)^4)</f>
        <v>1300.9950275321517</v>
      </c>
      <c r="H764" s="23">
        <f t="shared" si="57"/>
        <v>650</v>
      </c>
      <c r="I764" s="12">
        <f>ksh*Massivete/(H764*RhoA)*DeltaT*(F764+G764)</f>
        <v>0.20847316689761713</v>
      </c>
      <c r="J764" s="3">
        <f>IF(E764&lt;=500,IF(Galva=Oui,0.35,0.7),0.7)</f>
        <v>0.7</v>
      </c>
    </row>
    <row r="765" spans="2:10" x14ac:dyDescent="0.25">
      <c r="B765" s="3">
        <f>B764+DeltaT</f>
        <v>3740</v>
      </c>
      <c r="C765" s="13">
        <f t="shared" si="52"/>
        <v>62.333333333333336</v>
      </c>
      <c r="D765" s="11">
        <f t="shared" si="53"/>
        <v>951.04473045437283</v>
      </c>
      <c r="E765" s="23">
        <f t="shared" si="56"/>
        <v>946.55796046455953</v>
      </c>
      <c r="F765" s="23">
        <f>AlphaC*(D765-E765)</f>
        <v>112.16924974533242</v>
      </c>
      <c r="G765" s="13">
        <f>Phi*EpsilonF*Botzman/10^8*J765*((D765+273)^4-(E765+273)^4)</f>
        <v>1299.2064199082997</v>
      </c>
      <c r="H765" s="23">
        <f t="shared" si="57"/>
        <v>650</v>
      </c>
      <c r="I765" s="12">
        <f>ksh*Massivete/(H765*RhoA)*DeltaT*(F765+G765)</f>
        <v>0.20817825764473216</v>
      </c>
      <c r="J765" s="3">
        <f>IF(E765&lt;=500,IF(Galva=Oui,0.35,0.7),0.7)</f>
        <v>0.7</v>
      </c>
    </row>
    <row r="766" spans="2:10" x14ac:dyDescent="0.25">
      <c r="B766" s="3">
        <f>B765+DeltaT</f>
        <v>3745</v>
      </c>
      <c r="C766" s="13">
        <f t="shared" si="52"/>
        <v>62.416666666666664</v>
      </c>
      <c r="D766" s="11">
        <f t="shared" si="53"/>
        <v>951.24450594564473</v>
      </c>
      <c r="E766" s="23">
        <f t="shared" si="56"/>
        <v>946.76613872220423</v>
      </c>
      <c r="F766" s="23">
        <f>AlphaC*(D766-E766)</f>
        <v>111.95918058601251</v>
      </c>
      <c r="G766" s="13">
        <f>Phi*EpsilonF*Botzman/10^8*J766*((D766+273)^4-(E766+273)^4)</f>
        <v>1297.4228528790213</v>
      </c>
      <c r="H766" s="23">
        <f t="shared" si="57"/>
        <v>650</v>
      </c>
      <c r="I766" s="12">
        <f>ksh*Massivete/(H766*RhoA)*DeltaT*(F766+G766)</f>
        <v>0.20788419581764844</v>
      </c>
      <c r="J766" s="3">
        <f>IF(E766&lt;=500,IF(Galva=Oui,0.35,0.7),0.7)</f>
        <v>0.7</v>
      </c>
    </row>
    <row r="767" spans="2:10" x14ac:dyDescent="0.25">
      <c r="B767" s="3">
        <f>B766+DeltaT</f>
        <v>3750</v>
      </c>
      <c r="C767" s="13">
        <f t="shared" si="52"/>
        <v>62.5</v>
      </c>
      <c r="D767" s="11">
        <f t="shared" si="53"/>
        <v>951.44401542419973</v>
      </c>
      <c r="E767" s="23">
        <f t="shared" si="56"/>
        <v>946.97402291802189</v>
      </c>
      <c r="F767" s="23">
        <f>AlphaC*(D767-E767)</f>
        <v>111.74981265444615</v>
      </c>
      <c r="G767" s="13">
        <f>Phi*EpsilonF*Botzman/10^8*J767*((D767+273)^4-(E767+273)^4)</f>
        <v>1295.6443043957076</v>
      </c>
      <c r="H767" s="23">
        <f t="shared" si="57"/>
        <v>650</v>
      </c>
      <c r="I767" s="12">
        <f>ksh*Massivete/(H767*RhoA)*DeltaT*(F767+G767)</f>
        <v>0.20759097765859189</v>
      </c>
      <c r="J767" s="3">
        <f>IF(E767&lt;=500,IF(Galva=Oui,0.35,0.7),0.7)</f>
        <v>0.7</v>
      </c>
    </row>
    <row r="768" spans="2:10" x14ac:dyDescent="0.25">
      <c r="B768" s="3">
        <f>B767+DeltaT</f>
        <v>3755</v>
      </c>
      <c r="C768" s="13">
        <f t="shared" si="52"/>
        <v>62.583333333333336</v>
      </c>
      <c r="D768" s="11">
        <f t="shared" si="53"/>
        <v>951.64325959751886</v>
      </c>
      <c r="E768" s="23">
        <f t="shared" si="56"/>
        <v>947.18161389568047</v>
      </c>
      <c r="F768" s="23">
        <f>AlphaC*(D768-E768)</f>
        <v>111.54114254595981</v>
      </c>
      <c r="G768" s="13">
        <f>Phi*EpsilonF*Botzman/10^8*J768*((D768+273)^4-(E768+273)^4)</f>
        <v>1293.8707525547111</v>
      </c>
      <c r="H768" s="23">
        <f t="shared" si="57"/>
        <v>650</v>
      </c>
      <c r="I768" s="12">
        <f>ksh*Massivete/(H768*RhoA)*DeltaT*(F768+G768)</f>
        <v>0.20729859943457885</v>
      </c>
      <c r="J768" s="3">
        <f>IF(E768&lt;=500,IF(Galva=Oui,0.35,0.7),0.7)</f>
        <v>0.7</v>
      </c>
    </row>
    <row r="769" spans="2:10" x14ac:dyDescent="0.25">
      <c r="B769" s="3">
        <f>B768+DeltaT</f>
        <v>3760</v>
      </c>
      <c r="C769" s="13">
        <f t="shared" si="52"/>
        <v>62.666666666666664</v>
      </c>
      <c r="D769" s="11">
        <f t="shared" si="53"/>
        <v>951.84223917026429</v>
      </c>
      <c r="E769" s="23">
        <f t="shared" si="56"/>
        <v>947.38891249511505</v>
      </c>
      <c r="F769" s="23">
        <f>AlphaC*(D769-E769)</f>
        <v>111.33316687873105</v>
      </c>
      <c r="G769" s="13">
        <f>Phi*EpsilonF*Botzman/10^8*J769*((D769+273)^4-(E769+273)^4)</f>
        <v>1292.1021755951169</v>
      </c>
      <c r="H769" s="23">
        <f t="shared" si="57"/>
        <v>650</v>
      </c>
      <c r="I769" s="12">
        <f>ksh*Massivete/(H769*RhoA)*DeltaT*(F769+G769)</f>
        <v>0.2070070574370495</v>
      </c>
      <c r="J769" s="3">
        <f>IF(E769&lt;=500,IF(Galva=Oui,0.35,0.7),0.7)</f>
        <v>0.7</v>
      </c>
    </row>
    <row r="770" spans="2:10" x14ac:dyDescent="0.25">
      <c r="B770" s="3">
        <f>B769+DeltaT</f>
        <v>3765</v>
      </c>
      <c r="C770" s="13">
        <f t="shared" si="52"/>
        <v>62.75</v>
      </c>
      <c r="D770" s="11">
        <f t="shared" si="53"/>
        <v>952.0409548442949</v>
      </c>
      <c r="E770" s="23">
        <f t="shared" si="56"/>
        <v>947.59591955255212</v>
      </c>
      <c r="F770" s="23">
        <f>AlphaC*(D770-E770)</f>
        <v>111.12588229356959</v>
      </c>
      <c r="G770" s="13">
        <f>Phi*EpsilonF*Botzman/10^8*J770*((D770+273)^4-(E770+273)^4)</f>
        <v>1290.3385518975811</v>
      </c>
      <c r="H770" s="23">
        <f t="shared" si="57"/>
        <v>650</v>
      </c>
      <c r="I770" s="12">
        <f>ksh*Massivete/(H770*RhoA)*DeltaT*(F770+G770)</f>
        <v>0.20671634798166394</v>
      </c>
      <c r="J770" s="3">
        <f>IF(E770&lt;=500,IF(Galva=Oui,0.35,0.7),0.7)</f>
        <v>0.7</v>
      </c>
    </row>
    <row r="771" spans="2:10" x14ac:dyDescent="0.25">
      <c r="B771" s="3">
        <f>B770+DeltaT</f>
        <v>3770</v>
      </c>
      <c r="C771" s="13">
        <f t="shared" si="52"/>
        <v>62.833333333333336</v>
      </c>
      <c r="D771" s="11">
        <f t="shared" si="53"/>
        <v>952.23940731868015</v>
      </c>
      <c r="E771" s="23">
        <f t="shared" si="56"/>
        <v>947.8026359005338</v>
      </c>
      <c r="F771" s="23">
        <f>AlphaC*(D771-E771)</f>
        <v>110.91928545365874</v>
      </c>
      <c r="G771" s="13">
        <f>Phi*EpsilonF*Botzman/10^8*J771*((D771+273)^4-(E771+273)^4)</f>
        <v>1288.5798599817706</v>
      </c>
      <c r="H771" s="23">
        <f t="shared" si="57"/>
        <v>650</v>
      </c>
      <c r="I771" s="12">
        <f>ksh*Massivete/(H771*RhoA)*DeltaT*(F771+G771)</f>
        <v>0.20642646740788639</v>
      </c>
      <c r="J771" s="3">
        <f>IF(E771&lt;=500,IF(Galva=Oui,0.35,0.7),0.7)</f>
        <v>0.7</v>
      </c>
    </row>
    <row r="772" spans="2:10" x14ac:dyDescent="0.25">
      <c r="B772" s="3">
        <f>B771+DeltaT</f>
        <v>3775</v>
      </c>
      <c r="C772" s="13">
        <f t="shared" si="52"/>
        <v>62.916666666666664</v>
      </c>
      <c r="D772" s="11">
        <f t="shared" si="53"/>
        <v>952.43759728971577</v>
      </c>
      <c r="E772" s="23">
        <f t="shared" si="56"/>
        <v>948.00906236794174</v>
      </c>
      <c r="F772" s="23">
        <f>AlphaC*(D772-E772)</f>
        <v>110.71337304435076</v>
      </c>
      <c r="G772" s="13">
        <f>Phi*EpsilonF*Botzman/10^8*J772*((D772+273)^4-(E772+273)^4)</f>
        <v>1286.8260785060934</v>
      </c>
      <c r="H772" s="23">
        <f t="shared" si="57"/>
        <v>650</v>
      </c>
      <c r="I772" s="12">
        <f>ksh*Massivete/(H772*RhoA)*DeltaT*(F772+G772)</f>
        <v>0.20613741207891548</v>
      </c>
      <c r="J772" s="3">
        <f>IF(E772&lt;=500,IF(Galva=Oui,0.35,0.7),0.7)</f>
        <v>0.7</v>
      </c>
    </row>
    <row r="773" spans="2:10" x14ac:dyDescent="0.25">
      <c r="B773" s="3">
        <f>B772+DeltaT</f>
        <v>3780</v>
      </c>
      <c r="C773" s="13">
        <f t="shared" si="52"/>
        <v>63</v>
      </c>
      <c r="D773" s="11">
        <f t="shared" si="53"/>
        <v>952.63552545093819</v>
      </c>
      <c r="E773" s="23">
        <f t="shared" si="56"/>
        <v>948.21519978002061</v>
      </c>
      <c r="F773" s="23">
        <f>AlphaC*(D773-E773)</f>
        <v>110.50814177293944</v>
      </c>
      <c r="G773" s="13">
        <f>Phi*EpsilonF*Botzman/10^8*J773*((D773+273)^4-(E773+273)^4)</f>
        <v>1285.0771862647327</v>
      </c>
      <c r="H773" s="23">
        <f t="shared" si="57"/>
        <v>650</v>
      </c>
      <c r="I773" s="12">
        <f>ksh*Massivete/(H773*RhoA)*DeltaT*(F773+G773)</f>
        <v>0.20584917838121311</v>
      </c>
      <c r="J773" s="3">
        <f>IF(E773&lt;=500,IF(Galva=Oui,0.35,0.7),0.7)</f>
        <v>0.7</v>
      </c>
    </row>
    <row r="774" spans="2:10" x14ac:dyDescent="0.25">
      <c r="B774" s="3">
        <f>B773+DeltaT</f>
        <v>3785</v>
      </c>
      <c r="C774" s="13">
        <f t="shared" si="52"/>
        <v>63.083333333333336</v>
      </c>
      <c r="D774" s="11">
        <f t="shared" si="53"/>
        <v>952.83319249313843</v>
      </c>
      <c r="E774" s="23">
        <f t="shared" si="56"/>
        <v>948.4210489584018</v>
      </c>
      <c r="F774" s="23">
        <f>AlphaC*(D774-E774)</f>
        <v>110.30358836841572</v>
      </c>
      <c r="G774" s="13">
        <f>Phi*EpsilonF*Botzman/10^8*J774*((D774+273)^4-(E774+273)^4)</f>
        <v>1283.3331621871052</v>
      </c>
      <c r="H774" s="23">
        <f t="shared" si="57"/>
        <v>650</v>
      </c>
      <c r="I774" s="12">
        <f>ksh*Massivete/(H774*RhoA)*DeltaT*(F774+G774)</f>
        <v>0.20556176272438828</v>
      </c>
      <c r="J774" s="3">
        <f>IF(E774&lt;=500,IF(Galva=Oui,0.35,0.7),0.7)</f>
        <v>0.7</v>
      </c>
    </row>
    <row r="775" spans="2:10" x14ac:dyDescent="0.25">
      <c r="B775" s="3">
        <f>B774+DeltaT</f>
        <v>3790</v>
      </c>
      <c r="C775" s="13">
        <f t="shared" si="52"/>
        <v>63.166666666666664</v>
      </c>
      <c r="D775" s="11">
        <f t="shared" si="53"/>
        <v>953.03059910437764</v>
      </c>
      <c r="E775" s="23">
        <f t="shared" si="56"/>
        <v>948.62661072112621</v>
      </c>
      <c r="F775" s="23">
        <f>AlphaC*(D775-E775)</f>
        <v>110.09970958128577</v>
      </c>
      <c r="G775" s="13">
        <f>Phi*EpsilonF*Botzman/10^8*J775*((D775+273)^4-(E775+273)^4)</f>
        <v>1281.5939853356504</v>
      </c>
      <c r="H775" s="23">
        <f t="shared" si="57"/>
        <v>650</v>
      </c>
      <c r="I775" s="12">
        <f>ksh*Massivete/(H775*RhoA)*DeltaT*(F775+G775)</f>
        <v>0.20527516154084474</v>
      </c>
      <c r="J775" s="3">
        <f>IF(E775&lt;=500,IF(Galva=Oui,0.35,0.7),0.7)</f>
        <v>0.7</v>
      </c>
    </row>
    <row r="776" spans="2:10" x14ac:dyDescent="0.25">
      <c r="B776" s="3">
        <f>B775+DeltaT</f>
        <v>3795</v>
      </c>
      <c r="C776" s="13">
        <f t="shared" si="52"/>
        <v>63.25</v>
      </c>
      <c r="D776" s="11">
        <f t="shared" si="53"/>
        <v>953.22774597000091</v>
      </c>
      <c r="E776" s="23">
        <f t="shared" si="56"/>
        <v>948.83188588266705</v>
      </c>
      <c r="F776" s="23">
        <f>AlphaC*(D776-E776)</f>
        <v>109.89650218334646</v>
      </c>
      <c r="G776" s="13">
        <f>Phi*EpsilonF*Botzman/10^8*J776*((D776+273)^4-(E776+273)^4)</f>
        <v>1279.8596349051529</v>
      </c>
      <c r="H776" s="23">
        <f t="shared" si="57"/>
        <v>650</v>
      </c>
      <c r="I776" s="12">
        <f>ksh*Massivete/(H776*RhoA)*DeltaT*(F776+G776)</f>
        <v>0.2049893712856472</v>
      </c>
      <c r="J776" s="3">
        <f>IF(E776&lt;=500,IF(Galva=Oui,0.35,0.7),0.7)</f>
        <v>0.7</v>
      </c>
    </row>
    <row r="777" spans="2:10" x14ac:dyDescent="0.25">
      <c r="B777" s="3">
        <f>B776+DeltaT</f>
        <v>3800</v>
      </c>
      <c r="C777" s="13">
        <f t="shared" si="52"/>
        <v>63.333333333333336</v>
      </c>
      <c r="D777" s="11">
        <f t="shared" si="53"/>
        <v>953.42463377265096</v>
      </c>
      <c r="E777" s="23">
        <f t="shared" si="56"/>
        <v>949.03687525395264</v>
      </c>
      <c r="F777" s="23">
        <f>AlphaC*(D777-E777)</f>
        <v>109.69396296745799</v>
      </c>
      <c r="G777" s="13">
        <f>Phi*EpsilonF*Botzman/10^8*J777*((D777+273)^4-(E777+273)^4)</f>
        <v>1278.1300902203598</v>
      </c>
      <c r="H777" s="23">
        <f t="shared" si="57"/>
        <v>650</v>
      </c>
      <c r="I777" s="12">
        <f>ksh*Massivete/(H777*RhoA)*DeltaT*(F777+G777)</f>
        <v>0.20470438843613695</v>
      </c>
      <c r="J777" s="3">
        <f>IF(E777&lt;=500,IF(Galva=Oui,0.35,0.7),0.7)</f>
        <v>0.7</v>
      </c>
    </row>
    <row r="778" spans="2:10" x14ac:dyDescent="0.25">
      <c r="B778" s="3">
        <f>B777+DeltaT</f>
        <v>3805</v>
      </c>
      <c r="C778" s="13">
        <f t="shared" si="52"/>
        <v>63.416666666666664</v>
      </c>
      <c r="D778" s="11">
        <f t="shared" si="53"/>
        <v>953.621263192284</v>
      </c>
      <c r="E778" s="23">
        <f t="shared" si="56"/>
        <v>949.24157964238873</v>
      </c>
      <c r="F778" s="23">
        <f>AlphaC*(D778-E778)</f>
        <v>109.4920887473819</v>
      </c>
      <c r="G778" s="13">
        <f>Phi*EpsilonF*Botzman/10^8*J778*((D778+273)^4-(E778+273)^4)</f>
        <v>1276.405330735397</v>
      </c>
      <c r="H778" s="23">
        <f t="shared" si="57"/>
        <v>650</v>
      </c>
      <c r="I778" s="12">
        <f>ksh*Massivete/(H778*RhoA)*DeltaT*(F778+G778)</f>
        <v>0.20442020949182155</v>
      </c>
      <c r="J778" s="3">
        <f>IF(E778&lt;=500,IF(Galva=Oui,0.35,0.7),0.7)</f>
        <v>0.7</v>
      </c>
    </row>
    <row r="779" spans="2:10" x14ac:dyDescent="0.25">
      <c r="B779" s="3">
        <f>B778+DeltaT</f>
        <v>3810</v>
      </c>
      <c r="C779" s="13">
        <f t="shared" si="52"/>
        <v>63.5</v>
      </c>
      <c r="D779" s="11">
        <f t="shared" si="53"/>
        <v>953.81763490618164</v>
      </c>
      <c r="E779" s="23">
        <f t="shared" si="56"/>
        <v>949.44599985188052</v>
      </c>
      <c r="F779" s="23">
        <f>AlphaC*(D779-E779)</f>
        <v>109.29087635752808</v>
      </c>
      <c r="G779" s="13">
        <f>Phi*EpsilonF*Botzman/10^8*J779*((D779+273)^4-(E779+273)^4)</f>
        <v>1274.6853360318141</v>
      </c>
      <c r="H779" s="23">
        <f t="shared" si="57"/>
        <v>650</v>
      </c>
      <c r="I779" s="12">
        <f>ksh*Massivete/(H779*RhoA)*DeltaT*(F779+G779)</f>
        <v>0.20413683097404925</v>
      </c>
      <c r="J779" s="3">
        <f>IF(E779&lt;=500,IF(Galva=Oui,0.35,0.7),0.7)</f>
        <v>0.7</v>
      </c>
    </row>
    <row r="780" spans="2:10" x14ac:dyDescent="0.25">
      <c r="B780" s="3">
        <f>B779+DeltaT</f>
        <v>3815</v>
      </c>
      <c r="C780" s="13">
        <f t="shared" si="52"/>
        <v>63.583333333333336</v>
      </c>
      <c r="D780" s="11">
        <f t="shared" si="53"/>
        <v>954.0137495889669</v>
      </c>
      <c r="E780" s="23">
        <f t="shared" si="56"/>
        <v>949.65013668285451</v>
      </c>
      <c r="F780" s="23">
        <f>AlphaC*(D780-E780)</f>
        <v>109.09032265280985</v>
      </c>
      <c r="G780" s="13">
        <f>Phi*EpsilonF*Botzman/10^8*J780*((D780+273)^4-(E780+273)^4)</f>
        <v>1272.9700858177303</v>
      </c>
      <c r="H780" s="23">
        <f t="shared" si="57"/>
        <v>650</v>
      </c>
      <c r="I780" s="12">
        <f>ksh*Massivete/(H780*RhoA)*DeltaT*(F780+G780)</f>
        <v>0.20385424942586153</v>
      </c>
      <c r="J780" s="3">
        <f>IF(E780&lt;=500,IF(Galva=Oui,0.35,0.7),0.7)</f>
        <v>0.7</v>
      </c>
    </row>
    <row r="781" spans="2:10" x14ac:dyDescent="0.25">
      <c r="B781" s="3">
        <f>B780+DeltaT</f>
        <v>3820</v>
      </c>
      <c r="C781" s="13">
        <f t="shared" si="52"/>
        <v>63.666666666666664</v>
      </c>
      <c r="D781" s="11">
        <f t="shared" si="53"/>
        <v>954.20960791261643</v>
      </c>
      <c r="E781" s="23">
        <f t="shared" si="56"/>
        <v>949.85399093228034</v>
      </c>
      <c r="F781" s="23">
        <f>AlphaC*(D781-E781)</f>
        <v>108.89042450840236</v>
      </c>
      <c r="G781" s="13">
        <f>Phi*EpsilonF*Botzman/10^8*J781*((D781+273)^4-(E781+273)^4)</f>
        <v>1271.2595599259744</v>
      </c>
      <c r="H781" s="23">
        <f t="shared" si="57"/>
        <v>650</v>
      </c>
      <c r="I781" s="12">
        <f>ksh*Massivete/(H781*RhoA)*DeltaT*(F781+G781)</f>
        <v>0.20357246141168334</v>
      </c>
      <c r="J781" s="3">
        <f>IF(E781&lt;=500,IF(Galva=Oui,0.35,0.7),0.7)</f>
        <v>0.7</v>
      </c>
    </row>
    <row r="782" spans="2:10" x14ac:dyDescent="0.25">
      <c r="B782" s="3">
        <f>B781+DeltaT</f>
        <v>3825</v>
      </c>
      <c r="C782" s="13">
        <f t="shared" si="52"/>
        <v>63.75</v>
      </c>
      <c r="D782" s="11">
        <f t="shared" si="53"/>
        <v>954.40521054647581</v>
      </c>
      <c r="E782" s="23">
        <f t="shared" si="56"/>
        <v>950.05756339369202</v>
      </c>
      <c r="F782" s="23">
        <f>AlphaC*(D782-E782)</f>
        <v>108.69117881959482</v>
      </c>
      <c r="G782" s="13">
        <f>Phi*EpsilonF*Botzman/10^8*J782*((D782+273)^4-(E782+273)^4)</f>
        <v>1269.5537383133872</v>
      </c>
      <c r="H782" s="23">
        <f t="shared" si="57"/>
        <v>650</v>
      </c>
      <c r="I782" s="12">
        <f>ksh*Massivete/(H782*RhoA)*DeltaT*(F782+G782)</f>
        <v>0.20329146351719815</v>
      </c>
      <c r="J782" s="3">
        <f>IF(E782&lt;=500,IF(Galva=Oui,0.35,0.7),0.7)</f>
        <v>0.7</v>
      </c>
    </row>
    <row r="783" spans="2:10" x14ac:dyDescent="0.25">
      <c r="B783" s="3">
        <f>B782+DeltaT</f>
        <v>3830</v>
      </c>
      <c r="C783" s="13">
        <f t="shared" si="52"/>
        <v>63.833333333333336</v>
      </c>
      <c r="D783" s="11">
        <f t="shared" si="53"/>
        <v>954.60055815727219</v>
      </c>
      <c r="E783" s="23">
        <f t="shared" si="56"/>
        <v>950.26085485720921</v>
      </c>
      <c r="F783" s="23">
        <f>AlphaC*(D783-E783)</f>
        <v>108.49258250157447</v>
      </c>
      <c r="G783" s="13">
        <f>Phi*EpsilonF*Botzman/10^8*J783*((D783+273)^4-(E783+273)^4)</f>
        <v>1267.8526010589608</v>
      </c>
      <c r="H783" s="23">
        <f t="shared" si="57"/>
        <v>650</v>
      </c>
      <c r="I783" s="12">
        <f>ksh*Massivete/(H783*RhoA)*DeltaT*(F783+G783)</f>
        <v>0.20301125234904174</v>
      </c>
      <c r="J783" s="3">
        <f>IF(E783&lt;=500,IF(Galva=Oui,0.35,0.7),0.7)</f>
        <v>0.7</v>
      </c>
    </row>
    <row r="784" spans="2:10" x14ac:dyDescent="0.25">
      <c r="B784" s="3">
        <f>B783+DeltaT</f>
        <v>3835</v>
      </c>
      <c r="C784" s="13">
        <f t="shared" si="52"/>
        <v>63.916666666666664</v>
      </c>
      <c r="D784" s="11">
        <f t="shared" si="53"/>
        <v>954.79565140912837</v>
      </c>
      <c r="E784" s="23">
        <f t="shared" si="56"/>
        <v>950.46386610955824</v>
      </c>
      <c r="F784" s="23">
        <f>AlphaC*(D784-E784)</f>
        <v>108.29463248925322</v>
      </c>
      <c r="G784" s="13">
        <f>Phi*EpsilonF*Botzman/10^8*J784*((D784+273)^4-(E784+273)^4)</f>
        <v>1266.1561283632573</v>
      </c>
      <c r="H784" s="23">
        <f t="shared" si="57"/>
        <v>650</v>
      </c>
      <c r="I784" s="12">
        <f>ksh*Massivete/(H784*RhoA)*DeltaT*(F784+G784)</f>
        <v>0.20273182453469096</v>
      </c>
      <c r="J784" s="3">
        <f>IF(E784&lt;=500,IF(Galva=Oui,0.35,0.7),0.7)</f>
        <v>0.7</v>
      </c>
    </row>
    <row r="785" spans="2:10" x14ac:dyDescent="0.25">
      <c r="B785" s="3">
        <f>B784+DeltaT</f>
        <v>3840</v>
      </c>
      <c r="C785" s="13">
        <f t="shared" si="52"/>
        <v>64</v>
      </c>
      <c r="D785" s="11">
        <f t="shared" si="53"/>
        <v>954.99049096357646</v>
      </c>
      <c r="E785" s="23">
        <f t="shared" si="56"/>
        <v>950.66659793409292</v>
      </c>
      <c r="F785" s="23">
        <f>AlphaC*(D785-E785)</f>
        <v>108.09732573708857</v>
      </c>
      <c r="G785" s="13">
        <f>Phi*EpsilonF*Botzman/10^8*J785*((D785+273)^4-(E785+273)^4)</f>
        <v>1264.4643005466062</v>
      </c>
      <c r="H785" s="23">
        <f t="shared" si="57"/>
        <v>650</v>
      </c>
      <c r="I785" s="12">
        <f>ksh*Massivete/(H785*RhoA)*DeltaT*(F785+G785)</f>
        <v>0.20245317672217128</v>
      </c>
      <c r="J785" s="3">
        <f>IF(E785&lt;=500,IF(Galva=Oui,0.35,0.7),0.7)</f>
        <v>0.7</v>
      </c>
    </row>
    <row r="786" spans="2:10" x14ac:dyDescent="0.25">
      <c r="B786" s="3">
        <f>B785+DeltaT</f>
        <v>3845</v>
      </c>
      <c r="C786" s="13">
        <f t="shared" ref="C786:C849" si="58">B786/60</f>
        <v>64.083333333333329</v>
      </c>
      <c r="D786" s="11">
        <f t="shared" ref="D786:D849" si="59">20+345*LOG(8*C786+1,10)</f>
        <v>955.18507747957108</v>
      </c>
      <c r="E786" s="23">
        <f t="shared" si="56"/>
        <v>950.86905111081512</v>
      </c>
      <c r="F786" s="23">
        <f>AlphaC*(D786-E786)</f>
        <v>107.90065921889891</v>
      </c>
      <c r="G786" s="13">
        <f>Phi*EpsilonF*Botzman/10^8*J786*((D786+273)^4-(E786+273)^4)</f>
        <v>1262.7770980480395</v>
      </c>
      <c r="H786" s="23">
        <f t="shared" si="57"/>
        <v>650</v>
      </c>
      <c r="I786" s="12">
        <f>ksh*Massivete/(H786*RhoA)*DeltaT*(F786+G786)</f>
        <v>0.20217530557987259</v>
      </c>
      <c r="J786" s="3">
        <f>IF(E786&lt;=500,IF(Galva=Oui,0.35,0.7),0.7)</f>
        <v>0.7</v>
      </c>
    </row>
    <row r="787" spans="2:10" x14ac:dyDescent="0.25">
      <c r="B787" s="3">
        <f>B786+DeltaT</f>
        <v>3850</v>
      </c>
      <c r="C787" s="13">
        <f t="shared" si="58"/>
        <v>64.166666666666671</v>
      </c>
      <c r="D787" s="11">
        <f t="shared" si="59"/>
        <v>955.37941161350261</v>
      </c>
      <c r="E787" s="23">
        <f t="shared" si="56"/>
        <v>951.07122641639501</v>
      </c>
      <c r="F787" s="23">
        <f>AlphaC*(D787-E787)</f>
        <v>107.70462992769012</v>
      </c>
      <c r="G787" s="13">
        <f>Phi*EpsilonF*Botzman/10^8*J787*((D787+273)^4-(E787+273)^4)</f>
        <v>1261.0945014247088</v>
      </c>
      <c r="H787" s="23">
        <f t="shared" si="57"/>
        <v>650</v>
      </c>
      <c r="I787" s="12">
        <f>ksh*Massivete/(H787*RhoA)*DeltaT*(F787+G787)</f>
        <v>0.20189820779643761</v>
      </c>
      <c r="J787" s="3">
        <f>IF(E787&lt;=500,IF(Galva=Oui,0.35,0.7),0.7)</f>
        <v>0.7</v>
      </c>
    </row>
    <row r="788" spans="2:10" x14ac:dyDescent="0.25">
      <c r="B788" s="3">
        <f>B787+DeltaT</f>
        <v>3855</v>
      </c>
      <c r="C788" s="13">
        <f t="shared" si="58"/>
        <v>64.25</v>
      </c>
      <c r="D788" s="11">
        <f t="shared" si="59"/>
        <v>955.57349401921078</v>
      </c>
      <c r="E788" s="23">
        <f t="shared" si="56"/>
        <v>951.2731246241915</v>
      </c>
      <c r="F788" s="23">
        <f>AlphaC*(D788-E788)</f>
        <v>107.50923487548221</v>
      </c>
      <c r="G788" s="13">
        <f>Phi*EpsilonF*Botzman/10^8*J788*((D788+273)^4-(E788+273)^4)</f>
        <v>1259.4164913497357</v>
      </c>
      <c r="H788" s="23">
        <f t="shared" si="57"/>
        <v>650</v>
      </c>
      <c r="I788" s="12">
        <f>ksh*Massivete/(H788*RhoA)*DeltaT*(F788+G788)</f>
        <v>0.20162188008041926</v>
      </c>
      <c r="J788" s="3">
        <f>IF(E788&lt;=500,IF(Galva=Oui,0.35,0.7),0.7)</f>
        <v>0.7</v>
      </c>
    </row>
    <row r="789" spans="2:10" x14ac:dyDescent="0.25">
      <c r="B789" s="3">
        <f>B788+DeltaT</f>
        <v>3860</v>
      </c>
      <c r="C789" s="13">
        <f t="shared" si="58"/>
        <v>64.333333333333329</v>
      </c>
      <c r="D789" s="11">
        <f t="shared" si="59"/>
        <v>955.76732534799817</v>
      </c>
      <c r="E789" s="23">
        <f t="shared" si="56"/>
        <v>951.47474650427193</v>
      </c>
      <c r="F789" s="23">
        <f>AlphaC*(D789-E789)</f>
        <v>107.31447109315582</v>
      </c>
      <c r="G789" s="13">
        <f>Phi*EpsilonF*Botzman/10^8*J789*((D789+273)^4-(E789+273)^4)</f>
        <v>1257.7430486121907</v>
      </c>
      <c r="H789" s="23">
        <f t="shared" si="57"/>
        <v>650</v>
      </c>
      <c r="I789" s="12">
        <f>ksh*Massivete/(H789*RhoA)*DeltaT*(F789+G789)</f>
        <v>0.20134631916025489</v>
      </c>
      <c r="J789" s="3">
        <f>IF(E789&lt;=500,IF(Galva=Oui,0.35,0.7),0.7)</f>
        <v>0.7</v>
      </c>
    </row>
    <row r="790" spans="2:10" x14ac:dyDescent="0.25">
      <c r="B790" s="3">
        <f>B789+DeltaT</f>
        <v>3865</v>
      </c>
      <c r="C790" s="13">
        <f t="shared" si="58"/>
        <v>64.416666666666671</v>
      </c>
      <c r="D790" s="11">
        <f t="shared" si="59"/>
        <v>955.96090624864257</v>
      </c>
      <c r="E790" s="23">
        <f t="shared" si="56"/>
        <v>951.67609282343221</v>
      </c>
      <c r="F790" s="23">
        <f>AlphaC*(D790-E790)</f>
        <v>107.12033563025898</v>
      </c>
      <c r="G790" s="13">
        <f>Phi*EpsilonF*Botzman/10^8*J790*((D790+273)^4-(E790+273)^4)</f>
        <v>1256.0741541151181</v>
      </c>
      <c r="H790" s="23">
        <f t="shared" si="57"/>
        <v>650</v>
      </c>
      <c r="I790" s="12">
        <f>ksh*Massivete/(H790*RhoA)*DeltaT*(F790+G790)</f>
        <v>0.20107152178394647</v>
      </c>
      <c r="J790" s="3">
        <f>IF(E790&lt;=500,IF(Galva=Oui,0.35,0.7),0.7)</f>
        <v>0.7</v>
      </c>
    </row>
    <row r="791" spans="2:10" x14ac:dyDescent="0.25">
      <c r="B791" s="3">
        <f>B790+DeltaT</f>
        <v>3870</v>
      </c>
      <c r="C791" s="13">
        <f t="shared" si="58"/>
        <v>64.5</v>
      </c>
      <c r="D791" s="11">
        <f t="shared" si="59"/>
        <v>956.15423736741013</v>
      </c>
      <c r="E791" s="23">
        <f t="shared" si="56"/>
        <v>951.87716434521622</v>
      </c>
      <c r="F791" s="23">
        <f>AlphaC*(D791-E791)</f>
        <v>106.92682555484794</v>
      </c>
      <c r="G791" s="13">
        <f>Phi*EpsilonF*Botzman/10^8*J791*((D791+273)^4-(E791+273)^4)</f>
        <v>1254.4097888748374</v>
      </c>
      <c r="H791" s="23">
        <f t="shared" si="57"/>
        <v>650</v>
      </c>
      <c r="I791" s="12">
        <f>ksh*Massivete/(H791*RhoA)*DeltaT*(F791+G791)</f>
        <v>0.20079748471893402</v>
      </c>
      <c r="J791" s="3">
        <f>IF(E791&lt;=500,IF(Galva=Oui,0.35,0.7),0.7)</f>
        <v>0.7</v>
      </c>
    </row>
    <row r="792" spans="2:10" x14ac:dyDescent="0.25">
      <c r="B792" s="3">
        <f>B791+DeltaT</f>
        <v>3875</v>
      </c>
      <c r="C792" s="13">
        <f t="shared" si="58"/>
        <v>64.583333333333329</v>
      </c>
      <c r="D792" s="11">
        <f t="shared" si="59"/>
        <v>956.34731934806894</v>
      </c>
      <c r="E792" s="23">
        <f t="shared" si="56"/>
        <v>952.07796182993513</v>
      </c>
      <c r="F792" s="23">
        <f>AlphaC*(D792-E792)</f>
        <v>106.73393795334505</v>
      </c>
      <c r="G792" s="13">
        <f>Phi*EpsilonF*Botzman/10^8*J792*((D792+273)^4-(E792+273)^4)</f>
        <v>1252.7499340199745</v>
      </c>
      <c r="H792" s="23">
        <f t="shared" si="57"/>
        <v>650</v>
      </c>
      <c r="I792" s="12">
        <f>ksh*Massivete/(H792*RhoA)*DeltaT*(F792+G792)</f>
        <v>0.20052420475193181</v>
      </c>
      <c r="J792" s="3">
        <f>IF(E792&lt;=500,IF(Galva=Oui,0.35,0.7),0.7)</f>
        <v>0.7</v>
      </c>
    </row>
    <row r="793" spans="2:10" x14ac:dyDescent="0.25">
      <c r="B793" s="3">
        <f>B792+DeltaT</f>
        <v>3880</v>
      </c>
      <c r="C793" s="13">
        <f t="shared" si="58"/>
        <v>64.666666666666671</v>
      </c>
      <c r="D793" s="11">
        <f t="shared" si="59"/>
        <v>956.54015283190176</v>
      </c>
      <c r="E793" s="23">
        <f t="shared" si="56"/>
        <v>952.27848603468703</v>
      </c>
      <c r="F793" s="23">
        <f>AlphaC*(D793-E793)</f>
        <v>106.54166993036824</v>
      </c>
      <c r="G793" s="13">
        <f>Phi*EpsilonF*Botzman/10^8*J793*((D793+273)^4-(E793+273)^4)</f>
        <v>1251.0945707903961</v>
      </c>
      <c r="H793" s="23">
        <f t="shared" si="57"/>
        <v>650</v>
      </c>
      <c r="I793" s="12">
        <f>ksh*Massivete/(H793*RhoA)*DeltaT*(F793+G793)</f>
        <v>0.20025167868874605</v>
      </c>
      <c r="J793" s="3">
        <f>IF(E793&lt;=500,IF(Galva=Oui,0.35,0.7),0.7)</f>
        <v>0.7</v>
      </c>
    </row>
    <row r="794" spans="2:10" x14ac:dyDescent="0.25">
      <c r="B794" s="3">
        <f>B793+DeltaT</f>
        <v>3885</v>
      </c>
      <c r="C794" s="13">
        <f t="shared" si="58"/>
        <v>64.75</v>
      </c>
      <c r="D794" s="11">
        <f t="shared" si="59"/>
        <v>956.73273845771791</v>
      </c>
      <c r="E794" s="23">
        <f t="shared" si="56"/>
        <v>952.47873771337584</v>
      </c>
      <c r="F794" s="23">
        <f>AlphaC*(D794-E794)</f>
        <v>106.35001860855198</v>
      </c>
      <c r="G794" s="13">
        <f>Phi*EpsilonF*Botzman/10^8*J794*((D794+273)^4-(E794+273)^4)</f>
        <v>1249.4436805357748</v>
      </c>
      <c r="H794" s="23">
        <f t="shared" si="57"/>
        <v>650</v>
      </c>
      <c r="I794" s="12">
        <f>ksh*Massivete/(H794*RhoA)*DeltaT*(F794+G794)</f>
        <v>0.19997990335403668</v>
      </c>
      <c r="J794" s="3">
        <f>IF(E794&lt;=500,IF(Galva=Oui,0.35,0.7),0.7)</f>
        <v>0.7</v>
      </c>
    </row>
    <row r="795" spans="2:10" x14ac:dyDescent="0.25">
      <c r="B795" s="3">
        <f>B794+DeltaT</f>
        <v>3890</v>
      </c>
      <c r="C795" s="13">
        <f t="shared" si="58"/>
        <v>64.833333333333329</v>
      </c>
      <c r="D795" s="11">
        <f t="shared" si="59"/>
        <v>956.92507686186673</v>
      </c>
      <c r="E795" s="23">
        <f t="shared" si="56"/>
        <v>952.67871761672984</v>
      </c>
      <c r="F795" s="23">
        <f>AlphaC*(D795-E795)</f>
        <v>106.15898112842217</v>
      </c>
      <c r="G795" s="13">
        <f>Phi*EpsilonF*Botzman/10^8*J795*((D795+273)^4-(E795+273)^4)</f>
        <v>1247.7972447150862</v>
      </c>
      <c r="H795" s="23">
        <f t="shared" si="57"/>
        <v>650</v>
      </c>
      <c r="I795" s="12">
        <f>ksh*Massivete/(H795*RhoA)*DeltaT*(F795+G795)</f>
        <v>0.19970887559122499</v>
      </c>
      <c r="J795" s="3">
        <f>IF(E795&lt;=500,IF(Galva=Oui,0.35,0.7),0.7)</f>
        <v>0.7</v>
      </c>
    </row>
    <row r="796" spans="2:10" x14ac:dyDescent="0.25">
      <c r="B796" s="3">
        <f>B795+DeltaT</f>
        <v>3895</v>
      </c>
      <c r="C796" s="13">
        <f t="shared" si="58"/>
        <v>64.916666666666671</v>
      </c>
      <c r="D796" s="11">
        <f t="shared" si="59"/>
        <v>957.11716867825044</v>
      </c>
      <c r="E796" s="23">
        <f t="shared" si="56"/>
        <v>952.87842649232107</v>
      </c>
      <c r="F796" s="23">
        <f>AlphaC*(D796-E796)</f>
        <v>105.9685546482342</v>
      </c>
      <c r="G796" s="13">
        <f>Phi*EpsilonF*Botzman/10^8*J796*((D796+273)^4-(E796+273)^4)</f>
        <v>1246.1552448956777</v>
      </c>
      <c r="H796" s="23">
        <f t="shared" si="57"/>
        <v>650</v>
      </c>
      <c r="I796" s="12">
        <f>ksh*Massivete/(H796*RhoA)*DeltaT*(F796+G796)</f>
        <v>0.19943859226233213</v>
      </c>
      <c r="J796" s="3">
        <f>IF(E796&lt;=500,IF(Galva=Oui,0.35,0.7),0.7)</f>
        <v>0.7</v>
      </c>
    </row>
    <row r="797" spans="2:10" x14ac:dyDescent="0.25">
      <c r="B797" s="3">
        <f>B796+DeltaT</f>
        <v>3900</v>
      </c>
      <c r="C797" s="13">
        <f t="shared" si="58"/>
        <v>65</v>
      </c>
      <c r="D797" s="11">
        <f t="shared" si="59"/>
        <v>957.30901453833587</v>
      </c>
      <c r="E797" s="23">
        <f t="shared" si="56"/>
        <v>953.07786508458344</v>
      </c>
      <c r="F797" s="23">
        <f>AlphaC*(D797-E797)</f>
        <v>105.77873634381092</v>
      </c>
      <c r="G797" s="13">
        <f>Phi*EpsilonF*Botzman/10^8*J797*((D797+273)^4-(E797+273)^4)</f>
        <v>1244.5176627517194</v>
      </c>
      <c r="H797" s="23">
        <f t="shared" si="57"/>
        <v>650</v>
      </c>
      <c r="I797" s="12">
        <f>ksh*Massivete/(H797*RhoA)*DeltaT*(F797+G797)</f>
        <v>0.19916905024772688</v>
      </c>
      <c r="J797" s="3">
        <f>IF(E797&lt;=500,IF(Galva=Oui,0.35,0.7),0.7)</f>
        <v>0.7</v>
      </c>
    </row>
    <row r="798" spans="2:10" x14ac:dyDescent="0.25">
      <c r="B798" s="3">
        <f>B797+DeltaT</f>
        <v>3905</v>
      </c>
      <c r="C798" s="13">
        <f t="shared" si="58"/>
        <v>65.083333333333329</v>
      </c>
      <c r="D798" s="11">
        <f t="shared" si="59"/>
        <v>957.50061507116754</v>
      </c>
      <c r="E798" s="23">
        <f t="shared" si="56"/>
        <v>953.27703413483118</v>
      </c>
      <c r="F798" s="23">
        <f>AlphaC*(D798-E798)</f>
        <v>105.58952340840904</v>
      </c>
      <c r="G798" s="13">
        <f>Phi*EpsilonF*Botzman/10^8*J798*((D798+273)^4-(E798+273)^4)</f>
        <v>1242.8844800639506</v>
      </c>
      <c r="H798" s="23">
        <f t="shared" si="57"/>
        <v>650</v>
      </c>
      <c r="I798" s="12">
        <f>ksh*Massivete/(H798*RhoA)*DeltaT*(F798+G798)</f>
        <v>0.19890024644606846</v>
      </c>
      <c r="J798" s="3">
        <f>IF(E798&lt;=500,IF(Galva=Oui,0.35,0.7),0.7)</f>
        <v>0.7</v>
      </c>
    </row>
    <row r="799" spans="2:10" x14ac:dyDescent="0.25">
      <c r="B799" s="3">
        <f>B798+DeltaT</f>
        <v>3910</v>
      </c>
      <c r="C799" s="13">
        <f t="shared" si="58"/>
        <v>65.166666666666671</v>
      </c>
      <c r="D799" s="11">
        <f t="shared" si="59"/>
        <v>957.69197090337991</v>
      </c>
      <c r="E799" s="23">
        <f t="shared" si="56"/>
        <v>953.47593438127728</v>
      </c>
      <c r="F799" s="23">
        <f>AlphaC*(D799-E799)</f>
        <v>105.40091305256567</v>
      </c>
      <c r="G799" s="13">
        <f>Phi*EpsilonF*Botzman/10^8*J799*((D799+273)^4-(E799+273)^4)</f>
        <v>1241.2556787183437</v>
      </c>
      <c r="H799" s="23">
        <f t="shared" si="57"/>
        <v>650</v>
      </c>
      <c r="I799" s="12">
        <f>ksh*Massivete/(H799*RhoA)*DeltaT*(F799+G799)</f>
        <v>0.19863217777408698</v>
      </c>
      <c r="J799" s="3">
        <f>IF(E799&lt;=500,IF(Galva=Oui,0.35,0.7),0.7)</f>
        <v>0.7</v>
      </c>
    </row>
    <row r="800" spans="2:10" x14ac:dyDescent="0.25">
      <c r="B800" s="3">
        <f>B799+DeltaT</f>
        <v>3915</v>
      </c>
      <c r="C800" s="13">
        <f t="shared" si="58"/>
        <v>65.25</v>
      </c>
      <c r="D800" s="11">
        <f t="shared" si="59"/>
        <v>957.88308265920955</v>
      </c>
      <c r="E800" s="23">
        <f t="shared" si="56"/>
        <v>953.67456655905141</v>
      </c>
      <c r="F800" s="23">
        <f>AlphaC*(D800-E800)</f>
        <v>105.21290250395339</v>
      </c>
      <c r="G800" s="13">
        <f>Phi*EpsilonF*Botzman/10^8*J800*((D800+273)^4-(E800+273)^4)</f>
        <v>1239.6312407050768</v>
      </c>
      <c r="H800" s="23">
        <f t="shared" si="57"/>
        <v>650</v>
      </c>
      <c r="I800" s="12">
        <f>ksh*Massivete/(H800*RhoA)*DeltaT*(F800+G800)</f>
        <v>0.19836484116641023</v>
      </c>
      <c r="J800" s="3">
        <f>IF(E800&lt;=500,IF(Galva=Oui,0.35,0.7),0.7)</f>
        <v>0.7</v>
      </c>
    </row>
    <row r="801" spans="2:10" x14ac:dyDescent="0.25">
      <c r="B801" s="3">
        <f>B800+DeltaT</f>
        <v>3920</v>
      </c>
      <c r="C801" s="13">
        <f t="shared" si="58"/>
        <v>65.333333333333329</v>
      </c>
      <c r="D801" s="11">
        <f t="shared" si="59"/>
        <v>958.07395096050709</v>
      </c>
      <c r="E801" s="23">
        <f t="shared" si="56"/>
        <v>953.87293140021779</v>
      </c>
      <c r="F801" s="23">
        <f>AlphaC*(D801-E801)</f>
        <v>105.02548900723241</v>
      </c>
      <c r="G801" s="13">
        <f>Phi*EpsilonF*Botzman/10^8*J801*((D801+273)^4-(E801+273)^4)</f>
        <v>1238.0111481181264</v>
      </c>
      <c r="H801" s="23">
        <f t="shared" si="57"/>
        <v>650</v>
      </c>
      <c r="I801" s="12">
        <f>ksh*Massivete/(H801*RhoA)*DeltaT*(F801+G801)</f>
        <v>0.19809823357548204</v>
      </c>
      <c r="J801" s="3">
        <f>IF(E801&lt;=500,IF(Galva=Oui,0.35,0.7),0.7)</f>
        <v>0.7</v>
      </c>
    </row>
    <row r="802" spans="2:10" x14ac:dyDescent="0.25">
      <c r="B802" s="3">
        <f>B801+DeltaT</f>
        <v>3925</v>
      </c>
      <c r="C802" s="13">
        <f t="shared" si="58"/>
        <v>65.416666666666671</v>
      </c>
      <c r="D802" s="11">
        <f t="shared" si="59"/>
        <v>958.2645764267503</v>
      </c>
      <c r="E802" s="23">
        <f t="shared" si="56"/>
        <v>954.07102963379327</v>
      </c>
      <c r="F802" s="23">
        <f>AlphaC*(D802-E802)</f>
        <v>104.83866982392556</v>
      </c>
      <c r="G802" s="13">
        <f>Phi*EpsilonF*Botzman/10^8*J802*((D802+273)^4-(E802+273)^4)</f>
        <v>1236.3953831539309</v>
      </c>
      <c r="H802" s="23">
        <f t="shared" si="57"/>
        <v>650</v>
      </c>
      <c r="I802" s="12">
        <f>ksh*Massivete/(H802*RhoA)*DeltaT*(F802+G802)</f>
        <v>0.19783235197134674</v>
      </c>
      <c r="J802" s="3">
        <f>IF(E802&lt;=500,IF(Galva=Oui,0.35,0.7),0.7)</f>
        <v>0.7</v>
      </c>
    </row>
    <row r="803" spans="2:10" x14ac:dyDescent="0.25">
      <c r="B803" s="3">
        <f>B802+DeltaT</f>
        <v>3930</v>
      </c>
      <c r="C803" s="13">
        <f t="shared" si="58"/>
        <v>65.5</v>
      </c>
      <c r="D803" s="11">
        <f t="shared" si="59"/>
        <v>958.45495967505497</v>
      </c>
      <c r="E803" s="23">
        <f t="shared" si="56"/>
        <v>954.2688619857646</v>
      </c>
      <c r="F803" s="23">
        <f>AlphaC*(D803-E803)</f>
        <v>104.65244223225909</v>
      </c>
      <c r="G803" s="13">
        <f>Phi*EpsilonF*Botzman/10^8*J803*((D803+273)^4-(E803+273)^4)</f>
        <v>1234.7839281106724</v>
      </c>
      <c r="H803" s="23">
        <f t="shared" si="57"/>
        <v>650</v>
      </c>
      <c r="I803" s="12">
        <f>ksh*Massivete/(H803*RhoA)*DeltaT*(F803+G803)</f>
        <v>0.19756719334151951</v>
      </c>
      <c r="J803" s="3">
        <f>IF(E803&lt;=500,IF(Galva=Oui,0.35,0.7),0.7)</f>
        <v>0.7</v>
      </c>
    </row>
    <row r="804" spans="2:10" x14ac:dyDescent="0.25">
      <c r="B804" s="3">
        <f>B803+DeltaT</f>
        <v>3935</v>
      </c>
      <c r="C804" s="13">
        <f t="shared" si="58"/>
        <v>65.583333333333329</v>
      </c>
      <c r="D804" s="11">
        <f t="shared" si="59"/>
        <v>958.64510132018779</v>
      </c>
      <c r="E804" s="23">
        <f t="shared" si="56"/>
        <v>954.46642917910617</v>
      </c>
      <c r="F804" s="23">
        <f>AlphaC*(D804-E804)</f>
        <v>104.4668035270405</v>
      </c>
      <c r="G804" s="13">
        <f>Phi*EpsilonF*Botzman/10^8*J804*((D804+273)^4-(E804+273)^4)</f>
        <v>1233.1767653874251</v>
      </c>
      <c r="H804" s="23">
        <f t="shared" si="57"/>
        <v>650</v>
      </c>
      <c r="I804" s="12">
        <f>ksh*Massivete/(H804*RhoA)*DeltaT*(F804+G804)</f>
        <v>0.19730275469084285</v>
      </c>
      <c r="J804" s="3">
        <f>IF(E804&lt;=500,IF(Galva=Oui,0.35,0.7),0.7)</f>
        <v>0.7</v>
      </c>
    </row>
    <row r="805" spans="2:10" x14ac:dyDescent="0.25">
      <c r="B805" s="3">
        <f>B804+DeltaT</f>
        <v>3940</v>
      </c>
      <c r="C805" s="13">
        <f t="shared" si="58"/>
        <v>65.666666666666671</v>
      </c>
      <c r="D805" s="11">
        <f t="shared" si="59"/>
        <v>958.83500197457795</v>
      </c>
      <c r="E805" s="23">
        <f t="shared" si="56"/>
        <v>954.66373193379707</v>
      </c>
      <c r="F805" s="23">
        <f>AlphaC*(D805-E805)</f>
        <v>104.28175101952206</v>
      </c>
      <c r="G805" s="13">
        <f>Phi*EpsilonF*Botzman/10^8*J805*((D805+273)^4-(E805+273)^4)</f>
        <v>1231.5738774835932</v>
      </c>
      <c r="H805" s="23">
        <f t="shared" si="57"/>
        <v>650</v>
      </c>
      <c r="I805" s="12">
        <f>ksh*Massivete/(H805*RhoA)*DeltaT*(F805+G805)</f>
        <v>0.19703903304138376</v>
      </c>
      <c r="J805" s="3">
        <f>IF(E805&lt;=500,IF(Galva=Oui,0.35,0.7),0.7)</f>
        <v>0.7</v>
      </c>
    </row>
    <row r="806" spans="2:10" x14ac:dyDescent="0.25">
      <c r="B806" s="3">
        <f>B805+DeltaT</f>
        <v>3945</v>
      </c>
      <c r="C806" s="13">
        <f t="shared" si="58"/>
        <v>65.75</v>
      </c>
      <c r="D806" s="11">
        <f t="shared" si="59"/>
        <v>959.02466224832847</v>
      </c>
      <c r="E806" s="23">
        <f t="shared" si="56"/>
        <v>954.86077096683846</v>
      </c>
      <c r="F806" s="23">
        <f>AlphaC*(D806-E806)</f>
        <v>104.09728203725024</v>
      </c>
      <c r="G806" s="13">
        <f>Phi*EpsilonF*Botzman/10^8*J806*((D806+273)^4-(E806+273)^4)</f>
        <v>1229.9752469970492</v>
      </c>
      <c r="H806" s="23">
        <f t="shared" si="57"/>
        <v>650</v>
      </c>
      <c r="I806" s="12">
        <f>ksh*Massivete/(H806*RhoA)*DeltaT*(F806+G806)</f>
        <v>0.19677602543213651</v>
      </c>
      <c r="J806" s="3">
        <f>IF(E806&lt;=500,IF(Galva=Oui,0.35,0.7),0.7)</f>
        <v>0.7</v>
      </c>
    </row>
    <row r="807" spans="2:10" x14ac:dyDescent="0.25">
      <c r="B807" s="3">
        <f>B806+DeltaT</f>
        <v>3950</v>
      </c>
      <c r="C807" s="13">
        <f t="shared" si="58"/>
        <v>65.833333333333329</v>
      </c>
      <c r="D807" s="11">
        <f t="shared" si="59"/>
        <v>959.21408274922908</v>
      </c>
      <c r="E807" s="23">
        <f t="shared" si="56"/>
        <v>955.05754699227055</v>
      </c>
      <c r="F807" s="23">
        <f>AlphaC*(D807-E807)</f>
        <v>103.91339392396333</v>
      </c>
      <c r="G807" s="13">
        <f>Phi*EpsilonF*Botzman/10^8*J807*((D807+273)^4-(E807+273)^4)</f>
        <v>1228.3808566249884</v>
      </c>
      <c r="H807" s="23">
        <f t="shared" si="57"/>
        <v>650</v>
      </c>
      <c r="I807" s="12">
        <f>ksh*Massivete/(H807*RhoA)*DeltaT*(F807+G807)</f>
        <v>0.19651372891913399</v>
      </c>
      <c r="J807" s="3">
        <f>IF(E807&lt;=500,IF(Galva=Oui,0.35,0.7),0.7)</f>
        <v>0.7</v>
      </c>
    </row>
    <row r="808" spans="2:10" x14ac:dyDescent="0.25">
      <c r="B808" s="3">
        <f>B807+DeltaT</f>
        <v>3955</v>
      </c>
      <c r="C808" s="13">
        <f t="shared" si="58"/>
        <v>65.916666666666671</v>
      </c>
      <c r="D808" s="11">
        <f t="shared" si="59"/>
        <v>959.40326408276724</v>
      </c>
      <c r="E808" s="23">
        <f t="shared" si="56"/>
        <v>955.25406072118972</v>
      </c>
      <c r="F808" s="23">
        <f>AlphaC*(D808-E808)</f>
        <v>103.730084039438</v>
      </c>
      <c r="G808" s="13">
        <f>Phi*EpsilonF*Botzman/10^8*J808*((D808+273)^4-(E808+273)^4)</f>
        <v>1226.7906891617181</v>
      </c>
      <c r="H808" s="23">
        <f t="shared" si="57"/>
        <v>650</v>
      </c>
      <c r="I808" s="12">
        <f>ksh*Massivete/(H808*RhoA)*DeltaT*(F808+G808)</f>
        <v>0.1962521405750986</v>
      </c>
      <c r="J808" s="3">
        <f>IF(E808&lt;=500,IF(Galva=Oui,0.35,0.7),0.7)</f>
        <v>0.7</v>
      </c>
    </row>
    <row r="809" spans="2:10" x14ac:dyDescent="0.25">
      <c r="B809" s="3">
        <f>B808+DeltaT</f>
        <v>3960</v>
      </c>
      <c r="C809" s="13">
        <f t="shared" si="58"/>
        <v>66</v>
      </c>
      <c r="D809" s="11">
        <f t="shared" si="59"/>
        <v>959.59220685213904</v>
      </c>
      <c r="E809" s="23">
        <f t="shared" si="56"/>
        <v>955.45031286176481</v>
      </c>
      <c r="F809" s="23">
        <f>AlphaC*(D809-E809)</f>
        <v>103.54734975935571</v>
      </c>
      <c r="G809" s="13">
        <f>Phi*EpsilonF*Botzman/10^8*J809*((D809+273)^4-(E809+273)^4)</f>
        <v>1225.2047274981351</v>
      </c>
      <c r="H809" s="23">
        <f t="shared" si="57"/>
        <v>650</v>
      </c>
      <c r="I809" s="12">
        <f>ksh*Massivete/(H809*RhoA)*DeltaT*(F809+G809)</f>
        <v>0.19599125748934587</v>
      </c>
      <c r="J809" s="3">
        <f>IF(E809&lt;=500,IF(Galva=Oui,0.35,0.7),0.7)</f>
        <v>0.7</v>
      </c>
    </row>
    <row r="810" spans="2:10" x14ac:dyDescent="0.25">
      <c r="B810" s="3">
        <f>B809+DeltaT</f>
        <v>3965</v>
      </c>
      <c r="C810" s="13">
        <f t="shared" si="58"/>
        <v>66.083333333333329</v>
      </c>
      <c r="D810" s="11">
        <f t="shared" si="59"/>
        <v>959.78091165826231</v>
      </c>
      <c r="E810" s="23">
        <f t="shared" si="56"/>
        <v>955.64630411925418</v>
      </c>
      <c r="F810" s="23">
        <f>AlphaC*(D810-E810)</f>
        <v>103.36518847520324</v>
      </c>
      <c r="G810" s="13">
        <f>Phi*EpsilonF*Botzman/10^8*J810*((D810+273)^4-(E810+273)^4)</f>
        <v>1223.6229546216284</v>
      </c>
      <c r="H810" s="23">
        <f t="shared" si="57"/>
        <v>650</v>
      </c>
      <c r="I810" s="12">
        <f>ksh*Massivete/(H810*RhoA)*DeltaT*(F810+G810)</f>
        <v>0.19573107676775517</v>
      </c>
      <c r="J810" s="3">
        <f>IF(E810&lt;=500,IF(Galva=Oui,0.35,0.7),0.7)</f>
        <v>0.7</v>
      </c>
    </row>
    <row r="811" spans="2:10" x14ac:dyDescent="0.25">
      <c r="B811" s="3">
        <f>B810+DeltaT</f>
        <v>3970</v>
      </c>
      <c r="C811" s="13">
        <f t="shared" si="58"/>
        <v>66.166666666666671</v>
      </c>
      <c r="D811" s="11">
        <f t="shared" si="59"/>
        <v>959.96937909978703</v>
      </c>
      <c r="E811" s="23">
        <f t="shared" si="56"/>
        <v>955.84203519602193</v>
      </c>
      <c r="F811" s="23">
        <f>AlphaC*(D811-E811)</f>
        <v>103.18359759412772</v>
      </c>
      <c r="G811" s="13">
        <f>Phi*EpsilonF*Botzman/10^8*J811*((D811+273)^4-(E811+273)^4)</f>
        <v>1222.0453536145881</v>
      </c>
      <c r="H811" s="23">
        <f t="shared" si="57"/>
        <v>650</v>
      </c>
      <c r="I811" s="12">
        <f>ksh*Massivete/(H811*RhoA)*DeltaT*(F811+G811)</f>
        <v>0.19547159553252844</v>
      </c>
      <c r="J811" s="3">
        <f>IF(E811&lt;=500,IF(Galva=Oui,0.35,0.7),0.7)</f>
        <v>0.7</v>
      </c>
    </row>
    <row r="812" spans="2:10" x14ac:dyDescent="0.25">
      <c r="B812" s="3">
        <f>B811+DeltaT</f>
        <v>3975</v>
      </c>
      <c r="C812" s="13">
        <f t="shared" si="58"/>
        <v>66.25</v>
      </c>
      <c r="D812" s="11">
        <f t="shared" si="59"/>
        <v>960.15760977310686</v>
      </c>
      <c r="E812" s="23">
        <f t="shared" si="56"/>
        <v>956.03750679155451</v>
      </c>
      <c r="F812" s="23">
        <f>AlphaC*(D812-E812)</f>
        <v>103.00257453880874</v>
      </c>
      <c r="G812" s="13">
        <f>Phi*EpsilonF*Botzman/10^8*J812*((D812+273)^4-(E812+273)^4)</f>
        <v>1220.4719076537442</v>
      </c>
      <c r="H812" s="23">
        <f t="shared" si="57"/>
        <v>650</v>
      </c>
      <c r="I812" s="12">
        <f>ksh*Massivete/(H812*RhoA)*DeltaT*(F812+G812)</f>
        <v>0.19521281092207379</v>
      </c>
      <c r="J812" s="3">
        <f>IF(E812&lt;=500,IF(Galva=Oui,0.35,0.7),0.7)</f>
        <v>0.7</v>
      </c>
    </row>
    <row r="813" spans="2:10" x14ac:dyDescent="0.25">
      <c r="B813" s="3">
        <f>B812+DeltaT</f>
        <v>3980</v>
      </c>
      <c r="C813" s="13">
        <f t="shared" si="58"/>
        <v>66.333333333333329</v>
      </c>
      <c r="D813" s="11">
        <f t="shared" si="59"/>
        <v>960.34560427237034</v>
      </c>
      <c r="E813" s="23">
        <f t="shared" si="56"/>
        <v>956.23271960247655</v>
      </c>
      <c r="F813" s="23">
        <f>AlphaC*(D813-E813)</f>
        <v>102.82211674734469</v>
      </c>
      <c r="G813" s="13">
        <f>Phi*EpsilonF*Botzman/10^8*J813*((D813+273)^4-(E813+273)^4)</f>
        <v>1218.9026000098395</v>
      </c>
      <c r="H813" s="23">
        <f t="shared" si="57"/>
        <v>650</v>
      </c>
      <c r="I813" s="12">
        <f>ksh*Massivete/(H813*RhoA)*DeltaT*(F813+G813)</f>
        <v>0.19495472009094061</v>
      </c>
      <c r="J813" s="3">
        <f>IF(E813&lt;=500,IF(Galva=Oui,0.35,0.7),0.7)</f>
        <v>0.7</v>
      </c>
    </row>
    <row r="814" spans="2:10" x14ac:dyDescent="0.25">
      <c r="B814" s="3">
        <f>B813+DeltaT</f>
        <v>3985</v>
      </c>
      <c r="C814" s="13">
        <f t="shared" si="58"/>
        <v>66.416666666666671</v>
      </c>
      <c r="D814" s="11">
        <f t="shared" si="59"/>
        <v>960.53336318949289</v>
      </c>
      <c r="E814" s="23">
        <f t="shared" si="56"/>
        <v>956.42767432256744</v>
      </c>
      <c r="F814" s="23">
        <f>AlphaC*(D814-E814)</f>
        <v>102.64222167313619</v>
      </c>
      <c r="G814" s="13">
        <f>Phi*EpsilonF*Botzman/10^8*J814*((D814+273)^4-(E814+273)^4)</f>
        <v>1217.3374140465432</v>
      </c>
      <c r="H814" s="23">
        <f t="shared" si="57"/>
        <v>650</v>
      </c>
      <c r="I814" s="12">
        <f>ksh*Massivete/(H814*RhoA)*DeltaT*(F814+G814)</f>
        <v>0.19469732020964201</v>
      </c>
      <c r="J814" s="3">
        <f>IF(E814&lt;=500,IF(Galva=Oui,0.35,0.7),0.7)</f>
        <v>0.7</v>
      </c>
    </row>
    <row r="815" spans="2:10" x14ac:dyDescent="0.25">
      <c r="B815" s="3">
        <f>B814+DeltaT</f>
        <v>3990</v>
      </c>
      <c r="C815" s="13">
        <f t="shared" si="58"/>
        <v>66.5</v>
      </c>
      <c r="D815" s="11">
        <f t="shared" si="59"/>
        <v>960.72088711416734</v>
      </c>
      <c r="E815" s="23">
        <f t="shared" si="56"/>
        <v>956.62237164277713</v>
      </c>
      <c r="F815" s="23">
        <f>AlphaC*(D815-E815)</f>
        <v>102.46288678475537</v>
      </c>
      <c r="G815" s="13">
        <f>Phi*EpsilonF*Botzman/10^8*J815*((D815+273)^4-(E815+273)^4)</f>
        <v>1215.7763332196369</v>
      </c>
      <c r="H815" s="23">
        <f t="shared" si="57"/>
        <v>650</v>
      </c>
      <c r="I815" s="12">
        <f>ksh*Massivete/(H815*RhoA)*DeltaT*(F815+G815)</f>
        <v>0.19444060846451544</v>
      </c>
      <c r="J815" s="3">
        <f>IF(E815&lt;=500,IF(Galva=Oui,0.35,0.7),0.7)</f>
        <v>0.7</v>
      </c>
    </row>
    <row r="816" spans="2:10" x14ac:dyDescent="0.25">
      <c r="B816" s="3">
        <f>B815+DeltaT</f>
        <v>3995</v>
      </c>
      <c r="C816" s="13">
        <f t="shared" si="58"/>
        <v>66.583333333333329</v>
      </c>
      <c r="D816" s="11">
        <f t="shared" si="59"/>
        <v>960.90817663387486</v>
      </c>
      <c r="E816" s="23">
        <f t="shared" si="56"/>
        <v>956.81681225124169</v>
      </c>
      <c r="F816" s="23">
        <f>AlphaC*(D816-E816)</f>
        <v>102.28410956582934</v>
      </c>
      <c r="G816" s="13">
        <f>Phi*EpsilonF*Botzman/10^8*J816*((D816+273)^4-(E816+273)^4)</f>
        <v>1214.2193410765301</v>
      </c>
      <c r="H816" s="23">
        <f t="shared" si="57"/>
        <v>650</v>
      </c>
      <c r="I816" s="12">
        <f>ksh*Massivete/(H816*RhoA)*DeltaT*(F816+G816)</f>
        <v>0.19418458205763414</v>
      </c>
      <c r="J816" s="3">
        <f>IF(E816&lt;=500,IF(Galva=Oui,0.35,0.7),0.7)</f>
        <v>0.7</v>
      </c>
    </row>
    <row r="817" spans="2:10" x14ac:dyDescent="0.25">
      <c r="B817" s="3">
        <f>B816+DeltaT</f>
        <v>4000</v>
      </c>
      <c r="C817" s="13">
        <f t="shared" si="58"/>
        <v>66.666666666666671</v>
      </c>
      <c r="D817" s="11">
        <f t="shared" si="59"/>
        <v>961.09523233389643</v>
      </c>
      <c r="E817" s="23">
        <f t="shared" si="56"/>
        <v>957.01099683329937</v>
      </c>
      <c r="F817" s="23">
        <f>AlphaC*(D817-E817)</f>
        <v>102.10588751492651</v>
      </c>
      <c r="G817" s="13">
        <f>Phi*EpsilonF*Botzman/10^8*J817*((D817+273)^4-(E817+273)^4)</f>
        <v>1212.6664212553694</v>
      </c>
      <c r="H817" s="23">
        <f t="shared" si="57"/>
        <v>650</v>
      </c>
      <c r="I817" s="12">
        <f>ksh*Massivete/(H817*RhoA)*DeltaT*(F817+G817)</f>
        <v>0.19392923820665897</v>
      </c>
      <c r="J817" s="3">
        <f>IF(E817&lt;=500,IF(Galva=Oui,0.35,0.7),0.7)</f>
        <v>0.7</v>
      </c>
    </row>
    <row r="818" spans="2:10" x14ac:dyDescent="0.25">
      <c r="B818" s="3">
        <f>B817+DeltaT</f>
        <v>4005</v>
      </c>
      <c r="C818" s="13">
        <f t="shared" si="58"/>
        <v>66.75</v>
      </c>
      <c r="D818" s="11">
        <f t="shared" si="59"/>
        <v>961.28205479732367</v>
      </c>
      <c r="E818" s="23">
        <f t="shared" si="56"/>
        <v>957.20492607150607</v>
      </c>
      <c r="F818" s="23">
        <f>AlphaC*(D818-E818)</f>
        <v>101.92821814544004</v>
      </c>
      <c r="G818" s="13">
        <f>Phi*EpsilonF*Botzman/10^8*J818*((D818+273)^4-(E818+273)^4)</f>
        <v>1211.1175574846886</v>
      </c>
      <c r="H818" s="23">
        <f t="shared" si="57"/>
        <v>650</v>
      </c>
      <c r="I818" s="12">
        <f>ksh*Massivete/(H818*RhoA)*DeltaT*(F818+G818)</f>
        <v>0.19367457414476952</v>
      </c>
      <c r="J818" s="3">
        <f>IF(E818&lt;=500,IF(Galva=Oui,0.35,0.7),0.7)</f>
        <v>0.7</v>
      </c>
    </row>
    <row r="819" spans="2:10" x14ac:dyDescent="0.25">
      <c r="B819" s="3">
        <f>B818+DeltaT</f>
        <v>4010</v>
      </c>
      <c r="C819" s="13">
        <f t="shared" si="58"/>
        <v>66.833333333333329</v>
      </c>
      <c r="D819" s="11">
        <f t="shared" si="59"/>
        <v>961.46864460507027</v>
      </c>
      <c r="E819" s="23">
        <f t="shared" si="56"/>
        <v>957.39860064565084</v>
      </c>
      <c r="F819" s="23">
        <f>AlphaC*(D819-E819)</f>
        <v>101.75109898548556</v>
      </c>
      <c r="G819" s="13">
        <f>Phi*EpsilonF*Botzman/10^8*J819*((D819+273)^4-(E819+273)^4)</f>
        <v>1209.5727335823829</v>
      </c>
      <c r="H819" s="23">
        <f t="shared" si="57"/>
        <v>650</v>
      </c>
      <c r="I819" s="12">
        <f>ksh*Massivete/(H819*RhoA)*DeltaT*(F819+G819)</f>
        <v>0.19342058712049787</v>
      </c>
      <c r="J819" s="3">
        <f>IF(E819&lt;=500,IF(Galva=Oui,0.35,0.7),0.7)</f>
        <v>0.7</v>
      </c>
    </row>
    <row r="820" spans="2:10" x14ac:dyDescent="0.25">
      <c r="B820" s="3">
        <f>B819+DeltaT</f>
        <v>4015</v>
      </c>
      <c r="C820" s="13">
        <f t="shared" si="58"/>
        <v>66.916666666666671</v>
      </c>
      <c r="D820" s="11">
        <f t="shared" si="59"/>
        <v>961.65500233588148</v>
      </c>
      <c r="E820" s="23">
        <f t="shared" ref="E820:E883" si="60">E819+I819</f>
        <v>957.59202123277134</v>
      </c>
      <c r="F820" s="23">
        <f>AlphaC*(D820-E820)</f>
        <v>101.57452757775332</v>
      </c>
      <c r="G820" s="13">
        <f>Phi*EpsilonF*Botzman/10^8*J820*((D820+273)^4-(E820+273)^4)</f>
        <v>1208.0319334546607</v>
      </c>
      <c r="H820" s="23">
        <f t="shared" ref="H820:H883" si="61">IF(E820&lt;600,425+0.773*E820-1.69/1000*E820^2+2.22/1000^2*E820^3,IF(E820&lt;735,666+13002/(738-E820),IF(E820&lt;900,545+17820/(E820-731),650)))</f>
        <v>650</v>
      </c>
      <c r="I820" s="12">
        <f>ksh*Massivete/(H820*RhoA)*DeltaT*(F820+G820)</f>
        <v>0.19316727439755194</v>
      </c>
      <c r="J820" s="3">
        <f>IF(E820&lt;=500,IF(Galva=Oui,0.35,0.7),0.7)</f>
        <v>0.7</v>
      </c>
    </row>
    <row r="821" spans="2:10" x14ac:dyDescent="0.25">
      <c r="B821" s="3">
        <f>B820+DeltaT</f>
        <v>4020</v>
      </c>
      <c r="C821" s="13">
        <f t="shared" si="58"/>
        <v>67</v>
      </c>
      <c r="D821" s="11">
        <f t="shared" si="59"/>
        <v>961.84112856634658</v>
      </c>
      <c r="E821" s="23">
        <f t="shared" si="60"/>
        <v>957.78518850716887</v>
      </c>
      <c r="F821" s="23">
        <f>AlphaC*(D821-E821)</f>
        <v>101.39850147944287</v>
      </c>
      <c r="G821" s="13">
        <f>Phi*EpsilonF*Botzman/10^8*J821*((D821+273)^4-(E821+273)^4)</f>
        <v>1206.4951410966269</v>
      </c>
      <c r="H821" s="23">
        <f t="shared" si="61"/>
        <v>650</v>
      </c>
      <c r="I821" s="12">
        <f>ksh*Massivete/(H821*RhoA)*DeltaT*(F821+G821)</f>
        <v>0.19291463325489219</v>
      </c>
      <c r="J821" s="3">
        <f>IF(E821&lt;=500,IF(Galva=Oui,0.35,0.7),0.7)</f>
        <v>0.7</v>
      </c>
    </row>
    <row r="822" spans="2:10" x14ac:dyDescent="0.25">
      <c r="B822" s="3">
        <f>B821+DeltaT</f>
        <v>4025</v>
      </c>
      <c r="C822" s="13">
        <f t="shared" si="58"/>
        <v>67.083333333333329</v>
      </c>
      <c r="D822" s="11">
        <f t="shared" si="59"/>
        <v>962.02702387090812</v>
      </c>
      <c r="E822" s="23">
        <f t="shared" si="60"/>
        <v>957.97810314042374</v>
      </c>
      <c r="F822" s="23">
        <f>AlphaC*(D822-E822)</f>
        <v>101.22301826210958</v>
      </c>
      <c r="G822" s="13">
        <f>Phi*EpsilonF*Botzman/10^8*J822*((D822+273)^4-(E822+273)^4)</f>
        <v>1204.9623405902073</v>
      </c>
      <c r="H822" s="23">
        <f t="shared" si="61"/>
        <v>650</v>
      </c>
      <c r="I822" s="12">
        <f>ksh*Massivete/(H822*RhoA)*DeltaT*(F822+G822)</f>
        <v>0.1926626609864025</v>
      </c>
      <c r="J822" s="3">
        <f>IF(E822&lt;=500,IF(Galva=Oui,0.35,0.7),0.7)</f>
        <v>0.7</v>
      </c>
    </row>
    <row r="823" spans="2:10" x14ac:dyDescent="0.25">
      <c r="B823" s="3">
        <f>B822+DeltaT</f>
        <v>4030</v>
      </c>
      <c r="C823" s="13">
        <f t="shared" si="58"/>
        <v>67.166666666666671</v>
      </c>
      <c r="D823" s="11">
        <f t="shared" si="59"/>
        <v>962.21268882187326</v>
      </c>
      <c r="E823" s="23">
        <f t="shared" si="60"/>
        <v>958.1707658014102</v>
      </c>
      <c r="F823" s="23">
        <f>AlphaC*(D823-E823)</f>
        <v>101.04807551157649</v>
      </c>
      <c r="G823" s="13">
        <f>Phi*EpsilonF*Botzman/10^8*J823*((D823+273)^4-(E823+273)^4)</f>
        <v>1203.4335161039758</v>
      </c>
      <c r="H823" s="23">
        <f t="shared" si="61"/>
        <v>650</v>
      </c>
      <c r="I823" s="12">
        <f>ksh*Massivete/(H823*RhoA)*DeltaT*(F823+G823)</f>
        <v>0.19241135490085204</v>
      </c>
      <c r="J823" s="3">
        <f>IF(E823&lt;=500,IF(Galva=Oui,0.35,0.7),0.7)</f>
        <v>0.7</v>
      </c>
    </row>
    <row r="824" spans="2:10" x14ac:dyDescent="0.25">
      <c r="B824" s="3">
        <f>B823+DeltaT</f>
        <v>4035</v>
      </c>
      <c r="C824" s="13">
        <f t="shared" si="58"/>
        <v>67.25</v>
      </c>
      <c r="D824" s="11">
        <f t="shared" si="59"/>
        <v>962.3981239894249</v>
      </c>
      <c r="E824" s="23">
        <f t="shared" si="60"/>
        <v>958.36317715631105</v>
      </c>
      <c r="F824" s="23">
        <f>AlphaC*(D824-E824)</f>
        <v>100.87367082784624</v>
      </c>
      <c r="G824" s="13">
        <f>Phi*EpsilonF*Botzman/10^8*J824*((D824+273)^4-(E824+273)^4)</f>
        <v>1201.9086518932893</v>
      </c>
      <c r="H824" s="23">
        <f t="shared" si="61"/>
        <v>650</v>
      </c>
      <c r="I824" s="12">
        <f>ksh*Massivete/(H824*RhoA)*DeltaT*(F824+G824)</f>
        <v>0.19216071232190185</v>
      </c>
      <c r="J824" s="3">
        <f>IF(E824&lt;=500,IF(Galva=Oui,0.35,0.7),0.7)</f>
        <v>0.7</v>
      </c>
    </row>
    <row r="825" spans="2:10" x14ac:dyDescent="0.25">
      <c r="B825" s="3">
        <f>B824+DeltaT</f>
        <v>4040</v>
      </c>
      <c r="C825" s="13">
        <f t="shared" si="58"/>
        <v>67.333333333333329</v>
      </c>
      <c r="D825" s="11">
        <f t="shared" si="59"/>
        <v>962.58332994163027</v>
      </c>
      <c r="E825" s="23">
        <f t="shared" si="60"/>
        <v>958.55533786863293</v>
      </c>
      <c r="F825" s="23">
        <f>AlphaC*(D825-E825)</f>
        <v>100.69980182493339</v>
      </c>
      <c r="G825" s="13">
        <f>Phi*EpsilonF*Botzman/10^8*J825*((D825+273)^4-(E825+273)^4)</f>
        <v>1200.3877322982337</v>
      </c>
      <c r="H825" s="23">
        <f t="shared" si="61"/>
        <v>650</v>
      </c>
      <c r="I825" s="12">
        <f>ksh*Massivete/(H825*RhoA)*DeltaT*(F825+G825)</f>
        <v>0.1919107305877773</v>
      </c>
      <c r="J825" s="3">
        <f>IF(E825&lt;=500,IF(Galva=Oui,0.35,0.7),0.7)</f>
        <v>0.7</v>
      </c>
    </row>
    <row r="826" spans="2:10" x14ac:dyDescent="0.25">
      <c r="B826" s="3">
        <f>B825+DeltaT</f>
        <v>4045</v>
      </c>
      <c r="C826" s="13">
        <f t="shared" si="58"/>
        <v>67.416666666666671</v>
      </c>
      <c r="D826" s="11">
        <f t="shared" si="59"/>
        <v>962.76830724445392</v>
      </c>
      <c r="E826" s="23">
        <f t="shared" si="60"/>
        <v>958.74724859922071</v>
      </c>
      <c r="F826" s="23">
        <f>AlphaC*(D826-E826)</f>
        <v>100.52646613083027</v>
      </c>
      <c r="G826" s="13">
        <f>Phi*EpsilonF*Botzman/10^8*J826*((D826+273)^4-(E826+273)^4)</f>
        <v>1198.8707417441269</v>
      </c>
      <c r="H826" s="23">
        <f t="shared" si="61"/>
        <v>650</v>
      </c>
      <c r="I826" s="12">
        <f>ksh*Massivete/(H826*RhoA)*DeltaT*(F826+G826)</f>
        <v>0.19166140705133722</v>
      </c>
      <c r="J826" s="3">
        <f>IF(E826&lt;=500,IF(Galva=Oui,0.35,0.7),0.7)</f>
        <v>0.7</v>
      </c>
    </row>
    <row r="827" spans="2:10" x14ac:dyDescent="0.25">
      <c r="B827" s="3">
        <f>B826+DeltaT</f>
        <v>4050</v>
      </c>
      <c r="C827" s="13">
        <f t="shared" si="58"/>
        <v>67.5</v>
      </c>
      <c r="D827" s="11">
        <f t="shared" si="59"/>
        <v>962.95305646176621</v>
      </c>
      <c r="E827" s="23">
        <f t="shared" si="60"/>
        <v>958.93891000627207</v>
      </c>
      <c r="F827" s="23">
        <f>AlphaC*(D827-E827)</f>
        <v>100.35366138735355</v>
      </c>
      <c r="G827" s="13">
        <f>Phi*EpsilonF*Botzman/10^8*J827*((D827+273)^4-(E827+273)^4)</f>
        <v>1197.3576647405514</v>
      </c>
      <c r="H827" s="23">
        <f t="shared" si="61"/>
        <v>650</v>
      </c>
      <c r="I827" s="12">
        <f>ksh*Massivete/(H827*RhoA)*DeltaT*(F827+G827)</f>
        <v>0.19141273907990869</v>
      </c>
      <c r="J827" s="3">
        <f>IF(E827&lt;=500,IF(Galva=Oui,0.35,0.7),0.7)</f>
        <v>0.7</v>
      </c>
    </row>
    <row r="828" spans="2:10" x14ac:dyDescent="0.25">
      <c r="B828" s="3">
        <f>B827+DeltaT</f>
        <v>4055</v>
      </c>
      <c r="C828" s="13">
        <f t="shared" si="58"/>
        <v>67.583333333333329</v>
      </c>
      <c r="D828" s="11">
        <f t="shared" si="59"/>
        <v>963.13757815535439</v>
      </c>
      <c r="E828" s="23">
        <f t="shared" si="60"/>
        <v>959.13032274535203</v>
      </c>
      <c r="F828" s="23">
        <f>AlphaC*(D828-E828)</f>
        <v>100.18138525005895</v>
      </c>
      <c r="G828" s="13">
        <f>Phi*EpsilonF*Botzman/10^8*J828*((D828+273)^4-(E828+273)^4)</f>
        <v>1195.8484858805391</v>
      </c>
      <c r="H828" s="23">
        <f t="shared" si="61"/>
        <v>650</v>
      </c>
      <c r="I828" s="12">
        <f>ksh*Massivete/(H828*RhoA)*DeltaT*(F828+G828)</f>
        <v>0.19116472405515395</v>
      </c>
      <c r="J828" s="3">
        <f>IF(E828&lt;=500,IF(Galva=Oui,0.35,0.7),0.7)</f>
        <v>0.7</v>
      </c>
    </row>
    <row r="829" spans="2:10" x14ac:dyDescent="0.25">
      <c r="B829" s="3">
        <f>B828+DeltaT</f>
        <v>4060</v>
      </c>
      <c r="C829" s="13">
        <f t="shared" si="58"/>
        <v>67.666666666666671</v>
      </c>
      <c r="D829" s="11">
        <f t="shared" si="59"/>
        <v>963.32187288493265</v>
      </c>
      <c r="E829" s="23">
        <f t="shared" si="60"/>
        <v>959.3214874694072</v>
      </c>
      <c r="F829" s="23">
        <f>AlphaC*(D829-E829)</f>
        <v>100.00963538813608</v>
      </c>
      <c r="G829" s="13">
        <f>Phi*EpsilonF*Botzman/10^8*J829*((D829+273)^4-(E829+273)^4)</f>
        <v>1194.3431898401259</v>
      </c>
      <c r="H829" s="23">
        <f t="shared" si="61"/>
        <v>650</v>
      </c>
      <c r="I829" s="12">
        <f>ksh*Massivete/(H829*RhoA)*DeltaT*(F829+G829)</f>
        <v>0.19091735937298945</v>
      </c>
      <c r="J829" s="3">
        <f>IF(E829&lt;=500,IF(Galva=Oui,0.35,0.7),0.7)</f>
        <v>0.7</v>
      </c>
    </row>
    <row r="830" spans="2:10" x14ac:dyDescent="0.25">
      <c r="B830" s="3">
        <f>B829+DeltaT</f>
        <v>4065</v>
      </c>
      <c r="C830" s="13">
        <f t="shared" si="58"/>
        <v>67.75</v>
      </c>
      <c r="D830" s="11">
        <f t="shared" si="59"/>
        <v>963.50594120815208</v>
      </c>
      <c r="E830" s="23">
        <f t="shared" si="60"/>
        <v>959.51240482878018</v>
      </c>
      <c r="F830" s="23">
        <f>AlphaC*(D830-E830)</f>
        <v>99.838409484297586</v>
      </c>
      <c r="G830" s="13">
        <f>Phi*EpsilonF*Botzman/10^8*J830*((D830+273)^4-(E830+273)^4)</f>
        <v>1192.8417613776155</v>
      </c>
      <c r="H830" s="23">
        <f t="shared" si="61"/>
        <v>650</v>
      </c>
      <c r="I830" s="12">
        <f>ksh*Massivete/(H830*RhoA)*DeltaT*(F830+G830)</f>
        <v>0.19067064244346082</v>
      </c>
      <c r="J830" s="3">
        <f>IF(E830&lt;=500,IF(Galva=Oui,0.35,0.7),0.7)</f>
        <v>0.7</v>
      </c>
    </row>
    <row r="831" spans="2:10" x14ac:dyDescent="0.25">
      <c r="B831" s="3">
        <f>B830+DeltaT</f>
        <v>4070</v>
      </c>
      <c r="C831" s="13">
        <f t="shared" si="58"/>
        <v>67.833333333333329</v>
      </c>
      <c r="D831" s="11">
        <f t="shared" si="59"/>
        <v>963.68978368061153</v>
      </c>
      <c r="E831" s="23">
        <f t="shared" si="60"/>
        <v>959.70307547122366</v>
      </c>
      <c r="F831" s="23">
        <f>AlphaC*(D831-E831)</f>
        <v>99.667705234696768</v>
      </c>
      <c r="G831" s="13">
        <f>Phi*EpsilonF*Botzman/10^8*J831*((D831+273)^4-(E831+273)^4)</f>
        <v>1191.3441853333268</v>
      </c>
      <c r="H831" s="23">
        <f t="shared" si="61"/>
        <v>650</v>
      </c>
      <c r="I831" s="12">
        <f>ksh*Massivete/(H831*RhoA)*DeltaT*(F831+G831)</f>
        <v>0.19042457069069338</v>
      </c>
      <c r="J831" s="3">
        <f>IF(E831&lt;=500,IF(Galva=Oui,0.35,0.7),0.7)</f>
        <v>0.7</v>
      </c>
    </row>
    <row r="832" spans="2:10" x14ac:dyDescent="0.25">
      <c r="B832" s="3">
        <f>B831+DeltaT</f>
        <v>4075</v>
      </c>
      <c r="C832" s="13">
        <f t="shared" si="58"/>
        <v>67.916666666666671</v>
      </c>
      <c r="D832" s="11">
        <f t="shared" si="59"/>
        <v>963.87340085586686</v>
      </c>
      <c r="E832" s="23">
        <f t="shared" si="60"/>
        <v>959.89350004191431</v>
      </c>
      <c r="F832" s="23">
        <f>AlphaC*(D832-E832)</f>
        <v>99.49752034881385</v>
      </c>
      <c r="G832" s="13">
        <f>Phi*EpsilonF*Botzman/10^8*J832*((D832+273)^4-(E832+273)^4)</f>
        <v>1189.8504466285099</v>
      </c>
      <c r="H832" s="23">
        <f t="shared" si="61"/>
        <v>650</v>
      </c>
      <c r="I832" s="12">
        <f>ksh*Massivete/(H832*RhoA)*DeltaT*(F832+G832)</f>
        <v>0.19017914155271565</v>
      </c>
      <c r="J832" s="3">
        <f>IF(E832&lt;=500,IF(Galva=Oui,0.35,0.7),0.7)</f>
        <v>0.7</v>
      </c>
    </row>
    <row r="833" spans="2:10" x14ac:dyDescent="0.25">
      <c r="B833" s="3">
        <f>B832+DeltaT</f>
        <v>4080</v>
      </c>
      <c r="C833" s="13">
        <f t="shared" si="58"/>
        <v>68</v>
      </c>
      <c r="D833" s="11">
        <f t="shared" si="59"/>
        <v>964.05679328544147</v>
      </c>
      <c r="E833" s="23">
        <f t="shared" si="60"/>
        <v>960.08367918346698</v>
      </c>
      <c r="F833" s="23">
        <f>AlphaC*(D833-E833)</f>
        <v>99.327852549362206</v>
      </c>
      <c r="G833" s="13">
        <f>Phi*EpsilonF*Botzman/10^8*J833*((D833+273)^4-(E833+273)^4)</f>
        <v>1188.3605302651893</v>
      </c>
      <c r="H833" s="23">
        <f t="shared" si="61"/>
        <v>650</v>
      </c>
      <c r="I833" s="12">
        <f>ksh*Massivete/(H833*RhoA)*DeltaT*(F833+G833)</f>
        <v>0.18993435248142215</v>
      </c>
      <c r="J833" s="3">
        <f>IF(E833&lt;=500,IF(Galva=Oui,0.35,0.7),0.7)</f>
        <v>0.7</v>
      </c>
    </row>
    <row r="834" spans="2:10" x14ac:dyDescent="0.25">
      <c r="B834" s="3">
        <f>B833+DeltaT</f>
        <v>4085</v>
      </c>
      <c r="C834" s="13">
        <f t="shared" si="58"/>
        <v>68.083333333333329</v>
      </c>
      <c r="D834" s="11">
        <f t="shared" si="59"/>
        <v>964.23996151883614</v>
      </c>
      <c r="E834" s="23">
        <f t="shared" si="60"/>
        <v>960.27361353594836</v>
      </c>
      <c r="F834" s="23">
        <f>AlphaC*(D834-E834)</f>
        <v>99.158699572194564</v>
      </c>
      <c r="G834" s="13">
        <f>Phi*EpsilonF*Botzman/10^8*J834*((D834+273)^4-(E834+273)^4)</f>
        <v>1186.8744213254486</v>
      </c>
      <c r="H834" s="23">
        <f t="shared" si="61"/>
        <v>650</v>
      </c>
      <c r="I834" s="12">
        <f>ksh*Massivete/(H834*RhoA)*DeltaT*(F834+G834)</f>
        <v>0.18969020094245434</v>
      </c>
      <c r="J834" s="3">
        <f>IF(E834&lt;=500,IF(Galva=Oui,0.35,0.7),0.7)</f>
        <v>0.7</v>
      </c>
    </row>
    <row r="835" spans="2:10" x14ac:dyDescent="0.25">
      <c r="B835" s="3">
        <f>B834+DeltaT</f>
        <v>4090</v>
      </c>
      <c r="C835" s="13">
        <f t="shared" si="58"/>
        <v>68.166666666666671</v>
      </c>
      <c r="D835" s="11">
        <f t="shared" si="59"/>
        <v>964.42290610353859</v>
      </c>
      <c r="E835" s="23">
        <f t="shared" si="60"/>
        <v>960.46330373689079</v>
      </c>
      <c r="F835" s="23">
        <f>AlphaC*(D835-E835)</f>
        <v>98.99005916619501</v>
      </c>
      <c r="G835" s="13">
        <f>Phi*EpsilonF*Botzman/10^8*J835*((D835+273)^4-(E835+273)^4)</f>
        <v>1185.3921049705957</v>
      </c>
      <c r="H835" s="23">
        <f t="shared" si="61"/>
        <v>650</v>
      </c>
      <c r="I835" s="12">
        <f>ksh*Massivete/(H835*RhoA)*DeltaT*(F835+G835)</f>
        <v>0.18944668441506135</v>
      </c>
      <c r="J835" s="3">
        <f>IF(E835&lt;=500,IF(Galva=Oui,0.35,0.7),0.7)</f>
        <v>0.7</v>
      </c>
    </row>
    <row r="836" spans="2:10" x14ac:dyDescent="0.25">
      <c r="B836" s="3">
        <f>B835+DeltaT</f>
        <v>4095</v>
      </c>
      <c r="C836" s="13">
        <f t="shared" si="58"/>
        <v>68.25</v>
      </c>
      <c r="D836" s="11">
        <f t="shared" si="59"/>
        <v>964.60562758503352</v>
      </c>
      <c r="E836" s="23">
        <f t="shared" si="60"/>
        <v>960.65275042130588</v>
      </c>
      <c r="F836" s="23">
        <f>AlphaC*(D836-E836)</f>
        <v>98.821929093190874</v>
      </c>
      <c r="G836" s="13">
        <f>Phi*EpsilonF*Botzman/10^8*J836*((D836+273)^4-(E836+273)^4)</f>
        <v>1183.9135664410671</v>
      </c>
      <c r="H836" s="23">
        <f t="shared" si="61"/>
        <v>650</v>
      </c>
      <c r="I836" s="12">
        <f>ksh*Massivete/(H836*RhoA)*DeltaT*(F836+G836)</f>
        <v>0.18920380039207285</v>
      </c>
      <c r="J836" s="3">
        <f>IF(E836&lt;=500,IF(Galva=Oui,0.35,0.7),0.7)</f>
        <v>0.7</v>
      </c>
    </row>
    <row r="837" spans="2:10" x14ac:dyDescent="0.25">
      <c r="B837" s="3">
        <f>B836+DeltaT</f>
        <v>4100</v>
      </c>
      <c r="C837" s="13">
        <f t="shared" si="58"/>
        <v>68.333333333333329</v>
      </c>
      <c r="D837" s="11">
        <f t="shared" si="59"/>
        <v>964.78812650681277</v>
      </c>
      <c r="E837" s="23">
        <f t="shared" si="60"/>
        <v>960.84195422169796</v>
      </c>
      <c r="F837" s="23">
        <f>AlphaC*(D837-E837)</f>
        <v>98.654307127870311</v>
      </c>
      <c r="G837" s="13">
        <f>Phi*EpsilonF*Botzman/10^8*J837*((D837+273)^4-(E837+273)^4)</f>
        <v>1182.4387910554583</v>
      </c>
      <c r="H837" s="23">
        <f t="shared" si="61"/>
        <v>650</v>
      </c>
      <c r="I837" s="12">
        <f>ksh*Massivete/(H837*RhoA)*DeltaT*(F837+G837)</f>
        <v>0.18896154637974405</v>
      </c>
      <c r="J837" s="3">
        <f>IF(E837&lt;=500,IF(Galva=Oui,0.35,0.7),0.7)</f>
        <v>0.7</v>
      </c>
    </row>
    <row r="838" spans="2:10" x14ac:dyDescent="0.25">
      <c r="B838" s="3">
        <f>B837+DeltaT</f>
        <v>4105</v>
      </c>
      <c r="C838" s="13">
        <f t="shared" si="58"/>
        <v>68.416666666666671</v>
      </c>
      <c r="D838" s="11">
        <f t="shared" si="59"/>
        <v>964.97040341038394</v>
      </c>
      <c r="E838" s="23">
        <f t="shared" si="60"/>
        <v>961.03091576807765</v>
      </c>
      <c r="F838" s="23">
        <f>AlphaC*(D838-E838)</f>
        <v>98.487191057657242</v>
      </c>
      <c r="G838" s="13">
        <f>Phi*EpsilonF*Botzman/10^8*J838*((D838+273)^4-(E838+273)^4)</f>
        <v>1180.9677642102718</v>
      </c>
      <c r="H838" s="23">
        <f t="shared" si="61"/>
        <v>650</v>
      </c>
      <c r="I838" s="12">
        <f>ksh*Massivete/(H838*RhoA)*DeltaT*(F838+G838)</f>
        <v>0.18871991989770004</v>
      </c>
      <c r="J838" s="3">
        <f>IF(E838&lt;=500,IF(Galva=Oui,0.35,0.7),0.7)</f>
        <v>0.7</v>
      </c>
    </row>
    <row r="839" spans="2:10" x14ac:dyDescent="0.25">
      <c r="B839" s="3">
        <f>B838+DeltaT</f>
        <v>4110</v>
      </c>
      <c r="C839" s="13">
        <f t="shared" si="58"/>
        <v>68.5</v>
      </c>
      <c r="D839" s="11">
        <f t="shared" si="59"/>
        <v>965.15245883528155</v>
      </c>
      <c r="E839" s="23">
        <f t="shared" si="60"/>
        <v>961.21963568797537</v>
      </c>
      <c r="F839" s="23">
        <f>AlphaC*(D839-E839)</f>
        <v>98.320578682654514</v>
      </c>
      <c r="G839" s="13">
        <f>Phi*EpsilonF*Botzman/10^8*J839*((D839+273)^4-(E839+273)^4)</f>
        <v>1179.5004713791802</v>
      </c>
      <c r="H839" s="23">
        <f t="shared" si="61"/>
        <v>650</v>
      </c>
      <c r="I839" s="12">
        <f>ksh*Massivete/(H839*RhoA)*DeltaT*(F839+G839)</f>
        <v>0.18847891847881854</v>
      </c>
      <c r="J839" s="3">
        <f>IF(E839&lt;=500,IF(Galva=Oui,0.35,0.7),0.7)</f>
        <v>0.7</v>
      </c>
    </row>
    <row r="840" spans="2:10" x14ac:dyDescent="0.25">
      <c r="B840" s="3">
        <f>B839+DeltaT</f>
        <v>4115</v>
      </c>
      <c r="C840" s="13">
        <f t="shared" si="58"/>
        <v>68.583333333333329</v>
      </c>
      <c r="D840" s="11">
        <f t="shared" si="59"/>
        <v>965.3342933190753</v>
      </c>
      <c r="E840" s="23">
        <f t="shared" si="60"/>
        <v>961.40811460645421</v>
      </c>
      <c r="F840" s="23">
        <f>AlphaC*(D840-E840)</f>
        <v>98.154467815527369</v>
      </c>
      <c r="G840" s="13">
        <f>Phi*EpsilonF*Botzman/10^8*J840*((D840+273)^4-(E840+273)^4)</f>
        <v>1178.0368981124855</v>
      </c>
      <c r="H840" s="23">
        <f t="shared" si="61"/>
        <v>650</v>
      </c>
      <c r="I840" s="12">
        <f>ksh*Massivete/(H840*RhoA)*DeltaT*(F840+G840)</f>
        <v>0.18823853966913309</v>
      </c>
      <c r="J840" s="3">
        <f>IF(E840&lt;=500,IF(Galva=Oui,0.35,0.7),0.7)</f>
        <v>0.7</v>
      </c>
    </row>
    <row r="841" spans="2:10" x14ac:dyDescent="0.25">
      <c r="B841" s="3">
        <f>B840+DeltaT</f>
        <v>4120</v>
      </c>
      <c r="C841" s="13">
        <f t="shared" si="58"/>
        <v>68.666666666666671</v>
      </c>
      <c r="D841" s="11">
        <f t="shared" si="59"/>
        <v>965.51590739738026</v>
      </c>
      <c r="E841" s="23">
        <f t="shared" si="60"/>
        <v>961.59635314612331</v>
      </c>
      <c r="F841" s="23">
        <f>AlphaC*(D841-E841)</f>
        <v>97.988856281423864</v>
      </c>
      <c r="G841" s="13">
        <f>Phi*EpsilonF*Botzman/10^8*J841*((D841+273)^4-(E841+273)^4)</f>
        <v>1176.5770300367481</v>
      </c>
      <c r="H841" s="23">
        <f t="shared" si="61"/>
        <v>650</v>
      </c>
      <c r="I841" s="12">
        <f>ksh*Massivete/(H841*RhoA)*DeltaT*(F841+G841)</f>
        <v>0.18799878102776674</v>
      </c>
      <c r="J841" s="3">
        <f>IF(E841&lt;=500,IF(Galva=Oui,0.35,0.7),0.7)</f>
        <v>0.7</v>
      </c>
    </row>
    <row r="842" spans="2:10" x14ac:dyDescent="0.25">
      <c r="B842" s="3">
        <f>B841+DeltaT</f>
        <v>4125</v>
      </c>
      <c r="C842" s="13">
        <f t="shared" si="58"/>
        <v>68.75</v>
      </c>
      <c r="D842" s="11">
        <f t="shared" si="59"/>
        <v>965.69730160386575</v>
      </c>
      <c r="E842" s="23">
        <f t="shared" si="60"/>
        <v>961.78435192715108</v>
      </c>
      <c r="F842" s="23">
        <f>AlphaC*(D842-E842)</f>
        <v>97.823741917866869</v>
      </c>
      <c r="G842" s="13">
        <f>Phi*EpsilonF*Botzman/10^8*J842*((D842+273)^4-(E842+273)^4)</f>
        <v>1175.1208528540724</v>
      </c>
      <c r="H842" s="23">
        <f t="shared" si="61"/>
        <v>650</v>
      </c>
      <c r="I842" s="12">
        <f>ksh*Massivete/(H842*RhoA)*DeltaT*(F842+G842)</f>
        <v>0.18775964012681035</v>
      </c>
      <c r="J842" s="3">
        <f>IF(E842&lt;=500,IF(Galva=Oui,0.35,0.7),0.7)</f>
        <v>0.7</v>
      </c>
    </row>
    <row r="843" spans="2:10" x14ac:dyDescent="0.25">
      <c r="B843" s="3">
        <f>B842+DeltaT</f>
        <v>4130</v>
      </c>
      <c r="C843" s="13">
        <f t="shared" si="58"/>
        <v>68.833333333333329</v>
      </c>
      <c r="D843" s="11">
        <f t="shared" si="59"/>
        <v>965.8784764702657</v>
      </c>
      <c r="E843" s="23">
        <f t="shared" si="60"/>
        <v>961.97211156727792</v>
      </c>
      <c r="F843" s="23">
        <f>AlphaC*(D843-E843)</f>
        <v>97.659122574694379</v>
      </c>
      <c r="G843" s="13">
        <f>Phi*EpsilonF*Botzman/10^8*J843*((D843+273)^4-(E843+273)^4)</f>
        <v>1173.6683523415427</v>
      </c>
      <c r="H843" s="23">
        <f t="shared" si="61"/>
        <v>650</v>
      </c>
      <c r="I843" s="12">
        <f>ksh*Massivete/(H843*RhoA)*DeltaT*(F843+G843)</f>
        <v>0.18752111455123102</v>
      </c>
      <c r="J843" s="3">
        <f>IF(E843&lt;=500,IF(Galva=Oui,0.35,0.7),0.7)</f>
        <v>0.7</v>
      </c>
    </row>
    <row r="844" spans="2:10" x14ac:dyDescent="0.25">
      <c r="B844" s="3">
        <f>B843+DeltaT</f>
        <v>4135</v>
      </c>
      <c r="C844" s="13">
        <f t="shared" si="58"/>
        <v>68.916666666666671</v>
      </c>
      <c r="D844" s="11">
        <f t="shared" si="59"/>
        <v>966.05943252638758</v>
      </c>
      <c r="E844" s="23">
        <f t="shared" si="60"/>
        <v>962.15963268182918</v>
      </c>
      <c r="F844" s="23">
        <f>AlphaC*(D844-E844)</f>
        <v>97.494996113960042</v>
      </c>
      <c r="G844" s="13">
        <f>Phi*EpsilonF*Botzman/10^8*J844*((D844+273)^4-(E844+273)^4)</f>
        <v>1172.2195143511469</v>
      </c>
      <c r="H844" s="23">
        <f t="shared" si="61"/>
        <v>650</v>
      </c>
      <c r="I844" s="12">
        <f>ksh*Massivete/(H844*RhoA)*DeltaT*(F844+G844)</f>
        <v>0.1872832018988459</v>
      </c>
      <c r="J844" s="3">
        <f>IF(E844&lt;=500,IF(Galva=Oui,0.35,0.7),0.7)</f>
        <v>0.7</v>
      </c>
    </row>
    <row r="845" spans="2:10" x14ac:dyDescent="0.25">
      <c r="B845" s="3">
        <f>B844+DeltaT</f>
        <v>4140</v>
      </c>
      <c r="C845" s="13">
        <f t="shared" si="58"/>
        <v>69</v>
      </c>
      <c r="D845" s="11">
        <f t="shared" si="59"/>
        <v>966.24017030012078</v>
      </c>
      <c r="E845" s="23">
        <f t="shared" si="60"/>
        <v>962.346915883728</v>
      </c>
      <c r="F845" s="23">
        <f>AlphaC*(D845-E845)</f>
        <v>97.331360409819467</v>
      </c>
      <c r="G845" s="13">
        <f>Phi*EpsilonF*Botzman/10^8*J845*((D845+273)^4-(E845+273)^4)</f>
        <v>1170.7743248086329</v>
      </c>
      <c r="H845" s="23">
        <f t="shared" si="61"/>
        <v>650</v>
      </c>
      <c r="I845" s="12">
        <f>ksh*Massivete/(H845*RhoA)*DeltaT*(F845+G845)</f>
        <v>0.18704589978013672</v>
      </c>
      <c r="J845" s="3">
        <f>IF(E845&lt;=500,IF(Galva=Oui,0.35,0.7),0.7)</f>
        <v>0.7</v>
      </c>
    </row>
    <row r="846" spans="2:10" x14ac:dyDescent="0.25">
      <c r="B846" s="3">
        <f>B845+DeltaT</f>
        <v>4145</v>
      </c>
      <c r="C846" s="13">
        <f t="shared" si="58"/>
        <v>69.083333333333329</v>
      </c>
      <c r="D846" s="11">
        <f t="shared" si="59"/>
        <v>966.42069031744745</v>
      </c>
      <c r="E846" s="23">
        <f t="shared" si="60"/>
        <v>962.53396178350818</v>
      </c>
      <c r="F846" s="23">
        <f>AlphaC*(D846-E846)</f>
        <v>97.168213348481913</v>
      </c>
      <c r="G846" s="13">
        <f>Phi*EpsilonF*Botzman/10^8*J846*((D846+273)^4-(E846+273)^4)</f>
        <v>1169.3327697133336</v>
      </c>
      <c r="H846" s="23">
        <f t="shared" si="61"/>
        <v>650</v>
      </c>
      <c r="I846" s="12">
        <f>ksh*Massivete/(H846*RhoA)*DeltaT*(F846+G846)</f>
        <v>0.186809205818217</v>
      </c>
      <c r="J846" s="3">
        <f>IF(E846&lt;=500,IF(Galva=Oui,0.35,0.7),0.7)</f>
        <v>0.7</v>
      </c>
    </row>
    <row r="847" spans="2:10" x14ac:dyDescent="0.25">
      <c r="B847" s="3">
        <f>B846+DeltaT</f>
        <v>4150</v>
      </c>
      <c r="C847" s="13">
        <f t="shared" si="58"/>
        <v>69.166666666666671</v>
      </c>
      <c r="D847" s="11">
        <f t="shared" si="59"/>
        <v>966.60099310245062</v>
      </c>
      <c r="E847" s="23">
        <f t="shared" si="60"/>
        <v>962.72077098932641</v>
      </c>
      <c r="F847" s="23">
        <f>AlphaC*(D847-E847)</f>
        <v>97.005552828105124</v>
      </c>
      <c r="G847" s="13">
        <f>Phi*EpsilonF*Botzman/10^8*J847*((D847+273)^4-(E847+273)^4)</f>
        <v>1167.8948351377608</v>
      </c>
      <c r="H847" s="23">
        <f t="shared" si="61"/>
        <v>650</v>
      </c>
      <c r="I847" s="12">
        <f>ksh*Massivete/(H847*RhoA)*DeltaT*(F847+G847)</f>
        <v>0.18657311764875656</v>
      </c>
      <c r="J847" s="3">
        <f>IF(E847&lt;=500,IF(Galva=Oui,0.35,0.7),0.7)</f>
        <v>0.7</v>
      </c>
    </row>
    <row r="848" spans="2:10" x14ac:dyDescent="0.25">
      <c r="B848" s="3">
        <f>B847+DeltaT</f>
        <v>4155</v>
      </c>
      <c r="C848" s="13">
        <f t="shared" si="58"/>
        <v>69.25</v>
      </c>
      <c r="D848" s="11">
        <f t="shared" si="59"/>
        <v>966.78107917732314</v>
      </c>
      <c r="E848" s="23">
        <f t="shared" si="60"/>
        <v>962.90734410697519</v>
      </c>
      <c r="F848" s="23">
        <f>AlphaC*(D848-E848)</f>
        <v>96.843376758698696</v>
      </c>
      <c r="G848" s="13">
        <f>Phi*EpsilonF*Botzman/10^8*J848*((D848+273)^4-(E848+273)^4)</f>
        <v>1166.4605072268291</v>
      </c>
      <c r="H848" s="23">
        <f t="shared" si="61"/>
        <v>650</v>
      </c>
      <c r="I848" s="12">
        <f>ksh*Massivete/(H848*RhoA)*DeltaT*(F848+G848)</f>
        <v>0.18633763291985289</v>
      </c>
      <c r="J848" s="3">
        <f>IF(E848&lt;=500,IF(Galva=Oui,0.35,0.7),0.7)</f>
        <v>0.7</v>
      </c>
    </row>
    <row r="849" spans="2:10" x14ac:dyDescent="0.25">
      <c r="B849" s="3">
        <f>B848+DeltaT</f>
        <v>4160</v>
      </c>
      <c r="C849" s="13">
        <f t="shared" si="58"/>
        <v>69.333333333333329</v>
      </c>
      <c r="D849" s="11">
        <f t="shared" si="59"/>
        <v>966.96094906237818</v>
      </c>
      <c r="E849" s="23">
        <f t="shared" si="60"/>
        <v>963.09368173989503</v>
      </c>
      <c r="F849" s="23">
        <f>AlphaC*(D849-E849)</f>
        <v>96.681683062078605</v>
      </c>
      <c r="G849" s="13">
        <f>Phi*EpsilonF*Botzman/10^8*J849*((D849+273)^4-(E849+273)^4)</f>
        <v>1165.0297721976626</v>
      </c>
      <c r="H849" s="23">
        <f t="shared" si="61"/>
        <v>650</v>
      </c>
      <c r="I849" s="12">
        <f>ksh*Massivete/(H849*RhoA)*DeltaT*(F849+G849)</f>
        <v>0.18610274929199566</v>
      </c>
      <c r="J849" s="3">
        <f>IF(E849&lt;=500,IF(Galva=Oui,0.35,0.7),0.7)</f>
        <v>0.7</v>
      </c>
    </row>
    <row r="850" spans="2:10" x14ac:dyDescent="0.25">
      <c r="B850" s="3">
        <f>B849+DeltaT</f>
        <v>4165</v>
      </c>
      <c r="C850" s="13">
        <f t="shared" ref="C850:C913" si="62">B850/60</f>
        <v>69.416666666666671</v>
      </c>
      <c r="D850" s="11">
        <f t="shared" ref="D850:D913" si="63">20+345*LOG(8*C850+1,10)</f>
        <v>967.14060327605659</v>
      </c>
      <c r="E850" s="23">
        <f t="shared" si="60"/>
        <v>963.27978448918702</v>
      </c>
      <c r="F850" s="23">
        <f>AlphaC*(D850-E850)</f>
        <v>96.520469671739306</v>
      </c>
      <c r="G850" s="13">
        <f>Phi*EpsilonF*Botzman/10^8*J850*((D850+273)^4-(E850+273)^4)</f>
        <v>1163.602616338859</v>
      </c>
      <c r="H850" s="23">
        <f t="shared" si="61"/>
        <v>650</v>
      </c>
      <c r="I850" s="12">
        <f>ksh*Massivete/(H850*RhoA)*DeltaT*(F850+G850)</f>
        <v>0.18586846443793964</v>
      </c>
      <c r="J850" s="3">
        <f>IF(E850&lt;=500,IF(Galva=Oui,0.35,0.7),0.7)</f>
        <v>0.7</v>
      </c>
    </row>
    <row r="851" spans="2:10" x14ac:dyDescent="0.25">
      <c r="B851" s="3">
        <f>B850+DeltaT</f>
        <v>4170</v>
      </c>
      <c r="C851" s="13">
        <f t="shared" si="62"/>
        <v>69.5</v>
      </c>
      <c r="D851" s="11">
        <f t="shared" si="63"/>
        <v>967.32004233493649</v>
      </c>
      <c r="E851" s="23">
        <f t="shared" si="60"/>
        <v>963.46565295362495</v>
      </c>
      <c r="F851" s="23">
        <f>AlphaC*(D851-E851)</f>
        <v>96.359734532788366</v>
      </c>
      <c r="G851" s="13">
        <f>Phi*EpsilonF*Botzman/10^8*J851*((D851+273)^4-(E851+273)^4)</f>
        <v>1162.1790260099262</v>
      </c>
      <c r="H851" s="23">
        <f t="shared" si="61"/>
        <v>650</v>
      </c>
      <c r="I851" s="12">
        <f>ksh*Massivete/(H851*RhoA)*DeltaT*(F851+G851)</f>
        <v>0.18563477604261169</v>
      </c>
      <c r="J851" s="3">
        <f>IF(E851&lt;=500,IF(Galva=Oui,0.35,0.7),0.7)</f>
        <v>0.7</v>
      </c>
    </row>
    <row r="852" spans="2:10" x14ac:dyDescent="0.25">
      <c r="B852" s="3">
        <f>B851+DeltaT</f>
        <v>4175</v>
      </c>
      <c r="C852" s="13">
        <f t="shared" si="62"/>
        <v>69.583333333333329</v>
      </c>
      <c r="D852" s="11">
        <f t="shared" si="63"/>
        <v>967.49926675374252</v>
      </c>
      <c r="E852" s="23">
        <f t="shared" si="60"/>
        <v>963.65128772966762</v>
      </c>
      <c r="F852" s="23">
        <f>AlphaC*(D852-E852)</f>
        <v>96.199475601872564</v>
      </c>
      <c r="G852" s="13">
        <f>Phi*EpsilonF*Botzman/10^8*J852*((D852+273)^4-(E852+273)^4)</f>
        <v>1160.7589876411866</v>
      </c>
      <c r="H852" s="23">
        <f t="shared" si="61"/>
        <v>650</v>
      </c>
      <c r="I852" s="12">
        <f>ksh*Massivete/(H852*RhoA)*DeltaT*(F852+G852)</f>
        <v>0.18540168180308605</v>
      </c>
      <c r="J852" s="3">
        <f>IF(E852&lt;=500,IF(Galva=Oui,0.35,0.7),0.7)</f>
        <v>0.7</v>
      </c>
    </row>
    <row r="853" spans="2:10" x14ac:dyDescent="0.25">
      <c r="B853" s="3">
        <f>B852+DeltaT</f>
        <v>4180</v>
      </c>
      <c r="C853" s="13">
        <f t="shared" si="62"/>
        <v>69.666666666666671</v>
      </c>
      <c r="D853" s="11">
        <f t="shared" si="63"/>
        <v>967.67827704535466</v>
      </c>
      <c r="E853" s="23">
        <f t="shared" si="60"/>
        <v>963.83668941147073</v>
      </c>
      <c r="F853" s="23">
        <f>AlphaC*(D853-E853)</f>
        <v>96.039690847098313</v>
      </c>
      <c r="G853" s="13">
        <f>Phi*EpsilonF*Botzman/10^8*J853*((D853+273)^4-(E853+273)^4)</f>
        <v>1159.3424877330597</v>
      </c>
      <c r="H853" s="23">
        <f t="shared" si="61"/>
        <v>650</v>
      </c>
      <c r="I853" s="12">
        <f>ksh*Massivete/(H853*RhoA)*DeltaT*(F853+G853)</f>
        <v>0.18516917942846636</v>
      </c>
      <c r="J853" s="3">
        <f>IF(E853&lt;=500,IF(Galva=Oui,0.35,0.7),0.7)</f>
        <v>0.7</v>
      </c>
    </row>
    <row r="854" spans="2:10" x14ac:dyDescent="0.25">
      <c r="B854" s="3">
        <f>B853+DeltaT</f>
        <v>4185</v>
      </c>
      <c r="C854" s="13">
        <f t="shared" si="62"/>
        <v>69.75</v>
      </c>
      <c r="D854" s="11">
        <f t="shared" si="63"/>
        <v>967.85707372081595</v>
      </c>
      <c r="E854" s="23">
        <f t="shared" si="60"/>
        <v>964.02185859089923</v>
      </c>
      <c r="F854" s="23">
        <f>AlphaC*(D854-E854)</f>
        <v>95.880378247917974</v>
      </c>
      <c r="G854" s="13">
        <f>Phi*EpsilonF*Botzman/10^8*J854*((D854+273)^4-(E854+273)^4)</f>
        <v>1157.9295128554027</v>
      </c>
      <c r="H854" s="23">
        <f t="shared" si="61"/>
        <v>650</v>
      </c>
      <c r="I854" s="12">
        <f>ksh*Massivete/(H854*RhoA)*DeltaT*(F854+G854)</f>
        <v>0.18493726663977211</v>
      </c>
      <c r="J854" s="3">
        <f>IF(E854&lt;=500,IF(Galva=Oui,0.35,0.7),0.7)</f>
        <v>0.7</v>
      </c>
    </row>
    <row r="855" spans="2:10" x14ac:dyDescent="0.25">
      <c r="B855" s="3">
        <f>B854+DeltaT</f>
        <v>4190</v>
      </c>
      <c r="C855" s="13">
        <f t="shared" si="62"/>
        <v>69.833333333333329</v>
      </c>
      <c r="D855" s="11">
        <f t="shared" si="63"/>
        <v>968.03565728934313</v>
      </c>
      <c r="E855" s="23">
        <f t="shared" si="60"/>
        <v>964.20679585753896</v>
      </c>
      <c r="F855" s="23">
        <f>AlphaC*(D855-E855)</f>
        <v>95.721535795104273</v>
      </c>
      <c r="G855" s="13">
        <f>Phi*EpsilonF*Botzman/10^8*J855*((D855+273)^4-(E855+273)^4)</f>
        <v>1156.5200496475309</v>
      </c>
      <c r="H855" s="23">
        <f t="shared" si="61"/>
        <v>650</v>
      </c>
      <c r="I855" s="12">
        <f>ksh*Massivete/(H855*RhoA)*DeltaT*(F855+G855)</f>
        <v>0.18470594116993741</v>
      </c>
      <c r="J855" s="3">
        <f>IF(E855&lt;=500,IF(Galva=Oui,0.35,0.7),0.7)</f>
        <v>0.7</v>
      </c>
    </row>
    <row r="856" spans="2:10" x14ac:dyDescent="0.25">
      <c r="B856" s="3">
        <f>B855+DeltaT</f>
        <v>4195</v>
      </c>
      <c r="C856" s="13">
        <f t="shared" si="62"/>
        <v>69.916666666666671</v>
      </c>
      <c r="D856" s="11">
        <f t="shared" si="63"/>
        <v>968.21402825833388</v>
      </c>
      <c r="E856" s="23">
        <f t="shared" si="60"/>
        <v>964.39150179870887</v>
      </c>
      <c r="F856" s="23">
        <f>AlphaC*(D856-E856)</f>
        <v>95.563161490625248</v>
      </c>
      <c r="G856" s="13">
        <f>Phi*EpsilonF*Botzman/10^8*J856*((D856+273)^4-(E856+273)^4)</f>
        <v>1155.1140848174221</v>
      </c>
      <c r="H856" s="23">
        <f t="shared" si="61"/>
        <v>650</v>
      </c>
      <c r="I856" s="12">
        <f>ksh*Massivete/(H856*RhoA)*DeltaT*(F856+G856)</f>
        <v>0.18447520076367557</v>
      </c>
      <c r="J856" s="3">
        <f>IF(E856&lt;=500,IF(Galva=Oui,0.35,0.7),0.7)</f>
        <v>0.7</v>
      </c>
    </row>
    <row r="857" spans="2:10" x14ac:dyDescent="0.25">
      <c r="B857" s="3">
        <f>B856+DeltaT</f>
        <v>4200</v>
      </c>
      <c r="C857" s="13">
        <f t="shared" si="62"/>
        <v>70</v>
      </c>
      <c r="D857" s="11">
        <f t="shared" si="63"/>
        <v>968.39218713337561</v>
      </c>
      <c r="E857" s="23">
        <f t="shared" si="60"/>
        <v>964.57597699947257</v>
      </c>
      <c r="F857" s="23">
        <f>AlphaC*(D857-E857)</f>
        <v>95.405253347576036</v>
      </c>
      <c r="G857" s="13">
        <f>Phi*EpsilonF*Botzman/10^8*J857*((D857+273)^4-(E857+273)^4)</f>
        <v>1153.7116051409612</v>
      </c>
      <c r="H857" s="23">
        <f t="shared" si="61"/>
        <v>650</v>
      </c>
      <c r="I857" s="12">
        <f>ksh*Massivete/(H857*RhoA)*DeltaT*(F857+G857)</f>
        <v>0.1842450431773574</v>
      </c>
      <c r="J857" s="3">
        <f>IF(E857&lt;=500,IF(Galva=Oui,0.35,0.7),0.7)</f>
        <v>0.7</v>
      </c>
    </row>
    <row r="858" spans="2:10" x14ac:dyDescent="0.25">
      <c r="B858" s="3">
        <f>B857+DeltaT</f>
        <v>4205</v>
      </c>
      <c r="C858" s="13">
        <f t="shared" si="62"/>
        <v>70.083333333333329</v>
      </c>
      <c r="D858" s="11">
        <f t="shared" si="63"/>
        <v>968.57013441825461</v>
      </c>
      <c r="E858" s="23">
        <f t="shared" si="60"/>
        <v>964.76022204264996</v>
      </c>
      <c r="F858" s="23">
        <f>AlphaC*(D858-E858)</f>
        <v>95.247809390116345</v>
      </c>
      <c r="G858" s="13">
        <f>Phi*EpsilonF*Botzman/10^8*J858*((D858+273)^4-(E858+273)^4)</f>
        <v>1152.3125974623088</v>
      </c>
      <c r="H858" s="23">
        <f t="shared" si="61"/>
        <v>650</v>
      </c>
      <c r="I858" s="12">
        <f>ksh*Massivete/(H858*RhoA)*DeltaT*(F858+G858)</f>
        <v>0.18401546617905643</v>
      </c>
      <c r="J858" s="3">
        <f>IF(E858&lt;=500,IF(Galva=Oui,0.35,0.7),0.7)</f>
        <v>0.7</v>
      </c>
    </row>
    <row r="859" spans="2:10" x14ac:dyDescent="0.25">
      <c r="B859" s="3">
        <f>B858+DeltaT</f>
        <v>4210</v>
      </c>
      <c r="C859" s="13">
        <f t="shared" si="62"/>
        <v>70.166666666666671</v>
      </c>
      <c r="D859" s="11">
        <f t="shared" si="63"/>
        <v>968.74787061496465</v>
      </c>
      <c r="E859" s="23">
        <f t="shared" si="60"/>
        <v>964.94423750882902</v>
      </c>
      <c r="F859" s="23">
        <f>AlphaC*(D859-E859)</f>
        <v>95.090827653390875</v>
      </c>
      <c r="G859" s="13">
        <f>Phi*EpsilonF*Botzman/10^8*J859*((D859+273)^4-(E859+273)^4)</f>
        <v>1150.9170486927376</v>
      </c>
      <c r="H859" s="23">
        <f t="shared" si="61"/>
        <v>650</v>
      </c>
      <c r="I859" s="12">
        <f>ksh*Massivete/(H859*RhoA)*DeltaT*(F859+G859)</f>
        <v>0.1837864675483655</v>
      </c>
      <c r="J859" s="3">
        <f>IF(E859&lt;=500,IF(Galva=Oui,0.35,0.7),0.7)</f>
        <v>0.7</v>
      </c>
    </row>
    <row r="860" spans="2:10" x14ac:dyDescent="0.25">
      <c r="B860" s="3">
        <f>B859+DeltaT</f>
        <v>4215</v>
      </c>
      <c r="C860" s="13">
        <f t="shared" si="62"/>
        <v>70.25</v>
      </c>
      <c r="D860" s="11">
        <f t="shared" si="63"/>
        <v>968.92539622371442</v>
      </c>
      <c r="E860" s="23">
        <f t="shared" si="60"/>
        <v>965.12802397637734</v>
      </c>
      <c r="F860" s="23">
        <f>AlphaC*(D860-E860)</f>
        <v>94.934306183426997</v>
      </c>
      <c r="G860" s="13">
        <f>Phi*EpsilonF*Botzman/10^8*J860*((D860+273)^4-(E860+273)^4)</f>
        <v>1149.5249458104392</v>
      </c>
      <c r="H860" s="23">
        <f t="shared" si="61"/>
        <v>650</v>
      </c>
      <c r="I860" s="12">
        <f>ksh*Massivete/(H860*RhoA)*DeltaT*(F860+G860)</f>
        <v>0.18355804507635332</v>
      </c>
      <c r="J860" s="3">
        <f>IF(E860&lt;=500,IF(Galva=Oui,0.35,0.7),0.7)</f>
        <v>0.7</v>
      </c>
    </row>
    <row r="861" spans="2:10" x14ac:dyDescent="0.25">
      <c r="B861" s="3">
        <f>B860+DeltaT</f>
        <v>4220</v>
      </c>
      <c r="C861" s="13">
        <f t="shared" si="62"/>
        <v>70.333333333333329</v>
      </c>
      <c r="D861" s="11">
        <f t="shared" si="63"/>
        <v>969.10271174293723</v>
      </c>
      <c r="E861" s="23">
        <f t="shared" si="60"/>
        <v>965.31158202145366</v>
      </c>
      <c r="F861" s="23">
        <f>AlphaC*(D861-E861)</f>
        <v>94.778243037089283</v>
      </c>
      <c r="G861" s="13">
        <f>Phi*EpsilonF*Botzman/10^8*J861*((D861+273)^4-(E861+273)^4)</f>
        <v>1148.1362758599814</v>
      </c>
      <c r="H861" s="23">
        <f t="shared" si="61"/>
        <v>650</v>
      </c>
      <c r="I861" s="12">
        <f>ksh*Massivete/(H861*RhoA)*DeltaT*(F861+G861)</f>
        <v>0.18333019656547742</v>
      </c>
      <c r="J861" s="3">
        <f>IF(E861&lt;=500,IF(Galva=Oui,0.35,0.7),0.7)</f>
        <v>0.7</v>
      </c>
    </row>
    <row r="862" spans="2:10" x14ac:dyDescent="0.25">
      <c r="B862" s="3">
        <f>B861+DeltaT</f>
        <v>4225</v>
      </c>
      <c r="C862" s="13">
        <f t="shared" si="62"/>
        <v>70.416666666666671</v>
      </c>
      <c r="D862" s="11">
        <f t="shared" si="63"/>
        <v>969.27981766929906</v>
      </c>
      <c r="E862" s="23">
        <f t="shared" si="60"/>
        <v>965.49491221801918</v>
      </c>
      <c r="F862" s="23">
        <f>AlphaC*(D862-E862)</f>
        <v>94.622636281997075</v>
      </c>
      <c r="G862" s="13">
        <f>Phi*EpsilonF*Botzman/10^8*J862*((D862+273)^4-(E862+273)^4)</f>
        <v>1146.7510259522501</v>
      </c>
      <c r="H862" s="23">
        <f t="shared" si="61"/>
        <v>650</v>
      </c>
      <c r="I862" s="12">
        <f>ksh*Massivete/(H862*RhoA)*DeltaT*(F862+G862)</f>
        <v>0.18310291982956373</v>
      </c>
      <c r="J862" s="3">
        <f>IF(E862&lt;=500,IF(Galva=Oui,0.35,0.7),0.7)</f>
        <v>0.7</v>
      </c>
    </row>
    <row r="863" spans="2:10" x14ac:dyDescent="0.25">
      <c r="B863" s="3">
        <f>B862+DeltaT</f>
        <v>4230</v>
      </c>
      <c r="C863" s="13">
        <f t="shared" si="62"/>
        <v>70.5</v>
      </c>
      <c r="D863" s="11">
        <f t="shared" si="63"/>
        <v>969.45671449770623</v>
      </c>
      <c r="E863" s="23">
        <f t="shared" si="60"/>
        <v>965.67801513784877</v>
      </c>
      <c r="F863" s="23">
        <f>AlphaC*(D863-E863)</f>
        <v>94.467483996436385</v>
      </c>
      <c r="G863" s="13">
        <f>Phi*EpsilonF*Botzman/10^8*J863*((D863+273)^4-(E863+273)^4)</f>
        <v>1145.3691832632662</v>
      </c>
      <c r="H863" s="23">
        <f t="shared" si="61"/>
        <v>650</v>
      </c>
      <c r="I863" s="12">
        <f>ksh*Massivete/(H863*RhoA)*DeltaT*(F863+G863)</f>
        <v>0.18287621269361889</v>
      </c>
      <c r="J863" s="3">
        <f>IF(E863&lt;=500,IF(Galva=Oui,0.35,0.7),0.7)</f>
        <v>0.7</v>
      </c>
    </row>
    <row r="864" spans="2:10" x14ac:dyDescent="0.25">
      <c r="B864" s="3">
        <f>B863+DeltaT</f>
        <v>4235</v>
      </c>
      <c r="C864" s="13">
        <f t="shared" si="62"/>
        <v>70.583333333333329</v>
      </c>
      <c r="D864" s="11">
        <f t="shared" si="63"/>
        <v>969.63340272131461</v>
      </c>
      <c r="E864" s="23">
        <f t="shared" si="60"/>
        <v>965.86089135054237</v>
      </c>
      <c r="F864" s="23">
        <f>AlphaC*(D864-E864)</f>
        <v>94.312784269305894</v>
      </c>
      <c r="G864" s="13">
        <f>Phi*EpsilonF*Botzman/10^8*J864*((D864+273)^4-(E864+273)^4)</f>
        <v>1143.9907350347496</v>
      </c>
      <c r="H864" s="23">
        <f t="shared" si="61"/>
        <v>650</v>
      </c>
      <c r="I864" s="12">
        <f>ksh*Massivete/(H864*RhoA)*DeltaT*(F864+G864)</f>
        <v>0.18265007299390557</v>
      </c>
      <c r="J864" s="3">
        <f>IF(E864&lt;=500,IF(Galva=Oui,0.35,0.7),0.7)</f>
        <v>0.7</v>
      </c>
    </row>
    <row r="865" spans="2:10" x14ac:dyDescent="0.25">
      <c r="B865" s="3">
        <f>B864+DeltaT</f>
        <v>4240</v>
      </c>
      <c r="C865" s="13">
        <f t="shared" si="62"/>
        <v>70.666666666666671</v>
      </c>
      <c r="D865" s="11">
        <f t="shared" si="63"/>
        <v>969.80988283153715</v>
      </c>
      <c r="E865" s="23">
        <f t="shared" si="60"/>
        <v>966.04354142353623</v>
      </c>
      <c r="F865" s="23">
        <f>AlphaC*(D865-E865)</f>
        <v>94.158535200023152</v>
      </c>
      <c r="G865" s="13">
        <f>Phi*EpsilonF*Botzman/10^8*J865*((D865+273)^4-(E865+273)^4)</f>
        <v>1142.6156685725084</v>
      </c>
      <c r="H865" s="23">
        <f t="shared" si="61"/>
        <v>650</v>
      </c>
      <c r="I865" s="12">
        <f>ksh*Massivete/(H865*RhoA)*DeltaT*(F865+G865)</f>
        <v>0.18242449857769091</v>
      </c>
      <c r="J865" s="3">
        <f>IF(E865&lt;=500,IF(Galva=Oui,0.35,0.7),0.7)</f>
        <v>0.7</v>
      </c>
    </row>
    <row r="866" spans="2:10" x14ac:dyDescent="0.25">
      <c r="B866" s="3">
        <f>B865+DeltaT</f>
        <v>4245</v>
      </c>
      <c r="C866" s="13">
        <f t="shared" si="62"/>
        <v>70.75</v>
      </c>
      <c r="D866" s="11">
        <f t="shared" si="63"/>
        <v>969.98615531805262</v>
      </c>
      <c r="E866" s="23">
        <f t="shared" si="60"/>
        <v>966.22596592211391</v>
      </c>
      <c r="F866" s="23">
        <f>AlphaC*(D866-E866)</f>
        <v>94.004734898467746</v>
      </c>
      <c r="G866" s="13">
        <f>Phi*EpsilonF*Botzman/10^8*J866*((D866+273)^4-(E866+273)^4)</f>
        <v>1141.2439712471769</v>
      </c>
      <c r="H866" s="23">
        <f t="shared" si="61"/>
        <v>650</v>
      </c>
      <c r="I866" s="12">
        <f>ksh*Massivete/(H866*RhoA)*DeltaT*(F866+G866)</f>
        <v>0.18219948730334717</v>
      </c>
      <c r="J866" s="3">
        <f>IF(E866&lt;=500,IF(Galva=Oui,0.35,0.7),0.7)</f>
        <v>0.7</v>
      </c>
    </row>
    <row r="867" spans="2:10" x14ac:dyDescent="0.25">
      <c r="B867" s="3">
        <f>B866+DeltaT</f>
        <v>4250</v>
      </c>
      <c r="C867" s="13">
        <f t="shared" si="62"/>
        <v>70.833333333333329</v>
      </c>
      <c r="D867" s="11">
        <f t="shared" si="63"/>
        <v>970.16222066881369</v>
      </c>
      <c r="E867" s="23">
        <f t="shared" si="60"/>
        <v>966.40816540941728</v>
      </c>
      <c r="F867" s="23">
        <f>AlphaC*(D867-E867)</f>
        <v>93.851381484910235</v>
      </c>
      <c r="G867" s="13">
        <f>Phi*EpsilonF*Botzman/10^8*J867*((D867+273)^4-(E867+273)^4)</f>
        <v>1139.8756304932463</v>
      </c>
      <c r="H867" s="23">
        <f t="shared" si="61"/>
        <v>650</v>
      </c>
      <c r="I867" s="12">
        <f>ksh*Massivete/(H867*RhoA)*DeltaT*(F867+G867)</f>
        <v>0.18197503704019818</v>
      </c>
      <c r="J867" s="3">
        <f>IF(E867&lt;=500,IF(Galva=Oui,0.35,0.7),0.7)</f>
        <v>0.7</v>
      </c>
    </row>
    <row r="868" spans="2:10" x14ac:dyDescent="0.25">
      <c r="B868" s="3">
        <f>B867+DeltaT</f>
        <v>4255</v>
      </c>
      <c r="C868" s="13">
        <f t="shared" si="62"/>
        <v>70.916666666666671</v>
      </c>
      <c r="D868" s="11">
        <f t="shared" si="63"/>
        <v>970.33807937005452</v>
      </c>
      <c r="E868" s="23">
        <f t="shared" si="60"/>
        <v>966.59014044645744</v>
      </c>
      <c r="F868" s="23">
        <f>AlphaC*(D868-E868)</f>
        <v>93.698473089926892</v>
      </c>
      <c r="G868" s="13">
        <f>Phi*EpsilonF*Botzman/10^8*J868*((D868+273)^4-(E868+273)^4)</f>
        <v>1138.5106338082308</v>
      </c>
      <c r="H868" s="23">
        <f t="shared" si="61"/>
        <v>650</v>
      </c>
      <c r="I868" s="12">
        <f>ksh*Massivete/(H868*RhoA)*DeltaT*(F868+G868)</f>
        <v>0.18175114566838377</v>
      </c>
      <c r="J868" s="3">
        <f>IF(E868&lt;=500,IF(Galva=Oui,0.35,0.7),0.7)</f>
        <v>0.7</v>
      </c>
    </row>
    <row r="869" spans="2:10" x14ac:dyDescent="0.25">
      <c r="B869" s="3">
        <f>B868+DeltaT</f>
        <v>4260</v>
      </c>
      <c r="C869" s="13">
        <f t="shared" si="62"/>
        <v>71</v>
      </c>
      <c r="D869" s="11">
        <f t="shared" si="63"/>
        <v>970.51373190629943</v>
      </c>
      <c r="E869" s="23">
        <f t="shared" si="60"/>
        <v>966.77189159212583</v>
      </c>
      <c r="F869" s="23">
        <f>AlphaC*(D869-E869)</f>
        <v>93.546007854340019</v>
      </c>
      <c r="G869" s="13">
        <f>Phi*EpsilonF*Botzman/10^8*J869*((D869+273)^4-(E869+273)^4)</f>
        <v>1137.1489687533267</v>
      </c>
      <c r="H869" s="23">
        <f t="shared" si="61"/>
        <v>650</v>
      </c>
      <c r="I869" s="12">
        <f>ksh*Massivete/(H869*RhoA)*DeltaT*(F869+G869)</f>
        <v>0.18152781107894816</v>
      </c>
      <c r="J869" s="3">
        <f>IF(E869&lt;=500,IF(Galva=Oui,0.35,0.7),0.7)</f>
        <v>0.7</v>
      </c>
    </row>
    <row r="870" spans="2:10" x14ac:dyDescent="0.25">
      <c r="B870" s="3">
        <f>B869+DeltaT</f>
        <v>4265</v>
      </c>
      <c r="C870" s="13">
        <f t="shared" si="62"/>
        <v>71.083333333333329</v>
      </c>
      <c r="D870" s="11">
        <f t="shared" si="63"/>
        <v>970.68917876037074</v>
      </c>
      <c r="E870" s="23">
        <f t="shared" si="60"/>
        <v>966.95341940320475</v>
      </c>
      <c r="F870" s="23">
        <f>AlphaC*(D870-E870)</f>
        <v>93.393983929149726</v>
      </c>
      <c r="G870" s="13">
        <f>Phi*EpsilonF*Botzman/10^8*J870*((D870+273)^4-(E870+273)^4)</f>
        <v>1135.7906229519408</v>
      </c>
      <c r="H870" s="23">
        <f t="shared" si="61"/>
        <v>650</v>
      </c>
      <c r="I870" s="12">
        <f>ksh*Massivete/(H870*RhoA)*DeltaT*(F870+G870)</f>
        <v>0.18130503117361285</v>
      </c>
      <c r="J870" s="3">
        <f>IF(E870&lt;=500,IF(Galva=Oui,0.35,0.7),0.7)</f>
        <v>0.7</v>
      </c>
    </row>
    <row r="871" spans="2:10" x14ac:dyDescent="0.25">
      <c r="B871" s="3">
        <f>B870+DeltaT</f>
        <v>4270</v>
      </c>
      <c r="C871" s="13">
        <f t="shared" si="62"/>
        <v>71.166666666666671</v>
      </c>
      <c r="D871" s="11">
        <f t="shared" si="63"/>
        <v>970.86442041339603</v>
      </c>
      <c r="E871" s="23">
        <f t="shared" si="60"/>
        <v>967.13472443437831</v>
      </c>
      <c r="F871" s="23">
        <f>AlphaC*(D871-E871)</f>
        <v>93.242399475442994</v>
      </c>
      <c r="G871" s="13">
        <f>Phi*EpsilonF*Botzman/10^8*J871*((D871+273)^4-(E871+273)^4)</f>
        <v>1134.4355840897074</v>
      </c>
      <c r="H871" s="23">
        <f t="shared" si="61"/>
        <v>650</v>
      </c>
      <c r="I871" s="12">
        <f>ksh*Massivete/(H871*RhoA)*DeltaT*(F871+G871)</f>
        <v>0.1810828038647658</v>
      </c>
      <c r="J871" s="3">
        <f>IF(E871&lt;=500,IF(Galva=Oui,0.35,0.7),0.7)</f>
        <v>0.7</v>
      </c>
    </row>
    <row r="872" spans="2:10" x14ac:dyDescent="0.25">
      <c r="B872" s="3">
        <f>B871+DeltaT</f>
        <v>4275</v>
      </c>
      <c r="C872" s="13">
        <f t="shared" si="62"/>
        <v>71.25</v>
      </c>
      <c r="D872" s="11">
        <f t="shared" si="63"/>
        <v>971.03945734481749</v>
      </c>
      <c r="E872" s="23">
        <f t="shared" si="60"/>
        <v>967.31580723824311</v>
      </c>
      <c r="F872" s="23">
        <f>AlphaC*(D872-E872)</f>
        <v>93.091252664359558</v>
      </c>
      <c r="G872" s="13">
        <f>Phi*EpsilonF*Botzman/10^8*J872*((D872+273)^4-(E872+273)^4)</f>
        <v>1133.0838399142965</v>
      </c>
      <c r="H872" s="23">
        <f t="shared" si="61"/>
        <v>650</v>
      </c>
      <c r="I872" s="12">
        <f>ksh*Massivete/(H872*RhoA)*DeltaT*(F872+G872)</f>
        <v>0.18086112707542795</v>
      </c>
      <c r="J872" s="3">
        <f>IF(E872&lt;=500,IF(Galva=Oui,0.35,0.7),0.7)</f>
        <v>0.7</v>
      </c>
    </row>
    <row r="873" spans="2:10" x14ac:dyDescent="0.25">
      <c r="B873" s="3">
        <f>B872+DeltaT</f>
        <v>4280</v>
      </c>
      <c r="C873" s="13">
        <f t="shared" si="62"/>
        <v>71.333333333333329</v>
      </c>
      <c r="D873" s="11">
        <f t="shared" si="63"/>
        <v>971.21429003239882</v>
      </c>
      <c r="E873" s="23">
        <f t="shared" si="60"/>
        <v>967.49666836531856</v>
      </c>
      <c r="F873" s="23">
        <f>AlphaC*(D873-E873)</f>
        <v>92.940541677006649</v>
      </c>
      <c r="G873" s="13">
        <f>Phi*EpsilonF*Botzman/10^8*J873*((D873+273)^4-(E873+273)^4)</f>
        <v>1131.7353782347927</v>
      </c>
      <c r="H873" s="23">
        <f t="shared" si="61"/>
        <v>650</v>
      </c>
      <c r="I873" s="12">
        <f>ksh*Massivete/(H873*RhoA)*DeltaT*(F873+G873)</f>
        <v>0.18063999873914918</v>
      </c>
      <c r="J873" s="3">
        <f>IF(E873&lt;=500,IF(Galva=Oui,0.35,0.7),0.7)</f>
        <v>0.7</v>
      </c>
    </row>
    <row r="874" spans="2:10" x14ac:dyDescent="0.25">
      <c r="B874" s="3">
        <f>B873+DeltaT</f>
        <v>4285</v>
      </c>
      <c r="C874" s="13">
        <f t="shared" si="62"/>
        <v>71.416666666666671</v>
      </c>
      <c r="D874" s="11">
        <f t="shared" si="63"/>
        <v>971.38891895223253</v>
      </c>
      <c r="E874" s="23">
        <f t="shared" si="60"/>
        <v>967.67730836405769</v>
      </c>
      <c r="F874" s="23">
        <f>AlphaC*(D874-E874)</f>
        <v>92.790264704370884</v>
      </c>
      <c r="G874" s="13">
        <f>Phi*EpsilonF*Botzman/10^8*J874*((D874+273)^4-(E874+273)^4)</f>
        <v>1130.3901869211534</v>
      </c>
      <c r="H874" s="23">
        <f t="shared" si="61"/>
        <v>650</v>
      </c>
      <c r="I874" s="12">
        <f>ksh*Massivete/(H874*RhoA)*DeltaT*(F874+G874)</f>
        <v>0.18041941679991533</v>
      </c>
      <c r="J874" s="3">
        <f>IF(E874&lt;=500,IF(Galva=Oui,0.35,0.7),0.7)</f>
        <v>0.7</v>
      </c>
    </row>
    <row r="875" spans="2:10" x14ac:dyDescent="0.25">
      <c r="B875" s="3">
        <f>B874+DeltaT</f>
        <v>4290</v>
      </c>
      <c r="C875" s="13">
        <f t="shared" si="62"/>
        <v>71.5</v>
      </c>
      <c r="D875" s="11">
        <f t="shared" si="63"/>
        <v>971.56334457874948</v>
      </c>
      <c r="E875" s="23">
        <f t="shared" si="60"/>
        <v>967.85772778085766</v>
      </c>
      <c r="F875" s="23">
        <f>AlphaC*(D875-E875)</f>
        <v>92.640419947295527</v>
      </c>
      <c r="G875" s="13">
        <f>Phi*EpsilonF*Botzman/10^8*J875*((D875+273)^4-(E875+273)^4)</f>
        <v>1129.048253904401</v>
      </c>
      <c r="H875" s="23">
        <f t="shared" si="61"/>
        <v>650</v>
      </c>
      <c r="I875" s="12">
        <f>ksh*Massivete/(H875*RhoA)*DeltaT*(F875+G875)</f>
        <v>0.18019937921217311</v>
      </c>
      <c r="J875" s="3">
        <f>IF(E875&lt;=500,IF(Galva=Oui,0.35,0.7),0.7)</f>
        <v>0.7</v>
      </c>
    </row>
    <row r="876" spans="2:10" x14ac:dyDescent="0.25">
      <c r="B876" s="3">
        <f>B875+DeltaT</f>
        <v>4295</v>
      </c>
      <c r="C876" s="13">
        <f t="shared" si="62"/>
        <v>71.583333333333329</v>
      </c>
      <c r="D876" s="11">
        <f t="shared" si="63"/>
        <v>971.73756738472457</v>
      </c>
      <c r="E876" s="23">
        <f t="shared" si="60"/>
        <v>968.03792716006978</v>
      </c>
      <c r="F876" s="23">
        <f>AlphaC*(D876-E876)</f>
        <v>92.491005616369648</v>
      </c>
      <c r="G876" s="13">
        <f>Phi*EpsilonF*Botzman/10^8*J876*((D876+273)^4-(E876+273)^4)</f>
        <v>1127.7095671754037</v>
      </c>
      <c r="H876" s="23">
        <f t="shared" si="61"/>
        <v>650</v>
      </c>
      <c r="I876" s="12">
        <f>ksh*Massivete/(H876*RhoA)*DeltaT*(F876+G876)</f>
        <v>0.17997988394063419</v>
      </c>
      <c r="J876" s="3">
        <f>IF(E876&lt;=500,IF(Galva=Oui,0.35,0.7),0.7)</f>
        <v>0.7</v>
      </c>
    </row>
    <row r="877" spans="2:10" x14ac:dyDescent="0.25">
      <c r="B877" s="3">
        <f>B876+DeltaT</f>
        <v>4300</v>
      </c>
      <c r="C877" s="13">
        <f t="shared" si="62"/>
        <v>71.666666666666671</v>
      </c>
      <c r="D877" s="11">
        <f t="shared" si="63"/>
        <v>971.91158784128618</v>
      </c>
      <c r="E877" s="23">
        <f t="shared" si="60"/>
        <v>968.21790704401042</v>
      </c>
      <c r="F877" s="23">
        <f>AlphaC*(D877-E877)</f>
        <v>92.342019931894015</v>
      </c>
      <c r="G877" s="13">
        <f>Phi*EpsilonF*Botzman/10^8*J877*((D877+273)^4-(E877+273)^4)</f>
        <v>1126.3741147850878</v>
      </c>
      <c r="H877" s="23">
        <f t="shared" si="61"/>
        <v>650</v>
      </c>
      <c r="I877" s="12">
        <f>ksh*Massivete/(H877*RhoA)*DeltaT*(F877+G877)</f>
        <v>0.1797609289603011</v>
      </c>
      <c r="J877" s="3">
        <f>IF(E877&lt;=500,IF(Galva=Oui,0.35,0.7),0.7)</f>
        <v>0.7</v>
      </c>
    </row>
    <row r="878" spans="2:10" x14ac:dyDescent="0.25">
      <c r="B878" s="3">
        <f>B877+DeltaT</f>
        <v>4305</v>
      </c>
      <c r="C878" s="13">
        <f t="shared" si="62"/>
        <v>71.75</v>
      </c>
      <c r="D878" s="11">
        <f t="shared" si="63"/>
        <v>972.0854064179224</v>
      </c>
      <c r="E878" s="23">
        <f t="shared" si="60"/>
        <v>968.39766797297068</v>
      </c>
      <c r="F878" s="23">
        <f>AlphaC*(D878-E878)</f>
        <v>92.193461123792986</v>
      </c>
      <c r="G878" s="13">
        <f>Phi*EpsilonF*Botzman/10^8*J878*((D878+273)^4-(E878+273)^4)</f>
        <v>1125.0418848437596</v>
      </c>
      <c r="H878" s="23">
        <f t="shared" si="61"/>
        <v>650</v>
      </c>
      <c r="I878" s="12">
        <f>ksh*Massivete/(H878*RhoA)*DeltaT*(F878+G878)</f>
        <v>0.17954251225635456</v>
      </c>
      <c r="J878" s="3">
        <f>IF(E878&lt;=500,IF(Galva=Oui,0.35,0.7),0.7)</f>
        <v>0.7</v>
      </c>
    </row>
    <row r="879" spans="2:10" x14ac:dyDescent="0.25">
      <c r="B879" s="3">
        <f>B878+DeltaT</f>
        <v>4310</v>
      </c>
      <c r="C879" s="13">
        <f t="shared" si="62"/>
        <v>71.833333333333329</v>
      </c>
      <c r="D879" s="11">
        <f t="shared" si="63"/>
        <v>972.2590235824897</v>
      </c>
      <c r="E879" s="23">
        <f t="shared" si="60"/>
        <v>968.57721048522706</v>
      </c>
      <c r="F879" s="23">
        <f>AlphaC*(D879-E879)</f>
        <v>92.045327431566193</v>
      </c>
      <c r="G879" s="13">
        <f>Phi*EpsilonF*Botzman/10^8*J879*((D879+273)^4-(E879+273)^4)</f>
        <v>1123.7128655209501</v>
      </c>
      <c r="H879" s="23">
        <f t="shared" si="61"/>
        <v>650</v>
      </c>
      <c r="I879" s="12">
        <f>ksh*Massivete/(H879*RhoA)*DeltaT*(F879+G879)</f>
        <v>0.17932463182412323</v>
      </c>
      <c r="J879" s="3">
        <f>IF(E879&lt;=500,IF(Galva=Oui,0.35,0.7),0.7)</f>
        <v>0.7</v>
      </c>
    </row>
    <row r="880" spans="2:10" x14ac:dyDescent="0.25">
      <c r="B880" s="3">
        <f>B879+DeltaT</f>
        <v>4315</v>
      </c>
      <c r="C880" s="13">
        <f t="shared" si="62"/>
        <v>71.916666666666671</v>
      </c>
      <c r="D880" s="11">
        <f t="shared" si="63"/>
        <v>972.43243980121963</v>
      </c>
      <c r="E880" s="23">
        <f t="shared" si="60"/>
        <v>968.75653511705116</v>
      </c>
      <c r="F880" s="23">
        <f>AlphaC*(D880-E880)</f>
        <v>91.897617104211804</v>
      </c>
      <c r="G880" s="13">
        <f>Phi*EpsilonF*Botzman/10^8*J880*((D880+273)^4-(E880+273)^4)</f>
        <v>1122.3870450450861</v>
      </c>
      <c r="H880" s="23">
        <f t="shared" si="61"/>
        <v>650</v>
      </c>
      <c r="I880" s="12">
        <f>ksh*Massivete/(H880*RhoA)*DeltaT*(F880+G880)</f>
        <v>0.17910728566902398</v>
      </c>
      <c r="J880" s="3">
        <f>IF(E880&lt;=500,IF(Galva=Oui,0.35,0.7),0.7)</f>
        <v>0.7</v>
      </c>
    </row>
    <row r="881" spans="2:10" x14ac:dyDescent="0.25">
      <c r="B881" s="3">
        <f>B880+DeltaT</f>
        <v>4320</v>
      </c>
      <c r="C881" s="13">
        <f t="shared" si="62"/>
        <v>72</v>
      </c>
      <c r="D881" s="11">
        <f t="shared" si="63"/>
        <v>972.60565553872732</v>
      </c>
      <c r="E881" s="23">
        <f t="shared" si="60"/>
        <v>968.93564240272019</v>
      </c>
      <c r="F881" s="23">
        <f>AlphaC*(D881-E881)</f>
        <v>91.750328400178205</v>
      </c>
      <c r="G881" s="13">
        <f>Phi*EpsilonF*Botzman/10^8*J881*((D881+273)^4-(E881+273)^4)</f>
        <v>1121.0644117026563</v>
      </c>
      <c r="H881" s="23">
        <f t="shared" si="61"/>
        <v>650</v>
      </c>
      <c r="I881" s="12">
        <f>ksh*Massivete/(H881*RhoA)*DeltaT*(F881+G881)</f>
        <v>0.17889047180643172</v>
      </c>
      <c r="J881" s="3">
        <f>IF(E881&lt;=500,IF(Galva=Oui,0.35,0.7),0.7)</f>
        <v>0.7</v>
      </c>
    </row>
    <row r="882" spans="2:10" x14ac:dyDescent="0.25">
      <c r="B882" s="3">
        <f>B881+DeltaT</f>
        <v>4325</v>
      </c>
      <c r="C882" s="13">
        <f t="shared" si="62"/>
        <v>72.083333333333329</v>
      </c>
      <c r="D882" s="11">
        <f t="shared" si="63"/>
        <v>972.77867125801777</v>
      </c>
      <c r="E882" s="23">
        <f t="shared" si="60"/>
        <v>969.11453287452662</v>
      </c>
      <c r="F882" s="23">
        <f>AlphaC*(D882-E882)</f>
        <v>91.603459587278735</v>
      </c>
      <c r="G882" s="13">
        <f>Phi*EpsilonF*Botzman/10^8*J882*((D882+273)^4-(E882+273)^4)</f>
        <v>1119.7449538382889</v>
      </c>
      <c r="H882" s="23">
        <f t="shared" si="61"/>
        <v>650</v>
      </c>
      <c r="I882" s="12">
        <f>ksh*Massivete/(H882*RhoA)*DeltaT*(F882+G882)</f>
        <v>0.17867418826167833</v>
      </c>
      <c r="J882" s="3">
        <f>IF(E882&lt;=500,IF(Galva=Oui,0.35,0.7),0.7)</f>
        <v>0.7</v>
      </c>
    </row>
    <row r="883" spans="2:10" x14ac:dyDescent="0.25">
      <c r="B883" s="3">
        <f>B882+DeltaT</f>
        <v>4330</v>
      </c>
      <c r="C883" s="13">
        <f t="shared" si="62"/>
        <v>72.166666666666671</v>
      </c>
      <c r="D883" s="11">
        <f t="shared" si="63"/>
        <v>972.95148742049423</v>
      </c>
      <c r="E883" s="23">
        <f t="shared" si="60"/>
        <v>969.29320706278827</v>
      </c>
      <c r="F883" s="23">
        <f>AlphaC*(D883-E883)</f>
        <v>91.457008942649054</v>
      </c>
      <c r="G883" s="13">
        <f>Phi*EpsilonF*Botzman/10^8*J883*((D883+273)^4-(E883+273)^4)</f>
        <v>1118.4286598541903</v>
      </c>
      <c r="H883" s="23">
        <f t="shared" si="61"/>
        <v>650</v>
      </c>
      <c r="I883" s="12">
        <f>ksh*Massivete/(H883*RhoA)*DeltaT*(F883+G883)</f>
        <v>0.17845843306996342</v>
      </c>
      <c r="J883" s="3">
        <f>IF(E883&lt;=500,IF(Galva=Oui,0.35,0.7),0.7)</f>
        <v>0.7</v>
      </c>
    </row>
    <row r="884" spans="2:10" x14ac:dyDescent="0.25">
      <c r="B884" s="3">
        <f>B883+DeltaT</f>
        <v>4335</v>
      </c>
      <c r="C884" s="13">
        <f t="shared" si="62"/>
        <v>72.25</v>
      </c>
      <c r="D884" s="11">
        <f t="shared" si="63"/>
        <v>973.1241044859654</v>
      </c>
      <c r="E884" s="23">
        <f t="shared" ref="E884:E947" si="64">E883+I883</f>
        <v>969.47166549585825</v>
      </c>
      <c r="F884" s="23">
        <f>AlphaC*(D884-E884)</f>
        <v>91.310974752678931</v>
      </c>
      <c r="G884" s="13">
        <f>Phi*EpsilonF*Botzman/10^8*J884*((D884+273)^4-(E884+273)^4)</f>
        <v>1117.1155182099887</v>
      </c>
      <c r="H884" s="23">
        <f t="shared" ref="H884:H947" si="65">IF(E884&lt;600,425+0.773*E884-1.69/1000*E884^2+2.22/1000^2*E884^3,IF(E884&lt;735,666+13002/(738-E884),IF(E884&lt;900,545+17820/(E884-731),650)))</f>
        <v>650</v>
      </c>
      <c r="I884" s="12">
        <f>ksh*Massivete/(H884*RhoA)*DeltaT*(F884+G884)</f>
        <v>0.17824320427632148</v>
      </c>
      <c r="J884" s="3">
        <f>IF(E884&lt;=500,IF(Galva=Oui,0.35,0.7),0.7)</f>
        <v>0.7</v>
      </c>
    </row>
    <row r="885" spans="2:10" x14ac:dyDescent="0.25">
      <c r="B885" s="3">
        <f>B884+DeltaT</f>
        <v>4340</v>
      </c>
      <c r="C885" s="13">
        <f t="shared" si="62"/>
        <v>72.333333333333329</v>
      </c>
      <c r="D885" s="11">
        <f t="shared" si="63"/>
        <v>973.29652291265222</v>
      </c>
      <c r="E885" s="23">
        <f t="shared" si="64"/>
        <v>969.64990870013457</v>
      </c>
      <c r="F885" s="23">
        <f>AlphaC*(D885-E885)</f>
        <v>91.165355312941188</v>
      </c>
      <c r="G885" s="13">
        <f>Phi*EpsilonF*Botzman/10^8*J885*((D885+273)^4-(E885+273)^4)</f>
        <v>1115.8055174221931</v>
      </c>
      <c r="H885" s="23">
        <f t="shared" si="65"/>
        <v>650</v>
      </c>
      <c r="I885" s="12">
        <f>ksh*Massivete/(H885*RhoA)*DeltaT*(F885+G885)</f>
        <v>0.17802849993553127</v>
      </c>
      <c r="J885" s="3">
        <f>IF(E885&lt;=500,IF(Galva=Oui,0.35,0.7),0.7)</f>
        <v>0.7</v>
      </c>
    </row>
    <row r="886" spans="2:10" x14ac:dyDescent="0.25">
      <c r="B886" s="3">
        <f>B885+DeltaT</f>
        <v>4345</v>
      </c>
      <c r="C886" s="13">
        <f t="shared" si="62"/>
        <v>72.416666666666671</v>
      </c>
      <c r="D886" s="11">
        <f t="shared" si="63"/>
        <v>973.4687431571956</v>
      </c>
      <c r="E886" s="23">
        <f t="shared" si="64"/>
        <v>969.8279372000701</v>
      </c>
      <c r="F886" s="23">
        <f>AlphaC*(D886-E886)</f>
        <v>91.020148928137701</v>
      </c>
      <c r="G886" s="13">
        <f>Phi*EpsilonF*Botzman/10^8*J886*((D886+273)^4-(E886+273)^4)</f>
        <v>1114.4986460636878</v>
      </c>
      <c r="H886" s="23">
        <f t="shared" si="65"/>
        <v>650</v>
      </c>
      <c r="I886" s="12">
        <f>ksh*Massivete/(H886*RhoA)*DeltaT*(F886+G886)</f>
        <v>0.17781431811203355</v>
      </c>
      <c r="J886" s="3">
        <f>IF(E886&lt;=500,IF(Galva=Oui,0.35,0.7),0.7)</f>
        <v>0.7</v>
      </c>
    </row>
    <row r="887" spans="2:10" x14ac:dyDescent="0.25">
      <c r="B887" s="3">
        <f>B886+DeltaT</f>
        <v>4350</v>
      </c>
      <c r="C887" s="13">
        <f t="shared" si="62"/>
        <v>72.5</v>
      </c>
      <c r="D887" s="11">
        <f t="shared" si="63"/>
        <v>973.64076567466395</v>
      </c>
      <c r="E887" s="23">
        <f t="shared" si="64"/>
        <v>970.00575151818214</v>
      </c>
      <c r="F887" s="23">
        <f>AlphaC*(D887-E887)</f>
        <v>90.875353912045398</v>
      </c>
      <c r="G887" s="13">
        <f>Phi*EpsilonF*Botzman/10^8*J887*((D887+273)^4-(E887+273)^4)</f>
        <v>1113.1948927637336</v>
      </c>
      <c r="H887" s="23">
        <f t="shared" si="65"/>
        <v>650</v>
      </c>
      <c r="I887" s="12">
        <f>ksh*Massivete/(H887*RhoA)*DeltaT*(F887+G887)</f>
        <v>0.17760065687992319</v>
      </c>
      <c r="J887" s="3">
        <f>IF(E887&lt;=500,IF(Galva=Oui,0.35,0.7),0.7)</f>
        <v>0.7</v>
      </c>
    </row>
    <row r="888" spans="2:10" x14ac:dyDescent="0.25">
      <c r="B888" s="3">
        <f>B887+DeltaT</f>
        <v>4355</v>
      </c>
      <c r="C888" s="13">
        <f t="shared" si="62"/>
        <v>72.583333333333329</v>
      </c>
      <c r="D888" s="11">
        <f t="shared" si="63"/>
        <v>973.81259091855986</v>
      </c>
      <c r="E888" s="23">
        <f t="shared" si="64"/>
        <v>970.18335217506205</v>
      </c>
      <c r="F888" s="23">
        <f>AlphaC*(D888-E888)</f>
        <v>90.730968587445204</v>
      </c>
      <c r="G888" s="13">
        <f>Phi*EpsilonF*Botzman/10^8*J888*((D888+273)^4-(E888+273)^4)</f>
        <v>1111.8942462072312</v>
      </c>
      <c r="H888" s="23">
        <f t="shared" si="65"/>
        <v>650</v>
      </c>
      <c r="I888" s="12">
        <f>ksh*Massivete/(H888*RhoA)*DeltaT*(F888+G888)</f>
        <v>0.17738751432283004</v>
      </c>
      <c r="J888" s="3">
        <f>IF(E888&lt;=500,IF(Galva=Oui,0.35,0.7),0.7)</f>
        <v>0.7</v>
      </c>
    </row>
    <row r="889" spans="2:10" x14ac:dyDescent="0.25">
      <c r="B889" s="3">
        <f>B888+DeltaT</f>
        <v>4360</v>
      </c>
      <c r="C889" s="13">
        <f t="shared" si="62"/>
        <v>72.666666666666671</v>
      </c>
      <c r="D889" s="11">
        <f t="shared" si="63"/>
        <v>973.98421934082751</v>
      </c>
      <c r="E889" s="23">
        <f t="shared" si="64"/>
        <v>970.3607396893849</v>
      </c>
      <c r="F889" s="23">
        <f>AlphaC*(D889-E889)</f>
        <v>90.586991286065199</v>
      </c>
      <c r="G889" s="13">
        <f>Phi*EpsilonF*Botzman/10^8*J889*((D889+273)^4-(E889+273)^4)</f>
        <v>1110.5966951348753</v>
      </c>
      <c r="H889" s="23">
        <f t="shared" si="65"/>
        <v>650</v>
      </c>
      <c r="I889" s="12">
        <f>ksh*Massivete/(H889*RhoA)*DeltaT*(F889+G889)</f>
        <v>0.17717488853393329</v>
      </c>
      <c r="J889" s="3">
        <f>IF(E889&lt;=500,IF(Galva=Oui,0.35,0.7),0.7)</f>
        <v>0.7</v>
      </c>
    </row>
    <row r="890" spans="2:10" x14ac:dyDescent="0.25">
      <c r="B890" s="3">
        <f>B889+DeltaT</f>
        <v>4365</v>
      </c>
      <c r="C890" s="13">
        <f t="shared" si="62"/>
        <v>72.75</v>
      </c>
      <c r="D890" s="11">
        <f t="shared" si="63"/>
        <v>974.15565139185969</v>
      </c>
      <c r="E890" s="23">
        <f t="shared" si="64"/>
        <v>970.53791457791885</v>
      </c>
      <c r="F890" s="23">
        <f>AlphaC*(D890-E890)</f>
        <v>90.443420348520931</v>
      </c>
      <c r="G890" s="13">
        <f>Phi*EpsilonF*Botzman/10^8*J890*((D890+273)^4-(E890+273)^4)</f>
        <v>1109.3022283421674</v>
      </c>
      <c r="H890" s="23">
        <f t="shared" si="65"/>
        <v>650</v>
      </c>
      <c r="I890" s="12">
        <f>ksh*Massivete/(H890*RhoA)*DeltaT*(F890+G890)</f>
        <v>0.17696277761580703</v>
      </c>
      <c r="J890" s="3">
        <f>IF(E890&lt;=500,IF(Galva=Oui,0.35,0.7),0.7)</f>
        <v>0.7</v>
      </c>
    </row>
    <row r="891" spans="2:10" x14ac:dyDescent="0.25">
      <c r="B891" s="3">
        <f>B890+DeltaT</f>
        <v>4370</v>
      </c>
      <c r="C891" s="13">
        <f t="shared" si="62"/>
        <v>72.833333333333329</v>
      </c>
      <c r="D891" s="11">
        <f t="shared" si="63"/>
        <v>974.32688752050535</v>
      </c>
      <c r="E891" s="23">
        <f t="shared" si="64"/>
        <v>970.71487735553467</v>
      </c>
      <c r="F891" s="23">
        <f>AlphaC*(D891-E891)</f>
        <v>90.300254124267099</v>
      </c>
      <c r="G891" s="13">
        <f>Phi*EpsilonF*Botzman/10^8*J891*((D891+273)^4-(E891+273)^4)</f>
        <v>1108.0108346797447</v>
      </c>
      <c r="H891" s="23">
        <f t="shared" si="65"/>
        <v>650</v>
      </c>
      <c r="I891" s="12">
        <f>ksh*Massivete/(H891*RhoA)*DeltaT*(F891+G891)</f>
        <v>0.17675117968046172</v>
      </c>
      <c r="J891" s="3">
        <f>IF(E891&lt;=500,IF(Galva=Oui,0.35,0.7),0.7)</f>
        <v>0.7</v>
      </c>
    </row>
    <row r="892" spans="2:10" x14ac:dyDescent="0.25">
      <c r="B892" s="3">
        <f>B891+DeltaT</f>
        <v>4375</v>
      </c>
      <c r="C892" s="13">
        <f t="shared" si="62"/>
        <v>72.916666666666671</v>
      </c>
      <c r="D892" s="11">
        <f t="shared" si="63"/>
        <v>974.49792817407558</v>
      </c>
      <c r="E892" s="23">
        <f t="shared" si="64"/>
        <v>970.89162853521509</v>
      </c>
      <c r="F892" s="23">
        <f>AlphaC*(D892-E892)</f>
        <v>90.157490971512289</v>
      </c>
      <c r="G892" s="13">
        <f>Phi*EpsilonF*Botzman/10^8*J892*((D892+273)^4-(E892+273)^4)</f>
        <v>1106.7225030523527</v>
      </c>
      <c r="H892" s="23">
        <f t="shared" si="65"/>
        <v>650</v>
      </c>
      <c r="I892" s="12">
        <f>ksh*Massivete/(H892*RhoA)*DeltaT*(F892+G892)</f>
        <v>0.1765400928491799</v>
      </c>
      <c r="J892" s="3">
        <f>IF(E892&lt;=500,IF(Galva=Oui,0.35,0.7),0.7)</f>
        <v>0.7</v>
      </c>
    </row>
    <row r="893" spans="2:10" x14ac:dyDescent="0.25">
      <c r="B893" s="3">
        <f>B892+DeltaT</f>
        <v>4380</v>
      </c>
      <c r="C893" s="13">
        <f t="shared" si="62"/>
        <v>73</v>
      </c>
      <c r="D893" s="11">
        <f t="shared" si="63"/>
        <v>974.66877379835228</v>
      </c>
      <c r="E893" s="23">
        <f t="shared" si="64"/>
        <v>971.06816862806431</v>
      </c>
      <c r="F893" s="23">
        <f>AlphaC*(D893-E893)</f>
        <v>90.015129257199078</v>
      </c>
      <c r="G893" s="13">
        <f>Phi*EpsilonF*Botzman/10^8*J893*((D893+273)^4-(E893+273)^4)</f>
        <v>1105.4372224192532</v>
      </c>
      <c r="H893" s="23">
        <f t="shared" si="65"/>
        <v>650</v>
      </c>
      <c r="I893" s="12">
        <f>ksh*Massivete/(H893*RhoA)*DeltaT*(F893+G893)</f>
        <v>0.17632951525257365</v>
      </c>
      <c r="J893" s="3">
        <f>IF(E893&lt;=500,IF(Galva=Oui,0.35,0.7),0.7)</f>
        <v>0.7</v>
      </c>
    </row>
    <row r="894" spans="2:10" x14ac:dyDescent="0.25">
      <c r="B894" s="3">
        <f>B893+DeltaT</f>
        <v>4385</v>
      </c>
      <c r="C894" s="13">
        <f t="shared" si="62"/>
        <v>73.083333333333329</v>
      </c>
      <c r="D894" s="11">
        <f t="shared" si="63"/>
        <v>974.83942483759313</v>
      </c>
      <c r="E894" s="23">
        <f t="shared" si="64"/>
        <v>971.24449814331683</v>
      </c>
      <c r="F894" s="23">
        <f>AlphaC*(D894-E894)</f>
        <v>89.873167356907402</v>
      </c>
      <c r="G894" s="13">
        <f>Phi*EpsilonF*Botzman/10^8*J894*((D894+273)^4-(E894+273)^4)</f>
        <v>1104.1549817930602</v>
      </c>
      <c r="H894" s="23">
        <f t="shared" si="65"/>
        <v>650</v>
      </c>
      <c r="I894" s="12">
        <f>ksh*Massivete/(H894*RhoA)*DeltaT*(F894+G894)</f>
        <v>0.17611944503039845</v>
      </c>
      <c r="J894" s="3">
        <f>IF(E894&lt;=500,IF(Galva=Oui,0.35,0.7),0.7)</f>
        <v>0.7</v>
      </c>
    </row>
    <row r="895" spans="2:10" x14ac:dyDescent="0.25">
      <c r="B895" s="3">
        <f>B894+DeltaT</f>
        <v>4390</v>
      </c>
      <c r="C895" s="13">
        <f t="shared" si="62"/>
        <v>73.166666666666671</v>
      </c>
      <c r="D895" s="11">
        <f t="shared" si="63"/>
        <v>975.0098817345405</v>
      </c>
      <c r="E895" s="23">
        <f t="shared" si="64"/>
        <v>971.42061758834723</v>
      </c>
      <c r="F895" s="23">
        <f>AlphaC*(D895-E895)</f>
        <v>89.731603654831815</v>
      </c>
      <c r="G895" s="13">
        <f>Phi*EpsilonF*Botzman/10^8*J895*((D895+273)^4-(E895+273)^4)</f>
        <v>1102.8757702403416</v>
      </c>
      <c r="H895" s="23">
        <f t="shared" si="65"/>
        <v>650</v>
      </c>
      <c r="I895" s="12">
        <f>ksh*Massivete/(H895*RhoA)*DeltaT*(F895+G895)</f>
        <v>0.17590988033163868</v>
      </c>
      <c r="J895" s="3">
        <f>IF(E895&lt;=500,IF(Galva=Oui,0.35,0.7),0.7)</f>
        <v>0.7</v>
      </c>
    </row>
    <row r="896" spans="2:10" x14ac:dyDescent="0.25">
      <c r="B896" s="3">
        <f>B895+DeltaT</f>
        <v>4395</v>
      </c>
      <c r="C896" s="13">
        <f t="shared" si="62"/>
        <v>73.25</v>
      </c>
      <c r="D896" s="11">
        <f t="shared" si="63"/>
        <v>975.18014493042699</v>
      </c>
      <c r="E896" s="23">
        <f t="shared" si="64"/>
        <v>971.59652746867891</v>
      </c>
      <c r="F896" s="23">
        <f>AlphaC*(D896-E896)</f>
        <v>89.590436543701912</v>
      </c>
      <c r="G896" s="13">
        <f>Phi*EpsilonF*Botzman/10^8*J896*((D896+273)^4-(E896+273)^4)</f>
        <v>1101.5995768803782</v>
      </c>
      <c r="H896" s="23">
        <f t="shared" si="65"/>
        <v>650</v>
      </c>
      <c r="I896" s="12">
        <f>ksh*Massivete/(H896*RhoA)*DeltaT*(F896+G896)</f>
        <v>0.17570081931431283</v>
      </c>
      <c r="J896" s="3">
        <f>IF(E896&lt;=500,IF(Galva=Oui,0.35,0.7),0.7)</f>
        <v>0.7</v>
      </c>
    </row>
    <row r="897" spans="2:10" x14ac:dyDescent="0.25">
      <c r="B897" s="3">
        <f>B896+DeltaT</f>
        <v>4400</v>
      </c>
      <c r="C897" s="13">
        <f t="shared" si="62"/>
        <v>73.333333333333329</v>
      </c>
      <c r="D897" s="11">
        <f t="shared" si="63"/>
        <v>975.35021486498249</v>
      </c>
      <c r="E897" s="23">
        <f t="shared" si="64"/>
        <v>971.77222828799324</v>
      </c>
      <c r="F897" s="23">
        <f>AlphaC*(D897-E897)</f>
        <v>89.449664424731168</v>
      </c>
      <c r="G897" s="13">
        <f>Phi*EpsilonF*Botzman/10^8*J897*((D897+273)^4-(E897+273)^4)</f>
        <v>1100.3263908852421</v>
      </c>
      <c r="H897" s="23">
        <f t="shared" si="65"/>
        <v>650</v>
      </c>
      <c r="I897" s="12">
        <f>ksh*Massivete/(H897*RhoA)*DeltaT*(F897+G897)</f>
        <v>0.17549226014547753</v>
      </c>
      <c r="J897" s="3">
        <f>IF(E897&lt;=500,IF(Galva=Oui,0.35,0.7),0.7)</f>
        <v>0.7</v>
      </c>
    </row>
    <row r="898" spans="2:10" x14ac:dyDescent="0.25">
      <c r="B898" s="3">
        <f>B897+DeltaT</f>
        <v>4405</v>
      </c>
      <c r="C898" s="13">
        <f t="shared" si="62"/>
        <v>73.416666666666671</v>
      </c>
      <c r="D898" s="11">
        <f t="shared" si="63"/>
        <v>975.52009197644179</v>
      </c>
      <c r="E898" s="23">
        <f t="shared" si="64"/>
        <v>971.9477205481387</v>
      </c>
      <c r="F898" s="23">
        <f>AlphaC*(D898-E898)</f>
        <v>89.309285707577146</v>
      </c>
      <c r="G898" s="13">
        <f>Phi*EpsilonF*Botzman/10^8*J898*((D898+273)^4-(E898+273)^4)</f>
        <v>1099.0562014797763</v>
      </c>
      <c r="H898" s="23">
        <f t="shared" si="65"/>
        <v>650</v>
      </c>
      <c r="I898" s="12">
        <f>ksh*Massivete/(H898*RhoA)*DeltaT*(F898+G898)</f>
        <v>0.17528420100121844</v>
      </c>
      <c r="J898" s="3">
        <f>IF(E898&lt;=500,IF(Galva=Oui,0.35,0.7),0.7)</f>
        <v>0.7</v>
      </c>
    </row>
    <row r="899" spans="2:10" x14ac:dyDescent="0.25">
      <c r="B899" s="3">
        <f>B898+DeltaT</f>
        <v>4410</v>
      </c>
      <c r="C899" s="13">
        <f t="shared" si="62"/>
        <v>73.5</v>
      </c>
      <c r="D899" s="11">
        <f t="shared" si="63"/>
        <v>975.68977670155004</v>
      </c>
      <c r="E899" s="23">
        <f t="shared" si="64"/>
        <v>972.12300474913991</v>
      </c>
      <c r="F899" s="23">
        <f>AlphaC*(D899-E899)</f>
        <v>89.169298810253395</v>
      </c>
      <c r="G899" s="13">
        <f>Phi*EpsilonF*Botzman/10^8*J899*((D899+273)^4-(E899+273)^4)</f>
        <v>1097.7889979407432</v>
      </c>
      <c r="H899" s="23">
        <f t="shared" si="65"/>
        <v>650</v>
      </c>
      <c r="I899" s="12">
        <f>ksh*Massivete/(H899*RhoA)*DeltaT*(F899+G899)</f>
        <v>0.17507664006651211</v>
      </c>
      <c r="J899" s="3">
        <f>IF(E899&lt;=500,IF(Galva=Oui,0.35,0.7),0.7)</f>
        <v>0.7</v>
      </c>
    </row>
    <row r="900" spans="2:10" x14ac:dyDescent="0.25">
      <c r="B900" s="3">
        <f>B899+DeltaT</f>
        <v>4415</v>
      </c>
      <c r="C900" s="13">
        <f t="shared" si="62"/>
        <v>73.583333333333329</v>
      </c>
      <c r="D900" s="11">
        <f t="shared" si="63"/>
        <v>975.85926947557095</v>
      </c>
      <c r="E900" s="23">
        <f t="shared" si="64"/>
        <v>972.29808138920646</v>
      </c>
      <c r="F900" s="23">
        <f>AlphaC*(D900-E900)</f>
        <v>89.029702159112389</v>
      </c>
      <c r="G900" s="13">
        <f>Phi*EpsilonF*Botzman/10^8*J900*((D900+273)^4-(E900+273)^4)</f>
        <v>1096.5247695968815</v>
      </c>
      <c r="H900" s="23">
        <f t="shared" si="65"/>
        <v>650</v>
      </c>
      <c r="I900" s="12">
        <f>ksh*Massivete/(H900*RhoA)*DeltaT*(F900+G900)</f>
        <v>0.17486957553523139</v>
      </c>
      <c r="J900" s="3">
        <f>IF(E900&lt;=500,IF(Galva=Oui,0.35,0.7),0.7)</f>
        <v>0.7</v>
      </c>
    </row>
    <row r="901" spans="2:10" x14ac:dyDescent="0.25">
      <c r="B901" s="3">
        <f>B900+DeltaT</f>
        <v>4420</v>
      </c>
      <c r="C901" s="13">
        <f t="shared" si="62"/>
        <v>73.666666666666671</v>
      </c>
      <c r="D901" s="11">
        <f t="shared" si="63"/>
        <v>976.02857073229211</v>
      </c>
      <c r="E901" s="23">
        <f t="shared" si="64"/>
        <v>972.4729509647417</v>
      </c>
      <c r="F901" s="23">
        <f>AlphaC*(D901-E901)</f>
        <v>88.890494188760272</v>
      </c>
      <c r="G901" s="13">
        <f>Phi*EpsilonF*Botzman/10^8*J901*((D901+273)^4-(E901+273)^4)</f>
        <v>1095.2635058280541</v>
      </c>
      <c r="H901" s="23">
        <f t="shared" si="65"/>
        <v>650</v>
      </c>
      <c r="I901" s="12">
        <f>ksh*Massivete/(H901*RhoA)*DeltaT*(F901+G901)</f>
        <v>0.17466300561000758</v>
      </c>
      <c r="J901" s="3">
        <f>IF(E901&lt;=500,IF(Galva=Oui,0.35,0.7),0.7)</f>
        <v>0.7</v>
      </c>
    </row>
    <row r="902" spans="2:10" x14ac:dyDescent="0.25">
      <c r="B902" s="3">
        <f>B901+DeltaT</f>
        <v>4425</v>
      </c>
      <c r="C902" s="13">
        <f t="shared" si="62"/>
        <v>73.75</v>
      </c>
      <c r="D902" s="11">
        <f t="shared" si="63"/>
        <v>976.19768090403295</v>
      </c>
      <c r="E902" s="23">
        <f t="shared" si="64"/>
        <v>972.6476139703517</v>
      </c>
      <c r="F902" s="23">
        <f>AlphaC*(D902-E902)</f>
        <v>88.751673342031268</v>
      </c>
      <c r="G902" s="13">
        <f>Phi*EpsilonF*Botzman/10^8*J902*((D902+273)^4-(E902+273)^4)</f>
        <v>1094.0051960659459</v>
      </c>
      <c r="H902" s="23">
        <f t="shared" si="65"/>
        <v>650</v>
      </c>
      <c r="I902" s="12">
        <f>ksh*Massivete/(H902*RhoA)*DeltaT*(F902+G902)</f>
        <v>0.17445692850232924</v>
      </c>
      <c r="J902" s="3">
        <f>IF(E902&lt;=500,IF(Galva=Oui,0.35,0.7),0.7)</f>
        <v>0.7</v>
      </c>
    </row>
    <row r="903" spans="2:10" x14ac:dyDescent="0.25">
      <c r="B903" s="3">
        <f>B902+DeltaT</f>
        <v>4430</v>
      </c>
      <c r="C903" s="13">
        <f t="shared" si="62"/>
        <v>73.833333333333329</v>
      </c>
      <c r="D903" s="11">
        <f t="shared" si="63"/>
        <v>976.36660042165033</v>
      </c>
      <c r="E903" s="23">
        <f t="shared" si="64"/>
        <v>972.82207089885401</v>
      </c>
      <c r="F903" s="23">
        <f>AlphaC*(D903-E903)</f>
        <v>88.613238069908107</v>
      </c>
      <c r="G903" s="13">
        <f>Phi*EpsilonF*Botzman/10^8*J903*((D903+273)^4-(E903+273)^4)</f>
        <v>1092.7498297926682</v>
      </c>
      <c r="H903" s="23">
        <f t="shared" si="65"/>
        <v>650</v>
      </c>
      <c r="I903" s="12">
        <f>ksh*Massivete/(H903*RhoA)*DeltaT*(F903+G903)</f>
        <v>0.17425134243232471</v>
      </c>
      <c r="J903" s="3">
        <f>IF(E903&lt;=500,IF(Galva=Oui,0.35,0.7),0.7)</f>
        <v>0.7</v>
      </c>
    </row>
    <row r="904" spans="2:10" x14ac:dyDescent="0.25">
      <c r="B904" s="3">
        <f>B903+DeltaT</f>
        <v>4435</v>
      </c>
      <c r="C904" s="13">
        <f t="shared" si="62"/>
        <v>73.916666666666671</v>
      </c>
      <c r="D904" s="11">
        <f t="shared" si="63"/>
        <v>976.53532971454547</v>
      </c>
      <c r="E904" s="23">
        <f t="shared" si="64"/>
        <v>972.99632224128629</v>
      </c>
      <c r="F904" s="23">
        <f>AlphaC*(D904-E904)</f>
        <v>88.475186831479391</v>
      </c>
      <c r="G904" s="13">
        <f>Phi*EpsilonF*Botzman/10^8*J904*((D904+273)^4-(E904+273)^4)</f>
        <v>1091.4973965410493</v>
      </c>
      <c r="H904" s="23">
        <f t="shared" si="65"/>
        <v>650</v>
      </c>
      <c r="I904" s="12">
        <f>ksh*Massivete/(H904*RhoA)*DeltaT*(F904+G904)</f>
        <v>0.17404624562879883</v>
      </c>
      <c r="J904" s="3">
        <f>IF(E904&lt;=500,IF(Galva=Oui,0.35,0.7),0.7)</f>
        <v>0.7</v>
      </c>
    </row>
    <row r="905" spans="2:10" x14ac:dyDescent="0.25">
      <c r="B905" s="3">
        <f>B904+DeltaT</f>
        <v>4440</v>
      </c>
      <c r="C905" s="13">
        <f t="shared" si="62"/>
        <v>74</v>
      </c>
      <c r="D905" s="11">
        <f t="shared" si="63"/>
        <v>976.70386921067063</v>
      </c>
      <c r="E905" s="23">
        <f t="shared" si="64"/>
        <v>973.17036848691509</v>
      </c>
      <c r="F905" s="23">
        <f>AlphaC*(D905-E905)</f>
        <v>88.337518093888434</v>
      </c>
      <c r="G905" s="13">
        <f>Phi*EpsilonF*Botzman/10^8*J905*((D905+273)^4-(E905+273)^4)</f>
        <v>1090.247885893898</v>
      </c>
      <c r="H905" s="23">
        <f t="shared" si="65"/>
        <v>650</v>
      </c>
      <c r="I905" s="12">
        <f>ksh*Massivete/(H905*RhoA)*DeltaT*(F905+G905)</f>
        <v>0.17384163632911662</v>
      </c>
      <c r="J905" s="3">
        <f>IF(E905&lt;=500,IF(Galva=Oui,0.35,0.7),0.7)</f>
        <v>0.7</v>
      </c>
    </row>
    <row r="906" spans="2:10" x14ac:dyDescent="0.25">
      <c r="B906" s="3">
        <f>B905+DeltaT</f>
        <v>4445</v>
      </c>
      <c r="C906" s="13">
        <f t="shared" si="62"/>
        <v>74.083333333333329</v>
      </c>
      <c r="D906" s="11">
        <f t="shared" si="63"/>
        <v>976.87221933653541</v>
      </c>
      <c r="E906" s="23">
        <f t="shared" si="64"/>
        <v>973.34421012324424</v>
      </c>
      <c r="F906" s="23">
        <f>AlphaC*(D906-E906)</f>
        <v>88.200230332279261</v>
      </c>
      <c r="G906" s="13">
        <f>Phi*EpsilonF*Botzman/10^8*J906*((D906+273)^4-(E906+273)^4)</f>
        <v>1089.001287484276</v>
      </c>
      <c r="H906" s="23">
        <f t="shared" si="65"/>
        <v>650</v>
      </c>
      <c r="I906" s="12">
        <f>ksh*Massivete/(H906*RhoA)*DeltaT*(F906+G906)</f>
        <v>0.1736375127792355</v>
      </c>
      <c r="J906" s="3">
        <f>IF(E906&lt;=500,IF(Galva=Oui,0.35,0.7),0.7)</f>
        <v>0.7</v>
      </c>
    </row>
    <row r="907" spans="2:10" x14ac:dyDescent="0.25">
      <c r="B907" s="3">
        <f>B906+DeltaT</f>
        <v>4450</v>
      </c>
      <c r="C907" s="13">
        <f t="shared" si="62"/>
        <v>74.166666666666671</v>
      </c>
      <c r="D907" s="11">
        <f t="shared" si="63"/>
        <v>977.04038051721375</v>
      </c>
      <c r="E907" s="23">
        <f t="shared" si="64"/>
        <v>973.51784763602348</v>
      </c>
      <c r="F907" s="23">
        <f>AlphaC*(D907-E907)</f>
        <v>88.063322029756819</v>
      </c>
      <c r="G907" s="13">
        <f>Phi*EpsilonF*Botzman/10^8*J907*((D907+273)^4-(E907+273)^4)</f>
        <v>1087.7575909949535</v>
      </c>
      <c r="H907" s="23">
        <f t="shared" si="65"/>
        <v>650</v>
      </c>
      <c r="I907" s="12">
        <f>ksh*Massivete/(H907*RhoA)*DeltaT*(F907+G907)</f>
        <v>0.17343387323361914</v>
      </c>
      <c r="J907" s="3">
        <f>IF(E907&lt;=500,IF(Galva=Oui,0.35,0.7),0.7)</f>
        <v>0.7</v>
      </c>
    </row>
    <row r="908" spans="2:10" x14ac:dyDescent="0.25">
      <c r="B908" s="3">
        <f>B907+DeltaT</f>
        <v>4455</v>
      </c>
      <c r="C908" s="13">
        <f t="shared" si="62"/>
        <v>74.25</v>
      </c>
      <c r="D908" s="11">
        <f t="shared" si="63"/>
        <v>977.20835317634953</v>
      </c>
      <c r="E908" s="23">
        <f t="shared" si="64"/>
        <v>973.69128150925712</v>
      </c>
      <c r="F908" s="23">
        <f>AlphaC*(D908-E908)</f>
        <v>87.926791677310234</v>
      </c>
      <c r="G908" s="13">
        <f>Phi*EpsilonF*Botzman/10^8*J908*((D908+273)^4-(E908+273)^4)</f>
        <v>1086.5167861578484</v>
      </c>
      <c r="H908" s="23">
        <f t="shared" si="65"/>
        <v>650</v>
      </c>
      <c r="I908" s="12">
        <f>ksh*Massivete/(H908*RhoA)*DeltaT*(F908+G908)</f>
        <v>0.17323071595514344</v>
      </c>
      <c r="J908" s="3">
        <f>IF(E908&lt;=500,IF(Galva=Oui,0.35,0.7),0.7)</f>
        <v>0.7</v>
      </c>
    </row>
    <row r="909" spans="2:10" x14ac:dyDescent="0.25">
      <c r="B909" s="3">
        <f>B908+DeltaT</f>
        <v>4460</v>
      </c>
      <c r="C909" s="13">
        <f t="shared" si="62"/>
        <v>74.333333333333329</v>
      </c>
      <c r="D909" s="11">
        <f t="shared" si="63"/>
        <v>977.37613773616363</v>
      </c>
      <c r="E909" s="23">
        <f t="shared" si="64"/>
        <v>973.86451222521225</v>
      </c>
      <c r="F909" s="23">
        <f>AlphaC*(D909-E909)</f>
        <v>87.790637773784397</v>
      </c>
      <c r="G909" s="13">
        <f>Phi*EpsilonF*Botzman/10^8*J909*((D909+273)^4-(E909+273)^4)</f>
        <v>1085.2788627538712</v>
      </c>
      <c r="H909" s="23">
        <f t="shared" si="65"/>
        <v>650</v>
      </c>
      <c r="I909" s="12">
        <f>ksh*Massivete/(H909*RhoA)*DeltaT*(F909+G909)</f>
        <v>0.17302803921506946</v>
      </c>
      <c r="J909" s="3">
        <f>IF(E909&lt;=500,IF(Galva=Oui,0.35,0.7),0.7)</f>
        <v>0.7</v>
      </c>
    </row>
    <row r="910" spans="2:10" x14ac:dyDescent="0.25">
      <c r="B910" s="3">
        <f>B909+DeltaT</f>
        <v>4465</v>
      </c>
      <c r="C910" s="13">
        <f t="shared" si="62"/>
        <v>74.416666666666671</v>
      </c>
      <c r="D910" s="11">
        <f t="shared" si="63"/>
        <v>977.54373461746013</v>
      </c>
      <c r="E910" s="23">
        <f t="shared" si="64"/>
        <v>974.03754026442732</v>
      </c>
      <c r="F910" s="23">
        <f>AlphaC*(D910-E910)</f>
        <v>87.65485882582027</v>
      </c>
      <c r="G910" s="13">
        <f>Phi*EpsilonF*Botzman/10^8*J910*((D910+273)^4-(E910+273)^4)</f>
        <v>1084.0438106130214</v>
      </c>
      <c r="H910" s="23">
        <f t="shared" si="65"/>
        <v>650</v>
      </c>
      <c r="I910" s="12">
        <f>ksh*Massivete/(H910*RhoA)*DeltaT*(F910+G910)</f>
        <v>0.17282584129304876</v>
      </c>
      <c r="J910" s="3">
        <f>IF(E910&lt;=500,IF(Galva=Oui,0.35,0.7),0.7)</f>
        <v>0.7</v>
      </c>
    </row>
    <row r="911" spans="2:10" x14ac:dyDescent="0.25">
      <c r="B911" s="3">
        <f>B910+DeltaT</f>
        <v>4470</v>
      </c>
      <c r="C911" s="13">
        <f t="shared" si="62"/>
        <v>74.5</v>
      </c>
      <c r="D911" s="11">
        <f t="shared" si="63"/>
        <v>977.71114423963229</v>
      </c>
      <c r="E911" s="23">
        <f t="shared" si="64"/>
        <v>974.21036610572037</v>
      </c>
      <c r="F911" s="23">
        <f>AlphaC*(D911-E911)</f>
        <v>87.519453347798049</v>
      </c>
      <c r="G911" s="13">
        <f>Phi*EpsilonF*Botzman/10^8*J911*((D911+273)^4-(E911+273)^4)</f>
        <v>1082.8116196132439</v>
      </c>
      <c r="H911" s="23">
        <f t="shared" si="65"/>
        <v>650</v>
      </c>
      <c r="I911" s="12">
        <f>ksh*Massivete/(H911*RhoA)*DeltaT*(F911+G911)</f>
        <v>0.17262412047694653</v>
      </c>
      <c r="J911" s="3">
        <f>IF(E911&lt;=500,IF(Galva=Oui,0.35,0.7),0.7)</f>
        <v>0.7</v>
      </c>
    </row>
    <row r="912" spans="2:10" x14ac:dyDescent="0.25">
      <c r="B912" s="3">
        <f>B911+DeltaT</f>
        <v>4475</v>
      </c>
      <c r="C912" s="13">
        <f t="shared" si="62"/>
        <v>74.583333333333329</v>
      </c>
      <c r="D912" s="11">
        <f t="shared" si="63"/>
        <v>977.87836702066943</v>
      </c>
      <c r="E912" s="23">
        <f t="shared" si="64"/>
        <v>974.38299022619731</v>
      </c>
      <c r="F912" s="23">
        <f>AlphaC*(D912-E912)</f>
        <v>87.384419861803053</v>
      </c>
      <c r="G912" s="13">
        <f>Phi*EpsilonF*Botzman/10^8*J912*((D912+273)^4-(E912+273)^4)</f>
        <v>1081.582279681109</v>
      </c>
      <c r="H912" s="23">
        <f t="shared" si="65"/>
        <v>650</v>
      </c>
      <c r="I912" s="12">
        <f>ksh*Massivete/(H912*RhoA)*DeltaT*(F912+G912)</f>
        <v>0.17242287506293652</v>
      </c>
      <c r="J912" s="3">
        <f>IF(E912&lt;=500,IF(Galva=Oui,0.35,0.7),0.7)</f>
        <v>0.7</v>
      </c>
    </row>
    <row r="913" spans="2:10" x14ac:dyDescent="0.25">
      <c r="B913" s="3">
        <f>B912+DeltaT</f>
        <v>4480</v>
      </c>
      <c r="C913" s="13">
        <f t="shared" si="62"/>
        <v>74.666666666666671</v>
      </c>
      <c r="D913" s="11">
        <f t="shared" si="63"/>
        <v>978.0454033771631</v>
      </c>
      <c r="E913" s="23">
        <f t="shared" si="64"/>
        <v>974.55541310126023</v>
      </c>
      <c r="F913" s="23">
        <f>AlphaC*(D913-E913)</f>
        <v>87.249756897571729</v>
      </c>
      <c r="G913" s="13">
        <f>Phi*EpsilonF*Botzman/10^8*J913*((D913+273)^4-(E913+273)^4)</f>
        <v>1080.3557807908016</v>
      </c>
      <c r="H913" s="23">
        <f t="shared" si="65"/>
        <v>650</v>
      </c>
      <c r="I913" s="12">
        <f>ksh*Massivete/(H913*RhoA)*DeltaT*(F913+G913)</f>
        <v>0.17222210335534438</v>
      </c>
      <c r="J913" s="3">
        <f>IF(E913&lt;=500,IF(Galva=Oui,0.35,0.7),0.7)</f>
        <v>0.7</v>
      </c>
    </row>
    <row r="914" spans="2:10" x14ac:dyDescent="0.25">
      <c r="B914" s="3">
        <f>B913+DeltaT</f>
        <v>4485</v>
      </c>
      <c r="C914" s="13">
        <f t="shared" ref="C914:C977" si="66">B914/60</f>
        <v>74.75</v>
      </c>
      <c r="D914" s="11">
        <f t="shared" ref="D914:D977" si="67">20+345*LOG(8*C914+1,10)</f>
        <v>978.21225372431229</v>
      </c>
      <c r="E914" s="23">
        <f t="shared" si="64"/>
        <v>974.72763520461558</v>
      </c>
      <c r="F914" s="23">
        <f>AlphaC*(D914-E914)</f>
        <v>87.115462992417747</v>
      </c>
      <c r="G914" s="13">
        <f>Phi*EpsilonF*Botzman/10^8*J914*((D914+273)^4-(E914+273)^4)</f>
        <v>1079.1321129640667</v>
      </c>
      <c r="H914" s="23">
        <f t="shared" si="65"/>
        <v>650</v>
      </c>
      <c r="I914" s="12">
        <f>ksh*Massivete/(H914*RhoA)*DeltaT*(F914+G914)</f>
        <v>0.17202180366662848</v>
      </c>
      <c r="J914" s="3">
        <f>IF(E914&lt;=500,IF(Galva=Oui,0.35,0.7),0.7)</f>
        <v>0.7</v>
      </c>
    </row>
    <row r="915" spans="2:10" x14ac:dyDescent="0.25">
      <c r="B915" s="3">
        <f>B914+DeltaT</f>
        <v>4490</v>
      </c>
      <c r="C915" s="13">
        <f t="shared" si="66"/>
        <v>74.833333333333329</v>
      </c>
      <c r="D915" s="11">
        <f t="shared" si="67"/>
        <v>978.37891847593164</v>
      </c>
      <c r="E915" s="23">
        <f t="shared" si="64"/>
        <v>974.89965700828225</v>
      </c>
      <c r="F915" s="23">
        <f>AlphaC*(D915-E915)</f>
        <v>86.981536691234851</v>
      </c>
      <c r="G915" s="13">
        <f>Phi*EpsilonF*Botzman/10^8*J915*((D915+273)^4-(E915+273)^4)</f>
        <v>1077.9112662702446</v>
      </c>
      <c r="H915" s="23">
        <f t="shared" si="65"/>
        <v>650</v>
      </c>
      <c r="I915" s="12">
        <f>ksh*Massivete/(H915*RhoA)*DeltaT*(F915+G915)</f>
        <v>0.17182197431738547</v>
      </c>
      <c r="J915" s="3">
        <f>IF(E915&lt;=500,IF(Galva=Oui,0.35,0.7),0.7)</f>
        <v>0.7</v>
      </c>
    </row>
    <row r="916" spans="2:10" x14ac:dyDescent="0.25">
      <c r="B916" s="3">
        <f>B915+DeltaT</f>
        <v>4495</v>
      </c>
      <c r="C916" s="13">
        <f t="shared" si="66"/>
        <v>74.916666666666671</v>
      </c>
      <c r="D916" s="11">
        <f t="shared" si="67"/>
        <v>978.5453980444554</v>
      </c>
      <c r="E916" s="23">
        <f t="shared" si="64"/>
        <v>975.07147898259961</v>
      </c>
      <c r="F916" s="23">
        <f>AlphaC*(D916-E916)</f>
        <v>86.847976546394534</v>
      </c>
      <c r="G916" s="13">
        <f>Phi*EpsilonF*Botzman/10^8*J916*((D916+273)^4-(E916+273)^4)</f>
        <v>1076.6932308252467</v>
      </c>
      <c r="H916" s="23">
        <f t="shared" si="65"/>
        <v>650</v>
      </c>
      <c r="I916" s="12">
        <f>ksh*Massivete/(H916*RhoA)*DeltaT*(F916+G916)</f>
        <v>0.17162261363618433</v>
      </c>
      <c r="J916" s="3">
        <f>IF(E916&lt;=500,IF(Galva=Oui,0.35,0.7),0.7)</f>
        <v>0.7</v>
      </c>
    </row>
    <row r="917" spans="2:10" x14ac:dyDescent="0.25">
      <c r="B917" s="3">
        <f>B916+DeltaT</f>
        <v>4500</v>
      </c>
      <c r="C917" s="13">
        <f t="shared" si="66"/>
        <v>75</v>
      </c>
      <c r="D917" s="11">
        <f t="shared" si="67"/>
        <v>978.71169284094503</v>
      </c>
      <c r="E917" s="23">
        <f t="shared" si="64"/>
        <v>975.24310159623576</v>
      </c>
      <c r="F917" s="23">
        <f>AlphaC*(D917-E917)</f>
        <v>86.714781117731832</v>
      </c>
      <c r="G917" s="13">
        <f>Phi*EpsilonF*Botzman/10^8*J917*((D917+273)^4-(E917+273)^4)</f>
        <v>1075.4779967920574</v>
      </c>
      <c r="H917" s="23">
        <f t="shared" si="65"/>
        <v>650</v>
      </c>
      <c r="I917" s="12">
        <f>ksh*Massivete/(H917*RhoA)*DeltaT*(F917+G917)</f>
        <v>0.1714237199596382</v>
      </c>
      <c r="J917" s="3">
        <f>IF(E917&lt;=500,IF(Galva=Oui,0.35,0.7),0.7)</f>
        <v>0.7</v>
      </c>
    </row>
    <row r="918" spans="2:10" x14ac:dyDescent="0.25">
      <c r="B918" s="3">
        <f>B917+DeltaT</f>
        <v>4505</v>
      </c>
      <c r="C918" s="13">
        <f t="shared" si="66"/>
        <v>75.083333333333329</v>
      </c>
      <c r="D918" s="11">
        <f t="shared" si="67"/>
        <v>978.87780327509495</v>
      </c>
      <c r="E918" s="23">
        <f t="shared" si="64"/>
        <v>975.41452531619541</v>
      </c>
      <c r="F918" s="23">
        <f>AlphaC*(D918-E918)</f>
        <v>86.581948972488476</v>
      </c>
      <c r="G918" s="13">
        <f>Phi*EpsilonF*Botzman/10^8*J918*((D918+273)^4-(E918+273)^4)</f>
        <v>1074.265554379863</v>
      </c>
      <c r="H918" s="23">
        <f t="shared" si="65"/>
        <v>650</v>
      </c>
      <c r="I918" s="12">
        <f>ksh*Massivete/(H918*RhoA)*DeltaT*(F918+G918)</f>
        <v>0.17122529163226743</v>
      </c>
      <c r="J918" s="3">
        <f>IF(E918&lt;=500,IF(Galva=Oui,0.35,0.7),0.7)</f>
        <v>0.7</v>
      </c>
    </row>
    <row r="919" spans="2:10" x14ac:dyDescent="0.25">
      <c r="B919" s="3">
        <f>B918+DeltaT</f>
        <v>4510</v>
      </c>
      <c r="C919" s="13">
        <f t="shared" si="66"/>
        <v>75.166666666666671</v>
      </c>
      <c r="D919" s="11">
        <f t="shared" si="67"/>
        <v>979.04372975523791</v>
      </c>
      <c r="E919" s="23">
        <f t="shared" si="64"/>
        <v>975.58575060782766</v>
      </c>
      <c r="F919" s="23">
        <f>AlphaC*(D919-E919)</f>
        <v>86.449478685256054</v>
      </c>
      <c r="G919" s="13">
        <f>Phi*EpsilonF*Botzman/10^8*J919*((D919+273)^4-(E919+273)^4)</f>
        <v>1073.0558938443037</v>
      </c>
      <c r="H919" s="23">
        <f t="shared" si="65"/>
        <v>650</v>
      </c>
      <c r="I919" s="12">
        <f>ksh*Massivete/(H919*RhoA)*DeltaT*(F919+G919)</f>
        <v>0.17102732700652848</v>
      </c>
      <c r="J919" s="3">
        <f>IF(E919&lt;=500,IF(Galva=Oui,0.35,0.7),0.7)</f>
        <v>0.7</v>
      </c>
    </row>
    <row r="920" spans="2:10" x14ac:dyDescent="0.25">
      <c r="B920" s="3">
        <f>B919+DeltaT</f>
        <v>4515</v>
      </c>
      <c r="C920" s="13">
        <f t="shared" si="66"/>
        <v>75.25</v>
      </c>
      <c r="D920" s="11">
        <f t="shared" si="67"/>
        <v>979.20947268835221</v>
      </c>
      <c r="E920" s="23">
        <f t="shared" si="64"/>
        <v>975.75677793483419</v>
      </c>
      <c r="F920" s="23">
        <f>AlphaC*(D920-E920)</f>
        <v>86.317368837950426</v>
      </c>
      <c r="G920" s="13">
        <f>Phi*EpsilonF*Botzman/10^8*J920*((D920+273)^4-(E920+273)^4)</f>
        <v>1071.8490054866395</v>
      </c>
      <c r="H920" s="23">
        <f t="shared" si="65"/>
        <v>650</v>
      </c>
      <c r="I920" s="12">
        <f>ksh*Massivete/(H920*RhoA)*DeltaT*(F920+G920)</f>
        <v>0.17082982444268702</v>
      </c>
      <c r="J920" s="3">
        <f>IF(E920&lt;=500,IF(Galva=Oui,0.35,0.7),0.7)</f>
        <v>0.7</v>
      </c>
    </row>
    <row r="921" spans="2:10" x14ac:dyDescent="0.25">
      <c r="B921" s="3">
        <f>B920+DeltaT</f>
        <v>4520</v>
      </c>
      <c r="C921" s="13">
        <f t="shared" si="66"/>
        <v>75.333333333333329</v>
      </c>
      <c r="D921" s="11">
        <f t="shared" si="67"/>
        <v>979.37503248006658</v>
      </c>
      <c r="E921" s="23">
        <f t="shared" si="64"/>
        <v>975.92760775927684</v>
      </c>
      <c r="F921" s="23">
        <f>AlphaC*(D921-E921)</f>
        <v>86.185618019743515</v>
      </c>
      <c r="G921" s="13">
        <f>Phi*EpsilonF*Botzman/10^8*J921*((D921+273)^4-(E921+273)^4)</f>
        <v>1070.644879653983</v>
      </c>
      <c r="H921" s="23">
        <f t="shared" si="65"/>
        <v>650</v>
      </c>
      <c r="I921" s="12">
        <f>ksh*Massivete/(H921*RhoA)*DeltaT*(F921+G921)</f>
        <v>0.17063278230884235</v>
      </c>
      <c r="J921" s="3">
        <f>IF(E921&lt;=500,IF(Galva=Oui,0.35,0.7),0.7)</f>
        <v>0.7</v>
      </c>
    </row>
    <row r="922" spans="2:10" x14ac:dyDescent="0.25">
      <c r="B922" s="3">
        <f>B921+DeltaT</f>
        <v>4525</v>
      </c>
      <c r="C922" s="13">
        <f t="shared" si="66"/>
        <v>75.416666666666671</v>
      </c>
      <c r="D922" s="11">
        <f t="shared" si="67"/>
        <v>979.54040953466699</v>
      </c>
      <c r="E922" s="23">
        <f t="shared" si="64"/>
        <v>976.09824054158571</v>
      </c>
      <c r="F922" s="23">
        <f>AlphaC*(D922-E922)</f>
        <v>86.054224827032044</v>
      </c>
      <c r="G922" s="13">
        <f>Phi*EpsilonF*Botzman/10^8*J922*((D922+273)^4-(E922+273)^4)</f>
        <v>1069.4435067384863</v>
      </c>
      <c r="H922" s="23">
        <f t="shared" si="65"/>
        <v>650</v>
      </c>
      <c r="I922" s="12">
        <f>ksh*Massivete/(H922*RhoA)*DeltaT*(F922+G922)</f>
        <v>0.17043619898080264</v>
      </c>
      <c r="J922" s="3">
        <f>IF(E922&lt;=500,IF(Galva=Oui,0.35,0.7),0.7)</f>
        <v>0.7</v>
      </c>
    </row>
    <row r="923" spans="2:10" x14ac:dyDescent="0.25">
      <c r="B923" s="3">
        <f>B922+DeltaT</f>
        <v>4530</v>
      </c>
      <c r="C923" s="13">
        <f t="shared" si="66"/>
        <v>75.5</v>
      </c>
      <c r="D923" s="11">
        <f t="shared" si="67"/>
        <v>979.70560425510166</v>
      </c>
      <c r="E923" s="23">
        <f t="shared" si="64"/>
        <v>976.26867674056655</v>
      </c>
      <c r="F923" s="23">
        <f>AlphaC*(D923-E923)</f>
        <v>85.923187863377848</v>
      </c>
      <c r="G923" s="13">
        <f>Phi*EpsilonF*Botzman/10^8*J923*((D923+273)^4-(E923+273)^4)</f>
        <v>1068.2448771775339</v>
      </c>
      <c r="H923" s="23">
        <f t="shared" si="65"/>
        <v>650</v>
      </c>
      <c r="I923" s="12">
        <f>ksh*Massivete/(H923*RhoA)*DeltaT*(F923+G923)</f>
        <v>0.17024007284210491</v>
      </c>
      <c r="J923" s="3">
        <f>IF(E923&lt;=500,IF(Galva=Oui,0.35,0.7),0.7)</f>
        <v>0.7</v>
      </c>
    </row>
    <row r="924" spans="2:10" x14ac:dyDescent="0.25">
      <c r="B924" s="3">
        <f>B923+DeltaT</f>
        <v>4535</v>
      </c>
      <c r="C924" s="13">
        <f t="shared" si="66"/>
        <v>75.583333333333329</v>
      </c>
      <c r="D924" s="11">
        <f t="shared" si="67"/>
        <v>979.8706170429881</v>
      </c>
      <c r="E924" s="23">
        <f t="shared" si="64"/>
        <v>976.4389168134087</v>
      </c>
      <c r="F924" s="23">
        <f>AlphaC*(D924-E924)</f>
        <v>85.792505739485136</v>
      </c>
      <c r="G924" s="13">
        <f>Phi*EpsilonF*Botzman/10^8*J924*((D924+273)^4-(E924+273)^4)</f>
        <v>1067.0489814536456</v>
      </c>
      <c r="H924" s="23">
        <f t="shared" si="65"/>
        <v>650</v>
      </c>
      <c r="I924" s="12">
        <f>ksh*Massivete/(H924*RhoA)*DeltaT*(F924+G924)</f>
        <v>0.17004440228399695</v>
      </c>
      <c r="J924" s="3">
        <f>IF(E924&lt;=500,IF(Galva=Oui,0.35,0.7),0.7)</f>
        <v>0.7</v>
      </c>
    </row>
    <row r="925" spans="2:10" x14ac:dyDescent="0.25">
      <c r="B925" s="3">
        <f>B924+DeltaT</f>
        <v>4540</v>
      </c>
      <c r="C925" s="13">
        <f t="shared" si="66"/>
        <v>75.666666666666671</v>
      </c>
      <c r="D925" s="11">
        <f t="shared" si="67"/>
        <v>980.03544829861812</v>
      </c>
      <c r="E925" s="23">
        <f t="shared" si="64"/>
        <v>976.60896121569272</v>
      </c>
      <c r="F925" s="23">
        <f>AlphaC*(D925-E925)</f>
        <v>85.662177073135126</v>
      </c>
      <c r="G925" s="13">
        <f>Phi*EpsilonF*Botzman/10^8*J925*((D925+273)^4-(E925+273)^4)</f>
        <v>1065.8558100934119</v>
      </c>
      <c r="H925" s="23">
        <f t="shared" si="65"/>
        <v>650</v>
      </c>
      <c r="I925" s="12">
        <f>ksh*Massivete/(H925*RhoA)*DeltaT*(F925+G925)</f>
        <v>0.16984918570527088</v>
      </c>
      <c r="J925" s="3">
        <f>IF(E925&lt;=500,IF(Galva=Oui,0.35,0.7),0.7)</f>
        <v>0.7</v>
      </c>
    </row>
    <row r="926" spans="2:10" x14ac:dyDescent="0.25">
      <c r="B926" s="3">
        <f>B925+DeltaT</f>
        <v>4545</v>
      </c>
      <c r="C926" s="13">
        <f t="shared" si="66"/>
        <v>75.75</v>
      </c>
      <c r="D926" s="11">
        <f t="shared" si="67"/>
        <v>980.20009842096385</v>
      </c>
      <c r="E926" s="23">
        <f t="shared" si="64"/>
        <v>976.778810401398</v>
      </c>
      <c r="F926" s="23">
        <f>AlphaC*(D926-E926)</f>
        <v>85.532200489146248</v>
      </c>
      <c r="G926" s="13">
        <f>Phi*EpsilonF*Botzman/10^8*J926*((D926+273)^4-(E926+273)^4)</f>
        <v>1064.6653536680349</v>
      </c>
      <c r="H926" s="23">
        <f t="shared" si="65"/>
        <v>650</v>
      </c>
      <c r="I926" s="12">
        <f>ksh*Massivete/(H926*RhoA)*DeltaT*(F926+G926)</f>
        <v>0.16965442151233714</v>
      </c>
      <c r="J926" s="3">
        <f>IF(E926&lt;=500,IF(Galva=Oui,0.35,0.7),0.7)</f>
        <v>0.7</v>
      </c>
    </row>
    <row r="927" spans="2:10" x14ac:dyDescent="0.25">
      <c r="B927" s="3">
        <f>B926+DeltaT</f>
        <v>4550</v>
      </c>
      <c r="C927" s="13">
        <f t="shared" si="66"/>
        <v>75.833333333333329</v>
      </c>
      <c r="D927" s="11">
        <f t="shared" si="67"/>
        <v>980.36456780768322</v>
      </c>
      <c r="E927" s="23">
        <f t="shared" si="64"/>
        <v>976.9484648229103</v>
      </c>
      <c r="F927" s="23">
        <f>AlphaC*(D927-E927)</f>
        <v>85.402574619322991</v>
      </c>
      <c r="G927" s="13">
        <f>Phi*EpsilonF*Botzman/10^8*J927*((D927+273)^4-(E927+273)^4)</f>
        <v>1063.4776027922833</v>
      </c>
      <c r="H927" s="23">
        <f t="shared" si="65"/>
        <v>650</v>
      </c>
      <c r="I927" s="12">
        <f>ksh*Massivete/(H927*RhoA)*DeltaT*(F927+G927)</f>
        <v>0.16946010811906267</v>
      </c>
      <c r="J927" s="3">
        <f>IF(E927&lt;=500,IF(Galva=Oui,0.35,0.7),0.7)</f>
        <v>0.7</v>
      </c>
    </row>
    <row r="928" spans="2:10" x14ac:dyDescent="0.25">
      <c r="B928" s="3">
        <f>B927+DeltaT</f>
        <v>4555</v>
      </c>
      <c r="C928" s="13">
        <f t="shared" si="66"/>
        <v>75.916666666666671</v>
      </c>
      <c r="D928" s="11">
        <f t="shared" si="67"/>
        <v>980.52885685512661</v>
      </c>
      <c r="E928" s="23">
        <f t="shared" si="64"/>
        <v>977.11792493102939</v>
      </c>
      <c r="F928" s="23">
        <f>AlphaC*(D928-E928)</f>
        <v>85.273298102430317</v>
      </c>
      <c r="G928" s="13">
        <f>Phi*EpsilonF*Botzman/10^8*J928*((D928+273)^4-(E928+273)^4)</f>
        <v>1062.2925481253249</v>
      </c>
      <c r="H928" s="23">
        <f t="shared" si="65"/>
        <v>650</v>
      </c>
      <c r="I928" s="12">
        <f>ksh*Massivete/(H928*RhoA)*DeltaT*(F928+G928)</f>
        <v>0.16926624394688985</v>
      </c>
      <c r="J928" s="3">
        <f>IF(E928&lt;=500,IF(Galva=Oui,0.35,0.7),0.7)</f>
        <v>0.7</v>
      </c>
    </row>
    <row r="929" spans="2:10" x14ac:dyDescent="0.25">
      <c r="B929" s="3">
        <f>B928+DeltaT</f>
        <v>4560</v>
      </c>
      <c r="C929" s="13">
        <f t="shared" si="66"/>
        <v>76</v>
      </c>
      <c r="D929" s="11">
        <f t="shared" si="67"/>
        <v>980.69296595834192</v>
      </c>
      <c r="E929" s="23">
        <f t="shared" si="64"/>
        <v>977.28719117497633</v>
      </c>
      <c r="F929" s="23">
        <f>AlphaC*(D929-E929)</f>
        <v>85.144369584139667</v>
      </c>
      <c r="G929" s="13">
        <f>Phi*EpsilonF*Botzman/10^8*J929*((D929+273)^4-(E929+273)^4)</f>
        <v>1061.11018036937</v>
      </c>
      <c r="H929" s="23">
        <f t="shared" si="65"/>
        <v>650</v>
      </c>
      <c r="I929" s="12">
        <f>ksh*Massivete/(H929*RhoA)*DeltaT*(F929+G929)</f>
        <v>0.16907282742462867</v>
      </c>
      <c r="J929" s="3">
        <f>IF(E929&lt;=500,IF(Galva=Oui,0.35,0.7),0.7)</f>
        <v>0.7</v>
      </c>
    </row>
    <row r="930" spans="2:10" x14ac:dyDescent="0.25">
      <c r="B930" s="3">
        <f>B929+DeltaT</f>
        <v>4565</v>
      </c>
      <c r="C930" s="13">
        <f t="shared" si="66"/>
        <v>76.083333333333329</v>
      </c>
      <c r="D930" s="11">
        <f t="shared" si="67"/>
        <v>980.85689551108021</v>
      </c>
      <c r="E930" s="23">
        <f t="shared" si="64"/>
        <v>977.45626400240099</v>
      </c>
      <c r="F930" s="23">
        <f>AlphaC*(D930-E930)</f>
        <v>85.01578771698064</v>
      </c>
      <c r="G930" s="13">
        <f>Phi*EpsilonF*Botzman/10^8*J930*((D930+273)^4-(E930+273)^4)</f>
        <v>1059.9304902698077</v>
      </c>
      <c r="H930" s="23">
        <f t="shared" si="65"/>
        <v>650</v>
      </c>
      <c r="I930" s="12">
        <f>ksh*Massivete/(H930*RhoA)*DeltaT*(F930+G930)</f>
        <v>0.1688798569884695</v>
      </c>
      <c r="J930" s="3">
        <f>IF(E930&lt;=500,IF(Galva=Oui,0.35,0.7),0.7)</f>
        <v>0.7</v>
      </c>
    </row>
    <row r="931" spans="2:10" x14ac:dyDescent="0.25">
      <c r="B931" s="3">
        <f>B930+DeltaT</f>
        <v>4570</v>
      </c>
      <c r="C931" s="13">
        <f t="shared" si="66"/>
        <v>76.166666666666671</v>
      </c>
      <c r="D931" s="11">
        <f t="shared" si="67"/>
        <v>981.02064590580176</v>
      </c>
      <c r="E931" s="23">
        <f t="shared" si="64"/>
        <v>977.62514385938948</v>
      </c>
      <c r="F931" s="23">
        <f>AlphaC*(D931-E931)</f>
        <v>84.887551160306884</v>
      </c>
      <c r="G931" s="13">
        <f>Phi*EpsilonF*Botzman/10^8*J931*((D931+273)^4-(E931+273)^4)</f>
        <v>1058.7534686155154</v>
      </c>
      <c r="H931" s="23">
        <f t="shared" si="65"/>
        <v>650</v>
      </c>
      <c r="I931" s="12">
        <f>ksh*Massivete/(H931*RhoA)*DeltaT*(F931+G931)</f>
        <v>0.16868733108202386</v>
      </c>
      <c r="J931" s="3">
        <f>IF(E931&lt;=500,IF(Galva=Oui,0.35,0.7),0.7)</f>
        <v>0.7</v>
      </c>
    </row>
    <row r="932" spans="2:10" x14ac:dyDescent="0.25">
      <c r="B932" s="3">
        <f>B931+DeltaT</f>
        <v>4575</v>
      </c>
      <c r="C932" s="13">
        <f t="shared" si="66"/>
        <v>76.25</v>
      </c>
      <c r="D932" s="11">
        <f t="shared" si="67"/>
        <v>981.18421753368114</v>
      </c>
      <c r="E932" s="23">
        <f t="shared" si="64"/>
        <v>977.79383119047145</v>
      </c>
      <c r="F932" s="23">
        <f>AlphaC*(D932-E932)</f>
        <v>84.759658580242103</v>
      </c>
      <c r="G932" s="13">
        <f>Phi*EpsilonF*Botzman/10^8*J932*((D932+273)^4-(E932+273)^4)</f>
        <v>1057.5791062375993</v>
      </c>
      <c r="H932" s="23">
        <f t="shared" si="65"/>
        <v>650</v>
      </c>
      <c r="I932" s="12">
        <f>ksh*Massivete/(H932*RhoA)*DeltaT*(F932+G932)</f>
        <v>0.16849524815613057</v>
      </c>
      <c r="J932" s="3">
        <f>IF(E932&lt;=500,IF(Galva=Oui,0.35,0.7),0.7)</f>
        <v>0.7</v>
      </c>
    </row>
    <row r="933" spans="2:10" x14ac:dyDescent="0.25">
      <c r="B933" s="3">
        <f>B932+DeltaT</f>
        <v>4580</v>
      </c>
      <c r="C933" s="13">
        <f t="shared" si="66"/>
        <v>76.333333333333329</v>
      </c>
      <c r="D933" s="11">
        <f t="shared" si="67"/>
        <v>981.34761078461372</v>
      </c>
      <c r="E933" s="23">
        <f t="shared" si="64"/>
        <v>977.96232643862754</v>
      </c>
      <c r="F933" s="23">
        <f>AlphaC*(D933-E933)</f>
        <v>84.632108649654469</v>
      </c>
      <c r="G933" s="13">
        <f>Phi*EpsilonF*Botzman/10^8*J933*((D933+273)^4-(E933+273)^4)</f>
        <v>1056.4073940099559</v>
      </c>
      <c r="H933" s="23">
        <f t="shared" si="65"/>
        <v>650</v>
      </c>
      <c r="I933" s="12">
        <f>ksh*Massivete/(H933*RhoA)*DeltaT*(F933+G933)</f>
        <v>0.16830360666893482</v>
      </c>
      <c r="J933" s="3">
        <f>IF(E933&lt;=500,IF(Galva=Oui,0.35,0.7),0.7)</f>
        <v>0.7</v>
      </c>
    </row>
    <row r="934" spans="2:10" x14ac:dyDescent="0.25">
      <c r="B934" s="3">
        <f>B933+DeltaT</f>
        <v>4585</v>
      </c>
      <c r="C934" s="13">
        <f t="shared" si="66"/>
        <v>76.416666666666671</v>
      </c>
      <c r="D934" s="11">
        <f t="shared" si="67"/>
        <v>981.51082604722023</v>
      </c>
      <c r="E934" s="23">
        <f t="shared" si="64"/>
        <v>978.13063004529647</v>
      </c>
      <c r="F934" s="23">
        <f>AlphaC*(D934-E934)</f>
        <v>84.5049000480941</v>
      </c>
      <c r="G934" s="13">
        <f>Phi*EpsilonF*Botzman/10^8*J934*((D934+273)^4-(E934+273)^4)</f>
        <v>1055.2383228485562</v>
      </c>
      <c r="H934" s="23">
        <f t="shared" si="65"/>
        <v>650</v>
      </c>
      <c r="I934" s="12">
        <f>ksh*Massivete/(H934*RhoA)*DeltaT*(F934+G934)</f>
        <v>0.16811240508577355</v>
      </c>
      <c r="J934" s="3">
        <f>IF(E934&lt;=500,IF(Galva=Oui,0.35,0.7),0.7)</f>
        <v>0.7</v>
      </c>
    </row>
    <row r="935" spans="2:10" x14ac:dyDescent="0.25">
      <c r="B935" s="3">
        <f>B934+DeltaT</f>
        <v>4590</v>
      </c>
      <c r="C935" s="13">
        <f t="shared" si="66"/>
        <v>76.5</v>
      </c>
      <c r="D935" s="11">
        <f t="shared" si="67"/>
        <v>981.67386370885322</v>
      </c>
      <c r="E935" s="23">
        <f t="shared" si="64"/>
        <v>978.29874245038229</v>
      </c>
      <c r="F935" s="23">
        <f>AlphaC*(D935-E935)</f>
        <v>84.378031461773162</v>
      </c>
      <c r="G935" s="13">
        <f>Phi*EpsilonF*Botzman/10^8*J935*((D935+273)^4-(E935+273)^4)</f>
        <v>1054.0718837115221</v>
      </c>
      <c r="H935" s="23">
        <f t="shared" si="65"/>
        <v>650</v>
      </c>
      <c r="I935" s="12">
        <f>ksh*Massivete/(H935*RhoA)*DeltaT*(F935+G935)</f>
        <v>0.16792164187918332</v>
      </c>
      <c r="J935" s="3">
        <f>IF(E935&lt;=500,IF(Galva=Oui,0.35,0.7),0.7)</f>
        <v>0.7</v>
      </c>
    </row>
    <row r="936" spans="2:10" x14ac:dyDescent="0.25">
      <c r="B936" s="3">
        <f>B935+DeltaT</f>
        <v>4595</v>
      </c>
      <c r="C936" s="13">
        <f t="shared" si="66"/>
        <v>76.583333333333329</v>
      </c>
      <c r="D936" s="11">
        <f t="shared" si="67"/>
        <v>981.83672415560136</v>
      </c>
      <c r="E936" s="23">
        <f t="shared" si="64"/>
        <v>978.46666409226145</v>
      </c>
      <c r="F936" s="23">
        <f>AlphaC*(D936-E936)</f>
        <v>84.251501583497657</v>
      </c>
      <c r="G936" s="13">
        <f>Phi*EpsilonF*Botzman/10^8*J936*((D936+273)^4-(E936+273)^4)</f>
        <v>1052.9080675983125</v>
      </c>
      <c r="H936" s="23">
        <f t="shared" si="65"/>
        <v>650</v>
      </c>
      <c r="I936" s="12">
        <f>ksh*Massivete/(H936*RhoA)*DeltaT*(F936+G936)</f>
        <v>0.16773131552877077</v>
      </c>
      <c r="J936" s="3">
        <f>IF(E936&lt;=500,IF(Galva=Oui,0.35,0.7),0.7)</f>
        <v>0.7</v>
      </c>
    </row>
    <row r="937" spans="2:10" x14ac:dyDescent="0.25">
      <c r="B937" s="3">
        <f>B936+DeltaT</f>
        <v>4600</v>
      </c>
      <c r="C937" s="13">
        <f t="shared" si="66"/>
        <v>76.666666666666671</v>
      </c>
      <c r="D937" s="11">
        <f t="shared" si="67"/>
        <v>981.99940777229699</v>
      </c>
      <c r="E937" s="23">
        <f t="shared" si="64"/>
        <v>978.63439540779018</v>
      </c>
      <c r="F937" s="23">
        <f>AlphaC*(D937-E937)</f>
        <v>84.125309112670266</v>
      </c>
      <c r="G937" s="13">
        <f>Phi*EpsilonF*Botzman/10^8*J937*((D937+273)^4-(E937+273)^4)</f>
        <v>1051.746865550635</v>
      </c>
      <c r="H937" s="23">
        <f t="shared" si="65"/>
        <v>650</v>
      </c>
      <c r="I937" s="12">
        <f>ksh*Massivete/(H937*RhoA)*DeltaT*(F937+G937)</f>
        <v>0.16754142452134715</v>
      </c>
      <c r="J937" s="3">
        <f>IF(E937&lt;=500,IF(Galva=Oui,0.35,0.7),0.7)</f>
        <v>0.7</v>
      </c>
    </row>
    <row r="938" spans="2:10" x14ac:dyDescent="0.25">
      <c r="B938" s="3">
        <f>B937+DeltaT</f>
        <v>4605</v>
      </c>
      <c r="C938" s="13">
        <f t="shared" si="66"/>
        <v>76.75</v>
      </c>
      <c r="D938" s="11">
        <f t="shared" si="67"/>
        <v>982.16191494251859</v>
      </c>
      <c r="E938" s="23">
        <f t="shared" si="64"/>
        <v>978.80193683231153</v>
      </c>
      <c r="F938" s="23">
        <f>AlphaC*(D938-E938)</f>
        <v>83.999452755176662</v>
      </c>
      <c r="G938" s="13">
        <f>Phi*EpsilonF*Botzman/10^8*J938*((D938+273)^4-(E938+273)^4)</f>
        <v>1050.5882686505649</v>
      </c>
      <c r="H938" s="23">
        <f t="shared" si="65"/>
        <v>650</v>
      </c>
      <c r="I938" s="12">
        <f>ksh*Massivete/(H938*RhoA)*DeltaT*(F938+G938)</f>
        <v>0.16735196735063418</v>
      </c>
      <c r="J938" s="3">
        <f>IF(E938&lt;=500,IF(Galva=Oui,0.35,0.7),0.7)</f>
        <v>0.7</v>
      </c>
    </row>
    <row r="939" spans="2:10" x14ac:dyDescent="0.25">
      <c r="B939" s="3">
        <f>B938+DeltaT</f>
        <v>4610</v>
      </c>
      <c r="C939" s="13">
        <f t="shared" si="66"/>
        <v>76.833333333333329</v>
      </c>
      <c r="D939" s="11">
        <f t="shared" si="67"/>
        <v>982.32424604859955</v>
      </c>
      <c r="E939" s="23">
        <f t="shared" si="64"/>
        <v>978.96928879966219</v>
      </c>
      <c r="F939" s="23">
        <f>AlphaC*(D939-E939)</f>
        <v>83.873931223433829</v>
      </c>
      <c r="G939" s="13">
        <f>Phi*EpsilonF*Botzman/10^8*J939*((D939+273)^4-(E939+273)^4)</f>
        <v>1049.4322680219223</v>
      </c>
      <c r="H939" s="23">
        <f t="shared" si="65"/>
        <v>650</v>
      </c>
      <c r="I939" s="12">
        <f>ksh*Massivete/(H939*RhoA)*DeltaT*(F939+G939)</f>
        <v>0.16716294251747429</v>
      </c>
      <c r="J939" s="3">
        <f>IF(E939&lt;=500,IF(Galva=Oui,0.35,0.7),0.7)</f>
        <v>0.7</v>
      </c>
    </row>
    <row r="940" spans="2:10" x14ac:dyDescent="0.25">
      <c r="B940" s="3">
        <f>B939+DeltaT</f>
        <v>4615</v>
      </c>
      <c r="C940" s="13">
        <f t="shared" si="66"/>
        <v>76.916666666666671</v>
      </c>
      <c r="D940" s="11">
        <f t="shared" si="67"/>
        <v>982.48640147163121</v>
      </c>
      <c r="E940" s="23">
        <f t="shared" si="64"/>
        <v>979.1364517421797</v>
      </c>
      <c r="F940" s="23">
        <f>AlphaC*(D940-E940)</f>
        <v>83.748743236287737</v>
      </c>
      <c r="G940" s="13">
        <f>Phi*EpsilonF*Botzman/10^8*J940*((D940+273)^4-(E940+273)^4)</f>
        <v>1048.2788548290114</v>
      </c>
      <c r="H940" s="23">
        <f t="shared" si="65"/>
        <v>650</v>
      </c>
      <c r="I940" s="12">
        <f>ksh*Massivete/(H940*RhoA)*DeltaT*(F940+G940)</f>
        <v>0.16697434852962975</v>
      </c>
      <c r="J940" s="3">
        <f>IF(E940&lt;=500,IF(Galva=Oui,0.35,0.7),0.7)</f>
        <v>0.7</v>
      </c>
    </row>
    <row r="941" spans="2:10" x14ac:dyDescent="0.25">
      <c r="B941" s="3">
        <f>B940+DeltaT</f>
        <v>4620</v>
      </c>
      <c r="C941" s="13">
        <f t="shared" si="66"/>
        <v>77</v>
      </c>
      <c r="D941" s="11">
        <f t="shared" si="67"/>
        <v>982.64838159146836</v>
      </c>
      <c r="E941" s="23">
        <f t="shared" si="64"/>
        <v>979.30342609070931</v>
      </c>
      <c r="F941" s="23">
        <f>AlphaC*(D941-E941)</f>
        <v>83.623887518976403</v>
      </c>
      <c r="G941" s="13">
        <f>Phi*EpsilonF*Botzman/10^8*J941*((D941+273)^4-(E941+273)^4)</f>
        <v>1047.1280202766216</v>
      </c>
      <c r="H941" s="23">
        <f t="shared" si="65"/>
        <v>650</v>
      </c>
      <c r="I941" s="12">
        <f>ksh*Massivete/(H941*RhoA)*DeltaT*(F941+G941)</f>
        <v>0.16678618390177707</v>
      </c>
      <c r="J941" s="3">
        <f>IF(E941&lt;=500,IF(Galva=Oui,0.35,0.7),0.7)</f>
        <v>0.7</v>
      </c>
    </row>
    <row r="942" spans="2:10" x14ac:dyDescent="0.25">
      <c r="B942" s="3">
        <f>B941+DeltaT</f>
        <v>4625</v>
      </c>
      <c r="C942" s="13">
        <f t="shared" si="66"/>
        <v>77.083333333333329</v>
      </c>
      <c r="D942" s="11">
        <f t="shared" si="67"/>
        <v>982.81018678673604</v>
      </c>
      <c r="E942" s="23">
        <f t="shared" si="64"/>
        <v>979.47021227461107</v>
      </c>
      <c r="F942" s="23">
        <f>AlphaC*(D942-E942)</f>
        <v>83.4993628031242</v>
      </c>
      <c r="G942" s="13">
        <f>Phi*EpsilonF*Botzman/10^8*J942*((D942+273)^4-(E942+273)^4)</f>
        <v>1045.9797556097742</v>
      </c>
      <c r="H942" s="23">
        <f t="shared" si="65"/>
        <v>650</v>
      </c>
      <c r="I942" s="12">
        <f>ksh*Massivete/(H942*RhoA)*DeltaT*(F942+G942)</f>
        <v>0.16659844715546904</v>
      </c>
      <c r="J942" s="3">
        <f>IF(E942&lt;=500,IF(Galva=Oui,0.35,0.7),0.7)</f>
        <v>0.7</v>
      </c>
    </row>
    <row r="943" spans="2:10" x14ac:dyDescent="0.25">
      <c r="B943" s="3">
        <f>B942+DeltaT</f>
        <v>4630</v>
      </c>
      <c r="C943" s="13">
        <f t="shared" si="66"/>
        <v>77.166666666666671</v>
      </c>
      <c r="D943" s="11">
        <f t="shared" si="67"/>
        <v>982.97181743483361</v>
      </c>
      <c r="E943" s="23">
        <f t="shared" si="64"/>
        <v>979.63681072176655</v>
      </c>
      <c r="F943" s="23">
        <f>AlphaC*(D943-E943)</f>
        <v>83.375167826676488</v>
      </c>
      <c r="G943" s="13">
        <f>Phi*EpsilonF*Botzman/10^8*J943*((D943+273)^4-(E943+273)^4)</f>
        <v>1044.8340521139755</v>
      </c>
      <c r="H943" s="23">
        <f t="shared" si="65"/>
        <v>650</v>
      </c>
      <c r="I943" s="12">
        <f>ksh*Massivete/(H943*RhoA)*DeltaT*(F943+G943)</f>
        <v>0.16641113681916228</v>
      </c>
      <c r="J943" s="3">
        <f>IF(E943&lt;=500,IF(Galva=Oui,0.35,0.7),0.7)</f>
        <v>0.7</v>
      </c>
    </row>
    <row r="944" spans="2:10" x14ac:dyDescent="0.25">
      <c r="B944" s="3">
        <f>B943+DeltaT</f>
        <v>4635</v>
      </c>
      <c r="C944" s="13">
        <f t="shared" si="66"/>
        <v>77.25</v>
      </c>
      <c r="D944" s="11">
        <f t="shared" si="67"/>
        <v>983.13327391194059</v>
      </c>
      <c r="E944" s="23">
        <f t="shared" si="64"/>
        <v>979.80322185858574</v>
      </c>
      <c r="F944" s="23">
        <f>AlphaC*(D944-E944)</f>
        <v>83.251301333871197</v>
      </c>
      <c r="G944" s="13">
        <f>Phi*EpsilonF*Botzman/10^8*J944*((D944+273)^4-(E944+273)^4)</f>
        <v>1043.6909011141508</v>
      </c>
      <c r="H944" s="23">
        <f t="shared" si="65"/>
        <v>650</v>
      </c>
      <c r="I944" s="12">
        <f>ksh*Massivete/(H944*RhoA)*DeltaT*(F944+G944)</f>
        <v>0.166224251428056</v>
      </c>
      <c r="J944" s="3">
        <f>IF(E944&lt;=500,IF(Galva=Oui,0.35,0.7),0.7)</f>
        <v>0.7</v>
      </c>
    </row>
    <row r="945" spans="2:10" x14ac:dyDescent="0.25">
      <c r="B945" s="3">
        <f>B944+DeltaT</f>
        <v>4640</v>
      </c>
      <c r="C945" s="13">
        <f t="shared" si="66"/>
        <v>77.333333333333329</v>
      </c>
      <c r="D945" s="11">
        <f t="shared" si="67"/>
        <v>983.2945565930213</v>
      </c>
      <c r="E945" s="23">
        <f t="shared" si="64"/>
        <v>979.96944611001379</v>
      </c>
      <c r="F945" s="23">
        <f>AlphaC*(D945-E945)</f>
        <v>83.127762075187661</v>
      </c>
      <c r="G945" s="13">
        <f>Phi*EpsilonF*Botzman/10^8*J945*((D945+273)^4-(E945+273)^4)</f>
        <v>1042.5502939750309</v>
      </c>
      <c r="H945" s="23">
        <f t="shared" si="65"/>
        <v>650</v>
      </c>
      <c r="I945" s="12">
        <f>ksh*Massivete/(H945*RhoA)*DeltaT*(F945+G945)</f>
        <v>0.16603778952414122</v>
      </c>
      <c r="J945" s="3">
        <f>IF(E945&lt;=500,IF(Galva=Oui,0.35,0.7),0.7)</f>
        <v>0.7</v>
      </c>
    </row>
    <row r="946" spans="2:10" x14ac:dyDescent="0.25">
      <c r="B946" s="3">
        <f>B945+DeltaT</f>
        <v>4645</v>
      </c>
      <c r="C946" s="13">
        <f t="shared" si="66"/>
        <v>77.416666666666671</v>
      </c>
      <c r="D946" s="11">
        <f t="shared" si="67"/>
        <v>983.45566585183099</v>
      </c>
      <c r="E946" s="23">
        <f t="shared" si="64"/>
        <v>980.13548389953792</v>
      </c>
      <c r="F946" s="23">
        <f>AlphaC*(D946-E946)</f>
        <v>83.004548807326728</v>
      </c>
      <c r="G946" s="13">
        <f>Phi*EpsilonF*Botzman/10^8*J946*((D946+273)^4-(E946+273)^4)</f>
        <v>1041.4122221006883</v>
      </c>
      <c r="H946" s="23">
        <f t="shared" si="65"/>
        <v>650</v>
      </c>
      <c r="I946" s="12">
        <f>ksh*Massivete/(H946*RhoA)*DeltaT*(F946+G946)</f>
        <v>0.16585174965612964</v>
      </c>
      <c r="J946" s="3">
        <f>IF(E946&lt;=500,IF(Galva=Oui,0.35,0.7),0.7)</f>
        <v>0.7</v>
      </c>
    </row>
    <row r="947" spans="2:10" x14ac:dyDescent="0.25">
      <c r="B947" s="3">
        <f>B946+DeltaT</f>
        <v>4650</v>
      </c>
      <c r="C947" s="13">
        <f t="shared" si="66"/>
        <v>77.5</v>
      </c>
      <c r="D947" s="11">
        <f t="shared" si="67"/>
        <v>983.61660206092006</v>
      </c>
      <c r="E947" s="23">
        <f t="shared" si="64"/>
        <v>980.30133564919402</v>
      </c>
      <c r="F947" s="23">
        <f>AlphaC*(D947-E947)</f>
        <v>82.881660293151072</v>
      </c>
      <c r="G947" s="13">
        <f>Phi*EpsilonF*Botzman/10^8*J947*((D947+273)^4-(E947+273)^4)</f>
        <v>1040.2766769344007</v>
      </c>
      <c r="H947" s="23">
        <f t="shared" si="65"/>
        <v>650</v>
      </c>
      <c r="I947" s="12">
        <f>ksh*Massivete/(H947*RhoA)*DeltaT*(F947+G947)</f>
        <v>0.16566613037942454</v>
      </c>
      <c r="J947" s="3">
        <f>IF(E947&lt;=500,IF(Galva=Oui,0.35,0.7),0.7)</f>
        <v>0.7</v>
      </c>
    </row>
    <row r="948" spans="2:10" x14ac:dyDescent="0.25">
      <c r="B948" s="3">
        <f>B947+DeltaT</f>
        <v>4655</v>
      </c>
      <c r="C948" s="13">
        <f t="shared" si="66"/>
        <v>77.583333333333329</v>
      </c>
      <c r="D948" s="11">
        <f t="shared" si="67"/>
        <v>983.7773655916402</v>
      </c>
      <c r="E948" s="23">
        <f t="shared" ref="E948:E1011" si="68">E947+I947</f>
        <v>980.46700177957348</v>
      </c>
      <c r="F948" s="23">
        <f>AlphaC*(D948-E948)</f>
        <v>82.75909530166814</v>
      </c>
      <c r="G948" s="13">
        <f>Phi*EpsilonF*Botzman/10^8*J948*((D948+273)^4-(E948+273)^4)</f>
        <v>1039.1436499583415</v>
      </c>
      <c r="H948" s="23">
        <f t="shared" ref="H948:H1011" si="69">IF(E948&lt;600,425+0.773*E948-1.69/1000*E948^2+2.22/1000^2*E948^3,IF(E948&lt;735,666+13002/(738-E948),IF(E948&lt;900,545+17820/(E948-731),650)))</f>
        <v>650</v>
      </c>
      <c r="I948" s="12">
        <f>ksh*Massivete/(H948*RhoA)*DeltaT*(F948+G948)</f>
        <v>0.16548093025607272</v>
      </c>
      <c r="J948" s="3">
        <f>IF(E948&lt;=500,IF(Galva=Oui,0.35,0.7),0.7)</f>
        <v>0.7</v>
      </c>
    </row>
    <row r="949" spans="2:10" x14ac:dyDescent="0.25">
      <c r="B949" s="3">
        <f>B948+DeltaT</f>
        <v>4660</v>
      </c>
      <c r="C949" s="13">
        <f t="shared" si="66"/>
        <v>77.666666666666671</v>
      </c>
      <c r="D949" s="11">
        <f t="shared" si="67"/>
        <v>983.93795681414838</v>
      </c>
      <c r="E949" s="23">
        <f t="shared" si="68"/>
        <v>980.63248270982956</v>
      </c>
      <c r="F949" s="23">
        <f>AlphaC*(D949-E949)</f>
        <v>82.636852607970468</v>
      </c>
      <c r="G949" s="13">
        <f>Phi*EpsilonF*Botzman/10^8*J949*((D949+273)^4-(E949+273)^4)</f>
        <v>1038.0131326930755</v>
      </c>
      <c r="H949" s="23">
        <f t="shared" si="69"/>
        <v>650</v>
      </c>
      <c r="I949" s="12">
        <f>ksh*Massivete/(H949*RhoA)*DeltaT*(F949+G949)</f>
        <v>0.16529614785468119</v>
      </c>
      <c r="J949" s="3">
        <f>IF(E949&lt;=500,IF(Galva=Oui,0.35,0.7),0.7)</f>
        <v>0.7</v>
      </c>
    </row>
    <row r="950" spans="2:10" x14ac:dyDescent="0.25">
      <c r="B950" s="3">
        <f>B949+DeltaT</f>
        <v>4665</v>
      </c>
      <c r="C950" s="13">
        <f t="shared" si="66"/>
        <v>77.75</v>
      </c>
      <c r="D950" s="11">
        <f t="shared" si="67"/>
        <v>984.09837609741339</v>
      </c>
      <c r="E950" s="23">
        <f t="shared" si="68"/>
        <v>980.79777885768419</v>
      </c>
      <c r="F950" s="23">
        <f>AlphaC*(D950-E950)</f>
        <v>82.514930993229996</v>
      </c>
      <c r="G950" s="13">
        <f>Phi*EpsilonF*Botzman/10^8*J950*((D950+273)^4-(E950+273)^4)</f>
        <v>1036.8851166983538</v>
      </c>
      <c r="H950" s="23">
        <f t="shared" si="69"/>
        <v>650</v>
      </c>
      <c r="I950" s="12">
        <f>ksh*Massivete/(H950*RhoA)*DeltaT*(F950+G950)</f>
        <v>0.16511178175053384</v>
      </c>
      <c r="J950" s="3">
        <f>IF(E950&lt;=500,IF(Galva=Oui,0.35,0.7),0.7)</f>
        <v>0.7</v>
      </c>
    </row>
    <row r="951" spans="2:10" x14ac:dyDescent="0.25">
      <c r="B951" s="3">
        <f>B950+DeltaT</f>
        <v>4670</v>
      </c>
      <c r="C951" s="13">
        <f t="shared" si="66"/>
        <v>77.833333333333329</v>
      </c>
      <c r="D951" s="11">
        <f t="shared" si="67"/>
        <v>984.25862380921978</v>
      </c>
      <c r="E951" s="23">
        <f t="shared" si="68"/>
        <v>980.9628906394347</v>
      </c>
      <c r="F951" s="23">
        <f>AlphaC*(D951-E951)</f>
        <v>82.393329244627012</v>
      </c>
      <c r="G951" s="13">
        <f>Phi*EpsilonF*Botzman/10^8*J951*((D951+273)^4-(E951+273)^4)</f>
        <v>1035.7595935716017</v>
      </c>
      <c r="H951" s="23">
        <f t="shared" si="69"/>
        <v>650</v>
      </c>
      <c r="I951" s="12">
        <f>ksh*Massivete/(H951*RhoA)*DeltaT*(F951+G951)</f>
        <v>0.1649278305253575</v>
      </c>
      <c r="J951" s="3">
        <f>IF(E951&lt;=500,IF(Galva=Oui,0.35,0.7),0.7)</f>
        <v>0.7</v>
      </c>
    </row>
    <row r="952" spans="2:10" x14ac:dyDescent="0.25">
      <c r="B952" s="3">
        <f>B951+DeltaT</f>
        <v>4675</v>
      </c>
      <c r="C952" s="13">
        <f t="shared" si="66"/>
        <v>77.916666666666671</v>
      </c>
      <c r="D952" s="11">
        <f t="shared" si="67"/>
        <v>984.41870031617327</v>
      </c>
      <c r="E952" s="23">
        <f t="shared" si="68"/>
        <v>981.12781846996006</v>
      </c>
      <c r="F952" s="23">
        <f>AlphaC*(D952-E952)</f>
        <v>82.272046155330258</v>
      </c>
      <c r="G952" s="13">
        <f>Phi*EpsilonF*Botzman/10^8*J952*((D952+273)^4-(E952+273)^4)</f>
        <v>1034.6365549484426</v>
      </c>
      <c r="H952" s="23">
        <f t="shared" si="69"/>
        <v>650</v>
      </c>
      <c r="I952" s="12">
        <f>ksh*Massivete/(H952*RhoA)*DeltaT*(F952+G952)</f>
        <v>0.16474429276739677</v>
      </c>
      <c r="J952" s="3">
        <f>IF(E952&lt;=500,IF(Galva=Oui,0.35,0.7),0.7)</f>
        <v>0.7</v>
      </c>
    </row>
    <row r="953" spans="2:10" x14ac:dyDescent="0.25">
      <c r="B953" s="3">
        <f>B952+DeltaT</f>
        <v>4680</v>
      </c>
      <c r="C953" s="13">
        <f t="shared" si="66"/>
        <v>78</v>
      </c>
      <c r="D953" s="11">
        <f t="shared" si="67"/>
        <v>984.57860598370587</v>
      </c>
      <c r="E953" s="23">
        <f t="shared" si="68"/>
        <v>981.29256276272747</v>
      </c>
      <c r="F953" s="23">
        <f>AlphaC*(D953-E953)</f>
        <v>82.151080524459985</v>
      </c>
      <c r="G953" s="13">
        <f>Phi*EpsilonF*Botzman/10^8*J953*((D953+273)^4-(E953+273)^4)</f>
        <v>1033.5159925024452</v>
      </c>
      <c r="H953" s="23">
        <f t="shared" si="69"/>
        <v>650</v>
      </c>
      <c r="I953" s="12">
        <f>ksh*Massivete/(H953*RhoA)*DeltaT*(F953+G953)</f>
        <v>0.16456116707137086</v>
      </c>
      <c r="J953" s="3">
        <f>IF(E953&lt;=500,IF(Galva=Oui,0.35,0.7),0.7)</f>
        <v>0.7</v>
      </c>
    </row>
    <row r="954" spans="2:10" x14ac:dyDescent="0.25">
      <c r="B954" s="3">
        <f>B953+DeltaT</f>
        <v>4685</v>
      </c>
      <c r="C954" s="13">
        <f t="shared" si="66"/>
        <v>78.083333333333329</v>
      </c>
      <c r="D954" s="11">
        <f t="shared" si="67"/>
        <v>984.73834117608101</v>
      </c>
      <c r="E954" s="23">
        <f t="shared" si="68"/>
        <v>981.45712392979885</v>
      </c>
      <c r="F954" s="23">
        <f>AlphaC*(D954-E954)</f>
        <v>82.03043115705384</v>
      </c>
      <c r="G954" s="13">
        <f>Phi*EpsilonF*Botzman/10^8*J954*((D954+273)^4-(E954+273)^4)</f>
        <v>1032.3978979446595</v>
      </c>
      <c r="H954" s="23">
        <f t="shared" si="69"/>
        <v>650</v>
      </c>
      <c r="I954" s="12">
        <f>ksh*Massivete/(H954*RhoA)*DeltaT*(F954+G954)</f>
        <v>0.1643784520384004</v>
      </c>
      <c r="J954" s="3">
        <f>IF(E954&lt;=500,IF(Galva=Oui,0.35,0.7),0.7)</f>
        <v>0.7</v>
      </c>
    </row>
    <row r="955" spans="2:10" x14ac:dyDescent="0.25">
      <c r="B955" s="3">
        <f>B954+DeltaT</f>
        <v>4690</v>
      </c>
      <c r="C955" s="13">
        <f t="shared" si="66"/>
        <v>78.166666666666671</v>
      </c>
      <c r="D955" s="11">
        <f t="shared" si="67"/>
        <v>984.89790625639762</v>
      </c>
      <c r="E955" s="23">
        <f t="shared" si="68"/>
        <v>981.62150238183722</v>
      </c>
      <c r="F955" s="23">
        <f>AlphaC*(D955-E955)</f>
        <v>81.910096864010029</v>
      </c>
      <c r="G955" s="13">
        <f>Phi*EpsilonF*Botzman/10^8*J955*((D955+273)^4-(E955+273)^4)</f>
        <v>1031.2822630234605</v>
      </c>
      <c r="H955" s="23">
        <f t="shared" si="69"/>
        <v>650</v>
      </c>
      <c r="I955" s="12">
        <f>ksh*Massivete/(H955*RhoA)*DeltaT*(F955+G955)</f>
        <v>0.16419614627597592</v>
      </c>
      <c r="J955" s="3">
        <f>IF(E955&lt;=500,IF(Galva=Oui,0.35,0.7),0.7)</f>
        <v>0.7</v>
      </c>
    </row>
    <row r="956" spans="2:10" x14ac:dyDescent="0.25">
      <c r="B956" s="3">
        <f>B955+DeltaT</f>
        <v>4695</v>
      </c>
      <c r="C956" s="13">
        <f t="shared" si="66"/>
        <v>78.25</v>
      </c>
      <c r="D956" s="11">
        <f t="shared" si="67"/>
        <v>985.05730158659719</v>
      </c>
      <c r="E956" s="23">
        <f t="shared" si="68"/>
        <v>981.78569852811324</v>
      </c>
      <c r="F956" s="23">
        <f>AlphaC*(D956-E956)</f>
        <v>81.790076462098682</v>
      </c>
      <c r="G956" s="13">
        <f>Phi*EpsilonF*Botzman/10^8*J956*((D956+273)^4-(E956+273)^4)</f>
        <v>1030.1690795247241</v>
      </c>
      <c r="H956" s="23">
        <f t="shared" si="69"/>
        <v>650</v>
      </c>
      <c r="I956" s="12">
        <f>ksh*Massivete/(H956*RhoA)*DeltaT*(F956+G956)</f>
        <v>0.16401424839798534</v>
      </c>
      <c r="J956" s="3">
        <f>IF(E956&lt;=500,IF(Galva=Oui,0.35,0.7),0.7)</f>
        <v>0.7</v>
      </c>
    </row>
    <row r="957" spans="2:10" x14ac:dyDescent="0.25">
      <c r="B957" s="3">
        <f>B956+DeltaT</f>
        <v>4700</v>
      </c>
      <c r="C957" s="13">
        <f t="shared" si="66"/>
        <v>78.333333333333329</v>
      </c>
      <c r="D957" s="11">
        <f t="shared" si="67"/>
        <v>985.2165275274657</v>
      </c>
      <c r="E957" s="23">
        <f t="shared" si="68"/>
        <v>981.94971277651121</v>
      </c>
      <c r="F957" s="23">
        <f>AlphaC*(D957-E957)</f>
        <v>81.670368773862378</v>
      </c>
      <c r="G957" s="13">
        <f>Phi*EpsilonF*Botzman/10^8*J957*((D957+273)^4-(E957+273)^4)</f>
        <v>1029.0583392709532</v>
      </c>
      <c r="H957" s="23">
        <f t="shared" si="69"/>
        <v>650</v>
      </c>
      <c r="I957" s="12">
        <f>ksh*Massivete/(H957*RhoA)*DeltaT*(F957+G957)</f>
        <v>0.16383275702457056</v>
      </c>
      <c r="J957" s="3">
        <f>IF(E957&lt;=500,IF(Galva=Oui,0.35,0.7),0.7)</f>
        <v>0.7</v>
      </c>
    </row>
    <row r="958" spans="2:10" x14ac:dyDescent="0.25">
      <c r="B958" s="3">
        <f>B957+DeltaT</f>
        <v>4705</v>
      </c>
      <c r="C958" s="13">
        <f t="shared" si="66"/>
        <v>78.416666666666671</v>
      </c>
      <c r="D958" s="11">
        <f t="shared" si="67"/>
        <v>985.37558443864134</v>
      </c>
      <c r="E958" s="23">
        <f t="shared" si="68"/>
        <v>982.11354553353578</v>
      </c>
      <c r="F958" s="23">
        <f>AlphaC*(D958-E958)</f>
        <v>81.550972627638885</v>
      </c>
      <c r="G958" s="13">
        <f>Phi*EpsilonF*Botzman/10^8*J958*((D958+273)^4-(E958+273)^4)</f>
        <v>1027.950034121764</v>
      </c>
      <c r="H958" s="23">
        <f t="shared" si="69"/>
        <v>650</v>
      </c>
      <c r="I958" s="12">
        <f>ksh*Massivete/(H958*RhoA)*DeltaT*(F958+G958)</f>
        <v>0.16365167078220261</v>
      </c>
      <c r="J958" s="3">
        <f>IF(E958&lt;=500,IF(Galva=Oui,0.35,0.7),0.7)</f>
        <v>0.7</v>
      </c>
    </row>
    <row r="959" spans="2:10" x14ac:dyDescent="0.25">
      <c r="B959" s="3">
        <f>B958+DeltaT</f>
        <v>4710</v>
      </c>
      <c r="C959" s="13">
        <f t="shared" si="66"/>
        <v>78.5</v>
      </c>
      <c r="D959" s="11">
        <f t="shared" si="67"/>
        <v>985.5344726786177</v>
      </c>
      <c r="E959" s="23">
        <f t="shared" si="68"/>
        <v>982.27719720431799</v>
      </c>
      <c r="F959" s="23">
        <f>AlphaC*(D959-E959)</f>
        <v>81.431886857492941</v>
      </c>
      <c r="G959" s="13">
        <f>Phi*EpsilonF*Botzman/10^8*J959*((D959+273)^4-(E959+273)^4)</f>
        <v>1026.844155972761</v>
      </c>
      <c r="H959" s="23">
        <f t="shared" si="69"/>
        <v>650</v>
      </c>
      <c r="I959" s="12">
        <f>ksh*Massivete/(H959*RhoA)*DeltaT*(F959+G959)</f>
        <v>0.16347098830350529</v>
      </c>
      <c r="J959" s="3">
        <f>IF(E959&lt;=500,IF(Galva=Oui,0.35,0.7),0.7)</f>
        <v>0.7</v>
      </c>
    </row>
    <row r="960" spans="2:10" x14ac:dyDescent="0.25">
      <c r="B960" s="3">
        <f>B959+DeltaT</f>
        <v>4715</v>
      </c>
      <c r="C960" s="13">
        <f t="shared" si="66"/>
        <v>78.583333333333329</v>
      </c>
      <c r="D960" s="11">
        <f t="shared" si="67"/>
        <v>985.69319260474902</v>
      </c>
      <c r="E960" s="23">
        <f t="shared" si="68"/>
        <v>982.4406681926215</v>
      </c>
      <c r="F960" s="23">
        <f>AlphaC*(D960-E960)</f>
        <v>81.313110303187841</v>
      </c>
      <c r="G960" s="13">
        <f>Phi*EpsilonF*Botzman/10^8*J960*((D960+273)^4-(E960+273)^4)</f>
        <v>1025.7406967564473</v>
      </c>
      <c r="H960" s="23">
        <f t="shared" si="69"/>
        <v>650</v>
      </c>
      <c r="I960" s="12">
        <f>ksh*Massivete/(H960*RhoA)*DeltaT*(F960+G960)</f>
        <v>0.1632907082273857</v>
      </c>
      <c r="J960" s="3">
        <f>IF(E960&lt;=500,IF(Galva=Oui,0.35,0.7),0.7)</f>
        <v>0.7</v>
      </c>
    </row>
    <row r="961" spans="2:10" x14ac:dyDescent="0.25">
      <c r="B961" s="3">
        <f>B960+DeltaT</f>
        <v>4720</v>
      </c>
      <c r="C961" s="13">
        <f t="shared" si="66"/>
        <v>78.666666666666671</v>
      </c>
      <c r="D961" s="11">
        <f t="shared" si="67"/>
        <v>985.85174457325502</v>
      </c>
      <c r="E961" s="23">
        <f t="shared" si="68"/>
        <v>982.60395890084885</v>
      </c>
      <c r="F961" s="23">
        <f>AlphaC*(D961-E961)</f>
        <v>81.194641810154167</v>
      </c>
      <c r="G961" s="13">
        <f>Phi*EpsilonF*Botzman/10^8*J961*((D961+273)^4-(E961+273)^4)</f>
        <v>1024.6396484412185</v>
      </c>
      <c r="H961" s="23">
        <f t="shared" si="69"/>
        <v>650</v>
      </c>
      <c r="I961" s="12">
        <f>ksh*Massivete/(H961*RhoA)*DeltaT*(F961+G961)</f>
        <v>0.16311082919888095</v>
      </c>
      <c r="J961" s="3">
        <f>IF(E961&lt;=500,IF(Galva=Oui,0.35,0.7),0.7)</f>
        <v>0.7</v>
      </c>
    </row>
    <row r="962" spans="2:10" x14ac:dyDescent="0.25">
      <c r="B962" s="3">
        <f>B961+DeltaT</f>
        <v>4725</v>
      </c>
      <c r="C962" s="13">
        <f t="shared" si="66"/>
        <v>78.75</v>
      </c>
      <c r="D962" s="11">
        <f t="shared" si="67"/>
        <v>986.01012893922621</v>
      </c>
      <c r="E962" s="23">
        <f t="shared" si="68"/>
        <v>982.76706973004775</v>
      </c>
      <c r="F962" s="23">
        <f>AlphaC*(D962-E962)</f>
        <v>81.076480229461367</v>
      </c>
      <c r="G962" s="13">
        <f>Phi*EpsilonF*Botzman/10^8*J962*((D962+273)^4-(E962+273)^4)</f>
        <v>1023.5410030314192</v>
      </c>
      <c r="H962" s="23">
        <f t="shared" si="69"/>
        <v>650</v>
      </c>
      <c r="I962" s="12">
        <f>ksh*Massivete/(H962*RhoA)*DeltaT*(F962+G962)</f>
        <v>0.16293134986916236</v>
      </c>
      <c r="J962" s="3">
        <f>IF(E962&lt;=500,IF(Galva=Oui,0.35,0.7),0.7)</f>
        <v>0.7</v>
      </c>
    </row>
    <row r="963" spans="2:10" x14ac:dyDescent="0.25">
      <c r="B963" s="3">
        <f>B962+DeltaT</f>
        <v>4730</v>
      </c>
      <c r="C963" s="13">
        <f t="shared" si="66"/>
        <v>78.833333333333329</v>
      </c>
      <c r="D963" s="11">
        <f t="shared" si="67"/>
        <v>986.1683460566278</v>
      </c>
      <c r="E963" s="23">
        <f t="shared" si="68"/>
        <v>982.93000107991691</v>
      </c>
      <c r="F963" s="23">
        <f>AlphaC*(D963-E963)</f>
        <v>80.958624417772285</v>
      </c>
      <c r="G963" s="13">
        <f>Phi*EpsilonF*Botzman/10^8*J963*((D963+273)^4-(E963+273)^4)</f>
        <v>1022.4447525671503</v>
      </c>
      <c r="H963" s="23">
        <f t="shared" si="69"/>
        <v>650</v>
      </c>
      <c r="I963" s="12">
        <f>ksh*Massivete/(H963*RhoA)*DeltaT*(F963+G963)</f>
        <v>0.16275226889550029</v>
      </c>
      <c r="J963" s="3">
        <f>IF(E963&lt;=500,IF(Galva=Oui,0.35,0.7),0.7)</f>
        <v>0.7</v>
      </c>
    </row>
    <row r="964" spans="2:10" x14ac:dyDescent="0.25">
      <c r="B964" s="3">
        <f>B963+DeltaT</f>
        <v>4735</v>
      </c>
      <c r="C964" s="13">
        <f t="shared" si="66"/>
        <v>78.916666666666671</v>
      </c>
      <c r="D964" s="11">
        <f t="shared" si="67"/>
        <v>986.32639627830486</v>
      </c>
      <c r="E964" s="23">
        <f t="shared" si="68"/>
        <v>983.09275334881238</v>
      </c>
      <c r="F964" s="23">
        <f>AlphaC*(D964-E964)</f>
        <v>80.841073237311889</v>
      </c>
      <c r="G964" s="13">
        <f>Phi*EpsilonF*Botzman/10^8*J964*((D964+273)^4-(E964+273)^4)</f>
        <v>1021.3508891240746</v>
      </c>
      <c r="H964" s="23">
        <f t="shared" si="69"/>
        <v>650</v>
      </c>
      <c r="I964" s="12">
        <f>ksh*Massivete/(H964*RhoA)*DeltaT*(F964+G964)</f>
        <v>0.16257358494123109</v>
      </c>
      <c r="J964" s="3">
        <f>IF(E964&lt;=500,IF(Galva=Oui,0.35,0.7),0.7)</f>
        <v>0.7</v>
      </c>
    </row>
    <row r="965" spans="2:10" x14ac:dyDescent="0.25">
      <c r="B965" s="3">
        <f>B964+DeltaT</f>
        <v>4740</v>
      </c>
      <c r="C965" s="13">
        <f t="shared" si="66"/>
        <v>79</v>
      </c>
      <c r="D965" s="11">
        <f t="shared" si="67"/>
        <v>986.4842799559874</v>
      </c>
      <c r="E965" s="23">
        <f t="shared" si="68"/>
        <v>983.25532693375362</v>
      </c>
      <c r="F965" s="23">
        <f>AlphaC*(D965-E965)</f>
        <v>80.723825555844542</v>
      </c>
      <c r="G965" s="13">
        <f>Phi*EpsilonF*Botzman/10^8*J965*((D965+273)^4-(E965+273)^4)</f>
        <v>1020.2594048131842</v>
      </c>
      <c r="H965" s="23">
        <f t="shared" si="69"/>
        <v>650</v>
      </c>
      <c r="I965" s="12">
        <f>ksh*Massivete/(H965*RhoA)*DeltaT*(F965+G965)</f>
        <v>0.162395296675719</v>
      </c>
      <c r="J965" s="3">
        <f>IF(E965&lt;=500,IF(Galva=Oui,0.35,0.7),0.7)</f>
        <v>0.7</v>
      </c>
    </row>
    <row r="966" spans="2:10" x14ac:dyDescent="0.25">
      <c r="B966" s="3">
        <f>B965+DeltaT</f>
        <v>4745</v>
      </c>
      <c r="C966" s="13">
        <f t="shared" si="66"/>
        <v>79.083333333333329</v>
      </c>
      <c r="D966" s="11">
        <f t="shared" si="67"/>
        <v>986.64199744029429</v>
      </c>
      <c r="E966" s="23">
        <f t="shared" si="68"/>
        <v>983.41772223042938</v>
      </c>
      <c r="F966" s="23">
        <f>AlphaC*(D966-E966)</f>
        <v>80.606880246622836</v>
      </c>
      <c r="G966" s="13">
        <f>Phi*EpsilonF*Botzman/10^8*J966*((D966+273)^4-(E966+273)^4)</f>
        <v>1019.17029178053</v>
      </c>
      <c r="H966" s="23">
        <f t="shared" si="69"/>
        <v>650</v>
      </c>
      <c r="I966" s="12">
        <f>ksh*Massivete/(H966*RhoA)*DeltaT*(F966+G966)</f>
        <v>0.16221740277430916</v>
      </c>
      <c r="J966" s="3">
        <f>IF(E966&lt;=500,IF(Galva=Oui,0.35,0.7),0.7)</f>
        <v>0.7</v>
      </c>
    </row>
    <row r="967" spans="2:10" x14ac:dyDescent="0.25">
      <c r="B967" s="3">
        <f>B966+DeltaT</f>
        <v>4750</v>
      </c>
      <c r="C967" s="13">
        <f t="shared" si="66"/>
        <v>79.166666666666671</v>
      </c>
      <c r="D967" s="11">
        <f t="shared" si="67"/>
        <v>986.79954908073842</v>
      </c>
      <c r="E967" s="23">
        <f t="shared" si="68"/>
        <v>983.57993963320371</v>
      </c>
      <c r="F967" s="23">
        <f>AlphaC*(D967-E967)</f>
        <v>80.490236188367703</v>
      </c>
      <c r="G967" s="13">
        <f>Phi*EpsilonF*Botzman/10^8*J967*((D967+273)^4-(E967+273)^4)</f>
        <v>1018.0835422070268</v>
      </c>
      <c r="H967" s="23">
        <f t="shared" si="69"/>
        <v>650</v>
      </c>
      <c r="I967" s="12">
        <f>ksh*Massivete/(H967*RhoA)*DeltaT*(F967+G967)</f>
        <v>0.16203990191829562</v>
      </c>
      <c r="J967" s="3">
        <f>IF(E967&lt;=500,IF(Galva=Oui,0.35,0.7),0.7)</f>
        <v>0.7</v>
      </c>
    </row>
    <row r="968" spans="2:10" x14ac:dyDescent="0.25">
      <c r="B968" s="3">
        <f>B967+DeltaT</f>
        <v>4755</v>
      </c>
      <c r="C968" s="13">
        <f t="shared" si="66"/>
        <v>79.25</v>
      </c>
      <c r="D968" s="11">
        <f t="shared" si="67"/>
        <v>986.95693522573151</v>
      </c>
      <c r="E968" s="23">
        <f t="shared" si="68"/>
        <v>983.74197953512203</v>
      </c>
      <c r="F968" s="23">
        <f>AlphaC*(D968-E968)</f>
        <v>80.373892265237146</v>
      </c>
      <c r="G968" s="13">
        <f>Phi*EpsilonF*Botzman/10^8*J968*((D968+273)^4-(E968+273)^4)</f>
        <v>1016.9991483084345</v>
      </c>
      <c r="H968" s="23">
        <f t="shared" si="69"/>
        <v>650</v>
      </c>
      <c r="I968" s="12">
        <f>ksh*Massivete/(H968*RhoA)*DeltaT*(F968+G968)</f>
        <v>0.16186279279491408</v>
      </c>
      <c r="J968" s="3">
        <f>IF(E968&lt;=500,IF(Galva=Oui,0.35,0.7),0.7)</f>
        <v>0.7</v>
      </c>
    </row>
    <row r="969" spans="2:10" x14ac:dyDescent="0.25">
      <c r="B969" s="3">
        <f>B968+DeltaT</f>
        <v>4760</v>
      </c>
      <c r="C969" s="13">
        <f t="shared" si="66"/>
        <v>79.333333333333329</v>
      </c>
      <c r="D969" s="11">
        <f t="shared" si="67"/>
        <v>987.11415622258835</v>
      </c>
      <c r="E969" s="23">
        <f t="shared" si="68"/>
        <v>983.90384232791689</v>
      </c>
      <c r="F969" s="23">
        <f>AlphaC*(D969-E969)</f>
        <v>80.25784736678645</v>
      </c>
      <c r="G969" s="13">
        <f>Phi*EpsilonF*Botzman/10^8*J969*((D969+273)^4-(E969+273)^4)</f>
        <v>1015.917102335242</v>
      </c>
      <c r="H969" s="23">
        <f t="shared" si="69"/>
        <v>650</v>
      </c>
      <c r="I969" s="12">
        <f>ksh*Massivete/(H969*RhoA)*DeltaT*(F969+G969)</f>
        <v>0.16168607409731889</v>
      </c>
      <c r="J969" s="3">
        <f>IF(E969&lt;=500,IF(Galva=Oui,0.35,0.7),0.7)</f>
        <v>0.7</v>
      </c>
    </row>
    <row r="970" spans="2:10" x14ac:dyDescent="0.25">
      <c r="B970" s="3">
        <f>B969+DeltaT</f>
        <v>4765</v>
      </c>
      <c r="C970" s="13">
        <f t="shared" si="66"/>
        <v>79.416666666666671</v>
      </c>
      <c r="D970" s="11">
        <f t="shared" si="67"/>
        <v>987.2712124175315</v>
      </c>
      <c r="E970" s="23">
        <f t="shared" si="68"/>
        <v>984.06552840201425</v>
      </c>
      <c r="F970" s="23">
        <f>AlphaC*(D970-E970)</f>
        <v>80.142100387931237</v>
      </c>
      <c r="G970" s="13">
        <f>Phi*EpsilonF*Botzman/10^8*J970*((D970+273)^4-(E970+273)^4)</f>
        <v>1014.8373965718141</v>
      </c>
      <c r="H970" s="23">
        <f t="shared" si="69"/>
        <v>650</v>
      </c>
      <c r="I970" s="12">
        <f>ksh*Massivete/(H970*RhoA)*DeltaT*(F970+G970)</f>
        <v>0.16150974452445171</v>
      </c>
      <c r="J970" s="3">
        <f>IF(E970&lt;=500,IF(Galva=Oui,0.35,0.7),0.7)</f>
        <v>0.7</v>
      </c>
    </row>
    <row r="971" spans="2:10" x14ac:dyDescent="0.25">
      <c r="B971" s="3">
        <f>B970+DeltaT</f>
        <v>4770</v>
      </c>
      <c r="C971" s="13">
        <f t="shared" si="66"/>
        <v>79.5</v>
      </c>
      <c r="D971" s="11">
        <f t="shared" si="67"/>
        <v>987.42810415569568</v>
      </c>
      <c r="E971" s="23">
        <f t="shared" si="68"/>
        <v>984.22703814653869</v>
      </c>
      <c r="F971" s="23">
        <f>AlphaC*(D971-E971)</f>
        <v>80.026650228924723</v>
      </c>
      <c r="G971" s="13">
        <f>Phi*EpsilonF*Botzman/10^8*J971*((D971+273)^4-(E971+273)^4)</f>
        <v>1013.7600233371085</v>
      </c>
      <c r="H971" s="23">
        <f t="shared" si="69"/>
        <v>650</v>
      </c>
      <c r="I971" s="12">
        <f>ksh*Massivete/(H971*RhoA)*DeltaT*(F971+G971)</f>
        <v>0.16133380278114406</v>
      </c>
      <c r="J971" s="3">
        <f>IF(E971&lt;=500,IF(Galva=Oui,0.35,0.7),0.7)</f>
        <v>0.7</v>
      </c>
    </row>
    <row r="972" spans="2:10" x14ac:dyDescent="0.25">
      <c r="B972" s="3">
        <f>B971+DeltaT</f>
        <v>4775</v>
      </c>
      <c r="C972" s="13">
        <f t="shared" si="66"/>
        <v>79.583333333333329</v>
      </c>
      <c r="D972" s="11">
        <f t="shared" si="67"/>
        <v>987.58483178113329</v>
      </c>
      <c r="E972" s="23">
        <f t="shared" si="68"/>
        <v>984.38837194931989</v>
      </c>
      <c r="F972" s="23">
        <f>AlphaC*(D972-E972)</f>
        <v>79.911495795334986</v>
      </c>
      <c r="G972" s="13">
        <f>Phi*EpsilonF*Botzman/10^8*J972*((D972+273)^4-(E972+273)^4)</f>
        <v>1012.684974983901</v>
      </c>
      <c r="H972" s="23">
        <f t="shared" si="69"/>
        <v>650</v>
      </c>
      <c r="I972" s="12">
        <f>ksh*Massivete/(H972*RhoA)*DeltaT*(F972+G972)</f>
        <v>0.16115824757799949</v>
      </c>
      <c r="J972" s="3">
        <f>IF(E972&lt;=500,IF(Galva=Oui,0.35,0.7),0.7)</f>
        <v>0.7</v>
      </c>
    </row>
    <row r="973" spans="2:10" x14ac:dyDescent="0.25">
      <c r="B973" s="3">
        <f>B972+DeltaT</f>
        <v>4780</v>
      </c>
      <c r="C973" s="13">
        <f t="shared" si="66"/>
        <v>79.666666666666671</v>
      </c>
      <c r="D973" s="11">
        <f t="shared" si="67"/>
        <v>987.74139563681774</v>
      </c>
      <c r="E973" s="23">
        <f t="shared" si="68"/>
        <v>984.54953019689788</v>
      </c>
      <c r="F973" s="23">
        <f>AlphaC*(D973-E973)</f>
        <v>79.796635997996646</v>
      </c>
      <c r="G973" s="13">
        <f>Phi*EpsilonF*Botzman/10^8*J973*((D973+273)^4-(E973+273)^4)</f>
        <v>1011.612243898766</v>
      </c>
      <c r="H973" s="23">
        <f t="shared" si="69"/>
        <v>650</v>
      </c>
      <c r="I973" s="12">
        <f>ksh*Massivete/(H973*RhoA)*DeltaT*(F973+G973)</f>
        <v>0.1609830776313837</v>
      </c>
      <c r="J973" s="3">
        <f>IF(E973&lt;=500,IF(Galva=Oui,0.35,0.7),0.7)</f>
        <v>0.7</v>
      </c>
    </row>
    <row r="974" spans="2:10" x14ac:dyDescent="0.25">
      <c r="B974" s="3">
        <f>B973+DeltaT</f>
        <v>4785</v>
      </c>
      <c r="C974" s="13">
        <f t="shared" si="66"/>
        <v>79.75</v>
      </c>
      <c r="D974" s="11">
        <f t="shared" si="67"/>
        <v>987.89779606464788</v>
      </c>
      <c r="E974" s="23">
        <f t="shared" si="68"/>
        <v>984.71051327452926</v>
      </c>
      <c r="F974" s="23">
        <f>AlphaC*(D974-E974)</f>
        <v>79.68206975296539</v>
      </c>
      <c r="G974" s="13">
        <f>Phi*EpsilonF*Botzman/10^8*J974*((D974+273)^4-(E974+273)^4)</f>
        <v>1010.5418225016886</v>
      </c>
      <c r="H974" s="23">
        <f t="shared" si="69"/>
        <v>650</v>
      </c>
      <c r="I974" s="12">
        <f>ksh*Massivete/(H974*RhoA)*DeltaT*(F974+G974)</f>
        <v>0.16080829166336055</v>
      </c>
      <c r="J974" s="3">
        <f>IF(E974&lt;=500,IF(Galva=Oui,0.35,0.7),0.7)</f>
        <v>0.7</v>
      </c>
    </row>
    <row r="975" spans="2:10" x14ac:dyDescent="0.25">
      <c r="B975" s="3">
        <f>B974+DeltaT</f>
        <v>4790</v>
      </c>
      <c r="C975" s="13">
        <f t="shared" si="66"/>
        <v>79.833333333333329</v>
      </c>
      <c r="D975" s="11">
        <f t="shared" si="67"/>
        <v>988.05403340545411</v>
      </c>
      <c r="E975" s="23">
        <f t="shared" si="68"/>
        <v>984.87132156619259</v>
      </c>
      <c r="F975" s="23">
        <f>AlphaC*(D975-E975)</f>
        <v>79.56779598153787</v>
      </c>
      <c r="G975" s="13">
        <f>Phi*EpsilonF*Botzman/10^8*J975*((D975+273)^4-(E975+273)^4)</f>
        <v>1009.4737032461811</v>
      </c>
      <c r="H975" s="23">
        <f t="shared" si="69"/>
        <v>650</v>
      </c>
      <c r="I975" s="12">
        <f>ksh*Massivete/(H975*RhoA)*DeltaT*(F975+G975)</f>
        <v>0.16063388840171228</v>
      </c>
      <c r="J975" s="3">
        <f>IF(E975&lt;=500,IF(Galva=Oui,0.35,0.7),0.7)</f>
        <v>0.7</v>
      </c>
    </row>
    <row r="976" spans="2:10" x14ac:dyDescent="0.25">
      <c r="B976" s="3">
        <f>B975+DeltaT</f>
        <v>4795</v>
      </c>
      <c r="C976" s="13">
        <f t="shared" si="66"/>
        <v>79.916666666666671</v>
      </c>
      <c r="D976" s="11">
        <f t="shared" si="67"/>
        <v>988.21010799900068</v>
      </c>
      <c r="E976" s="23">
        <f t="shared" si="68"/>
        <v>985.03195545459425</v>
      </c>
      <c r="F976" s="23">
        <f>AlphaC*(D976-E976)</f>
        <v>79.453813610160751</v>
      </c>
      <c r="G976" s="13">
        <f>Phi*EpsilonF*Botzman/10^8*J976*((D976+273)^4-(E976+273)^4)</f>
        <v>1008.4078786190895</v>
      </c>
      <c r="H976" s="23">
        <f t="shared" si="69"/>
        <v>650</v>
      </c>
      <c r="I976" s="12">
        <f>ksh*Massivete/(H976*RhoA)*DeltaT*(F976+G976)</f>
        <v>0.16045986657989744</v>
      </c>
      <c r="J976" s="3">
        <f>IF(E976&lt;=500,IF(Galva=Oui,0.35,0.7),0.7)</f>
        <v>0.7</v>
      </c>
    </row>
    <row r="977" spans="2:10" x14ac:dyDescent="0.25">
      <c r="B977" s="3">
        <f>B976+DeltaT</f>
        <v>4800</v>
      </c>
      <c r="C977" s="13">
        <f t="shared" si="66"/>
        <v>80</v>
      </c>
      <c r="D977" s="11">
        <f t="shared" si="67"/>
        <v>988.36602018399196</v>
      </c>
      <c r="E977" s="23">
        <f t="shared" si="68"/>
        <v>985.19241532117417</v>
      </c>
      <c r="F977" s="23">
        <f>AlphaC*(D977-E977)</f>
        <v>79.340121570444921</v>
      </c>
      <c r="G977" s="13">
        <f>Phi*EpsilonF*Botzman/10^8*J977*((D977+273)^4-(E977+273)^4)</f>
        <v>1007.3443411401471</v>
      </c>
      <c r="H977" s="23">
        <f t="shared" si="69"/>
        <v>650</v>
      </c>
      <c r="I977" s="12">
        <f>ksh*Massivete/(H977*RhoA)*DeltaT*(F977+G977)</f>
        <v>0.16028622493698716</v>
      </c>
      <c r="J977" s="3">
        <f>IF(E977&lt;=500,IF(Galva=Oui,0.35,0.7),0.7)</f>
        <v>0.7</v>
      </c>
    </row>
    <row r="978" spans="2:10" x14ac:dyDescent="0.25">
      <c r="B978" s="3">
        <f>B977+DeltaT</f>
        <v>4805</v>
      </c>
      <c r="C978" s="13">
        <f t="shared" ref="C978:C1041" si="70">B978/60</f>
        <v>80.083333333333329</v>
      </c>
      <c r="D978" s="11">
        <f t="shared" ref="D978:D1041" si="71">20+345*LOG(8*C978+1,10)</f>
        <v>988.52177029807558</v>
      </c>
      <c r="E978" s="23">
        <f t="shared" si="68"/>
        <v>985.35270154611112</v>
      </c>
      <c r="F978" s="23">
        <f>AlphaC*(D978-E978)</f>
        <v>79.226718799111495</v>
      </c>
      <c r="G978" s="13">
        <f>Phi*EpsilonF*Botzman/10^8*J978*((D978+273)^4-(E978+273)^4)</f>
        <v>1006.28308336182</v>
      </c>
      <c r="H978" s="23">
        <f t="shared" si="69"/>
        <v>650</v>
      </c>
      <c r="I978" s="12">
        <f>ksh*Massivete/(H978*RhoA)*DeltaT*(F978+G978)</f>
        <v>0.16011296221763455</v>
      </c>
      <c r="J978" s="3">
        <f>IF(E978&lt;=500,IF(Galva=Oui,0.35,0.7),0.7)</f>
        <v>0.7</v>
      </c>
    </row>
    <row r="979" spans="2:10" x14ac:dyDescent="0.25">
      <c r="B979" s="3">
        <f>B978+DeltaT</f>
        <v>4810</v>
      </c>
      <c r="C979" s="13">
        <f t="shared" si="70"/>
        <v>80.166666666666671</v>
      </c>
      <c r="D979" s="11">
        <f t="shared" si="71"/>
        <v>988.67735867784756</v>
      </c>
      <c r="E979" s="23">
        <f t="shared" si="68"/>
        <v>985.5128145083288</v>
      </c>
      <c r="F979" s="23">
        <f>AlphaC*(D979-E979)</f>
        <v>79.113604237969071</v>
      </c>
      <c r="G979" s="13">
        <f>Phi*EpsilonF*Botzman/10^8*J979*((D979+273)^4-(E979+273)^4)</f>
        <v>1005.2240978695395</v>
      </c>
      <c r="H979" s="23">
        <f t="shared" si="69"/>
        <v>650</v>
      </c>
      <c r="I979" s="12">
        <f>ksh*Massivete/(H979*RhoA)*DeltaT*(F979+G979)</f>
        <v>0.15994007717210532</v>
      </c>
      <c r="J979" s="3">
        <f>IF(E979&lt;=500,IF(Galva=Oui,0.35,0.7),0.7)</f>
        <v>0.7</v>
      </c>
    </row>
    <row r="980" spans="2:10" x14ac:dyDescent="0.25">
      <c r="B980" s="3">
        <f>B979+DeltaT</f>
        <v>4815</v>
      </c>
      <c r="C980" s="13">
        <f t="shared" si="70"/>
        <v>80.25</v>
      </c>
      <c r="D980" s="11">
        <f t="shared" si="71"/>
        <v>988.83278565885644</v>
      </c>
      <c r="E980" s="23">
        <f t="shared" si="68"/>
        <v>985.67275458550091</v>
      </c>
      <c r="F980" s="23">
        <f>AlphaC*(D980-E980)</f>
        <v>79.000776833888153</v>
      </c>
      <c r="G980" s="13">
        <f>Phi*EpsilonF*Botzman/10^8*J980*((D980+273)^4-(E980+273)^4)</f>
        <v>1004.1673772809269</v>
      </c>
      <c r="H980" s="23">
        <f t="shared" si="69"/>
        <v>650</v>
      </c>
      <c r="I980" s="12">
        <f>ksh*Massivete/(H980*RhoA)*DeltaT*(F980+G980)</f>
        <v>0.15976756855616003</v>
      </c>
      <c r="J980" s="3">
        <f>IF(E980&lt;=500,IF(Galva=Oui,0.35,0.7),0.7)</f>
        <v>0.7</v>
      </c>
    </row>
    <row r="981" spans="2:10" x14ac:dyDescent="0.25">
      <c r="B981" s="3">
        <f>B980+DeltaT</f>
        <v>4820</v>
      </c>
      <c r="C981" s="13">
        <f t="shared" si="70"/>
        <v>80.333333333333329</v>
      </c>
      <c r="D981" s="11">
        <f t="shared" si="71"/>
        <v>988.98805157560753</v>
      </c>
      <c r="E981" s="23">
        <f t="shared" si="68"/>
        <v>985.83252215405707</v>
      </c>
      <c r="F981" s="23">
        <f>AlphaC*(D981-E981)</f>
        <v>78.888235538761364</v>
      </c>
      <c r="G981" s="13">
        <f>Phi*EpsilonF*Botzman/10^8*J981*((D981+273)^4-(E981+273)^4)</f>
        <v>1003.1129142462196</v>
      </c>
      <c r="H981" s="23">
        <f t="shared" si="69"/>
        <v>650</v>
      </c>
      <c r="I981" s="12">
        <f>ksh*Massivete/(H981*RhoA)*DeltaT*(F981+G981)</f>
        <v>0.15959543513111074</v>
      </c>
      <c r="J981" s="3">
        <f>IF(E981&lt;=500,IF(Galva=Oui,0.35,0.7),0.7)</f>
        <v>0.7</v>
      </c>
    </row>
    <row r="982" spans="2:10" x14ac:dyDescent="0.25">
      <c r="B982" s="3">
        <f>B981+DeltaT</f>
        <v>4825</v>
      </c>
      <c r="C982" s="13">
        <f t="shared" si="70"/>
        <v>80.416666666666671</v>
      </c>
      <c r="D982" s="11">
        <f t="shared" si="71"/>
        <v>989.14315676156707</v>
      </c>
      <c r="E982" s="23">
        <f t="shared" si="68"/>
        <v>985.99211758918818</v>
      </c>
      <c r="F982" s="23">
        <f>AlphaC*(D982-E982)</f>
        <v>78.775979309472177</v>
      </c>
      <c r="G982" s="13">
        <f>Phi*EpsilonF*Botzman/10^8*J982*((D982+273)^4-(E982+273)^4)</f>
        <v>1002.0607014474383</v>
      </c>
      <c r="H982" s="23">
        <f t="shared" si="69"/>
        <v>650</v>
      </c>
      <c r="I982" s="12">
        <f>ksh*Massivete/(H982*RhoA)*DeltaT*(F982+G982)</f>
        <v>0.15942367566369378</v>
      </c>
      <c r="J982" s="3">
        <f>IF(E982&lt;=500,IF(Galva=Oui,0.35,0.7),0.7)</f>
        <v>0.7</v>
      </c>
    </row>
    <row r="983" spans="2:10" x14ac:dyDescent="0.25">
      <c r="B983" s="3">
        <f>B982+DeltaT</f>
        <v>4830</v>
      </c>
      <c r="C983" s="13">
        <f t="shared" si="70"/>
        <v>80.5</v>
      </c>
      <c r="D983" s="11">
        <f t="shared" si="71"/>
        <v>989.29810154916731</v>
      </c>
      <c r="E983" s="23">
        <f t="shared" si="68"/>
        <v>986.15154126485186</v>
      </c>
      <c r="F983" s="23">
        <f>AlphaC*(D983-E983)</f>
        <v>78.664007107886391</v>
      </c>
      <c r="G983" s="13">
        <f>Phi*EpsilonF*Botzman/10^8*J983*((D983+273)^4-(E983+273)^4)</f>
        <v>1001.010731598813</v>
      </c>
      <c r="H983" s="23">
        <f t="shared" si="69"/>
        <v>650</v>
      </c>
      <c r="I983" s="12">
        <f>ksh*Massivete/(H983*RhoA)*DeltaT*(F983+G983)</f>
        <v>0.15925228892613122</v>
      </c>
      <c r="J983" s="3">
        <f>IF(E983&lt;=500,IF(Galva=Oui,0.35,0.7),0.7)</f>
        <v>0.7</v>
      </c>
    </row>
    <row r="984" spans="2:10" x14ac:dyDescent="0.25">
      <c r="B984" s="3">
        <f>B983+DeltaT</f>
        <v>4835</v>
      </c>
      <c r="C984" s="13">
        <f t="shared" si="70"/>
        <v>80.583333333333329</v>
      </c>
      <c r="D984" s="11">
        <f t="shared" si="71"/>
        <v>989.45288626980971</v>
      </c>
      <c r="E984" s="23">
        <f t="shared" si="68"/>
        <v>986.31079355377801</v>
      </c>
      <c r="F984" s="23">
        <f>AlphaC*(D984-E984)</f>
        <v>78.552317900792445</v>
      </c>
      <c r="G984" s="13">
        <f>Phi*EpsilonF*Botzman/10^8*J984*((D984+273)^4-(E984+273)^4)</f>
        <v>999.96299744622092</v>
      </c>
      <c r="H984" s="23">
        <f t="shared" si="69"/>
        <v>650</v>
      </c>
      <c r="I984" s="12">
        <f>ksh*Massivete/(H984*RhoA)*DeltaT*(F984+G984)</f>
        <v>0.15908127369603922</v>
      </c>
      <c r="J984" s="3">
        <f>IF(E984&lt;=500,IF(Galva=Oui,0.35,0.7),0.7)</f>
        <v>0.7</v>
      </c>
    </row>
    <row r="985" spans="2:10" x14ac:dyDescent="0.25">
      <c r="B985" s="3">
        <f>B984+DeltaT</f>
        <v>4840</v>
      </c>
      <c r="C985" s="13">
        <f t="shared" si="70"/>
        <v>80.666666666666671</v>
      </c>
      <c r="D985" s="11">
        <f t="shared" si="71"/>
        <v>989.60751125386969</v>
      </c>
      <c r="E985" s="23">
        <f t="shared" si="68"/>
        <v>986.46987482747409</v>
      </c>
      <c r="F985" s="23">
        <f>AlphaC*(D985-E985)</f>
        <v>78.440910659890051</v>
      </c>
      <c r="G985" s="13">
        <f>Phi*EpsilonF*Botzman/10^8*J985*((D985+273)^4-(E985+273)^4)</f>
        <v>998.91749176693475</v>
      </c>
      <c r="H985" s="23">
        <f t="shared" si="69"/>
        <v>650</v>
      </c>
      <c r="I985" s="12">
        <f>ksh*Massivete/(H985*RhoA)*DeltaT*(F985+G985)</f>
        <v>0.15891062875638923</v>
      </c>
      <c r="J985" s="3">
        <f>IF(E985&lt;=500,IF(Galva=Oui,0.35,0.7),0.7)</f>
        <v>0.7</v>
      </c>
    </row>
    <row r="986" spans="2:10" x14ac:dyDescent="0.25">
      <c r="B986" s="3">
        <f>B985+DeltaT</f>
        <v>4845</v>
      </c>
      <c r="C986" s="13">
        <f t="shared" si="70"/>
        <v>80.75</v>
      </c>
      <c r="D986" s="11">
        <f t="shared" si="71"/>
        <v>989.76197683070154</v>
      </c>
      <c r="E986" s="23">
        <f t="shared" si="68"/>
        <v>986.6287854562305</v>
      </c>
      <c r="F986" s="23">
        <f>AlphaC*(D986-E986)</f>
        <v>78.329784361775978</v>
      </c>
      <c r="G986" s="13">
        <f>Phi*EpsilonF*Botzman/10^8*J986*((D986+273)^4-(E986+273)^4)</f>
        <v>997.87420737016532</v>
      </c>
      <c r="H986" s="23">
        <f t="shared" si="69"/>
        <v>650</v>
      </c>
      <c r="I986" s="12">
        <f>ksh*Massivete/(H986*RhoA)*DeltaT*(F986+G986)</f>
        <v>0.15874035289558577</v>
      </c>
      <c r="J986" s="3">
        <f>IF(E986&lt;=500,IF(Galva=Oui,0.35,0.7),0.7)</f>
        <v>0.7</v>
      </c>
    </row>
    <row r="987" spans="2:10" x14ac:dyDescent="0.25">
      <c r="B987" s="3">
        <f>B986+DeltaT</f>
        <v>4850</v>
      </c>
      <c r="C987" s="13">
        <f t="shared" si="70"/>
        <v>80.833333333333329</v>
      </c>
      <c r="D987" s="11">
        <f t="shared" si="71"/>
        <v>989.91628332864138</v>
      </c>
      <c r="E987" s="23">
        <f t="shared" si="68"/>
        <v>986.78752580912612</v>
      </c>
      <c r="F987" s="23">
        <f>AlphaC*(D987-E987)</f>
        <v>78.218937987881532</v>
      </c>
      <c r="G987" s="13">
        <f>Phi*EpsilonF*Botzman/10^8*J987*((D987+273)^4-(E987+273)^4)</f>
        <v>996.83313709595689</v>
      </c>
      <c r="H987" s="23">
        <f t="shared" si="69"/>
        <v>650</v>
      </c>
      <c r="I987" s="12">
        <f>ksh*Massivete/(H987*RhoA)*DeltaT*(F987+G987)</f>
        <v>0.15857044490729458</v>
      </c>
      <c r="J987" s="3">
        <f>IF(E987&lt;=500,IF(Galva=Oui,0.35,0.7),0.7)</f>
        <v>0.7</v>
      </c>
    </row>
    <row r="988" spans="2:10" x14ac:dyDescent="0.25">
      <c r="B988" s="3">
        <f>B987+DeltaT</f>
        <v>4855</v>
      </c>
      <c r="C988" s="13">
        <f t="shared" si="70"/>
        <v>80.916666666666671</v>
      </c>
      <c r="D988" s="11">
        <f t="shared" si="71"/>
        <v>990.07043107501204</v>
      </c>
      <c r="E988" s="23">
        <f t="shared" si="68"/>
        <v>986.94609625403336</v>
      </c>
      <c r="F988" s="23">
        <f>AlphaC*(D988-E988)</f>
        <v>78.108370524466864</v>
      </c>
      <c r="G988" s="13">
        <f>Phi*EpsilonF*Botzman/10^8*J988*((D988+273)^4-(E988+273)^4)</f>
        <v>995.79427381561311</v>
      </c>
      <c r="H988" s="23">
        <f t="shared" si="69"/>
        <v>650</v>
      </c>
      <c r="I988" s="12">
        <f>ksh*Massivete/(H988*RhoA)*DeltaT*(F988+G988)</f>
        <v>0.15840090359050424</v>
      </c>
      <c r="J988" s="3">
        <f>IF(E988&lt;=500,IF(Galva=Oui,0.35,0.7),0.7)</f>
        <v>0.7</v>
      </c>
    </row>
    <row r="989" spans="2:10" x14ac:dyDescent="0.25">
      <c r="B989" s="3">
        <f>B988+DeltaT</f>
        <v>4860</v>
      </c>
      <c r="C989" s="13">
        <f t="shared" si="70"/>
        <v>81</v>
      </c>
      <c r="D989" s="11">
        <f t="shared" si="71"/>
        <v>990.22442039612736</v>
      </c>
      <c r="E989" s="23">
        <f t="shared" si="68"/>
        <v>987.10449715762388</v>
      </c>
      <c r="F989" s="23">
        <f>AlphaC*(D989-E989)</f>
        <v>77.998080962586869</v>
      </c>
      <c r="G989" s="13">
        <f>Phi*EpsilonF*Botzman/10^8*J989*((D989+273)^4-(E989+273)^4)</f>
        <v>994.75761043119405</v>
      </c>
      <c r="H989" s="23">
        <f t="shared" si="69"/>
        <v>650</v>
      </c>
      <c r="I989" s="12">
        <f>ksh*Massivete/(H989*RhoA)*DeltaT*(F989+G989)</f>
        <v>0.15823172774944727</v>
      </c>
      <c r="J989" s="3">
        <f>IF(E989&lt;=500,IF(Galva=Oui,0.35,0.7),0.7)</f>
        <v>0.7</v>
      </c>
    </row>
    <row r="990" spans="2:10" x14ac:dyDescent="0.25">
      <c r="B990" s="3">
        <f>B989+DeltaT</f>
        <v>4865</v>
      </c>
      <c r="C990" s="13">
        <f t="shared" si="70"/>
        <v>81.083333333333329</v>
      </c>
      <c r="D990" s="11">
        <f t="shared" si="71"/>
        <v>990.37825161729563</v>
      </c>
      <c r="E990" s="23">
        <f t="shared" si="68"/>
        <v>987.26272888537335</v>
      </c>
      <c r="F990" s="23">
        <f>AlphaC*(D990-E990)</f>
        <v>77.888068298057078</v>
      </c>
      <c r="G990" s="13">
        <f>Phi*EpsilonF*Botzman/10^8*J990*((D990+273)^4-(E990+273)^4)</f>
        <v>993.72313987557322</v>
      </c>
      <c r="H990" s="23">
        <f t="shared" si="69"/>
        <v>650</v>
      </c>
      <c r="I990" s="12">
        <f>ksh*Massivete/(H990*RhoA)*DeltaT*(F990+G990)</f>
        <v>0.15806291619360327</v>
      </c>
      <c r="J990" s="3">
        <f>IF(E990&lt;=500,IF(Galva=Oui,0.35,0.7),0.7)</f>
        <v>0.7</v>
      </c>
    </row>
    <row r="991" spans="2:10" x14ac:dyDescent="0.25">
      <c r="B991" s="3">
        <f>B990+DeltaT</f>
        <v>4870</v>
      </c>
      <c r="C991" s="13">
        <f t="shared" si="70"/>
        <v>81.166666666666671</v>
      </c>
      <c r="D991" s="11">
        <f t="shared" si="71"/>
        <v>990.53192506282517</v>
      </c>
      <c r="E991" s="23">
        <f t="shared" si="68"/>
        <v>987.42079180156691</v>
      </c>
      <c r="F991" s="23">
        <f>AlphaC*(D991-E991)</f>
        <v>77.778331531456502</v>
      </c>
      <c r="G991" s="13">
        <f>Phi*EpsilonF*Botzman/10^8*J991*((D991+273)^4-(E991+273)^4)</f>
        <v>992.69085511247738</v>
      </c>
      <c r="H991" s="23">
        <f t="shared" si="69"/>
        <v>650</v>
      </c>
      <c r="I991" s="12">
        <f>ksh*Massivete/(H991*RhoA)*DeltaT*(F991+G991)</f>
        <v>0.15789446773770538</v>
      </c>
      <c r="J991" s="3">
        <f>IF(E991&lt;=500,IF(Galva=Oui,0.35,0.7),0.7)</f>
        <v>0.7</v>
      </c>
    </row>
    <row r="992" spans="2:10" x14ac:dyDescent="0.25">
      <c r="B992" s="3">
        <f>B991+DeltaT</f>
        <v>4875</v>
      </c>
      <c r="C992" s="13">
        <f t="shared" si="70"/>
        <v>81.25</v>
      </c>
      <c r="D992" s="11">
        <f t="shared" si="71"/>
        <v>990.68544105602609</v>
      </c>
      <c r="E992" s="23">
        <f t="shared" si="68"/>
        <v>987.57868626930463</v>
      </c>
      <c r="F992" s="23">
        <f>AlphaC*(D992-E992)</f>
        <v>77.668869668036677</v>
      </c>
      <c r="G992" s="13">
        <f>Phi*EpsilonF*Botzman/10^8*J992*((D992+273)^4-(E992+273)^4)</f>
        <v>991.66074913536181</v>
      </c>
      <c r="H992" s="23">
        <f t="shared" si="69"/>
        <v>650</v>
      </c>
      <c r="I992" s="12">
        <f>ksh*Massivete/(H992*RhoA)*DeltaT*(F992+G992)</f>
        <v>0.15772638120156093</v>
      </c>
      <c r="J992" s="3">
        <f>IF(E992&lt;=500,IF(Galva=Oui,0.35,0.7),0.7)</f>
        <v>0.7</v>
      </c>
    </row>
    <row r="993" spans="2:10" x14ac:dyDescent="0.25">
      <c r="B993" s="3">
        <f>B992+DeltaT</f>
        <v>4880</v>
      </c>
      <c r="C993" s="13">
        <f t="shared" si="70"/>
        <v>81.333333333333329</v>
      </c>
      <c r="D993" s="11">
        <f t="shared" si="71"/>
        <v>990.83879991921685</v>
      </c>
      <c r="E993" s="23">
        <f t="shared" si="68"/>
        <v>987.73641265050617</v>
      </c>
      <c r="F993" s="23">
        <f>AlphaC*(D993-E993)</f>
        <v>77.559681717767148</v>
      </c>
      <c r="G993" s="13">
        <f>Phi*EpsilonF*Botzman/10^8*J993*((D993+273)^4-(E993+273)^4)</f>
        <v>990.63281496857326</v>
      </c>
      <c r="H993" s="23">
        <f t="shared" si="69"/>
        <v>650</v>
      </c>
      <c r="I993" s="12">
        <f>ksh*Massivete/(H993*RhoA)*DeltaT*(F993+G993)</f>
        <v>0.15755865541022959</v>
      </c>
      <c r="J993" s="3">
        <f>IF(E993&lt;=500,IF(Galva=Oui,0.35,0.7),0.7)</f>
        <v>0.7</v>
      </c>
    </row>
    <row r="994" spans="2:10" x14ac:dyDescent="0.25">
      <c r="B994" s="3">
        <f>B993+DeltaT</f>
        <v>4885</v>
      </c>
      <c r="C994" s="13">
        <f t="shared" si="70"/>
        <v>81.416666666666671</v>
      </c>
      <c r="D994" s="11">
        <f t="shared" si="71"/>
        <v>990.99200197372681</v>
      </c>
      <c r="E994" s="23">
        <f t="shared" si="68"/>
        <v>987.89397130591635</v>
      </c>
      <c r="F994" s="23">
        <f>AlphaC*(D994-E994)</f>
        <v>77.450766695261564</v>
      </c>
      <c r="G994" s="13">
        <f>Phi*EpsilonF*Botzman/10^8*J994*((D994+273)^4-(E994+273)^4)</f>
        <v>989.6070456664587</v>
      </c>
      <c r="H994" s="23">
        <f t="shared" si="69"/>
        <v>650</v>
      </c>
      <c r="I994" s="12">
        <f>ksh*Massivete/(H994*RhoA)*DeltaT*(F994+G994)</f>
        <v>0.15739128919388112</v>
      </c>
      <c r="J994" s="3">
        <f>IF(E994&lt;=500,IF(Galva=Oui,0.35,0.7),0.7)</f>
        <v>0.7</v>
      </c>
    </row>
    <row r="995" spans="2:10" x14ac:dyDescent="0.25">
      <c r="B995" s="3">
        <f>B994+DeltaT</f>
        <v>4890</v>
      </c>
      <c r="C995" s="13">
        <f t="shared" si="70"/>
        <v>81.5</v>
      </c>
      <c r="D995" s="11">
        <f t="shared" si="71"/>
        <v>991.14504753990047</v>
      </c>
      <c r="E995" s="23">
        <f t="shared" si="68"/>
        <v>988.05136259511028</v>
      </c>
      <c r="F995" s="23">
        <f>AlphaC*(D995-E995)</f>
        <v>77.342123619754943</v>
      </c>
      <c r="G995" s="13">
        <f>Phi*EpsilonF*Botzman/10^8*J995*((D995+273)^4-(E995+273)^4)</f>
        <v>988.58343431266746</v>
      </c>
      <c r="H995" s="23">
        <f t="shared" si="69"/>
        <v>650</v>
      </c>
      <c r="I995" s="12">
        <f>ksh*Massivete/(H995*RhoA)*DeltaT*(F995+G995)</f>
        <v>0.15722428138768904</v>
      </c>
      <c r="J995" s="3">
        <f>IF(E995&lt;=500,IF(Galva=Oui,0.35,0.7),0.7)</f>
        <v>0.7</v>
      </c>
    </row>
    <row r="996" spans="2:10" x14ac:dyDescent="0.25">
      <c r="B996" s="3">
        <f>B995+DeltaT</f>
        <v>4895</v>
      </c>
      <c r="C996" s="13">
        <f t="shared" si="70"/>
        <v>81.583333333333329</v>
      </c>
      <c r="D996" s="11">
        <f t="shared" si="71"/>
        <v>991.29793693710178</v>
      </c>
      <c r="E996" s="23">
        <f t="shared" si="68"/>
        <v>988.20858687649798</v>
      </c>
      <c r="F996" s="23">
        <f>AlphaC*(D996-E996)</f>
        <v>77.23375151509515</v>
      </c>
      <c r="G996" s="13">
        <f>Phi*EpsilonF*Botzman/10^8*J996*((D996+273)^4-(E996+273)^4)</f>
        <v>987.56197402129453</v>
      </c>
      <c r="H996" s="23">
        <f t="shared" si="69"/>
        <v>650</v>
      </c>
      <c r="I996" s="12">
        <f>ksh*Massivete/(H996*RhoA)*DeltaT*(F996+G996)</f>
        <v>0.15705763083199795</v>
      </c>
      <c r="J996" s="3">
        <f>IF(E996&lt;=500,IF(Galva=Oui,0.35,0.7),0.7)</f>
        <v>0.7</v>
      </c>
    </row>
    <row r="997" spans="2:10" x14ac:dyDescent="0.25">
      <c r="B997" s="3">
        <f>B996+DeltaT</f>
        <v>4900</v>
      </c>
      <c r="C997" s="13">
        <f t="shared" si="70"/>
        <v>81.666666666666671</v>
      </c>
      <c r="D997" s="11">
        <f t="shared" si="71"/>
        <v>991.45067048371857</v>
      </c>
      <c r="E997" s="23">
        <f t="shared" si="68"/>
        <v>988.36564450732999</v>
      </c>
      <c r="F997" s="23">
        <f>AlphaC*(D997-E997)</f>
        <v>77.12564940971447</v>
      </c>
      <c r="G997" s="13">
        <f>Phi*EpsilonF*Botzman/10^8*J997*((D997+273)^4-(E997+273)^4)</f>
        <v>986.54265793581487</v>
      </c>
      <c r="H997" s="23">
        <f t="shared" si="69"/>
        <v>650</v>
      </c>
      <c r="I997" s="12">
        <f>ksh*Massivete/(H997*RhoA)*DeltaT*(F997+G997)</f>
        <v>0.15689133637216227</v>
      </c>
      <c r="J997" s="3">
        <f>IF(E997&lt;=500,IF(Galva=Oui,0.35,0.7),0.7)</f>
        <v>0.7</v>
      </c>
    </row>
    <row r="998" spans="2:10" x14ac:dyDescent="0.25">
      <c r="B998" s="3">
        <f>B997+DeltaT</f>
        <v>4905</v>
      </c>
      <c r="C998" s="13">
        <f t="shared" si="70"/>
        <v>81.75</v>
      </c>
      <c r="D998" s="11">
        <f t="shared" si="71"/>
        <v>991.60324849716505</v>
      </c>
      <c r="E998" s="23">
        <f t="shared" si="68"/>
        <v>988.52253584370214</v>
      </c>
      <c r="F998" s="23">
        <f>AlphaC*(D998-E998)</f>
        <v>77.017816336572764</v>
      </c>
      <c r="G998" s="13">
        <f>Phi*EpsilonF*Botzman/10^8*J998*((D998+273)^4-(E998+273)^4)</f>
        <v>985.52547922902534</v>
      </c>
      <c r="H998" s="23">
        <f t="shared" si="69"/>
        <v>650</v>
      </c>
      <c r="I998" s="12">
        <f>ksh*Massivete/(H998*RhoA)*DeltaT*(F998+G998)</f>
        <v>0.15672539685852918</v>
      </c>
      <c r="J998" s="3">
        <f>IF(E998&lt;=500,IF(Galva=Oui,0.35,0.7),0.7)</f>
        <v>0.7</v>
      </c>
    </row>
    <row r="999" spans="2:10" x14ac:dyDescent="0.25">
      <c r="B999" s="3">
        <f>B998+DeltaT</f>
        <v>4910</v>
      </c>
      <c r="C999" s="13">
        <f t="shared" si="70"/>
        <v>81.833333333333329</v>
      </c>
      <c r="D999" s="11">
        <f t="shared" si="71"/>
        <v>991.75567129388753</v>
      </c>
      <c r="E999" s="23">
        <f t="shared" si="68"/>
        <v>988.67926124056066</v>
      </c>
      <c r="F999" s="23">
        <f>AlphaC*(D999-E999)</f>
        <v>76.910251333171686</v>
      </c>
      <c r="G999" s="13">
        <f>Phi*EpsilonF*Botzman/10^8*J999*((D999+273)^4-(E999+273)^4)</f>
        <v>984.51043110298622</v>
      </c>
      <c r="H999" s="23">
        <f t="shared" si="69"/>
        <v>650</v>
      </c>
      <c r="I999" s="12">
        <f>ksh*Massivete/(H999*RhoA)*DeltaT*(F999+G999)</f>
        <v>0.15655981114643219</v>
      </c>
      <c r="J999" s="3">
        <f>IF(E999&lt;=500,IF(Galva=Oui,0.35,0.7),0.7)</f>
        <v>0.7</v>
      </c>
    </row>
    <row r="1000" spans="2:10" x14ac:dyDescent="0.25">
      <c r="B1000" s="3">
        <f>B999+DeltaT</f>
        <v>4915</v>
      </c>
      <c r="C1000" s="13">
        <f t="shared" si="70"/>
        <v>81.916666666666671</v>
      </c>
      <c r="D1000" s="11">
        <f t="shared" si="71"/>
        <v>991.90793918936708</v>
      </c>
      <c r="E1000" s="23">
        <f t="shared" si="68"/>
        <v>988.83582105170706</v>
      </c>
      <c r="F1000" s="23">
        <f>AlphaC*(D1000-E1000)</f>
        <v>76.802953441500676</v>
      </c>
      <c r="G1000" s="13">
        <f>Phi*EpsilonF*Botzman/10^8*J1000*((D1000+273)^4-(E1000+273)^4)</f>
        <v>983.49750678886642</v>
      </c>
      <c r="H1000" s="23">
        <f t="shared" si="69"/>
        <v>650</v>
      </c>
      <c r="I1000" s="12">
        <f>ksh*Massivete/(H1000*RhoA)*DeltaT*(F1000+G1000)</f>
        <v>0.15639457809616028</v>
      </c>
      <c r="J1000" s="3">
        <f>IF(E1000&lt;=500,IF(Galva=Oui,0.35,0.7),0.7)</f>
        <v>0.7</v>
      </c>
    </row>
    <row r="1001" spans="2:10" x14ac:dyDescent="0.25">
      <c r="B1001" s="3">
        <f>B1000+DeltaT</f>
        <v>4920</v>
      </c>
      <c r="C1001" s="13">
        <f t="shared" si="70"/>
        <v>82</v>
      </c>
      <c r="D1001" s="11">
        <f t="shared" si="71"/>
        <v>992.06005249812415</v>
      </c>
      <c r="E1001" s="23">
        <f t="shared" si="68"/>
        <v>988.99221562980324</v>
      </c>
      <c r="F1001" s="23">
        <f>AlphaC*(D1001-E1001)</f>
        <v>76.695921708022752</v>
      </c>
      <c r="G1001" s="13">
        <f>Phi*EpsilonF*Botzman/10^8*J1001*((D1001+273)^4-(E1001+273)^4)</f>
        <v>982.48669954705986</v>
      </c>
      <c r="H1001" s="23">
        <f t="shared" si="69"/>
        <v>650</v>
      </c>
      <c r="I1001" s="12">
        <f>ksh*Massivete/(H1001*RhoA)*DeltaT*(F1001+G1001)</f>
        <v>0.15622969657297289</v>
      </c>
      <c r="J1001" s="3">
        <f>IF(E1001&lt;=500,IF(Galva=Oui,0.35,0.7),0.7)</f>
        <v>0.7</v>
      </c>
    </row>
    <row r="1002" spans="2:10" x14ac:dyDescent="0.25">
      <c r="B1002" s="3">
        <f>B1001+DeltaT</f>
        <v>4925</v>
      </c>
      <c r="C1002" s="13">
        <f t="shared" si="70"/>
        <v>82.083333333333329</v>
      </c>
      <c r="D1002" s="11">
        <f t="shared" si="71"/>
        <v>992.21201153372226</v>
      </c>
      <c r="E1002" s="23">
        <f t="shared" si="68"/>
        <v>989.14844532637619</v>
      </c>
      <c r="F1002" s="23">
        <f>AlphaC*(D1002-E1002)</f>
        <v>76.589155183651769</v>
      </c>
      <c r="G1002" s="13">
        <f>Phi*EpsilonF*Botzman/10^8*J1002*((D1002+273)^4-(E1002+273)^4)</f>
        <v>981.47800266646811</v>
      </c>
      <c r="H1002" s="23">
        <f t="shared" si="69"/>
        <v>650</v>
      </c>
      <c r="I1002" s="12">
        <f>ksh*Massivete/(H1002*RhoA)*DeltaT*(F1002+G1002)</f>
        <v>0.15606516544699098</v>
      </c>
      <c r="J1002" s="3">
        <f>IF(E1002&lt;=500,IF(Galva=Oui,0.35,0.7),0.7)</f>
        <v>0.7</v>
      </c>
    </row>
    <row r="1003" spans="2:10" x14ac:dyDescent="0.25">
      <c r="B1003" s="3">
        <f>B1002+DeltaT</f>
        <v>4930</v>
      </c>
      <c r="C1003" s="13">
        <f t="shared" si="70"/>
        <v>82.166666666666671</v>
      </c>
      <c r="D1003" s="11">
        <f t="shared" si="71"/>
        <v>992.36381660877157</v>
      </c>
      <c r="E1003" s="23">
        <f t="shared" si="68"/>
        <v>989.30451049182318</v>
      </c>
      <c r="F1003" s="23">
        <f>AlphaC*(D1003-E1003)</f>
        <v>76.482652923709793</v>
      </c>
      <c r="G1003" s="13">
        <f>Phi*EpsilonF*Botzman/10^8*J1003*((D1003+273)^4-(E1003+273)^4)</f>
        <v>980.47140946446189</v>
      </c>
      <c r="H1003" s="23">
        <f t="shared" si="69"/>
        <v>650</v>
      </c>
      <c r="I1003" s="12">
        <f>ksh*Massivete/(H1003*RhoA)*DeltaT*(F1003+G1003)</f>
        <v>0.1559009835931848</v>
      </c>
      <c r="J1003" s="3">
        <f>IF(E1003&lt;=500,IF(Galva=Oui,0.35,0.7),0.7)</f>
        <v>0.7</v>
      </c>
    </row>
    <row r="1004" spans="2:10" x14ac:dyDescent="0.25">
      <c r="B1004" s="3">
        <f>B1003+DeltaT</f>
        <v>4935</v>
      </c>
      <c r="C1004" s="13">
        <f t="shared" si="70"/>
        <v>82.25</v>
      </c>
      <c r="D1004" s="11">
        <f t="shared" si="71"/>
        <v>992.51546803493329</v>
      </c>
      <c r="E1004" s="23">
        <f t="shared" si="68"/>
        <v>989.46041147541632</v>
      </c>
      <c r="F1004" s="23">
        <f>AlphaC*(D1004-E1004)</f>
        <v>76.376413987924252</v>
      </c>
      <c r="G1004" s="13">
        <f>Phi*EpsilonF*Botzman/10^8*J1004*((D1004+273)^4-(E1004+273)^4)</f>
        <v>979.46691328742349</v>
      </c>
      <c r="H1004" s="23">
        <f t="shared" si="69"/>
        <v>650</v>
      </c>
      <c r="I1004" s="12">
        <f>ksh*Massivete/(H1004*RhoA)*DeltaT*(F1004+G1004)</f>
        <v>0.15573714989145374</v>
      </c>
      <c r="J1004" s="3">
        <f>IF(E1004&lt;=500,IF(Galva=Oui,0.35,0.7),0.7)</f>
        <v>0.7</v>
      </c>
    </row>
    <row r="1005" spans="2:10" x14ac:dyDescent="0.25">
      <c r="B1005" s="3">
        <f>B1004+DeltaT</f>
        <v>4940</v>
      </c>
      <c r="C1005" s="13">
        <f t="shared" si="70"/>
        <v>82.333333333333329</v>
      </c>
      <c r="D1005" s="11">
        <f t="shared" si="71"/>
        <v>992.66696612292299</v>
      </c>
      <c r="E1005" s="23">
        <f t="shared" si="68"/>
        <v>989.6161486253078</v>
      </c>
      <c r="F1005" s="23">
        <f>AlphaC*(D1005-E1005)</f>
        <v>76.270437440379624</v>
      </c>
      <c r="G1005" s="13">
        <f>Phi*EpsilonF*Botzman/10^8*J1005*((D1005+273)^4-(E1005+273)^4)</f>
        <v>978.4645075096422</v>
      </c>
      <c r="H1005" s="23">
        <f t="shared" si="69"/>
        <v>650</v>
      </c>
      <c r="I1005" s="12">
        <f>ksh*Massivete/(H1005*RhoA)*DeltaT*(F1005+G1005)</f>
        <v>0.15557366322645605</v>
      </c>
      <c r="J1005" s="3">
        <f>IF(E1005&lt;=500,IF(Galva=Oui,0.35,0.7),0.7)</f>
        <v>0.7</v>
      </c>
    </row>
    <row r="1006" spans="2:10" x14ac:dyDescent="0.25">
      <c r="B1006" s="3">
        <f>B1005+DeltaT</f>
        <v>4945</v>
      </c>
      <c r="C1006" s="13">
        <f t="shared" si="70"/>
        <v>82.416666666666671</v>
      </c>
      <c r="D1006" s="11">
        <f t="shared" si="71"/>
        <v>992.81831118251512</v>
      </c>
      <c r="E1006" s="23">
        <f t="shared" si="68"/>
        <v>989.77172228853431</v>
      </c>
      <c r="F1006" s="23">
        <f>AlphaC*(D1006-E1006)</f>
        <v>76.164722349520275</v>
      </c>
      <c r="G1006" s="13">
        <f>Phi*EpsilonF*Botzman/10^8*J1006*((D1006+273)^4-(E1006+273)^4)</f>
        <v>977.46418553370233</v>
      </c>
      <c r="H1006" s="23">
        <f t="shared" si="69"/>
        <v>650</v>
      </c>
      <c r="I1006" s="12">
        <f>ksh*Massivete/(H1006*RhoA)*DeltaT*(F1006+G1006)</f>
        <v>0.1554105224876666</v>
      </c>
      <c r="J1006" s="3">
        <f>IF(E1006&lt;=500,IF(Galva=Oui,0.35,0.7),0.7)</f>
        <v>0.7</v>
      </c>
    </row>
    <row r="1007" spans="2:10" x14ac:dyDescent="0.25">
      <c r="B1007" s="3">
        <f>B1006+DeltaT</f>
        <v>4950</v>
      </c>
      <c r="C1007" s="13">
        <f t="shared" si="70"/>
        <v>82.5</v>
      </c>
      <c r="D1007" s="11">
        <f t="shared" si="71"/>
        <v>992.96950352254566</v>
      </c>
      <c r="E1007" s="23">
        <f t="shared" si="68"/>
        <v>989.92713281102192</v>
      </c>
      <c r="F1007" s="23">
        <f>AlphaC*(D1007-E1007)</f>
        <v>76.059267788093621</v>
      </c>
      <c r="G1007" s="13">
        <f>Phi*EpsilonF*Botzman/10^8*J1007*((D1007+273)^4-(E1007+273)^4)</f>
        <v>976.46594079036595</v>
      </c>
      <c r="H1007" s="23">
        <f t="shared" si="69"/>
        <v>650</v>
      </c>
      <c r="I1007" s="12">
        <f>ksh*Massivete/(H1007*RhoA)*DeltaT*(F1007+G1007)</f>
        <v>0.15524772656935121</v>
      </c>
      <c r="J1007" s="3">
        <f>IF(E1007&lt;=500,IF(Galva=Oui,0.35,0.7),0.7)</f>
        <v>0.7</v>
      </c>
    </row>
    <row r="1008" spans="2:10" x14ac:dyDescent="0.25">
      <c r="B1008" s="3">
        <f>B1007+DeltaT</f>
        <v>4955</v>
      </c>
      <c r="C1008" s="13">
        <f t="shared" si="70"/>
        <v>82.583333333333329</v>
      </c>
      <c r="D1008" s="11">
        <f t="shared" si="71"/>
        <v>993.12054345091758</v>
      </c>
      <c r="E1008" s="23">
        <f t="shared" si="68"/>
        <v>990.08238053759123</v>
      </c>
      <c r="F1008" s="23">
        <f>AlphaC*(D1008-E1008)</f>
        <v>75.954072833158648</v>
      </c>
      <c r="G1008" s="13">
        <f>Phi*EpsilonF*Botzman/10^8*J1008*((D1008+273)^4-(E1008+273)^4)</f>
        <v>975.46976673803124</v>
      </c>
      <c r="H1008" s="23">
        <f t="shared" si="69"/>
        <v>650</v>
      </c>
      <c r="I1008" s="12">
        <f>ksh*Massivete/(H1008*RhoA)*DeltaT*(F1008+G1008)</f>
        <v>0.15508527437048797</v>
      </c>
      <c r="J1008" s="3">
        <f>IF(E1008&lt;=500,IF(Galva=Oui,0.35,0.7),0.7)</f>
        <v>0.7</v>
      </c>
    </row>
    <row r="1009" spans="2:10" x14ac:dyDescent="0.25">
      <c r="B1009" s="3">
        <f>B1008+DeltaT</f>
        <v>4960</v>
      </c>
      <c r="C1009" s="13">
        <f t="shared" si="70"/>
        <v>82.666666666666671</v>
      </c>
      <c r="D1009" s="11">
        <f t="shared" si="71"/>
        <v>993.27143127460261</v>
      </c>
      <c r="E1009" s="23">
        <f t="shared" si="68"/>
        <v>990.23746581196167</v>
      </c>
      <c r="F1009" s="23">
        <f>AlphaC*(D1009-E1009)</f>
        <v>75.84913656602339</v>
      </c>
      <c r="G1009" s="13">
        <f>Phi*EpsilonF*Botzman/10^8*J1009*((D1009+273)^4-(E1009+273)^4)</f>
        <v>974.4756568630421</v>
      </c>
      <c r="H1009" s="23">
        <f t="shared" si="69"/>
        <v>650</v>
      </c>
      <c r="I1009" s="12">
        <f>ksh*Massivete/(H1009*RhoA)*DeltaT*(F1009+G1009)</f>
        <v>0.15492316479480372</v>
      </c>
      <c r="J1009" s="3">
        <f>IF(E1009&lt;=500,IF(Galva=Oui,0.35,0.7),0.7)</f>
        <v>0.7</v>
      </c>
    </row>
    <row r="1010" spans="2:10" x14ac:dyDescent="0.25">
      <c r="B1010" s="3">
        <f>B1009+DeltaT</f>
        <v>4965</v>
      </c>
      <c r="C1010" s="13">
        <f t="shared" si="70"/>
        <v>82.75</v>
      </c>
      <c r="D1010" s="11">
        <f t="shared" si="71"/>
        <v>993.42216729964662</v>
      </c>
      <c r="E1010" s="23">
        <f t="shared" si="68"/>
        <v>990.39238897675648</v>
      </c>
      <c r="F1010" s="23">
        <f>AlphaC*(D1010-E1010)</f>
        <v>75.744458072253451</v>
      </c>
      <c r="G1010" s="13">
        <f>Phi*EpsilonF*Botzman/10^8*J1010*((D1010+273)^4-(E1010+273)^4)</f>
        <v>973.48360467904854</v>
      </c>
      <c r="H1010" s="23">
        <f t="shared" si="69"/>
        <v>650</v>
      </c>
      <c r="I1010" s="12">
        <f>ksh*Massivete/(H1010*RhoA)*DeltaT*(F1010+G1010)</f>
        <v>0.15476139675068093</v>
      </c>
      <c r="J1010" s="3">
        <f>IF(E1010&lt;=500,IF(Galva=Oui,0.35,0.7),0.7)</f>
        <v>0.7</v>
      </c>
    </row>
    <row r="1011" spans="2:10" x14ac:dyDescent="0.25">
      <c r="B1011" s="3">
        <f>B1010+DeltaT</f>
        <v>4970</v>
      </c>
      <c r="C1011" s="13">
        <f t="shared" si="70"/>
        <v>82.833333333333329</v>
      </c>
      <c r="D1011" s="11">
        <f t="shared" si="71"/>
        <v>993.5727518311727</v>
      </c>
      <c r="E1011" s="23">
        <f t="shared" si="68"/>
        <v>990.54715037350718</v>
      </c>
      <c r="F1011" s="23">
        <f>AlphaC*(D1011-E1011)</f>
        <v>75.640036441637903</v>
      </c>
      <c r="G1011" s="13">
        <f>Phi*EpsilonF*Botzman/10^8*J1011*((D1011+273)^4-(E1011+273)^4)</f>
        <v>972.49360372760793</v>
      </c>
      <c r="H1011" s="23">
        <f t="shared" si="69"/>
        <v>650</v>
      </c>
      <c r="I1011" s="12">
        <f>ksh*Massivete/(H1011*RhoA)*DeltaT*(F1011+G1011)</f>
        <v>0.15459996915124144</v>
      </c>
      <c r="J1011" s="3">
        <f>IF(E1011&lt;=500,IF(Galva=Oui,0.35,0.7),0.7)</f>
        <v>0.7</v>
      </c>
    </row>
    <row r="1012" spans="2:10" x14ac:dyDescent="0.25">
      <c r="B1012" s="3">
        <f>B1011+DeltaT</f>
        <v>4975</v>
      </c>
      <c r="C1012" s="13">
        <f t="shared" si="70"/>
        <v>82.916666666666671</v>
      </c>
      <c r="D1012" s="11">
        <f t="shared" si="71"/>
        <v>993.72318517338454</v>
      </c>
      <c r="E1012" s="23">
        <f t="shared" ref="E1012:E1075" si="72">E1011+I1011</f>
        <v>990.70175034265844</v>
      </c>
      <c r="F1012" s="23">
        <f>AlphaC*(D1012-E1012)</f>
        <v>75.535870768152336</v>
      </c>
      <c r="G1012" s="13">
        <f>Phi*EpsilonF*Botzman/10^8*J1012*((D1012+273)^4-(E1012+273)^4)</f>
        <v>971.50564757684708</v>
      </c>
      <c r="H1012" s="23">
        <f t="shared" ref="H1012:H1075" si="73">IF(E1012&lt;600,425+0.773*E1012-1.69/1000*E1012^2+2.22/1000^2*E1012^3,IF(E1012&lt;735,666+13002/(738-E1012),IF(E1012&lt;900,545+17820/(E1012-731),650)))</f>
        <v>650</v>
      </c>
      <c r="I1012" s="12">
        <f>ksh*Massivete/(H1012*RhoA)*DeltaT*(F1012+G1012)</f>
        <v>0.15443888091414354</v>
      </c>
      <c r="J1012" s="3">
        <f>IF(E1012&lt;=500,IF(Galva=Oui,0.35,0.7),0.7)</f>
        <v>0.7</v>
      </c>
    </row>
    <row r="1013" spans="2:10" x14ac:dyDescent="0.25">
      <c r="B1013" s="3">
        <f>B1012+DeltaT</f>
        <v>4980</v>
      </c>
      <c r="C1013" s="13">
        <f t="shared" si="70"/>
        <v>83</v>
      </c>
      <c r="D1013" s="11">
        <f t="shared" si="71"/>
        <v>993.87346762957111</v>
      </c>
      <c r="E1013" s="23">
        <f t="shared" si="72"/>
        <v>990.85618922357264</v>
      </c>
      <c r="F1013" s="23">
        <f>AlphaC*(D1013-E1013)</f>
        <v>75.431960149961697</v>
      </c>
      <c r="G1013" s="13">
        <f>Phi*EpsilonF*Botzman/10^8*J1013*((D1013+273)^4-(E1013+273)^4)</f>
        <v>970.51972982283871</v>
      </c>
      <c r="H1013" s="23">
        <f t="shared" si="73"/>
        <v>650</v>
      </c>
      <c r="I1013" s="12">
        <f>ksh*Massivete/(H1013*RhoA)*DeltaT*(F1013+G1013)</f>
        <v>0.15427813096178544</v>
      </c>
      <c r="J1013" s="3">
        <f>IF(E1013&lt;=500,IF(Galva=Oui,0.35,0.7),0.7)</f>
        <v>0.7</v>
      </c>
    </row>
    <row r="1014" spans="2:10" x14ac:dyDescent="0.25">
      <c r="B1014" s="3">
        <f>B1013+DeltaT</f>
        <v>4985</v>
      </c>
      <c r="C1014" s="13">
        <f t="shared" si="70"/>
        <v>83.083333333333329</v>
      </c>
      <c r="D1014" s="11">
        <f t="shared" si="71"/>
        <v>994.02359950210871</v>
      </c>
      <c r="E1014" s="23">
        <f t="shared" si="72"/>
        <v>991.0104673545344</v>
      </c>
      <c r="F1014" s="23">
        <f>AlphaC*(D1014-E1014)</f>
        <v>75.328303689357767</v>
      </c>
      <c r="G1014" s="13">
        <f>Phi*EpsilonF*Botzman/10^8*J1014*((D1014+273)^4-(E1014+273)^4)</f>
        <v>969.53584408799293</v>
      </c>
      <c r="H1014" s="23">
        <f t="shared" si="73"/>
        <v>650</v>
      </c>
      <c r="I1014" s="12">
        <f>ksh*Massivete/(H1014*RhoA)*DeltaT*(F1014+G1014)</f>
        <v>0.15411771822105894</v>
      </c>
      <c r="J1014" s="3">
        <f>IF(E1014&lt;=500,IF(Galva=Oui,0.35,0.7),0.7)</f>
        <v>0.7</v>
      </c>
    </row>
    <row r="1015" spans="2:10" x14ac:dyDescent="0.25">
      <c r="B1015" s="3">
        <f>B1014+DeltaT</f>
        <v>4990</v>
      </c>
      <c r="C1015" s="13">
        <f t="shared" si="70"/>
        <v>83.166666666666671</v>
      </c>
      <c r="D1015" s="11">
        <f t="shared" si="71"/>
        <v>994.17358109246686</v>
      </c>
      <c r="E1015" s="23">
        <f t="shared" si="72"/>
        <v>991.16458507275547</v>
      </c>
      <c r="F1015" s="23">
        <f>AlphaC*(D1015-E1015)</f>
        <v>75.224900492784741</v>
      </c>
      <c r="G1015" s="13">
        <f>Phi*EpsilonF*Botzman/10^8*J1015*((D1015+273)^4-(E1015+273)^4)</f>
        <v>968.55398402204548</v>
      </c>
      <c r="H1015" s="23">
        <f t="shared" si="73"/>
        <v>650</v>
      </c>
      <c r="I1015" s="12">
        <f>ksh*Massivete/(H1015*RhoA)*DeltaT*(F1015+G1015)</f>
        <v>0.15395764162349876</v>
      </c>
      <c r="J1015" s="3">
        <f>IF(E1015&lt;=500,IF(Galva=Oui,0.35,0.7),0.7)</f>
        <v>0.7</v>
      </c>
    </row>
    <row r="1016" spans="2:10" x14ac:dyDescent="0.25">
      <c r="B1016" s="3">
        <f>B1015+DeltaT</f>
        <v>4995</v>
      </c>
      <c r="C1016" s="13">
        <f t="shared" si="70"/>
        <v>83.25</v>
      </c>
      <c r="D1016" s="11">
        <f t="shared" si="71"/>
        <v>994.32341270120935</v>
      </c>
      <c r="E1016" s="23">
        <f t="shared" si="72"/>
        <v>991.31854271437896</v>
      </c>
      <c r="F1016" s="23">
        <f>AlphaC*(D1016-E1016)</f>
        <v>75.121749670759641</v>
      </c>
      <c r="G1016" s="13">
        <f>Phi*EpsilonF*Botzman/10^8*J1016*((D1016+273)^4-(E1016+273)^4)</f>
        <v>967.57414330099164</v>
      </c>
      <c r="H1016" s="23">
        <f t="shared" si="73"/>
        <v>650</v>
      </c>
      <c r="I1016" s="12">
        <f>ksh*Massivete/(H1016*RhoA)*DeltaT*(F1016+G1016)</f>
        <v>0.15379790010511371</v>
      </c>
      <c r="J1016" s="3">
        <f>IF(E1016&lt;=500,IF(Galva=Oui,0.35,0.7),0.7)</f>
        <v>0.7</v>
      </c>
    </row>
    <row r="1017" spans="2:10" x14ac:dyDescent="0.25">
      <c r="B1017" s="3">
        <f>B1016+DeltaT</f>
        <v>5000</v>
      </c>
      <c r="C1017" s="13">
        <f t="shared" si="70"/>
        <v>83.333333333333329</v>
      </c>
      <c r="D1017" s="11">
        <f t="shared" si="71"/>
        <v>994.47309462800013</v>
      </c>
      <c r="E1017" s="23">
        <f t="shared" si="72"/>
        <v>991.4723406144841</v>
      </c>
      <c r="F1017" s="23">
        <f>AlphaC*(D1017-E1017)</f>
        <v>75.018850337900744</v>
      </c>
      <c r="G1017" s="13">
        <f>Phi*EpsilonF*Botzman/10^8*J1017*((D1017+273)^4-(E1017+273)^4)</f>
        <v>966.59631562801678</v>
      </c>
      <c r="H1017" s="23">
        <f t="shared" si="73"/>
        <v>650</v>
      </c>
      <c r="I1017" s="12">
        <f>ksh*Massivete/(H1017*RhoA)*DeltaT*(F1017+G1017)</f>
        <v>0.15363849260652815</v>
      </c>
      <c r="J1017" s="3">
        <f>IF(E1017&lt;=500,IF(Galva=Oui,0.35,0.7),0.7)</f>
        <v>0.7</v>
      </c>
    </row>
    <row r="1018" spans="2:10" x14ac:dyDescent="0.25">
      <c r="B1018" s="3">
        <f>B1017+DeltaT</f>
        <v>5005</v>
      </c>
      <c r="C1018" s="13">
        <f t="shared" si="70"/>
        <v>83.416666666666671</v>
      </c>
      <c r="D1018" s="11">
        <f t="shared" si="71"/>
        <v>994.6226271716057</v>
      </c>
      <c r="E1018" s="23">
        <f t="shared" si="72"/>
        <v>991.62597910709064</v>
      </c>
      <c r="F1018" s="23">
        <f>AlphaC*(D1018-E1018)</f>
        <v>74.916201612876421</v>
      </c>
      <c r="G1018" s="13">
        <f>Phi*EpsilonF*Botzman/10^8*J1018*((D1018+273)^4-(E1018+273)^4)</f>
        <v>965.62049473202342</v>
      </c>
      <c r="H1018" s="23">
        <f t="shared" si="73"/>
        <v>650</v>
      </c>
      <c r="I1018" s="12">
        <f>ksh*Massivete/(H1018*RhoA)*DeltaT*(F1018+G1018)</f>
        <v>0.15347941807275686</v>
      </c>
      <c r="J1018" s="3">
        <f>IF(E1018&lt;=500,IF(Galva=Oui,0.35,0.7),0.7)</f>
        <v>0.7</v>
      </c>
    </row>
    <row r="1019" spans="2:10" x14ac:dyDescent="0.25">
      <c r="B1019" s="3">
        <f>B1018+DeltaT</f>
        <v>5010</v>
      </c>
      <c r="C1019" s="13">
        <f t="shared" si="70"/>
        <v>83.5</v>
      </c>
      <c r="D1019" s="11">
        <f t="shared" si="71"/>
        <v>994.77201062989889</v>
      </c>
      <c r="E1019" s="23">
        <f t="shared" si="72"/>
        <v>991.77945852516336</v>
      </c>
      <c r="F1019" s="23">
        <f>AlphaC*(D1019-E1019)</f>
        <v>74.813802618388081</v>
      </c>
      <c r="G1019" s="13">
        <f>Phi*EpsilonF*Botzman/10^8*J1019*((D1019+273)^4-(E1019+273)^4)</f>
        <v>964.64667436885202</v>
      </c>
      <c r="H1019" s="23">
        <f t="shared" si="73"/>
        <v>650</v>
      </c>
      <c r="I1019" s="12">
        <f>ksh*Massivete/(H1019*RhoA)*DeltaT*(F1019+G1019)</f>
        <v>0.15332067545338318</v>
      </c>
      <c r="J1019" s="3">
        <f>IF(E1019&lt;=500,IF(Galva=Oui,0.35,0.7),0.7)</f>
        <v>0.7</v>
      </c>
    </row>
    <row r="1020" spans="2:10" x14ac:dyDescent="0.25">
      <c r="B1020" s="3">
        <f>B1019+DeltaT</f>
        <v>5015</v>
      </c>
      <c r="C1020" s="13">
        <f t="shared" si="70"/>
        <v>83.583333333333329</v>
      </c>
      <c r="D1020" s="11">
        <f t="shared" si="71"/>
        <v>994.92124529986245</v>
      </c>
      <c r="E1020" s="23">
        <f t="shared" si="72"/>
        <v>991.93277920061678</v>
      </c>
      <c r="F1020" s="23">
        <f>AlphaC*(D1020-E1020)</f>
        <v>74.711652481141755</v>
      </c>
      <c r="G1020" s="13">
        <f>Phi*EpsilonF*Botzman/10^8*J1020*((D1020+273)^4-(E1020+273)^4)</f>
        <v>963.67484831996342</v>
      </c>
      <c r="H1020" s="23">
        <f t="shared" si="73"/>
        <v>650</v>
      </c>
      <c r="I1020" s="12">
        <f>ksh*Massivete/(H1020*RhoA)*DeltaT*(F1020+G1020)</f>
        <v>0.15316226370235989</v>
      </c>
      <c r="J1020" s="3">
        <f>IF(E1020&lt;=500,IF(Galva=Oui,0.35,0.7),0.7)</f>
        <v>0.7</v>
      </c>
    </row>
    <row r="1021" spans="2:10" x14ac:dyDescent="0.25">
      <c r="B1021" s="3">
        <f>B1020+DeltaT</f>
        <v>5020</v>
      </c>
      <c r="C1021" s="13">
        <f t="shared" si="70"/>
        <v>83.666666666666671</v>
      </c>
      <c r="D1021" s="11">
        <f t="shared" si="71"/>
        <v>995.07033147759228</v>
      </c>
      <c r="E1021" s="23">
        <f t="shared" si="72"/>
        <v>992.08594146431915</v>
      </c>
      <c r="F1021" s="23">
        <f>AlphaC*(D1021-E1021)</f>
        <v>74.609750331828195</v>
      </c>
      <c r="G1021" s="13">
        <f>Phi*EpsilonF*Botzman/10^8*J1021*((D1021+273)^4-(E1021+273)^4)</f>
        <v>962.70501039309738</v>
      </c>
      <c r="H1021" s="23">
        <f t="shared" si="73"/>
        <v>650</v>
      </c>
      <c r="I1021" s="12">
        <f>ksh*Massivete/(H1021*RhoA)*DeltaT*(F1021+G1021)</f>
        <v>0.15300418177810379</v>
      </c>
      <c r="J1021" s="3">
        <f>IF(E1021&lt;=500,IF(Galva=Oui,0.35,0.7),0.7)</f>
        <v>0.7</v>
      </c>
    </row>
    <row r="1022" spans="2:10" x14ac:dyDescent="0.25">
      <c r="B1022" s="3">
        <f>B1021+DeltaT</f>
        <v>5025</v>
      </c>
      <c r="C1022" s="13">
        <f t="shared" si="70"/>
        <v>83.75</v>
      </c>
      <c r="D1022" s="11">
        <f t="shared" si="71"/>
        <v>995.21926945830228</v>
      </c>
      <c r="E1022" s="23">
        <f t="shared" si="72"/>
        <v>992.23894564609725</v>
      </c>
      <c r="F1022" s="23">
        <f>AlphaC*(D1022-E1022)</f>
        <v>74.508095305125721</v>
      </c>
      <c r="G1022" s="13">
        <f>Phi*EpsilonF*Botzman/10^8*J1022*((D1022+273)^4-(E1022+273)^4)</f>
        <v>961.73715442190462</v>
      </c>
      <c r="H1022" s="23">
        <f t="shared" si="73"/>
        <v>650</v>
      </c>
      <c r="I1022" s="12">
        <f>ksh*Massivete/(H1022*RhoA)*DeltaT*(F1022+G1022)</f>
        <v>0.15284642864344164</v>
      </c>
      <c r="J1022" s="3">
        <f>IF(E1022&lt;=500,IF(Galva=Oui,0.35,0.7),0.7)</f>
        <v>0.7</v>
      </c>
    </row>
    <row r="1023" spans="2:10" x14ac:dyDescent="0.25">
      <c r="B1023" s="3">
        <f>B1022+DeltaT</f>
        <v>5030</v>
      </c>
      <c r="C1023" s="13">
        <f t="shared" si="70"/>
        <v>83.833333333333329</v>
      </c>
      <c r="D1023" s="11">
        <f t="shared" si="71"/>
        <v>995.36805953632563</v>
      </c>
      <c r="E1023" s="23">
        <f t="shared" si="72"/>
        <v>992.39179207474069</v>
      </c>
      <c r="F1023" s="23">
        <f>AlphaC*(D1023-E1023)</f>
        <v>74.406686539623479</v>
      </c>
      <c r="G1023" s="13">
        <f>Phi*EpsilonF*Botzman/10^8*J1023*((D1023+273)^4-(E1023+273)^4)</f>
        <v>960.77127426561742</v>
      </c>
      <c r="H1023" s="23">
        <f t="shared" si="73"/>
        <v>650</v>
      </c>
      <c r="I1023" s="12">
        <f>ksh*Massivete/(H1023*RhoA)*DeltaT*(F1023+G1023)</f>
        <v>0.15268900326555046</v>
      </c>
      <c r="J1023" s="3">
        <f>IF(E1023&lt;=500,IF(Galva=Oui,0.35,0.7),0.7)</f>
        <v>0.7</v>
      </c>
    </row>
    <row r="1024" spans="2:10" x14ac:dyDescent="0.25">
      <c r="B1024" s="3">
        <f>B1023+DeltaT</f>
        <v>5035</v>
      </c>
      <c r="C1024" s="13">
        <f t="shared" si="70"/>
        <v>83.916666666666671</v>
      </c>
      <c r="D1024" s="11">
        <f t="shared" si="71"/>
        <v>995.51670200512046</v>
      </c>
      <c r="E1024" s="23">
        <f t="shared" si="72"/>
        <v>992.54448107800624</v>
      </c>
      <c r="F1024" s="23">
        <f>AlphaC*(D1024-E1024)</f>
        <v>74.305523177855548</v>
      </c>
      <c r="G1024" s="13">
        <f>Phi*EpsilonF*Botzman/10^8*J1024*((D1024+273)^4-(E1024+273)^4)</f>
        <v>959.80736380912697</v>
      </c>
      <c r="H1024" s="23">
        <f t="shared" si="73"/>
        <v>650</v>
      </c>
      <c r="I1024" s="12">
        <f>ksh*Massivete/(H1024*RhoA)*DeltaT*(F1024+G1024)</f>
        <v>0.15253190461597374</v>
      </c>
      <c r="J1024" s="3">
        <f>IF(E1024&lt;=500,IF(Galva=Oui,0.35,0.7),0.7)</f>
        <v>0.7</v>
      </c>
    </row>
    <row r="1025" spans="2:10" x14ac:dyDescent="0.25">
      <c r="B1025" s="3">
        <f>B1024+DeltaT</f>
        <v>5040</v>
      </c>
      <c r="C1025" s="13">
        <f t="shared" si="70"/>
        <v>84</v>
      </c>
      <c r="D1025" s="11">
        <f t="shared" si="71"/>
        <v>995.6651971572719</v>
      </c>
      <c r="E1025" s="23">
        <f t="shared" si="72"/>
        <v>992.69701298262225</v>
      </c>
      <c r="F1025" s="23">
        <f>AlphaC*(D1025-E1025)</f>
        <v>74.204604366241256</v>
      </c>
      <c r="G1025" s="13">
        <f>Phi*EpsilonF*Botzman/10^8*J1025*((D1025+273)^4-(E1025+273)^4)</f>
        <v>958.84541696300255</v>
      </c>
      <c r="H1025" s="23">
        <f t="shared" si="73"/>
        <v>650</v>
      </c>
      <c r="I1025" s="12">
        <f>ksh*Massivete/(H1025*RhoA)*DeltaT*(F1025+G1025)</f>
        <v>0.15237513167061556</v>
      </c>
      <c r="J1025" s="3">
        <f>IF(E1025&lt;=500,IF(Galva=Oui,0.35,0.7),0.7)</f>
        <v>0.7</v>
      </c>
    </row>
    <row r="1026" spans="2:10" x14ac:dyDescent="0.25">
      <c r="B1026" s="3">
        <f>B1025+DeltaT</f>
        <v>5045</v>
      </c>
      <c r="C1026" s="13">
        <f t="shared" si="70"/>
        <v>84.083333333333329</v>
      </c>
      <c r="D1026" s="11">
        <f t="shared" si="71"/>
        <v>995.81354528449617</v>
      </c>
      <c r="E1026" s="23">
        <f t="shared" si="72"/>
        <v>992.84938811429288</v>
      </c>
      <c r="F1026" s="23">
        <f>AlphaC*(D1026-E1026)</f>
        <v>74.103929255082335</v>
      </c>
      <c r="G1026" s="13">
        <f>Phi*EpsilonF*Botzman/10^8*J1026*((D1026+273)^4-(E1026+273)^4)</f>
        <v>957.88542766279454</v>
      </c>
      <c r="H1026" s="23">
        <f t="shared" si="73"/>
        <v>650</v>
      </c>
      <c r="I1026" s="12">
        <f>ksh*Massivete/(H1026*RhoA)*DeltaT*(F1026+G1026)</f>
        <v>0.15221868340963743</v>
      </c>
      <c r="J1026" s="3">
        <f>IF(E1026&lt;=500,IF(Galva=Oui,0.35,0.7),0.7)</f>
        <v>0.7</v>
      </c>
    </row>
    <row r="1027" spans="2:10" x14ac:dyDescent="0.25">
      <c r="B1027" s="3">
        <f>B1026+DeltaT</f>
        <v>5050</v>
      </c>
      <c r="C1027" s="13">
        <f t="shared" si="70"/>
        <v>84.166666666666671</v>
      </c>
      <c r="D1027" s="11">
        <f t="shared" si="71"/>
        <v>995.96174667764399</v>
      </c>
      <c r="E1027" s="23">
        <f t="shared" si="72"/>
        <v>993.00160679770249</v>
      </c>
      <c r="F1027" s="23">
        <f>AlphaC*(D1027-E1027)</f>
        <v>74.003496998537344</v>
      </c>
      <c r="G1027" s="13">
        <f>Phi*EpsilonF*Botzman/10^8*J1027*((D1027+273)^4-(E1027+273)^4)</f>
        <v>956.9273898693632</v>
      </c>
      <c r="H1027" s="23">
        <f t="shared" si="73"/>
        <v>650</v>
      </c>
      <c r="I1027" s="12">
        <f>ksh*Massivete/(H1027*RhoA)*DeltaT*(F1027+G1027)</f>
        <v>0.15206255881750291</v>
      </c>
      <c r="J1027" s="3">
        <f>IF(E1027&lt;=500,IF(Galva=Oui,0.35,0.7),0.7)</f>
        <v>0.7</v>
      </c>
    </row>
    <row r="1028" spans="2:10" x14ac:dyDescent="0.25">
      <c r="B1028" s="3">
        <f>B1027+DeltaT</f>
        <v>5055</v>
      </c>
      <c r="C1028" s="13">
        <f t="shared" si="70"/>
        <v>84.25</v>
      </c>
      <c r="D1028" s="11">
        <f t="shared" si="71"/>
        <v>996.10980162670353</v>
      </c>
      <c r="E1028" s="23">
        <f t="shared" si="72"/>
        <v>993.15366935652003</v>
      </c>
      <c r="F1028" s="23">
        <f>AlphaC*(D1028-E1028)</f>
        <v>73.903306754587561</v>
      </c>
      <c r="G1028" s="13">
        <f>Phi*EpsilonF*Botzman/10^8*J1028*((D1028+273)^4-(E1028+273)^4)</f>
        <v>955.97129756891775</v>
      </c>
      <c r="H1028" s="23">
        <f t="shared" si="73"/>
        <v>650</v>
      </c>
      <c r="I1028" s="12">
        <f>ksh*Massivete/(H1028*RhoA)*DeltaT*(F1028+G1028)</f>
        <v>0.15190675688297853</v>
      </c>
      <c r="J1028" s="3">
        <f>IF(E1028&lt;=500,IF(Galva=Oui,0.35,0.7),0.7)</f>
        <v>0.7</v>
      </c>
    </row>
    <row r="1029" spans="2:10" x14ac:dyDescent="0.25">
      <c r="B1029" s="3">
        <f>B1028+DeltaT</f>
        <v>5060</v>
      </c>
      <c r="C1029" s="13">
        <f t="shared" si="70"/>
        <v>84.333333333333329</v>
      </c>
      <c r="D1029" s="11">
        <f t="shared" si="71"/>
        <v>996.25771042080441</v>
      </c>
      <c r="E1029" s="23">
        <f t="shared" si="72"/>
        <v>993.30557611340305</v>
      </c>
      <c r="F1029" s="23">
        <f>AlphaC*(D1029-E1029)</f>
        <v>73.803357685034143</v>
      </c>
      <c r="G1029" s="13">
        <f>Phi*EpsilonF*Botzman/10^8*J1029*((D1029+273)^4-(E1029+273)^4)</f>
        <v>955.01714477214398</v>
      </c>
      <c r="H1029" s="23">
        <f t="shared" si="73"/>
        <v>650</v>
      </c>
      <c r="I1029" s="12">
        <f>ksh*Massivete/(H1029*RhoA)*DeltaT*(F1029+G1029)</f>
        <v>0.15175127659900428</v>
      </c>
      <c r="J1029" s="3">
        <f>IF(E1029&lt;=500,IF(Galva=Oui,0.35,0.7),0.7)</f>
        <v>0.7</v>
      </c>
    </row>
    <row r="1030" spans="2:10" x14ac:dyDescent="0.25">
      <c r="B1030" s="3">
        <f>B1029+DeltaT</f>
        <v>5065</v>
      </c>
      <c r="C1030" s="13">
        <f t="shared" si="70"/>
        <v>84.416666666666671</v>
      </c>
      <c r="D1030" s="11">
        <f t="shared" si="71"/>
        <v>996.40547334822077</v>
      </c>
      <c r="E1030" s="23">
        <f t="shared" si="72"/>
        <v>993.45732739000209</v>
      </c>
      <c r="F1030" s="23">
        <f>AlphaC*(D1030-E1030)</f>
        <v>73.703648955466861</v>
      </c>
      <c r="G1030" s="13">
        <f>Phi*EpsilonF*Botzman/10^8*J1030*((D1030+273)^4-(E1030+273)^4)</f>
        <v>954.06492551488316</v>
      </c>
      <c r="H1030" s="23">
        <f t="shared" si="73"/>
        <v>650</v>
      </c>
      <c r="I1030" s="12">
        <f>ksh*Massivete/(H1030*RhoA)*DeltaT*(F1030+G1030)</f>
        <v>0.15159611696278966</v>
      </c>
      <c r="J1030" s="3">
        <f>IF(E1030&lt;=500,IF(Galva=Oui,0.35,0.7),0.7)</f>
        <v>0.7</v>
      </c>
    </row>
    <row r="1031" spans="2:10" x14ac:dyDescent="0.25">
      <c r="B1031" s="3">
        <f>B1030+DeltaT</f>
        <v>5070</v>
      </c>
      <c r="C1031" s="13">
        <f t="shared" si="70"/>
        <v>84.5</v>
      </c>
      <c r="D1031" s="11">
        <f t="shared" si="71"/>
        <v>996.55309069637474</v>
      </c>
      <c r="E1031" s="23">
        <f t="shared" si="72"/>
        <v>993.60892350696486</v>
      </c>
      <c r="F1031" s="23">
        <f>AlphaC*(D1031-E1031)</f>
        <v>73.604179735247044</v>
      </c>
      <c r="G1031" s="13">
        <f>Phi*EpsilonF*Botzman/10^8*J1031*((D1031+273)^4-(E1031+273)^4)</f>
        <v>953.11463385756929</v>
      </c>
      <c r="H1031" s="23">
        <f t="shared" si="73"/>
        <v>650</v>
      </c>
      <c r="I1031" s="12">
        <f>ksh*Massivete/(H1031*RhoA)*DeltaT*(F1031+G1031)</f>
        <v>0.15144127697572785</v>
      </c>
      <c r="J1031" s="3">
        <f>IF(E1031&lt;=500,IF(Galva=Oui,0.35,0.7),0.7)</f>
        <v>0.7</v>
      </c>
    </row>
    <row r="1032" spans="2:10" x14ac:dyDescent="0.25">
      <c r="B1032" s="3">
        <f>B1031+DeltaT</f>
        <v>5075</v>
      </c>
      <c r="C1032" s="13">
        <f t="shared" si="70"/>
        <v>84.583333333333329</v>
      </c>
      <c r="D1032" s="11">
        <f t="shared" si="71"/>
        <v>996.7005627518397</v>
      </c>
      <c r="E1032" s="23">
        <f t="shared" si="72"/>
        <v>993.76036478394053</v>
      </c>
      <c r="F1032" s="23">
        <f>AlphaC*(D1032-E1032)</f>
        <v>73.504949197479164</v>
      </c>
      <c r="G1032" s="13">
        <f>Phi*EpsilonF*Botzman/10^8*J1032*((D1032+273)^4-(E1032+273)^4)</f>
        <v>952.16626388515215</v>
      </c>
      <c r="H1032" s="23">
        <f t="shared" si="73"/>
        <v>650</v>
      </c>
      <c r="I1032" s="12">
        <f>ksh*Massivete/(H1032*RhoA)*DeltaT*(F1032+G1032)</f>
        <v>0.15128675564338012</v>
      </c>
      <c r="J1032" s="3">
        <f>IF(E1032&lt;=500,IF(Galva=Oui,0.35,0.7),0.7)</f>
        <v>0.7</v>
      </c>
    </row>
    <row r="1033" spans="2:10" x14ac:dyDescent="0.25">
      <c r="B1033" s="3">
        <f>B1032+DeltaT</f>
        <v>5080</v>
      </c>
      <c r="C1033" s="13">
        <f t="shared" si="70"/>
        <v>84.666666666666671</v>
      </c>
      <c r="D1033" s="11">
        <f t="shared" si="71"/>
        <v>996.84788980034375</v>
      </c>
      <c r="E1033" s="23">
        <f t="shared" si="72"/>
        <v>993.91165153958389</v>
      </c>
      <c r="F1033" s="23">
        <f>AlphaC*(D1033-E1033)</f>
        <v>73.405956518996618</v>
      </c>
      <c r="G1033" s="13">
        <f>Phi*EpsilonF*Botzman/10^8*J1033*((D1033+273)^4-(E1033+273)^4)</f>
        <v>951.21980970696131</v>
      </c>
      <c r="H1033" s="23">
        <f t="shared" si="73"/>
        <v>650</v>
      </c>
      <c r="I1033" s="12">
        <f>ksh*Massivete/(H1033*RhoA)*DeltaT*(F1033+G1033)</f>
        <v>0.15113255197545389</v>
      </c>
      <c r="J1033" s="3">
        <f>IF(E1033&lt;=500,IF(Galva=Oui,0.35,0.7),0.7)</f>
        <v>0.7</v>
      </c>
    </row>
    <row r="1034" spans="2:10" x14ac:dyDescent="0.25">
      <c r="B1034" s="3">
        <f>B1033+DeltaT</f>
        <v>5085</v>
      </c>
      <c r="C1034" s="13">
        <f t="shared" si="70"/>
        <v>84.75</v>
      </c>
      <c r="D1034" s="11">
        <f t="shared" si="71"/>
        <v>996.99507212677304</v>
      </c>
      <c r="E1034" s="23">
        <f t="shared" si="72"/>
        <v>994.06278409155937</v>
      </c>
      <c r="F1034" s="23">
        <f>AlphaC*(D1034-E1034)</f>
        <v>73.307200880341838</v>
      </c>
      <c r="G1034" s="13">
        <f>Phi*EpsilonF*Botzman/10^8*J1034*((D1034+273)^4-(E1034+273)^4)</f>
        <v>950.27526545680303</v>
      </c>
      <c r="H1034" s="23">
        <f t="shared" si="73"/>
        <v>650</v>
      </c>
      <c r="I1034" s="12">
        <f>ksh*Massivete/(H1034*RhoA)*DeltaT*(F1034+G1034)</f>
        <v>0.15097866498581394</v>
      </c>
      <c r="J1034" s="3">
        <f>IF(E1034&lt;=500,IF(Galva=Oui,0.35,0.7),0.7)</f>
        <v>0.7</v>
      </c>
    </row>
    <row r="1035" spans="2:10" x14ac:dyDescent="0.25">
      <c r="B1035" s="3">
        <f>B1034+DeltaT</f>
        <v>5090</v>
      </c>
      <c r="C1035" s="13">
        <f t="shared" si="70"/>
        <v>84.833333333333329</v>
      </c>
      <c r="D1035" s="11">
        <f t="shared" si="71"/>
        <v>997.14211001517469</v>
      </c>
      <c r="E1035" s="23">
        <f t="shared" si="72"/>
        <v>994.21376275654518</v>
      </c>
      <c r="F1035" s="23">
        <f>AlphaC*(D1035-E1035)</f>
        <v>73.208681465737868</v>
      </c>
      <c r="G1035" s="13">
        <f>Phi*EpsilonF*Botzman/10^8*J1035*((D1035+273)^4-(E1035+273)^4)</f>
        <v>949.33262529241802</v>
      </c>
      <c r="H1035" s="23">
        <f t="shared" si="73"/>
        <v>650</v>
      </c>
      <c r="I1035" s="12">
        <f>ksh*Massivete/(H1035*RhoA)*DeltaT*(F1035+G1035)</f>
        <v>0.15082509369239833</v>
      </c>
      <c r="J1035" s="3">
        <f>IF(E1035&lt;=500,IF(Galva=Oui,0.35,0.7),0.7)</f>
        <v>0.7</v>
      </c>
    </row>
    <row r="1036" spans="2:10" x14ac:dyDescent="0.25">
      <c r="B1036" s="3">
        <f>B1035+DeltaT</f>
        <v>5095</v>
      </c>
      <c r="C1036" s="13">
        <f t="shared" si="70"/>
        <v>84.916666666666671</v>
      </c>
      <c r="D1036" s="11">
        <f t="shared" si="71"/>
        <v>997.28900374876071</v>
      </c>
      <c r="E1036" s="23">
        <f t="shared" si="72"/>
        <v>994.36458785023763</v>
      </c>
      <c r="F1036" s="23">
        <f>AlphaC*(D1036-E1036)</f>
        <v>73.110397463076993</v>
      </c>
      <c r="G1036" s="13">
        <f>Phi*EpsilonF*Botzman/10^8*J1036*((D1036+273)^4-(E1036+273)^4)</f>
        <v>948.39188339571342</v>
      </c>
      <c r="H1036" s="23">
        <f t="shared" si="73"/>
        <v>650</v>
      </c>
      <c r="I1036" s="12">
        <f>ksh*Massivete/(H1036*RhoA)*DeltaT*(F1036+G1036)</f>
        <v>0.1506718371172508</v>
      </c>
      <c r="J1036" s="3">
        <f>IF(E1036&lt;=500,IF(Galva=Oui,0.35,0.7),0.7)</f>
        <v>0.7</v>
      </c>
    </row>
    <row r="1037" spans="2:10" x14ac:dyDescent="0.25">
      <c r="B1037" s="3">
        <f>B1036+DeltaT</f>
        <v>5100</v>
      </c>
      <c r="C1037" s="13">
        <f t="shared" si="70"/>
        <v>85</v>
      </c>
      <c r="D1037" s="11">
        <f t="shared" si="71"/>
        <v>997.43575360991076</v>
      </c>
      <c r="E1037" s="23">
        <f t="shared" si="72"/>
        <v>994.51525968735484</v>
      </c>
      <c r="F1037" s="23">
        <f>AlphaC*(D1037-E1037)</f>
        <v>73.012348063898003</v>
      </c>
      <c r="G1037" s="13">
        <f>Phi*EpsilonF*Botzman/10^8*J1037*((D1037+273)^4-(E1037+273)^4)</f>
        <v>947.45303397241423</v>
      </c>
      <c r="H1037" s="23">
        <f t="shared" si="73"/>
        <v>650</v>
      </c>
      <c r="I1037" s="12">
        <f>ksh*Massivete/(H1037*RhoA)*DeltaT*(F1037+G1037)</f>
        <v>0.15051889428646617</v>
      </c>
      <c r="J1037" s="3">
        <f>IF(E1037&lt;=500,IF(Galva=Oui,0.35,0.7),0.7)</f>
        <v>0.7</v>
      </c>
    </row>
    <row r="1038" spans="2:10" x14ac:dyDescent="0.25">
      <c r="B1038" s="3">
        <f>B1037+DeltaT</f>
        <v>5105</v>
      </c>
      <c r="C1038" s="13">
        <f t="shared" si="70"/>
        <v>85.083333333333329</v>
      </c>
      <c r="D1038" s="11">
        <f t="shared" si="71"/>
        <v>997.58235988017577</v>
      </c>
      <c r="E1038" s="23">
        <f t="shared" si="72"/>
        <v>994.66577858164135</v>
      </c>
      <c r="F1038" s="23">
        <f>AlphaC*(D1038-E1038)</f>
        <v>72.914532463360615</v>
      </c>
      <c r="G1038" s="13">
        <f>Phi*EpsilonF*Botzman/10^8*J1038*((D1038+273)^4-(E1038+273)^4)</f>
        <v>946.5160712522769</v>
      </c>
      <c r="H1038" s="23">
        <f t="shared" si="73"/>
        <v>650</v>
      </c>
      <c r="I1038" s="12">
        <f>ksh*Massivete/(H1038*RhoA)*DeltaT*(F1038+G1038)</f>
        <v>0.15036626423021796</v>
      </c>
      <c r="J1038" s="3">
        <f>IF(E1038&lt;=500,IF(Galva=Oui,0.35,0.7),0.7)</f>
        <v>0.7</v>
      </c>
    </row>
    <row r="1039" spans="2:10" x14ac:dyDescent="0.25">
      <c r="B1039" s="3">
        <f>B1038+DeltaT</f>
        <v>5110</v>
      </c>
      <c r="C1039" s="13">
        <f t="shared" si="70"/>
        <v>85.166666666666671</v>
      </c>
      <c r="D1039" s="11">
        <f t="shared" si="71"/>
        <v>997.72882284028094</v>
      </c>
      <c r="E1039" s="23">
        <f t="shared" si="72"/>
        <v>994.81614484587158</v>
      </c>
      <c r="F1039" s="23">
        <f>AlphaC*(D1039-E1039)</f>
        <v>72.816949860234104</v>
      </c>
      <c r="G1039" s="13">
        <f>Phi*EpsilonF*Botzman/10^8*J1039*((D1039+273)^4-(E1039+273)^4)</f>
        <v>945.58098948850704</v>
      </c>
      <c r="H1039" s="23">
        <f t="shared" si="73"/>
        <v>650</v>
      </c>
      <c r="I1039" s="12">
        <f>ksh*Massivete/(H1039*RhoA)*DeltaT*(F1039+G1039)</f>
        <v>0.15021394598267082</v>
      </c>
      <c r="J1039" s="3">
        <f>IF(E1039&lt;=500,IF(Galva=Oui,0.35,0.7),0.7)</f>
        <v>0.7</v>
      </c>
    </row>
    <row r="1040" spans="2:10" x14ac:dyDescent="0.25">
      <c r="B1040" s="3">
        <f>B1039+DeltaT</f>
        <v>5115</v>
      </c>
      <c r="C1040" s="13">
        <f t="shared" si="70"/>
        <v>85.25</v>
      </c>
      <c r="D1040" s="11">
        <f t="shared" si="71"/>
        <v>997.8751427701286</v>
      </c>
      <c r="E1040" s="23">
        <f t="shared" si="72"/>
        <v>994.96635879185419</v>
      </c>
      <c r="F1040" s="23">
        <f>AlphaC*(D1040-E1040)</f>
        <v>72.719599456860351</v>
      </c>
      <c r="G1040" s="13">
        <f>Phi*EpsilonF*Botzman/10^8*J1040*((D1040+273)^4-(E1040+273)^4)</f>
        <v>944.64778295791518</v>
      </c>
      <c r="H1040" s="23">
        <f t="shared" si="73"/>
        <v>650</v>
      </c>
      <c r="I1040" s="12">
        <f>ksh*Massivete/(H1040*RhoA)*DeltaT*(F1040+G1040)</f>
        <v>0.15006193858199818</v>
      </c>
      <c r="J1040" s="3">
        <f>IF(E1040&lt;=500,IF(Galva=Oui,0.35,0.7),0.7)</f>
        <v>0.7</v>
      </c>
    </row>
    <row r="1041" spans="2:10" x14ac:dyDescent="0.25">
      <c r="B1041" s="3">
        <f>B1040+DeltaT</f>
        <v>5120</v>
      </c>
      <c r="C1041" s="13">
        <f t="shared" si="70"/>
        <v>85.333333333333329</v>
      </c>
      <c r="D1041" s="11">
        <f t="shared" si="71"/>
        <v>998.02131994880278</v>
      </c>
      <c r="E1041" s="23">
        <f t="shared" si="72"/>
        <v>995.11642073043618</v>
      </c>
      <c r="F1041" s="23">
        <f>AlphaC*(D1041-E1041)</f>
        <v>72.622480459165217</v>
      </c>
      <c r="G1041" s="13">
        <f>Phi*EpsilonF*Botzman/10^8*J1041*((D1041+273)^4-(E1041+273)^4)</f>
        <v>943.71644596072292</v>
      </c>
      <c r="H1041" s="23">
        <f t="shared" si="73"/>
        <v>650</v>
      </c>
      <c r="I1041" s="12">
        <f>ksh*Massivete/(H1041*RhoA)*DeltaT*(F1041+G1041)</f>
        <v>0.14991024107035519</v>
      </c>
      <c r="J1041" s="3">
        <f>IF(E1041&lt;=500,IF(Galva=Oui,0.35,0.7),0.7)</f>
        <v>0.7</v>
      </c>
    </row>
    <row r="1042" spans="2:10" x14ac:dyDescent="0.25">
      <c r="B1042" s="3">
        <f>B1041+DeltaT</f>
        <v>5125</v>
      </c>
      <c r="C1042" s="13">
        <f t="shared" ref="C1042:C1105" si="74">B1042/60</f>
        <v>85.416666666666671</v>
      </c>
      <c r="D1042" s="11">
        <f t="shared" ref="D1042:D1105" si="75">20+345*LOG(8*C1042+1,10)</f>
        <v>998.16735465457054</v>
      </c>
      <c r="E1042" s="23">
        <f t="shared" si="72"/>
        <v>995.26633097150648</v>
      </c>
      <c r="F1042" s="23">
        <f>AlphaC*(D1042-E1042)</f>
        <v>72.525592076601697</v>
      </c>
      <c r="G1042" s="13">
        <f>Phi*EpsilonF*Botzman/10^8*J1042*((D1042+273)^4-(E1042+273)^4)</f>
        <v>942.78697282054304</v>
      </c>
      <c r="H1042" s="23">
        <f t="shared" si="73"/>
        <v>650</v>
      </c>
      <c r="I1042" s="12">
        <f>ksh*Massivete/(H1042*RhoA)*DeltaT*(F1042+G1042)</f>
        <v>0.14975885249386742</v>
      </c>
      <c r="J1042" s="3">
        <f>IF(E1042&lt;=500,IF(Galva=Oui,0.35,0.7),0.7)</f>
        <v>0.7</v>
      </c>
    </row>
    <row r="1043" spans="2:10" x14ac:dyDescent="0.25">
      <c r="B1043" s="3">
        <f>B1042+DeltaT</f>
        <v>5130</v>
      </c>
      <c r="C1043" s="13">
        <f t="shared" si="74"/>
        <v>85.5</v>
      </c>
      <c r="D1043" s="11">
        <f t="shared" si="75"/>
        <v>998.31324716488677</v>
      </c>
      <c r="E1043" s="23">
        <f t="shared" si="72"/>
        <v>995.41608982400032</v>
      </c>
      <c r="F1043" s="23">
        <f>AlphaC*(D1043-E1043)</f>
        <v>72.428933522161287</v>
      </c>
      <c r="G1043" s="13">
        <f>Phi*EpsilonF*Botzman/10^8*J1043*((D1043+273)^4-(E1043+273)^4)</f>
        <v>941.8593578841087</v>
      </c>
      <c r="H1043" s="23">
        <f t="shared" si="73"/>
        <v>650</v>
      </c>
      <c r="I1043" s="12">
        <f>ksh*Massivete/(H1043*RhoA)*DeltaT*(F1043+G1043)</f>
        <v>0.14960777190259272</v>
      </c>
      <c r="J1043" s="3">
        <f>IF(E1043&lt;=500,IF(Galva=Oui,0.35,0.7),0.7)</f>
        <v>0.7</v>
      </c>
    </row>
    <row r="1044" spans="2:10" x14ac:dyDescent="0.25">
      <c r="B1044" s="3">
        <f>B1043+DeltaT</f>
        <v>5135</v>
      </c>
      <c r="C1044" s="13">
        <f t="shared" si="74"/>
        <v>85.583333333333329</v>
      </c>
      <c r="D1044" s="11">
        <f t="shared" si="75"/>
        <v>998.45899775639612</v>
      </c>
      <c r="E1044" s="23">
        <f t="shared" si="72"/>
        <v>995.56569759590286</v>
      </c>
      <c r="F1044" s="23">
        <f>AlphaC*(D1044-E1044)</f>
        <v>72.332504012331356</v>
      </c>
      <c r="G1044" s="13">
        <f>Phi*EpsilonF*Botzman/10^8*J1044*((D1044+273)^4-(E1044+273)^4)</f>
        <v>940.9335955210214</v>
      </c>
      <c r="H1044" s="23">
        <f t="shared" si="73"/>
        <v>650</v>
      </c>
      <c r="I1044" s="12">
        <f>ksh*Massivete/(H1044*RhoA)*DeltaT*(F1044+G1044)</f>
        <v>0.14945699835047763</v>
      </c>
      <c r="J1044" s="3">
        <f>IF(E1044&lt;=500,IF(Galva=Oui,0.35,0.7),0.7)</f>
        <v>0.7</v>
      </c>
    </row>
    <row r="1045" spans="2:10" x14ac:dyDescent="0.25">
      <c r="B1045" s="3">
        <f>B1044+DeltaT</f>
        <v>5140</v>
      </c>
      <c r="C1045" s="13">
        <f t="shared" si="74"/>
        <v>85.666666666666671</v>
      </c>
      <c r="D1045" s="11">
        <f t="shared" si="75"/>
        <v>998.60460670493728</v>
      </c>
      <c r="E1045" s="23">
        <f t="shared" si="72"/>
        <v>995.71515459425336</v>
      </c>
      <c r="F1045" s="23">
        <f>AlphaC*(D1045-E1045)</f>
        <v>72.236302767097982</v>
      </c>
      <c r="G1045" s="13">
        <f>Phi*EpsilonF*Botzman/10^8*J1045*((D1045+273)^4-(E1045+273)^4)</f>
        <v>940.00968012440967</v>
      </c>
      <c r="H1045" s="23">
        <f t="shared" si="73"/>
        <v>650</v>
      </c>
      <c r="I1045" s="12">
        <f>ksh*Massivete/(H1045*RhoA)*DeltaT*(F1045+G1045)</f>
        <v>0.14930653089545495</v>
      </c>
      <c r="J1045" s="3">
        <f>IF(E1045&lt;=500,IF(Galva=Oui,0.35,0.7),0.7)</f>
        <v>0.7</v>
      </c>
    </row>
    <row r="1046" spans="2:10" x14ac:dyDescent="0.25">
      <c r="B1046" s="3">
        <f>B1045+DeltaT</f>
        <v>5145</v>
      </c>
      <c r="C1046" s="13">
        <f t="shared" si="74"/>
        <v>85.75</v>
      </c>
      <c r="D1046" s="11">
        <f t="shared" si="75"/>
        <v>998.75007428554477</v>
      </c>
      <c r="E1046" s="23">
        <f t="shared" si="72"/>
        <v>995.86446112514886</v>
      </c>
      <c r="F1046" s="23">
        <f>AlphaC*(D1046-E1046)</f>
        <v>72.140329009897641</v>
      </c>
      <c r="G1046" s="13">
        <f>Phi*EpsilonF*Botzman/10^8*J1046*((D1046+273)^4-(E1046+273)^4)</f>
        <v>939.08760610941761</v>
      </c>
      <c r="H1046" s="23">
        <f t="shared" si="73"/>
        <v>650</v>
      </c>
      <c r="I1046" s="12">
        <f>ksh*Massivete/(H1046*RhoA)*DeltaT*(F1046+G1046)</f>
        <v>0.14915636859921377</v>
      </c>
      <c r="J1046" s="3">
        <f>IF(E1046&lt;=500,IF(Galva=Oui,0.35,0.7),0.7)</f>
        <v>0.7</v>
      </c>
    </row>
    <row r="1047" spans="2:10" x14ac:dyDescent="0.25">
      <c r="B1047" s="3">
        <f>B1046+DeltaT</f>
        <v>5150</v>
      </c>
      <c r="C1047" s="13">
        <f t="shared" si="74"/>
        <v>85.833333333333329</v>
      </c>
      <c r="D1047" s="11">
        <f t="shared" si="75"/>
        <v>998.89540077245374</v>
      </c>
      <c r="E1047" s="23">
        <f t="shared" si="72"/>
        <v>996.01361749374803</v>
      </c>
      <c r="F1047" s="23">
        <f>AlphaC*(D1047-E1047)</f>
        <v>72.044581967642785</v>
      </c>
      <c r="G1047" s="13">
        <f>Phi*EpsilonF*Botzman/10^8*J1047*((D1047+273)^4-(E1047+273)^4)</f>
        <v>938.16736791477467</v>
      </c>
      <c r="H1047" s="23">
        <f t="shared" si="73"/>
        <v>650</v>
      </c>
      <c r="I1047" s="12">
        <f>ksh*Massivete/(H1047*RhoA)*DeltaT*(F1047+G1047)</f>
        <v>0.14900651052743472</v>
      </c>
      <c r="J1047" s="3">
        <f>IF(E1047&lt;=500,IF(Galva=Oui,0.35,0.7),0.7)</f>
        <v>0.7</v>
      </c>
    </row>
    <row r="1048" spans="2:10" x14ac:dyDescent="0.25">
      <c r="B1048" s="3">
        <f>B1047+DeltaT</f>
        <v>5155</v>
      </c>
      <c r="C1048" s="13">
        <f t="shared" si="74"/>
        <v>85.916666666666671</v>
      </c>
      <c r="D1048" s="11">
        <f t="shared" si="75"/>
        <v>999.04058643910128</v>
      </c>
      <c r="E1048" s="23">
        <f t="shared" si="72"/>
        <v>996.16262400427547</v>
      </c>
      <c r="F1048" s="23">
        <f>AlphaC*(D1048-E1048)</f>
        <v>71.949060870645098</v>
      </c>
      <c r="G1048" s="13">
        <f>Phi*EpsilonF*Botzman/10^8*J1048*((D1048+273)^4-(E1048+273)^4)</f>
        <v>937.24896000107083</v>
      </c>
      <c r="H1048" s="23">
        <f t="shared" si="73"/>
        <v>650</v>
      </c>
      <c r="I1048" s="12">
        <f>ksh*Massivete/(H1048*RhoA)*DeltaT*(F1048+G1048)</f>
        <v>0.14885695574952426</v>
      </c>
      <c r="J1048" s="3">
        <f>IF(E1048&lt;=500,IF(Galva=Oui,0.35,0.7),0.7)</f>
        <v>0.7</v>
      </c>
    </row>
    <row r="1049" spans="2:10" x14ac:dyDescent="0.25">
      <c r="B1049" s="3">
        <f>B1048+DeltaT</f>
        <v>5160</v>
      </c>
      <c r="C1049" s="13">
        <f t="shared" si="74"/>
        <v>86</v>
      </c>
      <c r="D1049" s="11">
        <f t="shared" si="75"/>
        <v>999.18563155813081</v>
      </c>
      <c r="E1049" s="23">
        <f t="shared" si="72"/>
        <v>996.31148096002505</v>
      </c>
      <c r="F1049" s="23">
        <f>AlphaC*(D1049-E1049)</f>
        <v>71.853764952643928</v>
      </c>
      <c r="G1049" s="13">
        <f>Phi*EpsilonF*Botzman/10^8*J1049*((D1049+273)^4-(E1049+273)^4)</f>
        <v>936.33237685168683</v>
      </c>
      <c r="H1049" s="23">
        <f t="shared" si="73"/>
        <v>650</v>
      </c>
      <c r="I1049" s="12">
        <f>ksh*Massivete/(H1049*RhoA)*DeltaT*(F1049+G1049)</f>
        <v>0.14870770333875602</v>
      </c>
      <c r="J1049" s="3">
        <f>IF(E1049&lt;=500,IF(Galva=Oui,0.35,0.7),0.7)</f>
        <v>0.7</v>
      </c>
    </row>
    <row r="1050" spans="2:10" x14ac:dyDescent="0.25">
      <c r="B1050" s="3">
        <f>B1049+DeltaT</f>
        <v>5165</v>
      </c>
      <c r="C1050" s="13">
        <f t="shared" si="74"/>
        <v>86.083333333333329</v>
      </c>
      <c r="D1050" s="11">
        <f t="shared" si="75"/>
        <v>999.33053640139485</v>
      </c>
      <c r="E1050" s="23">
        <f t="shared" si="72"/>
        <v>996.46018866336385</v>
      </c>
      <c r="F1050" s="23">
        <f>AlphaC*(D1050-E1050)</f>
        <v>71.758693450775013</v>
      </c>
      <c r="G1050" s="13">
        <f>Phi*EpsilonF*Botzman/10^8*J1050*((D1050+273)^4-(E1050+273)^4)</f>
        <v>935.41761297265839</v>
      </c>
      <c r="H1050" s="23">
        <f t="shared" si="73"/>
        <v>650</v>
      </c>
      <c r="I1050" s="12">
        <f>ksh*Massivete/(H1050*RhoA)*DeltaT*(F1050+G1050)</f>
        <v>0.14855875237224631</v>
      </c>
      <c r="J1050" s="3">
        <f>IF(E1050&lt;=500,IF(Galva=Oui,0.35,0.7),0.7)</f>
        <v>0.7</v>
      </c>
    </row>
    <row r="1051" spans="2:10" x14ac:dyDescent="0.25">
      <c r="B1051" s="3">
        <f>B1050+DeltaT</f>
        <v>5170</v>
      </c>
      <c r="C1051" s="13">
        <f t="shared" si="74"/>
        <v>86.166666666666671</v>
      </c>
      <c r="D1051" s="11">
        <f t="shared" si="75"/>
        <v>999.47530123995762</v>
      </c>
      <c r="E1051" s="23">
        <f t="shared" si="72"/>
        <v>996.60874741573605</v>
      </c>
      <c r="F1051" s="23">
        <f>AlphaC*(D1051-E1051)</f>
        <v>71.663845605539223</v>
      </c>
      <c r="G1051" s="13">
        <f>Phi*EpsilonF*Botzman/10^8*J1051*((D1051+273)^4-(E1051+273)^4)</f>
        <v>934.50466289162989</v>
      </c>
      <c r="H1051" s="23">
        <f t="shared" si="73"/>
        <v>650</v>
      </c>
      <c r="I1051" s="12">
        <f>ksh*Massivete/(H1051*RhoA)*DeltaT*(F1051+G1051)</f>
        <v>0.14841010193079499</v>
      </c>
      <c r="J1051" s="3">
        <f>IF(E1051&lt;=500,IF(Galva=Oui,0.35,0.7),0.7)</f>
        <v>0.7</v>
      </c>
    </row>
    <row r="1052" spans="2:10" x14ac:dyDescent="0.25">
      <c r="B1052" s="3">
        <f>B1051+DeltaT</f>
        <v>5175</v>
      </c>
      <c r="C1052" s="13">
        <f t="shared" si="74"/>
        <v>86.25</v>
      </c>
      <c r="D1052" s="11">
        <f t="shared" si="75"/>
        <v>999.6199263440983</v>
      </c>
      <c r="E1052" s="23">
        <f t="shared" si="72"/>
        <v>996.75715751766688</v>
      </c>
      <c r="F1052" s="23">
        <f>AlphaC*(D1052-E1052)</f>
        <v>71.569220660785504</v>
      </c>
      <c r="G1052" s="13">
        <f>Phi*EpsilonF*Botzman/10^8*J1052*((D1052+273)^4-(E1052+273)^4)</f>
        <v>933.59352115880392</v>
      </c>
      <c r="H1052" s="23">
        <f t="shared" si="73"/>
        <v>650</v>
      </c>
      <c r="I1052" s="12">
        <f>ksh*Massivete/(H1052*RhoA)*DeltaT*(F1052+G1052)</f>
        <v>0.14826175109902312</v>
      </c>
      <c r="J1052" s="3">
        <f>IF(E1052&lt;=500,IF(Galva=Oui,0.35,0.7),0.7)</f>
        <v>0.7</v>
      </c>
    </row>
    <row r="1053" spans="2:10" x14ac:dyDescent="0.25">
      <c r="B1053" s="3">
        <f>B1052+DeltaT</f>
        <v>5180</v>
      </c>
      <c r="C1053" s="13">
        <f t="shared" si="74"/>
        <v>86.333333333333329</v>
      </c>
      <c r="D1053" s="11">
        <f t="shared" si="75"/>
        <v>999.76441198331497</v>
      </c>
      <c r="E1053" s="23">
        <f t="shared" si="72"/>
        <v>996.90541926876585</v>
      </c>
      <c r="F1053" s="23">
        <f>AlphaC*(D1053-E1053)</f>
        <v>71.474817863727935</v>
      </c>
      <c r="G1053" s="13">
        <f>Phi*EpsilonF*Botzman/10^8*J1053*((D1053+273)^4-(E1053+273)^4)</f>
        <v>932.68418234653404</v>
      </c>
      <c r="H1053" s="23">
        <f t="shared" si="73"/>
        <v>650</v>
      </c>
      <c r="I1053" s="12">
        <f>ksh*Massivete/(H1053*RhoA)*DeltaT*(F1053+G1053)</f>
        <v>0.14811369896531545</v>
      </c>
      <c r="J1053" s="3">
        <f>IF(E1053&lt;=500,IF(Galva=Oui,0.35,0.7),0.7)</f>
        <v>0.7</v>
      </c>
    </row>
    <row r="1054" spans="2:10" x14ac:dyDescent="0.25">
      <c r="B1054" s="3">
        <f>B1053+DeltaT</f>
        <v>5185</v>
      </c>
      <c r="C1054" s="13">
        <f t="shared" si="74"/>
        <v>86.416666666666671</v>
      </c>
      <c r="D1054" s="11">
        <f t="shared" si="75"/>
        <v>999.90875842632556</v>
      </c>
      <c r="E1054" s="23">
        <f t="shared" si="72"/>
        <v>997.05353296773114</v>
      </c>
      <c r="F1054" s="23">
        <f>AlphaC*(D1054-E1054)</f>
        <v>71.380636464860459</v>
      </c>
      <c r="G1054" s="13">
        <f>Phi*EpsilonF*Botzman/10^8*J1054*((D1054+273)^4-(E1054+273)^4)</f>
        <v>931.77664104872463</v>
      </c>
      <c r="H1054" s="23">
        <f t="shared" si="73"/>
        <v>650</v>
      </c>
      <c r="I1054" s="12">
        <f>ksh*Massivete/(H1054*RhoA)*DeltaT*(F1054+G1054)</f>
        <v>0.14796594462171922</v>
      </c>
      <c r="J1054" s="3">
        <f>IF(E1054&lt;=500,IF(Galva=Oui,0.35,0.7),0.7)</f>
        <v>0.7</v>
      </c>
    </row>
    <row r="1055" spans="2:10" x14ac:dyDescent="0.25">
      <c r="B1055" s="3">
        <f>B1054+DeltaT</f>
        <v>5190</v>
      </c>
      <c r="C1055" s="13">
        <f t="shared" si="74"/>
        <v>86.5</v>
      </c>
      <c r="D1055" s="11">
        <f t="shared" si="75"/>
        <v>1000.0529659410732</v>
      </c>
      <c r="E1055" s="23">
        <f t="shared" si="72"/>
        <v>997.20149891235292</v>
      </c>
      <c r="F1055" s="23">
        <f>AlphaC*(D1055-E1055)</f>
        <v>71.286675718008041</v>
      </c>
      <c r="G1055" s="13">
        <f>Phi*EpsilonF*Botzman/10^8*J1055*((D1055+273)^4-(E1055+273)^4)</f>
        <v>930.870891881082</v>
      </c>
      <c r="H1055" s="23">
        <f t="shared" si="73"/>
        <v>650</v>
      </c>
      <c r="I1055" s="12">
        <f>ksh*Massivete/(H1055*RhoA)*DeltaT*(F1055+G1055)</f>
        <v>0.14781848716398877</v>
      </c>
      <c r="J1055" s="3">
        <f>IF(E1055&lt;=500,IF(Galva=Oui,0.35,0.7),0.7)</f>
        <v>0.7</v>
      </c>
    </row>
    <row r="1056" spans="2:10" x14ac:dyDescent="0.25">
      <c r="B1056" s="3">
        <f>B1055+DeltaT</f>
        <v>5195</v>
      </c>
      <c r="C1056" s="13">
        <f t="shared" si="74"/>
        <v>86.583333333333329</v>
      </c>
      <c r="D1056" s="11">
        <f t="shared" si="75"/>
        <v>1000.1970347947278</v>
      </c>
      <c r="E1056" s="23">
        <f t="shared" si="72"/>
        <v>997.34931739951696</v>
      </c>
      <c r="F1056" s="23">
        <f>AlphaC*(D1056-E1056)</f>
        <v>71.192934880269831</v>
      </c>
      <c r="G1056" s="13">
        <f>Phi*EpsilonF*Botzman/10^8*J1056*((D1056+273)^4-(E1056+273)^4)</f>
        <v>929.96692948142538</v>
      </c>
      <c r="H1056" s="23">
        <f t="shared" si="73"/>
        <v>650</v>
      </c>
      <c r="I1056" s="12">
        <f>ksh*Massivete/(H1056*RhoA)*DeltaT*(F1056+G1056)</f>
        <v>0.14767132569162306</v>
      </c>
      <c r="J1056" s="3">
        <f>IF(E1056&lt;=500,IF(Galva=Oui,0.35,0.7),0.7)</f>
        <v>0.7</v>
      </c>
    </row>
    <row r="1057" spans="2:10" x14ac:dyDescent="0.25">
      <c r="B1057" s="3">
        <f>B1056+DeltaT</f>
        <v>5200</v>
      </c>
      <c r="C1057" s="13">
        <f t="shared" si="74"/>
        <v>86.666666666666671</v>
      </c>
      <c r="D1057" s="11">
        <f t="shared" si="75"/>
        <v>1000.3409652536888</v>
      </c>
      <c r="E1057" s="23">
        <f t="shared" si="72"/>
        <v>997.49698872520855</v>
      </c>
      <c r="F1057" s="23">
        <f>AlphaC*(D1057-E1057)</f>
        <v>71.099413212004947</v>
      </c>
      <c r="G1057" s="13">
        <f>Phi*EpsilonF*Botzman/10^8*J1057*((D1057+273)^4-(E1057+273)^4)</f>
        <v>929.06474850883342</v>
      </c>
      <c r="H1057" s="23">
        <f t="shared" si="73"/>
        <v>650</v>
      </c>
      <c r="I1057" s="12">
        <f>ksh*Massivete/(H1057*RhoA)*DeltaT*(F1057+G1057)</f>
        <v>0.14752445930773767</v>
      </c>
      <c r="J1057" s="3">
        <f>IF(E1057&lt;=500,IF(Galva=Oui,0.35,0.7),0.7)</f>
        <v>0.7</v>
      </c>
    </row>
    <row r="1058" spans="2:10" x14ac:dyDescent="0.25">
      <c r="B1058" s="3">
        <f>B1057+DeltaT</f>
        <v>5205</v>
      </c>
      <c r="C1058" s="13">
        <f t="shared" si="74"/>
        <v>86.75</v>
      </c>
      <c r="D1058" s="11">
        <f t="shared" si="75"/>
        <v>1000.4847575835893</v>
      </c>
      <c r="E1058" s="23">
        <f t="shared" si="72"/>
        <v>997.64451318451631</v>
      </c>
      <c r="F1058" s="23">
        <f>AlphaC*(D1058-E1058)</f>
        <v>71.00610997682395</v>
      </c>
      <c r="G1058" s="13">
        <f>Phi*EpsilonF*Botzman/10^8*J1058*((D1058+273)^4-(E1058+273)^4)</f>
        <v>928.16434364387692</v>
      </c>
      <c r="H1058" s="23">
        <f t="shared" si="73"/>
        <v>650</v>
      </c>
      <c r="I1058" s="12">
        <f>ksh*Massivete/(H1058*RhoA)*DeltaT*(F1058+G1058)</f>
        <v>0.14737788711909788</v>
      </c>
      <c r="J1058" s="3">
        <f>IF(E1058&lt;=500,IF(Galva=Oui,0.35,0.7),0.7)</f>
        <v>0.7</v>
      </c>
    </row>
    <row r="1059" spans="2:10" x14ac:dyDescent="0.25">
      <c r="B1059" s="3">
        <f>B1058+DeltaT</f>
        <v>5210</v>
      </c>
      <c r="C1059" s="13">
        <f t="shared" si="74"/>
        <v>86.833333333333329</v>
      </c>
      <c r="D1059" s="11">
        <f t="shared" si="75"/>
        <v>1000.6284120492979</v>
      </c>
      <c r="E1059" s="23">
        <f t="shared" si="72"/>
        <v>997.7918910716354</v>
      </c>
      <c r="F1059" s="23">
        <f>AlphaC*(D1059-E1059)</f>
        <v>70.913024441563266</v>
      </c>
      <c r="G1059" s="13">
        <f>Phi*EpsilonF*Botzman/10^8*J1059*((D1059+273)^4-(E1059+273)^4)</f>
        <v>927.2657095883676</v>
      </c>
      <c r="H1059" s="23">
        <f t="shared" si="73"/>
        <v>650</v>
      </c>
      <c r="I1059" s="12">
        <f>ksh*Massivete/(H1059*RhoA)*DeltaT*(F1059+G1059)</f>
        <v>0.14723160823607781</v>
      </c>
      <c r="J1059" s="3">
        <f>IF(E1059&lt;=500,IF(Galva=Oui,0.35,0.7),0.7)</f>
        <v>0.7</v>
      </c>
    </row>
    <row r="1060" spans="2:10" x14ac:dyDescent="0.25">
      <c r="B1060" s="3">
        <f>B1059+DeltaT</f>
        <v>5215</v>
      </c>
      <c r="C1060" s="13">
        <f t="shared" si="74"/>
        <v>86.916666666666671</v>
      </c>
      <c r="D1060" s="11">
        <f t="shared" si="75"/>
        <v>1000.7719289149228</v>
      </c>
      <c r="E1060" s="23">
        <f t="shared" si="72"/>
        <v>997.9391226798715</v>
      </c>
      <c r="F1060" s="23">
        <f>AlphaC*(D1060-E1060)</f>
        <v>70.820155876282342</v>
      </c>
      <c r="G1060" s="13">
        <f>Phi*EpsilonF*Botzman/10^8*J1060*((D1060+273)^4-(E1060+273)^4)</f>
        <v>926.36884106572506</v>
      </c>
      <c r="H1060" s="23">
        <f t="shared" si="73"/>
        <v>650</v>
      </c>
      <c r="I1060" s="12">
        <f>ksh*Massivete/(H1060*RhoA)*DeltaT*(F1060+G1060)</f>
        <v>0.14708562177271414</v>
      </c>
      <c r="J1060" s="3">
        <f>IF(E1060&lt;=500,IF(Galva=Oui,0.35,0.7),0.7)</f>
        <v>0.7</v>
      </c>
    </row>
    <row r="1061" spans="2:10" x14ac:dyDescent="0.25">
      <c r="B1061" s="3">
        <f>B1060+DeltaT</f>
        <v>5220</v>
      </c>
      <c r="C1061" s="13">
        <f t="shared" si="74"/>
        <v>87</v>
      </c>
      <c r="D1061" s="11">
        <f t="shared" si="75"/>
        <v>1000.9153084438132</v>
      </c>
      <c r="E1061" s="23">
        <f t="shared" si="72"/>
        <v>998.08620830164421</v>
      </c>
      <c r="F1061" s="23">
        <f>AlphaC*(D1061-E1061)</f>
        <v>70.727503554223858</v>
      </c>
      <c r="G1061" s="13">
        <f>Phi*EpsilonF*Botzman/10^8*J1061*((D1061+273)^4-(E1061+273)^4)</f>
        <v>925.47373282043532</v>
      </c>
      <c r="H1061" s="23">
        <f t="shared" si="73"/>
        <v>650</v>
      </c>
      <c r="I1061" s="12">
        <f>ksh*Massivete/(H1061*RhoA)*DeltaT*(F1061+G1061)</f>
        <v>0.14693992684662036</v>
      </c>
      <c r="J1061" s="3">
        <f>IF(E1061&lt;=500,IF(Galva=Oui,0.35,0.7),0.7)</f>
        <v>0.7</v>
      </c>
    </row>
    <row r="1062" spans="2:10" x14ac:dyDescent="0.25">
      <c r="B1062" s="3">
        <f>B1061+DeltaT</f>
        <v>5225</v>
      </c>
      <c r="C1062" s="13">
        <f t="shared" si="74"/>
        <v>87.083333333333329</v>
      </c>
      <c r="D1062" s="11">
        <f t="shared" si="75"/>
        <v>1001.0585508985632</v>
      </c>
      <c r="E1062" s="23">
        <f t="shared" si="72"/>
        <v>998.23314822849079</v>
      </c>
      <c r="F1062" s="23">
        <f>AlphaC*(D1062-E1062)</f>
        <v>70.635066751810882</v>
      </c>
      <c r="G1062" s="13">
        <f>Phi*EpsilonF*Botzman/10^8*J1062*((D1062+273)^4-(E1062+273)^4)</f>
        <v>924.58037961760431</v>
      </c>
      <c r="H1062" s="23">
        <f t="shared" si="73"/>
        <v>650</v>
      </c>
      <c r="I1062" s="12">
        <f>ksh*Massivete/(H1062*RhoA)*DeltaT*(F1062+G1062)</f>
        <v>0.14679452257892059</v>
      </c>
      <c r="J1062" s="3">
        <f>IF(E1062&lt;=500,IF(Galva=Oui,0.35,0.7),0.7)</f>
        <v>0.7</v>
      </c>
    </row>
    <row r="1063" spans="2:10" x14ac:dyDescent="0.25">
      <c r="B1063" s="3">
        <f>B1062+DeltaT</f>
        <v>5230</v>
      </c>
      <c r="C1063" s="13">
        <f t="shared" si="74"/>
        <v>87.166666666666671</v>
      </c>
      <c r="D1063" s="11">
        <f t="shared" si="75"/>
        <v>1001.2016565410148</v>
      </c>
      <c r="E1063" s="23">
        <f t="shared" si="72"/>
        <v>998.37994275106973</v>
      </c>
      <c r="F1063" s="23">
        <f>AlphaC*(D1063-E1063)</f>
        <v>70.542844748626976</v>
      </c>
      <c r="G1063" s="13">
        <f>Phi*EpsilonF*Botzman/10^8*J1063*((D1063+273)^4-(E1063+273)^4)</f>
        <v>923.6887762437143</v>
      </c>
      <c r="H1063" s="23">
        <f t="shared" si="73"/>
        <v>650</v>
      </c>
      <c r="I1063" s="12">
        <f>ksh*Massivete/(H1063*RhoA)*DeltaT*(F1063+G1063)</f>
        <v>0.14664940809435803</v>
      </c>
      <c r="J1063" s="3">
        <f>IF(E1063&lt;=500,IF(Galva=Oui,0.35,0.7),0.7)</f>
        <v>0.7</v>
      </c>
    </row>
    <row r="1064" spans="2:10" x14ac:dyDescent="0.25">
      <c r="B1064" s="3">
        <f>B1063+DeltaT</f>
        <v>5235</v>
      </c>
      <c r="C1064" s="13">
        <f t="shared" si="74"/>
        <v>87.25</v>
      </c>
      <c r="D1064" s="11">
        <f t="shared" si="75"/>
        <v>1001.34462563226</v>
      </c>
      <c r="E1064" s="23">
        <f t="shared" si="72"/>
        <v>998.52659215916412</v>
      </c>
      <c r="F1064" s="23">
        <f>AlphaC*(D1064-E1064)</f>
        <v>70.450836827396301</v>
      </c>
      <c r="G1064" s="13">
        <f>Phi*EpsilonF*Botzman/10^8*J1064*((D1064+273)^4-(E1064+273)^4)</f>
        <v>922.79891750592549</v>
      </c>
      <c r="H1064" s="23">
        <f t="shared" si="73"/>
        <v>650</v>
      </c>
      <c r="I1064" s="12">
        <f>ksh*Massivete/(H1064*RhoA)*DeltaT*(F1064+G1064)</f>
        <v>0.1465045825211892</v>
      </c>
      <c r="J1064" s="3">
        <f>IF(E1064&lt;=500,IF(Galva=Oui,0.35,0.7),0.7)</f>
        <v>0.7</v>
      </c>
    </row>
    <row r="1065" spans="2:10" x14ac:dyDescent="0.25">
      <c r="B1065" s="3">
        <f>B1064+DeltaT</f>
        <v>5240</v>
      </c>
      <c r="C1065" s="13">
        <f t="shared" si="74"/>
        <v>87.333333333333329</v>
      </c>
      <c r="D1065" s="11">
        <f t="shared" si="75"/>
        <v>1001.4874584326444</v>
      </c>
      <c r="E1065" s="23">
        <f t="shared" si="72"/>
        <v>998.6730967416853</v>
      </c>
      <c r="F1065" s="23">
        <f>AlphaC*(D1065-E1065)</f>
        <v>70.359042273977934</v>
      </c>
      <c r="G1065" s="13">
        <f>Phi*EpsilonF*Botzman/10^8*J1065*((D1065+273)^4-(E1065+273)^4)</f>
        <v>921.91079823213488</v>
      </c>
      <c r="H1065" s="23">
        <f t="shared" si="73"/>
        <v>650</v>
      </c>
      <c r="I1065" s="12">
        <f>ksh*Massivete/(H1065*RhoA)*DeltaT*(F1065+G1065)</f>
        <v>0.14636004499119165</v>
      </c>
      <c r="J1065" s="3">
        <f>IF(E1065&lt;=500,IF(Galva=Oui,0.35,0.7),0.7)</f>
        <v>0.7</v>
      </c>
    </row>
    <row r="1066" spans="2:10" x14ac:dyDescent="0.25">
      <c r="B1066" s="3">
        <f>B1065+DeltaT</f>
        <v>5245</v>
      </c>
      <c r="C1066" s="13">
        <f t="shared" si="74"/>
        <v>87.416666666666671</v>
      </c>
      <c r="D1066" s="11">
        <f t="shared" si="75"/>
        <v>1001.6301552017701</v>
      </c>
      <c r="E1066" s="23">
        <f t="shared" si="72"/>
        <v>998.81945678667648</v>
      </c>
      <c r="F1066" s="23">
        <f>AlphaC*(D1066-E1066)</f>
        <v>70.267460377340285</v>
      </c>
      <c r="G1066" s="13">
        <f>Phi*EpsilonF*Botzman/10^8*J1066*((D1066+273)^4-(E1066+273)^4)</f>
        <v>921.02441327089821</v>
      </c>
      <c r="H1066" s="23">
        <f t="shared" si="73"/>
        <v>650</v>
      </c>
      <c r="I1066" s="12">
        <f>ksh*Massivete/(H1066*RhoA)*DeltaT*(F1066+G1066)</f>
        <v>0.14621579463964882</v>
      </c>
      <c r="J1066" s="3">
        <f>IF(E1066&lt;=500,IF(Galva=Oui,0.35,0.7),0.7)</f>
        <v>0.7</v>
      </c>
    </row>
    <row r="1067" spans="2:10" x14ac:dyDescent="0.25">
      <c r="B1067" s="3">
        <f>B1066+DeltaT</f>
        <v>5250</v>
      </c>
      <c r="C1067" s="13">
        <f t="shared" si="74"/>
        <v>87.5</v>
      </c>
      <c r="D1067" s="11">
        <f t="shared" si="75"/>
        <v>1001.7727161984972</v>
      </c>
      <c r="E1067" s="23">
        <f t="shared" si="72"/>
        <v>998.96567258131608</v>
      </c>
      <c r="F1067" s="23">
        <f>AlphaC*(D1067-E1067)</f>
        <v>70.176090429526994</v>
      </c>
      <c r="G1067" s="13">
        <f>Phi*EpsilonF*Botzman/10^8*J1067*((D1067+273)^4-(E1067+273)^4)</f>
        <v>920.13975749110091</v>
      </c>
      <c r="H1067" s="23">
        <f t="shared" si="73"/>
        <v>650</v>
      </c>
      <c r="I1067" s="12">
        <f>ksh*Massivete/(H1067*RhoA)*DeltaT*(F1067+G1067)</f>
        <v>0.14607183060529622</v>
      </c>
      <c r="J1067" s="3">
        <f>IF(E1067&lt;=500,IF(Galva=Oui,0.35,0.7),0.7)</f>
        <v>0.7</v>
      </c>
    </row>
    <row r="1068" spans="2:10" x14ac:dyDescent="0.25">
      <c r="B1068" s="3">
        <f>B1067+DeltaT</f>
        <v>5255</v>
      </c>
      <c r="C1068" s="13">
        <f t="shared" si="74"/>
        <v>87.583333333333329</v>
      </c>
      <c r="D1068" s="11">
        <f t="shared" si="75"/>
        <v>1001.9151416809483</v>
      </c>
      <c r="E1068" s="23">
        <f t="shared" si="72"/>
        <v>999.11174441192134</v>
      </c>
      <c r="F1068" s="23">
        <f>AlphaC*(D1068-E1068)</f>
        <v>70.084931725673982</v>
      </c>
      <c r="G1068" s="13">
        <f>Phi*EpsilonF*Botzman/10^8*J1068*((D1068+273)^4-(E1068+273)^4)</f>
        <v>919.25682578222904</v>
      </c>
      <c r="H1068" s="23">
        <f t="shared" si="73"/>
        <v>650</v>
      </c>
      <c r="I1068" s="12">
        <f>ksh*Massivete/(H1068*RhoA)*DeltaT*(F1068+G1068)</f>
        <v>0.14592815203036424</v>
      </c>
      <c r="J1068" s="3">
        <f>IF(E1068&lt;=500,IF(Galva=Oui,0.35,0.7),0.7)</f>
        <v>0.7</v>
      </c>
    </row>
    <row r="1069" spans="2:10" x14ac:dyDescent="0.25">
      <c r="B1069" s="3">
        <f>B1068+DeltaT</f>
        <v>5260</v>
      </c>
      <c r="C1069" s="13">
        <f t="shared" si="74"/>
        <v>87.666666666666671</v>
      </c>
      <c r="D1069" s="11">
        <f t="shared" si="75"/>
        <v>1002.0574319065109</v>
      </c>
      <c r="E1069" s="23">
        <f t="shared" si="72"/>
        <v>999.2576725639517</v>
      </c>
      <c r="F1069" s="23">
        <f>AlphaC*(D1069-E1069)</f>
        <v>69.993983563981033</v>
      </c>
      <c r="G1069" s="13">
        <f>Phi*EpsilonF*Botzman/10^8*J1069*((D1069+273)^4-(E1069+273)^4)</f>
        <v>918.37561305423401</v>
      </c>
      <c r="H1069" s="23">
        <f t="shared" si="73"/>
        <v>650</v>
      </c>
      <c r="I1069" s="12">
        <f>ksh*Massivete/(H1069*RhoA)*DeltaT*(F1069+G1069)</f>
        <v>0.14578475806055374</v>
      </c>
      <c r="J1069" s="3">
        <f>IF(E1069&lt;=500,IF(Galva=Oui,0.35,0.7),0.7)</f>
        <v>0.7</v>
      </c>
    </row>
    <row r="1070" spans="2:10" x14ac:dyDescent="0.25">
      <c r="B1070" s="3">
        <f>B1069+DeltaT</f>
        <v>5265</v>
      </c>
      <c r="C1070" s="13">
        <f t="shared" si="74"/>
        <v>87.75</v>
      </c>
      <c r="D1070" s="11">
        <f t="shared" si="75"/>
        <v>1002.1995871318393</v>
      </c>
      <c r="E1070" s="23">
        <f t="shared" si="72"/>
        <v>999.40345732201229</v>
      </c>
      <c r="F1070" s="23">
        <f>AlphaC*(D1070-E1070)</f>
        <v>69.903245245674839</v>
      </c>
      <c r="G1070" s="13">
        <f>Phi*EpsilonF*Botzman/10^8*J1070*((D1070+273)^4-(E1070+273)^4)</f>
        <v>917.49611423685383</v>
      </c>
      <c r="H1070" s="23">
        <f t="shared" si="73"/>
        <v>650</v>
      </c>
      <c r="I1070" s="12">
        <f>ksh*Massivete/(H1070*RhoA)*DeltaT*(F1070+G1070)</f>
        <v>0.14564164784493058</v>
      </c>
      <c r="J1070" s="3">
        <f>IF(E1070&lt;=500,IF(Galva=Oui,0.35,0.7),0.7)</f>
        <v>0.7</v>
      </c>
    </row>
    <row r="1071" spans="2:10" x14ac:dyDescent="0.25">
      <c r="B1071" s="3">
        <f>B1070+DeltaT</f>
        <v>5270</v>
      </c>
      <c r="C1071" s="13">
        <f t="shared" si="74"/>
        <v>87.833333333333329</v>
      </c>
      <c r="D1071" s="11">
        <f t="shared" si="75"/>
        <v>1002.3416076128578</v>
      </c>
      <c r="E1071" s="23">
        <f t="shared" si="72"/>
        <v>999.54909896985725</v>
      </c>
      <c r="F1071" s="23">
        <f>AlphaC*(D1071-E1071)</f>
        <v>69.812716075014691</v>
      </c>
      <c r="G1071" s="13">
        <f>Phi*EpsilonF*Botzman/10^8*J1071*((D1071+273)^4-(E1071+273)^4)</f>
        <v>916.61832428011746</v>
      </c>
      <c r="H1071" s="23">
        <f t="shared" si="73"/>
        <v>650</v>
      </c>
      <c r="I1071" s="12">
        <f>ksh*Massivete/(H1071*RhoA)*DeltaT*(F1071+G1071)</f>
        <v>0.14549882053600088</v>
      </c>
      <c r="J1071" s="3">
        <f>IF(E1071&lt;=500,IF(Galva=Oui,0.35,0.7),0.7)</f>
        <v>0.7</v>
      </c>
    </row>
    <row r="1072" spans="2:10" x14ac:dyDescent="0.25">
      <c r="B1072" s="3">
        <f>B1071+DeltaT</f>
        <v>5275</v>
      </c>
      <c r="C1072" s="13">
        <f t="shared" si="74"/>
        <v>87.916666666666671</v>
      </c>
      <c r="D1072" s="11">
        <f t="shared" si="75"/>
        <v>1002.4834936047645</v>
      </c>
      <c r="E1072" s="23">
        <f t="shared" si="72"/>
        <v>999.69459779039323</v>
      </c>
      <c r="F1072" s="23">
        <f>AlphaC*(D1072-E1072)</f>
        <v>69.722395359281109</v>
      </c>
      <c r="G1072" s="13">
        <f>Phi*EpsilonF*Botzman/10^8*J1072*((D1072+273)^4-(E1072+273)^4)</f>
        <v>915.74223815432515</v>
      </c>
      <c r="H1072" s="23">
        <f t="shared" si="73"/>
        <v>650</v>
      </c>
      <c r="I1072" s="12">
        <f>ksh*Massivete/(H1072*RhoA)*DeltaT*(F1072+G1072)</f>
        <v>0.1453562752897064</v>
      </c>
      <c r="J1072" s="3">
        <f>IF(E1072&lt;=500,IF(Galva=Oui,0.35,0.7),0.7)</f>
        <v>0.7</v>
      </c>
    </row>
    <row r="1073" spans="2:10" x14ac:dyDescent="0.25">
      <c r="B1073" s="3">
        <f>B1072+DeltaT</f>
        <v>5280</v>
      </c>
      <c r="C1073" s="13">
        <f t="shared" si="74"/>
        <v>88</v>
      </c>
      <c r="D1073" s="11">
        <f t="shared" si="75"/>
        <v>1002.6252453620325</v>
      </c>
      <c r="E1073" s="23">
        <f t="shared" si="72"/>
        <v>999.83995406568295</v>
      </c>
      <c r="F1073" s="23">
        <f>AlphaC*(D1073-E1073)</f>
        <v>69.632282408738888</v>
      </c>
      <c r="G1073" s="13">
        <f>Phi*EpsilonF*Botzman/10^8*J1073*((D1073+273)^4-(E1073+273)^4)</f>
        <v>914.86785084931216</v>
      </c>
      <c r="H1073" s="23">
        <f t="shared" si="73"/>
        <v>650</v>
      </c>
      <c r="I1073" s="12">
        <f>ksh*Massivete/(H1073*RhoA)*DeltaT*(F1073+G1073)</f>
        <v>0.14521401126531053</v>
      </c>
      <c r="J1073" s="3">
        <f>IF(E1073&lt;=500,IF(Galva=Oui,0.35,0.7),0.7)</f>
        <v>0.7</v>
      </c>
    </row>
    <row r="1074" spans="2:10" x14ac:dyDescent="0.25">
      <c r="B1074" s="3">
        <f>B1073+DeltaT</f>
        <v>5285</v>
      </c>
      <c r="C1074" s="13">
        <f t="shared" si="74"/>
        <v>88.083333333333329</v>
      </c>
      <c r="D1074" s="11">
        <f t="shared" si="75"/>
        <v>1002.7668631384136</v>
      </c>
      <c r="E1074" s="23">
        <f t="shared" si="72"/>
        <v>999.9851680769483</v>
      </c>
      <c r="F1074" s="23">
        <f>AlphaC*(D1074-E1074)</f>
        <v>69.542376536631423</v>
      </c>
      <c r="G1074" s="13">
        <f>Phi*EpsilonF*Botzman/10^8*J1074*((D1074+273)^4-(E1074+273)^4)</f>
        <v>913.99515737473905</v>
      </c>
      <c r="H1074" s="23">
        <f t="shared" si="73"/>
        <v>650</v>
      </c>
      <c r="I1074" s="12">
        <f>ksh*Massivete/(H1074*RhoA)*DeltaT*(F1074+G1074)</f>
        <v>0.14507202762544014</v>
      </c>
      <c r="J1074" s="3">
        <f>IF(E1074&lt;=500,IF(Galva=Oui,0.35,0.7),0.7)</f>
        <v>0.7</v>
      </c>
    </row>
    <row r="1075" spans="2:10" x14ac:dyDescent="0.25">
      <c r="B1075" s="3">
        <f>B1074+DeltaT</f>
        <v>5290</v>
      </c>
      <c r="C1075" s="13">
        <f t="shared" si="74"/>
        <v>88.166666666666671</v>
      </c>
      <c r="D1075" s="11">
        <f t="shared" si="75"/>
        <v>1002.9083471869405</v>
      </c>
      <c r="E1075" s="23">
        <f t="shared" si="72"/>
        <v>1000.1302401045738</v>
      </c>
      <c r="F1075" s="23">
        <f>AlphaC*(D1075-E1075)</f>
        <v>69.452677059169332</v>
      </c>
      <c r="G1075" s="13">
        <f>Phi*EpsilonF*Botzman/10^8*J1075*((D1075+273)^4-(E1075+273)^4)</f>
        <v>913.12415276042202</v>
      </c>
      <c r="H1075" s="23">
        <f t="shared" si="73"/>
        <v>650</v>
      </c>
      <c r="I1075" s="12">
        <f>ksh*Massivete/(H1075*RhoA)*DeltaT*(F1075+G1075)</f>
        <v>0.14493032353613283</v>
      </c>
      <c r="J1075" s="3">
        <f>IF(E1075&lt;=500,IF(Galva=Oui,0.35,0.7),0.7)</f>
        <v>0.7</v>
      </c>
    </row>
    <row r="1076" spans="2:10" x14ac:dyDescent="0.25">
      <c r="B1076" s="3">
        <f>B1075+DeltaT</f>
        <v>5295</v>
      </c>
      <c r="C1076" s="13">
        <f t="shared" si="74"/>
        <v>88.25</v>
      </c>
      <c r="D1076" s="11">
        <f t="shared" si="75"/>
        <v>1003.0496977599302</v>
      </c>
      <c r="E1076" s="23">
        <f t="shared" ref="E1076:E1139" si="76">E1075+I1075</f>
        <v>1000.27517042811</v>
      </c>
      <c r="F1076" s="23">
        <f>AlphaC*(D1076-E1076)</f>
        <v>69.363183295504882</v>
      </c>
      <c r="G1076" s="13">
        <f>Phi*EpsilonF*Botzman/10^8*J1076*((D1076+273)^4-(E1076+273)^4)</f>
        <v>912.25483205507203</v>
      </c>
      <c r="H1076" s="23">
        <f t="shared" ref="H1076:H1139" si="77">IF(E1076&lt;600,425+0.773*E1076-1.69/1000*E1076^2+2.22/1000^2*E1076^3,IF(E1076&lt;735,666+13002/(738-E1076),IF(E1076&lt;900,545+17820/(E1076-731),650)))</f>
        <v>650</v>
      </c>
      <c r="I1076" s="12">
        <f>ksh*Massivete/(H1076*RhoA)*DeltaT*(F1076+G1076)</f>
        <v>0.14478889816664708</v>
      </c>
      <c r="J1076" s="3">
        <f>IF(E1076&lt;=500,IF(Galva=Oui,0.35,0.7),0.7)</f>
        <v>0.7</v>
      </c>
    </row>
    <row r="1077" spans="2:10" x14ac:dyDescent="0.25">
      <c r="B1077" s="3">
        <f>B1076+DeltaT</f>
        <v>5300</v>
      </c>
      <c r="C1077" s="13">
        <f t="shared" si="74"/>
        <v>88.333333333333329</v>
      </c>
      <c r="D1077" s="11">
        <f t="shared" si="75"/>
        <v>1003.190915108986</v>
      </c>
      <c r="E1077" s="23">
        <f t="shared" si="76"/>
        <v>1000.4199593262766</v>
      </c>
      <c r="F1077" s="23">
        <f>AlphaC*(D1077-E1077)</f>
        <v>69.273894567734828</v>
      </c>
      <c r="G1077" s="13">
        <f>Phi*EpsilonF*Botzman/10^8*J1077*((D1077+273)^4-(E1077+273)^4)</f>
        <v>911.38719032774941</v>
      </c>
      <c r="H1077" s="23">
        <f t="shared" si="77"/>
        <v>650</v>
      </c>
      <c r="I1077" s="12">
        <f>ksh*Massivete/(H1077*RhoA)*DeltaT*(F1077+G1077)</f>
        <v>0.14464775068967714</v>
      </c>
      <c r="J1077" s="3">
        <f>IF(E1077&lt;=500,IF(Galva=Oui,0.35,0.7),0.7)</f>
        <v>0.7</v>
      </c>
    </row>
    <row r="1078" spans="2:10" x14ac:dyDescent="0.25">
      <c r="B1078" s="3">
        <f>B1077+DeltaT</f>
        <v>5305</v>
      </c>
      <c r="C1078" s="13">
        <f t="shared" si="74"/>
        <v>88.416666666666671</v>
      </c>
      <c r="D1078" s="11">
        <f t="shared" si="75"/>
        <v>1003.3319994850003</v>
      </c>
      <c r="E1078" s="23">
        <f t="shared" si="76"/>
        <v>1000.5646070769664</v>
      </c>
      <c r="F1078" s="23">
        <f>AlphaC*(D1078-E1078)</f>
        <v>69.184810200849256</v>
      </c>
      <c r="G1078" s="13">
        <f>Phi*EpsilonF*Botzman/10^8*J1078*((D1078+273)^4-(E1078+273)^4)</f>
        <v>910.52122266615777</v>
      </c>
      <c r="H1078" s="23">
        <f t="shared" si="77"/>
        <v>650</v>
      </c>
      <c r="I1078" s="12">
        <f>ksh*Massivete/(H1078*RhoA)*DeltaT*(F1078+G1078)</f>
        <v>0.14450688028109396</v>
      </c>
      <c r="J1078" s="3">
        <f>IF(E1078&lt;=500,IF(Galva=Oui,0.35,0.7),0.7)</f>
        <v>0.7</v>
      </c>
    </row>
    <row r="1079" spans="2:10" x14ac:dyDescent="0.25">
      <c r="B1079" s="3">
        <f>B1078+DeltaT</f>
        <v>5310</v>
      </c>
      <c r="C1079" s="13">
        <f t="shared" si="74"/>
        <v>88.5</v>
      </c>
      <c r="D1079" s="11">
        <f t="shared" si="75"/>
        <v>1003.4729511381578</v>
      </c>
      <c r="E1079" s="23">
        <f t="shared" si="76"/>
        <v>1000.7091139572475</v>
      </c>
      <c r="F1079" s="23">
        <f>AlphaC*(D1079-E1079)</f>
        <v>69.09592952275716</v>
      </c>
      <c r="G1079" s="13">
        <f>Phi*EpsilonF*Botzman/10^8*J1079*((D1079+273)^4-(E1079+273)^4)</f>
        <v>909.65692417767104</v>
      </c>
      <c r="H1079" s="23">
        <f t="shared" si="77"/>
        <v>650</v>
      </c>
      <c r="I1079" s="12">
        <f>ksh*Massivete/(H1079*RhoA)*DeltaT*(F1079+G1079)</f>
        <v>0.14436628612010044</v>
      </c>
      <c r="J1079" s="3">
        <f>IF(E1079&lt;=500,IF(Galva=Oui,0.35,0.7),0.7)</f>
        <v>0.7</v>
      </c>
    </row>
    <row r="1080" spans="2:10" x14ac:dyDescent="0.25">
      <c r="B1080" s="3">
        <f>B1079+DeltaT</f>
        <v>5315</v>
      </c>
      <c r="C1080" s="13">
        <f t="shared" si="74"/>
        <v>88.583333333333329</v>
      </c>
      <c r="D1080" s="11">
        <f t="shared" si="75"/>
        <v>1003.6137703179377</v>
      </c>
      <c r="E1080" s="23">
        <f t="shared" si="76"/>
        <v>1000.8534802433676</v>
      </c>
      <c r="F1080" s="23">
        <f>AlphaC*(D1080-E1080)</f>
        <v>69.007251864252339</v>
      </c>
      <c r="G1080" s="13">
        <f>Phi*EpsilonF*Botzman/10^8*J1080*((D1080+273)^4-(E1080+273)^4)</f>
        <v>908.79428998910169</v>
      </c>
      <c r="H1080" s="23">
        <f t="shared" si="77"/>
        <v>650</v>
      </c>
      <c r="I1080" s="12">
        <f>ksh*Massivete/(H1080*RhoA)*DeltaT*(F1080+G1080)</f>
        <v>0.14422596738919211</v>
      </c>
      <c r="J1080" s="3">
        <f>IF(E1080&lt;=500,IF(Galva=Oui,0.35,0.7),0.7)</f>
        <v>0.7</v>
      </c>
    </row>
    <row r="1081" spans="2:10" x14ac:dyDescent="0.25">
      <c r="B1081" s="3">
        <f>B1080+DeltaT</f>
        <v>5320</v>
      </c>
      <c r="C1081" s="13">
        <f t="shared" si="74"/>
        <v>88.666666666666671</v>
      </c>
      <c r="D1081" s="11">
        <f t="shared" si="75"/>
        <v>1003.7544572731159</v>
      </c>
      <c r="E1081" s="23">
        <f t="shared" si="76"/>
        <v>1000.9977062107567</v>
      </c>
      <c r="F1081" s="23">
        <f>AlphaC*(D1081-E1081)</f>
        <v>68.918776558979289</v>
      </c>
      <c r="G1081" s="13">
        <f>Phi*EpsilonF*Botzman/10^8*J1081*((D1081+273)^4-(E1081+273)^4)</f>
        <v>907.93331524590508</v>
      </c>
      <c r="H1081" s="23">
        <f t="shared" si="77"/>
        <v>650</v>
      </c>
      <c r="I1081" s="12">
        <f>ksh*Massivete/(H1081*RhoA)*DeltaT*(F1081+G1081)</f>
        <v>0.14408592327403486</v>
      </c>
      <c r="J1081" s="3">
        <f>IF(E1081&lt;=500,IF(Galva=Oui,0.35,0.7),0.7)</f>
        <v>0.7</v>
      </c>
    </row>
    <row r="1082" spans="2:10" x14ac:dyDescent="0.25">
      <c r="B1082" s="3">
        <f>B1081+DeltaT</f>
        <v>5325</v>
      </c>
      <c r="C1082" s="13">
        <f t="shared" si="74"/>
        <v>88.75</v>
      </c>
      <c r="D1082" s="11">
        <f t="shared" si="75"/>
        <v>1003.8950122517693</v>
      </c>
      <c r="E1082" s="23">
        <f t="shared" si="76"/>
        <v>1001.1417921340308</v>
      </c>
      <c r="F1082" s="23">
        <f>AlphaC*(D1082-E1082)</f>
        <v>68.830502943464467</v>
      </c>
      <c r="G1082" s="13">
        <f>Phi*EpsilonF*Botzman/10^8*J1082*((D1082+273)^4-(E1082+273)^4)</f>
        <v>907.07399511318829</v>
      </c>
      <c r="H1082" s="23">
        <f t="shared" si="77"/>
        <v>650</v>
      </c>
      <c r="I1082" s="12">
        <f>ksh*Massivete/(H1082*RhoA)*DeltaT*(F1082+G1082)</f>
        <v>0.14394615296361826</v>
      </c>
      <c r="J1082" s="3">
        <f>IF(E1082&lt;=500,IF(Galva=Oui,0.35,0.7),0.7)</f>
        <v>0.7</v>
      </c>
    </row>
    <row r="1083" spans="2:10" x14ac:dyDescent="0.25">
      <c r="B1083" s="3">
        <f>B1082+DeltaT</f>
        <v>5330</v>
      </c>
      <c r="C1083" s="13">
        <f t="shared" si="74"/>
        <v>88.833333333333329</v>
      </c>
      <c r="D1083" s="11">
        <f t="shared" si="75"/>
        <v>1004.0354355012762</v>
      </c>
      <c r="E1083" s="23">
        <f t="shared" si="76"/>
        <v>1001.2857382869944</v>
      </c>
      <c r="F1083" s="23">
        <f>AlphaC*(D1083-E1083)</f>
        <v>68.742430357045237</v>
      </c>
      <c r="G1083" s="13">
        <f>Phi*EpsilonF*Botzman/10^8*J1083*((D1083+273)^4-(E1083+273)^4)</f>
        <v>906.21632477423634</v>
      </c>
      <c r="H1083" s="23">
        <f t="shared" si="77"/>
        <v>650</v>
      </c>
      <c r="I1083" s="12">
        <f>ksh*Massivete/(H1083*RhoA)*DeltaT*(F1083+G1083)</f>
        <v>0.14380665565002781</v>
      </c>
      <c r="J1083" s="3">
        <f>IF(E1083&lt;=500,IF(Galva=Oui,0.35,0.7),0.7)</f>
        <v>0.7</v>
      </c>
    </row>
    <row r="1084" spans="2:10" x14ac:dyDescent="0.25">
      <c r="B1084" s="3">
        <f>B1083+DeltaT</f>
        <v>5335</v>
      </c>
      <c r="C1084" s="13">
        <f t="shared" si="74"/>
        <v>88.916666666666671</v>
      </c>
      <c r="D1084" s="11">
        <f t="shared" si="75"/>
        <v>1004.1757272683202</v>
      </c>
      <c r="E1084" s="23">
        <f t="shared" si="76"/>
        <v>1001.4295449426444</v>
      </c>
      <c r="F1084" s="23">
        <f>AlphaC*(D1084-E1084)</f>
        <v>68.65455814189545</v>
      </c>
      <c r="G1084" s="13">
        <f>Phi*EpsilonF*Botzman/10^8*J1084*((D1084+273)^4-(E1084+273)^4)</f>
        <v>905.3602994316368</v>
      </c>
      <c r="H1084" s="23">
        <f t="shared" si="77"/>
        <v>650</v>
      </c>
      <c r="I1084" s="12">
        <f>ksh*Massivete/(H1084*RhoA)*DeltaT*(F1084+G1084)</f>
        <v>0.14366743052861447</v>
      </c>
      <c r="J1084" s="3">
        <f>IF(E1084&lt;=500,IF(Galva=Oui,0.35,0.7),0.7)</f>
        <v>0.7</v>
      </c>
    </row>
    <row r="1085" spans="2:10" x14ac:dyDescent="0.25">
      <c r="B1085" s="3">
        <f>B1084+DeltaT</f>
        <v>5340</v>
      </c>
      <c r="C1085" s="13">
        <f t="shared" si="74"/>
        <v>89</v>
      </c>
      <c r="D1085" s="11">
        <f t="shared" si="75"/>
        <v>1004.3158877988935</v>
      </c>
      <c r="E1085" s="23">
        <f t="shared" si="76"/>
        <v>1001.573212373173</v>
      </c>
      <c r="F1085" s="23">
        <f>AlphaC*(D1085-E1085)</f>
        <v>68.566885643014075</v>
      </c>
      <c r="G1085" s="13">
        <f>Phi*EpsilonF*Botzman/10^8*J1085*((D1085+273)^4-(E1085+273)^4)</f>
        <v>904.50591430696954</v>
      </c>
      <c r="H1085" s="23">
        <f t="shared" si="77"/>
        <v>650</v>
      </c>
      <c r="I1085" s="12">
        <f>ksh*Massivete/(H1085*RhoA)*DeltaT*(F1085+G1085)</f>
        <v>0.14352847679794725</v>
      </c>
      <c r="J1085" s="3">
        <f>IF(E1085&lt;=500,IF(Galva=Oui,0.35,0.7),0.7)</f>
        <v>0.7</v>
      </c>
    </row>
    <row r="1086" spans="2:10" x14ac:dyDescent="0.25">
      <c r="B1086" s="3">
        <f>B1085+DeltaT</f>
        <v>5345</v>
      </c>
      <c r="C1086" s="13">
        <f t="shared" si="74"/>
        <v>89.083333333333329</v>
      </c>
      <c r="D1086" s="11">
        <f t="shared" si="75"/>
        <v>1004.4559173382975</v>
      </c>
      <c r="E1086" s="23">
        <f t="shared" si="76"/>
        <v>1001.716740849971</v>
      </c>
      <c r="F1086" s="23">
        <f>AlphaC*(D1086-E1086)</f>
        <v>68.479412208162671</v>
      </c>
      <c r="G1086" s="13">
        <f>Phi*EpsilonF*Botzman/10^8*J1086*((D1086+273)^4-(E1086+273)^4)</f>
        <v>903.65316463991508</v>
      </c>
      <c r="H1086" s="23">
        <f t="shared" si="77"/>
        <v>650</v>
      </c>
      <c r="I1086" s="12">
        <f>ksh*Massivete/(H1086*RhoA)*DeltaT*(F1086+G1086)</f>
        <v>0.14338979365967258</v>
      </c>
      <c r="J1086" s="3">
        <f>IF(E1086&lt;=500,IF(Galva=Oui,0.35,0.7),0.7)</f>
        <v>0.7</v>
      </c>
    </row>
    <row r="1087" spans="2:10" x14ac:dyDescent="0.25">
      <c r="B1087" s="3">
        <f>B1086+DeltaT</f>
        <v>5350</v>
      </c>
      <c r="C1087" s="13">
        <f t="shared" si="74"/>
        <v>89.166666666666671</v>
      </c>
      <c r="D1087" s="11">
        <f t="shared" si="75"/>
        <v>1004.5958161311473</v>
      </c>
      <c r="E1087" s="23">
        <f t="shared" si="76"/>
        <v>1001.8601306436307</v>
      </c>
      <c r="F1087" s="23">
        <f>AlphaC*(D1087-E1087)</f>
        <v>68.392137187916546</v>
      </c>
      <c r="G1087" s="13">
        <f>Phi*EpsilonF*Botzman/10^8*J1087*((D1087+273)^4-(E1087+273)^4)</f>
        <v>902.8020456890689</v>
      </c>
      <c r="H1087" s="23">
        <f t="shared" si="77"/>
        <v>650</v>
      </c>
      <c r="I1087" s="12">
        <f>ksh*Massivete/(H1087*RhoA)*DeltaT*(F1087+G1087)</f>
        <v>0.14325138031864179</v>
      </c>
      <c r="J1087" s="3">
        <f>IF(E1087&lt;=500,IF(Galva=Oui,0.35,0.7),0.7)</f>
        <v>0.7</v>
      </c>
    </row>
    <row r="1088" spans="2:10" x14ac:dyDescent="0.25">
      <c r="B1088" s="3">
        <f>B1087+DeltaT</f>
        <v>5355</v>
      </c>
      <c r="C1088" s="13">
        <f t="shared" si="74"/>
        <v>89.25</v>
      </c>
      <c r="D1088" s="11">
        <f t="shared" si="75"/>
        <v>1004.7355844213727</v>
      </c>
      <c r="E1088" s="23">
        <f t="shared" si="76"/>
        <v>1002.0033820239493</v>
      </c>
      <c r="F1088" s="23">
        <f>AlphaC*(D1088-E1088)</f>
        <v>68.305059935585177</v>
      </c>
      <c r="G1088" s="13">
        <f>Phi*EpsilonF*Botzman/10^8*J1088*((D1088+273)^4-(E1088+273)^4)</f>
        <v>901.95255273147598</v>
      </c>
      <c r="H1088" s="23">
        <f t="shared" si="77"/>
        <v>650</v>
      </c>
      <c r="I1088" s="12">
        <f>ksh*Massivete/(H1088*RhoA)*DeltaT*(F1088+G1088)</f>
        <v>0.14311323598283088</v>
      </c>
      <c r="J1088" s="3">
        <f>IF(E1088&lt;=500,IF(Galva=Oui,0.35,0.7),0.7)</f>
        <v>0.7</v>
      </c>
    </row>
    <row r="1089" spans="2:10" x14ac:dyDescent="0.25">
      <c r="B1089" s="3">
        <f>B1088+DeltaT</f>
        <v>5360</v>
      </c>
      <c r="C1089" s="13">
        <f t="shared" si="74"/>
        <v>89.333333333333329</v>
      </c>
      <c r="D1089" s="11">
        <f t="shared" si="75"/>
        <v>1004.875222452222</v>
      </c>
      <c r="E1089" s="23">
        <f t="shared" si="76"/>
        <v>1002.1464952599321</v>
      </c>
      <c r="F1089" s="23">
        <f>AlphaC*(D1089-E1089)</f>
        <v>68.218179807249157</v>
      </c>
      <c r="G1089" s="13">
        <f>Phi*EpsilonF*Botzman/10^8*J1089*((D1089+273)^4-(E1089+273)^4)</f>
        <v>901.10468106245662</v>
      </c>
      <c r="H1089" s="23">
        <f t="shared" si="77"/>
        <v>650</v>
      </c>
      <c r="I1089" s="12">
        <f>ksh*Massivete/(H1089*RhoA)*DeltaT*(F1089+G1089)</f>
        <v>0.14297535986332013</v>
      </c>
      <c r="J1089" s="3">
        <f>IF(E1089&lt;=500,IF(Galva=Oui,0.35,0.7),0.7)</f>
        <v>0.7</v>
      </c>
    </row>
    <row r="1090" spans="2:10" x14ac:dyDescent="0.25">
      <c r="B1090" s="3">
        <f>B1089+DeltaT</f>
        <v>5365</v>
      </c>
      <c r="C1090" s="13">
        <f t="shared" si="74"/>
        <v>89.416666666666671</v>
      </c>
      <c r="D1090" s="11">
        <f t="shared" si="75"/>
        <v>1005.0147304662644</v>
      </c>
      <c r="E1090" s="23">
        <f t="shared" si="76"/>
        <v>1002.2894706197953</v>
      </c>
      <c r="F1090" s="23">
        <f>AlphaC*(D1090-E1090)</f>
        <v>68.131496161726091</v>
      </c>
      <c r="G1090" s="13">
        <f>Phi*EpsilonF*Botzman/10^8*J1090*((D1090+273)^4-(E1090+273)^4)</f>
        <v>900.25842599589691</v>
      </c>
      <c r="H1090" s="23">
        <f t="shared" si="77"/>
        <v>650</v>
      </c>
      <c r="I1090" s="12">
        <f>ksh*Massivete/(H1090*RhoA)*DeltaT*(F1090+G1090)</f>
        <v>0.14283775117433206</v>
      </c>
      <c r="J1090" s="3">
        <f>IF(E1090&lt;=500,IF(Galva=Oui,0.35,0.7),0.7)</f>
        <v>0.7</v>
      </c>
    </row>
    <row r="1091" spans="2:10" x14ac:dyDescent="0.25">
      <c r="B1091" s="3">
        <f>B1090+DeltaT</f>
        <v>5370</v>
      </c>
      <c r="C1091" s="13">
        <f t="shared" si="74"/>
        <v>89.5</v>
      </c>
      <c r="D1091" s="11">
        <f t="shared" si="75"/>
        <v>1005.1541087053909</v>
      </c>
      <c r="E1091" s="23">
        <f t="shared" si="76"/>
        <v>1002.4323083709696</v>
      </c>
      <c r="F1091" s="23">
        <f>AlphaC*(D1091-E1091)</f>
        <v>68.045008360530801</v>
      </c>
      <c r="G1091" s="13">
        <f>Phi*EpsilonF*Botzman/10^8*J1091*((D1091+273)^4-(E1091+273)^4)</f>
        <v>899.41378286337704</v>
      </c>
      <c r="H1091" s="23">
        <f t="shared" si="77"/>
        <v>650</v>
      </c>
      <c r="I1091" s="12">
        <f>ksh*Massivete/(H1091*RhoA)*DeltaT*(F1091+G1091)</f>
        <v>0.14270040913309684</v>
      </c>
      <c r="J1091" s="3">
        <f>IF(E1091&lt;=500,IF(Galva=Oui,0.35,0.7),0.7)</f>
        <v>0.7</v>
      </c>
    </row>
    <row r="1092" spans="2:10" x14ac:dyDescent="0.25">
      <c r="B1092" s="3">
        <f>B1091+DeltaT</f>
        <v>5375</v>
      </c>
      <c r="C1092" s="13">
        <f t="shared" si="74"/>
        <v>89.583333333333329</v>
      </c>
      <c r="D1092" s="11">
        <f t="shared" si="75"/>
        <v>1005.2933574108196</v>
      </c>
      <c r="E1092" s="23">
        <f t="shared" si="76"/>
        <v>1002.5750087801027</v>
      </c>
      <c r="F1092" s="23">
        <f>AlphaC*(D1092-E1092)</f>
        <v>67.958715767920808</v>
      </c>
      <c r="G1092" s="13">
        <f>Phi*EpsilonF*Botzman/10^8*J1092*((D1092+273)^4-(E1092+273)^4)</f>
        <v>898.57074701523675</v>
      </c>
      <c r="H1092" s="23">
        <f t="shared" si="77"/>
        <v>650</v>
      </c>
      <c r="I1092" s="12">
        <f>ksh*Massivete/(H1092*RhoA)*DeltaT*(F1092+G1092)</f>
        <v>0.1425633329600163</v>
      </c>
      <c r="J1092" s="3">
        <f>IF(E1092&lt;=500,IF(Galva=Oui,0.35,0.7),0.7)</f>
        <v>0.7</v>
      </c>
    </row>
    <row r="1093" spans="2:10" x14ac:dyDescent="0.25">
      <c r="B1093" s="3">
        <f>B1092+DeltaT</f>
        <v>5380</v>
      </c>
      <c r="C1093" s="13">
        <f t="shared" si="74"/>
        <v>89.666666666666671</v>
      </c>
      <c r="D1093" s="11">
        <f t="shared" si="75"/>
        <v>1005.4324768230953</v>
      </c>
      <c r="E1093" s="23">
        <f t="shared" si="76"/>
        <v>1002.7175721130627</v>
      </c>
      <c r="F1093" s="23">
        <f>AlphaC*(D1093-E1093)</f>
        <v>67.872617750813902</v>
      </c>
      <c r="G1093" s="13">
        <f>Phi*EpsilonF*Botzman/10^8*J1093*((D1093+273)^4-(E1093+273)^4)</f>
        <v>897.72931381918011</v>
      </c>
      <c r="H1093" s="23">
        <f t="shared" si="77"/>
        <v>650</v>
      </c>
      <c r="I1093" s="12">
        <f>ksh*Massivete/(H1093*RhoA)*DeltaT*(F1093+G1093)</f>
        <v>0.1424265218784459</v>
      </c>
      <c r="J1093" s="3">
        <f>IF(E1093&lt;=500,IF(Galva=Oui,0.35,0.7),0.7)</f>
        <v>0.7</v>
      </c>
    </row>
    <row r="1094" spans="2:10" x14ac:dyDescent="0.25">
      <c r="B1094" s="3">
        <f>B1093+DeltaT</f>
        <v>5385</v>
      </c>
      <c r="C1094" s="13">
        <f t="shared" si="74"/>
        <v>89.75</v>
      </c>
      <c r="D1094" s="11">
        <f t="shared" si="75"/>
        <v>1005.5714671820945</v>
      </c>
      <c r="E1094" s="23">
        <f t="shared" si="76"/>
        <v>1002.8599986349411</v>
      </c>
      <c r="F1094" s="23">
        <f>AlphaC*(D1094-E1094)</f>
        <v>67.786713678833621</v>
      </c>
      <c r="G1094" s="13">
        <f>Phi*EpsilonF*Botzman/10^8*J1094*((D1094+273)^4-(E1094+273)^4)</f>
        <v>896.88947866141905</v>
      </c>
      <c r="H1094" s="23">
        <f t="shared" si="77"/>
        <v>650</v>
      </c>
      <c r="I1094" s="12">
        <f>ksh*Massivete/(H1094*RhoA)*DeltaT*(F1094+G1094)</f>
        <v>0.14228997511487002</v>
      </c>
      <c r="J1094" s="3">
        <f>IF(E1094&lt;=500,IF(Galva=Oui,0.35,0.7),0.7)</f>
        <v>0.7</v>
      </c>
    </row>
    <row r="1095" spans="2:10" x14ac:dyDescent="0.25">
      <c r="B1095" s="3">
        <f>B1094+DeltaT</f>
        <v>5390</v>
      </c>
      <c r="C1095" s="13">
        <f t="shared" si="74"/>
        <v>89.833333333333329</v>
      </c>
      <c r="D1095" s="11">
        <f t="shared" si="75"/>
        <v>1005.710328727026</v>
      </c>
      <c r="E1095" s="23">
        <f t="shared" si="76"/>
        <v>1003.002288610056</v>
      </c>
      <c r="F1095" s="23">
        <f>AlphaC*(D1095-E1095)</f>
        <v>67.701002924249565</v>
      </c>
      <c r="G1095" s="13">
        <f>Phi*EpsilonF*Botzman/10^8*J1095*((D1095+273)^4-(E1095+273)^4)</f>
        <v>896.05123694578174</v>
      </c>
      <c r="H1095" s="23">
        <f t="shared" si="77"/>
        <v>650</v>
      </c>
      <c r="I1095" s="12">
        <f>ksh*Massivete/(H1095*RhoA)*DeltaT*(F1095+G1095)</f>
        <v>0.14215369189876184</v>
      </c>
      <c r="J1095" s="3">
        <f>IF(E1095&lt;=500,IF(Galva=Oui,0.35,0.7),0.7)</f>
        <v>0.7</v>
      </c>
    </row>
    <row r="1096" spans="2:10" x14ac:dyDescent="0.25">
      <c r="B1096" s="3">
        <f>B1095+DeltaT</f>
        <v>5395</v>
      </c>
      <c r="C1096" s="13">
        <f t="shared" si="74"/>
        <v>89.916666666666671</v>
      </c>
      <c r="D1096" s="11">
        <f t="shared" si="75"/>
        <v>1005.8490616964347</v>
      </c>
      <c r="E1096" s="23">
        <f t="shared" si="76"/>
        <v>1003.1444423019548</v>
      </c>
      <c r="F1096" s="23">
        <f>AlphaC*(D1096-E1096)</f>
        <v>67.615484861997288</v>
      </c>
      <c r="G1096" s="13">
        <f>Phi*EpsilonF*Botzman/10^8*J1096*((D1096+273)^4-(E1096+273)^4)</f>
        <v>895.21458409379034</v>
      </c>
      <c r="H1096" s="23">
        <f t="shared" si="77"/>
        <v>650</v>
      </c>
      <c r="I1096" s="12">
        <f>ksh*Massivete/(H1096*RhoA)*DeltaT*(F1096+G1096)</f>
        <v>0.14201767146259758</v>
      </c>
      <c r="J1096" s="3">
        <f>IF(E1096&lt;=500,IF(Galva=Oui,0.35,0.7),0.7)</f>
        <v>0.7</v>
      </c>
    </row>
    <row r="1097" spans="2:10" x14ac:dyDescent="0.25">
      <c r="B1097" s="3">
        <f>B1096+DeltaT</f>
        <v>5400</v>
      </c>
      <c r="C1097" s="13">
        <f t="shared" si="74"/>
        <v>90</v>
      </c>
      <c r="D1097" s="11">
        <f t="shared" si="75"/>
        <v>1005.987666328203</v>
      </c>
      <c r="E1097" s="23">
        <f t="shared" si="76"/>
        <v>1003.2864599734173</v>
      </c>
      <c r="F1097" s="23">
        <f>AlphaC*(D1097-E1097)</f>
        <v>67.530158869641355</v>
      </c>
      <c r="G1097" s="13">
        <f>Phi*EpsilonF*Botzman/10^8*J1097*((D1097+273)^4-(E1097+273)^4)</f>
        <v>894.37951554489337</v>
      </c>
      <c r="H1097" s="23">
        <f t="shared" si="77"/>
        <v>650</v>
      </c>
      <c r="I1097" s="12">
        <f>ksh*Massivete/(H1097*RhoA)*DeltaT*(F1097+G1097)</f>
        <v>0.14188191304188544</v>
      </c>
      <c r="J1097" s="3">
        <f>IF(E1097&lt;=500,IF(Galva=Oui,0.35,0.7),0.7)</f>
        <v>0.7</v>
      </c>
    </row>
    <row r="1098" spans="2:10" x14ac:dyDescent="0.25">
      <c r="B1098" s="3">
        <f>B1097+DeltaT</f>
        <v>5405</v>
      </c>
      <c r="C1098" s="13">
        <f t="shared" si="74"/>
        <v>90.083333333333329</v>
      </c>
      <c r="D1098" s="11">
        <f t="shared" si="75"/>
        <v>1006.1261428595539</v>
      </c>
      <c r="E1098" s="23">
        <f t="shared" si="76"/>
        <v>1003.4283418864592</v>
      </c>
      <c r="F1098" s="23">
        <f>AlphaC*(D1098-E1098)</f>
        <v>67.445024327366809</v>
      </c>
      <c r="G1098" s="13">
        <f>Phi*EpsilonF*Botzman/10^8*J1098*((D1098+273)^4-(E1098+273)^4)</f>
        <v>893.54602675580657</v>
      </c>
      <c r="H1098" s="23">
        <f t="shared" si="77"/>
        <v>650</v>
      </c>
      <c r="I1098" s="12">
        <f>ksh*Massivete/(H1098*RhoA)*DeltaT*(F1098+G1098)</f>
        <v>0.14174641587506695</v>
      </c>
      <c r="J1098" s="3">
        <f>IF(E1098&lt;=500,IF(Galva=Oui,0.35,0.7),0.7)</f>
        <v>0.7</v>
      </c>
    </row>
    <row r="1099" spans="2:10" x14ac:dyDescent="0.25">
      <c r="B1099" s="3">
        <f>B1098+DeltaT</f>
        <v>5410</v>
      </c>
      <c r="C1099" s="13">
        <f t="shared" si="74"/>
        <v>90.166666666666671</v>
      </c>
      <c r="D1099" s="11">
        <f t="shared" si="75"/>
        <v>1006.2644915270536</v>
      </c>
      <c r="E1099" s="23">
        <f t="shared" si="76"/>
        <v>1003.5700883023343</v>
      </c>
      <c r="F1099" s="23">
        <f>AlphaC*(D1099-E1099)</f>
        <v>67.360080617982021</v>
      </c>
      <c r="G1099" s="13">
        <f>Phi*EpsilonF*Botzman/10^8*J1099*((D1099+273)^4-(E1099+273)^4)</f>
        <v>892.71411320105608</v>
      </c>
      <c r="H1099" s="23">
        <f t="shared" si="77"/>
        <v>650</v>
      </c>
      <c r="I1099" s="12">
        <f>ksh*Massivete/(H1099*RhoA)*DeltaT*(F1099+G1099)</f>
        <v>0.14161117920359773</v>
      </c>
      <c r="J1099" s="3">
        <f>IF(E1099&lt;=500,IF(Galva=Oui,0.35,0.7),0.7)</f>
        <v>0.7</v>
      </c>
    </row>
    <row r="1100" spans="2:10" x14ac:dyDescent="0.25">
      <c r="B1100" s="3">
        <f>B1099+DeltaT</f>
        <v>5415</v>
      </c>
      <c r="C1100" s="13">
        <f t="shared" si="74"/>
        <v>90.25</v>
      </c>
      <c r="D1100" s="11">
        <f t="shared" si="75"/>
        <v>1006.402712566613</v>
      </c>
      <c r="E1100" s="23">
        <f t="shared" si="76"/>
        <v>1003.7116994815378</v>
      </c>
      <c r="F1100" s="23">
        <f>AlphaC*(D1100-E1100)</f>
        <v>67.275327126878892</v>
      </c>
      <c r="G1100" s="13">
        <f>Phi*EpsilonF*Botzman/10^8*J1100*((D1100+273)^4-(E1100+273)^4)</f>
        <v>891.88377037243549</v>
      </c>
      <c r="H1100" s="23">
        <f t="shared" si="77"/>
        <v>650</v>
      </c>
      <c r="I1100" s="12">
        <f>ksh*Massivete/(H1100*RhoA)*DeltaT*(F1100+G1100)</f>
        <v>0.14147620227186136</v>
      </c>
      <c r="J1100" s="3">
        <f>IF(E1100&lt;=500,IF(Galva=Oui,0.35,0.7),0.7)</f>
        <v>0.7</v>
      </c>
    </row>
    <row r="1101" spans="2:10" x14ac:dyDescent="0.25">
      <c r="B1101" s="3">
        <f>B1100+DeltaT</f>
        <v>5420</v>
      </c>
      <c r="C1101" s="13">
        <f t="shared" si="74"/>
        <v>90.333333333333329</v>
      </c>
      <c r="D1101" s="11">
        <f t="shared" si="75"/>
        <v>1006.5408062134912</v>
      </c>
      <c r="E1101" s="23">
        <f t="shared" si="76"/>
        <v>1003.8531756838097</v>
      </c>
      <c r="F1101" s="23">
        <f>AlphaC*(D1101-E1101)</f>
        <v>67.190763242038543</v>
      </c>
      <c r="G1101" s="13">
        <f>Phi*EpsilonF*Botzman/10^8*J1101*((D1101+273)^4-(E1101+273)^4)</f>
        <v>891.05499377908313</v>
      </c>
      <c r="H1101" s="23">
        <f t="shared" si="77"/>
        <v>650</v>
      </c>
      <c r="I1101" s="12">
        <f>ksh*Massivete/(H1101*RhoA)*DeltaT*(F1101+G1101)</f>
        <v>0.14134148432718174</v>
      </c>
      <c r="J1101" s="3">
        <f>IF(E1101&lt;=500,IF(Galva=Oui,0.35,0.7),0.7)</f>
        <v>0.7</v>
      </c>
    </row>
    <row r="1102" spans="2:10" x14ac:dyDescent="0.25">
      <c r="B1102" s="3">
        <f>B1101+DeltaT</f>
        <v>5425</v>
      </c>
      <c r="C1102" s="13">
        <f t="shared" si="74"/>
        <v>90.416666666666671</v>
      </c>
      <c r="D1102" s="11">
        <f t="shared" si="75"/>
        <v>1006.6787727022974</v>
      </c>
      <c r="E1102" s="23">
        <f t="shared" si="76"/>
        <v>1003.9945171681369</v>
      </c>
      <c r="F1102" s="23">
        <f>AlphaC*(D1102-E1102)</f>
        <v>67.106388354011415</v>
      </c>
      <c r="G1102" s="13">
        <f>Phi*EpsilonF*Botzman/10^8*J1102*((D1102+273)^4-(E1102+273)^4)</f>
        <v>890.22777894754086</v>
      </c>
      <c r="H1102" s="23">
        <f t="shared" si="77"/>
        <v>650</v>
      </c>
      <c r="I1102" s="12">
        <f>ksh*Massivete/(H1102*RhoA)*DeltaT*(F1102+G1102)</f>
        <v>0.14120702461982873</v>
      </c>
      <c r="J1102" s="3">
        <f>IF(E1102&lt;=500,IF(Galva=Oui,0.35,0.7),0.7)</f>
        <v>0.7</v>
      </c>
    </row>
    <row r="1103" spans="2:10" x14ac:dyDescent="0.25">
      <c r="B1103" s="3">
        <f>B1102+DeltaT</f>
        <v>5430</v>
      </c>
      <c r="C1103" s="13">
        <f t="shared" si="74"/>
        <v>90.5</v>
      </c>
      <c r="D1103" s="11">
        <f t="shared" si="75"/>
        <v>1006.8166122669928</v>
      </c>
      <c r="E1103" s="23">
        <f t="shared" si="76"/>
        <v>1004.1357241927567</v>
      </c>
      <c r="F1103" s="23">
        <f>AlphaC*(D1103-E1103)</f>
        <v>67.022201855903063</v>
      </c>
      <c r="G1103" s="13">
        <f>Phi*EpsilonF*Botzman/10^8*J1103*((D1103+273)^4-(E1103+273)^4)</f>
        <v>889.4021214211914</v>
      </c>
      <c r="H1103" s="23">
        <f t="shared" si="77"/>
        <v>650</v>
      </c>
      <c r="I1103" s="12">
        <f>ksh*Massivete/(H1103*RhoA)*DeltaT*(F1103+G1103)</f>
        <v>0.14107282240293306</v>
      </c>
      <c r="J1103" s="3">
        <f>IF(E1103&lt;=500,IF(Galva=Oui,0.35,0.7),0.7)</f>
        <v>0.7</v>
      </c>
    </row>
    <row r="1104" spans="2:10" x14ac:dyDescent="0.25">
      <c r="B1104" s="3">
        <f>B1103+DeltaT</f>
        <v>5435</v>
      </c>
      <c r="C1104" s="13">
        <f t="shared" si="74"/>
        <v>90.583333333333329</v>
      </c>
      <c r="D1104" s="11">
        <f t="shared" si="75"/>
        <v>1006.9543251408938</v>
      </c>
      <c r="E1104" s="23">
        <f t="shared" si="76"/>
        <v>1004.2767970151597</v>
      </c>
      <c r="F1104" s="23">
        <f>AlphaC*(D1104-E1104)</f>
        <v>66.938203143354258</v>
      </c>
      <c r="G1104" s="13">
        <f>Phi*EpsilonF*Botzman/10^8*J1104*((D1104+273)^4-(E1104+273)^4)</f>
        <v>888.57801676085921</v>
      </c>
      <c r="H1104" s="23">
        <f t="shared" si="77"/>
        <v>650</v>
      </c>
      <c r="I1104" s="12">
        <f>ksh*Massivete/(H1104*RhoA)*DeltaT*(F1104+G1104)</f>
        <v>0.14093887693257218</v>
      </c>
      <c r="J1104" s="3">
        <f>IF(E1104&lt;=500,IF(Galva=Oui,0.35,0.7),0.7)</f>
        <v>0.7</v>
      </c>
    </row>
    <row r="1105" spans="2:10" x14ac:dyDescent="0.25">
      <c r="B1105" s="3">
        <f>B1104+DeltaT</f>
        <v>5440</v>
      </c>
      <c r="C1105" s="13">
        <f t="shared" si="74"/>
        <v>90.666666666666671</v>
      </c>
      <c r="D1105" s="11">
        <f t="shared" si="75"/>
        <v>1007.0919115566745</v>
      </c>
      <c r="E1105" s="23">
        <f t="shared" si="76"/>
        <v>1004.4177358920922</v>
      </c>
      <c r="F1105" s="23">
        <f>AlphaC*(D1105-E1105)</f>
        <v>66.85439161455804</v>
      </c>
      <c r="G1105" s="13">
        <f>Phi*EpsilonF*Botzman/10^8*J1105*((D1105+273)^4-(E1105+273)^4)</f>
        <v>887.75546054422978</v>
      </c>
      <c r="H1105" s="23">
        <f t="shared" si="77"/>
        <v>650</v>
      </c>
      <c r="I1105" s="12">
        <f>ksh*Massivete/(H1105*RhoA)*DeltaT*(F1105+G1105)</f>
        <v>0.14080518746768692</v>
      </c>
      <c r="J1105" s="3">
        <f>IF(E1105&lt;=500,IF(Galva=Oui,0.35,0.7),0.7)</f>
        <v>0.7</v>
      </c>
    </row>
    <row r="1106" spans="2:10" x14ac:dyDescent="0.25">
      <c r="B1106" s="3">
        <f>B1105+DeltaT</f>
        <v>5445</v>
      </c>
      <c r="C1106" s="13">
        <f t="shared" ref="C1106:C1169" si="78">B1106/60</f>
        <v>90.75</v>
      </c>
      <c r="D1106" s="11">
        <f t="shared" ref="D1106:D1169" si="79">20+345*LOG(8*C1106+1,10)</f>
        <v>1007.229371746368</v>
      </c>
      <c r="E1106" s="23">
        <f t="shared" si="76"/>
        <v>1004.5585410795599</v>
      </c>
      <c r="F1106" s="23">
        <f>AlphaC*(D1106-E1106)</f>
        <v>66.770766670202875</v>
      </c>
      <c r="G1106" s="13">
        <f>Phi*EpsilonF*Botzman/10^8*J1106*((D1106+273)^4-(E1106+273)^4)</f>
        <v>886.93444836608114</v>
      </c>
      <c r="H1106" s="23">
        <f t="shared" si="77"/>
        <v>650</v>
      </c>
      <c r="I1106" s="12">
        <f>ksh*Massivete/(H1106*RhoA)*DeltaT*(F1106+G1106)</f>
        <v>0.14067175327010731</v>
      </c>
      <c r="J1106" s="3">
        <f>IF(E1106&lt;=500,IF(Galva=Oui,0.35,0.7),0.7)</f>
        <v>0.7</v>
      </c>
    </row>
    <row r="1107" spans="2:10" x14ac:dyDescent="0.25">
      <c r="B1107" s="3">
        <f>B1106+DeltaT</f>
        <v>5450</v>
      </c>
      <c r="C1107" s="13">
        <f t="shared" si="78"/>
        <v>90.833333333333329</v>
      </c>
      <c r="D1107" s="11">
        <f t="shared" si="79"/>
        <v>1007.3667059413694</v>
      </c>
      <c r="E1107" s="23">
        <f t="shared" si="76"/>
        <v>1004.69921283283</v>
      </c>
      <c r="F1107" s="23">
        <f>AlphaC*(D1107-E1107)</f>
        <v>66.687327713486866</v>
      </c>
      <c r="G1107" s="13">
        <f>Phi*EpsilonF*Botzman/10^8*J1107*((D1107+273)^4-(E1107+273)^4)</f>
        <v>886.11497583748996</v>
      </c>
      <c r="H1107" s="23">
        <f t="shared" si="77"/>
        <v>650</v>
      </c>
      <c r="I1107" s="12">
        <f>ksh*Massivete/(H1107*RhoA)*DeltaT*(F1107+G1107)</f>
        <v>0.14053857360443772</v>
      </c>
      <c r="J1107" s="3">
        <f>IF(E1107&lt;=500,IF(Galva=Oui,0.35,0.7),0.7)</f>
        <v>0.7</v>
      </c>
    </row>
    <row r="1108" spans="2:10" x14ac:dyDescent="0.25">
      <c r="B1108" s="3">
        <f>B1107+DeltaT</f>
        <v>5455</v>
      </c>
      <c r="C1108" s="13">
        <f t="shared" si="78"/>
        <v>90.916666666666671</v>
      </c>
      <c r="D1108" s="11">
        <f t="shared" si="79"/>
        <v>1007.5039143724384</v>
      </c>
      <c r="E1108" s="23">
        <f t="shared" si="76"/>
        <v>1004.8397514064344</v>
      </c>
      <c r="F1108" s="23">
        <f>AlphaC*(D1108-E1108)</f>
        <v>66.604074150100701</v>
      </c>
      <c r="G1108" s="13">
        <f>Phi*EpsilonF*Botzman/10^8*J1108*((D1108+273)^4-(E1108+273)^4)</f>
        <v>885.29703858695552</v>
      </c>
      <c r="H1108" s="23">
        <f t="shared" si="77"/>
        <v>650</v>
      </c>
      <c r="I1108" s="12">
        <f>ksh*Massivete/(H1108*RhoA)*DeltaT*(F1108+G1108)</f>
        <v>0.14040564773821992</v>
      </c>
      <c r="J1108" s="3">
        <f>IF(E1108&lt;=500,IF(Galva=Oui,0.35,0.7),0.7)</f>
        <v>0.7</v>
      </c>
    </row>
    <row r="1109" spans="2:10" x14ac:dyDescent="0.25">
      <c r="B1109" s="3">
        <f>B1108+DeltaT</f>
        <v>5460</v>
      </c>
      <c r="C1109" s="13">
        <f t="shared" si="78"/>
        <v>91</v>
      </c>
      <c r="D1109" s="11">
        <f t="shared" si="79"/>
        <v>1007.6409972697011</v>
      </c>
      <c r="E1109" s="23">
        <f t="shared" si="76"/>
        <v>1004.9801570541727</v>
      </c>
      <c r="F1109" s="23">
        <f>AlphaC*(D1109-E1109)</f>
        <v>66.521005388210597</v>
      </c>
      <c r="G1109" s="13">
        <f>Phi*EpsilonF*Botzman/10^8*J1109*((D1109+273)^4-(E1109+273)^4)</f>
        <v>884.48063225937233</v>
      </c>
      <c r="H1109" s="23">
        <f t="shared" si="77"/>
        <v>650</v>
      </c>
      <c r="I1109" s="12">
        <f>ksh*Massivete/(H1109*RhoA)*DeltaT*(F1109+G1109)</f>
        <v>0.14027297494177918</v>
      </c>
      <c r="J1109" s="3">
        <f>IF(E1109&lt;=500,IF(Galva=Oui,0.35,0.7),0.7)</f>
        <v>0.7</v>
      </c>
    </row>
    <row r="1110" spans="2:10" x14ac:dyDescent="0.25">
      <c r="B1110" s="3">
        <f>B1109+DeltaT</f>
        <v>5465</v>
      </c>
      <c r="C1110" s="13">
        <f t="shared" si="78"/>
        <v>91.083333333333329</v>
      </c>
      <c r="D1110" s="11">
        <f t="shared" si="79"/>
        <v>1007.7779548626527</v>
      </c>
      <c r="E1110" s="23">
        <f t="shared" si="76"/>
        <v>1005.1204300291145</v>
      </c>
      <c r="F1110" s="23">
        <f>AlphaC*(D1110-E1110)</f>
        <v>66.438120838455461</v>
      </c>
      <c r="G1110" s="13">
        <f>Phi*EpsilonF*Botzman/10^8*J1110*((D1110+273)^4-(E1110+273)^4)</f>
        <v>883.6657525162243</v>
      </c>
      <c r="H1110" s="23">
        <f t="shared" si="77"/>
        <v>650</v>
      </c>
      <c r="I1110" s="12">
        <f>ksh*Massivete/(H1110*RhoA)*DeltaT*(F1110+G1110)</f>
        <v>0.14014055448825238</v>
      </c>
      <c r="J1110" s="3">
        <f>IF(E1110&lt;=500,IF(Galva=Oui,0.35,0.7),0.7)</f>
        <v>0.7</v>
      </c>
    </row>
    <row r="1111" spans="2:10" x14ac:dyDescent="0.25">
      <c r="B1111" s="3">
        <f>B1110+DeltaT</f>
        <v>5470</v>
      </c>
      <c r="C1111" s="13">
        <f t="shared" si="78"/>
        <v>91.166666666666671</v>
      </c>
      <c r="D1111" s="11">
        <f t="shared" si="79"/>
        <v>1007.9147873801597</v>
      </c>
      <c r="E1111" s="23">
        <f t="shared" si="76"/>
        <v>1005.2605705836027</v>
      </c>
      <c r="F1111" s="23">
        <f>AlphaC*(D1111-E1111)</f>
        <v>66.355419913926994</v>
      </c>
      <c r="G1111" s="13">
        <f>Phi*EpsilonF*Botzman/10^8*J1111*((D1111+273)^4-(E1111+273)^4)</f>
        <v>882.85239503564242</v>
      </c>
      <c r="H1111" s="23">
        <f t="shared" si="77"/>
        <v>650</v>
      </c>
      <c r="I1111" s="12">
        <f>ksh*Massivete/(H1111*RhoA)*DeltaT*(F1111+G1111)</f>
        <v>0.14000838565359366</v>
      </c>
      <c r="J1111" s="3">
        <f>IF(E1111&lt;=500,IF(Galva=Oui,0.35,0.7),0.7)</f>
        <v>0.7</v>
      </c>
    </row>
    <row r="1112" spans="2:10" x14ac:dyDescent="0.25">
      <c r="B1112" s="3">
        <f>B1111+DeltaT</f>
        <v>5475</v>
      </c>
      <c r="C1112" s="13">
        <f t="shared" si="78"/>
        <v>91.25</v>
      </c>
      <c r="D1112" s="11">
        <f t="shared" si="79"/>
        <v>1008.0514950504617</v>
      </c>
      <c r="E1112" s="23">
        <f t="shared" si="76"/>
        <v>1005.4005789692562</v>
      </c>
      <c r="F1112" s="23">
        <f>AlphaC*(D1112-E1112)</f>
        <v>66.272902030135583</v>
      </c>
      <c r="G1112" s="13">
        <f>Phi*EpsilonF*Botzman/10^8*J1112*((D1112+273)^4-(E1112+273)^4)</f>
        <v>882.04055551184319</v>
      </c>
      <c r="H1112" s="23">
        <f t="shared" si="77"/>
        <v>650</v>
      </c>
      <c r="I1112" s="12">
        <f>ksh*Massivete/(H1112*RhoA)*DeltaT*(F1112+G1112)</f>
        <v>0.13987646771648654</v>
      </c>
      <c r="J1112" s="3">
        <f>IF(E1112&lt;=500,IF(Galva=Oui,0.35,0.7),0.7)</f>
        <v>0.7</v>
      </c>
    </row>
    <row r="1113" spans="2:10" x14ac:dyDescent="0.25">
      <c r="B1113" s="3">
        <f>B1112+DeltaT</f>
        <v>5480</v>
      </c>
      <c r="C1113" s="13">
        <f t="shared" si="78"/>
        <v>91.333333333333329</v>
      </c>
      <c r="D1113" s="11">
        <f t="shared" si="79"/>
        <v>1008.1880781011747</v>
      </c>
      <c r="E1113" s="23">
        <f t="shared" si="76"/>
        <v>1005.5404554369727</v>
      </c>
      <c r="F1113" s="23">
        <f>AlphaC*(D1113-E1113)</f>
        <v>66.190566605050094</v>
      </c>
      <c r="G1113" s="13">
        <f>Phi*EpsilonF*Botzman/10^8*J1113*((D1113+273)^4-(E1113+273)^4)</f>
        <v>881.23022965590337</v>
      </c>
      <c r="H1113" s="23">
        <f t="shared" si="77"/>
        <v>650</v>
      </c>
      <c r="I1113" s="12">
        <f>ksh*Massivete/(H1113*RhoA)*DeltaT*(F1113+G1113)</f>
        <v>0.13974479995846406</v>
      </c>
      <c r="J1113" s="3">
        <f>IF(E1113&lt;=500,IF(Galva=Oui,0.35,0.7),0.7)</f>
        <v>0.7</v>
      </c>
    </row>
    <row r="1114" spans="2:10" x14ac:dyDescent="0.25">
      <c r="B1114" s="3">
        <f>B1113+DeltaT</f>
        <v>5485</v>
      </c>
      <c r="C1114" s="13">
        <f t="shared" si="78"/>
        <v>91.416666666666671</v>
      </c>
      <c r="D1114" s="11">
        <f t="shared" si="79"/>
        <v>1008.3245367592925</v>
      </c>
      <c r="E1114" s="23">
        <f t="shared" si="76"/>
        <v>1005.6802002369311</v>
      </c>
      <c r="F1114" s="23">
        <f>AlphaC*(D1114-E1114)</f>
        <v>66.108413059035342</v>
      </c>
      <c r="G1114" s="13">
        <f>Phi*EpsilonF*Botzman/10^8*J1114*((D1114+273)^4-(E1114+273)^4)</f>
        <v>880.421413195024</v>
      </c>
      <c r="H1114" s="23">
        <f t="shared" si="77"/>
        <v>650</v>
      </c>
      <c r="I1114" s="12">
        <f>ksh*Massivete/(H1114*RhoA)*DeltaT*(F1114+G1114)</f>
        <v>0.139613381663791</v>
      </c>
      <c r="J1114" s="3">
        <f>IF(E1114&lt;=500,IF(Galva=Oui,0.35,0.7),0.7)</f>
        <v>0.7</v>
      </c>
    </row>
    <row r="1115" spans="2:10" x14ac:dyDescent="0.25">
      <c r="B1115" s="3">
        <f>B1114+DeltaT</f>
        <v>5490</v>
      </c>
      <c r="C1115" s="13">
        <f t="shared" si="78"/>
        <v>91.5</v>
      </c>
      <c r="D1115" s="11">
        <f t="shared" si="79"/>
        <v>1008.4608712511891</v>
      </c>
      <c r="E1115" s="23">
        <f t="shared" si="76"/>
        <v>1005.8198136185949</v>
      </c>
      <c r="F1115" s="23">
        <f>AlphaC*(D1115-E1115)</f>
        <v>66.026440814854936</v>
      </c>
      <c r="G1115" s="13">
        <f>Phi*EpsilonF*Botzman/10^8*J1115*((D1115+273)^4-(E1115+273)^4)</f>
        <v>879.61410187220065</v>
      </c>
      <c r="H1115" s="23">
        <f t="shared" si="77"/>
        <v>650</v>
      </c>
      <c r="I1115" s="12">
        <f>ksh*Massivete/(H1115*RhoA)*DeltaT*(F1115+G1115)</f>
        <v>0.13948221211941564</v>
      </c>
      <c r="J1115" s="3">
        <f>IF(E1115&lt;=500,IF(Galva=Oui,0.35,0.7),0.7)</f>
        <v>0.7</v>
      </c>
    </row>
    <row r="1116" spans="2:10" x14ac:dyDescent="0.25">
      <c r="B1116" s="3">
        <f>B1115+DeltaT</f>
        <v>5495</v>
      </c>
      <c r="C1116" s="13">
        <f t="shared" si="78"/>
        <v>91.583333333333329</v>
      </c>
      <c r="D1116" s="11">
        <f t="shared" si="79"/>
        <v>1008.5970818026213</v>
      </c>
      <c r="E1116" s="23">
        <f t="shared" si="76"/>
        <v>1005.9592958307144</v>
      </c>
      <c r="F1116" s="23">
        <f>AlphaC*(D1116-E1116)</f>
        <v>65.944649297674118</v>
      </c>
      <c r="G1116" s="13">
        <f>Phi*EpsilonF*Botzman/10^8*J1116*((D1116+273)^4-(E1116+273)^4)</f>
        <v>878.8082914470956</v>
      </c>
      <c r="H1116" s="23">
        <f t="shared" si="77"/>
        <v>650</v>
      </c>
      <c r="I1116" s="12">
        <f>ksh*Massivete/(H1116*RhoA)*DeltaT*(F1116+G1116)</f>
        <v>0.13935129061509885</v>
      </c>
      <c r="J1116" s="3">
        <f>IF(E1116&lt;=500,IF(Galva=Oui,0.35,0.7),0.7)</f>
        <v>0.7</v>
      </c>
    </row>
    <row r="1117" spans="2:10" x14ac:dyDescent="0.25">
      <c r="B1117" s="3">
        <f>B1116+DeltaT</f>
        <v>5500</v>
      </c>
      <c r="C1117" s="13">
        <f t="shared" si="78"/>
        <v>91.666666666666671</v>
      </c>
      <c r="D1117" s="11">
        <f t="shared" si="79"/>
        <v>1008.7331686387313</v>
      </c>
      <c r="E1117" s="23">
        <f t="shared" si="76"/>
        <v>1006.0986471213295</v>
      </c>
      <c r="F1117" s="23">
        <f>AlphaC*(D1117-E1117)</f>
        <v>65.863037935045554</v>
      </c>
      <c r="G1117" s="13">
        <f>Phi*EpsilonF*Botzman/10^8*J1117*((D1117+273)^4-(E1117+273)^4)</f>
        <v>878.00397769535937</v>
      </c>
      <c r="H1117" s="23">
        <f t="shared" si="77"/>
        <v>650</v>
      </c>
      <c r="I1117" s="12">
        <f>ksh*Massivete/(H1117*RhoA)*DeltaT*(F1117+G1117)</f>
        <v>0.13922061644331196</v>
      </c>
      <c r="J1117" s="3">
        <f>IF(E1117&lt;=500,IF(Galva=Oui,0.35,0.7),0.7)</f>
        <v>0.7</v>
      </c>
    </row>
    <row r="1118" spans="2:10" x14ac:dyDescent="0.25">
      <c r="B1118" s="3">
        <f>B1117+DeltaT</f>
        <v>5505</v>
      </c>
      <c r="C1118" s="13">
        <f t="shared" si="78"/>
        <v>91.75</v>
      </c>
      <c r="D1118" s="11">
        <f t="shared" si="79"/>
        <v>1008.8691319840472</v>
      </c>
      <c r="E1118" s="23">
        <f t="shared" si="76"/>
        <v>1006.2378677377728</v>
      </c>
      <c r="F1118" s="23">
        <f>AlphaC*(D1118-E1118)</f>
        <v>65.781606156858174</v>
      </c>
      <c r="G1118" s="13">
        <f>Phi*EpsilonF*Botzman/10^8*J1118*((D1118+273)^4-(E1118+273)^4)</f>
        <v>877.20115640837923</v>
      </c>
      <c r="H1118" s="23">
        <f t="shared" si="77"/>
        <v>650</v>
      </c>
      <c r="I1118" s="12">
        <f>ksh*Massivete/(H1118*RhoA)*DeltaT*(F1118+G1118)</f>
        <v>0.139090188899192</v>
      </c>
      <c r="J1118" s="3">
        <f>IF(E1118&lt;=500,IF(Galva=Oui,0.35,0.7),0.7)</f>
        <v>0.7</v>
      </c>
    </row>
    <row r="1119" spans="2:10" x14ac:dyDescent="0.25">
      <c r="B1119" s="3">
        <f>B1118+DeltaT</f>
        <v>5510</v>
      </c>
      <c r="C1119" s="13">
        <f t="shared" si="78"/>
        <v>91.833333333333329</v>
      </c>
      <c r="D1119" s="11">
        <f t="shared" si="79"/>
        <v>1009.0049720624874</v>
      </c>
      <c r="E1119" s="23">
        <f t="shared" si="76"/>
        <v>1006.376957926672</v>
      </c>
      <c r="F1119" s="23">
        <f>AlphaC*(D1119-E1119)</f>
        <v>65.700353395382649</v>
      </c>
      <c r="G1119" s="13">
        <f>Phi*EpsilonF*Botzman/10^8*J1119*((D1119+273)^4-(E1119+273)^4)</f>
        <v>876.39982339353071</v>
      </c>
      <c r="H1119" s="23">
        <f t="shared" si="77"/>
        <v>650</v>
      </c>
      <c r="I1119" s="12">
        <f>ksh*Massivete/(H1119*RhoA)*DeltaT*(F1119+G1119)</f>
        <v>0.13896000728058563</v>
      </c>
      <c r="J1119" s="3">
        <f>IF(E1119&lt;=500,IF(Galva=Oui,0.35,0.7),0.7)</f>
        <v>0.7</v>
      </c>
    </row>
    <row r="1120" spans="2:10" x14ac:dyDescent="0.25">
      <c r="B1120" s="3">
        <f>B1119+DeltaT</f>
        <v>5515</v>
      </c>
      <c r="C1120" s="13">
        <f t="shared" si="78"/>
        <v>91.916666666666671</v>
      </c>
      <c r="D1120" s="11">
        <f t="shared" si="79"/>
        <v>1009.1406890973615</v>
      </c>
      <c r="E1120" s="23">
        <f t="shared" si="76"/>
        <v>1006.5159179339527</v>
      </c>
      <c r="F1120" s="23">
        <f>AlphaC*(D1120-E1120)</f>
        <v>65.619279085220228</v>
      </c>
      <c r="G1120" s="13">
        <f>Phi*EpsilonF*Botzman/10^8*J1120*((D1120+273)^4-(E1120+273)^4)</f>
        <v>875.59997447400326</v>
      </c>
      <c r="H1120" s="23">
        <f t="shared" si="77"/>
        <v>650</v>
      </c>
      <c r="I1120" s="12">
        <f>ksh*Massivete/(H1120*RhoA)*DeltaT*(F1120+G1120)</f>
        <v>0.1388300708880158</v>
      </c>
      <c r="J1120" s="3">
        <f>IF(E1120&lt;=500,IF(Galva=Oui,0.35,0.7),0.7)</f>
        <v>0.7</v>
      </c>
    </row>
    <row r="1121" spans="2:10" x14ac:dyDescent="0.25">
      <c r="B1121" s="3">
        <f>B1120+DeltaT</f>
        <v>5520</v>
      </c>
      <c r="C1121" s="13">
        <f t="shared" si="78"/>
        <v>92</v>
      </c>
      <c r="D1121" s="11">
        <f t="shared" si="79"/>
        <v>1009.2762833113726</v>
      </c>
      <c r="E1121" s="23">
        <f t="shared" si="76"/>
        <v>1006.6547480048407</v>
      </c>
      <c r="F1121" s="23">
        <f>AlphaC*(D1121-E1121)</f>
        <v>65.538382663297057</v>
      </c>
      <c r="G1121" s="13">
        <f>Phi*EpsilonF*Botzman/10^8*J1121*((D1121+273)^4-(E1121+273)^4)</f>
        <v>874.80160548874233</v>
      </c>
      <c r="H1121" s="23">
        <f t="shared" si="77"/>
        <v>650</v>
      </c>
      <c r="I1121" s="12">
        <f>ksh*Massivete/(H1121*RhoA)*DeltaT*(F1121+G1121)</f>
        <v>0.13870037902467244</v>
      </c>
      <c r="J1121" s="3">
        <f>IF(E1121&lt;=500,IF(Galva=Oui,0.35,0.7),0.7)</f>
        <v>0.7</v>
      </c>
    </row>
    <row r="1122" spans="2:10" x14ac:dyDescent="0.25">
      <c r="B1122" s="3">
        <f>B1121+DeltaT</f>
        <v>5525</v>
      </c>
      <c r="C1122" s="13">
        <f t="shared" si="78"/>
        <v>92.083333333333329</v>
      </c>
      <c r="D1122" s="11">
        <f t="shared" si="79"/>
        <v>1009.4117549266202</v>
      </c>
      <c r="E1122" s="23">
        <f t="shared" si="76"/>
        <v>1006.7934483838654</v>
      </c>
      <c r="F1122" s="23">
        <f>AlphaC*(D1122-E1122)</f>
        <v>65.457663568869862</v>
      </c>
      <c r="G1122" s="13">
        <f>Phi*EpsilonF*Botzman/10^8*J1122*((D1122+273)^4-(E1122+273)^4)</f>
        <v>874.00471229272023</v>
      </c>
      <c r="H1122" s="23">
        <f t="shared" si="77"/>
        <v>650</v>
      </c>
      <c r="I1122" s="12">
        <f>ksh*Massivete/(H1122*RhoA)*DeltaT*(F1122+G1122)</f>
        <v>0.13857093099645315</v>
      </c>
      <c r="J1122" s="3">
        <f>IF(E1122&lt;=500,IF(Galva=Oui,0.35,0.7),0.7)</f>
        <v>0.7</v>
      </c>
    </row>
    <row r="1123" spans="2:10" x14ac:dyDescent="0.25">
      <c r="B1123" s="3">
        <f>B1122+DeltaT</f>
        <v>5530</v>
      </c>
      <c r="C1123" s="13">
        <f t="shared" si="78"/>
        <v>92.166666666666671</v>
      </c>
      <c r="D1123" s="11">
        <f t="shared" si="79"/>
        <v>1009.5471041646018</v>
      </c>
      <c r="E1123" s="23">
        <f t="shared" si="76"/>
        <v>1006.9320193148619</v>
      </c>
      <c r="F1123" s="23">
        <f>AlphaC*(D1123-E1123)</f>
        <v>65.377121243497527</v>
      </c>
      <c r="G1123" s="13">
        <f>Phi*EpsilonF*Botzman/10^8*J1123*((D1123+273)^4-(E1123+273)^4)</f>
        <v>873.20929075589038</v>
      </c>
      <c r="H1123" s="23">
        <f t="shared" si="77"/>
        <v>650</v>
      </c>
      <c r="I1123" s="12">
        <f>ksh*Massivete/(H1123*RhoA)*DeltaT*(F1123+G1123)</f>
        <v>0.13844172611180486</v>
      </c>
      <c r="J1123" s="3">
        <f>IF(E1123&lt;=500,IF(Galva=Oui,0.35,0.7),0.7)</f>
        <v>0.7</v>
      </c>
    </row>
    <row r="1124" spans="2:10" x14ac:dyDescent="0.25">
      <c r="B1124" s="3">
        <f>B1123+DeltaT</f>
        <v>5535</v>
      </c>
      <c r="C1124" s="13">
        <f t="shared" si="78"/>
        <v>92.25</v>
      </c>
      <c r="D1124" s="11">
        <f t="shared" si="79"/>
        <v>1009.6823312462149</v>
      </c>
      <c r="E1124" s="23">
        <f t="shared" si="76"/>
        <v>1007.0704610409737</v>
      </c>
      <c r="F1124" s="23">
        <f>AlphaC*(D1124-E1124)</f>
        <v>65.296755131029727</v>
      </c>
      <c r="G1124" s="13">
        <f>Phi*EpsilonF*Botzman/10^8*J1124*((D1124+273)^4-(E1124+273)^4)</f>
        <v>872.41533676405868</v>
      </c>
      <c r="H1124" s="23">
        <f t="shared" si="77"/>
        <v>650</v>
      </c>
      <c r="I1124" s="12">
        <f>ksh*Massivete/(H1124*RhoA)*DeltaT*(F1124+G1124)</f>
        <v>0.13831276368185061</v>
      </c>
      <c r="J1124" s="3">
        <f>IF(E1124&lt;=500,IF(Galva=Oui,0.35,0.7),0.7)</f>
        <v>0.7</v>
      </c>
    </row>
    <row r="1125" spans="2:10" x14ac:dyDescent="0.25">
      <c r="B1125" s="3">
        <f>B1124+DeltaT</f>
        <v>5540</v>
      </c>
      <c r="C1125" s="13">
        <f t="shared" si="78"/>
        <v>92.333333333333329</v>
      </c>
      <c r="D1125" s="11">
        <f t="shared" si="79"/>
        <v>1009.8174363917592</v>
      </c>
      <c r="E1125" s="23">
        <f t="shared" si="76"/>
        <v>1007.2087738046555</v>
      </c>
      <c r="F1125" s="23">
        <f>AlphaC*(D1125-E1125)</f>
        <v>65.216564677592714</v>
      </c>
      <c r="G1125" s="13">
        <f>Phi*EpsilonF*Botzman/10^8*J1125*((D1125+273)^4-(E1125+273)^4)</f>
        <v>871.62284621859294</v>
      </c>
      <c r="H1125" s="23">
        <f t="shared" si="77"/>
        <v>650</v>
      </c>
      <c r="I1125" s="12">
        <f>ksh*Massivete/(H1125*RhoA)*DeltaT*(F1125+G1125)</f>
        <v>0.13818404302034465</v>
      </c>
      <c r="J1125" s="3">
        <f>IF(E1125&lt;=500,IF(Galva=Oui,0.35,0.7),0.7)</f>
        <v>0.7</v>
      </c>
    </row>
    <row r="1126" spans="2:10" x14ac:dyDescent="0.25">
      <c r="B1126" s="3">
        <f>B1125+DeltaT</f>
        <v>5545</v>
      </c>
      <c r="C1126" s="13">
        <f t="shared" si="78"/>
        <v>92.416666666666671</v>
      </c>
      <c r="D1126" s="11">
        <f t="shared" si="79"/>
        <v>1009.9524198209398</v>
      </c>
      <c r="E1126" s="23">
        <f t="shared" si="76"/>
        <v>1007.3469578476759</v>
      </c>
      <c r="F1126" s="23">
        <f>AlphaC*(D1126-E1126)</f>
        <v>65.136549331597848</v>
      </c>
      <c r="G1126" s="13">
        <f>Phi*EpsilonF*Botzman/10^8*J1126*((D1126+273)^4-(E1126+273)^4)</f>
        <v>870.83181503589992</v>
      </c>
      <c r="H1126" s="23">
        <f t="shared" si="77"/>
        <v>650</v>
      </c>
      <c r="I1126" s="12">
        <f>ksh*Massivete/(H1126*RhoA)*DeltaT*(F1126+G1126)</f>
        <v>0.13805556344359651</v>
      </c>
      <c r="J1126" s="3">
        <f>IF(E1126&lt;=500,IF(Galva=Oui,0.35,0.7),0.7)</f>
        <v>0.7</v>
      </c>
    </row>
    <row r="1127" spans="2:10" x14ac:dyDescent="0.25">
      <c r="B1127" s="3">
        <f>B1126+DeltaT</f>
        <v>5550</v>
      </c>
      <c r="C1127" s="13">
        <f t="shared" si="78"/>
        <v>92.5</v>
      </c>
      <c r="D1127" s="11">
        <f t="shared" si="79"/>
        <v>1010.0872817528682</v>
      </c>
      <c r="E1127" s="23">
        <f t="shared" si="76"/>
        <v>1007.4850134111194</v>
      </c>
      <c r="F1127" s="23">
        <f>AlphaC*(D1127-E1127)</f>
        <v>65.056708543718855</v>
      </c>
      <c r="G1127" s="13">
        <f>Phi*EpsilonF*Botzman/10^8*J1127*((D1127+273)^4-(E1127+273)^4)</f>
        <v>870.04223914831687</v>
      </c>
      <c r="H1127" s="23">
        <f t="shared" si="77"/>
        <v>650</v>
      </c>
      <c r="I1127" s="12">
        <f>ksh*Massivete/(H1127*RhoA)*DeltaT*(F1127+G1127)</f>
        <v>0.13792732427059914</v>
      </c>
      <c r="J1127" s="3">
        <f>IF(E1127&lt;=500,IF(Galva=Oui,0.35,0.7),0.7)</f>
        <v>0.7</v>
      </c>
    </row>
    <row r="1128" spans="2:10" x14ac:dyDescent="0.25">
      <c r="B1128" s="3">
        <f>B1127+DeltaT</f>
        <v>5555</v>
      </c>
      <c r="C1128" s="13">
        <f t="shared" si="78"/>
        <v>92.583333333333329</v>
      </c>
      <c r="D1128" s="11">
        <f t="shared" si="79"/>
        <v>1010.2220224060643</v>
      </c>
      <c r="E1128" s="23">
        <f t="shared" si="76"/>
        <v>1007.62294073539</v>
      </c>
      <c r="F1128" s="23">
        <f>AlphaC*(D1128-E1128)</f>
        <v>64.977041766857724</v>
      </c>
      <c r="G1128" s="13">
        <f>Phi*EpsilonF*Botzman/10^8*J1128*((D1128+273)^4-(E1128+273)^4)</f>
        <v>869.25411450256047</v>
      </c>
      <c r="H1128" s="23">
        <f t="shared" si="77"/>
        <v>650</v>
      </c>
      <c r="I1128" s="12">
        <f>ksh*Massivete/(H1128*RhoA)*DeltaT*(F1128+G1128)</f>
        <v>0.13779932482279522</v>
      </c>
      <c r="J1128" s="3">
        <f>IF(E1128&lt;=500,IF(Galva=Oui,0.35,0.7),0.7)</f>
        <v>0.7</v>
      </c>
    </row>
    <row r="1129" spans="2:10" x14ac:dyDescent="0.25">
      <c r="B1129" s="3">
        <f>B1128+DeltaT</f>
        <v>5560</v>
      </c>
      <c r="C1129" s="13">
        <f t="shared" si="78"/>
        <v>92.666666666666671</v>
      </c>
      <c r="D1129" s="11">
        <f t="shared" si="79"/>
        <v>1010.3566419984595</v>
      </c>
      <c r="E1129" s="23">
        <f t="shared" si="76"/>
        <v>1007.7607400602128</v>
      </c>
      <c r="F1129" s="23">
        <f>AlphaC*(D1129-E1129)</f>
        <v>64.897548456167442</v>
      </c>
      <c r="G1129" s="13">
        <f>Phi*EpsilonF*Botzman/10^8*J1129*((D1129+273)^4-(E1129+273)^4)</f>
        <v>868.4674370610453</v>
      </c>
      <c r="H1129" s="23">
        <f t="shared" si="77"/>
        <v>650</v>
      </c>
      <c r="I1129" s="12">
        <f>ksh*Massivete/(H1129*RhoA)*DeltaT*(F1129+G1129)</f>
        <v>0.13767156442427481</v>
      </c>
      <c r="J1129" s="3">
        <f>IF(E1129&lt;=500,IF(Galva=Oui,0.35,0.7),0.7)</f>
        <v>0.7</v>
      </c>
    </row>
    <row r="1130" spans="2:10" x14ac:dyDescent="0.25">
      <c r="B1130" s="3">
        <f>B1129+DeltaT</f>
        <v>5565</v>
      </c>
      <c r="C1130" s="13">
        <f t="shared" si="78"/>
        <v>92.75</v>
      </c>
      <c r="D1130" s="11">
        <f t="shared" si="79"/>
        <v>1010.4911407473984</v>
      </c>
      <c r="E1130" s="23">
        <f t="shared" si="76"/>
        <v>1007.8984116246371</v>
      </c>
      <c r="F1130" s="23">
        <f>AlphaC*(D1130-E1130)</f>
        <v>64.818228069032102</v>
      </c>
      <c r="G1130" s="13">
        <f>Phi*EpsilonF*Botzman/10^8*J1130*((D1130+273)^4-(E1130+273)^4)</f>
        <v>867.68220280136052</v>
      </c>
      <c r="H1130" s="23">
        <f t="shared" si="77"/>
        <v>650</v>
      </c>
      <c r="I1130" s="12">
        <f>ksh*Massivete/(H1130*RhoA)*DeltaT*(F1130+G1130)</f>
        <v>0.13754404240169535</v>
      </c>
      <c r="J1130" s="3">
        <f>IF(E1130&lt;=500,IF(Galva=Oui,0.35,0.7),0.7)</f>
        <v>0.7</v>
      </c>
    </row>
    <row r="1131" spans="2:10" x14ac:dyDescent="0.25">
      <c r="B1131" s="3">
        <f>B1130+DeltaT</f>
        <v>5570</v>
      </c>
      <c r="C1131" s="13">
        <f t="shared" si="78"/>
        <v>92.833333333333329</v>
      </c>
      <c r="D1131" s="11">
        <f t="shared" si="79"/>
        <v>1010.6255188696402</v>
      </c>
      <c r="E1131" s="23">
        <f t="shared" si="76"/>
        <v>1008.0359556670388</v>
      </c>
      <c r="F1131" s="23">
        <f>AlphaC*(D1131-E1131)</f>
        <v>64.739080065035637</v>
      </c>
      <c r="G1131" s="13">
        <f>Phi*EpsilonF*Botzman/10^8*J1131*((D1131+273)^4-(E1131+273)^4)</f>
        <v>866.89840771582374</v>
      </c>
      <c r="H1131" s="23">
        <f t="shared" si="77"/>
        <v>650</v>
      </c>
      <c r="I1131" s="12">
        <f>ksh*Massivete/(H1131*RhoA)*DeltaT*(F1131+G1131)</f>
        <v>0.13741675808421122</v>
      </c>
      <c r="J1131" s="3">
        <f>IF(E1131&lt;=500,IF(Galva=Oui,0.35,0.7),0.7)</f>
        <v>0.7</v>
      </c>
    </row>
    <row r="1132" spans="2:10" x14ac:dyDescent="0.25">
      <c r="B1132" s="3">
        <f>B1131+DeltaT</f>
        <v>5575</v>
      </c>
      <c r="C1132" s="13">
        <f t="shared" si="78"/>
        <v>92.916666666666671</v>
      </c>
      <c r="D1132" s="11">
        <f t="shared" si="79"/>
        <v>1010.7597765813623</v>
      </c>
      <c r="E1132" s="23">
        <f t="shared" si="76"/>
        <v>1008.173372425123</v>
      </c>
      <c r="F1132" s="23">
        <f>AlphaC*(D1132-E1132)</f>
        <v>64.660103905981714</v>
      </c>
      <c r="G1132" s="13">
        <f>Phi*EpsilonF*Botzman/10^8*J1132*((D1132+273)^4-(E1132+273)^4)</f>
        <v>866.11604781183041</v>
      </c>
      <c r="H1132" s="23">
        <f t="shared" si="77"/>
        <v>650</v>
      </c>
      <c r="I1132" s="12">
        <f>ksh*Massivete/(H1132*RhoA)*DeltaT*(F1132+G1132)</f>
        <v>0.13728971080352814</v>
      </c>
      <c r="J1132" s="3">
        <f>IF(E1132&lt;=500,IF(Galva=Oui,0.35,0.7),0.7)</f>
        <v>0.7</v>
      </c>
    </row>
    <row r="1133" spans="2:10" x14ac:dyDescent="0.25">
      <c r="B1133" s="3">
        <f>B1132+DeltaT</f>
        <v>5580</v>
      </c>
      <c r="C1133" s="13">
        <f t="shared" si="78"/>
        <v>93</v>
      </c>
      <c r="D1133" s="11">
        <f t="shared" si="79"/>
        <v>1010.893914098161</v>
      </c>
      <c r="E1133" s="23">
        <f t="shared" si="76"/>
        <v>1008.3106621359266</v>
      </c>
      <c r="F1133" s="23">
        <f>AlphaC*(D1133-E1133)</f>
        <v>64.581299055859631</v>
      </c>
      <c r="G1133" s="13">
        <f>Phi*EpsilonF*Botzman/10^8*J1133*((D1133+273)^4-(E1133+273)^4)</f>
        <v>865.33511911185337</v>
      </c>
      <c r="H1133" s="23">
        <f t="shared" si="77"/>
        <v>650</v>
      </c>
      <c r="I1133" s="12">
        <f>ksh*Massivete/(H1133*RhoA)*DeltaT*(F1133+G1133)</f>
        <v>0.13716289989389818</v>
      </c>
      <c r="J1133" s="3">
        <f>IF(E1133&lt;=500,IF(Galva=Oui,0.35,0.7),0.7)</f>
        <v>0.7</v>
      </c>
    </row>
    <row r="1134" spans="2:10" x14ac:dyDescent="0.25">
      <c r="B1134" s="3">
        <f>B1133+DeltaT</f>
        <v>5585</v>
      </c>
      <c r="C1134" s="13">
        <f t="shared" si="78"/>
        <v>93.083333333333329</v>
      </c>
      <c r="D1134" s="11">
        <f t="shared" si="79"/>
        <v>1011.0279316350535</v>
      </c>
      <c r="E1134" s="23">
        <f t="shared" si="76"/>
        <v>1008.4478250358205</v>
      </c>
      <c r="F1134" s="23">
        <f>AlphaC*(D1134-E1134)</f>
        <v>64.50266498082442</v>
      </c>
      <c r="G1134" s="13">
        <f>Phi*EpsilonF*Botzman/10^8*J1134*((D1134+273)^4-(E1134+273)^4)</f>
        <v>864.55561765251275</v>
      </c>
      <c r="H1134" s="23">
        <f t="shared" si="77"/>
        <v>650</v>
      </c>
      <c r="I1134" s="12">
        <f>ksh*Massivete/(H1134*RhoA)*DeltaT*(F1134+G1134)</f>
        <v>0.1370363246919796</v>
      </c>
      <c r="J1134" s="3">
        <f>IF(E1134&lt;=500,IF(Galva=Oui,0.35,0.7),0.7)</f>
        <v>0.7</v>
      </c>
    </row>
    <row r="1135" spans="2:10" x14ac:dyDescent="0.25">
      <c r="B1135" s="3">
        <f>B1134+DeltaT</f>
        <v>5590</v>
      </c>
      <c r="C1135" s="13">
        <f t="shared" si="78"/>
        <v>93.166666666666671</v>
      </c>
      <c r="D1135" s="11">
        <f t="shared" si="79"/>
        <v>1011.1618294064818</v>
      </c>
      <c r="E1135" s="23">
        <f t="shared" si="76"/>
        <v>1008.5848613605125</v>
      </c>
      <c r="F1135" s="23">
        <f>AlphaC*(D1135-E1135)</f>
        <v>64.424201149233795</v>
      </c>
      <c r="G1135" s="13">
        <f>Phi*EpsilonF*Botzman/10^8*J1135*((D1135+273)^4-(E1135+273)^4)</f>
        <v>863.77753948624263</v>
      </c>
      <c r="H1135" s="23">
        <f t="shared" si="77"/>
        <v>650</v>
      </c>
      <c r="I1135" s="12">
        <f>ksh*Massivete/(H1135*RhoA)*DeltaT*(F1135+G1135)</f>
        <v>0.13690998453708805</v>
      </c>
      <c r="J1135" s="3">
        <f>IF(E1135&lt;=500,IF(Galva=Oui,0.35,0.7),0.7)</f>
        <v>0.7</v>
      </c>
    </row>
    <row r="1136" spans="2:10" x14ac:dyDescent="0.25">
      <c r="B1136" s="3">
        <f>B1135+DeltaT</f>
        <v>5595</v>
      </c>
      <c r="C1136" s="13">
        <f t="shared" si="78"/>
        <v>93.25</v>
      </c>
      <c r="D1136" s="11">
        <f t="shared" si="79"/>
        <v>1011.2956076263125</v>
      </c>
      <c r="E1136" s="23">
        <f t="shared" si="76"/>
        <v>1008.7217713450495</v>
      </c>
      <c r="F1136" s="23">
        <f>AlphaC*(D1136-E1136)</f>
        <v>64.345907031574257</v>
      </c>
      <c r="G1136" s="13">
        <f>Phi*EpsilonF*Botzman/10^8*J1136*((D1136+273)^4-(E1136+273)^4)</f>
        <v>863.00088067915942</v>
      </c>
      <c r="H1136" s="23">
        <f t="shared" si="77"/>
        <v>650</v>
      </c>
      <c r="I1136" s="12">
        <f>ksh*Massivete/(H1136*RhoA)*DeltaT*(F1136+G1136)</f>
        <v>0.13678387877087142</v>
      </c>
      <c r="J1136" s="3">
        <f>IF(E1136&lt;=500,IF(Galva=Oui,0.35,0.7),0.7)</f>
        <v>0.7</v>
      </c>
    </row>
    <row r="1137" spans="2:10" x14ac:dyDescent="0.25">
      <c r="B1137" s="3">
        <f>B1136+DeltaT</f>
        <v>5600</v>
      </c>
      <c r="C1137" s="13">
        <f t="shared" si="78"/>
        <v>93.333333333333329</v>
      </c>
      <c r="D1137" s="11">
        <f t="shared" si="79"/>
        <v>1011.4292665078403</v>
      </c>
      <c r="E1137" s="23">
        <f t="shared" si="76"/>
        <v>1008.8585552238204</v>
      </c>
      <c r="F1137" s="23">
        <f>AlphaC*(D1137-E1137)</f>
        <v>64.267782100498039</v>
      </c>
      <c r="G1137" s="13">
        <f>Phi*EpsilonF*Botzman/10^8*J1137*((D1137+273)^4-(E1137+273)^4)</f>
        <v>862.22563731230207</v>
      </c>
      <c r="H1137" s="23">
        <f t="shared" si="77"/>
        <v>650</v>
      </c>
      <c r="I1137" s="12">
        <f>ksh*Massivete/(H1137*RhoA)*DeltaT*(F1137+G1137)</f>
        <v>0.13665800673749801</v>
      </c>
      <c r="J1137" s="3">
        <f>IF(E1137&lt;=500,IF(Galva=Oui,0.35,0.7),0.7)</f>
        <v>0.7</v>
      </c>
    </row>
    <row r="1138" spans="2:10" x14ac:dyDescent="0.25">
      <c r="B1138" s="3">
        <f>B1137+DeltaT</f>
        <v>5605</v>
      </c>
      <c r="C1138" s="13">
        <f t="shared" si="78"/>
        <v>93.416666666666671</v>
      </c>
      <c r="D1138" s="11">
        <f t="shared" si="79"/>
        <v>1011.5628062637894</v>
      </c>
      <c r="E1138" s="23">
        <f t="shared" si="76"/>
        <v>1008.995213230558</v>
      </c>
      <c r="F1138" s="23">
        <f>AlphaC*(D1138-E1138)</f>
        <v>64.189825830786162</v>
      </c>
      <c r="G1138" s="13">
        <f>Phi*EpsilonF*Botzman/10^8*J1138*((D1138+273)^4-(E1138+273)^4)</f>
        <v>861.45180548151541</v>
      </c>
      <c r="H1138" s="23">
        <f t="shared" si="77"/>
        <v>650</v>
      </c>
      <c r="I1138" s="12">
        <f>ksh*Massivete/(H1138*RhoA)*DeltaT*(F1138+G1138)</f>
        <v>0.13653236778363406</v>
      </c>
      <c r="J1138" s="3">
        <f>IF(E1138&lt;=500,IF(Galva=Oui,0.35,0.7),0.7)</f>
        <v>0.7</v>
      </c>
    </row>
    <row r="1139" spans="2:10" x14ac:dyDescent="0.25">
      <c r="B1139" s="3">
        <f>B1138+DeltaT</f>
        <v>5610</v>
      </c>
      <c r="C1139" s="13">
        <f t="shared" si="78"/>
        <v>93.5</v>
      </c>
      <c r="D1139" s="11">
        <f t="shared" si="79"/>
        <v>1011.6962271063159</v>
      </c>
      <c r="E1139" s="23">
        <f t="shared" si="76"/>
        <v>1009.1317455983416</v>
      </c>
      <c r="F1139" s="23">
        <f>AlphaC*(D1139-E1139)</f>
        <v>64.112037699356961</v>
      </c>
      <c r="G1139" s="13">
        <f>Phi*EpsilonF*Botzman/10^8*J1139*((D1139+273)^4-(E1139+273)^4)</f>
        <v>860.67938129677282</v>
      </c>
      <c r="H1139" s="23">
        <f t="shared" si="77"/>
        <v>650</v>
      </c>
      <c r="I1139" s="12">
        <f>ksh*Massivete/(H1139*RhoA)*DeltaT*(F1139+G1139)</f>
        <v>0.13640696125834503</v>
      </c>
      <c r="J1139" s="3">
        <f>IF(E1139&lt;=500,IF(Galva=Oui,0.35,0.7),0.7)</f>
        <v>0.7</v>
      </c>
    </row>
    <row r="1140" spans="2:10" x14ac:dyDescent="0.25">
      <c r="B1140" s="3">
        <f>B1139+DeltaT</f>
        <v>5615</v>
      </c>
      <c r="C1140" s="13">
        <f t="shared" si="78"/>
        <v>93.583333333333329</v>
      </c>
      <c r="D1140" s="11">
        <f t="shared" si="79"/>
        <v>1011.8295292470094</v>
      </c>
      <c r="E1140" s="23">
        <f t="shared" ref="E1140:E1203" si="80">E1139+I1139</f>
        <v>1009.2681525595999</v>
      </c>
      <c r="F1140" s="23">
        <f>AlphaC*(D1140-E1140)</f>
        <v>64.034417185237658</v>
      </c>
      <c r="G1140" s="13">
        <f>Phi*EpsilonF*Botzman/10^8*J1140*((D1140+273)^4-(E1140+273)^4)</f>
        <v>859.90836088273693</v>
      </c>
      <c r="H1140" s="23">
        <f t="shared" ref="H1140:H1203" si="81">IF(E1140&lt;600,425+0.773*E1140-1.69/1000*E1140^2+2.22/1000^2*E1140^3,IF(E1140&lt;735,666+13002/(738-E1140),IF(E1140&lt;900,545+17820/(E1140-731),650)))</f>
        <v>650</v>
      </c>
      <c r="I1140" s="12">
        <f>ksh*Massivete/(H1140*RhoA)*DeltaT*(F1140+G1140)</f>
        <v>0.1362817865131741</v>
      </c>
      <c r="J1140" s="3">
        <f>IF(E1140&lt;=500,IF(Galva=Oui,0.35,0.7),0.7)</f>
        <v>0.7</v>
      </c>
    </row>
    <row r="1141" spans="2:10" x14ac:dyDescent="0.25">
      <c r="B1141" s="3">
        <f>B1140+DeltaT</f>
        <v>5620</v>
      </c>
      <c r="C1141" s="13">
        <f t="shared" si="78"/>
        <v>93.666666666666671</v>
      </c>
      <c r="D1141" s="11">
        <f t="shared" si="79"/>
        <v>1011.9627128968958</v>
      </c>
      <c r="E1141" s="23">
        <f t="shared" si="80"/>
        <v>1009.4044343461131</v>
      </c>
      <c r="F1141" s="23">
        <f>AlphaC*(D1141-E1141)</f>
        <v>63.95696376956721</v>
      </c>
      <c r="G1141" s="13">
        <f>Phi*EpsilonF*Botzman/10^8*J1141*((D1141+273)^4-(E1141+273)^4)</f>
        <v>859.1387403781988</v>
      </c>
      <c r="H1141" s="23">
        <f t="shared" si="81"/>
        <v>650</v>
      </c>
      <c r="I1141" s="12">
        <f>ksh*Massivete/(H1141*RhoA)*DeltaT*(F1141+G1141)</f>
        <v>0.13615684290205984</v>
      </c>
      <c r="J1141" s="3">
        <f>IF(E1141&lt;=500,IF(Galva=Oui,0.35,0.7),0.7)</f>
        <v>0.7</v>
      </c>
    </row>
    <row r="1142" spans="2:10" x14ac:dyDescent="0.25">
      <c r="B1142" s="3">
        <f>B1141+DeltaT</f>
        <v>5625</v>
      </c>
      <c r="C1142" s="13">
        <f t="shared" si="78"/>
        <v>93.75</v>
      </c>
      <c r="D1142" s="11">
        <f t="shared" si="79"/>
        <v>1012.0957782664379</v>
      </c>
      <c r="E1142" s="23">
        <f t="shared" si="80"/>
        <v>1009.5405911890152</v>
      </c>
      <c r="F1142" s="23">
        <f>AlphaC*(D1142-E1142)</f>
        <v>63.879676935567886</v>
      </c>
      <c r="G1142" s="13">
        <f>Phi*EpsilonF*Botzman/10^8*J1142*((D1142+273)^4-(E1142+273)^4)</f>
        <v>858.37051593605793</v>
      </c>
      <c r="H1142" s="23">
        <f t="shared" si="81"/>
        <v>650</v>
      </c>
      <c r="I1142" s="12">
        <f>ksh*Massivete/(H1142*RhoA)*DeltaT*(F1142+G1142)</f>
        <v>0.13603212978132917</v>
      </c>
      <c r="J1142" s="3">
        <f>IF(E1142&lt;=500,IF(Galva=Oui,0.35,0.7),0.7)</f>
        <v>0.7</v>
      </c>
    </row>
    <row r="1143" spans="2:10" x14ac:dyDescent="0.25">
      <c r="B1143" s="3">
        <f>B1142+DeltaT</f>
        <v>5630</v>
      </c>
      <c r="C1143" s="13">
        <f t="shared" si="78"/>
        <v>93.833333333333329</v>
      </c>
      <c r="D1143" s="11">
        <f t="shared" si="79"/>
        <v>1012.2287255655392</v>
      </c>
      <c r="E1143" s="23">
        <f t="shared" si="80"/>
        <v>1009.6766233187966</v>
      </c>
      <c r="F1143" s="23">
        <f>AlphaC*(D1143-E1143)</f>
        <v>63.802556168565161</v>
      </c>
      <c r="G1143" s="13">
        <f>Phi*EpsilonF*Botzman/10^8*J1143*((D1143+273)^4-(E1143+273)^4)</f>
        <v>857.60368372386495</v>
      </c>
      <c r="H1143" s="23">
        <f t="shared" si="81"/>
        <v>650</v>
      </c>
      <c r="I1143" s="12">
        <f>ksh*Massivete/(H1143*RhoA)*DeltaT*(F1143+G1143)</f>
        <v>0.13590764650978024</v>
      </c>
      <c r="J1143" s="3">
        <f>IF(E1143&lt;=500,IF(Galva=Oui,0.35,0.7),0.7)</f>
        <v>0.7</v>
      </c>
    </row>
    <row r="1144" spans="2:10" x14ac:dyDescent="0.25">
      <c r="B1144" s="3">
        <f>B1143+DeltaT</f>
        <v>5635</v>
      </c>
      <c r="C1144" s="13">
        <f t="shared" si="78"/>
        <v>93.916666666666671</v>
      </c>
      <c r="D1144" s="11">
        <f t="shared" si="79"/>
        <v>1012.3615550035444</v>
      </c>
      <c r="E1144" s="23">
        <f t="shared" si="80"/>
        <v>1009.8125309653063</v>
      </c>
      <c r="F1144" s="23">
        <f>AlphaC*(D1144-E1144)</f>
        <v>63.725600955950767</v>
      </c>
      <c r="G1144" s="13">
        <f>Phi*EpsilonF*Botzman/10^8*J1144*((D1144+273)^4-(E1144+273)^4)</f>
        <v>856.83823992296902</v>
      </c>
      <c r="H1144" s="23">
        <f t="shared" si="81"/>
        <v>650</v>
      </c>
      <c r="I1144" s="12">
        <f>ksh*Massivete/(H1144*RhoA)*DeltaT*(F1144+G1144)</f>
        <v>0.13578339244855128</v>
      </c>
      <c r="J1144" s="3">
        <f>IF(E1144&lt;=500,IF(Galva=Oui,0.35,0.7),0.7)</f>
        <v>0.7</v>
      </c>
    </row>
    <row r="1145" spans="2:10" x14ac:dyDescent="0.25">
      <c r="B1145" s="3">
        <f>B1144+DeltaT</f>
        <v>5640</v>
      </c>
      <c r="C1145" s="13">
        <f t="shared" si="78"/>
        <v>94</v>
      </c>
      <c r="D1145" s="11">
        <f t="shared" si="79"/>
        <v>1012.4942667892416</v>
      </c>
      <c r="E1145" s="23">
        <f t="shared" si="80"/>
        <v>1009.9483143577548</v>
      </c>
      <c r="F1145" s="23">
        <f>AlphaC*(D1145-E1145)</f>
        <v>63.648810787168486</v>
      </c>
      <c r="G1145" s="13">
        <f>Phi*EpsilonF*Botzman/10^8*J1145*((D1145+273)^4-(E1145+273)^4)</f>
        <v>856.07418072890528</v>
      </c>
      <c r="H1145" s="23">
        <f t="shared" si="81"/>
        <v>650</v>
      </c>
      <c r="I1145" s="12">
        <f>ksh*Massivete/(H1145*RhoA)*DeltaT*(F1145+G1145)</f>
        <v>0.13565936696117559</v>
      </c>
      <c r="J1145" s="3">
        <f>IF(E1145&lt;=500,IF(Galva=Oui,0.35,0.7),0.7)</f>
        <v>0.7</v>
      </c>
    </row>
    <row r="1146" spans="2:10" x14ac:dyDescent="0.25">
      <c r="B1146" s="3">
        <f>B1145+DeltaT</f>
        <v>5645</v>
      </c>
      <c r="C1146" s="13">
        <f t="shared" si="78"/>
        <v>94.083333333333329</v>
      </c>
      <c r="D1146" s="11">
        <f t="shared" si="79"/>
        <v>1012.6268611308654</v>
      </c>
      <c r="E1146" s="23">
        <f t="shared" si="80"/>
        <v>1010.083973724716</v>
      </c>
      <c r="F1146" s="23">
        <f>AlphaC*(D1146-E1146)</f>
        <v>63.572185153736882</v>
      </c>
      <c r="G1146" s="13">
        <f>Phi*EpsilonF*Botzman/10^8*J1146*((D1146+273)^4-(E1146+273)^4)</f>
        <v>855.31150235123994</v>
      </c>
      <c r="H1146" s="23">
        <f t="shared" si="81"/>
        <v>650</v>
      </c>
      <c r="I1146" s="12">
        <f>ksh*Massivete/(H1146*RhoA)*DeltaT*(F1146+G1146)</f>
        <v>0.13553556941356215</v>
      </c>
      <c r="J1146" s="3">
        <f>IF(E1146&lt;=500,IF(Galva=Oui,0.35,0.7),0.7)</f>
        <v>0.7</v>
      </c>
    </row>
    <row r="1147" spans="2:10" x14ac:dyDescent="0.25">
      <c r="B1147" s="3">
        <f>B1146+DeltaT</f>
        <v>5650</v>
      </c>
      <c r="C1147" s="13">
        <f t="shared" si="78"/>
        <v>94.166666666666671</v>
      </c>
      <c r="D1147" s="11">
        <f t="shared" si="79"/>
        <v>1012.7593382360977</v>
      </c>
      <c r="E1147" s="23">
        <f t="shared" si="80"/>
        <v>1010.2195092941296</v>
      </c>
      <c r="F1147" s="23">
        <f>AlphaC*(D1147-E1147)</f>
        <v>63.495723549203831</v>
      </c>
      <c r="G1147" s="13">
        <f>Phi*EpsilonF*Botzman/10^8*J1147*((D1147+273)^4-(E1147+273)^4)</f>
        <v>854.55020101329899</v>
      </c>
      <c r="H1147" s="23">
        <f t="shared" si="81"/>
        <v>650</v>
      </c>
      <c r="I1147" s="12">
        <f>ksh*Massivete/(H1147*RhoA)*DeltaT*(F1147+G1147)</f>
        <v>0.1354119991739488</v>
      </c>
      <c r="J1147" s="3">
        <f>IF(E1147&lt;=500,IF(Galva=Oui,0.35,0.7),0.7)</f>
        <v>0.7</v>
      </c>
    </row>
    <row r="1148" spans="2:10" x14ac:dyDescent="0.25">
      <c r="B1148" s="3">
        <f>B1147+DeltaT</f>
        <v>5655</v>
      </c>
      <c r="C1148" s="13">
        <f t="shared" si="78"/>
        <v>94.25</v>
      </c>
      <c r="D1148" s="11">
        <f t="shared" si="79"/>
        <v>1012.8916983120698</v>
      </c>
      <c r="E1148" s="23">
        <f t="shared" si="80"/>
        <v>1010.3549212933035</v>
      </c>
      <c r="F1148" s="23">
        <f>AlphaC*(D1148-E1148)</f>
        <v>63.419425469157886</v>
      </c>
      <c r="G1148" s="13">
        <f>Phi*EpsilonF*Botzman/10^8*J1148*((D1148+273)^4-(E1148+273)^4)</f>
        <v>853.79027295243952</v>
      </c>
      <c r="H1148" s="23">
        <f t="shared" si="81"/>
        <v>650</v>
      </c>
      <c r="I1148" s="12">
        <f>ksh*Massivete/(H1148*RhoA)*DeltaT*(F1148+G1148)</f>
        <v>0.13528865561294395</v>
      </c>
      <c r="J1148" s="3">
        <f>IF(E1148&lt;=500,IF(Galva=Oui,0.35,0.7),0.7)</f>
        <v>0.7</v>
      </c>
    </row>
    <row r="1149" spans="2:10" x14ac:dyDescent="0.25">
      <c r="B1149" s="3">
        <f>B1148+DeltaT</f>
        <v>5660</v>
      </c>
      <c r="C1149" s="13">
        <f t="shared" si="78"/>
        <v>94.333333333333329</v>
      </c>
      <c r="D1149" s="11">
        <f t="shared" si="79"/>
        <v>1013.0239415653649</v>
      </c>
      <c r="E1149" s="23">
        <f t="shared" si="80"/>
        <v>1010.4902099489165</v>
      </c>
      <c r="F1149" s="23">
        <f>AlphaC*(D1149-E1149)</f>
        <v>63.343290411211228</v>
      </c>
      <c r="G1149" s="13">
        <f>Phi*EpsilonF*Botzman/10^8*J1149*((D1149+273)^4-(E1149+273)^4)</f>
        <v>853.03171441993322</v>
      </c>
      <c r="H1149" s="23">
        <f t="shared" si="81"/>
        <v>650</v>
      </c>
      <c r="I1149" s="12">
        <f>ksh*Massivete/(H1149*RhoA)*DeltaT*(F1149+G1149)</f>
        <v>0.13516553810350698</v>
      </c>
      <c r="J1149" s="3">
        <f>IF(E1149&lt;=500,IF(Galva=Oui,0.35,0.7),0.7)</f>
        <v>0.7</v>
      </c>
    </row>
    <row r="1150" spans="2:10" x14ac:dyDescent="0.25">
      <c r="B1150" s="3">
        <f>B1149+DeltaT</f>
        <v>5665</v>
      </c>
      <c r="C1150" s="13">
        <f t="shared" si="78"/>
        <v>94.416666666666671</v>
      </c>
      <c r="D1150" s="11">
        <f t="shared" si="79"/>
        <v>1013.1560682020194</v>
      </c>
      <c r="E1150" s="23">
        <f t="shared" si="80"/>
        <v>1010.6253754870199</v>
      </c>
      <c r="F1150" s="23">
        <f>AlphaC*(D1150-E1150)</f>
        <v>63.267317874985451</v>
      </c>
      <c r="G1150" s="13">
        <f>Phi*EpsilonF*Botzman/10^8*J1150*((D1150+273)^4-(E1150+273)^4)</f>
        <v>852.27452168046261</v>
      </c>
      <c r="H1150" s="23">
        <f t="shared" si="81"/>
        <v>650</v>
      </c>
      <c r="I1150" s="12">
        <f>ksh*Massivete/(H1150*RhoA)*DeltaT*(F1150+G1150)</f>
        <v>0.13504264602087165</v>
      </c>
      <c r="J1150" s="3">
        <f>IF(E1150&lt;=500,IF(Galva=Oui,0.35,0.7),0.7)</f>
        <v>0.7</v>
      </c>
    </row>
    <row r="1151" spans="2:10" x14ac:dyDescent="0.25">
      <c r="B1151" s="3">
        <f>B1150+DeltaT</f>
        <v>5670</v>
      </c>
      <c r="C1151" s="13">
        <f t="shared" si="78"/>
        <v>94.5</v>
      </c>
      <c r="D1151" s="11">
        <f t="shared" si="79"/>
        <v>1013.288078427525</v>
      </c>
      <c r="E1151" s="23">
        <f t="shared" si="80"/>
        <v>1010.7604181330408</v>
      </c>
      <c r="F1151" s="23">
        <f>AlphaC*(D1151-E1151)</f>
        <v>63.191507362103039</v>
      </c>
      <c r="G1151" s="13">
        <f>Phi*EpsilonF*Botzman/10^8*J1151*((D1151+273)^4-(E1151+273)^4)</f>
        <v>851.51869101262514</v>
      </c>
      <c r="H1151" s="23">
        <f t="shared" si="81"/>
        <v>650</v>
      </c>
      <c r="I1151" s="12">
        <f>ksh*Massivete/(H1151*RhoA)*DeltaT*(F1151+G1151)</f>
        <v>0.13491997874261938</v>
      </c>
      <c r="J1151" s="3">
        <f>IF(E1151&lt;=500,IF(Galva=Oui,0.35,0.7),0.7)</f>
        <v>0.7</v>
      </c>
    </row>
    <row r="1152" spans="2:10" x14ac:dyDescent="0.25">
      <c r="B1152" s="3">
        <f>B1151+DeltaT</f>
        <v>5675</v>
      </c>
      <c r="C1152" s="13">
        <f t="shared" si="78"/>
        <v>94.583333333333329</v>
      </c>
      <c r="D1152" s="11">
        <f t="shared" si="79"/>
        <v>1013.4199724468314</v>
      </c>
      <c r="E1152" s="23">
        <f t="shared" si="80"/>
        <v>1010.8953381117834</v>
      </c>
      <c r="F1152" s="23">
        <f>AlphaC*(D1152-E1152)</f>
        <v>63.11585837619873</v>
      </c>
      <c r="G1152" s="13">
        <f>Phi*EpsilonF*Botzman/10^8*J1152*((D1152+273)^4-(E1152+273)^4)</f>
        <v>850.76421870866182</v>
      </c>
      <c r="H1152" s="23">
        <f t="shared" si="81"/>
        <v>650</v>
      </c>
      <c r="I1152" s="12">
        <f>ksh*Massivete/(H1152*RhoA)*DeltaT*(F1152+G1152)</f>
        <v>0.13479753564864083</v>
      </c>
      <c r="J1152" s="3">
        <f>IF(E1152&lt;=500,IF(Galva=Oui,0.35,0.7),0.7)</f>
        <v>0.7</v>
      </c>
    </row>
    <row r="1153" spans="2:10" x14ac:dyDescent="0.25">
      <c r="B1153" s="3">
        <f>B1152+DeltaT</f>
        <v>5680</v>
      </c>
      <c r="C1153" s="13">
        <f t="shared" si="78"/>
        <v>94.666666666666671</v>
      </c>
      <c r="D1153" s="11">
        <f t="shared" si="79"/>
        <v>1013.5517504643466</v>
      </c>
      <c r="E1153" s="23">
        <f t="shared" si="80"/>
        <v>1011.0301356474321</v>
      </c>
      <c r="F1153" s="23">
        <f>AlphaC*(D1153-E1153)</f>
        <v>63.040370422862679</v>
      </c>
      <c r="G1153" s="13">
        <f>Phi*EpsilonF*Botzman/10^8*J1153*((D1153+273)^4-(E1153+273)^4)</f>
        <v>850.01110107451473</v>
      </c>
      <c r="H1153" s="23">
        <f t="shared" si="81"/>
        <v>650</v>
      </c>
      <c r="I1153" s="12">
        <f>ksh*Massivete/(H1153*RhoA)*DeltaT*(F1153+G1153)</f>
        <v>0.13467531612113595</v>
      </c>
      <c r="J1153" s="3">
        <f>IF(E1153&lt;=500,IF(Galva=Oui,0.35,0.7),0.7)</f>
        <v>0.7</v>
      </c>
    </row>
    <row r="1154" spans="2:10" x14ac:dyDescent="0.25">
      <c r="B1154" s="3">
        <f>B1153+DeltaT</f>
        <v>5685</v>
      </c>
      <c r="C1154" s="13">
        <f t="shared" si="78"/>
        <v>94.75</v>
      </c>
      <c r="D1154" s="11">
        <f t="shared" si="79"/>
        <v>1013.6834126839407</v>
      </c>
      <c r="E1154" s="23">
        <f t="shared" si="80"/>
        <v>1011.1648109635532</v>
      </c>
      <c r="F1154" s="23">
        <f>AlphaC*(D1154-E1154)</f>
        <v>62.965043009685928</v>
      </c>
      <c r="G1154" s="13">
        <f>Phi*EpsilonF*Botzman/10^8*J1154*((D1154+273)^4-(E1154+273)^4)</f>
        <v>849.25933442909161</v>
      </c>
      <c r="H1154" s="23">
        <f t="shared" si="81"/>
        <v>650</v>
      </c>
      <c r="I1154" s="12">
        <f>ksh*Massivete/(H1154*RhoA)*DeltaT*(F1154+G1154)</f>
        <v>0.13455331954451233</v>
      </c>
      <c r="J1154" s="3">
        <f>IF(E1154&lt;=500,IF(Galva=Oui,0.35,0.7),0.7)</f>
        <v>0.7</v>
      </c>
    </row>
    <row r="1155" spans="2:10" x14ac:dyDescent="0.25">
      <c r="B1155" s="3">
        <f>B1154+DeltaT</f>
        <v>5690</v>
      </c>
      <c r="C1155" s="13">
        <f t="shared" si="78"/>
        <v>94.833333333333329</v>
      </c>
      <c r="D1155" s="11">
        <f t="shared" si="79"/>
        <v>1013.8149593089458</v>
      </c>
      <c r="E1155" s="23">
        <f t="shared" si="80"/>
        <v>1011.2993642830977</v>
      </c>
      <c r="F1155" s="23">
        <f>AlphaC*(D1155-E1155)</f>
        <v>62.889875646203564</v>
      </c>
      <c r="G1155" s="13">
        <f>Phi*EpsilonF*Botzman/10^8*J1155*((D1155+273)^4-(E1155+273)^4)</f>
        <v>848.50891510513713</v>
      </c>
      <c r="H1155" s="23">
        <f t="shared" si="81"/>
        <v>650</v>
      </c>
      <c r="I1155" s="12">
        <f>ksh*Massivete/(H1155*RhoA)*DeltaT*(F1155+G1155)</f>
        <v>0.13443154530550516</v>
      </c>
      <c r="J1155" s="3">
        <f>IF(E1155&lt;=500,IF(Galva=Oui,0.35,0.7),0.7)</f>
        <v>0.7</v>
      </c>
    </row>
    <row r="1156" spans="2:10" x14ac:dyDescent="0.25">
      <c r="B1156" s="3">
        <f>B1155+DeltaT</f>
        <v>5695</v>
      </c>
      <c r="C1156" s="13">
        <f t="shared" si="78"/>
        <v>94.916666666666671</v>
      </c>
      <c r="D1156" s="11">
        <f t="shared" si="79"/>
        <v>1013.9463905421601</v>
      </c>
      <c r="E1156" s="23">
        <f t="shared" si="80"/>
        <v>1011.4337958284032</v>
      </c>
      <c r="F1156" s="23">
        <f>AlphaC*(D1156-E1156)</f>
        <v>62.814867843923139</v>
      </c>
      <c r="G1156" s="13">
        <f>Phi*EpsilonF*Botzman/10^8*J1156*((D1156+273)^4-(E1156+273)^4)</f>
        <v>847.75983944886514</v>
      </c>
      <c r="H1156" s="23">
        <f t="shared" si="81"/>
        <v>650</v>
      </c>
      <c r="I1156" s="12">
        <f>ksh*Massivete/(H1156*RhoA)*DeltaT*(F1156+G1156)</f>
        <v>0.13430999279312739</v>
      </c>
      <c r="J1156" s="3">
        <f>IF(E1156&lt;=500,IF(Galva=Oui,0.35,0.7),0.7)</f>
        <v>0.7</v>
      </c>
    </row>
    <row r="1157" spans="2:10" x14ac:dyDescent="0.25">
      <c r="B1157" s="3">
        <f>B1156+DeltaT</f>
        <v>5700</v>
      </c>
      <c r="C1157" s="13">
        <f t="shared" si="78"/>
        <v>95</v>
      </c>
      <c r="D1157" s="11">
        <f t="shared" si="79"/>
        <v>1014.0777065858476</v>
      </c>
      <c r="E1157" s="23">
        <f t="shared" si="80"/>
        <v>1011.5681058211962</v>
      </c>
      <c r="F1157" s="23">
        <f>AlphaC*(D1157-E1157)</f>
        <v>62.740019116284884</v>
      </c>
      <c r="G1157" s="13">
        <f>Phi*EpsilonF*Botzman/10^8*J1157*((D1157+273)^4-(E1157+273)^4)</f>
        <v>847.01210381953206</v>
      </c>
      <c r="H1157" s="23">
        <f t="shared" si="81"/>
        <v>650</v>
      </c>
      <c r="I1157" s="12">
        <f>ksh*Massivete/(H1157*RhoA)*DeltaT*(F1157+G1157)</f>
        <v>0.13418866139860069</v>
      </c>
      <c r="J1157" s="3">
        <f>IF(E1157&lt;=500,IF(Galva=Oui,0.35,0.7),0.7)</f>
        <v>0.7</v>
      </c>
    </row>
    <row r="1158" spans="2:10" x14ac:dyDescent="0.25">
      <c r="B1158" s="3">
        <f>B1157+DeltaT</f>
        <v>5705</v>
      </c>
      <c r="C1158" s="13">
        <f t="shared" si="78"/>
        <v>95.083333333333329</v>
      </c>
      <c r="D1158" s="11">
        <f t="shared" si="79"/>
        <v>1014.2089076417412</v>
      </c>
      <c r="E1158" s="23">
        <f t="shared" si="80"/>
        <v>1011.7022944825949</v>
      </c>
      <c r="F1158" s="23">
        <f>AlphaC*(D1158-E1158)</f>
        <v>62.665328978658863</v>
      </c>
      <c r="G1158" s="13">
        <f>Phi*EpsilonF*Botzman/10^8*J1158*((D1158+273)^4-(E1158+273)^4)</f>
        <v>846.26570458959213</v>
      </c>
      <c r="H1158" s="23">
        <f t="shared" si="81"/>
        <v>650</v>
      </c>
      <c r="I1158" s="12">
        <f>ksh*Massivete/(H1158*RhoA)*DeltaT*(F1158+G1158)</f>
        <v>0.13406755051537819</v>
      </c>
      <c r="J1158" s="3">
        <f>IF(E1158&lt;=500,IF(Galva=Oui,0.35,0.7),0.7)</f>
        <v>0.7</v>
      </c>
    </row>
    <row r="1159" spans="2:10" x14ac:dyDescent="0.25">
      <c r="B1159" s="3">
        <f>B1158+DeltaT</f>
        <v>5710</v>
      </c>
      <c r="C1159" s="13">
        <f t="shared" si="78"/>
        <v>95.166666666666671</v>
      </c>
      <c r="D1159" s="11">
        <f t="shared" si="79"/>
        <v>1014.3399939110446</v>
      </c>
      <c r="E1159" s="23">
        <f t="shared" si="80"/>
        <v>1011.8363620331103</v>
      </c>
      <c r="F1159" s="23">
        <f>AlphaC*(D1159-E1159)</f>
        <v>62.590796948359184</v>
      </c>
      <c r="G1159" s="13">
        <f>Phi*EpsilonF*Botzman/10^8*J1159*((D1159+273)^4-(E1159+273)^4)</f>
        <v>845.52063814502662</v>
      </c>
      <c r="H1159" s="23">
        <f t="shared" si="81"/>
        <v>650</v>
      </c>
      <c r="I1159" s="12">
        <f>ksh*Massivete/(H1159*RhoA)*DeltaT*(F1159+G1159)</f>
        <v>0.13394665953919496</v>
      </c>
      <c r="J1159" s="3">
        <f>IF(E1159&lt;=500,IF(Galva=Oui,0.35,0.7),0.7)</f>
        <v>0.7</v>
      </c>
    </row>
    <row r="1160" spans="2:10" x14ac:dyDescent="0.25">
      <c r="B1160" s="3">
        <f>B1159+DeltaT</f>
        <v>5715</v>
      </c>
      <c r="C1160" s="13">
        <f t="shared" si="78"/>
        <v>95.25</v>
      </c>
      <c r="D1160" s="11">
        <f t="shared" si="79"/>
        <v>1014.4709655944337</v>
      </c>
      <c r="E1160" s="23">
        <f t="shared" si="80"/>
        <v>1011.9703086926495</v>
      </c>
      <c r="F1160" s="23">
        <f>AlphaC*(D1160-E1160)</f>
        <v>62.516422544604211</v>
      </c>
      <c r="G1160" s="13">
        <f>Phi*EpsilonF*Botzman/10^8*J1160*((D1160+273)^4-(E1160+273)^4)</f>
        <v>844.77690088464635</v>
      </c>
      <c r="H1160" s="23">
        <f t="shared" si="81"/>
        <v>650</v>
      </c>
      <c r="I1160" s="12">
        <f>ksh*Massivete/(H1160*RhoA)*DeltaT*(F1160+G1160)</f>
        <v>0.13382598786795927</v>
      </c>
      <c r="J1160" s="3">
        <f>IF(E1160&lt;=500,IF(Galva=Oui,0.35,0.7),0.7)</f>
        <v>0.7</v>
      </c>
    </row>
    <row r="1161" spans="2:10" x14ac:dyDescent="0.25">
      <c r="B1161" s="3">
        <f>B1160+DeltaT</f>
        <v>5720</v>
      </c>
      <c r="C1161" s="13">
        <f t="shared" si="78"/>
        <v>95.333333333333329</v>
      </c>
      <c r="D1161" s="11">
        <f t="shared" si="79"/>
        <v>1014.6018228920585</v>
      </c>
      <c r="E1161" s="23">
        <f t="shared" si="80"/>
        <v>1012.1041346805174</v>
      </c>
      <c r="F1161" s="23">
        <f>AlphaC*(D1161-E1161)</f>
        <v>62.44220528852793</v>
      </c>
      <c r="G1161" s="13">
        <f>Phi*EpsilonF*Botzman/10^8*J1161*((D1161+273)^4-(E1161+273)^4)</f>
        <v>844.03448922051791</v>
      </c>
      <c r="H1161" s="23">
        <f t="shared" si="81"/>
        <v>650</v>
      </c>
      <c r="I1161" s="12">
        <f>ksh*Massivete/(H1161*RhoA)*DeltaT*(F1161+G1161)</f>
        <v>0.13370553490181719</v>
      </c>
      <c r="J1161" s="3">
        <f>IF(E1161&lt;=500,IF(Galva=Oui,0.35,0.7),0.7)</f>
        <v>0.7</v>
      </c>
    </row>
    <row r="1162" spans="2:10" x14ac:dyDescent="0.25">
      <c r="B1162" s="3">
        <f>B1161+DeltaT</f>
        <v>5725</v>
      </c>
      <c r="C1162" s="13">
        <f t="shared" si="78"/>
        <v>95.416666666666671</v>
      </c>
      <c r="D1162" s="11">
        <f t="shared" si="79"/>
        <v>1014.7325660035452</v>
      </c>
      <c r="E1162" s="23">
        <f t="shared" si="80"/>
        <v>1012.2378402154192</v>
      </c>
      <c r="F1162" s="23">
        <f>AlphaC*(D1162-E1162)</f>
        <v>62.368144703151529</v>
      </c>
      <c r="G1162" s="13">
        <f>Phi*EpsilonF*Botzman/10^8*J1162*((D1162+273)^4-(E1162+273)^4)</f>
        <v>843.29339957755667</v>
      </c>
      <c r="H1162" s="23">
        <f t="shared" si="81"/>
        <v>650</v>
      </c>
      <c r="I1162" s="12">
        <f>ksh*Massivete/(H1162*RhoA)*DeltaT*(F1162+G1162)</f>
        <v>0.13358530004308841</v>
      </c>
      <c r="J1162" s="3">
        <f>IF(E1162&lt;=500,IF(Galva=Oui,0.35,0.7),0.7)</f>
        <v>0.7</v>
      </c>
    </row>
    <row r="1163" spans="2:10" x14ac:dyDescent="0.25">
      <c r="B1163" s="3">
        <f>B1162+DeltaT</f>
        <v>5730</v>
      </c>
      <c r="C1163" s="13">
        <f t="shared" si="78"/>
        <v>95.5</v>
      </c>
      <c r="D1163" s="11">
        <f t="shared" si="79"/>
        <v>1014.8631951279979</v>
      </c>
      <c r="E1163" s="23">
        <f t="shared" si="80"/>
        <v>1012.3714255154623</v>
      </c>
      <c r="F1163" s="23">
        <f>AlphaC*(D1163-E1163)</f>
        <v>62.294240313389082</v>
      </c>
      <c r="G1163" s="13">
        <f>Phi*EpsilonF*Botzman/10^8*J1163*((D1163+273)^4-(E1163+273)^4)</f>
        <v>842.55362839358543</v>
      </c>
      <c r="H1163" s="23">
        <f t="shared" si="81"/>
        <v>650</v>
      </c>
      <c r="I1163" s="12">
        <f>ksh*Massivete/(H1163*RhoA)*DeltaT*(F1163+G1163)</f>
        <v>0.13346528269627561</v>
      </c>
      <c r="J1163" s="3">
        <f>IF(E1163&lt;=500,IF(Galva=Oui,0.35,0.7),0.7)</f>
        <v>0.7</v>
      </c>
    </row>
    <row r="1164" spans="2:10" x14ac:dyDescent="0.25">
      <c r="B1164" s="3">
        <f>B1163+DeltaT</f>
        <v>5735</v>
      </c>
      <c r="C1164" s="13">
        <f t="shared" si="78"/>
        <v>95.583333333333329</v>
      </c>
      <c r="D1164" s="11">
        <f t="shared" si="79"/>
        <v>1014.9937104640003</v>
      </c>
      <c r="E1164" s="23">
        <f t="shared" si="80"/>
        <v>1012.5048907981586</v>
      </c>
      <c r="F1164" s="23">
        <f>AlphaC*(D1164-E1164)</f>
        <v>62.220491646041864</v>
      </c>
      <c r="G1164" s="13">
        <f>Phi*EpsilonF*Botzman/10^8*J1164*((D1164+273)^4-(E1164+273)^4)</f>
        <v>841.81517211966298</v>
      </c>
      <c r="H1164" s="23">
        <f t="shared" si="81"/>
        <v>650</v>
      </c>
      <c r="I1164" s="12">
        <f>ksh*Massivete/(H1164*RhoA)*DeltaT*(F1164+G1164)</f>
        <v>0.13334548226811219</v>
      </c>
      <c r="J1164" s="3">
        <f>IF(E1164&lt;=500,IF(Galva=Oui,0.35,0.7),0.7)</f>
        <v>0.7</v>
      </c>
    </row>
    <row r="1165" spans="2:10" x14ac:dyDescent="0.25">
      <c r="B1165" s="3">
        <f>B1164+DeltaT</f>
        <v>5740</v>
      </c>
      <c r="C1165" s="13">
        <f t="shared" si="78"/>
        <v>95.666666666666671</v>
      </c>
      <c r="D1165" s="11">
        <f t="shared" si="79"/>
        <v>1015.1241122096176</v>
      </c>
      <c r="E1165" s="23">
        <f t="shared" si="80"/>
        <v>1012.6382362804268</v>
      </c>
      <c r="F1165" s="23">
        <f>AlphaC*(D1165-E1165)</f>
        <v>62.146898229769931</v>
      </c>
      <c r="G1165" s="13">
        <f>Phi*EpsilonF*Botzman/10^8*J1165*((D1165+273)^4-(E1165+273)^4)</f>
        <v>841.07802721932887</v>
      </c>
      <c r="H1165" s="23">
        <f t="shared" si="81"/>
        <v>650</v>
      </c>
      <c r="I1165" s="12">
        <f>ksh*Massivete/(H1165*RhoA)*DeltaT*(F1165+G1165)</f>
        <v>0.13322589816744657</v>
      </c>
      <c r="J1165" s="3">
        <f>IF(E1165&lt;=500,IF(Galva=Oui,0.35,0.7),0.7)</f>
        <v>0.7</v>
      </c>
    </row>
    <row r="1166" spans="2:10" x14ac:dyDescent="0.25">
      <c r="B1166" s="3">
        <f>B1165+DeltaT</f>
        <v>5745</v>
      </c>
      <c r="C1166" s="13">
        <f t="shared" si="78"/>
        <v>95.75</v>
      </c>
      <c r="D1166" s="11">
        <f t="shared" si="79"/>
        <v>1015.2544005623984</v>
      </c>
      <c r="E1166" s="23">
        <f t="shared" si="80"/>
        <v>1012.7714621785942</v>
      </c>
      <c r="F1166" s="23">
        <f>AlphaC*(D1166-E1166)</f>
        <v>62.073459595103486</v>
      </c>
      <c r="G1166" s="13">
        <f>Phi*EpsilonF*Botzman/10^8*J1166*((D1166+273)^4-(E1166+273)^4)</f>
        <v>840.3421901690491</v>
      </c>
      <c r="H1166" s="23">
        <f t="shared" si="81"/>
        <v>650</v>
      </c>
      <c r="I1166" s="12">
        <f>ksh*Massivete/(H1166*RhoA)*DeltaT*(F1166+G1166)</f>
        <v>0.13310652980530971</v>
      </c>
      <c r="J1166" s="3">
        <f>IF(E1166&lt;=500,IF(Galva=Oui,0.35,0.7),0.7)</f>
        <v>0.7</v>
      </c>
    </row>
    <row r="1167" spans="2:10" x14ac:dyDescent="0.25">
      <c r="B1167" s="3">
        <f>B1166+DeltaT</f>
        <v>5750</v>
      </c>
      <c r="C1167" s="13">
        <f t="shared" si="78"/>
        <v>95.833333333333329</v>
      </c>
      <c r="D1167" s="11">
        <f t="shared" si="79"/>
        <v>1015.384575719376</v>
      </c>
      <c r="E1167" s="23">
        <f t="shared" si="80"/>
        <v>1012.9045687083996</v>
      </c>
      <c r="F1167" s="23">
        <f>AlphaC*(D1167-E1167)</f>
        <v>62.000175274411617</v>
      </c>
      <c r="G1167" s="13">
        <f>Phi*EpsilonF*Botzman/10^8*J1167*((D1167+273)^4-(E1167+273)^4)</f>
        <v>839.60765745796425</v>
      </c>
      <c r="H1167" s="23">
        <f t="shared" si="81"/>
        <v>650</v>
      </c>
      <c r="I1167" s="12">
        <f>ksh*Massivete/(H1167*RhoA)*DeltaT*(F1167+G1167)</f>
        <v>0.13298737659487334</v>
      </c>
      <c r="J1167" s="3">
        <f>IF(E1167&lt;=500,IF(Galva=Oui,0.35,0.7),0.7)</f>
        <v>0.7</v>
      </c>
    </row>
    <row r="1168" spans="2:10" x14ac:dyDescent="0.25">
      <c r="B1168" s="3">
        <f>B1167+DeltaT</f>
        <v>5755</v>
      </c>
      <c r="C1168" s="13">
        <f t="shared" si="78"/>
        <v>95.916666666666671</v>
      </c>
      <c r="D1168" s="11">
        <f t="shared" si="79"/>
        <v>1015.5146378770714</v>
      </c>
      <c r="E1168" s="23">
        <f t="shared" si="80"/>
        <v>1013.0375560849944</v>
      </c>
      <c r="F1168" s="23">
        <f>AlphaC*(D1168-E1168)</f>
        <v>61.927044801925035</v>
      </c>
      <c r="G1168" s="13">
        <f>Phi*EpsilonF*Botzman/10^8*J1168*((D1168+273)^4-(E1168+273)^4)</f>
        <v>838.87442558786961</v>
      </c>
      <c r="H1168" s="23">
        <f t="shared" si="81"/>
        <v>650</v>
      </c>
      <c r="I1168" s="12">
        <f>ksh*Massivete/(H1168*RhoA)*DeltaT*(F1168+G1168)</f>
        <v>0.13286843795145031</v>
      </c>
      <c r="J1168" s="3">
        <f>IF(E1168&lt;=500,IF(Galva=Oui,0.35,0.7),0.7)</f>
        <v>0.7</v>
      </c>
    </row>
    <row r="1169" spans="2:10" x14ac:dyDescent="0.25">
      <c r="B1169" s="3">
        <f>B1168+DeltaT</f>
        <v>5760</v>
      </c>
      <c r="C1169" s="13">
        <f t="shared" si="78"/>
        <v>96</v>
      </c>
      <c r="D1169" s="11">
        <f t="shared" si="79"/>
        <v>1015.6445872314937</v>
      </c>
      <c r="E1169" s="23">
        <f t="shared" si="80"/>
        <v>1013.1704245229458</v>
      </c>
      <c r="F1169" s="23">
        <f>AlphaC*(D1169-E1169)</f>
        <v>61.854067713696281</v>
      </c>
      <c r="G1169" s="13">
        <f>Phi*EpsilonF*Botzman/10^8*J1169*((D1169+273)^4-(E1169+273)^4)</f>
        <v>838.14249107313844</v>
      </c>
      <c r="H1169" s="23">
        <f t="shared" si="81"/>
        <v>650</v>
      </c>
      <c r="I1169" s="12">
        <f>ksh*Massivete/(H1169*RhoA)*DeltaT*(F1169+G1169)</f>
        <v>0.13274971329247745</v>
      </c>
      <c r="J1169" s="3">
        <f>IF(E1169&lt;=500,IF(Galva=Oui,0.35,0.7),0.7)</f>
        <v>0.7</v>
      </c>
    </row>
    <row r="1170" spans="2:10" x14ac:dyDescent="0.25">
      <c r="B1170" s="3">
        <f>B1169+DeltaT</f>
        <v>5765</v>
      </c>
      <c r="C1170" s="13">
        <f t="shared" ref="C1170:C1233" si="82">B1170/60</f>
        <v>96.083333333333329</v>
      </c>
      <c r="D1170" s="11">
        <f t="shared" ref="D1170:D1233" si="83">20+345*LOG(8*C1170+1,10)</f>
        <v>1015.7744239781423</v>
      </c>
      <c r="E1170" s="23">
        <f t="shared" si="80"/>
        <v>1013.3031742362383</v>
      </c>
      <c r="F1170" s="23">
        <f>AlphaC*(D1170-E1170)</f>
        <v>61.781243547599729</v>
      </c>
      <c r="G1170" s="13">
        <f>Phi*EpsilonF*Botzman/10^8*J1170*((D1170+273)^4-(E1170+273)^4)</f>
        <v>837.41185044074052</v>
      </c>
      <c r="H1170" s="23">
        <f t="shared" si="81"/>
        <v>650</v>
      </c>
      <c r="I1170" s="12">
        <f>ksh*Massivete/(H1170*RhoA)*DeltaT*(F1170+G1170)</f>
        <v>0.1326312020375183</v>
      </c>
      <c r="J1170" s="3">
        <f>IF(E1170&lt;=500,IF(Galva=Oui,0.35,0.7),0.7)</f>
        <v>0.7</v>
      </c>
    </row>
    <row r="1171" spans="2:10" x14ac:dyDescent="0.25">
      <c r="B1171" s="3">
        <f>B1170+DeltaT</f>
        <v>5770</v>
      </c>
      <c r="C1171" s="13">
        <f t="shared" si="82"/>
        <v>96.166666666666671</v>
      </c>
      <c r="D1171" s="11">
        <f t="shared" si="83"/>
        <v>1015.9041483120091</v>
      </c>
      <c r="E1171" s="23">
        <f t="shared" si="80"/>
        <v>1013.4358054382758</v>
      </c>
      <c r="F1171" s="23">
        <f>AlphaC*(D1171-E1171)</f>
        <v>61.708571843331583</v>
      </c>
      <c r="G1171" s="13">
        <f>Phi*EpsilonF*Botzman/10^8*J1171*((D1171+273)^4-(E1171+273)^4)</f>
        <v>836.68250023001019</v>
      </c>
      <c r="H1171" s="23">
        <f t="shared" si="81"/>
        <v>650</v>
      </c>
      <c r="I1171" s="12">
        <f>ksh*Massivete/(H1171*RhoA)*DeltaT*(F1171+G1171)</f>
        <v>0.13251290360822893</v>
      </c>
      <c r="J1171" s="3">
        <f>IF(E1171&lt;=500,IF(Galva=Oui,0.35,0.7),0.7)</f>
        <v>0.7</v>
      </c>
    </row>
    <row r="1172" spans="2:10" x14ac:dyDescent="0.25">
      <c r="B1172" s="3">
        <f>B1171+DeltaT</f>
        <v>5775</v>
      </c>
      <c r="C1172" s="13">
        <f t="shared" si="82"/>
        <v>96.25</v>
      </c>
      <c r="D1172" s="11">
        <f t="shared" si="83"/>
        <v>1016.0337604275801</v>
      </c>
      <c r="E1172" s="23">
        <f t="shared" si="80"/>
        <v>1013.568318341884</v>
      </c>
      <c r="F1172" s="23">
        <f>AlphaC*(D1172-E1172)</f>
        <v>61.636052142401354</v>
      </c>
      <c r="G1172" s="13">
        <f>Phi*EpsilonF*Botzman/10^8*J1172*((D1172+273)^4-(E1172+273)^4)</f>
        <v>835.95443699287887</v>
      </c>
      <c r="H1172" s="23">
        <f t="shared" si="81"/>
        <v>650</v>
      </c>
      <c r="I1172" s="12">
        <f>ksh*Massivete/(H1172*RhoA)*DeltaT*(F1172+G1172)</f>
        <v>0.13239481742839088</v>
      </c>
      <c r="J1172" s="3">
        <f>IF(E1172&lt;=500,IF(Galva=Oui,0.35,0.7),0.7)</f>
        <v>0.7</v>
      </c>
    </row>
    <row r="1173" spans="2:10" x14ac:dyDescent="0.25">
      <c r="B1173" s="3">
        <f>B1172+DeltaT</f>
        <v>5780</v>
      </c>
      <c r="C1173" s="13">
        <f t="shared" si="82"/>
        <v>96.333333333333329</v>
      </c>
      <c r="D1173" s="11">
        <f t="shared" si="83"/>
        <v>1016.1632605188366</v>
      </c>
      <c r="E1173" s="23">
        <f t="shared" si="80"/>
        <v>1013.7007131593124</v>
      </c>
      <c r="F1173" s="23">
        <f>AlphaC*(D1173-E1173)</f>
        <v>61.563683988106277</v>
      </c>
      <c r="G1173" s="13">
        <f>Phi*EpsilonF*Botzman/10^8*J1173*((D1173+273)^4-(E1173+273)^4)</f>
        <v>835.22765729370008</v>
      </c>
      <c r="H1173" s="23">
        <f t="shared" si="81"/>
        <v>650</v>
      </c>
      <c r="I1173" s="12">
        <f>ksh*Massivete/(H1173*RhoA)*DeltaT*(F1173+G1173)</f>
        <v>0.1322769429238817</v>
      </c>
      <c r="J1173" s="3">
        <f>IF(E1173&lt;=500,IF(Galva=Oui,0.35,0.7),0.7)</f>
        <v>0.7</v>
      </c>
    </row>
    <row r="1174" spans="2:10" x14ac:dyDescent="0.25">
      <c r="B1174" s="3">
        <f>B1173+DeltaT</f>
        <v>5785</v>
      </c>
      <c r="C1174" s="13">
        <f t="shared" si="82"/>
        <v>96.416666666666671</v>
      </c>
      <c r="D1174" s="11">
        <f t="shared" si="83"/>
        <v>1016.2926487792579</v>
      </c>
      <c r="E1174" s="23">
        <f t="shared" si="80"/>
        <v>1013.8329901022363</v>
      </c>
      <c r="F1174" s="23">
        <f>AlphaC*(D1174-E1174)</f>
        <v>61.491466925539839</v>
      </c>
      <c r="G1174" s="13">
        <f>Phi*EpsilonF*Botzman/10^8*J1174*((D1174+273)^4-(E1174+273)^4)</f>
        <v>834.50215770882392</v>
      </c>
      <c r="H1174" s="23">
        <f t="shared" si="81"/>
        <v>650</v>
      </c>
      <c r="I1174" s="12">
        <f>ksh*Massivete/(H1174*RhoA)*DeltaT*(F1174+G1174)</f>
        <v>0.13215927952261339</v>
      </c>
      <c r="J1174" s="3">
        <f>IF(E1174&lt;=500,IF(Galva=Oui,0.35,0.7),0.7)</f>
        <v>0.7</v>
      </c>
    </row>
    <row r="1175" spans="2:10" x14ac:dyDescent="0.25">
      <c r="B1175" s="3">
        <f>B1174+DeltaT</f>
        <v>5790</v>
      </c>
      <c r="C1175" s="13">
        <f t="shared" si="82"/>
        <v>96.5</v>
      </c>
      <c r="D1175" s="11">
        <f t="shared" si="83"/>
        <v>1016.4219254018221</v>
      </c>
      <c r="E1175" s="23">
        <f t="shared" si="80"/>
        <v>1013.9651493817589</v>
      </c>
      <c r="F1175" s="23">
        <f>AlphaC*(D1175-E1175)</f>
        <v>61.419400501580412</v>
      </c>
      <c r="G1175" s="13">
        <f>Phi*EpsilonF*Botzman/10^8*J1175*((D1175+273)^4-(E1175+273)^4)</f>
        <v>833.7779348271971</v>
      </c>
      <c r="H1175" s="23">
        <f t="shared" si="81"/>
        <v>650</v>
      </c>
      <c r="I1175" s="12">
        <f>ksh*Massivete/(H1175*RhoA)*DeltaT*(F1175+G1175)</f>
        <v>0.13204182665461917</v>
      </c>
      <c r="J1175" s="3">
        <f>IF(E1175&lt;=500,IF(Galva=Oui,0.35,0.7),0.7)</f>
        <v>0.7</v>
      </c>
    </row>
    <row r="1176" spans="2:10" x14ac:dyDescent="0.25">
      <c r="B1176" s="3">
        <f>B1175+DeltaT</f>
        <v>5795</v>
      </c>
      <c r="C1176" s="13">
        <f t="shared" si="82"/>
        <v>96.583333333333329</v>
      </c>
      <c r="D1176" s="11">
        <f t="shared" si="83"/>
        <v>1016.5510905790079</v>
      </c>
      <c r="E1176" s="23">
        <f t="shared" si="80"/>
        <v>1014.0971912084135</v>
      </c>
      <c r="F1176" s="23">
        <f>AlphaC*(D1176-E1176)</f>
        <v>61.347484264859986</v>
      </c>
      <c r="G1176" s="13">
        <f>Phi*EpsilonF*Botzman/10^8*J1176*((D1176+273)^4-(E1176+273)^4)</f>
        <v>833.05498524966572</v>
      </c>
      <c r="H1176" s="23">
        <f t="shared" si="81"/>
        <v>650</v>
      </c>
      <c r="I1176" s="12">
        <f>ksh*Massivete/(H1176*RhoA)*DeltaT*(F1176+G1176)</f>
        <v>0.13192458375194613</v>
      </c>
      <c r="J1176" s="3">
        <f>IF(E1176&lt;=500,IF(Galva=Oui,0.35,0.7),0.7)</f>
        <v>0.7</v>
      </c>
    </row>
    <row r="1177" spans="2:10" x14ac:dyDescent="0.25">
      <c r="B1177" s="3">
        <f>B1176+DeltaT</f>
        <v>5800</v>
      </c>
      <c r="C1177" s="13">
        <f t="shared" si="82"/>
        <v>96.666666666666671</v>
      </c>
      <c r="D1177" s="11">
        <f t="shared" si="83"/>
        <v>1016.6801445027976</v>
      </c>
      <c r="E1177" s="23">
        <f t="shared" si="80"/>
        <v>1014.2291157921654</v>
      </c>
      <c r="F1177" s="23">
        <f>AlphaC*(D1177-E1177)</f>
        <v>61.275717765803961</v>
      </c>
      <c r="G1177" s="13">
        <f>Phi*EpsilonF*Botzman/10^8*J1177*((D1177+273)^4-(E1177+273)^4)</f>
        <v>832.33330558963394</v>
      </c>
      <c r="H1177" s="23">
        <f t="shared" si="81"/>
        <v>650</v>
      </c>
      <c r="I1177" s="12">
        <f>ksh*Massivete/(H1177*RhoA)*DeltaT*(F1177+G1177)</f>
        <v>0.13180755024875818</v>
      </c>
      <c r="J1177" s="3">
        <f>IF(E1177&lt;=500,IF(Galva=Oui,0.35,0.7),0.7)</f>
        <v>0.7</v>
      </c>
    </row>
    <row r="1178" spans="2:10" x14ac:dyDescent="0.25">
      <c r="B1178" s="3">
        <f>B1177+DeltaT</f>
        <v>5805</v>
      </c>
      <c r="C1178" s="13">
        <f t="shared" si="82"/>
        <v>96.75</v>
      </c>
      <c r="D1178" s="11">
        <f t="shared" si="83"/>
        <v>1016.809087364677</v>
      </c>
      <c r="E1178" s="23">
        <f t="shared" si="80"/>
        <v>1014.3609233424141</v>
      </c>
      <c r="F1178" s="23">
        <f>AlphaC*(D1178-E1178)</f>
        <v>61.204100556571461</v>
      </c>
      <c r="G1178" s="13">
        <f>Phi*EpsilonF*Botzman/10^8*J1178*((D1178+273)^4-(E1178+273)^4)</f>
        <v>831.61289247219224</v>
      </c>
      <c r="H1178" s="23">
        <f t="shared" si="81"/>
        <v>650</v>
      </c>
      <c r="I1178" s="12">
        <f>ksh*Massivete/(H1178*RhoA)*DeltaT*(F1178+G1178)</f>
        <v>0.13169072558119871</v>
      </c>
      <c r="J1178" s="3">
        <f>IF(E1178&lt;=500,IF(Galva=Oui,0.35,0.7),0.7)</f>
        <v>0.7</v>
      </c>
    </row>
    <row r="1179" spans="2:10" x14ac:dyDescent="0.25">
      <c r="B1179" s="3">
        <f>B1178+DeltaT</f>
        <v>5810</v>
      </c>
      <c r="C1179" s="13">
        <f t="shared" si="82"/>
        <v>96.833333333333329</v>
      </c>
      <c r="D1179" s="11">
        <f t="shared" si="83"/>
        <v>1016.9379193556382</v>
      </c>
      <c r="E1179" s="23">
        <f t="shared" si="80"/>
        <v>1014.4926140679953</v>
      </c>
      <c r="F1179" s="23">
        <f>AlphaC*(D1179-E1179)</f>
        <v>61.132632191072389</v>
      </c>
      <c r="G1179" s="13">
        <f>Phi*EpsilonF*Botzman/10^8*J1179*((D1179+273)^4-(E1179+273)^4)</f>
        <v>830.89374253462074</v>
      </c>
      <c r="H1179" s="23">
        <f t="shared" si="81"/>
        <v>650</v>
      </c>
      <c r="I1179" s="12">
        <f>ksh*Massivete/(H1179*RhoA)*DeltaT*(F1179+G1179)</f>
        <v>0.13157410918746729</v>
      </c>
      <c r="J1179" s="3">
        <f>IF(E1179&lt;=500,IF(Galva=Oui,0.35,0.7),0.7)</f>
        <v>0.7</v>
      </c>
    </row>
    <row r="1180" spans="2:10" x14ac:dyDescent="0.25">
      <c r="B1180" s="3">
        <f>B1179+DeltaT</f>
        <v>5815</v>
      </c>
      <c r="C1180" s="13">
        <f t="shared" si="82"/>
        <v>96.916666666666671</v>
      </c>
      <c r="D1180" s="11">
        <f t="shared" si="83"/>
        <v>1017.0666406661811</v>
      </c>
      <c r="E1180" s="23">
        <f t="shared" si="80"/>
        <v>1014.6241881771828</v>
      </c>
      <c r="F1180" s="23">
        <f>AlphaC*(D1180-E1180)</f>
        <v>61.061312224958897</v>
      </c>
      <c r="G1180" s="13">
        <f>Phi*EpsilonF*Botzman/10^8*J1180*((D1180+273)^4-(E1180+273)^4)</f>
        <v>830.17585242633163</v>
      </c>
      <c r="H1180" s="23">
        <f t="shared" si="81"/>
        <v>650</v>
      </c>
      <c r="I1180" s="12">
        <f>ksh*Massivete/(H1180*RhoA)*DeltaT*(F1180+G1180)</f>
        <v>0.13145770050781</v>
      </c>
      <c r="J1180" s="3">
        <f>IF(E1180&lt;=500,IF(Galva=Oui,0.35,0.7),0.7)</f>
        <v>0.7</v>
      </c>
    </row>
    <row r="1181" spans="2:10" x14ac:dyDescent="0.25">
      <c r="B1181" s="3">
        <f>B1180+DeltaT</f>
        <v>5820</v>
      </c>
      <c r="C1181" s="13">
        <f t="shared" si="82"/>
        <v>97</v>
      </c>
      <c r="D1181" s="11">
        <f t="shared" si="83"/>
        <v>1017.1952514863153</v>
      </c>
      <c r="E1181" s="23">
        <f t="shared" si="80"/>
        <v>1014.7556458776905</v>
      </c>
      <c r="F1181" s="23">
        <f>AlphaC*(D1181-E1181)</f>
        <v>60.990140215619704</v>
      </c>
      <c r="G1181" s="13">
        <f>Phi*EpsilonF*Botzman/10^8*J1181*((D1181+273)^4-(E1181+273)^4)</f>
        <v>829.45921880844219</v>
      </c>
      <c r="H1181" s="23">
        <f t="shared" si="81"/>
        <v>650</v>
      </c>
      <c r="I1181" s="12">
        <f>ksh*Massivete/(H1181*RhoA)*DeltaT*(F1181+G1181)</f>
        <v>0.13134149898445555</v>
      </c>
      <c r="J1181" s="3">
        <f>IF(E1181&lt;=500,IF(Galva=Oui,0.35,0.7),0.7)</f>
        <v>0.7</v>
      </c>
    </row>
    <row r="1182" spans="2:10" x14ac:dyDescent="0.25">
      <c r="B1182" s="3">
        <f>B1181+DeltaT</f>
        <v>5825</v>
      </c>
      <c r="C1182" s="13">
        <f t="shared" si="82"/>
        <v>97.083333333333329</v>
      </c>
      <c r="D1182" s="11">
        <f t="shared" si="83"/>
        <v>1017.3237520055609</v>
      </c>
      <c r="E1182" s="23">
        <f t="shared" si="80"/>
        <v>1014.8869873766751</v>
      </c>
      <c r="F1182" s="23">
        <f>AlphaC*(D1182-E1182)</f>
        <v>60.919115722145989</v>
      </c>
      <c r="G1182" s="13">
        <f>Phi*EpsilonF*Botzman/10^8*J1182*((D1182+273)^4-(E1182+273)^4)</f>
        <v>828.74383835406638</v>
      </c>
      <c r="H1182" s="23">
        <f t="shared" si="81"/>
        <v>650</v>
      </c>
      <c r="I1182" s="12">
        <f>ksh*Massivete/(H1182*RhoA)*DeltaT*(F1182+G1182)</f>
        <v>0.13122550406165323</v>
      </c>
      <c r="J1182" s="3">
        <f>IF(E1182&lt;=500,IF(Galva=Oui,0.35,0.7),0.7)</f>
        <v>0.7</v>
      </c>
    </row>
    <row r="1183" spans="2:10" x14ac:dyDescent="0.25">
      <c r="B1183" s="3">
        <f>B1182+DeltaT</f>
        <v>5830</v>
      </c>
      <c r="C1183" s="13">
        <f t="shared" si="82"/>
        <v>97.166666666666671</v>
      </c>
      <c r="D1183" s="11">
        <f t="shared" si="83"/>
        <v>1017.4521424129516</v>
      </c>
      <c r="E1183" s="23">
        <f t="shared" si="80"/>
        <v>1015.0182128807367</v>
      </c>
      <c r="F1183" s="23">
        <f>AlphaC*(D1183-E1183)</f>
        <v>60.848238305374025</v>
      </c>
      <c r="G1183" s="13">
        <f>Phi*EpsilonF*Botzman/10^8*J1183*((D1183+273)^4-(E1183+273)^4)</f>
        <v>828.02970774831374</v>
      </c>
      <c r="H1183" s="23">
        <f t="shared" si="81"/>
        <v>650</v>
      </c>
      <c r="I1183" s="12">
        <f>ksh*Massivete/(H1183*RhoA)*DeltaT*(F1183+G1183)</f>
        <v>0.13110971518567921</v>
      </c>
      <c r="J1183" s="3">
        <f>IF(E1183&lt;=500,IF(Galva=Oui,0.35,0.7),0.7)</f>
        <v>0.7</v>
      </c>
    </row>
    <row r="1184" spans="2:10" x14ac:dyDescent="0.25">
      <c r="B1184" s="3">
        <f>B1183+DeltaT</f>
        <v>5835</v>
      </c>
      <c r="C1184" s="13">
        <f t="shared" si="82"/>
        <v>97.25</v>
      </c>
      <c r="D1184" s="11">
        <f t="shared" si="83"/>
        <v>1017.5804228970347</v>
      </c>
      <c r="E1184" s="23">
        <f t="shared" si="80"/>
        <v>1015.1493225959223</v>
      </c>
      <c r="F1184" s="23">
        <f>AlphaC*(D1184-E1184)</f>
        <v>60.777507527811281</v>
      </c>
      <c r="G1184" s="13">
        <f>Phi*EpsilonF*Botzman/10^8*J1184*((D1184+273)^4-(E1184+273)^4)</f>
        <v>827.31682368765087</v>
      </c>
      <c r="H1184" s="23">
        <f t="shared" si="81"/>
        <v>650</v>
      </c>
      <c r="I1184" s="12">
        <f>ksh*Massivete/(H1184*RhoA)*DeltaT*(F1184+G1184)</f>
        <v>0.13099413180473116</v>
      </c>
      <c r="J1184" s="3">
        <f>IF(E1184&lt;=500,IF(Galva=Oui,0.35,0.7),0.7)</f>
        <v>0.7</v>
      </c>
    </row>
    <row r="1185" spans="2:10" x14ac:dyDescent="0.25">
      <c r="B1185" s="3">
        <f>B1184+DeltaT</f>
        <v>5840</v>
      </c>
      <c r="C1185" s="13">
        <f t="shared" si="82"/>
        <v>97.333333333333329</v>
      </c>
      <c r="D1185" s="11">
        <f t="shared" si="83"/>
        <v>1017.7085936458741</v>
      </c>
      <c r="E1185" s="23">
        <f t="shared" si="80"/>
        <v>1015.280316727727</v>
      </c>
      <c r="F1185" s="23">
        <f>AlphaC*(D1185-E1185)</f>
        <v>60.706922953676212</v>
      </c>
      <c r="G1185" s="13">
        <f>Phi*EpsilonF*Botzman/10^8*J1185*((D1185+273)^4-(E1185+273)^4)</f>
        <v>826.60518288067578</v>
      </c>
      <c r="H1185" s="23">
        <f t="shared" si="81"/>
        <v>650</v>
      </c>
      <c r="I1185" s="12">
        <f>ksh*Massivete/(H1185*RhoA)*DeltaT*(F1185+G1185)</f>
        <v>0.13087875336904864</v>
      </c>
      <c r="J1185" s="3">
        <f>IF(E1185&lt;=500,IF(Galva=Oui,0.35,0.7),0.7)</f>
        <v>0.7</v>
      </c>
    </row>
    <row r="1186" spans="2:10" x14ac:dyDescent="0.25">
      <c r="B1186" s="3">
        <f>B1185+DeltaT</f>
        <v>5845</v>
      </c>
      <c r="C1186" s="13">
        <f t="shared" si="82"/>
        <v>97.416666666666671</v>
      </c>
      <c r="D1186" s="11">
        <f t="shared" si="83"/>
        <v>1017.8366548470518</v>
      </c>
      <c r="E1186" s="23">
        <f t="shared" si="80"/>
        <v>1015.4111954810961</v>
      </c>
      <c r="F1186" s="23">
        <f>AlphaC*(D1186-E1186)</f>
        <v>60.636484148892578</v>
      </c>
      <c r="G1186" s="13">
        <f>Phi*EpsilonF*Botzman/10^8*J1186*((D1186+273)^4-(E1186+273)^4)</f>
        <v>825.89478204742113</v>
      </c>
      <c r="H1186" s="23">
        <f t="shared" si="81"/>
        <v>650</v>
      </c>
      <c r="I1186" s="12">
        <f>ksh*Massivete/(H1186*RhoA)*DeltaT*(F1186+G1186)</f>
        <v>0.13076357933080932</v>
      </c>
      <c r="J1186" s="3">
        <f>IF(E1186&lt;=500,IF(Galva=Oui,0.35,0.7),0.7)</f>
        <v>0.7</v>
      </c>
    </row>
    <row r="1187" spans="2:10" x14ac:dyDescent="0.25">
      <c r="B1187" s="3">
        <f>B1186+DeltaT</f>
        <v>5850</v>
      </c>
      <c r="C1187" s="13">
        <f t="shared" si="82"/>
        <v>97.5</v>
      </c>
      <c r="D1187" s="11">
        <f t="shared" si="83"/>
        <v>1017.9646066876685</v>
      </c>
      <c r="E1187" s="23">
        <f t="shared" si="80"/>
        <v>1015.541959060427</v>
      </c>
      <c r="F1187" s="23">
        <f>AlphaC*(D1187-E1187)</f>
        <v>60.566190681038279</v>
      </c>
      <c r="G1187" s="13">
        <f>Phi*EpsilonF*Botzman/10^8*J1187*((D1187+273)^4-(E1187+273)^4)</f>
        <v>825.18561791956631</v>
      </c>
      <c r="H1187" s="23">
        <f t="shared" si="81"/>
        <v>650</v>
      </c>
      <c r="I1187" s="12">
        <f>ksh*Massivete/(H1187*RhoA)*DeltaT*(F1187+G1187)</f>
        <v>0.13064860914415269</v>
      </c>
      <c r="J1187" s="3">
        <f>IF(E1187&lt;=500,IF(Galva=Oui,0.35,0.7),0.7)</f>
        <v>0.7</v>
      </c>
    </row>
    <row r="1188" spans="2:10" x14ac:dyDescent="0.25">
      <c r="B1188" s="3">
        <f>B1187+DeltaT</f>
        <v>5855</v>
      </c>
      <c r="C1188" s="13">
        <f t="shared" si="82"/>
        <v>97.583333333333329</v>
      </c>
      <c r="D1188" s="11">
        <f t="shared" si="83"/>
        <v>1018.0924493543465</v>
      </c>
      <c r="E1188" s="23">
        <f t="shared" si="80"/>
        <v>1015.6726076695711</v>
      </c>
      <c r="F1188" s="23">
        <f>AlphaC*(D1188-E1188)</f>
        <v>60.496042119385152</v>
      </c>
      <c r="G1188" s="13">
        <f>Phi*EpsilonF*Botzman/10^8*J1188*((D1188+273)^4-(E1188+273)^4)</f>
        <v>824.47768724051593</v>
      </c>
      <c r="H1188" s="23">
        <f t="shared" si="81"/>
        <v>650</v>
      </c>
      <c r="I1188" s="12">
        <f>ksh*Massivete/(H1188*RhoA)*DeltaT*(F1188+G1188)</f>
        <v>0.13053384226519768</v>
      </c>
      <c r="J1188" s="3">
        <f>IF(E1188&lt;=500,IF(Galva=Oui,0.35,0.7),0.7)</f>
        <v>0.7</v>
      </c>
    </row>
    <row r="1189" spans="2:10" x14ac:dyDescent="0.25">
      <c r="B1189" s="3">
        <f>B1188+DeltaT</f>
        <v>5860</v>
      </c>
      <c r="C1189" s="13">
        <f t="shared" si="82"/>
        <v>97.666666666666671</v>
      </c>
      <c r="D1189" s="11">
        <f t="shared" si="83"/>
        <v>1018.2201830332308</v>
      </c>
      <c r="E1189" s="23">
        <f t="shared" si="80"/>
        <v>1015.8031415118363</v>
      </c>
      <c r="F1189" s="23">
        <f>AlphaC*(D1189-E1189)</f>
        <v>60.426038034862017</v>
      </c>
      <c r="G1189" s="13">
        <f>Phi*EpsilonF*Botzman/10^8*J1189*((D1189+273)^4-(E1189+273)^4)</f>
        <v>823.77098676499236</v>
      </c>
      <c r="H1189" s="23">
        <f t="shared" si="81"/>
        <v>650</v>
      </c>
      <c r="I1189" s="12">
        <f>ksh*Massivete/(H1189*RhoA)*DeltaT*(F1189+G1189)</f>
        <v>0.1304192781519769</v>
      </c>
      <c r="J1189" s="3">
        <f>IF(E1189&lt;=500,IF(Galva=Oui,0.35,0.7),0.7)</f>
        <v>0.7</v>
      </c>
    </row>
    <row r="1190" spans="2:10" x14ac:dyDescent="0.25">
      <c r="B1190" s="3">
        <f>B1189+DeltaT</f>
        <v>5865</v>
      </c>
      <c r="C1190" s="13">
        <f t="shared" si="82"/>
        <v>97.75</v>
      </c>
      <c r="D1190" s="11">
        <f t="shared" si="83"/>
        <v>1018.3478079099904</v>
      </c>
      <c r="E1190" s="23">
        <f t="shared" si="80"/>
        <v>1015.9335607899883</v>
      </c>
      <c r="F1190" s="23">
        <f>AlphaC*(D1190-E1190)</f>
        <v>60.356178000051841</v>
      </c>
      <c r="G1190" s="13">
        <f>Phi*EpsilonF*Botzman/10^8*J1190*((D1190+273)^4-(E1190+273)^4)</f>
        <v>823.06551325919065</v>
      </c>
      <c r="H1190" s="23">
        <f t="shared" si="81"/>
        <v>650</v>
      </c>
      <c r="I1190" s="12">
        <f>ksh*Massivete/(H1190*RhoA)*DeltaT*(F1190+G1190)</f>
        <v>0.13030491626445925</v>
      </c>
      <c r="J1190" s="3">
        <f>IF(E1190&lt;=500,IF(Galva=Oui,0.35,0.7),0.7)</f>
        <v>0.7</v>
      </c>
    </row>
    <row r="1191" spans="2:10" x14ac:dyDescent="0.25">
      <c r="B1191" s="3">
        <f>B1190+DeltaT</f>
        <v>5870</v>
      </c>
      <c r="C1191" s="13">
        <f t="shared" si="82"/>
        <v>97.833333333333329</v>
      </c>
      <c r="D1191" s="11">
        <f t="shared" si="83"/>
        <v>1018.4753241698205</v>
      </c>
      <c r="E1191" s="23">
        <f t="shared" si="80"/>
        <v>1016.0638657062527</v>
      </c>
      <c r="F1191" s="23">
        <f>AlphaC*(D1191-E1191)</f>
        <v>60.286461589194573</v>
      </c>
      <c r="G1191" s="13">
        <f>Phi*EpsilonF*Botzman/10^8*J1191*((D1191+273)^4-(E1191+273)^4)</f>
        <v>822.3612635009149</v>
      </c>
      <c r="H1191" s="23">
        <f t="shared" si="81"/>
        <v>650</v>
      </c>
      <c r="I1191" s="12">
        <f>ksh*Massivete/(H1191*RhoA)*DeltaT*(F1191+G1191)</f>
        <v>0.13019075606457028</v>
      </c>
      <c r="J1191" s="3">
        <f>IF(E1191&lt;=500,IF(Galva=Oui,0.35,0.7),0.7)</f>
        <v>0.7</v>
      </c>
    </row>
    <row r="1192" spans="2:10" x14ac:dyDescent="0.25">
      <c r="B1192" s="3">
        <f>B1191+DeltaT</f>
        <v>5875</v>
      </c>
      <c r="C1192" s="13">
        <f t="shared" si="82"/>
        <v>97.916666666666671</v>
      </c>
      <c r="D1192" s="11">
        <f t="shared" si="83"/>
        <v>1018.6027319974438</v>
      </c>
      <c r="E1192" s="23">
        <f t="shared" si="80"/>
        <v>1016.1940564623173</v>
      </c>
      <c r="F1192" s="23">
        <f>AlphaC*(D1192-E1192)</f>
        <v>60.21688837816157</v>
      </c>
      <c r="G1192" s="13">
        <f>Phi*EpsilonF*Botzman/10^8*J1192*((D1192+273)^4-(E1192+273)^4)</f>
        <v>821.65823427913142</v>
      </c>
      <c r="H1192" s="23">
        <f t="shared" si="81"/>
        <v>650</v>
      </c>
      <c r="I1192" s="12">
        <f>ksh*Massivete/(H1192*RhoA)*DeltaT*(F1192+G1192)</f>
        <v>0.13007679701612268</v>
      </c>
      <c r="J1192" s="3">
        <f>IF(E1192&lt;=500,IF(Galva=Oui,0.35,0.7),0.7)</f>
        <v>0.7</v>
      </c>
    </row>
    <row r="1193" spans="2:10" x14ac:dyDescent="0.25">
      <c r="B1193" s="3">
        <f>B1192+DeltaT</f>
        <v>5880</v>
      </c>
      <c r="C1193" s="13">
        <f t="shared" si="82"/>
        <v>98</v>
      </c>
      <c r="D1193" s="11">
        <f t="shared" si="83"/>
        <v>1018.7300315771121</v>
      </c>
      <c r="E1193" s="23">
        <f t="shared" si="80"/>
        <v>1016.3241332593335</v>
      </c>
      <c r="F1193" s="23">
        <f>AlphaC*(D1193-E1193)</f>
        <v>60.147457944464122</v>
      </c>
      <c r="G1193" s="13">
        <f>Phi*EpsilonF*Botzman/10^8*J1193*((D1193+273)^4-(E1193+273)^4)</f>
        <v>820.95642239429924</v>
      </c>
      <c r="H1193" s="23">
        <f t="shared" si="81"/>
        <v>650</v>
      </c>
      <c r="I1193" s="12">
        <f>ksh*Massivete/(H1193*RhoA)*DeltaT*(F1193+G1193)</f>
        <v>0.12996303858486619</v>
      </c>
      <c r="J1193" s="3">
        <f>IF(E1193&lt;=500,IF(Galva=Oui,0.35,0.7),0.7)</f>
        <v>0.7</v>
      </c>
    </row>
    <row r="1194" spans="2:10" x14ac:dyDescent="0.25">
      <c r="B1194" s="3">
        <f>B1193+DeltaT</f>
        <v>5885</v>
      </c>
      <c r="C1194" s="13">
        <f t="shared" si="82"/>
        <v>98.083333333333329</v>
      </c>
      <c r="D1194" s="11">
        <f t="shared" si="83"/>
        <v>1018.8572230926081</v>
      </c>
      <c r="E1194" s="23">
        <f t="shared" si="80"/>
        <v>1016.4540962979183</v>
      </c>
      <c r="F1194" s="23">
        <f>AlphaC*(D1194-E1194)</f>
        <v>60.078169867244924</v>
      </c>
      <c r="G1194" s="13">
        <f>Phi*EpsilonF*Botzman/10^8*J1194*((D1194+273)^4-(E1194+273)^4)</f>
        <v>820.25582465778803</v>
      </c>
      <c r="H1194" s="23">
        <f t="shared" si="81"/>
        <v>650</v>
      </c>
      <c r="I1194" s="12">
        <f>ksh*Massivete/(H1194*RhoA)*DeltaT*(F1194+G1194)</f>
        <v>0.12984948023840048</v>
      </c>
      <c r="J1194" s="3">
        <f>IF(E1194&lt;=500,IF(Galva=Oui,0.35,0.7),0.7)</f>
        <v>0.7</v>
      </c>
    </row>
    <row r="1195" spans="2:10" x14ac:dyDescent="0.25">
      <c r="B1195" s="3">
        <f>B1194+DeltaT</f>
        <v>5890</v>
      </c>
      <c r="C1195" s="13">
        <f t="shared" si="82"/>
        <v>98.166666666666671</v>
      </c>
      <c r="D1195" s="11">
        <f t="shared" si="83"/>
        <v>1018.9843067272467</v>
      </c>
      <c r="E1195" s="23">
        <f t="shared" si="80"/>
        <v>1016.5839457781567</v>
      </c>
      <c r="F1195" s="23">
        <f>AlphaC*(D1195-E1195)</f>
        <v>60.009023727249655</v>
      </c>
      <c r="G1195" s="13">
        <f>Phi*EpsilonF*Botzman/10^8*J1195*((D1195+273)^4-(E1195+273)^4)</f>
        <v>819.55643789263434</v>
      </c>
      <c r="H1195" s="23">
        <f t="shared" si="81"/>
        <v>650</v>
      </c>
      <c r="I1195" s="12">
        <f>ksh*Massivete/(H1195*RhoA)*DeltaT*(F1195+G1195)</f>
        <v>0.12973612144628258</v>
      </c>
      <c r="J1195" s="3">
        <f>IF(E1195&lt;=500,IF(Galva=Oui,0.35,0.7),0.7)</f>
        <v>0.7</v>
      </c>
    </row>
    <row r="1196" spans="2:10" x14ac:dyDescent="0.25">
      <c r="B1196" s="3">
        <f>B1195+DeltaT</f>
        <v>5895</v>
      </c>
      <c r="C1196" s="13">
        <f t="shared" si="82"/>
        <v>98.25</v>
      </c>
      <c r="D1196" s="11">
        <f t="shared" si="83"/>
        <v>1019.1112826638772</v>
      </c>
      <c r="E1196" s="23">
        <f t="shared" si="80"/>
        <v>1016.713681899603</v>
      </c>
      <c r="F1196" s="23">
        <f>AlphaC*(D1196-E1196)</f>
        <v>59.940019106855402</v>
      </c>
      <c r="G1196" s="13">
        <f>Phi*EpsilonF*Botzman/10^8*J1196*((D1196+273)^4-(E1196+273)^4)</f>
        <v>818.85825893274648</v>
      </c>
      <c r="H1196" s="23">
        <f t="shared" si="81"/>
        <v>650</v>
      </c>
      <c r="I1196" s="12">
        <f>ksh*Massivete/(H1196*RhoA)*DeltaT*(F1196+G1196)</f>
        <v>0.12962296167991366</v>
      </c>
      <c r="J1196" s="3">
        <f>IF(E1196&lt;=500,IF(Galva=Oui,0.35,0.7),0.7)</f>
        <v>0.7</v>
      </c>
    </row>
    <row r="1197" spans="2:10" x14ac:dyDescent="0.25">
      <c r="B1197" s="3">
        <f>B1196+DeltaT</f>
        <v>5900</v>
      </c>
      <c r="C1197" s="13">
        <f t="shared" si="82"/>
        <v>98.333333333333329</v>
      </c>
      <c r="D1197" s="11">
        <f t="shared" si="83"/>
        <v>1019.2381510848837</v>
      </c>
      <c r="E1197" s="23">
        <f t="shared" si="80"/>
        <v>1016.8433048612829</v>
      </c>
      <c r="F1197" s="23">
        <f>AlphaC*(D1197-E1197)</f>
        <v>59.871155590019498</v>
      </c>
      <c r="G1197" s="13">
        <f>Phi*EpsilonF*Botzman/10^8*J1197*((D1197+273)^4-(E1197+273)^4)</f>
        <v>818.16128462317658</v>
      </c>
      <c r="H1197" s="23">
        <f t="shared" si="81"/>
        <v>650</v>
      </c>
      <c r="I1197" s="12">
        <f>ksh*Massivete/(H1197*RhoA)*DeltaT*(F1197+G1197)</f>
        <v>0.12951000041257174</v>
      </c>
      <c r="J1197" s="3">
        <f>IF(E1197&lt;=500,IF(Galva=Oui,0.35,0.7),0.7)</f>
        <v>0.7</v>
      </c>
    </row>
    <row r="1198" spans="2:10" x14ac:dyDescent="0.25">
      <c r="B1198" s="3">
        <f>B1197+DeltaT</f>
        <v>5905</v>
      </c>
      <c r="C1198" s="13">
        <f t="shared" si="82"/>
        <v>98.416666666666671</v>
      </c>
      <c r="D1198" s="11">
        <f t="shared" si="83"/>
        <v>1019.3649121721878</v>
      </c>
      <c r="E1198" s="23">
        <f t="shared" si="80"/>
        <v>1016.9728148616955</v>
      </c>
      <c r="F1198" s="23">
        <f>AlphaC*(D1198-E1198)</f>
        <v>59.802432762307944</v>
      </c>
      <c r="G1198" s="13">
        <f>Phi*EpsilonF*Botzman/10^8*J1198*((D1198+273)^4-(E1198+273)^4)</f>
        <v>817.46551182012013</v>
      </c>
      <c r="H1198" s="23">
        <f t="shared" si="81"/>
        <v>650</v>
      </c>
      <c r="I1198" s="12">
        <f>ksh*Massivete/(H1198*RhoA)*DeltaT*(F1198+G1198)</f>
        <v>0.12939723711941584</v>
      </c>
      <c r="J1198" s="3">
        <f>IF(E1198&lt;=500,IF(Galva=Oui,0.35,0.7),0.7)</f>
        <v>0.7</v>
      </c>
    </row>
    <row r="1199" spans="2:10" x14ac:dyDescent="0.25">
      <c r="B1199" s="3">
        <f>B1198+DeltaT</f>
        <v>5910</v>
      </c>
      <c r="C1199" s="13">
        <f t="shared" si="82"/>
        <v>98.5</v>
      </c>
      <c r="D1199" s="11">
        <f t="shared" si="83"/>
        <v>1019.4915661072498</v>
      </c>
      <c r="E1199" s="23">
        <f t="shared" si="80"/>
        <v>1017.1022120988149</v>
      </c>
      <c r="F1199" s="23">
        <f>AlphaC*(D1199-E1199)</f>
        <v>59.733850210872674</v>
      </c>
      <c r="G1199" s="13">
        <f>Phi*EpsilonF*Botzman/10^8*J1199*((D1199+273)^4-(E1199+273)^4)</f>
        <v>816.770937390722</v>
      </c>
      <c r="H1199" s="23">
        <f t="shared" si="81"/>
        <v>650</v>
      </c>
      <c r="I1199" s="12">
        <f>ksh*Massivete/(H1199*RhoA)*DeltaT*(F1199+G1199)</f>
        <v>0.12928467127745377</v>
      </c>
      <c r="J1199" s="3">
        <f>IF(E1199&lt;=500,IF(Galva=Oui,0.35,0.7),0.7)</f>
        <v>0.7</v>
      </c>
    </row>
    <row r="1200" spans="2:10" x14ac:dyDescent="0.25">
      <c r="B1200" s="3">
        <f>B1199+DeltaT</f>
        <v>5915</v>
      </c>
      <c r="C1200" s="13">
        <f t="shared" si="82"/>
        <v>98.583333333333329</v>
      </c>
      <c r="D1200" s="11">
        <f t="shared" si="83"/>
        <v>1019.6181130710703</v>
      </c>
      <c r="E1200" s="23">
        <f t="shared" si="80"/>
        <v>1017.2314967700923</v>
      </c>
      <c r="F1200" s="23">
        <f>AlphaC*(D1200-E1200)</f>
        <v>59.66540752444871</v>
      </c>
      <c r="G1200" s="13">
        <f>Phi*EpsilonF*Botzman/10^8*J1200*((D1200+273)^4-(E1200+273)^4)</f>
        <v>816.07755821332887</v>
      </c>
      <c r="H1200" s="23">
        <f t="shared" si="81"/>
        <v>650</v>
      </c>
      <c r="I1200" s="12">
        <f>ksh*Massivete/(H1200*RhoA)*DeltaT*(F1200+G1200)</f>
        <v>0.12917230236557928</v>
      </c>
      <c r="J1200" s="3">
        <f>IF(E1200&lt;=500,IF(Galva=Oui,0.35,0.7),0.7)</f>
        <v>0.7</v>
      </c>
    </row>
    <row r="1201" spans="2:10" x14ac:dyDescent="0.25">
      <c r="B1201" s="3">
        <f>B1200+DeltaT</f>
        <v>5920</v>
      </c>
      <c r="C1201" s="13">
        <f t="shared" si="82"/>
        <v>98.666666666666671</v>
      </c>
      <c r="D1201" s="11">
        <f t="shared" si="83"/>
        <v>1019.7445532441913</v>
      </c>
      <c r="E1201" s="23">
        <f t="shared" si="80"/>
        <v>1017.3606690724579</v>
      </c>
      <c r="F1201" s="23">
        <f>AlphaC*(D1201-E1201)</f>
        <v>59.597104293334269</v>
      </c>
      <c r="G1201" s="13">
        <f>Phi*EpsilonF*Botzman/10^8*J1201*((D1201+273)^4-(E1201+273)^4)</f>
        <v>815.38537117675253</v>
      </c>
      <c r="H1201" s="23">
        <f t="shared" si="81"/>
        <v>650</v>
      </c>
      <c r="I1201" s="12">
        <f>ksh*Massivete/(H1201*RhoA)*DeltaT*(F1201+G1201)</f>
        <v>0.12906012986446022</v>
      </c>
      <c r="J1201" s="3">
        <f>IF(E1201&lt;=500,IF(Galva=Oui,0.35,0.7),0.7)</f>
        <v>0.7</v>
      </c>
    </row>
    <row r="1202" spans="2:10" x14ac:dyDescent="0.25">
      <c r="B1202" s="3">
        <f>B1201+DeltaT</f>
        <v>5925</v>
      </c>
      <c r="C1202" s="13">
        <f t="shared" si="82"/>
        <v>98.75</v>
      </c>
      <c r="D1202" s="11">
        <f t="shared" si="83"/>
        <v>1019.8708868066984</v>
      </c>
      <c r="E1202" s="23">
        <f t="shared" si="80"/>
        <v>1017.4897292023223</v>
      </c>
      <c r="F1202" s="23">
        <f>AlphaC*(D1202-E1202)</f>
        <v>59.528940109402129</v>
      </c>
      <c r="G1202" s="13">
        <f>Phi*EpsilonF*Botzman/10^8*J1202*((D1202+273)^4-(E1202+273)^4)</f>
        <v>814.69437318092878</v>
      </c>
      <c r="H1202" s="23">
        <f t="shared" si="81"/>
        <v>650</v>
      </c>
      <c r="I1202" s="12">
        <f>ksh*Massivete/(H1202*RhoA)*DeltaT*(F1202+G1202)</f>
        <v>0.1289481532566375</v>
      </c>
      <c r="J1202" s="3">
        <f>IF(E1202&lt;=500,IF(Galva=Oui,0.35,0.7),0.7)</f>
        <v>0.7</v>
      </c>
    </row>
    <row r="1203" spans="2:10" x14ac:dyDescent="0.25">
      <c r="B1203" s="3">
        <f>B1202+DeltaT</f>
        <v>5930</v>
      </c>
      <c r="C1203" s="13">
        <f t="shared" si="82"/>
        <v>98.833333333333329</v>
      </c>
      <c r="D1203" s="11">
        <f t="shared" si="83"/>
        <v>1019.9971139382218</v>
      </c>
      <c r="E1203" s="23">
        <f t="shared" si="80"/>
        <v>1017.6186773555789</v>
      </c>
      <c r="F1203" s="23">
        <f>AlphaC*(D1203-E1203)</f>
        <v>59.46091456607121</v>
      </c>
      <c r="G1203" s="13">
        <f>Phi*EpsilonF*Botzman/10^8*J1203*((D1203+273)^4-(E1203+273)^4)</f>
        <v>814.0045611368206</v>
      </c>
      <c r="H1203" s="23">
        <f t="shared" si="81"/>
        <v>650</v>
      </c>
      <c r="I1203" s="12">
        <f>ksh*Massivete/(H1203*RhoA)*DeltaT*(F1203+G1203)</f>
        <v>0.12883637202650655</v>
      </c>
      <c r="J1203" s="3">
        <f>IF(E1203&lt;=500,IF(Galva=Oui,0.35,0.7),0.7)</f>
        <v>0.7</v>
      </c>
    </row>
    <row r="1204" spans="2:10" x14ac:dyDescent="0.25">
      <c r="B1204" s="3">
        <f>B1203+DeltaT</f>
        <v>5935</v>
      </c>
      <c r="C1204" s="13">
        <f t="shared" si="82"/>
        <v>98.916666666666671</v>
      </c>
      <c r="D1204" s="11">
        <f t="shared" si="83"/>
        <v>1020.1232348179385</v>
      </c>
      <c r="E1204" s="23">
        <f t="shared" ref="E1204:E1267" si="84">E1203+I1203</f>
        <v>1017.7475137276055</v>
      </c>
      <c r="F1204" s="23">
        <f>AlphaC*(D1204-E1204)</f>
        <v>59.39302725832647</v>
      </c>
      <c r="G1204" s="13">
        <f>Phi*EpsilonF*Botzman/10^8*J1204*((D1204+273)^4-(E1204+273)^4)</f>
        <v>813.31593196554593</v>
      </c>
      <c r="H1204" s="23">
        <f t="shared" ref="H1204:H1267" si="85">IF(E1204&lt;600,425+0.773*E1204-1.69/1000*E1204^2+2.22/1000^2*E1204^3,IF(E1204&lt;735,666+13002/(738-E1204),IF(E1204&lt;900,545+17820/(E1204-731),650)))</f>
        <v>650</v>
      </c>
      <c r="I1204" s="12">
        <f>ksh*Massivete/(H1204*RhoA)*DeltaT*(F1204+G1204)</f>
        <v>0.12872478566019174</v>
      </c>
      <c r="J1204" s="3">
        <f>IF(E1204&lt;=500,IF(Galva=Oui,0.35,0.7),0.7)</f>
        <v>0.7</v>
      </c>
    </row>
    <row r="1205" spans="2:10" x14ac:dyDescent="0.25">
      <c r="B1205" s="3">
        <f>B1204+DeltaT</f>
        <v>5940</v>
      </c>
      <c r="C1205" s="13">
        <f t="shared" si="82"/>
        <v>99</v>
      </c>
      <c r="D1205" s="11">
        <f t="shared" si="83"/>
        <v>1020.2492496245731</v>
      </c>
      <c r="E1205" s="23">
        <f t="shared" si="84"/>
        <v>1017.8762385132657</v>
      </c>
      <c r="F1205" s="23">
        <f>AlphaC*(D1205-E1205)</f>
        <v>59.325277782684793</v>
      </c>
      <c r="G1205" s="13">
        <f>Phi*EpsilonF*Botzman/10^8*J1205*((D1205+273)^4-(E1205+273)^4)</f>
        <v>812.62848259981195</v>
      </c>
      <c r="H1205" s="23">
        <f t="shared" si="85"/>
        <v>650</v>
      </c>
      <c r="I1205" s="12">
        <f>ksh*Massivete/(H1205*RhoA)*DeltaT*(F1205+G1205)</f>
        <v>0.12861339364575275</v>
      </c>
      <c r="J1205" s="3">
        <f>IF(E1205&lt;=500,IF(Galva=Oui,0.35,0.7),0.7)</f>
        <v>0.7</v>
      </c>
    </row>
    <row r="1206" spans="2:10" x14ac:dyDescent="0.25">
      <c r="B1206" s="3">
        <f>B1205+DeltaT</f>
        <v>5945</v>
      </c>
      <c r="C1206" s="13">
        <f t="shared" si="82"/>
        <v>99.083333333333329</v>
      </c>
      <c r="D1206" s="11">
        <f t="shared" si="83"/>
        <v>1020.3751585363999</v>
      </c>
      <c r="E1206" s="23">
        <f t="shared" si="84"/>
        <v>1018.0048519069114</v>
      </c>
      <c r="F1206" s="23">
        <f>AlphaC*(D1206-E1206)</f>
        <v>59.257665737212051</v>
      </c>
      <c r="G1206" s="13">
        <f>Phi*EpsilonF*Botzman/10^8*J1206*((D1206+273)^4-(E1206+273)^4)</f>
        <v>811.94220998222909</v>
      </c>
      <c r="H1206" s="23">
        <f t="shared" si="85"/>
        <v>650</v>
      </c>
      <c r="I1206" s="12">
        <f>ksh*Massivete/(H1206*RhoA)*DeltaT*(F1206+G1206)</f>
        <v>0.12850219547293848</v>
      </c>
      <c r="J1206" s="3">
        <f>IF(E1206&lt;=500,IF(Galva=Oui,0.35,0.7),0.7)</f>
        <v>0.7</v>
      </c>
    </row>
    <row r="1207" spans="2:10" x14ac:dyDescent="0.25">
      <c r="B1207" s="3">
        <f>B1206+DeltaT</f>
        <v>5950</v>
      </c>
      <c r="C1207" s="13">
        <f t="shared" si="82"/>
        <v>99.166666666666671</v>
      </c>
      <c r="D1207" s="11">
        <f t="shared" si="83"/>
        <v>1020.5009617312437</v>
      </c>
      <c r="E1207" s="23">
        <f t="shared" si="84"/>
        <v>1018.1333541023844</v>
      </c>
      <c r="F1207" s="23">
        <f>AlphaC*(D1207-E1207)</f>
        <v>59.190190721483305</v>
      </c>
      <c r="G1207" s="13">
        <f>Phi*EpsilonF*Botzman/10^8*J1207*((D1207+273)^4-(E1207+273)^4)</f>
        <v>811.25711106655103</v>
      </c>
      <c r="H1207" s="23">
        <f t="shared" si="85"/>
        <v>650</v>
      </c>
      <c r="I1207" s="12">
        <f>ksh*Massivete/(H1207*RhoA)*DeltaT*(F1207+G1207)</f>
        <v>0.12839119063336407</v>
      </c>
      <c r="J1207" s="3">
        <f>IF(E1207&lt;=500,IF(Galva=Oui,0.35,0.7),0.7)</f>
        <v>0.7</v>
      </c>
    </row>
    <row r="1208" spans="2:10" x14ac:dyDescent="0.25">
      <c r="B1208" s="3">
        <f>B1207+DeltaT</f>
        <v>5955</v>
      </c>
      <c r="C1208" s="13">
        <f t="shared" si="82"/>
        <v>99.25</v>
      </c>
      <c r="D1208" s="11">
        <f t="shared" si="83"/>
        <v>1020.6266593864822</v>
      </c>
      <c r="E1208" s="23">
        <f t="shared" si="84"/>
        <v>1018.2617452930177</v>
      </c>
      <c r="F1208" s="23">
        <f>AlphaC*(D1208-E1208)</f>
        <v>59.122852336611231</v>
      </c>
      <c r="G1208" s="13">
        <f>Phi*EpsilonF*Botzman/10^8*J1208*((D1208+273)^4-(E1208+273)^4)</f>
        <v>810.57318281684149</v>
      </c>
      <c r="H1208" s="23">
        <f t="shared" si="85"/>
        <v>650</v>
      </c>
      <c r="I1208" s="12">
        <f>ksh*Massivete/(H1208*RhoA)*DeltaT*(F1208+G1208)</f>
        <v>0.12828037862039221</v>
      </c>
      <c r="J1208" s="3">
        <f>IF(E1208&lt;=500,IF(Galva=Oui,0.35,0.7),0.7)</f>
        <v>0.7</v>
      </c>
    </row>
    <row r="1209" spans="2:10" x14ac:dyDescent="0.25">
      <c r="B1209" s="3">
        <f>B1208+DeltaT</f>
        <v>5960</v>
      </c>
      <c r="C1209" s="13">
        <f t="shared" si="82"/>
        <v>99.333333333333329</v>
      </c>
      <c r="D1209" s="11">
        <f t="shared" si="83"/>
        <v>1020.7522516790467</v>
      </c>
      <c r="E1209" s="23">
        <f t="shared" si="84"/>
        <v>1018.3900256716381</v>
      </c>
      <c r="F1209" s="23">
        <f>AlphaC*(D1209-E1209)</f>
        <v>59.055650185214859</v>
      </c>
      <c r="G1209" s="13">
        <f>Phi*EpsilonF*Botzman/10^8*J1209*((D1209+273)^4-(E1209+273)^4)</f>
        <v>809.89042220784279</v>
      </c>
      <c r="H1209" s="23">
        <f t="shared" si="85"/>
        <v>650</v>
      </c>
      <c r="I1209" s="12">
        <f>ksh*Massivete/(H1209*RhoA)*DeltaT*(F1209+G1209)</f>
        <v>0.12816975892918286</v>
      </c>
      <c r="J1209" s="3">
        <f>IF(E1209&lt;=500,IF(Galva=Oui,0.35,0.7),0.7)</f>
        <v>0.7</v>
      </c>
    </row>
    <row r="1210" spans="2:10" x14ac:dyDescent="0.25">
      <c r="B1210" s="3">
        <f>B1209+DeltaT</f>
        <v>5965</v>
      </c>
      <c r="C1210" s="13">
        <f t="shared" si="82"/>
        <v>99.416666666666671</v>
      </c>
      <c r="D1210" s="11">
        <f t="shared" si="83"/>
        <v>1020.8777387854243</v>
      </c>
      <c r="E1210" s="23">
        <f t="shared" si="84"/>
        <v>1018.5181954305673</v>
      </c>
      <c r="F1210" s="23">
        <f>AlphaC*(D1210-E1210)</f>
        <v>58.988583871425249</v>
      </c>
      <c r="G1210" s="13">
        <f>Phi*EpsilonF*Botzman/10^8*J1210*((D1210+273)^4-(E1210+273)^4)</f>
        <v>809.20882622462648</v>
      </c>
      <c r="H1210" s="23">
        <f t="shared" si="85"/>
        <v>650</v>
      </c>
      <c r="I1210" s="12">
        <f>ksh*Massivete/(H1210*RhoA)*DeltaT*(F1210+G1210)</f>
        <v>0.12805933105664255</v>
      </c>
      <c r="J1210" s="3">
        <f>IF(E1210&lt;=500,IF(Galva=Oui,0.35,0.7),0.7)</f>
        <v>0.7</v>
      </c>
    </row>
    <row r="1211" spans="2:10" x14ac:dyDescent="0.25">
      <c r="B1211" s="3">
        <f>B1210+DeltaT</f>
        <v>5970</v>
      </c>
      <c r="C1211" s="13">
        <f t="shared" si="82"/>
        <v>99.5</v>
      </c>
      <c r="D1211" s="11">
        <f t="shared" si="83"/>
        <v>1021.0031208816587</v>
      </c>
      <c r="E1211" s="23">
        <f t="shared" si="84"/>
        <v>1018.6462547616239</v>
      </c>
      <c r="F1211" s="23">
        <f>AlphaC*(D1211-E1211)</f>
        <v>58.921653000868446</v>
      </c>
      <c r="G1211" s="13">
        <f>Phi*EpsilonF*Botzman/10^8*J1211*((D1211+273)^4-(E1211+273)^4)</f>
        <v>808.5283918628844</v>
      </c>
      <c r="H1211" s="23">
        <f t="shared" si="85"/>
        <v>650</v>
      </c>
      <c r="I1211" s="12">
        <f>ksh*Massivete/(H1211*RhoA)*DeltaT*(F1211+G1211)</f>
        <v>0.12794909450146486</v>
      </c>
      <c r="J1211" s="3">
        <f>IF(E1211&lt;=500,IF(Galva=Oui,0.35,0.7),0.7)</f>
        <v>0.7</v>
      </c>
    </row>
    <row r="1212" spans="2:10" x14ac:dyDescent="0.25">
      <c r="B1212" s="3">
        <f>B1211+DeltaT</f>
        <v>5975</v>
      </c>
      <c r="C1212" s="13">
        <f t="shared" si="82"/>
        <v>99.583333333333329</v>
      </c>
      <c r="D1212" s="11">
        <f t="shared" si="83"/>
        <v>1021.1283981433522</v>
      </c>
      <c r="E1212" s="23">
        <f t="shared" si="84"/>
        <v>1018.7742038561254</v>
      </c>
      <c r="F1212" s="23">
        <f>AlphaC*(D1212-E1212)</f>
        <v>58.854857180671161</v>
      </c>
      <c r="G1212" s="13">
        <f>Phi*EpsilonF*Botzman/10^8*J1212*((D1212+273)^4-(E1212+273)^4)</f>
        <v>807.84911612863789</v>
      </c>
      <c r="H1212" s="23">
        <f t="shared" si="85"/>
        <v>650</v>
      </c>
      <c r="I1212" s="12">
        <f>ksh*Massivete/(H1212*RhoA)*DeltaT*(F1212+G1212)</f>
        <v>0.12783904876408828</v>
      </c>
      <c r="J1212" s="3">
        <f>IF(E1212&lt;=500,IF(Galva=Oui,0.35,0.7),0.7)</f>
        <v>0.7</v>
      </c>
    </row>
    <row r="1213" spans="2:10" x14ac:dyDescent="0.25">
      <c r="B1213" s="3">
        <f>B1212+DeltaT</f>
        <v>5980</v>
      </c>
      <c r="C1213" s="13">
        <f t="shared" si="82"/>
        <v>99.666666666666671</v>
      </c>
      <c r="D1213" s="11">
        <f t="shared" si="83"/>
        <v>1021.2535707456672</v>
      </c>
      <c r="E1213" s="23">
        <f t="shared" si="84"/>
        <v>1018.9020429048895</v>
      </c>
      <c r="F1213" s="23">
        <f>AlphaC*(D1213-E1213)</f>
        <v>58.788196019440875</v>
      </c>
      <c r="G1213" s="13">
        <f>Phi*EpsilonF*Botzman/10^8*J1213*((D1213+273)^4-(E1213+273)^4)</f>
        <v>807.17099603845065</v>
      </c>
      <c r="H1213" s="23">
        <f t="shared" si="85"/>
        <v>650</v>
      </c>
      <c r="I1213" s="12">
        <f>ksh*Massivete/(H1213*RhoA)*DeltaT*(F1213+G1213)</f>
        <v>0.12772919334672472</v>
      </c>
      <c r="J1213" s="3">
        <f>IF(E1213&lt;=500,IF(Galva=Oui,0.35,0.7),0.7)</f>
        <v>0.7</v>
      </c>
    </row>
    <row r="1214" spans="2:10" x14ac:dyDescent="0.25">
      <c r="B1214" s="3">
        <f>B1213+DeltaT</f>
        <v>5985</v>
      </c>
      <c r="C1214" s="13">
        <f t="shared" si="82"/>
        <v>99.75</v>
      </c>
      <c r="D1214" s="11">
        <f t="shared" si="83"/>
        <v>1021.378638863327</v>
      </c>
      <c r="E1214" s="23">
        <f t="shared" si="84"/>
        <v>1019.0297720982362</v>
      </c>
      <c r="F1214" s="23">
        <f>AlphaC*(D1214-E1214)</f>
        <v>58.721669127268683</v>
      </c>
      <c r="G1214" s="13">
        <f>Phi*EpsilonF*Botzman/10^8*J1214*((D1214+273)^4-(E1214+273)^4)</f>
        <v>806.49402861888689</v>
      </c>
      <c r="H1214" s="23">
        <f t="shared" si="85"/>
        <v>650</v>
      </c>
      <c r="I1214" s="12">
        <f>ksh*Massivete/(H1214*RhoA)*DeltaT*(F1214+G1214)</f>
        <v>0.12761952775328003</v>
      </c>
      <c r="J1214" s="3">
        <f>IF(E1214&lt;=500,IF(Galva=Oui,0.35,0.7),0.7)</f>
        <v>0.7</v>
      </c>
    </row>
    <row r="1215" spans="2:10" x14ac:dyDescent="0.25">
      <c r="B1215" s="3">
        <f>B1214+DeltaT</f>
        <v>5990</v>
      </c>
      <c r="C1215" s="13">
        <f t="shared" si="82"/>
        <v>99.833333333333329</v>
      </c>
      <c r="D1215" s="11">
        <f t="shared" si="83"/>
        <v>1021.5036026706179</v>
      </c>
      <c r="E1215" s="23">
        <f t="shared" si="84"/>
        <v>1019.1573916259895</v>
      </c>
      <c r="F1215" s="23">
        <f>AlphaC*(D1215-E1215)</f>
        <v>58.655276115709398</v>
      </c>
      <c r="G1215" s="13">
        <f>Phi*EpsilonF*Botzman/10^8*J1215*((D1215+273)^4-(E1215+273)^4)</f>
        <v>805.81821090684002</v>
      </c>
      <c r="H1215" s="23">
        <f t="shared" si="85"/>
        <v>650</v>
      </c>
      <c r="I1215" s="12">
        <f>ksh*Massivete/(H1215*RhoA)*DeltaT*(F1215+G1215)</f>
        <v>0.12751005148939951</v>
      </c>
      <c r="J1215" s="3">
        <f>IF(E1215&lt;=500,IF(Galva=Oui,0.35,0.7),0.7)</f>
        <v>0.7</v>
      </c>
    </row>
    <row r="1216" spans="2:10" x14ac:dyDescent="0.25">
      <c r="B1216" s="3">
        <f>B1215+DeltaT</f>
        <v>5995</v>
      </c>
      <c r="C1216" s="13">
        <f t="shared" si="82"/>
        <v>99.916666666666671</v>
      </c>
      <c r="D1216" s="11">
        <f t="shared" si="83"/>
        <v>1021.6284623413908</v>
      </c>
      <c r="E1216" s="23">
        <f t="shared" si="84"/>
        <v>1019.2849016774788</v>
      </c>
      <c r="F1216" s="23">
        <f>AlphaC*(D1216-E1216)</f>
        <v>58.589016597798604</v>
      </c>
      <c r="G1216" s="13">
        <f>Phi*EpsilonF*Botzman/10^8*J1216*((D1216+273)^4-(E1216+273)^4)</f>
        <v>805.14353994961039</v>
      </c>
      <c r="H1216" s="23">
        <f t="shared" si="85"/>
        <v>650</v>
      </c>
      <c r="I1216" s="12">
        <f>ksh*Massivete/(H1216*RhoA)*DeltaT*(F1216+G1216)</f>
        <v>0.12740076406248185</v>
      </c>
      <c r="J1216" s="3">
        <f>IF(E1216&lt;=500,IF(Galva=Oui,0.35,0.7),0.7)</f>
        <v>0.7</v>
      </c>
    </row>
    <row r="1217" spans="2:10" x14ac:dyDescent="0.25">
      <c r="B1217" s="3">
        <f>B1216+DeltaT</f>
        <v>6000</v>
      </c>
      <c r="C1217" s="13">
        <f t="shared" si="82"/>
        <v>100</v>
      </c>
      <c r="D1217" s="11">
        <f t="shared" si="83"/>
        <v>1021.753218049062</v>
      </c>
      <c r="E1217" s="23">
        <f t="shared" si="84"/>
        <v>1019.4123024415413</v>
      </c>
      <c r="F1217" s="23">
        <f>AlphaC*(D1217-E1217)</f>
        <v>58.522890188015708</v>
      </c>
      <c r="G1217" s="13">
        <f>Phi*EpsilonF*Botzman/10^8*J1217*((D1217+273)^4-(E1217+273)^4)</f>
        <v>804.47001280475035</v>
      </c>
      <c r="H1217" s="23">
        <f t="shared" si="85"/>
        <v>650</v>
      </c>
      <c r="I1217" s="12">
        <f>ksh*Massivete/(H1217*RhoA)*DeltaT*(F1217+G1217)</f>
        <v>0.12729166498165095</v>
      </c>
      <c r="J1217" s="3">
        <f>IF(E1217&lt;=500,IF(Galva=Oui,0.35,0.7),0.7)</f>
        <v>0.7</v>
      </c>
    </row>
    <row r="1218" spans="2:10" x14ac:dyDescent="0.25">
      <c r="B1218" s="3">
        <f>B1217+DeltaT</f>
        <v>6005</v>
      </c>
      <c r="C1218" s="13">
        <f t="shared" si="82"/>
        <v>100.08333333333333</v>
      </c>
      <c r="D1218" s="11">
        <f t="shared" si="83"/>
        <v>1021.8778699666148</v>
      </c>
      <c r="E1218" s="23">
        <f t="shared" si="84"/>
        <v>1019.5395941065229</v>
      </c>
      <c r="F1218" s="23">
        <f>AlphaC*(D1218-E1218)</f>
        <v>58.456896502295308</v>
      </c>
      <c r="G1218" s="13">
        <f>Phi*EpsilonF*Botzman/10^8*J1218*((D1218+273)^4-(E1218+273)^4)</f>
        <v>803.79762653928924</v>
      </c>
      <c r="H1218" s="23">
        <f t="shared" si="85"/>
        <v>650</v>
      </c>
      <c r="I1218" s="12">
        <f>ksh*Massivete/(H1218*RhoA)*DeltaT*(F1218+G1218)</f>
        <v>0.12718275375764318</v>
      </c>
      <c r="J1218" s="3">
        <f>IF(E1218&lt;=500,IF(Galva=Oui,0.35,0.7),0.7)</f>
        <v>0.7</v>
      </c>
    </row>
    <row r="1219" spans="2:10" x14ac:dyDescent="0.25">
      <c r="B1219" s="3">
        <f>B1218+DeltaT</f>
        <v>6010</v>
      </c>
      <c r="C1219" s="13">
        <f t="shared" si="82"/>
        <v>100.16666666666667</v>
      </c>
      <c r="D1219" s="11">
        <f t="shared" si="83"/>
        <v>1022.0024182666017</v>
      </c>
      <c r="E1219" s="23">
        <f t="shared" si="84"/>
        <v>1019.6667768602806</v>
      </c>
      <c r="F1219" s="23">
        <f>AlphaC*(D1219-E1219)</f>
        <v>58.391035158027194</v>
      </c>
      <c r="G1219" s="13">
        <f>Phi*EpsilonF*Botzman/10^8*J1219*((D1219+273)^4-(E1219+273)^4)</f>
        <v>803.12637823134139</v>
      </c>
      <c r="H1219" s="23">
        <f t="shared" si="85"/>
        <v>650</v>
      </c>
      <c r="I1219" s="12">
        <f>ksh*Massivete/(H1219*RhoA)*DeltaT*(F1219+G1219)</f>
        <v>0.12707402990304456</v>
      </c>
      <c r="J1219" s="3">
        <f>IF(E1219&lt;=500,IF(Galva=Oui,0.35,0.7),0.7)</f>
        <v>0.7</v>
      </c>
    </row>
    <row r="1220" spans="2:10" x14ac:dyDescent="0.25">
      <c r="B1220" s="3">
        <f>B1219+DeltaT</f>
        <v>6015</v>
      </c>
      <c r="C1220" s="13">
        <f t="shared" si="82"/>
        <v>100.25</v>
      </c>
      <c r="D1220" s="11">
        <f t="shared" si="83"/>
        <v>1022.1268631211449</v>
      </c>
      <c r="E1220" s="23">
        <f t="shared" si="84"/>
        <v>1019.7938508901836</v>
      </c>
      <c r="F1220" s="23">
        <f>AlphaC*(D1220-E1220)</f>
        <v>58.325305774030767</v>
      </c>
      <c r="G1220" s="13">
        <f>Phi*EpsilonF*Botzman/10^8*J1220*((D1220+273)^4-(E1220+273)^4)</f>
        <v>802.45626496836223</v>
      </c>
      <c r="H1220" s="23">
        <f t="shared" si="85"/>
        <v>650</v>
      </c>
      <c r="I1220" s="12">
        <f>ksh*Massivete/(H1220*RhoA)*DeltaT*(F1220+G1220)</f>
        <v>0.12696549293202986</v>
      </c>
      <c r="J1220" s="3">
        <f>IF(E1220&lt;=500,IF(Galva=Oui,0.35,0.7),0.7)</f>
        <v>0.7</v>
      </c>
    </row>
    <row r="1221" spans="2:10" x14ac:dyDescent="0.25">
      <c r="B1221" s="3">
        <f>B1220+DeltaT</f>
        <v>6020</v>
      </c>
      <c r="C1221" s="13">
        <f t="shared" si="82"/>
        <v>100.33333333333333</v>
      </c>
      <c r="D1221" s="11">
        <f t="shared" si="83"/>
        <v>1022.2512047019379</v>
      </c>
      <c r="E1221" s="23">
        <f t="shared" si="84"/>
        <v>1019.9208163831157</v>
      </c>
      <c r="F1221" s="23">
        <f>AlphaC*(D1221-E1221)</f>
        <v>58.259707970555041</v>
      </c>
      <c r="G1221" s="13">
        <f>Phi*EpsilonF*Botzman/10^8*J1221*((D1221+273)^4-(E1221+273)^4)</f>
        <v>801.78728384788508</v>
      </c>
      <c r="H1221" s="23">
        <f t="shared" si="85"/>
        <v>650</v>
      </c>
      <c r="I1221" s="12">
        <f>ksh*Massivete/(H1221*RhoA)*DeltaT*(F1221+G1221)</f>
        <v>0.12685714236047113</v>
      </c>
      <c r="J1221" s="3">
        <f>IF(E1221&lt;=500,IF(Galva=Oui,0.35,0.7),0.7)</f>
        <v>0.7</v>
      </c>
    </row>
    <row r="1222" spans="2:10" x14ac:dyDescent="0.25">
      <c r="B1222" s="3">
        <f>B1221+DeltaT</f>
        <v>6025</v>
      </c>
      <c r="C1222" s="13">
        <f t="shared" si="82"/>
        <v>100.41666666666667</v>
      </c>
      <c r="D1222" s="11">
        <f t="shared" si="83"/>
        <v>1022.3754431802474</v>
      </c>
      <c r="E1222" s="23">
        <f t="shared" si="84"/>
        <v>1020.0476735254762</v>
      </c>
      <c r="F1222" s="23">
        <f>AlphaC*(D1222-E1222)</f>
        <v>58.194241369281485</v>
      </c>
      <c r="G1222" s="13">
        <f>Phi*EpsilonF*Botzman/10^8*J1222*((D1222+273)^4-(E1222+273)^4)</f>
        <v>801.11943197781113</v>
      </c>
      <c r="H1222" s="23">
        <f t="shared" si="85"/>
        <v>650</v>
      </c>
      <c r="I1222" s="12">
        <f>ksh*Massivete/(H1222*RhoA)*DeltaT*(F1222+G1222)</f>
        <v>0.12674897770598104</v>
      </c>
      <c r="J1222" s="3">
        <f>IF(E1222&lt;=500,IF(Galva=Oui,0.35,0.7),0.7)</f>
        <v>0.7</v>
      </c>
    </row>
    <row r="1223" spans="2:10" x14ac:dyDescent="0.25">
      <c r="B1223" s="3">
        <f>B1222+DeltaT</f>
        <v>6030</v>
      </c>
      <c r="C1223" s="13">
        <f t="shared" si="82"/>
        <v>100.5</v>
      </c>
      <c r="D1223" s="11">
        <f t="shared" si="83"/>
        <v>1022.4995787269146</v>
      </c>
      <c r="E1223" s="23">
        <f t="shared" si="84"/>
        <v>1020.1744225031822</v>
      </c>
      <c r="F1223" s="23">
        <f>AlphaC*(D1223-E1223)</f>
        <v>58.12890559330981</v>
      </c>
      <c r="G1223" s="13">
        <f>Phi*EpsilonF*Botzman/10^8*J1223*((D1223+273)^4-(E1223+273)^4)</f>
        <v>800.45270647534414</v>
      </c>
      <c r="H1223" s="23">
        <f t="shared" si="85"/>
        <v>650</v>
      </c>
      <c r="I1223" s="12">
        <f>ksh*Massivete/(H1223*RhoA)*DeltaT*(F1223+G1223)</f>
        <v>0.12664099848775351</v>
      </c>
      <c r="J1223" s="3">
        <f>IF(E1223&lt;=500,IF(Galva=Oui,0.35,0.7),0.7)</f>
        <v>0.7</v>
      </c>
    </row>
    <row r="1224" spans="2:10" x14ac:dyDescent="0.25">
      <c r="B1224" s="3">
        <f>B1223+DeltaT</f>
        <v>6035</v>
      </c>
      <c r="C1224" s="13">
        <f t="shared" si="82"/>
        <v>100.58333333333333</v>
      </c>
      <c r="D1224" s="11">
        <f t="shared" si="83"/>
        <v>1022.6236115123558</v>
      </c>
      <c r="E1224" s="23">
        <f t="shared" si="84"/>
        <v>1020.30106350167</v>
      </c>
      <c r="F1224" s="23">
        <f>AlphaC*(D1224-E1224)</f>
        <v>58.063700267143759</v>
      </c>
      <c r="G1224" s="13">
        <f>Phi*EpsilonF*Botzman/10^8*J1224*((D1224+273)^4-(E1224+273)^4)</f>
        <v>799.78710446813352</v>
      </c>
      <c r="H1224" s="23">
        <f t="shared" si="85"/>
        <v>650</v>
      </c>
      <c r="I1224" s="12">
        <f>ksh*Massivete/(H1224*RhoA)*DeltaT*(F1224+G1224)</f>
        <v>0.12653320422673037</v>
      </c>
      <c r="J1224" s="3">
        <f>IF(E1224&lt;=500,IF(Galva=Oui,0.35,0.7),0.7)</f>
        <v>0.7</v>
      </c>
    </row>
    <row r="1225" spans="2:10" x14ac:dyDescent="0.25">
      <c r="B1225" s="3">
        <f>B1224+DeltaT</f>
        <v>6040</v>
      </c>
      <c r="C1225" s="13">
        <f t="shared" si="82"/>
        <v>100.66666666666667</v>
      </c>
      <c r="D1225" s="11">
        <f t="shared" si="83"/>
        <v>1022.7475417065649</v>
      </c>
      <c r="E1225" s="23">
        <f t="shared" si="84"/>
        <v>1020.4275967058967</v>
      </c>
      <c r="F1225" s="23">
        <f>AlphaC*(D1225-E1225)</f>
        <v>57.998625016705319</v>
      </c>
      <c r="G1225" s="13">
        <f>Phi*EpsilonF*Botzman/10^8*J1225*((D1225+273)^4-(E1225+273)^4)</f>
        <v>799.12262309340224</v>
      </c>
      <c r="H1225" s="23">
        <f t="shared" si="85"/>
        <v>650</v>
      </c>
      <c r="I1225" s="12">
        <f>ksh*Massivete/(H1225*RhoA)*DeltaT*(F1225+G1225)</f>
        <v>0.12642559444547471</v>
      </c>
      <c r="J1225" s="3">
        <f>IF(E1225&lt;=500,IF(Galva=Oui,0.35,0.7),0.7)</f>
        <v>0.7</v>
      </c>
    </row>
    <row r="1226" spans="2:10" x14ac:dyDescent="0.25">
      <c r="B1226" s="3">
        <f>B1225+DeltaT</f>
        <v>6045</v>
      </c>
      <c r="C1226" s="13">
        <f t="shared" si="82"/>
        <v>100.75</v>
      </c>
      <c r="D1226" s="11">
        <f t="shared" si="83"/>
        <v>1022.8713694791143</v>
      </c>
      <c r="E1226" s="23">
        <f t="shared" si="84"/>
        <v>1020.5540223003421</v>
      </c>
      <c r="F1226" s="23">
        <f>AlphaC*(D1226-E1226)</f>
        <v>57.933679469303456</v>
      </c>
      <c r="G1226" s="13">
        <f>Phi*EpsilonF*Botzman/10^8*J1226*((D1226+273)^4-(E1226+273)^4)</f>
        <v>798.45925949804405</v>
      </c>
      <c r="H1226" s="23">
        <f t="shared" si="85"/>
        <v>650</v>
      </c>
      <c r="I1226" s="12">
        <f>ksh*Massivete/(H1226*RhoA)*DeltaT*(F1226+G1226)</f>
        <v>0.1263181686681806</v>
      </c>
      <c r="J1226" s="3">
        <f>IF(E1226&lt;=500,IF(Galva=Oui,0.35,0.7),0.7)</f>
        <v>0.7</v>
      </c>
    </row>
    <row r="1227" spans="2:10" x14ac:dyDescent="0.25">
      <c r="B1227" s="3">
        <f>B1226+DeltaT</f>
        <v>6050</v>
      </c>
      <c r="C1227" s="13">
        <f t="shared" si="82"/>
        <v>100.83333333333333</v>
      </c>
      <c r="D1227" s="11">
        <f t="shared" si="83"/>
        <v>1022.995094999156</v>
      </c>
      <c r="E1227" s="23">
        <f t="shared" si="84"/>
        <v>1020.6803404690103</v>
      </c>
      <c r="F1227" s="23">
        <f>AlphaC*(D1227-E1227)</f>
        <v>57.868863253642644</v>
      </c>
      <c r="G1227" s="13">
        <f>Phi*EpsilonF*Botzman/10^8*J1227*((D1227+273)^4-(E1227+273)^4)</f>
        <v>797.79701083895259</v>
      </c>
      <c r="H1227" s="23">
        <f t="shared" si="85"/>
        <v>650</v>
      </c>
      <c r="I1227" s="12">
        <f>ksh*Massivete/(H1227*RhoA)*DeltaT*(F1227+G1227)</f>
        <v>0.12621092642072301</v>
      </c>
      <c r="J1227" s="3">
        <f>IF(E1227&lt;=500,IF(Galva=Oui,0.35,0.7),0.7)</f>
        <v>0.7</v>
      </c>
    </row>
    <row r="1228" spans="2:10" x14ac:dyDescent="0.25">
      <c r="B1228" s="3">
        <f>B1227+DeltaT</f>
        <v>6055</v>
      </c>
      <c r="C1228" s="13">
        <f t="shared" si="82"/>
        <v>100.91666666666667</v>
      </c>
      <c r="D1228" s="11">
        <f t="shared" si="83"/>
        <v>1023.1187184354238</v>
      </c>
      <c r="E1228" s="23">
        <f t="shared" si="84"/>
        <v>1020.806551395431</v>
      </c>
      <c r="F1228" s="23">
        <f>AlphaC*(D1228-E1228)</f>
        <v>57.804175999820018</v>
      </c>
      <c r="G1228" s="13">
        <f>Phi*EpsilonF*Botzman/10^8*J1228*((D1228+273)^4-(E1228+273)^4)</f>
        <v>797.13587428267283</v>
      </c>
      <c r="H1228" s="23">
        <f t="shared" si="85"/>
        <v>650</v>
      </c>
      <c r="I1228" s="12">
        <f>ksh*Massivete/(H1228*RhoA)*DeltaT*(F1228+G1228)</f>
        <v>0.12610386723060588</v>
      </c>
      <c r="J1228" s="3">
        <f>IF(E1228&lt;=500,IF(Galva=Oui,0.35,0.7),0.7)</f>
        <v>0.7</v>
      </c>
    </row>
    <row r="1229" spans="2:10" x14ac:dyDescent="0.25">
      <c r="B1229" s="3">
        <f>B1228+DeltaT</f>
        <v>6060</v>
      </c>
      <c r="C1229" s="13">
        <f t="shared" si="82"/>
        <v>101</v>
      </c>
      <c r="D1229" s="11">
        <f t="shared" si="83"/>
        <v>1023.2422399562338</v>
      </c>
      <c r="E1229" s="23">
        <f t="shared" si="84"/>
        <v>1020.9326552626617</v>
      </c>
      <c r="F1229" s="23">
        <f>AlphaC*(D1229-E1229)</f>
        <v>57.73961733930264</v>
      </c>
      <c r="G1229" s="13">
        <f>Phi*EpsilonF*Botzman/10^8*J1229*((D1229+273)^4-(E1229+273)^4)</f>
        <v>796.47584700512937</v>
      </c>
      <c r="H1229" s="23">
        <f t="shared" si="85"/>
        <v>650</v>
      </c>
      <c r="I1229" s="12">
        <f>ksh*Massivete/(H1229*RhoA)*DeltaT*(F1229+G1229)</f>
        <v>0.12599699062691863</v>
      </c>
      <c r="J1229" s="3">
        <f>IF(E1229&lt;=500,IF(Galva=Oui,0.35,0.7),0.7)</f>
        <v>0.7</v>
      </c>
    </row>
    <row r="1230" spans="2:10" x14ac:dyDescent="0.25">
      <c r="B1230" s="3">
        <f>B1229+DeltaT</f>
        <v>6065</v>
      </c>
      <c r="C1230" s="13">
        <f t="shared" si="82"/>
        <v>101.08333333333333</v>
      </c>
      <c r="D1230" s="11">
        <f t="shared" si="83"/>
        <v>1023.3656597294864</v>
      </c>
      <c r="E1230" s="23">
        <f t="shared" si="84"/>
        <v>1021.0586522532886</v>
      </c>
      <c r="F1230" s="23">
        <f>AlphaC*(D1230-E1230)</f>
        <v>57.675186904944553</v>
      </c>
      <c r="G1230" s="13">
        <f>Phi*EpsilonF*Botzman/10^8*J1230*((D1230+273)^4-(E1230+273)^4)</f>
        <v>795.81692619240187</v>
      </c>
      <c r="H1230" s="23">
        <f t="shared" si="85"/>
        <v>650</v>
      </c>
      <c r="I1230" s="12">
        <f>ksh*Massivete/(H1230*RhoA)*DeltaT*(F1230+G1230)</f>
        <v>0.12589029614045325</v>
      </c>
      <c r="J1230" s="3">
        <f>IF(E1230&lt;=500,IF(Galva=Oui,0.35,0.7),0.7)</f>
        <v>0.7</v>
      </c>
    </row>
    <row r="1231" spans="2:10" x14ac:dyDescent="0.25">
      <c r="B1231" s="3">
        <f>B1230+DeltaT</f>
        <v>6070</v>
      </c>
      <c r="C1231" s="13">
        <f t="shared" si="82"/>
        <v>101.16666666666667</v>
      </c>
      <c r="D1231" s="11">
        <f t="shared" si="83"/>
        <v>1023.4889779226673</v>
      </c>
      <c r="E1231" s="23">
        <f t="shared" si="84"/>
        <v>1021.1845425494291</v>
      </c>
      <c r="F1231" s="23">
        <f>AlphaC*(D1231-E1231)</f>
        <v>57.610884330955514</v>
      </c>
      <c r="G1231" s="13">
        <f>Phi*EpsilonF*Botzman/10^8*J1231*((D1231+273)^4-(E1231+273)^4)</f>
        <v>795.15910903964016</v>
      </c>
      <c r="H1231" s="23">
        <f t="shared" si="85"/>
        <v>650</v>
      </c>
      <c r="I1231" s="12">
        <f>ksh*Massivete/(H1231*RhoA)*DeltaT*(F1231+G1231)</f>
        <v>0.12578378330353951</v>
      </c>
      <c r="J1231" s="3">
        <f>IF(E1231&lt;=500,IF(Galva=Oui,0.35,0.7),0.7)</f>
        <v>0.7</v>
      </c>
    </row>
    <row r="1232" spans="2:10" x14ac:dyDescent="0.25">
      <c r="B1232" s="3">
        <f>B1231+DeltaT</f>
        <v>6075</v>
      </c>
      <c r="C1232" s="13">
        <f t="shared" si="82"/>
        <v>101.25</v>
      </c>
      <c r="D1232" s="11">
        <f t="shared" si="83"/>
        <v>1023.6121947028488</v>
      </c>
      <c r="E1232" s="23">
        <f t="shared" si="84"/>
        <v>1021.3103263327326</v>
      </c>
      <c r="F1232" s="23">
        <f>AlphaC*(D1232-E1232)</f>
        <v>57.546709252903838</v>
      </c>
      <c r="G1232" s="13">
        <f>Phi*EpsilonF*Botzman/10^8*J1232*((D1232+273)^4-(E1232+273)^4)</f>
        <v>794.50239275172237</v>
      </c>
      <c r="H1232" s="23">
        <f t="shared" si="85"/>
        <v>650</v>
      </c>
      <c r="I1232" s="12">
        <f>ksh*Massivete/(H1232*RhoA)*DeltaT*(F1232+G1232)</f>
        <v>0.12567745165014244</v>
      </c>
      <c r="J1232" s="3">
        <f>IF(E1232&lt;=500,IF(Galva=Oui,0.35,0.7),0.7)</f>
        <v>0.7</v>
      </c>
    </row>
    <row r="1233" spans="2:10" x14ac:dyDescent="0.25">
      <c r="B1233" s="3">
        <f>B1232+DeltaT</f>
        <v>6080</v>
      </c>
      <c r="C1233" s="13">
        <f t="shared" si="82"/>
        <v>101.33333333333333</v>
      </c>
      <c r="D1233" s="11">
        <f t="shared" si="83"/>
        <v>1023.7353102366916</v>
      </c>
      <c r="E1233" s="23">
        <f t="shared" si="84"/>
        <v>1021.4360037843828</v>
      </c>
      <c r="F1233" s="23">
        <f>AlphaC*(D1233-E1233)</f>
        <v>57.482661307719241</v>
      </c>
      <c r="G1233" s="13">
        <f>Phi*EpsilonF*Botzman/10^8*J1233*((D1233+273)^4-(E1233+273)^4)</f>
        <v>793.84677454304222</v>
      </c>
      <c r="H1233" s="23">
        <f t="shared" si="85"/>
        <v>650</v>
      </c>
      <c r="I1233" s="12">
        <f>ksh*Massivete/(H1233*RhoA)*DeltaT*(F1233+G1233)</f>
        <v>0.1255713007158315</v>
      </c>
      <c r="J1233" s="3">
        <f>IF(E1233&lt;=500,IF(Galva=Oui,0.35,0.7),0.7)</f>
        <v>0.7</v>
      </c>
    </row>
    <row r="1234" spans="2:10" x14ac:dyDescent="0.25">
      <c r="B1234" s="3">
        <f>B1233+DeltaT</f>
        <v>6085</v>
      </c>
      <c r="C1234" s="13">
        <f t="shared" ref="C1234:C1297" si="86">B1234/60</f>
        <v>101.41666666666667</v>
      </c>
      <c r="D1234" s="11">
        <f t="shared" ref="D1234:D1297" si="87">20+345*LOG(8*C1234+1,10)</f>
        <v>1023.8583246904462</v>
      </c>
      <c r="E1234" s="23">
        <f t="shared" si="84"/>
        <v>1021.5615750850986</v>
      </c>
      <c r="F1234" s="23">
        <f>AlphaC*(D1234-E1234)</f>
        <v>57.418740133689994</v>
      </c>
      <c r="G1234" s="13">
        <f>Phi*EpsilonF*Botzman/10^8*J1234*((D1234+273)^4-(E1234+273)^4)</f>
        <v>793.19225163779981</v>
      </c>
      <c r="H1234" s="23">
        <f t="shared" si="85"/>
        <v>650</v>
      </c>
      <c r="I1234" s="12">
        <f>ksh*Massivete/(H1234*RhoA)*DeltaT*(F1234+G1234)</f>
        <v>0.12546533003782298</v>
      </c>
      <c r="J1234" s="3">
        <f>IF(E1234&lt;=500,IF(Galva=Oui,0.35,0.7),0.7)</f>
        <v>0.7</v>
      </c>
    </row>
    <row r="1235" spans="2:10" x14ac:dyDescent="0.25">
      <c r="B1235" s="3">
        <f>B1234+DeltaT</f>
        <v>6090</v>
      </c>
      <c r="C1235" s="13">
        <f t="shared" si="86"/>
        <v>101.5</v>
      </c>
      <c r="D1235" s="11">
        <f t="shared" si="87"/>
        <v>1023.9812382299533</v>
      </c>
      <c r="E1235" s="23">
        <f t="shared" si="84"/>
        <v>1021.6870404151365</v>
      </c>
      <c r="F1235" s="23">
        <f>AlphaC*(D1235-E1235)</f>
        <v>57.354945370420296</v>
      </c>
      <c r="G1235" s="13">
        <f>Phi*EpsilonF*Botzman/10^8*J1235*((D1235+273)^4-(E1235+273)^4)</f>
        <v>792.53882126879989</v>
      </c>
      <c r="H1235" s="23">
        <f t="shared" si="85"/>
        <v>650</v>
      </c>
      <c r="I1235" s="12">
        <f>ksh*Massivete/(H1235*RhoA)*DeltaT*(F1235+G1235)</f>
        <v>0.12535953915479639</v>
      </c>
      <c r="J1235" s="3">
        <f>IF(E1235&lt;=500,IF(Galva=Oui,0.35,0.7),0.7)</f>
        <v>0.7</v>
      </c>
    </row>
    <row r="1236" spans="2:10" x14ac:dyDescent="0.25">
      <c r="B1236" s="3">
        <f>B1235+DeltaT</f>
        <v>6095</v>
      </c>
      <c r="C1236" s="13">
        <f t="shared" si="86"/>
        <v>101.58333333333333</v>
      </c>
      <c r="D1236" s="11">
        <f t="shared" si="87"/>
        <v>1024.1040510206462</v>
      </c>
      <c r="E1236" s="23">
        <f t="shared" si="84"/>
        <v>1021.8123999542913</v>
      </c>
      <c r="F1236" s="23">
        <f>AlphaC*(D1236-E1236)</f>
        <v>57.291276658872903</v>
      </c>
      <c r="G1236" s="13">
        <f>Phi*EpsilonF*Botzman/10^8*J1236*((D1236+273)^4-(E1236+273)^4)</f>
        <v>791.88648067888562</v>
      </c>
      <c r="H1236" s="23">
        <f t="shared" si="85"/>
        <v>650</v>
      </c>
      <c r="I1236" s="12">
        <f>ksh*Massivete/(H1236*RhoA)*DeltaT*(F1236+G1236)</f>
        <v>0.12525392760711235</v>
      </c>
      <c r="J1236" s="3">
        <f>IF(E1236&lt;=500,IF(Galva=Oui,0.35,0.7),0.7)</f>
        <v>0.7</v>
      </c>
    </row>
    <row r="1237" spans="2:10" x14ac:dyDescent="0.25">
      <c r="B1237" s="3">
        <f>B1236+DeltaT</f>
        <v>6100</v>
      </c>
      <c r="C1237" s="13">
        <f t="shared" si="86"/>
        <v>101.66666666666667</v>
      </c>
      <c r="D1237" s="11">
        <f t="shared" si="87"/>
        <v>1024.2267632275521</v>
      </c>
      <c r="E1237" s="23">
        <f t="shared" si="84"/>
        <v>1021.9376538818984</v>
      </c>
      <c r="F1237" s="23">
        <f>AlphaC*(D1237-E1237)</f>
        <v>57.227733641340706</v>
      </c>
      <c r="G1237" s="13">
        <f>Phi*EpsilonF*Botzman/10^8*J1237*((D1237+273)^4-(E1237+273)^4)</f>
        <v>791.23522712024192</v>
      </c>
      <c r="H1237" s="23">
        <f t="shared" si="85"/>
        <v>650</v>
      </c>
      <c r="I1237" s="12">
        <f>ksh*Massivete/(H1237*RhoA)*DeltaT*(F1237+G1237)</f>
        <v>0.12514849493670557</v>
      </c>
      <c r="J1237" s="3">
        <f>IF(E1237&lt;=500,IF(Galva=Oui,0.35,0.7),0.7)</f>
        <v>0.7</v>
      </c>
    </row>
    <row r="1238" spans="2:10" x14ac:dyDescent="0.25">
      <c r="B1238" s="3">
        <f>B1237+DeltaT</f>
        <v>6105</v>
      </c>
      <c r="C1238" s="13">
        <f t="shared" si="86"/>
        <v>101.75</v>
      </c>
      <c r="D1238" s="11">
        <f t="shared" si="87"/>
        <v>1024.349375015292</v>
      </c>
      <c r="E1238" s="23">
        <f t="shared" si="84"/>
        <v>1022.0628023768352</v>
      </c>
      <c r="F1238" s="23">
        <f>AlphaC*(D1238-E1238)</f>
        <v>57.164315961421153</v>
      </c>
      <c r="G1238" s="13">
        <f>Phi*EpsilonF*Botzman/10^8*J1238*((D1238+273)^4-(E1238+273)^4)</f>
        <v>790.58505785387092</v>
      </c>
      <c r="H1238" s="23">
        <f t="shared" si="85"/>
        <v>650</v>
      </c>
      <c r="I1238" s="12">
        <f>ksh*Massivete/(H1238*RhoA)*DeltaT*(F1238+G1238)</f>
        <v>0.12504324068700376</v>
      </c>
      <c r="J1238" s="3">
        <f>IF(E1238&lt;=500,IF(Galva=Oui,0.35,0.7),0.7)</f>
        <v>0.7</v>
      </c>
    </row>
    <row r="1239" spans="2:10" x14ac:dyDescent="0.25">
      <c r="B1239" s="3">
        <f>B1238+DeltaT</f>
        <v>6110</v>
      </c>
      <c r="C1239" s="13">
        <f t="shared" si="86"/>
        <v>101.83333333333333</v>
      </c>
      <c r="D1239" s="11">
        <f t="shared" si="87"/>
        <v>1024.4718865480836</v>
      </c>
      <c r="E1239" s="23">
        <f t="shared" si="84"/>
        <v>1022.1878456175222</v>
      </c>
      <c r="F1239" s="23">
        <f>AlphaC*(D1239-E1239)</f>
        <v>57.101023264036144</v>
      </c>
      <c r="G1239" s="13">
        <f>Phi*EpsilonF*Botzman/10^8*J1239*((D1239+273)^4-(E1239+273)^4)</f>
        <v>789.93597015032935</v>
      </c>
      <c r="H1239" s="23">
        <f t="shared" si="85"/>
        <v>650</v>
      </c>
      <c r="I1239" s="12">
        <f>ksh*Massivete/(H1239*RhoA)*DeltaT*(F1239+G1239)</f>
        <v>0.12493816440303925</v>
      </c>
      <c r="J1239" s="3">
        <f>IF(E1239&lt;=500,IF(Galva=Oui,0.35,0.7),0.7)</f>
        <v>0.7</v>
      </c>
    </row>
    <row r="1240" spans="2:10" x14ac:dyDescent="0.25">
      <c r="B1240" s="3">
        <f>B1239+DeltaT</f>
        <v>6115</v>
      </c>
      <c r="C1240" s="13">
        <f t="shared" si="86"/>
        <v>101.91666666666667</v>
      </c>
      <c r="D1240" s="11">
        <f t="shared" si="87"/>
        <v>1024.5942979897427</v>
      </c>
      <c r="E1240" s="23">
        <f t="shared" si="84"/>
        <v>1022.3127837819252</v>
      </c>
      <c r="F1240" s="23">
        <f>AlphaC*(D1240-E1240)</f>
        <v>57.037855195437714</v>
      </c>
      <c r="G1240" s="13">
        <f>Phi*EpsilonF*Botzman/10^8*J1240*((D1240+273)^4-(E1240+273)^4)</f>
        <v>789.28796128967019</v>
      </c>
      <c r="H1240" s="23">
        <f t="shared" si="85"/>
        <v>650</v>
      </c>
      <c r="I1240" s="12">
        <f>ksh*Massivete/(H1240*RhoA)*DeltaT*(F1240+G1240)</f>
        <v>0.12483326563144123</v>
      </c>
      <c r="J1240" s="3">
        <f>IF(E1240&lt;=500,IF(Galva=Oui,0.35,0.7),0.7)</f>
        <v>0.7</v>
      </c>
    </row>
    <row r="1241" spans="2:10" x14ac:dyDescent="0.25">
      <c r="B1241" s="3">
        <f>B1240+DeltaT</f>
        <v>6120</v>
      </c>
      <c r="C1241" s="13">
        <f t="shared" si="86"/>
        <v>102</v>
      </c>
      <c r="D1241" s="11">
        <f t="shared" si="87"/>
        <v>1024.7166095036832</v>
      </c>
      <c r="E1241" s="23">
        <f t="shared" si="84"/>
        <v>1022.4376170475566</v>
      </c>
      <c r="F1241" s="23">
        <f>AlphaC*(D1241-E1241)</f>
        <v>56.974811403165404</v>
      </c>
      <c r="G1241" s="13">
        <f>Phi*EpsilonF*Botzman/10^8*J1241*((D1241+273)^4-(E1241+273)^4)</f>
        <v>788.64102856064767</v>
      </c>
      <c r="H1241" s="23">
        <f t="shared" si="85"/>
        <v>650</v>
      </c>
      <c r="I1241" s="12">
        <f>ksh*Massivete/(H1241*RhoA)*DeltaT*(F1241+G1241)</f>
        <v>0.12472854392031234</v>
      </c>
      <c r="J1241" s="3">
        <f>IF(E1241&lt;=500,IF(Galva=Oui,0.35,0.7),0.7)</f>
        <v>0.7</v>
      </c>
    </row>
    <row r="1242" spans="2:10" x14ac:dyDescent="0.25">
      <c r="B1242" s="3">
        <f>B1241+DeltaT</f>
        <v>6125</v>
      </c>
      <c r="C1242" s="13">
        <f t="shared" si="86"/>
        <v>102.08333333333333</v>
      </c>
      <c r="D1242" s="11">
        <f t="shared" si="87"/>
        <v>1024.8388212529194</v>
      </c>
      <c r="E1242" s="23">
        <f t="shared" si="84"/>
        <v>1022.562345591477</v>
      </c>
      <c r="F1242" s="23">
        <f>AlphaC*(D1242-E1242)</f>
        <v>56.911891536060466</v>
      </c>
      <c r="G1242" s="13">
        <f>Phi*EpsilonF*Botzman/10^8*J1242*((D1242+273)^4-(E1242+273)^4)</f>
        <v>787.99516926133799</v>
      </c>
      <c r="H1242" s="23">
        <f t="shared" si="85"/>
        <v>650</v>
      </c>
      <c r="I1242" s="12">
        <f>ksh*Massivete/(H1242*RhoA)*DeltaT*(F1242+G1242)</f>
        <v>0.12462399881932211</v>
      </c>
      <c r="J1242" s="3">
        <f>IF(E1242&lt;=500,IF(Galva=Oui,0.35,0.7),0.7)</f>
        <v>0.7</v>
      </c>
    </row>
    <row r="1243" spans="2:10" x14ac:dyDescent="0.25">
      <c r="B1243" s="3">
        <f>B1242+DeltaT</f>
        <v>6130</v>
      </c>
      <c r="C1243" s="13">
        <f t="shared" si="86"/>
        <v>102.16666666666667</v>
      </c>
      <c r="D1243" s="11">
        <f t="shared" si="87"/>
        <v>1024.960933400067</v>
      </c>
      <c r="E1243" s="23">
        <f t="shared" si="84"/>
        <v>1022.6869695902963</v>
      </c>
      <c r="F1243" s="23">
        <f>AlphaC*(D1243-E1243)</f>
        <v>56.84909524426871</v>
      </c>
      <c r="G1243" s="13">
        <f>Phi*EpsilonF*Botzman/10^8*J1243*((D1243+273)^4-(E1243+273)^4)</f>
        <v>787.3503806990808</v>
      </c>
      <c r="H1243" s="23">
        <f t="shared" si="85"/>
        <v>650</v>
      </c>
      <c r="I1243" s="12">
        <f>ksh*Massivete/(H1243*RhoA)*DeltaT*(F1243+G1243)</f>
        <v>0.12451962987969893</v>
      </c>
      <c r="J1243" s="3">
        <f>IF(E1243&lt;=500,IF(Galva=Oui,0.35,0.7),0.7)</f>
        <v>0.7</v>
      </c>
    </row>
    <row r="1244" spans="2:10" x14ac:dyDescent="0.25">
      <c r="B1244" s="3">
        <f>B1243+DeltaT</f>
        <v>6135</v>
      </c>
      <c r="C1244" s="13">
        <f t="shared" si="86"/>
        <v>102.25</v>
      </c>
      <c r="D1244" s="11">
        <f t="shared" si="87"/>
        <v>1025.0829461073442</v>
      </c>
      <c r="E1244" s="23">
        <f t="shared" si="84"/>
        <v>1022.811489220176</v>
      </c>
      <c r="F1244" s="23">
        <f>AlphaC*(D1244-E1244)</f>
        <v>56.786422179206397</v>
      </c>
      <c r="G1244" s="13">
        <f>Phi*EpsilonF*Botzman/10^8*J1244*((D1244+273)^4-(E1244+273)^4)</f>
        <v>786.70666018993677</v>
      </c>
      <c r="H1244" s="23">
        <f t="shared" si="85"/>
        <v>650</v>
      </c>
      <c r="I1244" s="12">
        <f>ksh*Massivete/(H1244*RhoA)*DeltaT*(F1244+G1244)</f>
        <v>0.12441543665414488</v>
      </c>
      <c r="J1244" s="3">
        <f>IF(E1244&lt;=500,IF(Galva=Oui,0.35,0.7),0.7)</f>
        <v>0.7</v>
      </c>
    </row>
    <row r="1245" spans="2:10" x14ac:dyDescent="0.25">
      <c r="B1245" s="3">
        <f>B1244+DeltaT</f>
        <v>6140</v>
      </c>
      <c r="C1245" s="13">
        <f t="shared" si="86"/>
        <v>102.33333333333333</v>
      </c>
      <c r="D1245" s="11">
        <f t="shared" si="87"/>
        <v>1025.2048595365738</v>
      </c>
      <c r="E1245" s="23">
        <f t="shared" si="84"/>
        <v>1022.9359046568301</v>
      </c>
      <c r="F1245" s="23">
        <f>AlphaC*(D1245-E1245)</f>
        <v>56.723871993594344</v>
      </c>
      <c r="G1245" s="13">
        <f>Phi*EpsilonF*Botzman/10^8*J1245*((D1245+273)^4-(E1245+273)^4)</f>
        <v>786.06400505944328</v>
      </c>
      <c r="H1245" s="23">
        <f t="shared" si="85"/>
        <v>650</v>
      </c>
      <c r="I1245" s="12">
        <f>ksh*Massivete/(H1245*RhoA)*DeltaT*(F1245+G1245)</f>
        <v>0.12431141869695232</v>
      </c>
      <c r="J1245" s="3">
        <f>IF(E1245&lt;=500,IF(Galva=Oui,0.35,0.7),0.7)</f>
        <v>0.7</v>
      </c>
    </row>
    <row r="1246" spans="2:10" x14ac:dyDescent="0.25">
      <c r="B1246" s="3">
        <f>B1245+DeltaT</f>
        <v>6145</v>
      </c>
      <c r="C1246" s="13">
        <f t="shared" si="86"/>
        <v>102.41666666666667</v>
      </c>
      <c r="D1246" s="11">
        <f t="shared" si="87"/>
        <v>1025.3266738491832</v>
      </c>
      <c r="E1246" s="23">
        <f t="shared" si="84"/>
        <v>1023.060216075527</v>
      </c>
      <c r="F1246" s="23">
        <f>AlphaC*(D1246-E1246)</f>
        <v>56.661444341403921</v>
      </c>
      <c r="G1246" s="13">
        <f>Phi*EpsilonF*Botzman/10^8*J1246*((D1246+273)^4-(E1246+273)^4)</f>
        <v>785.42241264168445</v>
      </c>
      <c r="H1246" s="23">
        <f t="shared" si="85"/>
        <v>650</v>
      </c>
      <c r="I1246" s="12">
        <f>ksh*Massivete/(H1246*RhoA)*DeltaT*(F1246+G1246)</f>
        <v>0.12420757556385868</v>
      </c>
      <c r="J1246" s="3">
        <f>IF(E1246&lt;=500,IF(Galva=Oui,0.35,0.7),0.7)</f>
        <v>0.7</v>
      </c>
    </row>
    <row r="1247" spans="2:10" x14ac:dyDescent="0.25">
      <c r="B1247" s="3">
        <f>B1246+DeltaT</f>
        <v>6150</v>
      </c>
      <c r="C1247" s="13">
        <f t="shared" si="86"/>
        <v>102.5</v>
      </c>
      <c r="D1247" s="11">
        <f t="shared" si="87"/>
        <v>1025.4483892062069</v>
      </c>
      <c r="E1247" s="23">
        <f t="shared" si="84"/>
        <v>1023.1844236510909</v>
      </c>
      <c r="F1247" s="23">
        <f>AlphaC*(D1247-E1247)</f>
        <v>56.599138877899691</v>
      </c>
      <c r="G1247" s="13">
        <f>Phi*EpsilonF*Botzman/10^8*J1247*((D1247+273)^4-(E1247+273)^4)</f>
        <v>784.78188027985254</v>
      </c>
      <c r="H1247" s="23">
        <f t="shared" si="85"/>
        <v>650</v>
      </c>
      <c r="I1247" s="12">
        <f>ksh*Massivete/(H1247*RhoA)*DeltaT*(F1247+G1247)</f>
        <v>0.12410390681213562</v>
      </c>
      <c r="J1247" s="3">
        <f>IF(E1247&lt;=500,IF(Galva=Oui,0.35,0.7),0.7)</f>
        <v>0.7</v>
      </c>
    </row>
    <row r="1248" spans="2:10" x14ac:dyDescent="0.25">
      <c r="B1248" s="3">
        <f>B1247+DeltaT</f>
        <v>6155</v>
      </c>
      <c r="C1248" s="13">
        <f t="shared" si="86"/>
        <v>102.58333333333333</v>
      </c>
      <c r="D1248" s="11">
        <f t="shared" si="87"/>
        <v>1025.570005768287</v>
      </c>
      <c r="E1248" s="23">
        <f t="shared" si="84"/>
        <v>1023.3085275579031</v>
      </c>
      <c r="F1248" s="23">
        <f>AlphaC*(D1248-E1248)</f>
        <v>56.536955259599608</v>
      </c>
      <c r="G1248" s="13">
        <f>Phi*EpsilonF*Botzman/10^8*J1248*((D1248+273)^4-(E1248+273)^4)</f>
        <v>784.14240532628742</v>
      </c>
      <c r="H1248" s="23">
        <f t="shared" si="85"/>
        <v>650</v>
      </c>
      <c r="I1248" s="12">
        <f>ksh*Massivete/(H1248*RhoA)*DeltaT*(F1248+G1248)</f>
        <v>0.12400041200058894</v>
      </c>
      <c r="J1248" s="3">
        <f>IF(E1248&lt;=500,IF(Galva=Oui,0.35,0.7),0.7)</f>
        <v>0.7</v>
      </c>
    </row>
    <row r="1249" spans="2:10" x14ac:dyDescent="0.25">
      <c r="B1249" s="3">
        <f>B1248+DeltaT</f>
        <v>6160</v>
      </c>
      <c r="C1249" s="13">
        <f t="shared" si="86"/>
        <v>102.66666666666667</v>
      </c>
      <c r="D1249" s="11">
        <f t="shared" si="87"/>
        <v>1025.6915236956752</v>
      </c>
      <c r="E1249" s="23">
        <f t="shared" si="84"/>
        <v>1023.4325279699036</v>
      </c>
      <c r="F1249" s="23">
        <f>AlphaC*(D1249-E1249)</f>
        <v>56.47489314428924</v>
      </c>
      <c r="G1249" s="13">
        <f>Phi*EpsilonF*Botzman/10^8*J1249*((D1249+273)^4-(E1249+273)^4)</f>
        <v>783.5039851419142</v>
      </c>
      <c r="H1249" s="23">
        <f t="shared" si="85"/>
        <v>650</v>
      </c>
      <c r="I1249" s="12">
        <f>ksh*Massivete/(H1249*RhoA)*DeltaT*(F1249+G1249)</f>
        <v>0.12389709068947771</v>
      </c>
      <c r="J1249" s="3">
        <f>IF(E1249&lt;=500,IF(Galva=Oui,0.35,0.7),0.7)</f>
        <v>0.7</v>
      </c>
    </row>
    <row r="1250" spans="2:10" x14ac:dyDescent="0.25">
      <c r="B1250" s="3">
        <f>B1249+DeltaT</f>
        <v>6165</v>
      </c>
      <c r="C1250" s="13">
        <f t="shared" si="86"/>
        <v>102.75</v>
      </c>
      <c r="D1250" s="11">
        <f t="shared" si="87"/>
        <v>1025.812943148233</v>
      </c>
      <c r="E1250" s="23">
        <f t="shared" si="84"/>
        <v>1023.5564250605931</v>
      </c>
      <c r="F1250" s="23">
        <f>AlphaC*(D1250-E1250)</f>
        <v>56.41295219099618</v>
      </c>
      <c r="G1250" s="13">
        <f>Phi*EpsilonF*Botzman/10^8*J1250*((D1250+273)^4-(E1250+273)^4)</f>
        <v>782.8666170967083</v>
      </c>
      <c r="H1250" s="23">
        <f t="shared" si="85"/>
        <v>650</v>
      </c>
      <c r="I1250" s="12">
        <f>ksh*Massivete/(H1250*RhoA)*DeltaT*(F1250+G1250)</f>
        <v>0.12379394244057915</v>
      </c>
      <c r="J1250" s="3">
        <f>IF(E1250&lt;=500,IF(Galva=Oui,0.35,0.7),0.7)</f>
        <v>0.7</v>
      </c>
    </row>
    <row r="1251" spans="2:10" x14ac:dyDescent="0.25">
      <c r="B1251" s="3">
        <f>B1250+DeltaT</f>
        <v>6170</v>
      </c>
      <c r="C1251" s="13">
        <f t="shared" si="86"/>
        <v>102.83333333333333</v>
      </c>
      <c r="D1251" s="11">
        <f t="shared" si="87"/>
        <v>1025.9342642854338</v>
      </c>
      <c r="E1251" s="23">
        <f t="shared" si="84"/>
        <v>1023.6802190030337</v>
      </c>
      <c r="F1251" s="23">
        <f>AlphaC*(D1251-E1251)</f>
        <v>56.351132060001419</v>
      </c>
      <c r="G1251" s="13">
        <f>Phi*EpsilonF*Botzman/10^8*J1251*((D1251+273)^4-(E1251+273)^4)</f>
        <v>782.23029856899802</v>
      </c>
      <c r="H1251" s="23">
        <f t="shared" si="85"/>
        <v>650</v>
      </c>
      <c r="I1251" s="12">
        <f>ksh*Massivete/(H1251*RhoA)*DeltaT*(F1251+G1251)</f>
        <v>0.12369096681708742</v>
      </c>
      <c r="J1251" s="3">
        <f>IF(E1251&lt;=500,IF(Galva=Oui,0.35,0.7),0.7)</f>
        <v>0.7</v>
      </c>
    </row>
    <row r="1252" spans="2:10" x14ac:dyDescent="0.25">
      <c r="B1252" s="3">
        <f>B1251+DeltaT</f>
        <v>6175</v>
      </c>
      <c r="C1252" s="13">
        <f t="shared" si="86"/>
        <v>102.91666666666667</v>
      </c>
      <c r="D1252" s="11">
        <f t="shared" si="87"/>
        <v>1026.0554872663638</v>
      </c>
      <c r="E1252" s="23">
        <f t="shared" si="84"/>
        <v>1023.8039099698508</v>
      </c>
      <c r="F1252" s="23">
        <f>AlphaC*(D1252-E1252)</f>
        <v>56.289432412825136</v>
      </c>
      <c r="G1252" s="13">
        <f>Phi*EpsilonF*Botzman/10^8*J1252*((D1252+273)^4-(E1252+273)^4)</f>
        <v>781.59502694639446</v>
      </c>
      <c r="H1252" s="23">
        <f t="shared" si="85"/>
        <v>650</v>
      </c>
      <c r="I1252" s="12">
        <f>ksh*Massivete/(H1252*RhoA)*DeltaT*(F1252+G1252)</f>
        <v>0.12358816338374864</v>
      </c>
      <c r="J1252" s="3">
        <f>IF(E1252&lt;=500,IF(Galva=Oui,0.35,0.7),0.7)</f>
        <v>0.7</v>
      </c>
    </row>
    <row r="1253" spans="2:10" x14ac:dyDescent="0.25">
      <c r="B1253" s="3">
        <f>B1252+DeltaT</f>
        <v>6180</v>
      </c>
      <c r="C1253" s="13">
        <f t="shared" si="86"/>
        <v>103</v>
      </c>
      <c r="D1253" s="11">
        <f t="shared" si="87"/>
        <v>1026.176612249724</v>
      </c>
      <c r="E1253" s="23">
        <f t="shared" si="84"/>
        <v>1023.9274981332345</v>
      </c>
      <c r="F1253" s="23">
        <f>AlphaC*(D1253-E1253)</f>
        <v>56.227852912238063</v>
      </c>
      <c r="G1253" s="13">
        <f>Phi*EpsilonF*Botzman/10^8*J1253*((D1253+273)^4-(E1253+273)^4)</f>
        <v>780.96079962515228</v>
      </c>
      <c r="H1253" s="23">
        <f t="shared" si="85"/>
        <v>650</v>
      </c>
      <c r="I1253" s="12">
        <f>ksh*Massivete/(H1253*RhoA)*DeltaT*(F1253+G1253)</f>
        <v>0.12348553170676835</v>
      </c>
      <c r="J1253" s="3">
        <f>IF(E1253&lt;=500,IF(Galva=Oui,0.35,0.7),0.7)</f>
        <v>0.7</v>
      </c>
    </row>
    <row r="1254" spans="2:10" x14ac:dyDescent="0.25">
      <c r="B1254" s="3">
        <f>B1253+DeltaT</f>
        <v>6185</v>
      </c>
      <c r="C1254" s="13">
        <f t="shared" si="86"/>
        <v>103.08333333333333</v>
      </c>
      <c r="D1254" s="11">
        <f t="shared" si="87"/>
        <v>1026.2976393938302</v>
      </c>
      <c r="E1254" s="23">
        <f t="shared" si="84"/>
        <v>1024.0509836649412</v>
      </c>
      <c r="F1254" s="23">
        <f>AlphaC*(D1254-E1254)</f>
        <v>56.166393222224542</v>
      </c>
      <c r="G1254" s="13">
        <f>Phi*EpsilonF*Botzman/10^8*J1254*((D1254+273)^4-(E1254+273)^4)</f>
        <v>780.32761401005314</v>
      </c>
      <c r="H1254" s="23">
        <f t="shared" si="85"/>
        <v>650</v>
      </c>
      <c r="I1254" s="12">
        <f>ksh*Massivete/(H1254*RhoA)*DeltaT*(F1254+G1254)</f>
        <v>0.12338307135378881</v>
      </c>
      <c r="J1254" s="3">
        <f>IF(E1254&lt;=500,IF(Galva=Oui,0.35,0.7),0.7)</f>
        <v>0.7</v>
      </c>
    </row>
    <row r="1255" spans="2:10" x14ac:dyDescent="0.25">
      <c r="B1255" s="3">
        <f>B1254+DeltaT</f>
        <v>6190</v>
      </c>
      <c r="C1255" s="13">
        <f t="shared" si="86"/>
        <v>103.16666666666667</v>
      </c>
      <c r="D1255" s="11">
        <f t="shared" si="87"/>
        <v>1026.4185688566147</v>
      </c>
      <c r="E1255" s="23">
        <f t="shared" si="84"/>
        <v>1024.174366736295</v>
      </c>
      <c r="F1255" s="23">
        <f>AlphaC*(D1255-E1255)</f>
        <v>56.105053007991046</v>
      </c>
      <c r="G1255" s="13">
        <f>Phi*EpsilonF*Botzman/10^8*J1255*((D1255+273)^4-(E1255+273)^4)</f>
        <v>779.69546751438668</v>
      </c>
      <c r="H1255" s="23">
        <f t="shared" si="85"/>
        <v>650</v>
      </c>
      <c r="I1255" s="12">
        <f>ksh*Massivete/(H1255*RhoA)*DeltaT*(F1255+G1255)</f>
        <v>0.12328078189388748</v>
      </c>
      <c r="J1255" s="3">
        <f>IF(E1255&lt;=500,IF(Galva=Oui,0.35,0.7),0.7)</f>
        <v>0.7</v>
      </c>
    </row>
    <row r="1256" spans="2:10" x14ac:dyDescent="0.25">
      <c r="B1256" s="3">
        <f>B1255+DeltaT</f>
        <v>6195</v>
      </c>
      <c r="C1256" s="13">
        <f t="shared" si="86"/>
        <v>103.25</v>
      </c>
      <c r="D1256" s="11">
        <f t="shared" si="87"/>
        <v>1026.5394007956284</v>
      </c>
      <c r="E1256" s="23">
        <f t="shared" si="84"/>
        <v>1024.297647518189</v>
      </c>
      <c r="F1256" s="23">
        <f>AlphaC*(D1256-E1256)</f>
        <v>56.043831935983235</v>
      </c>
      <c r="G1256" s="13">
        <f>Phi*EpsilonF*Botzman/10^8*J1256*((D1256+273)^4-(E1256+273)^4)</f>
        <v>779.06435756039593</v>
      </c>
      <c r="H1256" s="23">
        <f t="shared" si="85"/>
        <v>650</v>
      </c>
      <c r="I1256" s="12">
        <f>ksh*Massivete/(H1256*RhoA)*DeltaT*(F1256+G1256)</f>
        <v>0.12317866289764523</v>
      </c>
      <c r="J1256" s="3">
        <f>IF(E1256&lt;=500,IF(Galva=Oui,0.35,0.7),0.7)</f>
        <v>0.7</v>
      </c>
    </row>
    <row r="1257" spans="2:10" x14ac:dyDescent="0.25">
      <c r="B1257" s="3">
        <f>B1256+DeltaT</f>
        <v>6200</v>
      </c>
      <c r="C1257" s="13">
        <f t="shared" si="86"/>
        <v>103.33333333333333</v>
      </c>
      <c r="D1257" s="11">
        <f t="shared" si="87"/>
        <v>1026.660135368041</v>
      </c>
      <c r="E1257" s="23">
        <f t="shared" si="84"/>
        <v>1024.4208261810866</v>
      </c>
      <c r="F1257" s="23">
        <f>AlphaC*(D1257-E1257)</f>
        <v>55.982729673860376</v>
      </c>
      <c r="G1257" s="13">
        <f>Phi*EpsilonF*Botzman/10^8*J1257*((D1257+273)^4-(E1257+273)^4)</f>
        <v>778.43428157887035</v>
      </c>
      <c r="H1257" s="23">
        <f t="shared" si="85"/>
        <v>650</v>
      </c>
      <c r="I1257" s="12">
        <f>ksh*Massivete/(H1257*RhoA)*DeltaT*(F1257+G1257)</f>
        <v>0.12307671393708253</v>
      </c>
      <c r="J1257" s="3">
        <f>IF(E1257&lt;=500,IF(Galva=Oui,0.35,0.7),0.7)</f>
        <v>0.7</v>
      </c>
    </row>
    <row r="1258" spans="2:10" x14ac:dyDescent="0.25">
      <c r="B1258" s="3">
        <f>B1257+DeltaT</f>
        <v>6205</v>
      </c>
      <c r="C1258" s="13">
        <f t="shared" si="86"/>
        <v>103.41666666666667</v>
      </c>
      <c r="D1258" s="11">
        <f t="shared" si="87"/>
        <v>1026.7807727306424</v>
      </c>
      <c r="E1258" s="23">
        <f t="shared" si="84"/>
        <v>1024.5439028950236</v>
      </c>
      <c r="F1258" s="23">
        <f>AlphaC*(D1258-E1258)</f>
        <v>55.921745890469765</v>
      </c>
      <c r="G1258" s="13">
        <f>Phi*EpsilonF*Botzman/10^8*J1258*((D1258+273)^4-(E1258+273)^4)</f>
        <v>777.80523700897163</v>
      </c>
      <c r="H1258" s="23">
        <f t="shared" si="85"/>
        <v>650</v>
      </c>
      <c r="I1258" s="12">
        <f>ksh*Massivete/(H1258*RhoA)*DeltaT*(F1258+G1258)</f>
        <v>0.12297493458562998</v>
      </c>
      <c r="J1258" s="3">
        <f>IF(E1258&lt;=500,IF(Galva=Oui,0.35,0.7),0.7)</f>
        <v>0.7</v>
      </c>
    </row>
    <row r="1259" spans="2:10" x14ac:dyDescent="0.25">
      <c r="B1259" s="3">
        <f>B1258+DeltaT</f>
        <v>6210</v>
      </c>
      <c r="C1259" s="13">
        <f t="shared" si="86"/>
        <v>103.5</v>
      </c>
      <c r="D1259" s="11">
        <f t="shared" si="87"/>
        <v>1026.9013130398444</v>
      </c>
      <c r="E1259" s="23">
        <f t="shared" si="84"/>
        <v>1024.6668778296093</v>
      </c>
      <c r="F1259" s="23">
        <f>AlphaC*(D1259-E1259)</f>
        <v>55.860880255875145</v>
      </c>
      <c r="G1259" s="13">
        <f>Phi*EpsilonF*Botzman/10^8*J1259*((D1259+273)^4-(E1259+273)^4)</f>
        <v>777.17722129833044</v>
      </c>
      <c r="H1259" s="23">
        <f t="shared" si="85"/>
        <v>650</v>
      </c>
      <c r="I1259" s="12">
        <f>ksh*Massivete/(H1259*RhoA)*DeltaT*(F1259+G1259)</f>
        <v>0.12287332441814683</v>
      </c>
      <c r="J1259" s="3">
        <f>IF(E1259&lt;=500,IF(Galva=Oui,0.35,0.7),0.7)</f>
        <v>0.7</v>
      </c>
    </row>
    <row r="1260" spans="2:10" x14ac:dyDescent="0.25">
      <c r="B1260" s="3">
        <f>B1259+DeltaT</f>
        <v>6215</v>
      </c>
      <c r="C1260" s="13">
        <f t="shared" si="86"/>
        <v>103.58333333333333</v>
      </c>
      <c r="D1260" s="11">
        <f t="shared" si="87"/>
        <v>1027.0217564516811</v>
      </c>
      <c r="E1260" s="23">
        <f t="shared" si="84"/>
        <v>1024.7897511540275</v>
      </c>
      <c r="F1260" s="23">
        <f>AlphaC*(D1260-E1260)</f>
        <v>55.800132441339656</v>
      </c>
      <c r="G1260" s="13">
        <f>Phi*EpsilonF*Botzman/10^8*J1260*((D1260+273)^4-(E1260+273)^4)</f>
        <v>776.55023190320151</v>
      </c>
      <c r="H1260" s="23">
        <f t="shared" si="85"/>
        <v>650</v>
      </c>
      <c r="I1260" s="12">
        <f>ksh*Massivete/(H1260*RhoA)*DeltaT*(F1260+G1260)</f>
        <v>0.12277188301094125</v>
      </c>
      <c r="J1260" s="3">
        <f>IF(E1260&lt;=500,IF(Galva=Oui,0.35,0.7),0.7)</f>
        <v>0.7</v>
      </c>
    </row>
    <row r="1261" spans="2:10" x14ac:dyDescent="0.25">
      <c r="B1261" s="3">
        <f>B1260+DeltaT</f>
        <v>6220</v>
      </c>
      <c r="C1261" s="13">
        <f t="shared" si="86"/>
        <v>103.66666666666667</v>
      </c>
      <c r="D1261" s="11">
        <f t="shared" si="87"/>
        <v>1027.142103121811</v>
      </c>
      <c r="E1261" s="23">
        <f t="shared" si="84"/>
        <v>1024.9125230370385</v>
      </c>
      <c r="F1261" s="23">
        <f>AlphaC*(D1261-E1261)</f>
        <v>55.739502119314466</v>
      </c>
      <c r="G1261" s="13">
        <f>Phi*EpsilonF*Botzman/10^8*J1261*((D1261+273)^4-(E1261+273)^4)</f>
        <v>775.924266288328</v>
      </c>
      <c r="H1261" s="23">
        <f t="shared" si="85"/>
        <v>650</v>
      </c>
      <c r="I1261" s="12">
        <f>ksh*Massivete/(H1261*RhoA)*DeltaT*(F1261+G1261)</f>
        <v>0.12267060994174869</v>
      </c>
      <c r="J1261" s="3">
        <f>IF(E1261&lt;=500,IF(Galva=Oui,0.35,0.7),0.7)</f>
        <v>0.7</v>
      </c>
    </row>
    <row r="1262" spans="2:10" x14ac:dyDescent="0.25">
      <c r="B1262" s="3">
        <f>B1261+DeltaT</f>
        <v>6225</v>
      </c>
      <c r="C1262" s="13">
        <f t="shared" si="86"/>
        <v>103.75</v>
      </c>
      <c r="D1262" s="11">
        <f t="shared" si="87"/>
        <v>1027.2623532055181</v>
      </c>
      <c r="E1262" s="23">
        <f t="shared" si="84"/>
        <v>1025.0351936469801</v>
      </c>
      <c r="F1262" s="23">
        <f>AlphaC*(D1262-E1262)</f>
        <v>55.678988963450138</v>
      </c>
      <c r="G1262" s="13">
        <f>Phi*EpsilonF*Botzman/10^8*J1262*((D1262+273)^4-(E1262+273)^4)</f>
        <v>775.29932192668934</v>
      </c>
      <c r="H1262" s="23">
        <f t="shared" si="85"/>
        <v>650</v>
      </c>
      <c r="I1262" s="12">
        <f>ksh*Massivete/(H1262*RhoA)*DeltaT*(F1262+G1262)</f>
        <v>0.12256950478969639</v>
      </c>
      <c r="J1262" s="3">
        <f>IF(E1262&lt;=500,IF(Galva=Oui,0.35,0.7),0.7)</f>
        <v>0.7</v>
      </c>
    </row>
    <row r="1263" spans="2:10" x14ac:dyDescent="0.25">
      <c r="B1263" s="3">
        <f>B1262+DeltaT</f>
        <v>6230</v>
      </c>
      <c r="C1263" s="13">
        <f t="shared" si="86"/>
        <v>103.83333333333333</v>
      </c>
      <c r="D1263" s="11">
        <f t="shared" si="87"/>
        <v>1027.3825068577123</v>
      </c>
      <c r="E1263" s="23">
        <f t="shared" si="84"/>
        <v>1025.1577631517698</v>
      </c>
      <c r="F1263" s="23">
        <f>AlphaC*(D1263-E1263)</f>
        <v>55.618592648562526</v>
      </c>
      <c r="G1263" s="13">
        <f>Phi*EpsilonF*Botzman/10^8*J1263*((D1263+273)^4-(E1263+273)^4)</f>
        <v>774.67539629975374</v>
      </c>
      <c r="H1263" s="23">
        <f t="shared" si="85"/>
        <v>650</v>
      </c>
      <c r="I1263" s="12">
        <f>ksh*Massivete/(H1263*RhoA)*DeltaT*(F1263+G1263)</f>
        <v>0.12246856713533553</v>
      </c>
      <c r="J1263" s="3">
        <f>IF(E1263&lt;=500,IF(Galva=Oui,0.35,0.7),0.7)</f>
        <v>0.7</v>
      </c>
    </row>
    <row r="1264" spans="2:10" x14ac:dyDescent="0.25">
      <c r="B1264" s="3">
        <f>B1263+DeltaT</f>
        <v>6235</v>
      </c>
      <c r="C1264" s="13">
        <f t="shared" si="86"/>
        <v>103.91666666666667</v>
      </c>
      <c r="D1264" s="11">
        <f t="shared" si="87"/>
        <v>1027.5025642329315</v>
      </c>
      <c r="E1264" s="23">
        <f t="shared" si="84"/>
        <v>1025.280231718905</v>
      </c>
      <c r="F1264" s="23">
        <f>AlphaC*(D1264-E1264)</f>
        <v>55.558312850661196</v>
      </c>
      <c r="G1264" s="13">
        <f>Phi*EpsilonF*Botzman/10^8*J1264*((D1264+273)^4-(E1264+273)^4)</f>
        <v>774.05248689738039</v>
      </c>
      <c r="H1264" s="23">
        <f t="shared" si="85"/>
        <v>650</v>
      </c>
      <c r="I1264" s="12">
        <f>ksh*Massivete/(H1264*RhoA)*DeltaT*(F1264+G1264)</f>
        <v>0.12236779656063108</v>
      </c>
      <c r="J1264" s="3">
        <f>IF(E1264&lt;=500,IF(Galva=Oui,0.35,0.7),0.7)</f>
        <v>0.7</v>
      </c>
    </row>
    <row r="1265" spans="2:10" x14ac:dyDescent="0.25">
      <c r="B1265" s="3">
        <f>B1264+DeltaT</f>
        <v>6240</v>
      </c>
      <c r="C1265" s="13">
        <f t="shared" si="86"/>
        <v>104</v>
      </c>
      <c r="D1265" s="11">
        <f t="shared" si="87"/>
        <v>1027.6225254853416</v>
      </c>
      <c r="E1265" s="23">
        <f t="shared" si="84"/>
        <v>1025.4025995154657</v>
      </c>
      <c r="F1265" s="23">
        <f>AlphaC*(D1265-E1265)</f>
        <v>55.498149246898265</v>
      </c>
      <c r="G1265" s="13">
        <f>Phi*EpsilonF*Botzman/10^8*J1265*((D1265+273)^4-(E1265+273)^4)</f>
        <v>773.43059121727765</v>
      </c>
      <c r="H1265" s="23">
        <f t="shared" si="85"/>
        <v>650</v>
      </c>
      <c r="I1265" s="12">
        <f>ksh*Massivete/(H1265*RhoA)*DeltaT*(F1265+G1265)</f>
        <v>0.12226719264887426</v>
      </c>
      <c r="J1265" s="3">
        <f>IF(E1265&lt;=500,IF(Galva=Oui,0.35,0.7),0.7)</f>
        <v>0.7</v>
      </c>
    </row>
    <row r="1266" spans="2:10" x14ac:dyDescent="0.25">
      <c r="B1266" s="3">
        <f>B1265+DeltaT</f>
        <v>6245</v>
      </c>
      <c r="C1266" s="13">
        <f t="shared" si="86"/>
        <v>104.08333333333333</v>
      </c>
      <c r="D1266" s="11">
        <f t="shared" si="87"/>
        <v>1027.7423907687398</v>
      </c>
      <c r="E1266" s="23">
        <f t="shared" si="84"/>
        <v>1025.5248667081146</v>
      </c>
      <c r="F1266" s="23">
        <f>AlphaC*(D1266-E1266)</f>
        <v>55.438101515630933</v>
      </c>
      <c r="G1266" s="13">
        <f>Phi*EpsilonF*Botzman/10^8*J1266*((D1266+273)^4-(E1266+273)^4)</f>
        <v>772.80970676612662</v>
      </c>
      <c r="H1266" s="23">
        <f t="shared" si="85"/>
        <v>650</v>
      </c>
      <c r="I1266" s="12">
        <f>ksh*Massivete/(H1266*RhoA)*DeltaT*(F1266+G1266)</f>
        <v>0.1221667549848575</v>
      </c>
      <c r="J1266" s="3">
        <f>IF(E1266&lt;=500,IF(Galva=Oui,0.35,0.7),0.7)</f>
        <v>0.7</v>
      </c>
    </row>
    <row r="1267" spans="2:10" x14ac:dyDescent="0.25">
      <c r="B1267" s="3">
        <f>B1266+DeltaT</f>
        <v>6250</v>
      </c>
      <c r="C1267" s="13">
        <f t="shared" si="86"/>
        <v>104.16666666666667</v>
      </c>
      <c r="D1267" s="11">
        <f t="shared" si="87"/>
        <v>1027.8621602365533</v>
      </c>
      <c r="E1267" s="23">
        <f t="shared" si="84"/>
        <v>1025.6470334630994</v>
      </c>
      <c r="F1267" s="23">
        <f>AlphaC*(D1267-E1267)</f>
        <v>55.378169336347582</v>
      </c>
      <c r="G1267" s="13">
        <f>Phi*EpsilonF*Botzman/10^8*J1267*((D1267+273)^4-(E1267+273)^4)</f>
        <v>772.18983105820564</v>
      </c>
      <c r="H1267" s="23">
        <f t="shared" si="85"/>
        <v>650</v>
      </c>
      <c r="I1267" s="12">
        <f>ksh*Massivete/(H1267*RhoA)*DeltaT*(F1267+G1267)</f>
        <v>0.12206648315466075</v>
      </c>
      <c r="J1267" s="3">
        <f>IF(E1267&lt;=500,IF(Galva=Oui,0.35,0.7),0.7)</f>
        <v>0.7</v>
      </c>
    </row>
    <row r="1268" spans="2:10" x14ac:dyDescent="0.25">
      <c r="B1268" s="3">
        <f>B1267+DeltaT</f>
        <v>6255</v>
      </c>
      <c r="C1268" s="13">
        <f t="shared" si="86"/>
        <v>104.25</v>
      </c>
      <c r="D1268" s="11">
        <f t="shared" si="87"/>
        <v>1027.9818340418426</v>
      </c>
      <c r="E1268" s="23">
        <f t="shared" ref="E1268:E1331" si="88">E1267+I1267</f>
        <v>1025.7690999462541</v>
      </c>
      <c r="F1268" s="23">
        <f>AlphaC*(D1268-E1268)</f>
        <v>55.318352389713255</v>
      </c>
      <c r="G1268" s="13">
        <f>Phi*EpsilonF*Botzman/10^8*J1268*((D1268+273)^4-(E1268+273)^4)</f>
        <v>771.57096161655227</v>
      </c>
      <c r="H1268" s="23">
        <f t="shared" ref="H1268:H1331" si="89">IF(E1268&lt;600,425+0.773*E1268-1.69/1000*E1268^2+2.22/1000^2*E1268^3,IF(E1268&lt;735,666+13002/(738-E1268),IF(E1268&lt;900,545+17820/(E1268-731),650)))</f>
        <v>650</v>
      </c>
      <c r="I1268" s="12">
        <f>ksh*Massivete/(H1268*RhoA)*DeltaT*(F1268+G1268)</f>
        <v>0.12196637674582943</v>
      </c>
      <c r="J1268" s="3">
        <f>IF(E1268&lt;=500,IF(Galva=Oui,0.35,0.7),0.7)</f>
        <v>0.7</v>
      </c>
    </row>
    <row r="1269" spans="2:10" x14ac:dyDescent="0.25">
      <c r="B1269" s="3">
        <f>B1268+DeltaT</f>
        <v>6260</v>
      </c>
      <c r="C1269" s="13">
        <f t="shared" si="86"/>
        <v>104.33333333333333</v>
      </c>
      <c r="D1269" s="11">
        <f t="shared" si="87"/>
        <v>1028.1014123373011</v>
      </c>
      <c r="E1269" s="23">
        <f t="shared" si="88"/>
        <v>1025.8910663229999</v>
      </c>
      <c r="F1269" s="23">
        <f>AlphaC*(D1269-E1269)</f>
        <v>55.258650357529859</v>
      </c>
      <c r="G1269" s="13">
        <f>Phi*EpsilonF*Botzman/10^8*J1269*((D1269+273)^4-(E1269+273)^4)</f>
        <v>770.95309597187872</v>
      </c>
      <c r="H1269" s="23">
        <f t="shared" si="89"/>
        <v>650</v>
      </c>
      <c r="I1269" s="12">
        <f>ksh*Massivete/(H1269*RhoA)*DeltaT*(F1269+G1269)</f>
        <v>0.12186643534720869</v>
      </c>
      <c r="J1269" s="3">
        <f>IF(E1269&lt;=500,IF(Galva=Oui,0.35,0.7),0.7)</f>
        <v>0.7</v>
      </c>
    </row>
    <row r="1270" spans="2:10" x14ac:dyDescent="0.25">
      <c r="B1270" s="3">
        <f>B1269+DeltaT</f>
        <v>6265</v>
      </c>
      <c r="C1270" s="13">
        <f t="shared" si="86"/>
        <v>104.41666666666667</v>
      </c>
      <c r="D1270" s="11">
        <f t="shared" si="87"/>
        <v>1028.2208952752571</v>
      </c>
      <c r="E1270" s="23">
        <f t="shared" si="88"/>
        <v>1026.012932758347</v>
      </c>
      <c r="F1270" s="23">
        <f>AlphaC*(D1270-E1270)</f>
        <v>55.199062922753228</v>
      </c>
      <c r="G1270" s="13">
        <f>Phi*EpsilonF*Botzman/10^8*J1270*((D1270+273)^4-(E1270+273)^4)</f>
        <v>770.33623166326959</v>
      </c>
      <c r="H1270" s="23">
        <f t="shared" si="89"/>
        <v>650</v>
      </c>
      <c r="I1270" s="12">
        <f>ksh*Massivete/(H1270*RhoA)*DeltaT*(F1270+G1270)</f>
        <v>0.12176665854904881</v>
      </c>
      <c r="J1270" s="3">
        <f>IF(E1270&lt;=500,IF(Galva=Oui,0.35,0.7),0.7)</f>
        <v>0.7</v>
      </c>
    </row>
    <row r="1271" spans="2:10" x14ac:dyDescent="0.25">
      <c r="B1271" s="3">
        <f>B1270+DeltaT</f>
        <v>6270</v>
      </c>
      <c r="C1271" s="13">
        <f t="shared" si="86"/>
        <v>104.5</v>
      </c>
      <c r="D1271" s="11">
        <f t="shared" si="87"/>
        <v>1028.3402830076745</v>
      </c>
      <c r="E1271" s="23">
        <f t="shared" si="88"/>
        <v>1026.134699416896</v>
      </c>
      <c r="F1271" s="23">
        <f>AlphaC*(D1271-E1271)</f>
        <v>55.139589769464692</v>
      </c>
      <c r="G1271" s="13">
        <f>Phi*EpsilonF*Botzman/10^8*J1271*((D1271+273)^4-(E1271+273)^4)</f>
        <v>769.72036623773533</v>
      </c>
      <c r="H1271" s="23">
        <f t="shared" si="89"/>
        <v>650</v>
      </c>
      <c r="I1271" s="12">
        <f>ksh*Massivete/(H1271*RhoA)*DeltaT*(F1271+G1271)</f>
        <v>0.12166704594293516</v>
      </c>
      <c r="J1271" s="3">
        <f>IF(E1271&lt;=500,IF(Galva=Oui,0.35,0.7),0.7)</f>
        <v>0.7</v>
      </c>
    </row>
    <row r="1272" spans="2:10" x14ac:dyDescent="0.25">
      <c r="B1272" s="3">
        <f>B1271+DeltaT</f>
        <v>6275</v>
      </c>
      <c r="C1272" s="13">
        <f t="shared" si="86"/>
        <v>104.58333333333333</v>
      </c>
      <c r="D1272" s="11">
        <f t="shared" si="87"/>
        <v>1028.4595756861549</v>
      </c>
      <c r="E1272" s="23">
        <f t="shared" si="88"/>
        <v>1026.256366462839</v>
      </c>
      <c r="F1272" s="23">
        <f>AlphaC*(D1272-E1272)</f>
        <v>55.080230582899503</v>
      </c>
      <c r="G1272" s="13">
        <f>Phi*EpsilonF*Botzman/10^8*J1272*((D1272+273)^4-(E1272+273)^4)</f>
        <v>769.10549725062015</v>
      </c>
      <c r="H1272" s="23">
        <f t="shared" si="89"/>
        <v>650</v>
      </c>
      <c r="I1272" s="12">
        <f>ksh*Massivete/(H1272*RhoA)*DeltaT*(F1272+G1272)</f>
        <v>0.12156759712185253</v>
      </c>
      <c r="J1272" s="3">
        <f>IF(E1272&lt;=500,IF(Galva=Oui,0.35,0.7),0.7)</f>
        <v>0.7</v>
      </c>
    </row>
    <row r="1273" spans="2:10" x14ac:dyDescent="0.25">
      <c r="B1273" s="3">
        <f>B1272+DeltaT</f>
        <v>6280</v>
      </c>
      <c r="C1273" s="13">
        <f t="shared" si="86"/>
        <v>104.66666666666667</v>
      </c>
      <c r="D1273" s="11">
        <f t="shared" si="87"/>
        <v>1028.5787734619378</v>
      </c>
      <c r="E1273" s="23">
        <f t="shared" si="88"/>
        <v>1026.3779340599608</v>
      </c>
      <c r="F1273" s="23">
        <f>AlphaC*(D1273-E1273)</f>
        <v>55.020985049424098</v>
      </c>
      <c r="G1273" s="13">
        <f>Phi*EpsilonF*Botzman/10^8*J1273*((D1273+273)^4-(E1273+273)^4)</f>
        <v>768.49162226511692</v>
      </c>
      <c r="H1273" s="23">
        <f t="shared" si="89"/>
        <v>650</v>
      </c>
      <c r="I1273" s="12">
        <f>ksh*Massivete/(H1273*RhoA)*DeltaT*(F1273+G1273)</f>
        <v>0.12146831168011023</v>
      </c>
      <c r="J1273" s="3">
        <f>IF(E1273&lt;=500,IF(Galva=Oui,0.35,0.7),0.7)</f>
        <v>0.7</v>
      </c>
    </row>
    <row r="1274" spans="2:10" x14ac:dyDescent="0.25">
      <c r="B1274" s="3">
        <f>B1273+DeltaT</f>
        <v>6285</v>
      </c>
      <c r="C1274" s="13">
        <f t="shared" si="86"/>
        <v>104.75</v>
      </c>
      <c r="D1274" s="11">
        <f t="shared" si="87"/>
        <v>1028.6978764859014</v>
      </c>
      <c r="E1274" s="23">
        <f t="shared" si="88"/>
        <v>1026.4994023716408</v>
      </c>
      <c r="F1274" s="23">
        <f>AlphaC*(D1274-E1274)</f>
        <v>54.96185285651336</v>
      </c>
      <c r="G1274" s="13">
        <f>Phi*EpsilonF*Botzman/10^8*J1274*((D1274+273)^4-(E1274+273)^4)</f>
        <v>767.87873885240299</v>
      </c>
      <c r="H1274" s="23">
        <f t="shared" si="89"/>
        <v>650</v>
      </c>
      <c r="I1274" s="12">
        <f>ksh*Massivete/(H1274*RhoA)*DeltaT*(F1274+G1274)</f>
        <v>0.12136918921335881</v>
      </c>
      <c r="J1274" s="3">
        <f>IF(E1274&lt;=500,IF(Galva=Oui,0.35,0.7),0.7)</f>
        <v>0.7</v>
      </c>
    </row>
    <row r="1275" spans="2:10" x14ac:dyDescent="0.25">
      <c r="B1275" s="3">
        <f>B1274+DeltaT</f>
        <v>6290</v>
      </c>
      <c r="C1275" s="13">
        <f t="shared" si="86"/>
        <v>104.83333333333333</v>
      </c>
      <c r="D1275" s="11">
        <f t="shared" si="87"/>
        <v>1028.8168849085655</v>
      </c>
      <c r="E1275" s="23">
        <f t="shared" si="88"/>
        <v>1026.6207715608541</v>
      </c>
      <c r="F1275" s="23">
        <f>AlphaC*(D1275-E1275)</f>
        <v>54.902833692784725</v>
      </c>
      <c r="G1275" s="13">
        <f>Phi*EpsilonF*Botzman/10^8*J1275*((D1275+273)^4-(E1275+273)^4)</f>
        <v>767.26684459185367</v>
      </c>
      <c r="H1275" s="23">
        <f t="shared" si="89"/>
        <v>650</v>
      </c>
      <c r="I1275" s="12">
        <f>ksh*Massivete/(H1275*RhoA)*DeltaT*(F1275+G1275)</f>
        <v>0.12127022931862651</v>
      </c>
      <c r="J1275" s="3">
        <f>IF(E1275&lt;=500,IF(Galva=Oui,0.35,0.7),0.7)</f>
        <v>0.7</v>
      </c>
    </row>
    <row r="1276" spans="2:10" x14ac:dyDescent="0.25">
      <c r="B1276" s="3">
        <f>B1275+DeltaT</f>
        <v>6295</v>
      </c>
      <c r="C1276" s="13">
        <f t="shared" si="86"/>
        <v>104.91666666666667</v>
      </c>
      <c r="D1276" s="11">
        <f t="shared" si="87"/>
        <v>1028.9357988800903</v>
      </c>
      <c r="E1276" s="23">
        <f t="shared" si="88"/>
        <v>1026.7420417901728</v>
      </c>
      <c r="F1276" s="23">
        <f>AlphaC*(D1276-E1276)</f>
        <v>54.843927247935653</v>
      </c>
      <c r="G1276" s="13">
        <f>Phi*EpsilonF*Botzman/10^8*J1276*((D1276+273)^4-(E1276+273)^4)</f>
        <v>766.65593707011135</v>
      </c>
      <c r="H1276" s="23">
        <f t="shared" si="89"/>
        <v>650</v>
      </c>
      <c r="I1276" s="12">
        <f>ksh*Massivete/(H1276*RhoA)*DeltaT*(F1276+G1276)</f>
        <v>0.1211714315941728</v>
      </c>
      <c r="J1276" s="3">
        <f>IF(E1276&lt;=500,IF(Galva=Oui,0.35,0.7),0.7)</f>
        <v>0.7</v>
      </c>
    </row>
    <row r="1277" spans="2:10" x14ac:dyDescent="0.25">
      <c r="B1277" s="3">
        <f>B1276+DeltaT</f>
        <v>6300</v>
      </c>
      <c r="C1277" s="13">
        <f t="shared" si="86"/>
        <v>105</v>
      </c>
      <c r="D1277" s="11">
        <f t="shared" si="87"/>
        <v>1029.0546185502797</v>
      </c>
      <c r="E1277" s="23">
        <f t="shared" si="88"/>
        <v>1026.863213221767</v>
      </c>
      <c r="F1277" s="23">
        <f>AlphaC*(D1277-E1277)</f>
        <v>54.785133212817527</v>
      </c>
      <c r="G1277" s="13">
        <f>Phi*EpsilonF*Botzman/10^8*J1277*((D1277+273)^4-(E1277+273)^4)</f>
        <v>766.04601388255901</v>
      </c>
      <c r="H1277" s="23">
        <f t="shared" si="89"/>
        <v>650</v>
      </c>
      <c r="I1277" s="12">
        <f>ksh*Massivete/(H1277*RhoA)*DeltaT*(F1277+G1277)</f>
        <v>0.12107279563971658</v>
      </c>
      <c r="J1277" s="3">
        <f>IF(E1277&lt;=500,IF(Galva=Oui,0.35,0.7),0.7)</f>
        <v>0.7</v>
      </c>
    </row>
    <row r="1278" spans="2:10" x14ac:dyDescent="0.25">
      <c r="B1278" s="3">
        <f>B1277+DeltaT</f>
        <v>6305</v>
      </c>
      <c r="C1278" s="13">
        <f t="shared" si="86"/>
        <v>105.08333333333333</v>
      </c>
      <c r="D1278" s="11">
        <f t="shared" si="87"/>
        <v>1029.1733440685812</v>
      </c>
      <c r="E1278" s="23">
        <f t="shared" si="88"/>
        <v>1026.9842860174067</v>
      </c>
      <c r="F1278" s="23">
        <f>AlphaC*(D1278-E1278)</f>
        <v>54.726451279361754</v>
      </c>
      <c r="G1278" s="13">
        <f>Phi*EpsilonF*Botzman/10^8*J1278*((D1278+273)^4-(E1278+273)^4)</f>
        <v>765.43707263196325</v>
      </c>
      <c r="H1278" s="23">
        <f t="shared" si="89"/>
        <v>650</v>
      </c>
      <c r="I1278" s="12">
        <f>ksh*Massivete/(H1278*RhoA)*DeltaT*(F1278+G1278)</f>
        <v>0.12097432105622516</v>
      </c>
      <c r="J1278" s="3">
        <f>IF(E1278&lt;=500,IF(Galva=Oui,0.35,0.7),0.7)</f>
        <v>0.7</v>
      </c>
    </row>
    <row r="1279" spans="2:10" x14ac:dyDescent="0.25">
      <c r="B1279" s="3">
        <f>B1278+DeltaT</f>
        <v>6310</v>
      </c>
      <c r="C1279" s="13">
        <f t="shared" si="86"/>
        <v>105.16666666666667</v>
      </c>
      <c r="D1279" s="11">
        <f t="shared" si="87"/>
        <v>1029.2919755840869</v>
      </c>
      <c r="E1279" s="23">
        <f t="shared" si="88"/>
        <v>1027.105260338463</v>
      </c>
      <c r="F1279" s="23">
        <f>AlphaC*(D1279-E1279)</f>
        <v>54.667881140596819</v>
      </c>
      <c r="G1279" s="13">
        <f>Phi*EpsilonF*Botzman/10^8*J1279*((D1279+273)^4-(E1279+273)^4)</f>
        <v>764.82911092890083</v>
      </c>
      <c r="H1279" s="23">
        <f t="shared" si="89"/>
        <v>650</v>
      </c>
      <c r="I1279" s="12">
        <f>ksh*Massivete/(H1279*RhoA)*DeltaT*(F1279+G1279)</f>
        <v>0.12087600744597962</v>
      </c>
      <c r="J1279" s="3">
        <f>IF(E1279&lt;=500,IF(Galva=Oui,0.35,0.7),0.7)</f>
        <v>0.7</v>
      </c>
    </row>
    <row r="1280" spans="2:10" x14ac:dyDescent="0.25">
      <c r="B1280" s="3">
        <f>B1279+DeltaT</f>
        <v>6315</v>
      </c>
      <c r="C1280" s="13">
        <f t="shared" si="86"/>
        <v>105.25</v>
      </c>
      <c r="D1280" s="11">
        <f t="shared" si="87"/>
        <v>1029.4105132455361</v>
      </c>
      <c r="E1280" s="23">
        <f t="shared" si="88"/>
        <v>1027.226136345909</v>
      </c>
      <c r="F1280" s="23">
        <f>AlphaC*(D1280-E1280)</f>
        <v>54.609422490676707</v>
      </c>
      <c r="G1280" s="13">
        <f>Phi*EpsilonF*Botzman/10^8*J1280*((D1280+273)^4-(E1280+273)^4)</f>
        <v>764.22212639210738</v>
      </c>
      <c r="H1280" s="23">
        <f t="shared" si="89"/>
        <v>650</v>
      </c>
      <c r="I1280" s="12">
        <f>ksh*Massivete/(H1280*RhoA)*DeltaT*(F1280+G1280)</f>
        <v>0.12077785441263056</v>
      </c>
      <c r="J1280" s="3">
        <f>IF(E1280&lt;=500,IF(Galva=Oui,0.35,0.7),0.7)</f>
        <v>0.7</v>
      </c>
    </row>
    <row r="1281" spans="2:10" x14ac:dyDescent="0.25">
      <c r="B1281" s="3">
        <f>B1280+DeltaT</f>
        <v>6320</v>
      </c>
      <c r="C1281" s="13">
        <f t="shared" si="86"/>
        <v>105.33333333333333</v>
      </c>
      <c r="D1281" s="11">
        <f t="shared" si="87"/>
        <v>1029.5289572013139</v>
      </c>
      <c r="E1281" s="23">
        <f t="shared" si="88"/>
        <v>1027.3469142003216</v>
      </c>
      <c r="F1281" s="23">
        <f>AlphaC*(D1281-E1281)</f>
        <v>54.551075024807005</v>
      </c>
      <c r="G1281" s="13">
        <f>Phi*EpsilonF*Botzman/10^8*J1281*((D1281+273)^4-(E1281+273)^4)</f>
        <v>763.61611664758607</v>
      </c>
      <c r="H1281" s="23">
        <f t="shared" si="89"/>
        <v>650</v>
      </c>
      <c r="I1281" s="12">
        <f>ksh*Massivete/(H1281*RhoA)*DeltaT*(F1281+G1281)</f>
        <v>0.12067986156105556</v>
      </c>
      <c r="J1281" s="3">
        <f>IF(E1281&lt;=500,IF(Galva=Oui,0.35,0.7),0.7)</f>
        <v>0.7</v>
      </c>
    </row>
    <row r="1282" spans="2:10" x14ac:dyDescent="0.25">
      <c r="B1282" s="3">
        <f>B1281+DeltaT</f>
        <v>6325</v>
      </c>
      <c r="C1282" s="13">
        <f t="shared" si="86"/>
        <v>105.41666666666667</v>
      </c>
      <c r="D1282" s="11">
        <f t="shared" si="87"/>
        <v>1029.6473075994554</v>
      </c>
      <c r="E1282" s="23">
        <f t="shared" si="88"/>
        <v>1027.4675940618827</v>
      </c>
      <c r="F1282" s="23">
        <f>AlphaC*(D1282-E1282)</f>
        <v>54.492838439318803</v>
      </c>
      <c r="G1282" s="13">
        <f>Phi*EpsilonF*Botzman/10^8*J1282*((D1282+273)^4-(E1282+273)^4)</f>
        <v>763.0110793296152</v>
      </c>
      <c r="H1282" s="23">
        <f t="shared" si="89"/>
        <v>650</v>
      </c>
      <c r="I1282" s="12">
        <f>ksh*Massivete/(H1282*RhoA)*DeltaT*(F1282+G1282)</f>
        <v>0.12058202849751889</v>
      </c>
      <c r="J1282" s="3">
        <f>IF(E1282&lt;=500,IF(Galva=Oui,0.35,0.7),0.7)</f>
        <v>0.7</v>
      </c>
    </row>
    <row r="1283" spans="2:10" x14ac:dyDescent="0.25">
      <c r="B1283" s="3">
        <f>B1282+DeltaT</f>
        <v>6330</v>
      </c>
      <c r="C1283" s="13">
        <f t="shared" si="86"/>
        <v>105.5</v>
      </c>
      <c r="D1283" s="11">
        <f t="shared" si="87"/>
        <v>1029.7655645876439</v>
      </c>
      <c r="E1283" s="23">
        <f t="shared" si="88"/>
        <v>1027.5881760903801</v>
      </c>
      <c r="F1283" s="23">
        <f>AlphaC*(D1283-E1283)</f>
        <v>54.434712431594789</v>
      </c>
      <c r="G1283" s="13">
        <f>Phi*EpsilonF*Botzman/10^8*J1283*((D1283+273)^4-(E1283+273)^4)</f>
        <v>762.40701207975985</v>
      </c>
      <c r="H1283" s="23">
        <f t="shared" si="89"/>
        <v>650</v>
      </c>
      <c r="I1283" s="12">
        <f>ksh*Massivete/(H1283*RhoA)*DeltaT*(F1283+G1283)</f>
        <v>0.12048435482951469</v>
      </c>
      <c r="J1283" s="3">
        <f>IF(E1283&lt;=500,IF(Galva=Oui,0.35,0.7),0.7)</f>
        <v>0.7</v>
      </c>
    </row>
    <row r="1284" spans="2:10" x14ac:dyDescent="0.25">
      <c r="B1284" s="3">
        <f>B1283+DeltaT</f>
        <v>6335</v>
      </c>
      <c r="C1284" s="13">
        <f t="shared" si="86"/>
        <v>105.58333333333333</v>
      </c>
      <c r="D1284" s="11">
        <f t="shared" si="87"/>
        <v>1029.8837283132134</v>
      </c>
      <c r="E1284" s="23">
        <f t="shared" si="88"/>
        <v>1027.7086604452097</v>
      </c>
      <c r="F1284" s="23">
        <f>AlphaC*(D1284-E1284)</f>
        <v>54.376696700091998</v>
      </c>
      <c r="G1284" s="13">
        <f>Phi*EpsilonF*Botzman/10^8*J1284*((D1284+273)^4-(E1284+273)^4)</f>
        <v>761.80391254712413</v>
      </c>
      <c r="H1284" s="23">
        <f t="shared" si="89"/>
        <v>650</v>
      </c>
      <c r="I1284" s="12">
        <f>ksh*Massivete/(H1284*RhoA)*DeltaT*(F1284+G1284)</f>
        <v>0.12038684016580757</v>
      </c>
      <c r="J1284" s="3">
        <f>IF(E1284&lt;=500,IF(Galva=Oui,0.35,0.7),0.7)</f>
        <v>0.7</v>
      </c>
    </row>
    <row r="1285" spans="2:10" x14ac:dyDescent="0.25">
      <c r="B1285" s="3">
        <f>B1284+DeltaT</f>
        <v>6340</v>
      </c>
      <c r="C1285" s="13">
        <f t="shared" si="86"/>
        <v>105.66666666666667</v>
      </c>
      <c r="D1285" s="11">
        <f t="shared" si="87"/>
        <v>1030.0017989231505</v>
      </c>
      <c r="E1285" s="23">
        <f t="shared" si="88"/>
        <v>1027.8290472853755</v>
      </c>
      <c r="F1285" s="23">
        <f>AlphaC*(D1285-E1285)</f>
        <v>54.318790944375905</v>
      </c>
      <c r="G1285" s="13">
        <f>Phi*EpsilonF*Botzman/10^8*J1285*((D1285+273)^4-(E1285+273)^4)</f>
        <v>761.20177838916447</v>
      </c>
      <c r="H1285" s="23">
        <f t="shared" si="89"/>
        <v>650</v>
      </c>
      <c r="I1285" s="12">
        <f>ksh*Massivete/(H1285*RhoA)*DeltaT*(F1285+G1285)</f>
        <v>0.12028948411655761</v>
      </c>
      <c r="J1285" s="3">
        <f>IF(E1285&lt;=500,IF(Galva=Oui,0.35,0.7),0.7)</f>
        <v>0.7</v>
      </c>
    </row>
    <row r="1286" spans="2:10" x14ac:dyDescent="0.25">
      <c r="B1286" s="3">
        <f>B1285+DeltaT</f>
        <v>6345</v>
      </c>
      <c r="C1286" s="13">
        <f t="shared" si="86"/>
        <v>105.75</v>
      </c>
      <c r="D1286" s="11">
        <f t="shared" si="87"/>
        <v>1030.1197765640939</v>
      </c>
      <c r="E1286" s="23">
        <f t="shared" si="88"/>
        <v>1027.949336769492</v>
      </c>
      <c r="F1286" s="23">
        <f>AlphaC*(D1286-E1286)</f>
        <v>54.260994865046541</v>
      </c>
      <c r="G1286" s="13">
        <f>Phi*EpsilonF*Botzman/10^8*J1286*((D1286+273)^4-(E1286+273)^4)</f>
        <v>760.6006072702952</v>
      </c>
      <c r="H1286" s="23">
        <f t="shared" si="89"/>
        <v>650</v>
      </c>
      <c r="I1286" s="12">
        <f>ksh*Massivete/(H1286*RhoA)*DeltaT*(F1286+G1286)</f>
        <v>0.12019228629310377</v>
      </c>
      <c r="J1286" s="3">
        <f>IF(E1286&lt;=500,IF(Galva=Oui,0.35,0.7),0.7)</f>
        <v>0.7</v>
      </c>
    </row>
    <row r="1287" spans="2:10" x14ac:dyDescent="0.25">
      <c r="B1287" s="3">
        <f>B1286+DeltaT</f>
        <v>6350</v>
      </c>
      <c r="C1287" s="13">
        <f t="shared" si="86"/>
        <v>105.83333333333333</v>
      </c>
      <c r="D1287" s="11">
        <f t="shared" si="87"/>
        <v>1030.237661382336</v>
      </c>
      <c r="E1287" s="23">
        <f t="shared" si="88"/>
        <v>1028.0695290557851</v>
      </c>
      <c r="F1287" s="23">
        <f>AlphaC*(D1287-E1287)</f>
        <v>54.20330816377259</v>
      </c>
      <c r="G1287" s="13">
        <f>Phi*EpsilonF*Botzman/10^8*J1287*((D1287+273)^4-(E1287+273)^4)</f>
        <v>760.00039686264324</v>
      </c>
      <c r="H1287" s="23">
        <f t="shared" si="89"/>
        <v>650</v>
      </c>
      <c r="I1287" s="12">
        <f>ksh*Massivete/(H1287*RhoA)*DeltaT*(F1287+G1287)</f>
        <v>0.12009524630808029</v>
      </c>
      <c r="J1287" s="3">
        <f>IF(E1287&lt;=500,IF(Galva=Oui,0.35,0.7),0.7)</f>
        <v>0.7</v>
      </c>
    </row>
    <row r="1288" spans="2:10" x14ac:dyDescent="0.25">
      <c r="B1288" s="3">
        <f>B1287+DeltaT</f>
        <v>6355</v>
      </c>
      <c r="C1288" s="13">
        <f t="shared" si="86"/>
        <v>105.91666666666667</v>
      </c>
      <c r="D1288" s="11">
        <f t="shared" si="87"/>
        <v>1030.3554535238245</v>
      </c>
      <c r="E1288" s="23">
        <f t="shared" si="88"/>
        <v>1028.1896243020931</v>
      </c>
      <c r="F1288" s="23">
        <f>AlphaC*(D1288-E1288)</f>
        <v>54.145730543285708</v>
      </c>
      <c r="G1288" s="13">
        <f>Phi*EpsilonF*Botzman/10^8*J1288*((D1288+273)^4-(E1288+273)^4)</f>
        <v>759.40114484604931</v>
      </c>
      <c r="H1288" s="23">
        <f t="shared" si="89"/>
        <v>650</v>
      </c>
      <c r="I1288" s="12">
        <f>ksh*Massivete/(H1288*RhoA)*DeltaT*(F1288+G1288)</f>
        <v>0.11999836377541592</v>
      </c>
      <c r="J1288" s="3">
        <f>IF(E1288&lt;=500,IF(Galva=Oui,0.35,0.7),0.7)</f>
        <v>0.7</v>
      </c>
    </row>
    <row r="1289" spans="2:10" x14ac:dyDescent="0.25">
      <c r="B1289" s="3">
        <f>B1288+DeltaT</f>
        <v>6360</v>
      </c>
      <c r="C1289" s="13">
        <f t="shared" si="86"/>
        <v>106</v>
      </c>
      <c r="D1289" s="11">
        <f t="shared" si="87"/>
        <v>1030.4731531341636</v>
      </c>
      <c r="E1289" s="23">
        <f t="shared" si="88"/>
        <v>1028.3096226658686</v>
      </c>
      <c r="F1289" s="23">
        <f>AlphaC*(D1289-E1289)</f>
        <v>54.088261707374841</v>
      </c>
      <c r="G1289" s="13">
        <f>Phi*EpsilonF*Botzman/10^8*J1289*((D1289+273)^4-(E1289+273)^4)</f>
        <v>758.80284890781491</v>
      </c>
      <c r="H1289" s="23">
        <f t="shared" si="89"/>
        <v>650</v>
      </c>
      <c r="I1289" s="12">
        <f>ksh*Massivete/(H1289*RhoA)*DeltaT*(F1289+G1289)</f>
        <v>0.11990163831029589</v>
      </c>
      <c r="J1289" s="3">
        <f>IF(E1289&lt;=500,IF(Galva=Oui,0.35,0.7),0.7)</f>
        <v>0.7</v>
      </c>
    </row>
    <row r="1290" spans="2:10" x14ac:dyDescent="0.25">
      <c r="B1290" s="3">
        <f>B1289+DeltaT</f>
        <v>6365</v>
      </c>
      <c r="C1290" s="13">
        <f t="shared" si="86"/>
        <v>106.08333333333333</v>
      </c>
      <c r="D1290" s="11">
        <f t="shared" si="87"/>
        <v>1030.5907603586136</v>
      </c>
      <c r="E1290" s="23">
        <f t="shared" si="88"/>
        <v>1028.4295243041788</v>
      </c>
      <c r="F1290" s="23">
        <f>AlphaC*(D1290-E1290)</f>
        <v>54.030901360869166</v>
      </c>
      <c r="G1290" s="13">
        <f>Phi*EpsilonF*Botzman/10^8*J1290*((D1290+273)^4-(E1290+273)^4)</f>
        <v>758.20550674260608</v>
      </c>
      <c r="H1290" s="23">
        <f t="shared" si="89"/>
        <v>650</v>
      </c>
      <c r="I1290" s="12">
        <f>ksh*Massivete/(H1290*RhoA)*DeltaT*(F1290+G1290)</f>
        <v>0.11980506952914508</v>
      </c>
      <c r="J1290" s="3">
        <f>IF(E1290&lt;=500,IF(Galva=Oui,0.35,0.7),0.7)</f>
        <v>0.7</v>
      </c>
    </row>
    <row r="1291" spans="2:10" x14ac:dyDescent="0.25">
      <c r="B1291" s="3">
        <f>B1290+DeltaT</f>
        <v>6370</v>
      </c>
      <c r="C1291" s="13">
        <f t="shared" si="86"/>
        <v>106.16666666666667</v>
      </c>
      <c r="D1291" s="11">
        <f t="shared" si="87"/>
        <v>1030.7082753420941</v>
      </c>
      <c r="E1291" s="23">
        <f t="shared" si="88"/>
        <v>1028.5493293737079</v>
      </c>
      <c r="F1291" s="23">
        <f>AlphaC*(D1291-E1291)</f>
        <v>53.97364920965515</v>
      </c>
      <c r="G1291" s="13">
        <f>Phi*EpsilonF*Botzman/10^8*J1291*((D1291+273)^4-(E1291+273)^4)</f>
        <v>757.60911605282161</v>
      </c>
      <c r="H1291" s="23">
        <f t="shared" si="89"/>
        <v>650</v>
      </c>
      <c r="I1291" s="12">
        <f>ksh*Massivete/(H1291*RhoA)*DeltaT*(F1291+G1291)</f>
        <v>0.11970865704968495</v>
      </c>
      <c r="J1291" s="3">
        <f>IF(E1291&lt;=500,IF(Galva=Oui,0.35,0.7),0.7)</f>
        <v>0.7</v>
      </c>
    </row>
    <row r="1292" spans="2:10" x14ac:dyDescent="0.25">
      <c r="B1292" s="3">
        <f>B1291+DeltaT</f>
        <v>6375</v>
      </c>
      <c r="C1292" s="13">
        <f t="shared" si="86"/>
        <v>106.25</v>
      </c>
      <c r="D1292" s="11">
        <f t="shared" si="87"/>
        <v>1030.8256982291828</v>
      </c>
      <c r="E1292" s="23">
        <f t="shared" si="88"/>
        <v>1028.6690380307575</v>
      </c>
      <c r="F1292" s="23">
        <f>AlphaC*(D1292-E1292)</f>
        <v>53.916504960631073</v>
      </c>
      <c r="G1292" s="13">
        <f>Phi*EpsilonF*Botzman/10^8*J1292*((D1292+273)^4-(E1292+273)^4)</f>
        <v>757.01367454777858</v>
      </c>
      <c r="H1292" s="23">
        <f t="shared" si="89"/>
        <v>650</v>
      </c>
      <c r="I1292" s="12">
        <f>ksh*Massivete/(H1292*RhoA)*DeltaT*(F1292+G1292)</f>
        <v>0.11961240049080661</v>
      </c>
      <c r="J1292" s="3">
        <f>IF(E1292&lt;=500,IF(Galva=Oui,0.35,0.7),0.7)</f>
        <v>0.7</v>
      </c>
    </row>
    <row r="1293" spans="2:10" x14ac:dyDescent="0.25">
      <c r="B1293" s="3">
        <f>B1292+DeltaT</f>
        <v>6380</v>
      </c>
      <c r="C1293" s="13">
        <f t="shared" si="86"/>
        <v>106.33333333333333</v>
      </c>
      <c r="D1293" s="11">
        <f t="shared" si="87"/>
        <v>1030.9430291641188</v>
      </c>
      <c r="E1293" s="23">
        <f t="shared" si="88"/>
        <v>1028.7886504312482</v>
      </c>
      <c r="F1293" s="23">
        <f>AlphaC*(D1293-E1293)</f>
        <v>53.85946832176387</v>
      </c>
      <c r="G1293" s="13">
        <f>Phi*EpsilonF*Botzman/10^8*J1293*((D1293+273)^4-(E1293+273)^4)</f>
        <v>756.41917994473988</v>
      </c>
      <c r="H1293" s="23">
        <f t="shared" si="89"/>
        <v>650</v>
      </c>
      <c r="I1293" s="12">
        <f>ksh*Massivete/(H1293*RhoA)*DeltaT*(F1293+G1293)</f>
        <v>0.11951629947273085</v>
      </c>
      <c r="J1293" s="3">
        <f>IF(E1293&lt;=500,IF(Galva=Oui,0.35,0.7),0.7)</f>
        <v>0.7</v>
      </c>
    </row>
    <row r="1294" spans="2:10" x14ac:dyDescent="0.25">
      <c r="B1294" s="3">
        <f>B1293+DeltaT</f>
        <v>6385</v>
      </c>
      <c r="C1294" s="13">
        <f t="shared" si="86"/>
        <v>106.41666666666667</v>
      </c>
      <c r="D1294" s="11">
        <f t="shared" si="87"/>
        <v>1031.060268290802</v>
      </c>
      <c r="E1294" s="23">
        <f t="shared" si="88"/>
        <v>1028.9081667307209</v>
      </c>
      <c r="F1294" s="23">
        <f>AlphaC*(D1294-E1294)</f>
        <v>53.802539002026606</v>
      </c>
      <c r="G1294" s="13">
        <f>Phi*EpsilonF*Botzman/10^8*J1294*((D1294+273)^4-(E1294+273)^4)</f>
        <v>755.82562996794547</v>
      </c>
      <c r="H1294" s="23">
        <f t="shared" si="89"/>
        <v>650</v>
      </c>
      <c r="I1294" s="12">
        <f>ksh*Massivete/(H1294*RhoA)*DeltaT*(F1294+G1294)</f>
        <v>0.11942035361685593</v>
      </c>
      <c r="J1294" s="3">
        <f>IF(E1294&lt;=500,IF(Galva=Oui,0.35,0.7),0.7)</f>
        <v>0.7</v>
      </c>
    </row>
    <row r="1295" spans="2:10" x14ac:dyDescent="0.25">
      <c r="B1295" s="3">
        <f>B1294+DeltaT</f>
        <v>6390</v>
      </c>
      <c r="C1295" s="13">
        <f t="shared" si="86"/>
        <v>106.5</v>
      </c>
      <c r="D1295" s="11">
        <f t="shared" si="87"/>
        <v>1031.1774157527952</v>
      </c>
      <c r="E1295" s="23">
        <f t="shared" si="88"/>
        <v>1029.0275870843377</v>
      </c>
      <c r="F1295" s="23">
        <f>AlphaC*(D1295-E1295)</f>
        <v>53.745716711438263</v>
      </c>
      <c r="G1295" s="13">
        <f>Phi*EpsilonF*Botzman/10^8*J1295*((D1295+273)^4-(E1295+273)^4)</f>
        <v>755.23302234925131</v>
      </c>
      <c r="H1295" s="23">
        <f t="shared" si="89"/>
        <v>650</v>
      </c>
      <c r="I1295" s="12">
        <f>ksh*Massivete/(H1295*RhoA)*DeltaT*(F1295+G1295)</f>
        <v>0.11932456254585783</v>
      </c>
      <c r="J1295" s="3">
        <f>IF(E1295&lt;=500,IF(Galva=Oui,0.35,0.7),0.7)</f>
        <v>0.7</v>
      </c>
    </row>
    <row r="1296" spans="2:10" x14ac:dyDescent="0.25">
      <c r="B1296" s="3">
        <f>B1295+DeltaT</f>
        <v>6395</v>
      </c>
      <c r="C1296" s="13">
        <f t="shared" si="86"/>
        <v>106.58333333333333</v>
      </c>
      <c r="D1296" s="11">
        <f t="shared" si="87"/>
        <v>1031.2944716933248</v>
      </c>
      <c r="E1296" s="23">
        <f t="shared" si="88"/>
        <v>1029.1469116468836</v>
      </c>
      <c r="F1296" s="23">
        <f>AlphaC*(D1296-E1296)</f>
        <v>53.689001161029637</v>
      </c>
      <c r="G1296" s="13">
        <f>Phi*EpsilonF*Botzman/10^8*J1296*((D1296+273)^4-(E1296+273)^4)</f>
        <v>754.64135482772269</v>
      </c>
      <c r="H1296" s="23">
        <f t="shared" si="89"/>
        <v>650</v>
      </c>
      <c r="I1296" s="12">
        <f>ksh*Massivete/(H1296*RhoA)*DeltaT*(F1296+G1296)</f>
        <v>0.11922892588362503</v>
      </c>
      <c r="J1296" s="3">
        <f>IF(E1296&lt;=500,IF(Galva=Oui,0.35,0.7),0.7)</f>
        <v>0.7</v>
      </c>
    </row>
    <row r="1297" spans="2:10" x14ac:dyDescent="0.25">
      <c r="B1297" s="3">
        <f>B1296+DeltaT</f>
        <v>6400</v>
      </c>
      <c r="C1297" s="13">
        <f t="shared" si="86"/>
        <v>106.66666666666667</v>
      </c>
      <c r="D1297" s="11">
        <f t="shared" si="87"/>
        <v>1031.4114362552807</v>
      </c>
      <c r="E1297" s="23">
        <f t="shared" si="88"/>
        <v>1029.2661405727672</v>
      </c>
      <c r="F1297" s="23">
        <f>AlphaC*(D1297-E1297)</f>
        <v>53.632392062837653</v>
      </c>
      <c r="G1297" s="13">
        <f>Phi*EpsilonF*Botzman/10^8*J1297*((D1297+273)^4-(E1297+273)^4)</f>
        <v>754.0506251495375</v>
      </c>
      <c r="H1297" s="23">
        <f t="shared" si="89"/>
        <v>650</v>
      </c>
      <c r="I1297" s="12">
        <f>ksh*Massivete/(H1297*RhoA)*DeltaT*(F1297+G1297)</f>
        <v>0.11913344325524365</v>
      </c>
      <c r="J1297" s="3">
        <f>IF(E1297&lt;=500,IF(Galva=Oui,0.35,0.7),0.7)</f>
        <v>0.7</v>
      </c>
    </row>
    <row r="1298" spans="2:10" x14ac:dyDescent="0.25">
      <c r="B1298" s="3">
        <f>B1297+DeltaT</f>
        <v>6405</v>
      </c>
      <c r="C1298" s="13">
        <f t="shared" ref="C1298:C1361" si="90">B1298/60</f>
        <v>106.75</v>
      </c>
      <c r="D1298" s="11">
        <f t="shared" ref="D1298:D1361" si="91">20+345*LOG(8*C1298+1,10)</f>
        <v>1031.5283095812194</v>
      </c>
      <c r="E1298" s="23">
        <f t="shared" si="88"/>
        <v>1029.3852740160225</v>
      </c>
      <c r="F1298" s="23">
        <f>AlphaC*(D1298-E1298)</f>
        <v>53.575889129922416</v>
      </c>
      <c r="G1298" s="13">
        <f>Phi*EpsilonF*Botzman/10^8*J1298*((D1298+273)^4-(E1298+273)^4)</f>
        <v>753.46083106816013</v>
      </c>
      <c r="H1298" s="23">
        <f t="shared" si="89"/>
        <v>650</v>
      </c>
      <c r="I1298" s="12">
        <f>ksh*Massivete/(H1298*RhoA)*DeltaT*(F1298+G1298)</f>
        <v>0.11903811428702539</v>
      </c>
      <c r="J1298" s="3">
        <f>IF(E1298&lt;=500,IF(Galva=Oui,0.35,0.7),0.7)</f>
        <v>0.7</v>
      </c>
    </row>
    <row r="1299" spans="2:10" x14ac:dyDescent="0.25">
      <c r="B1299" s="3">
        <f>B1298+DeltaT</f>
        <v>6410</v>
      </c>
      <c r="C1299" s="13">
        <f t="shared" si="90"/>
        <v>106.83333333333333</v>
      </c>
      <c r="D1299" s="11">
        <f t="shared" si="91"/>
        <v>1031.6450918133642</v>
      </c>
      <c r="E1299" s="23">
        <f t="shared" si="88"/>
        <v>1029.5043121303095</v>
      </c>
      <c r="F1299" s="23">
        <f>AlphaC*(D1299-E1299)</f>
        <v>53.519492076367214</v>
      </c>
      <c r="G1299" s="13">
        <f>Phi*EpsilonF*Botzman/10^8*J1299*((D1299+273)^4-(E1299+273)^4)</f>
        <v>752.8719703446136</v>
      </c>
      <c r="H1299" s="23">
        <f t="shared" si="89"/>
        <v>650</v>
      </c>
      <c r="I1299" s="12">
        <f>ksh*Massivete/(H1299*RhoA)*DeltaT*(F1299+G1299)</f>
        <v>0.11894293860654784</v>
      </c>
      <c r="J1299" s="3">
        <f>IF(E1299&lt;=500,IF(Galva=Oui,0.35,0.7),0.7)</f>
        <v>0.7</v>
      </c>
    </row>
    <row r="1300" spans="2:10" x14ac:dyDescent="0.25">
      <c r="B1300" s="3">
        <f>B1299+DeltaT</f>
        <v>6415</v>
      </c>
      <c r="C1300" s="13">
        <f t="shared" si="90"/>
        <v>106.91666666666667</v>
      </c>
      <c r="D1300" s="11">
        <f t="shared" si="91"/>
        <v>1031.7617830936058</v>
      </c>
      <c r="E1300" s="23">
        <f t="shared" si="88"/>
        <v>1029.623255068916</v>
      </c>
      <c r="F1300" s="23">
        <f>AlphaC*(D1300-E1300)</f>
        <v>53.463200617244411</v>
      </c>
      <c r="G1300" s="13">
        <f>Phi*EpsilonF*Botzman/10^8*J1300*((D1300+273)^4-(E1300+273)^4)</f>
        <v>752.28404074689718</v>
      </c>
      <c r="H1300" s="23">
        <f t="shared" si="89"/>
        <v>650</v>
      </c>
      <c r="I1300" s="12">
        <f>ksh*Massivete/(H1300*RhoA)*DeltaT*(F1300+G1300)</f>
        <v>0.11884791584256342</v>
      </c>
      <c r="J1300" s="3">
        <f>IF(E1300&lt;=500,IF(Galva=Oui,0.35,0.7),0.7)</f>
        <v>0.7</v>
      </c>
    </row>
    <row r="1301" spans="2:10" x14ac:dyDescent="0.25">
      <c r="B1301" s="3">
        <f>B1300+DeltaT</f>
        <v>6420</v>
      </c>
      <c r="C1301" s="13">
        <f t="shared" si="90"/>
        <v>107</v>
      </c>
      <c r="D1301" s="11">
        <f t="shared" si="91"/>
        <v>1031.8783835635033</v>
      </c>
      <c r="E1301" s="23">
        <f t="shared" si="88"/>
        <v>1029.7421029847585</v>
      </c>
      <c r="F1301" s="23">
        <f>AlphaC*(D1301-E1301)</f>
        <v>53.407014468621128</v>
      </c>
      <c r="G1301" s="13">
        <f>Phi*EpsilonF*Botzman/10^8*J1301*((D1301+273)^4-(E1301+273)^4)</f>
        <v>751.6970400499099</v>
      </c>
      <c r="H1301" s="23">
        <f t="shared" si="89"/>
        <v>650</v>
      </c>
      <c r="I1301" s="12">
        <f>ksh*Massivete/(H1301*RhoA)*DeltaT*(F1301+G1301)</f>
        <v>0.11875304562498905</v>
      </c>
      <c r="J1301" s="3">
        <f>IF(E1301&lt;=500,IF(Galva=Oui,0.35,0.7),0.7)</f>
        <v>0.7</v>
      </c>
    </row>
    <row r="1302" spans="2:10" x14ac:dyDescent="0.25">
      <c r="B1302" s="3">
        <f>B1301+DeltaT</f>
        <v>6425</v>
      </c>
      <c r="C1302" s="13">
        <f t="shared" si="90"/>
        <v>107.08333333333333</v>
      </c>
      <c r="D1302" s="11">
        <f t="shared" si="91"/>
        <v>1031.9948933642859</v>
      </c>
      <c r="E1302" s="23">
        <f t="shared" si="88"/>
        <v>1029.8608560303835</v>
      </c>
      <c r="F1302" s="23">
        <f>AlphaC*(D1302-E1302)</f>
        <v>53.350933347559248</v>
      </c>
      <c r="G1302" s="13">
        <f>Phi*EpsilonF*Botzman/10^8*J1302*((D1302+273)^4-(E1302+273)^4)</f>
        <v>751.11096603595331</v>
      </c>
      <c r="H1302" s="23">
        <f t="shared" si="89"/>
        <v>650</v>
      </c>
      <c r="I1302" s="12">
        <f>ksh*Massivete/(H1302*RhoA)*DeltaT*(F1302+G1302)</f>
        <v>0.11865832758498021</v>
      </c>
      <c r="J1302" s="3">
        <f>IF(E1302&lt;=500,IF(Galva=Oui,0.35,0.7),0.7)</f>
        <v>0.7</v>
      </c>
    </row>
    <row r="1303" spans="2:10" x14ac:dyDescent="0.25">
      <c r="B1303" s="3">
        <f>B1302+DeltaT</f>
        <v>6430</v>
      </c>
      <c r="C1303" s="13">
        <f t="shared" si="90"/>
        <v>107.16666666666667</v>
      </c>
      <c r="D1303" s="11">
        <f t="shared" si="91"/>
        <v>1032.1113126368537</v>
      </c>
      <c r="E1303" s="23">
        <f t="shared" si="88"/>
        <v>1029.9795143579686</v>
      </c>
      <c r="F1303" s="23">
        <f>AlphaC*(D1303-E1303)</f>
        <v>53.294956972126784</v>
      </c>
      <c r="G1303" s="13">
        <f>Phi*EpsilonF*Botzman/10^8*J1303*((D1303+273)^4-(E1303+273)^4)</f>
        <v>750.52581649438378</v>
      </c>
      <c r="H1303" s="23">
        <f t="shared" si="89"/>
        <v>650</v>
      </c>
      <c r="I1303" s="12">
        <f>ksh*Massivete/(H1303*RhoA)*DeltaT*(F1303+G1303)</f>
        <v>0.11856376135488138</v>
      </c>
      <c r="J1303" s="3">
        <f>IF(E1303&lt;=500,IF(Galva=Oui,0.35,0.7),0.7)</f>
        <v>0.7</v>
      </c>
    </row>
    <row r="1304" spans="2:10" x14ac:dyDescent="0.25">
      <c r="B1304" s="3">
        <f>B1303+DeltaT</f>
        <v>6435</v>
      </c>
      <c r="C1304" s="13">
        <f t="shared" si="90"/>
        <v>107.25</v>
      </c>
      <c r="D1304" s="11">
        <f t="shared" si="91"/>
        <v>1032.2276415217784</v>
      </c>
      <c r="E1304" s="23">
        <f t="shared" si="88"/>
        <v>1030.0980781193234</v>
      </c>
      <c r="F1304" s="23">
        <f>AlphaC*(D1304-E1304)</f>
        <v>53.239085061375135</v>
      </c>
      <c r="G1304" s="13">
        <f>Phi*EpsilonF*Botzman/10^8*J1304*((D1304+273)^4-(E1304+273)^4)</f>
        <v>749.94158922174734</v>
      </c>
      <c r="H1304" s="23">
        <f t="shared" si="89"/>
        <v>650</v>
      </c>
      <c r="I1304" s="12">
        <f>ksh*Massivete/(H1304*RhoA)*DeltaT*(F1304+G1304)</f>
        <v>0.11846934656824257</v>
      </c>
      <c r="J1304" s="3">
        <f>IF(E1304&lt;=500,IF(Galva=Oui,0.35,0.7),0.7)</f>
        <v>0.7</v>
      </c>
    </row>
    <row r="1305" spans="2:10" x14ac:dyDescent="0.25">
      <c r="B1305" s="3">
        <f>B1304+DeltaT</f>
        <v>6440</v>
      </c>
      <c r="C1305" s="13">
        <f t="shared" si="90"/>
        <v>107.33333333333333</v>
      </c>
      <c r="D1305" s="11">
        <f t="shared" si="91"/>
        <v>1032.3438801593047</v>
      </c>
      <c r="E1305" s="23">
        <f t="shared" si="88"/>
        <v>1030.2165474658916</v>
      </c>
      <c r="F1305" s="23">
        <f>AlphaC*(D1305-E1305)</f>
        <v>53.183317335327729</v>
      </c>
      <c r="G1305" s="13">
        <f>Phi*EpsilonF*Botzman/10^8*J1305*((D1305+273)^4-(E1305+273)^4)</f>
        <v>749.35828202147002</v>
      </c>
      <c r="H1305" s="23">
        <f t="shared" si="89"/>
        <v>650</v>
      </c>
      <c r="I1305" s="12">
        <f>ksh*Massivete/(H1305*RhoA)*DeltaT*(F1305+G1305)</f>
        <v>0.11837508285977198</v>
      </c>
      <c r="J1305" s="3">
        <f>IF(E1305&lt;=500,IF(Galva=Oui,0.35,0.7),0.7)</f>
        <v>0.7</v>
      </c>
    </row>
    <row r="1306" spans="2:10" x14ac:dyDescent="0.25">
      <c r="B1306" s="3">
        <f>B1305+DeltaT</f>
        <v>6445</v>
      </c>
      <c r="C1306" s="13">
        <f t="shared" si="90"/>
        <v>107.41666666666667</v>
      </c>
      <c r="D1306" s="11">
        <f t="shared" si="91"/>
        <v>1032.460028689351</v>
      </c>
      <c r="E1306" s="23">
        <f t="shared" si="88"/>
        <v>1030.3349225487514</v>
      </c>
      <c r="F1306" s="23">
        <f>AlphaC*(D1306-E1306)</f>
        <v>53.12765351499138</v>
      </c>
      <c r="G1306" s="13">
        <f>Phi*EpsilonF*Botzman/10^8*J1306*((D1306+273)^4-(E1306+273)^4)</f>
        <v>748.77589270397368</v>
      </c>
      <c r="H1306" s="23">
        <f t="shared" si="89"/>
        <v>650</v>
      </c>
      <c r="I1306" s="12">
        <f>ksh*Massivete/(H1306*RhoA)*DeltaT*(F1306+G1306)</f>
        <v>0.11828096986535472</v>
      </c>
      <c r="J1306" s="3">
        <f>IF(E1306&lt;=500,IF(Galva=Oui,0.35,0.7),0.7)</f>
        <v>0.7</v>
      </c>
    </row>
    <row r="1307" spans="2:10" x14ac:dyDescent="0.25">
      <c r="B1307" s="3">
        <f>B1306+DeltaT</f>
        <v>6450</v>
      </c>
      <c r="C1307" s="13">
        <f t="shared" si="90"/>
        <v>107.5</v>
      </c>
      <c r="D1307" s="11">
        <f t="shared" si="91"/>
        <v>1032.5760872515107</v>
      </c>
      <c r="E1307" s="23">
        <f t="shared" si="88"/>
        <v>1030.4532035186166</v>
      </c>
      <c r="F1307" s="23">
        <f>AlphaC*(D1307-E1307)</f>
        <v>53.072093322350611</v>
      </c>
      <c r="G1307" s="13">
        <f>Phi*EpsilonF*Botzman/10^8*J1307*((D1307+273)^4-(E1307+273)^4)</f>
        <v>748.19441908675424</v>
      </c>
      <c r="H1307" s="23">
        <f t="shared" si="89"/>
        <v>650</v>
      </c>
      <c r="I1307" s="12">
        <f>ksh*Massivete/(H1307*RhoA)*DeltaT*(F1307+G1307)</f>
        <v>0.11818700722206356</v>
      </c>
      <c r="J1307" s="3">
        <f>IF(E1307&lt;=500,IF(Galva=Oui,0.35,0.7),0.7)</f>
        <v>0.7</v>
      </c>
    </row>
    <row r="1308" spans="2:10" x14ac:dyDescent="0.25">
      <c r="B1308" s="3">
        <f>B1307+DeltaT</f>
        <v>6455</v>
      </c>
      <c r="C1308" s="13">
        <f t="shared" si="90"/>
        <v>107.58333333333333</v>
      </c>
      <c r="D1308" s="11">
        <f t="shared" si="91"/>
        <v>1032.692055985053</v>
      </c>
      <c r="E1308" s="23">
        <f t="shared" si="88"/>
        <v>1030.5713905258388</v>
      </c>
      <c r="F1308" s="23">
        <f>AlphaC*(D1308-E1308)</f>
        <v>53.016636480356283</v>
      </c>
      <c r="G1308" s="13">
        <f>Phi*EpsilonF*Botzman/10^8*J1308*((D1308+273)^4-(E1308+273)^4)</f>
        <v>747.61385899430354</v>
      </c>
      <c r="H1308" s="23">
        <f t="shared" si="89"/>
        <v>650</v>
      </c>
      <c r="I1308" s="12">
        <f>ksh*Massivete/(H1308*RhoA)*DeltaT*(F1308+G1308)</f>
        <v>0.1180931945681457</v>
      </c>
      <c r="J1308" s="3">
        <f>IF(E1308&lt;=500,IF(Galva=Oui,0.35,0.7),0.7)</f>
        <v>0.7</v>
      </c>
    </row>
    <row r="1309" spans="2:10" x14ac:dyDescent="0.25">
      <c r="B1309" s="3">
        <f>B1308+DeltaT</f>
        <v>6460</v>
      </c>
      <c r="C1309" s="13">
        <f t="shared" si="90"/>
        <v>107.66666666666667</v>
      </c>
      <c r="D1309" s="11">
        <f t="shared" si="91"/>
        <v>1032.8079350289238</v>
      </c>
      <c r="E1309" s="23">
        <f t="shared" si="88"/>
        <v>1030.689483720407</v>
      </c>
      <c r="F1309" s="23">
        <f>AlphaC*(D1309-E1309)</f>
        <v>52.96128271291991</v>
      </c>
      <c r="G1309" s="13">
        <f>Phi*EpsilonF*Botzman/10^8*J1309*((D1309+273)^4-(E1309+273)^4)</f>
        <v>747.03421025787702</v>
      </c>
      <c r="H1309" s="23">
        <f t="shared" si="89"/>
        <v>650</v>
      </c>
      <c r="I1309" s="12">
        <f>ksh*Massivete/(H1309*RhoA)*DeltaT*(F1309+G1309)</f>
        <v>0.11799953154298766</v>
      </c>
      <c r="J1309" s="3">
        <f>IF(E1309&lt;=500,IF(Galva=Oui,0.35,0.7),0.7)</f>
        <v>0.7</v>
      </c>
    </row>
    <row r="1310" spans="2:10" x14ac:dyDescent="0.25">
      <c r="B1310" s="3">
        <f>B1309+DeltaT</f>
        <v>6465</v>
      </c>
      <c r="C1310" s="13">
        <f t="shared" si="90"/>
        <v>107.75</v>
      </c>
      <c r="D1310" s="11">
        <f t="shared" si="91"/>
        <v>1032.9237245217473</v>
      </c>
      <c r="E1310" s="23">
        <f t="shared" si="88"/>
        <v>1030.8074832519501</v>
      </c>
      <c r="F1310" s="23">
        <f>AlphaC*(D1310-E1310)</f>
        <v>52.906031744930715</v>
      </c>
      <c r="G1310" s="13">
        <f>Phi*EpsilonF*Botzman/10^8*J1310*((D1310+273)^4-(E1310+273)^4)</f>
        <v>746.45547071592</v>
      </c>
      <c r="H1310" s="23">
        <f t="shared" si="89"/>
        <v>650</v>
      </c>
      <c r="I1310" s="12">
        <f>ksh*Massivete/(H1310*RhoA)*DeltaT*(F1310+G1310)</f>
        <v>0.11790601778718068</v>
      </c>
      <c r="J1310" s="3">
        <f>IF(E1310&lt;=500,IF(Galva=Oui,0.35,0.7),0.7)</f>
        <v>0.7</v>
      </c>
    </row>
    <row r="1311" spans="2:10" x14ac:dyDescent="0.25">
      <c r="B1311" s="3">
        <f>B1310+DeltaT</f>
        <v>6470</v>
      </c>
      <c r="C1311" s="13">
        <f t="shared" si="90"/>
        <v>107.83333333333333</v>
      </c>
      <c r="D1311" s="11">
        <f t="shared" si="91"/>
        <v>1033.0394246018259</v>
      </c>
      <c r="E1311" s="23">
        <f t="shared" si="88"/>
        <v>1030.9253892697373</v>
      </c>
      <c r="F1311" s="23">
        <f>AlphaC*(D1311-E1311)</f>
        <v>52.850883302215834</v>
      </c>
      <c r="G1311" s="13">
        <f>Phi*EpsilonF*Botzman/10^8*J1311*((D1311+273)^4-(E1311+273)^4)</f>
        <v>745.87763821333147</v>
      </c>
      <c r="H1311" s="23">
        <f t="shared" si="89"/>
        <v>650</v>
      </c>
      <c r="I1311" s="12">
        <f>ksh*Massivete/(H1311*RhoA)*DeltaT*(F1311+G1311)</f>
        <v>0.11781265294240628</v>
      </c>
      <c r="J1311" s="3">
        <f>IF(E1311&lt;=500,IF(Galva=Oui,0.35,0.7),0.7)</f>
        <v>0.7</v>
      </c>
    </row>
    <row r="1312" spans="2:10" x14ac:dyDescent="0.25">
      <c r="B1312" s="3">
        <f>B1311+DeltaT</f>
        <v>6475</v>
      </c>
      <c r="C1312" s="13">
        <f t="shared" si="90"/>
        <v>107.91666666666667</v>
      </c>
      <c r="D1312" s="11">
        <f t="shared" si="91"/>
        <v>1033.1550354071426</v>
      </c>
      <c r="E1312" s="23">
        <f t="shared" si="88"/>
        <v>1031.0432019226796</v>
      </c>
      <c r="F1312" s="23">
        <f>AlphaC*(D1312-E1312)</f>
        <v>52.795837111574428</v>
      </c>
      <c r="G1312" s="13">
        <f>Phi*EpsilonF*Botzman/10^8*J1312*((D1312+273)^4-(E1312+273)^4)</f>
        <v>745.30071060243279</v>
      </c>
      <c r="H1312" s="23">
        <f t="shared" si="89"/>
        <v>650</v>
      </c>
      <c r="I1312" s="12">
        <f>ksh*Massivete/(H1312*RhoA)*DeltaT*(F1312+G1312)</f>
        <v>0.11771943665158413</v>
      </c>
      <c r="J1312" s="3">
        <f>IF(E1312&lt;=500,IF(Galva=Oui,0.35,0.7),0.7)</f>
        <v>0.7</v>
      </c>
    </row>
    <row r="1313" spans="2:10" x14ac:dyDescent="0.25">
      <c r="B1313" s="3">
        <f>B1312+DeltaT</f>
        <v>6480</v>
      </c>
      <c r="C1313" s="13">
        <f t="shared" si="90"/>
        <v>108</v>
      </c>
      <c r="D1313" s="11">
        <f t="shared" si="91"/>
        <v>1033.2705570753608</v>
      </c>
      <c r="E1313" s="23">
        <f t="shared" si="88"/>
        <v>1031.1609213593313</v>
      </c>
      <c r="F1313" s="23">
        <f>AlphaC*(D1313-E1313)</f>
        <v>52.74089290073789</v>
      </c>
      <c r="G1313" s="13">
        <f>Phi*EpsilonF*Botzman/10^8*J1313*((D1313+273)^4-(E1313+273)^4)</f>
        <v>744.72468574182437</v>
      </c>
      <c r="H1313" s="23">
        <f t="shared" si="89"/>
        <v>650</v>
      </c>
      <c r="I1313" s="12">
        <f>ksh*Massivete/(H1313*RhoA)*DeltaT*(F1313+G1313)</f>
        <v>0.1176263685586976</v>
      </c>
      <c r="J1313" s="3">
        <f>IF(E1313&lt;=500,IF(Galva=Oui,0.35,0.7),0.7)</f>
        <v>0.7</v>
      </c>
    </row>
    <row r="1314" spans="2:10" x14ac:dyDescent="0.25">
      <c r="B1314" s="3">
        <f>B1313+DeltaT</f>
        <v>6485</v>
      </c>
      <c r="C1314" s="13">
        <f t="shared" si="90"/>
        <v>108.08333333333333</v>
      </c>
      <c r="D1314" s="11">
        <f t="shared" si="91"/>
        <v>1033.3859897438258</v>
      </c>
      <c r="E1314" s="23">
        <f t="shared" si="88"/>
        <v>1031.2785477278899</v>
      </c>
      <c r="F1314" s="23">
        <f>AlphaC*(D1314-E1314)</f>
        <v>52.686050398398265</v>
      </c>
      <c r="G1314" s="13">
        <f>Phi*EpsilonF*Botzman/10^8*J1314*((D1314+273)^4-(E1314+273)^4)</f>
        <v>744.14956149721922</v>
      </c>
      <c r="H1314" s="23">
        <f t="shared" si="89"/>
        <v>650</v>
      </c>
      <c r="I1314" s="12">
        <f>ksh*Massivete/(H1314*RhoA)*DeltaT*(F1314+G1314)</f>
        <v>0.11753344830892082</v>
      </c>
      <c r="J1314" s="3">
        <f>IF(E1314&lt;=500,IF(Galva=Oui,0.35,0.7),0.7)</f>
        <v>0.7</v>
      </c>
    </row>
    <row r="1315" spans="2:10" x14ac:dyDescent="0.25">
      <c r="B1315" s="3">
        <f>B1314+DeltaT</f>
        <v>6490</v>
      </c>
      <c r="C1315" s="13">
        <f t="shared" si="90"/>
        <v>108.16666666666667</v>
      </c>
      <c r="D1315" s="11">
        <f t="shared" si="91"/>
        <v>1033.5013335495657</v>
      </c>
      <c r="E1315" s="23">
        <f t="shared" si="88"/>
        <v>1031.3960811761988</v>
      </c>
      <c r="F1315" s="23">
        <f>AlphaC*(D1315-E1315)</f>
        <v>52.631309334174148</v>
      </c>
      <c r="G1315" s="13">
        <f>Phi*EpsilonF*Botzman/10^8*J1315*((D1315+273)^4-(E1315+273)^4)</f>
        <v>743.57533574099682</v>
      </c>
      <c r="H1315" s="23">
        <f t="shared" si="89"/>
        <v>650</v>
      </c>
      <c r="I1315" s="12">
        <f>ksh*Massivete/(H1315*RhoA)*DeltaT*(F1315+G1315)</f>
        <v>0.11744067554854792</v>
      </c>
      <c r="J1315" s="3">
        <f>IF(E1315&lt;=500,IF(Galva=Oui,0.35,0.7),0.7)</f>
        <v>0.7</v>
      </c>
    </row>
    <row r="1316" spans="2:10" x14ac:dyDescent="0.25">
      <c r="B1316" s="3">
        <f>B1315+DeltaT</f>
        <v>6495</v>
      </c>
      <c r="C1316" s="13">
        <f t="shared" si="90"/>
        <v>108.25</v>
      </c>
      <c r="D1316" s="11">
        <f t="shared" si="91"/>
        <v>1033.6165886292924</v>
      </c>
      <c r="E1316" s="23">
        <f t="shared" si="88"/>
        <v>1031.5135218517473</v>
      </c>
      <c r="F1316" s="23">
        <f>AlphaC*(D1316-E1316)</f>
        <v>52.576669438627732</v>
      </c>
      <c r="G1316" s="13">
        <f>Phi*EpsilonF*Botzman/10^8*J1316*((D1316+273)^4-(E1316+273)^4)</f>
        <v>743.00200635216459</v>
      </c>
      <c r="H1316" s="23">
        <f t="shared" si="89"/>
        <v>650</v>
      </c>
      <c r="I1316" s="12">
        <f>ksh*Massivete/(H1316*RhoA)*DeltaT*(F1316+G1316)</f>
        <v>0.11734804992498986</v>
      </c>
      <c r="J1316" s="3">
        <f>IF(E1316&lt;=500,IF(Galva=Oui,0.35,0.7),0.7)</f>
        <v>0.7</v>
      </c>
    </row>
    <row r="1317" spans="2:10" x14ac:dyDescent="0.25">
      <c r="B1317" s="3">
        <f>B1316+DeltaT</f>
        <v>6500</v>
      </c>
      <c r="C1317" s="13">
        <f t="shared" si="90"/>
        <v>108.33333333333333</v>
      </c>
      <c r="D1317" s="11">
        <f t="shared" si="91"/>
        <v>1033.7317551194028</v>
      </c>
      <c r="E1317" s="23">
        <f t="shared" si="88"/>
        <v>1031.6308699016722</v>
      </c>
      <c r="F1317" s="23">
        <f>AlphaC*(D1317-E1317)</f>
        <v>52.522130443264814</v>
      </c>
      <c r="G1317" s="13">
        <f>Phi*EpsilonF*Botzman/10^8*J1317*((D1317+273)^4-(E1317+273)^4)</f>
        <v>742.42957121680388</v>
      </c>
      <c r="H1317" s="23">
        <f t="shared" si="89"/>
        <v>650</v>
      </c>
      <c r="I1317" s="12">
        <f>ksh*Massivete/(H1317*RhoA)*DeltaT*(F1317+G1317)</f>
        <v>0.11725557108684012</v>
      </c>
      <c r="J1317" s="3">
        <f>IF(E1317&lt;=500,IF(Galva=Oui,0.35,0.7),0.7)</f>
        <v>0.7</v>
      </c>
    </row>
    <row r="1318" spans="2:10" x14ac:dyDescent="0.25">
      <c r="B1318" s="3">
        <f>B1317+DeltaT</f>
        <v>6505</v>
      </c>
      <c r="C1318" s="13">
        <f t="shared" si="90"/>
        <v>108.41666666666667</v>
      </c>
      <c r="D1318" s="11">
        <f t="shared" si="91"/>
        <v>1033.8468331559789</v>
      </c>
      <c r="E1318" s="23">
        <f t="shared" si="88"/>
        <v>1031.7481254727591</v>
      </c>
      <c r="F1318" s="23">
        <f>AlphaC*(D1318-E1318)</f>
        <v>52.467692080494999</v>
      </c>
      <c r="G1318" s="13">
        <f>Phi*EpsilonF*Botzman/10^8*J1318*((D1318+273)^4-(E1318+273)^4)</f>
        <v>741.85802822713902</v>
      </c>
      <c r="H1318" s="23">
        <f t="shared" si="89"/>
        <v>650</v>
      </c>
      <c r="I1318" s="12">
        <f>ksh*Massivete/(H1318*RhoA)*DeltaT*(F1318+G1318)</f>
        <v>0.11716323868373166</v>
      </c>
      <c r="J1318" s="3">
        <f>IF(E1318&lt;=500,IF(Galva=Oui,0.35,0.7),0.7)</f>
        <v>0.7</v>
      </c>
    </row>
    <row r="1319" spans="2:10" x14ac:dyDescent="0.25">
      <c r="B1319" s="3">
        <f>B1318+DeltaT</f>
        <v>6510</v>
      </c>
      <c r="C1319" s="13">
        <f t="shared" si="90"/>
        <v>108.5</v>
      </c>
      <c r="D1319" s="11">
        <f t="shared" si="91"/>
        <v>1033.96182287479</v>
      </c>
      <c r="E1319" s="23">
        <f t="shared" si="88"/>
        <v>1031.8652887114429</v>
      </c>
      <c r="F1319" s="23">
        <f>AlphaC*(D1319-E1319)</f>
        <v>52.413354083677177</v>
      </c>
      <c r="G1319" s="13">
        <f>Phi*EpsilonF*Botzman/10^8*J1319*((D1319+273)^4-(E1319+273)^4)</f>
        <v>741.28737528256534</v>
      </c>
      <c r="H1319" s="23">
        <f t="shared" si="89"/>
        <v>650</v>
      </c>
      <c r="I1319" s="12">
        <f>ksh*Massivete/(H1319*RhoA)*DeltaT*(F1319+G1319)</f>
        <v>0.11707105236649512</v>
      </c>
      <c r="J1319" s="3">
        <f>IF(E1319&lt;=500,IF(Galva=Oui,0.35,0.7),0.7)</f>
        <v>0.7</v>
      </c>
    </row>
    <row r="1320" spans="2:10" x14ac:dyDescent="0.25">
      <c r="B1320" s="3">
        <f>B1319+DeltaT</f>
        <v>6515</v>
      </c>
      <c r="C1320" s="13">
        <f t="shared" si="90"/>
        <v>108.58333333333333</v>
      </c>
      <c r="D1320" s="11">
        <f t="shared" si="91"/>
        <v>1034.0767244112926</v>
      </c>
      <c r="E1320" s="23">
        <f t="shared" si="88"/>
        <v>1031.9823597638094</v>
      </c>
      <c r="F1320" s="23">
        <f>AlphaC*(D1320-E1320)</f>
        <v>52.359116187079735</v>
      </c>
      <c r="G1320" s="13">
        <f>Phi*EpsilonF*Botzman/10^8*J1320*((D1320+273)^4-(E1320+273)^4)</f>
        <v>740.71761028881497</v>
      </c>
      <c r="H1320" s="23">
        <f t="shared" si="89"/>
        <v>650</v>
      </c>
      <c r="I1320" s="12">
        <f>ksh*Massivete/(H1320*RhoA)*DeltaT*(F1320+G1320)</f>
        <v>0.11697901178703</v>
      </c>
      <c r="J1320" s="3">
        <f>IF(E1320&lt;=500,IF(Galva=Oui,0.35,0.7),0.7)</f>
        <v>0.7</v>
      </c>
    </row>
    <row r="1321" spans="2:10" x14ac:dyDescent="0.25">
      <c r="B1321" s="3">
        <f>B1320+DeltaT</f>
        <v>6520</v>
      </c>
      <c r="C1321" s="13">
        <f t="shared" si="90"/>
        <v>108.66666666666667</v>
      </c>
      <c r="D1321" s="11">
        <f t="shared" si="91"/>
        <v>1034.1915379006323</v>
      </c>
      <c r="E1321" s="23">
        <f t="shared" si="88"/>
        <v>1032.0993387755964</v>
      </c>
      <c r="F1321" s="23">
        <f>AlphaC*(D1321-E1321)</f>
        <v>52.304978125897605</v>
      </c>
      <c r="G1321" s="13">
        <f>Phi*EpsilonF*Botzman/10^8*J1321*((D1321+273)^4-(E1321+273)^4)</f>
        <v>740.14873115842283</v>
      </c>
      <c r="H1321" s="23">
        <f t="shared" si="89"/>
        <v>650</v>
      </c>
      <c r="I1321" s="12">
        <f>ksh*Massivete/(H1321*RhoA)*DeltaT*(F1321+G1321)</f>
        <v>0.11688711659837589</v>
      </c>
      <c r="J1321" s="3">
        <f>IF(E1321&lt;=500,IF(Galva=Oui,0.35,0.7),0.7)</f>
        <v>0.7</v>
      </c>
    </row>
    <row r="1322" spans="2:10" x14ac:dyDescent="0.25">
      <c r="B1322" s="3">
        <f>B1321+DeltaT</f>
        <v>6525</v>
      </c>
      <c r="C1322" s="13">
        <f t="shared" si="90"/>
        <v>108.75</v>
      </c>
      <c r="D1322" s="11">
        <f t="shared" si="91"/>
        <v>1034.3062634776438</v>
      </c>
      <c r="E1322" s="23">
        <f t="shared" si="88"/>
        <v>1032.2162258921946</v>
      </c>
      <c r="F1322" s="23">
        <f>AlphaC*(D1322-E1322)</f>
        <v>52.250939636229532</v>
      </c>
      <c r="G1322" s="13">
        <f>Phi*EpsilonF*Botzman/10^8*J1322*((D1322+273)^4-(E1322+273)^4)</f>
        <v>739.58073581035751</v>
      </c>
      <c r="H1322" s="23">
        <f t="shared" si="89"/>
        <v>650</v>
      </c>
      <c r="I1322" s="12">
        <f>ksh*Massivete/(H1322*RhoA)*DeltaT*(F1322+G1322)</f>
        <v>0.11679536645465463</v>
      </c>
      <c r="J1322" s="3">
        <f>IF(E1322&lt;=500,IF(Galva=Oui,0.35,0.7),0.7)</f>
        <v>0.7</v>
      </c>
    </row>
    <row r="1323" spans="2:10" x14ac:dyDescent="0.25">
      <c r="B1323" s="3">
        <f>B1322+DeltaT</f>
        <v>6530</v>
      </c>
      <c r="C1323" s="13">
        <f t="shared" si="90"/>
        <v>108.83333333333333</v>
      </c>
      <c r="D1323" s="11">
        <f t="shared" si="91"/>
        <v>1034.4209012768524</v>
      </c>
      <c r="E1323" s="23">
        <f t="shared" si="88"/>
        <v>1032.3330212586493</v>
      </c>
      <c r="F1323" s="23">
        <f>AlphaC*(D1323-E1323)</f>
        <v>52.197000455078069</v>
      </c>
      <c r="G1323" s="13">
        <f>Phi*EpsilonF*Botzman/10^8*J1323*((D1323+273)^4-(E1323+273)^4)</f>
        <v>739.01362217004146</v>
      </c>
      <c r="H1323" s="23">
        <f t="shared" si="89"/>
        <v>650</v>
      </c>
      <c r="I1323" s="12">
        <f>ksh*Massivete/(H1323*RhoA)*DeltaT*(F1323+G1323)</f>
        <v>0.11670376101107335</v>
      </c>
      <c r="J1323" s="3">
        <f>IF(E1323&lt;=500,IF(Galva=Oui,0.35,0.7),0.7)</f>
        <v>0.7</v>
      </c>
    </row>
    <row r="1324" spans="2:10" x14ac:dyDescent="0.25">
      <c r="B1324" s="3">
        <f>B1323+DeltaT</f>
        <v>6535</v>
      </c>
      <c r="C1324" s="13">
        <f t="shared" si="90"/>
        <v>108.91666666666667</v>
      </c>
      <c r="D1324" s="11">
        <f t="shared" si="91"/>
        <v>1034.5354514324754</v>
      </c>
      <c r="E1324" s="23">
        <f t="shared" si="88"/>
        <v>1032.4497250196603</v>
      </c>
      <c r="F1324" s="23">
        <f>AlphaC*(D1324-E1324)</f>
        <v>52.143160320378001</v>
      </c>
      <c r="G1324" s="13">
        <f>Phi*EpsilonF*Botzman/10^8*J1324*((D1324+273)^4-(E1324+273)^4)</f>
        <v>738.44738816985421</v>
      </c>
      <c r="H1324" s="23">
        <f t="shared" si="89"/>
        <v>650</v>
      </c>
      <c r="I1324" s="12">
        <f>ksh*Massivete/(H1324*RhoA)*DeltaT*(F1324+G1324)</f>
        <v>0.11661229992400282</v>
      </c>
      <c r="J1324" s="3">
        <f>IF(E1324&lt;=500,IF(Galva=Oui,0.35,0.7),0.7)</f>
        <v>0.7</v>
      </c>
    </row>
    <row r="1325" spans="2:10" x14ac:dyDescent="0.25">
      <c r="B1325" s="3">
        <f>B1324+DeltaT</f>
        <v>6540</v>
      </c>
      <c r="C1325" s="13">
        <f t="shared" si="90"/>
        <v>109</v>
      </c>
      <c r="D1325" s="11">
        <f t="shared" si="91"/>
        <v>1034.6499140784215</v>
      </c>
      <c r="E1325" s="23">
        <f t="shared" si="88"/>
        <v>1032.5663373195844</v>
      </c>
      <c r="F1325" s="23">
        <f>AlphaC*(D1325-E1325)</f>
        <v>52.089418970928136</v>
      </c>
      <c r="G1325" s="13">
        <f>Phi*EpsilonF*Botzman/10^8*J1325*((D1325+273)^4-(E1325+273)^4)</f>
        <v>737.88203174806711</v>
      </c>
      <c r="H1325" s="23">
        <f t="shared" si="89"/>
        <v>650</v>
      </c>
      <c r="I1325" s="12">
        <f>ksh*Massivete/(H1325*RhoA)*DeltaT*(F1325+G1325)</f>
        <v>0.11652098285081035</v>
      </c>
      <c r="J1325" s="3">
        <f>IF(E1325&lt;=500,IF(Galva=Oui,0.35,0.7),0.7)</f>
        <v>0.7</v>
      </c>
    </row>
    <row r="1326" spans="2:10" x14ac:dyDescent="0.25">
      <c r="B1326" s="3">
        <f>B1325+DeltaT</f>
        <v>6545</v>
      </c>
      <c r="C1326" s="13">
        <f t="shared" si="90"/>
        <v>109.08333333333333</v>
      </c>
      <c r="D1326" s="11">
        <f t="shared" si="91"/>
        <v>1034.7642893482935</v>
      </c>
      <c r="E1326" s="23">
        <f t="shared" si="88"/>
        <v>1032.6828583024351</v>
      </c>
      <c r="F1326" s="23">
        <f>AlphaC*(D1326-E1326)</f>
        <v>52.035776146459511</v>
      </c>
      <c r="G1326" s="13">
        <f>Phi*EpsilonF*Botzman/10^8*J1326*((D1326+273)^4-(E1326+273)^4)</f>
        <v>737.31755085002487</v>
      </c>
      <c r="H1326" s="23">
        <f t="shared" si="89"/>
        <v>650</v>
      </c>
      <c r="I1326" s="12">
        <f>ksh*Massivete/(H1326*RhoA)*DeltaT*(F1326+G1326)</f>
        <v>0.11642980945004401</v>
      </c>
      <c r="J1326" s="3">
        <f>IF(E1326&lt;=500,IF(Galva=Oui,0.35,0.7),0.7)</f>
        <v>0.7</v>
      </c>
    </row>
    <row r="1327" spans="2:10" x14ac:dyDescent="0.25">
      <c r="B1327" s="3">
        <f>B1326+DeltaT</f>
        <v>6550</v>
      </c>
      <c r="C1327" s="13">
        <f t="shared" si="90"/>
        <v>109.16666666666667</v>
      </c>
      <c r="D1327" s="11">
        <f t="shared" si="91"/>
        <v>1034.8785773753884</v>
      </c>
      <c r="E1327" s="23">
        <f t="shared" si="88"/>
        <v>1032.7992881118851</v>
      </c>
      <c r="F1327" s="23">
        <f>AlphaC*(D1327-E1327)</f>
        <v>51.982231587584238</v>
      </c>
      <c r="G1327" s="13">
        <f>Phi*EpsilonF*Botzman/10^8*J1327*((D1327+273)^4-(E1327+273)^4)</f>
        <v>736.75394342723519</v>
      </c>
      <c r="H1327" s="23">
        <f t="shared" si="89"/>
        <v>650</v>
      </c>
      <c r="I1327" s="12">
        <f>ksh*Massivete/(H1327*RhoA)*DeltaT*(F1327+G1327)</f>
        <v>0.11633877938129092</v>
      </c>
      <c r="J1327" s="3">
        <f>IF(E1327&lt;=500,IF(Galva=Oui,0.35,0.7),0.7)</f>
        <v>0.7</v>
      </c>
    </row>
    <row r="1328" spans="2:10" x14ac:dyDescent="0.25">
      <c r="B1328" s="3">
        <f>B1327+DeltaT</f>
        <v>6555</v>
      </c>
      <c r="C1328" s="13">
        <f t="shared" si="90"/>
        <v>109.25</v>
      </c>
      <c r="D1328" s="11">
        <f t="shared" si="91"/>
        <v>1034.9927782926979</v>
      </c>
      <c r="E1328" s="23">
        <f t="shared" si="88"/>
        <v>1032.9156268912664</v>
      </c>
      <c r="F1328" s="23">
        <f>AlphaC*(D1328-E1328)</f>
        <v>51.928785035789815</v>
      </c>
      <c r="G1328" s="13">
        <f>Phi*EpsilonF*Botzman/10^8*J1328*((D1328+273)^4-(E1328+273)^4)</f>
        <v>736.19120743746532</v>
      </c>
      <c r="H1328" s="23">
        <f t="shared" si="89"/>
        <v>650</v>
      </c>
      <c r="I1328" s="12">
        <f>ksh*Massivete/(H1328*RhoA)*DeltaT*(F1328+G1328)</f>
        <v>0.1162478923051906</v>
      </c>
      <c r="J1328" s="3">
        <f>IF(E1328&lt;=500,IF(Galva=Oui,0.35,0.7),0.7)</f>
        <v>0.7</v>
      </c>
    </row>
    <row r="1329" spans="2:10" x14ac:dyDescent="0.25">
      <c r="B1329" s="3">
        <f>B1328+DeltaT</f>
        <v>6560</v>
      </c>
      <c r="C1329" s="13">
        <f t="shared" si="90"/>
        <v>109.33333333333333</v>
      </c>
      <c r="D1329" s="11">
        <f t="shared" si="91"/>
        <v>1035.1068922329105</v>
      </c>
      <c r="E1329" s="23">
        <f t="shared" si="88"/>
        <v>1033.0318747835715</v>
      </c>
      <c r="F1329" s="23">
        <f>AlphaC*(D1329-E1329)</f>
        <v>51.875436233473238</v>
      </c>
      <c r="G1329" s="13">
        <f>Phi*EpsilonF*Botzman/10^8*J1329*((D1329+273)^4-(E1329+273)^4)</f>
        <v>735.62934084526557</v>
      </c>
      <c r="H1329" s="23">
        <f t="shared" si="89"/>
        <v>650</v>
      </c>
      <c r="I1329" s="12">
        <f>ksh*Massivete/(H1329*RhoA)*DeltaT*(F1329+G1329)</f>
        <v>0.11615714788351719</v>
      </c>
      <c r="J1329" s="3">
        <f>IF(E1329&lt;=500,IF(Galva=Oui,0.35,0.7),0.7)</f>
        <v>0.7</v>
      </c>
    </row>
    <row r="1330" spans="2:10" x14ac:dyDescent="0.25">
      <c r="B1330" s="3">
        <f>B1329+DeltaT</f>
        <v>6565</v>
      </c>
      <c r="C1330" s="13">
        <f t="shared" si="90"/>
        <v>109.41666666666667</v>
      </c>
      <c r="D1330" s="11">
        <f t="shared" si="91"/>
        <v>1035.2209193284116</v>
      </c>
      <c r="E1330" s="23">
        <f t="shared" si="88"/>
        <v>1033.1480319314551</v>
      </c>
      <c r="F1330" s="23">
        <f>AlphaC*(D1330-E1330)</f>
        <v>51.822184923912573</v>
      </c>
      <c r="G1330" s="13">
        <f>Phi*EpsilonF*Botzman/10^8*J1330*((D1330+273)^4-(E1330+273)^4)</f>
        <v>735.06834162134896</v>
      </c>
      <c r="H1330" s="23">
        <f t="shared" si="89"/>
        <v>650</v>
      </c>
      <c r="I1330" s="12">
        <f>ksh*Massivete/(H1330*RhoA)*DeltaT*(F1330+G1330)</f>
        <v>0.11606654577908385</v>
      </c>
      <c r="J1330" s="3">
        <f>IF(E1330&lt;=500,IF(Galva=Oui,0.35,0.7),0.7)</f>
        <v>0.7</v>
      </c>
    </row>
    <row r="1331" spans="2:10" x14ac:dyDescent="0.25">
      <c r="B1331" s="3">
        <f>B1330+DeltaT</f>
        <v>6570</v>
      </c>
      <c r="C1331" s="13">
        <f t="shared" si="90"/>
        <v>109.5</v>
      </c>
      <c r="D1331" s="11">
        <f t="shared" si="91"/>
        <v>1035.334859711284</v>
      </c>
      <c r="E1331" s="23">
        <f t="shared" si="88"/>
        <v>1033.2640984772343</v>
      </c>
      <c r="F1331" s="23">
        <f>AlphaC*(D1331-E1331)</f>
        <v>51.769030851244224</v>
      </c>
      <c r="G1331" s="13">
        <f>Phi*EpsilonF*Botzman/10^8*J1331*((D1331+273)^4-(E1331+273)^4)</f>
        <v>734.50820774272722</v>
      </c>
      <c r="H1331" s="23">
        <f t="shared" si="89"/>
        <v>650</v>
      </c>
      <c r="I1331" s="12">
        <f>ksh*Massivete/(H1331*RhoA)*DeltaT*(F1331+G1331)</f>
        <v>0.11597608565575934</v>
      </c>
      <c r="J1331" s="3">
        <f>IF(E1331&lt;=500,IF(Galva=Oui,0.35,0.7),0.7)</f>
        <v>0.7</v>
      </c>
    </row>
    <row r="1332" spans="2:10" x14ac:dyDescent="0.25">
      <c r="B1332" s="3">
        <f>B1331+DeltaT</f>
        <v>6575</v>
      </c>
      <c r="C1332" s="13">
        <f t="shared" si="90"/>
        <v>109.58333333333333</v>
      </c>
      <c r="D1332" s="11">
        <f t="shared" si="91"/>
        <v>1035.4487135133099</v>
      </c>
      <c r="E1332" s="23">
        <f t="shared" ref="E1332:E1395" si="92">E1331+I1331</f>
        <v>1033.3800745628901</v>
      </c>
      <c r="F1332" s="23">
        <f>AlphaC*(D1332-E1332)</f>
        <v>51.715973760497036</v>
      </c>
      <c r="G1332" s="13">
        <f>Phi*EpsilonF*Botzman/10^8*J1332*((D1332+273)^4-(E1332+273)^4)</f>
        <v>733.94893719282652</v>
      </c>
      <c r="H1332" s="23">
        <f t="shared" ref="H1332:H1395" si="93">IF(E1332&lt;600,425+0.773*E1332-1.69/1000*E1332^2+2.22/1000^2*E1332^3,IF(E1332&lt;735,666+13002/(738-E1332),IF(E1332&lt;900,545+17820/(E1332-731),650)))</f>
        <v>650</v>
      </c>
      <c r="I1332" s="12">
        <f>ksh*Massivete/(H1332*RhoA)*DeltaT*(F1332+G1332)</f>
        <v>0.11588576717849024</v>
      </c>
      <c r="J1332" s="3">
        <f>IF(E1332&lt;=500,IF(Galva=Oui,0.35,0.7),0.7)</f>
        <v>0.7</v>
      </c>
    </row>
    <row r="1333" spans="2:10" x14ac:dyDescent="0.25">
      <c r="B1333" s="3">
        <f>B1332+DeltaT</f>
        <v>6580</v>
      </c>
      <c r="C1333" s="13">
        <f t="shared" si="90"/>
        <v>109.66666666666667</v>
      </c>
      <c r="D1333" s="11">
        <f t="shared" si="91"/>
        <v>1035.5624808659713</v>
      </c>
      <c r="E1333" s="23">
        <f t="shared" si="92"/>
        <v>1033.4959603300686</v>
      </c>
      <c r="F1333" s="23">
        <f>AlphaC*(D1333-E1333)</f>
        <v>51.663013397569557</v>
      </c>
      <c r="G1333" s="13">
        <f>Phi*EpsilonF*Botzman/10^8*J1333*((D1333+273)^4-(E1333+273)^4)</f>
        <v>733.39052796142983</v>
      </c>
      <c r="H1333" s="23">
        <f t="shared" si="93"/>
        <v>650</v>
      </c>
      <c r="I1333" s="12">
        <f>ksh*Massivete/(H1333*RhoA)*DeltaT*(F1333+G1333)</f>
        <v>0.11579559001328898</v>
      </c>
      <c r="J1333" s="3">
        <f>IF(E1333&lt;=500,IF(Galva=Oui,0.35,0.7),0.7)</f>
        <v>0.7</v>
      </c>
    </row>
    <row r="1334" spans="2:10" x14ac:dyDescent="0.25">
      <c r="B1334" s="3">
        <f>B1333+DeltaT</f>
        <v>6585</v>
      </c>
      <c r="C1334" s="13">
        <f t="shared" si="90"/>
        <v>109.75</v>
      </c>
      <c r="D1334" s="11">
        <f t="shared" si="91"/>
        <v>1035.6761619004512</v>
      </c>
      <c r="E1334" s="23">
        <f t="shared" si="92"/>
        <v>1033.6117559200818</v>
      </c>
      <c r="F1334" s="23">
        <f>AlphaC*(D1334-E1334)</f>
        <v>51.610149509235725</v>
      </c>
      <c r="G1334" s="13">
        <f>Phi*EpsilonF*Botzman/10^8*J1334*((D1334+273)^4-(E1334+273)^4)</f>
        <v>732.83297804452161</v>
      </c>
      <c r="H1334" s="23">
        <f t="shared" si="93"/>
        <v>650</v>
      </c>
      <c r="I1334" s="12">
        <f>ksh*Massivete/(H1334*RhoA)*DeltaT*(F1334+G1334)</f>
        <v>0.11570555382721191</v>
      </c>
      <c r="J1334" s="3">
        <f>IF(E1334&lt;=500,IF(Galva=Oui,0.35,0.7),0.7)</f>
        <v>0.7</v>
      </c>
    </row>
    <row r="1335" spans="2:10" x14ac:dyDescent="0.25">
      <c r="B1335" s="3">
        <f>B1334+DeltaT</f>
        <v>6590</v>
      </c>
      <c r="C1335" s="13">
        <f t="shared" si="90"/>
        <v>109.83333333333333</v>
      </c>
      <c r="D1335" s="11">
        <f t="shared" si="91"/>
        <v>1035.7897567476334</v>
      </c>
      <c r="E1335" s="23">
        <f t="shared" si="92"/>
        <v>1033.727461473909</v>
      </c>
      <c r="F1335" s="23">
        <f>AlphaC*(D1335-E1335)</f>
        <v>51.557381843110761</v>
      </c>
      <c r="G1335" s="13">
        <f>Phi*EpsilonF*Botzman/10^8*J1335*((D1335+273)^4-(E1335+273)^4)</f>
        <v>732.27628544428774</v>
      </c>
      <c r="H1335" s="23">
        <f t="shared" si="93"/>
        <v>650</v>
      </c>
      <c r="I1335" s="12">
        <f>ksh*Massivete/(H1335*RhoA)*DeltaT*(F1335+G1335)</f>
        <v>0.11561565828835414</v>
      </c>
      <c r="J1335" s="3">
        <f>IF(E1335&lt;=500,IF(Galva=Oui,0.35,0.7),0.7)</f>
        <v>0.7</v>
      </c>
    </row>
    <row r="1336" spans="2:10" x14ac:dyDescent="0.25">
      <c r="B1336" s="3">
        <f>B1335+DeltaT</f>
        <v>6595</v>
      </c>
      <c r="C1336" s="13">
        <f t="shared" si="90"/>
        <v>109.91666666666667</v>
      </c>
      <c r="D1336" s="11">
        <f t="shared" si="91"/>
        <v>1035.9032655381052</v>
      </c>
      <c r="E1336" s="23">
        <f t="shared" si="92"/>
        <v>1033.8430771321973</v>
      </c>
      <c r="F1336" s="23">
        <f>AlphaC*(D1336-E1336)</f>
        <v>51.504710147696642</v>
      </c>
      <c r="G1336" s="13">
        <f>Phi*EpsilonF*Botzman/10^8*J1336*((D1336+273)^4-(E1336+273)^4)</f>
        <v>731.72044816932907</v>
      </c>
      <c r="H1336" s="23">
        <f t="shared" si="93"/>
        <v>650</v>
      </c>
      <c r="I1336" s="12">
        <f>ksh*Massivete/(H1336*RhoA)*DeltaT*(F1336+G1336)</f>
        <v>0.11552590306588775</v>
      </c>
      <c r="J1336" s="3">
        <f>IF(E1336&lt;=500,IF(Galva=Oui,0.35,0.7),0.7)</f>
        <v>0.7</v>
      </c>
    </row>
    <row r="1337" spans="2:10" x14ac:dyDescent="0.25">
      <c r="B1337" s="3">
        <f>B1336+DeltaT</f>
        <v>6600</v>
      </c>
      <c r="C1337" s="13">
        <f t="shared" si="90"/>
        <v>110</v>
      </c>
      <c r="D1337" s="11">
        <f t="shared" si="91"/>
        <v>1036.0166884021564</v>
      </c>
      <c r="E1337" s="23">
        <f t="shared" si="92"/>
        <v>1033.9586030352632</v>
      </c>
      <c r="F1337" s="23">
        <f>AlphaC*(D1337-E1337)</f>
        <v>51.452134172330943</v>
      </c>
      <c r="G1337" s="13">
        <f>Phi*EpsilonF*Botzman/10^8*J1337*((D1337+273)^4-(E1337+273)^4)</f>
        <v>731.16546423413786</v>
      </c>
      <c r="H1337" s="23">
        <f t="shared" si="93"/>
        <v>650</v>
      </c>
      <c r="I1337" s="12">
        <f>ksh*Massivete/(H1337*RhoA)*DeltaT*(F1337+G1337)</f>
        <v>0.11543628782997713</v>
      </c>
      <c r="J1337" s="3">
        <f>IF(E1337&lt;=500,IF(Galva=Oui,0.35,0.7),0.7)</f>
        <v>0.7</v>
      </c>
    </row>
    <row r="1338" spans="2:10" x14ac:dyDescent="0.25">
      <c r="B1338" s="3">
        <f>B1337+DeltaT</f>
        <v>6605</v>
      </c>
      <c r="C1338" s="13">
        <f t="shared" si="90"/>
        <v>110.08333333333333</v>
      </c>
      <c r="D1338" s="11">
        <f t="shared" si="91"/>
        <v>1036.1300254697819</v>
      </c>
      <c r="E1338" s="23">
        <f t="shared" si="92"/>
        <v>1034.0740393230931</v>
      </c>
      <c r="F1338" s="23">
        <f>AlphaC*(D1338-E1338)</f>
        <v>51.399653667220946</v>
      </c>
      <c r="G1338" s="13">
        <f>Phi*EpsilonF*Botzman/10^8*J1338*((D1338+273)^4-(E1338+273)^4)</f>
        <v>730.61133165977617</v>
      </c>
      <c r="H1338" s="23">
        <f t="shared" si="93"/>
        <v>650</v>
      </c>
      <c r="I1338" s="12">
        <f>ksh*Massivete/(H1338*RhoA)*DeltaT*(F1338+G1338)</f>
        <v>0.11534681225188394</v>
      </c>
      <c r="J1338" s="3">
        <f>IF(E1338&lt;=500,IF(Galva=Oui,0.35,0.7),0.7)</f>
        <v>0.7</v>
      </c>
    </row>
    <row r="1339" spans="2:10" x14ac:dyDescent="0.25">
      <c r="B1339" s="3">
        <f>B1338+DeltaT</f>
        <v>6610</v>
      </c>
      <c r="C1339" s="13">
        <f t="shared" si="90"/>
        <v>110.16666666666667</v>
      </c>
      <c r="D1339" s="11">
        <f t="shared" si="91"/>
        <v>1036.2432768706815</v>
      </c>
      <c r="E1339" s="23">
        <f t="shared" si="92"/>
        <v>1034.1893861353449</v>
      </c>
      <c r="F1339" s="23">
        <f>AlphaC*(D1339-E1339)</f>
        <v>51.347268383415212</v>
      </c>
      <c r="G1339" s="13">
        <f>Phi*EpsilonF*Botzman/10^8*J1339*((D1339+273)^4-(E1339+273)^4)</f>
        <v>730.05804847315869</v>
      </c>
      <c r="H1339" s="23">
        <f t="shared" si="93"/>
        <v>650</v>
      </c>
      <c r="I1339" s="12">
        <f>ksh*Massivete/(H1339*RhoA)*DeltaT*(F1339+G1339)</f>
        <v>0.11525747600385722</v>
      </c>
      <c r="J1339" s="3">
        <f>IF(E1339&lt;=500,IF(Galva=Oui,0.35,0.7),0.7)</f>
        <v>0.7</v>
      </c>
    </row>
    <row r="1340" spans="2:10" x14ac:dyDescent="0.25">
      <c r="B1340" s="3">
        <f>B1339+DeltaT</f>
        <v>6615</v>
      </c>
      <c r="C1340" s="13">
        <f t="shared" si="90"/>
        <v>110.25</v>
      </c>
      <c r="D1340" s="11">
        <f t="shared" si="91"/>
        <v>1036.356442734261</v>
      </c>
      <c r="E1340" s="23">
        <f t="shared" si="92"/>
        <v>1034.3046436113486</v>
      </c>
      <c r="F1340" s="23">
        <f>AlphaC*(D1340-E1340)</f>
        <v>51.294978072809272</v>
      </c>
      <c r="G1340" s="13">
        <f>Phi*EpsilonF*Botzman/10^8*J1340*((D1340+273)^4-(E1340+273)^4)</f>
        <v>729.5056127073824</v>
      </c>
      <c r="H1340" s="23">
        <f t="shared" si="93"/>
        <v>650</v>
      </c>
      <c r="I1340" s="12">
        <f>ksh*Massivete/(H1340*RhoA)*DeltaT*(F1340+G1340)</f>
        <v>0.11516827875918283</v>
      </c>
      <c r="J1340" s="3">
        <f>IF(E1340&lt;=500,IF(Galva=Oui,0.35,0.7),0.7)</f>
        <v>0.7</v>
      </c>
    </row>
    <row r="1341" spans="2:10" x14ac:dyDescent="0.25">
      <c r="B1341" s="3">
        <f>B1340+DeltaT</f>
        <v>6620</v>
      </c>
      <c r="C1341" s="13">
        <f t="shared" si="90"/>
        <v>110.33333333333333</v>
      </c>
      <c r="D1341" s="11">
        <f t="shared" si="91"/>
        <v>1036.4695231896335</v>
      </c>
      <c r="E1341" s="23">
        <f t="shared" si="92"/>
        <v>1034.4198118901079</v>
      </c>
      <c r="F1341" s="23">
        <f>AlphaC*(D1341-E1341)</f>
        <v>51.242782488139937</v>
      </c>
      <c r="G1341" s="13">
        <f>Phi*EpsilonF*Botzman/10^8*J1341*((D1341+273)^4-(E1341+273)^4)</f>
        <v>728.95402240164879</v>
      </c>
      <c r="H1341" s="23">
        <f t="shared" si="93"/>
        <v>650</v>
      </c>
      <c r="I1341" s="12">
        <f>ksh*Massivete/(H1341*RhoA)*DeltaT*(F1341+G1341)</f>
        <v>0.11507922019217111</v>
      </c>
      <c r="J1341" s="3">
        <f>IF(E1341&lt;=500,IF(Galva=Oui,0.35,0.7),0.7)</f>
        <v>0.7</v>
      </c>
    </row>
    <row r="1342" spans="2:10" x14ac:dyDescent="0.25">
      <c r="B1342" s="3">
        <f>B1341+DeltaT</f>
        <v>6625</v>
      </c>
      <c r="C1342" s="13">
        <f t="shared" si="90"/>
        <v>110.41666666666667</v>
      </c>
      <c r="D1342" s="11">
        <f t="shared" si="91"/>
        <v>1036.58251836562</v>
      </c>
      <c r="E1342" s="23">
        <f t="shared" si="92"/>
        <v>1034.5348911103001</v>
      </c>
      <c r="F1342" s="23">
        <f>AlphaC*(D1342-E1342)</f>
        <v>51.190681382996672</v>
      </c>
      <c r="G1342" s="13">
        <f>Phi*EpsilonF*Botzman/10^8*J1342*((D1342+273)^4-(E1342+273)^4)</f>
        <v>728.40327560151616</v>
      </c>
      <c r="H1342" s="23">
        <f t="shared" si="93"/>
        <v>650</v>
      </c>
      <c r="I1342" s="12">
        <f>ksh*Massivete/(H1342*RhoA)*DeltaT*(F1342+G1342)</f>
        <v>0.11499029997819582</v>
      </c>
      <c r="J1342" s="3">
        <f>IF(E1342&lt;=500,IF(Galva=Oui,0.35,0.7),0.7)</f>
        <v>0.7</v>
      </c>
    </row>
    <row r="1343" spans="2:10" x14ac:dyDescent="0.25">
      <c r="B1343" s="3">
        <f>B1342+DeltaT</f>
        <v>6630</v>
      </c>
      <c r="C1343" s="13">
        <f t="shared" si="90"/>
        <v>110.5</v>
      </c>
      <c r="D1343" s="11">
        <f t="shared" si="91"/>
        <v>1036.6954283907498</v>
      </c>
      <c r="E1343" s="23">
        <f t="shared" si="92"/>
        <v>1034.6498814102783</v>
      </c>
      <c r="F1343" s="23">
        <f>AlphaC*(D1343-E1343)</f>
        <v>51.138674511787485</v>
      </c>
      <c r="G1343" s="13">
        <f>Phi*EpsilonF*Botzman/10^8*J1343*((D1343+273)^4-(E1343+273)^4)</f>
        <v>727.85337035825978</v>
      </c>
      <c r="H1343" s="23">
        <f t="shared" si="93"/>
        <v>650</v>
      </c>
      <c r="I1343" s="12">
        <f>ksh*Massivete/(H1343*RhoA)*DeltaT*(F1343+G1343)</f>
        <v>0.11490151779359471</v>
      </c>
      <c r="J1343" s="3">
        <f>IF(E1343&lt;=500,IF(Galva=Oui,0.35,0.7),0.7)</f>
        <v>0.7</v>
      </c>
    </row>
    <row r="1344" spans="2:10" x14ac:dyDescent="0.25">
      <c r="B1344" s="3">
        <f>B1343+DeltaT</f>
        <v>6635</v>
      </c>
      <c r="C1344" s="13">
        <f t="shared" si="90"/>
        <v>110.58333333333333</v>
      </c>
      <c r="D1344" s="11">
        <f t="shared" si="91"/>
        <v>1036.808253393262</v>
      </c>
      <c r="E1344" s="23">
        <f t="shared" si="92"/>
        <v>1034.764782928072</v>
      </c>
      <c r="F1344" s="23">
        <f>AlphaC*(D1344-E1344)</f>
        <v>51.086761629750299</v>
      </c>
      <c r="G1344" s="13">
        <f>Phi*EpsilonF*Botzman/10^8*J1344*((D1344+273)^4-(E1344+273)^4)</f>
        <v>727.30430472908517</v>
      </c>
      <c r="H1344" s="23">
        <f t="shared" si="93"/>
        <v>650</v>
      </c>
      <c r="I1344" s="12">
        <f>ksh*Massivete/(H1344*RhoA)*DeltaT*(F1344+G1344)</f>
        <v>0.11481287331570265</v>
      </c>
      <c r="J1344" s="3">
        <f>IF(E1344&lt;=500,IF(Galva=Oui,0.35,0.7),0.7)</f>
        <v>0.7</v>
      </c>
    </row>
    <row r="1345" spans="2:10" x14ac:dyDescent="0.25">
      <c r="B1345" s="3">
        <f>B1344+DeltaT</f>
        <v>6640</v>
      </c>
      <c r="C1345" s="13">
        <f t="shared" si="90"/>
        <v>110.66666666666667</v>
      </c>
      <c r="D1345" s="11">
        <f t="shared" si="91"/>
        <v>1036.9209935011072</v>
      </c>
      <c r="E1345" s="23">
        <f t="shared" si="92"/>
        <v>1034.8795958013877</v>
      </c>
      <c r="F1345" s="23">
        <f>AlphaC*(D1345-E1345)</f>
        <v>51.034942492987057</v>
      </c>
      <c r="G1345" s="13">
        <f>Phi*EpsilonF*Botzman/10^8*J1345*((D1345+273)^4-(E1345+273)^4)</f>
        <v>726.75607677790322</v>
      </c>
      <c r="H1345" s="23">
        <f t="shared" si="93"/>
        <v>650</v>
      </c>
      <c r="I1345" s="12">
        <f>ksh*Massivete/(H1345*RhoA)*DeltaT*(F1345+G1345)</f>
        <v>0.11472436622297101</v>
      </c>
      <c r="J1345" s="3">
        <f>IF(E1345&lt;=500,IF(Galva=Oui,0.35,0.7),0.7)</f>
        <v>0.7</v>
      </c>
    </row>
    <row r="1346" spans="2:10" x14ac:dyDescent="0.25">
      <c r="B1346" s="3">
        <f>B1345+DeltaT</f>
        <v>6645</v>
      </c>
      <c r="C1346" s="13">
        <f t="shared" si="90"/>
        <v>110.75</v>
      </c>
      <c r="D1346" s="11">
        <f t="shared" si="91"/>
        <v>1037.0336488419453</v>
      </c>
      <c r="E1346" s="23">
        <f t="shared" si="92"/>
        <v>1034.9943201676108</v>
      </c>
      <c r="F1346" s="23">
        <f>AlphaC*(D1346-E1346)</f>
        <v>50.983216858361402</v>
      </c>
      <c r="G1346" s="13">
        <f>Phi*EpsilonF*Botzman/10^8*J1346*((D1346+273)^4-(E1346+273)^4)</f>
        <v>726.20868457360541</v>
      </c>
      <c r="H1346" s="23">
        <f t="shared" si="93"/>
        <v>650</v>
      </c>
      <c r="I1346" s="12">
        <f>ksh*Massivete/(H1346*RhoA)*DeltaT*(F1346+G1346)</f>
        <v>0.11463599619469812</v>
      </c>
      <c r="J1346" s="3">
        <f>IF(E1346&lt;=500,IF(Galva=Oui,0.35,0.7),0.7)</f>
        <v>0.7</v>
      </c>
    </row>
    <row r="1347" spans="2:10" x14ac:dyDescent="0.25">
      <c r="B1347" s="3">
        <f>B1346+DeltaT</f>
        <v>6650</v>
      </c>
      <c r="C1347" s="13">
        <f t="shared" si="90"/>
        <v>110.83333333333333</v>
      </c>
      <c r="D1347" s="11">
        <f t="shared" si="91"/>
        <v>1037.1462195431509</v>
      </c>
      <c r="E1347" s="23">
        <f t="shared" si="92"/>
        <v>1035.1089561638055</v>
      </c>
      <c r="F1347" s="23">
        <f>AlphaC*(D1347-E1347)</f>
        <v>50.931584483635106</v>
      </c>
      <c r="G1347" s="13">
        <f>Phi*EpsilonF*Botzman/10^8*J1347*((D1347+273)^4-(E1347+273)^4)</f>
        <v>725.66212619209909</v>
      </c>
      <c r="H1347" s="23">
        <f t="shared" si="93"/>
        <v>650</v>
      </c>
      <c r="I1347" s="12">
        <f>ksh*Massivete/(H1347*RhoA)*DeltaT*(F1347+G1347)</f>
        <v>0.11454776291134965</v>
      </c>
      <c r="J1347" s="3">
        <f>IF(E1347&lt;=500,IF(Galva=Oui,0.35,0.7),0.7)</f>
        <v>0.7</v>
      </c>
    </row>
    <row r="1348" spans="2:10" x14ac:dyDescent="0.25">
      <c r="B1348" s="3">
        <f>B1347+DeltaT</f>
        <v>6655</v>
      </c>
      <c r="C1348" s="13">
        <f t="shared" si="90"/>
        <v>110.91666666666667</v>
      </c>
      <c r="D1348" s="11">
        <f t="shared" si="91"/>
        <v>1037.2587057318103</v>
      </c>
      <c r="E1348" s="23">
        <f t="shared" si="92"/>
        <v>1035.2235039267168</v>
      </c>
      <c r="F1348" s="23">
        <f>AlphaC*(D1348-E1348)</f>
        <v>50.880045127337326</v>
      </c>
      <c r="G1348" s="13">
        <f>Phi*EpsilonF*Botzman/10^8*J1348*((D1348+273)^4-(E1348+273)^4)</f>
        <v>725.11639971452371</v>
      </c>
      <c r="H1348" s="23">
        <f t="shared" si="93"/>
        <v>650</v>
      </c>
      <c r="I1348" s="12">
        <f>ksh*Massivete/(H1348*RhoA)*DeltaT*(F1348+G1348)</f>
        <v>0.11445966605427618</v>
      </c>
      <c r="J1348" s="3">
        <f>IF(E1348&lt;=500,IF(Galva=Oui,0.35,0.7),0.7)</f>
        <v>0.7</v>
      </c>
    </row>
    <row r="1349" spans="2:10" x14ac:dyDescent="0.25">
      <c r="B1349" s="3">
        <f>B1348+DeltaT</f>
        <v>6660</v>
      </c>
      <c r="C1349" s="13">
        <f t="shared" si="90"/>
        <v>111</v>
      </c>
      <c r="D1349" s="11">
        <f t="shared" si="91"/>
        <v>1037.3711075347237</v>
      </c>
      <c r="E1349" s="23">
        <f t="shared" si="92"/>
        <v>1035.3379635927711</v>
      </c>
      <c r="F1349" s="23">
        <f>AlphaC*(D1349-E1349)</f>
        <v>50.828598548815762</v>
      </c>
      <c r="G1349" s="13">
        <f>Phi*EpsilonF*Botzman/10^8*J1349*((D1349+273)^4-(E1349+273)^4)</f>
        <v>724.57150322804614</v>
      </c>
      <c r="H1349" s="23">
        <f t="shared" si="93"/>
        <v>650</v>
      </c>
      <c r="I1349" s="12">
        <f>ksh*Massivete/(H1349*RhoA)*DeltaT*(F1349+G1349)</f>
        <v>0.1143717053058381</v>
      </c>
      <c r="J1349" s="3">
        <f>IF(E1349&lt;=500,IF(Galva=Oui,0.35,0.7),0.7)</f>
        <v>0.7</v>
      </c>
    </row>
    <row r="1350" spans="2:10" x14ac:dyDescent="0.25">
      <c r="B1350" s="3">
        <f>B1349+DeltaT</f>
        <v>6665</v>
      </c>
      <c r="C1350" s="13">
        <f t="shared" si="90"/>
        <v>111.08333333333333</v>
      </c>
      <c r="D1350" s="11">
        <f t="shared" si="91"/>
        <v>1037.4834250784065</v>
      </c>
      <c r="E1350" s="23">
        <f t="shared" si="92"/>
        <v>1035.4523352980768</v>
      </c>
      <c r="F1350" s="23">
        <f>AlphaC*(D1350-E1350)</f>
        <v>50.777244508242347</v>
      </c>
      <c r="G1350" s="13">
        <f>Phi*EpsilonF*Botzman/10^8*J1350*((D1350+273)^4-(E1350+273)^4)</f>
        <v>724.02743482589915</v>
      </c>
      <c r="H1350" s="23">
        <f t="shared" si="93"/>
        <v>650</v>
      </c>
      <c r="I1350" s="12">
        <f>ksh*Massivete/(H1350*RhoA)*DeltaT*(F1350+G1350)</f>
        <v>0.11428388034941205</v>
      </c>
      <c r="J1350" s="3">
        <f>IF(E1350&lt;=500,IF(Galva=Oui,0.35,0.7),0.7)</f>
        <v>0.7</v>
      </c>
    </row>
    <row r="1351" spans="2:10" x14ac:dyDescent="0.25">
      <c r="B1351" s="3">
        <f>B1350+DeltaT</f>
        <v>6670</v>
      </c>
      <c r="C1351" s="13">
        <f t="shared" si="90"/>
        <v>111.16666666666667</v>
      </c>
      <c r="D1351" s="11">
        <f t="shared" si="91"/>
        <v>1037.5956584890901</v>
      </c>
      <c r="E1351" s="23">
        <f t="shared" si="92"/>
        <v>1035.5666191784262</v>
      </c>
      <c r="F1351" s="23">
        <f>AlphaC*(D1351-E1351)</f>
        <v>50.725982766596189</v>
      </c>
      <c r="G1351" s="13">
        <f>Phi*EpsilonF*Botzman/10^8*J1351*((D1351+273)^4-(E1351+273)^4)</f>
        <v>723.48419260710989</v>
      </c>
      <c r="H1351" s="23">
        <f t="shared" si="93"/>
        <v>650</v>
      </c>
      <c r="I1351" s="12">
        <f>ksh*Massivete/(H1351*RhoA)*DeltaT*(F1351+G1351)</f>
        <v>0.11419619086934846</v>
      </c>
      <c r="J1351" s="3">
        <f>IF(E1351&lt;=500,IF(Galva=Oui,0.35,0.7),0.7)</f>
        <v>0.7</v>
      </c>
    </row>
    <row r="1352" spans="2:10" x14ac:dyDescent="0.25">
      <c r="B1352" s="3">
        <f>B1351+DeltaT</f>
        <v>6675</v>
      </c>
      <c r="C1352" s="13">
        <f t="shared" si="90"/>
        <v>111.25</v>
      </c>
      <c r="D1352" s="11">
        <f t="shared" si="91"/>
        <v>1037.7078078927216</v>
      </c>
      <c r="E1352" s="23">
        <f t="shared" si="92"/>
        <v>1035.6808153692955</v>
      </c>
      <c r="F1352" s="23">
        <f>AlphaC*(D1352-E1352)</f>
        <v>50.674813085652204</v>
      </c>
      <c r="G1352" s="13">
        <f>Phi*EpsilonF*Botzman/10^8*J1352*((D1352+273)^4-(E1352+273)^4)</f>
        <v>722.94177467648103</v>
      </c>
      <c r="H1352" s="23">
        <f t="shared" si="93"/>
        <v>650</v>
      </c>
      <c r="I1352" s="12">
        <f>ksh*Massivete/(H1352*RhoA)*DeltaT*(F1352+G1352)</f>
        <v>0.11410863655096697</v>
      </c>
      <c r="J1352" s="3">
        <f>IF(E1352&lt;=500,IF(Galva=Oui,0.35,0.7),0.7)</f>
        <v>0.7</v>
      </c>
    </row>
    <row r="1353" spans="2:10" x14ac:dyDescent="0.25">
      <c r="B1353" s="3">
        <f>B1352+DeltaT</f>
        <v>6680</v>
      </c>
      <c r="C1353" s="13">
        <f t="shared" si="90"/>
        <v>111.33333333333333</v>
      </c>
      <c r="D1353" s="11">
        <f t="shared" si="91"/>
        <v>1037.8198734149664</v>
      </c>
      <c r="E1353" s="23">
        <f t="shared" si="92"/>
        <v>1035.7949240058465</v>
      </c>
      <c r="F1353" s="23">
        <f>AlphaC*(D1353-E1353)</f>
        <v>50.623735227998168</v>
      </c>
      <c r="G1353" s="13">
        <f>Phi*EpsilonF*Botzman/10^8*J1353*((D1353+273)^4-(E1353+273)^4)</f>
        <v>722.40017914476459</v>
      </c>
      <c r="H1353" s="23">
        <f t="shared" si="93"/>
        <v>650</v>
      </c>
      <c r="I1353" s="12">
        <f>ksh*Massivete/(H1353*RhoA)*DeltaT*(F1353+G1353)</f>
        <v>0.1140212170805847</v>
      </c>
      <c r="J1353" s="3">
        <f>IF(E1353&lt;=500,IF(Galva=Oui,0.35,0.7),0.7)</f>
        <v>0.7</v>
      </c>
    </row>
    <row r="1354" spans="2:10" x14ac:dyDescent="0.25">
      <c r="B1354" s="3">
        <f>B1353+DeltaT</f>
        <v>6685</v>
      </c>
      <c r="C1354" s="13">
        <f t="shared" si="90"/>
        <v>111.41666666666667</v>
      </c>
      <c r="D1354" s="11">
        <f t="shared" si="91"/>
        <v>1037.9318551812082</v>
      </c>
      <c r="E1354" s="23">
        <f t="shared" si="92"/>
        <v>1035.9089452229271</v>
      </c>
      <c r="F1354" s="23">
        <f>AlphaC*(D1354-E1354)</f>
        <v>50.572748957029035</v>
      </c>
      <c r="G1354" s="13">
        <f>Phi*EpsilonF*Botzman/10^8*J1354*((D1354+273)^4-(E1354+273)^4)</f>
        <v>721.85940412870116</v>
      </c>
      <c r="H1354" s="23">
        <f t="shared" si="93"/>
        <v>650</v>
      </c>
      <c r="I1354" s="12">
        <f>ksh*Massivete/(H1354*RhoA)*DeltaT*(F1354+G1354)</f>
        <v>0.11393393214552111</v>
      </c>
      <c r="J1354" s="3">
        <f>IF(E1354&lt;=500,IF(Galva=Oui,0.35,0.7),0.7)</f>
        <v>0.7</v>
      </c>
    </row>
    <row r="1355" spans="2:10" x14ac:dyDescent="0.25">
      <c r="B1355" s="3">
        <f>B1354+DeltaT</f>
        <v>6690</v>
      </c>
      <c r="C1355" s="13">
        <f t="shared" si="90"/>
        <v>111.5</v>
      </c>
      <c r="D1355" s="11">
        <f t="shared" si="91"/>
        <v>1038.0437533165482</v>
      </c>
      <c r="E1355" s="23">
        <f t="shared" si="92"/>
        <v>1036.0228791550726</v>
      </c>
      <c r="F1355" s="23">
        <f>AlphaC*(D1355-E1355)</f>
        <v>50.52185403689009</v>
      </c>
      <c r="G1355" s="13">
        <f>Phi*EpsilonF*Botzman/10^8*J1355*((D1355+273)^4-(E1355+273)^4)</f>
        <v>721.31944775014733</v>
      </c>
      <c r="H1355" s="23">
        <f t="shared" si="93"/>
        <v>650</v>
      </c>
      <c r="I1355" s="12">
        <f>ksh*Massivete/(H1355*RhoA)*DeltaT*(F1355+G1355)</f>
        <v>0.11384678143396097</v>
      </c>
      <c r="J1355" s="3">
        <f>IF(E1355&lt;=500,IF(Galva=Oui,0.35,0.7),0.7)</f>
        <v>0.7</v>
      </c>
    </row>
    <row r="1356" spans="2:10" x14ac:dyDescent="0.25">
      <c r="B1356" s="3">
        <f>B1355+DeltaT</f>
        <v>6695</v>
      </c>
      <c r="C1356" s="13">
        <f t="shared" si="90"/>
        <v>111.58333333333333</v>
      </c>
      <c r="D1356" s="11">
        <f t="shared" si="91"/>
        <v>1038.1555679458099</v>
      </c>
      <c r="E1356" s="23">
        <f t="shared" si="92"/>
        <v>1036.1367259365065</v>
      </c>
      <c r="F1356" s="23">
        <f>AlphaC*(D1356-E1356)</f>
        <v>50.471050232584957</v>
      </c>
      <c r="G1356" s="13">
        <f>Phi*EpsilonF*Botzman/10^8*J1356*((D1356+273)^4-(E1356+273)^4)</f>
        <v>720.78030813764622</v>
      </c>
      <c r="H1356" s="23">
        <f t="shared" si="93"/>
        <v>650</v>
      </c>
      <c r="I1356" s="12">
        <f>ksh*Massivete/(H1356*RhoA)*DeltaT*(F1356+G1356)</f>
        <v>0.11375976463520189</v>
      </c>
      <c r="J1356" s="3">
        <f>IF(E1356&lt;=500,IF(Galva=Oui,0.35,0.7),0.7)</f>
        <v>0.7</v>
      </c>
    </row>
    <row r="1357" spans="2:10" x14ac:dyDescent="0.25">
      <c r="B1357" s="3">
        <f>B1356+DeltaT</f>
        <v>6700</v>
      </c>
      <c r="C1357" s="13">
        <f t="shared" si="90"/>
        <v>111.66666666666667</v>
      </c>
      <c r="D1357" s="11">
        <f t="shared" si="91"/>
        <v>1038.2672991935353</v>
      </c>
      <c r="E1357" s="23">
        <f t="shared" si="92"/>
        <v>1036.2504857011418</v>
      </c>
      <c r="F1357" s="23">
        <f>AlphaC*(D1357-E1357)</f>
        <v>50.420337309839169</v>
      </c>
      <c r="G1357" s="13">
        <f>Phi*EpsilonF*Botzman/10^8*J1357*((D1357+273)^4-(E1357+273)^4)</f>
        <v>720.24198342452746</v>
      </c>
      <c r="H1357" s="23">
        <f t="shared" si="93"/>
        <v>650</v>
      </c>
      <c r="I1357" s="12">
        <f>ksh*Massivete/(H1357*RhoA)*DeltaT*(F1357+G1357)</f>
        <v>0.11367288143935401</v>
      </c>
      <c r="J1357" s="3">
        <f>IF(E1357&lt;=500,IF(Galva=Oui,0.35,0.7),0.7)</f>
        <v>0.7</v>
      </c>
    </row>
    <row r="1358" spans="2:10" x14ac:dyDescent="0.25">
      <c r="B1358" s="3">
        <f>B1357+DeltaT</f>
        <v>6705</v>
      </c>
      <c r="C1358" s="13">
        <f t="shared" si="90"/>
        <v>111.75</v>
      </c>
      <c r="D1358" s="11">
        <f t="shared" si="91"/>
        <v>1038.3789471839896</v>
      </c>
      <c r="E1358" s="23">
        <f t="shared" si="92"/>
        <v>1036.364158582581</v>
      </c>
      <c r="F1358" s="23">
        <f>AlphaC*(D1358-E1358)</f>
        <v>50.369715035213858</v>
      </c>
      <c r="G1358" s="13">
        <f>Phi*EpsilonF*Botzman/10^8*J1358*((D1358+273)^4-(E1358+273)^4)</f>
        <v>719.70447175067102</v>
      </c>
      <c r="H1358" s="23">
        <f t="shared" si="93"/>
        <v>650</v>
      </c>
      <c r="I1358" s="12">
        <f>ksh*Massivete/(H1358*RhoA)*DeltaT*(F1358+G1358)</f>
        <v>0.11358613153761687</v>
      </c>
      <c r="J1358" s="3">
        <f>IF(E1358&lt;=500,IF(Galva=Oui,0.35,0.7),0.7)</f>
        <v>0.7</v>
      </c>
    </row>
    <row r="1359" spans="2:10" x14ac:dyDescent="0.25">
      <c r="B1359" s="3">
        <f>B1358+DeltaT</f>
        <v>6710</v>
      </c>
      <c r="C1359" s="13">
        <f t="shared" si="90"/>
        <v>111.83333333333333</v>
      </c>
      <c r="D1359" s="11">
        <f t="shared" si="91"/>
        <v>1038.4905120411595</v>
      </c>
      <c r="E1359" s="23">
        <f t="shared" si="92"/>
        <v>1036.4777447141187</v>
      </c>
      <c r="F1359" s="23">
        <f>AlphaC*(D1359-E1359)</f>
        <v>50.319183176020488</v>
      </c>
      <c r="G1359" s="13">
        <f>Phi*EpsilonF*Botzman/10^8*J1359*((D1359+273)^4-(E1359+273)^4)</f>
        <v>719.16777126107331</v>
      </c>
      <c r="H1359" s="23">
        <f t="shared" si="93"/>
        <v>650</v>
      </c>
      <c r="I1359" s="12">
        <f>ksh*Massivete/(H1359*RhoA)*DeltaT*(F1359+G1359)</f>
        <v>0.11349951462205536</v>
      </c>
      <c r="J1359" s="3">
        <f>IF(E1359&lt;=500,IF(Galva=Oui,0.35,0.7),0.7)</f>
        <v>0.7</v>
      </c>
    </row>
    <row r="1360" spans="2:10" x14ac:dyDescent="0.25">
      <c r="B1360" s="3">
        <f>B1359+DeltaT</f>
        <v>6715</v>
      </c>
      <c r="C1360" s="13">
        <f t="shared" si="90"/>
        <v>111.91666666666667</v>
      </c>
      <c r="D1360" s="11">
        <f t="shared" si="91"/>
        <v>1038.6019938887555</v>
      </c>
      <c r="E1360" s="23">
        <f t="shared" si="92"/>
        <v>1036.5912442287408</v>
      </c>
      <c r="F1360" s="23">
        <f>AlphaC*(D1360-E1360)</f>
        <v>50.268741500366332</v>
      </c>
      <c r="G1360" s="13">
        <f>Phi*EpsilonF*Botzman/10^8*J1360*((D1360+273)^4-(E1360+273)^4)</f>
        <v>718.63188010669978</v>
      </c>
      <c r="H1360" s="23">
        <f t="shared" si="93"/>
        <v>650</v>
      </c>
      <c r="I1360" s="12">
        <f>ksh*Massivete/(H1360*RhoA)*DeltaT*(F1360+G1360)</f>
        <v>0.11341303038573221</v>
      </c>
      <c r="J1360" s="3">
        <f>IF(E1360&lt;=500,IF(Galva=Oui,0.35,0.7),0.7)</f>
        <v>0.7</v>
      </c>
    </row>
    <row r="1361" spans="2:10" x14ac:dyDescent="0.25">
      <c r="B1361" s="3">
        <f>B1360+DeltaT</f>
        <v>6720</v>
      </c>
      <c r="C1361" s="13">
        <f t="shared" si="90"/>
        <v>112</v>
      </c>
      <c r="D1361" s="11">
        <f t="shared" si="91"/>
        <v>1038.7133928502117</v>
      </c>
      <c r="E1361" s="23">
        <f t="shared" si="92"/>
        <v>1036.7046572591266</v>
      </c>
      <c r="F1361" s="23">
        <f>AlphaC*(D1361-E1361)</f>
        <v>50.218389777126049</v>
      </c>
      <c r="G1361" s="13">
        <f>Phi*EpsilonF*Botzman/10^8*J1361*((D1361+273)^4-(E1361+273)^4)</f>
        <v>718.09679644407777</v>
      </c>
      <c r="H1361" s="23">
        <f t="shared" si="93"/>
        <v>650</v>
      </c>
      <c r="I1361" s="12">
        <f>ksh*Massivete/(H1361*RhoA)*DeltaT*(F1361+G1361)</f>
        <v>0.11332667852264371</v>
      </c>
      <c r="J1361" s="3">
        <f>IF(E1361&lt;=500,IF(Galva=Oui,0.35,0.7),0.7)</f>
        <v>0.7</v>
      </c>
    </row>
    <row r="1362" spans="2:10" x14ac:dyDescent="0.25">
      <c r="B1362" s="3">
        <f>B1361+DeltaT</f>
        <v>6725</v>
      </c>
      <c r="C1362" s="13">
        <f t="shared" ref="C1362:C1425" si="94">B1362/60</f>
        <v>112.08333333333333</v>
      </c>
      <c r="D1362" s="11">
        <f t="shared" ref="D1362:D1425" si="95">20+345*LOG(8*C1362+1,10)</f>
        <v>1038.8247090486875</v>
      </c>
      <c r="E1362" s="23">
        <f t="shared" si="92"/>
        <v>1036.8179839376494</v>
      </c>
      <c r="F1362" s="23">
        <f>AlphaC*(D1362-E1362)</f>
        <v>50.168127775953053</v>
      </c>
      <c r="G1362" s="13">
        <f>Phi*EpsilonF*Botzman/10^8*J1362*((D1362+273)^4-(E1362+273)^4)</f>
        <v>717.56251843535483</v>
      </c>
      <c r="H1362" s="23">
        <f t="shared" si="93"/>
        <v>650</v>
      </c>
      <c r="I1362" s="12">
        <f>ksh*Massivete/(H1362*RhoA)*DeltaT*(F1362+G1362)</f>
        <v>0.11324045872772998</v>
      </c>
      <c r="J1362" s="3">
        <f>IF(E1362&lt;=500,IF(Galva=Oui,0.35,0.7),0.7)</f>
        <v>0.7</v>
      </c>
    </row>
    <row r="1363" spans="2:10" x14ac:dyDescent="0.25">
      <c r="B1363" s="3">
        <f>B1362+DeltaT</f>
        <v>6730</v>
      </c>
      <c r="C1363" s="13">
        <f t="shared" si="94"/>
        <v>112.16666666666667</v>
      </c>
      <c r="D1363" s="11">
        <f t="shared" si="95"/>
        <v>1038.9359426070678</v>
      </c>
      <c r="E1363" s="23">
        <f t="shared" si="92"/>
        <v>1036.931224396377</v>
      </c>
      <c r="F1363" s="23">
        <f>AlphaC*(D1363-E1363)</f>
        <v>50.117955267268144</v>
      </c>
      <c r="G1363" s="13">
        <f>Phi*EpsilonF*Botzman/10^8*J1363*((D1363+273)^4-(E1363+273)^4)</f>
        <v>717.0290442484345</v>
      </c>
      <c r="H1363" s="23">
        <f t="shared" si="93"/>
        <v>650</v>
      </c>
      <c r="I1363" s="12">
        <f>ksh*Massivete/(H1363*RhoA)*DeltaT*(F1363+G1363)</f>
        <v>0.11315437069689334</v>
      </c>
      <c r="J1363" s="3">
        <f>IF(E1363&lt;=500,IF(Galva=Oui,0.35,0.7),0.7)</f>
        <v>0.7</v>
      </c>
    </row>
    <row r="1364" spans="2:10" x14ac:dyDescent="0.25">
      <c r="B1364" s="3">
        <f>B1363+DeltaT</f>
        <v>6735</v>
      </c>
      <c r="C1364" s="13">
        <f t="shared" si="94"/>
        <v>112.25</v>
      </c>
      <c r="D1364" s="11">
        <f t="shared" si="95"/>
        <v>1039.0470936479637</v>
      </c>
      <c r="E1364" s="23">
        <f t="shared" si="92"/>
        <v>1037.044378767074</v>
      </c>
      <c r="F1364" s="23">
        <f>AlphaC*(D1364-E1364)</f>
        <v>50.067872022242454</v>
      </c>
      <c r="G1364" s="13">
        <f>Phi*EpsilonF*Botzman/10^8*J1364*((D1364+273)^4-(E1364+273)^4)</f>
        <v>716.49637205641386</v>
      </c>
      <c r="H1364" s="23">
        <f t="shared" si="93"/>
        <v>650</v>
      </c>
      <c r="I1364" s="12">
        <f>ksh*Massivete/(H1364*RhoA)*DeltaT*(F1364+G1364)</f>
        <v>0.11306841412691289</v>
      </c>
      <c r="J1364" s="3">
        <f>IF(E1364&lt;=500,IF(Galva=Oui,0.35,0.7),0.7)</f>
        <v>0.7</v>
      </c>
    </row>
    <row r="1365" spans="2:10" x14ac:dyDescent="0.25">
      <c r="B1365" s="3">
        <f>B1364+DeltaT</f>
        <v>6740</v>
      </c>
      <c r="C1365" s="13">
        <f t="shared" si="94"/>
        <v>112.33333333333333</v>
      </c>
      <c r="D1365" s="11">
        <f t="shared" si="95"/>
        <v>1039.1581622937147</v>
      </c>
      <c r="E1365" s="23">
        <f t="shared" si="92"/>
        <v>1037.157447181201</v>
      </c>
      <c r="F1365" s="23">
        <f>AlphaC*(D1365-E1365)</f>
        <v>50.017877812842926</v>
      </c>
      <c r="G1365" s="13">
        <f>Phi*EpsilonF*Botzman/10^8*J1365*((D1365+273)^4-(E1365+273)^4)</f>
        <v>715.96450003851419</v>
      </c>
      <c r="H1365" s="23">
        <f t="shared" si="93"/>
        <v>650</v>
      </c>
      <c r="I1365" s="12">
        <f>ksh*Massivete/(H1365*RhoA)*DeltaT*(F1365+G1365)</f>
        <v>0.11298258871558835</v>
      </c>
      <c r="J1365" s="3">
        <f>IF(E1365&lt;=500,IF(Galva=Oui,0.35,0.7),0.7)</f>
        <v>0.7</v>
      </c>
    </row>
    <row r="1366" spans="2:10" x14ac:dyDescent="0.25">
      <c r="B1366" s="3">
        <f>B1365+DeltaT</f>
        <v>6745</v>
      </c>
      <c r="C1366" s="13">
        <f t="shared" si="94"/>
        <v>112.41666666666667</v>
      </c>
      <c r="D1366" s="11">
        <f t="shared" si="95"/>
        <v>1039.2691486663871</v>
      </c>
      <c r="E1366" s="23">
        <f t="shared" si="92"/>
        <v>1037.2704297699165</v>
      </c>
      <c r="F1366" s="23">
        <f>AlphaC*(D1366-E1366)</f>
        <v>49.967972411764094</v>
      </c>
      <c r="G1366" s="13">
        <f>Phi*EpsilonF*Botzman/10^8*J1366*((D1366+273)^4-(E1366+273)^4)</f>
        <v>715.43342637901492</v>
      </c>
      <c r="H1366" s="23">
        <f t="shared" si="93"/>
        <v>650</v>
      </c>
      <c r="I1366" s="12">
        <f>ksh*Massivete/(H1366*RhoA)*DeltaT*(F1366+G1366)</f>
        <v>0.11289689416157291</v>
      </c>
      <c r="J1366" s="3">
        <f>IF(E1366&lt;=500,IF(Galva=Oui,0.35,0.7),0.7)</f>
        <v>0.7</v>
      </c>
    </row>
    <row r="1367" spans="2:10" x14ac:dyDescent="0.25">
      <c r="B1367" s="3">
        <f>B1366+DeltaT</f>
        <v>6750</v>
      </c>
      <c r="C1367" s="13">
        <f t="shared" si="94"/>
        <v>112.5</v>
      </c>
      <c r="D1367" s="11">
        <f t="shared" si="95"/>
        <v>1039.3800528877764</v>
      </c>
      <c r="E1367" s="23">
        <f t="shared" si="92"/>
        <v>1037.3833266640781</v>
      </c>
      <c r="F1367" s="23">
        <f>AlphaC*(D1367-E1367)</f>
        <v>49.918155592456515</v>
      </c>
      <c r="G1367" s="13">
        <f>Phi*EpsilonF*Botzman/10^8*J1367*((D1367+273)^4-(E1367+273)^4)</f>
        <v>714.9031492677575</v>
      </c>
      <c r="H1367" s="23">
        <f t="shared" si="93"/>
        <v>650</v>
      </c>
      <c r="I1367" s="12">
        <f>ksh*Massivete/(H1367*RhoA)*DeltaT*(F1367+G1367)</f>
        <v>0.11281133016445161</v>
      </c>
      <c r="J1367" s="3">
        <f>IF(E1367&lt;=500,IF(Galva=Oui,0.35,0.7),0.7)</f>
        <v>0.7</v>
      </c>
    </row>
    <row r="1368" spans="2:10" x14ac:dyDescent="0.25">
      <c r="B1368" s="3">
        <f>B1367+DeltaT</f>
        <v>6755</v>
      </c>
      <c r="C1368" s="13">
        <f t="shared" si="94"/>
        <v>112.58333333333333</v>
      </c>
      <c r="D1368" s="11">
        <f t="shared" si="95"/>
        <v>1039.4908750794093</v>
      </c>
      <c r="E1368" s="23">
        <f t="shared" si="92"/>
        <v>1037.4961379942426</v>
      </c>
      <c r="F1368" s="23">
        <f>AlphaC*(D1368-E1368)</f>
        <v>49.868427129166548</v>
      </c>
      <c r="G1368" s="13">
        <f>Phi*EpsilonF*Botzman/10^8*J1368*((D1368+273)^4-(E1368+273)^4)</f>
        <v>714.37366690064914</v>
      </c>
      <c r="H1368" s="23">
        <f t="shared" si="93"/>
        <v>650</v>
      </c>
      <c r="I1368" s="12">
        <f>ksh*Massivete/(H1368*RhoA)*DeltaT*(F1368+G1368)</f>
        <v>0.11272589642482163</v>
      </c>
      <c r="J1368" s="3">
        <f>IF(E1368&lt;=500,IF(Galva=Oui,0.35,0.7),0.7)</f>
        <v>0.7</v>
      </c>
    </row>
    <row r="1369" spans="2:10" x14ac:dyDescent="0.25">
      <c r="B1369" s="3">
        <f>B1368+DeltaT</f>
        <v>6760</v>
      </c>
      <c r="C1369" s="13">
        <f t="shared" si="94"/>
        <v>112.66666666666667</v>
      </c>
      <c r="D1369" s="11">
        <f t="shared" si="95"/>
        <v>1039.601615362541</v>
      </c>
      <c r="E1369" s="23">
        <f t="shared" si="92"/>
        <v>1037.6088638906674</v>
      </c>
      <c r="F1369" s="23">
        <f>AlphaC*(D1369-E1369)</f>
        <v>49.818786796839731</v>
      </c>
      <c r="G1369" s="13">
        <f>Phi*EpsilonF*Botzman/10^8*J1369*((D1369+273)^4-(E1369+273)^4)</f>
        <v>713.84497747836474</v>
      </c>
      <c r="H1369" s="23">
        <f t="shared" si="93"/>
        <v>650</v>
      </c>
      <c r="I1369" s="12">
        <f>ksh*Massivete/(H1369*RhoA)*DeltaT*(F1369+G1369)</f>
        <v>0.11264059264408648</v>
      </c>
      <c r="J1369" s="3">
        <f>IF(E1369&lt;=500,IF(Galva=Oui,0.35,0.7),0.7)</f>
        <v>0.7</v>
      </c>
    </row>
    <row r="1370" spans="2:10" x14ac:dyDescent="0.25">
      <c r="B1370" s="3">
        <f>B1369+DeltaT</f>
        <v>6765</v>
      </c>
      <c r="C1370" s="13">
        <f t="shared" si="94"/>
        <v>112.75</v>
      </c>
      <c r="D1370" s="11">
        <f t="shared" si="95"/>
        <v>1039.7122738581595</v>
      </c>
      <c r="E1370" s="23">
        <f t="shared" si="92"/>
        <v>1037.7215044833115</v>
      </c>
      <c r="F1370" s="23">
        <f>AlphaC*(D1370-E1370)</f>
        <v>49.769234371200355</v>
      </c>
      <c r="G1370" s="13">
        <f>Phi*EpsilonF*Botzman/10^8*J1370*((D1370+273)^4-(E1370+273)^4)</f>
        <v>713.31707920747044</v>
      </c>
      <c r="H1370" s="23">
        <f t="shared" si="93"/>
        <v>650</v>
      </c>
      <c r="I1370" s="12">
        <f>ksh*Massivete/(H1370*RhoA)*DeltaT*(F1370+G1370)</f>
        <v>0.11255541852463348</v>
      </c>
      <c r="J1370" s="3">
        <f>IF(E1370&lt;=500,IF(Galva=Oui,0.35,0.7),0.7)</f>
        <v>0.7</v>
      </c>
    </row>
    <row r="1371" spans="2:10" x14ac:dyDescent="0.25">
      <c r="B1371" s="3">
        <f>B1370+DeltaT</f>
        <v>6770</v>
      </c>
      <c r="C1371" s="13">
        <f t="shared" si="94"/>
        <v>112.83333333333333</v>
      </c>
      <c r="D1371" s="11">
        <f t="shared" si="95"/>
        <v>1039.8228506869837</v>
      </c>
      <c r="E1371" s="23">
        <f t="shared" si="92"/>
        <v>1037.8340599018361</v>
      </c>
      <c r="F1371" s="23">
        <f>AlphaC*(D1371-E1371)</f>
        <v>49.719769628688937</v>
      </c>
      <c r="G1371" s="13">
        <f>Phi*EpsilonF*Botzman/10^8*J1371*((D1371+273)^4-(E1371+273)^4)</f>
        <v>712.7899702996101</v>
      </c>
      <c r="H1371" s="23">
        <f t="shared" si="93"/>
        <v>650</v>
      </c>
      <c r="I1371" s="12">
        <f>ksh*Massivete/(H1371*RhoA)*DeltaT*(F1371+G1371)</f>
        <v>0.11247037376970462</v>
      </c>
      <c r="J1371" s="3">
        <f>IF(E1371&lt;=500,IF(Galva=Oui,0.35,0.7),0.7)</f>
        <v>0.7</v>
      </c>
    </row>
    <row r="1372" spans="2:10" x14ac:dyDescent="0.25">
      <c r="B1372" s="3">
        <f>B1371+DeltaT</f>
        <v>6775</v>
      </c>
      <c r="C1372" s="13">
        <f t="shared" si="94"/>
        <v>112.91666666666667</v>
      </c>
      <c r="D1372" s="11">
        <f t="shared" si="95"/>
        <v>1039.9333459694672</v>
      </c>
      <c r="E1372" s="23">
        <f t="shared" si="92"/>
        <v>1037.9465302756057</v>
      </c>
      <c r="F1372" s="23">
        <f>AlphaC*(D1372-E1372)</f>
        <v>49.670392346536119</v>
      </c>
      <c r="G1372" s="13">
        <f>Phi*EpsilonF*Botzman/10^8*J1372*((D1372+273)^4-(E1372+273)^4)</f>
        <v>712.26364897247413</v>
      </c>
      <c r="H1372" s="23">
        <f t="shared" si="93"/>
        <v>650</v>
      </c>
      <c r="I1372" s="12">
        <f>ksh*Massivete/(H1372*RhoA)*DeltaT*(F1372+G1372)</f>
        <v>0.11238545808355024</v>
      </c>
      <c r="J1372" s="3">
        <f>IF(E1372&lt;=500,IF(Galva=Oui,0.35,0.7),0.7)</f>
        <v>0.7</v>
      </c>
    </row>
    <row r="1373" spans="2:10" x14ac:dyDescent="0.25">
      <c r="B1373" s="3">
        <f>B1372+DeltaT</f>
        <v>6780</v>
      </c>
      <c r="C1373" s="13">
        <f t="shared" si="94"/>
        <v>113</v>
      </c>
      <c r="D1373" s="11">
        <f t="shared" si="95"/>
        <v>1040.043759825795</v>
      </c>
      <c r="E1373" s="23">
        <f t="shared" si="92"/>
        <v>1038.0589157336892</v>
      </c>
      <c r="F1373" s="23">
        <f>AlphaC*(D1373-E1373)</f>
        <v>49.621102302643294</v>
      </c>
      <c r="G1373" s="13">
        <f>Phi*EpsilonF*Botzman/10^8*J1373*((D1373+273)^4-(E1373+273)^4)</f>
        <v>711.73811344828766</v>
      </c>
      <c r="H1373" s="23">
        <f t="shared" si="93"/>
        <v>650</v>
      </c>
      <c r="I1373" s="12">
        <f>ksh*Massivete/(H1373*RhoA)*DeltaT*(F1373+G1373)</f>
        <v>0.11230067117118851</v>
      </c>
      <c r="J1373" s="3">
        <f>IF(E1373&lt;=500,IF(Galva=Oui,0.35,0.7),0.7)</f>
        <v>0.7</v>
      </c>
    </row>
    <row r="1374" spans="2:10" x14ac:dyDescent="0.25">
      <c r="B1374" s="3">
        <f>B1373+DeltaT</f>
        <v>6785</v>
      </c>
      <c r="C1374" s="13">
        <f t="shared" si="94"/>
        <v>113.08333333333333</v>
      </c>
      <c r="D1374" s="11">
        <f t="shared" si="95"/>
        <v>1040.1540923758887</v>
      </c>
      <c r="E1374" s="23">
        <f t="shared" si="92"/>
        <v>1038.1712164048604</v>
      </c>
      <c r="F1374" s="23">
        <f>AlphaC*(D1374-E1374)</f>
        <v>49.571899275707665</v>
      </c>
      <c r="G1374" s="13">
        <f>Phi*EpsilonF*Botzman/10^8*J1374*((D1374+273)^4-(E1374+273)^4)</f>
        <v>711.2133619554387</v>
      </c>
      <c r="H1374" s="23">
        <f t="shared" si="93"/>
        <v>650</v>
      </c>
      <c r="I1374" s="12">
        <f>ksh*Massivete/(H1374*RhoA)*DeltaT*(F1374+G1374)</f>
        <v>0.11221601273866404</v>
      </c>
      <c r="J1374" s="3">
        <f>IF(E1374&lt;=500,IF(Galva=Oui,0.35,0.7),0.7)</f>
        <v>0.7</v>
      </c>
    </row>
    <row r="1375" spans="2:10" x14ac:dyDescent="0.25">
      <c r="B1375" s="3">
        <f>B1374+DeltaT</f>
        <v>6790</v>
      </c>
      <c r="C1375" s="13">
        <f t="shared" si="94"/>
        <v>113.16666666666667</v>
      </c>
      <c r="D1375" s="11">
        <f t="shared" si="95"/>
        <v>1040.2643437394038</v>
      </c>
      <c r="E1375" s="23">
        <f t="shared" si="92"/>
        <v>1038.283432417599</v>
      </c>
      <c r="F1375" s="23">
        <f>AlphaC*(D1375-E1375)</f>
        <v>49.522783045119922</v>
      </c>
      <c r="G1375" s="13">
        <f>Phi*EpsilonF*Botzman/10^8*J1375*((D1375+273)^4-(E1375+273)^4)</f>
        <v>710.68939272717955</v>
      </c>
      <c r="H1375" s="23">
        <f t="shared" si="93"/>
        <v>650</v>
      </c>
      <c r="I1375" s="12">
        <f>ksh*Massivete/(H1375*RhoA)*DeltaT*(F1375+G1375)</f>
        <v>0.11213148249284113</v>
      </c>
      <c r="J1375" s="3">
        <f>IF(E1375&lt;=500,IF(Galva=Oui,0.35,0.7),0.7)</f>
        <v>0.7</v>
      </c>
    </row>
    <row r="1376" spans="2:10" x14ac:dyDescent="0.25">
      <c r="B1376" s="3">
        <f>B1375+DeltaT</f>
        <v>6795</v>
      </c>
      <c r="C1376" s="13">
        <f t="shared" si="94"/>
        <v>113.25</v>
      </c>
      <c r="D1376" s="11">
        <f t="shared" si="95"/>
        <v>1040.3745140357328</v>
      </c>
      <c r="E1376" s="23">
        <f t="shared" si="92"/>
        <v>1038.3955639000919</v>
      </c>
      <c r="F1376" s="23">
        <f>AlphaC*(D1376-E1376)</f>
        <v>49.473753391021091</v>
      </c>
      <c r="G1376" s="13">
        <f>Phi*EpsilonF*Botzman/10^8*J1376*((D1376+273)^4-(E1376+273)^4)</f>
        <v>710.16620400232466</v>
      </c>
      <c r="H1376" s="23">
        <f t="shared" si="93"/>
        <v>650</v>
      </c>
      <c r="I1376" s="12">
        <f>ksh*Massivete/(H1376*RhoA)*DeltaT*(F1376+G1376)</f>
        <v>0.11204708014151528</v>
      </c>
      <c r="J1376" s="3">
        <f>IF(E1376&lt;=500,IF(Galva=Oui,0.35,0.7),0.7)</f>
        <v>0.7</v>
      </c>
    </row>
    <row r="1377" spans="2:10" x14ac:dyDescent="0.25">
      <c r="B1377" s="3">
        <f>B1376+DeltaT</f>
        <v>6800</v>
      </c>
      <c r="C1377" s="13">
        <f t="shared" si="94"/>
        <v>113.33333333333333</v>
      </c>
      <c r="D1377" s="11">
        <f t="shared" si="95"/>
        <v>1040.4846033840042</v>
      </c>
      <c r="E1377" s="23">
        <f t="shared" si="92"/>
        <v>1038.5076109802335</v>
      </c>
      <c r="F1377" s="23">
        <f>AlphaC*(D1377-E1377)</f>
        <v>49.424810094268423</v>
      </c>
      <c r="G1377" s="13">
        <f>Phi*EpsilonF*Botzman/10^8*J1377*((D1377+273)^4-(E1377+273)^4)</f>
        <v>709.64379402497923</v>
      </c>
      <c r="H1377" s="23">
        <f t="shared" si="93"/>
        <v>650</v>
      </c>
      <c r="I1377" s="12">
        <f>ksh*Massivete/(H1377*RhoA)*DeltaT*(F1377+G1377)</f>
        <v>0.11196280539336792</v>
      </c>
      <c r="J1377" s="3">
        <f>IF(E1377&lt;=500,IF(Galva=Oui,0.35,0.7),0.7)</f>
        <v>0.7</v>
      </c>
    </row>
    <row r="1378" spans="2:10" x14ac:dyDescent="0.25">
      <c r="B1378" s="3">
        <f>B1377+DeltaT</f>
        <v>6805</v>
      </c>
      <c r="C1378" s="13">
        <f t="shared" si="94"/>
        <v>113.41666666666667</v>
      </c>
      <c r="D1378" s="11">
        <f t="shared" si="95"/>
        <v>1040.5946119030843</v>
      </c>
      <c r="E1378" s="23">
        <f t="shared" si="92"/>
        <v>1038.6195737856269</v>
      </c>
      <c r="F1378" s="23">
        <f>AlphaC*(D1378-E1378)</f>
        <v>49.375952936435397</v>
      </c>
      <c r="G1378" s="13">
        <f>Phi*EpsilonF*Botzman/10^8*J1378*((D1378+273)^4-(E1378+273)^4)</f>
        <v>709.12216104434503</v>
      </c>
      <c r="H1378" s="23">
        <f t="shared" si="93"/>
        <v>650</v>
      </c>
      <c r="I1378" s="12">
        <f>ksh*Massivete/(H1378*RhoA)*DeltaT*(F1378+G1378)</f>
        <v>0.11187865795793796</v>
      </c>
      <c r="J1378" s="3">
        <f>IF(E1378&lt;=500,IF(Galva=Oui,0.35,0.7),0.7)</f>
        <v>0.7</v>
      </c>
    </row>
    <row r="1379" spans="2:10" x14ac:dyDescent="0.25">
      <c r="B1379" s="3">
        <f>B1378+DeltaT</f>
        <v>6810</v>
      </c>
      <c r="C1379" s="13">
        <f t="shared" si="94"/>
        <v>113.5</v>
      </c>
      <c r="D1379" s="11">
        <f t="shared" si="95"/>
        <v>1040.7045397115785</v>
      </c>
      <c r="E1379" s="23">
        <f t="shared" si="92"/>
        <v>1038.7314524435849</v>
      </c>
      <c r="F1379" s="23">
        <f>AlphaC*(D1379-E1379)</f>
        <v>49.327181699840139</v>
      </c>
      <c r="G1379" s="13">
        <f>Phi*EpsilonF*Botzman/10^8*J1379*((D1379+273)^4-(E1379+273)^4)</f>
        <v>708.60130331526386</v>
      </c>
      <c r="H1379" s="23">
        <f t="shared" si="93"/>
        <v>650</v>
      </c>
      <c r="I1379" s="12">
        <f>ksh*Massivete/(H1379*RhoA)*DeltaT*(F1379+G1379)</f>
        <v>0.11179463754570597</v>
      </c>
      <c r="J1379" s="3">
        <f>IF(E1379&lt;=500,IF(Galva=Oui,0.35,0.7),0.7)</f>
        <v>0.7</v>
      </c>
    </row>
    <row r="1380" spans="2:10" x14ac:dyDescent="0.25">
      <c r="B1380" s="3">
        <f>B1379+DeltaT</f>
        <v>6815</v>
      </c>
      <c r="C1380" s="13">
        <f t="shared" si="94"/>
        <v>113.58333333333333</v>
      </c>
      <c r="D1380" s="11">
        <f t="shared" si="95"/>
        <v>1040.8143869278306</v>
      </c>
      <c r="E1380" s="23">
        <f t="shared" si="92"/>
        <v>1038.8432470811306</v>
      </c>
      <c r="F1380" s="23">
        <f>AlphaC*(D1380-E1380)</f>
        <v>49.278496167499952</v>
      </c>
      <c r="G1380" s="13">
        <f>Phi*EpsilonF*Botzman/10^8*J1380*((D1380+273)^4-(E1380+273)^4)</f>
        <v>708.08121909765464</v>
      </c>
      <c r="H1380" s="23">
        <f t="shared" si="93"/>
        <v>650</v>
      </c>
      <c r="I1380" s="12">
        <f>ksh*Massivete/(H1380*RhoA)*DeltaT*(F1380+G1380)</f>
        <v>0.11171074386800459</v>
      </c>
      <c r="J1380" s="3">
        <f>IF(E1380&lt;=500,IF(Galva=Oui,0.35,0.7),0.7)</f>
        <v>0.7</v>
      </c>
    </row>
    <row r="1381" spans="2:10" x14ac:dyDescent="0.25">
      <c r="B1381" s="3">
        <f>B1380+DeltaT</f>
        <v>6820</v>
      </c>
      <c r="C1381" s="13">
        <f t="shared" si="94"/>
        <v>113.66666666666667</v>
      </c>
      <c r="D1381" s="11">
        <f t="shared" si="95"/>
        <v>1040.9241536699244</v>
      </c>
      <c r="E1381" s="23">
        <f t="shared" si="92"/>
        <v>1038.9549578249987</v>
      </c>
      <c r="F1381" s="23">
        <f>AlphaC*(D1381-E1381)</f>
        <v>49.22989612314268</v>
      </c>
      <c r="G1381" s="13">
        <f>Phi*EpsilonF*Botzman/10^8*J1381*((D1381+273)^4-(E1381+273)^4)</f>
        <v>707.561906656514</v>
      </c>
      <c r="H1381" s="23">
        <f t="shared" si="93"/>
        <v>650</v>
      </c>
      <c r="I1381" s="12">
        <f>ksh*Massivete/(H1381*RhoA)*DeltaT*(F1381+G1381)</f>
        <v>0.11162697663702018</v>
      </c>
      <c r="J1381" s="3">
        <f>IF(E1381&lt;=500,IF(Galva=Oui,0.35,0.7),0.7)</f>
        <v>0.7</v>
      </c>
    </row>
    <row r="1382" spans="2:10" x14ac:dyDescent="0.25">
      <c r="B1382" s="3">
        <f>B1381+DeltaT</f>
        <v>6825</v>
      </c>
      <c r="C1382" s="13">
        <f t="shared" si="94"/>
        <v>113.75</v>
      </c>
      <c r="D1382" s="11">
        <f t="shared" si="95"/>
        <v>1041.0338400556843</v>
      </c>
      <c r="E1382" s="23">
        <f t="shared" si="92"/>
        <v>1039.0665848016358</v>
      </c>
      <c r="F1382" s="23">
        <f>AlphaC*(D1382-E1382)</f>
        <v>49.181381351212394</v>
      </c>
      <c r="G1382" s="13">
        <f>Phi*EpsilonF*Botzman/10^8*J1382*((D1382+273)^4-(E1382+273)^4)</f>
        <v>707.04336426214877</v>
      </c>
      <c r="H1382" s="23">
        <f t="shared" si="93"/>
        <v>650</v>
      </c>
      <c r="I1382" s="12">
        <f>ksh*Massivete/(H1382*RhoA)*DeltaT*(F1382+G1382)</f>
        <v>0.11154333556582803</v>
      </c>
      <c r="J1382" s="3">
        <f>IF(E1382&lt;=500,IF(Galva=Oui,0.35,0.7),0.7)</f>
        <v>0.7</v>
      </c>
    </row>
    <row r="1383" spans="2:10" x14ac:dyDescent="0.25">
      <c r="B1383" s="3">
        <f>B1382+DeltaT</f>
        <v>6830</v>
      </c>
      <c r="C1383" s="13">
        <f t="shared" si="94"/>
        <v>113.83333333333333</v>
      </c>
      <c r="D1383" s="11">
        <f t="shared" si="95"/>
        <v>1041.1434462026764</v>
      </c>
      <c r="E1383" s="23">
        <f t="shared" si="92"/>
        <v>1039.1781281372016</v>
      </c>
      <c r="F1383" s="23">
        <f>AlphaC*(D1383-E1383)</f>
        <v>49.132951636869393</v>
      </c>
      <c r="G1383" s="13">
        <f>Phi*EpsilonF*Botzman/10^8*J1383*((D1383+273)^4-(E1383+273)^4)</f>
        <v>706.52559019027251</v>
      </c>
      <c r="H1383" s="23">
        <f t="shared" si="93"/>
        <v>650</v>
      </c>
      <c r="I1383" s="12">
        <f>ksh*Massivete/(H1383*RhoA)*DeltaT*(F1383+G1383)</f>
        <v>0.11145982036840657</v>
      </c>
      <c r="J1383" s="3">
        <f>IF(E1383&lt;=500,IF(Galva=Oui,0.35,0.7),0.7)</f>
        <v>0.7</v>
      </c>
    </row>
    <row r="1384" spans="2:10" x14ac:dyDescent="0.25">
      <c r="B1384" s="3">
        <f>B1383+DeltaT</f>
        <v>6835</v>
      </c>
      <c r="C1384" s="13">
        <f t="shared" si="94"/>
        <v>113.91666666666667</v>
      </c>
      <c r="D1384" s="11">
        <f t="shared" si="95"/>
        <v>1041.252972228209</v>
      </c>
      <c r="E1384" s="23">
        <f t="shared" si="92"/>
        <v>1039.2895879575701</v>
      </c>
      <c r="F1384" s="23">
        <f>AlphaC*(D1384-E1384)</f>
        <v>49.084606765973149</v>
      </c>
      <c r="G1384" s="13">
        <f>Phi*EpsilonF*Botzman/10^8*J1384*((D1384+273)^4-(E1384+273)^4)</f>
        <v>706.00858272150197</v>
      </c>
      <c r="H1384" s="23">
        <f t="shared" si="93"/>
        <v>650</v>
      </c>
      <c r="I1384" s="12">
        <f>ksh*Massivete/(H1384*RhoA)*DeltaT*(F1384+G1384)</f>
        <v>0.11137643075956055</v>
      </c>
      <c r="J1384" s="3">
        <f>IF(E1384&lt;=500,IF(Galva=Oui,0.35,0.7),0.7)</f>
        <v>0.7</v>
      </c>
    </row>
    <row r="1385" spans="2:10" x14ac:dyDescent="0.25">
      <c r="B1385" s="3">
        <f>B1384+DeltaT</f>
        <v>6840</v>
      </c>
      <c r="C1385" s="13">
        <f t="shared" si="94"/>
        <v>114</v>
      </c>
      <c r="D1385" s="11">
        <f t="shared" si="95"/>
        <v>1041.3624182493331</v>
      </c>
      <c r="E1385" s="23">
        <f t="shared" si="92"/>
        <v>1039.4009643883296</v>
      </c>
      <c r="F1385" s="23">
        <f>AlphaC*(D1385-E1385)</f>
        <v>49.036346525087993</v>
      </c>
      <c r="G1385" s="13">
        <f>Phi*EpsilonF*Botzman/10^8*J1385*((D1385+273)^4-(E1385+273)^4)</f>
        <v>705.49234014180297</v>
      </c>
      <c r="H1385" s="23">
        <f t="shared" si="93"/>
        <v>650</v>
      </c>
      <c r="I1385" s="12">
        <f>ksh*Massivete/(H1385*RhoA)*DeltaT*(F1385+G1385)</f>
        <v>0.1112931664549877</v>
      </c>
      <c r="J1385" s="3">
        <f>IF(E1385&lt;=500,IF(Galva=Oui,0.35,0.7),0.7)</f>
        <v>0.7</v>
      </c>
    </row>
    <row r="1386" spans="2:10" x14ac:dyDescent="0.25">
      <c r="B1386" s="3">
        <f>B1385+DeltaT</f>
        <v>6845</v>
      </c>
      <c r="C1386" s="13">
        <f t="shared" si="94"/>
        <v>114.08333333333333</v>
      </c>
      <c r="D1386" s="11">
        <f t="shared" si="95"/>
        <v>1041.4717843828435</v>
      </c>
      <c r="E1386" s="23">
        <f t="shared" si="92"/>
        <v>1039.5122575547846</v>
      </c>
      <c r="F1386" s="23">
        <f>AlphaC*(D1386-E1386)</f>
        <v>48.988170701471745</v>
      </c>
      <c r="G1386" s="13">
        <f>Phi*EpsilonF*Botzman/10^8*J1386*((D1386+273)^4-(E1386+273)^4)</f>
        <v>704.97686074208286</v>
      </c>
      <c r="H1386" s="23">
        <f t="shared" si="93"/>
        <v>650</v>
      </c>
      <c r="I1386" s="12">
        <f>ksh*Massivete/(H1386*RhoA)*DeltaT*(F1386+G1386)</f>
        <v>0.11121002717121692</v>
      </c>
      <c r="J1386" s="3">
        <f>IF(E1386&lt;=500,IF(Galva=Oui,0.35,0.7),0.7)</f>
        <v>0.7</v>
      </c>
    </row>
    <row r="1387" spans="2:10" x14ac:dyDescent="0.25">
      <c r="B1387" s="3">
        <f>B1386+DeltaT</f>
        <v>6850</v>
      </c>
      <c r="C1387" s="13">
        <f t="shared" si="94"/>
        <v>114.16666666666667</v>
      </c>
      <c r="D1387" s="11">
        <f t="shared" si="95"/>
        <v>1041.5810707452792</v>
      </c>
      <c r="E1387" s="23">
        <f t="shared" si="92"/>
        <v>1039.6234675819558</v>
      </c>
      <c r="F1387" s="23">
        <f>AlphaC*(D1387-E1387)</f>
        <v>48.940079083087085</v>
      </c>
      <c r="G1387" s="13">
        <f>Phi*EpsilonF*Botzman/10^8*J1387*((D1387+273)^4-(E1387+273)^4)</f>
        <v>704.46214281857863</v>
      </c>
      <c r="H1387" s="23">
        <f t="shared" si="93"/>
        <v>650</v>
      </c>
      <c r="I1387" s="12">
        <f>ksh*Massivete/(H1387*RhoA)*DeltaT*(F1387+G1387)</f>
        <v>0.11112701262566718</v>
      </c>
      <c r="J1387" s="3">
        <f>IF(E1387&lt;=500,IF(Galva=Oui,0.35,0.7),0.7)</f>
        <v>0.7</v>
      </c>
    </row>
    <row r="1388" spans="2:10" x14ac:dyDescent="0.25">
      <c r="B1388" s="3">
        <f>B1387+DeltaT</f>
        <v>6855</v>
      </c>
      <c r="C1388" s="13">
        <f t="shared" si="94"/>
        <v>114.25</v>
      </c>
      <c r="D1388" s="11">
        <f t="shared" si="95"/>
        <v>1041.6902774529244</v>
      </c>
      <c r="E1388" s="23">
        <f t="shared" si="92"/>
        <v>1039.7345945945815</v>
      </c>
      <c r="F1388" s="23">
        <f>AlphaC*(D1388-E1388)</f>
        <v>48.892071458573128</v>
      </c>
      <c r="G1388" s="13">
        <f>Phi*EpsilonF*Botzman/10^8*J1388*((D1388+273)^4-(E1388+273)^4)</f>
        <v>703.94818467229493</v>
      </c>
      <c r="H1388" s="23">
        <f t="shared" si="93"/>
        <v>650</v>
      </c>
      <c r="I1388" s="12">
        <f>ksh*Massivete/(H1388*RhoA)*DeltaT*(F1388+G1388)</f>
        <v>0.11104412253656047</v>
      </c>
      <c r="J1388" s="3">
        <f>IF(E1388&lt;=500,IF(Galva=Oui,0.35,0.7),0.7)</f>
        <v>0.7</v>
      </c>
    </row>
    <row r="1389" spans="2:10" x14ac:dyDescent="0.25">
      <c r="B1389" s="3">
        <f>B1388+DeltaT</f>
        <v>6860</v>
      </c>
      <c r="C1389" s="13">
        <f t="shared" si="94"/>
        <v>114.33333333333333</v>
      </c>
      <c r="D1389" s="11">
        <f t="shared" si="95"/>
        <v>1041.7994046218103</v>
      </c>
      <c r="E1389" s="23">
        <f t="shared" si="92"/>
        <v>1039.8456387171182</v>
      </c>
      <c r="F1389" s="23">
        <f>AlphaC*(D1389-E1389)</f>
        <v>48.844147617302269</v>
      </c>
      <c r="G1389" s="13">
        <f>Phi*EpsilonF*Botzman/10^8*J1389*((D1389+273)^4-(E1389+273)^4)</f>
        <v>703.43498460985609</v>
      </c>
      <c r="H1389" s="23">
        <f t="shared" si="93"/>
        <v>650</v>
      </c>
      <c r="I1389" s="12">
        <f>ksh*Massivete/(H1389*RhoA)*DeltaT*(F1389+G1389)</f>
        <v>0.11096135662305584</v>
      </c>
      <c r="J1389" s="3">
        <f>IF(E1389&lt;=500,IF(Galva=Oui,0.35,0.7),0.7)</f>
        <v>0.7</v>
      </c>
    </row>
    <row r="1390" spans="2:10" x14ac:dyDescent="0.25">
      <c r="B1390" s="3">
        <f>B1389+DeltaT</f>
        <v>6865</v>
      </c>
      <c r="C1390" s="13">
        <f t="shared" si="94"/>
        <v>114.41666666666667</v>
      </c>
      <c r="D1390" s="11">
        <f t="shared" si="95"/>
        <v>1041.9084523677129</v>
      </c>
      <c r="E1390" s="23">
        <f t="shared" si="92"/>
        <v>1039.9566000737411</v>
      </c>
      <c r="F1390" s="23">
        <f>AlphaC*(D1390-E1390)</f>
        <v>48.796307349294921</v>
      </c>
      <c r="G1390" s="13">
        <f>Phi*EpsilonF*Botzman/10^8*J1390*((D1390+273)^4-(E1390+273)^4)</f>
        <v>702.92254094253803</v>
      </c>
      <c r="H1390" s="23">
        <f t="shared" si="93"/>
        <v>650</v>
      </c>
      <c r="I1390" s="12">
        <f>ksh*Massivete/(H1390*RhoA)*DeltaT*(F1390+G1390)</f>
        <v>0.11087871460509402</v>
      </c>
      <c r="J1390" s="3">
        <f>IF(E1390&lt;=500,IF(Galva=Oui,0.35,0.7),0.7)</f>
        <v>0.7</v>
      </c>
    </row>
    <row r="1391" spans="2:10" x14ac:dyDescent="0.25">
      <c r="B1391" s="3">
        <f>B1390+DeltaT</f>
        <v>6870</v>
      </c>
      <c r="C1391" s="13">
        <f t="shared" si="94"/>
        <v>114.5</v>
      </c>
      <c r="D1391" s="11">
        <f t="shared" si="95"/>
        <v>1042.0174208061571</v>
      </c>
      <c r="E1391" s="23">
        <f t="shared" si="92"/>
        <v>1040.0674787883463</v>
      </c>
      <c r="F1391" s="23">
        <f>AlphaC*(D1391-E1391)</f>
        <v>48.748550445270666</v>
      </c>
      <c r="G1391" s="13">
        <f>Phi*EpsilonF*Botzman/10^8*J1391*((D1391+273)^4-(E1391+273)^4)</f>
        <v>702.41085198663586</v>
      </c>
      <c r="H1391" s="23">
        <f t="shared" si="93"/>
        <v>650</v>
      </c>
      <c r="I1391" s="12">
        <f>ksh*Massivete/(H1391*RhoA)*DeltaT*(F1391+G1391)</f>
        <v>0.11079619620345924</v>
      </c>
      <c r="J1391" s="3">
        <f>IF(E1391&lt;=500,IF(Galva=Oui,0.35,0.7),0.7)</f>
        <v>0.7</v>
      </c>
    </row>
    <row r="1392" spans="2:10" x14ac:dyDescent="0.25">
      <c r="B1392" s="3">
        <f>B1391+DeltaT</f>
        <v>6875</v>
      </c>
      <c r="C1392" s="13">
        <f t="shared" si="94"/>
        <v>114.58333333333333</v>
      </c>
      <c r="D1392" s="11">
        <f t="shared" si="95"/>
        <v>1042.1263100524152</v>
      </c>
      <c r="E1392" s="23">
        <f t="shared" si="92"/>
        <v>1040.1782749845497</v>
      </c>
      <c r="F1392" s="23">
        <f>AlphaC*(D1392-E1392)</f>
        <v>48.700876696636897</v>
      </c>
      <c r="G1392" s="13">
        <f>Phi*EpsilonF*Botzman/10^8*J1392*((D1392+273)^4-(E1392+273)^4)</f>
        <v>701.89991606377419</v>
      </c>
      <c r="H1392" s="23">
        <f t="shared" si="93"/>
        <v>650</v>
      </c>
      <c r="I1392" s="12">
        <f>ksh*Massivete/(H1392*RhoA)*DeltaT*(F1392+G1392)</f>
        <v>0.11071380113982324</v>
      </c>
      <c r="J1392" s="3">
        <f>IF(E1392&lt;=500,IF(Galva=Oui,0.35,0.7),0.7)</f>
        <v>0.7</v>
      </c>
    </row>
    <row r="1393" spans="2:10" x14ac:dyDescent="0.25">
      <c r="B1393" s="3">
        <f>B1392+DeltaT</f>
        <v>6880</v>
      </c>
      <c r="C1393" s="13">
        <f t="shared" si="94"/>
        <v>114.66666666666667</v>
      </c>
      <c r="D1393" s="11">
        <f t="shared" si="95"/>
        <v>1042.2351202215086</v>
      </c>
      <c r="E1393" s="23">
        <f t="shared" si="92"/>
        <v>1040.2889887856895</v>
      </c>
      <c r="F1393" s="23">
        <f>AlphaC*(D1393-E1393)</f>
        <v>48.653285895477438</v>
      </c>
      <c r="G1393" s="13">
        <f>Phi*EpsilonF*Botzman/10^8*J1393*((D1393+273)^4-(E1393+273)^4)</f>
        <v>701.38973150030643</v>
      </c>
      <c r="H1393" s="23">
        <f t="shared" si="93"/>
        <v>650</v>
      </c>
      <c r="I1393" s="12">
        <f>ksh*Massivete/(H1393*RhoA)*DeltaT*(F1393+G1393)</f>
        <v>0.11063152913665504</v>
      </c>
      <c r="J1393" s="3">
        <f>IF(E1393&lt;=500,IF(Galva=Oui,0.35,0.7),0.7)</f>
        <v>0.7</v>
      </c>
    </row>
    <row r="1394" spans="2:10" x14ac:dyDescent="0.25">
      <c r="B1394" s="3">
        <f>B1393+DeltaT</f>
        <v>6885</v>
      </c>
      <c r="C1394" s="13">
        <f t="shared" si="94"/>
        <v>114.75</v>
      </c>
      <c r="D1394" s="11">
        <f t="shared" si="95"/>
        <v>1042.3438514282084</v>
      </c>
      <c r="E1394" s="23">
        <f t="shared" si="92"/>
        <v>1040.3996203148263</v>
      </c>
      <c r="F1394" s="23">
        <f>AlphaC*(D1394-E1394)</f>
        <v>48.605777834552555</v>
      </c>
      <c r="G1394" s="13">
        <f>Phi*EpsilonF*Botzman/10^8*J1394*((D1394+273)^4-(E1394+273)^4)</f>
        <v>700.8802966276246</v>
      </c>
      <c r="H1394" s="23">
        <f t="shared" si="93"/>
        <v>650</v>
      </c>
      <c r="I1394" s="12">
        <f>ksh*Massivete/(H1394*RhoA)*DeltaT*(F1394+G1394)</f>
        <v>0.11054937991726667</v>
      </c>
      <c r="J1394" s="3">
        <f>IF(E1394&lt;=500,IF(Galva=Oui,0.35,0.7),0.7)</f>
        <v>0.7</v>
      </c>
    </row>
    <row r="1395" spans="2:10" x14ac:dyDescent="0.25">
      <c r="B1395" s="3">
        <f>B1394+DeltaT</f>
        <v>6890</v>
      </c>
      <c r="C1395" s="13">
        <f t="shared" si="94"/>
        <v>114.83333333333333</v>
      </c>
      <c r="D1395" s="11">
        <f t="shared" si="95"/>
        <v>1042.4525037870353</v>
      </c>
      <c r="E1395" s="23">
        <f t="shared" si="92"/>
        <v>1040.5101696947436</v>
      </c>
      <c r="F1395" s="23">
        <f>AlphaC*(D1395-E1395)</f>
        <v>48.558352307293262</v>
      </c>
      <c r="G1395" s="13">
        <f>Phi*EpsilonF*Botzman/10^8*J1395*((D1395+273)^4-(E1395+273)^4)</f>
        <v>700.37160978214013</v>
      </c>
      <c r="H1395" s="23">
        <f t="shared" si="93"/>
        <v>650</v>
      </c>
      <c r="I1395" s="12">
        <f>ksh*Massivete/(H1395*RhoA)*DeltaT*(F1395+G1395)</f>
        <v>0.11046735320580942</v>
      </c>
      <c r="J1395" s="3">
        <f>IF(E1395&lt;=500,IF(Galva=Oui,0.35,0.7),0.7)</f>
        <v>0.7</v>
      </c>
    </row>
    <row r="1396" spans="2:10" x14ac:dyDescent="0.25">
      <c r="B1396" s="3">
        <f>B1395+DeltaT</f>
        <v>6895</v>
      </c>
      <c r="C1396" s="13">
        <f t="shared" si="94"/>
        <v>114.91666666666667</v>
      </c>
      <c r="D1396" s="11">
        <f t="shared" si="95"/>
        <v>1042.5610774122624</v>
      </c>
      <c r="E1396" s="23">
        <f t="shared" ref="E1396:E1459" si="96">E1395+I1395</f>
        <v>1040.6206370479495</v>
      </c>
      <c r="F1396" s="23">
        <f>AlphaC*(D1396-E1396)</f>
        <v>48.511009107824066</v>
      </c>
      <c r="G1396" s="13">
        <f>Phi*EpsilonF*Botzman/10^8*J1396*((D1396+273)^4-(E1396+273)^4)</f>
        <v>699.86366930534223</v>
      </c>
      <c r="H1396" s="23">
        <f t="shared" ref="H1396:H1459" si="97">IF(E1396&lt;600,425+0.773*E1396-1.69/1000*E1396^2+2.22/1000^2*E1396^3,IF(E1396&lt;735,666+13002/(738-E1396),IF(E1396&lt;900,545+17820/(E1396-731),650)))</f>
        <v>650</v>
      </c>
      <c r="I1396" s="12">
        <f>ksh*Massivete/(H1396*RhoA)*DeltaT*(F1396+G1396)</f>
        <v>0.11038544872728584</v>
      </c>
      <c r="J1396" s="3">
        <f>IF(E1396&lt;=500,IF(Galva=Oui,0.35,0.7),0.7)</f>
        <v>0.7</v>
      </c>
    </row>
    <row r="1397" spans="2:10" x14ac:dyDescent="0.25">
      <c r="B1397" s="3">
        <f>B1396+DeltaT</f>
        <v>6900</v>
      </c>
      <c r="C1397" s="13">
        <f t="shared" si="94"/>
        <v>115</v>
      </c>
      <c r="D1397" s="11">
        <f t="shared" si="95"/>
        <v>1042.6695724179128</v>
      </c>
      <c r="E1397" s="23">
        <f t="shared" si="96"/>
        <v>1040.7310224966768</v>
      </c>
      <c r="F1397" s="23">
        <f>AlphaC*(D1397-E1397)</f>
        <v>48.463748030900433</v>
      </c>
      <c r="G1397" s="13">
        <f>Phi*EpsilonF*Botzman/10^8*J1397*((D1397+273)^4-(E1397+273)^4)</f>
        <v>699.35647354315768</v>
      </c>
      <c r="H1397" s="23">
        <f t="shared" si="97"/>
        <v>650</v>
      </c>
      <c r="I1397" s="12">
        <f>ksh*Massivete/(H1397*RhoA)*DeltaT*(F1397+G1397)</f>
        <v>0.11030366620744611</v>
      </c>
      <c r="J1397" s="3">
        <f>IF(E1397&lt;=500,IF(Galva=Oui,0.35,0.7),0.7)</f>
        <v>0.7</v>
      </c>
    </row>
    <row r="1398" spans="2:10" x14ac:dyDescent="0.25">
      <c r="B1398" s="3">
        <f>B1397+DeltaT</f>
        <v>6905</v>
      </c>
      <c r="C1398" s="13">
        <f t="shared" si="94"/>
        <v>115.08333333333333</v>
      </c>
      <c r="D1398" s="11">
        <f t="shared" si="95"/>
        <v>1042.7779889177637</v>
      </c>
      <c r="E1398" s="23">
        <f t="shared" si="96"/>
        <v>1040.8413261628843</v>
      </c>
      <c r="F1398" s="23">
        <f>AlphaC*(D1398-E1398)</f>
        <v>48.41656887198269</v>
      </c>
      <c r="G1398" s="13">
        <f>Phi*EpsilonF*Botzman/10^8*J1398*((D1398+273)^4-(E1398+273)^4)</f>
        <v>698.85002084709492</v>
      </c>
      <c r="H1398" s="23">
        <f t="shared" si="97"/>
        <v>650</v>
      </c>
      <c r="I1398" s="12">
        <f>ksh*Massivete/(H1398*RhoA)*DeltaT*(F1398+G1398)</f>
        <v>0.11022200537296768</v>
      </c>
      <c r="J1398" s="3">
        <f>IF(E1398&lt;=500,IF(Galva=Oui,0.35,0.7),0.7)</f>
        <v>0.7</v>
      </c>
    </row>
    <row r="1399" spans="2:10" x14ac:dyDescent="0.25">
      <c r="B1399" s="3">
        <f>B1398+DeltaT</f>
        <v>6910</v>
      </c>
      <c r="C1399" s="13">
        <f t="shared" si="94"/>
        <v>115.16666666666667</v>
      </c>
      <c r="D1399" s="11">
        <f t="shared" si="95"/>
        <v>1042.8863270253448</v>
      </c>
      <c r="E1399" s="23">
        <f t="shared" si="96"/>
        <v>1040.9515481682572</v>
      </c>
      <c r="F1399" s="23">
        <f>AlphaC*(D1399-E1399)</f>
        <v>48.369471427190547</v>
      </c>
      <c r="G1399" s="13">
        <f>Phi*EpsilonF*Botzman/10^8*J1399*((D1399+273)^4-(E1399+273)^4)</f>
        <v>698.34430957327481</v>
      </c>
      <c r="H1399" s="23">
        <f t="shared" si="97"/>
        <v>650</v>
      </c>
      <c r="I1399" s="12">
        <f>ksh*Massivete/(H1399*RhoA)*DeltaT*(F1399+G1399)</f>
        <v>0.11014046595130558</v>
      </c>
      <c r="J1399" s="3">
        <f>IF(E1399&lt;=500,IF(Galva=Oui,0.35,0.7),0.7)</f>
        <v>0.7</v>
      </c>
    </row>
    <row r="1400" spans="2:10" x14ac:dyDescent="0.25">
      <c r="B1400" s="3">
        <f>B1399+DeltaT</f>
        <v>6915</v>
      </c>
      <c r="C1400" s="13">
        <f t="shared" si="94"/>
        <v>115.25</v>
      </c>
      <c r="D1400" s="11">
        <f t="shared" si="95"/>
        <v>1042.9945868539394</v>
      </c>
      <c r="E1400" s="23">
        <f t="shared" si="96"/>
        <v>1041.0616886342086</v>
      </c>
      <c r="F1400" s="23">
        <f>AlphaC*(D1400-E1400)</f>
        <v>48.32245549326899</v>
      </c>
      <c r="G1400" s="13">
        <f>Phi*EpsilonF*Botzman/10^8*J1400*((D1400+273)^4-(E1400+273)^4)</f>
        <v>697.83933808235315</v>
      </c>
      <c r="H1400" s="23">
        <f t="shared" si="97"/>
        <v>650</v>
      </c>
      <c r="I1400" s="12">
        <f>ksh*Massivete/(H1400*RhoA)*DeltaT*(F1400+G1400)</f>
        <v>0.11005904767067598</v>
      </c>
      <c r="J1400" s="3">
        <f>IF(E1400&lt;=500,IF(Galva=Oui,0.35,0.7),0.7)</f>
        <v>0.7</v>
      </c>
    </row>
    <row r="1401" spans="2:10" x14ac:dyDescent="0.25">
      <c r="B1401" s="3">
        <f>B1400+DeltaT</f>
        <v>6920</v>
      </c>
      <c r="C1401" s="13">
        <f t="shared" si="94"/>
        <v>115.33333333333333</v>
      </c>
      <c r="D1401" s="11">
        <f t="shared" si="95"/>
        <v>1043.1027685165864</v>
      </c>
      <c r="E1401" s="23">
        <f t="shared" si="96"/>
        <v>1041.1717476818792</v>
      </c>
      <c r="F1401" s="23">
        <f>AlphaC*(D1401-E1401)</f>
        <v>48.275520867679234</v>
      </c>
      <c r="G1401" s="13">
        <f>Phi*EpsilonF*Botzman/10^8*J1401*((D1401+273)^4-(E1401+273)^4)</f>
        <v>697.33510474054765</v>
      </c>
      <c r="H1401" s="23">
        <f t="shared" si="97"/>
        <v>650</v>
      </c>
      <c r="I1401" s="12">
        <f>ksh*Massivete/(H1401*RhoA)*DeltaT*(F1401+G1401)</f>
        <v>0.10997775026022105</v>
      </c>
      <c r="J1401" s="3">
        <f>IF(E1401&lt;=500,IF(Galva=Oui,0.35,0.7),0.7)</f>
        <v>0.7</v>
      </c>
    </row>
    <row r="1402" spans="2:10" x14ac:dyDescent="0.25">
      <c r="B1402" s="3">
        <f>B1401+DeltaT</f>
        <v>6925</v>
      </c>
      <c r="C1402" s="13">
        <f t="shared" si="94"/>
        <v>115.41666666666667</v>
      </c>
      <c r="D1402" s="11">
        <f t="shared" si="95"/>
        <v>1043.2108721260786</v>
      </c>
      <c r="E1402" s="23">
        <f t="shared" si="96"/>
        <v>1041.2817254321394</v>
      </c>
      <c r="F1402" s="23">
        <f>AlphaC*(D1402-E1402)</f>
        <v>48.228667348479348</v>
      </c>
      <c r="G1402" s="13">
        <f>Phi*EpsilonF*Botzman/10^8*J1402*((D1402+273)^4-(E1402+273)^4)</f>
        <v>696.83160791808757</v>
      </c>
      <c r="H1402" s="23">
        <f t="shared" si="97"/>
        <v>650</v>
      </c>
      <c r="I1402" s="12">
        <f>ksh*Massivete/(H1402*RhoA)*DeltaT*(F1402+G1402)</f>
        <v>0.10989657344976272</v>
      </c>
      <c r="J1402" s="3">
        <f>IF(E1402&lt;=500,IF(Galva=Oui,0.35,0.7),0.7)</f>
        <v>0.7</v>
      </c>
    </row>
    <row r="1403" spans="2:10" x14ac:dyDescent="0.25">
      <c r="B1403" s="3">
        <f>B1402+DeltaT</f>
        <v>6930</v>
      </c>
      <c r="C1403" s="13">
        <f t="shared" si="94"/>
        <v>115.5</v>
      </c>
      <c r="D1403" s="11">
        <f t="shared" si="95"/>
        <v>1043.318897794966</v>
      </c>
      <c r="E1403" s="23">
        <f t="shared" si="96"/>
        <v>1041.3916220055892</v>
      </c>
      <c r="F1403" s="23">
        <f>AlphaC*(D1403-E1403)</f>
        <v>48.181894734420894</v>
      </c>
      <c r="G1403" s="13">
        <f>Phi*EpsilonF*Botzman/10^8*J1403*((D1403+273)^4-(E1403+273)^4)</f>
        <v>696.32884599062868</v>
      </c>
      <c r="H1403" s="23">
        <f t="shared" si="97"/>
        <v>650</v>
      </c>
      <c r="I1403" s="12">
        <f>ksh*Massivete/(H1403*RhoA)*DeltaT*(F1403+G1403)</f>
        <v>0.10981551697002566</v>
      </c>
      <c r="J1403" s="3">
        <f>IF(E1403&lt;=500,IF(Galva=Oui,0.35,0.7),0.7)</f>
        <v>0.7</v>
      </c>
    </row>
    <row r="1404" spans="2:10" x14ac:dyDescent="0.25">
      <c r="B1404" s="3">
        <f>B1403+DeltaT</f>
        <v>6935</v>
      </c>
      <c r="C1404" s="13">
        <f t="shared" si="94"/>
        <v>115.58333333333333</v>
      </c>
      <c r="D1404" s="11">
        <f t="shared" si="95"/>
        <v>1043.4268456355551</v>
      </c>
      <c r="E1404" s="23">
        <f t="shared" si="96"/>
        <v>1041.5014375225592</v>
      </c>
      <c r="F1404" s="23">
        <f>AlphaC*(D1404-E1404)</f>
        <v>48.13520282489776</v>
      </c>
      <c r="G1404" s="13">
        <f>Phi*EpsilonF*Botzman/10^8*J1404*((D1404+273)^4-(E1404+273)^4)</f>
        <v>695.82681733849734</v>
      </c>
      <c r="H1404" s="23">
        <f t="shared" si="97"/>
        <v>650</v>
      </c>
      <c r="I1404" s="12">
        <f>ksh*Massivete/(H1404*RhoA)*DeltaT*(F1404+G1404)</f>
        <v>0.10973458055251811</v>
      </c>
      <c r="J1404" s="3">
        <f>IF(E1404&lt;=500,IF(Galva=Oui,0.35,0.7),0.7)</f>
        <v>0.7</v>
      </c>
    </row>
    <row r="1405" spans="2:10" x14ac:dyDescent="0.25">
      <c r="B1405" s="3">
        <f>B1404+DeltaT</f>
        <v>6940</v>
      </c>
      <c r="C1405" s="13">
        <f t="shared" si="94"/>
        <v>115.66666666666667</v>
      </c>
      <c r="D1405" s="11">
        <f t="shared" si="95"/>
        <v>1043.5347157599097</v>
      </c>
      <c r="E1405" s="23">
        <f t="shared" si="96"/>
        <v>1041.6111721031116</v>
      </c>
      <c r="F1405" s="23">
        <f>AlphaC*(D1405-E1405)</f>
        <v>48.088591419951854</v>
      </c>
      <c r="G1405" s="13">
        <f>Phi*EpsilonF*Botzman/10^8*J1405*((D1405+273)^4-(E1405+273)^4)</f>
        <v>695.32552034674859</v>
      </c>
      <c r="H1405" s="23">
        <f t="shared" si="97"/>
        <v>650</v>
      </c>
      <c r="I1405" s="12">
        <f>ksh*Massivete/(H1405*RhoA)*DeltaT*(F1405+G1405)</f>
        <v>0.10965376392954147</v>
      </c>
      <c r="J1405" s="3">
        <f>IF(E1405&lt;=500,IF(Galva=Oui,0.35,0.7),0.7)</f>
        <v>0.7</v>
      </c>
    </row>
    <row r="1406" spans="2:10" x14ac:dyDescent="0.25">
      <c r="B1406" s="3">
        <f>B1405+DeltaT</f>
        <v>6945</v>
      </c>
      <c r="C1406" s="13">
        <f t="shared" si="94"/>
        <v>115.75</v>
      </c>
      <c r="D1406" s="11">
        <f t="shared" si="95"/>
        <v>1043.6425082798514</v>
      </c>
      <c r="E1406" s="23">
        <f t="shared" si="96"/>
        <v>1041.7208258670412</v>
      </c>
      <c r="F1406" s="23">
        <f>AlphaC*(D1406-E1406)</f>
        <v>48.042060320256041</v>
      </c>
      <c r="G1406" s="13">
        <f>Phi*EpsilonF*Botzman/10^8*J1406*((D1406+273)^4-(E1406+273)^4)</f>
        <v>694.82495340510775</v>
      </c>
      <c r="H1406" s="23">
        <f t="shared" si="97"/>
        <v>650</v>
      </c>
      <c r="I1406" s="12">
        <f>ksh*Massivete/(H1406*RhoA)*DeltaT*(F1406+G1406)</f>
        <v>0.109573066834179</v>
      </c>
      <c r="J1406" s="3">
        <f>IF(E1406&lt;=500,IF(Galva=Oui,0.35,0.7),0.7)</f>
        <v>0.7</v>
      </c>
    </row>
    <row r="1407" spans="2:10" x14ac:dyDescent="0.25">
      <c r="B1407" s="3">
        <f>B1406+DeltaT</f>
        <v>6950</v>
      </c>
      <c r="C1407" s="13">
        <f t="shared" si="94"/>
        <v>115.83333333333333</v>
      </c>
      <c r="D1407" s="11">
        <f t="shared" si="95"/>
        <v>1043.7502233069613</v>
      </c>
      <c r="E1407" s="23">
        <f t="shared" si="96"/>
        <v>1041.8303989338754</v>
      </c>
      <c r="F1407" s="23">
        <f>AlphaC*(D1407-E1407)</f>
        <v>47.995609327148259</v>
      </c>
      <c r="G1407" s="13">
        <f>Phi*EpsilonF*Botzman/10^8*J1407*((D1407+273)^4-(E1407+273)^4)</f>
        <v>694.32511490820366</v>
      </c>
      <c r="H1407" s="23">
        <f t="shared" si="97"/>
        <v>650</v>
      </c>
      <c r="I1407" s="12">
        <f>ksh*Massivete/(H1407*RhoA)*DeltaT*(F1407+G1407)</f>
        <v>0.10949248900033537</v>
      </c>
      <c r="J1407" s="3">
        <f>IF(E1407&lt;=500,IF(Galva=Oui,0.35,0.7),0.7)</f>
        <v>0.7</v>
      </c>
    </row>
    <row r="1408" spans="2:10" x14ac:dyDescent="0.25">
      <c r="B1408" s="3">
        <f>B1407+DeltaT</f>
        <v>6955</v>
      </c>
      <c r="C1408" s="13">
        <f t="shared" si="94"/>
        <v>115.91666666666667</v>
      </c>
      <c r="D1408" s="11">
        <f t="shared" si="95"/>
        <v>1043.8578609525794</v>
      </c>
      <c r="E1408" s="23">
        <f t="shared" si="96"/>
        <v>1041.9398914228757</v>
      </c>
      <c r="F1408" s="23">
        <f>AlphaC*(D1408-E1408)</f>
        <v>47.949238242591719</v>
      </c>
      <c r="G1408" s="13">
        <f>Phi*EpsilonF*Botzman/10^8*J1408*((D1408+273)^4-(E1408+273)^4)</f>
        <v>693.82600325529677</v>
      </c>
      <c r="H1408" s="23">
        <f t="shared" si="97"/>
        <v>650</v>
      </c>
      <c r="I1408" s="12">
        <f>ksh*Massivete/(H1408*RhoA)*DeltaT*(F1408+G1408)</f>
        <v>0.1094120301626906</v>
      </c>
      <c r="J1408" s="3">
        <f>IF(E1408&lt;=500,IF(Galva=Oui,0.35,0.7),0.7)</f>
        <v>0.7</v>
      </c>
    </row>
    <row r="1409" spans="2:10" x14ac:dyDescent="0.25">
      <c r="B1409" s="3">
        <f>B1408+DeltaT</f>
        <v>6960</v>
      </c>
      <c r="C1409" s="13">
        <f t="shared" si="94"/>
        <v>116</v>
      </c>
      <c r="D1409" s="11">
        <f t="shared" si="95"/>
        <v>1043.9654213278063</v>
      </c>
      <c r="E1409" s="23">
        <f t="shared" si="96"/>
        <v>1042.0493034530384</v>
      </c>
      <c r="F1409" s="23">
        <f>AlphaC*(D1409-E1409)</f>
        <v>47.902946869197649</v>
      </c>
      <c r="G1409" s="13">
        <f>Phi*EpsilonF*Botzman/10^8*J1409*((D1409+273)^4-(E1409+273)^4)</f>
        <v>693.32761685045364</v>
      </c>
      <c r="H1409" s="23">
        <f t="shared" si="97"/>
        <v>650</v>
      </c>
      <c r="I1409" s="12">
        <f>ksh*Massivete/(H1409*RhoA)*DeltaT*(F1409+G1409)</f>
        <v>0.10933169005672927</v>
      </c>
      <c r="J1409" s="3">
        <f>IF(E1409&lt;=500,IF(Galva=Oui,0.35,0.7),0.7)</f>
        <v>0.7</v>
      </c>
    </row>
    <row r="1410" spans="2:10" x14ac:dyDescent="0.25">
      <c r="B1410" s="3">
        <f>B1409+DeltaT</f>
        <v>6965</v>
      </c>
      <c r="C1410" s="13">
        <f t="shared" si="94"/>
        <v>116.08333333333333</v>
      </c>
      <c r="D1410" s="11">
        <f t="shared" si="95"/>
        <v>1044.0729045435035</v>
      </c>
      <c r="E1410" s="23">
        <f t="shared" si="96"/>
        <v>1042.1586351430951</v>
      </c>
      <c r="F1410" s="23">
        <f>AlphaC*(D1410-E1410)</f>
        <v>47.85673501020824</v>
      </c>
      <c r="G1410" s="13">
        <f>Phi*EpsilonF*Botzman/10^8*J1410*((D1410+273)^4-(E1410+273)^4)</f>
        <v>692.82995410237265</v>
      </c>
      <c r="H1410" s="23">
        <f t="shared" si="97"/>
        <v>650</v>
      </c>
      <c r="I1410" s="12">
        <f>ksh*Massivete/(H1410*RhoA)*DeltaT*(F1410+G1410)</f>
        <v>0.10925146841871215</v>
      </c>
      <c r="J1410" s="3">
        <f>IF(E1410&lt;=500,IF(Galva=Oui,0.35,0.7),0.7)</f>
        <v>0.7</v>
      </c>
    </row>
    <row r="1411" spans="2:10" x14ac:dyDescent="0.25">
      <c r="B1411" s="3">
        <f>B1410+DeltaT</f>
        <v>6970</v>
      </c>
      <c r="C1411" s="13">
        <f t="shared" si="94"/>
        <v>116.16666666666667</v>
      </c>
      <c r="D1411" s="11">
        <f t="shared" si="95"/>
        <v>1044.1803107102942</v>
      </c>
      <c r="E1411" s="23">
        <f t="shared" si="96"/>
        <v>1042.2678866115139</v>
      </c>
      <c r="F1411" s="23">
        <f>AlphaC*(D1411-E1411)</f>
        <v>47.810602469508012</v>
      </c>
      <c r="G1411" s="13">
        <f>Phi*EpsilonF*Botzman/10^8*J1411*((D1411+273)^4-(E1411+273)^4)</f>
        <v>692.33301342457798</v>
      </c>
      <c r="H1411" s="23">
        <f t="shared" si="97"/>
        <v>650</v>
      </c>
      <c r="I1411" s="12">
        <f>ksh*Massivete/(H1411*RhoA)*DeltaT*(F1411+G1411)</f>
        <v>0.10917136498570659</v>
      </c>
      <c r="J1411" s="3">
        <f>IF(E1411&lt;=500,IF(Galva=Oui,0.35,0.7),0.7)</f>
        <v>0.7</v>
      </c>
    </row>
    <row r="1412" spans="2:10" x14ac:dyDescent="0.25">
      <c r="B1412" s="3">
        <f>B1411+DeltaT</f>
        <v>6975</v>
      </c>
      <c r="C1412" s="13">
        <f t="shared" si="94"/>
        <v>116.25</v>
      </c>
      <c r="D1412" s="11">
        <f t="shared" si="95"/>
        <v>1044.2876399385632</v>
      </c>
      <c r="E1412" s="23">
        <f t="shared" si="96"/>
        <v>1042.3770579764996</v>
      </c>
      <c r="F1412" s="23">
        <f>AlphaC*(D1412-E1412)</f>
        <v>47.764549051589711</v>
      </c>
      <c r="G1412" s="13">
        <f>Phi*EpsilonF*Botzman/10^8*J1412*((D1412+273)^4-(E1412+273)^4)</f>
        <v>691.8367932349347</v>
      </c>
      <c r="H1412" s="23">
        <f t="shared" si="97"/>
        <v>650</v>
      </c>
      <c r="I1412" s="12">
        <f>ksh*Massivete/(H1412*RhoA)*DeltaT*(F1412+G1412)</f>
        <v>0.10909137949550993</v>
      </c>
      <c r="J1412" s="3">
        <f>IF(E1412&lt;=500,IF(Galva=Oui,0.35,0.7),0.7)</f>
        <v>0.7</v>
      </c>
    </row>
    <row r="1413" spans="2:10" x14ac:dyDescent="0.25">
      <c r="B1413" s="3">
        <f>B1412+DeltaT</f>
        <v>6980</v>
      </c>
      <c r="C1413" s="13">
        <f t="shared" si="94"/>
        <v>116.33333333333333</v>
      </c>
      <c r="D1413" s="11">
        <f t="shared" si="95"/>
        <v>1044.3948923384589</v>
      </c>
      <c r="E1413" s="23">
        <f t="shared" si="96"/>
        <v>1042.4861493559952</v>
      </c>
      <c r="F1413" s="23">
        <f>AlphaC*(D1413-E1413)</f>
        <v>47.718574561594096</v>
      </c>
      <c r="G1413" s="13">
        <f>Phi*EpsilonF*Botzman/10^8*J1413*((D1413+273)^4-(E1413+273)^4)</f>
        <v>691.34129195619175</v>
      </c>
      <c r="H1413" s="23">
        <f t="shared" si="97"/>
        <v>650</v>
      </c>
      <c r="I1413" s="12">
        <f>ksh*Massivete/(H1413*RhoA)*DeltaT*(F1413+G1413)</f>
        <v>0.10901151168673545</v>
      </c>
      <c r="J1413" s="3">
        <f>IF(E1413&lt;=500,IF(Galva=Oui,0.35,0.7),0.7)</f>
        <v>0.7</v>
      </c>
    </row>
    <row r="1414" spans="2:10" x14ac:dyDescent="0.25">
      <c r="B1414" s="3">
        <f>B1413+DeltaT</f>
        <v>6985</v>
      </c>
      <c r="C1414" s="13">
        <f t="shared" si="94"/>
        <v>116.41666666666667</v>
      </c>
      <c r="D1414" s="11">
        <f t="shared" si="95"/>
        <v>1044.5020680198934</v>
      </c>
      <c r="E1414" s="23">
        <f t="shared" si="96"/>
        <v>1042.5951608676819</v>
      </c>
      <c r="F1414" s="23">
        <f>AlphaC*(D1414-E1414)</f>
        <v>47.672678805287205</v>
      </c>
      <c r="G1414" s="13">
        <f>Phi*EpsilonF*Botzman/10^8*J1414*((D1414+273)^4-(E1414+273)^4)</f>
        <v>690.84650801584587</v>
      </c>
      <c r="H1414" s="23">
        <f t="shared" si="97"/>
        <v>650</v>
      </c>
      <c r="I1414" s="12">
        <f>ksh*Massivete/(H1414*RhoA)*DeltaT*(F1414+G1414)</f>
        <v>0.108931761298789</v>
      </c>
      <c r="J1414" s="3">
        <f>IF(E1414&lt;=500,IF(Galva=Oui,0.35,0.7),0.7)</f>
        <v>0.7</v>
      </c>
    </row>
    <row r="1415" spans="2:10" x14ac:dyDescent="0.25">
      <c r="B1415" s="3">
        <f>B1414+DeltaT</f>
        <v>6990</v>
      </c>
      <c r="C1415" s="13">
        <f t="shared" si="94"/>
        <v>116.5</v>
      </c>
      <c r="D1415" s="11">
        <f t="shared" si="95"/>
        <v>1044.6091670925423</v>
      </c>
      <c r="E1415" s="23">
        <f t="shared" si="96"/>
        <v>1042.7040926289808</v>
      </c>
      <c r="F1415" s="23">
        <f>AlphaC*(D1415-E1415)</f>
        <v>47.626861589037617</v>
      </c>
      <c r="G1415" s="13">
        <f>Phi*EpsilonF*Botzman/10^8*J1415*((D1415+273)^4-(E1415+273)^4)</f>
        <v>690.35243984552199</v>
      </c>
      <c r="H1415" s="23">
        <f t="shared" si="97"/>
        <v>650</v>
      </c>
      <c r="I1415" s="12">
        <f>ksh*Massivete/(H1415*RhoA)*DeltaT*(F1415+G1415)</f>
        <v>0.10885212807177419</v>
      </c>
      <c r="J1415" s="3">
        <f>IF(E1415&lt;=500,IF(Galva=Oui,0.35,0.7),0.7)</f>
        <v>0.7</v>
      </c>
    </row>
    <row r="1416" spans="2:10" x14ac:dyDescent="0.25">
      <c r="B1416" s="3">
        <f>B1415+DeltaT</f>
        <v>6995</v>
      </c>
      <c r="C1416" s="13">
        <f t="shared" si="94"/>
        <v>116.58333333333333</v>
      </c>
      <c r="D1416" s="11">
        <f t="shared" si="95"/>
        <v>1044.7161896658474</v>
      </c>
      <c r="E1416" s="23">
        <f t="shared" si="96"/>
        <v>1042.8129447570525</v>
      </c>
      <c r="F1416" s="23">
        <f>AlphaC*(D1416-E1416)</f>
        <v>47.581122719873292</v>
      </c>
      <c r="G1416" s="13">
        <f>Phi*EpsilonF*Botzman/10^8*J1416*((D1416+273)^4-(E1416+273)^4)</f>
        <v>689.85908588217444</v>
      </c>
      <c r="H1416" s="23">
        <f t="shared" si="97"/>
        <v>650</v>
      </c>
      <c r="I1416" s="12">
        <f>ksh*Massivete/(H1416*RhoA)*DeltaT*(F1416+G1416)</f>
        <v>0.10877261174667796</v>
      </c>
      <c r="J1416" s="3">
        <f>IF(E1416&lt;=500,IF(Galva=Oui,0.35,0.7),0.7)</f>
        <v>0.7</v>
      </c>
    </row>
    <row r="1417" spans="2:10" x14ac:dyDescent="0.25">
      <c r="B1417" s="3">
        <f>B1416+DeltaT</f>
        <v>7000</v>
      </c>
      <c r="C1417" s="13">
        <f t="shared" si="94"/>
        <v>116.66666666666667</v>
      </c>
      <c r="D1417" s="11">
        <f t="shared" si="95"/>
        <v>1044.823135849015</v>
      </c>
      <c r="E1417" s="23">
        <f t="shared" si="96"/>
        <v>1042.9217173687991</v>
      </c>
      <c r="F1417" s="23">
        <f>AlphaC*(D1417-E1417)</f>
        <v>47.535462005396312</v>
      </c>
      <c r="G1417" s="13">
        <f>Phi*EpsilonF*Botzman/10^8*J1417*((D1417+273)^4-(E1417+273)^4)</f>
        <v>689.36644456657541</v>
      </c>
      <c r="H1417" s="23">
        <f t="shared" si="97"/>
        <v>650</v>
      </c>
      <c r="I1417" s="12">
        <f>ksh*Massivete/(H1417*RhoA)*DeltaT*(F1417+G1417)</f>
        <v>0.10869321206513509</v>
      </c>
      <c r="J1417" s="3">
        <f>IF(E1417&lt;=500,IF(Galva=Oui,0.35,0.7),0.7)</f>
        <v>0.7</v>
      </c>
    </row>
    <row r="1418" spans="2:10" x14ac:dyDescent="0.25">
      <c r="B1418" s="3">
        <f>B1417+DeltaT</f>
        <v>7005</v>
      </c>
      <c r="C1418" s="13">
        <f t="shared" si="94"/>
        <v>116.75</v>
      </c>
      <c r="D1418" s="11">
        <f t="shared" si="95"/>
        <v>1044.9300057510186</v>
      </c>
      <c r="E1418" s="23">
        <f t="shared" si="96"/>
        <v>1043.0304105808643</v>
      </c>
      <c r="F1418" s="23">
        <f>AlphaC*(D1418-E1418)</f>
        <v>47.48987925385677</v>
      </c>
      <c r="G1418" s="13">
        <f>Phi*EpsilonF*Botzman/10^8*J1418*((D1418+273)^4-(E1418+273)^4)</f>
        <v>688.87451434457455</v>
      </c>
      <c r="H1418" s="23">
        <f t="shared" si="97"/>
        <v>650</v>
      </c>
      <c r="I1418" s="12">
        <f>ksh*Massivete/(H1418*RhoA)*DeltaT*(F1418+G1418)</f>
        <v>0.10861392876962488</v>
      </c>
      <c r="J1418" s="3">
        <f>IF(E1418&lt;=500,IF(Galva=Oui,0.35,0.7),0.7)</f>
        <v>0.7</v>
      </c>
    </row>
    <row r="1419" spans="2:10" x14ac:dyDescent="0.25">
      <c r="B1419" s="3">
        <f>B1418+DeltaT</f>
        <v>7010</v>
      </c>
      <c r="C1419" s="13">
        <f t="shared" si="94"/>
        <v>116.83333333333333</v>
      </c>
      <c r="D1419" s="11">
        <f t="shared" si="95"/>
        <v>1045.0367994805979</v>
      </c>
      <c r="E1419" s="23">
        <f t="shared" si="96"/>
        <v>1043.1390245096341</v>
      </c>
      <c r="F1419" s="23">
        <f>AlphaC*(D1419-E1419)</f>
        <v>47.444374274095935</v>
      </c>
      <c r="G1419" s="13">
        <f>Phi*EpsilonF*Botzman/10^8*J1419*((D1419+273)^4-(E1419+273)^4)</f>
        <v>688.38329366630444</v>
      </c>
      <c r="H1419" s="23">
        <f t="shared" si="97"/>
        <v>650</v>
      </c>
      <c r="I1419" s="12">
        <f>ksh*Massivete/(H1419*RhoA)*DeltaT*(F1419+G1419)</f>
        <v>0.10853476160334552</v>
      </c>
      <c r="J1419" s="3">
        <f>IF(E1419&lt;=500,IF(Galva=Oui,0.35,0.7),0.7)</f>
        <v>0.7</v>
      </c>
    </row>
    <row r="1420" spans="2:10" x14ac:dyDescent="0.25">
      <c r="B1420" s="3">
        <f>B1419+DeltaT</f>
        <v>7015</v>
      </c>
      <c r="C1420" s="13">
        <f t="shared" si="94"/>
        <v>116.91666666666667</v>
      </c>
      <c r="D1420" s="11">
        <f t="shared" si="95"/>
        <v>1045.1435171462608</v>
      </c>
      <c r="E1420" s="23">
        <f t="shared" si="96"/>
        <v>1043.2475592712374</v>
      </c>
      <c r="F1420" s="23">
        <f>AlphaC*(D1420-E1420)</f>
        <v>47.398946875586034</v>
      </c>
      <c r="G1420" s="13">
        <f>Phi*EpsilonF*Botzman/10^8*J1420*((D1420+273)^4-(E1420+273)^4)</f>
        <v>687.89278098656825</v>
      </c>
      <c r="H1420" s="23">
        <f t="shared" si="97"/>
        <v>650</v>
      </c>
      <c r="I1420" s="12">
        <f>ksh*Massivete/(H1420*RhoA)*DeltaT*(F1420+G1420)</f>
        <v>0.10845571031027722</v>
      </c>
      <c r="J1420" s="3">
        <f>IF(E1420&lt;=500,IF(Galva=Oui,0.35,0.7),0.7)</f>
        <v>0.7</v>
      </c>
    </row>
    <row r="1421" spans="2:10" x14ac:dyDescent="0.25">
      <c r="B1421" s="3">
        <f>B1420+DeltaT</f>
        <v>7020</v>
      </c>
      <c r="C1421" s="13">
        <f t="shared" si="94"/>
        <v>117</v>
      </c>
      <c r="D1421" s="11">
        <f t="shared" si="95"/>
        <v>1045.2501588562834</v>
      </c>
      <c r="E1421" s="23">
        <f t="shared" si="96"/>
        <v>1043.3560149815476</v>
      </c>
      <c r="F1421" s="23">
        <f>AlphaC*(D1421-E1421)</f>
        <v>47.353596868396153</v>
      </c>
      <c r="G1421" s="13">
        <f>Phi*EpsilonF*Botzman/10^8*J1421*((D1421+273)^4-(E1421+273)^4)</f>
        <v>687.40297476460728</v>
      </c>
      <c r="H1421" s="23">
        <f t="shared" si="97"/>
        <v>650</v>
      </c>
      <c r="I1421" s="12">
        <f>ksh*Massivete/(H1421*RhoA)*DeltaT*(F1421+G1421)</f>
        <v>0.10837677463514284</v>
      </c>
      <c r="J1421" s="3">
        <f>IF(E1421&lt;=500,IF(Galva=Oui,0.35,0.7),0.7)</f>
        <v>0.7</v>
      </c>
    </row>
    <row r="1422" spans="2:10" x14ac:dyDescent="0.25">
      <c r="B1422" s="3">
        <f>B1421+DeltaT</f>
        <v>7025</v>
      </c>
      <c r="C1422" s="13">
        <f t="shared" si="94"/>
        <v>117.08333333333333</v>
      </c>
      <c r="D1422" s="11">
        <f t="shared" si="95"/>
        <v>1045.3567247187107</v>
      </c>
      <c r="E1422" s="23">
        <f t="shared" si="96"/>
        <v>1043.4643917561827</v>
      </c>
      <c r="F1422" s="23">
        <f>AlphaC*(D1422-E1422)</f>
        <v>47.308324063197915</v>
      </c>
      <c r="G1422" s="13">
        <f>Phi*EpsilonF*Botzman/10^8*J1422*((D1422+273)^4-(E1422+273)^4)</f>
        <v>686.91387346417821</v>
      </c>
      <c r="H1422" s="23">
        <f t="shared" si="97"/>
        <v>650</v>
      </c>
      <c r="I1422" s="12">
        <f>ksh*Massivete/(H1422*RhoA)*DeltaT*(F1422+G1422)</f>
        <v>0.10829795432342013</v>
      </c>
      <c r="J1422" s="3">
        <f>IF(E1422&lt;=500,IF(Galva=Oui,0.35,0.7),0.7)</f>
        <v>0.7</v>
      </c>
    </row>
    <row r="1423" spans="2:10" x14ac:dyDescent="0.25">
      <c r="B1423" s="3">
        <f>B1422+DeltaT</f>
        <v>7030</v>
      </c>
      <c r="C1423" s="13">
        <f t="shared" si="94"/>
        <v>117.16666666666667</v>
      </c>
      <c r="D1423" s="11">
        <f t="shared" si="95"/>
        <v>1045.4632148413573</v>
      </c>
      <c r="E1423" s="23">
        <f t="shared" si="96"/>
        <v>1043.5726897105062</v>
      </c>
      <c r="F1423" s="23">
        <f>AlphaC*(D1423-E1423)</f>
        <v>47.263128271276855</v>
      </c>
      <c r="G1423" s="13">
        <f>Phi*EpsilonF*Botzman/10^8*J1423*((D1423+273)^4-(E1423+273)^4)</f>
        <v>686.42547555343674</v>
      </c>
      <c r="H1423" s="23">
        <f t="shared" si="97"/>
        <v>650</v>
      </c>
      <c r="I1423" s="12">
        <f>ksh*Massivete/(H1423*RhoA)*DeltaT*(F1423+G1423)</f>
        <v>0.10821924912132624</v>
      </c>
      <c r="J1423" s="3">
        <f>IF(E1423&lt;=500,IF(Galva=Oui,0.35,0.7),0.7)</f>
        <v>0.7</v>
      </c>
    </row>
    <row r="1424" spans="2:10" x14ac:dyDescent="0.25">
      <c r="B1424" s="3">
        <f>B1423+DeltaT</f>
        <v>7035</v>
      </c>
      <c r="C1424" s="13">
        <f t="shared" si="94"/>
        <v>117.25</v>
      </c>
      <c r="D1424" s="11">
        <f t="shared" si="95"/>
        <v>1045.5696293318081</v>
      </c>
      <c r="E1424" s="23">
        <f t="shared" si="96"/>
        <v>1043.6809089596275</v>
      </c>
      <c r="F1424" s="23">
        <f>AlphaC*(D1424-E1424)</f>
        <v>47.218009304515363</v>
      </c>
      <c r="G1424" s="13">
        <f>Phi*EpsilonF*Botzman/10^8*J1424*((D1424+273)^4-(E1424+273)^4)</f>
        <v>685.93777950517085</v>
      </c>
      <c r="H1424" s="23">
        <f t="shared" si="97"/>
        <v>650</v>
      </c>
      <c r="I1424" s="12">
        <f>ksh*Massivete/(H1424*RhoA)*DeltaT*(F1424+G1424)</f>
        <v>0.10814065877584964</v>
      </c>
      <c r="J1424" s="3">
        <f>IF(E1424&lt;=500,IF(Galva=Oui,0.35,0.7),0.7)</f>
        <v>0.7</v>
      </c>
    </row>
    <row r="1425" spans="2:10" x14ac:dyDescent="0.25">
      <c r="B1425" s="3">
        <f>B1424+DeltaT</f>
        <v>7040</v>
      </c>
      <c r="C1425" s="13">
        <f t="shared" si="94"/>
        <v>117.33333333333333</v>
      </c>
      <c r="D1425" s="11">
        <f t="shared" si="95"/>
        <v>1045.6759682974191</v>
      </c>
      <c r="E1425" s="23">
        <f t="shared" si="96"/>
        <v>1043.7890496184034</v>
      </c>
      <c r="F1425" s="23">
        <f>AlphaC*(D1425-E1425)</f>
        <v>47.172966975392683</v>
      </c>
      <c r="G1425" s="13">
        <f>Phi*EpsilonF*Botzman/10^8*J1425*((D1425+273)^4-(E1425+273)^4)</f>
        <v>685.45078379643166</v>
      </c>
      <c r="H1425" s="23">
        <f t="shared" si="97"/>
        <v>650</v>
      </c>
      <c r="I1425" s="12">
        <f>ksh*Massivete/(H1425*RhoA)*DeltaT*(F1425+G1425)</f>
        <v>0.10806218303469563</v>
      </c>
      <c r="J1425" s="3">
        <f>IF(E1425&lt;=500,IF(Galva=Oui,0.35,0.7),0.7)</f>
        <v>0.7</v>
      </c>
    </row>
    <row r="1426" spans="2:10" x14ac:dyDescent="0.25">
      <c r="B1426" s="3">
        <f>B1425+DeltaT</f>
        <v>7045</v>
      </c>
      <c r="C1426" s="13">
        <f t="shared" ref="C1426:C1489" si="98">B1426/60</f>
        <v>117.41666666666667</v>
      </c>
      <c r="D1426" s="11">
        <f t="shared" ref="D1426:D1489" si="99">20+345*LOG(8*C1426+1,10)</f>
        <v>1045.7822318453179</v>
      </c>
      <c r="E1426" s="23">
        <f t="shared" si="96"/>
        <v>1043.8971118014381</v>
      </c>
      <c r="F1426" s="23">
        <f>AlphaC*(D1426-E1426)</f>
        <v>47.128001096996286</v>
      </c>
      <c r="G1426" s="13">
        <f>Phi*EpsilonF*Botzman/10^8*J1426*((D1426+273)^4-(E1426+273)^4)</f>
        <v>684.96448690894113</v>
      </c>
      <c r="H1426" s="23">
        <f t="shared" si="97"/>
        <v>650</v>
      </c>
      <c r="I1426" s="12">
        <f>ksh*Massivete/(H1426*RhoA)*DeltaT*(F1426+G1426)</f>
        <v>0.10798382164634818</v>
      </c>
      <c r="J1426" s="3">
        <f>IF(E1426&lt;=500,IF(Galva=Oui,0.35,0.7),0.7)</f>
        <v>0.7</v>
      </c>
    </row>
    <row r="1427" spans="2:10" x14ac:dyDescent="0.25">
      <c r="B1427" s="3">
        <f>B1426+DeltaT</f>
        <v>7050</v>
      </c>
      <c r="C1427" s="13">
        <f t="shared" si="98"/>
        <v>117.5</v>
      </c>
      <c r="D1427" s="11">
        <f t="shared" si="99"/>
        <v>1045.8884200824034</v>
      </c>
      <c r="E1427" s="23">
        <f t="shared" si="96"/>
        <v>1044.0050956230843</v>
      </c>
      <c r="F1427" s="23">
        <f>AlphaC*(D1427-E1427)</f>
        <v>47.083111482976392</v>
      </c>
      <c r="G1427" s="13">
        <f>Phi*EpsilonF*Botzman/10^8*J1427*((D1427+273)^4-(E1427+273)^4)</f>
        <v>684.47888732837453</v>
      </c>
      <c r="H1427" s="23">
        <f t="shared" si="97"/>
        <v>650</v>
      </c>
      <c r="I1427" s="12">
        <f>ksh*Massivete/(H1427*RhoA)*DeltaT*(F1427+G1427)</f>
        <v>0.10790557435995739</v>
      </c>
      <c r="J1427" s="3">
        <f>IF(E1427&lt;=500,IF(Galva=Oui,0.35,0.7),0.7)</f>
        <v>0.7</v>
      </c>
    </row>
    <row r="1428" spans="2:10" x14ac:dyDescent="0.25">
      <c r="B1428" s="3">
        <f>B1427+DeltaT</f>
        <v>7055</v>
      </c>
      <c r="C1428" s="13">
        <f t="shared" si="98"/>
        <v>117.58333333333333</v>
      </c>
      <c r="D1428" s="11">
        <f t="shared" si="99"/>
        <v>1045.9945331153492</v>
      </c>
      <c r="E1428" s="23">
        <f t="shared" si="96"/>
        <v>1044.1130011974442</v>
      </c>
      <c r="F1428" s="23">
        <f>AlphaC*(D1428-E1428)</f>
        <v>47.038297947625551</v>
      </c>
      <c r="G1428" s="13">
        <f>Phi*EpsilonF*Botzman/10^8*J1428*((D1428+273)^4-(E1428+273)^4)</f>
        <v>683.99398354542654</v>
      </c>
      <c r="H1428" s="23">
        <f t="shared" si="97"/>
        <v>650</v>
      </c>
      <c r="I1428" s="12">
        <f>ksh*Massivete/(H1428*RhoA)*DeltaT*(F1428+G1428)</f>
        <v>0.10782744092550847</v>
      </c>
      <c r="J1428" s="3">
        <f>IF(E1428&lt;=500,IF(Galva=Oui,0.35,0.7),0.7)</f>
        <v>0.7</v>
      </c>
    </row>
    <row r="1429" spans="2:10" x14ac:dyDescent="0.25">
      <c r="B1429" s="3">
        <f>B1428+DeltaT</f>
        <v>7060</v>
      </c>
      <c r="C1429" s="13">
        <f t="shared" si="98"/>
        <v>117.66666666666667</v>
      </c>
      <c r="D1429" s="11">
        <f t="shared" si="99"/>
        <v>1046.1005710506006</v>
      </c>
      <c r="E1429" s="23">
        <f t="shared" si="96"/>
        <v>1044.2208286383698</v>
      </c>
      <c r="F1429" s="23">
        <f>AlphaC*(D1429-E1429)</f>
        <v>46.993560305770643</v>
      </c>
      <c r="G1429" s="13">
        <f>Phi*EpsilonF*Botzman/10^8*J1429*((D1429+273)^4-(E1429+273)^4)</f>
        <v>683.50977405453239</v>
      </c>
      <c r="H1429" s="23">
        <f t="shared" si="97"/>
        <v>650</v>
      </c>
      <c r="I1429" s="12">
        <f>ksh*Massivete/(H1429*RhoA)*DeltaT*(F1429+G1429)</f>
        <v>0.10774942109361715</v>
      </c>
      <c r="J1429" s="3">
        <f>IF(E1429&lt;=500,IF(Galva=Oui,0.35,0.7),0.7)</f>
        <v>0.7</v>
      </c>
    </row>
    <row r="1430" spans="2:10" x14ac:dyDescent="0.25">
      <c r="B1430" s="3">
        <f>B1429+DeltaT</f>
        <v>7065</v>
      </c>
      <c r="C1430" s="13">
        <f t="shared" si="98"/>
        <v>117.75</v>
      </c>
      <c r="D1430" s="11">
        <f t="shared" si="99"/>
        <v>1046.2065339943781</v>
      </c>
      <c r="E1430" s="23">
        <f t="shared" si="96"/>
        <v>1044.3285780594633</v>
      </c>
      <c r="F1430" s="23">
        <f>AlphaC*(D1430-E1430)</f>
        <v>46.948898372869508</v>
      </c>
      <c r="G1430" s="13">
        <f>Phi*EpsilonF*Botzman/10^8*J1430*((D1430+273)^4-(E1430+273)^4)</f>
        <v>683.02625735506876</v>
      </c>
      <c r="H1430" s="23">
        <f t="shared" si="97"/>
        <v>650</v>
      </c>
      <c r="I1430" s="12">
        <f>ksh*Massivete/(H1430*RhoA)*DeltaT*(F1430+G1430)</f>
        <v>0.10767151461572111</v>
      </c>
      <c r="J1430" s="3">
        <f>IF(E1430&lt;=500,IF(Galva=Oui,0.35,0.7),0.7)</f>
        <v>0.7</v>
      </c>
    </row>
    <row r="1431" spans="2:10" x14ac:dyDescent="0.25">
      <c r="B1431" s="3">
        <f>B1430+DeltaT</f>
        <v>7070</v>
      </c>
      <c r="C1431" s="13">
        <f t="shared" si="98"/>
        <v>117.83333333333333</v>
      </c>
      <c r="D1431" s="11">
        <f t="shared" si="99"/>
        <v>1046.312422052677</v>
      </c>
      <c r="E1431" s="23">
        <f t="shared" si="96"/>
        <v>1044.4362495740791</v>
      </c>
      <c r="F1431" s="23">
        <f>AlphaC*(D1431-E1431)</f>
        <v>46.90431196494842</v>
      </c>
      <c r="G1431" s="13">
        <f>Phi*EpsilonF*Botzman/10^8*J1431*((D1431+273)^4-(E1431+273)^4)</f>
        <v>682.54343195038552</v>
      </c>
      <c r="H1431" s="23">
        <f t="shared" si="97"/>
        <v>650</v>
      </c>
      <c r="I1431" s="12">
        <f>ksh*Massivete/(H1431*RhoA)*DeltaT*(F1431+G1431)</f>
        <v>0.10759372124392792</v>
      </c>
      <c r="J1431" s="3">
        <f>IF(E1431&lt;=500,IF(Galva=Oui,0.35,0.7),0.7)</f>
        <v>0.7</v>
      </c>
    </row>
    <row r="1432" spans="2:10" x14ac:dyDescent="0.25">
      <c r="B1432" s="3">
        <f>B1431+DeltaT</f>
        <v>7075</v>
      </c>
      <c r="C1432" s="13">
        <f t="shared" si="98"/>
        <v>117.91666666666667</v>
      </c>
      <c r="D1432" s="11">
        <f t="shared" si="99"/>
        <v>1046.4182353312672</v>
      </c>
      <c r="E1432" s="23">
        <f t="shared" si="96"/>
        <v>1044.5438432953231</v>
      </c>
      <c r="F1432" s="23">
        <f>AlphaC*(D1432-E1432)</f>
        <v>46.859800898602089</v>
      </c>
      <c r="G1432" s="13">
        <f>Phi*EpsilonF*Botzman/10^8*J1432*((D1432+273)^4-(E1432+273)^4)</f>
        <v>682.06129634819308</v>
      </c>
      <c r="H1432" s="23">
        <f t="shared" si="97"/>
        <v>650</v>
      </c>
      <c r="I1432" s="12">
        <f>ksh*Massivete/(H1432*RhoA)*DeltaT*(F1432+G1432)</f>
        <v>0.1075160407310722</v>
      </c>
      <c r="J1432" s="3">
        <f>IF(E1432&lt;=500,IF(Galva=Oui,0.35,0.7),0.7)</f>
        <v>0.7</v>
      </c>
    </row>
    <row r="1433" spans="2:10" x14ac:dyDescent="0.25">
      <c r="B1433" s="3">
        <f>B1432+DeltaT</f>
        <v>7080</v>
      </c>
      <c r="C1433" s="13">
        <f t="shared" si="98"/>
        <v>118</v>
      </c>
      <c r="D1433" s="11">
        <f t="shared" si="99"/>
        <v>1046.5239739356955</v>
      </c>
      <c r="E1433" s="23">
        <f t="shared" si="96"/>
        <v>1044.6513593360542</v>
      </c>
      <c r="F1433" s="23">
        <f>AlphaC*(D1433-E1433)</f>
        <v>46.815364991033448</v>
      </c>
      <c r="G1433" s="13">
        <f>Phi*EpsilonF*Botzman/10^8*J1433*((D1433+273)^4-(E1433+273)^4)</f>
        <v>681.5798490606976</v>
      </c>
      <c r="H1433" s="23">
        <f t="shared" si="97"/>
        <v>650</v>
      </c>
      <c r="I1433" s="12">
        <f>ksh*Massivete/(H1433*RhoA)*DeltaT*(F1433+G1433)</f>
        <v>0.10743847283074133</v>
      </c>
      <c r="J1433" s="3">
        <f>IF(E1433&lt;=500,IF(Galva=Oui,0.35,0.7),0.7)</f>
        <v>0.7</v>
      </c>
    </row>
    <row r="1434" spans="2:10" x14ac:dyDescent="0.25">
      <c r="B1434" s="3">
        <f>B1433+DeltaT</f>
        <v>7085</v>
      </c>
      <c r="C1434" s="13">
        <f t="shared" si="98"/>
        <v>118.08333333333333</v>
      </c>
      <c r="D1434" s="11">
        <f t="shared" si="99"/>
        <v>1046.6296379712853</v>
      </c>
      <c r="E1434" s="23">
        <f t="shared" si="96"/>
        <v>1044.758797808885</v>
      </c>
      <c r="F1434" s="23">
        <f>AlphaC*(D1434-E1434)</f>
        <v>46.771004060008181</v>
      </c>
      <c r="G1434" s="13">
        <f>Phi*EpsilonF*Botzman/10^8*J1434*((D1434+273)^4-(E1434+273)^4)</f>
        <v>681.0990886043304</v>
      </c>
      <c r="H1434" s="23">
        <f t="shared" si="97"/>
        <v>650</v>
      </c>
      <c r="I1434" s="12">
        <f>ksh*Massivete/(H1434*RhoA)*DeltaT*(F1434+G1434)</f>
        <v>0.10736101729722899</v>
      </c>
      <c r="J1434" s="3">
        <f>IF(E1434&lt;=500,IF(Galva=Oui,0.35,0.7),0.7)</f>
        <v>0.7</v>
      </c>
    </row>
    <row r="1435" spans="2:10" x14ac:dyDescent="0.25">
      <c r="B1435" s="3">
        <f>B1434+DeltaT</f>
        <v>7090</v>
      </c>
      <c r="C1435" s="13">
        <f t="shared" si="98"/>
        <v>118.16666666666667</v>
      </c>
      <c r="D1435" s="11">
        <f t="shared" si="99"/>
        <v>1046.7352275431369</v>
      </c>
      <c r="E1435" s="23">
        <f t="shared" si="96"/>
        <v>1044.8661588261823</v>
      </c>
      <c r="F1435" s="23">
        <f>AlphaC*(D1435-E1435)</f>
        <v>46.72671792386609</v>
      </c>
      <c r="G1435" s="13">
        <f>Phi*EpsilonF*Botzman/10^8*J1435*((D1435+273)^4-(E1435+273)^4)</f>
        <v>680.6190134997089</v>
      </c>
      <c r="H1435" s="23">
        <f t="shared" si="97"/>
        <v>650</v>
      </c>
      <c r="I1435" s="12">
        <f>ksh*Massivete/(H1435*RhoA)*DeltaT*(F1435+G1435)</f>
        <v>0.10728367388553098</v>
      </c>
      <c r="J1435" s="3">
        <f>IF(E1435&lt;=500,IF(Galva=Oui,0.35,0.7),0.7)</f>
        <v>0.7</v>
      </c>
    </row>
    <row r="1436" spans="2:10" x14ac:dyDescent="0.25">
      <c r="B1436" s="3">
        <f>B1435+DeltaT</f>
        <v>7095</v>
      </c>
      <c r="C1436" s="13">
        <f t="shared" si="98"/>
        <v>118.25</v>
      </c>
      <c r="D1436" s="11">
        <f t="shared" si="99"/>
        <v>1046.8407427561292</v>
      </c>
      <c r="E1436" s="23">
        <f t="shared" si="96"/>
        <v>1044.9734425000679</v>
      </c>
      <c r="F1436" s="23">
        <f>AlphaC*(D1436-E1436)</f>
        <v>46.682506401532464</v>
      </c>
      <c r="G1436" s="13">
        <f>Phi*EpsilonF*Botzman/10^8*J1436*((D1436+273)^4-(E1436+273)^4)</f>
        <v>680.13962227190746</v>
      </c>
      <c r="H1436" s="23">
        <f t="shared" si="97"/>
        <v>650</v>
      </c>
      <c r="I1436" s="12">
        <f>ksh*Massivete/(H1436*RhoA)*DeltaT*(F1436+G1436)</f>
        <v>0.10720644235138681</v>
      </c>
      <c r="J1436" s="3">
        <f>IF(E1436&lt;=500,IF(Galva=Oui,0.35,0.7),0.7)</f>
        <v>0.7</v>
      </c>
    </row>
    <row r="1437" spans="2:10" x14ac:dyDescent="0.25">
      <c r="B1437" s="3">
        <f>B1436+DeltaT</f>
        <v>7100</v>
      </c>
      <c r="C1437" s="13">
        <f t="shared" si="98"/>
        <v>118.33333333333333</v>
      </c>
      <c r="D1437" s="11">
        <f t="shared" si="99"/>
        <v>1046.9461837149188</v>
      </c>
      <c r="E1437" s="23">
        <f t="shared" si="96"/>
        <v>1045.0806489424192</v>
      </c>
      <c r="F1437" s="23">
        <f>AlphaC*(D1437-E1437)</f>
        <v>46.638369312489658</v>
      </c>
      <c r="G1437" s="13">
        <f>Phi*EpsilonF*Botzman/10^8*J1437*((D1437+273)^4-(E1437+273)^4)</f>
        <v>679.66091345008999</v>
      </c>
      <c r="H1437" s="23">
        <f t="shared" si="97"/>
        <v>650</v>
      </c>
      <c r="I1437" s="12">
        <f>ksh*Massivete/(H1437*RhoA)*DeltaT*(F1437+G1437)</f>
        <v>0.10712932245122141</v>
      </c>
      <c r="J1437" s="3">
        <f>IF(E1437&lt;=500,IF(Galva=Oui,0.35,0.7),0.7)</f>
        <v>0.7</v>
      </c>
    </row>
    <row r="1438" spans="2:10" x14ac:dyDescent="0.25">
      <c r="B1438" s="3">
        <f>B1437+DeltaT</f>
        <v>7105</v>
      </c>
      <c r="C1438" s="13">
        <f t="shared" si="98"/>
        <v>118.41666666666667</v>
      </c>
      <c r="D1438" s="11">
        <f t="shared" si="99"/>
        <v>1047.0515505239423</v>
      </c>
      <c r="E1438" s="23">
        <f t="shared" si="96"/>
        <v>1045.1877782648705</v>
      </c>
      <c r="F1438" s="23">
        <f>AlphaC*(D1438-E1438)</f>
        <v>46.594306476794145</v>
      </c>
      <c r="G1438" s="13">
        <f>Phi*EpsilonF*Botzman/10^8*J1438*((D1438+273)^4-(E1438+273)^4)</f>
        <v>679.18288556768391</v>
      </c>
      <c r="H1438" s="23">
        <f t="shared" si="97"/>
        <v>650</v>
      </c>
      <c r="I1438" s="12">
        <f>ksh*Massivete/(H1438*RhoA)*DeltaT*(F1438+G1438)</f>
        <v>0.10705231394217324</v>
      </c>
      <c r="J1438" s="3">
        <f>IF(E1438&lt;=500,IF(Galva=Oui,0.35,0.7),0.7)</f>
        <v>0.7</v>
      </c>
    </row>
    <row r="1439" spans="2:10" x14ac:dyDescent="0.25">
      <c r="B1439" s="3">
        <f>B1438+DeltaT</f>
        <v>7110</v>
      </c>
      <c r="C1439" s="13">
        <f t="shared" si="98"/>
        <v>118.5</v>
      </c>
      <c r="D1439" s="11">
        <f t="shared" si="99"/>
        <v>1047.1568432874158</v>
      </c>
      <c r="E1439" s="23">
        <f t="shared" si="96"/>
        <v>1045.2948305788127</v>
      </c>
      <c r="F1439" s="23">
        <f>AlphaC*(D1439-E1439)</f>
        <v>46.550317715076517</v>
      </c>
      <c r="G1439" s="13">
        <f>Phi*EpsilonF*Botzman/10^8*J1439*((D1439+273)^4-(E1439+273)^4)</f>
        <v>678.70553716238021</v>
      </c>
      <c r="H1439" s="23">
        <f t="shared" si="97"/>
        <v>650</v>
      </c>
      <c r="I1439" s="12">
        <f>ksh*Massivete/(H1439*RhoA)*DeltaT*(F1439+G1439)</f>
        <v>0.10697541658209435</v>
      </c>
      <c r="J1439" s="3">
        <f>IF(E1439&lt;=500,IF(Galva=Oui,0.35,0.7),0.7)</f>
        <v>0.7</v>
      </c>
    </row>
    <row r="1440" spans="2:10" x14ac:dyDescent="0.25">
      <c r="B1440" s="3">
        <f>B1439+DeltaT</f>
        <v>7115</v>
      </c>
      <c r="C1440" s="13">
        <f t="shared" si="98"/>
        <v>118.58333333333333</v>
      </c>
      <c r="D1440" s="11">
        <f t="shared" si="99"/>
        <v>1047.2620621093358</v>
      </c>
      <c r="E1440" s="23">
        <f t="shared" si="96"/>
        <v>1045.4018059953949</v>
      </c>
      <c r="F1440" s="23">
        <f>AlphaC*(D1440-E1440)</f>
        <v>46.506402848524431</v>
      </c>
      <c r="G1440" s="13">
        <f>Phi*EpsilonF*Botzman/10^8*J1440*((D1440+273)^4-(E1440+273)^4)</f>
        <v>678.22886677609438</v>
      </c>
      <c r="H1440" s="23">
        <f t="shared" si="97"/>
        <v>650</v>
      </c>
      <c r="I1440" s="12">
        <f>ksh*Massivete/(H1440*RhoA)*DeltaT*(F1440+G1440)</f>
        <v>0.10689863012954204</v>
      </c>
      <c r="J1440" s="3">
        <f>IF(E1440&lt;=500,IF(Galva=Oui,0.35,0.7),0.7)</f>
        <v>0.7</v>
      </c>
    </row>
    <row r="1441" spans="2:10" x14ac:dyDescent="0.25">
      <c r="B1441" s="3">
        <f>B1440+DeltaT</f>
        <v>7120</v>
      </c>
      <c r="C1441" s="13">
        <f t="shared" si="98"/>
        <v>118.66666666666667</v>
      </c>
      <c r="D1441" s="11">
        <f t="shared" si="99"/>
        <v>1047.3672070934801</v>
      </c>
      <c r="E1441" s="23">
        <f t="shared" si="96"/>
        <v>1045.5087046255244</v>
      </c>
      <c r="F1441" s="23">
        <f>AlphaC*(D1441-E1441)</f>
        <v>46.462561698893978</v>
      </c>
      <c r="G1441" s="13">
        <f>Phi*EpsilonF*Botzman/10^8*J1441*((D1441+273)^4-(E1441+273)^4)</f>
        <v>677.75287295498674</v>
      </c>
      <c r="H1441" s="23">
        <f t="shared" si="97"/>
        <v>650</v>
      </c>
      <c r="I1441" s="12">
        <f>ksh*Massivete/(H1441*RhoA)*DeltaT*(F1441+G1441)</f>
        <v>0.10682195434378358</v>
      </c>
      <c r="J1441" s="3">
        <f>IF(E1441&lt;=500,IF(Galva=Oui,0.35,0.7),0.7)</f>
        <v>0.7</v>
      </c>
    </row>
    <row r="1442" spans="2:10" x14ac:dyDescent="0.25">
      <c r="B1442" s="3">
        <f>B1441+DeltaT</f>
        <v>7125</v>
      </c>
      <c r="C1442" s="13">
        <f t="shared" si="98"/>
        <v>118.75</v>
      </c>
      <c r="D1442" s="11">
        <f t="shared" si="99"/>
        <v>1047.4722783434077</v>
      </c>
      <c r="E1442" s="23">
        <f t="shared" si="96"/>
        <v>1045.6155265798682</v>
      </c>
      <c r="F1442" s="23">
        <f>AlphaC*(D1442-E1442)</f>
        <v>46.418794088486948</v>
      </c>
      <c r="G1442" s="13">
        <f>Phi*EpsilonF*Botzman/10^8*J1442*((D1442+273)^4-(E1442+273)^4)</f>
        <v>677.27755424909287</v>
      </c>
      <c r="H1442" s="23">
        <f t="shared" si="97"/>
        <v>650</v>
      </c>
      <c r="I1442" s="12">
        <f>ksh*Massivete/(H1442*RhoA)*DeltaT*(F1442+G1442)</f>
        <v>0.10674538898473834</v>
      </c>
      <c r="J1442" s="3">
        <f>IF(E1442&lt;=500,IF(Galva=Oui,0.35,0.7),0.7)</f>
        <v>0.7</v>
      </c>
    </row>
    <row r="1443" spans="2:10" x14ac:dyDescent="0.25">
      <c r="B1443" s="3">
        <f>B1442+DeltaT</f>
        <v>7130</v>
      </c>
      <c r="C1443" s="13">
        <f t="shared" si="98"/>
        <v>118.83333333333333</v>
      </c>
      <c r="D1443" s="11">
        <f t="shared" si="99"/>
        <v>1047.5772759624606</v>
      </c>
      <c r="E1443" s="23">
        <f t="shared" si="96"/>
        <v>1045.722271968853</v>
      </c>
      <c r="F1443" s="23">
        <f>AlphaC*(D1443-E1443)</f>
        <v>46.375099840190614</v>
      </c>
      <c r="G1443" s="13">
        <f>Phi*EpsilonF*Botzman/10^8*J1443*((D1443+273)^4-(E1443+273)^4)</f>
        <v>676.80290921308074</v>
      </c>
      <c r="H1443" s="23">
        <f t="shared" si="97"/>
        <v>650</v>
      </c>
      <c r="I1443" s="12">
        <f>ksh*Massivete/(H1443*RhoA)*DeltaT*(F1443+G1443)</f>
        <v>0.10666893381309532</v>
      </c>
      <c r="J1443" s="3">
        <f>IF(E1443&lt;=500,IF(Galva=Oui,0.35,0.7),0.7)</f>
        <v>0.7</v>
      </c>
    </row>
    <row r="1444" spans="2:10" x14ac:dyDescent="0.25">
      <c r="B1444" s="3">
        <f>B1443+DeltaT</f>
        <v>7135</v>
      </c>
      <c r="C1444" s="13">
        <f t="shared" si="98"/>
        <v>118.91666666666667</v>
      </c>
      <c r="D1444" s="11">
        <f t="shared" si="99"/>
        <v>1047.6822000537627</v>
      </c>
      <c r="E1444" s="23">
        <f t="shared" si="96"/>
        <v>1045.8289409026661</v>
      </c>
      <c r="F1444" s="23">
        <f>AlphaC*(D1444-E1444)</f>
        <v>46.331478777415214</v>
      </c>
      <c r="G1444" s="13">
        <f>Phi*EpsilonF*Botzman/10^8*J1444*((D1444+273)^4-(E1444+273)^4)</f>
        <v>676.32893640530017</v>
      </c>
      <c r="H1444" s="23">
        <f t="shared" si="97"/>
        <v>650</v>
      </c>
      <c r="I1444" s="12">
        <f>ksh*Massivete/(H1444*RhoA)*DeltaT*(F1444+G1444)</f>
        <v>0.10659258859016374</v>
      </c>
      <c r="J1444" s="3">
        <f>IF(E1444&lt;=500,IF(Galva=Oui,0.35,0.7),0.7)</f>
        <v>0.7</v>
      </c>
    </row>
    <row r="1445" spans="2:10" x14ac:dyDescent="0.25">
      <c r="B1445" s="3">
        <f>B1444+DeltaT</f>
        <v>7140</v>
      </c>
      <c r="C1445" s="13">
        <f t="shared" si="98"/>
        <v>119</v>
      </c>
      <c r="D1445" s="11">
        <f t="shared" si="99"/>
        <v>1047.7870507202224</v>
      </c>
      <c r="E1445" s="23">
        <f t="shared" si="96"/>
        <v>1045.9355334912564</v>
      </c>
      <c r="F1445" s="23">
        <f>AlphaC*(D1445-E1445)</f>
        <v>46.287930724150783</v>
      </c>
      <c r="G1445" s="13">
        <f>Phi*EpsilonF*Botzman/10^8*J1445*((D1445+273)^4-(E1445+273)^4)</f>
        <v>675.85563438853899</v>
      </c>
      <c r="H1445" s="23">
        <f t="shared" si="97"/>
        <v>650</v>
      </c>
      <c r="I1445" s="12">
        <f>ksh*Massivete/(H1445*RhoA)*DeltaT*(F1445+G1445)</f>
        <v>0.1065163530779929</v>
      </c>
      <c r="J1445" s="3">
        <f>IF(E1445&lt;=500,IF(Galva=Oui,0.35,0.7),0.7)</f>
        <v>0.7</v>
      </c>
    </row>
    <row r="1446" spans="2:10" x14ac:dyDescent="0.25">
      <c r="B1446" s="3">
        <f>B1445+DeltaT</f>
        <v>7145</v>
      </c>
      <c r="C1446" s="13">
        <f t="shared" si="98"/>
        <v>119.08333333333333</v>
      </c>
      <c r="D1446" s="11">
        <f t="shared" si="99"/>
        <v>1047.8918280645321</v>
      </c>
      <c r="E1446" s="23">
        <f t="shared" si="96"/>
        <v>1046.0420498443343</v>
      </c>
      <c r="F1446" s="23">
        <f>AlphaC*(D1446-E1446)</f>
        <v>46.244455504944426</v>
      </c>
      <c r="G1446" s="13">
        <f>Phi*EpsilonF*Botzman/10^8*J1446*((D1446+273)^4-(E1446+273)^4)</f>
        <v>675.38300172984873</v>
      </c>
      <c r="H1446" s="23">
        <f t="shared" si="97"/>
        <v>650</v>
      </c>
      <c r="I1446" s="12">
        <f>ksh*Massivete/(H1446*RhoA)*DeltaT*(F1446+G1446)</f>
        <v>0.10644022703934325</v>
      </c>
      <c r="J1446" s="3">
        <f>IF(E1446&lt;=500,IF(Galva=Oui,0.35,0.7),0.7)</f>
        <v>0.7</v>
      </c>
    </row>
    <row r="1447" spans="2:10" x14ac:dyDescent="0.25">
      <c r="B1447" s="3">
        <f>B1446+DeltaT</f>
        <v>7150</v>
      </c>
      <c r="C1447" s="13">
        <f t="shared" si="98"/>
        <v>119.16666666666667</v>
      </c>
      <c r="D1447" s="11">
        <f t="shared" si="99"/>
        <v>1047.996532189168</v>
      </c>
      <c r="E1447" s="23">
        <f t="shared" si="96"/>
        <v>1046.1484900713738</v>
      </c>
      <c r="F1447" s="23">
        <f>AlphaC*(D1447-E1447)</f>
        <v>46.201052944854837</v>
      </c>
      <c r="G1447" s="13">
        <f>Phi*EpsilonF*Botzman/10^8*J1447*((D1447+273)^4-(E1447+273)^4)</f>
        <v>674.91103699976929</v>
      </c>
      <c r="H1447" s="23">
        <f t="shared" si="97"/>
        <v>650</v>
      </c>
      <c r="I1447" s="12">
        <f>ksh*Massivete/(H1447*RhoA)*DeltaT*(F1447+G1447)</f>
        <v>0.10636421023756516</v>
      </c>
      <c r="J1447" s="3">
        <f>IF(E1447&lt;=500,IF(Galva=Oui,0.35,0.7),0.7)</f>
        <v>0.7</v>
      </c>
    </row>
    <row r="1448" spans="2:10" x14ac:dyDescent="0.25">
      <c r="B1448" s="3">
        <f>B1447+DeltaT</f>
        <v>7155</v>
      </c>
      <c r="C1448" s="13">
        <f t="shared" si="98"/>
        <v>119.25</v>
      </c>
      <c r="D1448" s="11">
        <f t="shared" si="99"/>
        <v>1048.1011631963925</v>
      </c>
      <c r="E1448" s="23">
        <f t="shared" si="96"/>
        <v>1046.2548542816114</v>
      </c>
      <c r="F1448" s="23">
        <f>AlphaC*(D1448-E1448)</f>
        <v>46.157722869526197</v>
      </c>
      <c r="G1448" s="13">
        <f>Phi*EpsilonF*Botzman/10^8*J1448*((D1448+273)^4-(E1448+273)^4)</f>
        <v>674.43973877354961</v>
      </c>
      <c r="H1448" s="23">
        <f t="shared" si="97"/>
        <v>650</v>
      </c>
      <c r="I1448" s="12">
        <f>ksh*Massivete/(H1448*RhoA)*DeltaT*(F1448+G1448)</f>
        <v>0.10628830243678998</v>
      </c>
      <c r="J1448" s="3">
        <f>IF(E1448&lt;=500,IF(Galva=Oui,0.35,0.7),0.7)</f>
        <v>0.7</v>
      </c>
    </row>
    <row r="1449" spans="2:10" x14ac:dyDescent="0.25">
      <c r="B1449" s="3">
        <f>B1448+DeltaT</f>
        <v>7160</v>
      </c>
      <c r="C1449" s="13">
        <f t="shared" si="98"/>
        <v>119.33333333333333</v>
      </c>
      <c r="D1449" s="11">
        <f t="shared" si="99"/>
        <v>1048.2057211882534</v>
      </c>
      <c r="E1449" s="23">
        <f t="shared" si="96"/>
        <v>1046.3611425840481</v>
      </c>
      <c r="F1449" s="23">
        <f>AlphaC*(D1449-E1449)</f>
        <v>46.11446510513133</v>
      </c>
      <c r="G1449" s="13">
        <f>Phi*EpsilonF*Botzman/10^8*J1449*((D1449+273)^4-(E1449+273)^4)</f>
        <v>673.96910563019878</v>
      </c>
      <c r="H1449" s="23">
        <f t="shared" si="97"/>
        <v>650</v>
      </c>
      <c r="I1449" s="12">
        <f>ksh*Massivete/(H1449*RhoA)*DeltaT*(F1449+G1449)</f>
        <v>0.10621250340178166</v>
      </c>
      <c r="J1449" s="3">
        <f>IF(E1449&lt;=500,IF(Galva=Oui,0.35,0.7),0.7)</f>
        <v>0.7</v>
      </c>
    </row>
    <row r="1450" spans="2:10" x14ac:dyDescent="0.25">
      <c r="B1450" s="3">
        <f>B1449+DeltaT</f>
        <v>7165</v>
      </c>
      <c r="C1450" s="13">
        <f t="shared" si="98"/>
        <v>119.41666666666667</v>
      </c>
      <c r="D1450" s="11">
        <f t="shared" si="99"/>
        <v>1048.310206266586</v>
      </c>
      <c r="E1450" s="23">
        <f t="shared" si="96"/>
        <v>1046.46735508745</v>
      </c>
      <c r="F1450" s="23">
        <f>AlphaC*(D1450-E1450)</f>
        <v>46.071279478400129</v>
      </c>
      <c r="G1450" s="13">
        <f>Phi*EpsilonF*Botzman/10^8*J1450*((D1450+273)^4-(E1450+273)^4)</f>
        <v>673.49913615308606</v>
      </c>
      <c r="H1450" s="23">
        <f t="shared" si="97"/>
        <v>650</v>
      </c>
      <c r="I1450" s="12">
        <f>ksh*Massivete/(H1450*RhoA)*DeltaT*(F1450+G1450)</f>
        <v>0.10613681289802943</v>
      </c>
      <c r="J1450" s="3">
        <f>IF(E1450&lt;=500,IF(Galva=Oui,0.35,0.7),0.7)</f>
        <v>0.7</v>
      </c>
    </row>
    <row r="1451" spans="2:10" x14ac:dyDescent="0.25">
      <c r="B1451" s="3">
        <f>B1450+DeltaT</f>
        <v>7170</v>
      </c>
      <c r="C1451" s="13">
        <f t="shared" si="98"/>
        <v>119.5</v>
      </c>
      <c r="D1451" s="11">
        <f t="shared" si="99"/>
        <v>1048.414618533011</v>
      </c>
      <c r="E1451" s="23">
        <f t="shared" si="96"/>
        <v>1046.573491900348</v>
      </c>
      <c r="F1451" s="23">
        <f>AlphaC*(D1451-E1451)</f>
        <v>46.028165816574074</v>
      </c>
      <c r="G1451" s="13">
        <f>Phi*EpsilonF*Botzman/10^8*J1451*((D1451+273)^4-(E1451+273)^4)</f>
        <v>673.02982892901093</v>
      </c>
      <c r="H1451" s="23">
        <f t="shared" si="97"/>
        <v>650</v>
      </c>
      <c r="I1451" s="12">
        <f>ksh*Massivete/(H1451*RhoA)*DeltaT*(F1451+G1451)</f>
        <v>0.10606123069160393</v>
      </c>
      <c r="J1451" s="3">
        <f>IF(E1451&lt;=500,IF(Galva=Oui,0.35,0.7),0.7)</f>
        <v>0.7</v>
      </c>
    </row>
    <row r="1452" spans="2:10" x14ac:dyDescent="0.25">
      <c r="B1452" s="3">
        <f>B1451+DeltaT</f>
        <v>7175</v>
      </c>
      <c r="C1452" s="13">
        <f t="shared" si="98"/>
        <v>119.58333333333333</v>
      </c>
      <c r="D1452" s="11">
        <f t="shared" si="99"/>
        <v>1048.5189580889382</v>
      </c>
      <c r="E1452" s="23">
        <f t="shared" si="96"/>
        <v>1046.6795531310397</v>
      </c>
      <c r="F1452" s="23">
        <f>AlphaC*(D1452-E1452)</f>
        <v>45.98512394746308</v>
      </c>
      <c r="G1452" s="13">
        <f>Phi*EpsilonF*Botzman/10^8*J1452*((D1452+273)^4-(E1452+273)^4)</f>
        <v>672.56118254942419</v>
      </c>
      <c r="H1452" s="23">
        <f t="shared" si="97"/>
        <v>650</v>
      </c>
      <c r="I1452" s="12">
        <f>ksh*Massivete/(H1452*RhoA)*DeltaT*(F1452+G1452)</f>
        <v>0.10598575654934575</v>
      </c>
      <c r="J1452" s="3">
        <f>IF(E1452&lt;=500,IF(Galva=Oui,0.35,0.7),0.7)</f>
        <v>0.7</v>
      </c>
    </row>
    <row r="1453" spans="2:10" x14ac:dyDescent="0.25">
      <c r="B1453" s="3">
        <f>B1452+DeltaT</f>
        <v>7180</v>
      </c>
      <c r="C1453" s="13">
        <f t="shared" si="98"/>
        <v>119.66666666666667</v>
      </c>
      <c r="D1453" s="11">
        <f t="shared" si="99"/>
        <v>1048.6232250355654</v>
      </c>
      <c r="E1453" s="23">
        <f t="shared" si="96"/>
        <v>1046.7855388875892</v>
      </c>
      <c r="F1453" s="23">
        <f>AlphaC*(D1453-E1453)</f>
        <v>45.942153699405708</v>
      </c>
      <c r="G1453" s="13">
        <f>Phi*EpsilonF*Botzman/10^8*J1453*((D1453+273)^4-(E1453+273)^4)</f>
        <v>672.09319560955566</v>
      </c>
      <c r="H1453" s="23">
        <f t="shared" si="97"/>
        <v>650</v>
      </c>
      <c r="I1453" s="12">
        <f>ksh*Massivete/(H1453*RhoA)*DeltaT*(F1453+G1453)</f>
        <v>0.10591039023873083</v>
      </c>
      <c r="J1453" s="3">
        <f>IF(E1453&lt;=500,IF(Galva=Oui,0.35,0.7),0.7)</f>
        <v>0.7</v>
      </c>
    </row>
    <row r="1454" spans="2:10" x14ac:dyDescent="0.25">
      <c r="B1454" s="3">
        <f>B1453+DeltaT</f>
        <v>7185</v>
      </c>
      <c r="C1454" s="13">
        <f t="shared" si="98"/>
        <v>119.75</v>
      </c>
      <c r="D1454" s="11">
        <f t="shared" si="99"/>
        <v>1048.7274194738789</v>
      </c>
      <c r="E1454" s="23">
        <f t="shared" si="96"/>
        <v>1046.8914492778279</v>
      </c>
      <c r="F1454" s="23">
        <f>AlphaC*(D1454-E1454)</f>
        <v>45.899254901274844</v>
      </c>
      <c r="G1454" s="13">
        <f>Phi*EpsilonF*Botzman/10^8*J1454*((D1454+273)^4-(E1454+273)^4)</f>
        <v>671.62586670864675</v>
      </c>
      <c r="H1454" s="23">
        <f t="shared" si="97"/>
        <v>650</v>
      </c>
      <c r="I1454" s="12">
        <f>ksh*Massivete/(H1454*RhoA)*DeltaT*(F1454+G1454)</f>
        <v>0.10583513152790563</v>
      </c>
      <c r="J1454" s="3">
        <f>IF(E1454&lt;=500,IF(Galva=Oui,0.35,0.7),0.7)</f>
        <v>0.7</v>
      </c>
    </row>
    <row r="1455" spans="2:10" x14ac:dyDescent="0.25">
      <c r="B1455" s="3">
        <f>B1454+DeltaT</f>
        <v>7190</v>
      </c>
      <c r="C1455" s="13">
        <f t="shared" si="98"/>
        <v>119.83333333333333</v>
      </c>
      <c r="D1455" s="11">
        <f t="shared" si="99"/>
        <v>1048.8315415046548</v>
      </c>
      <c r="E1455" s="23">
        <f t="shared" si="96"/>
        <v>1046.9972844093559</v>
      </c>
      <c r="F1455" s="23">
        <f>AlphaC*(D1455-E1455)</f>
        <v>45.85642738247202</v>
      </c>
      <c r="G1455" s="13">
        <f>Phi*EpsilonF*Botzman/10^8*J1455*((D1455+273)^4-(E1455+273)^4)</f>
        <v>671.15919444993119</v>
      </c>
      <c r="H1455" s="23">
        <f t="shared" si="97"/>
        <v>650</v>
      </c>
      <c r="I1455" s="12">
        <f>ksh*Massivete/(H1455*RhoA)*DeltaT*(F1455+G1455)</f>
        <v>0.10575998018568349</v>
      </c>
      <c r="J1455" s="3">
        <f>IF(E1455&lt;=500,IF(Galva=Oui,0.35,0.7),0.7)</f>
        <v>0.7</v>
      </c>
    </row>
    <row r="1456" spans="2:10" x14ac:dyDescent="0.25">
      <c r="B1456" s="3">
        <f>B1455+DeltaT</f>
        <v>7195</v>
      </c>
      <c r="C1456" s="13">
        <f t="shared" si="98"/>
        <v>119.91666666666667</v>
      </c>
      <c r="D1456" s="11">
        <f t="shared" si="99"/>
        <v>1048.9355912284589</v>
      </c>
      <c r="E1456" s="23">
        <f t="shared" si="96"/>
        <v>1047.1030443895415</v>
      </c>
      <c r="F1456" s="23">
        <f>AlphaC*(D1456-E1456)</f>
        <v>45.813670972933096</v>
      </c>
      <c r="G1456" s="13">
        <f>Phi*EpsilonF*Botzman/10^8*J1456*((D1456+273)^4-(E1456+273)^4)</f>
        <v>670.69317744051875</v>
      </c>
      <c r="H1456" s="23">
        <f t="shared" si="97"/>
        <v>650</v>
      </c>
      <c r="I1456" s="12">
        <f>ksh*Massivete/(H1456*RhoA)*DeltaT*(F1456+G1456)</f>
        <v>0.10568493598152823</v>
      </c>
      <c r="J1456" s="3">
        <f>IF(E1456&lt;=500,IF(Galva=Oui,0.35,0.7),0.7)</f>
        <v>0.7</v>
      </c>
    </row>
    <row r="1457" spans="2:10" x14ac:dyDescent="0.25">
      <c r="B1457" s="3">
        <f>B1456+DeltaT</f>
        <v>7200</v>
      </c>
      <c r="C1457" s="13">
        <f t="shared" si="98"/>
        <v>120</v>
      </c>
      <c r="D1457" s="11">
        <f t="shared" si="99"/>
        <v>1049.039568745648</v>
      </c>
      <c r="E1457" s="23">
        <f t="shared" si="96"/>
        <v>1047.2087293255231</v>
      </c>
      <c r="F1457" s="23">
        <f>AlphaC*(D1457-E1457)</f>
        <v>45.770985503122574</v>
      </c>
      <c r="G1457" s="13">
        <f>Phi*EpsilonF*Botzman/10^8*J1457*((D1457+273)^4-(E1457+273)^4)</f>
        <v>670.22781429162751</v>
      </c>
      <c r="H1457" s="23">
        <f t="shared" si="97"/>
        <v>650</v>
      </c>
      <c r="I1457" s="12">
        <f>ksh*Massivete/(H1457*RhoA)*DeltaT*(F1457+G1457)</f>
        <v>0.10560999868558767</v>
      </c>
      <c r="J1457" s="3">
        <f>IF(E1457&lt;=500,IF(Galva=Oui,0.35,0.7),0.7)</f>
        <v>0.7</v>
      </c>
    </row>
    <row r="1458" spans="2:10" x14ac:dyDescent="0.25">
      <c r="B1458" s="3">
        <f>B1457+DeltaT</f>
        <v>7205</v>
      </c>
      <c r="C1458" s="13">
        <f t="shared" si="98"/>
        <v>120.08333333333333</v>
      </c>
      <c r="D1458" s="11">
        <f t="shared" si="99"/>
        <v>1049.1434741563701</v>
      </c>
      <c r="E1458" s="23">
        <f t="shared" si="96"/>
        <v>1047.3143393242087</v>
      </c>
      <c r="F1458" s="23">
        <f>AlphaC*(D1458-E1458)</f>
        <v>45.728370804033602</v>
      </c>
      <c r="G1458" s="13">
        <f>Phi*EpsilonF*Botzman/10^8*J1458*((D1458+273)^4-(E1458+273)^4)</f>
        <v>669.76310361833225</v>
      </c>
      <c r="H1458" s="23">
        <f t="shared" si="97"/>
        <v>650</v>
      </c>
      <c r="I1458" s="12">
        <f>ksh*Massivete/(H1458*RhoA)*DeltaT*(F1458+G1458)</f>
        <v>0.10553516806865643</v>
      </c>
      <c r="J1458" s="3">
        <f>IF(E1458&lt;=500,IF(Galva=Oui,0.35,0.7),0.7)</f>
        <v>0.7</v>
      </c>
    </row>
    <row r="1459" spans="2:10" x14ac:dyDescent="0.25">
      <c r="B1459" s="3">
        <f>B1458+DeltaT</f>
        <v>7210</v>
      </c>
      <c r="C1459" s="13">
        <f t="shared" si="98"/>
        <v>120.16666666666667</v>
      </c>
      <c r="D1459" s="11">
        <f t="shared" si="99"/>
        <v>1049.2473075605649</v>
      </c>
      <c r="E1459" s="23">
        <f t="shared" si="96"/>
        <v>1047.4198744922774</v>
      </c>
      <c r="F1459" s="23">
        <f>AlphaC*(D1459-E1459)</f>
        <v>45.685826707187971</v>
      </c>
      <c r="G1459" s="13">
        <f>Phi*EpsilonF*Botzman/10^8*J1459*((D1459+273)^4-(E1459+273)^4)</f>
        <v>669.29904403977775</v>
      </c>
      <c r="H1459" s="23">
        <f t="shared" si="97"/>
        <v>650</v>
      </c>
      <c r="I1459" s="12">
        <f>ksh*Massivete/(H1459*RhoA)*DeltaT*(F1459+G1459)</f>
        <v>0.10546044390220746</v>
      </c>
      <c r="J1459" s="3">
        <f>IF(E1459&lt;=500,IF(Galva=Oui,0.35,0.7),0.7)</f>
        <v>0.7</v>
      </c>
    </row>
    <row r="1460" spans="2:10" x14ac:dyDescent="0.25">
      <c r="B1460" s="3">
        <f>B1459+DeltaT</f>
        <v>7215</v>
      </c>
      <c r="C1460" s="13">
        <f t="shared" si="98"/>
        <v>120.25</v>
      </c>
      <c r="D1460" s="11">
        <f t="shared" si="99"/>
        <v>1049.3510690579644</v>
      </c>
      <c r="E1460" s="23">
        <f t="shared" ref="E1460:E1523" si="100">E1459+I1459</f>
        <v>1047.5253349361797</v>
      </c>
      <c r="F1460" s="23">
        <f>AlphaC*(D1460-E1460)</f>
        <v>45.643353044619062</v>
      </c>
      <c r="G1460" s="13">
        <f>Phi*EpsilonF*Botzman/10^8*J1460*((D1460+273)^4-(E1460+273)^4)</f>
        <v>668.8356341788101</v>
      </c>
      <c r="H1460" s="23">
        <f t="shared" ref="H1460:H1523" si="101">IF(E1460&lt;600,425+0.773*E1460-1.69/1000*E1460^2+2.22/1000^2*E1460^3,IF(E1460&lt;735,666+13002/(738-E1460),IF(E1460&lt;900,545+17820/(E1460-731),650)))</f>
        <v>650</v>
      </c>
      <c r="I1460" s="12">
        <f>ksh*Massivete/(H1460*RhoA)*DeltaT*(F1460+G1460)</f>
        <v>0.10538582595833511</v>
      </c>
      <c r="J1460" s="3">
        <f>IF(E1460&lt;=500,IF(Galva=Oui,0.35,0.7),0.7)</f>
        <v>0.7</v>
      </c>
    </row>
    <row r="1461" spans="2:10" x14ac:dyDescent="0.25">
      <c r="B1461" s="3">
        <f>B1460+DeltaT</f>
        <v>7220</v>
      </c>
      <c r="C1461" s="13">
        <f t="shared" si="98"/>
        <v>120.33333333333333</v>
      </c>
      <c r="D1461" s="11">
        <f t="shared" si="99"/>
        <v>1049.4547587480934</v>
      </c>
      <c r="E1461" s="23">
        <f t="shared" si="100"/>
        <v>1047.630720762138</v>
      </c>
      <c r="F1461" s="23">
        <f>AlphaC*(D1461-E1461)</f>
        <v>45.600949648883216</v>
      </c>
      <c r="G1461" s="13">
        <f>Phi*EpsilonF*Botzman/10^8*J1461*((D1461+273)^4-(E1461+273)^4)</f>
        <v>668.37287266224814</v>
      </c>
      <c r="H1461" s="23">
        <f t="shared" si="101"/>
        <v>650</v>
      </c>
      <c r="I1461" s="12">
        <f>ksh*Massivete/(H1461*RhoA)*DeltaT*(F1461+G1461)</f>
        <v>0.10531131400979683</v>
      </c>
      <c r="J1461" s="3">
        <f>IF(E1461&lt;=500,IF(Galva=Oui,0.35,0.7),0.7)</f>
        <v>0.7</v>
      </c>
    </row>
    <row r="1462" spans="2:10" x14ac:dyDescent="0.25">
      <c r="B1462" s="3">
        <f>B1461+DeltaT</f>
        <v>7225</v>
      </c>
      <c r="C1462" s="13">
        <f t="shared" si="98"/>
        <v>120.41666666666667</v>
      </c>
      <c r="D1462" s="11">
        <f t="shared" si="99"/>
        <v>1049.5583767302705</v>
      </c>
      <c r="E1462" s="23">
        <f t="shared" si="100"/>
        <v>1047.7360320761479</v>
      </c>
      <c r="F1462" s="23">
        <f>AlphaC*(D1462-E1462)</f>
        <v>45.558616353065418</v>
      </c>
      <c r="G1462" s="13">
        <f>Phi*EpsilonF*Botzman/10^8*J1462*((D1462+273)^4-(E1462+273)^4)</f>
        <v>667.91075812084523</v>
      </c>
      <c r="H1462" s="23">
        <f t="shared" si="101"/>
        <v>650</v>
      </c>
      <c r="I1462" s="12">
        <f>ksh*Massivete/(H1462*RhoA)*DeltaT*(F1462+G1462)</f>
        <v>0.1052369078300084</v>
      </c>
      <c r="J1462" s="3">
        <f>IF(E1462&lt;=500,IF(Galva=Oui,0.35,0.7),0.7)</f>
        <v>0.7</v>
      </c>
    </row>
    <row r="1463" spans="2:10" x14ac:dyDescent="0.25">
      <c r="B1463" s="3">
        <f>B1462+DeltaT</f>
        <v>7230</v>
      </c>
      <c r="C1463" s="13">
        <f t="shared" si="98"/>
        <v>120.5</v>
      </c>
      <c r="D1463" s="11">
        <f t="shared" si="99"/>
        <v>1049.6619231036084</v>
      </c>
      <c r="E1463" s="23">
        <f t="shared" si="100"/>
        <v>1047.8412689839779</v>
      </c>
      <c r="F1463" s="23">
        <f>AlphaC*(D1463-E1463)</f>
        <v>45.516352990762243</v>
      </c>
      <c r="G1463" s="13">
        <f>Phi*EpsilonF*Botzman/10^8*J1463*((D1463+273)^4-(E1463+273)^4)</f>
        <v>667.4492891893467</v>
      </c>
      <c r="H1463" s="23">
        <f t="shared" si="101"/>
        <v>650</v>
      </c>
      <c r="I1463" s="12">
        <f>ksh*Massivete/(H1463*RhoA)*DeltaT*(F1463+G1463)</f>
        <v>0.10516260719304989</v>
      </c>
      <c r="J1463" s="3">
        <f>IF(E1463&lt;=500,IF(Galva=Oui,0.35,0.7),0.7)</f>
        <v>0.7</v>
      </c>
    </row>
    <row r="1464" spans="2:10" x14ac:dyDescent="0.25">
      <c r="B1464" s="3">
        <f>B1463+DeltaT</f>
        <v>7235</v>
      </c>
      <c r="C1464" s="13">
        <f t="shared" si="98"/>
        <v>120.58333333333333</v>
      </c>
      <c r="D1464" s="11">
        <f t="shared" si="99"/>
        <v>1049.7653979670142</v>
      </c>
      <c r="E1464" s="23">
        <f t="shared" si="100"/>
        <v>1047.9464315911709</v>
      </c>
      <c r="F1464" s="23">
        <f>AlphaC*(D1464-E1464)</f>
        <v>45.474159396081859</v>
      </c>
      <c r="G1464" s="13">
        <f>Phi*EpsilonF*Botzman/10^8*J1464*((D1464+273)^4-(E1464+273)^4)</f>
        <v>666.98846450602503</v>
      </c>
      <c r="H1464" s="23">
        <f t="shared" si="101"/>
        <v>650</v>
      </c>
      <c r="I1464" s="12">
        <f>ksh*Massivete/(H1464*RhoA)*DeltaT*(F1464+G1464)</f>
        <v>0.10508841187359703</v>
      </c>
      <c r="J1464" s="3">
        <f>IF(E1464&lt;=500,IF(Galva=Oui,0.35,0.7),0.7)</f>
        <v>0.7</v>
      </c>
    </row>
    <row r="1465" spans="2:10" x14ac:dyDescent="0.25">
      <c r="B1465" s="3">
        <f>B1464+DeltaT</f>
        <v>7240</v>
      </c>
      <c r="C1465" s="13">
        <f t="shared" si="98"/>
        <v>120.66666666666667</v>
      </c>
      <c r="D1465" s="11">
        <f t="shared" si="99"/>
        <v>1049.8688014191905</v>
      </c>
      <c r="E1465" s="23">
        <f t="shared" si="100"/>
        <v>1048.0515200030445</v>
      </c>
      <c r="F1465" s="23">
        <f>AlphaC*(D1465-E1465)</f>
        <v>45.432035403649706</v>
      </c>
      <c r="G1465" s="13">
        <f>Phi*EpsilonF*Botzman/10^8*J1465*((D1465+273)^4-(E1465+273)^4)</f>
        <v>666.52828271339706</v>
      </c>
      <c r="H1465" s="23">
        <f t="shared" si="101"/>
        <v>650</v>
      </c>
      <c r="I1465" s="12">
        <f>ksh*Massivete/(H1465*RhoA)*DeltaT*(F1465+G1465)</f>
        <v>0.10501432164702798</v>
      </c>
      <c r="J1465" s="3">
        <f>IF(E1465&lt;=500,IF(Galva=Oui,0.35,0.7),0.7)</f>
        <v>0.7</v>
      </c>
    </row>
    <row r="1466" spans="2:10" x14ac:dyDescent="0.25">
      <c r="B1466" s="3">
        <f>B1465+DeltaT</f>
        <v>7245</v>
      </c>
      <c r="C1466" s="13">
        <f t="shared" si="98"/>
        <v>120.75</v>
      </c>
      <c r="D1466" s="11">
        <f t="shared" si="99"/>
        <v>1049.9721335586355</v>
      </c>
      <c r="E1466" s="23">
        <f t="shared" si="100"/>
        <v>1048.1565343246916</v>
      </c>
      <c r="F1466" s="23">
        <f>AlphaC*(D1466-E1466)</f>
        <v>45.389980848597133</v>
      </c>
      <c r="G1466" s="13">
        <f>Phi*EpsilonF*Botzman/10^8*J1466*((D1466+273)^4-(E1466+273)^4)</f>
        <v>666.06874245744837</v>
      </c>
      <c r="H1466" s="23">
        <f t="shared" si="101"/>
        <v>650</v>
      </c>
      <c r="I1466" s="12">
        <f>ksh*Massivete/(H1466*RhoA)*DeltaT*(F1466+G1466)</f>
        <v>0.1049403362893071</v>
      </c>
      <c r="J1466" s="3">
        <f>IF(E1466&lt;=500,IF(Galva=Oui,0.35,0.7),0.7)</f>
        <v>0.7</v>
      </c>
    </row>
    <row r="1467" spans="2:10" x14ac:dyDescent="0.25">
      <c r="B1467" s="3">
        <f>B1466+DeltaT</f>
        <v>7250</v>
      </c>
      <c r="C1467" s="13">
        <f t="shared" si="98"/>
        <v>120.83333333333333</v>
      </c>
      <c r="D1467" s="11">
        <f t="shared" si="99"/>
        <v>1050.0753944836438</v>
      </c>
      <c r="E1467" s="23">
        <f t="shared" si="100"/>
        <v>1048.2614746609809</v>
      </c>
      <c r="F1467" s="23">
        <f>AlphaC*(D1467-E1467)</f>
        <v>45.347995566572763</v>
      </c>
      <c r="G1467" s="13">
        <f>Phi*EpsilonF*Botzman/10^8*J1467*((D1467+273)^4-(E1467+273)^4)</f>
        <v>665.60984238831213</v>
      </c>
      <c r="H1467" s="23">
        <f t="shared" si="101"/>
        <v>650</v>
      </c>
      <c r="I1467" s="12">
        <f>ksh*Massivete/(H1467*RhoA)*DeltaT*(F1467+G1467)</f>
        <v>0.10486645557708682</v>
      </c>
      <c r="J1467" s="3">
        <f>IF(E1467&lt;=500,IF(Galva=Oui,0.35,0.7),0.7)</f>
        <v>0.7</v>
      </c>
    </row>
    <row r="1468" spans="2:10" x14ac:dyDescent="0.25">
      <c r="B1468" s="3">
        <f>B1467+DeltaT</f>
        <v>7255</v>
      </c>
      <c r="C1468" s="13">
        <f t="shared" si="98"/>
        <v>120.91666666666667</v>
      </c>
      <c r="D1468" s="11">
        <f t="shared" si="99"/>
        <v>1050.1785842923071</v>
      </c>
      <c r="E1468" s="23">
        <f t="shared" si="100"/>
        <v>1048.366341116558</v>
      </c>
      <c r="F1468" s="23">
        <f>AlphaC*(D1468-E1468)</f>
        <v>45.30607939372544</v>
      </c>
      <c r="G1468" s="13">
        <f>Phi*EpsilonF*Botzman/10^8*J1468*((D1468+273)^4-(E1468+273)^4)</f>
        <v>665.15158115966778</v>
      </c>
      <c r="H1468" s="23">
        <f t="shared" si="101"/>
        <v>650</v>
      </c>
      <c r="I1468" s="12">
        <f>ksh*Massivete/(H1468*RhoA)*DeltaT*(F1468+G1468)</f>
        <v>0.10479267928761644</v>
      </c>
      <c r="J1468" s="3">
        <f>IF(E1468&lt;=500,IF(Galva=Oui,0.35,0.7),0.7)</f>
        <v>0.7</v>
      </c>
    </row>
    <row r="1469" spans="2:10" x14ac:dyDescent="0.25">
      <c r="B1469" s="3">
        <f>B1468+DeltaT</f>
        <v>7260</v>
      </c>
      <c r="C1469" s="13">
        <f t="shared" si="98"/>
        <v>121</v>
      </c>
      <c r="D1469" s="11">
        <f t="shared" si="99"/>
        <v>1050.281703082514</v>
      </c>
      <c r="E1469" s="23">
        <f t="shared" si="100"/>
        <v>1048.4711337958456</v>
      </c>
      <c r="F1469" s="23">
        <f>AlphaC*(D1469-E1469)</f>
        <v>45.264232166709917</v>
      </c>
      <c r="G1469" s="13">
        <f>Phi*EpsilonF*Botzman/10^8*J1469*((D1469+273)^4-(E1469+273)^4)</f>
        <v>664.69395742907079</v>
      </c>
      <c r="H1469" s="23">
        <f t="shared" si="101"/>
        <v>650</v>
      </c>
      <c r="I1469" s="12">
        <f>ksh*Massivete/(H1469*RhoA)*DeltaT*(F1469+G1469)</f>
        <v>0.10471900719879162</v>
      </c>
      <c r="J1469" s="3">
        <f>IF(E1469&lt;=500,IF(Galva=Oui,0.35,0.7),0.7)</f>
        <v>0.7</v>
      </c>
    </row>
    <row r="1470" spans="2:10" x14ac:dyDescent="0.25">
      <c r="B1470" s="3">
        <f>B1469+DeltaT</f>
        <v>7265</v>
      </c>
      <c r="C1470" s="13">
        <f t="shared" si="98"/>
        <v>121.08333333333333</v>
      </c>
      <c r="D1470" s="11">
        <f t="shared" si="99"/>
        <v>1050.3847509519517</v>
      </c>
      <c r="E1470" s="23">
        <f t="shared" si="100"/>
        <v>1048.5758528030444</v>
      </c>
      <c r="F1470" s="23">
        <f>AlphaC*(D1470-E1470)</f>
        <v>45.222453722681166</v>
      </c>
      <c r="G1470" s="13">
        <f>Phi*EpsilonF*Botzman/10^8*J1470*((D1470+273)^4-(E1470+273)^4)</f>
        <v>664.23696985789468</v>
      </c>
      <c r="H1470" s="23">
        <f t="shared" si="101"/>
        <v>650</v>
      </c>
      <c r="I1470" s="12">
        <f>ksh*Massivete/(H1470*RhoA)*DeltaT*(F1470+G1470)</f>
        <v>0.10464543908914493</v>
      </c>
      <c r="J1470" s="3">
        <f>IF(E1470&lt;=500,IF(Galva=Oui,0.35,0.7),0.7)</f>
        <v>0.7</v>
      </c>
    </row>
    <row r="1471" spans="2:10" x14ac:dyDescent="0.25">
      <c r="B1471" s="3">
        <f>B1470+DeltaT</f>
        <v>7270</v>
      </c>
      <c r="C1471" s="13">
        <f t="shared" si="98"/>
        <v>121.16666666666667</v>
      </c>
      <c r="D1471" s="11">
        <f t="shared" si="99"/>
        <v>1050.487727998106</v>
      </c>
      <c r="E1471" s="23">
        <f t="shared" si="100"/>
        <v>1048.6804982421336</v>
      </c>
      <c r="F1471" s="23">
        <f>AlphaC*(D1471-E1471)</f>
        <v>45.180743899311437</v>
      </c>
      <c r="G1471" s="13">
        <f>Phi*EpsilonF*Botzman/10^8*J1471*((D1471+273)^4-(E1471+273)^4)</f>
        <v>663.78061711133057</v>
      </c>
      <c r="H1471" s="23">
        <f t="shared" si="101"/>
        <v>650</v>
      </c>
      <c r="I1471" s="12">
        <f>ksh*Massivete/(H1471*RhoA)*DeltaT*(F1471+G1471)</f>
        <v>0.10457197473784835</v>
      </c>
      <c r="J1471" s="3">
        <f>IF(E1471&lt;=500,IF(Galva=Oui,0.35,0.7),0.7)</f>
        <v>0.7</v>
      </c>
    </row>
    <row r="1472" spans="2:10" x14ac:dyDescent="0.25">
      <c r="B1472" s="3">
        <f>B1471+DeltaT</f>
        <v>7275</v>
      </c>
      <c r="C1472" s="13">
        <f t="shared" si="98"/>
        <v>121.25</v>
      </c>
      <c r="D1472" s="11">
        <f t="shared" si="99"/>
        <v>1050.5906343182617</v>
      </c>
      <c r="E1472" s="23">
        <f t="shared" si="100"/>
        <v>1048.7850702168714</v>
      </c>
      <c r="F1472" s="23">
        <f>AlphaC*(D1472-E1472)</f>
        <v>45.139102534756148</v>
      </c>
      <c r="G1472" s="13">
        <f>Phi*EpsilonF*Botzman/10^8*J1472*((D1472+273)^4-(E1472+273)^4)</f>
        <v>663.3248978583099</v>
      </c>
      <c r="H1472" s="23">
        <f t="shared" si="101"/>
        <v>650</v>
      </c>
      <c r="I1472" s="12">
        <f>ksh*Massivete/(H1472*RhoA)*DeltaT*(F1472+G1472)</f>
        <v>0.10449861392469682</v>
      </c>
      <c r="J1472" s="3">
        <f>IF(E1472&lt;=500,IF(Galva=Oui,0.35,0.7),0.7)</f>
        <v>0.7</v>
      </c>
    </row>
    <row r="1473" spans="2:10" x14ac:dyDescent="0.25">
      <c r="B1473" s="3">
        <f>B1472+DeltaT</f>
        <v>7280</v>
      </c>
      <c r="C1473" s="13">
        <f t="shared" si="98"/>
        <v>121.33333333333333</v>
      </c>
      <c r="D1473" s="11">
        <f t="shared" si="99"/>
        <v>1050.6934700095028</v>
      </c>
      <c r="E1473" s="23">
        <f t="shared" si="100"/>
        <v>1048.8895688307962</v>
      </c>
      <c r="F1473" s="23">
        <f>AlphaC*(D1473-E1473)</f>
        <v>45.097529467665254</v>
      </c>
      <c r="G1473" s="13">
        <f>Phi*EpsilonF*Botzman/10^8*J1473*((D1473+273)^4-(E1473+273)^4)</f>
        <v>662.86981077119447</v>
      </c>
      <c r="H1473" s="23">
        <f t="shared" si="101"/>
        <v>650</v>
      </c>
      <c r="I1473" s="12">
        <f>ksh*Massivete/(H1473*RhoA)*DeltaT*(F1473+G1473)</f>
        <v>0.10442535643006422</v>
      </c>
      <c r="J1473" s="3">
        <f>IF(E1473&lt;=500,IF(Galva=Oui,0.35,0.7),0.7)</f>
        <v>0.7</v>
      </c>
    </row>
    <row r="1474" spans="2:10" x14ac:dyDescent="0.25">
      <c r="B1474" s="3">
        <f>B1473+DeltaT</f>
        <v>7285</v>
      </c>
      <c r="C1474" s="13">
        <f t="shared" si="98"/>
        <v>121.41666666666667</v>
      </c>
      <c r="D1474" s="11">
        <f t="shared" si="99"/>
        <v>1050.7962351687142</v>
      </c>
      <c r="E1474" s="23">
        <f t="shared" si="100"/>
        <v>1048.9939941872262</v>
      </c>
      <c r="F1474" s="23">
        <f>AlphaC*(D1474-E1474)</f>
        <v>45.056024537200301</v>
      </c>
      <c r="G1474" s="13">
        <f>Phi*EpsilonF*Botzman/10^8*J1474*((D1474+273)^4-(E1474+273)^4)</f>
        <v>662.41535452653204</v>
      </c>
      <c r="H1474" s="23">
        <f t="shared" si="101"/>
        <v>650</v>
      </c>
      <c r="I1474" s="12">
        <f>ksh*Massivete/(H1474*RhoA)*DeltaT*(F1474+G1474)</f>
        <v>0.1043522020350173</v>
      </c>
      <c r="J1474" s="3">
        <f>IF(E1474&lt;=500,IF(Galva=Oui,0.35,0.7),0.7)</f>
        <v>0.7</v>
      </c>
    </row>
    <row r="1475" spans="2:10" x14ac:dyDescent="0.25">
      <c r="B1475" s="3">
        <f>B1474+DeltaT</f>
        <v>7290</v>
      </c>
      <c r="C1475" s="13">
        <f t="shared" si="98"/>
        <v>121.5</v>
      </c>
      <c r="D1475" s="11">
        <f t="shared" si="99"/>
        <v>1050.8989298925812</v>
      </c>
      <c r="E1475" s="23">
        <f t="shared" si="100"/>
        <v>1049.0983463892612</v>
      </c>
      <c r="F1475" s="23">
        <f>AlphaC*(D1475-E1475)</f>
        <v>45.014587583000321</v>
      </c>
      <c r="G1475" s="13">
        <f>Phi*EpsilonF*Botzman/10^8*J1475*((D1475+273)^4-(E1475+273)^4)</f>
        <v>661.96152780424256</v>
      </c>
      <c r="H1475" s="23">
        <f t="shared" si="101"/>
        <v>650</v>
      </c>
      <c r="I1475" s="12">
        <f>ksh*Massivete/(H1475*RhoA)*DeltaT*(F1475+G1475)</f>
        <v>0.10427915052119065</v>
      </c>
      <c r="J1475" s="3">
        <f>IF(E1475&lt;=500,IF(Galva=Oui,0.35,0.7),0.7)</f>
        <v>0.7</v>
      </c>
    </row>
    <row r="1476" spans="2:10" x14ac:dyDescent="0.25">
      <c r="B1476" s="3">
        <f>B1475+DeltaT</f>
        <v>7295</v>
      </c>
      <c r="C1476" s="13">
        <f t="shared" si="98"/>
        <v>121.58333333333333</v>
      </c>
      <c r="D1476" s="11">
        <f t="shared" si="99"/>
        <v>1051.0015542775909</v>
      </c>
      <c r="E1476" s="23">
        <f t="shared" si="100"/>
        <v>1049.2026255397825</v>
      </c>
      <c r="F1476" s="23">
        <f>AlphaC*(D1476-E1476)</f>
        <v>44.97321844521025</v>
      </c>
      <c r="G1476" s="13">
        <f>Phi*EpsilonF*Botzman/10^8*J1476*((D1476+273)^4-(E1476+273)^4)</f>
        <v>661.50832928821887</v>
      </c>
      <c r="H1476" s="23">
        <f t="shared" si="101"/>
        <v>650</v>
      </c>
      <c r="I1476" s="12">
        <f>ksh*Massivete/(H1476*RhoA)*DeltaT*(F1476+G1476)</f>
        <v>0.10420620167087948</v>
      </c>
      <c r="J1476" s="3">
        <f>IF(E1476&lt;=500,IF(Galva=Oui,0.35,0.7),0.7)</f>
        <v>0.7</v>
      </c>
    </row>
    <row r="1477" spans="2:10" x14ac:dyDescent="0.25">
      <c r="B1477" s="3">
        <f>B1476+DeltaT</f>
        <v>7300</v>
      </c>
      <c r="C1477" s="13">
        <f t="shared" si="98"/>
        <v>121.66666666666667</v>
      </c>
      <c r="D1477" s="11">
        <f t="shared" si="99"/>
        <v>1051.1041084200319</v>
      </c>
      <c r="E1477" s="23">
        <f t="shared" si="100"/>
        <v>1049.3068317414534</v>
      </c>
      <c r="F1477" s="23">
        <f>AlphaC*(D1477-E1477)</f>
        <v>44.931916964463881</v>
      </c>
      <c r="G1477" s="13">
        <f>Phi*EpsilonF*Botzman/10^8*J1477*((D1477+273)^4-(E1477+273)^4)</f>
        <v>661.05575766584207</v>
      </c>
      <c r="H1477" s="23">
        <f t="shared" si="101"/>
        <v>650</v>
      </c>
      <c r="I1477" s="12">
        <f>ksh*Massivete/(H1477*RhoA)*DeltaT*(F1477+G1477)</f>
        <v>0.10413335526696561</v>
      </c>
      <c r="J1477" s="3">
        <f>IF(E1477&lt;=500,IF(Galva=Oui,0.35,0.7),0.7)</f>
        <v>0.7</v>
      </c>
    </row>
    <row r="1478" spans="2:10" x14ac:dyDescent="0.25">
      <c r="B1478" s="3">
        <f>B1477+DeltaT</f>
        <v>7305</v>
      </c>
      <c r="C1478" s="13">
        <f t="shared" si="98"/>
        <v>121.75</v>
      </c>
      <c r="D1478" s="11">
        <f t="shared" si="99"/>
        <v>1051.2065924159951</v>
      </c>
      <c r="E1478" s="23">
        <f t="shared" si="100"/>
        <v>1049.4109650967202</v>
      </c>
      <c r="F1478" s="23">
        <f>AlphaC*(D1478-E1478)</f>
        <v>44.890682981872487</v>
      </c>
      <c r="G1478" s="13">
        <f>Phi*EpsilonF*Botzman/10^8*J1478*((D1478+273)^4-(E1478+273)^4)</f>
        <v>660.60381162829174</v>
      </c>
      <c r="H1478" s="23">
        <f t="shared" si="101"/>
        <v>650</v>
      </c>
      <c r="I1478" s="12">
        <f>ksh*Massivete/(H1478*RhoA)*DeltaT*(F1478+G1478)</f>
        <v>0.10406061109296162</v>
      </c>
      <c r="J1478" s="3">
        <f>IF(E1478&lt;=500,IF(Galva=Oui,0.35,0.7),0.7)</f>
        <v>0.7</v>
      </c>
    </row>
    <row r="1479" spans="2:10" x14ac:dyDescent="0.25">
      <c r="B1479" s="3">
        <f>B1478+DeltaT</f>
        <v>7310</v>
      </c>
      <c r="C1479" s="13">
        <f t="shared" si="98"/>
        <v>121.83333333333333</v>
      </c>
      <c r="D1479" s="11">
        <f t="shared" si="99"/>
        <v>1051.3090063613747</v>
      </c>
      <c r="E1479" s="23">
        <f t="shared" si="100"/>
        <v>1049.5150257078133</v>
      </c>
      <c r="F1479" s="23">
        <f>AlphaC*(D1479-E1479)</f>
        <v>44.849516339036199</v>
      </c>
      <c r="G1479" s="13">
        <f>Phi*EpsilonF*Botzman/10^8*J1479*((D1479+273)^4-(E1479+273)^4)</f>
        <v>660.15248987025529</v>
      </c>
      <c r="H1479" s="23">
        <f t="shared" si="101"/>
        <v>650</v>
      </c>
      <c r="I1479" s="12">
        <f>ksh*Massivete/(H1479*RhoA)*DeltaT*(F1479+G1479)</f>
        <v>0.10398796893296952</v>
      </c>
      <c r="J1479" s="3">
        <f>IF(E1479&lt;=500,IF(Galva=Oui,0.35,0.7),0.7)</f>
        <v>0.7</v>
      </c>
    </row>
    <row r="1480" spans="2:10" x14ac:dyDescent="0.25">
      <c r="B1480" s="3">
        <f>B1479+DeltaT</f>
        <v>7315</v>
      </c>
      <c r="C1480" s="13">
        <f t="shared" si="98"/>
        <v>121.91666666666667</v>
      </c>
      <c r="D1480" s="11">
        <f t="shared" si="99"/>
        <v>1051.4113503518679</v>
      </c>
      <c r="E1480" s="23">
        <f t="shared" si="100"/>
        <v>1049.6190136767461</v>
      </c>
      <c r="F1480" s="23">
        <f>AlphaC*(D1480-E1480)</f>
        <v>44.808416878044</v>
      </c>
      <c r="G1480" s="13">
        <f>Phi*EpsilonF*Botzman/10^8*J1480*((D1480+273)^4-(E1480+273)^4)</f>
        <v>659.70179109010223</v>
      </c>
      <c r="H1480" s="23">
        <f t="shared" si="101"/>
        <v>650</v>
      </c>
      <c r="I1480" s="12">
        <f>ksh*Massivete/(H1480*RhoA)*DeltaT*(F1480+G1480)</f>
        <v>0.1039154285717066</v>
      </c>
      <c r="J1480" s="3">
        <f>IF(E1480&lt;=500,IF(Galva=Oui,0.35,0.7),0.7)</f>
        <v>0.7</v>
      </c>
    </row>
    <row r="1481" spans="2:10" x14ac:dyDescent="0.25">
      <c r="B1481" s="3">
        <f>B1480+DeltaT</f>
        <v>7320</v>
      </c>
      <c r="C1481" s="13">
        <f t="shared" si="98"/>
        <v>122</v>
      </c>
      <c r="D1481" s="11">
        <f t="shared" si="99"/>
        <v>1051.5136244829766</v>
      </c>
      <c r="E1481" s="23">
        <f t="shared" si="100"/>
        <v>1049.7229291053179</v>
      </c>
      <c r="F1481" s="23">
        <f>AlphaC*(D1481-E1481)</f>
        <v>44.767384441468039</v>
      </c>
      <c r="G1481" s="13">
        <f>Phi*EpsilonF*Botzman/10^8*J1481*((D1481+273)^4-(E1481+273)^4)</f>
        <v>659.25171398996179</v>
      </c>
      <c r="H1481" s="23">
        <f t="shared" si="101"/>
        <v>650</v>
      </c>
      <c r="I1481" s="12">
        <f>ksh*Massivete/(H1481*RhoA)*DeltaT*(F1481+G1481)</f>
        <v>0.10384298979451596</v>
      </c>
      <c r="J1481" s="3">
        <f>IF(E1481&lt;=500,IF(Galva=Oui,0.35,0.7),0.7)</f>
        <v>0.7</v>
      </c>
    </row>
    <row r="1482" spans="2:10" x14ac:dyDescent="0.25">
      <c r="B1482" s="3">
        <f>B1481+DeltaT</f>
        <v>7325</v>
      </c>
      <c r="C1482" s="13">
        <f t="shared" si="98"/>
        <v>122.08333333333333</v>
      </c>
      <c r="D1482" s="11">
        <f t="shared" si="99"/>
        <v>1051.6158288500067</v>
      </c>
      <c r="E1482" s="23">
        <f t="shared" si="100"/>
        <v>1049.8267720951123</v>
      </c>
      <c r="F1482" s="23">
        <f>AlphaC*(D1482-E1482)</f>
        <v>44.726418872357954</v>
      </c>
      <c r="G1482" s="13">
        <f>Phi*EpsilonF*Botzman/10^8*J1482*((D1482+273)^4-(E1482+273)^4)</f>
        <v>658.80225727550987</v>
      </c>
      <c r="H1482" s="23">
        <f t="shared" si="101"/>
        <v>650</v>
      </c>
      <c r="I1482" s="12">
        <f>ksh*Massivete/(H1482*RhoA)*DeltaT*(F1482+G1482)</f>
        <v>0.10377065238733427</v>
      </c>
      <c r="J1482" s="3">
        <f>IF(E1482&lt;=500,IF(Galva=Oui,0.35,0.7),0.7)</f>
        <v>0.7</v>
      </c>
    </row>
    <row r="1483" spans="2:10" x14ac:dyDescent="0.25">
      <c r="B1483" s="3">
        <f>B1482+DeltaT</f>
        <v>7330</v>
      </c>
      <c r="C1483" s="13">
        <f t="shared" si="98"/>
        <v>122.16666666666667</v>
      </c>
      <c r="D1483" s="11">
        <f t="shared" si="99"/>
        <v>1051.7179635480697</v>
      </c>
      <c r="E1483" s="23">
        <f t="shared" si="100"/>
        <v>1049.9305427474997</v>
      </c>
      <c r="F1483" s="23">
        <f>AlphaC*(D1483-E1483)</f>
        <v>44.685520014252234</v>
      </c>
      <c r="G1483" s="13">
        <f>Phi*EpsilonF*Botzman/10^8*J1483*((D1483+273)^4-(E1483+273)^4)</f>
        <v>658.35341965620114</v>
      </c>
      <c r="H1483" s="23">
        <f t="shared" si="101"/>
        <v>650</v>
      </c>
      <c r="I1483" s="12">
        <f>ksh*Massivete/(H1483*RhoA)*DeltaT*(F1483+G1483)</f>
        <v>0.10369841613672762</v>
      </c>
      <c r="J1483" s="3">
        <f>IF(E1483&lt;=500,IF(Galva=Oui,0.35,0.7),0.7)</f>
        <v>0.7</v>
      </c>
    </row>
    <row r="1484" spans="2:10" x14ac:dyDescent="0.25">
      <c r="B1484" s="3">
        <f>B1483+DeltaT</f>
        <v>7335</v>
      </c>
      <c r="C1484" s="13">
        <f t="shared" si="98"/>
        <v>122.25</v>
      </c>
      <c r="D1484" s="11">
        <f t="shared" si="99"/>
        <v>1051.8200286720826</v>
      </c>
      <c r="E1484" s="23">
        <f t="shared" si="100"/>
        <v>1050.0342411636364</v>
      </c>
      <c r="F1484" s="23">
        <f>AlphaC*(D1484-E1484)</f>
        <v>44.644687711155484</v>
      </c>
      <c r="G1484" s="13">
        <f>Phi*EpsilonF*Botzman/10^8*J1484*((D1484+273)^4-(E1484+273)^4)</f>
        <v>657.90519984476578</v>
      </c>
      <c r="H1484" s="23">
        <f t="shared" si="101"/>
        <v>650</v>
      </c>
      <c r="I1484" s="12">
        <f>ksh*Massivete/(H1484*RhoA)*DeltaT*(F1484+G1484)</f>
        <v>0.10362628082981408</v>
      </c>
      <c r="J1484" s="3">
        <f>IF(E1484&lt;=500,IF(Galva=Oui,0.35,0.7),0.7)</f>
        <v>0.7</v>
      </c>
    </row>
    <row r="1485" spans="2:10" x14ac:dyDescent="0.25">
      <c r="B1485" s="3">
        <f>B1484+DeltaT</f>
        <v>7340</v>
      </c>
      <c r="C1485" s="13">
        <f t="shared" si="98"/>
        <v>122.33333333333333</v>
      </c>
      <c r="D1485" s="11">
        <f t="shared" si="99"/>
        <v>1051.9220243167676</v>
      </c>
      <c r="E1485" s="23">
        <f t="shared" si="100"/>
        <v>1050.1378674444661</v>
      </c>
      <c r="F1485" s="23">
        <f>AlphaC*(D1485-E1485)</f>
        <v>44.603921807538427</v>
      </c>
      <c r="G1485" s="13">
        <f>Phi*EpsilonF*Botzman/10^8*J1485*((D1485+273)^4-(E1485+273)^4)</f>
        <v>657.45759655761594</v>
      </c>
      <c r="H1485" s="23">
        <f t="shared" si="101"/>
        <v>650</v>
      </c>
      <c r="I1485" s="12">
        <f>ksh*Massivete/(H1485*RhoA)*DeltaT*(F1485+G1485)</f>
        <v>0.10355424625432351</v>
      </c>
      <c r="J1485" s="3">
        <f>IF(E1485&lt;=500,IF(Galva=Oui,0.35,0.7),0.7)</f>
        <v>0.7</v>
      </c>
    </row>
    <row r="1486" spans="2:10" x14ac:dyDescent="0.25">
      <c r="B1486" s="3">
        <f>B1485+DeltaT</f>
        <v>7345</v>
      </c>
      <c r="C1486" s="13">
        <f t="shared" si="98"/>
        <v>122.41666666666667</v>
      </c>
      <c r="D1486" s="11">
        <f t="shared" si="99"/>
        <v>1052.0239505766554</v>
      </c>
      <c r="E1486" s="23">
        <f t="shared" si="100"/>
        <v>1050.2414216907205</v>
      </c>
      <c r="F1486" s="23">
        <f>AlphaC*(D1486-E1486)</f>
        <v>44.563222148372006</v>
      </c>
      <c r="G1486" s="13">
        <f>Phi*EpsilonF*Botzman/10^8*J1486*((D1486+273)^4-(E1486+273)^4)</f>
        <v>657.01060851494299</v>
      </c>
      <c r="H1486" s="23">
        <f t="shared" si="101"/>
        <v>650</v>
      </c>
      <c r="I1486" s="12">
        <f>ksh*Massivete/(H1486*RhoA)*DeltaT*(F1486+G1486)</f>
        <v>0.103482312198617</v>
      </c>
      <c r="J1486" s="3">
        <f>IF(E1486&lt;=500,IF(Galva=Oui,0.35,0.7),0.7)</f>
        <v>0.7</v>
      </c>
    </row>
    <row r="1487" spans="2:10" x14ac:dyDescent="0.25">
      <c r="B1487" s="3">
        <f>B1486+DeltaT</f>
        <v>7350</v>
      </c>
      <c r="C1487" s="13">
        <f t="shared" si="98"/>
        <v>122.5</v>
      </c>
      <c r="D1487" s="11">
        <f t="shared" si="99"/>
        <v>1052.1258075460823</v>
      </c>
      <c r="E1487" s="23">
        <f t="shared" si="100"/>
        <v>1050.3449040029191</v>
      </c>
      <c r="F1487" s="23">
        <f>AlphaC*(D1487-E1487)</f>
        <v>44.522588579081912</v>
      </c>
      <c r="G1487" s="13">
        <f>Phi*EpsilonF*Botzman/10^8*J1487*((D1487+273)^4-(E1487+273)^4)</f>
        <v>656.56423444029087</v>
      </c>
      <c r="H1487" s="23">
        <f t="shared" si="101"/>
        <v>650</v>
      </c>
      <c r="I1487" s="12">
        <f>ksh*Massivete/(H1487*RhoA)*DeltaT*(F1487+G1487)</f>
        <v>0.10341047845161722</v>
      </c>
      <c r="J1487" s="3">
        <f>IF(E1487&lt;=500,IF(Galva=Oui,0.35,0.7),0.7)</f>
        <v>0.7</v>
      </c>
    </row>
    <row r="1488" spans="2:10" x14ac:dyDescent="0.25">
      <c r="B1488" s="3">
        <f>B1487+DeltaT</f>
        <v>7355</v>
      </c>
      <c r="C1488" s="13">
        <f t="shared" si="98"/>
        <v>122.58333333333333</v>
      </c>
      <c r="D1488" s="11">
        <f t="shared" si="99"/>
        <v>1052.2275953191929</v>
      </c>
      <c r="E1488" s="23">
        <f t="shared" si="100"/>
        <v>1050.4483144813707</v>
      </c>
      <c r="F1488" s="23">
        <f>AlphaC*(D1488-E1488)</f>
        <v>44.482020945554268</v>
      </c>
      <c r="G1488" s="13">
        <f>Phi*EpsilonF*Botzman/10^8*J1488*((D1488+273)^4-(E1488+273)^4)</f>
        <v>656.11847306073082</v>
      </c>
      <c r="H1488" s="23">
        <f t="shared" si="101"/>
        <v>650</v>
      </c>
      <c r="I1488" s="12">
        <f>ksh*Massivete/(H1488*RhoA)*DeltaT*(F1488+G1488)</f>
        <v>0.103338744802835</v>
      </c>
      <c r="J1488" s="3">
        <f>IF(E1488&lt;=500,IF(Galva=Oui,0.35,0.7),0.7)</f>
        <v>0.7</v>
      </c>
    </row>
    <row r="1489" spans="2:10" x14ac:dyDescent="0.25">
      <c r="B1489" s="3">
        <f>B1488+DeltaT</f>
        <v>7360</v>
      </c>
      <c r="C1489" s="13">
        <f t="shared" si="98"/>
        <v>122.66666666666667</v>
      </c>
      <c r="D1489" s="11">
        <f t="shared" si="99"/>
        <v>1052.3293139899406</v>
      </c>
      <c r="E1489" s="23">
        <f t="shared" si="100"/>
        <v>1050.5516532261736</v>
      </c>
      <c r="F1489" s="23">
        <f>AlphaC*(D1489-E1489)</f>
        <v>44.441519094175419</v>
      </c>
      <c r="G1489" s="13">
        <f>Phi*EpsilonF*Botzman/10^8*J1489*((D1489+273)^4-(E1489+273)^4)</f>
        <v>655.67332310715165</v>
      </c>
      <c r="H1489" s="23">
        <f t="shared" si="101"/>
        <v>650</v>
      </c>
      <c r="I1489" s="12">
        <f>ksh*Massivete/(H1489*RhoA)*DeltaT*(F1489+G1489)</f>
        <v>0.10326711104241813</v>
      </c>
      <c r="J1489" s="3">
        <f>IF(E1489&lt;=500,IF(Galva=Oui,0.35,0.7),0.7)</f>
        <v>0.7</v>
      </c>
    </row>
    <row r="1490" spans="2:10" x14ac:dyDescent="0.25">
      <c r="B1490" s="3">
        <f>B1489+DeltaT</f>
        <v>7365</v>
      </c>
      <c r="C1490" s="13">
        <f t="shared" ref="C1490:C1553" si="102">B1490/60</f>
        <v>122.75</v>
      </c>
      <c r="D1490" s="11">
        <f t="shared" ref="D1490:D1553" si="103">20+345*LOG(8*C1490+1,10)</f>
        <v>1052.4309636520868</v>
      </c>
      <c r="E1490" s="23">
        <f t="shared" si="100"/>
        <v>1050.654920337216</v>
      </c>
      <c r="F1490" s="23">
        <f>AlphaC*(D1490-E1490)</f>
        <v>44.401082871769404</v>
      </c>
      <c r="G1490" s="13">
        <f>Phi*EpsilonF*Botzman/10^8*J1490*((D1490+273)^4-(E1490+273)^4)</f>
        <v>655.22878331365962</v>
      </c>
      <c r="H1490" s="23">
        <f t="shared" si="101"/>
        <v>650</v>
      </c>
      <c r="I1490" s="12">
        <f>ksh*Massivete/(H1490*RhoA)*DeltaT*(F1490+G1490)</f>
        <v>0.10319557696105344</v>
      </c>
      <c r="J1490" s="3">
        <f>IF(E1490&lt;=500,IF(Galva=Oui,0.35,0.7),0.7)</f>
        <v>0.7</v>
      </c>
    </row>
    <row r="1491" spans="2:10" x14ac:dyDescent="0.25">
      <c r="B1491" s="3">
        <f>B1490+DeltaT</f>
        <v>7370</v>
      </c>
      <c r="C1491" s="13">
        <f t="shared" si="102"/>
        <v>122.83333333333333</v>
      </c>
      <c r="D1491" s="11">
        <f t="shared" si="103"/>
        <v>1052.5325443992024</v>
      </c>
      <c r="E1491" s="23">
        <f t="shared" si="100"/>
        <v>1050.7581159141771</v>
      </c>
      <c r="F1491" s="23">
        <f>AlphaC*(D1491-E1491)</f>
        <v>44.360712125632062</v>
      </c>
      <c r="G1491" s="13">
        <f>Phi*EpsilonF*Botzman/10^8*J1491*((D1491+273)^4-(E1491+273)^4)</f>
        <v>654.78485241790725</v>
      </c>
      <c r="H1491" s="23">
        <f t="shared" si="101"/>
        <v>650</v>
      </c>
      <c r="I1491" s="12">
        <f>ksh*Massivete/(H1491*RhoA)*DeltaT*(F1491+G1491)</f>
        <v>0.10312414235002049</v>
      </c>
      <c r="J1491" s="3">
        <f>IF(E1491&lt;=500,IF(Galva=Oui,0.35,0.7),0.7)</f>
        <v>0.7</v>
      </c>
    </row>
    <row r="1492" spans="2:10" x14ac:dyDescent="0.25">
      <c r="B1492" s="3">
        <f>B1491+DeltaT</f>
        <v>7375</v>
      </c>
      <c r="C1492" s="13">
        <f t="shared" si="102"/>
        <v>122.91666666666667</v>
      </c>
      <c r="D1492" s="11">
        <f t="shared" si="103"/>
        <v>1052.6340563246683</v>
      </c>
      <c r="E1492" s="23">
        <f t="shared" si="100"/>
        <v>1050.8612400565271</v>
      </c>
      <c r="F1492" s="23">
        <f>AlphaC*(D1492-E1492)</f>
        <v>44.320406703531035</v>
      </c>
      <c r="G1492" s="13">
        <f>Phi*EpsilonF*Botzman/10^8*J1492*((D1492+273)^4-(E1492+273)^4)</f>
        <v>654.34152916122923</v>
      </c>
      <c r="H1492" s="23">
        <f t="shared" si="101"/>
        <v>650</v>
      </c>
      <c r="I1492" s="12">
        <f>ksh*Massivete/(H1492*RhoA)*DeltaT*(F1492+G1492)</f>
        <v>0.10305280700121151</v>
      </c>
      <c r="J1492" s="3">
        <f>IF(E1492&lt;=500,IF(Galva=Oui,0.35,0.7),0.7)</f>
        <v>0.7</v>
      </c>
    </row>
    <row r="1493" spans="2:10" x14ac:dyDescent="0.25">
      <c r="B1493" s="3">
        <f>B1492+DeltaT</f>
        <v>7380</v>
      </c>
      <c r="C1493" s="13">
        <f t="shared" si="102"/>
        <v>123</v>
      </c>
      <c r="D1493" s="11">
        <f t="shared" si="103"/>
        <v>1052.735499521676</v>
      </c>
      <c r="E1493" s="23">
        <f t="shared" si="100"/>
        <v>1050.9642928635283</v>
      </c>
      <c r="F1493" s="23">
        <f>AlphaC*(D1493-E1493)</f>
        <v>44.280166453694392</v>
      </c>
      <c r="G1493" s="13">
        <f>Phi*EpsilonF*Botzman/10^8*J1493*((D1493+273)^4-(E1493+273)^4)</f>
        <v>653.89881228841</v>
      </c>
      <c r="H1493" s="23">
        <f t="shared" si="101"/>
        <v>650</v>
      </c>
      <c r="I1493" s="12">
        <f>ksh*Massivete/(H1493*RhoA)*DeltaT*(F1493+G1493)</f>
        <v>0.10298157070709552</v>
      </c>
      <c r="J1493" s="3">
        <f>IF(E1493&lt;=500,IF(Galva=Oui,0.35,0.7),0.7)</f>
        <v>0.7</v>
      </c>
    </row>
    <row r="1494" spans="2:10" x14ac:dyDescent="0.25">
      <c r="B1494" s="3">
        <f>B1493+DeltaT</f>
        <v>7385</v>
      </c>
      <c r="C1494" s="13">
        <f t="shared" si="102"/>
        <v>123.08333333333333</v>
      </c>
      <c r="D1494" s="11">
        <f t="shared" si="103"/>
        <v>1052.836874083227</v>
      </c>
      <c r="E1494" s="23">
        <f t="shared" si="100"/>
        <v>1051.0672744342353</v>
      </c>
      <c r="F1494" s="23">
        <f>AlphaC*(D1494-E1494)</f>
        <v>44.239991224793584</v>
      </c>
      <c r="G1494" s="13">
        <f>Phi*EpsilonF*Botzman/10^8*J1494*((D1494+273)^4-(E1494+273)^4)</f>
        <v>653.45670054750917</v>
      </c>
      <c r="H1494" s="23">
        <f t="shared" si="101"/>
        <v>650</v>
      </c>
      <c r="I1494" s="12">
        <f>ksh*Massivete/(H1494*RhoA)*DeltaT*(F1494+G1494)</f>
        <v>0.10291043326068998</v>
      </c>
      <c r="J1494" s="3">
        <f>IF(E1494&lt;=500,IF(Galva=Oui,0.35,0.7),0.7)</f>
        <v>0.7</v>
      </c>
    </row>
    <row r="1495" spans="2:10" x14ac:dyDescent="0.25">
      <c r="B1495" s="3">
        <f>B1494+DeltaT</f>
        <v>7390</v>
      </c>
      <c r="C1495" s="13">
        <f t="shared" si="102"/>
        <v>123.16666666666667</v>
      </c>
      <c r="D1495" s="11">
        <f t="shared" si="103"/>
        <v>1052.9381801021348</v>
      </c>
      <c r="E1495" s="23">
        <f t="shared" si="100"/>
        <v>1051.1701848674959</v>
      </c>
      <c r="F1495" s="23">
        <f>AlphaC*(D1495-E1495)</f>
        <v>44.199880865971863</v>
      </c>
      <c r="G1495" s="13">
        <f>Phi*EpsilonF*Botzman/10^8*J1495*((D1495+273)^4-(E1495+273)^4)</f>
        <v>653.01519269015205</v>
      </c>
      <c r="H1495" s="23">
        <f t="shared" si="101"/>
        <v>650</v>
      </c>
      <c r="I1495" s="12">
        <f>ksh*Massivete/(H1495*RhoA)*DeltaT*(F1495+G1495)</f>
        <v>0.10283939445560793</v>
      </c>
      <c r="J1495" s="3">
        <f>IF(E1495&lt;=500,IF(Galva=Oui,0.35,0.7),0.7)</f>
        <v>0.7</v>
      </c>
    </row>
    <row r="1496" spans="2:10" x14ac:dyDescent="0.25">
      <c r="B1496" s="3">
        <f>B1495+DeltaT</f>
        <v>7395</v>
      </c>
      <c r="C1496" s="13">
        <f t="shared" si="102"/>
        <v>123.25</v>
      </c>
      <c r="D1496" s="11">
        <f t="shared" si="103"/>
        <v>1053.0394176710247</v>
      </c>
      <c r="E1496" s="23">
        <f t="shared" si="100"/>
        <v>1051.2730242619516</v>
      </c>
      <c r="F1496" s="23">
        <f>AlphaC*(D1496-E1496)</f>
        <v>44.159835226827227</v>
      </c>
      <c r="G1496" s="13">
        <f>Phi*EpsilonF*Botzman/10^8*J1496*((D1496+273)^4-(E1496+273)^4)</f>
        <v>652.57428747147196</v>
      </c>
      <c r="H1496" s="23">
        <f t="shared" si="101"/>
        <v>650</v>
      </c>
      <c r="I1496" s="12">
        <f>ksh*Massivete/(H1496*RhoA)*DeltaT*(F1496+G1496)</f>
        <v>0.10276845408604689</v>
      </c>
      <c r="J1496" s="3">
        <f>IF(E1496&lt;=500,IF(Galva=Oui,0.35,0.7),0.7)</f>
        <v>0.7</v>
      </c>
    </row>
    <row r="1497" spans="2:10" x14ac:dyDescent="0.25">
      <c r="B1497" s="3">
        <f>B1496+DeltaT</f>
        <v>7400</v>
      </c>
      <c r="C1497" s="13">
        <f t="shared" si="102"/>
        <v>123.33333333333333</v>
      </c>
      <c r="D1497" s="11">
        <f t="shared" si="103"/>
        <v>1053.140586882334</v>
      </c>
      <c r="E1497" s="23">
        <f t="shared" si="100"/>
        <v>1051.3757927160377</v>
      </c>
      <c r="F1497" s="23">
        <f>AlphaC*(D1497-E1497)</f>
        <v>44.119854157406735</v>
      </c>
      <c r="G1497" s="13">
        <f>Phi*EpsilonF*Botzman/10^8*J1497*((D1497+273)^4-(E1497+273)^4)</f>
        <v>652.13398365001296</v>
      </c>
      <c r="H1497" s="23">
        <f t="shared" si="101"/>
        <v>650</v>
      </c>
      <c r="I1497" s="12">
        <f>ksh*Massivete/(H1497*RhoA)*DeltaT*(F1497+G1497)</f>
        <v>0.10269761194677371</v>
      </c>
      <c r="J1497" s="3">
        <f>IF(E1497&lt;=500,IF(Galva=Oui,0.35,0.7),0.7)</f>
        <v>0.7</v>
      </c>
    </row>
    <row r="1498" spans="2:10" x14ac:dyDescent="0.25">
      <c r="B1498" s="3">
        <f>B1497+DeltaT</f>
        <v>7405</v>
      </c>
      <c r="C1498" s="13">
        <f t="shared" si="102"/>
        <v>123.41666666666667</v>
      </c>
      <c r="D1498" s="11">
        <f t="shared" si="103"/>
        <v>1053.2416878283134</v>
      </c>
      <c r="E1498" s="23">
        <f t="shared" si="100"/>
        <v>1051.4784903279844</v>
      </c>
      <c r="F1498" s="23">
        <f>AlphaC*(D1498-E1498)</f>
        <v>44.079937508223566</v>
      </c>
      <c r="G1498" s="13">
        <f>Phi*EpsilonF*Botzman/10^8*J1498*((D1498+273)^4-(E1498+273)^4)</f>
        <v>651.69427998773006</v>
      </c>
      <c r="H1498" s="23">
        <f t="shared" si="101"/>
        <v>650</v>
      </c>
      <c r="I1498" s="12">
        <f>ksh*Massivete/(H1498*RhoA)*DeltaT*(F1498+G1498)</f>
        <v>0.10262686783312709</v>
      </c>
      <c r="J1498" s="3">
        <f>IF(E1498&lt;=500,IF(Galva=Oui,0.35,0.7),0.7)</f>
        <v>0.7</v>
      </c>
    </row>
    <row r="1499" spans="2:10" x14ac:dyDescent="0.25">
      <c r="B1499" s="3">
        <f>B1498+DeltaT</f>
        <v>7410</v>
      </c>
      <c r="C1499" s="13">
        <f t="shared" si="102"/>
        <v>123.5</v>
      </c>
      <c r="D1499" s="11">
        <f t="shared" si="103"/>
        <v>1053.3427206010269</v>
      </c>
      <c r="E1499" s="23">
        <f t="shared" si="100"/>
        <v>1051.5811171958176</v>
      </c>
      <c r="F1499" s="23">
        <f>AlphaC*(D1499-E1499)</f>
        <v>44.040085130234274</v>
      </c>
      <c r="G1499" s="13">
        <f>Phi*EpsilonF*Botzman/10^8*J1499*((D1499+273)^4-(E1499+273)^4)</f>
        <v>651.25517525014402</v>
      </c>
      <c r="H1499" s="23">
        <f t="shared" si="101"/>
        <v>650</v>
      </c>
      <c r="I1499" s="12">
        <f>ksh*Massivete/(H1499*RhoA)*DeltaT*(F1499+G1499)</f>
        <v>0.10255622154103713</v>
      </c>
      <c r="J1499" s="3">
        <f>IF(E1499&lt;=500,IF(Galva=Oui,0.35,0.7),0.7)</f>
        <v>0.7</v>
      </c>
    </row>
    <row r="1500" spans="2:10" x14ac:dyDescent="0.25">
      <c r="B1500" s="3">
        <f>B1499+DeltaT</f>
        <v>7415</v>
      </c>
      <c r="C1500" s="13">
        <f t="shared" si="102"/>
        <v>123.58333333333333</v>
      </c>
      <c r="D1500" s="11">
        <f t="shared" si="103"/>
        <v>1053.4436852923518</v>
      </c>
      <c r="E1500" s="23">
        <f t="shared" si="100"/>
        <v>1051.6836734173587</v>
      </c>
      <c r="F1500" s="23">
        <f>AlphaC*(D1500-E1500)</f>
        <v>44.000296874827427</v>
      </c>
      <c r="G1500" s="13">
        <f>Phi*EpsilonF*Botzman/10^8*J1500*((D1500+273)^4-(E1500+273)^4)</f>
        <v>650.8166682057215</v>
      </c>
      <c r="H1500" s="23">
        <f t="shared" si="101"/>
        <v>650</v>
      </c>
      <c r="I1500" s="12">
        <f>ksh*Massivete/(H1500*RhoA)*DeltaT*(F1500+G1500)</f>
        <v>0.10248567286693212</v>
      </c>
      <c r="J1500" s="3">
        <f>IF(E1500&lt;=500,IF(Galva=Oui,0.35,0.7),0.7)</f>
        <v>0.7</v>
      </c>
    </row>
    <row r="1501" spans="2:10" x14ac:dyDescent="0.25">
      <c r="B1501" s="3">
        <f>B1500+DeltaT</f>
        <v>7420</v>
      </c>
      <c r="C1501" s="13">
        <f t="shared" si="102"/>
        <v>123.66666666666667</v>
      </c>
      <c r="D1501" s="11">
        <f t="shared" si="103"/>
        <v>1053.5445819939805</v>
      </c>
      <c r="E1501" s="23">
        <f t="shared" si="100"/>
        <v>1051.7861590902257</v>
      </c>
      <c r="F1501" s="23">
        <f>AlphaC*(D1501-E1501)</f>
        <v>43.960572593869074</v>
      </c>
      <c r="G1501" s="13">
        <f>Phi*EpsilonF*Botzman/10^8*J1501*((D1501+273)^4-(E1501+273)^4)</f>
        <v>650.37875762682449</v>
      </c>
      <c r="H1501" s="23">
        <f t="shared" si="101"/>
        <v>650</v>
      </c>
      <c r="I1501" s="12">
        <f>ksh*Massivete/(H1501*RhoA)*DeltaT*(F1501+G1501)</f>
        <v>0.10241522160788535</v>
      </c>
      <c r="J1501" s="3">
        <f>IF(E1501&lt;=500,IF(Galva=Oui,0.35,0.7),0.7)</f>
        <v>0.7</v>
      </c>
    </row>
    <row r="1502" spans="2:10" x14ac:dyDescent="0.25">
      <c r="B1502" s="3">
        <f>B1501+DeltaT</f>
        <v>7425</v>
      </c>
      <c r="C1502" s="13">
        <f t="shared" si="102"/>
        <v>123.75</v>
      </c>
      <c r="D1502" s="11">
        <f t="shared" si="103"/>
        <v>1053.64541079742</v>
      </c>
      <c r="E1502" s="23">
        <f t="shared" si="100"/>
        <v>1051.8885743118337</v>
      </c>
      <c r="F1502" s="23">
        <f>AlphaC*(D1502-E1502)</f>
        <v>43.920912139657275</v>
      </c>
      <c r="G1502" s="13">
        <f>Phi*EpsilonF*Botzman/10^8*J1502*((D1502+273)^4-(E1502+273)^4)</f>
        <v>649.94144228907055</v>
      </c>
      <c r="H1502" s="23">
        <f t="shared" si="101"/>
        <v>650</v>
      </c>
      <c r="I1502" s="12">
        <f>ksh*Massivete/(H1502*RhoA)*DeltaT*(F1502+G1502)</f>
        <v>0.10234486756151404</v>
      </c>
      <c r="J1502" s="3">
        <f>IF(E1502&lt;=500,IF(Galva=Oui,0.35,0.7),0.7)</f>
        <v>0.7</v>
      </c>
    </row>
    <row r="1503" spans="2:10" x14ac:dyDescent="0.25">
      <c r="B1503" s="3">
        <f>B1502+DeltaT</f>
        <v>7430</v>
      </c>
      <c r="C1503" s="13">
        <f t="shared" si="102"/>
        <v>123.83333333333333</v>
      </c>
      <c r="D1503" s="11">
        <f t="shared" si="103"/>
        <v>1053.7461717939925</v>
      </c>
      <c r="E1503" s="23">
        <f t="shared" si="100"/>
        <v>1051.9909191793952</v>
      </c>
      <c r="F1503" s="23">
        <f>AlphaC*(D1503-E1503)</f>
        <v>43.881315364933471</v>
      </c>
      <c r="G1503" s="13">
        <f>Phi*EpsilonF*Botzman/10^8*J1503*((D1503+273)^4-(E1503+273)^4)</f>
        <v>649.50472097125601</v>
      </c>
      <c r="H1503" s="23">
        <f t="shared" si="101"/>
        <v>650</v>
      </c>
      <c r="I1503" s="12">
        <f>ksh*Massivete/(H1503*RhoA)*DeltaT*(F1503+G1503)</f>
        <v>0.10227461052596969</v>
      </c>
      <c r="J1503" s="3">
        <f>IF(E1503&lt;=500,IF(Galva=Oui,0.35,0.7),0.7)</f>
        <v>0.7</v>
      </c>
    </row>
    <row r="1504" spans="2:10" x14ac:dyDescent="0.25">
      <c r="B1504" s="3">
        <f>B1503+DeltaT</f>
        <v>7435</v>
      </c>
      <c r="C1504" s="13">
        <f t="shared" si="102"/>
        <v>123.91666666666667</v>
      </c>
      <c r="D1504" s="11">
        <f t="shared" si="103"/>
        <v>1053.8468650748364</v>
      </c>
      <c r="E1504" s="23">
        <f t="shared" si="100"/>
        <v>1052.0931937899211</v>
      </c>
      <c r="F1504" s="23">
        <f>AlphaC*(D1504-E1504)</f>
        <v>43.841782122882478</v>
      </c>
      <c r="G1504" s="13">
        <f>Phi*EpsilonF*Botzman/10^8*J1504*((D1504+273)^4-(E1504+273)^4)</f>
        <v>649.068592455665</v>
      </c>
      <c r="H1504" s="23">
        <f t="shared" si="101"/>
        <v>650</v>
      </c>
      <c r="I1504" s="12">
        <f>ksh*Massivete/(H1504*RhoA)*DeltaT*(F1504+G1504)</f>
        <v>0.10220445029998361</v>
      </c>
      <c r="J1504" s="3">
        <f>IF(E1504&lt;=500,IF(Galva=Oui,0.35,0.7),0.7)</f>
        <v>0.7</v>
      </c>
    </row>
    <row r="1505" spans="2:10" x14ac:dyDescent="0.25">
      <c r="B1505" s="3">
        <f>B1504+DeltaT</f>
        <v>7440</v>
      </c>
      <c r="C1505" s="13">
        <f t="shared" si="102"/>
        <v>124</v>
      </c>
      <c r="D1505" s="11">
        <f t="shared" si="103"/>
        <v>1053.9474907309066</v>
      </c>
      <c r="E1505" s="23">
        <f t="shared" si="100"/>
        <v>1052.195398240221</v>
      </c>
      <c r="F1505" s="23">
        <f>AlphaC*(D1505-E1505)</f>
        <v>43.802312267138177</v>
      </c>
      <c r="G1505" s="13">
        <f>Phi*EpsilonF*Botzman/10^8*J1505*((D1505+273)^4-(E1505+273)^4)</f>
        <v>648.63305552801251</v>
      </c>
      <c r="H1505" s="23">
        <f t="shared" si="101"/>
        <v>650</v>
      </c>
      <c r="I1505" s="12">
        <f>ksh*Massivete/(H1505*RhoA)*DeltaT*(F1505+G1505)</f>
        <v>0.10213438668285944</v>
      </c>
      <c r="J1505" s="3">
        <f>IF(E1505&lt;=500,IF(Galva=Oui,0.35,0.7),0.7)</f>
        <v>0.7</v>
      </c>
    </row>
    <row r="1506" spans="2:10" x14ac:dyDescent="0.25">
      <c r="B1506" s="3">
        <f>B1505+DeltaT</f>
        <v>7445</v>
      </c>
      <c r="C1506" s="13">
        <f t="shared" si="102"/>
        <v>124.08333333333333</v>
      </c>
      <c r="D1506" s="11">
        <f t="shared" si="103"/>
        <v>1054.048048852974</v>
      </c>
      <c r="E1506" s="23">
        <f t="shared" si="100"/>
        <v>1052.2975326269038</v>
      </c>
      <c r="F1506" s="23">
        <f>AlphaC*(D1506-E1506)</f>
        <v>43.762905651755091</v>
      </c>
      <c r="G1506" s="13">
        <f>Phi*EpsilonF*Botzman/10^8*J1506*((D1506+273)^4-(E1506+273)^4)</f>
        <v>648.19810897711386</v>
      </c>
      <c r="H1506" s="23">
        <f t="shared" si="101"/>
        <v>650</v>
      </c>
      <c r="I1506" s="12">
        <f>ksh*Massivete/(H1506*RhoA)*DeltaT*(F1506+G1506)</f>
        <v>0.10206441947442016</v>
      </c>
      <c r="J1506" s="3">
        <f>IF(E1506&lt;=500,IF(Galva=Oui,0.35,0.7),0.7)</f>
        <v>0.7</v>
      </c>
    </row>
    <row r="1507" spans="2:10" x14ac:dyDescent="0.25">
      <c r="B1507" s="3">
        <f>B1506+DeltaT</f>
        <v>7450</v>
      </c>
      <c r="C1507" s="13">
        <f t="shared" si="102"/>
        <v>124.16666666666667</v>
      </c>
      <c r="D1507" s="11">
        <f t="shared" si="103"/>
        <v>1054.1485395316279</v>
      </c>
      <c r="E1507" s="23">
        <f t="shared" si="100"/>
        <v>1052.3995970463782</v>
      </c>
      <c r="F1507" s="23">
        <f>AlphaC*(D1507-E1507)</f>
        <v>43.723562131242488</v>
      </c>
      <c r="G1507" s="13">
        <f>Phi*EpsilonF*Botzman/10^8*J1507*((D1507+273)^4-(E1507+273)^4)</f>
        <v>647.76375159523411</v>
      </c>
      <c r="H1507" s="23">
        <f t="shared" si="101"/>
        <v>650</v>
      </c>
      <c r="I1507" s="12">
        <f>ksh*Massivete/(H1507*RhoA)*DeltaT*(F1507+G1507)</f>
        <v>0.10199454847506463</v>
      </c>
      <c r="J1507" s="3">
        <f>IF(E1507&lt;=500,IF(Galva=Oui,0.35,0.7),0.7)</f>
        <v>0.7</v>
      </c>
    </row>
    <row r="1508" spans="2:10" x14ac:dyDescent="0.25">
      <c r="B1508" s="3">
        <f>B1507+DeltaT</f>
        <v>7455</v>
      </c>
      <c r="C1508" s="13">
        <f t="shared" si="102"/>
        <v>124.25</v>
      </c>
      <c r="D1508" s="11">
        <f t="shared" si="103"/>
        <v>1054.2489628572753</v>
      </c>
      <c r="E1508" s="23">
        <f t="shared" si="100"/>
        <v>1052.5015915948532</v>
      </c>
      <c r="F1508" s="23">
        <f>AlphaC*(D1508-E1508)</f>
        <v>43.684281560553018</v>
      </c>
      <c r="G1508" s="13">
        <f>Phi*EpsilonF*Botzman/10^8*J1508*((D1508+273)^4-(E1508+273)^4)</f>
        <v>647.32998217818488</v>
      </c>
      <c r="H1508" s="23">
        <f t="shared" si="101"/>
        <v>650</v>
      </c>
      <c r="I1508" s="12">
        <f>ksh*Massivete/(H1508*RhoA)*DeltaT*(F1508+G1508)</f>
        <v>0.10192477348578026</v>
      </c>
      <c r="J1508" s="3">
        <f>IF(E1508&lt;=500,IF(Galva=Oui,0.35,0.7),0.7)</f>
        <v>0.7</v>
      </c>
    </row>
    <row r="1509" spans="2:10" x14ac:dyDescent="0.25">
      <c r="B1509" s="3">
        <f>B1508+DeltaT</f>
        <v>7460</v>
      </c>
      <c r="C1509" s="13">
        <f t="shared" si="102"/>
        <v>124.33333333333333</v>
      </c>
      <c r="D1509" s="11">
        <f t="shared" si="103"/>
        <v>1054.3493189201408</v>
      </c>
      <c r="E1509" s="23">
        <f t="shared" si="100"/>
        <v>1052.6035163683389</v>
      </c>
      <c r="F1509" s="23">
        <f>AlphaC*(D1509-E1509)</f>
        <v>43.6450637950486</v>
      </c>
      <c r="G1509" s="13">
        <f>Phi*EpsilonF*Botzman/10^8*J1509*((D1509+273)^4-(E1509+273)^4)</f>
        <v>646.89679952460733</v>
      </c>
      <c r="H1509" s="23">
        <f t="shared" si="101"/>
        <v>650</v>
      </c>
      <c r="I1509" s="12">
        <f>ksh*Massivete/(H1509*RhoA)*DeltaT*(F1509+G1509)</f>
        <v>0.10185509430803218</v>
      </c>
      <c r="J1509" s="3">
        <f>IF(E1509&lt;=500,IF(Galva=Oui,0.35,0.7),0.7)</f>
        <v>0.7</v>
      </c>
    </row>
    <row r="1510" spans="2:10" x14ac:dyDescent="0.25">
      <c r="B1510" s="3">
        <f>B1509+DeltaT</f>
        <v>7465</v>
      </c>
      <c r="C1510" s="13">
        <f t="shared" si="102"/>
        <v>124.41666666666667</v>
      </c>
      <c r="D1510" s="11">
        <f t="shared" si="103"/>
        <v>1054.4496078102682</v>
      </c>
      <c r="E1510" s="23">
        <f t="shared" si="100"/>
        <v>1052.705371462647</v>
      </c>
      <c r="F1510" s="23">
        <f>AlphaC*(D1510-E1510)</f>
        <v>43.60590869052885</v>
      </c>
      <c r="G1510" s="13">
        <f>Phi*EpsilonF*Botzman/10^8*J1510*((D1510+273)^4-(E1510+273)^4)</f>
        <v>646.46420243653392</v>
      </c>
      <c r="H1510" s="23">
        <f t="shared" si="101"/>
        <v>650</v>
      </c>
      <c r="I1510" s="12">
        <f>ksh*Massivete/(H1510*RhoA)*DeltaT*(F1510+G1510)</f>
        <v>0.10178551074385027</v>
      </c>
      <c r="J1510" s="3">
        <f>IF(E1510&lt;=500,IF(Galva=Oui,0.35,0.7),0.7)</f>
        <v>0.7</v>
      </c>
    </row>
    <row r="1511" spans="2:10" x14ac:dyDescent="0.25">
      <c r="B1511" s="3">
        <f>B1510+DeltaT</f>
        <v>7470</v>
      </c>
      <c r="C1511" s="13">
        <f t="shared" si="102"/>
        <v>124.5</v>
      </c>
      <c r="D1511" s="11">
        <f t="shared" si="103"/>
        <v>1054.549829617521</v>
      </c>
      <c r="E1511" s="23">
        <f t="shared" si="100"/>
        <v>1052.8071569733909</v>
      </c>
      <c r="F1511" s="23">
        <f>AlphaC*(D1511-E1511)</f>
        <v>43.566816103253814</v>
      </c>
      <c r="G1511" s="13">
        <f>Phi*EpsilonF*Botzman/10^8*J1511*((D1511+273)^4-(E1511+273)^4)</f>
        <v>646.03218971971808</v>
      </c>
      <c r="H1511" s="23">
        <f t="shared" si="101"/>
        <v>650</v>
      </c>
      <c r="I1511" s="12">
        <f>ksh*Massivete/(H1511*RhoA)*DeltaT*(F1511+G1511)</f>
        <v>0.10171602259588119</v>
      </c>
      <c r="J1511" s="3">
        <f>IF(E1511&lt;=500,IF(Galva=Oui,0.35,0.7),0.7)</f>
        <v>0.7</v>
      </c>
    </row>
    <row r="1512" spans="2:10" x14ac:dyDescent="0.25">
      <c r="B1512" s="3">
        <f>B1511+DeltaT</f>
        <v>7475</v>
      </c>
      <c r="C1512" s="13">
        <f t="shared" si="102"/>
        <v>124.58333333333333</v>
      </c>
      <c r="D1512" s="11">
        <f t="shared" si="103"/>
        <v>1054.6499844315824</v>
      </c>
      <c r="E1512" s="23">
        <f t="shared" si="100"/>
        <v>1052.9088729959867</v>
      </c>
      <c r="F1512" s="23">
        <f>AlphaC*(D1512-E1512)</f>
        <v>43.527785889892812</v>
      </c>
      <c r="G1512" s="13">
        <f>Phi*EpsilonF*Botzman/10^8*J1512*((D1512+273)^4-(E1512+273)^4)</f>
        <v>645.60076018280097</v>
      </c>
      <c r="H1512" s="23">
        <f t="shared" si="101"/>
        <v>650</v>
      </c>
      <c r="I1512" s="12">
        <f>ksh*Massivete/(H1512*RhoA)*DeltaT*(F1512+G1512)</f>
        <v>0.10164662966725795</v>
      </c>
      <c r="J1512" s="3">
        <f>IF(E1512&lt;=500,IF(Galva=Oui,0.35,0.7),0.7)</f>
        <v>0.7</v>
      </c>
    </row>
    <row r="1513" spans="2:10" x14ac:dyDescent="0.25">
      <c r="B1513" s="3">
        <f>B1512+DeltaT</f>
        <v>7480</v>
      </c>
      <c r="C1513" s="13">
        <f t="shared" si="102"/>
        <v>124.66666666666667</v>
      </c>
      <c r="D1513" s="11">
        <f t="shared" si="103"/>
        <v>1054.7500723419553</v>
      </c>
      <c r="E1513" s="23">
        <f t="shared" si="100"/>
        <v>1053.0105196256541</v>
      </c>
      <c r="F1513" s="23">
        <f>AlphaC*(D1513-E1513)</f>
        <v>43.48881790753012</v>
      </c>
      <c r="G1513" s="13">
        <f>Phi*EpsilonF*Botzman/10^8*J1513*((D1513+273)^4-(E1513+273)^4)</f>
        <v>645.16991263756313</v>
      </c>
      <c r="H1513" s="23">
        <f t="shared" si="101"/>
        <v>650</v>
      </c>
      <c r="I1513" s="12">
        <f>ksh*Massivete/(H1513*RhoA)*DeltaT*(F1513+G1513)</f>
        <v>0.10157733176163773</v>
      </c>
      <c r="J1513" s="3">
        <f>IF(E1513&lt;=500,IF(Galva=Oui,0.35,0.7),0.7)</f>
        <v>0.7</v>
      </c>
    </row>
    <row r="1514" spans="2:10" x14ac:dyDescent="0.25">
      <c r="B1514" s="3">
        <f>B1513+DeltaT</f>
        <v>7485</v>
      </c>
      <c r="C1514" s="13">
        <f t="shared" si="102"/>
        <v>124.75</v>
      </c>
      <c r="D1514" s="11">
        <f t="shared" si="103"/>
        <v>1054.850093437964</v>
      </c>
      <c r="E1514" s="23">
        <f t="shared" si="100"/>
        <v>1053.1120969574158</v>
      </c>
      <c r="F1514" s="23">
        <f>AlphaC*(D1514-E1514)</f>
        <v>43.449912013704761</v>
      </c>
      <c r="G1514" s="13">
        <f>Phi*EpsilonF*Botzman/10^8*J1514*((D1514+273)^4-(E1514+273)^4)</f>
        <v>644.73964589942875</v>
      </c>
      <c r="H1514" s="23">
        <f t="shared" si="101"/>
        <v>650</v>
      </c>
      <c r="I1514" s="12">
        <f>ksh*Massivete/(H1514*RhoA)*DeltaT*(F1514+G1514)</f>
        <v>0.10150812868328232</v>
      </c>
      <c r="J1514" s="3">
        <f>IF(E1514&lt;=500,IF(Galva=Oui,0.35,0.7),0.7)</f>
        <v>0.7</v>
      </c>
    </row>
    <row r="1515" spans="2:10" x14ac:dyDescent="0.25">
      <c r="B1515" s="3">
        <f>B1514+DeltaT</f>
        <v>7490</v>
      </c>
      <c r="C1515" s="13">
        <f t="shared" si="102"/>
        <v>124.83333333333333</v>
      </c>
      <c r="D1515" s="11">
        <f t="shared" si="103"/>
        <v>1054.9500478087532</v>
      </c>
      <c r="E1515" s="23">
        <f t="shared" si="100"/>
        <v>1053.2136050860991</v>
      </c>
      <c r="F1515" s="23">
        <f>AlphaC*(D1515-E1515)</f>
        <v>43.411068066353664</v>
      </c>
      <c r="G1515" s="13">
        <f>Phi*EpsilonF*Botzman/10^8*J1515*((D1515+273)^4-(E1515+273)^4)</f>
        <v>644.30995878661247</v>
      </c>
      <c r="H1515" s="23">
        <f t="shared" si="101"/>
        <v>650</v>
      </c>
      <c r="I1515" s="12">
        <f>ksh*Massivete/(H1515*RhoA)*DeltaT*(F1515+G1515)</f>
        <v>0.10143902023692372</v>
      </c>
      <c r="J1515" s="3">
        <f>IF(E1515&lt;=500,IF(Galva=Oui,0.35,0.7),0.7)</f>
        <v>0.7</v>
      </c>
    </row>
    <row r="1516" spans="2:10" x14ac:dyDescent="0.25">
      <c r="B1516" s="3">
        <f>B1515+DeltaT</f>
        <v>7495</v>
      </c>
      <c r="C1516" s="13">
        <f t="shared" si="102"/>
        <v>124.91666666666667</v>
      </c>
      <c r="D1516" s="11">
        <f t="shared" si="103"/>
        <v>1055.0499355432905</v>
      </c>
      <c r="E1516" s="23">
        <f t="shared" si="100"/>
        <v>1053.315044106336</v>
      </c>
      <c r="F1516" s="23">
        <f>AlphaC*(D1516-E1516)</f>
        <v>43.372285923862819</v>
      </c>
      <c r="G1516" s="13">
        <f>Phi*EpsilonF*Botzman/10^8*J1516*((D1516+273)^4-(E1516+273)^4)</f>
        <v>643.8808501209337</v>
      </c>
      <c r="H1516" s="23">
        <f t="shared" si="101"/>
        <v>650</v>
      </c>
      <c r="I1516" s="12">
        <f>ksh*Massivete/(H1516*RhoA)*DeltaT*(F1516+G1516)</f>
        <v>0.10137000622789193</v>
      </c>
      <c r="J1516" s="3">
        <f>IF(E1516&lt;=500,IF(Galva=Oui,0.35,0.7),0.7)</f>
        <v>0.7</v>
      </c>
    </row>
    <row r="1517" spans="2:10" x14ac:dyDescent="0.25">
      <c r="B1517" s="3">
        <f>B1516+DeltaT</f>
        <v>7500</v>
      </c>
      <c r="C1517" s="13">
        <f t="shared" si="102"/>
        <v>125</v>
      </c>
      <c r="D1517" s="11">
        <f t="shared" si="103"/>
        <v>1055.1497567303647</v>
      </c>
      <c r="E1517" s="23">
        <f t="shared" si="100"/>
        <v>1053.4164141125639</v>
      </c>
      <c r="F1517" s="23">
        <f>AlphaC*(D1517-E1517)</f>
        <v>43.333565445021804</v>
      </c>
      <c r="G1517" s="13">
        <f>Phi*EpsilonF*Botzman/10^8*J1517*((D1517+273)^4-(E1517+273)^4)</f>
        <v>643.45231872719637</v>
      </c>
      <c r="H1517" s="23">
        <f t="shared" si="101"/>
        <v>650</v>
      </c>
      <c r="I1517" s="12">
        <f>ksh*Massivete/(H1517*RhoA)*DeltaT*(F1517+G1517)</f>
        <v>0.10130108646201665</v>
      </c>
      <c r="J1517" s="3">
        <f>IF(E1517&lt;=500,IF(Galva=Oui,0.35,0.7),0.7)</f>
        <v>0.7</v>
      </c>
    </row>
    <row r="1518" spans="2:10" x14ac:dyDescent="0.25">
      <c r="B1518" s="3">
        <f>B1517+DeltaT</f>
        <v>7505</v>
      </c>
      <c r="C1518" s="13">
        <f t="shared" si="102"/>
        <v>125.08333333333333</v>
      </c>
      <c r="D1518" s="11">
        <f t="shared" si="103"/>
        <v>1055.2495114585879</v>
      </c>
      <c r="E1518" s="23">
        <f t="shared" si="100"/>
        <v>1053.5177151990258</v>
      </c>
      <c r="F1518" s="23">
        <f>AlphaC*(D1518-E1518)</f>
        <v>43.29490648905221</v>
      </c>
      <c r="G1518" s="13">
        <f>Phi*EpsilonF*Botzman/10^8*J1518*((D1518+273)^4-(E1518+273)^4)</f>
        <v>643.02436343349905</v>
      </c>
      <c r="H1518" s="23">
        <f t="shared" si="101"/>
        <v>650</v>
      </c>
      <c r="I1518" s="12">
        <f>ksh*Massivete/(H1518*RhoA)*DeltaT*(F1518+G1518)</f>
        <v>0.10123226074567727</v>
      </c>
      <c r="J1518" s="3">
        <f>IF(E1518&lt;=500,IF(Galva=Oui,0.35,0.7),0.7)</f>
        <v>0.7</v>
      </c>
    </row>
    <row r="1519" spans="2:10" x14ac:dyDescent="0.25">
      <c r="B1519" s="3">
        <f>B1518+DeltaT</f>
        <v>7510</v>
      </c>
      <c r="C1519" s="13">
        <f t="shared" si="102"/>
        <v>125.16666666666667</v>
      </c>
      <c r="D1519" s="11">
        <f t="shared" si="103"/>
        <v>1055.349199816395</v>
      </c>
      <c r="E1519" s="23">
        <f t="shared" si="100"/>
        <v>1053.6189474597716</v>
      </c>
      <c r="F1519" s="23">
        <f>AlphaC*(D1519-E1519)</f>
        <v>43.256308915584896</v>
      </c>
      <c r="G1519" s="13">
        <f>Phi*EpsilonF*Botzman/10^8*J1519*((D1519+273)^4-(E1519+273)^4)</f>
        <v>642.59698307102144</v>
      </c>
      <c r="H1519" s="23">
        <f t="shared" si="101"/>
        <v>650</v>
      </c>
      <c r="I1519" s="12">
        <f>ksh*Massivete/(H1519*RhoA)*DeltaT*(F1519+G1519)</f>
        <v>0.10116352888576806</v>
      </c>
      <c r="J1519" s="3">
        <f>IF(E1519&lt;=500,IF(Galva=Oui,0.35,0.7),0.7)</f>
        <v>0.7</v>
      </c>
    </row>
    <row r="1520" spans="2:10" x14ac:dyDescent="0.25">
      <c r="B1520" s="3">
        <f>B1519+DeltaT</f>
        <v>7515</v>
      </c>
      <c r="C1520" s="13">
        <f t="shared" si="102"/>
        <v>125.25</v>
      </c>
      <c r="D1520" s="11">
        <f t="shared" si="103"/>
        <v>1055.4488218920442</v>
      </c>
      <c r="E1520" s="23">
        <f t="shared" si="100"/>
        <v>1053.7201109886573</v>
      </c>
      <c r="F1520" s="23">
        <f>AlphaC*(D1520-E1520)</f>
        <v>43.217772584671366</v>
      </c>
      <c r="G1520" s="13">
        <f>Phi*EpsilonF*Botzman/10^8*J1520*((D1520+273)^4-(E1520+273)^4)</f>
        <v>642.17017647418004</v>
      </c>
      <c r="H1520" s="23">
        <f t="shared" si="101"/>
        <v>650</v>
      </c>
      <c r="I1520" s="12">
        <f>ksh*Massivete/(H1520*RhoA)*DeltaT*(F1520+G1520)</f>
        <v>0.10109489068972272</v>
      </c>
      <c r="J1520" s="3">
        <f>IF(E1520&lt;=500,IF(Galva=Oui,0.35,0.7),0.7)</f>
        <v>0.7</v>
      </c>
    </row>
    <row r="1521" spans="2:10" x14ac:dyDescent="0.25">
      <c r="B1521" s="3">
        <f>B1520+DeltaT</f>
        <v>7520</v>
      </c>
      <c r="C1521" s="13">
        <f t="shared" si="102"/>
        <v>125.33333333333333</v>
      </c>
      <c r="D1521" s="11">
        <f t="shared" si="103"/>
        <v>1055.5483777736183</v>
      </c>
      <c r="E1521" s="23">
        <f t="shared" si="100"/>
        <v>1053.821205879347</v>
      </c>
      <c r="F1521" s="23">
        <f>AlphaC*(D1521-E1521)</f>
        <v>43.179297356783763</v>
      </c>
      <c r="G1521" s="13">
        <f>Phi*EpsilonF*Botzman/10^8*J1521*((D1521+273)^4-(E1521+273)^4)</f>
        <v>641.74394248058877</v>
      </c>
      <c r="H1521" s="23">
        <f t="shared" si="101"/>
        <v>650</v>
      </c>
      <c r="I1521" s="12">
        <f>ksh*Massivete/(H1521*RhoA)*DeltaT*(F1521+G1521)</f>
        <v>0.10102634596550861</v>
      </c>
      <c r="J1521" s="3">
        <f>IF(E1521&lt;=500,IF(Galva=Oui,0.35,0.7),0.7)</f>
        <v>0.7</v>
      </c>
    </row>
    <row r="1522" spans="2:10" x14ac:dyDescent="0.25">
      <c r="B1522" s="3">
        <f>B1521+DeltaT</f>
        <v>7525</v>
      </c>
      <c r="C1522" s="13">
        <f t="shared" si="102"/>
        <v>125.41666666666667</v>
      </c>
      <c r="D1522" s="11">
        <f t="shared" si="103"/>
        <v>1055.6478675490246</v>
      </c>
      <c r="E1522" s="23">
        <f t="shared" si="100"/>
        <v>1053.9222322253124</v>
      </c>
      <c r="F1522" s="23">
        <f>AlphaC*(D1522-E1522)</f>
        <v>43.140883092803506</v>
      </c>
      <c r="G1522" s="13">
        <f>Phi*EpsilonF*Botzman/10^8*J1522*((D1522+273)^4-(E1522+273)^4)</f>
        <v>641.31827993102047</v>
      </c>
      <c r="H1522" s="23">
        <f t="shared" si="101"/>
        <v>650</v>
      </c>
      <c r="I1522" s="12">
        <f>ksh*Massivete/(H1522*RhoA)*DeltaT*(F1522+G1522)</f>
        <v>0.10095789452161942</v>
      </c>
      <c r="J1522" s="3">
        <f>IF(E1522&lt;=500,IF(Galva=Oui,0.35,0.7),0.7)</f>
        <v>0.7</v>
      </c>
    </row>
    <row r="1523" spans="2:10" x14ac:dyDescent="0.25">
      <c r="B1523" s="3">
        <f>B1522+DeltaT</f>
        <v>7530</v>
      </c>
      <c r="C1523" s="13">
        <f t="shared" si="102"/>
        <v>125.5</v>
      </c>
      <c r="D1523" s="11">
        <f t="shared" si="103"/>
        <v>1055.7472913059951</v>
      </c>
      <c r="E1523" s="23">
        <f t="shared" si="100"/>
        <v>1054.023190119834</v>
      </c>
      <c r="F1523" s="23">
        <f>AlphaC*(D1523-E1523)</f>
        <v>43.102529654026966</v>
      </c>
      <c r="G1523" s="13">
        <f>Phi*EpsilonF*Botzman/10^8*J1523*((D1523+273)^4-(E1523+273)^4)</f>
        <v>640.89318766927158</v>
      </c>
      <c r="H1523" s="23">
        <f t="shared" si="101"/>
        <v>650</v>
      </c>
      <c r="I1523" s="12">
        <f>ksh*Massivete/(H1523*RhoA)*DeltaT*(F1523+G1523)</f>
        <v>0.10088953616705604</v>
      </c>
      <c r="J1523" s="3">
        <f>IF(E1523&lt;=500,IF(Galva=Oui,0.35,0.7),0.7)</f>
        <v>0.7</v>
      </c>
    </row>
    <row r="1524" spans="2:10" x14ac:dyDescent="0.25">
      <c r="B1524" s="3">
        <f>B1523+DeltaT</f>
        <v>7535</v>
      </c>
      <c r="C1524" s="13">
        <f t="shared" si="102"/>
        <v>125.58333333333333</v>
      </c>
      <c r="D1524" s="11">
        <f t="shared" si="103"/>
        <v>1055.8466491320874</v>
      </c>
      <c r="E1524" s="23">
        <f t="shared" ref="E1524:E1587" si="104">E1523+I1523</f>
        <v>1054.124079656001</v>
      </c>
      <c r="F1524" s="23">
        <f>AlphaC*(D1524-E1524)</f>
        <v>43.064236902159791</v>
      </c>
      <c r="G1524" s="13">
        <f>Phi*EpsilonF*Botzman/10^8*J1524*((D1524+273)^4-(E1524+273)^4)</f>
        <v>640.46866454245207</v>
      </c>
      <c r="H1524" s="23">
        <f t="shared" ref="H1524:H1587" si="105">IF(E1524&lt;600,425+0.773*E1524-1.69/1000*E1524^2+2.22/1000^2*E1524^3,IF(E1524&lt;735,666+13002/(738-E1524),IF(E1524&lt;900,545+17820/(E1524-731),650)))</f>
        <v>650</v>
      </c>
      <c r="I1524" s="12">
        <f>ksh*Massivete/(H1524*RhoA)*DeltaT*(F1524+G1524)</f>
        <v>0.10082127071136843</v>
      </c>
      <c r="J1524" s="3">
        <f>IF(E1524&lt;=500,IF(Galva=Oui,0.35,0.7),0.7)</f>
        <v>0.7</v>
      </c>
    </row>
    <row r="1525" spans="2:10" x14ac:dyDescent="0.25">
      <c r="B1525" s="3">
        <f>B1524+DeltaT</f>
        <v>7540</v>
      </c>
      <c r="C1525" s="13">
        <f t="shared" si="102"/>
        <v>125.66666666666667</v>
      </c>
      <c r="D1525" s="11">
        <f t="shared" si="103"/>
        <v>1055.945941114685</v>
      </c>
      <c r="E1525" s="23">
        <f t="shared" si="104"/>
        <v>1054.2249009267123</v>
      </c>
      <c r="F1525" s="23">
        <f>AlphaC*(D1525-E1525)</f>
        <v>43.0260046993169</v>
      </c>
      <c r="G1525" s="13">
        <f>Phi*EpsilonF*Botzman/10^8*J1525*((D1525+273)^4-(E1525+273)^4)</f>
        <v>640.04470940061776</v>
      </c>
      <c r="H1525" s="23">
        <f t="shared" si="105"/>
        <v>650</v>
      </c>
      <c r="I1525" s="12">
        <f>ksh*Massivete/(H1525*RhoA)*DeltaT*(F1525+G1525)</f>
        <v>0.10075309796460147</v>
      </c>
      <c r="J1525" s="3">
        <f>IF(E1525&lt;=500,IF(Galva=Oui,0.35,0.7),0.7)</f>
        <v>0.7</v>
      </c>
    </row>
    <row r="1526" spans="2:10" x14ac:dyDescent="0.25">
      <c r="B1526" s="3">
        <f>B1525+DeltaT</f>
        <v>7545</v>
      </c>
      <c r="C1526" s="13">
        <f t="shared" si="102"/>
        <v>125.75</v>
      </c>
      <c r="D1526" s="11">
        <f t="shared" si="103"/>
        <v>1056.0451673409982</v>
      </c>
      <c r="E1526" s="23">
        <f t="shared" si="104"/>
        <v>1054.3256540246769</v>
      </c>
      <c r="F1526" s="23">
        <f>AlphaC*(D1526-E1526)</f>
        <v>42.987832908033852</v>
      </c>
      <c r="G1526" s="13">
        <f>Phi*EpsilonF*Botzman/10^8*J1526*((D1526+273)^4-(E1526+273)^4)</f>
        <v>639.62132109713878</v>
      </c>
      <c r="H1526" s="23">
        <f t="shared" si="105"/>
        <v>650</v>
      </c>
      <c r="I1526" s="12">
        <f>ksh*Massivete/(H1526*RhoA)*DeltaT*(F1526+G1526)</f>
        <v>0.10068501773735092</v>
      </c>
      <c r="J1526" s="3">
        <f>IF(E1526&lt;=500,IF(Galva=Oui,0.35,0.7),0.7)</f>
        <v>0.7</v>
      </c>
    </row>
    <row r="1527" spans="2:10" x14ac:dyDescent="0.25">
      <c r="B1527" s="3">
        <f>B1526+DeltaT</f>
        <v>7550</v>
      </c>
      <c r="C1527" s="13">
        <f t="shared" si="102"/>
        <v>125.83333333333333</v>
      </c>
      <c r="D1527" s="11">
        <f t="shared" si="103"/>
        <v>1056.1443278980632</v>
      </c>
      <c r="E1527" s="23">
        <f t="shared" si="104"/>
        <v>1054.4263390424142</v>
      </c>
      <c r="F1527" s="23">
        <f>AlphaC*(D1527-E1527)</f>
        <v>42.949721391227058</v>
      </c>
      <c r="G1527" s="13">
        <f>Phi*EpsilonF*Botzman/10^8*J1527*((D1527+273)^4-(E1527+273)^4)</f>
        <v>639.19849848819479</v>
      </c>
      <c r="H1527" s="23">
        <f t="shared" si="105"/>
        <v>650</v>
      </c>
      <c r="I1527" s="12">
        <f>ksh*Massivete/(H1527*RhoA)*DeltaT*(F1527+G1527)</f>
        <v>0.10061702984068317</v>
      </c>
      <c r="J1527" s="3">
        <f>IF(E1527&lt;=500,IF(Galva=Oui,0.35,0.7),0.7)</f>
        <v>0.7</v>
      </c>
    </row>
    <row r="1528" spans="2:10" x14ac:dyDescent="0.25">
      <c r="B1528" s="3">
        <f>B1527+DeltaT</f>
        <v>7555</v>
      </c>
      <c r="C1528" s="13">
        <f t="shared" si="102"/>
        <v>125.91666666666667</v>
      </c>
      <c r="D1528" s="11">
        <f t="shared" si="103"/>
        <v>1056.2434228727448</v>
      </c>
      <c r="E1528" s="23">
        <f t="shared" si="104"/>
        <v>1054.5269560722547</v>
      </c>
      <c r="F1528" s="23">
        <f>AlphaC*(D1528-E1528)</f>
        <v>42.911670012250624</v>
      </c>
      <c r="G1528" s="13">
        <f>Phi*EpsilonF*Botzman/10^8*J1528*((D1528+273)^4-(E1528+273)^4)</f>
        <v>638.77624043349306</v>
      </c>
      <c r="H1528" s="23">
        <f t="shared" si="105"/>
        <v>650</v>
      </c>
      <c r="I1528" s="12">
        <f>ksh*Massivete/(H1528*RhoA)*DeltaT*(F1528+G1528)</f>
        <v>0.10054913408624944</v>
      </c>
      <c r="J1528" s="3">
        <f>IF(E1528&lt;=500,IF(Galva=Oui,0.35,0.7),0.7)</f>
        <v>0.7</v>
      </c>
    </row>
    <row r="1529" spans="2:10" x14ac:dyDescent="0.25">
      <c r="B1529" s="3">
        <f>B1528+DeltaT</f>
        <v>7560</v>
      </c>
      <c r="C1529" s="13">
        <f t="shared" si="102"/>
        <v>126</v>
      </c>
      <c r="D1529" s="11">
        <f t="shared" si="103"/>
        <v>1056.342452351734</v>
      </c>
      <c r="E1529" s="23">
        <f t="shared" si="104"/>
        <v>1054.6275052063411</v>
      </c>
      <c r="F1529" s="23">
        <f>AlphaC*(D1529-E1529)</f>
        <v>42.873678634822454</v>
      </c>
      <c r="G1529" s="13">
        <f>Phi*EpsilonF*Botzman/10^8*J1529*((D1529+273)^4-(E1529+273)^4)</f>
        <v>638.35454579510485</v>
      </c>
      <c r="H1529" s="23">
        <f t="shared" si="105"/>
        <v>650</v>
      </c>
      <c r="I1529" s="12">
        <f>ksh*Massivete/(H1529*RhoA)*DeltaT*(F1529+G1529)</f>
        <v>0.1004813302861033</v>
      </c>
      <c r="J1529" s="3">
        <f>IF(E1529&lt;=500,IF(Galva=Oui,0.35,0.7),0.7)</f>
        <v>0.7</v>
      </c>
    </row>
    <row r="1530" spans="2:10" x14ac:dyDescent="0.25">
      <c r="B1530" s="3">
        <f>B1529+DeltaT</f>
        <v>7565</v>
      </c>
      <c r="C1530" s="13">
        <f t="shared" si="102"/>
        <v>126.08333333333333</v>
      </c>
      <c r="D1530" s="11">
        <f t="shared" si="103"/>
        <v>1056.4414164215516</v>
      </c>
      <c r="E1530" s="23">
        <f t="shared" si="104"/>
        <v>1054.7279865366272</v>
      </c>
      <c r="F1530" s="23">
        <f>AlphaC*(D1530-E1530)</f>
        <v>42.835747123109513</v>
      </c>
      <c r="G1530" s="13">
        <f>Phi*EpsilonF*Botzman/10^8*J1530*((D1530+273)^4-(E1530+273)^4)</f>
        <v>637.93341343907457</v>
      </c>
      <c r="H1530" s="23">
        <f t="shared" si="105"/>
        <v>650</v>
      </c>
      <c r="I1530" s="12">
        <f>ksh*Massivete/(H1530*RhoA)*DeltaT*(F1530+G1530)</f>
        <v>0.10041361825295066</v>
      </c>
      <c r="J1530" s="3">
        <f>IF(E1530&lt;=500,IF(Galva=Oui,0.35,0.7),0.7)</f>
        <v>0.7</v>
      </c>
    </row>
    <row r="1531" spans="2:10" x14ac:dyDescent="0.25">
      <c r="B1531" s="3">
        <f>B1530+DeltaT</f>
        <v>7570</v>
      </c>
      <c r="C1531" s="13">
        <f t="shared" si="102"/>
        <v>126.16666666666667</v>
      </c>
      <c r="D1531" s="11">
        <f t="shared" si="103"/>
        <v>1056.5403151685459</v>
      </c>
      <c r="E1531" s="23">
        <f t="shared" si="104"/>
        <v>1054.8284001548802</v>
      </c>
      <c r="F1531" s="23">
        <f>AlphaC*(D1531-E1531)</f>
        <v>42.797875341642566</v>
      </c>
      <c r="G1531" s="13">
        <f>Phi*EpsilonF*Botzman/10^8*J1531*((D1531+273)^4-(E1531+273)^4)</f>
        <v>637.51284223381083</v>
      </c>
      <c r="H1531" s="23">
        <f t="shared" si="105"/>
        <v>650</v>
      </c>
      <c r="I1531" s="12">
        <f>ksh*Massivete/(H1531*RhoA)*DeltaT*(F1531+G1531)</f>
        <v>0.10034599779989972</v>
      </c>
      <c r="J1531" s="3">
        <f>IF(E1531&lt;=500,IF(Galva=Oui,0.35,0.7),0.7)</f>
        <v>0.7</v>
      </c>
    </row>
    <row r="1532" spans="2:10" x14ac:dyDescent="0.25">
      <c r="B1532" s="3">
        <f>B1531+DeltaT</f>
        <v>7575</v>
      </c>
      <c r="C1532" s="13">
        <f t="shared" si="102"/>
        <v>126.25</v>
      </c>
      <c r="D1532" s="11">
        <f t="shared" si="103"/>
        <v>1056.6391486788953</v>
      </c>
      <c r="E1532" s="23">
        <f t="shared" si="104"/>
        <v>1054.9287461526801</v>
      </c>
      <c r="F1532" s="23">
        <f>AlphaC*(D1532-E1532)</f>
        <v>42.760063155378703</v>
      </c>
      <c r="G1532" s="13">
        <f>Phi*EpsilonF*Botzman/10^8*J1532*((D1532+273)^4-(E1532+273)^4)</f>
        <v>637.09283105121062</v>
      </c>
      <c r="H1532" s="23">
        <f t="shared" si="105"/>
        <v>650</v>
      </c>
      <c r="I1532" s="12">
        <f>ksh*Massivete/(H1532*RhoA)*DeltaT*(F1532+G1532)</f>
        <v>0.10027846874063617</v>
      </c>
      <c r="J1532" s="3">
        <f>IF(E1532&lt;=500,IF(Galva=Oui,0.35,0.7),0.7)</f>
        <v>0.7</v>
      </c>
    </row>
    <row r="1533" spans="2:10" x14ac:dyDescent="0.25">
      <c r="B1533" s="3">
        <f>B1532+DeltaT</f>
        <v>7580</v>
      </c>
      <c r="C1533" s="13">
        <f t="shared" si="102"/>
        <v>126.33333333333333</v>
      </c>
      <c r="D1533" s="11">
        <f t="shared" si="103"/>
        <v>1056.7379170386066</v>
      </c>
      <c r="E1533" s="23">
        <f t="shared" si="104"/>
        <v>1055.0290246214208</v>
      </c>
      <c r="F1533" s="23">
        <f>AlphaC*(D1533-E1533)</f>
        <v>42.722310429644494</v>
      </c>
      <c r="G1533" s="13">
        <f>Phi*EpsilonF*Botzman/10^8*J1533*((D1533+273)^4-(E1533+273)^4)</f>
        <v>636.67337876576801</v>
      </c>
      <c r="H1533" s="23">
        <f t="shared" si="105"/>
        <v>650</v>
      </c>
      <c r="I1533" s="12">
        <f>ksh*Massivete/(H1533*RhoA)*DeltaT*(F1533+G1533)</f>
        <v>0.10021103088928325</v>
      </c>
      <c r="J1533" s="3">
        <f>IF(E1533&lt;=500,IF(Galva=Oui,0.35,0.7),0.7)</f>
        <v>0.7</v>
      </c>
    </row>
    <row r="1534" spans="2:10" x14ac:dyDescent="0.25">
      <c r="B1534" s="3">
        <f>B1533+DeltaT</f>
        <v>7585</v>
      </c>
      <c r="C1534" s="13">
        <f t="shared" si="102"/>
        <v>126.41666666666667</v>
      </c>
      <c r="D1534" s="11">
        <f t="shared" si="103"/>
        <v>1056.8366203335177</v>
      </c>
      <c r="E1534" s="23">
        <f t="shared" si="104"/>
        <v>1055.1292356523102</v>
      </c>
      <c r="F1534" s="23">
        <f>AlphaC*(D1534-E1534)</f>
        <v>42.684617030187155</v>
      </c>
      <c r="G1534" s="13">
        <f>Phi*EpsilonF*Botzman/10^8*J1534*((D1534+273)^4-(E1534+273)^4)</f>
        <v>636.25448425538752</v>
      </c>
      <c r="H1534" s="23">
        <f t="shared" si="105"/>
        <v>650</v>
      </c>
      <c r="I1534" s="12">
        <f>ksh*Massivete/(H1534*RhoA)*DeltaT*(F1534+G1534)</f>
        <v>0.10014368406052929</v>
      </c>
      <c r="J1534" s="3">
        <f>IF(E1534&lt;=500,IF(Galva=Oui,0.35,0.7),0.7)</f>
        <v>0.7</v>
      </c>
    </row>
    <row r="1535" spans="2:10" x14ac:dyDescent="0.25">
      <c r="B1535" s="3">
        <f>B1534+DeltaT</f>
        <v>7590</v>
      </c>
      <c r="C1535" s="13">
        <f t="shared" si="102"/>
        <v>126.5</v>
      </c>
      <c r="D1535" s="11">
        <f t="shared" si="103"/>
        <v>1056.9352586492967</v>
      </c>
      <c r="E1535" s="23">
        <f t="shared" si="104"/>
        <v>1055.2293793363708</v>
      </c>
      <c r="F1535" s="23">
        <f>AlphaC*(D1535-E1535)</f>
        <v>42.646982823146118</v>
      </c>
      <c r="G1535" s="13">
        <f>Phi*EpsilonF*Botzman/10^8*J1535*((D1535+273)^4-(E1535+273)^4)</f>
        <v>635.83614640097801</v>
      </c>
      <c r="H1535" s="23">
        <f t="shared" si="105"/>
        <v>650</v>
      </c>
      <c r="I1535" s="12">
        <f>ksh*Massivete/(H1535*RhoA)*DeltaT*(F1535+G1535)</f>
        <v>0.10007642806956357</v>
      </c>
      <c r="J1535" s="3">
        <f>IF(E1535&lt;=500,IF(Galva=Oui,0.35,0.7),0.7)</f>
        <v>0.7</v>
      </c>
    </row>
    <row r="1536" spans="2:10" x14ac:dyDescent="0.25">
      <c r="B1536" s="3">
        <f>B1535+DeltaT</f>
        <v>7595</v>
      </c>
      <c r="C1536" s="13">
        <f t="shared" si="102"/>
        <v>126.58333333333333</v>
      </c>
      <c r="D1536" s="11">
        <f t="shared" si="103"/>
        <v>1057.033832071442</v>
      </c>
      <c r="E1536" s="23">
        <f t="shared" si="104"/>
        <v>1055.3294557644404</v>
      </c>
      <c r="F1536" s="23">
        <f>AlphaC*(D1536-E1536)</f>
        <v>42.609407675041666</v>
      </c>
      <c r="G1536" s="13">
        <f>Phi*EpsilonF*Botzman/10^8*J1536*((D1536+273)^4-(E1536+273)^4)</f>
        <v>635.41836408621953</v>
      </c>
      <c r="H1536" s="23">
        <f t="shared" si="105"/>
        <v>650</v>
      </c>
      <c r="I1536" s="12">
        <f>ksh*Massivete/(H1536*RhoA)*DeltaT*(F1536+G1536)</f>
        <v>0.10000926273204036</v>
      </c>
      <c r="J1536" s="3">
        <f>IF(E1536&lt;=500,IF(Galva=Oui,0.35,0.7),0.7)</f>
        <v>0.7</v>
      </c>
    </row>
    <row r="1537" spans="2:10" x14ac:dyDescent="0.25">
      <c r="B1537" s="3">
        <f>B1536+DeltaT</f>
        <v>7600</v>
      </c>
      <c r="C1537" s="13">
        <f t="shared" si="102"/>
        <v>126.66666666666667</v>
      </c>
      <c r="D1537" s="11">
        <f t="shared" si="103"/>
        <v>1057.1323406852839</v>
      </c>
      <c r="E1537" s="23">
        <f t="shared" si="104"/>
        <v>1055.4294650271725</v>
      </c>
      <c r="F1537" s="23">
        <f>AlphaC*(D1537-E1537)</f>
        <v>42.571891452786303</v>
      </c>
      <c r="G1537" s="13">
        <f>Phi*EpsilonF*Botzman/10^8*J1537*((D1537+273)^4-(E1537+273)^4)</f>
        <v>635.00113619773754</v>
      </c>
      <c r="H1537" s="23">
        <f t="shared" si="105"/>
        <v>650</v>
      </c>
      <c r="I1537" s="12">
        <f>ksh*Massivete/(H1537*RhoA)*DeltaT*(F1537+G1537)</f>
        <v>9.9942187864106191E-2</v>
      </c>
      <c r="J1537" s="3">
        <f>IF(E1537&lt;=500,IF(Galva=Oui,0.35,0.7),0.7)</f>
        <v>0.7</v>
      </c>
    </row>
    <row r="1538" spans="2:10" x14ac:dyDescent="0.25">
      <c r="B1538" s="3">
        <f>B1537+DeltaT</f>
        <v>7605</v>
      </c>
      <c r="C1538" s="13">
        <f t="shared" si="102"/>
        <v>126.75</v>
      </c>
      <c r="D1538" s="11">
        <f t="shared" si="103"/>
        <v>1057.2307845759849</v>
      </c>
      <c r="E1538" s="23">
        <f t="shared" si="104"/>
        <v>1055.5294072150366</v>
      </c>
      <c r="F1538" s="23">
        <f>AlphaC*(D1538-E1538)</f>
        <v>42.53443402370749</v>
      </c>
      <c r="G1538" s="13">
        <f>Phi*EpsilonF*Botzman/10^8*J1538*((D1538+273)^4-(E1538+273)^4)</f>
        <v>634.58446162566588</v>
      </c>
      <c r="H1538" s="23">
        <f t="shared" si="105"/>
        <v>650</v>
      </c>
      <c r="I1538" s="12">
        <f>ksh*Massivete/(H1538*RhoA)*DeltaT*(F1538+G1538)</f>
        <v>9.9875203282486322E-2</v>
      </c>
      <c r="J1538" s="3">
        <f>IF(E1538&lt;=500,IF(Galva=Oui,0.35,0.7),0.7)</f>
        <v>0.7</v>
      </c>
    </row>
    <row r="1539" spans="2:10" x14ac:dyDescent="0.25">
      <c r="B1539" s="3">
        <f>B1538+DeltaT</f>
        <v>7610</v>
      </c>
      <c r="C1539" s="13">
        <f t="shared" si="102"/>
        <v>126.83333333333333</v>
      </c>
      <c r="D1539" s="11">
        <f t="shared" si="103"/>
        <v>1057.3291638285389</v>
      </c>
      <c r="E1539" s="23">
        <f t="shared" si="104"/>
        <v>1055.629282418319</v>
      </c>
      <c r="F1539" s="23">
        <f>AlphaC*(D1539-E1539)</f>
        <v>42.497035255496485</v>
      </c>
      <c r="G1539" s="13">
        <f>Phi*EpsilonF*Botzman/10^8*J1539*((D1539+273)^4-(E1539+273)^4)</f>
        <v>634.1683392625215</v>
      </c>
      <c r="H1539" s="23">
        <f t="shared" si="105"/>
        <v>650</v>
      </c>
      <c r="I1539" s="12">
        <f>ksh*Massivete/(H1539*RhoA)*DeltaT*(F1539+G1539)</f>
        <v>9.980830880431113E-2</v>
      </c>
      <c r="J1539" s="3">
        <f>IF(E1539&lt;=500,IF(Galva=Oui,0.35,0.7),0.7)</f>
        <v>0.7</v>
      </c>
    </row>
    <row r="1540" spans="2:10" x14ac:dyDescent="0.25">
      <c r="B1540" s="3">
        <f>B1539+DeltaT</f>
        <v>7615</v>
      </c>
      <c r="C1540" s="13">
        <f t="shared" si="102"/>
        <v>126.91666666666667</v>
      </c>
      <c r="D1540" s="11">
        <f t="shared" si="103"/>
        <v>1057.4274785277728</v>
      </c>
      <c r="E1540" s="23">
        <f t="shared" si="104"/>
        <v>1055.7290907271233</v>
      </c>
      <c r="F1540" s="23">
        <f>AlphaC*(D1540-E1540)</f>
        <v>42.459695016236765</v>
      </c>
      <c r="G1540" s="13">
        <f>Phi*EpsilonF*Botzman/10^8*J1540*((D1540+273)^4-(E1540+273)^4)</f>
        <v>633.75276800403867</v>
      </c>
      <c r="H1540" s="23">
        <f t="shared" si="105"/>
        <v>650</v>
      </c>
      <c r="I1540" s="12">
        <f>ksh*Massivete/(H1540*RhoA)*DeltaT*(F1540+G1540)</f>
        <v>9.9741504247243457E-2</v>
      </c>
      <c r="J1540" s="3">
        <f>IF(E1540&lt;=500,IF(Galva=Oui,0.35,0.7),0.7)</f>
        <v>0.7</v>
      </c>
    </row>
    <row r="1541" spans="2:10" x14ac:dyDescent="0.25">
      <c r="B1541" s="3">
        <f>B1540+DeltaT</f>
        <v>7620</v>
      </c>
      <c r="C1541" s="13">
        <f t="shared" si="102"/>
        <v>127</v>
      </c>
      <c r="D1541" s="11">
        <f t="shared" si="103"/>
        <v>1057.5257287583468</v>
      </c>
      <c r="E1541" s="23">
        <f t="shared" si="104"/>
        <v>1055.8288322313706</v>
      </c>
      <c r="F1541" s="23">
        <f>AlphaC*(D1541-E1541)</f>
        <v>42.422413174404028</v>
      </c>
      <c r="G1541" s="13">
        <f>Phi*EpsilonF*Botzman/10^8*J1541*((D1541+273)^4-(E1541+273)^4)</f>
        <v>633.33774674883955</v>
      </c>
      <c r="H1541" s="23">
        <f t="shared" si="105"/>
        <v>650</v>
      </c>
      <c r="I1541" s="12">
        <f>ksh*Massivete/(H1541*RhoA)*DeltaT*(F1541+G1541)</f>
        <v>9.9674789429429908E-2</v>
      </c>
      <c r="J1541" s="3">
        <f>IF(E1541&lt;=500,IF(Galva=Oui,0.35,0.7),0.7)</f>
        <v>0.7</v>
      </c>
    </row>
    <row r="1542" spans="2:10" x14ac:dyDescent="0.25">
      <c r="B1542" s="3">
        <f>B1541+DeltaT</f>
        <v>7625</v>
      </c>
      <c r="C1542" s="13">
        <f t="shared" si="102"/>
        <v>127.08333333333333</v>
      </c>
      <c r="D1542" s="11">
        <f t="shared" si="103"/>
        <v>1057.6239146047546</v>
      </c>
      <c r="E1542" s="23">
        <f t="shared" si="104"/>
        <v>1055.9285070208</v>
      </c>
      <c r="F1542" s="23">
        <f>AlphaC*(D1542-E1542)</f>
        <v>42.385189598866191</v>
      </c>
      <c r="G1542" s="13">
        <f>Phi*EpsilonF*Botzman/10^8*J1542*((D1542+273)^4-(E1542+273)^4)</f>
        <v>632.92327439880148</v>
      </c>
      <c r="H1542" s="23">
        <f t="shared" si="105"/>
        <v>650</v>
      </c>
      <c r="I1542" s="12">
        <f>ksh*Massivete/(H1542*RhoA)*DeltaT*(F1542+G1542)</f>
        <v>9.9608164169555133E-2</v>
      </c>
      <c r="J1542" s="3">
        <f>IF(E1542&lt;=500,IF(Galva=Oui,0.35,0.7),0.7)</f>
        <v>0.7</v>
      </c>
    </row>
    <row r="1543" spans="2:10" x14ac:dyDescent="0.25">
      <c r="B1543" s="3">
        <f>B1542+DeltaT</f>
        <v>7630</v>
      </c>
      <c r="C1543" s="13">
        <f t="shared" si="102"/>
        <v>127.16666666666667</v>
      </c>
      <c r="D1543" s="11">
        <f t="shared" si="103"/>
        <v>1057.7220361513241</v>
      </c>
      <c r="E1543" s="23">
        <f t="shared" si="104"/>
        <v>1056.0281151849695</v>
      </c>
      <c r="F1543" s="23">
        <f>AlphaC*(D1543-E1543)</f>
        <v>42.348024158866338</v>
      </c>
      <c r="G1543" s="13">
        <f>Phi*EpsilonF*Botzman/10^8*J1543*((D1543+273)^4-(E1543+273)^4)</f>
        <v>632.50934985839933</v>
      </c>
      <c r="H1543" s="23">
        <f t="shared" si="105"/>
        <v>650</v>
      </c>
      <c r="I1543" s="12">
        <f>ksh*Massivete/(H1543*RhoA)*DeltaT*(F1543+G1543)</f>
        <v>9.9541628286742206E-2</v>
      </c>
      <c r="J1543" s="3">
        <f>IF(E1543&lt;=500,IF(Galva=Oui,0.35,0.7),0.7)</f>
        <v>0.7</v>
      </c>
    </row>
    <row r="1544" spans="2:10" x14ac:dyDescent="0.25">
      <c r="B1544" s="3">
        <f>B1543+DeltaT</f>
        <v>7635</v>
      </c>
      <c r="C1544" s="13">
        <f t="shared" si="102"/>
        <v>127.25</v>
      </c>
      <c r="D1544" s="11">
        <f t="shared" si="103"/>
        <v>1057.8200934822169</v>
      </c>
      <c r="E1544" s="23">
        <f t="shared" si="104"/>
        <v>1056.1276568132562</v>
      </c>
      <c r="F1544" s="23">
        <f>AlphaC*(D1544-E1544)</f>
        <v>42.310916724017034</v>
      </c>
      <c r="G1544" s="13">
        <f>Phi*EpsilonF*Botzman/10^8*J1544*((D1544+273)^4-(E1544+273)^4)</f>
        <v>632.09597203493718</v>
      </c>
      <c r="H1544" s="23">
        <f t="shared" si="105"/>
        <v>650</v>
      </c>
      <c r="I1544" s="12">
        <f>ksh*Massivete/(H1544*RhoA)*DeltaT*(F1544+G1544)</f>
        <v>9.9475181600586049E-2</v>
      </c>
      <c r="J1544" s="3">
        <f>IF(E1544&lt;=500,IF(Galva=Oui,0.35,0.7),0.7)</f>
        <v>0.7</v>
      </c>
    </row>
    <row r="1545" spans="2:10" x14ac:dyDescent="0.25">
      <c r="B1545" s="3">
        <f>B1544+DeltaT</f>
        <v>7640</v>
      </c>
      <c r="C1545" s="13">
        <f t="shared" si="102"/>
        <v>127.33333333333333</v>
      </c>
      <c r="D1545" s="11">
        <f t="shared" si="103"/>
        <v>1057.9180866814304</v>
      </c>
      <c r="E1545" s="23">
        <f t="shared" si="104"/>
        <v>1056.2271319948568</v>
      </c>
      <c r="F1545" s="23">
        <f>AlphaC*(D1545-E1545)</f>
        <v>42.273867164340118</v>
      </c>
      <c r="G1545" s="13">
        <f>Phi*EpsilonF*Botzman/10^8*J1545*((D1545+273)^4-(E1545+273)^4)</f>
        <v>631.6831398390716</v>
      </c>
      <c r="H1545" s="23">
        <f t="shared" si="105"/>
        <v>650</v>
      </c>
      <c r="I1545" s="12">
        <f>ksh*Massivete/(H1545*RhoA)*DeltaT*(F1545+G1545)</f>
        <v>9.9408823931236415E-2</v>
      </c>
      <c r="J1545" s="3">
        <f>IF(E1545&lt;=500,IF(Galva=Oui,0.35,0.7),0.7)</f>
        <v>0.7</v>
      </c>
    </row>
    <row r="1546" spans="2:10" x14ac:dyDescent="0.25">
      <c r="B1546" s="3">
        <f>B1545+DeltaT</f>
        <v>7645</v>
      </c>
      <c r="C1546" s="13">
        <f t="shared" si="102"/>
        <v>127.41666666666667</v>
      </c>
      <c r="D1546" s="11">
        <f t="shared" si="103"/>
        <v>1058.0160158327967</v>
      </c>
      <c r="E1546" s="23">
        <f t="shared" si="104"/>
        <v>1056.3265408187881</v>
      </c>
      <c r="F1546" s="23">
        <f>AlphaC*(D1546-E1546)</f>
        <v>42.236875350215541</v>
      </c>
      <c r="G1546" s="13">
        <f>Phi*EpsilonF*Botzman/10^8*J1546*((D1546+273)^4-(E1546+273)^4)</f>
        <v>631.27085218399827</v>
      </c>
      <c r="H1546" s="23">
        <f t="shared" si="105"/>
        <v>650</v>
      </c>
      <c r="I1546" s="12">
        <f>ksh*Massivete/(H1546*RhoA)*DeltaT*(F1546+G1546)</f>
        <v>9.9342555099270424E-2</v>
      </c>
      <c r="J1546" s="3">
        <f>IF(E1546&lt;=500,IF(Galva=Oui,0.35,0.7),0.7)</f>
        <v>0.7</v>
      </c>
    </row>
    <row r="1547" spans="2:10" x14ac:dyDescent="0.25">
      <c r="B1547" s="3">
        <f>B1546+DeltaT</f>
        <v>7650</v>
      </c>
      <c r="C1547" s="13">
        <f t="shared" si="102"/>
        <v>127.5</v>
      </c>
      <c r="D1547" s="11">
        <f t="shared" si="103"/>
        <v>1058.1138810199839</v>
      </c>
      <c r="E1547" s="23">
        <f t="shared" si="104"/>
        <v>1056.4258833738875</v>
      </c>
      <c r="F1547" s="23">
        <f>AlphaC*(D1547-E1547)</f>
        <v>42.199941152409792</v>
      </c>
      <c r="G1547" s="13">
        <f>Phi*EpsilonF*Botzman/10^8*J1547*((D1547+273)^4-(E1547+273)^4)</f>
        <v>630.85910798597467</v>
      </c>
      <c r="H1547" s="23">
        <f t="shared" si="105"/>
        <v>650</v>
      </c>
      <c r="I1547" s="12">
        <f>ksh*Massivete/(H1547*RhoA)*DeltaT*(F1547+G1547)</f>
        <v>9.9276374925773805E-2</v>
      </c>
      <c r="J1547" s="3">
        <f>IF(E1547&lt;=500,IF(Galva=Oui,0.35,0.7),0.7)</f>
        <v>0.7</v>
      </c>
    </row>
    <row r="1548" spans="2:10" x14ac:dyDescent="0.25">
      <c r="B1548" s="3">
        <f>B1547+DeltaT</f>
        <v>7655</v>
      </c>
      <c r="C1548" s="13">
        <f t="shared" si="102"/>
        <v>127.58333333333333</v>
      </c>
      <c r="D1548" s="11">
        <f t="shared" si="103"/>
        <v>1058.211682326496</v>
      </c>
      <c r="E1548" s="23">
        <f t="shared" si="104"/>
        <v>1056.5251597488132</v>
      </c>
      <c r="F1548" s="23">
        <f>AlphaC*(D1548-E1548)</f>
        <v>42.163064442070208</v>
      </c>
      <c r="G1548" s="13">
        <f>Phi*EpsilonF*Botzman/10^8*J1548*((D1548+273)^4-(E1548+273)^4)</f>
        <v>630.44790616420426</v>
      </c>
      <c r="H1548" s="23">
        <f t="shared" si="105"/>
        <v>650</v>
      </c>
      <c r="I1548" s="12">
        <f>ksh*Massivete/(H1548*RhoA)*DeltaT*(F1548+G1548)</f>
        <v>9.9210283232323004E-2</v>
      </c>
      <c r="J1548" s="3">
        <f>IF(E1548&lt;=500,IF(Galva=Oui,0.35,0.7),0.7)</f>
        <v>0.7</v>
      </c>
    </row>
    <row r="1549" spans="2:10" x14ac:dyDescent="0.25">
      <c r="B1549" s="3">
        <f>B1548+DeltaT</f>
        <v>7660</v>
      </c>
      <c r="C1549" s="13">
        <f t="shared" si="102"/>
        <v>127.66666666666667</v>
      </c>
      <c r="D1549" s="11">
        <f t="shared" si="103"/>
        <v>1058.3094198356739</v>
      </c>
      <c r="E1549" s="23">
        <f t="shared" si="104"/>
        <v>1056.6243700320456</v>
      </c>
      <c r="F1549" s="23">
        <f>AlphaC*(D1549-E1549)</f>
        <v>42.126245090707926</v>
      </c>
      <c r="G1549" s="13">
        <f>Phi*EpsilonF*Botzman/10^8*J1549*((D1549+273)^4-(E1549+273)^4)</f>
        <v>630.03724564052595</v>
      </c>
      <c r="H1549" s="23">
        <f t="shared" si="105"/>
        <v>650</v>
      </c>
      <c r="I1549" s="12">
        <f>ksh*Massivete/(H1549*RhoA)*DeltaT*(F1549+G1549)</f>
        <v>9.914427984093685E-2</v>
      </c>
      <c r="J1549" s="3">
        <f>IF(E1549&lt;=500,IF(Galva=Oui,0.35,0.7),0.7)</f>
        <v>0.7</v>
      </c>
    </row>
    <row r="1550" spans="2:10" x14ac:dyDescent="0.25">
      <c r="B1550" s="3">
        <f>B1549+DeltaT</f>
        <v>7665</v>
      </c>
      <c r="C1550" s="13">
        <f t="shared" si="102"/>
        <v>127.75</v>
      </c>
      <c r="D1550" s="11">
        <f t="shared" si="103"/>
        <v>1058.407093630695</v>
      </c>
      <c r="E1550" s="23">
        <f t="shared" si="104"/>
        <v>1056.7235143118864</v>
      </c>
      <c r="F1550" s="23">
        <f>AlphaC*(D1550-E1550)</f>
        <v>42.089482970214931</v>
      </c>
      <c r="G1550" s="13">
        <f>Phi*EpsilonF*Botzman/10^8*J1550*((D1550+273)^4-(E1550+273)^4)</f>
        <v>629.62712533986019</v>
      </c>
      <c r="H1550" s="23">
        <f t="shared" si="105"/>
        <v>650</v>
      </c>
      <c r="I1550" s="12">
        <f>ksh*Massivete/(H1550*RhoA)*DeltaT*(F1550+G1550)</f>
        <v>9.90783645741449E-2</v>
      </c>
      <c r="J1550" s="3">
        <f>IF(E1550&lt;=500,IF(Galva=Oui,0.35,0.7),0.7)</f>
        <v>0.7</v>
      </c>
    </row>
    <row r="1551" spans="2:10" x14ac:dyDescent="0.25">
      <c r="B1551" s="3">
        <f>B1550+DeltaT</f>
        <v>7670</v>
      </c>
      <c r="C1551" s="13">
        <f t="shared" si="102"/>
        <v>127.83333333333333</v>
      </c>
      <c r="D1551" s="11">
        <f t="shared" si="103"/>
        <v>1058.5047037945751</v>
      </c>
      <c r="E1551" s="23">
        <f t="shared" si="104"/>
        <v>1056.8225926764605</v>
      </c>
      <c r="F1551" s="23">
        <f>AlphaC*(D1551-E1551)</f>
        <v>42.052777952864062</v>
      </c>
      <c r="G1551" s="13">
        <f>Phi*EpsilonF*Botzman/10^8*J1551*((D1551+273)^4-(E1551+273)^4)</f>
        <v>629.21754419003423</v>
      </c>
      <c r="H1551" s="23">
        <f t="shared" si="105"/>
        <v>650</v>
      </c>
      <c r="I1551" s="12">
        <f>ksh*Massivete/(H1551*RhoA)*DeltaT*(F1551+G1551)</f>
        <v>9.9012537254961619E-2</v>
      </c>
      <c r="J1551" s="3">
        <f>IF(E1551&lt;=500,IF(Galva=Oui,0.35,0.7),0.7)</f>
        <v>0.7</v>
      </c>
    </row>
    <row r="1552" spans="2:10" x14ac:dyDescent="0.25">
      <c r="B1552" s="3">
        <f>B1551+DeltaT</f>
        <v>7675</v>
      </c>
      <c r="C1552" s="13">
        <f t="shared" si="102"/>
        <v>127.91666666666667</v>
      </c>
      <c r="D1552" s="11">
        <f t="shared" si="103"/>
        <v>1058.6022504101668</v>
      </c>
      <c r="E1552" s="23">
        <f t="shared" si="104"/>
        <v>1056.9216052137156</v>
      </c>
      <c r="F1552" s="23">
        <f>AlphaC*(D1552-E1552)</f>
        <v>42.016129911280586</v>
      </c>
      <c r="G1552" s="13">
        <f>Phi*EpsilonF*Botzman/10^8*J1552*((D1552+273)^4-(E1552+273)^4)</f>
        <v>628.80850112141422</v>
      </c>
      <c r="H1552" s="23">
        <f t="shared" si="105"/>
        <v>650</v>
      </c>
      <c r="I1552" s="12">
        <f>ksh*Massivete/(H1552*RhoA)*DeltaT*(F1552+G1552)</f>
        <v>9.8946797706827933E-2</v>
      </c>
      <c r="J1552" s="3">
        <f>IF(E1552&lt;=500,IF(Galva=Oui,0.35,0.7),0.7)</f>
        <v>0.7</v>
      </c>
    </row>
    <row r="1553" spans="2:10" x14ac:dyDescent="0.25">
      <c r="B1553" s="3">
        <f>B1552+DeltaT</f>
        <v>7680</v>
      </c>
      <c r="C1553" s="13">
        <f t="shared" si="102"/>
        <v>128</v>
      </c>
      <c r="D1553" s="11">
        <f t="shared" si="103"/>
        <v>1058.6997335601616</v>
      </c>
      <c r="E1553" s="23">
        <f t="shared" si="104"/>
        <v>1057.0205520114223</v>
      </c>
      <c r="F1553" s="23">
        <f>AlphaC*(D1553-E1553)</f>
        <v>41.97953871848199</v>
      </c>
      <c r="G1553" s="13">
        <f>Phi*EpsilonF*Botzman/10^8*J1553*((D1553+273)^4-(E1553+273)^4)</f>
        <v>628.39999506760284</v>
      </c>
      <c r="H1553" s="23">
        <f t="shared" si="105"/>
        <v>650</v>
      </c>
      <c r="I1553" s="12">
        <f>ksh*Massivete/(H1553*RhoA)*DeltaT*(F1553+G1553)</f>
        <v>9.8881145753720021E-2</v>
      </c>
      <c r="J1553" s="3">
        <f>IF(E1553&lt;=500,IF(Galva=Oui,0.35,0.7),0.7)</f>
        <v>0.7</v>
      </c>
    </row>
    <row r="1554" spans="2:10" x14ac:dyDescent="0.25">
      <c r="B1554" s="3">
        <f>B1553+DeltaT</f>
        <v>7685</v>
      </c>
      <c r="C1554" s="13">
        <f t="shared" ref="C1554:C1617" si="106">B1554/60</f>
        <v>128.08333333333334</v>
      </c>
      <c r="D1554" s="11">
        <f t="shared" ref="D1554:D1617" si="107">20+345*LOG(8*C1554+1,10)</f>
        <v>1058.7971533270895</v>
      </c>
      <c r="E1554" s="23">
        <f t="shared" si="104"/>
        <v>1057.119433157176</v>
      </c>
      <c r="F1554" s="23">
        <f>AlphaC*(D1554-E1554)</f>
        <v>41.943004247838189</v>
      </c>
      <c r="G1554" s="13">
        <f>Phi*EpsilonF*Botzman/10^8*J1554*((D1554+273)^4-(E1554+273)^4)</f>
        <v>627.99202496476062</v>
      </c>
      <c r="H1554" s="23">
        <f t="shared" si="105"/>
        <v>650</v>
      </c>
      <c r="I1554" s="12">
        <f>ksh*Massivete/(H1554*RhoA)*DeltaT*(F1554+G1554)</f>
        <v>9.8815581220043358E-2</v>
      </c>
      <c r="J1554" s="3">
        <f>IF(E1554&lt;=500,IF(Galva=Oui,0.35,0.7),0.7)</f>
        <v>0.7</v>
      </c>
    </row>
    <row r="1555" spans="2:10" x14ac:dyDescent="0.25">
      <c r="B1555" s="3">
        <f>B1554+DeltaT</f>
        <v>7690</v>
      </c>
      <c r="C1555" s="13">
        <f t="shared" si="106"/>
        <v>128.16666666666666</v>
      </c>
      <c r="D1555" s="11">
        <f t="shared" si="107"/>
        <v>1058.8945097933197</v>
      </c>
      <c r="E1555" s="23">
        <f t="shared" si="104"/>
        <v>1057.2182487383961</v>
      </c>
      <c r="F1555" s="23">
        <f>AlphaC*(D1555-E1555)</f>
        <v>41.906526373088582</v>
      </c>
      <c r="G1555" s="13">
        <f>Phi*EpsilonF*Botzman/10^8*J1555*((D1555+273)^4-(E1555+273)^4)</f>
        <v>627.58458975189728</v>
      </c>
      <c r="H1555" s="23">
        <f t="shared" si="105"/>
        <v>650</v>
      </c>
      <c r="I1555" s="12">
        <f>ksh*Massivete/(H1555*RhoA)*DeltaT*(F1555+G1555)</f>
        <v>9.8750103930678124E-2</v>
      </c>
      <c r="J1555" s="3">
        <f>IF(E1555&lt;=500,IF(Galva=Oui,0.35,0.7),0.7)</f>
        <v>0.7</v>
      </c>
    </row>
    <row r="1556" spans="2:10" x14ac:dyDescent="0.25">
      <c r="B1556" s="3">
        <f>B1555+DeltaT</f>
        <v>7695</v>
      </c>
      <c r="C1556" s="13">
        <f t="shared" si="106"/>
        <v>128.25</v>
      </c>
      <c r="D1556" s="11">
        <f t="shared" si="107"/>
        <v>1058.9918030410608</v>
      </c>
      <c r="E1556" s="23">
        <f t="shared" si="104"/>
        <v>1057.3169988423267</v>
      </c>
      <c r="F1556" s="23">
        <f>AlphaC*(D1556-E1556)</f>
        <v>41.870104968353417</v>
      </c>
      <c r="G1556" s="13">
        <f>Phi*EpsilonF*Botzman/10^8*J1556*((D1556+273)^4-(E1556+273)^4)</f>
        <v>627.17768837104552</v>
      </c>
      <c r="H1556" s="23">
        <f t="shared" si="105"/>
        <v>650</v>
      </c>
      <c r="I1556" s="12">
        <f>ksh*Massivete/(H1556*RhoA)*DeltaT*(F1556+G1556)</f>
        <v>9.8684713711006608E-2</v>
      </c>
      <c r="J1556" s="3">
        <f>IF(E1556&lt;=500,IF(Galva=Oui,0.35,0.7),0.7)</f>
        <v>0.7</v>
      </c>
    </row>
    <row r="1557" spans="2:10" x14ac:dyDescent="0.25">
      <c r="B1557" s="3">
        <f>B1556+DeltaT</f>
        <v>7700</v>
      </c>
      <c r="C1557" s="13">
        <f t="shared" si="106"/>
        <v>128.33333333333334</v>
      </c>
      <c r="D1557" s="11">
        <f t="shared" si="107"/>
        <v>1059.0890331523617</v>
      </c>
      <c r="E1557" s="23">
        <f t="shared" si="104"/>
        <v>1057.4156835560377</v>
      </c>
      <c r="F1557" s="23">
        <f>AlphaC*(D1557-E1557)</f>
        <v>41.833739908099687</v>
      </c>
      <c r="G1557" s="13">
        <f>Phi*EpsilonF*Botzman/10^8*J1557*((D1557+273)^4-(E1557+273)^4)</f>
        <v>626.7713197667382</v>
      </c>
      <c r="H1557" s="23">
        <f t="shared" si="105"/>
        <v>650</v>
      </c>
      <c r="I1557" s="12">
        <f>ksh*Massivete/(H1557*RhoA)*DeltaT*(F1557+G1557)</f>
        <v>9.8619410386830975E-2</v>
      </c>
      <c r="J1557" s="3">
        <f>IF(E1557&lt;=500,IF(Galva=Oui,0.35,0.7),0.7)</f>
        <v>0.7</v>
      </c>
    </row>
    <row r="1558" spans="2:10" x14ac:dyDescent="0.25">
      <c r="B1558" s="3">
        <f>B1557+DeltaT</f>
        <v>7705</v>
      </c>
      <c r="C1558" s="13">
        <f t="shared" si="106"/>
        <v>128.41666666666666</v>
      </c>
      <c r="D1558" s="11">
        <f t="shared" si="107"/>
        <v>1059.1862002091111</v>
      </c>
      <c r="E1558" s="23">
        <f t="shared" si="104"/>
        <v>1057.5143029664246</v>
      </c>
      <c r="F1558" s="23">
        <f>AlphaC*(D1558-E1558)</f>
        <v>41.79743106716387</v>
      </c>
      <c r="G1558" s="13">
        <f>Phi*EpsilonF*Botzman/10^8*J1558*((D1558+273)^4-(E1558+273)^4)</f>
        <v>626.36548288651215</v>
      </c>
      <c r="H1558" s="23">
        <f t="shared" si="105"/>
        <v>650</v>
      </c>
      <c r="I1558" s="12">
        <f>ksh*Massivete/(H1558*RhoA)*DeltaT*(F1558+G1558)</f>
        <v>9.8554193784451016E-2</v>
      </c>
      <c r="J1558" s="3">
        <f>IF(E1558&lt;=500,IF(Galva=Oui,0.35,0.7),0.7)</f>
        <v>0.7</v>
      </c>
    </row>
    <row r="1559" spans="2:10" x14ac:dyDescent="0.25">
      <c r="B1559" s="3">
        <f>B1558+DeltaT</f>
        <v>7710</v>
      </c>
      <c r="C1559" s="13">
        <f t="shared" si="106"/>
        <v>128.5</v>
      </c>
      <c r="D1559" s="11">
        <f t="shared" si="107"/>
        <v>1059.2833042930392</v>
      </c>
      <c r="E1559" s="23">
        <f t="shared" si="104"/>
        <v>1057.6128571602089</v>
      </c>
      <c r="F1559" s="23">
        <f>AlphaC*(D1559-E1559)</f>
        <v>41.761178320757608</v>
      </c>
      <c r="G1559" s="13">
        <f>Phi*EpsilonF*Botzman/10^8*J1559*((D1559+273)^4-(E1559+273)^4)</f>
        <v>625.96017668071397</v>
      </c>
      <c r="H1559" s="23">
        <f t="shared" si="105"/>
        <v>650</v>
      </c>
      <c r="I1559" s="12">
        <f>ksh*Massivete/(H1559*RhoA)*DeltaT*(F1559+G1559)</f>
        <v>9.8489063730636275E-2</v>
      </c>
      <c r="J1559" s="3">
        <f>IF(E1559&lt;=500,IF(Galva=Oui,0.35,0.7),0.7)</f>
        <v>0.7</v>
      </c>
    </row>
    <row r="1560" spans="2:10" x14ac:dyDescent="0.25">
      <c r="B1560" s="3">
        <f>B1559+DeltaT</f>
        <v>7715</v>
      </c>
      <c r="C1560" s="13">
        <f t="shared" si="106"/>
        <v>128.58333333333334</v>
      </c>
      <c r="D1560" s="11">
        <f t="shared" si="107"/>
        <v>1059.3803454857168</v>
      </c>
      <c r="E1560" s="23">
        <f t="shared" si="104"/>
        <v>1057.7113462239395</v>
      </c>
      <c r="F1560" s="23">
        <f>AlphaC*(D1560-E1560)</f>
        <v>41.724981544433604</v>
      </c>
      <c r="G1560" s="13">
        <f>Phi*EpsilonF*Botzman/10^8*J1560*((D1560+273)^4-(E1560+273)^4)</f>
        <v>625.55540010226798</v>
      </c>
      <c r="H1560" s="23">
        <f t="shared" si="105"/>
        <v>650</v>
      </c>
      <c r="I1560" s="12">
        <f>ksh*Massivete/(H1560*RhoA)*DeltaT*(F1560+G1560)</f>
        <v>9.8424020052586839E-2</v>
      </c>
      <c r="J1560" s="3">
        <f>IF(E1560&lt;=500,IF(Galva=Oui,0.35,0.7),0.7)</f>
        <v>0.7</v>
      </c>
    </row>
    <row r="1561" spans="2:10" x14ac:dyDescent="0.25">
      <c r="B1561" s="3">
        <f>B1560+DeltaT</f>
        <v>7720</v>
      </c>
      <c r="C1561" s="13">
        <f t="shared" si="106"/>
        <v>128.66666666666666</v>
      </c>
      <c r="D1561" s="11">
        <f t="shared" si="107"/>
        <v>1059.4773238685566</v>
      </c>
      <c r="E1561" s="23">
        <f t="shared" si="104"/>
        <v>1057.809770243992</v>
      </c>
      <c r="F1561" s="23">
        <f>AlphaC*(D1561-E1561)</f>
        <v>41.688840614114042</v>
      </c>
      <c r="G1561" s="13">
        <f>Phi*EpsilonF*Botzman/10^8*J1561*((D1561+273)^4-(E1561+273)^4)</f>
        <v>625.1511521070056</v>
      </c>
      <c r="H1561" s="23">
        <f t="shared" si="105"/>
        <v>650</v>
      </c>
      <c r="I1561" s="12">
        <f>ksh*Massivete/(H1561*RhoA)*DeltaT*(F1561+G1561)</f>
        <v>9.8359062577986059E-2</v>
      </c>
      <c r="J1561" s="3">
        <f>IF(E1561&lt;=500,IF(Galva=Oui,0.35,0.7),0.7)</f>
        <v>0.7</v>
      </c>
    </row>
    <row r="1562" spans="2:10" x14ac:dyDescent="0.25">
      <c r="B1562" s="3">
        <f>B1561+DeltaT</f>
        <v>7725</v>
      </c>
      <c r="C1562" s="13">
        <f t="shared" si="106"/>
        <v>128.75</v>
      </c>
      <c r="D1562" s="11">
        <f t="shared" si="107"/>
        <v>1059.5742395228131</v>
      </c>
      <c r="E1562" s="23">
        <f t="shared" si="104"/>
        <v>1057.9081293065701</v>
      </c>
      <c r="F1562" s="23">
        <f>AlphaC*(D1562-E1562)</f>
        <v>41.652755406073538</v>
      </c>
      <c r="G1562" s="13">
        <f>Phi*EpsilonF*Botzman/10^8*J1562*((D1562+273)^4-(E1562+273)^4)</f>
        <v>624.7474316534325</v>
      </c>
      <c r="H1562" s="23">
        <f t="shared" si="105"/>
        <v>650</v>
      </c>
      <c r="I1562" s="12">
        <f>ksh*Massivete/(H1562*RhoA)*DeltaT*(F1562+G1562)</f>
        <v>9.8294191134963738E-2</v>
      </c>
      <c r="J1562" s="3">
        <f>IF(E1562&lt;=500,IF(Galva=Oui,0.35,0.7),0.7)</f>
        <v>0.7</v>
      </c>
    </row>
    <row r="1563" spans="2:10" x14ac:dyDescent="0.25">
      <c r="B1563" s="3">
        <f>B1562+DeltaT</f>
        <v>7730</v>
      </c>
      <c r="C1563" s="13">
        <f t="shared" si="106"/>
        <v>128.83333333333334</v>
      </c>
      <c r="D1563" s="11">
        <f t="shared" si="107"/>
        <v>1059.6710925295833</v>
      </c>
      <c r="E1563" s="23">
        <f t="shared" si="104"/>
        <v>1058.0064234977051</v>
      </c>
      <c r="F1563" s="23">
        <f>AlphaC*(D1563-E1563)</f>
        <v>41.616725796956189</v>
      </c>
      <c r="G1563" s="13">
        <f>Phi*EpsilonF*Botzman/10^8*J1563*((D1563+273)^4-(E1563+273)^4)</f>
        <v>624.34423770290323</v>
      </c>
      <c r="H1563" s="23">
        <f t="shared" si="105"/>
        <v>650</v>
      </c>
      <c r="I1563" s="12">
        <f>ksh*Massivete/(H1563*RhoA)*DeltaT*(F1563+G1563)</f>
        <v>9.8229405552124421E-2</v>
      </c>
      <c r="J1563" s="3">
        <f>IF(E1563&lt;=500,IF(Galva=Oui,0.35,0.7),0.7)</f>
        <v>0.7</v>
      </c>
    </row>
    <row r="1564" spans="2:10" x14ac:dyDescent="0.25">
      <c r="B1564" s="3">
        <f>B1563+DeltaT</f>
        <v>7735</v>
      </c>
      <c r="C1564" s="13">
        <f t="shared" si="106"/>
        <v>128.91666666666666</v>
      </c>
      <c r="D1564" s="11">
        <f t="shared" si="107"/>
        <v>1059.7678829698077</v>
      </c>
      <c r="E1564" s="23">
        <f t="shared" si="104"/>
        <v>1058.1046529032571</v>
      </c>
      <c r="F1564" s="23">
        <f>AlphaC*(D1564-E1564)</f>
        <v>41.580751663764204</v>
      </c>
      <c r="G1564" s="13">
        <f>Phi*EpsilonF*Botzman/10^8*J1564*((D1564+273)^4-(E1564+273)^4)</f>
        <v>623.94156921964054</v>
      </c>
      <c r="H1564" s="23">
        <f t="shared" si="105"/>
        <v>650</v>
      </c>
      <c r="I1564" s="12">
        <f>ksh*Massivete/(H1564*RhoA)*DeltaT*(F1564+G1564)</f>
        <v>9.8164705658548485E-2</v>
      </c>
      <c r="J1564" s="3">
        <f>IF(E1564&lt;=500,IF(Galva=Oui,0.35,0.7),0.7)</f>
        <v>0.7</v>
      </c>
    </row>
    <row r="1565" spans="2:10" x14ac:dyDescent="0.25">
      <c r="B1565" s="3">
        <f>B1564+DeltaT</f>
        <v>7740</v>
      </c>
      <c r="C1565" s="13">
        <f t="shared" si="106"/>
        <v>129</v>
      </c>
      <c r="D1565" s="11">
        <f t="shared" si="107"/>
        <v>1059.8646109242691</v>
      </c>
      <c r="E1565" s="23">
        <f t="shared" si="104"/>
        <v>1058.2028176089157</v>
      </c>
      <c r="F1565" s="23">
        <f>AlphaC*(D1565-E1565)</f>
        <v>41.54483288383517</v>
      </c>
      <c r="G1565" s="13">
        <f>Phi*EpsilonF*Botzman/10^8*J1565*((D1565+273)^4-(E1565+273)^4)</f>
        <v>623.53942517023165</v>
      </c>
      <c r="H1565" s="23">
        <f t="shared" si="105"/>
        <v>650</v>
      </c>
      <c r="I1565" s="12">
        <f>ksh*Massivete/(H1565*RhoA)*DeltaT*(F1565+G1565)</f>
        <v>9.8100091283714552E-2</v>
      </c>
      <c r="J1565" s="3">
        <f>IF(E1565&lt;=500,IF(Galva=Oui,0.35,0.7),0.7)</f>
        <v>0.7</v>
      </c>
    </row>
    <row r="1566" spans="2:10" x14ac:dyDescent="0.25">
      <c r="B1566" s="3">
        <f>B1565+DeltaT</f>
        <v>7745</v>
      </c>
      <c r="C1566" s="13">
        <f t="shared" si="106"/>
        <v>129.08333333333334</v>
      </c>
      <c r="D1566" s="11">
        <f t="shared" si="107"/>
        <v>1059.9612764735939</v>
      </c>
      <c r="E1566" s="23">
        <f t="shared" si="104"/>
        <v>1058.3009177001993</v>
      </c>
      <c r="F1566" s="23">
        <f>AlphaC*(D1566-E1566)</f>
        <v>41.508969334864787</v>
      </c>
      <c r="G1566" s="13">
        <f>Phi*EpsilonF*Botzman/10^8*J1566*((D1566+273)^4-(E1566+273)^4)</f>
        <v>623.13780452417052</v>
      </c>
      <c r="H1566" s="23">
        <f t="shared" si="105"/>
        <v>650</v>
      </c>
      <c r="I1566" s="12">
        <f>ksh*Massivete/(H1566*RhoA)*DeltaT*(F1566+G1566)</f>
        <v>9.8035562257582823E-2</v>
      </c>
      <c r="J1566" s="3">
        <f>IF(E1566&lt;=500,IF(Galva=Oui,0.35,0.7),0.7)</f>
        <v>0.7</v>
      </c>
    </row>
    <row r="1567" spans="2:10" x14ac:dyDescent="0.25">
      <c r="B1567" s="3">
        <f>B1566+DeltaT</f>
        <v>7750</v>
      </c>
      <c r="C1567" s="13">
        <f t="shared" si="106"/>
        <v>129.16666666666666</v>
      </c>
      <c r="D1567" s="11">
        <f t="shared" si="107"/>
        <v>1060.0578796982534</v>
      </c>
      <c r="E1567" s="23">
        <f t="shared" si="104"/>
        <v>1058.3989532624569</v>
      </c>
      <c r="F1567" s="23">
        <f>AlphaC*(D1567-E1567)</f>
        <v>41.473160894912553</v>
      </c>
      <c r="G1567" s="13">
        <f>Phi*EpsilonF*Botzman/10^8*J1567*((D1567+273)^4-(E1567+273)^4)</f>
        <v>622.73670625364525</v>
      </c>
      <c r="H1567" s="23">
        <f t="shared" si="105"/>
        <v>650</v>
      </c>
      <c r="I1567" s="12">
        <f>ksh*Massivete/(H1567*RhoA)*DeltaT*(F1567+G1567)</f>
        <v>9.7971118410564523E-2</v>
      </c>
      <c r="J1567" s="3">
        <f>IF(E1567&lt;=500,IF(Galva=Oui,0.35,0.7),0.7)</f>
        <v>0.7</v>
      </c>
    </row>
    <row r="1568" spans="2:10" x14ac:dyDescent="0.25">
      <c r="B1568" s="3">
        <f>B1567+DeltaT</f>
        <v>7755</v>
      </c>
      <c r="C1568" s="13">
        <f t="shared" si="106"/>
        <v>129.25</v>
      </c>
      <c r="D1568" s="11">
        <f t="shared" si="107"/>
        <v>1060.1544206785629</v>
      </c>
      <c r="E1568" s="23">
        <f t="shared" si="104"/>
        <v>1058.4969243808675</v>
      </c>
      <c r="F1568" s="23">
        <f>AlphaC*(D1568-E1568)</f>
        <v>41.437407442384711</v>
      </c>
      <c r="G1568" s="13">
        <f>Phi*EpsilonF*Botzman/10^8*J1568*((D1568+273)^4-(E1568+273)^4)</f>
        <v>622.33612933367306</v>
      </c>
      <c r="H1568" s="23">
        <f t="shared" si="105"/>
        <v>650</v>
      </c>
      <c r="I1568" s="12">
        <f>ksh*Massivete/(H1568*RhoA)*DeltaT*(F1568+G1568)</f>
        <v>9.7906759573539351E-2</v>
      </c>
      <c r="J1568" s="3">
        <f>IF(E1568&lt;=500,IF(Galva=Oui,0.35,0.7),0.7)</f>
        <v>0.7</v>
      </c>
    </row>
    <row r="1569" spans="2:10" x14ac:dyDescent="0.25">
      <c r="B1569" s="3">
        <f>B1568+DeltaT</f>
        <v>7760</v>
      </c>
      <c r="C1569" s="13">
        <f t="shared" si="106"/>
        <v>129.33333333333334</v>
      </c>
      <c r="D1569" s="11">
        <f t="shared" si="107"/>
        <v>1060.2508994946827</v>
      </c>
      <c r="E1569" s="23">
        <f t="shared" si="104"/>
        <v>1058.5948311404411</v>
      </c>
      <c r="F1569" s="23">
        <f>AlphaC*(D1569-E1569)</f>
        <v>41.401708856039932</v>
      </c>
      <c r="G1569" s="13">
        <f>Phi*EpsilonF*Botzman/10^8*J1569*((D1569+273)^4-(E1569+273)^4)</f>
        <v>621.93607274196518</v>
      </c>
      <c r="H1569" s="23">
        <f t="shared" si="105"/>
        <v>650</v>
      </c>
      <c r="I1569" s="12">
        <f>ksh*Massivete/(H1569*RhoA)*DeltaT*(F1569+G1569)</f>
        <v>9.7842485577836327E-2</v>
      </c>
      <c r="J1569" s="3">
        <f>IF(E1569&lt;=500,IF(Galva=Oui,0.35,0.7),0.7)</f>
        <v>0.7</v>
      </c>
    </row>
    <row r="1570" spans="2:10" x14ac:dyDescent="0.25">
      <c r="B1570" s="3">
        <f>B1569+DeltaT</f>
        <v>7765</v>
      </c>
      <c r="C1570" s="13">
        <f t="shared" si="106"/>
        <v>129.41666666666666</v>
      </c>
      <c r="D1570" s="11">
        <f t="shared" si="107"/>
        <v>1060.3473162266175</v>
      </c>
      <c r="E1570" s="23">
        <f t="shared" si="104"/>
        <v>1058.6926736260189</v>
      </c>
      <c r="F1570" s="23">
        <f>AlphaC*(D1570-E1570)</f>
        <v>41.36606501496658</v>
      </c>
      <c r="G1570" s="13">
        <f>Phi*EpsilonF*Botzman/10^8*J1570*((D1570+273)^4-(E1570+273)^4)</f>
        <v>621.53653545850034</v>
      </c>
      <c r="H1570" s="23">
        <f t="shared" si="105"/>
        <v>650</v>
      </c>
      <c r="I1570" s="12">
        <f>ksh*Massivete/(H1570*RhoA)*DeltaT*(F1570+G1570)</f>
        <v>9.7778296255167568E-2</v>
      </c>
      <c r="J1570" s="3">
        <f>IF(E1570&lt;=500,IF(Galva=Oui,0.35,0.7),0.7)</f>
        <v>0.7</v>
      </c>
    </row>
    <row r="1571" spans="2:10" x14ac:dyDescent="0.25">
      <c r="B1571" s="3">
        <f>B1570+DeltaT</f>
        <v>7770</v>
      </c>
      <c r="C1571" s="13">
        <f t="shared" si="106"/>
        <v>129.5</v>
      </c>
      <c r="D1571" s="11">
        <f t="shared" si="107"/>
        <v>1060.443670954219</v>
      </c>
      <c r="E1571" s="23">
        <f t="shared" si="104"/>
        <v>1058.7904519222741</v>
      </c>
      <c r="F1571" s="23">
        <f>AlphaC*(D1571-E1571)</f>
        <v>41.330475798622501</v>
      </c>
      <c r="G1571" s="13">
        <f>Phi*EpsilonF*Botzman/10^8*J1571*((D1571+273)^4-(E1571+273)^4)</f>
        <v>621.13751646641595</v>
      </c>
      <c r="H1571" s="23">
        <f t="shared" si="105"/>
        <v>650</v>
      </c>
      <c r="I1571" s="12">
        <f>ksh*Massivete/(H1571*RhoA)*DeltaT*(F1571+G1571)</f>
        <v>9.7714191437765593E-2</v>
      </c>
      <c r="J1571" s="3">
        <f>IF(E1571&lt;=500,IF(Galva=Oui,0.35,0.7),0.7)</f>
        <v>0.7</v>
      </c>
    </row>
    <row r="1572" spans="2:10" x14ac:dyDescent="0.25">
      <c r="B1572" s="3">
        <f>B1571+DeltaT</f>
        <v>7775</v>
      </c>
      <c r="C1572" s="13">
        <f t="shared" si="106"/>
        <v>129.58333333333334</v>
      </c>
      <c r="D1572" s="11">
        <f t="shared" si="107"/>
        <v>1060.5399637571841</v>
      </c>
      <c r="E1572" s="23">
        <f t="shared" si="104"/>
        <v>1058.8881661137118</v>
      </c>
      <c r="F1572" s="23">
        <f>AlphaC*(D1572-E1572)</f>
        <v>41.294941086806602</v>
      </c>
      <c r="G1572" s="13">
        <f>Phi*EpsilonF*Botzman/10^8*J1572*((D1572+273)^4-(E1572+273)^4)</f>
        <v>620.7390147514659</v>
      </c>
      <c r="H1572" s="23">
        <f t="shared" si="105"/>
        <v>650</v>
      </c>
      <c r="I1572" s="12">
        <f>ksh*Massivete/(H1572*RhoA)*DeltaT*(F1572+G1572)</f>
        <v>9.7650170958299157E-2</v>
      </c>
      <c r="J1572" s="3">
        <f>IF(E1572&lt;=500,IF(Galva=Oui,0.35,0.7),0.7)</f>
        <v>0.7</v>
      </c>
    </row>
    <row r="1573" spans="2:10" x14ac:dyDescent="0.25">
      <c r="B1573" s="3">
        <f>B1572+DeltaT</f>
        <v>7780</v>
      </c>
      <c r="C1573" s="13">
        <f t="shared" si="106"/>
        <v>129.66666666666666</v>
      </c>
      <c r="D1573" s="11">
        <f t="shared" si="107"/>
        <v>1060.6361947150563</v>
      </c>
      <c r="E1573" s="23">
        <f t="shared" si="104"/>
        <v>1058.9858162846701</v>
      </c>
      <c r="F1573" s="23">
        <f>AlphaC*(D1573-E1573)</f>
        <v>41.259460759653166</v>
      </c>
      <c r="G1573" s="13">
        <f>Phi*EpsilonF*Botzman/10^8*J1573*((D1573+273)^4-(E1573+273)^4)</f>
        <v>620.34102930172958</v>
      </c>
      <c r="H1573" s="23">
        <f t="shared" si="105"/>
        <v>650</v>
      </c>
      <c r="I1573" s="12">
        <f>ksh*Massivete/(H1573*RhoA)*DeltaT*(F1573+G1573)</f>
        <v>9.7586234649829517E-2</v>
      </c>
      <c r="J1573" s="3">
        <f>IF(E1573&lt;=500,IF(Galva=Oui,0.35,0.7),0.7)</f>
        <v>0.7</v>
      </c>
    </row>
    <row r="1574" spans="2:10" x14ac:dyDescent="0.25">
      <c r="B1574" s="3">
        <f>B1573+DeltaT</f>
        <v>7785</v>
      </c>
      <c r="C1574" s="13">
        <f t="shared" si="106"/>
        <v>129.75</v>
      </c>
      <c r="D1574" s="11">
        <f t="shared" si="107"/>
        <v>1060.732363907226</v>
      </c>
      <c r="E1574" s="23">
        <f t="shared" si="104"/>
        <v>1059.0834025193199</v>
      </c>
      <c r="F1574" s="23">
        <f>AlphaC*(D1574-E1574)</f>
        <v>41.224034697654588</v>
      </c>
      <c r="G1574" s="13">
        <f>Phi*EpsilonF*Botzman/10^8*J1574*((D1574+273)^4-(E1574+273)^4)</f>
        <v>619.94355910838726</v>
      </c>
      <c r="H1574" s="23">
        <f t="shared" si="105"/>
        <v>650</v>
      </c>
      <c r="I1574" s="12">
        <f>ksh*Massivete/(H1574*RhoA)*DeltaT*(F1574+G1574)</f>
        <v>9.7522382345928083E-2</v>
      </c>
      <c r="J1574" s="3">
        <f>IF(E1574&lt;=500,IF(Galva=Oui,0.35,0.7),0.7)</f>
        <v>0.7</v>
      </c>
    </row>
    <row r="1575" spans="2:10" x14ac:dyDescent="0.25">
      <c r="B1575" s="3">
        <f>B1574+DeltaT</f>
        <v>7790</v>
      </c>
      <c r="C1575" s="13">
        <f t="shared" si="106"/>
        <v>129.83333333333334</v>
      </c>
      <c r="D1575" s="11">
        <f t="shared" si="107"/>
        <v>1060.8284714129309</v>
      </c>
      <c r="E1575" s="23">
        <f t="shared" si="104"/>
        <v>1059.1809249016658</v>
      </c>
      <c r="F1575" s="23">
        <f>AlphaC*(D1575-E1575)</f>
        <v>41.188662781627272</v>
      </c>
      <c r="G1575" s="13">
        <f>Phi*EpsilonF*Botzman/10^8*J1575*((D1575+273)^4-(E1575+273)^4)</f>
        <v>619.54660316486718</v>
      </c>
      <c r="H1575" s="23">
        <f t="shared" si="105"/>
        <v>650</v>
      </c>
      <c r="I1575" s="12">
        <f>ksh*Massivete/(H1575*RhoA)*DeltaT*(F1575+G1575)</f>
        <v>9.7458613880545705E-2</v>
      </c>
      <c r="J1575" s="3">
        <f>IF(E1575&lt;=500,IF(Galva=Oui,0.35,0.7),0.7)</f>
        <v>0.7</v>
      </c>
    </row>
    <row r="1576" spans="2:10" x14ac:dyDescent="0.25">
      <c r="B1576" s="3">
        <f>B1575+DeltaT</f>
        <v>7795</v>
      </c>
      <c r="C1576" s="13">
        <f t="shared" si="106"/>
        <v>129.91666666666666</v>
      </c>
      <c r="D1576" s="11">
        <f t="shared" si="107"/>
        <v>1060.9245173112561</v>
      </c>
      <c r="E1576" s="23">
        <f t="shared" si="104"/>
        <v>1059.2783835155462</v>
      </c>
      <c r="F1576" s="23">
        <f>AlphaC*(D1576-E1576)</f>
        <v>41.153344892745736</v>
      </c>
      <c r="G1576" s="13">
        <f>Phi*EpsilonF*Botzman/10^8*J1576*((D1576+273)^4-(E1576+273)^4)</f>
        <v>619.15016046738822</v>
      </c>
      <c r="H1576" s="23">
        <f t="shared" si="105"/>
        <v>650</v>
      </c>
      <c r="I1576" s="12">
        <f>ksh*Massivete/(H1576*RhoA)*DeltaT*(F1576+G1576)</f>
        <v>9.739492908809759E-2</v>
      </c>
      <c r="J1576" s="3">
        <f>IF(E1576&lt;=500,IF(Galva=Oui,0.35,0.7),0.7)</f>
        <v>0.7</v>
      </c>
    </row>
    <row r="1577" spans="2:10" x14ac:dyDescent="0.25">
      <c r="B1577" s="3">
        <f>B1576+DeltaT</f>
        <v>7800</v>
      </c>
      <c r="C1577" s="13">
        <f t="shared" si="106"/>
        <v>130</v>
      </c>
      <c r="D1577" s="11">
        <f t="shared" si="107"/>
        <v>1061.0205016811349</v>
      </c>
      <c r="E1577" s="23">
        <f t="shared" si="104"/>
        <v>1059.3757784446343</v>
      </c>
      <c r="F1577" s="23">
        <f>AlphaC*(D1577-E1577)</f>
        <v>41.118080912514188</v>
      </c>
      <c r="G1577" s="13">
        <f>Phi*EpsilonF*Botzman/10^8*J1577*((D1577+273)^4-(E1577+273)^4)</f>
        <v>618.75423001484387</v>
      </c>
      <c r="H1577" s="23">
        <f t="shared" si="105"/>
        <v>650</v>
      </c>
      <c r="I1577" s="12">
        <f>ksh*Massivete/(H1577*RhoA)*DeltaT*(F1577+G1577)</f>
        <v>9.7331327803442155E-2</v>
      </c>
      <c r="J1577" s="3">
        <f>IF(E1577&lt;=500,IF(Galva=Oui,0.35,0.7),0.7)</f>
        <v>0.7</v>
      </c>
    </row>
    <row r="1578" spans="2:10" x14ac:dyDescent="0.25">
      <c r="B1578" s="3">
        <f>B1577+DeltaT</f>
        <v>7805</v>
      </c>
      <c r="C1578" s="13">
        <f t="shared" si="106"/>
        <v>130.08333333333334</v>
      </c>
      <c r="D1578" s="11">
        <f t="shared" si="107"/>
        <v>1061.1164246013489</v>
      </c>
      <c r="E1578" s="23">
        <f t="shared" si="104"/>
        <v>1059.4731097724377</v>
      </c>
      <c r="F1578" s="23">
        <f>AlphaC*(D1578-E1578)</f>
        <v>41.082870722777898</v>
      </c>
      <c r="G1578" s="13">
        <f>Phi*EpsilonF*Botzman/10^8*J1578*((D1578+273)^4-(E1578+273)^4)</f>
        <v>618.35881080870502</v>
      </c>
      <c r="H1578" s="23">
        <f t="shared" si="105"/>
        <v>650</v>
      </c>
      <c r="I1578" s="12">
        <f>ksh*Massivete/(H1578*RhoA)*DeltaT*(F1578+G1578)</f>
        <v>9.7267809861868254E-2</v>
      </c>
      <c r="J1578" s="3">
        <f>IF(E1578&lt;=500,IF(Galva=Oui,0.35,0.7),0.7)</f>
        <v>0.7</v>
      </c>
    </row>
    <row r="1579" spans="2:10" x14ac:dyDescent="0.25">
      <c r="B1579" s="3">
        <f>B1578+DeltaT</f>
        <v>7810</v>
      </c>
      <c r="C1579" s="13">
        <f t="shared" si="106"/>
        <v>130.16666666666666</v>
      </c>
      <c r="D1579" s="11">
        <f t="shared" si="107"/>
        <v>1061.2122861505284</v>
      </c>
      <c r="E1579" s="23">
        <f t="shared" si="104"/>
        <v>1059.5703775822997</v>
      </c>
      <c r="F1579" s="23">
        <f>AlphaC*(D1579-E1579)</f>
        <v>41.047714205717512</v>
      </c>
      <c r="G1579" s="13">
        <f>Phi*EpsilonF*Botzman/10^8*J1579*((D1579+273)^4-(E1579+273)^4)</f>
        <v>617.96390185286509</v>
      </c>
      <c r="H1579" s="23">
        <f t="shared" si="105"/>
        <v>650</v>
      </c>
      <c r="I1579" s="12">
        <f>ksh*Massivete/(H1579*RhoA)*DeltaT*(F1579+G1579)</f>
        <v>9.7204375099071538E-2</v>
      </c>
      <c r="J1579" s="3">
        <f>IF(E1579&lt;=500,IF(Galva=Oui,0.35,0.7),0.7)</f>
        <v>0.7</v>
      </c>
    </row>
    <row r="1580" spans="2:10" x14ac:dyDescent="0.25">
      <c r="B1580" s="3">
        <f>B1579+DeltaT</f>
        <v>7815</v>
      </c>
      <c r="C1580" s="13">
        <f t="shared" si="106"/>
        <v>130.25</v>
      </c>
      <c r="D1580" s="11">
        <f t="shared" si="107"/>
        <v>1061.308086407153</v>
      </c>
      <c r="E1580" s="23">
        <f t="shared" si="104"/>
        <v>1059.6675819573989</v>
      </c>
      <c r="F1580" s="23">
        <f>AlphaC*(D1580-E1580)</f>
        <v>41.012611243854735</v>
      </c>
      <c r="G1580" s="13">
        <f>Phi*EpsilonF*Botzman/10^8*J1580*((D1580+273)^4-(E1580+273)^4)</f>
        <v>617.5695021541826</v>
      </c>
      <c r="H1580" s="23">
        <f t="shared" si="105"/>
        <v>650</v>
      </c>
      <c r="I1580" s="12">
        <f>ksh*Massivete/(H1580*RhoA)*DeltaT*(F1580+G1580)</f>
        <v>9.7141023351235298E-2</v>
      </c>
      <c r="J1580" s="3">
        <f>IF(E1580&lt;=500,IF(Galva=Oui,0.35,0.7),0.7)</f>
        <v>0.7</v>
      </c>
    </row>
    <row r="1581" spans="2:10" x14ac:dyDescent="0.25">
      <c r="B1581" s="3">
        <f>B1580+DeltaT</f>
        <v>7820</v>
      </c>
      <c r="C1581" s="13">
        <f t="shared" si="106"/>
        <v>130.33333333333334</v>
      </c>
      <c r="D1581" s="11">
        <f t="shared" si="107"/>
        <v>1061.4038254495522</v>
      </c>
      <c r="E1581" s="23">
        <f t="shared" si="104"/>
        <v>1059.7647229807501</v>
      </c>
      <c r="F1581" s="23">
        <f>AlphaC*(D1581-E1581)</f>
        <v>40.977561720052336</v>
      </c>
      <c r="G1581" s="13">
        <f>Phi*EpsilonF*Botzman/10^8*J1581*((D1581+273)^4-(E1581+273)^4)</f>
        <v>617.17561072189983</v>
      </c>
      <c r="H1581" s="23">
        <f t="shared" si="105"/>
        <v>650</v>
      </c>
      <c r="I1581" s="12">
        <f>ksh*Massivete/(H1581*RhoA)*DeltaT*(F1581+G1581)</f>
        <v>9.7077754454944779E-2</v>
      </c>
      <c r="J1581" s="3">
        <f>IF(E1581&lt;=500,IF(Galva=Oui,0.35,0.7),0.7)</f>
        <v>0.7</v>
      </c>
    </row>
    <row r="1582" spans="2:10" x14ac:dyDescent="0.25">
      <c r="B1582" s="3">
        <f>B1581+DeltaT</f>
        <v>7825</v>
      </c>
      <c r="C1582" s="13">
        <f t="shared" si="106"/>
        <v>130.41666666666666</v>
      </c>
      <c r="D1582" s="11">
        <f t="shared" si="107"/>
        <v>1061.4995033559046</v>
      </c>
      <c r="E1582" s="23">
        <f t="shared" si="104"/>
        <v>1059.861800735205</v>
      </c>
      <c r="F1582" s="23">
        <f>AlphaC*(D1582-E1582)</f>
        <v>40.942565517491403</v>
      </c>
      <c r="G1582" s="13">
        <f>Phi*EpsilonF*Botzman/10^8*J1582*((D1582+273)^4-(E1582+273)^4)</f>
        <v>616.78222656777825</v>
      </c>
      <c r="H1582" s="23">
        <f t="shared" si="105"/>
        <v>650</v>
      </c>
      <c r="I1582" s="12">
        <f>ksh*Massivete/(H1582*RhoA)*DeltaT*(F1582+G1582)</f>
        <v>9.7014568247203739E-2</v>
      </c>
      <c r="J1582" s="3">
        <f>IF(E1582&lt;=500,IF(Galva=Oui,0.35,0.7),0.7)</f>
        <v>0.7</v>
      </c>
    </row>
    <row r="1583" spans="2:10" x14ac:dyDescent="0.25">
      <c r="B1583" s="3">
        <f>B1582+DeltaT</f>
        <v>7830</v>
      </c>
      <c r="C1583" s="13">
        <f t="shared" si="106"/>
        <v>130.5</v>
      </c>
      <c r="D1583" s="11">
        <f t="shared" si="107"/>
        <v>1061.5951202042399</v>
      </c>
      <c r="E1583" s="23">
        <f t="shared" si="104"/>
        <v>1059.9588153034522</v>
      </c>
      <c r="F1583" s="23">
        <f>AlphaC*(D1583-E1583)</f>
        <v>40.907622519694087</v>
      </c>
      <c r="G1583" s="13">
        <f>Phi*EpsilonF*Botzman/10^8*J1583*((D1583+273)^4-(E1583+273)^4)</f>
        <v>616.38934870629294</v>
      </c>
      <c r="H1583" s="23">
        <f t="shared" si="105"/>
        <v>650</v>
      </c>
      <c r="I1583" s="12">
        <f>ksh*Massivete/(H1583*RhoA)*DeltaT*(F1583+G1583)</f>
        <v>9.695146456546648E-2</v>
      </c>
      <c r="J1583" s="3">
        <f>IF(E1583&lt;=500,IF(Galva=Oui,0.35,0.7),0.7)</f>
        <v>0.7</v>
      </c>
    </row>
    <row r="1584" spans="2:10" x14ac:dyDescent="0.25">
      <c r="B1584" s="3">
        <f>B1583+DeltaT</f>
        <v>7835</v>
      </c>
      <c r="C1584" s="13">
        <f t="shared" si="106"/>
        <v>130.58333333333334</v>
      </c>
      <c r="D1584" s="11">
        <f t="shared" si="107"/>
        <v>1061.6906760724385</v>
      </c>
      <c r="E1584" s="23">
        <f t="shared" si="104"/>
        <v>1060.0557667680177</v>
      </c>
      <c r="F1584" s="23">
        <f>AlphaC*(D1584-E1584)</f>
        <v>40.872732610517915</v>
      </c>
      <c r="G1584" s="13">
        <f>Phi*EpsilonF*Botzman/10^8*J1584*((D1584+273)^4-(E1584+273)^4)</f>
        <v>615.99697615436037</v>
      </c>
      <c r="H1584" s="23">
        <f t="shared" si="105"/>
        <v>650</v>
      </c>
      <c r="I1584" s="12">
        <f>ksh*Massivete/(H1584*RhoA)*DeltaT*(F1584+G1584)</f>
        <v>9.6888443247596906E-2</v>
      </c>
      <c r="J1584" s="3">
        <f>IF(E1584&lt;=500,IF(Galva=Oui,0.35,0.7),0.7)</f>
        <v>0.7</v>
      </c>
    </row>
    <row r="1585" spans="2:10" x14ac:dyDescent="0.25">
      <c r="B1585" s="3">
        <f>B1584+DeltaT</f>
        <v>7840</v>
      </c>
      <c r="C1585" s="13">
        <f t="shared" si="106"/>
        <v>130.66666666666666</v>
      </c>
      <c r="D1585" s="11">
        <f t="shared" si="107"/>
        <v>1061.786171038231</v>
      </c>
      <c r="E1585" s="23">
        <f t="shared" si="104"/>
        <v>1060.1526552112653</v>
      </c>
      <c r="F1585" s="23">
        <f>AlphaC*(D1585-E1585)</f>
        <v>40.83789567414442</v>
      </c>
      <c r="G1585" s="13">
        <f>Phi*EpsilonF*Botzman/10^8*J1585*((D1585+273)^4-(E1585+273)^4)</f>
        <v>615.60510793155242</v>
      </c>
      <c r="H1585" s="23">
        <f t="shared" si="105"/>
        <v>650</v>
      </c>
      <c r="I1585" s="12">
        <f>ksh*Massivete/(H1585*RhoA)*DeltaT*(F1585+G1585)</f>
        <v>9.6825504131898388E-2</v>
      </c>
      <c r="J1585" s="3">
        <f>IF(E1585&lt;=500,IF(Galva=Oui,0.35,0.7),0.7)</f>
        <v>0.7</v>
      </c>
    </row>
    <row r="1586" spans="2:10" x14ac:dyDescent="0.25">
      <c r="B1586" s="3">
        <f>B1585+DeltaT</f>
        <v>7845</v>
      </c>
      <c r="C1586" s="13">
        <f t="shared" si="106"/>
        <v>130.75</v>
      </c>
      <c r="D1586" s="11">
        <f t="shared" si="107"/>
        <v>1061.8816051792005</v>
      </c>
      <c r="E1586" s="23">
        <f t="shared" si="104"/>
        <v>1060.2494807153971</v>
      </c>
      <c r="F1586" s="23">
        <f>AlphaC*(D1586-E1586)</f>
        <v>40.803111595084829</v>
      </c>
      <c r="G1586" s="13">
        <f>Phi*EpsilonF*Botzman/10^8*J1586*((D1586+273)^4-(E1586+273)^4)</f>
        <v>615.21374305990196</v>
      </c>
      <c r="H1586" s="23">
        <f t="shared" si="105"/>
        <v>650</v>
      </c>
      <c r="I1586" s="12">
        <f>ksh*Massivete/(H1586*RhoA)*DeltaT*(F1586+G1586)</f>
        <v>9.6762647057085899E-2</v>
      </c>
      <c r="J1586" s="3">
        <f>IF(E1586&lt;=500,IF(Galva=Oui,0.35,0.7),0.7)</f>
        <v>0.7</v>
      </c>
    </row>
    <row r="1587" spans="2:10" x14ac:dyDescent="0.25">
      <c r="B1587" s="3">
        <f>B1586+DeltaT</f>
        <v>7850</v>
      </c>
      <c r="C1587" s="13">
        <f t="shared" si="106"/>
        <v>130.83333333333334</v>
      </c>
      <c r="D1587" s="11">
        <f t="shared" si="107"/>
        <v>1061.9769785727815</v>
      </c>
      <c r="E1587" s="23">
        <f t="shared" si="104"/>
        <v>1060.3462433624543</v>
      </c>
      <c r="F1587" s="23">
        <f>AlphaC*(D1587-E1587)</f>
        <v>40.768380258180059</v>
      </c>
      <c r="G1587" s="13">
        <f>Phi*EpsilonF*Botzman/10^8*J1587*((D1587+273)^4-(E1587+273)^4)</f>
        <v>614.82288056401944</v>
      </c>
      <c r="H1587" s="23">
        <f t="shared" si="105"/>
        <v>650</v>
      </c>
      <c r="I1587" s="12">
        <f>ksh*Massivete/(H1587*RhoA)*DeltaT*(F1587+G1587)</f>
        <v>9.6699871862303249E-2</v>
      </c>
      <c r="J1587" s="3">
        <f>IF(E1587&lt;=500,IF(Galva=Oui,0.35,0.7),0.7)</f>
        <v>0.7</v>
      </c>
    </row>
    <row r="1588" spans="2:10" x14ac:dyDescent="0.25">
      <c r="B1588" s="3">
        <f>B1587+DeltaT</f>
        <v>7855</v>
      </c>
      <c r="C1588" s="13">
        <f t="shared" si="106"/>
        <v>130.91666666666666</v>
      </c>
      <c r="D1588" s="11">
        <f t="shared" si="107"/>
        <v>1062.0722912962608</v>
      </c>
      <c r="E1588" s="23">
        <f t="shared" ref="E1588:E1651" si="108">E1587+I1587</f>
        <v>1060.4429432343165</v>
      </c>
      <c r="F1588" s="23">
        <f>AlphaC*(D1588-E1588)</f>
        <v>40.733701548606405</v>
      </c>
      <c r="G1588" s="13">
        <f>Phi*EpsilonF*Botzman/10^8*J1588*((D1588+273)^4-(E1588+273)^4)</f>
        <v>614.43251947117062</v>
      </c>
      <c r="H1588" s="23">
        <f t="shared" ref="H1588:H1651" si="109">IF(E1588&lt;600,425+0.773*E1588-1.69/1000*E1588^2+2.22/1000^2*E1588^3,IF(E1588&lt;735,666+13002/(738-E1588),IF(E1588&lt;900,545+17820/(E1588-731),650)))</f>
        <v>650</v>
      </c>
      <c r="I1588" s="12">
        <f>ksh*Massivete/(H1588*RhoA)*DeltaT*(F1588+G1588)</f>
        <v>9.663717838713537E-2</v>
      </c>
      <c r="J1588" s="3">
        <f>IF(E1588&lt;=500,IF(Galva=Oui,0.35,0.7),0.7)</f>
        <v>0.7</v>
      </c>
    </row>
    <row r="1589" spans="2:10" x14ac:dyDescent="0.25">
      <c r="B1589" s="3">
        <f>B1588+DeltaT</f>
        <v>7860</v>
      </c>
      <c r="C1589" s="13">
        <f t="shared" si="106"/>
        <v>131</v>
      </c>
      <c r="D1589" s="11">
        <f t="shared" si="107"/>
        <v>1062.1675434267775</v>
      </c>
      <c r="E1589" s="23">
        <f t="shared" si="108"/>
        <v>1060.5395804127036</v>
      </c>
      <c r="F1589" s="23">
        <f>AlphaC*(D1589-E1589)</f>
        <v>40.699075351847114</v>
      </c>
      <c r="G1589" s="13">
        <f>Phi*EpsilonF*Botzman/10^8*J1589*((D1589+273)^4-(E1589+273)^4)</f>
        <v>614.04265881083018</v>
      </c>
      <c r="H1589" s="23">
        <f t="shared" si="109"/>
        <v>650</v>
      </c>
      <c r="I1589" s="12">
        <f>ksh*Massivete/(H1589*RhoA)*DeltaT*(F1589+G1589)</f>
        <v>9.6574566471538295E-2</v>
      </c>
      <c r="J1589" s="3">
        <f>IF(E1589&lt;=500,IF(Galva=Oui,0.35,0.7),0.7)</f>
        <v>0.7</v>
      </c>
    </row>
    <row r="1590" spans="2:10" x14ac:dyDescent="0.25">
      <c r="B1590" s="3">
        <f>B1589+DeltaT</f>
        <v>7865</v>
      </c>
      <c r="C1590" s="13">
        <f t="shared" si="106"/>
        <v>131.08333333333334</v>
      </c>
      <c r="D1590" s="11">
        <f t="shared" si="107"/>
        <v>1062.262735041324</v>
      </c>
      <c r="E1590" s="23">
        <f t="shared" si="108"/>
        <v>1060.6361549791752</v>
      </c>
      <c r="F1590" s="23">
        <f>AlphaC*(D1590-E1590)</f>
        <v>40.664501553720811</v>
      </c>
      <c r="G1590" s="13">
        <f>Phi*EpsilonF*Botzman/10^8*J1590*((D1590+273)^4-(E1590+273)^4)</f>
        <v>613.65329761524424</v>
      </c>
      <c r="H1590" s="23">
        <f t="shared" si="109"/>
        <v>650</v>
      </c>
      <c r="I1590" s="12">
        <f>ksh*Massivete/(H1590*RhoA)*DeltaT*(F1590+G1590)</f>
        <v>9.651203595592632E-2</v>
      </c>
      <c r="J1590" s="3">
        <f>IF(E1590&lt;=500,IF(Galva=Oui,0.35,0.7),0.7)</f>
        <v>0.7</v>
      </c>
    </row>
    <row r="1591" spans="2:10" x14ac:dyDescent="0.25">
      <c r="B1591" s="3">
        <f>B1590+DeltaT</f>
        <v>7870</v>
      </c>
      <c r="C1591" s="13">
        <f t="shared" si="106"/>
        <v>131.16666666666666</v>
      </c>
      <c r="D1591" s="11">
        <f t="shared" si="107"/>
        <v>1062.3578662167461</v>
      </c>
      <c r="E1591" s="23">
        <f t="shared" si="108"/>
        <v>1060.7326670151313</v>
      </c>
      <c r="F1591" s="23">
        <f>AlphaC*(D1591-E1591)</f>
        <v>40.629980040370128</v>
      </c>
      <c r="G1591" s="13">
        <f>Phi*EpsilonF*Botzman/10^8*J1591*((D1591+273)^4-(E1591+273)^4)</f>
        <v>613.2644349190623</v>
      </c>
      <c r="H1591" s="23">
        <f t="shared" si="109"/>
        <v>650</v>
      </c>
      <c r="I1591" s="12">
        <f>ksh*Massivete/(H1591*RhoA)*DeltaT*(F1591+G1591)</f>
        <v>9.6449586681116001E-2</v>
      </c>
      <c r="J1591" s="3">
        <f>IF(E1591&lt;=500,IF(Galva=Oui,0.35,0.7),0.7)</f>
        <v>0.7</v>
      </c>
    </row>
    <row r="1592" spans="2:10" x14ac:dyDescent="0.25">
      <c r="B1592" s="3">
        <f>B1591+DeltaT</f>
        <v>7875</v>
      </c>
      <c r="C1592" s="13">
        <f t="shared" si="106"/>
        <v>131.25</v>
      </c>
      <c r="D1592" s="11">
        <f t="shared" si="107"/>
        <v>1062.4529370297435</v>
      </c>
      <c r="E1592" s="23">
        <f t="shared" si="108"/>
        <v>1060.8291166018123</v>
      </c>
      <c r="F1592" s="23">
        <f>AlphaC*(D1592-E1592)</f>
        <v>40.595510698278758</v>
      </c>
      <c r="G1592" s="13">
        <f>Phi*EpsilonF*Botzman/10^8*J1592*((D1592+273)^4-(E1592+273)^4)</f>
        <v>612.8760697597628</v>
      </c>
      <c r="H1592" s="23">
        <f t="shared" si="109"/>
        <v>650</v>
      </c>
      <c r="I1592" s="12">
        <f>ksh*Massivete/(H1592*RhoA)*DeltaT*(F1592+G1592)</f>
        <v>9.6387218488391505E-2</v>
      </c>
      <c r="J1592" s="3">
        <f>IF(E1592&lt;=500,IF(Galva=Oui,0.35,0.7),0.7)</f>
        <v>0.7</v>
      </c>
    </row>
    <row r="1593" spans="2:10" x14ac:dyDescent="0.25">
      <c r="B1593" s="3">
        <f>B1592+DeltaT</f>
        <v>7880</v>
      </c>
      <c r="C1593" s="13">
        <f t="shared" si="106"/>
        <v>131.33333333333334</v>
      </c>
      <c r="D1593" s="11">
        <f t="shared" si="107"/>
        <v>1062.5479475568693</v>
      </c>
      <c r="E1593" s="23">
        <f t="shared" si="108"/>
        <v>1060.9255038203007</v>
      </c>
      <c r="F1593" s="23">
        <f>AlphaC*(D1593-E1593)</f>
        <v>40.561093414214611</v>
      </c>
      <c r="G1593" s="13">
        <f>Phi*EpsilonF*Botzman/10^8*J1593*((D1593+273)^4-(E1593+273)^4)</f>
        <v>612.48820117674336</v>
      </c>
      <c r="H1593" s="23">
        <f t="shared" si="109"/>
        <v>650</v>
      </c>
      <c r="I1593" s="12">
        <f>ksh*Massivete/(H1593*RhoA)*DeltaT*(F1593+G1593)</f>
        <v>9.6324931219361962E-2</v>
      </c>
      <c r="J1593" s="3">
        <f>IF(E1593&lt;=500,IF(Galva=Oui,0.35,0.7),0.7)</f>
        <v>0.7</v>
      </c>
    </row>
    <row r="1594" spans="2:10" x14ac:dyDescent="0.25">
      <c r="B1594" s="3">
        <f>B1593+DeltaT</f>
        <v>7885</v>
      </c>
      <c r="C1594" s="13">
        <f t="shared" si="106"/>
        <v>131.41666666666666</v>
      </c>
      <c r="D1594" s="11">
        <f t="shared" si="107"/>
        <v>1062.6428978745314</v>
      </c>
      <c r="E1594" s="23">
        <f t="shared" si="108"/>
        <v>1061.0218287515202</v>
      </c>
      <c r="F1594" s="23">
        <f>AlphaC*(D1594-E1594)</f>
        <v>40.526728075280971</v>
      </c>
      <c r="G1594" s="13">
        <f>Phi*EpsilonF*Botzman/10^8*J1594*((D1594+273)^4-(E1594+273)^4)</f>
        <v>612.10082821215315</v>
      </c>
      <c r="H1594" s="23">
        <f t="shared" si="109"/>
        <v>650</v>
      </c>
      <c r="I1594" s="12">
        <f>ksh*Massivete/(H1594*RhoA)*DeltaT*(F1594+G1594)</f>
        <v>9.6262724716091874E-2</v>
      </c>
      <c r="J1594" s="3">
        <f>IF(E1594&lt;=500,IF(Galva=Oui,0.35,0.7),0.7)</f>
        <v>0.7</v>
      </c>
    </row>
    <row r="1595" spans="2:10" x14ac:dyDescent="0.25">
      <c r="B1595" s="3">
        <f>B1594+DeltaT</f>
        <v>7890</v>
      </c>
      <c r="C1595" s="13">
        <f t="shared" si="106"/>
        <v>131.5</v>
      </c>
      <c r="D1595" s="11">
        <f t="shared" si="107"/>
        <v>1062.7377880589927</v>
      </c>
      <c r="E1595" s="23">
        <f t="shared" si="108"/>
        <v>1061.1180914762363</v>
      </c>
      <c r="F1595" s="23">
        <f>AlphaC*(D1595-E1595)</f>
        <v>40.492414568910817</v>
      </c>
      <c r="G1595" s="13">
        <f>Phi*EpsilonF*Botzman/10^8*J1595*((D1595+273)^4-(E1595+273)^4)</f>
        <v>611.71394991071895</v>
      </c>
      <c r="H1595" s="23">
        <f t="shared" si="109"/>
        <v>650</v>
      </c>
      <c r="I1595" s="12">
        <f>ksh*Massivete/(H1595*RhoA)*DeltaT*(F1595+G1595)</f>
        <v>9.6200598821074526E-2</v>
      </c>
      <c r="J1595" s="3">
        <f>IF(E1595&lt;=500,IF(Galva=Oui,0.35,0.7),0.7)</f>
        <v>0.7</v>
      </c>
    </row>
    <row r="1596" spans="2:10" x14ac:dyDescent="0.25">
      <c r="B1596" s="3">
        <f>B1595+DeltaT</f>
        <v>7895</v>
      </c>
      <c r="C1596" s="13">
        <f t="shared" si="106"/>
        <v>131.58333333333334</v>
      </c>
      <c r="D1596" s="11">
        <f t="shared" si="107"/>
        <v>1062.8326181863713</v>
      </c>
      <c r="E1596" s="23">
        <f t="shared" si="108"/>
        <v>1061.2142920750573</v>
      </c>
      <c r="F1596" s="23">
        <f>AlphaC*(D1596-E1596)</f>
        <v>40.458152782849766</v>
      </c>
      <c r="G1596" s="13">
        <f>Phi*EpsilonF*Botzman/10^8*J1596*((D1596+273)^4-(E1596+273)^4)</f>
        <v>611.32756531955147</v>
      </c>
      <c r="H1596" s="23">
        <f t="shared" si="109"/>
        <v>650</v>
      </c>
      <c r="I1596" s="12">
        <f>ksh*Massivete/(H1596*RhoA)*DeltaT*(F1596+G1596)</f>
        <v>9.6138553377200953E-2</v>
      </c>
      <c r="J1596" s="3">
        <f>IF(E1596&lt;=500,IF(Galva=Oui,0.35,0.7),0.7)</f>
        <v>0.7</v>
      </c>
    </row>
    <row r="1597" spans="2:10" x14ac:dyDescent="0.25">
      <c r="B1597" s="3">
        <f>B1596+DeltaT</f>
        <v>7900</v>
      </c>
      <c r="C1597" s="13">
        <f t="shared" si="106"/>
        <v>131.66666666666666</v>
      </c>
      <c r="D1597" s="11">
        <f t="shared" si="107"/>
        <v>1062.9273883326409</v>
      </c>
      <c r="E1597" s="23">
        <f t="shared" si="108"/>
        <v>1061.3104306284345</v>
      </c>
      <c r="F1597" s="23">
        <f>AlphaC*(D1597-E1597)</f>
        <v>40.423942605161756</v>
      </c>
      <c r="G1597" s="13">
        <f>Phi*EpsilonF*Botzman/10^8*J1597*((D1597+273)^4-(E1597+273)^4)</f>
        <v>610.94167348835799</v>
      </c>
      <c r="H1597" s="23">
        <f t="shared" si="109"/>
        <v>650</v>
      </c>
      <c r="I1597" s="12">
        <f>ksh*Massivete/(H1597*RhoA)*DeltaT*(F1597+G1597)</f>
        <v>9.6076588227792178E-2</v>
      </c>
      <c r="J1597" s="3">
        <f>IF(E1597&lt;=500,IF(Galva=Oui,0.35,0.7),0.7)</f>
        <v>0.7</v>
      </c>
    </row>
    <row r="1598" spans="2:10" x14ac:dyDescent="0.25">
      <c r="B1598" s="3">
        <f>B1597+DeltaT</f>
        <v>7905</v>
      </c>
      <c r="C1598" s="13">
        <f t="shared" si="106"/>
        <v>131.75</v>
      </c>
      <c r="D1598" s="11">
        <f t="shared" si="107"/>
        <v>1063.0220985736305</v>
      </c>
      <c r="E1598" s="23">
        <f t="shared" si="108"/>
        <v>1061.4065072166622</v>
      </c>
      <c r="F1598" s="23">
        <f>AlphaC*(D1598-E1598)</f>
        <v>40.389783924206313</v>
      </c>
      <c r="G1598" s="13">
        <f>Phi*EpsilonF*Botzman/10^8*J1598*((D1598+273)^4-(E1598+273)^4)</f>
        <v>610.55627346876452</v>
      </c>
      <c r="H1598" s="23">
        <f t="shared" si="109"/>
        <v>650</v>
      </c>
      <c r="I1598" s="12">
        <f>ksh*Massivete/(H1598*RhoA)*DeltaT*(F1598+G1598)</f>
        <v>9.60147032164958E-2</v>
      </c>
      <c r="J1598" s="3">
        <f>IF(E1598&lt;=500,IF(Galva=Oui,0.35,0.7),0.7)</f>
        <v>0.7</v>
      </c>
    </row>
    <row r="1599" spans="2:10" x14ac:dyDescent="0.25">
      <c r="B1599" s="3">
        <f>B1598+DeltaT</f>
        <v>7910</v>
      </c>
      <c r="C1599" s="13">
        <f t="shared" si="106"/>
        <v>131.83333333333334</v>
      </c>
      <c r="D1599" s="11">
        <f t="shared" si="107"/>
        <v>1063.1167489850259</v>
      </c>
      <c r="E1599" s="23">
        <f t="shared" si="108"/>
        <v>1061.5025219198787</v>
      </c>
      <c r="F1599" s="23">
        <f>AlphaC*(D1599-E1599)</f>
        <v>40.355676628678339</v>
      </c>
      <c r="G1599" s="13">
        <f>Phi*EpsilonF*Botzman/10^8*J1599*((D1599+273)^4-(E1599+273)^4)</f>
        <v>610.17136431538177</v>
      </c>
      <c r="H1599" s="23">
        <f t="shared" si="109"/>
        <v>650</v>
      </c>
      <c r="I1599" s="12">
        <f>ksh*Massivete/(H1599*RhoA)*DeltaT*(F1599+G1599)</f>
        <v>9.595289818744912E-2</v>
      </c>
      <c r="J1599" s="3">
        <f>IF(E1599&lt;=500,IF(Galva=Oui,0.35,0.7),0.7)</f>
        <v>0.7</v>
      </c>
    </row>
    <row r="1600" spans="2:10" x14ac:dyDescent="0.25">
      <c r="B1600" s="3">
        <f>B1599+DeltaT</f>
        <v>7915</v>
      </c>
      <c r="C1600" s="13">
        <f t="shared" si="106"/>
        <v>131.91666666666666</v>
      </c>
      <c r="D1600" s="11">
        <f t="shared" si="107"/>
        <v>1063.2113396423701</v>
      </c>
      <c r="E1600" s="23">
        <f t="shared" si="108"/>
        <v>1061.5984748180663</v>
      </c>
      <c r="F1600" s="23">
        <f>AlphaC*(D1600-E1600)</f>
        <v>40.321620607596742</v>
      </c>
      <c r="G1600" s="13">
        <f>Phi*EpsilonF*Botzman/10^8*J1600*((D1600+273)^4-(E1600+273)^4)</f>
        <v>609.78694508528145</v>
      </c>
      <c r="H1600" s="23">
        <f t="shared" si="109"/>
        <v>650</v>
      </c>
      <c r="I1600" s="12">
        <f>ksh*Massivete/(H1600*RhoA)*DeltaT*(F1600+G1600)</f>
        <v>9.5891172985200251E-2</v>
      </c>
      <c r="J1600" s="3">
        <f>IF(E1600&lt;=500,IF(Galva=Oui,0.35,0.7),0.7)</f>
        <v>0.7</v>
      </c>
    </row>
    <row r="1601" spans="2:10" x14ac:dyDescent="0.25">
      <c r="B1601" s="3">
        <f>B1600+DeltaT</f>
        <v>7920</v>
      </c>
      <c r="C1601" s="13">
        <f t="shared" si="106"/>
        <v>132</v>
      </c>
      <c r="D1601" s="11">
        <f t="shared" si="107"/>
        <v>1063.305870621062</v>
      </c>
      <c r="E1601" s="23">
        <f t="shared" si="108"/>
        <v>1061.6943659910514</v>
      </c>
      <c r="F1601" s="23">
        <f>AlphaC*(D1601-E1601)</f>
        <v>40.287615750264649</v>
      </c>
      <c r="G1601" s="13">
        <f>Phi*EpsilonF*Botzman/10^8*J1601*((D1601+273)^4-(E1601+273)^4)</f>
        <v>609.40301483760913</v>
      </c>
      <c r="H1601" s="23">
        <f t="shared" si="109"/>
        <v>650</v>
      </c>
      <c r="I1601" s="12">
        <f>ksh*Massivete/(H1601*RhoA)*DeltaT*(F1601+G1601)</f>
        <v>9.5829527454645139E-2</v>
      </c>
      <c r="J1601" s="3">
        <f>IF(E1601&lt;=500,IF(Galva=Oui,0.35,0.7),0.7)</f>
        <v>0.7</v>
      </c>
    </row>
    <row r="1602" spans="2:10" x14ac:dyDescent="0.25">
      <c r="B1602" s="3">
        <f>B1601+DeltaT</f>
        <v>7925</v>
      </c>
      <c r="C1602" s="13">
        <f t="shared" si="106"/>
        <v>132.08333333333334</v>
      </c>
      <c r="D1602" s="11">
        <f t="shared" si="107"/>
        <v>1063.4003419963585</v>
      </c>
      <c r="E1602" s="23">
        <f t="shared" si="108"/>
        <v>1061.7901955185062</v>
      </c>
      <c r="F1602" s="23">
        <f>AlphaC*(D1602-E1602)</f>
        <v>40.253661946309194</v>
      </c>
      <c r="G1602" s="13">
        <f>Phi*EpsilonF*Botzman/10^8*J1602*((D1602+273)^4-(E1602+273)^4)</f>
        <v>609.01957263402949</v>
      </c>
      <c r="H1602" s="23">
        <f t="shared" si="109"/>
        <v>650</v>
      </c>
      <c r="I1602" s="12">
        <f>ksh*Massivete/(H1602*RhoA)*DeltaT*(F1602+G1602)</f>
        <v>9.5767961441099045E-2</v>
      </c>
      <c r="J1602" s="3">
        <f>IF(E1602&lt;=500,IF(Galva=Oui,0.35,0.7),0.7)</f>
        <v>0.7</v>
      </c>
    </row>
    <row r="1603" spans="2:10" x14ac:dyDescent="0.25">
      <c r="B1603" s="3">
        <f>B1602+DeltaT</f>
        <v>7930</v>
      </c>
      <c r="C1603" s="13">
        <f t="shared" si="106"/>
        <v>132.16666666666666</v>
      </c>
      <c r="D1603" s="11">
        <f t="shared" si="107"/>
        <v>1063.4947538433744</v>
      </c>
      <c r="E1603" s="23">
        <f t="shared" si="108"/>
        <v>1061.8859634799473</v>
      </c>
      <c r="F1603" s="23">
        <f>AlphaC*(D1603-E1603)</f>
        <v>40.219759085675832</v>
      </c>
      <c r="G1603" s="13">
        <f>Phi*EpsilonF*Botzman/10^8*J1603*((D1603+273)^4-(E1603+273)^4)</f>
        <v>608.63661753880433</v>
      </c>
      <c r="H1603" s="23">
        <f t="shared" si="109"/>
        <v>650</v>
      </c>
      <c r="I1603" s="12">
        <f>ksh*Massivete/(H1603*RhoA)*DeltaT*(F1603+G1603)</f>
        <v>9.5706474790307292E-2</v>
      </c>
      <c r="J1603" s="3">
        <f>IF(E1603&lt;=500,IF(Galva=Oui,0.35,0.7),0.7)</f>
        <v>0.7</v>
      </c>
    </row>
    <row r="1604" spans="2:10" x14ac:dyDescent="0.25">
      <c r="B1604" s="3">
        <f>B1603+DeltaT</f>
        <v>7935</v>
      </c>
      <c r="C1604" s="13">
        <f t="shared" si="106"/>
        <v>132.25</v>
      </c>
      <c r="D1604" s="11">
        <f t="shared" si="107"/>
        <v>1063.5891062370822</v>
      </c>
      <c r="E1604" s="23">
        <f t="shared" si="108"/>
        <v>1061.9816699547378</v>
      </c>
      <c r="F1604" s="23">
        <f>AlphaC*(D1604-E1604)</f>
        <v>40.185907058611292</v>
      </c>
      <c r="G1604" s="13">
        <f>Phi*EpsilonF*Botzman/10^8*J1604*((D1604+273)^4-(E1604+273)^4)</f>
        <v>608.25414861848219</v>
      </c>
      <c r="H1604" s="23">
        <f t="shared" si="109"/>
        <v>650</v>
      </c>
      <c r="I1604" s="12">
        <f>ksh*Massivete/(H1604*RhoA)*DeltaT*(F1604+G1604)</f>
        <v>9.5645067348396923E-2</v>
      </c>
      <c r="J1604" s="3">
        <f>IF(E1604&lt;=500,IF(Galva=Oui,0.35,0.7),0.7)</f>
        <v>0.7</v>
      </c>
    </row>
    <row r="1605" spans="2:10" x14ac:dyDescent="0.25">
      <c r="B1605" s="3">
        <f>B1604+DeltaT</f>
        <v>7940</v>
      </c>
      <c r="C1605" s="13">
        <f t="shared" si="106"/>
        <v>132.33333333333334</v>
      </c>
      <c r="D1605" s="11">
        <f t="shared" si="107"/>
        <v>1063.6833992523129</v>
      </c>
      <c r="E1605" s="23">
        <f t="shared" si="108"/>
        <v>1062.0773150220862</v>
      </c>
      <c r="F1605" s="23">
        <f>AlphaC*(D1605-E1605)</f>
        <v>40.152105755669254</v>
      </c>
      <c r="G1605" s="13">
        <f>Phi*EpsilonF*Botzman/10^8*J1605*((D1605+273)^4-(E1605+273)^4)</f>
        <v>607.87216494203426</v>
      </c>
      <c r="H1605" s="23">
        <f t="shared" si="109"/>
        <v>650</v>
      </c>
      <c r="I1605" s="12">
        <f>ksh*Massivete/(H1605*RhoA)*DeltaT*(F1605+G1605)</f>
        <v>9.5583738961897591E-2</v>
      </c>
      <c r="J1605" s="3">
        <f>IF(E1605&lt;=500,IF(Galva=Oui,0.35,0.7),0.7)</f>
        <v>0.7</v>
      </c>
    </row>
    <row r="1606" spans="2:10" x14ac:dyDescent="0.25">
      <c r="B1606" s="3">
        <f>B1605+DeltaT</f>
        <v>7945</v>
      </c>
      <c r="C1606" s="13">
        <f t="shared" si="106"/>
        <v>132.41666666666666</v>
      </c>
      <c r="D1606" s="11">
        <f t="shared" si="107"/>
        <v>1063.7776329637568</v>
      </c>
      <c r="E1606" s="23">
        <f t="shared" si="108"/>
        <v>1062.1728987610481</v>
      </c>
      <c r="F1606" s="23">
        <f>AlphaC*(D1606-E1606)</f>
        <v>40.118355067716038</v>
      </c>
      <c r="G1606" s="13">
        <f>Phi*EpsilonF*Botzman/10^8*J1606*((D1606+273)^4-(E1606+273)^4)</f>
        <v>607.4906655807182</v>
      </c>
      <c r="H1606" s="23">
        <f t="shared" si="109"/>
        <v>650</v>
      </c>
      <c r="I1606" s="12">
        <f>ksh*Massivete/(H1606*RhoA)*DeltaT*(F1606+G1606)</f>
        <v>9.5522489477722364E-2</v>
      </c>
      <c r="J1606" s="3">
        <f>IF(E1606&lt;=500,IF(Galva=Oui,0.35,0.7),0.7)</f>
        <v>0.7</v>
      </c>
    </row>
    <row r="1607" spans="2:10" x14ac:dyDescent="0.25">
      <c r="B1607" s="3">
        <f>B1606+DeltaT</f>
        <v>7950</v>
      </c>
      <c r="C1607" s="13">
        <f t="shared" si="106"/>
        <v>132.5</v>
      </c>
      <c r="D1607" s="11">
        <f t="shared" si="107"/>
        <v>1063.8718074459625</v>
      </c>
      <c r="E1607" s="23">
        <f t="shared" si="108"/>
        <v>1062.2684212505258</v>
      </c>
      <c r="F1607" s="23">
        <f>AlphaC*(D1607-E1607)</f>
        <v>40.084654885919235</v>
      </c>
      <c r="G1607" s="13">
        <f>Phi*EpsilonF*Botzman/10^8*J1607*((D1607+273)^4-(E1607+273)^4)</f>
        <v>607.10964960827266</v>
      </c>
      <c r="H1607" s="23">
        <f t="shared" si="109"/>
        <v>650</v>
      </c>
      <c r="I1607" s="12">
        <f>ksh*Massivete/(H1607*RhoA)*DeltaT*(F1607+G1607)</f>
        <v>9.546131874319462E-2</v>
      </c>
      <c r="J1607" s="3">
        <f>IF(E1607&lt;=500,IF(Galva=Oui,0.35,0.7),0.7)</f>
        <v>0.7</v>
      </c>
    </row>
    <row r="1608" spans="2:10" x14ac:dyDescent="0.25">
      <c r="B1608" s="3">
        <f>B1607+DeltaT</f>
        <v>7955</v>
      </c>
      <c r="C1608" s="13">
        <f t="shared" si="106"/>
        <v>132.58333333333334</v>
      </c>
      <c r="D1608" s="11">
        <f t="shared" si="107"/>
        <v>1063.9659227733387</v>
      </c>
      <c r="E1608" s="23">
        <f t="shared" si="108"/>
        <v>1062.363882569269</v>
      </c>
      <c r="F1608" s="23">
        <f>AlphaC*(D1608-E1608)</f>
        <v>40.051005101742021</v>
      </c>
      <c r="G1608" s="13">
        <f>Phi*EpsilonF*Botzman/10^8*J1608*((D1608+273)^4-(E1608+273)^4)</f>
        <v>606.72911610062602</v>
      </c>
      <c r="H1608" s="23">
        <f t="shared" si="109"/>
        <v>650</v>
      </c>
      <c r="I1608" s="12">
        <f>ksh*Massivete/(H1608*RhoA)*DeltaT*(F1608+G1608)</f>
        <v>9.5400226606004376E-2</v>
      </c>
      <c r="J1608" s="3">
        <f>IF(E1608&lt;=500,IF(Galva=Oui,0.35,0.7),0.7)</f>
        <v>0.7</v>
      </c>
    </row>
    <row r="1609" spans="2:10" x14ac:dyDescent="0.25">
      <c r="B1609" s="3">
        <f>B1608+DeltaT</f>
        <v>7960</v>
      </c>
      <c r="C1609" s="13">
        <f t="shared" si="106"/>
        <v>132.66666666666666</v>
      </c>
      <c r="D1609" s="11">
        <f t="shared" si="107"/>
        <v>1064.0599790201543</v>
      </c>
      <c r="E1609" s="23">
        <f t="shared" si="108"/>
        <v>1062.459282795875</v>
      </c>
      <c r="F1609" s="23">
        <f>AlphaC*(D1609-E1609)</f>
        <v>40.017405606982948</v>
      </c>
      <c r="G1609" s="13">
        <f>Phi*EpsilonF*Botzman/10^8*J1609*((D1609+273)^4-(E1609+273)^4)</f>
        <v>606.34906413653607</v>
      </c>
      <c r="H1609" s="23">
        <f t="shared" si="109"/>
        <v>650</v>
      </c>
      <c r="I1609" s="12">
        <f>ksh*Massivete/(H1609*RhoA)*DeltaT*(F1609+G1609)</f>
        <v>9.5339212914308441E-2</v>
      </c>
      <c r="J1609" s="3">
        <f>IF(E1609&lt;=500,IF(Galva=Oui,0.35,0.7),0.7)</f>
        <v>0.7</v>
      </c>
    </row>
    <row r="1610" spans="2:10" x14ac:dyDescent="0.25">
      <c r="B1610" s="3">
        <f>B1609+DeltaT</f>
        <v>7965</v>
      </c>
      <c r="C1610" s="13">
        <f t="shared" si="106"/>
        <v>132.75</v>
      </c>
      <c r="D1610" s="11">
        <f t="shared" si="107"/>
        <v>1064.1539762605373</v>
      </c>
      <c r="E1610" s="23">
        <f t="shared" si="108"/>
        <v>1062.5546220087892</v>
      </c>
      <c r="F1610" s="23">
        <f>AlphaC*(D1610-E1610)</f>
        <v>39.983856293702047</v>
      </c>
      <c r="G1610" s="13">
        <f>Phi*EpsilonF*Botzman/10^8*J1610*((D1610+273)^4-(E1610+273)^4)</f>
        <v>605.96949279650505</v>
      </c>
      <c r="H1610" s="23">
        <f t="shared" si="109"/>
        <v>650</v>
      </c>
      <c r="I1610" s="12">
        <f>ksh*Massivete/(H1610*RhoA)*DeltaT*(F1610+G1610)</f>
        <v>9.5278277516559498E-2</v>
      </c>
      <c r="J1610" s="3">
        <f>IF(E1610&lt;=500,IF(Galva=Oui,0.35,0.7),0.7)</f>
        <v>0.7</v>
      </c>
    </row>
    <row r="1611" spans="2:10" x14ac:dyDescent="0.25">
      <c r="B1611" s="3">
        <f>B1610+DeltaT</f>
        <v>7970</v>
      </c>
      <c r="C1611" s="13">
        <f t="shared" si="106"/>
        <v>132.83333333333334</v>
      </c>
      <c r="D1611" s="11">
        <f t="shared" si="107"/>
        <v>1064.2479145684774</v>
      </c>
      <c r="E1611" s="23">
        <f t="shared" si="108"/>
        <v>1062.6499002863059</v>
      </c>
      <c r="F1611" s="23">
        <f>AlphaC*(D1611-E1611)</f>
        <v>39.950357054289043</v>
      </c>
      <c r="G1611" s="13">
        <f>Phi*EpsilonF*Botzman/10^8*J1611*((D1611+273)^4-(E1611+273)^4)</f>
        <v>605.5904011636901</v>
      </c>
      <c r="H1611" s="23">
        <f t="shared" si="109"/>
        <v>650</v>
      </c>
      <c r="I1611" s="12">
        <f>ksh*Massivete/(H1611*RhoA)*DeltaT*(F1611+G1611)</f>
        <v>9.5217420261650448E-2</v>
      </c>
      <c r="J1611" s="3">
        <f>IF(E1611&lt;=500,IF(Galva=Oui,0.35,0.7),0.7)</f>
        <v>0.7</v>
      </c>
    </row>
    <row r="1612" spans="2:10" x14ac:dyDescent="0.25">
      <c r="B1612" s="3">
        <f>B1611+DeltaT</f>
        <v>7975</v>
      </c>
      <c r="C1612" s="13">
        <f t="shared" si="106"/>
        <v>132.91666666666666</v>
      </c>
      <c r="D1612" s="11">
        <f t="shared" si="107"/>
        <v>1064.3417940178249</v>
      </c>
      <c r="E1612" s="23">
        <f t="shared" si="108"/>
        <v>1062.7451177065675</v>
      </c>
      <c r="F1612" s="23">
        <f>AlphaC*(D1612-E1612)</f>
        <v>39.916907781434929</v>
      </c>
      <c r="G1612" s="13">
        <f>Phi*EpsilonF*Botzman/10^8*J1612*((D1612+273)^4-(E1612+273)^4)</f>
        <v>605.21178832390331</v>
      </c>
      <c r="H1612" s="23">
        <f t="shared" si="109"/>
        <v>650</v>
      </c>
      <c r="I1612" s="12">
        <f>ksh*Massivete/(H1612*RhoA)*DeltaT*(F1612+G1612)</f>
        <v>9.5156640998910261E-2</v>
      </c>
      <c r="J1612" s="3">
        <f>IF(E1612&lt;=500,IF(Galva=Oui,0.35,0.7),0.7)</f>
        <v>0.7</v>
      </c>
    </row>
    <row r="1613" spans="2:10" x14ac:dyDescent="0.25">
      <c r="B1613" s="3">
        <f>B1612+DeltaT</f>
        <v>7980</v>
      </c>
      <c r="C1613" s="13">
        <f t="shared" si="106"/>
        <v>133</v>
      </c>
      <c r="D1613" s="11">
        <f t="shared" si="107"/>
        <v>1064.4356146822909</v>
      </c>
      <c r="E1613" s="23">
        <f t="shared" si="108"/>
        <v>1062.8402743475665</v>
      </c>
      <c r="F1613" s="23">
        <f>AlphaC*(D1613-E1613)</f>
        <v>39.883508368109233</v>
      </c>
      <c r="G1613" s="13">
        <f>Phi*EpsilonF*Botzman/10^8*J1613*((D1613+273)^4-(E1613+273)^4)</f>
        <v>604.83365336458462</v>
      </c>
      <c r="H1613" s="23">
        <f t="shared" si="109"/>
        <v>650</v>
      </c>
      <c r="I1613" s="12">
        <f>ksh*Massivete/(H1613*RhoA)*DeltaT*(F1613+G1613)</f>
        <v>9.5095939577949068E-2</v>
      </c>
      <c r="J1613" s="3">
        <f>IF(E1613&lt;=500,IF(Galva=Oui,0.35,0.7),0.7)</f>
        <v>0.7</v>
      </c>
    </row>
    <row r="1614" spans="2:10" x14ac:dyDescent="0.25">
      <c r="B1614" s="3">
        <f>B1613+DeltaT</f>
        <v>7985</v>
      </c>
      <c r="C1614" s="13">
        <f t="shared" si="106"/>
        <v>133.08333333333334</v>
      </c>
      <c r="D1614" s="11">
        <f t="shared" si="107"/>
        <v>1064.5293766354487</v>
      </c>
      <c r="E1614" s="23">
        <f t="shared" si="108"/>
        <v>1062.9353702871445</v>
      </c>
      <c r="F1614" s="23">
        <f>AlphaC*(D1614-E1614)</f>
        <v>39.850158707605488</v>
      </c>
      <c r="G1614" s="13">
        <f>Phi*EpsilonF*Botzman/10^8*J1614*((D1614+273)^4-(E1614+273)^4)</f>
        <v>604.45599537613953</v>
      </c>
      <c r="H1614" s="23">
        <f t="shared" si="109"/>
        <v>650</v>
      </c>
      <c r="I1614" s="12">
        <f>ksh*Massivete/(H1614*RhoA)*DeltaT*(F1614+G1614)</f>
        <v>9.503531584886224E-2</v>
      </c>
      <c r="J1614" s="3">
        <f>IF(E1614&lt;=500,IF(Galva=Oui,0.35,0.7),0.7)</f>
        <v>0.7</v>
      </c>
    </row>
    <row r="1615" spans="2:10" x14ac:dyDescent="0.25">
      <c r="B1615" s="3">
        <f>B1614+DeltaT</f>
        <v>7990</v>
      </c>
      <c r="C1615" s="13">
        <f t="shared" si="106"/>
        <v>133.16666666666666</v>
      </c>
      <c r="D1615" s="11">
        <f t="shared" si="107"/>
        <v>1064.6230799507332</v>
      </c>
      <c r="E1615" s="23">
        <f t="shared" si="108"/>
        <v>1063.0304056029934</v>
      </c>
      <c r="F1615" s="23">
        <f>AlphaC*(D1615-E1615)</f>
        <v>39.81685869349576</v>
      </c>
      <c r="G1615" s="13">
        <f>Phi*EpsilonF*Botzman/10^8*J1615*((D1615+273)^4-(E1615+273)^4)</f>
        <v>604.07881345089163</v>
      </c>
      <c r="H1615" s="23">
        <f t="shared" si="109"/>
        <v>650</v>
      </c>
      <c r="I1615" s="12">
        <f>ksh*Massivete/(H1615*RhoA)*DeltaT*(F1615+G1615)</f>
        <v>9.4974769662069122E-2</v>
      </c>
      <c r="J1615" s="3">
        <f>IF(E1615&lt;=500,IF(Galva=Oui,0.35,0.7),0.7)</f>
        <v>0.7</v>
      </c>
    </row>
    <row r="1616" spans="2:10" x14ac:dyDescent="0.25">
      <c r="B1616" s="3">
        <f>B1615+DeltaT</f>
        <v>7995</v>
      </c>
      <c r="C1616" s="13">
        <f t="shared" si="106"/>
        <v>133.25</v>
      </c>
      <c r="D1616" s="11">
        <f t="shared" si="107"/>
        <v>1064.716724701442</v>
      </c>
      <c r="E1616" s="23">
        <f t="shared" si="108"/>
        <v>1063.1253803726554</v>
      </c>
      <c r="F1616" s="23">
        <f>AlphaC*(D1616-E1616)</f>
        <v>39.783608219664757</v>
      </c>
      <c r="G1616" s="13">
        <f>Phi*EpsilonF*Botzman/10^8*J1616*((D1616+273)^4-(E1616+273)^4)</f>
        <v>603.70210668383925</v>
      </c>
      <c r="H1616" s="23">
        <f t="shared" si="109"/>
        <v>650</v>
      </c>
      <c r="I1616" s="12">
        <f>ksh*Massivete/(H1616*RhoA)*DeltaT*(F1616+G1616)</f>
        <v>9.4914300868429738E-2</v>
      </c>
      <c r="J1616" s="3">
        <f>IF(E1616&lt;=500,IF(Galva=Oui,0.35,0.7),0.7)</f>
        <v>0.7</v>
      </c>
    </row>
    <row r="1617" spans="2:10" x14ac:dyDescent="0.25">
      <c r="B1617" s="3">
        <f>B1616+DeltaT</f>
        <v>8000</v>
      </c>
      <c r="C1617" s="13">
        <f t="shared" si="106"/>
        <v>133.33333333333334</v>
      </c>
      <c r="D1617" s="11">
        <f t="shared" si="107"/>
        <v>1064.8103109607348</v>
      </c>
      <c r="E1617" s="23">
        <f t="shared" si="108"/>
        <v>1063.2202946735238</v>
      </c>
      <c r="F1617" s="23">
        <f>AlphaC*(D1617-E1617)</f>
        <v>39.750407180275715</v>
      </c>
      <c r="G1617" s="13">
        <f>Phi*EpsilonF*Botzman/10^8*J1617*((D1617+273)^4-(E1617+273)^4)</f>
        <v>603.32587417187972</v>
      </c>
      <c r="H1617" s="23">
        <f t="shared" si="109"/>
        <v>650</v>
      </c>
      <c r="I1617" s="12">
        <f>ksh*Massivete/(H1617*RhoA)*DeltaT*(F1617+G1617)</f>
        <v>9.485390931912524E-2</v>
      </c>
      <c r="J1617" s="3">
        <f>IF(E1617&lt;=500,IF(Galva=Oui,0.35,0.7),0.7)</f>
        <v>0.7</v>
      </c>
    </row>
    <row r="1618" spans="2:10" x14ac:dyDescent="0.25">
      <c r="B1618" s="3">
        <f>B1617+DeltaT</f>
        <v>8005</v>
      </c>
      <c r="C1618" s="13">
        <f t="shared" ref="C1618:C1681" si="110">B1618/60</f>
        <v>133.41666666666666</v>
      </c>
      <c r="D1618" s="11">
        <f t="shared" ref="D1618:D1681" si="111">20+345*LOG(8*C1618+1,10)</f>
        <v>1064.9038388016347</v>
      </c>
      <c r="E1618" s="23">
        <f t="shared" si="108"/>
        <v>1063.315148582843</v>
      </c>
      <c r="F1618" s="23">
        <f>AlphaC*(D1618-E1618)</f>
        <v>39.717255469793145</v>
      </c>
      <c r="G1618" s="13">
        <f>Phi*EpsilonF*Botzman/10^8*J1618*((D1618+273)^4-(E1618+273)^4)</f>
        <v>602.95011501439126</v>
      </c>
      <c r="H1618" s="23">
        <f t="shared" si="109"/>
        <v>650</v>
      </c>
      <c r="I1618" s="12">
        <f>ksh*Massivete/(H1618*RhoA)*DeltaT*(F1618+G1618)</f>
        <v>9.4793594865747219E-2</v>
      </c>
      <c r="J1618" s="3">
        <f>IF(E1618&lt;=500,IF(Galva=Oui,0.35,0.7),0.7)</f>
        <v>0.7</v>
      </c>
    </row>
    <row r="1619" spans="2:10" x14ac:dyDescent="0.25">
      <c r="B1619" s="3">
        <f>B1618+DeltaT</f>
        <v>8010</v>
      </c>
      <c r="C1619" s="13">
        <f t="shared" si="110"/>
        <v>133.5</v>
      </c>
      <c r="D1619" s="11">
        <f t="shared" si="111"/>
        <v>1064.9973082970284</v>
      </c>
      <c r="E1619" s="23">
        <f t="shared" si="108"/>
        <v>1063.4099421777087</v>
      </c>
      <c r="F1619" s="23">
        <f>AlphaC*(D1619-E1619)</f>
        <v>39.684152982994192</v>
      </c>
      <c r="G1619" s="13">
        <f>Phi*EpsilonF*Botzman/10^8*J1619*((D1619+273)^4-(E1619+273)^4)</f>
        <v>602.57482831329071</v>
      </c>
      <c r="H1619" s="23">
        <f t="shared" si="109"/>
        <v>650</v>
      </c>
      <c r="I1619" s="12">
        <f>ksh*Massivete/(H1619*RhoA)*DeltaT*(F1619+G1619)</f>
        <v>9.4733357360307774E-2</v>
      </c>
      <c r="J1619" s="3">
        <f>IF(E1619&lt;=500,IF(Galva=Oui,0.35,0.7),0.7)</f>
        <v>0.7</v>
      </c>
    </row>
    <row r="1620" spans="2:10" x14ac:dyDescent="0.25">
      <c r="B1620" s="3">
        <f>B1619+DeltaT</f>
        <v>8015</v>
      </c>
      <c r="C1620" s="13">
        <f t="shared" si="110"/>
        <v>133.58333333333334</v>
      </c>
      <c r="D1620" s="11">
        <f t="shared" si="111"/>
        <v>1065.0907195196653</v>
      </c>
      <c r="E1620" s="23">
        <f t="shared" si="108"/>
        <v>1063.5046755350691</v>
      </c>
      <c r="F1620" s="23">
        <f>AlphaC*(D1620-E1620)</f>
        <v>39.651099614906116</v>
      </c>
      <c r="G1620" s="13">
        <f>Phi*EpsilonF*Botzman/10^8*J1620*((D1620+273)^4-(E1620+273)^4)</f>
        <v>602.20001317216156</v>
      </c>
      <c r="H1620" s="23">
        <f t="shared" si="109"/>
        <v>650</v>
      </c>
      <c r="I1620" s="12">
        <f>ksh*Massivete/(H1620*RhoA)*DeltaT*(F1620+G1620)</f>
        <v>9.4673196655101738E-2</v>
      </c>
      <c r="J1620" s="3">
        <f>IF(E1620&lt;=500,IF(Galva=Oui,0.35,0.7),0.7)</f>
        <v>0.7</v>
      </c>
    </row>
    <row r="1621" spans="2:10" x14ac:dyDescent="0.25">
      <c r="B1621" s="3">
        <f>B1620+DeltaT</f>
        <v>8020</v>
      </c>
      <c r="C1621" s="13">
        <f t="shared" si="110"/>
        <v>133.66666666666666</v>
      </c>
      <c r="D1621" s="11">
        <f t="shared" si="111"/>
        <v>1065.1840725421596</v>
      </c>
      <c r="E1621" s="23">
        <f t="shared" si="108"/>
        <v>1063.5993487317241</v>
      </c>
      <c r="F1621" s="23">
        <f>AlphaC*(D1621-E1621)</f>
        <v>39.618095260885866</v>
      </c>
      <c r="G1621" s="13">
        <f>Phi*EpsilonF*Botzman/10^8*J1621*((D1621+273)^4-(E1621+273)^4)</f>
        <v>601.82566869745551</v>
      </c>
      <c r="H1621" s="23">
        <f t="shared" si="109"/>
        <v>650</v>
      </c>
      <c r="I1621" s="12">
        <f>ksh*Massivete/(H1621*RhoA)*DeltaT*(F1621+G1621)</f>
        <v>9.4613112602895663E-2</v>
      </c>
      <c r="J1621" s="3">
        <f>IF(E1621&lt;=500,IF(Galva=Oui,0.35,0.7),0.7)</f>
        <v>0.7</v>
      </c>
    </row>
    <row r="1622" spans="2:10" x14ac:dyDescent="0.25">
      <c r="B1622" s="3">
        <f>B1621+DeltaT</f>
        <v>8025</v>
      </c>
      <c r="C1622" s="13">
        <f t="shared" si="110"/>
        <v>133.75</v>
      </c>
      <c r="D1622" s="11">
        <f t="shared" si="111"/>
        <v>1065.2773674369901</v>
      </c>
      <c r="E1622" s="23">
        <f t="shared" si="108"/>
        <v>1063.6939618443271</v>
      </c>
      <c r="F1622" s="23">
        <f>AlphaC*(D1622-E1622)</f>
        <v>39.58513981657461</v>
      </c>
      <c r="G1622" s="13">
        <f>Phi*EpsilonF*Botzman/10^8*J1622*((D1622+273)^4-(E1622+273)^4)</f>
        <v>601.45179399775623</v>
      </c>
      <c r="H1622" s="23">
        <f t="shared" si="109"/>
        <v>650</v>
      </c>
      <c r="I1622" s="12">
        <f>ksh*Massivete/(H1622*RhoA)*DeltaT*(F1622+G1622)</f>
        <v>9.4553105056812442E-2</v>
      </c>
      <c r="J1622" s="3">
        <f>IF(E1622&lt;=500,IF(Galva=Oui,0.35,0.7),0.7)</f>
        <v>0.7</v>
      </c>
    </row>
    <row r="1623" spans="2:10" x14ac:dyDescent="0.25">
      <c r="B1623" s="3">
        <f>B1622+DeltaT</f>
        <v>8030</v>
      </c>
      <c r="C1623" s="13">
        <f t="shared" si="110"/>
        <v>133.83333333333334</v>
      </c>
      <c r="D1623" s="11">
        <f t="shared" si="111"/>
        <v>1065.3706042764995</v>
      </c>
      <c r="E1623" s="23">
        <f t="shared" si="108"/>
        <v>1063.7885149493839</v>
      </c>
      <c r="F1623" s="23">
        <f>AlphaC*(D1623-E1623)</f>
        <v>39.552233177892049</v>
      </c>
      <c r="G1623" s="13">
        <f>Phi*EpsilonF*Botzman/10^8*J1623*((D1623+273)^4-(E1623+273)^4)</f>
        <v>601.07838818374012</v>
      </c>
      <c r="H1623" s="23">
        <f t="shared" si="109"/>
        <v>650</v>
      </c>
      <c r="I1623" s="12">
        <f>ksh*Massivete/(H1623*RhoA)*DeltaT*(F1623+G1623)</f>
        <v>9.449317387032477E-2</v>
      </c>
      <c r="J1623" s="3">
        <f>IF(E1623&lt;=500,IF(Galva=Oui,0.35,0.7),0.7)</f>
        <v>0.7</v>
      </c>
    </row>
    <row r="1624" spans="2:10" x14ac:dyDescent="0.25">
      <c r="B1624" s="3">
        <f>B1623+DeltaT</f>
        <v>8035</v>
      </c>
      <c r="C1624" s="13">
        <f t="shared" si="110"/>
        <v>133.91666666666666</v>
      </c>
      <c r="D1624" s="11">
        <f t="shared" si="111"/>
        <v>1065.463783132896</v>
      </c>
      <c r="E1624" s="23">
        <f t="shared" si="108"/>
        <v>1063.8830081232543</v>
      </c>
      <c r="F1624" s="23">
        <f>AlphaC*(D1624-E1624)</f>
        <v>39.519375241042098</v>
      </c>
      <c r="G1624" s="13">
        <f>Phi*EpsilonF*Botzman/10^8*J1624*((D1624+273)^4-(E1624+273)^4)</f>
        <v>600.70545036825433</v>
      </c>
      <c r="H1624" s="23">
        <f t="shared" si="109"/>
        <v>650</v>
      </c>
      <c r="I1624" s="12">
        <f>ksh*Massivete/(H1624*RhoA)*DeltaT*(F1624+G1624)</f>
        <v>9.4433318897267443E-2</v>
      </c>
      <c r="J1624" s="3">
        <f>IF(E1624&lt;=500,IF(Galva=Oui,0.35,0.7),0.7)</f>
        <v>0.7</v>
      </c>
    </row>
    <row r="1625" spans="2:10" x14ac:dyDescent="0.25">
      <c r="B1625" s="3">
        <f>B1624+DeltaT</f>
        <v>8040</v>
      </c>
      <c r="C1625" s="13">
        <f t="shared" si="110"/>
        <v>134</v>
      </c>
      <c r="D1625" s="11">
        <f t="shared" si="111"/>
        <v>1065.556904078253</v>
      </c>
      <c r="E1625" s="23">
        <f t="shared" si="108"/>
        <v>1063.9774414421515</v>
      </c>
      <c r="F1625" s="23">
        <f>AlphaC*(D1625-E1625)</f>
        <v>39.486565902535631</v>
      </c>
      <c r="G1625" s="13">
        <f>Phi*EpsilonF*Botzman/10^8*J1625*((D1625+273)^4-(E1625+273)^4)</f>
        <v>600.33297966685916</v>
      </c>
      <c r="H1625" s="23">
        <f t="shared" si="109"/>
        <v>650</v>
      </c>
      <c r="I1625" s="12">
        <f>ksh*Massivete/(H1625*RhoA)*DeltaT*(F1625+G1625)</f>
        <v>9.4373539991920719E-2</v>
      </c>
      <c r="J1625" s="3">
        <f>IF(E1625&lt;=500,IF(Galva=Oui,0.35,0.7),0.7)</f>
        <v>0.7</v>
      </c>
    </row>
    <row r="1626" spans="2:10" x14ac:dyDescent="0.25">
      <c r="B1626" s="3">
        <f>B1625+DeltaT</f>
        <v>8045</v>
      </c>
      <c r="C1626" s="13">
        <f t="shared" si="110"/>
        <v>134.08333333333334</v>
      </c>
      <c r="D1626" s="11">
        <f t="shared" si="111"/>
        <v>1065.6499671845099</v>
      </c>
      <c r="E1626" s="23">
        <f t="shared" si="108"/>
        <v>1064.0718149821435</v>
      </c>
      <c r="F1626" s="23">
        <f>AlphaC*(D1626-E1626)</f>
        <v>39.45380505916205</v>
      </c>
      <c r="G1626" s="13">
        <f>Phi*EpsilonF*Botzman/10^8*J1626*((D1626+273)^4-(E1626+273)^4)</f>
        <v>599.96097519699481</v>
      </c>
      <c r="H1626" s="23">
        <f t="shared" si="109"/>
        <v>650</v>
      </c>
      <c r="I1626" s="12">
        <f>ksh*Massivete/(H1626*RhoA)*DeltaT*(F1626+G1626)</f>
        <v>9.4313837008883197E-2</v>
      </c>
      <c r="J1626" s="3">
        <f>IF(E1626&lt;=500,IF(Galva=Oui,0.35,0.7),0.7)</f>
        <v>0.7</v>
      </c>
    </row>
    <row r="1627" spans="2:10" x14ac:dyDescent="0.25">
      <c r="B1627" s="3">
        <f>B1626+DeltaT</f>
        <v>8050</v>
      </c>
      <c r="C1627" s="13">
        <f t="shared" si="110"/>
        <v>134.16666666666666</v>
      </c>
      <c r="D1627" s="11">
        <f t="shared" si="111"/>
        <v>1065.7429725234717</v>
      </c>
      <c r="E1627" s="23">
        <f t="shared" si="108"/>
        <v>1064.1661288191524</v>
      </c>
      <c r="F1627" s="23">
        <f>AlphaC*(D1627-E1627)</f>
        <v>39.42109260798361</v>
      </c>
      <c r="G1627" s="13">
        <f>Phi*EpsilonF*Botzman/10^8*J1627*((D1627+273)^4-(E1627+273)^4)</f>
        <v>599.58943607817491</v>
      </c>
      <c r="H1627" s="23">
        <f t="shared" si="109"/>
        <v>650</v>
      </c>
      <c r="I1627" s="12">
        <f>ksh*Massivete/(H1627*RhoA)*DeltaT*(F1627+G1627)</f>
        <v>9.4254209803099592E-2</v>
      </c>
      <c r="J1627" s="3">
        <f>IF(E1627&lt;=500,IF(Galva=Oui,0.35,0.7),0.7)</f>
        <v>0.7</v>
      </c>
    </row>
    <row r="1628" spans="2:10" x14ac:dyDescent="0.25">
      <c r="B1628" s="3">
        <f>B1627+DeltaT</f>
        <v>8055</v>
      </c>
      <c r="C1628" s="13">
        <f t="shared" si="110"/>
        <v>134.25</v>
      </c>
      <c r="D1628" s="11">
        <f t="shared" si="111"/>
        <v>1065.8359201668102</v>
      </c>
      <c r="E1628" s="23">
        <f t="shared" si="108"/>
        <v>1064.2603830289554</v>
      </c>
      <c r="F1628" s="23">
        <f>AlphaC*(D1628-E1628)</f>
        <v>39.388428446369517</v>
      </c>
      <c r="G1628" s="13">
        <f>Phi*EpsilonF*Botzman/10^8*J1628*((D1628+273)^4-(E1628+273)^4)</f>
        <v>599.21836143260725</v>
      </c>
      <c r="H1628" s="23">
        <f t="shared" si="109"/>
        <v>650</v>
      </c>
      <c r="I1628" s="12">
        <f>ksh*Massivete/(H1628*RhoA)*DeltaT*(F1628+G1628)</f>
        <v>9.4194658229957276E-2</v>
      </c>
      <c r="J1628" s="3">
        <f>IF(E1628&lt;=500,IF(Galva=Oui,0.35,0.7),0.7)</f>
        <v>0.7</v>
      </c>
    </row>
    <row r="1629" spans="2:10" x14ac:dyDescent="0.25">
      <c r="B1629" s="3">
        <f>B1628+DeltaT</f>
        <v>8060</v>
      </c>
      <c r="C1629" s="13">
        <f t="shared" si="110"/>
        <v>134.33333333333334</v>
      </c>
      <c r="D1629" s="11">
        <f t="shared" si="111"/>
        <v>1065.9288101860636</v>
      </c>
      <c r="E1629" s="23">
        <f t="shared" si="108"/>
        <v>1064.3545776871854</v>
      </c>
      <c r="F1629" s="23">
        <f>AlphaC*(D1629-E1629)</f>
        <v>39.355812471956142</v>
      </c>
      <c r="G1629" s="13">
        <f>Phi*EpsilonF*Botzman/10^8*J1629*((D1629+273)^4-(E1629+273)^4)</f>
        <v>598.84775038443729</v>
      </c>
      <c r="H1629" s="23">
        <f t="shared" si="109"/>
        <v>650</v>
      </c>
      <c r="I1629" s="12">
        <f>ksh*Massivete/(H1629*RhoA)*DeltaT*(F1629+G1629)</f>
        <v>9.4135182145168833E-2</v>
      </c>
      <c r="J1629" s="3">
        <f>IF(E1629&lt;=500,IF(Galva=Oui,0.35,0.7),0.7)</f>
        <v>0.7</v>
      </c>
    </row>
    <row r="1630" spans="2:10" x14ac:dyDescent="0.25">
      <c r="B1630" s="3">
        <f>B1629+DeltaT</f>
        <v>8065</v>
      </c>
      <c r="C1630" s="13">
        <f t="shared" si="110"/>
        <v>134.41666666666666</v>
      </c>
      <c r="D1630" s="11">
        <f t="shared" si="111"/>
        <v>1066.0216426526372</v>
      </c>
      <c r="E1630" s="23">
        <f t="shared" si="108"/>
        <v>1064.4487128693306</v>
      </c>
      <c r="F1630" s="23">
        <f>AlphaC*(D1630-E1630)</f>
        <v>39.323244582664074</v>
      </c>
      <c r="G1630" s="13">
        <f>Phi*EpsilonF*Botzman/10^8*J1630*((D1630+273)^4-(E1630+273)^4)</f>
        <v>598.47760205988425</v>
      </c>
      <c r="H1630" s="23">
        <f t="shared" si="109"/>
        <v>650</v>
      </c>
      <c r="I1630" s="12">
        <f>ksh*Massivete/(H1630*RhoA)*DeltaT*(F1630+G1630)</f>
        <v>9.4075781404794639E-2</v>
      </c>
      <c r="J1630" s="3">
        <f>IF(E1630&lt;=500,IF(Galva=Oui,0.35,0.7),0.7)</f>
        <v>0.7</v>
      </c>
    </row>
    <row r="1631" spans="2:10" x14ac:dyDescent="0.25">
      <c r="B1631" s="3">
        <f>B1630+DeltaT</f>
        <v>8070</v>
      </c>
      <c r="C1631" s="13">
        <f t="shared" si="110"/>
        <v>134.5</v>
      </c>
      <c r="D1631" s="11">
        <f t="shared" si="111"/>
        <v>1066.1144176378036</v>
      </c>
      <c r="E1631" s="23">
        <f t="shared" si="108"/>
        <v>1064.5427886507355</v>
      </c>
      <c r="F1631" s="23">
        <f>AlphaC*(D1631-E1631)</f>
        <v>39.290724676703803</v>
      </c>
      <c r="G1631" s="13">
        <f>Phi*EpsilonF*Botzman/10^8*J1631*((D1631+273)^4-(E1631+273)^4)</f>
        <v>598.10791558774486</v>
      </c>
      <c r="H1631" s="23">
        <f t="shared" si="109"/>
        <v>650</v>
      </c>
      <c r="I1631" s="12">
        <f>ksh*Massivete/(H1631*RhoA)*DeltaT*(F1631+G1631)</f>
        <v>9.401645586531801E-2</v>
      </c>
      <c r="J1631" s="3">
        <f>IF(E1631&lt;=500,IF(Galva=Oui,0.35,0.7),0.7)</f>
        <v>0.7</v>
      </c>
    </row>
    <row r="1632" spans="2:10" x14ac:dyDescent="0.25">
      <c r="B1632" s="3">
        <f>B1631+DeltaT</f>
        <v>8075</v>
      </c>
      <c r="C1632" s="13">
        <f t="shared" si="110"/>
        <v>134.58333333333334</v>
      </c>
      <c r="D1632" s="11">
        <f t="shared" si="111"/>
        <v>1066.2071352127034</v>
      </c>
      <c r="E1632" s="23">
        <f t="shared" si="108"/>
        <v>1064.6368051066008</v>
      </c>
      <c r="F1632" s="23">
        <f>AlphaC*(D1632-E1632)</f>
        <v>39.258252652564352</v>
      </c>
      <c r="G1632" s="13">
        <f>Phi*EpsilonF*Botzman/10^8*J1632*((D1632+273)^4-(E1632+273)^4)</f>
        <v>597.73869009875386</v>
      </c>
      <c r="H1632" s="23">
        <f t="shared" si="109"/>
        <v>650</v>
      </c>
      <c r="I1632" s="12">
        <f>ksh*Massivete/(H1632*RhoA)*DeltaT*(F1632+G1632)</f>
        <v>9.3957205383549222E-2</v>
      </c>
      <c r="J1632" s="3">
        <f>IF(E1632&lt;=500,IF(Galva=Oui,0.35,0.7),0.7)</f>
        <v>0.7</v>
      </c>
    </row>
    <row r="1633" spans="2:10" x14ac:dyDescent="0.25">
      <c r="B1633" s="3">
        <f>B1632+DeltaT</f>
        <v>8080</v>
      </c>
      <c r="C1633" s="13">
        <f t="shared" si="110"/>
        <v>134.66666666666666</v>
      </c>
      <c r="D1633" s="11">
        <f t="shared" si="111"/>
        <v>1066.2997954483446</v>
      </c>
      <c r="E1633" s="23">
        <f t="shared" si="108"/>
        <v>1064.7307623119843</v>
      </c>
      <c r="F1633" s="23">
        <f>AlphaC*(D1633-E1633)</f>
        <v>39.22582840900759</v>
      </c>
      <c r="G1633" s="13">
        <f>Phi*EpsilonF*Botzman/10^8*J1633*((D1633+273)^4-(E1633+273)^4)</f>
        <v>597.36992472581665</v>
      </c>
      <c r="H1633" s="23">
        <f t="shared" si="109"/>
        <v>650</v>
      </c>
      <c r="I1633" s="12">
        <f>ksh*Massivete/(H1633*RhoA)*DeltaT*(F1633+G1633)</f>
        <v>9.3898029816658957E-2</v>
      </c>
      <c r="J1633" s="3">
        <f>IF(E1633&lt;=500,IF(Galva=Oui,0.35,0.7),0.7)</f>
        <v>0.7</v>
      </c>
    </row>
    <row r="1634" spans="2:10" x14ac:dyDescent="0.25">
      <c r="B1634" s="3">
        <f>B1633+DeltaT</f>
        <v>8085</v>
      </c>
      <c r="C1634" s="13">
        <f t="shared" si="110"/>
        <v>134.75</v>
      </c>
      <c r="D1634" s="11">
        <f t="shared" si="111"/>
        <v>1066.392398415604</v>
      </c>
      <c r="E1634" s="23">
        <f t="shared" si="108"/>
        <v>1064.8246603418011</v>
      </c>
      <c r="F1634" s="23">
        <f>AlphaC*(D1634-E1634)</f>
        <v>39.193451845073923</v>
      </c>
      <c r="G1634" s="13">
        <f>Phi*EpsilonF*Botzman/10^8*J1634*((D1634+273)^4-(E1634+273)^4)</f>
        <v>597.00161860408639</v>
      </c>
      <c r="H1634" s="23">
        <f t="shared" si="109"/>
        <v>650</v>
      </c>
      <c r="I1634" s="12">
        <f>ksh*Massivete/(H1634*RhoA)*DeltaT*(F1634+G1634)</f>
        <v>9.3838929022190543E-2</v>
      </c>
      <c r="J1634" s="3">
        <f>IF(E1634&lt;=500,IF(Galva=Oui,0.35,0.7),0.7)</f>
        <v>0.7</v>
      </c>
    </row>
    <row r="1635" spans="2:10" x14ac:dyDescent="0.25">
      <c r="B1635" s="3">
        <f>B1634+DeltaT</f>
        <v>8090</v>
      </c>
      <c r="C1635" s="13">
        <f t="shared" si="110"/>
        <v>134.83333333333334</v>
      </c>
      <c r="D1635" s="11">
        <f t="shared" si="111"/>
        <v>1066.4849441852275</v>
      </c>
      <c r="E1635" s="23">
        <f t="shared" si="108"/>
        <v>1064.9184992708233</v>
      </c>
      <c r="F1635" s="23">
        <f>AlphaC*(D1635-E1635)</f>
        <v>39.161122860105024</v>
      </c>
      <c r="G1635" s="13">
        <f>Phi*EpsilonF*Botzman/10^8*J1635*((D1635+273)^4-(E1635+273)^4)</f>
        <v>596.63377087108097</v>
      </c>
      <c r="H1635" s="23">
        <f t="shared" si="109"/>
        <v>650</v>
      </c>
      <c r="I1635" s="12">
        <f>ksh*Massivete/(H1635*RhoA)*DeltaT*(F1635+G1635)</f>
        <v>9.3779902858080508E-2</v>
      </c>
      <c r="J1635" s="3">
        <f>IF(E1635&lt;=500,IF(Galva=Oui,0.35,0.7),0.7)</f>
        <v>0.7</v>
      </c>
    </row>
    <row r="1636" spans="2:10" x14ac:dyDescent="0.25">
      <c r="B1636" s="3">
        <f>B1635+DeltaT</f>
        <v>8095</v>
      </c>
      <c r="C1636" s="13">
        <f t="shared" si="110"/>
        <v>134.91666666666666</v>
      </c>
      <c r="D1636" s="11">
        <f t="shared" si="111"/>
        <v>1066.5774328278287</v>
      </c>
      <c r="E1636" s="23">
        <f t="shared" si="108"/>
        <v>1065.0122791736815</v>
      </c>
      <c r="F1636" s="23">
        <f>AlphaC*(D1636-E1636)</f>
        <v>39.12884135368131</v>
      </c>
      <c r="G1636" s="13">
        <f>Phi*EpsilonF*Botzman/10^8*J1636*((D1636+273)^4-(E1636+273)^4)</f>
        <v>596.2663806661202</v>
      </c>
      <c r="H1636" s="23">
        <f t="shared" si="109"/>
        <v>650</v>
      </c>
      <c r="I1636" s="12">
        <f>ksh*Massivete/(H1636*RhoA)*DeltaT*(F1636+G1636)</f>
        <v>9.3720951182566417E-2</v>
      </c>
      <c r="J1636" s="3">
        <f>IF(E1636&lt;=500,IF(Galva=Oui,0.35,0.7),0.7)</f>
        <v>0.7</v>
      </c>
    </row>
    <row r="1637" spans="2:10" x14ac:dyDescent="0.25">
      <c r="B1637" s="3">
        <f>B1636+DeltaT</f>
        <v>8100</v>
      </c>
      <c r="C1637" s="13">
        <f t="shared" si="110"/>
        <v>135</v>
      </c>
      <c r="D1637" s="11">
        <f t="shared" si="111"/>
        <v>1066.6698644138919</v>
      </c>
      <c r="E1637" s="23">
        <f t="shared" si="108"/>
        <v>1065.1060001248641</v>
      </c>
      <c r="F1637" s="23">
        <f>AlphaC*(D1637-E1637)</f>
        <v>39.096607225695834</v>
      </c>
      <c r="G1637" s="13">
        <f>Phi*EpsilonF*Botzman/10^8*J1637*((D1637+273)^4-(E1637+273)^4)</f>
        <v>595.89944713100499</v>
      </c>
      <c r="H1637" s="23">
        <f t="shared" si="109"/>
        <v>650</v>
      </c>
      <c r="I1637" s="12">
        <f>ksh*Massivete/(H1637*RhoA)*DeltaT*(F1637+G1637)</f>
        <v>9.3662073854297881E-2</v>
      </c>
      <c r="J1637" s="3">
        <f>IF(E1637&lt;=500,IF(Galva=Oui,0.35,0.7),0.7)</f>
        <v>0.7</v>
      </c>
    </row>
    <row r="1638" spans="2:10" x14ac:dyDescent="0.25">
      <c r="B1638" s="3">
        <f>B1637+DeltaT</f>
        <v>8105</v>
      </c>
      <c r="C1638" s="13">
        <f t="shared" si="110"/>
        <v>135.08333333333334</v>
      </c>
      <c r="D1638" s="11">
        <f t="shared" si="111"/>
        <v>1066.7622390137701</v>
      </c>
      <c r="E1638" s="23">
        <f t="shared" si="108"/>
        <v>1065.1996621987184</v>
      </c>
      <c r="F1638" s="23">
        <f>AlphaC*(D1638-E1638)</f>
        <v>39.064420376291764</v>
      </c>
      <c r="G1638" s="13">
        <f>Phi*EpsilonF*Botzman/10^8*J1638*((D1638+273)^4-(E1638+273)^4)</f>
        <v>595.53296940955124</v>
      </c>
      <c r="H1638" s="23">
        <f t="shared" si="109"/>
        <v>650</v>
      </c>
      <c r="I1638" s="12">
        <f>ksh*Massivete/(H1638*RhoA)*DeltaT*(F1638+G1638)</f>
        <v>9.3603270732258631E-2</v>
      </c>
      <c r="J1638" s="3">
        <f>IF(E1638&lt;=500,IF(Galva=Oui,0.35,0.7),0.7)</f>
        <v>0.7</v>
      </c>
    </row>
    <row r="1639" spans="2:10" x14ac:dyDescent="0.25">
      <c r="B1639" s="3">
        <f>B1638+DeltaT</f>
        <v>8110</v>
      </c>
      <c r="C1639" s="13">
        <f t="shared" si="110"/>
        <v>135.16666666666666</v>
      </c>
      <c r="D1639" s="11">
        <f t="shared" si="111"/>
        <v>1066.8545566976868</v>
      </c>
      <c r="E1639" s="23">
        <f t="shared" si="108"/>
        <v>1065.2932654694507</v>
      </c>
      <c r="F1639" s="23">
        <f>AlphaC*(D1639-E1639)</f>
        <v>39.032280705902167</v>
      </c>
      <c r="G1639" s="13">
        <f>Phi*EpsilonF*Botzman/10^8*J1639*((D1639+273)^4-(E1639+273)^4)</f>
        <v>595.16694664774582</v>
      </c>
      <c r="H1639" s="23">
        <f t="shared" si="109"/>
        <v>650</v>
      </c>
      <c r="I1639" s="12">
        <f>ksh*Massivete/(H1639*RhoA)*DeltaT*(F1639+G1639)</f>
        <v>9.3544541675795387E-2</v>
      </c>
      <c r="J1639" s="3">
        <f>IF(E1639&lt;=500,IF(Galva=Oui,0.35,0.7),0.7)</f>
        <v>0.7</v>
      </c>
    </row>
    <row r="1640" spans="2:10" x14ac:dyDescent="0.25">
      <c r="B1640" s="3">
        <f>B1639+DeltaT</f>
        <v>8115</v>
      </c>
      <c r="C1640" s="13">
        <f t="shared" si="110"/>
        <v>135.25</v>
      </c>
      <c r="D1640" s="11">
        <f t="shared" si="111"/>
        <v>1066.9468175357354</v>
      </c>
      <c r="E1640" s="23">
        <f t="shared" si="108"/>
        <v>1065.3868100111265</v>
      </c>
      <c r="F1640" s="23">
        <f>AlphaC*(D1640-E1640)</f>
        <v>39.00018811522159</v>
      </c>
      <c r="G1640" s="13">
        <f>Phi*EpsilonF*Botzman/10^8*J1640*((D1640+273)^4-(E1640+273)^4)</f>
        <v>594.80137799366844</v>
      </c>
      <c r="H1640" s="23">
        <f t="shared" si="109"/>
        <v>650</v>
      </c>
      <c r="I1640" s="12">
        <f>ksh*Massivete/(H1640*RhoA)*DeltaT*(F1640+G1640)</f>
        <v>9.348588654460209E-2</v>
      </c>
      <c r="J1640" s="3">
        <f>IF(E1640&lt;=500,IF(Galva=Oui,0.35,0.7),0.7)</f>
        <v>0.7</v>
      </c>
    </row>
    <row r="1641" spans="2:10" x14ac:dyDescent="0.25">
      <c r="B1641" s="3">
        <f>B1640+DeltaT</f>
        <v>8120</v>
      </c>
      <c r="C1641" s="13">
        <f t="shared" si="110"/>
        <v>135.33333333333334</v>
      </c>
      <c r="D1641" s="11">
        <f t="shared" si="111"/>
        <v>1067.0390215978803</v>
      </c>
      <c r="E1641" s="23">
        <f t="shared" si="108"/>
        <v>1065.4802958976711</v>
      </c>
      <c r="F1641" s="23">
        <f>AlphaC*(D1641-E1641)</f>
        <v>38.968142505228798</v>
      </c>
      <c r="G1641" s="13">
        <f>Phi*EpsilonF*Botzman/10^8*J1641*((D1641+273)^4-(E1641+273)^4)</f>
        <v>594.43626259770497</v>
      </c>
      <c r="H1641" s="23">
        <f t="shared" si="109"/>
        <v>650</v>
      </c>
      <c r="I1641" s="12">
        <f>ksh*Massivete/(H1641*RhoA)*DeltaT*(F1641+G1641)</f>
        <v>9.342730519875482E-2</v>
      </c>
      <c r="J1641" s="3">
        <f>IF(E1641&lt;=500,IF(Galva=Oui,0.35,0.7),0.7)</f>
        <v>0.7</v>
      </c>
    </row>
    <row r="1642" spans="2:10" x14ac:dyDescent="0.25">
      <c r="B1642" s="3">
        <f>B1641+DeltaT</f>
        <v>8125</v>
      </c>
      <c r="C1642" s="13">
        <f t="shared" si="110"/>
        <v>135.41666666666666</v>
      </c>
      <c r="D1642" s="11">
        <f t="shared" si="111"/>
        <v>1067.1311689539557</v>
      </c>
      <c r="E1642" s="23">
        <f t="shared" si="108"/>
        <v>1065.5737232028698</v>
      </c>
      <c r="F1642" s="23">
        <f>AlphaC*(D1642-E1642)</f>
        <v>38.936143777146981</v>
      </c>
      <c r="G1642" s="13">
        <f>Phi*EpsilonF*Botzman/10^8*J1642*((D1642+273)^4-(E1642+273)^4)</f>
        <v>594.07159961190814</v>
      </c>
      <c r="H1642" s="23">
        <f t="shared" si="109"/>
        <v>650</v>
      </c>
      <c r="I1642" s="12">
        <f>ksh*Massivete/(H1642*RhoA)*DeltaT*(F1642+G1642)</f>
        <v>9.336879749861153E-2</v>
      </c>
      <c r="J1642" s="3">
        <f>IF(E1642&lt;=500,IF(Galva=Oui,0.35,0.7),0.7)</f>
        <v>0.7</v>
      </c>
    </row>
    <row r="1643" spans="2:10" x14ac:dyDescent="0.25">
      <c r="B1643" s="3">
        <f>B1642+DeltaT</f>
        <v>8130</v>
      </c>
      <c r="C1643" s="13">
        <f t="shared" si="110"/>
        <v>135.5</v>
      </c>
      <c r="D1643" s="11">
        <f t="shared" si="111"/>
        <v>1067.2232596736692</v>
      </c>
      <c r="E1643" s="23">
        <f t="shared" si="108"/>
        <v>1065.6670920003685</v>
      </c>
      <c r="F1643" s="23">
        <f>AlphaC*(D1643-E1643)</f>
        <v>38.904191832517654</v>
      </c>
      <c r="G1643" s="13">
        <f>Phi*EpsilonF*Botzman/10^8*J1643*((D1643+273)^4-(E1643+273)^4)</f>
        <v>593.70738819119856</v>
      </c>
      <c r="H1643" s="23">
        <f t="shared" si="109"/>
        <v>650</v>
      </c>
      <c r="I1643" s="12">
        <f>ksh*Massivete/(H1643*RhoA)*DeltaT*(F1643+G1643)</f>
        <v>9.3310363305000157E-2</v>
      </c>
      <c r="J1643" s="3">
        <f>IF(E1643&lt;=500,IF(Galva=Oui,0.35,0.7),0.7)</f>
        <v>0.7</v>
      </c>
    </row>
    <row r="1644" spans="2:10" x14ac:dyDescent="0.25">
      <c r="B1644" s="3">
        <f>B1643+DeltaT</f>
        <v>8135</v>
      </c>
      <c r="C1644" s="13">
        <f t="shared" si="110"/>
        <v>135.58333333333334</v>
      </c>
      <c r="D1644" s="11">
        <f t="shared" si="111"/>
        <v>1067.3152938265976</v>
      </c>
      <c r="E1644" s="23">
        <f t="shared" si="108"/>
        <v>1065.7604023636734</v>
      </c>
      <c r="F1644" s="23">
        <f>AlphaC*(D1644-E1644)</f>
        <v>38.87228657310402</v>
      </c>
      <c r="G1644" s="13">
        <f>Phi*EpsilonF*Botzman/10^8*J1644*((D1644+273)^4-(E1644+273)^4)</f>
        <v>593.343627491912</v>
      </c>
      <c r="H1644" s="23">
        <f t="shared" si="109"/>
        <v>650</v>
      </c>
      <c r="I1644" s="12">
        <f>ksh*Massivete/(H1644*RhoA)*DeltaT*(F1644+G1644)</f>
        <v>9.3252002478990056E-2</v>
      </c>
      <c r="J1644" s="3">
        <f>IF(E1644&lt;=500,IF(Galva=Oui,0.35,0.7),0.7)</f>
        <v>0.7</v>
      </c>
    </row>
    <row r="1645" spans="2:10" x14ac:dyDescent="0.25">
      <c r="B1645" s="3">
        <f>B1644+DeltaT</f>
        <v>8140</v>
      </c>
      <c r="C1645" s="13">
        <f t="shared" si="110"/>
        <v>135.66666666666666</v>
      </c>
      <c r="D1645" s="11">
        <f t="shared" si="111"/>
        <v>1067.4072714821912</v>
      </c>
      <c r="E1645" s="23">
        <f t="shared" si="108"/>
        <v>1065.8536543661523</v>
      </c>
      <c r="F1645" s="23">
        <f>AlphaC*(D1645-E1645)</f>
        <v>38.840427900970553</v>
      </c>
      <c r="G1645" s="13">
        <f>Phi*EpsilonF*Botzman/10^8*J1645*((D1645+273)^4-(E1645+273)^4)</f>
        <v>592.98031667298085</v>
      </c>
      <c r="H1645" s="23">
        <f t="shared" si="109"/>
        <v>650</v>
      </c>
      <c r="I1645" s="12">
        <f>ksh*Massivete/(H1645*RhoA)*DeltaT*(F1645+G1645)</f>
        <v>9.3193714882078046E-2</v>
      </c>
      <c r="J1645" s="3">
        <f>IF(E1645&lt;=500,IF(Galva=Oui,0.35,0.7),0.7)</f>
        <v>0.7</v>
      </c>
    </row>
    <row r="1646" spans="2:10" x14ac:dyDescent="0.25">
      <c r="B1646" s="3">
        <f>B1645+DeltaT</f>
        <v>8145</v>
      </c>
      <c r="C1646" s="13">
        <f t="shared" si="110"/>
        <v>135.75</v>
      </c>
      <c r="D1646" s="11">
        <f t="shared" si="111"/>
        <v>1067.4991927097715</v>
      </c>
      <c r="E1646" s="23">
        <f t="shared" si="108"/>
        <v>1065.9468480810344</v>
      </c>
      <c r="F1646" s="23">
        <f>AlphaC*(D1646-E1646)</f>
        <v>38.808615718426154</v>
      </c>
      <c r="G1646" s="13">
        <f>Phi*EpsilonF*Botzman/10^8*J1646*((D1646+273)^4-(E1646+273)^4)</f>
        <v>592.61745489500424</v>
      </c>
      <c r="H1646" s="23">
        <f t="shared" si="109"/>
        <v>650</v>
      </c>
      <c r="I1646" s="12">
        <f>ksh*Massivete/(H1646*RhoA)*DeltaT*(F1646+G1646)</f>
        <v>9.3135500376042832E-2</v>
      </c>
      <c r="J1646" s="3">
        <f>IF(E1646&lt;=500,IF(Galva=Oui,0.35,0.7),0.7)</f>
        <v>0.7</v>
      </c>
    </row>
    <row r="1647" spans="2:10" x14ac:dyDescent="0.25">
      <c r="B1647" s="3">
        <f>B1646+DeltaT</f>
        <v>8150</v>
      </c>
      <c r="C1647" s="13">
        <f t="shared" si="110"/>
        <v>135.83333333333334</v>
      </c>
      <c r="D1647" s="11">
        <f t="shared" si="111"/>
        <v>1067.5910575785331</v>
      </c>
      <c r="E1647" s="23">
        <f t="shared" si="108"/>
        <v>1066.0399835814105</v>
      </c>
      <c r="F1647" s="23">
        <f>AlphaC*(D1647-E1647)</f>
        <v>38.776849928063939</v>
      </c>
      <c r="G1647" s="13">
        <f>Phi*EpsilonF*Botzman/10^8*J1647*((D1647+273)^4-(E1647+273)^4)</f>
        <v>592.25504132106198</v>
      </c>
      <c r="H1647" s="23">
        <f t="shared" si="109"/>
        <v>650</v>
      </c>
      <c r="I1647" s="12">
        <f>ksh*Massivete/(H1647*RhoA)*DeltaT*(F1647+G1647)</f>
        <v>9.3077358823070944E-2</v>
      </c>
      <c r="J1647" s="3">
        <f>IF(E1647&lt;=500,IF(Galva=Oui,0.35,0.7),0.7)</f>
        <v>0.7</v>
      </c>
    </row>
    <row r="1648" spans="2:10" x14ac:dyDescent="0.25">
      <c r="B1648" s="3">
        <f>B1647+DeltaT</f>
        <v>8155</v>
      </c>
      <c r="C1648" s="13">
        <f t="shared" si="110"/>
        <v>135.91666666666666</v>
      </c>
      <c r="D1648" s="11">
        <f t="shared" si="111"/>
        <v>1067.6828661575432</v>
      </c>
      <c r="E1648" s="23">
        <f t="shared" si="108"/>
        <v>1066.1330609402337</v>
      </c>
      <c r="F1648" s="23">
        <f>AlphaC*(D1648-E1648)</f>
        <v>38.745130432738506</v>
      </c>
      <c r="G1648" s="13">
        <f>Phi*EpsilonF*Botzman/10^8*J1648*((D1648+273)^4-(E1648+273)^4)</f>
        <v>591.89307511621053</v>
      </c>
      <c r="H1648" s="23">
        <f t="shared" si="109"/>
        <v>650</v>
      </c>
      <c r="I1648" s="12">
        <f>ksh*Massivete/(H1648*RhoA)*DeltaT*(F1648+G1648)</f>
        <v>9.301929008567901E-2</v>
      </c>
      <c r="J1648" s="3">
        <f>IF(E1648&lt;=500,IF(Galva=Oui,0.35,0.7),0.7)</f>
        <v>0.7</v>
      </c>
    </row>
    <row r="1649" spans="2:10" x14ac:dyDescent="0.25">
      <c r="B1649" s="3">
        <f>B1648+DeltaT</f>
        <v>8160</v>
      </c>
      <c r="C1649" s="13">
        <f t="shared" si="110"/>
        <v>136</v>
      </c>
      <c r="D1649" s="11">
        <f t="shared" si="111"/>
        <v>1067.7746185157423</v>
      </c>
      <c r="E1649" s="23">
        <f t="shared" si="108"/>
        <v>1066.2260802303194</v>
      </c>
      <c r="F1649" s="23">
        <f>AlphaC*(D1649-E1649)</f>
        <v>38.713457135571616</v>
      </c>
      <c r="G1649" s="13">
        <f>Phi*EpsilonF*Botzman/10^8*J1649*((D1649+273)^4-(E1649+273)^4)</f>
        <v>591.53155544759943</v>
      </c>
      <c r="H1649" s="23">
        <f t="shared" si="109"/>
        <v>650</v>
      </c>
      <c r="I1649" s="12">
        <f>ksh*Massivete/(H1649*RhoA)*DeltaT*(F1649+G1649)</f>
        <v>9.2961294026731853E-2</v>
      </c>
      <c r="J1649" s="3">
        <f>IF(E1649&lt;=500,IF(Galva=Oui,0.35,0.7),0.7)</f>
        <v>0.7</v>
      </c>
    </row>
    <row r="1650" spans="2:10" x14ac:dyDescent="0.25">
      <c r="B1650" s="3">
        <f>B1649+DeltaT</f>
        <v>8165</v>
      </c>
      <c r="C1650" s="13">
        <f t="shared" si="110"/>
        <v>136.08333333333334</v>
      </c>
      <c r="D1650" s="11">
        <f t="shared" si="111"/>
        <v>1067.8663147219436</v>
      </c>
      <c r="E1650" s="23">
        <f t="shared" si="108"/>
        <v>1066.3190415243462</v>
      </c>
      <c r="F1650" s="23">
        <f>AlphaC*(D1650-E1650)</f>
        <v>38.681829939935142</v>
      </c>
      <c r="G1650" s="13">
        <f>Phi*EpsilonF*Botzman/10^8*J1650*((D1650+273)^4-(E1650+273)^4)</f>
        <v>591.17048148419997</v>
      </c>
      <c r="H1650" s="23">
        <f t="shared" si="109"/>
        <v>650</v>
      </c>
      <c r="I1650" s="12">
        <f>ksh*Massivete/(H1650*RhoA)*DeltaT*(F1650+G1650)</f>
        <v>9.2903370509399827E-2</v>
      </c>
      <c r="J1650" s="3">
        <f>IF(E1650&lt;=500,IF(Galva=Oui,0.35,0.7),0.7)</f>
        <v>0.7</v>
      </c>
    </row>
    <row r="1651" spans="2:10" x14ac:dyDescent="0.25">
      <c r="B1651" s="3">
        <f>B1650+DeltaT</f>
        <v>8170</v>
      </c>
      <c r="C1651" s="13">
        <f t="shared" si="110"/>
        <v>136.16666666666666</v>
      </c>
      <c r="D1651" s="11">
        <f t="shared" si="111"/>
        <v>1067.9579548448351</v>
      </c>
      <c r="E1651" s="23">
        <f t="shared" si="108"/>
        <v>1066.4119448948557</v>
      </c>
      <c r="F1651" s="23">
        <f>AlphaC*(D1651-E1651)</f>
        <v>38.650248749485172</v>
      </c>
      <c r="G1651" s="13">
        <f>Phi*EpsilonF*Botzman/10^8*J1651*((D1651+273)^4-(E1651+273)^4)</f>
        <v>590.80985239746394</v>
      </c>
      <c r="H1651" s="23">
        <f t="shared" si="109"/>
        <v>650</v>
      </c>
      <c r="I1651" s="12">
        <f>ksh*Massivete/(H1651*RhoA)*DeltaT*(F1651+G1651)</f>
        <v>9.2845519397261156E-2</v>
      </c>
      <c r="J1651" s="3">
        <f>IF(E1651&lt;=500,IF(Galva=Oui,0.35,0.7),0.7)</f>
        <v>0.7</v>
      </c>
    </row>
    <row r="1652" spans="2:10" x14ac:dyDescent="0.25">
      <c r="B1652" s="3">
        <f>B1651+DeltaT</f>
        <v>8175</v>
      </c>
      <c r="C1652" s="13">
        <f t="shared" si="110"/>
        <v>136.25</v>
      </c>
      <c r="D1652" s="11">
        <f t="shared" si="111"/>
        <v>1068.0495389529779</v>
      </c>
      <c r="E1652" s="23">
        <f t="shared" ref="E1652:E1715" si="112">E1651+I1651</f>
        <v>1066.504790414253</v>
      </c>
      <c r="F1652" s="23">
        <f>AlphaC*(D1652-E1652)</f>
        <v>38.618713468122223</v>
      </c>
      <c r="G1652" s="13">
        <f>Phi*EpsilonF*Botzman/10^8*J1652*((D1652+273)^4-(E1652+273)^4)</f>
        <v>590.44966736054869</v>
      </c>
      <c r="H1652" s="23">
        <f t="shared" ref="H1652:H1715" si="113">IF(E1652&lt;600,425+0.773*E1652-1.69/1000*E1652^2+2.22/1000^2*E1652^3,IF(E1652&lt;735,666+13002/(738-E1652),IF(E1652&lt;900,545+17820/(E1652-731),650)))</f>
        <v>650</v>
      </c>
      <c r="I1652" s="12">
        <f>ksh*Massivete/(H1652*RhoA)*DeltaT*(F1652+G1652)</f>
        <v>9.2787740554181611E-2</v>
      </c>
      <c r="J1652" s="3">
        <f>IF(E1652&lt;=500,IF(Galva=Oui,0.35,0.7),0.7)</f>
        <v>0.7</v>
      </c>
    </row>
    <row r="1653" spans="2:10" x14ac:dyDescent="0.25">
      <c r="B1653" s="3">
        <f>B1652+DeltaT</f>
        <v>8180</v>
      </c>
      <c r="C1653" s="13">
        <f t="shared" si="110"/>
        <v>136.33333333333334</v>
      </c>
      <c r="D1653" s="11">
        <f t="shared" si="111"/>
        <v>1068.141067114808</v>
      </c>
      <c r="E1653" s="23">
        <f t="shared" si="112"/>
        <v>1066.5975781548073</v>
      </c>
      <c r="F1653" s="23">
        <f>AlphaC*(D1653-E1653)</f>
        <v>38.58722400001966</v>
      </c>
      <c r="G1653" s="13">
        <f>Phi*EpsilonF*Botzman/10^8*J1653*((D1653+273)^4-(E1653+273)^4)</f>
        <v>590.08992554889835</v>
      </c>
      <c r="H1653" s="23">
        <f t="shared" si="113"/>
        <v>650</v>
      </c>
      <c r="I1653" s="12">
        <f>ksh*Massivete/(H1653*RhoA)*DeltaT*(F1653+G1653)</f>
        <v>9.2730033844404577E-2</v>
      </c>
      <c r="J1653" s="3">
        <f>IF(E1653&lt;=500,IF(Galva=Oui,0.35,0.7),0.7)</f>
        <v>0.7</v>
      </c>
    </row>
    <row r="1654" spans="2:10" x14ac:dyDescent="0.25">
      <c r="B1654" s="3">
        <f>B1653+DeltaT</f>
        <v>8185</v>
      </c>
      <c r="C1654" s="13">
        <f t="shared" si="110"/>
        <v>136.41666666666666</v>
      </c>
      <c r="D1654" s="11">
        <f t="shared" si="111"/>
        <v>1068.2325393986359</v>
      </c>
      <c r="E1654" s="23">
        <f t="shared" si="112"/>
        <v>1066.6903081886517</v>
      </c>
      <c r="F1654" s="23">
        <f>AlphaC*(D1654-E1654)</f>
        <v>38.555780249606642</v>
      </c>
      <c r="G1654" s="13">
        <f>Phi*EpsilonF*Botzman/10^8*J1654*((D1654+273)^4-(E1654+273)^4)</f>
        <v>589.73062613997251</v>
      </c>
      <c r="H1654" s="23">
        <f t="shared" si="113"/>
        <v>650</v>
      </c>
      <c r="I1654" s="12">
        <f>ksh*Massivete/(H1654*RhoA)*DeltaT*(F1654+G1654)</f>
        <v>9.2672399132508396E-2</v>
      </c>
      <c r="J1654" s="3">
        <f>IF(E1654&lt;=500,IF(Galva=Oui,0.35,0.7),0.7)</f>
        <v>0.7</v>
      </c>
    </row>
    <row r="1655" spans="2:10" x14ac:dyDescent="0.25">
      <c r="B1655" s="3">
        <f>B1654+DeltaT</f>
        <v>8190</v>
      </c>
      <c r="C1655" s="13">
        <f t="shared" si="110"/>
        <v>136.5</v>
      </c>
      <c r="D1655" s="11">
        <f t="shared" si="111"/>
        <v>1068.3239558726475</v>
      </c>
      <c r="E1655" s="23">
        <f t="shared" si="112"/>
        <v>1066.7829805877841</v>
      </c>
      <c r="F1655" s="23">
        <f>AlphaC*(D1655-E1655)</f>
        <v>38.524382121585177</v>
      </c>
      <c r="G1655" s="13">
        <f>Phi*EpsilonF*Botzman/10^8*J1655*((D1655+273)^4-(E1655+273)^4)</f>
        <v>589.37176831326565</v>
      </c>
      <c r="H1655" s="23">
        <f t="shared" si="113"/>
        <v>650</v>
      </c>
      <c r="I1655" s="12">
        <f>ksh*Massivete/(H1655*RhoA)*DeltaT*(F1655+G1655)</f>
        <v>9.2614836283411842E-2</v>
      </c>
      <c r="J1655" s="3">
        <f>IF(E1655&lt;=500,IF(Galva=Oui,0.35,0.7),0.7)</f>
        <v>0.7</v>
      </c>
    </row>
    <row r="1656" spans="2:10" x14ac:dyDescent="0.25">
      <c r="B1656" s="3">
        <f>B1655+DeltaT</f>
        <v>8195</v>
      </c>
      <c r="C1656" s="13">
        <f t="shared" si="110"/>
        <v>136.58333333333334</v>
      </c>
      <c r="D1656" s="11">
        <f t="shared" si="111"/>
        <v>1068.4153166049027</v>
      </c>
      <c r="E1656" s="23">
        <f t="shared" si="112"/>
        <v>1066.8755954240676</v>
      </c>
      <c r="F1656" s="23">
        <f>AlphaC*(D1656-E1656)</f>
        <v>38.493029520878963</v>
      </c>
      <c r="G1656" s="13">
        <f>Phi*EpsilonF*Botzman/10^8*J1656*((D1656+273)^4-(E1656+273)^4)</f>
        <v>589.01335125005539</v>
      </c>
      <c r="H1656" s="23">
        <f t="shared" si="113"/>
        <v>650</v>
      </c>
      <c r="I1656" s="12">
        <f>ksh*Massivete/(H1656*RhoA)*DeltaT*(F1656+G1656)</f>
        <v>9.2557345162329371E-2</v>
      </c>
      <c r="J1656" s="3">
        <f>IF(E1656&lt;=500,IF(Galva=Oui,0.35,0.7),0.7)</f>
        <v>0.7</v>
      </c>
    </row>
    <row r="1657" spans="2:10" x14ac:dyDescent="0.25">
      <c r="B1657" s="3">
        <f>B1656+DeltaT</f>
        <v>8200</v>
      </c>
      <c r="C1657" s="13">
        <f t="shared" si="110"/>
        <v>136.66666666666666</v>
      </c>
      <c r="D1657" s="11">
        <f t="shared" si="111"/>
        <v>1068.5066216633386</v>
      </c>
      <c r="E1657" s="23">
        <f t="shared" si="112"/>
        <v>1066.9681527692298</v>
      </c>
      <c r="F1657" s="23">
        <f>AlphaC*(D1657-E1657)</f>
        <v>38.461722352718652</v>
      </c>
      <c r="G1657" s="13">
        <f>Phi*EpsilonF*Botzman/10^8*J1657*((D1657+273)^4-(E1657+273)^4)</f>
        <v>588.65537413411914</v>
      </c>
      <c r="H1657" s="23">
        <f t="shared" si="113"/>
        <v>650</v>
      </c>
      <c r="I1657" s="12">
        <f>ksh*Massivete/(H1657*RhoA)*DeltaT*(F1657+G1657)</f>
        <v>9.2499925634889457E-2</v>
      </c>
      <c r="J1657" s="3">
        <f>IF(E1657&lt;=500,IF(Galva=Oui,0.35,0.7),0.7)</f>
        <v>0.7</v>
      </c>
    </row>
    <row r="1658" spans="2:10" x14ac:dyDescent="0.25">
      <c r="B1658" s="3">
        <f>B1657+DeltaT</f>
        <v>8205</v>
      </c>
      <c r="C1658" s="13">
        <f t="shared" si="110"/>
        <v>136.75</v>
      </c>
      <c r="D1658" s="11">
        <f t="shared" si="111"/>
        <v>1068.5978711157672</v>
      </c>
      <c r="E1658" s="23">
        <f t="shared" si="112"/>
        <v>1067.0606526948648</v>
      </c>
      <c r="F1658" s="23">
        <f>AlphaC*(D1658-E1658)</f>
        <v>38.430460522562271</v>
      </c>
      <c r="G1658" s="13">
        <f>Phi*EpsilonF*Botzman/10^8*J1658*((D1658+273)^4-(E1658+273)^4)</f>
        <v>588.29783615092049</v>
      </c>
      <c r="H1658" s="23">
        <f t="shared" si="113"/>
        <v>650</v>
      </c>
      <c r="I1658" s="12">
        <f>ksh*Massivete/(H1658*RhoA)*DeltaT*(F1658+G1658)</f>
        <v>9.2442577567002818E-2</v>
      </c>
      <c r="J1658" s="3">
        <f>IF(E1658&lt;=500,IF(Galva=Oui,0.35,0.7),0.7)</f>
        <v>0.7</v>
      </c>
    </row>
    <row r="1659" spans="2:10" x14ac:dyDescent="0.25">
      <c r="B1659" s="3">
        <f>B1658+DeltaT</f>
        <v>8210</v>
      </c>
      <c r="C1659" s="13">
        <f t="shared" si="110"/>
        <v>136.83333333333334</v>
      </c>
      <c r="D1659" s="11">
        <f t="shared" si="111"/>
        <v>1068.6890650298767</v>
      </c>
      <c r="E1659" s="23">
        <f t="shared" si="112"/>
        <v>1067.1530952724318</v>
      </c>
      <c r="F1659" s="23">
        <f>AlphaC*(D1659-E1659)</f>
        <v>38.399243936123639</v>
      </c>
      <c r="G1659" s="13">
        <f>Phi*EpsilonF*Botzman/10^8*J1659*((D1659+273)^4-(E1659+273)^4)</f>
        <v>587.94073648797701</v>
      </c>
      <c r="H1659" s="23">
        <f t="shared" si="113"/>
        <v>650</v>
      </c>
      <c r="I1659" s="12">
        <f>ksh*Massivete/(H1659*RhoA)*DeltaT*(F1659+G1659)</f>
        <v>9.2385300824920857E-2</v>
      </c>
      <c r="J1659" s="3">
        <f>IF(E1659&lt;=500,IF(Galva=Oui,0.35,0.7),0.7)</f>
        <v>0.7</v>
      </c>
    </row>
    <row r="1660" spans="2:10" x14ac:dyDescent="0.25">
      <c r="B1660" s="3">
        <f>B1659+DeltaT</f>
        <v>8215</v>
      </c>
      <c r="C1660" s="13">
        <f t="shared" si="110"/>
        <v>136.91666666666666</v>
      </c>
      <c r="D1660" s="11">
        <f t="shared" si="111"/>
        <v>1068.7802034732322</v>
      </c>
      <c r="E1660" s="23">
        <f t="shared" si="112"/>
        <v>1067.2454805732566</v>
      </c>
      <c r="F1660" s="23">
        <f>AlphaC*(D1660-E1660)</f>
        <v>38.368072499389427</v>
      </c>
      <c r="G1660" s="13">
        <f>Phi*EpsilonF*Botzman/10^8*J1660*((D1660+273)^4-(E1660+273)^4)</f>
        <v>587.584074335016</v>
      </c>
      <c r="H1660" s="23">
        <f t="shared" si="113"/>
        <v>650</v>
      </c>
      <c r="I1660" s="12">
        <f>ksh*Massivete/(H1660*RhoA)*DeltaT*(F1660+G1660)</f>
        <v>9.232809527526116E-2</v>
      </c>
      <c r="J1660" s="3">
        <f>IF(E1660&lt;=500,IF(Galva=Oui,0.35,0.7),0.7)</f>
        <v>0.7</v>
      </c>
    </row>
    <row r="1661" spans="2:10" x14ac:dyDescent="0.25">
      <c r="B1661" s="3">
        <f>B1660+DeltaT</f>
        <v>8220</v>
      </c>
      <c r="C1661" s="13">
        <f t="shared" si="110"/>
        <v>137</v>
      </c>
      <c r="D1661" s="11">
        <f t="shared" si="111"/>
        <v>1068.8712865132752</v>
      </c>
      <c r="E1661" s="23">
        <f t="shared" si="112"/>
        <v>1067.3378086685318</v>
      </c>
      <c r="F1661" s="23">
        <f>AlphaC*(D1661-E1661)</f>
        <v>38.336946118585047</v>
      </c>
      <c r="G1661" s="13">
        <f>Phi*EpsilonF*Botzman/10^8*J1661*((D1661+273)^4-(E1661+273)^4)</f>
        <v>587.22784888354749</v>
      </c>
      <c r="H1661" s="23">
        <f t="shared" si="113"/>
        <v>650</v>
      </c>
      <c r="I1661" s="12">
        <f>ksh*Massivete/(H1661*RhoA)*DeltaT*(F1661+G1661)</f>
        <v>9.2270960784939501E-2</v>
      </c>
      <c r="J1661" s="3">
        <f>IF(E1661&lt;=500,IF(Galva=Oui,0.35,0.7),0.7)</f>
        <v>0.7</v>
      </c>
    </row>
    <row r="1662" spans="2:10" x14ac:dyDescent="0.25">
      <c r="B1662" s="3">
        <f>B1661+DeltaT</f>
        <v>8225</v>
      </c>
      <c r="C1662" s="13">
        <f t="shared" si="110"/>
        <v>137.08333333333334</v>
      </c>
      <c r="D1662" s="11">
        <f t="shared" si="111"/>
        <v>1068.9623142173245</v>
      </c>
      <c r="E1662" s="23">
        <f t="shared" si="112"/>
        <v>1067.4300796293167</v>
      </c>
      <c r="F1662" s="23">
        <f>AlphaC*(D1662-E1662)</f>
        <v>38.30586470019739</v>
      </c>
      <c r="G1662" s="13">
        <f>Phi*EpsilonF*Botzman/10^8*J1662*((D1662+273)^4-(E1662+273)^4)</f>
        <v>586.87205932715517</v>
      </c>
      <c r="H1662" s="23">
        <f t="shared" si="113"/>
        <v>650</v>
      </c>
      <c r="I1662" s="12">
        <f>ksh*Massivete/(H1662*RhoA)*DeltaT*(F1662+G1662)</f>
        <v>9.2213897221216048E-2</v>
      </c>
      <c r="J1662" s="3">
        <f>IF(E1662&lt;=500,IF(Galva=Oui,0.35,0.7),0.7)</f>
        <v>0.7</v>
      </c>
    </row>
    <row r="1663" spans="2:10" x14ac:dyDescent="0.25">
      <c r="B1663" s="3">
        <f>B1662+DeltaT</f>
        <v>8230</v>
      </c>
      <c r="C1663" s="13">
        <f t="shared" si="110"/>
        <v>137.16666666666666</v>
      </c>
      <c r="D1663" s="11">
        <f t="shared" si="111"/>
        <v>1069.0532866525762</v>
      </c>
      <c r="E1663" s="23">
        <f t="shared" si="112"/>
        <v>1067.5222935265379</v>
      </c>
      <c r="F1663" s="23">
        <f>AlphaC*(D1663-E1663)</f>
        <v>38.274828150957774</v>
      </c>
      <c r="G1663" s="13">
        <f>Phi*EpsilonF*Botzman/10^8*J1663*((D1663+273)^4-(E1663+273)^4)</f>
        <v>586.51670486134128</v>
      </c>
      <c r="H1663" s="23">
        <f t="shared" si="113"/>
        <v>650</v>
      </c>
      <c r="I1663" s="12">
        <f>ksh*Massivete/(H1663*RhoA)*DeltaT*(F1663+G1663)</f>
        <v>9.2156904451670033E-2</v>
      </c>
      <c r="J1663" s="3">
        <f>IF(E1663&lt;=500,IF(Galva=Oui,0.35,0.7),0.7)</f>
        <v>0.7</v>
      </c>
    </row>
    <row r="1664" spans="2:10" x14ac:dyDescent="0.25">
      <c r="B1664" s="3">
        <f>B1663+DeltaT</f>
        <v>8235</v>
      </c>
      <c r="C1664" s="13">
        <f t="shared" si="110"/>
        <v>137.25</v>
      </c>
      <c r="D1664" s="11">
        <f t="shared" si="111"/>
        <v>1069.1442038861042</v>
      </c>
      <c r="E1664" s="23">
        <f t="shared" si="112"/>
        <v>1067.6144504309896</v>
      </c>
      <c r="F1664" s="23">
        <f>AlphaC*(D1664-E1664)</f>
        <v>38.243836377864682</v>
      </c>
      <c r="G1664" s="13">
        <f>Phi*EpsilonF*Botzman/10^8*J1664*((D1664+273)^4-(E1664+273)^4)</f>
        <v>586.16178468381747</v>
      </c>
      <c r="H1664" s="23">
        <f t="shared" si="113"/>
        <v>650</v>
      </c>
      <c r="I1664" s="12">
        <f>ksh*Massivete/(H1664*RhoA)*DeltaT*(F1664+G1664)</f>
        <v>9.209998234424599E-2</v>
      </c>
      <c r="J1664" s="3">
        <f>IF(E1664&lt;=500,IF(Galva=Oui,0.35,0.7),0.7)</f>
        <v>0.7</v>
      </c>
    </row>
    <row r="1665" spans="2:10" x14ac:dyDescent="0.25">
      <c r="B1665" s="3">
        <f>B1664+DeltaT</f>
        <v>8240</v>
      </c>
      <c r="C1665" s="13">
        <f t="shared" si="110"/>
        <v>137.33333333333334</v>
      </c>
      <c r="D1665" s="11">
        <f t="shared" si="111"/>
        <v>1069.2350659848601</v>
      </c>
      <c r="E1665" s="23">
        <f t="shared" si="112"/>
        <v>1067.7065504133338</v>
      </c>
      <c r="F1665" s="23">
        <f>AlphaC*(D1665-E1665)</f>
        <v>38.212889288155338</v>
      </c>
      <c r="G1665" s="13">
        <f>Phi*EpsilonF*Botzman/10^8*J1665*((D1665+273)^4-(E1665+273)^4)</f>
        <v>585.80729799413632</v>
      </c>
      <c r="H1665" s="23">
        <f t="shared" si="113"/>
        <v>650</v>
      </c>
      <c r="I1665" s="12">
        <f>ksh*Massivete/(H1665*RhoA)*DeltaT*(F1665+G1665)</f>
        <v>9.2043130767195183E-2</v>
      </c>
      <c r="J1665" s="3">
        <f>IF(E1665&lt;=500,IF(Galva=Oui,0.35,0.7),0.7)</f>
        <v>0.7</v>
      </c>
    </row>
    <row r="1666" spans="2:10" x14ac:dyDescent="0.25">
      <c r="B1666" s="3">
        <f>B1665+DeltaT</f>
        <v>8245</v>
      </c>
      <c r="C1666" s="13">
        <f t="shared" si="110"/>
        <v>137.41666666666666</v>
      </c>
      <c r="D1666" s="11">
        <f t="shared" si="111"/>
        <v>1069.3258730156738</v>
      </c>
      <c r="E1666" s="23">
        <f t="shared" si="112"/>
        <v>1067.7985935441011</v>
      </c>
      <c r="F1666" s="23">
        <f>AlphaC*(D1666-E1666)</f>
        <v>38.181986789317079</v>
      </c>
      <c r="G1666" s="13">
        <f>Phi*EpsilonF*Botzman/10^8*J1666*((D1666+273)^4-(E1666+273)^4)</f>
        <v>585.45324399371123</v>
      </c>
      <c r="H1666" s="23">
        <f t="shared" si="113"/>
        <v>650</v>
      </c>
      <c r="I1666" s="12">
        <f>ksh*Massivete/(H1666*RhoA)*DeltaT*(F1666+G1666)</f>
        <v>9.1986349589080266E-2</v>
      </c>
      <c r="J1666" s="3">
        <f>IF(E1666&lt;=500,IF(Galva=Oui,0.35,0.7),0.7)</f>
        <v>0.7</v>
      </c>
    </row>
    <row r="1667" spans="2:10" x14ac:dyDescent="0.25">
      <c r="B1667" s="3">
        <f>B1666+DeltaT</f>
        <v>8250</v>
      </c>
      <c r="C1667" s="13">
        <f t="shared" si="110"/>
        <v>137.5</v>
      </c>
      <c r="D1667" s="11">
        <f t="shared" si="111"/>
        <v>1069.4166250452542</v>
      </c>
      <c r="E1667" s="23">
        <f t="shared" si="112"/>
        <v>1067.8905798936901</v>
      </c>
      <c r="F1667" s="23">
        <f>AlphaC*(D1667-E1667)</f>
        <v>38.151128789104405</v>
      </c>
      <c r="G1667" s="13">
        <f>Phi*EpsilonF*Botzman/10^8*J1667*((D1667+273)^4-(E1667+273)^4)</f>
        <v>585.09962188618397</v>
      </c>
      <c r="H1667" s="23">
        <f t="shared" si="113"/>
        <v>650</v>
      </c>
      <c r="I1667" s="12">
        <f>ksh*Massivete/(H1667*RhoA)*DeltaT*(F1667+G1667)</f>
        <v>9.1929638678831971E-2</v>
      </c>
      <c r="J1667" s="3">
        <f>IF(E1667&lt;=500,IF(Galva=Oui,0.35,0.7),0.7)</f>
        <v>0.7</v>
      </c>
    </row>
    <row r="1668" spans="2:10" x14ac:dyDescent="0.25">
      <c r="B1668" s="3">
        <f>B1667+DeltaT</f>
        <v>8255</v>
      </c>
      <c r="C1668" s="13">
        <f t="shared" si="110"/>
        <v>137.58333333333334</v>
      </c>
      <c r="D1668" s="11">
        <f t="shared" si="111"/>
        <v>1069.5073221401888</v>
      </c>
      <c r="E1668" s="23">
        <f t="shared" si="112"/>
        <v>1067.9825095323688</v>
      </c>
      <c r="F1668" s="23">
        <f>AlphaC*(D1668-E1668)</f>
        <v>38.120315195499188</v>
      </c>
      <c r="G1668" s="13">
        <f>Phi*EpsilonF*Botzman/10^8*J1668*((D1668+273)^4-(E1668+273)^4)</f>
        <v>584.74643087697928</v>
      </c>
      <c r="H1668" s="23">
        <f t="shared" si="113"/>
        <v>650</v>
      </c>
      <c r="I1668" s="12">
        <f>ksh*Massivete/(H1668*RhoA)*DeltaT*(F1668+G1668)</f>
        <v>9.1872997905677545E-2</v>
      </c>
      <c r="J1668" s="3">
        <f>IF(E1668&lt;=500,IF(Galva=Oui,0.35,0.7),0.7)</f>
        <v>0.7</v>
      </c>
    </row>
    <row r="1669" spans="2:10" x14ac:dyDescent="0.25">
      <c r="B1669" s="3">
        <f>B1668+DeltaT</f>
        <v>8260</v>
      </c>
      <c r="C1669" s="13">
        <f t="shared" si="110"/>
        <v>137.66666666666666</v>
      </c>
      <c r="D1669" s="11">
        <f t="shared" si="111"/>
        <v>1069.5979643669436</v>
      </c>
      <c r="E1669" s="23">
        <f t="shared" si="112"/>
        <v>1068.0743825302745</v>
      </c>
      <c r="F1669" s="23">
        <f>AlphaC*(D1669-E1669)</f>
        <v>38.089545916727729</v>
      </c>
      <c r="G1669" s="13">
        <f>Phi*EpsilonF*Botzman/10^8*J1669*((D1669+273)^4-(E1669+273)^4)</f>
        <v>584.39367017330494</v>
      </c>
      <c r="H1669" s="23">
        <f t="shared" si="113"/>
        <v>650</v>
      </c>
      <c r="I1669" s="12">
        <f>ksh*Massivete/(H1669*RhoA)*DeltaT*(F1669+G1669)</f>
        <v>9.1816427139143314E-2</v>
      </c>
      <c r="J1669" s="3">
        <f>IF(E1669&lt;=500,IF(Galva=Oui,0.35,0.7),0.7)</f>
        <v>0.7</v>
      </c>
    </row>
    <row r="1670" spans="2:10" x14ac:dyDescent="0.25">
      <c r="B1670" s="3">
        <f>B1669+DeltaT</f>
        <v>8265</v>
      </c>
      <c r="C1670" s="13">
        <f t="shared" si="110"/>
        <v>137.75</v>
      </c>
      <c r="D1670" s="11">
        <f t="shared" si="111"/>
        <v>1069.6885517918656</v>
      </c>
      <c r="E1670" s="23">
        <f t="shared" si="112"/>
        <v>1068.1661989574136</v>
      </c>
      <c r="F1670" s="23">
        <f>AlphaC*(D1670-E1670)</f>
        <v>38.058820861300546</v>
      </c>
      <c r="G1670" s="13">
        <f>Phi*EpsilonF*Botzman/10^8*J1670*((D1670+273)^4-(E1670+273)^4)</f>
        <v>584.04133898492694</v>
      </c>
      <c r="H1670" s="23">
        <f t="shared" si="113"/>
        <v>650</v>
      </c>
      <c r="I1670" s="12">
        <f>ksh*Massivete/(H1670*RhoA)*DeltaT*(F1670+G1670)</f>
        <v>9.1759926249174825E-2</v>
      </c>
      <c r="J1670" s="3">
        <f>IF(E1670&lt;=500,IF(Galva=Oui,0.35,0.7),0.7)</f>
        <v>0.7</v>
      </c>
    </row>
    <row r="1671" spans="2:10" x14ac:dyDescent="0.25">
      <c r="B1671" s="3">
        <f>B1670+DeltaT</f>
        <v>8270</v>
      </c>
      <c r="C1671" s="13">
        <f t="shared" si="110"/>
        <v>137.83333333333334</v>
      </c>
      <c r="D1671" s="11">
        <f t="shared" si="111"/>
        <v>1069.77908448118</v>
      </c>
      <c r="E1671" s="23">
        <f t="shared" si="112"/>
        <v>1068.2579588836627</v>
      </c>
      <c r="F1671" s="23">
        <f>AlphaC*(D1671-E1671)</f>
        <v>38.028139937932792</v>
      </c>
      <c r="G1671" s="13">
        <f>Phi*EpsilonF*Botzman/10^8*J1671*((D1671+273)^4-(E1671+273)^4)</f>
        <v>583.68943652292887</v>
      </c>
      <c r="H1671" s="23">
        <f t="shared" si="113"/>
        <v>650</v>
      </c>
      <c r="I1671" s="12">
        <f>ksh*Massivete/(H1671*RhoA)*DeltaT*(F1671+G1671)</f>
        <v>9.1703495105942195E-2</v>
      </c>
      <c r="J1671" s="3">
        <f>IF(E1671&lt;=500,IF(Galva=Oui,0.35,0.7),0.7)</f>
        <v>0.7</v>
      </c>
    </row>
    <row r="1672" spans="2:10" x14ac:dyDescent="0.25">
      <c r="B1672" s="3">
        <f>B1671+DeltaT</f>
        <v>8275</v>
      </c>
      <c r="C1672" s="13">
        <f t="shared" si="110"/>
        <v>137.91666666666666</v>
      </c>
      <c r="D1672" s="11">
        <f t="shared" si="111"/>
        <v>1069.8695625009925</v>
      </c>
      <c r="E1672" s="23">
        <f t="shared" si="112"/>
        <v>1068.3496623787687</v>
      </c>
      <c r="F1672" s="23">
        <f>AlphaC*(D1672-E1672)</f>
        <v>37.997503055595416</v>
      </c>
      <c r="G1672" s="13">
        <f>Phi*EpsilonF*Botzman/10^8*J1672*((D1672+273)^4-(E1672+273)^4)</f>
        <v>583.33796200046811</v>
      </c>
      <c r="H1672" s="23">
        <f t="shared" si="113"/>
        <v>650</v>
      </c>
      <c r="I1672" s="12">
        <f>ksh*Massivete/(H1672*RhoA)*DeltaT*(F1672+G1672)</f>
        <v>9.1647133579959114E-2</v>
      </c>
      <c r="J1672" s="3">
        <f>IF(E1672&lt;=500,IF(Galva=Oui,0.35,0.7),0.7)</f>
        <v>0.7</v>
      </c>
    </row>
    <row r="1673" spans="2:10" x14ac:dyDescent="0.25">
      <c r="B1673" s="3">
        <f>B1672+DeltaT</f>
        <v>8280</v>
      </c>
      <c r="C1673" s="13">
        <f t="shared" si="110"/>
        <v>138</v>
      </c>
      <c r="D1673" s="11">
        <f t="shared" si="111"/>
        <v>1069.9599859172895</v>
      </c>
      <c r="E1673" s="23">
        <f t="shared" si="112"/>
        <v>1068.4413095123487</v>
      </c>
      <c r="F1673" s="23">
        <f>AlphaC*(D1673-E1673)</f>
        <v>37.966910123520847</v>
      </c>
      <c r="G1673" s="13">
        <f>Phi*EpsilonF*Botzman/10^8*J1673*((D1673+273)^4-(E1673+273)^4)</f>
        <v>582.98691463283399</v>
      </c>
      <c r="H1673" s="23">
        <f t="shared" si="113"/>
        <v>650</v>
      </c>
      <c r="I1673" s="12">
        <f>ksh*Massivete/(H1673*RhoA)*DeltaT*(F1673+G1673)</f>
        <v>9.1590841542092363E-2</v>
      </c>
      <c r="J1673" s="3">
        <f>IF(E1673&lt;=500,IF(Galva=Oui,0.35,0.7),0.7)</f>
        <v>0.7</v>
      </c>
    </row>
    <row r="1674" spans="2:10" x14ac:dyDescent="0.25">
      <c r="B1674" s="3">
        <f>B1673+DeltaT</f>
        <v>8285</v>
      </c>
      <c r="C1674" s="13">
        <f t="shared" si="110"/>
        <v>138.08333333333334</v>
      </c>
      <c r="D1674" s="11">
        <f t="shared" si="111"/>
        <v>1070.0503547959379</v>
      </c>
      <c r="E1674" s="23">
        <f t="shared" si="112"/>
        <v>1068.5329003538907</v>
      </c>
      <c r="F1674" s="23">
        <f>AlphaC*(D1674-E1674)</f>
        <v>37.936361051180256</v>
      </c>
      <c r="G1674" s="13">
        <f>Phi*EpsilonF*Botzman/10^8*J1674*((D1674+273)^4-(E1674+273)^4)</f>
        <v>582.63629363731161</v>
      </c>
      <c r="H1674" s="23">
        <f t="shared" si="113"/>
        <v>650</v>
      </c>
      <c r="I1674" s="12">
        <f>ksh*Massivete/(H1674*RhoA)*DeltaT*(F1674+G1674)</f>
        <v>9.1534618863538239E-2</v>
      </c>
      <c r="J1674" s="3">
        <f>IF(E1674&lt;=500,IF(Galva=Oui,0.35,0.7),0.7)</f>
        <v>0.7</v>
      </c>
    </row>
    <row r="1675" spans="2:10" x14ac:dyDescent="0.25">
      <c r="B1675" s="3">
        <f>B1674+DeltaT</f>
        <v>8290</v>
      </c>
      <c r="C1675" s="13">
        <f t="shared" si="110"/>
        <v>138.16666666666666</v>
      </c>
      <c r="D1675" s="11">
        <f t="shared" si="111"/>
        <v>1070.1406692026846</v>
      </c>
      <c r="E1675" s="23">
        <f t="shared" si="112"/>
        <v>1068.6244349727542</v>
      </c>
      <c r="F1675" s="23">
        <f>AlphaC*(D1675-E1675)</f>
        <v>37.905855748260819</v>
      </c>
      <c r="G1675" s="13">
        <f>Phi*EpsilonF*Botzman/10^8*J1675*((D1675+273)^4-(E1675+273)^4)</f>
        <v>582.28609823262047</v>
      </c>
      <c r="H1675" s="23">
        <f t="shared" si="113"/>
        <v>650</v>
      </c>
      <c r="I1675" s="12">
        <f>ksh*Massivete/(H1675*RhoA)*DeltaT*(F1675+G1675)</f>
        <v>9.1478465415736537E-2</v>
      </c>
      <c r="J1675" s="3">
        <f>IF(E1675&lt;=500,IF(Galva=Oui,0.35,0.7),0.7)</f>
        <v>0.7</v>
      </c>
    </row>
    <row r="1676" spans="2:10" x14ac:dyDescent="0.25">
      <c r="B1676" s="3">
        <f>B1675+DeltaT</f>
        <v>8295</v>
      </c>
      <c r="C1676" s="13">
        <f t="shared" si="110"/>
        <v>138.25</v>
      </c>
      <c r="D1676" s="11">
        <f t="shared" si="111"/>
        <v>1070.2309292031593</v>
      </c>
      <c r="E1676" s="23">
        <f t="shared" si="112"/>
        <v>1068.71591343817</v>
      </c>
      <c r="F1676" s="23">
        <f>AlphaC*(D1676-E1676)</f>
        <v>37.87539412473393</v>
      </c>
      <c r="G1676" s="13">
        <f>Phi*EpsilonF*Botzman/10^8*J1676*((D1676+273)^4-(E1676+273)^4)</f>
        <v>581.93632763994128</v>
      </c>
      <c r="H1676" s="23">
        <f t="shared" si="113"/>
        <v>650</v>
      </c>
      <c r="I1676" s="12">
        <f>ksh*Massivete/(H1676*RhoA)*DeltaT*(F1676+G1676)</f>
        <v>9.142238107053198E-2</v>
      </c>
      <c r="J1676" s="3">
        <f>IF(E1676&lt;=500,IF(Galva=Oui,0.35,0.7),0.7)</f>
        <v>0.7</v>
      </c>
    </row>
    <row r="1677" spans="2:10" x14ac:dyDescent="0.25">
      <c r="B1677" s="3">
        <f>B1676+DeltaT</f>
        <v>8300</v>
      </c>
      <c r="C1677" s="13">
        <f t="shared" si="110"/>
        <v>138.33333333333334</v>
      </c>
      <c r="D1677" s="11">
        <f t="shared" si="111"/>
        <v>1070.3211348628718</v>
      </c>
      <c r="E1677" s="23">
        <f t="shared" si="112"/>
        <v>1068.8073358192405</v>
      </c>
      <c r="F1677" s="23">
        <f>AlphaC*(D1677-E1677)</f>
        <v>37.844976090781302</v>
      </c>
      <c r="G1677" s="13">
        <f>Phi*EpsilonF*Botzman/10^8*J1677*((D1677+273)^4-(E1677+273)^4)</f>
        <v>581.58698108202429</v>
      </c>
      <c r="H1677" s="23">
        <f t="shared" si="113"/>
        <v>650</v>
      </c>
      <c r="I1677" s="12">
        <f>ksh*Massivete/(H1677*RhoA)*DeltaT*(F1677+G1677)</f>
        <v>9.1366365700031801E-2</v>
      </c>
      <c r="J1677" s="3">
        <f>IF(E1677&lt;=500,IF(Galva=Oui,0.35,0.7),0.7)</f>
        <v>0.7</v>
      </c>
    </row>
    <row r="1678" spans="2:10" x14ac:dyDescent="0.25">
      <c r="B1678" s="3">
        <f>B1677+DeltaT</f>
        <v>8305</v>
      </c>
      <c r="C1678" s="13">
        <f t="shared" si="110"/>
        <v>138.41666666666666</v>
      </c>
      <c r="D1678" s="11">
        <f t="shared" si="111"/>
        <v>1070.4112862472139</v>
      </c>
      <c r="E1678" s="23">
        <f t="shared" si="112"/>
        <v>1068.8987021849405</v>
      </c>
      <c r="F1678" s="23">
        <f>AlphaC*(D1678-E1678)</f>
        <v>37.814601556834759</v>
      </c>
      <c r="G1678" s="13">
        <f>Phi*EpsilonF*Botzman/10^8*J1678*((D1678+273)^4-(E1678+273)^4)</f>
        <v>581.23805778365499</v>
      </c>
      <c r="H1678" s="23">
        <f t="shared" si="113"/>
        <v>650</v>
      </c>
      <c r="I1678" s="12">
        <f>ksh*Massivete/(H1678*RhoA)*DeltaT*(F1678+G1678)</f>
        <v>9.1310419176680355E-2</v>
      </c>
      <c r="J1678" s="3">
        <f>IF(E1678&lt;=500,IF(Galva=Oui,0.35,0.7),0.7)</f>
        <v>0.7</v>
      </c>
    </row>
    <row r="1679" spans="2:10" x14ac:dyDescent="0.25">
      <c r="B1679" s="3">
        <f>B1678+DeltaT</f>
        <v>8310</v>
      </c>
      <c r="C1679" s="13">
        <f t="shared" si="110"/>
        <v>138.5</v>
      </c>
      <c r="D1679" s="11">
        <f t="shared" si="111"/>
        <v>1070.5013834214601</v>
      </c>
      <c r="E1679" s="23">
        <f t="shared" si="112"/>
        <v>1068.9900126041171</v>
      </c>
      <c r="F1679" s="23">
        <f>AlphaC*(D1679-E1679)</f>
        <v>37.784270433576239</v>
      </c>
      <c r="G1679" s="13">
        <f>Phi*EpsilonF*Botzman/10^8*J1679*((D1679+273)^4-(E1679+273)^4)</f>
        <v>580.8895569715371</v>
      </c>
      <c r="H1679" s="23">
        <f t="shared" si="113"/>
        <v>650</v>
      </c>
      <c r="I1679" s="12">
        <f>ksh*Massivete/(H1679*RhoA)*DeltaT*(F1679+G1679)</f>
        <v>9.1254541373241821E-2</v>
      </c>
      <c r="J1679" s="3">
        <f>IF(E1679&lt;=500,IF(Galva=Oui,0.35,0.7),0.7)</f>
        <v>0.7</v>
      </c>
    </row>
    <row r="1680" spans="2:10" x14ac:dyDescent="0.25">
      <c r="B1680" s="3">
        <f>B1679+DeltaT</f>
        <v>8315</v>
      </c>
      <c r="C1680" s="13">
        <f t="shared" si="110"/>
        <v>138.58333333333334</v>
      </c>
      <c r="D1680" s="11">
        <f t="shared" si="111"/>
        <v>1070.5914264507667</v>
      </c>
      <c r="E1680" s="23">
        <f t="shared" si="112"/>
        <v>1069.0812671454903</v>
      </c>
      <c r="F1680" s="23">
        <f>AlphaC*(D1680-E1680)</f>
        <v>37.753982631909366</v>
      </c>
      <c r="G1680" s="13">
        <f>Phi*EpsilonF*Botzman/10^8*J1680*((D1680+273)^4-(E1680+273)^4)</f>
        <v>580.54147787415775</v>
      </c>
      <c r="H1680" s="23">
        <f t="shared" si="113"/>
        <v>650</v>
      </c>
      <c r="I1680" s="12">
        <f>ksh*Massivete/(H1680*RhoA)*DeltaT*(F1680+G1680)</f>
        <v>9.1198732162776103E-2</v>
      </c>
      <c r="J1680" s="3">
        <f>IF(E1680&lt;=500,IF(Galva=Oui,0.35,0.7),0.7)</f>
        <v>0.7</v>
      </c>
    </row>
    <row r="1681" spans="2:10" x14ac:dyDescent="0.25">
      <c r="B1681" s="3">
        <f>B1680+DeltaT</f>
        <v>8320</v>
      </c>
      <c r="C1681" s="13">
        <f t="shared" si="110"/>
        <v>138.66666666666666</v>
      </c>
      <c r="D1681" s="11">
        <f t="shared" si="111"/>
        <v>1070.6814154001722</v>
      </c>
      <c r="E1681" s="23">
        <f t="shared" si="112"/>
        <v>1069.1724658776532</v>
      </c>
      <c r="F1681" s="23">
        <f>AlphaC*(D1681-E1681)</f>
        <v>37.723738062976508</v>
      </c>
      <c r="G1681" s="13">
        <f>Phi*EpsilonF*Botzman/10^8*J1681*((D1681+273)^4-(E1681+273)^4)</f>
        <v>580.19381972184465</v>
      </c>
      <c r="H1681" s="23">
        <f t="shared" si="113"/>
        <v>650</v>
      </c>
      <c r="I1681" s="12">
        <f>ksh*Massivete/(H1681*RhoA)*DeltaT*(F1681+G1681)</f>
        <v>9.1142991418649857E-2</v>
      </c>
      <c r="J1681" s="3">
        <f>IF(E1681&lt;=500,IF(Galva=Oui,0.35,0.7),0.7)</f>
        <v>0.7</v>
      </c>
    </row>
    <row r="1682" spans="2:10" x14ac:dyDescent="0.25">
      <c r="B1682" s="3">
        <f>B1681+DeltaT</f>
        <v>8325</v>
      </c>
      <c r="C1682" s="13">
        <f t="shared" ref="C1682:C1745" si="114">B1682/60</f>
        <v>138.75</v>
      </c>
      <c r="D1682" s="11">
        <f t="shared" ref="D1682:D1745" si="115">20+345*LOG(8*C1682+1,10)</f>
        <v>1070.7713503345992</v>
      </c>
      <c r="E1682" s="23">
        <f t="shared" si="112"/>
        <v>1069.2636088690717</v>
      </c>
      <c r="F1682" s="23">
        <f>AlphaC*(D1682-E1682)</f>
        <v>37.693536638187197</v>
      </c>
      <c r="G1682" s="13">
        <f>Phi*EpsilonF*Botzman/10^8*J1682*((D1682+273)^4-(E1682+273)^4)</f>
        <v>579.84658174725143</v>
      </c>
      <c r="H1682" s="23">
        <f t="shared" si="113"/>
        <v>650</v>
      </c>
      <c r="I1682" s="12">
        <f>ksh*Massivete/(H1682*RhoA)*DeltaT*(F1682+G1682)</f>
        <v>9.1087319014612159E-2</v>
      </c>
      <c r="J1682" s="3">
        <f>IF(E1682&lt;=500,IF(Galva=Oui,0.35,0.7),0.7)</f>
        <v>0.7</v>
      </c>
    </row>
    <row r="1683" spans="2:10" x14ac:dyDescent="0.25">
      <c r="B1683" s="3">
        <f>B1682+DeltaT</f>
        <v>8330</v>
      </c>
      <c r="C1683" s="13">
        <f t="shared" si="114"/>
        <v>138.83333333333334</v>
      </c>
      <c r="D1683" s="11">
        <f t="shared" si="115"/>
        <v>1070.8612313188523</v>
      </c>
      <c r="E1683" s="23">
        <f t="shared" si="112"/>
        <v>1069.3546961880863</v>
      </c>
      <c r="F1683" s="23">
        <f>AlphaC*(D1683-E1683)</f>
        <v>37.663378269149916</v>
      </c>
      <c r="G1683" s="13">
        <f>Phi*EpsilonF*Botzman/10^8*J1683*((D1683+273)^4-(E1683+273)^4)</f>
        <v>579.4997631842914</v>
      </c>
      <c r="H1683" s="23">
        <f t="shared" si="113"/>
        <v>650</v>
      </c>
      <c r="I1683" s="12">
        <f>ksh*Massivete/(H1683*RhoA)*DeltaT*(F1683+G1683)</f>
        <v>9.1031714824627283E-2</v>
      </c>
      <c r="J1683" s="3">
        <f>IF(E1683&lt;=500,IF(Galva=Oui,0.35,0.7),0.7)</f>
        <v>0.7</v>
      </c>
    </row>
    <row r="1684" spans="2:10" x14ac:dyDescent="0.25">
      <c r="B1684" s="3">
        <f>B1683+DeltaT</f>
        <v>8335</v>
      </c>
      <c r="C1684" s="13">
        <f t="shared" si="114"/>
        <v>138.91666666666666</v>
      </c>
      <c r="D1684" s="11">
        <f t="shared" si="115"/>
        <v>1070.9510584176198</v>
      </c>
      <c r="E1684" s="23">
        <f t="shared" si="112"/>
        <v>1069.4457279029109</v>
      </c>
      <c r="F1684" s="23">
        <f>AlphaC*(D1684-E1684)</f>
        <v>37.633262867723261</v>
      </c>
      <c r="G1684" s="13">
        <f>Phi*EpsilonF*Botzman/10^8*J1684*((D1684+273)^4-(E1684+273)^4)</f>
        <v>579.15336326902877</v>
      </c>
      <c r="H1684" s="23">
        <f t="shared" si="113"/>
        <v>650</v>
      </c>
      <c r="I1684" s="12">
        <f>ksh*Massivete/(H1684*RhoA)*DeltaT*(F1684+G1684)</f>
        <v>9.0976178723013612E-2</v>
      </c>
      <c r="J1684" s="3">
        <f>IF(E1684&lt;=500,IF(Galva=Oui,0.35,0.7),0.7)</f>
        <v>0.7</v>
      </c>
    </row>
    <row r="1685" spans="2:10" x14ac:dyDescent="0.25">
      <c r="B1685" s="3">
        <f>B1684+DeltaT</f>
        <v>8340</v>
      </c>
      <c r="C1685" s="13">
        <f t="shared" si="114"/>
        <v>139</v>
      </c>
      <c r="D1685" s="11">
        <f t="shared" si="115"/>
        <v>1071.0408316954743</v>
      </c>
      <c r="E1685" s="23">
        <f t="shared" si="112"/>
        <v>1069.5367040816338</v>
      </c>
      <c r="F1685" s="23">
        <f>AlphaC*(D1685-E1685)</f>
        <v>37.603190346010251</v>
      </c>
      <c r="G1685" s="13">
        <f>Phi*EpsilonF*Botzman/10^8*J1685*((D1685+273)^4-(E1685+273)^4)</f>
        <v>578.80738123950493</v>
      </c>
      <c r="H1685" s="23">
        <f t="shared" si="113"/>
        <v>650</v>
      </c>
      <c r="I1685" s="12">
        <f>ksh*Massivete/(H1685*RhoA)*DeltaT*(F1685+G1685)</f>
        <v>9.0920710584417266E-2</v>
      </c>
      <c r="J1685" s="3">
        <f>IF(E1685&lt;=500,IF(Galva=Oui,0.35,0.7),0.7)</f>
        <v>0.7</v>
      </c>
    </row>
    <row r="1686" spans="2:10" x14ac:dyDescent="0.25">
      <c r="B1686" s="3">
        <f>B1685+DeltaT</f>
        <v>8345</v>
      </c>
      <c r="C1686" s="13">
        <f t="shared" si="114"/>
        <v>139.08333333333334</v>
      </c>
      <c r="D1686" s="11">
        <f t="shared" si="115"/>
        <v>1071.1305512168717</v>
      </c>
      <c r="E1686" s="23">
        <f t="shared" si="112"/>
        <v>1069.6276247922183</v>
      </c>
      <c r="F1686" s="23">
        <f>AlphaC*(D1686-E1686)</f>
        <v>37.573160616335599</v>
      </c>
      <c r="G1686" s="13">
        <f>Phi*EpsilonF*Botzman/10^8*J1686*((D1686+273)^4-(E1686+273)^4)</f>
        <v>578.46181633542756</v>
      </c>
      <c r="H1686" s="23">
        <f t="shared" si="113"/>
        <v>650</v>
      </c>
      <c r="I1686" s="12">
        <f>ksh*Massivete/(H1686*RhoA)*DeltaT*(F1686+G1686)</f>
        <v>9.086531028376281E-2</v>
      </c>
      <c r="J1686" s="3">
        <f>IF(E1686&lt;=500,IF(Galva=Oui,0.35,0.7),0.7)</f>
        <v>0.7</v>
      </c>
    </row>
    <row r="1687" spans="2:10" x14ac:dyDescent="0.25">
      <c r="B1687" s="3">
        <f>B1686+DeltaT</f>
        <v>8350</v>
      </c>
      <c r="C1687" s="13">
        <f t="shared" si="114"/>
        <v>139.16666666666666</v>
      </c>
      <c r="D1687" s="11">
        <f t="shared" si="115"/>
        <v>1071.2202170461526</v>
      </c>
      <c r="E1687" s="23">
        <f t="shared" si="112"/>
        <v>1069.7184901025021</v>
      </c>
      <c r="F1687" s="23">
        <f>AlphaC*(D1687-E1687)</f>
        <v>37.543173591262757</v>
      </c>
      <c r="G1687" s="13">
        <f>Phi*EpsilonF*Botzman/10^8*J1687*((D1687+273)^4-(E1687+273)^4)</f>
        <v>578.1166677984811</v>
      </c>
      <c r="H1687" s="23">
        <f t="shared" si="113"/>
        <v>650</v>
      </c>
      <c r="I1687" s="12">
        <f>ksh*Massivete/(H1687*RhoA)*DeltaT*(F1687+G1687)</f>
        <v>9.0809977696301586E-2</v>
      </c>
      <c r="J1687" s="3">
        <f>IF(E1687&lt;=500,IF(Galva=Oui,0.35,0.7),0.7)</f>
        <v>0.7</v>
      </c>
    </row>
    <row r="1688" spans="2:10" x14ac:dyDescent="0.25">
      <c r="B1688" s="3">
        <f>B1687+DeltaT</f>
        <v>8355</v>
      </c>
      <c r="C1688" s="13">
        <f t="shared" si="114"/>
        <v>139.25</v>
      </c>
      <c r="D1688" s="11">
        <f t="shared" si="115"/>
        <v>1071.309829247542</v>
      </c>
      <c r="E1688" s="23">
        <f t="shared" si="112"/>
        <v>1069.8093000801985</v>
      </c>
      <c r="F1688" s="23">
        <f>AlphaC*(D1688-E1688)</f>
        <v>37.513229183588237</v>
      </c>
      <c r="G1688" s="13">
        <f>Phi*EpsilonF*Botzman/10^8*J1688*((D1688+273)^4-(E1688+273)^4)</f>
        <v>577.77193487205579</v>
      </c>
      <c r="H1688" s="23">
        <f t="shared" si="113"/>
        <v>650</v>
      </c>
      <c r="I1688" s="12">
        <f>ksh*Massivete/(H1688*RhoA)*DeltaT*(F1688+G1688)</f>
        <v>9.0754712697570933E-2</v>
      </c>
      <c r="J1688" s="3">
        <f>IF(E1688&lt;=500,IF(Galva=Oui,0.35,0.7),0.7)</f>
        <v>0.7</v>
      </c>
    </row>
    <row r="1689" spans="2:10" x14ac:dyDescent="0.25">
      <c r="B1689" s="3">
        <f>B1688+DeltaT</f>
        <v>8360</v>
      </c>
      <c r="C1689" s="13">
        <f t="shared" si="114"/>
        <v>139.33333333333334</v>
      </c>
      <c r="D1689" s="11">
        <f t="shared" si="115"/>
        <v>1071.3993878851495</v>
      </c>
      <c r="E1689" s="23">
        <f t="shared" si="112"/>
        <v>1069.9000547928961</v>
      </c>
      <c r="F1689" s="23">
        <f>AlphaC*(D1689-E1689)</f>
        <v>37.483327306335923</v>
      </c>
      <c r="G1689" s="13">
        <f>Phi*EpsilonF*Botzman/10^8*J1689*((D1689+273)^4-(E1689+273)^4)</f>
        <v>577.42761680144076</v>
      </c>
      <c r="H1689" s="23">
        <f t="shared" si="113"/>
        <v>650</v>
      </c>
      <c r="I1689" s="12">
        <f>ksh*Massivete/(H1689*RhoA)*DeltaT*(F1689+G1689)</f>
        <v>9.0699515163421826E-2</v>
      </c>
      <c r="J1689" s="3">
        <f>IF(E1689&lt;=500,IF(Galva=Oui,0.35,0.7),0.7)</f>
        <v>0.7</v>
      </c>
    </row>
    <row r="1690" spans="2:10" x14ac:dyDescent="0.25">
      <c r="B1690" s="3">
        <f>B1689+DeltaT</f>
        <v>8365</v>
      </c>
      <c r="C1690" s="13">
        <f t="shared" si="114"/>
        <v>139.41666666666666</v>
      </c>
      <c r="D1690" s="11">
        <f t="shared" si="115"/>
        <v>1071.4888930229704</v>
      </c>
      <c r="E1690" s="23">
        <f t="shared" si="112"/>
        <v>1069.9907543080594</v>
      </c>
      <c r="F1690" s="23">
        <f>AlphaC*(D1690-E1690)</f>
        <v>37.453467872774127</v>
      </c>
      <c r="G1690" s="13">
        <f>Phi*EpsilonF*Botzman/10^8*J1690*((D1690+273)^4-(E1690+273)^4)</f>
        <v>577.08371283397935</v>
      </c>
      <c r="H1690" s="23">
        <f t="shared" si="113"/>
        <v>650</v>
      </c>
      <c r="I1690" s="12">
        <f>ksh*Massivete/(H1690*RhoA)*DeltaT*(F1690+G1690)</f>
        <v>9.0644384970044276E-2</v>
      </c>
      <c r="J1690" s="3">
        <f>IF(E1690&lt;=500,IF(Galva=Oui,0.35,0.7),0.7)</f>
        <v>0.7</v>
      </c>
    </row>
    <row r="1691" spans="2:10" x14ac:dyDescent="0.25">
      <c r="B1691" s="3">
        <f>B1690+DeltaT</f>
        <v>8370</v>
      </c>
      <c r="C1691" s="13">
        <f t="shared" si="114"/>
        <v>139.5</v>
      </c>
      <c r="D1691" s="11">
        <f t="shared" si="115"/>
        <v>1071.578344724885</v>
      </c>
      <c r="E1691" s="23">
        <f t="shared" si="112"/>
        <v>1070.0813986930295</v>
      </c>
      <c r="F1691" s="23">
        <f>AlphaC*(D1691-E1691)</f>
        <v>37.423650796387165</v>
      </c>
      <c r="G1691" s="13">
        <f>Phi*EpsilonF*Botzman/10^8*J1691*((D1691+273)^4-(E1691+273)^4)</f>
        <v>576.74022221843006</v>
      </c>
      <c r="H1691" s="23">
        <f t="shared" si="113"/>
        <v>650</v>
      </c>
      <c r="I1691" s="12">
        <f>ksh*Massivete/(H1691*RhoA)*DeltaT*(F1691+G1691)</f>
        <v>9.0589321993868877E-2</v>
      </c>
      <c r="J1691" s="3">
        <f>IF(E1691&lt;=500,IF(Galva=Oui,0.35,0.7),0.7)</f>
        <v>0.7</v>
      </c>
    </row>
    <row r="1692" spans="2:10" x14ac:dyDescent="0.25">
      <c r="B1692" s="3">
        <f>B1691+DeltaT</f>
        <v>8375</v>
      </c>
      <c r="C1692" s="13">
        <f t="shared" si="114"/>
        <v>139.58333333333334</v>
      </c>
      <c r="D1692" s="11">
        <f t="shared" si="115"/>
        <v>1071.6677430546592</v>
      </c>
      <c r="E1692" s="23">
        <f t="shared" si="112"/>
        <v>1070.1719880150233</v>
      </c>
      <c r="F1692" s="23">
        <f>AlphaC*(D1692-E1692)</f>
        <v>37.393875990898096</v>
      </c>
      <c r="G1692" s="13">
        <f>Phi*EpsilonF*Botzman/10^8*J1692*((D1692+273)^4-(E1692+273)^4)</f>
        <v>576.39714420577957</v>
      </c>
      <c r="H1692" s="23">
        <f t="shared" si="113"/>
        <v>650</v>
      </c>
      <c r="I1692" s="12">
        <f>ksh*Massivete/(H1692*RhoA)*DeltaT*(F1692+G1692)</f>
        <v>9.0534326111690128E-2</v>
      </c>
      <c r="J1692" s="3">
        <f>IF(E1692&lt;=500,IF(Galva=Oui,0.35,0.7),0.7)</f>
        <v>0.7</v>
      </c>
    </row>
    <row r="1693" spans="2:10" x14ac:dyDescent="0.25">
      <c r="B1693" s="3">
        <f>B1692+DeltaT</f>
        <v>8380</v>
      </c>
      <c r="C1693" s="13">
        <f t="shared" si="114"/>
        <v>139.66666666666666</v>
      </c>
      <c r="D1693" s="11">
        <f t="shared" si="115"/>
        <v>1071.7570880759451</v>
      </c>
      <c r="E1693" s="23">
        <f t="shared" si="112"/>
        <v>1070.2625223411351</v>
      </c>
      <c r="F1693" s="23">
        <f>AlphaC*(D1693-E1693)</f>
        <v>37.364143370251668</v>
      </c>
      <c r="G1693" s="13">
        <f>Phi*EpsilonF*Botzman/10^8*J1693*((D1693+273)^4-(E1693+273)^4)</f>
        <v>576.054478048546</v>
      </c>
      <c r="H1693" s="23">
        <f t="shared" si="113"/>
        <v>650</v>
      </c>
      <c r="I1693" s="12">
        <f>ksh*Massivete/(H1693*RhoA)*DeltaT*(F1693+G1693)</f>
        <v>9.0479397200561099E-2</v>
      </c>
      <c r="J1693" s="3">
        <f>IF(E1693&lt;=500,IF(Galva=Oui,0.35,0.7),0.7)</f>
        <v>0.7</v>
      </c>
    </row>
    <row r="1694" spans="2:10" x14ac:dyDescent="0.25">
      <c r="B1694" s="3">
        <f>B1693+DeltaT</f>
        <v>8385</v>
      </c>
      <c r="C1694" s="13">
        <f t="shared" si="114"/>
        <v>139.75</v>
      </c>
      <c r="D1694" s="11">
        <f t="shared" si="115"/>
        <v>1071.8463798522805</v>
      </c>
      <c r="E1694" s="23">
        <f t="shared" si="112"/>
        <v>1070.3530017383357</v>
      </c>
      <c r="F1694" s="23">
        <f>AlphaC*(D1694-E1694)</f>
        <v>37.334452848620003</v>
      </c>
      <c r="G1694" s="13">
        <f>Phi*EpsilonF*Botzman/10^8*J1694*((D1694+273)^4-(E1694+273)^4)</f>
        <v>575.71222300104932</v>
      </c>
      <c r="H1694" s="23">
        <f t="shared" si="113"/>
        <v>650</v>
      </c>
      <c r="I1694" s="12">
        <f>ksh*Massivete/(H1694*RhoA)*DeltaT*(F1694+G1694)</f>
        <v>9.0424535137834161E-2</v>
      </c>
      <c r="J1694" s="3">
        <f>IF(E1694&lt;=500,IF(Galva=Oui,0.35,0.7),0.7)</f>
        <v>0.7</v>
      </c>
    </row>
    <row r="1695" spans="2:10" x14ac:dyDescent="0.25">
      <c r="B1695" s="3">
        <f>B1694+DeltaT</f>
        <v>8390</v>
      </c>
      <c r="C1695" s="13">
        <f t="shared" si="114"/>
        <v>139.83333333333334</v>
      </c>
      <c r="D1695" s="11">
        <f t="shared" si="115"/>
        <v>1071.9356184470905</v>
      </c>
      <c r="E1695" s="23">
        <f t="shared" si="112"/>
        <v>1070.4434262734735</v>
      </c>
      <c r="F1695" s="23">
        <f>AlphaC*(D1695-E1695)</f>
        <v>37.304804340425335</v>
      </c>
      <c r="G1695" s="13">
        <f>Phi*EpsilonF*Botzman/10^8*J1695*((D1695+273)^4-(E1695+273)^4)</f>
        <v>575.37037831987755</v>
      </c>
      <c r="H1695" s="23">
        <f t="shared" si="113"/>
        <v>650</v>
      </c>
      <c r="I1695" s="12">
        <f>ksh*Massivete/(H1695*RhoA)*DeltaT*(F1695+G1695)</f>
        <v>9.0369739801233112E-2</v>
      </c>
      <c r="J1695" s="3">
        <f>IF(E1695&lt;=500,IF(Galva=Oui,0.35,0.7),0.7)</f>
        <v>0.7</v>
      </c>
    </row>
    <row r="1696" spans="2:10" x14ac:dyDescent="0.25">
      <c r="B1696" s="3">
        <f>B1695+DeltaT</f>
        <v>8395</v>
      </c>
      <c r="C1696" s="13">
        <f t="shared" si="114"/>
        <v>139.91666666666666</v>
      </c>
      <c r="D1696" s="11">
        <f t="shared" si="115"/>
        <v>1072.024803923686</v>
      </c>
      <c r="E1696" s="23">
        <f t="shared" si="112"/>
        <v>1070.5337960132747</v>
      </c>
      <c r="F1696" s="23">
        <f>AlphaC*(D1696-E1696)</f>
        <v>37.275197760283163</v>
      </c>
      <c r="G1696" s="13">
        <f>Phi*EpsilonF*Botzman/10^8*J1696*((D1696+273)^4-(E1696+273)^4)</f>
        <v>575.02894326274213</v>
      </c>
      <c r="H1696" s="23">
        <f t="shared" si="113"/>
        <v>650</v>
      </c>
      <c r="I1696" s="12">
        <f>ksh*Massivete/(H1696*RhoA)*DeltaT*(F1696+G1696)</f>
        <v>9.0315011068675996E-2</v>
      </c>
      <c r="J1696" s="3">
        <f>IF(E1696&lt;=500,IF(Galva=Oui,0.35,0.7),0.7)</f>
        <v>0.7</v>
      </c>
    </row>
    <row r="1697" spans="2:10" x14ac:dyDescent="0.25">
      <c r="B1697" s="3">
        <f>B1696+DeltaT</f>
        <v>8400</v>
      </c>
      <c r="C1697" s="13">
        <f t="shared" si="114"/>
        <v>140</v>
      </c>
      <c r="D1697" s="11">
        <f t="shared" si="115"/>
        <v>1072.1139363452658</v>
      </c>
      <c r="E1697" s="23">
        <f t="shared" si="112"/>
        <v>1070.6241110243434</v>
      </c>
      <c r="F1697" s="23">
        <f>AlphaC*(D1697-E1697)</f>
        <v>37.245633023059099</v>
      </c>
      <c r="G1697" s="13">
        <f>Phi*EpsilonF*Botzman/10^8*J1697*((D1697+273)^4-(E1697+273)^4)</f>
        <v>574.68791708966125</v>
      </c>
      <c r="H1697" s="23">
        <f t="shared" si="113"/>
        <v>650</v>
      </c>
      <c r="I1697" s="12">
        <f>ksh*Massivete/(H1697*RhoA)*DeltaT*(F1697+G1697)</f>
        <v>9.0260348818457958E-2</v>
      </c>
      <c r="J1697" s="3">
        <f>IF(E1697&lt;=500,IF(Galva=Oui,0.35,0.7),0.7)</f>
        <v>0.7</v>
      </c>
    </row>
    <row r="1698" spans="2:10" x14ac:dyDescent="0.25">
      <c r="B1698" s="3">
        <f>B1697+DeltaT</f>
        <v>8405</v>
      </c>
      <c r="C1698" s="13">
        <f t="shared" si="114"/>
        <v>140.08333333333334</v>
      </c>
      <c r="D1698" s="11">
        <f t="shared" si="115"/>
        <v>1072.2030157749148</v>
      </c>
      <c r="E1698" s="23">
        <f t="shared" si="112"/>
        <v>1070.7143713731618</v>
      </c>
      <c r="F1698" s="23">
        <f>AlphaC*(D1698-E1698)</f>
        <v>37.216110043823392</v>
      </c>
      <c r="G1698" s="13">
        <f>Phi*EpsilonF*Botzman/10^8*J1698*((D1698+273)^4-(E1698+273)^4)</f>
        <v>574.34729906204802</v>
      </c>
      <c r="H1698" s="23">
        <f t="shared" si="113"/>
        <v>650</v>
      </c>
      <c r="I1698" s="12">
        <f>ksh*Massivete/(H1698*RhoA)*DeltaT*(F1698+G1698)</f>
        <v>9.0205752929110095E-2</v>
      </c>
      <c r="J1698" s="3">
        <f>IF(E1698&lt;=500,IF(Galva=Oui,0.35,0.7),0.7)</f>
        <v>0.7</v>
      </c>
    </row>
    <row r="1699" spans="2:10" x14ac:dyDescent="0.25">
      <c r="B1699" s="3">
        <f>B1698+DeltaT</f>
        <v>8410</v>
      </c>
      <c r="C1699" s="13">
        <f t="shared" si="114"/>
        <v>140.16666666666666</v>
      </c>
      <c r="D1699" s="11">
        <f t="shared" si="115"/>
        <v>1072.2920422756069</v>
      </c>
      <c r="E1699" s="23">
        <f t="shared" si="112"/>
        <v>1070.8045771260909</v>
      </c>
      <c r="F1699" s="23">
        <f>AlphaC*(D1699-E1699)</f>
        <v>37.186628737902083</v>
      </c>
      <c r="G1699" s="13">
        <f>Phi*EpsilonF*Botzman/10^8*J1699*((D1699+273)^4-(E1699+273)^4)</f>
        <v>574.00708844356382</v>
      </c>
      <c r="H1699" s="23">
        <f t="shared" si="113"/>
        <v>650</v>
      </c>
      <c r="I1699" s="12">
        <f>ksh*Massivete/(H1699*RhoA)*DeltaT*(F1699+G1699)</f>
        <v>9.0151223279532844E-2</v>
      </c>
      <c r="J1699" s="3">
        <f>IF(E1699&lt;=500,IF(Galva=Oui,0.35,0.7),0.7)</f>
        <v>0.7</v>
      </c>
    </row>
    <row r="1700" spans="2:10" x14ac:dyDescent="0.25">
      <c r="B1700" s="3">
        <f>B1699+DeltaT</f>
        <v>8415</v>
      </c>
      <c r="C1700" s="13">
        <f t="shared" si="114"/>
        <v>140.25</v>
      </c>
      <c r="D1700" s="11">
        <f t="shared" si="115"/>
        <v>1072.3810159102029</v>
      </c>
      <c r="E1700" s="23">
        <f t="shared" si="112"/>
        <v>1070.8947283493703</v>
      </c>
      <c r="F1700" s="23">
        <f>AlphaC*(D1700-E1700)</f>
        <v>37.157189020814485</v>
      </c>
      <c r="G1700" s="13">
        <f>Phi*EpsilonF*Botzman/10^8*J1700*((D1700+273)^4-(E1700+273)^4)</f>
        <v>573.66728449930406</v>
      </c>
      <c r="H1700" s="23">
        <f t="shared" si="113"/>
        <v>650</v>
      </c>
      <c r="I1700" s="12">
        <f>ksh*Massivete/(H1700*RhoA)*DeltaT*(F1700+G1700)</f>
        <v>9.0096759748866689E-2</v>
      </c>
      <c r="J1700" s="3">
        <f>IF(E1700&lt;=500,IF(Galva=Oui,0.35,0.7),0.7)</f>
        <v>0.7</v>
      </c>
    </row>
    <row r="1701" spans="2:10" x14ac:dyDescent="0.25">
      <c r="B1701" s="3">
        <f>B1700+DeltaT</f>
        <v>8420</v>
      </c>
      <c r="C1701" s="13">
        <f t="shared" si="114"/>
        <v>140.33333333333334</v>
      </c>
      <c r="D1701" s="11">
        <f t="shared" si="115"/>
        <v>1072.4699367414516</v>
      </c>
      <c r="E1701" s="23">
        <f t="shared" si="112"/>
        <v>1070.9848251091191</v>
      </c>
      <c r="F1701" s="23">
        <f>AlphaC*(D1701-E1701)</f>
        <v>37.127790808312966</v>
      </c>
      <c r="G1701" s="13">
        <f>Phi*EpsilonF*Botzman/10^8*J1701*((D1701+273)^4-(E1701+273)^4)</f>
        <v>573.32788649614736</v>
      </c>
      <c r="H1701" s="23">
        <f t="shared" si="113"/>
        <v>650</v>
      </c>
      <c r="I1701" s="12">
        <f>ksh*Massivete/(H1701*RhoA)*DeltaT*(F1701+G1701)</f>
        <v>9.0042362216549474E-2</v>
      </c>
      <c r="J1701" s="3">
        <f>IF(E1701&lt;=500,IF(Galva=Oui,0.35,0.7),0.7)</f>
        <v>0.7</v>
      </c>
    </row>
    <row r="1702" spans="2:10" x14ac:dyDescent="0.25">
      <c r="B1702" s="3">
        <f>B1701+DeltaT</f>
        <v>8425</v>
      </c>
      <c r="C1702" s="13">
        <f t="shared" si="114"/>
        <v>140.41666666666666</v>
      </c>
      <c r="D1702" s="11">
        <f t="shared" si="115"/>
        <v>1072.558804831991</v>
      </c>
      <c r="E1702" s="23">
        <f t="shared" si="112"/>
        <v>1071.0748674713357</v>
      </c>
      <c r="F1702" s="23">
        <f>AlphaC*(D1702-E1702)</f>
        <v>37.098434016382953</v>
      </c>
      <c r="G1702" s="13">
        <f>Phi*EpsilonF*Botzman/10^8*J1702*((D1702+273)^4-(E1702+273)^4)</f>
        <v>572.98889370294864</v>
      </c>
      <c r="H1702" s="23">
        <f t="shared" si="113"/>
        <v>650</v>
      </c>
      <c r="I1702" s="12">
        <f>ksh*Massivete/(H1702*RhoA)*DeltaT*(F1702+G1702)</f>
        <v>8.9988030562344987E-2</v>
      </c>
      <c r="J1702" s="3">
        <f>IF(E1702&lt;=500,IF(Galva=Oui,0.35,0.7),0.7)</f>
        <v>0.7</v>
      </c>
    </row>
    <row r="1703" spans="2:10" x14ac:dyDescent="0.25">
      <c r="B1703" s="3">
        <f>B1702+DeltaT</f>
        <v>8430</v>
      </c>
      <c r="C1703" s="13">
        <f t="shared" si="114"/>
        <v>140.5</v>
      </c>
      <c r="D1703" s="11">
        <f t="shared" si="115"/>
        <v>1072.6476202443464</v>
      </c>
      <c r="E1703" s="23">
        <f t="shared" si="112"/>
        <v>1071.164855501898</v>
      </c>
      <c r="F1703" s="23">
        <f>AlphaC*(D1703-E1703)</f>
        <v>37.069118561208825</v>
      </c>
      <c r="G1703" s="13">
        <f>Phi*EpsilonF*Botzman/10^8*J1703*((D1703+273)^4-(E1703+273)^4)</f>
        <v>572.6503053900168</v>
      </c>
      <c r="H1703" s="23">
        <f t="shared" si="113"/>
        <v>650</v>
      </c>
      <c r="I1703" s="12">
        <f>ksh*Massivete/(H1703*RhoA)*DeltaT*(F1703+G1703)</f>
        <v>8.9933764666260754E-2</v>
      </c>
      <c r="J1703" s="3">
        <f>IF(E1703&lt;=500,IF(Galva=Oui,0.35,0.7),0.7)</f>
        <v>0.7</v>
      </c>
    </row>
    <row r="1704" spans="2:10" x14ac:dyDescent="0.25">
      <c r="B1704" s="3">
        <f>B1703+DeltaT</f>
        <v>8435</v>
      </c>
      <c r="C1704" s="13">
        <f t="shared" si="114"/>
        <v>140.58333333333334</v>
      </c>
      <c r="D1704" s="11">
        <f t="shared" si="115"/>
        <v>1072.7363830409333</v>
      </c>
      <c r="E1704" s="23">
        <f t="shared" si="112"/>
        <v>1071.2547892665643</v>
      </c>
      <c r="F1704" s="23">
        <f>AlphaC*(D1704-E1704)</f>
        <v>37.039844359225071</v>
      </c>
      <c r="G1704" s="13">
        <f>Phi*EpsilonF*Botzman/10^8*J1704*((D1704+273)^4-(E1704+273)^4)</f>
        <v>572.31212082983086</v>
      </c>
      <c r="H1704" s="23">
        <f t="shared" si="113"/>
        <v>650</v>
      </c>
      <c r="I1704" s="12">
        <f>ksh*Massivete/(H1704*RhoA)*DeltaT*(F1704+G1704)</f>
        <v>8.9879564408661336E-2</v>
      </c>
      <c r="J1704" s="3">
        <f>IF(E1704&lt;=500,IF(Galva=Oui,0.35,0.7),0.7)</f>
        <v>0.7</v>
      </c>
    </row>
    <row r="1705" spans="2:10" x14ac:dyDescent="0.25">
      <c r="B1705" s="3">
        <f>B1704+DeltaT</f>
        <v>8440</v>
      </c>
      <c r="C1705" s="13">
        <f t="shared" si="114"/>
        <v>140.66666666666666</v>
      </c>
      <c r="D1705" s="11">
        <f t="shared" si="115"/>
        <v>1072.8250932840556</v>
      </c>
      <c r="E1705" s="23">
        <f t="shared" si="112"/>
        <v>1071.344668830973</v>
      </c>
      <c r="F1705" s="23">
        <f>AlphaC*(D1705-E1705)</f>
        <v>37.010611327065135</v>
      </c>
      <c r="G1705" s="13">
        <f>Phi*EpsilonF*Botzman/10^8*J1705*((D1705+273)^4-(E1705+273)^4)</f>
        <v>571.97433929634281</v>
      </c>
      <c r="H1705" s="23">
        <f t="shared" si="113"/>
        <v>650</v>
      </c>
      <c r="I1705" s="12">
        <f>ksh*Massivete/(H1705*RhoA)*DeltaT*(F1705+G1705)</f>
        <v>8.9825429670157886E-2</v>
      </c>
      <c r="J1705" s="3">
        <f>IF(E1705&lt;=500,IF(Galva=Oui,0.35,0.7),0.7)</f>
        <v>0.7</v>
      </c>
    </row>
    <row r="1706" spans="2:10" x14ac:dyDescent="0.25">
      <c r="B1706" s="3">
        <f>B1705+DeltaT</f>
        <v>8445</v>
      </c>
      <c r="C1706" s="13">
        <f t="shared" si="114"/>
        <v>140.75</v>
      </c>
      <c r="D1706" s="11">
        <f t="shared" si="115"/>
        <v>1072.9137510359067</v>
      </c>
      <c r="E1706" s="23">
        <f t="shared" si="112"/>
        <v>1071.4344942606431</v>
      </c>
      <c r="F1706" s="23">
        <f>AlphaC*(D1706-E1706)</f>
        <v>36.981419381589831</v>
      </c>
      <c r="G1706" s="13">
        <f>Phi*EpsilonF*Botzman/10^8*J1706*((D1706+273)^4-(E1706+273)^4)</f>
        <v>571.63696006528789</v>
      </c>
      <c r="H1706" s="23">
        <f t="shared" si="113"/>
        <v>650</v>
      </c>
      <c r="I1706" s="12">
        <f>ksh*Massivete/(H1706*RhoA)*DeltaT*(F1706+G1706)</f>
        <v>8.9771360331658112E-2</v>
      </c>
      <c r="J1706" s="3">
        <f>IF(E1706&lt;=500,IF(Galva=Oui,0.35,0.7),0.7)</f>
        <v>0.7</v>
      </c>
    </row>
    <row r="1707" spans="2:10" x14ac:dyDescent="0.25">
      <c r="B1707" s="3">
        <f>B1706+DeltaT</f>
        <v>8450</v>
      </c>
      <c r="C1707" s="13">
        <f t="shared" si="114"/>
        <v>140.83333333333334</v>
      </c>
      <c r="D1707" s="11">
        <f t="shared" si="115"/>
        <v>1073.0023563585696</v>
      </c>
      <c r="E1707" s="23">
        <f t="shared" si="112"/>
        <v>1071.5242656209748</v>
      </c>
      <c r="F1707" s="23">
        <f>AlphaC*(D1707-E1707)</f>
        <v>36.952268439870295</v>
      </c>
      <c r="G1707" s="13">
        <f>Phi*EpsilonF*Botzman/10^8*J1707*((D1707+273)^4-(E1707+273)^4)</f>
        <v>571.29998241404837</v>
      </c>
      <c r="H1707" s="23">
        <f t="shared" si="113"/>
        <v>650</v>
      </c>
      <c r="I1707" s="12">
        <f>ksh*Massivete/(H1707*RhoA)*DeltaT*(F1707+G1707)</f>
        <v>8.9717356274343713E-2</v>
      </c>
      <c r="J1707" s="3">
        <f>IF(E1707&lt;=500,IF(Galva=Oui,0.35,0.7),0.7)</f>
        <v>0.7</v>
      </c>
    </row>
    <row r="1708" spans="2:10" x14ac:dyDescent="0.25">
      <c r="B1708" s="3">
        <f>B1707+DeltaT</f>
        <v>8455</v>
      </c>
      <c r="C1708" s="13">
        <f t="shared" si="114"/>
        <v>140.91666666666666</v>
      </c>
      <c r="D1708" s="11">
        <f t="shared" si="115"/>
        <v>1073.0909093140176</v>
      </c>
      <c r="E1708" s="23">
        <f t="shared" si="112"/>
        <v>1071.6139829772492</v>
      </c>
      <c r="F1708" s="23">
        <f>AlphaC*(D1708-E1708)</f>
        <v>36.923158419210722</v>
      </c>
      <c r="G1708" s="13">
        <f>Phi*EpsilonF*Botzman/10^8*J1708*((D1708+273)^4-(E1708+273)^4)</f>
        <v>570.96340562200248</v>
      </c>
      <c r="H1708" s="23">
        <f t="shared" si="113"/>
        <v>650</v>
      </c>
      <c r="I1708" s="12">
        <f>ksh*Massivete/(H1708*RhoA)*DeltaT*(F1708+G1708)</f>
        <v>8.9663417379725122E-2</v>
      </c>
      <c r="J1708" s="3">
        <f>IF(E1708&lt;=500,IF(Galva=Oui,0.35,0.7),0.7)</f>
        <v>0.7</v>
      </c>
    </row>
    <row r="1709" spans="2:10" x14ac:dyDescent="0.25">
      <c r="B1709" s="3">
        <f>B1708+DeltaT</f>
        <v>8460</v>
      </c>
      <c r="C1709" s="13">
        <f t="shared" si="114"/>
        <v>141</v>
      </c>
      <c r="D1709" s="11">
        <f t="shared" si="115"/>
        <v>1073.1794099641138</v>
      </c>
      <c r="E1709" s="23">
        <f t="shared" si="112"/>
        <v>1071.703646394629</v>
      </c>
      <c r="F1709" s="23">
        <f>AlphaC*(D1709-E1709)</f>
        <v>36.894089237119942</v>
      </c>
      <c r="G1709" s="13">
        <f>Phi*EpsilonF*Botzman/10^8*J1709*((D1709+273)^4-(E1709+273)^4)</f>
        <v>570.62722897004062</v>
      </c>
      <c r="H1709" s="23">
        <f t="shared" si="113"/>
        <v>650</v>
      </c>
      <c r="I1709" s="12">
        <f>ksh*Massivete/(H1709*RhoA)*DeltaT*(F1709+G1709)</f>
        <v>8.9609543529566058E-2</v>
      </c>
      <c r="J1709" s="3">
        <f>IF(E1709&lt;=500,IF(Galva=Oui,0.35,0.7),0.7)</f>
        <v>0.7</v>
      </c>
    </row>
    <row r="1710" spans="2:10" x14ac:dyDescent="0.25">
      <c r="B1710" s="3">
        <f>B1709+DeltaT</f>
        <v>8465</v>
      </c>
      <c r="C1710" s="13">
        <f t="shared" si="114"/>
        <v>141.08333333333334</v>
      </c>
      <c r="D1710" s="11">
        <f t="shared" si="115"/>
        <v>1073.2678583706117</v>
      </c>
      <c r="E1710" s="23">
        <f t="shared" si="112"/>
        <v>1071.7932559381586</v>
      </c>
      <c r="F1710" s="23">
        <f>AlphaC*(D1710-E1710)</f>
        <v>36.865060811328476</v>
      </c>
      <c r="G1710" s="13">
        <f>Phi*EpsilonF*Botzman/10^8*J1710*((D1710+273)^4-(E1710+273)^4)</f>
        <v>570.29145174087421</v>
      </c>
      <c r="H1710" s="23">
        <f t="shared" si="113"/>
        <v>650</v>
      </c>
      <c r="I1710" s="12">
        <f>ksh*Massivete/(H1710*RhoA)*DeltaT*(F1710+G1710)</f>
        <v>8.9555734605931497E-2</v>
      </c>
      <c r="J1710" s="3">
        <f>IF(E1710&lt;=500,IF(Galva=Oui,0.35,0.7),0.7)</f>
        <v>0.7</v>
      </c>
    </row>
    <row r="1711" spans="2:10" x14ac:dyDescent="0.25">
      <c r="B1711" s="3">
        <f>B1710+DeltaT</f>
        <v>8470</v>
      </c>
      <c r="C1711" s="13">
        <f t="shared" si="114"/>
        <v>141.16666666666666</v>
      </c>
      <c r="D1711" s="11">
        <f t="shared" si="115"/>
        <v>1073.3562545951561</v>
      </c>
      <c r="E1711" s="23">
        <f t="shared" si="112"/>
        <v>1071.8828116727645</v>
      </c>
      <c r="F1711" s="23">
        <f>AlphaC*(D1711-E1711)</f>
        <v>36.836073059788532</v>
      </c>
      <c r="G1711" s="13">
        <f>Phi*EpsilonF*Botzman/10^8*J1711*((D1711+273)^4-(E1711+273)^4)</f>
        <v>569.95607321903697</v>
      </c>
      <c r="H1711" s="23">
        <f t="shared" si="113"/>
        <v>650</v>
      </c>
      <c r="I1711" s="12">
        <f>ksh*Massivete/(H1711*RhoA)*DeltaT*(F1711+G1711)</f>
        <v>8.9501990491187913E-2</v>
      </c>
      <c r="J1711" s="3">
        <f>IF(E1711&lt;=500,IF(Galva=Oui,0.35,0.7),0.7)</f>
        <v>0.7</v>
      </c>
    </row>
    <row r="1712" spans="2:10" x14ac:dyDescent="0.25">
      <c r="B1712" s="3">
        <f>B1711+DeltaT</f>
        <v>8475</v>
      </c>
      <c r="C1712" s="13">
        <f t="shared" si="114"/>
        <v>141.25</v>
      </c>
      <c r="D1712" s="11">
        <f t="shared" si="115"/>
        <v>1073.4445986992821</v>
      </c>
      <c r="E1712" s="23">
        <f t="shared" si="112"/>
        <v>1071.9723136632558</v>
      </c>
      <c r="F1712" s="23">
        <f>AlphaC*(D1712-E1712)</f>
        <v>36.807125900656956</v>
      </c>
      <c r="G1712" s="13">
        <f>Phi*EpsilonF*Botzman/10^8*J1712*((D1712+273)^4-(E1712+273)^4)</f>
        <v>569.6210926904771</v>
      </c>
      <c r="H1712" s="23">
        <f t="shared" si="113"/>
        <v>650</v>
      </c>
      <c r="I1712" s="12">
        <f>ksh*Massivete/(H1712*RhoA)*DeltaT*(F1712+G1712)</f>
        <v>8.94483110679406E-2</v>
      </c>
      <c r="J1712" s="3">
        <f>IF(E1712&lt;=500,IF(Galva=Oui,0.35,0.7),0.7)</f>
        <v>0.7</v>
      </c>
    </row>
    <row r="1713" spans="2:10" x14ac:dyDescent="0.25">
      <c r="B1713" s="3">
        <f>B1712+DeltaT</f>
        <v>8480</v>
      </c>
      <c r="C1713" s="13">
        <f t="shared" si="114"/>
        <v>141.33333333333334</v>
      </c>
      <c r="D1713" s="11">
        <f t="shared" si="115"/>
        <v>1073.5328907444159</v>
      </c>
      <c r="E1713" s="23">
        <f t="shared" si="112"/>
        <v>1072.0617619743239</v>
      </c>
      <c r="F1713" s="23">
        <f>AlphaC*(D1713-E1713)</f>
        <v>36.778219252300914</v>
      </c>
      <c r="G1713" s="13">
        <f>Phi*EpsilonF*Botzman/10^8*J1713*((D1713+273)^4-(E1713+273)^4)</f>
        <v>569.28650944306139</v>
      </c>
      <c r="H1713" s="23">
        <f t="shared" si="113"/>
        <v>650</v>
      </c>
      <c r="I1713" s="12">
        <f>ksh*Massivete/(H1713*RhoA)*DeltaT*(F1713+G1713)</f>
        <v>8.9394696219108893E-2</v>
      </c>
      <c r="J1713" s="3">
        <f>IF(E1713&lt;=500,IF(Galva=Oui,0.35,0.7),0.7)</f>
        <v>0.7</v>
      </c>
    </row>
    <row r="1714" spans="2:10" x14ac:dyDescent="0.25">
      <c r="B1714" s="3">
        <f>B1713+DeltaT</f>
        <v>8485</v>
      </c>
      <c r="C1714" s="13">
        <f t="shared" si="114"/>
        <v>141.41666666666666</v>
      </c>
      <c r="D1714" s="11">
        <f t="shared" si="115"/>
        <v>1073.6211307918761</v>
      </c>
      <c r="E1714" s="23">
        <f t="shared" si="112"/>
        <v>1072.1511566705431</v>
      </c>
      <c r="F1714" s="23">
        <f>AlphaC*(D1714-E1714)</f>
        <v>36.749353033326315</v>
      </c>
      <c r="G1714" s="13">
        <f>Phi*EpsilonF*Botzman/10^8*J1714*((D1714+273)^4-(E1714+273)^4)</f>
        <v>568.95232276643958</v>
      </c>
      <c r="H1714" s="23">
        <f t="shared" si="113"/>
        <v>650</v>
      </c>
      <c r="I1714" s="12">
        <f>ksh*Massivete/(H1714*RhoA)*DeltaT*(F1714+G1714)</f>
        <v>8.9341145827910307E-2</v>
      </c>
      <c r="J1714" s="3">
        <f>IF(E1714&lt;=500,IF(Galva=Oui,0.35,0.7),0.7)</f>
        <v>0.7</v>
      </c>
    </row>
    <row r="1715" spans="2:10" x14ac:dyDescent="0.25">
      <c r="B1715" s="3">
        <f>B1714+DeltaT</f>
        <v>8490</v>
      </c>
      <c r="C1715" s="13">
        <f t="shared" si="114"/>
        <v>141.5</v>
      </c>
      <c r="D1715" s="11">
        <f t="shared" si="115"/>
        <v>1073.7093189028719</v>
      </c>
      <c r="E1715" s="23">
        <f t="shared" si="112"/>
        <v>1072.2404978163709</v>
      </c>
      <c r="F1715" s="23">
        <f>AlphaC*(D1715-E1715)</f>
        <v>36.72052716252665</v>
      </c>
      <c r="G1715" s="13">
        <f>Phi*EpsilonF*Botzman/10^8*J1715*((D1715+273)^4-(E1715+273)^4)</f>
        <v>568.61853195181186</v>
      </c>
      <c r="H1715" s="23">
        <f t="shared" si="113"/>
        <v>650</v>
      </c>
      <c r="I1715" s="12">
        <f>ksh*Massivete/(H1715*RhoA)*DeltaT*(F1715+G1715)</f>
        <v>8.928765977781869E-2</v>
      </c>
      <c r="J1715" s="3">
        <f>IF(E1715&lt;=500,IF(Galva=Oui,0.35,0.7),0.7)</f>
        <v>0.7</v>
      </c>
    </row>
    <row r="1716" spans="2:10" x14ac:dyDescent="0.25">
      <c r="B1716" s="3">
        <f>B1715+DeltaT</f>
        <v>8495</v>
      </c>
      <c r="C1716" s="13">
        <f t="shared" si="114"/>
        <v>141.58333333333334</v>
      </c>
      <c r="D1716" s="11">
        <f t="shared" si="115"/>
        <v>1073.7974551385055</v>
      </c>
      <c r="E1716" s="23">
        <f t="shared" ref="E1716:E1779" si="116">E1715+I1715</f>
        <v>1072.3297854761486</v>
      </c>
      <c r="F1716" s="23">
        <f>AlphaC*(D1716-E1716)</f>
        <v>36.691741558922786</v>
      </c>
      <c r="G1716" s="13">
        <f>Phi*EpsilonF*Botzman/10^8*J1716*((D1716+273)^4-(E1716+273)^4)</f>
        <v>568.28513629214194</v>
      </c>
      <c r="H1716" s="23">
        <f t="shared" ref="H1716:H1779" si="117">IF(E1716&lt;600,425+0.773*E1716-1.69/1000*E1716^2+2.22/1000^2*E1716^3,IF(E1716&lt;735,666+13002/(738-E1716),IF(E1716&lt;900,545+17820/(E1716-731),650)))</f>
        <v>650</v>
      </c>
      <c r="I1716" s="12">
        <f>ksh*Massivete/(H1716*RhoA)*DeltaT*(F1716+G1716)</f>
        <v>8.9234237952601589E-2</v>
      </c>
      <c r="J1716" s="3">
        <f>IF(E1716&lt;=500,IF(Galva=Oui,0.35,0.7),0.7)</f>
        <v>0.7</v>
      </c>
    </row>
    <row r="1717" spans="2:10" x14ac:dyDescent="0.25">
      <c r="B1717" s="3">
        <f>B1716+DeltaT</f>
        <v>8500</v>
      </c>
      <c r="C1717" s="13">
        <f t="shared" si="114"/>
        <v>141.66666666666666</v>
      </c>
      <c r="D1717" s="11">
        <f t="shared" si="115"/>
        <v>1073.8855395597707</v>
      </c>
      <c r="E1717" s="23">
        <f t="shared" si="116"/>
        <v>1072.4190197141011</v>
      </c>
      <c r="F1717" s="23">
        <f>AlphaC*(D1717-E1717)</f>
        <v>36.662996141740223</v>
      </c>
      <c r="G1717" s="13">
        <f>Phi*EpsilonF*Botzman/10^8*J1717*((D1717+273)^4-(E1717+273)^4)</f>
        <v>567.95213508206041</v>
      </c>
      <c r="H1717" s="23">
        <f t="shared" si="117"/>
        <v>650</v>
      </c>
      <c r="I1717" s="12">
        <f>ksh*Massivete/(H1717*RhoA)*DeltaT*(F1717+G1717)</f>
        <v>8.9180880236302579E-2</v>
      </c>
      <c r="J1717" s="3">
        <f>IF(E1717&lt;=500,IF(Galva=Oui,0.35,0.7),0.7)</f>
        <v>0.7</v>
      </c>
    </row>
    <row r="1718" spans="2:10" x14ac:dyDescent="0.25">
      <c r="B1718" s="3">
        <f>B1717+DeltaT</f>
        <v>8505</v>
      </c>
      <c r="C1718" s="13">
        <f t="shared" si="114"/>
        <v>141.75</v>
      </c>
      <c r="D1718" s="11">
        <f t="shared" si="115"/>
        <v>1073.9735722275536</v>
      </c>
      <c r="E1718" s="23">
        <f t="shared" si="116"/>
        <v>1072.5082005943373</v>
      </c>
      <c r="F1718" s="23">
        <f>AlphaC*(D1718-E1718)</f>
        <v>36.6342908304091</v>
      </c>
      <c r="G1718" s="13">
        <f>Phi*EpsilonF*Botzman/10^8*J1718*((D1718+273)^4-(E1718+273)^4)</f>
        <v>567.61952761770897</v>
      </c>
      <c r="H1718" s="23">
        <f t="shared" si="117"/>
        <v>650</v>
      </c>
      <c r="I1718" s="12">
        <f>ksh*Massivete/(H1718*RhoA)*DeltaT*(F1718+G1718)</f>
        <v>8.9127586513218324E-2</v>
      </c>
      <c r="J1718" s="3">
        <f>IF(E1718&lt;=500,IF(Galva=Oui,0.35,0.7),0.7)</f>
        <v>0.7</v>
      </c>
    </row>
    <row r="1719" spans="2:10" x14ac:dyDescent="0.25">
      <c r="B1719" s="3">
        <f>B1718+DeltaT</f>
        <v>8510</v>
      </c>
      <c r="C1719" s="13">
        <f t="shared" si="114"/>
        <v>141.83333333333334</v>
      </c>
      <c r="D1719" s="11">
        <f t="shared" si="115"/>
        <v>1074.0615532026341</v>
      </c>
      <c r="E1719" s="23">
        <f t="shared" si="116"/>
        <v>1072.5973281808506</v>
      </c>
      <c r="F1719" s="23">
        <f>AlphaC*(D1719-E1719)</f>
        <v>36.605625544586928</v>
      </c>
      <c r="G1719" s="13">
        <f>Phi*EpsilonF*Botzman/10^8*J1719*((D1719+273)^4-(E1719+273)^4)</f>
        <v>567.28731319728422</v>
      </c>
      <c r="H1719" s="23">
        <f t="shared" si="117"/>
        <v>650</v>
      </c>
      <c r="I1719" s="12">
        <f>ksh*Massivete/(H1719*RhoA)*DeltaT*(F1719+G1719)</f>
        <v>8.9074356667982107E-2</v>
      </c>
      <c r="J1719" s="3">
        <f>IF(E1719&lt;=500,IF(Galva=Oui,0.35,0.7),0.7)</f>
        <v>0.7</v>
      </c>
    </row>
    <row r="1720" spans="2:10" x14ac:dyDescent="0.25">
      <c r="B1720" s="3">
        <f>B1719+DeltaT</f>
        <v>8515</v>
      </c>
      <c r="C1720" s="13">
        <f t="shared" si="114"/>
        <v>141.91666666666666</v>
      </c>
      <c r="D1720" s="11">
        <f t="shared" si="115"/>
        <v>1074.1494825456837</v>
      </c>
      <c r="E1720" s="23">
        <f t="shared" si="116"/>
        <v>1072.6864025375185</v>
      </c>
      <c r="F1720" s="23">
        <f>AlphaC*(D1720-E1720)</f>
        <v>36.577000204130172</v>
      </c>
      <c r="G1720" s="13">
        <f>Phi*EpsilonF*Botzman/10^8*J1720*((D1720+273)^4-(E1720+273)^4)</f>
        <v>566.95549112037759</v>
      </c>
      <c r="H1720" s="23">
        <f t="shared" si="117"/>
        <v>650</v>
      </c>
      <c r="I1720" s="12">
        <f>ksh*Massivete/(H1720*RhoA)*DeltaT*(F1720+G1720)</f>
        <v>8.9021190585462304E-2</v>
      </c>
      <c r="J1720" s="3">
        <f>IF(E1720&lt;=500,IF(Galva=Oui,0.35,0.7),0.7)</f>
        <v>0.7</v>
      </c>
    </row>
    <row r="1721" spans="2:10" x14ac:dyDescent="0.25">
      <c r="B1721" s="3">
        <f>B1720+DeltaT</f>
        <v>8520</v>
      </c>
      <c r="C1721" s="13">
        <f t="shared" si="114"/>
        <v>142</v>
      </c>
      <c r="D1721" s="11">
        <f t="shared" si="115"/>
        <v>1074.2373603172684</v>
      </c>
      <c r="E1721" s="23">
        <f t="shared" si="116"/>
        <v>1072.775423728104</v>
      </c>
      <c r="F1721" s="23">
        <f>AlphaC*(D1721-E1721)</f>
        <v>36.5484147291113</v>
      </c>
      <c r="G1721" s="13">
        <f>Phi*EpsilonF*Botzman/10^8*J1721*((D1721+273)^4-(E1721+273)^4)</f>
        <v>566.62406068842211</v>
      </c>
      <c r="H1721" s="23">
        <f t="shared" si="117"/>
        <v>650</v>
      </c>
      <c r="I1721" s="12">
        <f>ksh*Massivete/(H1721*RhoA)*DeltaT*(F1721+G1721)</f>
        <v>8.8968088150830765E-2</v>
      </c>
      <c r="J1721" s="3">
        <f>IF(E1721&lt;=500,IF(Galva=Oui,0.35,0.7),0.7)</f>
        <v>0.7</v>
      </c>
    </row>
    <row r="1722" spans="2:10" x14ac:dyDescent="0.25">
      <c r="B1722" s="3">
        <f>B1721+DeltaT</f>
        <v>8525</v>
      </c>
      <c r="C1722" s="13">
        <f t="shared" si="114"/>
        <v>142.08333333333334</v>
      </c>
      <c r="D1722" s="11">
        <f t="shared" si="115"/>
        <v>1074.3251865778468</v>
      </c>
      <c r="E1722" s="23">
        <f t="shared" si="116"/>
        <v>1072.8643918162547</v>
      </c>
      <c r="F1722" s="23">
        <f>AlphaC*(D1722-E1722)</f>
        <v>36.519869039801733</v>
      </c>
      <c r="G1722" s="13">
        <f>Phi*EpsilonF*Botzman/10^8*J1722*((D1722+273)^4-(E1722+273)^4)</f>
        <v>566.29302120436182</v>
      </c>
      <c r="H1722" s="23">
        <f t="shared" si="117"/>
        <v>650</v>
      </c>
      <c r="I1722" s="12">
        <f>ksh*Massivete/(H1722*RhoA)*DeltaT*(F1722+G1722)</f>
        <v>8.8915049249511616E-2</v>
      </c>
      <c r="J1722" s="3">
        <f>IF(E1722&lt;=500,IF(Galva=Oui,0.35,0.7),0.7)</f>
        <v>0.7</v>
      </c>
    </row>
    <row r="1723" spans="2:10" x14ac:dyDescent="0.25">
      <c r="B1723" s="3">
        <f>B1722+DeltaT</f>
        <v>8530</v>
      </c>
      <c r="C1723" s="13">
        <f t="shared" si="114"/>
        <v>142.16666666666666</v>
      </c>
      <c r="D1723" s="11">
        <f t="shared" si="115"/>
        <v>1074.4129613877715</v>
      </c>
      <c r="E1723" s="23">
        <f t="shared" si="116"/>
        <v>1072.9533068655041</v>
      </c>
      <c r="F1723" s="23">
        <f>AlphaC*(D1723-E1723)</f>
        <v>36.491363056683213</v>
      </c>
      <c r="G1723" s="13">
        <f>Phi*EpsilonF*Botzman/10^8*J1723*((D1723+273)^4-(E1723+273)^4)</f>
        <v>565.96237197282733</v>
      </c>
      <c r="H1723" s="23">
        <f t="shared" si="117"/>
        <v>650</v>
      </c>
      <c r="I1723" s="12">
        <f>ksh*Massivete/(H1723*RhoA)*DeltaT*(F1723+G1723)</f>
        <v>8.8862073767208713E-2</v>
      </c>
      <c r="J1723" s="3">
        <f>IF(E1723&lt;=500,IF(Galva=Oui,0.35,0.7),0.7)</f>
        <v>0.7</v>
      </c>
    </row>
    <row r="1724" spans="2:10" x14ac:dyDescent="0.25">
      <c r="B1724" s="3">
        <f>B1723+DeltaT</f>
        <v>8535</v>
      </c>
      <c r="C1724" s="13">
        <f t="shared" si="114"/>
        <v>142.25</v>
      </c>
      <c r="D1724" s="11">
        <f t="shared" si="115"/>
        <v>1074.5006848072896</v>
      </c>
      <c r="E1724" s="23">
        <f t="shared" si="116"/>
        <v>1073.0421689392713</v>
      </c>
      <c r="F1724" s="23">
        <f>AlphaC*(D1724-E1724)</f>
        <v>36.462896700459169</v>
      </c>
      <c r="G1724" s="13">
        <f>Phi*EpsilonF*Botzman/10^8*J1724*((D1724+273)^4-(E1724+273)^4)</f>
        <v>565.63211230027082</v>
      </c>
      <c r="H1724" s="23">
        <f t="shared" si="117"/>
        <v>650</v>
      </c>
      <c r="I1724" s="12">
        <f>ksh*Massivete/(H1724*RhoA)*DeltaT*(F1724+G1724)</f>
        <v>8.8809161589927327E-2</v>
      </c>
      <c r="J1724" s="3">
        <f>IF(E1724&lt;=500,IF(Galva=Oui,0.35,0.7),0.7)</f>
        <v>0.7</v>
      </c>
    </row>
    <row r="1725" spans="2:10" x14ac:dyDescent="0.25">
      <c r="B1725" s="3">
        <f>B1724+DeltaT</f>
        <v>8540</v>
      </c>
      <c r="C1725" s="13">
        <f t="shared" si="114"/>
        <v>142.33333333333334</v>
      </c>
      <c r="D1725" s="11">
        <f t="shared" si="115"/>
        <v>1074.5883568965414</v>
      </c>
      <c r="E1725" s="23">
        <f t="shared" si="116"/>
        <v>1073.1309781008613</v>
      </c>
      <c r="F1725" s="23">
        <f>AlphaC*(D1725-E1725)</f>
        <v>36.434469892003563</v>
      </c>
      <c r="G1725" s="13">
        <f>Phi*EpsilonF*Botzman/10^8*J1725*((D1725+273)^4-(E1725+273)^4)</f>
        <v>565.3022414943847</v>
      </c>
      <c r="H1725" s="23">
        <f t="shared" si="117"/>
        <v>650</v>
      </c>
      <c r="I1725" s="12">
        <f>ksh*Massivete/(H1725*RhoA)*DeltaT*(F1725+G1725)</f>
        <v>8.875631260388081E-2</v>
      </c>
      <c r="J1725" s="3">
        <f>IF(E1725&lt;=500,IF(Galva=Oui,0.35,0.7),0.7)</f>
        <v>0.7</v>
      </c>
    </row>
    <row r="1726" spans="2:10" x14ac:dyDescent="0.25">
      <c r="B1726" s="3">
        <f>B1725+DeltaT</f>
        <v>8545</v>
      </c>
      <c r="C1726" s="13">
        <f t="shared" si="114"/>
        <v>142.41666666666666</v>
      </c>
      <c r="D1726" s="11">
        <f t="shared" si="115"/>
        <v>1074.675977715563</v>
      </c>
      <c r="E1726" s="23">
        <f t="shared" si="116"/>
        <v>1073.2197344134652</v>
      </c>
      <c r="F1726" s="23">
        <f>AlphaC*(D1726-E1726)</f>
        <v>36.406082552446151</v>
      </c>
      <c r="G1726" s="13">
        <f>Phi*EpsilonF*Botzman/10^8*J1726*((D1726+273)^4-(E1726+273)^4)</f>
        <v>564.97275886514808</v>
      </c>
      <c r="H1726" s="23">
        <f t="shared" si="117"/>
        <v>650</v>
      </c>
      <c r="I1726" s="12">
        <f>ksh*Massivete/(H1726*RhoA)*DeltaT*(F1726+G1726)</f>
        <v>8.8703526695657522E-2</v>
      </c>
      <c r="J1726" s="3">
        <f>IF(E1726&lt;=500,IF(Galva=Oui,0.35,0.7),0.7)</f>
        <v>0.7</v>
      </c>
    </row>
    <row r="1727" spans="2:10" x14ac:dyDescent="0.25">
      <c r="B1727" s="3">
        <f>B1726+DeltaT</f>
        <v>8550</v>
      </c>
      <c r="C1727" s="13">
        <f t="shared" si="114"/>
        <v>142.5</v>
      </c>
      <c r="D1727" s="11">
        <f t="shared" si="115"/>
        <v>1074.763547324284</v>
      </c>
      <c r="E1727" s="23">
        <f t="shared" si="116"/>
        <v>1073.3084379401607</v>
      </c>
      <c r="F1727" s="23">
        <f>AlphaC*(D1727-E1727)</f>
        <v>36.377734603081535</v>
      </c>
      <c r="G1727" s="13">
        <f>Phi*EpsilonF*Botzman/10^8*J1727*((D1727+273)^4-(E1727+273)^4)</f>
        <v>564.643663723587</v>
      </c>
      <c r="H1727" s="23">
        <f t="shared" si="117"/>
        <v>650</v>
      </c>
      <c r="I1727" s="12">
        <f>ksh*Massivete/(H1727*RhoA)*DeltaT*(F1727+G1727)</f>
        <v>8.8650803752024568E-2</v>
      </c>
      <c r="J1727" s="3">
        <f>IF(E1727&lt;=500,IF(Galva=Oui,0.35,0.7),0.7)</f>
        <v>0.7</v>
      </c>
    </row>
    <row r="1728" spans="2:10" x14ac:dyDescent="0.25">
      <c r="B1728" s="3">
        <f>B1727+DeltaT</f>
        <v>8555</v>
      </c>
      <c r="C1728" s="13">
        <f t="shared" si="114"/>
        <v>142.58333333333334</v>
      </c>
      <c r="D1728" s="11">
        <f t="shared" si="115"/>
        <v>1074.8510657825295</v>
      </c>
      <c r="E1728" s="23">
        <f t="shared" si="116"/>
        <v>1073.3970887439127</v>
      </c>
      <c r="F1728" s="23">
        <f>AlphaC*(D1728-E1728)</f>
        <v>36.349425965420323</v>
      </c>
      <c r="G1728" s="13">
        <f>Phi*EpsilonF*Botzman/10^8*J1728*((D1728+273)^4-(E1728+273)^4)</f>
        <v>564.31495538258753</v>
      </c>
      <c r="H1728" s="23">
        <f t="shared" si="117"/>
        <v>650</v>
      </c>
      <c r="I1728" s="12">
        <f>ksh*Massivete/(H1728*RhoA)*DeltaT*(F1728+G1728)</f>
        <v>8.8598143660055292E-2</v>
      </c>
      <c r="J1728" s="3">
        <f>IF(E1728&lt;=500,IF(Galva=Oui,0.35,0.7),0.7)</f>
        <v>0.7</v>
      </c>
    </row>
    <row r="1729" spans="2:10" x14ac:dyDescent="0.25">
      <c r="B1729" s="3">
        <f>B1728+DeltaT</f>
        <v>8560</v>
      </c>
      <c r="C1729" s="13">
        <f t="shared" si="114"/>
        <v>142.66666666666666</v>
      </c>
      <c r="D1729" s="11">
        <f t="shared" si="115"/>
        <v>1074.9385331500205</v>
      </c>
      <c r="E1729" s="23">
        <f t="shared" si="116"/>
        <v>1073.4856868875727</v>
      </c>
      <c r="F1729" s="23">
        <f>AlphaC*(D1729-E1729)</f>
        <v>36.321156561194812</v>
      </c>
      <c r="G1729" s="13">
        <f>Phi*EpsilonF*Botzman/10^8*J1729*((D1729+273)^4-(E1729+273)^4)</f>
        <v>563.98663315695455</v>
      </c>
      <c r="H1729" s="23">
        <f t="shared" si="117"/>
        <v>650</v>
      </c>
      <c r="I1729" s="12">
        <f>ksh*Massivete/(H1729*RhoA)*DeltaT*(F1729+G1729)</f>
        <v>8.854554630713872E-2</v>
      </c>
      <c r="J1729" s="3">
        <f>IF(E1729&lt;=500,IF(Galva=Oui,0.35,0.7),0.7)</f>
        <v>0.7</v>
      </c>
    </row>
    <row r="1730" spans="2:10" x14ac:dyDescent="0.25">
      <c r="B1730" s="3">
        <f>B1729+DeltaT</f>
        <v>8565</v>
      </c>
      <c r="C1730" s="13">
        <f t="shared" si="114"/>
        <v>142.75</v>
      </c>
      <c r="D1730" s="11">
        <f t="shared" si="115"/>
        <v>1075.0259494863719</v>
      </c>
      <c r="E1730" s="23">
        <f t="shared" si="116"/>
        <v>1073.5742324338798</v>
      </c>
      <c r="F1730" s="23">
        <f>AlphaC*(D1730-E1730)</f>
        <v>36.292926312302143</v>
      </c>
      <c r="G1730" s="13">
        <f>Phi*EpsilonF*Botzman/10^8*J1730*((D1730+273)^4-(E1730+273)^4)</f>
        <v>563.65869636242326</v>
      </c>
      <c r="H1730" s="23">
        <f t="shared" si="117"/>
        <v>650</v>
      </c>
      <c r="I1730" s="12">
        <f>ksh*Massivete/(H1730*RhoA)*DeltaT*(F1730+G1730)</f>
        <v>8.849301158082544E-2</v>
      </c>
      <c r="J1730" s="3">
        <f>IF(E1730&lt;=500,IF(Galva=Oui,0.35,0.7),0.7)</f>
        <v>0.7</v>
      </c>
    </row>
    <row r="1731" spans="2:10" x14ac:dyDescent="0.25">
      <c r="B1731" s="3">
        <f>B1730+DeltaT</f>
        <v>8570</v>
      </c>
      <c r="C1731" s="13">
        <f t="shared" si="114"/>
        <v>142.83333333333334</v>
      </c>
      <c r="D1731" s="11">
        <f t="shared" si="115"/>
        <v>1075.1133148510962</v>
      </c>
      <c r="E1731" s="23">
        <f t="shared" si="116"/>
        <v>1073.6627254454606</v>
      </c>
      <c r="F1731" s="23">
        <f>AlphaC*(D1731-E1731)</f>
        <v>36.26473514088957</v>
      </c>
      <c r="G1731" s="13">
        <f>Phi*EpsilonF*Botzman/10^8*J1731*((D1731+273)^4-(E1731+273)^4)</f>
        <v>563.33114431715114</v>
      </c>
      <c r="H1731" s="23">
        <f t="shared" si="117"/>
        <v>650</v>
      </c>
      <c r="I1731" s="12">
        <f>ksh*Massivete/(H1731*RhoA)*DeltaT*(F1731+G1731)</f>
        <v>8.8440539369060212E-2</v>
      </c>
      <c r="J1731" s="3">
        <f>IF(E1731&lt;=500,IF(Galva=Oui,0.35,0.7),0.7)</f>
        <v>0.7</v>
      </c>
    </row>
    <row r="1732" spans="2:10" x14ac:dyDescent="0.25">
      <c r="B1732" s="3">
        <f>B1731+DeltaT</f>
        <v>8575</v>
      </c>
      <c r="C1732" s="13">
        <f t="shared" si="114"/>
        <v>142.91666666666666</v>
      </c>
      <c r="D1732" s="11">
        <f t="shared" si="115"/>
        <v>1075.2006293036002</v>
      </c>
      <c r="E1732" s="23">
        <f t="shared" si="116"/>
        <v>1073.7511659848296</v>
      </c>
      <c r="F1732" s="23">
        <f>AlphaC*(D1732-E1732)</f>
        <v>36.236582969263509</v>
      </c>
      <c r="G1732" s="13">
        <f>Phi*EpsilonF*Botzman/10^8*J1732*((D1732+273)^4-(E1732+273)^4)</f>
        <v>563.00397634030355</v>
      </c>
      <c r="H1732" s="23">
        <f t="shared" si="117"/>
        <v>650</v>
      </c>
      <c r="I1732" s="12">
        <f>ksh*Massivete/(H1732*RhoA)*DeltaT*(F1732+G1732)</f>
        <v>8.8388129559959949E-2</v>
      </c>
      <c r="J1732" s="3">
        <f>IF(E1732&lt;=500,IF(Galva=Oui,0.35,0.7),0.7)</f>
        <v>0.7</v>
      </c>
    </row>
    <row r="1733" spans="2:10" x14ac:dyDescent="0.25">
      <c r="B1733" s="3">
        <f>B1732+DeltaT</f>
        <v>8580</v>
      </c>
      <c r="C1733" s="13">
        <f t="shared" si="114"/>
        <v>143</v>
      </c>
      <c r="D1733" s="11">
        <f t="shared" si="115"/>
        <v>1075.2878929031879</v>
      </c>
      <c r="E1733" s="23">
        <f t="shared" si="116"/>
        <v>1073.8395541143896</v>
      </c>
      <c r="F1733" s="23">
        <f>AlphaC*(D1733-E1733)</f>
        <v>36.208469719957748</v>
      </c>
      <c r="G1733" s="13">
        <f>Phi*EpsilonF*Botzman/10^8*J1733*((D1733+273)^4-(E1733+273)^4)</f>
        <v>562.67719175296452</v>
      </c>
      <c r="H1733" s="23">
        <f t="shared" si="117"/>
        <v>650</v>
      </c>
      <c r="I1733" s="12">
        <f>ksh*Massivete/(H1733*RhoA)*DeltaT*(F1733+G1733)</f>
        <v>8.8335782041958077E-2</v>
      </c>
      <c r="J1733" s="3">
        <f>IF(E1733&lt;=500,IF(Galva=Oui,0.35,0.7),0.7)</f>
        <v>0.7</v>
      </c>
    </row>
    <row r="1734" spans="2:10" x14ac:dyDescent="0.25">
      <c r="B1734" s="3">
        <f>B1733+DeltaT</f>
        <v>8585</v>
      </c>
      <c r="C1734" s="13">
        <f t="shared" si="114"/>
        <v>143.08333333333334</v>
      </c>
      <c r="D1734" s="11">
        <f t="shared" si="115"/>
        <v>1075.3751057090592</v>
      </c>
      <c r="E1734" s="23">
        <f t="shared" si="116"/>
        <v>1073.9278898964315</v>
      </c>
      <c r="F1734" s="23">
        <f>AlphaC*(D1734-E1734)</f>
        <v>36.180395315693659</v>
      </c>
      <c r="G1734" s="13">
        <f>Phi*EpsilonF*Botzman/10^8*J1734*((D1734+273)^4-(E1734+273)^4)</f>
        <v>562.35078987774898</v>
      </c>
      <c r="H1734" s="23">
        <f t="shared" si="117"/>
        <v>650</v>
      </c>
      <c r="I1734" s="12">
        <f>ksh*Massivete/(H1734*RhoA)*DeltaT*(F1734+G1734)</f>
        <v>8.8283496703741512E-2</v>
      </c>
      <c r="J1734" s="3">
        <f>IF(E1734&lt;=500,IF(Galva=Oui,0.35,0.7),0.7)</f>
        <v>0.7</v>
      </c>
    </row>
    <row r="1735" spans="2:10" x14ac:dyDescent="0.25">
      <c r="B1735" s="3">
        <f>B1734+DeltaT</f>
        <v>8590</v>
      </c>
      <c r="C1735" s="13">
        <f t="shared" si="114"/>
        <v>143.16666666666666</v>
      </c>
      <c r="D1735" s="11">
        <f t="shared" si="115"/>
        <v>1075.4622677803111</v>
      </c>
      <c r="E1735" s="23">
        <f t="shared" si="116"/>
        <v>1074.0161733931352</v>
      </c>
      <c r="F1735" s="23">
        <f>AlphaC*(D1735-E1735)</f>
        <v>36.15235967939725</v>
      </c>
      <c r="G1735" s="13">
        <f>Phi*EpsilonF*Botzman/10^8*J1735*((D1735+273)^4-(E1735+273)^4)</f>
        <v>562.02477003872525</v>
      </c>
      <c r="H1735" s="23">
        <f t="shared" si="117"/>
        <v>650</v>
      </c>
      <c r="I1735" s="12">
        <f>ksh*Massivete/(H1735*RhoA)*DeltaT*(F1735+G1735)</f>
        <v>8.8231273434241753E-2</v>
      </c>
      <c r="J1735" s="3">
        <f>IF(E1735&lt;=500,IF(Galva=Oui,0.35,0.7),0.7)</f>
        <v>0.7</v>
      </c>
    </row>
    <row r="1736" spans="2:10" x14ac:dyDescent="0.25">
      <c r="B1736" s="3">
        <f>B1735+DeltaT</f>
        <v>8595</v>
      </c>
      <c r="C1736" s="13">
        <f t="shared" si="114"/>
        <v>143.25</v>
      </c>
      <c r="D1736" s="11">
        <f t="shared" si="115"/>
        <v>1075.5493791759372</v>
      </c>
      <c r="E1736" s="23">
        <f t="shared" si="116"/>
        <v>1074.1044046665695</v>
      </c>
      <c r="F1736" s="23">
        <f>AlphaC*(D1736-E1736)</f>
        <v>36.124362734193483</v>
      </c>
      <c r="G1736" s="13">
        <f>Phi*EpsilonF*Botzman/10^8*J1736*((D1736+273)^4-(E1736+273)^4)</f>
        <v>561.69913156180303</v>
      </c>
      <c r="H1736" s="23">
        <f t="shared" si="117"/>
        <v>650</v>
      </c>
      <c r="I1736" s="12">
        <f>ksh*Massivete/(H1736*RhoA)*DeltaT*(F1736+G1736)</f>
        <v>8.8179112122691222E-2</v>
      </c>
      <c r="J1736" s="3">
        <f>IF(E1736&lt;=500,IF(Galva=Oui,0.35,0.7),0.7)</f>
        <v>0.7</v>
      </c>
    </row>
    <row r="1737" spans="2:10" x14ac:dyDescent="0.25">
      <c r="B1737" s="3">
        <f>B1736+DeltaT</f>
        <v>8600</v>
      </c>
      <c r="C1737" s="13">
        <f t="shared" si="114"/>
        <v>143.33333333333334</v>
      </c>
      <c r="D1737" s="11">
        <f t="shared" si="115"/>
        <v>1075.6364399548288</v>
      </c>
      <c r="E1737" s="23">
        <f t="shared" si="116"/>
        <v>1074.1925837786921</v>
      </c>
      <c r="F1737" s="23">
        <f>AlphaC*(D1737-E1737)</f>
        <v>36.096404403417637</v>
      </c>
      <c r="G1737" s="13">
        <f>Phi*EpsilonF*Botzman/10^8*J1737*((D1737+273)^4-(E1737+273)^4)</f>
        <v>561.37387377455832</v>
      </c>
      <c r="H1737" s="23">
        <f t="shared" si="117"/>
        <v>650</v>
      </c>
      <c r="I1737" s="12">
        <f>ksh*Massivete/(H1737*RhoA)*DeltaT*(F1737+G1737)</f>
        <v>8.8127012658599138E-2</v>
      </c>
      <c r="J1737" s="3">
        <f>IF(E1737&lt;=500,IF(Galva=Oui,0.35,0.7),0.7)</f>
        <v>0.7</v>
      </c>
    </row>
    <row r="1738" spans="2:10" x14ac:dyDescent="0.25">
      <c r="B1738" s="3">
        <f>B1737+DeltaT</f>
        <v>8605</v>
      </c>
      <c r="C1738" s="13">
        <f t="shared" si="114"/>
        <v>143.41666666666666</v>
      </c>
      <c r="D1738" s="11">
        <f t="shared" si="115"/>
        <v>1075.7234501757737</v>
      </c>
      <c r="E1738" s="23">
        <f t="shared" si="116"/>
        <v>1074.2807107913507</v>
      </c>
      <c r="F1738" s="23">
        <f>AlphaC*(D1738-E1738)</f>
        <v>36.068484610575524</v>
      </c>
      <c r="G1738" s="13">
        <f>Phi*EpsilonF*Botzman/10^8*J1738*((D1738+273)^4-(E1738+273)^4)</f>
        <v>561.04899600563351</v>
      </c>
      <c r="H1738" s="23">
        <f t="shared" si="117"/>
        <v>650</v>
      </c>
      <c r="I1738" s="12">
        <f>ksh*Massivete/(H1738*RhoA)*DeltaT*(F1738+G1738)</f>
        <v>8.8074974931657196E-2</v>
      </c>
      <c r="J1738" s="3">
        <f>IF(E1738&lt;=500,IF(Galva=Oui,0.35,0.7),0.7)</f>
        <v>0.7</v>
      </c>
    </row>
    <row r="1739" spans="2:10" x14ac:dyDescent="0.25">
      <c r="B1739" s="3">
        <f>B1738+DeltaT</f>
        <v>8610</v>
      </c>
      <c r="C1739" s="13">
        <f t="shared" si="114"/>
        <v>143.5</v>
      </c>
      <c r="D1739" s="11">
        <f t="shared" si="115"/>
        <v>1075.8104098974584</v>
      </c>
      <c r="E1739" s="23">
        <f t="shared" si="116"/>
        <v>1074.3687857662824</v>
      </c>
      <c r="F1739" s="23">
        <f>AlphaC*(D1739-E1739)</f>
        <v>36.040603279400329</v>
      </c>
      <c r="G1739" s="13">
        <f>Phi*EpsilonF*Botzman/10^8*J1739*((D1739+273)^4-(E1739+273)^4)</f>
        <v>560.72449758591847</v>
      </c>
      <c r="H1739" s="23">
        <f t="shared" si="117"/>
        <v>650</v>
      </c>
      <c r="I1739" s="12">
        <f>ksh*Massivete/(H1739*RhoA)*DeltaT*(F1739+G1739)</f>
        <v>8.8022998831922092E-2</v>
      </c>
      <c r="J1739" s="3">
        <f>IF(E1739&lt;=500,IF(Galva=Oui,0.35,0.7),0.7)</f>
        <v>0.7</v>
      </c>
    </row>
    <row r="1740" spans="2:10" x14ac:dyDescent="0.25">
      <c r="B1740" s="3">
        <f>B1739+DeltaT</f>
        <v>8615</v>
      </c>
      <c r="C1740" s="13">
        <f t="shared" si="114"/>
        <v>143.58333333333334</v>
      </c>
      <c r="D1740" s="11">
        <f t="shared" si="115"/>
        <v>1075.8973191784662</v>
      </c>
      <c r="E1740" s="23">
        <f t="shared" si="116"/>
        <v>1074.4568087651144</v>
      </c>
      <c r="F1740" s="23">
        <f>AlphaC*(D1740-E1740)</f>
        <v>36.012760333795768</v>
      </c>
      <c r="G1740" s="13">
        <f>Phi*EpsilonF*Botzman/10^8*J1740*((D1740+273)^4-(E1740+273)^4)</f>
        <v>560.40037784733079</v>
      </c>
      <c r="H1740" s="23">
        <f t="shared" si="117"/>
        <v>650</v>
      </c>
      <c r="I1740" s="12">
        <f>ksh*Massivete/(H1740*RhoA)*DeltaT*(F1740+G1740)</f>
        <v>8.7971084249627296E-2</v>
      </c>
      <c r="J1740" s="3">
        <f>IF(E1740&lt;=500,IF(Galva=Oui,0.35,0.7),0.7)</f>
        <v>0.7</v>
      </c>
    </row>
    <row r="1741" spans="2:10" x14ac:dyDescent="0.25">
      <c r="B1741" s="3">
        <f>B1740+DeltaT</f>
        <v>8620</v>
      </c>
      <c r="C1741" s="13">
        <f t="shared" si="114"/>
        <v>143.66666666666666</v>
      </c>
      <c r="D1741" s="11">
        <f t="shared" si="115"/>
        <v>1075.9841780772792</v>
      </c>
      <c r="E1741" s="23">
        <f t="shared" si="116"/>
        <v>1074.544779849364</v>
      </c>
      <c r="F1741" s="23">
        <f>AlphaC*(D1741-E1741)</f>
        <v>35.98495569788156</v>
      </c>
      <c r="G1741" s="13">
        <f>Phi*EpsilonF*Botzman/10^8*J1741*((D1741+273)^4-(E1741+273)^4)</f>
        <v>560.07663612368674</v>
      </c>
      <c r="H1741" s="23">
        <f t="shared" si="117"/>
        <v>650</v>
      </c>
      <c r="I1741" s="12">
        <f>ksh*Massivete/(H1741*RhoA)*DeltaT*(F1741+G1741)</f>
        <v>8.7919231075318183E-2</v>
      </c>
      <c r="J1741" s="3">
        <f>IF(E1741&lt;=500,IF(Galva=Oui,0.35,0.7),0.7)</f>
        <v>0.7</v>
      </c>
    </row>
    <row r="1742" spans="2:10" x14ac:dyDescent="0.25">
      <c r="B1742" s="3">
        <f>B1741+DeltaT</f>
        <v>8625</v>
      </c>
      <c r="C1742" s="13">
        <f t="shared" si="114"/>
        <v>143.75</v>
      </c>
      <c r="D1742" s="11">
        <f t="shared" si="115"/>
        <v>1076.0709866522782</v>
      </c>
      <c r="E1742" s="23">
        <f t="shared" si="116"/>
        <v>1074.6326990804394</v>
      </c>
      <c r="F1742" s="23">
        <f>AlphaC*(D1742-E1742)</f>
        <v>35.957189295970693</v>
      </c>
      <c r="G1742" s="13">
        <f>Phi*EpsilonF*Botzman/10^8*J1742*((D1742+273)^4-(E1742+273)^4)</f>
        <v>559.75327175037273</v>
      </c>
      <c r="H1742" s="23">
        <f t="shared" si="117"/>
        <v>650</v>
      </c>
      <c r="I1742" s="12">
        <f>ksh*Massivete/(H1742*RhoA)*DeltaT*(F1742+G1742)</f>
        <v>8.7867439199800237E-2</v>
      </c>
      <c r="J1742" s="3">
        <f>IF(E1742&lt;=500,IF(Galva=Oui,0.35,0.7),0.7)</f>
        <v>0.7</v>
      </c>
    </row>
    <row r="1743" spans="2:10" x14ac:dyDescent="0.25">
      <c r="B1743" s="3">
        <f>B1742+DeltaT</f>
        <v>8630</v>
      </c>
      <c r="C1743" s="13">
        <f t="shared" si="114"/>
        <v>143.83333333333334</v>
      </c>
      <c r="D1743" s="11">
        <f t="shared" si="115"/>
        <v>1076.1577449617414</v>
      </c>
      <c r="E1743" s="23">
        <f t="shared" si="116"/>
        <v>1074.7205665196391</v>
      </c>
      <c r="F1743" s="23">
        <f>AlphaC*(D1743-E1743)</f>
        <v>35.929461052558054</v>
      </c>
      <c r="G1743" s="13">
        <f>Phi*EpsilonF*Botzman/10^8*J1743*((D1743+273)^4-(E1743+273)^4)</f>
        <v>559.43028406413168</v>
      </c>
      <c r="H1743" s="23">
        <f t="shared" si="117"/>
        <v>650</v>
      </c>
      <c r="I1743" s="12">
        <f>ksh*Massivete/(H1743*RhoA)*DeltaT*(F1743+G1743)</f>
        <v>8.7815708514105847E-2</v>
      </c>
      <c r="J1743" s="3">
        <f>IF(E1743&lt;=500,IF(Galva=Oui,0.35,0.7),0.7)</f>
        <v>0.7</v>
      </c>
    </row>
    <row r="1744" spans="2:10" x14ac:dyDescent="0.25">
      <c r="B1744" s="3">
        <f>B1743+DeltaT</f>
        <v>8635</v>
      </c>
      <c r="C1744" s="13">
        <f t="shared" si="114"/>
        <v>143.91666666666666</v>
      </c>
      <c r="D1744" s="11">
        <f t="shared" si="115"/>
        <v>1076.2444530638468</v>
      </c>
      <c r="E1744" s="23">
        <f t="shared" si="116"/>
        <v>1074.8083822281533</v>
      </c>
      <c r="F1744" s="23">
        <f>AlphaC*(D1744-E1744)</f>
        <v>35.901770892337481</v>
      </c>
      <c r="G1744" s="13">
        <f>Phi*EpsilonF*Botzman/10^8*J1744*((D1744+273)^4-(E1744+273)^4)</f>
        <v>559.10767240331495</v>
      </c>
      <c r="H1744" s="23">
        <f t="shared" si="117"/>
        <v>650</v>
      </c>
      <c r="I1744" s="12">
        <f>ksh*Massivete/(H1744*RhoA)*DeltaT*(F1744+G1744)</f>
        <v>8.7764038909534006E-2</v>
      </c>
      <c r="J1744" s="3">
        <f>IF(E1744&lt;=500,IF(Galva=Oui,0.35,0.7),0.7)</f>
        <v>0.7</v>
      </c>
    </row>
    <row r="1745" spans="2:10" x14ac:dyDescent="0.25">
      <c r="B1745" s="3">
        <f>B1744+DeltaT</f>
        <v>8640</v>
      </c>
      <c r="C1745" s="13">
        <f t="shared" si="114"/>
        <v>144</v>
      </c>
      <c r="D1745" s="11">
        <f t="shared" si="115"/>
        <v>1076.331111016671</v>
      </c>
      <c r="E1745" s="23">
        <f t="shared" si="116"/>
        <v>1074.8961462670627</v>
      </c>
      <c r="F1745" s="23">
        <f>AlphaC*(D1745-E1745)</f>
        <v>35.87411874020745</v>
      </c>
      <c r="G1745" s="13">
        <f>Phi*EpsilonF*Botzman/10^8*J1745*((D1745+273)^4-(E1745+273)^4)</f>
        <v>558.78543610805696</v>
      </c>
      <c r="H1745" s="23">
        <f t="shared" si="117"/>
        <v>650</v>
      </c>
      <c r="I1745" s="12">
        <f>ksh*Massivete/(H1745*RhoA)*DeltaT*(F1745+G1745)</f>
        <v>8.7712430277676889E-2</v>
      </c>
      <c r="J1745" s="3">
        <f>IF(E1745&lt;=500,IF(Galva=Oui,0.35,0.7),0.7)</f>
        <v>0.7</v>
      </c>
    </row>
    <row r="1746" spans="2:10" x14ac:dyDescent="0.25">
      <c r="B1746" s="3">
        <f>B1745+DeltaT</f>
        <v>8645</v>
      </c>
      <c r="C1746" s="13">
        <f t="shared" ref="C1746:C1809" si="118">B1746/60</f>
        <v>144.08333333333334</v>
      </c>
      <c r="D1746" s="11">
        <f t="shared" ref="D1746:D1809" si="119">20+345*LOG(8*C1746+1,10)</f>
        <v>1076.4177188781903</v>
      </c>
      <c r="E1746" s="23">
        <f t="shared" si="116"/>
        <v>1074.9838586973403</v>
      </c>
      <c r="F1746" s="23">
        <f>AlphaC*(D1746-E1746)</f>
        <v>35.846504521248335</v>
      </c>
      <c r="G1746" s="13">
        <f>Phi*EpsilonF*Botzman/10^8*J1746*((D1746+273)^4-(E1746+273)^4)</f>
        <v>558.46357451973233</v>
      </c>
      <c r="H1746" s="23">
        <f t="shared" si="117"/>
        <v>650</v>
      </c>
      <c r="I1746" s="12">
        <f>ksh*Massivete/(H1746*RhoA)*DeltaT*(F1746+G1746)</f>
        <v>8.7660882510336408E-2</v>
      </c>
      <c r="J1746" s="3">
        <f>IF(E1746&lt;=500,IF(Galva=Oui,0.35,0.7),0.7)</f>
        <v>0.7</v>
      </c>
    </row>
    <row r="1747" spans="2:10" x14ac:dyDescent="0.25">
      <c r="B1747" s="3">
        <f>B1746+DeltaT</f>
        <v>8650</v>
      </c>
      <c r="C1747" s="13">
        <f t="shared" si="118"/>
        <v>144.16666666666666</v>
      </c>
      <c r="D1747" s="11">
        <f t="shared" si="119"/>
        <v>1076.5042767062803</v>
      </c>
      <c r="E1747" s="23">
        <f t="shared" si="116"/>
        <v>1075.0715195798507</v>
      </c>
      <c r="F1747" s="23">
        <f>AlphaC*(D1747-E1747)</f>
        <v>35.818928160739461</v>
      </c>
      <c r="G1747" s="13">
        <f>Phi*EpsilonF*Botzman/10^8*J1747*((D1747+273)^4-(E1747+273)^4)</f>
        <v>558.14208698155687</v>
      </c>
      <c r="H1747" s="23">
        <f t="shared" si="117"/>
        <v>650</v>
      </c>
      <c r="I1747" s="12">
        <f>ksh*Massivete/(H1747*RhoA)*DeltaT*(F1747+G1747)</f>
        <v>8.7609395499615425E-2</v>
      </c>
      <c r="J1747" s="3">
        <f>IF(E1747&lt;=500,IF(Galva=Oui,0.35,0.7),0.7)</f>
        <v>0.7</v>
      </c>
    </row>
    <row r="1748" spans="2:10" x14ac:dyDescent="0.25">
      <c r="B1748" s="3">
        <f>B1747+DeltaT</f>
        <v>8655</v>
      </c>
      <c r="C1748" s="13">
        <f t="shared" si="118"/>
        <v>144.25</v>
      </c>
      <c r="D1748" s="11">
        <f t="shared" si="119"/>
        <v>1076.5907845587162</v>
      </c>
      <c r="E1748" s="23">
        <f t="shared" si="116"/>
        <v>1075.1591289753503</v>
      </c>
      <c r="F1748" s="23">
        <f>AlphaC*(D1748-E1748)</f>
        <v>35.791389584147737</v>
      </c>
      <c r="G1748" s="13">
        <f>Phi*EpsilonF*Botzman/10^8*J1748*((D1748+273)^4-(E1748+273)^4)</f>
        <v>557.82097283808355</v>
      </c>
      <c r="H1748" s="23">
        <f t="shared" si="117"/>
        <v>650</v>
      </c>
      <c r="I1748" s="12">
        <f>ksh*Massivete/(H1748*RhoA)*DeltaT*(F1748+G1748)</f>
        <v>8.755796913784171E-2</v>
      </c>
      <c r="J1748" s="3">
        <f>IF(E1748&lt;=500,IF(Galva=Oui,0.35,0.7),0.7)</f>
        <v>0.7</v>
      </c>
    </row>
    <row r="1749" spans="2:10" x14ac:dyDescent="0.25">
      <c r="B1749" s="3">
        <f>B1748+DeltaT</f>
        <v>8660</v>
      </c>
      <c r="C1749" s="13">
        <f t="shared" si="118"/>
        <v>144.33333333333334</v>
      </c>
      <c r="D1749" s="11">
        <f t="shared" si="119"/>
        <v>1076.6772424931733</v>
      </c>
      <c r="E1749" s="23">
        <f t="shared" si="116"/>
        <v>1075.2466869444881</v>
      </c>
      <c r="F1749" s="23">
        <f>AlphaC*(D1749-E1749)</f>
        <v>35.763888717127656</v>
      </c>
      <c r="G1749" s="13">
        <f>Phi*EpsilonF*Botzman/10^8*J1749*((D1749+273)^4-(E1749+273)^4)</f>
        <v>557.50023143537703</v>
      </c>
      <c r="H1749" s="23">
        <f t="shared" si="117"/>
        <v>650</v>
      </c>
      <c r="I1749" s="12">
        <f>ksh*Massivete/(H1749*RhoA)*DeltaT*(F1749+G1749)</f>
        <v>8.7506603317593634E-2</v>
      </c>
      <c r="J1749" s="3">
        <f>IF(E1749&lt;=500,IF(Galva=Oui,0.35,0.7),0.7)</f>
        <v>0.7</v>
      </c>
    </row>
    <row r="1750" spans="2:10" x14ac:dyDescent="0.25">
      <c r="B1750" s="3">
        <f>B1749+DeltaT</f>
        <v>8665</v>
      </c>
      <c r="C1750" s="13">
        <f t="shared" si="118"/>
        <v>144.41666666666666</v>
      </c>
      <c r="D1750" s="11">
        <f t="shared" si="119"/>
        <v>1076.7636505672269</v>
      </c>
      <c r="E1750" s="23">
        <f t="shared" si="116"/>
        <v>1075.3341935478059</v>
      </c>
      <c r="F1750" s="23">
        <f>AlphaC*(D1750-E1750)</f>
        <v>35.736425485526979</v>
      </c>
      <c r="G1750" s="13">
        <f>Phi*EpsilonF*Botzman/10^8*J1750*((D1750+273)^4-(E1750+273)^4)</f>
        <v>557.17986212112987</v>
      </c>
      <c r="H1750" s="23">
        <f t="shared" si="117"/>
        <v>650</v>
      </c>
      <c r="I1750" s="12">
        <f>ksh*Massivete/(H1750*RhoA)*DeltaT*(F1750+G1750)</f>
        <v>8.7455297931718232E-2</v>
      </c>
      <c r="J1750" s="3">
        <f>IF(E1750&lt;=500,IF(Galva=Oui,0.35,0.7),0.7)</f>
        <v>0.7</v>
      </c>
    </row>
    <row r="1751" spans="2:10" x14ac:dyDescent="0.25">
      <c r="B1751" s="3">
        <f>B1750+DeltaT</f>
        <v>8670</v>
      </c>
      <c r="C1751" s="13">
        <f t="shared" si="118"/>
        <v>144.5</v>
      </c>
      <c r="D1751" s="11">
        <f t="shared" si="119"/>
        <v>1076.8500088383535</v>
      </c>
      <c r="E1751" s="23">
        <f t="shared" si="116"/>
        <v>1075.4216488457375</v>
      </c>
      <c r="F1751" s="23">
        <f>AlphaC*(D1751-E1751)</f>
        <v>35.708999815398101</v>
      </c>
      <c r="G1751" s="13">
        <f>Phi*EpsilonF*Botzman/10^8*J1751*((D1751+273)^4-(E1751+273)^4)</f>
        <v>556.85986424466239</v>
      </c>
      <c r="H1751" s="23">
        <f t="shared" si="117"/>
        <v>650</v>
      </c>
      <c r="I1751" s="12">
        <f>ksh*Massivete/(H1751*RhoA)*DeltaT*(F1751+G1751)</f>
        <v>8.7404052873332805E-2</v>
      </c>
      <c r="J1751" s="3">
        <f>IF(E1751&lt;=500,IF(Galva=Oui,0.35,0.7),0.7)</f>
        <v>0.7</v>
      </c>
    </row>
    <row r="1752" spans="2:10" x14ac:dyDescent="0.25">
      <c r="B1752" s="3">
        <f>B1751+DeltaT</f>
        <v>8675</v>
      </c>
      <c r="C1752" s="13">
        <f t="shared" si="118"/>
        <v>144.58333333333334</v>
      </c>
      <c r="D1752" s="11">
        <f t="shared" si="119"/>
        <v>1076.9363173639292</v>
      </c>
      <c r="E1752" s="23">
        <f t="shared" si="116"/>
        <v>1075.5090528986109</v>
      </c>
      <c r="F1752" s="23">
        <f>AlphaC*(D1752-E1752)</f>
        <v>35.681611632958266</v>
      </c>
      <c r="G1752" s="13">
        <f>Phi*EpsilonF*Botzman/10^8*J1752*((D1752+273)^4-(E1752+273)^4)</f>
        <v>556.54023715657411</v>
      </c>
      <c r="H1752" s="23">
        <f t="shared" si="117"/>
        <v>650</v>
      </c>
      <c r="I1752" s="12">
        <f>ksh*Massivete/(H1752*RhoA)*DeltaT*(F1752+G1752)</f>
        <v>8.7352868035767625E-2</v>
      </c>
      <c r="J1752" s="3">
        <f>IF(E1752&lt;=500,IF(Galva=Oui,0.35,0.7),0.7)</f>
        <v>0.7</v>
      </c>
    </row>
    <row r="1753" spans="2:10" x14ac:dyDescent="0.25">
      <c r="B1753" s="3">
        <f>B1752+DeltaT</f>
        <v>8680</v>
      </c>
      <c r="C1753" s="13">
        <f t="shared" si="118"/>
        <v>144.66666666666666</v>
      </c>
      <c r="D1753" s="11">
        <f t="shared" si="119"/>
        <v>1077.0225762012321</v>
      </c>
      <c r="E1753" s="23">
        <f t="shared" si="116"/>
        <v>1075.5964057666467</v>
      </c>
      <c r="F1753" s="23">
        <f>AlphaC*(D1753-E1753)</f>
        <v>35.654260864635035</v>
      </c>
      <c r="G1753" s="13">
        <f>Phi*EpsilonF*Botzman/10^8*J1753*((D1753+273)^4-(E1753+273)^4)</f>
        <v>556.22098020928627</v>
      </c>
      <c r="H1753" s="23">
        <f t="shared" si="117"/>
        <v>650</v>
      </c>
      <c r="I1753" s="12">
        <f>ksh*Massivete/(H1753*RhoA)*DeltaT*(F1753+G1753)</f>
        <v>8.7301743312652738E-2</v>
      </c>
      <c r="J1753" s="3">
        <f>IF(E1753&lt;=500,IF(Galva=Oui,0.35,0.7),0.7)</f>
        <v>0.7</v>
      </c>
    </row>
    <row r="1754" spans="2:10" x14ac:dyDescent="0.25">
      <c r="B1754" s="3">
        <f>B1753+DeltaT</f>
        <v>8685</v>
      </c>
      <c r="C1754" s="13">
        <f t="shared" si="118"/>
        <v>144.75</v>
      </c>
      <c r="D1754" s="11">
        <f t="shared" si="119"/>
        <v>1077.1087854074406</v>
      </c>
      <c r="E1754" s="23">
        <f t="shared" si="116"/>
        <v>1075.6837075099595</v>
      </c>
      <c r="F1754" s="23">
        <f>AlphaC*(D1754-E1754)</f>
        <v>35.626947437026502</v>
      </c>
      <c r="G1754" s="13">
        <f>Phi*EpsilonF*Botzman/10^8*J1754*((D1754+273)^4-(E1754+273)^4)</f>
        <v>555.90209275640234</v>
      </c>
      <c r="H1754" s="23">
        <f t="shared" si="117"/>
        <v>650</v>
      </c>
      <c r="I1754" s="12">
        <f>ksh*Massivete/(H1754*RhoA)*DeltaT*(F1754+G1754)</f>
        <v>8.7250678597817682E-2</v>
      </c>
      <c r="J1754" s="3">
        <f>IF(E1754&lt;=500,IF(Galva=Oui,0.35,0.7),0.7)</f>
        <v>0.7</v>
      </c>
    </row>
    <row r="1755" spans="2:10" x14ac:dyDescent="0.25">
      <c r="B1755" s="3">
        <f>B1754+DeltaT</f>
        <v>8690</v>
      </c>
      <c r="C1755" s="13">
        <f t="shared" si="118"/>
        <v>144.83333333333334</v>
      </c>
      <c r="D1755" s="11">
        <f t="shared" si="119"/>
        <v>1077.1949450396346</v>
      </c>
      <c r="E1755" s="23">
        <f t="shared" si="116"/>
        <v>1075.7709581885574</v>
      </c>
      <c r="F1755" s="23">
        <f>AlphaC*(D1755-E1755)</f>
        <v>35.599671276929712</v>
      </c>
      <c r="G1755" s="13">
        <f>Phi*EpsilonF*Botzman/10^8*J1755*((D1755+273)^4-(E1755+273)^4)</f>
        <v>555.58357415319222</v>
      </c>
      <c r="H1755" s="23">
        <f t="shared" si="117"/>
        <v>650</v>
      </c>
      <c r="I1755" s="12">
        <f>ksh*Massivete/(H1755*RhoA)*DeltaT*(F1755+G1755)</f>
        <v>8.7199673785367166E-2</v>
      </c>
      <c r="J1755" s="3">
        <f>IF(E1755&lt;=500,IF(Galva=Oui,0.35,0.7),0.7)</f>
        <v>0.7</v>
      </c>
    </row>
    <row r="1756" spans="2:10" x14ac:dyDescent="0.25">
      <c r="B1756" s="3">
        <f>B1755+DeltaT</f>
        <v>8695</v>
      </c>
      <c r="C1756" s="13">
        <f t="shared" si="118"/>
        <v>144.91666666666666</v>
      </c>
      <c r="D1756" s="11">
        <f t="shared" si="119"/>
        <v>1077.2810551547959</v>
      </c>
      <c r="E1756" s="23">
        <f t="shared" si="116"/>
        <v>1075.8581578623428</v>
      </c>
      <c r="F1756" s="23">
        <f>AlphaC*(D1756-E1756)</f>
        <v>35.572432311329294</v>
      </c>
      <c r="G1756" s="13">
        <f>Phi*EpsilonF*Botzman/10^8*J1756*((D1756+273)^4-(E1756+273)^4)</f>
        <v>555.26542375659278</v>
      </c>
      <c r="H1756" s="23">
        <f t="shared" si="117"/>
        <v>650</v>
      </c>
      <c r="I1756" s="12">
        <f>ksh*Massivete/(H1756*RhoA)*DeltaT*(F1756+G1756)</f>
        <v>8.714872876967944E-2</v>
      </c>
      <c r="J1756" s="3">
        <f>IF(E1756&lt;=500,IF(Galva=Oui,0.35,0.7),0.7)</f>
        <v>0.7</v>
      </c>
    </row>
    <row r="1757" spans="2:10" x14ac:dyDescent="0.25">
      <c r="B1757" s="3">
        <f>B1756+DeltaT</f>
        <v>8700</v>
      </c>
      <c r="C1757" s="13">
        <f t="shared" si="118"/>
        <v>145</v>
      </c>
      <c r="D1757" s="11">
        <f t="shared" si="119"/>
        <v>1077.367115809808</v>
      </c>
      <c r="E1757" s="23">
        <f t="shared" si="116"/>
        <v>1075.9453065911125</v>
      </c>
      <c r="F1757" s="23">
        <f>AlphaC*(D1757-E1757)</f>
        <v>35.545230467386091</v>
      </c>
      <c r="G1757" s="13">
        <f>Phi*EpsilonF*Botzman/10^8*J1757*((D1757+273)^4-(E1757+273)^4)</f>
        <v>554.94764092470348</v>
      </c>
      <c r="H1757" s="23">
        <f t="shared" si="117"/>
        <v>650</v>
      </c>
      <c r="I1757" s="12">
        <f>ksh*Massivete/(H1757*RhoA)*DeltaT*(F1757+G1757)</f>
        <v>8.7097843445330198E-2</v>
      </c>
      <c r="J1757" s="3">
        <f>IF(E1757&lt;=500,IF(Galva=Oui,0.35,0.7),0.7)</f>
        <v>0.7</v>
      </c>
    </row>
    <row r="1758" spans="2:10" x14ac:dyDescent="0.25">
      <c r="B1758" s="3">
        <f>B1757+DeltaT</f>
        <v>8705</v>
      </c>
      <c r="C1758" s="13">
        <f t="shared" si="118"/>
        <v>145.08333333333334</v>
      </c>
      <c r="D1758" s="11">
        <f t="shared" si="119"/>
        <v>1077.4531270614561</v>
      </c>
      <c r="E1758" s="23">
        <f t="shared" si="116"/>
        <v>1076.0324044345577</v>
      </c>
      <c r="F1758" s="23">
        <f>AlphaC*(D1758-E1758)</f>
        <v>35.518065672459898</v>
      </c>
      <c r="G1758" s="13">
        <f>Phi*EpsilonF*Botzman/10^8*J1758*((D1758+273)^4-(E1758+273)^4)</f>
        <v>554.63022501748424</v>
      </c>
      <c r="H1758" s="23">
        <f t="shared" si="117"/>
        <v>650</v>
      </c>
      <c r="I1758" s="12">
        <f>ksh*Massivete/(H1758*RhoA)*DeltaT*(F1758+G1758)</f>
        <v>8.7047017707198943E-2</v>
      </c>
      <c r="J1758" s="3">
        <f>IF(E1758&lt;=500,IF(Galva=Oui,0.35,0.7),0.7)</f>
        <v>0.7</v>
      </c>
    </row>
    <row r="1759" spans="2:10" x14ac:dyDescent="0.25">
      <c r="B1759" s="3">
        <f>B1758+DeltaT</f>
        <v>8710</v>
      </c>
      <c r="C1759" s="13">
        <f t="shared" si="118"/>
        <v>145.16666666666666</v>
      </c>
      <c r="D1759" s="11">
        <f t="shared" si="119"/>
        <v>1077.5390889664282</v>
      </c>
      <c r="E1759" s="23">
        <f t="shared" si="116"/>
        <v>1076.1194514522649</v>
      </c>
      <c r="F1759" s="23">
        <f>AlphaC*(D1759-E1759)</f>
        <v>35.490937854081039</v>
      </c>
      <c r="G1759" s="13">
        <f>Phi*EpsilonF*Botzman/10^8*J1759*((D1759+273)^4-(E1759+273)^4)</f>
        <v>554.31317539598047</v>
      </c>
      <c r="H1759" s="23">
        <f t="shared" si="117"/>
        <v>650</v>
      </c>
      <c r="I1759" s="12">
        <f>ksh*Massivete/(H1759*RhoA)*DeltaT*(F1759+G1759)</f>
        <v>8.699625145035042E-2</v>
      </c>
      <c r="J1759" s="3">
        <f>IF(E1759&lt;=500,IF(Galva=Oui,0.35,0.7),0.7)</f>
        <v>0.7</v>
      </c>
    </row>
    <row r="1760" spans="2:10" x14ac:dyDescent="0.25">
      <c r="B1760" s="3">
        <f>B1759+DeltaT</f>
        <v>8715</v>
      </c>
      <c r="C1760" s="13">
        <f t="shared" si="118"/>
        <v>145.25</v>
      </c>
      <c r="D1760" s="11">
        <f t="shared" si="119"/>
        <v>1077.6250015813146</v>
      </c>
      <c r="E1760" s="23">
        <f t="shared" si="116"/>
        <v>1076.2064477037152</v>
      </c>
      <c r="F1760" s="23">
        <f>AlphaC*(D1760-E1760)</f>
        <v>35.463846939984478</v>
      </c>
      <c r="G1760" s="13">
        <f>Phi*EpsilonF*Botzman/10^8*J1760*((D1760+273)^4-(E1760+273)^4)</f>
        <v>553.99649142317537</v>
      </c>
      <c r="H1760" s="23">
        <f t="shared" si="117"/>
        <v>650</v>
      </c>
      <c r="I1760" s="12">
        <f>ksh*Massivete/(H1760*RhoA)*DeltaT*(F1760+G1760)</f>
        <v>8.6945544570165387E-2</v>
      </c>
      <c r="J1760" s="3">
        <f>IF(E1760&lt;=500,IF(Galva=Oui,0.35,0.7),0.7)</f>
        <v>0.7</v>
      </c>
    </row>
    <row r="1761" spans="2:10" x14ac:dyDescent="0.25">
      <c r="B1761" s="3">
        <f>B1760+DeltaT</f>
        <v>8720</v>
      </c>
      <c r="C1761" s="13">
        <f t="shared" si="118"/>
        <v>145.33333333333334</v>
      </c>
      <c r="D1761" s="11">
        <f t="shared" si="119"/>
        <v>1077.710864962608</v>
      </c>
      <c r="E1761" s="23">
        <f t="shared" si="116"/>
        <v>1076.2933932482854</v>
      </c>
      <c r="F1761" s="23">
        <f>AlphaC*(D1761-E1761)</f>
        <v>35.436792858064337</v>
      </c>
      <c r="G1761" s="13">
        <f>Phi*EpsilonF*Botzman/10^8*J1761*((D1761+273)^4-(E1761+273)^4)</f>
        <v>553.68017246317618</v>
      </c>
      <c r="H1761" s="23">
        <f t="shared" si="117"/>
        <v>650</v>
      </c>
      <c r="I1761" s="12">
        <f>ksh*Massivete/(H1761*RhoA)*DeltaT*(F1761+G1761)</f>
        <v>8.6894896962213863E-2</v>
      </c>
      <c r="J1761" s="3">
        <f>IF(E1761&lt;=500,IF(Galva=Oui,0.35,0.7),0.7)</f>
        <v>0.7</v>
      </c>
    </row>
    <row r="1762" spans="2:10" x14ac:dyDescent="0.25">
      <c r="B1762" s="3">
        <f>B1761+DeltaT</f>
        <v>8725</v>
      </c>
      <c r="C1762" s="13">
        <f t="shared" si="118"/>
        <v>145.41666666666666</v>
      </c>
      <c r="D1762" s="11">
        <f t="shared" si="119"/>
        <v>1077.7966791667045</v>
      </c>
      <c r="E1762" s="23">
        <f t="shared" si="116"/>
        <v>1076.3802881452475</v>
      </c>
      <c r="F1762" s="23">
        <f>AlphaC*(D1762-E1762)</f>
        <v>35.409775536425059</v>
      </c>
      <c r="G1762" s="13">
        <f>Phi*EpsilonF*Botzman/10^8*J1762*((D1762+273)^4-(E1762+273)^4)</f>
        <v>553.36421788177631</v>
      </c>
      <c r="H1762" s="23">
        <f t="shared" si="117"/>
        <v>650</v>
      </c>
      <c r="I1762" s="12">
        <f>ksh*Massivete/(H1762*RhoA)*DeltaT*(F1762+G1762)</f>
        <v>8.6844308522345606E-2</v>
      </c>
      <c r="J1762" s="3">
        <f>IF(E1762&lt;=500,IF(Galva=Oui,0.35,0.7),0.7)</f>
        <v>0.7</v>
      </c>
    </row>
    <row r="1763" spans="2:10" x14ac:dyDescent="0.25">
      <c r="B1763" s="3">
        <f>B1762+DeltaT</f>
        <v>8730</v>
      </c>
      <c r="C1763" s="13">
        <f t="shared" si="118"/>
        <v>145.5</v>
      </c>
      <c r="D1763" s="11">
        <f t="shared" si="119"/>
        <v>1077.8824442499028</v>
      </c>
      <c r="E1763" s="23">
        <f t="shared" si="116"/>
        <v>1076.4671324537699</v>
      </c>
      <c r="F1763" s="23">
        <f>AlphaC*(D1763-E1763)</f>
        <v>35.382794903324566</v>
      </c>
      <c r="G1763" s="13">
        <f>Phi*EpsilonF*Botzman/10^8*J1763*((D1763+273)^4-(E1763+273)^4)</f>
        <v>553.04862704606739</v>
      </c>
      <c r="H1763" s="23">
        <f t="shared" si="117"/>
        <v>650</v>
      </c>
      <c r="I1763" s="12">
        <f>ksh*Massivete/(H1763*RhoA)*DeltaT*(F1763+G1763)</f>
        <v>8.679377914662452E-2</v>
      </c>
      <c r="J1763" s="3">
        <f>IF(E1763&lt;=500,IF(Galva=Oui,0.35,0.7),0.7)</f>
        <v>0.7</v>
      </c>
    </row>
    <row r="1764" spans="2:10" x14ac:dyDescent="0.25">
      <c r="B1764" s="3">
        <f>B1763+DeltaT</f>
        <v>8735</v>
      </c>
      <c r="C1764" s="13">
        <f t="shared" si="118"/>
        <v>145.58333333333334</v>
      </c>
      <c r="D1764" s="11">
        <f t="shared" si="119"/>
        <v>1077.9681602684059</v>
      </c>
      <c r="E1764" s="23">
        <f t="shared" si="116"/>
        <v>1076.5539262329164</v>
      </c>
      <c r="F1764" s="23">
        <f>AlphaC*(D1764-E1764)</f>
        <v>35.355850887236784</v>
      </c>
      <c r="G1764" s="13">
        <f>Phi*EpsilonF*Botzman/10^8*J1764*((D1764+273)^4-(E1764+273)^4)</f>
        <v>552.73339932486624</v>
      </c>
      <c r="H1764" s="23">
        <f t="shared" si="117"/>
        <v>650</v>
      </c>
      <c r="I1764" s="12">
        <f>ksh*Massivete/(H1764*RhoA)*DeltaT*(F1764+G1764)</f>
        <v>8.6743308731400792E-2</v>
      </c>
      <c r="J1764" s="3">
        <f>IF(E1764&lt;=500,IF(Galva=Oui,0.35,0.7),0.7)</f>
        <v>0.7</v>
      </c>
    </row>
    <row r="1765" spans="2:10" x14ac:dyDescent="0.25">
      <c r="B1765" s="3">
        <f>B1764+DeltaT</f>
        <v>8740</v>
      </c>
      <c r="C1765" s="13">
        <f t="shared" si="118"/>
        <v>145.66666666666666</v>
      </c>
      <c r="D1765" s="11">
        <f t="shared" si="119"/>
        <v>1078.0538272783192</v>
      </c>
      <c r="E1765" s="23">
        <f t="shared" si="116"/>
        <v>1076.6406695416479</v>
      </c>
      <c r="F1765" s="23">
        <f>AlphaC*(D1765-E1765)</f>
        <v>35.328943416783432</v>
      </c>
      <c r="G1765" s="13">
        <f>Phi*EpsilonF*Botzman/10^8*J1765*((D1765+273)^4-(E1765+273)^4)</f>
        <v>552.41853408817144</v>
      </c>
      <c r="H1765" s="23">
        <f t="shared" si="117"/>
        <v>650</v>
      </c>
      <c r="I1765" s="12">
        <f>ksh*Massivete/(H1765*RhoA)*DeltaT*(F1765+G1765)</f>
        <v>8.6692897173220762E-2</v>
      </c>
      <c r="J1765" s="3">
        <f>IF(E1765&lt;=500,IF(Galva=Oui,0.35,0.7),0.7)</f>
        <v>0.7</v>
      </c>
    </row>
    <row r="1766" spans="2:10" x14ac:dyDescent="0.25">
      <c r="B1766" s="3">
        <f>B1765+DeltaT</f>
        <v>8745</v>
      </c>
      <c r="C1766" s="13">
        <f t="shared" si="118"/>
        <v>145.75</v>
      </c>
      <c r="D1766" s="11">
        <f t="shared" si="119"/>
        <v>1078.1394453356527</v>
      </c>
      <c r="E1766" s="23">
        <f t="shared" si="116"/>
        <v>1076.727362438821</v>
      </c>
      <c r="F1766" s="23">
        <f>AlphaC*(D1766-E1766)</f>
        <v>35.302072420790864</v>
      </c>
      <c r="G1766" s="13">
        <f>Phi*EpsilonF*Botzman/10^8*J1766*((D1766+273)^4-(E1766+273)^4)</f>
        <v>552.10403070759037</v>
      </c>
      <c r="H1766" s="23">
        <f t="shared" si="117"/>
        <v>650</v>
      </c>
      <c r="I1766" s="12">
        <f>ksh*Massivete/(H1766*RhoA)*DeltaT*(F1766+G1766)</f>
        <v>8.6642544368898219E-2</v>
      </c>
      <c r="J1766" s="3">
        <f>IF(E1766&lt;=500,IF(Galva=Oui,0.35,0.7),0.7)</f>
        <v>0.7</v>
      </c>
    </row>
    <row r="1767" spans="2:10" x14ac:dyDescent="0.25">
      <c r="B1767" s="3">
        <f>B1766+DeltaT</f>
        <v>8750</v>
      </c>
      <c r="C1767" s="13">
        <f t="shared" si="118"/>
        <v>145.83333333333334</v>
      </c>
      <c r="D1767" s="11">
        <f t="shared" si="119"/>
        <v>1078.2250144963202</v>
      </c>
      <c r="E1767" s="23">
        <f t="shared" si="116"/>
        <v>1076.81400498319</v>
      </c>
      <c r="F1767" s="23">
        <f>AlphaC*(D1767-E1767)</f>
        <v>35.275237828255968</v>
      </c>
      <c r="G1767" s="13">
        <f>Phi*EpsilonF*Botzman/10^8*J1767*((D1767+273)^4-(E1767+273)^4)</f>
        <v>551.78988855620321</v>
      </c>
      <c r="H1767" s="23">
        <f t="shared" si="117"/>
        <v>650</v>
      </c>
      <c r="I1767" s="12">
        <f>ksh*Massivete/(H1767*RhoA)*DeltaT*(F1767+G1767)</f>
        <v>8.6592250215489386E-2</v>
      </c>
      <c r="J1767" s="3">
        <f>IF(E1767&lt;=500,IF(Galva=Oui,0.35,0.7),0.7)</f>
        <v>0.7</v>
      </c>
    </row>
    <row r="1768" spans="2:10" x14ac:dyDescent="0.25">
      <c r="B1768" s="3">
        <f>B1767+DeltaT</f>
        <v>8755</v>
      </c>
      <c r="C1768" s="13">
        <f t="shared" si="118"/>
        <v>145.91666666666666</v>
      </c>
      <c r="D1768" s="11">
        <f t="shared" si="119"/>
        <v>1078.31053481614</v>
      </c>
      <c r="E1768" s="23">
        <f t="shared" si="116"/>
        <v>1076.9005972334055</v>
      </c>
      <c r="F1768" s="23">
        <f>AlphaC*(D1768-E1768)</f>
        <v>35.24843956836321</v>
      </c>
      <c r="G1768" s="13">
        <f>Phi*EpsilonF*Botzman/10^8*J1768*((D1768+273)^4-(E1768+273)^4)</f>
        <v>551.47610700850487</v>
      </c>
      <c r="H1768" s="23">
        <f t="shared" si="117"/>
        <v>650</v>
      </c>
      <c r="I1768" s="12">
        <f>ksh*Massivete/(H1768*RhoA)*DeltaT*(F1768+G1768)</f>
        <v>8.6542014610286766E-2</v>
      </c>
      <c r="J1768" s="3">
        <f>IF(E1768&lt;=500,IF(Galva=Oui,0.35,0.7),0.7)</f>
        <v>0.7</v>
      </c>
    </row>
    <row r="1769" spans="2:10" x14ac:dyDescent="0.25">
      <c r="B1769" s="3">
        <f>B1768+DeltaT</f>
        <v>8760</v>
      </c>
      <c r="C1769" s="13">
        <f t="shared" si="118"/>
        <v>146</v>
      </c>
      <c r="D1769" s="11">
        <f t="shared" si="119"/>
        <v>1078.3960063508348</v>
      </c>
      <c r="E1769" s="23">
        <f t="shared" si="116"/>
        <v>1076.9871392480159</v>
      </c>
      <c r="F1769" s="23">
        <f>AlphaC*(D1769-E1769)</f>
        <v>35.221677570473275</v>
      </c>
      <c r="G1769" s="13">
        <f>Phi*EpsilonF*Botzman/10^8*J1769*((D1769+273)^4-(E1769+273)^4)</f>
        <v>551.16268544056004</v>
      </c>
      <c r="H1769" s="23">
        <f t="shared" si="117"/>
        <v>650</v>
      </c>
      <c r="I1769" s="12">
        <f>ksh*Massivete/(H1769*RhoA)*DeltaT*(F1769+G1769)</f>
        <v>8.6491837450840464E-2</v>
      </c>
      <c r="J1769" s="3">
        <f>IF(E1769&lt;=500,IF(Galva=Oui,0.35,0.7),0.7)</f>
        <v>0.7</v>
      </c>
    </row>
    <row r="1770" spans="2:10" x14ac:dyDescent="0.25">
      <c r="B1770" s="3">
        <f>B1769+DeltaT</f>
        <v>8765</v>
      </c>
      <c r="C1770" s="13">
        <f t="shared" si="118"/>
        <v>146.08333333333334</v>
      </c>
      <c r="D1770" s="11">
        <f t="shared" si="119"/>
        <v>1078.4814291560317</v>
      </c>
      <c r="E1770" s="23">
        <f t="shared" si="116"/>
        <v>1077.0736310854668</v>
      </c>
      <c r="F1770" s="23">
        <f>AlphaC*(D1770-E1770)</f>
        <v>35.194951764123061</v>
      </c>
      <c r="G1770" s="13">
        <f>Phi*EpsilonF*Botzman/10^8*J1770*((D1770+273)^4-(E1770+273)^4)</f>
        <v>550.84962322967363</v>
      </c>
      <c r="H1770" s="23">
        <f t="shared" si="117"/>
        <v>650</v>
      </c>
      <c r="I1770" s="12">
        <f>ksh*Massivete/(H1770*RhoA)*DeltaT*(F1770+G1770)</f>
        <v>8.6441718634909445E-2</v>
      </c>
      <c r="J1770" s="3">
        <f>IF(E1770&lt;=500,IF(Galva=Oui,0.35,0.7),0.7)</f>
        <v>0.7</v>
      </c>
    </row>
    <row r="1771" spans="2:10" x14ac:dyDescent="0.25">
      <c r="B1771" s="3">
        <f>B1770+DeltaT</f>
        <v>8770</v>
      </c>
      <c r="C1771" s="13">
        <f t="shared" si="118"/>
        <v>146.16666666666666</v>
      </c>
      <c r="D1771" s="11">
        <f t="shared" si="119"/>
        <v>1078.5668032872625</v>
      </c>
      <c r="E1771" s="23">
        <f t="shared" si="116"/>
        <v>1077.1600728041017</v>
      </c>
      <c r="F1771" s="23">
        <f>AlphaC*(D1771-E1771)</f>
        <v>35.168262079019996</v>
      </c>
      <c r="G1771" s="13">
        <f>Phi*EpsilonF*Botzman/10^8*J1771*((D1771+273)^4-(E1771+273)^4)</f>
        <v>550.53691975460413</v>
      </c>
      <c r="H1771" s="23">
        <f t="shared" si="117"/>
        <v>650</v>
      </c>
      <c r="I1771" s="12">
        <f>ksh*Massivete/(H1771*RhoA)*DeltaT*(F1771+G1771)</f>
        <v>8.6391658060492288E-2</v>
      </c>
      <c r="J1771" s="3">
        <f>IF(E1771&lt;=500,IF(Galva=Oui,0.35,0.7),0.7)</f>
        <v>0.7</v>
      </c>
    </row>
    <row r="1772" spans="2:10" x14ac:dyDescent="0.25">
      <c r="B1772" s="3">
        <f>B1771+DeltaT</f>
        <v>8775</v>
      </c>
      <c r="C1772" s="13">
        <f t="shared" si="118"/>
        <v>146.25</v>
      </c>
      <c r="D1772" s="11">
        <f t="shared" si="119"/>
        <v>1078.6521287999651</v>
      </c>
      <c r="E1772" s="23">
        <f t="shared" si="116"/>
        <v>1077.2464644621621</v>
      </c>
      <c r="F1772" s="23">
        <f>AlphaC*(D1772-E1772)</f>
        <v>35.141608445076145</v>
      </c>
      <c r="G1772" s="13">
        <f>Phi*EpsilonF*Botzman/10^8*J1772*((D1772+273)^4-(E1772+273)^4)</f>
        <v>550.22457439581547</v>
      </c>
      <c r="H1772" s="23">
        <f t="shared" si="117"/>
        <v>650</v>
      </c>
      <c r="I1772" s="12">
        <f>ksh*Massivete/(H1772*RhoA)*DeltaT*(F1772+G1772)</f>
        <v>8.6341655625869276E-2</v>
      </c>
      <c r="J1772" s="3">
        <f>IF(E1772&lt;=500,IF(Galva=Oui,0.35,0.7),0.7)</f>
        <v>0.7</v>
      </c>
    </row>
    <row r="1773" spans="2:10" x14ac:dyDescent="0.25">
      <c r="B1773" s="3">
        <f>B1772+DeltaT</f>
        <v>8780</v>
      </c>
      <c r="C1773" s="13">
        <f t="shared" si="118"/>
        <v>146.33333333333334</v>
      </c>
      <c r="D1773" s="11">
        <f t="shared" si="119"/>
        <v>1078.7374057494821</v>
      </c>
      <c r="E1773" s="23">
        <f t="shared" si="116"/>
        <v>1077.3328061177879</v>
      </c>
      <c r="F1773" s="23">
        <f>AlphaC*(D1773-E1773)</f>
        <v>35.114990792357048</v>
      </c>
      <c r="G1773" s="13">
        <f>Phi*EpsilonF*Botzman/10^8*J1773*((D1773+273)^4-(E1773+273)^4)</f>
        <v>549.91258653505065</v>
      </c>
      <c r="H1773" s="23">
        <f t="shared" si="117"/>
        <v>650</v>
      </c>
      <c r="I1773" s="12">
        <f>ksh*Massivete/(H1773*RhoA)*DeltaT*(F1773+G1773)</f>
        <v>8.6291711229531984E-2</v>
      </c>
      <c r="J1773" s="3">
        <f>IF(E1773&lt;=500,IF(Galva=Oui,0.35,0.7),0.7)</f>
        <v>0.7</v>
      </c>
    </row>
    <row r="1774" spans="2:10" x14ac:dyDescent="0.25">
      <c r="B1774" s="3">
        <f>B1773+DeltaT</f>
        <v>8785</v>
      </c>
      <c r="C1774" s="13">
        <f t="shared" si="118"/>
        <v>146.41666666666666</v>
      </c>
      <c r="D1774" s="11">
        <f t="shared" si="119"/>
        <v>1078.8226341910615</v>
      </c>
      <c r="E1774" s="23">
        <f t="shared" si="116"/>
        <v>1077.4190978290173</v>
      </c>
      <c r="F1774" s="23">
        <f>AlphaC*(D1774-E1774)</f>
        <v>35.088409051104463</v>
      </c>
      <c r="G1774" s="13">
        <f>Phi*EpsilonF*Botzman/10^8*J1774*((D1774+273)^4-(E1774+273)^4)</f>
        <v>549.60095555519604</v>
      </c>
      <c r="H1774" s="23">
        <f t="shared" si="117"/>
        <v>650</v>
      </c>
      <c r="I1774" s="12">
        <f>ksh*Massivete/(H1774*RhoA)*DeltaT*(F1774+G1774)</f>
        <v>8.6241824770166661E-2</v>
      </c>
      <c r="J1774" s="3">
        <f>IF(E1774&lt;=500,IF(Galva=Oui,0.35,0.7),0.7)</f>
        <v>0.7</v>
      </c>
    </row>
    <row r="1775" spans="2:10" x14ac:dyDescent="0.25">
      <c r="B1775" s="3">
        <f>B1774+DeltaT</f>
        <v>8790</v>
      </c>
      <c r="C1775" s="13">
        <f t="shared" si="118"/>
        <v>146.5</v>
      </c>
      <c r="D1775" s="11">
        <f t="shared" si="119"/>
        <v>1078.9078141798577</v>
      </c>
      <c r="E1775" s="23">
        <f t="shared" si="116"/>
        <v>1077.5053396537876</v>
      </c>
      <c r="F1775" s="23">
        <f>AlphaC*(D1775-E1775)</f>
        <v>35.061863151753414</v>
      </c>
      <c r="G1775" s="13">
        <f>Phi*EpsilonF*Botzman/10^8*J1775*((D1775+273)^4-(E1775+273)^4)</f>
        <v>549.28968084103724</v>
      </c>
      <c r="H1775" s="23">
        <f t="shared" si="117"/>
        <v>650</v>
      </c>
      <c r="I1775" s="12">
        <f>ksh*Massivete/(H1775*RhoA)*DeltaT*(F1775+G1775)</f>
        <v>8.6191996146768174E-2</v>
      </c>
      <c r="J1775" s="3">
        <f>IF(E1775&lt;=500,IF(Galva=Oui,0.35,0.7),0.7)</f>
        <v>0.7</v>
      </c>
    </row>
    <row r="1776" spans="2:10" x14ac:dyDescent="0.25">
      <c r="B1776" s="3">
        <f>B1775+DeltaT</f>
        <v>8795</v>
      </c>
      <c r="C1776" s="13">
        <f t="shared" si="118"/>
        <v>146.58333333333334</v>
      </c>
      <c r="D1776" s="11">
        <f t="shared" si="119"/>
        <v>1078.99294577093</v>
      </c>
      <c r="E1776" s="23">
        <f t="shared" si="116"/>
        <v>1077.5915316499343</v>
      </c>
      <c r="F1776" s="23">
        <f>AlphaC*(D1776-E1776)</f>
        <v>35.035353024892402</v>
      </c>
      <c r="G1776" s="13">
        <f>Phi*EpsilonF*Botzman/10^8*J1776*((D1776+273)^4-(E1776+273)^4)</f>
        <v>548.97876177840647</v>
      </c>
      <c r="H1776" s="23">
        <f t="shared" si="117"/>
        <v>650</v>
      </c>
      <c r="I1776" s="12">
        <f>ksh*Massivete/(H1776*RhoA)*DeltaT*(F1776+G1776)</f>
        <v>8.6142225258508426E-2</v>
      </c>
      <c r="J1776" s="3">
        <f>IF(E1776&lt;=500,IF(Galva=Oui,0.35,0.7),0.7)</f>
        <v>0.7</v>
      </c>
    </row>
    <row r="1777" spans="2:10" x14ac:dyDescent="0.25">
      <c r="B1777" s="3">
        <f>B1776+DeltaT</f>
        <v>8800</v>
      </c>
      <c r="C1777" s="13">
        <f t="shared" si="118"/>
        <v>146.66666666666666</v>
      </c>
      <c r="D1777" s="11">
        <f t="shared" si="119"/>
        <v>1079.0780290192449</v>
      </c>
      <c r="E1777" s="23">
        <f t="shared" si="116"/>
        <v>1077.6776738751928</v>
      </c>
      <c r="F1777" s="23">
        <f>AlphaC*(D1777-E1777)</f>
        <v>35.008878601303195</v>
      </c>
      <c r="G1777" s="13">
        <f>Phi*EpsilonF*Botzman/10^8*J1777*((D1777+273)^4-(E1777+273)^4)</f>
        <v>548.66819775474426</v>
      </c>
      <c r="H1777" s="23">
        <f t="shared" si="117"/>
        <v>650</v>
      </c>
      <c r="I1777" s="12">
        <f>ksh*Massivete/(H1777*RhoA)*DeltaT*(F1777+G1777)</f>
        <v>8.6092512004825011E-2</v>
      </c>
      <c r="J1777" s="3">
        <f>IF(E1777&lt;=500,IF(Galva=Oui,0.35,0.7),0.7)</f>
        <v>0.7</v>
      </c>
    </row>
    <row r="1778" spans="2:10" x14ac:dyDescent="0.25">
      <c r="B1778" s="3">
        <f>B1777+DeltaT</f>
        <v>8805</v>
      </c>
      <c r="C1778" s="13">
        <f t="shared" si="118"/>
        <v>146.75</v>
      </c>
      <c r="D1778" s="11">
        <f t="shared" si="119"/>
        <v>1079.1630639796754</v>
      </c>
      <c r="E1778" s="23">
        <f t="shared" si="116"/>
        <v>1077.7637663871976</v>
      </c>
      <c r="F1778" s="23">
        <f>AlphaC*(D1778-E1778)</f>
        <v>34.982439811943777</v>
      </c>
      <c r="G1778" s="13">
        <f>Phi*EpsilonF*Botzman/10^8*J1778*((D1778+273)^4-(E1778+273)^4)</f>
        <v>548.35798815896419</v>
      </c>
      <c r="H1778" s="23">
        <f t="shared" si="117"/>
        <v>650</v>
      </c>
      <c r="I1778" s="12">
        <f>ksh*Massivete/(H1778*RhoA)*DeltaT*(F1778+G1778)</f>
        <v>8.604285628539883E-2</v>
      </c>
      <c r="J1778" s="3">
        <f>IF(E1778&lt;=500,IF(Galva=Oui,0.35,0.7),0.7)</f>
        <v>0.7</v>
      </c>
    </row>
    <row r="1779" spans="2:10" x14ac:dyDescent="0.25">
      <c r="B1779" s="3">
        <f>B1778+DeltaT</f>
        <v>8810</v>
      </c>
      <c r="C1779" s="13">
        <f t="shared" si="118"/>
        <v>146.83333333333334</v>
      </c>
      <c r="D1779" s="11">
        <f t="shared" si="119"/>
        <v>1079.2480507070004</v>
      </c>
      <c r="E1779" s="23">
        <f t="shared" si="116"/>
        <v>1077.8498092434829</v>
      </c>
      <c r="F1779" s="23">
        <f>AlphaC*(D1779-E1779)</f>
        <v>34.956036587936978</v>
      </c>
      <c r="G1779" s="13">
        <f>Phi*EpsilonF*Botzman/10^8*J1779*((D1779+273)^4-(E1779+273)^4)</f>
        <v>548.04813238133647</v>
      </c>
      <c r="H1779" s="23">
        <f t="shared" si="117"/>
        <v>650</v>
      </c>
      <c r="I1779" s="12">
        <f>ksh*Massivete/(H1779*RhoA)*DeltaT*(F1779+G1779)</f>
        <v>8.59932580001352E-2</v>
      </c>
      <c r="J1779" s="3">
        <f>IF(E1779&lt;=500,IF(Galva=Oui,0.35,0.7),0.7)</f>
        <v>0.7</v>
      </c>
    </row>
    <row r="1780" spans="2:10" x14ac:dyDescent="0.25">
      <c r="B1780" s="3">
        <f>B1779+DeltaT</f>
        <v>8815</v>
      </c>
      <c r="C1780" s="13">
        <f t="shared" si="118"/>
        <v>146.91666666666666</v>
      </c>
      <c r="D1780" s="11">
        <f t="shared" si="119"/>
        <v>1079.3329892559057</v>
      </c>
      <c r="E1780" s="23">
        <f t="shared" ref="E1780:E1843" si="120">E1779+I1779</f>
        <v>1077.9358025014831</v>
      </c>
      <c r="F1780" s="23">
        <f>AlphaC*(D1780-E1780)</f>
        <v>34.929668860564789</v>
      </c>
      <c r="G1780" s="13">
        <f>Phi*EpsilonF*Botzman/10^8*J1780*((D1780+273)^4-(E1780+273)^4)</f>
        <v>547.73862981317757</v>
      </c>
      <c r="H1780" s="23">
        <f t="shared" ref="H1780:H1843" si="121">IF(E1780&lt;600,425+0.773*E1780-1.69/1000*E1780^2+2.22/1000^2*E1780^3,IF(E1780&lt;735,666+13002/(738-E1780),IF(E1780&lt;900,545+17820/(E1780-731),650)))</f>
        <v>650</v>
      </c>
      <c r="I1780" s="12">
        <f>ksh*Massivete/(H1780*RhoA)*DeltaT*(F1780+G1780)</f>
        <v>8.5943717049117213E-2</v>
      </c>
      <c r="J1780" s="3">
        <f>IF(E1780&lt;=500,IF(Galva=Oui,0.35,0.7),0.7)</f>
        <v>0.7</v>
      </c>
    </row>
    <row r="1781" spans="2:10" x14ac:dyDescent="0.25">
      <c r="B1781" s="3">
        <f>B1780+DeltaT</f>
        <v>8820</v>
      </c>
      <c r="C1781" s="13">
        <f t="shared" si="118"/>
        <v>147</v>
      </c>
      <c r="D1781" s="11">
        <f t="shared" si="119"/>
        <v>1079.4178796809847</v>
      </c>
      <c r="E1781" s="23">
        <f t="shared" si="120"/>
        <v>1078.0217462185321</v>
      </c>
      <c r="F1781" s="23">
        <f>AlphaC*(D1781-E1781)</f>
        <v>34.903336561313836</v>
      </c>
      <c r="G1781" s="13">
        <f>Phi*EpsilonF*Botzman/10^8*J1781*((D1781+273)^4-(E1781+273)^4)</f>
        <v>547.42947984780051</v>
      </c>
      <c r="H1781" s="23">
        <f t="shared" si="121"/>
        <v>650</v>
      </c>
      <c r="I1781" s="12">
        <f>ksh*Massivete/(H1781*RhoA)*DeltaT*(F1781+G1781)</f>
        <v>8.5894233332752673E-2</v>
      </c>
      <c r="J1781" s="3">
        <f>IF(E1781&lt;=500,IF(Galva=Oui,0.35,0.7),0.7)</f>
        <v>0.7</v>
      </c>
    </row>
    <row r="1782" spans="2:10" x14ac:dyDescent="0.25">
      <c r="B1782" s="3">
        <f>B1781+DeltaT</f>
        <v>8825</v>
      </c>
      <c r="C1782" s="13">
        <f t="shared" si="118"/>
        <v>147.08333333333334</v>
      </c>
      <c r="D1782" s="11">
        <f t="shared" si="119"/>
        <v>1079.5027220367381</v>
      </c>
      <c r="E1782" s="23">
        <f t="shared" si="120"/>
        <v>1078.1076404518649</v>
      </c>
      <c r="F1782" s="23">
        <f>AlphaC*(D1782-E1782)</f>
        <v>34.877039621829908</v>
      </c>
      <c r="G1782" s="13">
        <f>Phi*EpsilonF*Botzman/10^8*J1782*((D1782+273)^4-(E1782+273)^4)</f>
        <v>547.12068187966133</v>
      </c>
      <c r="H1782" s="23">
        <f t="shared" si="121"/>
        <v>650</v>
      </c>
      <c r="I1782" s="12">
        <f>ksh*Massivete/(H1782*RhoA)*DeltaT*(F1782+G1782)</f>
        <v>8.5844806751641398E-2</v>
      </c>
      <c r="J1782" s="3">
        <f>IF(E1782&lt;=500,IF(Galva=Oui,0.35,0.7),0.7)</f>
        <v>0.7</v>
      </c>
    </row>
    <row r="1783" spans="2:10" x14ac:dyDescent="0.25">
      <c r="B1783" s="3">
        <f>B1782+DeltaT</f>
        <v>8830</v>
      </c>
      <c r="C1783" s="13">
        <f t="shared" si="118"/>
        <v>147.16666666666666</v>
      </c>
      <c r="D1783" s="11">
        <f t="shared" si="119"/>
        <v>1079.5875163775731</v>
      </c>
      <c r="E1783" s="23">
        <f t="shared" si="120"/>
        <v>1078.1934852586164</v>
      </c>
      <c r="F1783" s="23">
        <f>AlphaC*(D1783-E1783)</f>
        <v>34.850777973917957</v>
      </c>
      <c r="G1783" s="13">
        <f>Phi*EpsilonF*Botzman/10^8*J1783*((D1783+273)^4-(E1783+273)^4)</f>
        <v>546.81223530437887</v>
      </c>
      <c r="H1783" s="23">
        <f t="shared" si="121"/>
        <v>650</v>
      </c>
      <c r="I1783" s="12">
        <f>ksh*Massivete/(H1783*RhoA)*DeltaT*(F1783+G1783)</f>
        <v>8.5795437206578271E-2</v>
      </c>
      <c r="J1783" s="3">
        <f>IF(E1783&lt;=500,IF(Galva=Oui,0.35,0.7),0.7)</f>
        <v>0.7</v>
      </c>
    </row>
    <row r="1784" spans="2:10" x14ac:dyDescent="0.25">
      <c r="B1784" s="3">
        <f>B1783+DeltaT</f>
        <v>8835</v>
      </c>
      <c r="C1784" s="13">
        <f t="shared" si="118"/>
        <v>147.25</v>
      </c>
      <c r="D1784" s="11">
        <f t="shared" si="119"/>
        <v>1079.6722627578056</v>
      </c>
      <c r="E1784" s="23">
        <f t="shared" si="120"/>
        <v>1078.279280695823</v>
      </c>
      <c r="F1784" s="23">
        <f>AlphaC*(D1784-E1784)</f>
        <v>34.824551549564831</v>
      </c>
      <c r="G1784" s="13">
        <f>Phi*EpsilonF*Botzman/10^8*J1784*((D1784+273)^4-(E1784+273)^4)</f>
        <v>546.50413951920029</v>
      </c>
      <c r="H1784" s="23">
        <f t="shared" si="121"/>
        <v>650</v>
      </c>
      <c r="I1784" s="12">
        <f>ksh*Massivete/(H1784*RhoA)*DeltaT*(F1784+G1784)</f>
        <v>8.5746124598625115E-2</v>
      </c>
      <c r="J1784" s="3">
        <f>IF(E1784&lt;=500,IF(Galva=Oui,0.35,0.7),0.7)</f>
        <v>0.7</v>
      </c>
    </row>
    <row r="1785" spans="2:10" x14ac:dyDescent="0.25">
      <c r="B1785" s="3">
        <f>B1784+DeltaT</f>
        <v>8840</v>
      </c>
      <c r="C1785" s="13">
        <f t="shared" si="118"/>
        <v>147.33333333333334</v>
      </c>
      <c r="D1785" s="11">
        <f t="shared" si="119"/>
        <v>1079.756961231659</v>
      </c>
      <c r="E1785" s="23">
        <f t="shared" si="120"/>
        <v>1078.3650268204217</v>
      </c>
      <c r="F1785" s="23">
        <f>AlphaC*(D1785-E1785)</f>
        <v>34.798360280933593</v>
      </c>
      <c r="G1785" s="13">
        <f>Phi*EpsilonF*Botzman/10^8*J1785*((D1785+273)^4-(E1785+273)^4)</f>
        <v>546.19639392276758</v>
      </c>
      <c r="H1785" s="23">
        <f t="shared" si="121"/>
        <v>650</v>
      </c>
      <c r="I1785" s="12">
        <f>ksh*Massivete/(H1785*RhoA)*DeltaT*(F1785+G1785)</f>
        <v>8.5696868829075526E-2</v>
      </c>
      <c r="J1785" s="3">
        <f>IF(E1785&lt;=500,IF(Galva=Oui,0.35,0.7),0.7)</f>
        <v>0.7</v>
      </c>
    </row>
    <row r="1786" spans="2:10" x14ac:dyDescent="0.25">
      <c r="B1786" s="3">
        <f>B1785+DeltaT</f>
        <v>8845</v>
      </c>
      <c r="C1786" s="13">
        <f t="shared" si="118"/>
        <v>147.41666666666666</v>
      </c>
      <c r="D1786" s="11">
        <f t="shared" si="119"/>
        <v>1079.8416118532646</v>
      </c>
      <c r="E1786" s="23">
        <f t="shared" si="120"/>
        <v>1078.4507236892507</v>
      </c>
      <c r="F1786" s="23">
        <f>AlphaC*(D1786-E1786)</f>
        <v>34.772204100346471</v>
      </c>
      <c r="G1786" s="13">
        <f>Phi*EpsilonF*Botzman/10^8*J1786*((D1786+273)^4-(E1786+273)^4)</f>
        <v>545.88899791494407</v>
      </c>
      <c r="H1786" s="23">
        <f t="shared" si="121"/>
        <v>650</v>
      </c>
      <c r="I1786" s="12">
        <f>ksh*Massivete/(H1786*RhoA)*DeltaT*(F1786+G1786)</f>
        <v>8.5647669799426701E-2</v>
      </c>
      <c r="J1786" s="3">
        <f>IF(E1786&lt;=500,IF(Galva=Oui,0.35,0.7),0.7)</f>
        <v>0.7</v>
      </c>
    </row>
    <row r="1787" spans="2:10" x14ac:dyDescent="0.25">
      <c r="B1787" s="3">
        <f>B1786+DeltaT</f>
        <v>8850</v>
      </c>
      <c r="C1787" s="13">
        <f t="shared" si="118"/>
        <v>147.5</v>
      </c>
      <c r="D1787" s="11">
        <f t="shared" si="119"/>
        <v>1079.9262146766625</v>
      </c>
      <c r="E1787" s="23">
        <f t="shared" si="120"/>
        <v>1078.5363713590502</v>
      </c>
      <c r="F1787" s="23">
        <f>AlphaC*(D1787-E1787)</f>
        <v>34.746082940307588</v>
      </c>
      <c r="G1787" s="13">
        <f>Phi*EpsilonF*Botzman/10^8*J1787*((D1787+273)^4-(E1787+273)^4)</f>
        <v>545.58195089727894</v>
      </c>
      <c r="H1787" s="23">
        <f t="shared" si="121"/>
        <v>650</v>
      </c>
      <c r="I1787" s="12">
        <f>ksh*Massivete/(H1787*RhoA)*DeltaT*(F1787+G1787)</f>
        <v>8.5598527411451353E-2</v>
      </c>
      <c r="J1787" s="3">
        <f>IF(E1787&lt;=500,IF(Galva=Oui,0.35,0.7),0.7)</f>
        <v>0.7</v>
      </c>
    </row>
    <row r="1788" spans="2:10" x14ac:dyDescent="0.25">
      <c r="B1788" s="3">
        <f>B1787+DeltaT</f>
        <v>8855</v>
      </c>
      <c r="C1788" s="13">
        <f t="shared" si="118"/>
        <v>147.58333333333334</v>
      </c>
      <c r="D1788" s="11">
        <f t="shared" si="119"/>
        <v>1080.0107697558008</v>
      </c>
      <c r="E1788" s="23">
        <f t="shared" si="120"/>
        <v>1078.6219698864618</v>
      </c>
      <c r="F1788" s="23">
        <f>AlphaC*(D1788-E1788)</f>
        <v>34.719996733474545</v>
      </c>
      <c r="G1788" s="13">
        <f>Phi*EpsilonF*Botzman/10^8*J1788*((D1788+273)^4-(E1788+273)^4)</f>
        <v>545.27525227221281</v>
      </c>
      <c r="H1788" s="23">
        <f t="shared" si="121"/>
        <v>650</v>
      </c>
      <c r="I1788" s="12">
        <f>ksh*Massivete/(H1788*RhoA)*DeltaT*(F1788+G1788)</f>
        <v>8.5549441567076293E-2</v>
      </c>
      <c r="J1788" s="3">
        <f>IF(E1788&lt;=500,IF(Galva=Oui,0.35,0.7),0.7)</f>
        <v>0.7</v>
      </c>
    </row>
    <row r="1789" spans="2:10" x14ac:dyDescent="0.25">
      <c r="B1789" s="3">
        <f>B1788+DeltaT</f>
        <v>8860</v>
      </c>
      <c r="C1789" s="13">
        <f t="shared" si="118"/>
        <v>147.66666666666666</v>
      </c>
      <c r="D1789" s="11">
        <f t="shared" si="119"/>
        <v>1080.0952771445368</v>
      </c>
      <c r="E1789" s="23">
        <f t="shared" si="120"/>
        <v>1078.7075193280289</v>
      </c>
      <c r="F1789" s="23">
        <f>AlphaC*(D1789-E1789)</f>
        <v>34.693945412698213</v>
      </c>
      <c r="G1789" s="13">
        <f>Phi*EpsilonF*Botzman/10^8*J1789*((D1789+273)^4-(E1789+273)^4)</f>
        <v>544.96890144420206</v>
      </c>
      <c r="H1789" s="23">
        <f t="shared" si="121"/>
        <v>650</v>
      </c>
      <c r="I1789" s="12">
        <f>ksh*Massivete/(H1789*RhoA)*DeltaT*(F1789+G1789)</f>
        <v>8.5500412168554182E-2</v>
      </c>
      <c r="J1789" s="3">
        <f>IF(E1789&lt;=500,IF(Galva=Oui,0.35,0.7),0.7)</f>
        <v>0.7</v>
      </c>
    </row>
    <row r="1790" spans="2:10" x14ac:dyDescent="0.25">
      <c r="B1790" s="3">
        <f>B1789+DeltaT</f>
        <v>8865</v>
      </c>
      <c r="C1790" s="13">
        <f t="shared" si="118"/>
        <v>147.75</v>
      </c>
      <c r="D1790" s="11">
        <f t="shared" si="119"/>
        <v>1080.1797368966361</v>
      </c>
      <c r="E1790" s="23">
        <f t="shared" si="120"/>
        <v>1078.7930197401975</v>
      </c>
      <c r="F1790" s="23">
        <f>AlphaC*(D1790-E1790)</f>
        <v>34.667928910965884</v>
      </c>
      <c r="G1790" s="13">
        <f>Phi*EpsilonF*Botzman/10^8*J1790*((D1790+273)^4-(E1790+273)^4)</f>
        <v>544.66289781834212</v>
      </c>
      <c r="H1790" s="23">
        <f t="shared" si="121"/>
        <v>650</v>
      </c>
      <c r="I1790" s="12">
        <f>ksh*Massivete/(H1790*RhoA)*DeltaT*(F1790+G1790)</f>
        <v>8.5451439118252051E-2</v>
      </c>
      <c r="J1790" s="3">
        <f>IF(E1790&lt;=500,IF(Galva=Oui,0.35,0.7),0.7)</f>
        <v>0.7</v>
      </c>
    </row>
    <row r="1791" spans="2:10" x14ac:dyDescent="0.25">
      <c r="B1791" s="3">
        <f>B1790+DeltaT</f>
        <v>8870</v>
      </c>
      <c r="C1791" s="13">
        <f t="shared" si="118"/>
        <v>147.83333333333334</v>
      </c>
      <c r="D1791" s="11">
        <f t="shared" si="119"/>
        <v>1080.2641490657736</v>
      </c>
      <c r="E1791" s="23">
        <f t="shared" si="120"/>
        <v>1078.8784711793157</v>
      </c>
      <c r="F1791" s="23">
        <f>AlphaC*(D1791-E1791)</f>
        <v>34.641947161446751</v>
      </c>
      <c r="G1791" s="13">
        <f>Phi*EpsilonF*Botzman/10^8*J1791*((D1791+273)^4-(E1791+273)^4)</f>
        <v>544.35724080139573</v>
      </c>
      <c r="H1791" s="23">
        <f t="shared" si="121"/>
        <v>650</v>
      </c>
      <c r="I1791" s="12">
        <f>ksh*Massivete/(H1791*RhoA)*DeltaT*(F1791+G1791)</f>
        <v>8.5402522318809723E-2</v>
      </c>
      <c r="J1791" s="3">
        <f>IF(E1791&lt;=500,IF(Galva=Oui,0.35,0.7),0.7)</f>
        <v>0.7</v>
      </c>
    </row>
    <row r="1792" spans="2:10" x14ac:dyDescent="0.25">
      <c r="B1792" s="3">
        <f>B1791+DeltaT</f>
        <v>8875</v>
      </c>
      <c r="C1792" s="13">
        <f t="shared" si="118"/>
        <v>147.91666666666666</v>
      </c>
      <c r="D1792" s="11">
        <f t="shared" si="119"/>
        <v>1080.3485137055345</v>
      </c>
      <c r="E1792" s="23">
        <f t="shared" si="120"/>
        <v>1078.9638737016346</v>
      </c>
      <c r="F1792" s="23">
        <f>AlphaC*(D1792-E1792)</f>
        <v>34.61600009749759</v>
      </c>
      <c r="G1792" s="13">
        <f>Phi*EpsilonF*Botzman/10^8*J1792*((D1792+273)^4-(E1792+273)^4)</f>
        <v>544.05192980190805</v>
      </c>
      <c r="H1792" s="23">
        <f t="shared" si="121"/>
        <v>650</v>
      </c>
      <c r="I1792" s="12">
        <f>ksh*Massivete/(H1792*RhoA)*DeltaT*(F1792+G1792)</f>
        <v>8.5353661673157541E-2</v>
      </c>
      <c r="J1792" s="3">
        <f>IF(E1792&lt;=500,IF(Galva=Oui,0.35,0.7),0.7)</f>
        <v>0.7</v>
      </c>
    </row>
    <row r="1793" spans="2:10" x14ac:dyDescent="0.25">
      <c r="B1793" s="3">
        <f>B1792+DeltaT</f>
        <v>8880</v>
      </c>
      <c r="C1793" s="13">
        <f t="shared" si="118"/>
        <v>148</v>
      </c>
      <c r="D1793" s="11">
        <f t="shared" si="119"/>
        <v>1080.4328308694121</v>
      </c>
      <c r="E1793" s="23">
        <f t="shared" si="120"/>
        <v>1079.0492273633079</v>
      </c>
      <c r="F1793" s="23">
        <f>AlphaC*(D1793-E1793)</f>
        <v>34.590087652605916</v>
      </c>
      <c r="G1793" s="13">
        <f>Phi*EpsilonF*Botzman/10^8*J1793*((D1793+273)^4-(E1793+273)^4)</f>
        <v>543.74696422904469</v>
      </c>
      <c r="H1793" s="23">
        <f t="shared" si="121"/>
        <v>650</v>
      </c>
      <c r="I1793" s="12">
        <f>ksh*Massivete/(H1793*RhoA)*DeltaT*(F1793+G1793)</f>
        <v>8.5304857084336702E-2</v>
      </c>
      <c r="J1793" s="3">
        <f>IF(E1793&lt;=500,IF(Galva=Oui,0.35,0.7),0.7)</f>
        <v>0.7</v>
      </c>
    </row>
    <row r="1794" spans="2:10" x14ac:dyDescent="0.25">
      <c r="B1794" s="3">
        <f>B1793+DeltaT</f>
        <v>8885</v>
      </c>
      <c r="C1794" s="13">
        <f t="shared" si="118"/>
        <v>148.08333333333334</v>
      </c>
      <c r="D1794" s="11">
        <f t="shared" si="119"/>
        <v>1080.5171006108105</v>
      </c>
      <c r="E1794" s="23">
        <f t="shared" si="120"/>
        <v>1079.1345322203922</v>
      </c>
      <c r="F1794" s="23">
        <f>AlphaC*(D1794-E1794)</f>
        <v>34.564209760458198</v>
      </c>
      <c r="G1794" s="13">
        <f>Phi*EpsilonF*Botzman/10^8*J1794*((D1794+273)^4-(E1794+273)^4)</f>
        <v>543.44234349394776</v>
      </c>
      <c r="H1794" s="23">
        <f t="shared" si="121"/>
        <v>650</v>
      </c>
      <c r="I1794" s="12">
        <f>ksh*Massivete/(H1794*RhoA)*DeltaT*(F1794+G1794)</f>
        <v>8.5256108455709245E-2</v>
      </c>
      <c r="J1794" s="3">
        <f>IF(E1794&lt;=500,IF(Galva=Oui,0.35,0.7),0.7)</f>
        <v>0.7</v>
      </c>
    </row>
    <row r="1795" spans="2:10" x14ac:dyDescent="0.25">
      <c r="B1795" s="3">
        <f>B1794+DeltaT</f>
        <v>8890</v>
      </c>
      <c r="C1795" s="13">
        <f t="shared" si="118"/>
        <v>148.16666666666666</v>
      </c>
      <c r="D1795" s="11">
        <f t="shared" si="119"/>
        <v>1080.601322983043</v>
      </c>
      <c r="E1795" s="23">
        <f t="shared" si="120"/>
        <v>1079.2197883288479</v>
      </c>
      <c r="F1795" s="23">
        <f>AlphaC*(D1795-E1795)</f>
        <v>34.538366354877326</v>
      </c>
      <c r="G1795" s="13">
        <f>Phi*EpsilonF*Botzman/10^8*J1795*((D1795+273)^4-(E1795+273)^4)</f>
        <v>543.13806700857367</v>
      </c>
      <c r="H1795" s="23">
        <f t="shared" si="121"/>
        <v>650</v>
      </c>
      <c r="I1795" s="12">
        <f>ksh*Massivete/(H1795*RhoA)*DeltaT*(F1795+G1795)</f>
        <v>8.5207415690777472E-2</v>
      </c>
      <c r="J1795" s="3">
        <f>IF(E1795&lt;=500,IF(Galva=Oui,0.35,0.7),0.7)</f>
        <v>0.7</v>
      </c>
    </row>
    <row r="1796" spans="2:10" x14ac:dyDescent="0.25">
      <c r="B1796" s="3">
        <f>B1795+DeltaT</f>
        <v>8895</v>
      </c>
      <c r="C1796" s="13">
        <f t="shared" si="118"/>
        <v>148.25</v>
      </c>
      <c r="D1796" s="11">
        <f t="shared" si="119"/>
        <v>1080.6854980393339</v>
      </c>
      <c r="E1796" s="23">
        <f t="shared" si="120"/>
        <v>1079.3049957445387</v>
      </c>
      <c r="F1796" s="23">
        <f>AlphaC*(D1796-E1796)</f>
        <v>34.51255736987946</v>
      </c>
      <c r="G1796" s="13">
        <f>Phi*EpsilonF*Botzman/10^8*J1796*((D1796+273)^4-(E1796+273)^4)</f>
        <v>542.83413418673899</v>
      </c>
      <c r="H1796" s="23">
        <f t="shared" si="121"/>
        <v>650</v>
      </c>
      <c r="I1796" s="12">
        <f>ksh*Massivete/(H1796*RhoA)*DeltaT*(F1796+G1796)</f>
        <v>8.5158778693346537E-2</v>
      </c>
      <c r="J1796" s="3">
        <f>IF(E1796&lt;=500,IF(Galva=Oui,0.35,0.7),0.7)</f>
        <v>0.7</v>
      </c>
    </row>
    <row r="1797" spans="2:10" x14ac:dyDescent="0.25">
      <c r="B1797" s="3">
        <f>B1796+DeltaT</f>
        <v>8900</v>
      </c>
      <c r="C1797" s="13">
        <f t="shared" si="118"/>
        <v>148.33333333333334</v>
      </c>
      <c r="D1797" s="11">
        <f t="shared" si="119"/>
        <v>1080.7696258328167</v>
      </c>
      <c r="E1797" s="23">
        <f t="shared" si="120"/>
        <v>1079.390154523232</v>
      </c>
      <c r="F1797" s="23">
        <f>AlphaC*(D1797-E1797)</f>
        <v>34.486782739617183</v>
      </c>
      <c r="G1797" s="13">
        <f>Phi*EpsilonF*Botzman/10^8*J1797*((D1797+273)^4-(E1797+273)^4)</f>
        <v>542.53054444305496</v>
      </c>
      <c r="H1797" s="23">
        <f t="shared" si="121"/>
        <v>650</v>
      </c>
      <c r="I1797" s="12">
        <f>ksh*Massivete/(H1797*RhoA)*DeltaT*(F1797+G1797)</f>
        <v>8.5110197367358961E-2</v>
      </c>
      <c r="J1797" s="3">
        <f>IF(E1797&lt;=500,IF(Galva=Oui,0.35,0.7),0.7)</f>
        <v>0.7</v>
      </c>
    </row>
    <row r="1798" spans="2:10" x14ac:dyDescent="0.25">
      <c r="B1798" s="3">
        <f>B1797+DeltaT</f>
        <v>8905</v>
      </c>
      <c r="C1798" s="13">
        <f t="shared" si="118"/>
        <v>148.41666666666666</v>
      </c>
      <c r="D1798" s="11">
        <f t="shared" si="119"/>
        <v>1080.8537064165364</v>
      </c>
      <c r="E1798" s="23">
        <f t="shared" si="120"/>
        <v>1079.4752647205994</v>
      </c>
      <c r="F1798" s="23">
        <f>AlphaC*(D1798-E1798)</f>
        <v>34.461042398424979</v>
      </c>
      <c r="G1798" s="13">
        <f>Phi*EpsilonF*Botzman/10^8*J1798*((D1798+273)^4-(E1798+273)^4)</f>
        <v>542.22729719383835</v>
      </c>
      <c r="H1798" s="23">
        <f t="shared" si="121"/>
        <v>650</v>
      </c>
      <c r="I1798" s="12">
        <f>ksh*Massivete/(H1798*RhoA)*DeltaT*(F1798+G1798)</f>
        <v>8.5061671617035622E-2</v>
      </c>
      <c r="J1798" s="3">
        <f>IF(E1798&lt;=500,IF(Galva=Oui,0.35,0.7),0.7)</f>
        <v>0.7</v>
      </c>
    </row>
    <row r="1799" spans="2:10" x14ac:dyDescent="0.25">
      <c r="B1799" s="3">
        <f>B1798+DeltaT</f>
        <v>8910</v>
      </c>
      <c r="C1799" s="13">
        <f t="shared" si="118"/>
        <v>148.5</v>
      </c>
      <c r="D1799" s="11">
        <f t="shared" si="119"/>
        <v>1080.9377398434485</v>
      </c>
      <c r="E1799" s="23">
        <f t="shared" si="120"/>
        <v>1079.5603263922164</v>
      </c>
      <c r="F1799" s="23">
        <f>AlphaC*(D1799-E1799)</f>
        <v>34.435336280802176</v>
      </c>
      <c r="G1799" s="13">
        <f>Phi*EpsilonF*Botzman/10^8*J1799*((D1799+273)^4-(E1799+273)^4)</f>
        <v>541.92439185676244</v>
      </c>
      <c r="H1799" s="23">
        <f t="shared" si="121"/>
        <v>650</v>
      </c>
      <c r="I1799" s="12">
        <f>ksh*Massivete/(H1799*RhoA)*DeltaT*(F1799+G1799)</f>
        <v>8.5013201346821832E-2</v>
      </c>
      <c r="J1799" s="3">
        <f>IF(E1799&lt;=500,IF(Galva=Oui,0.35,0.7),0.7)</f>
        <v>0.7</v>
      </c>
    </row>
    <row r="1800" spans="2:10" x14ac:dyDescent="0.25">
      <c r="B1800" s="3">
        <f>B1799+DeltaT</f>
        <v>8915</v>
      </c>
      <c r="C1800" s="13">
        <f t="shared" si="118"/>
        <v>148.58333333333334</v>
      </c>
      <c r="D1800" s="11">
        <f t="shared" si="119"/>
        <v>1081.0217261664193</v>
      </c>
      <c r="E1800" s="23">
        <f t="shared" si="120"/>
        <v>1079.6453395935632</v>
      </c>
      <c r="F1800" s="23">
        <f>AlphaC*(D1800-E1800)</f>
        <v>34.409664321401578</v>
      </c>
      <c r="G1800" s="13">
        <f>Phi*EpsilonF*Botzman/10^8*J1800*((D1800+273)^4-(E1800+273)^4)</f>
        <v>541.62182785054688</v>
      </c>
      <c r="H1800" s="23">
        <f t="shared" si="121"/>
        <v>650</v>
      </c>
      <c r="I1800" s="12">
        <f>ksh*Massivete/(H1800*RhoA)*DeltaT*(F1800+G1800)</f>
        <v>8.496478646133987E-2</v>
      </c>
      <c r="J1800" s="3">
        <f>IF(E1800&lt;=500,IF(Galva=Oui,0.35,0.7),0.7)</f>
        <v>0.7</v>
      </c>
    </row>
    <row r="1801" spans="2:10" x14ac:dyDescent="0.25">
      <c r="B1801" s="3">
        <f>B1800+DeltaT</f>
        <v>8920</v>
      </c>
      <c r="C1801" s="13">
        <f t="shared" si="118"/>
        <v>148.66666666666666</v>
      </c>
      <c r="D1801" s="11">
        <f t="shared" si="119"/>
        <v>1081.1056654382262</v>
      </c>
      <c r="E1801" s="23">
        <f t="shared" si="120"/>
        <v>1079.7303043800246</v>
      </c>
      <c r="F1801" s="23">
        <f>AlphaC*(D1801-E1801)</f>
        <v>34.384026455040839</v>
      </c>
      <c r="G1801" s="13">
        <f>Phi*EpsilonF*Botzman/10^8*J1801*((D1801+273)^4-(E1801+273)^4)</f>
        <v>541.31960459544268</v>
      </c>
      <c r="H1801" s="23">
        <f t="shared" si="121"/>
        <v>650</v>
      </c>
      <c r="I1801" s="12">
        <f>ksh*Massivete/(H1801*RhoA)*DeltaT*(F1801+G1801)</f>
        <v>8.4916426865462205E-2</v>
      </c>
      <c r="J1801" s="3">
        <f>IF(E1801&lt;=500,IF(Galva=Oui,0.35,0.7),0.7)</f>
        <v>0.7</v>
      </c>
    </row>
    <row r="1802" spans="2:10" x14ac:dyDescent="0.25">
      <c r="B1802" s="3">
        <f>B1801+DeltaT</f>
        <v>8925</v>
      </c>
      <c r="C1802" s="13">
        <f t="shared" si="118"/>
        <v>148.75</v>
      </c>
      <c r="D1802" s="11">
        <f t="shared" si="119"/>
        <v>1081.1895577115581</v>
      </c>
      <c r="E1802" s="23">
        <f t="shared" si="120"/>
        <v>1079.81522080689</v>
      </c>
      <c r="F1802" s="23">
        <f>AlphaC*(D1802-E1802)</f>
        <v>34.358422616702455</v>
      </c>
      <c r="G1802" s="13">
        <f>Phi*EpsilonF*Botzman/10^8*J1802*((D1802+273)^4-(E1802+273)^4)</f>
        <v>541.01772151288276</v>
      </c>
      <c r="H1802" s="23">
        <f t="shared" si="121"/>
        <v>650</v>
      </c>
      <c r="I1802" s="12">
        <f>ksh*Massivete/(H1802*RhoA)*DeltaT*(F1802+G1802)</f>
        <v>8.4868122464259954E-2</v>
      </c>
      <c r="J1802" s="3">
        <f>IF(E1802&lt;=500,IF(Galva=Oui,0.35,0.7),0.7)</f>
        <v>0.7</v>
      </c>
    </row>
    <row r="1803" spans="2:10" x14ac:dyDescent="0.25">
      <c r="B1803" s="3">
        <f>B1802+DeltaT</f>
        <v>8930</v>
      </c>
      <c r="C1803" s="13">
        <f t="shared" si="118"/>
        <v>148.83333333333334</v>
      </c>
      <c r="D1803" s="11">
        <f t="shared" si="119"/>
        <v>1081.2734030390156</v>
      </c>
      <c r="E1803" s="23">
        <f t="shared" si="120"/>
        <v>1079.9000889293543</v>
      </c>
      <c r="F1803" s="23">
        <f>AlphaC*(D1803-E1803)</f>
        <v>34.33285274153377</v>
      </c>
      <c r="G1803" s="13">
        <f>Phi*EpsilonF*Botzman/10^8*J1803*((D1803+273)^4-(E1803+273)^4)</f>
        <v>540.71617802581159</v>
      </c>
      <c r="H1803" s="23">
        <f t="shared" si="121"/>
        <v>650</v>
      </c>
      <c r="I1803" s="12">
        <f>ksh*Massivete/(H1803*RhoA)*DeltaT*(F1803+G1803)</f>
        <v>8.4819873163051493E-2</v>
      </c>
      <c r="J1803" s="3">
        <f>IF(E1803&lt;=500,IF(Galva=Oui,0.35,0.7),0.7)</f>
        <v>0.7</v>
      </c>
    </row>
    <row r="1804" spans="2:10" x14ac:dyDescent="0.25">
      <c r="B1804" s="3">
        <f>B1803+DeltaT</f>
        <v>8935</v>
      </c>
      <c r="C1804" s="13">
        <f t="shared" si="118"/>
        <v>148.91666666666666</v>
      </c>
      <c r="D1804" s="11">
        <f t="shared" si="119"/>
        <v>1081.3572014731108</v>
      </c>
      <c r="E1804" s="23">
        <f t="shared" si="120"/>
        <v>1079.9849088025173</v>
      </c>
      <c r="F1804" s="23">
        <f>AlphaC*(D1804-E1804)</f>
        <v>34.307316764835605</v>
      </c>
      <c r="G1804" s="13">
        <f>Phi*EpsilonF*Botzman/10^8*J1804*((D1804+273)^4-(E1804+273)^4)</f>
        <v>540.41497355831734</v>
      </c>
      <c r="H1804" s="23">
        <f t="shared" si="121"/>
        <v>650</v>
      </c>
      <c r="I1804" s="12">
        <f>ksh*Massivete/(H1804*RhoA)*DeltaT*(F1804+G1804)</f>
        <v>8.4771678867346559E-2</v>
      </c>
      <c r="J1804" s="3">
        <f>IF(E1804&lt;=500,IF(Galva=Oui,0.35,0.7),0.7)</f>
        <v>0.7</v>
      </c>
    </row>
    <row r="1805" spans="2:10" x14ac:dyDescent="0.25">
      <c r="B1805" s="3">
        <f>B1804+DeltaT</f>
        <v>8940</v>
      </c>
      <c r="C1805" s="13">
        <f t="shared" si="118"/>
        <v>149</v>
      </c>
      <c r="D1805" s="11">
        <f t="shared" si="119"/>
        <v>1081.4409530662679</v>
      </c>
      <c r="E1805" s="23">
        <f t="shared" si="120"/>
        <v>1080.0696804813847</v>
      </c>
      <c r="F1805" s="23">
        <f>AlphaC*(D1805-E1805)</f>
        <v>34.28181462207931</v>
      </c>
      <c r="G1805" s="13">
        <f>Phi*EpsilonF*Botzman/10^8*J1805*((D1805+273)^4-(E1805+273)^4)</f>
        <v>540.11410753590269</v>
      </c>
      <c r="H1805" s="23">
        <f t="shared" si="121"/>
        <v>650</v>
      </c>
      <c r="I1805" s="12">
        <f>ksh*Massivete/(H1805*RhoA)*DeltaT*(F1805+G1805)</f>
        <v>8.4723539482888646E-2</v>
      </c>
      <c r="J1805" s="3">
        <f>IF(E1805&lt;=500,IF(Galva=Oui,0.35,0.7),0.7)</f>
        <v>0.7</v>
      </c>
    </row>
    <row r="1806" spans="2:10" x14ac:dyDescent="0.25">
      <c r="B1806" s="3">
        <f>B1805+DeltaT</f>
        <v>8945</v>
      </c>
      <c r="C1806" s="13">
        <f t="shared" si="118"/>
        <v>149.08333333333334</v>
      </c>
      <c r="D1806" s="11">
        <f t="shared" si="119"/>
        <v>1081.5246578708229</v>
      </c>
      <c r="E1806" s="23">
        <f t="shared" si="120"/>
        <v>1080.1544040208676</v>
      </c>
      <c r="F1806" s="23">
        <f>AlphaC*(D1806-E1806)</f>
        <v>34.256346248884029</v>
      </c>
      <c r="G1806" s="13">
        <f>Phi*EpsilonF*Botzman/10^8*J1806*((D1806+273)^4-(E1806+273)^4)</f>
        <v>539.81357938523331</v>
      </c>
      <c r="H1806" s="23">
        <f t="shared" si="121"/>
        <v>650</v>
      </c>
      <c r="I1806" s="12">
        <f>ksh*Massivete/(H1806*RhoA)*DeltaT*(F1806+G1806)</f>
        <v>8.4675454915614623E-2</v>
      </c>
      <c r="J1806" s="3">
        <f>IF(E1806&lt;=500,IF(Galva=Oui,0.35,0.7),0.7)</f>
        <v>0.7</v>
      </c>
    </row>
    <row r="1807" spans="2:10" x14ac:dyDescent="0.25">
      <c r="B1807" s="3">
        <f>B1806+DeltaT</f>
        <v>8950</v>
      </c>
      <c r="C1807" s="13">
        <f t="shared" si="118"/>
        <v>149.16666666666666</v>
      </c>
      <c r="D1807" s="11">
        <f t="shared" si="119"/>
        <v>1081.6083159390246</v>
      </c>
      <c r="E1807" s="23">
        <f t="shared" si="120"/>
        <v>1080.2390794757832</v>
      </c>
      <c r="F1807" s="23">
        <f>AlphaC*(D1807-E1807)</f>
        <v>34.230911581033752</v>
      </c>
      <c r="G1807" s="13">
        <f>Phi*EpsilonF*Botzman/10^8*J1807*((D1807+273)^4-(E1807+273)^4)</f>
        <v>539.51338853438926</v>
      </c>
      <c r="H1807" s="23">
        <f t="shared" si="121"/>
        <v>650</v>
      </c>
      <c r="I1807" s="12">
        <f>ksh*Massivete/(H1807*RhoA)*DeltaT*(F1807+G1807)</f>
        <v>8.4627425071694268E-2</v>
      </c>
      <c r="J1807" s="3">
        <f>IF(E1807&lt;=500,IF(Galva=Oui,0.35,0.7),0.7)</f>
        <v>0.7</v>
      </c>
    </row>
    <row r="1808" spans="2:10" x14ac:dyDescent="0.25">
      <c r="B1808" s="3">
        <f>B1807+DeltaT</f>
        <v>8955</v>
      </c>
      <c r="C1808" s="13">
        <f t="shared" si="118"/>
        <v>149.25</v>
      </c>
      <c r="D1808" s="11">
        <f t="shared" si="119"/>
        <v>1081.6919273230337</v>
      </c>
      <c r="E1808" s="23">
        <f t="shared" si="120"/>
        <v>1080.3237069008549</v>
      </c>
      <c r="F1808" s="23">
        <f>AlphaC*(D1808-E1808)</f>
        <v>34.20551055447163</v>
      </c>
      <c r="G1808" s="13">
        <f>Phi*EpsilonF*Botzman/10^8*J1808*((D1808+273)^4-(E1808+273)^4)</f>
        <v>539.21353441261385</v>
      </c>
      <c r="H1808" s="23">
        <f t="shared" si="121"/>
        <v>650</v>
      </c>
      <c r="I1808" s="12">
        <f>ksh*Massivete/(H1808*RhoA)*DeltaT*(F1808+G1808)</f>
        <v>8.4579449857492439E-2</v>
      </c>
      <c r="J1808" s="3">
        <f>IF(E1808&lt;=500,IF(Galva=Oui,0.35,0.7),0.7)</f>
        <v>0.7</v>
      </c>
    </row>
    <row r="1809" spans="2:10" x14ac:dyDescent="0.25">
      <c r="B1809" s="3">
        <f>B1808+DeltaT</f>
        <v>8960</v>
      </c>
      <c r="C1809" s="13">
        <f t="shared" si="118"/>
        <v>149.33333333333334</v>
      </c>
      <c r="D1809" s="11">
        <f t="shared" si="119"/>
        <v>1081.7754920749248</v>
      </c>
      <c r="E1809" s="23">
        <f t="shared" si="120"/>
        <v>1080.4082863507124</v>
      </c>
      <c r="F1809" s="23">
        <f>AlphaC*(D1809-E1809)</f>
        <v>34.180143105311345</v>
      </c>
      <c r="G1809" s="13">
        <f>Phi*EpsilonF*Botzman/10^8*J1809*((D1809+273)^4-(E1809+273)^4)</f>
        <v>538.91401645077781</v>
      </c>
      <c r="H1809" s="23">
        <f t="shared" si="121"/>
        <v>650</v>
      </c>
      <c r="I1809" s="12">
        <f>ksh*Massivete/(H1809*RhoA)*DeltaT*(F1809+G1809)</f>
        <v>8.4531529179639173E-2</v>
      </c>
      <c r="J1809" s="3">
        <f>IF(E1809&lt;=500,IF(Galva=Oui,0.35,0.7),0.7)</f>
        <v>0.7</v>
      </c>
    </row>
    <row r="1810" spans="2:10" x14ac:dyDescent="0.25">
      <c r="B1810" s="3">
        <f>B1809+DeltaT</f>
        <v>8965</v>
      </c>
      <c r="C1810" s="13">
        <f t="shared" ref="C1810:C1873" si="122">B1810/60</f>
        <v>149.41666666666666</v>
      </c>
      <c r="D1810" s="11">
        <f t="shared" ref="D1810:D1873" si="123">20+345*LOG(8*C1810+1,10)</f>
        <v>1081.8590102466842</v>
      </c>
      <c r="E1810" s="23">
        <f t="shared" si="120"/>
        <v>1080.4928178798921</v>
      </c>
      <c r="F1810" s="23">
        <f>AlphaC*(D1810-E1810)</f>
        <v>34.154809169803002</v>
      </c>
      <c r="G1810" s="13">
        <f>Phi*EpsilonF*Botzman/10^8*J1810*((D1810+273)^4-(E1810+273)^4)</f>
        <v>538.61483408064385</v>
      </c>
      <c r="H1810" s="23">
        <f t="shared" si="121"/>
        <v>650</v>
      </c>
      <c r="I1810" s="12">
        <f>ksh*Massivete/(H1810*RhoA)*DeltaT*(F1810+G1810)</f>
        <v>8.4483662944916202E-2</v>
      </c>
      <c r="J1810" s="3">
        <f>IF(E1810&lt;=500,IF(Galva=Oui,0.35,0.7),0.7)</f>
        <v>0.7</v>
      </c>
    </row>
    <row r="1811" spans="2:10" x14ac:dyDescent="0.25">
      <c r="B1811" s="3">
        <f>B1810+DeltaT</f>
        <v>8970</v>
      </c>
      <c r="C1811" s="13">
        <f t="shared" si="122"/>
        <v>149.5</v>
      </c>
      <c r="D1811" s="11">
        <f t="shared" si="123"/>
        <v>1081.9424818902114</v>
      </c>
      <c r="E1811" s="23">
        <f t="shared" si="120"/>
        <v>1080.5773015428369</v>
      </c>
      <c r="F1811" s="23">
        <f>AlphaC*(D1811-E1811)</f>
        <v>34.129508684361554</v>
      </c>
      <c r="G1811" s="13">
        <f>Phi*EpsilonF*Botzman/10^8*J1811*((D1811+273)^4-(E1811+273)^4)</f>
        <v>538.31598673536962</v>
      </c>
      <c r="H1811" s="23">
        <f t="shared" si="121"/>
        <v>650</v>
      </c>
      <c r="I1811" s="12">
        <f>ksh*Massivete/(H1811*RhoA)*DeltaT*(F1811+G1811)</f>
        <v>8.4435851060335354E-2</v>
      </c>
      <c r="J1811" s="3">
        <f>IF(E1811&lt;=500,IF(Galva=Oui,0.35,0.7),0.7)</f>
        <v>0.7</v>
      </c>
    </row>
    <row r="1812" spans="2:10" x14ac:dyDescent="0.25">
      <c r="B1812" s="3">
        <f>B1811+DeltaT</f>
        <v>8975</v>
      </c>
      <c r="C1812" s="13">
        <f t="shared" si="122"/>
        <v>149.58333333333334</v>
      </c>
      <c r="D1812" s="11">
        <f t="shared" si="123"/>
        <v>1082.0259070573204</v>
      </c>
      <c r="E1812" s="23">
        <f t="shared" si="120"/>
        <v>1080.6617373938973</v>
      </c>
      <c r="F1812" s="23">
        <f>AlphaC*(D1812-E1812)</f>
        <v>34.104241585578166</v>
      </c>
      <c r="G1812" s="13">
        <f>Phi*EpsilonF*Botzman/10^8*J1812*((D1812+273)^4-(E1812+273)^4)</f>
        <v>538.01747384962459</v>
      </c>
      <c r="H1812" s="23">
        <f t="shared" si="121"/>
        <v>650</v>
      </c>
      <c r="I1812" s="12">
        <f>ksh*Massivete/(H1812*RhoA)*DeltaT*(F1812+G1812)</f>
        <v>8.4388093433157382E-2</v>
      </c>
      <c r="J1812" s="3">
        <f>IF(E1812&lt;=500,IF(Galva=Oui,0.35,0.7),0.7)</f>
        <v>0.7</v>
      </c>
    </row>
    <row r="1813" spans="2:10" x14ac:dyDescent="0.25">
      <c r="B1813" s="3">
        <f>B1812+DeltaT</f>
        <v>8980</v>
      </c>
      <c r="C1813" s="13">
        <f t="shared" si="122"/>
        <v>149.66666666666666</v>
      </c>
      <c r="D1813" s="11">
        <f t="shared" si="123"/>
        <v>1082.1092857997373</v>
      </c>
      <c r="E1813" s="23">
        <f t="shared" si="120"/>
        <v>1080.7461254873303</v>
      </c>
      <c r="F1813" s="23">
        <f>AlphaC*(D1813-E1813)</f>
        <v>34.079007810174744</v>
      </c>
      <c r="G1813" s="13">
        <f>Phi*EpsilonF*Botzman/10^8*J1813*((D1813+273)^4-(E1813+273)^4)</f>
        <v>537.71929485906662</v>
      </c>
      <c r="H1813" s="23">
        <f t="shared" si="121"/>
        <v>650</v>
      </c>
      <c r="I1813" s="12">
        <f>ksh*Massivete/(H1813*RhoA)*DeltaT*(F1813+G1813)</f>
        <v>8.4340389970808186E-2</v>
      </c>
      <c r="J1813" s="3">
        <f>IF(E1813&lt;=500,IF(Galva=Oui,0.35,0.7),0.7)</f>
        <v>0.7</v>
      </c>
    </row>
    <row r="1814" spans="2:10" x14ac:dyDescent="0.25">
      <c r="B1814" s="3">
        <f>B1813+DeltaT</f>
        <v>8985</v>
      </c>
      <c r="C1814" s="13">
        <f t="shared" si="122"/>
        <v>149.75</v>
      </c>
      <c r="D1814" s="11">
        <f t="shared" si="123"/>
        <v>1082.1926181691026</v>
      </c>
      <c r="E1814" s="23">
        <f t="shared" si="120"/>
        <v>1080.8304658773011</v>
      </c>
      <c r="F1814" s="23">
        <f>AlphaC*(D1814-E1814)</f>
        <v>34.053807295038041</v>
      </c>
      <c r="G1814" s="13">
        <f>Phi*EpsilonF*Botzman/10^8*J1814*((D1814+273)^4-(E1814+273)^4)</f>
        <v>537.4214492006713</v>
      </c>
      <c r="H1814" s="23">
        <f t="shared" si="121"/>
        <v>650</v>
      </c>
      <c r="I1814" s="12">
        <f>ksh*Massivete/(H1814*RhoA)*DeltaT*(F1814+G1814)</f>
        <v>8.4292740580932279E-2</v>
      </c>
      <c r="J1814" s="3">
        <f>IF(E1814&lt;=500,IF(Galva=Oui,0.35,0.7),0.7)</f>
        <v>0.7</v>
      </c>
    </row>
    <row r="1815" spans="2:10" x14ac:dyDescent="0.25">
      <c r="B1815" s="3">
        <f>B1814+DeltaT</f>
        <v>8990</v>
      </c>
      <c r="C1815" s="13">
        <f t="shared" si="122"/>
        <v>149.83333333333334</v>
      </c>
      <c r="D1815" s="11">
        <f t="shared" si="123"/>
        <v>1082.2759042169707</v>
      </c>
      <c r="E1815" s="23">
        <f t="shared" si="120"/>
        <v>1080.9147586178819</v>
      </c>
      <c r="F1815" s="23">
        <f>AlphaC*(D1815-E1815)</f>
        <v>34.028639977219655</v>
      </c>
      <c r="G1815" s="13">
        <f>Phi*EpsilonF*Botzman/10^8*J1815*((D1815+273)^4-(E1815+273)^4)</f>
        <v>537.12393631290649</v>
      </c>
      <c r="H1815" s="23">
        <f t="shared" si="121"/>
        <v>650</v>
      </c>
      <c r="I1815" s="12">
        <f>ksh*Massivete/(H1815*RhoA)*DeltaT*(F1815+G1815)</f>
        <v>8.4245145171418637E-2</v>
      </c>
      <c r="J1815" s="3">
        <f>IF(E1815&lt;=500,IF(Galva=Oui,0.35,0.7),0.7)</f>
        <v>0.7</v>
      </c>
    </row>
    <row r="1816" spans="2:10" x14ac:dyDescent="0.25">
      <c r="B1816" s="3">
        <f>B1815+DeltaT</f>
        <v>8995</v>
      </c>
      <c r="C1816" s="13">
        <f t="shared" si="122"/>
        <v>149.91666666666666</v>
      </c>
      <c r="D1816" s="11">
        <f t="shared" si="123"/>
        <v>1082.3591439948098</v>
      </c>
      <c r="E1816" s="23">
        <f t="shared" si="120"/>
        <v>1080.9990037630535</v>
      </c>
      <c r="F1816" s="23">
        <f>AlphaC*(D1816-E1816)</f>
        <v>34.003505793907607</v>
      </c>
      <c r="G1816" s="13">
        <f>Phi*EpsilonF*Botzman/10^8*J1816*((D1816+273)^4-(E1816+273)^4)</f>
        <v>536.82675563509292</v>
      </c>
      <c r="H1816" s="23">
        <f t="shared" si="121"/>
        <v>650</v>
      </c>
      <c r="I1816" s="12">
        <f>ksh*Massivete/(H1816*RhoA)*DeltaT*(F1816+G1816)</f>
        <v>8.4197603650302141E-2</v>
      </c>
      <c r="J1816" s="3">
        <f>IF(E1816&lt;=500,IF(Galva=Oui,0.35,0.7),0.7)</f>
        <v>0.7</v>
      </c>
    </row>
    <row r="1817" spans="2:10" x14ac:dyDescent="0.25">
      <c r="B1817" s="3">
        <f>B1816+DeltaT</f>
        <v>9000</v>
      </c>
      <c r="C1817" s="13">
        <f t="shared" si="122"/>
        <v>150</v>
      </c>
      <c r="D1817" s="11">
        <f t="shared" si="123"/>
        <v>1082.4423375540025</v>
      </c>
      <c r="E1817" s="23">
        <f t="shared" si="120"/>
        <v>1081.0832013667039</v>
      </c>
      <c r="F1817" s="23">
        <f>AlphaC*(D1817-E1817)</f>
        <v>33.978404682466135</v>
      </c>
      <c r="G1817" s="13">
        <f>Phi*EpsilonF*Botzman/10^8*J1817*((D1817+273)^4-(E1817+273)^4)</f>
        <v>536.5299066083146</v>
      </c>
      <c r="H1817" s="23">
        <f t="shared" si="121"/>
        <v>650</v>
      </c>
      <c r="I1817" s="12">
        <f>ksh*Massivete/(H1817*RhoA)*DeltaT*(F1817+G1817)</f>
        <v>8.4150115925903782E-2</v>
      </c>
      <c r="J1817" s="3">
        <f>IF(E1817&lt;=500,IF(Galva=Oui,0.35,0.7),0.7)</f>
        <v>0.7</v>
      </c>
    </row>
    <row r="1818" spans="2:10" x14ac:dyDescent="0.25">
      <c r="B1818" s="3">
        <f>B1817+DeltaT</f>
        <v>9005</v>
      </c>
      <c r="C1818" s="13">
        <f t="shared" si="122"/>
        <v>150.08333333333334</v>
      </c>
      <c r="D1818" s="11">
        <f t="shared" si="123"/>
        <v>1082.5254849458458</v>
      </c>
      <c r="E1818" s="23">
        <f t="shared" si="120"/>
        <v>1081.1673514826298</v>
      </c>
      <c r="F1818" s="23">
        <f>AlphaC*(D1818-E1818)</f>
        <v>33.953336580401583</v>
      </c>
      <c r="G1818" s="13">
        <f>Phi*EpsilonF*Botzman/10^8*J1818*((D1818+273)^4-(E1818+273)^4)</f>
        <v>536.23338867460552</v>
      </c>
      <c r="H1818" s="23">
        <f t="shared" si="121"/>
        <v>650</v>
      </c>
      <c r="I1818" s="12">
        <f>ksh*Massivete/(H1818*RhoA)*DeltaT*(F1818+G1818)</f>
        <v>8.410268190670557E-2</v>
      </c>
      <c r="J1818" s="3">
        <f>IF(E1818&lt;=500,IF(Galva=Oui,0.35,0.7),0.7)</f>
        <v>0.7</v>
      </c>
    </row>
    <row r="1819" spans="2:10" x14ac:dyDescent="0.25">
      <c r="B1819" s="3">
        <f>B1818+DeltaT</f>
        <v>9010</v>
      </c>
      <c r="C1819" s="13">
        <f t="shared" si="122"/>
        <v>150.16666666666666</v>
      </c>
      <c r="D1819" s="11">
        <f t="shared" si="123"/>
        <v>1082.6085862215518</v>
      </c>
      <c r="E1819" s="23">
        <f t="shared" si="120"/>
        <v>1081.2514541645364</v>
      </c>
      <c r="F1819" s="23">
        <f>AlphaC*(D1819-E1819)</f>
        <v>33.928301425385143</v>
      </c>
      <c r="G1819" s="13">
        <f>Phi*EpsilonF*Botzman/10^8*J1819*((D1819+273)^4-(E1819+273)^4)</f>
        <v>535.93720127741415</v>
      </c>
      <c r="H1819" s="23">
        <f t="shared" si="121"/>
        <v>650</v>
      </c>
      <c r="I1819" s="12">
        <f>ksh*Massivete/(H1819*RhoA)*DeltaT*(F1819+G1819)</f>
        <v>8.4055301501422527E-2</v>
      </c>
      <c r="J1819" s="3">
        <f>IF(E1819&lt;=500,IF(Galva=Oui,0.35,0.7),0.7)</f>
        <v>0.7</v>
      </c>
    </row>
    <row r="1820" spans="2:10" x14ac:dyDescent="0.25">
      <c r="B1820" s="3">
        <f>B1819+DeltaT</f>
        <v>9015</v>
      </c>
      <c r="C1820" s="13">
        <f t="shared" si="122"/>
        <v>150.25</v>
      </c>
      <c r="D1820" s="11">
        <f t="shared" si="123"/>
        <v>1082.6916414322463</v>
      </c>
      <c r="E1820" s="23">
        <f t="shared" si="120"/>
        <v>1081.3355094660378</v>
      </c>
      <c r="F1820" s="23">
        <f>AlphaC*(D1820-E1820)</f>
        <v>33.903299155213062</v>
      </c>
      <c r="G1820" s="13">
        <f>Phi*EpsilonF*Botzman/10^8*J1820*((D1820+273)^4-(E1820+273)^4)</f>
        <v>535.64134386104161</v>
      </c>
      <c r="H1820" s="23">
        <f t="shared" si="121"/>
        <v>650</v>
      </c>
      <c r="I1820" s="12">
        <f>ksh*Massivete/(H1820*RhoA)*DeltaT*(F1820+G1820)</f>
        <v>8.400797461891385E-2</v>
      </c>
      <c r="J1820" s="3">
        <f>IF(E1820&lt;=500,IF(Galva=Oui,0.35,0.7),0.7)</f>
        <v>0.7</v>
      </c>
    </row>
    <row r="1821" spans="2:10" x14ac:dyDescent="0.25">
      <c r="B1821" s="3">
        <f>B1820+DeltaT</f>
        <v>9020</v>
      </c>
      <c r="C1821" s="13">
        <f t="shared" si="122"/>
        <v>150.33333333333334</v>
      </c>
      <c r="D1821" s="11">
        <f t="shared" si="123"/>
        <v>1082.7746506289716</v>
      </c>
      <c r="E1821" s="23">
        <f t="shared" si="120"/>
        <v>1081.4195174406568</v>
      </c>
      <c r="F1821" s="23">
        <f>AlphaC*(D1821-E1821)</f>
        <v>33.87832970786917</v>
      </c>
      <c r="G1821" s="13">
        <f>Phi*EpsilonF*Botzman/10^8*J1821*((D1821+273)^4-(E1821+273)^4)</f>
        <v>535.34581587161097</v>
      </c>
      <c r="H1821" s="23">
        <f t="shared" si="121"/>
        <v>650</v>
      </c>
      <c r="I1821" s="12">
        <f>ksh*Massivete/(H1821*RhoA)*DeltaT*(F1821+G1821)</f>
        <v>8.3960701168335178E-2</v>
      </c>
      <c r="J1821" s="3">
        <f>IF(E1821&lt;=500,IF(Galva=Oui,0.35,0.7),0.7)</f>
        <v>0.7</v>
      </c>
    </row>
    <row r="1822" spans="2:10" x14ac:dyDescent="0.25">
      <c r="B1822" s="3">
        <f>B1821+DeltaT</f>
        <v>9025</v>
      </c>
      <c r="C1822" s="13">
        <f t="shared" si="122"/>
        <v>150.41666666666666</v>
      </c>
      <c r="D1822" s="11">
        <f t="shared" si="123"/>
        <v>1082.857613862684</v>
      </c>
      <c r="E1822" s="23">
        <f t="shared" si="120"/>
        <v>1081.5034781418251</v>
      </c>
      <c r="F1822" s="23">
        <f>AlphaC*(D1822-E1822)</f>
        <v>33.853393021473721</v>
      </c>
      <c r="G1822" s="13">
        <f>Phi*EpsilonF*Botzman/10^8*J1822*((D1822+273)^4-(E1822+273)^4)</f>
        <v>535.05061675621414</v>
      </c>
      <c r="H1822" s="23">
        <f t="shared" si="121"/>
        <v>650</v>
      </c>
      <c r="I1822" s="12">
        <f>ksh*Massivete/(H1822*RhoA)*DeltaT*(F1822+G1822)</f>
        <v>8.3913481059005132E-2</v>
      </c>
      <c r="J1822" s="3">
        <f>IF(E1822&lt;=500,IF(Galva=Oui,0.35,0.7),0.7)</f>
        <v>0.7</v>
      </c>
    </row>
    <row r="1823" spans="2:10" x14ac:dyDescent="0.25">
      <c r="B1823" s="3">
        <f>B1822+DeltaT</f>
        <v>9030</v>
      </c>
      <c r="C1823" s="13">
        <f t="shared" si="122"/>
        <v>150.5</v>
      </c>
      <c r="D1823" s="11">
        <f t="shared" si="123"/>
        <v>1082.9405311842559</v>
      </c>
      <c r="E1823" s="23">
        <f t="shared" si="120"/>
        <v>1081.5873916228841</v>
      </c>
      <c r="F1823" s="23">
        <f>AlphaC*(D1823-E1823)</f>
        <v>33.828489034294762</v>
      </c>
      <c r="G1823" s="13">
        <f>Phi*EpsilonF*Botzman/10^8*J1823*((D1823+273)^4-(E1823+273)^4)</f>
        <v>534.75574596308638</v>
      </c>
      <c r="H1823" s="23">
        <f t="shared" si="121"/>
        <v>650</v>
      </c>
      <c r="I1823" s="12">
        <f>ksh*Massivete/(H1823*RhoA)*DeltaT*(F1823+G1823)</f>
        <v>8.3866314200432793E-2</v>
      </c>
      <c r="J1823" s="3">
        <f>IF(E1823&lt;=500,IF(Galva=Oui,0.35,0.7),0.7)</f>
        <v>0.7</v>
      </c>
    </row>
    <row r="1824" spans="2:10" x14ac:dyDescent="0.25">
      <c r="B1824" s="3">
        <f>B1823+DeltaT</f>
        <v>9035</v>
      </c>
      <c r="C1824" s="13">
        <f t="shared" si="122"/>
        <v>150.58333333333334</v>
      </c>
      <c r="D1824" s="11">
        <f t="shared" si="123"/>
        <v>1083.0234026444753</v>
      </c>
      <c r="E1824" s="23">
        <f t="shared" si="120"/>
        <v>1081.6712579370844</v>
      </c>
      <c r="F1824" s="23">
        <f>AlphaC*(D1824-E1824)</f>
        <v>33.80361768477087</v>
      </c>
      <c r="G1824" s="13">
        <f>Phi*EpsilonF*Botzman/10^8*J1824*((D1824+273)^4-(E1824+273)^4)</f>
        <v>534.46120294195543</v>
      </c>
      <c r="H1824" s="23">
        <f t="shared" si="121"/>
        <v>650</v>
      </c>
      <c r="I1824" s="12">
        <f>ksh*Massivete/(H1824*RhoA)*DeltaT*(F1824+G1824)</f>
        <v>8.3819200502372571E-2</v>
      </c>
      <c r="J1824" s="3">
        <f>IF(E1824&lt;=500,IF(Galva=Oui,0.35,0.7),0.7)</f>
        <v>0.7</v>
      </c>
    </row>
    <row r="1825" spans="2:10" x14ac:dyDescent="0.25">
      <c r="B1825" s="3">
        <f>B1824+DeltaT</f>
        <v>9040</v>
      </c>
      <c r="C1825" s="13">
        <f t="shared" si="122"/>
        <v>150.66666666666666</v>
      </c>
      <c r="D1825" s="11">
        <f t="shared" si="123"/>
        <v>1083.106228294045</v>
      </c>
      <c r="E1825" s="23">
        <f t="shared" si="120"/>
        <v>1081.7550771375868</v>
      </c>
      <c r="F1825" s="23">
        <f>AlphaC*(D1825-E1825)</f>
        <v>33.77877891145431</v>
      </c>
      <c r="G1825" s="13">
        <f>Phi*EpsilonF*Botzman/10^8*J1825*((D1825+273)^4-(E1825+273)^4)</f>
        <v>534.16698714334348</v>
      </c>
      <c r="H1825" s="23">
        <f t="shared" si="121"/>
        <v>650</v>
      </c>
      <c r="I1825" s="12">
        <f>ksh*Massivete/(H1825*RhoA)*DeltaT*(F1825+G1825)</f>
        <v>8.377213987471277E-2</v>
      </c>
      <c r="J1825" s="3">
        <f>IF(E1825&lt;=500,IF(Galva=Oui,0.35,0.7),0.7)</f>
        <v>0.7</v>
      </c>
    </row>
    <row r="1826" spans="2:10" x14ac:dyDescent="0.25">
      <c r="B1826" s="3">
        <f>B1825+DeltaT</f>
        <v>9045</v>
      </c>
      <c r="C1826" s="13">
        <f t="shared" si="122"/>
        <v>150.75</v>
      </c>
      <c r="D1826" s="11">
        <f t="shared" si="123"/>
        <v>1083.1890081835854</v>
      </c>
      <c r="E1826" s="23">
        <f t="shared" si="120"/>
        <v>1081.8388492774616</v>
      </c>
      <c r="F1826" s="23">
        <f>AlphaC*(D1826-E1826)</f>
        <v>33.753972653096298</v>
      </c>
      <c r="G1826" s="13">
        <f>Phi*EpsilonF*Botzman/10^8*J1826*((D1826+273)^4-(E1826+273)^4)</f>
        <v>533.8730980196525</v>
      </c>
      <c r="H1826" s="23">
        <f t="shared" si="121"/>
        <v>650</v>
      </c>
      <c r="I1826" s="12">
        <f>ksh*Massivete/(H1826*RhoA)*DeltaT*(F1826+G1826)</f>
        <v>8.3725132227648352E-2</v>
      </c>
      <c r="J1826" s="3">
        <f>IF(E1826&lt;=500,IF(Galva=Oui,0.35,0.7),0.7)</f>
        <v>0.7</v>
      </c>
    </row>
    <row r="1827" spans="2:10" x14ac:dyDescent="0.25">
      <c r="B1827" s="3">
        <f>B1826+DeltaT</f>
        <v>9050</v>
      </c>
      <c r="C1827" s="13">
        <f t="shared" si="122"/>
        <v>150.83333333333334</v>
      </c>
      <c r="D1827" s="11">
        <f t="shared" si="123"/>
        <v>1083.2717423636316</v>
      </c>
      <c r="E1827" s="23">
        <f t="shared" si="120"/>
        <v>1081.9225744096893</v>
      </c>
      <c r="F1827" s="23">
        <f>AlphaC*(D1827-E1827)</f>
        <v>33.729198848556052</v>
      </c>
      <c r="G1827" s="13">
        <f>Phi*EpsilonF*Botzman/10^8*J1827*((D1827+273)^4-(E1827+273)^4)</f>
        <v>533.579535023924</v>
      </c>
      <c r="H1827" s="23">
        <f t="shared" si="121"/>
        <v>650</v>
      </c>
      <c r="I1827" s="12">
        <f>ksh*Massivete/(H1827*RhoA)*DeltaT*(F1827+G1827)</f>
        <v>8.3678177471484524E-2</v>
      </c>
      <c r="J1827" s="3">
        <f>IF(E1827&lt;=500,IF(Galva=Oui,0.35,0.7),0.7)</f>
        <v>0.7</v>
      </c>
    </row>
    <row r="1828" spans="2:10" x14ac:dyDescent="0.25">
      <c r="B1828" s="3">
        <f>B1827+DeltaT</f>
        <v>9055</v>
      </c>
      <c r="C1828" s="13">
        <f t="shared" si="122"/>
        <v>150.91666666666666</v>
      </c>
      <c r="D1828" s="11">
        <f t="shared" si="123"/>
        <v>1083.3544308846356</v>
      </c>
      <c r="E1828" s="23">
        <f t="shared" si="120"/>
        <v>1082.0062525871608</v>
      </c>
      <c r="F1828" s="23">
        <f>AlphaC*(D1828-E1828)</f>
        <v>33.704457436869006</v>
      </c>
      <c r="G1828" s="13">
        <f>Phi*EpsilonF*Botzman/10^8*J1828*((D1828+273)^4-(E1828+273)^4)</f>
        <v>533.28629761069192</v>
      </c>
      <c r="H1828" s="23">
        <f t="shared" si="121"/>
        <v>650</v>
      </c>
      <c r="I1828" s="12">
        <f>ksh*Massivete/(H1828*RhoA)*DeltaT*(F1828+G1828)</f>
        <v>8.3631275516772616E-2</v>
      </c>
      <c r="J1828" s="3">
        <f>IF(E1828&lt;=500,IF(Galva=Oui,0.35,0.7),0.7)</f>
        <v>0.7</v>
      </c>
    </row>
    <row r="1829" spans="2:10" x14ac:dyDescent="0.25">
      <c r="B1829" s="3">
        <f>B1828+DeltaT</f>
        <v>9060</v>
      </c>
      <c r="C1829" s="13">
        <f t="shared" si="122"/>
        <v>151</v>
      </c>
      <c r="D1829" s="11">
        <f t="shared" si="123"/>
        <v>1083.4370737969662</v>
      </c>
      <c r="E1829" s="23">
        <f t="shared" si="120"/>
        <v>1082.0898838626777</v>
      </c>
      <c r="F1829" s="23">
        <f>AlphaC*(D1829-E1829)</f>
        <v>33.679748357212702</v>
      </c>
      <c r="G1829" s="13">
        <f>Phi*EpsilonF*Botzman/10^8*J1829*((D1829+273)^4-(E1829+273)^4)</f>
        <v>532.99338523578854</v>
      </c>
      <c r="H1829" s="23">
        <f t="shared" si="121"/>
        <v>650</v>
      </c>
      <c r="I1829" s="12">
        <f>ksh*Massivete/(H1829*RhoA)*DeltaT*(F1829+G1829)</f>
        <v>8.3584426274276438E-2</v>
      </c>
      <c r="J1829" s="3">
        <f>IF(E1829&lt;=500,IF(Galva=Oui,0.35,0.7),0.7)</f>
        <v>0.7</v>
      </c>
    </row>
    <row r="1830" spans="2:10" x14ac:dyDescent="0.25">
      <c r="B1830" s="3">
        <f>B1829+DeltaT</f>
        <v>9065</v>
      </c>
      <c r="C1830" s="13">
        <f t="shared" si="122"/>
        <v>151.08333333333334</v>
      </c>
      <c r="D1830" s="11">
        <f t="shared" si="123"/>
        <v>1083.5196711509084</v>
      </c>
      <c r="E1830" s="23">
        <f t="shared" si="120"/>
        <v>1082.1734682889519</v>
      </c>
      <c r="F1830" s="23">
        <f>AlphaC*(D1830-E1830)</f>
        <v>33.655071548912474</v>
      </c>
      <c r="G1830" s="13">
        <f>Phi*EpsilonF*Botzman/10^8*J1830*((D1830+273)^4-(E1830+273)^4)</f>
        <v>532.70079735615059</v>
      </c>
      <c r="H1830" s="23">
        <f t="shared" si="121"/>
        <v>650</v>
      </c>
      <c r="I1830" s="12">
        <f>ksh*Massivete/(H1830*RhoA)*DeltaT*(F1830+G1830)</f>
        <v>8.3537629654944476E-2</v>
      </c>
      <c r="J1830" s="3">
        <f>IF(E1830&lt;=500,IF(Galva=Oui,0.35,0.7),0.7)</f>
        <v>0.7</v>
      </c>
    </row>
    <row r="1831" spans="2:10" x14ac:dyDescent="0.25">
      <c r="B1831" s="3">
        <f>B1830+DeltaT</f>
        <v>9070</v>
      </c>
      <c r="C1831" s="13">
        <f t="shared" si="122"/>
        <v>151.16666666666666</v>
      </c>
      <c r="D1831" s="11">
        <f t="shared" si="123"/>
        <v>1083.6022229966643</v>
      </c>
      <c r="E1831" s="23">
        <f t="shared" si="120"/>
        <v>1082.2570059186069</v>
      </c>
      <c r="F1831" s="23">
        <f>AlphaC*(D1831-E1831)</f>
        <v>33.630426951435766</v>
      </c>
      <c r="G1831" s="13">
        <f>Phi*EpsilonF*Botzman/10^8*J1831*((D1831+273)^4-(E1831+273)^4)</f>
        <v>532.40853342980051</v>
      </c>
      <c r="H1831" s="23">
        <f t="shared" si="121"/>
        <v>650</v>
      </c>
      <c r="I1831" s="12">
        <f>ksh*Massivete/(H1831*RhoA)*DeltaT*(F1831+G1831)</f>
        <v>8.3490885569906359E-2</v>
      </c>
      <c r="J1831" s="3">
        <f>IF(E1831&lt;=500,IF(Galva=Oui,0.35,0.7),0.7)</f>
        <v>0.7</v>
      </c>
    </row>
    <row r="1832" spans="2:10" x14ac:dyDescent="0.25">
      <c r="B1832" s="3">
        <f>B1831+DeltaT</f>
        <v>9075</v>
      </c>
      <c r="C1832" s="13">
        <f t="shared" si="122"/>
        <v>151.25</v>
      </c>
      <c r="D1832" s="11">
        <f t="shared" si="123"/>
        <v>1083.684729384353</v>
      </c>
      <c r="E1832" s="23">
        <f t="shared" si="120"/>
        <v>1082.3404968041768</v>
      </c>
      <c r="F1832" s="23">
        <f>AlphaC*(D1832-E1832)</f>
        <v>33.605814504403497</v>
      </c>
      <c r="G1832" s="13">
        <f>Phi*EpsilonF*Botzman/10^8*J1832*((D1832+273)^4-(E1832+273)^4)</f>
        <v>532.1165929160976</v>
      </c>
      <c r="H1832" s="23">
        <f t="shared" si="121"/>
        <v>650</v>
      </c>
      <c r="I1832" s="12">
        <f>ksh*Massivete/(H1832*RhoA)*DeltaT*(F1832+G1832)</f>
        <v>8.3444193930511501E-2</v>
      </c>
      <c r="J1832" s="3">
        <f>IF(E1832&lt;=500,IF(Galva=Oui,0.35,0.7),0.7)</f>
        <v>0.7</v>
      </c>
    </row>
    <row r="1833" spans="2:10" x14ac:dyDescent="0.25">
      <c r="B1833" s="3">
        <f>B1832+DeltaT</f>
        <v>9080</v>
      </c>
      <c r="C1833" s="13">
        <f t="shared" si="122"/>
        <v>151.33333333333334</v>
      </c>
      <c r="D1833" s="11">
        <f t="shared" si="123"/>
        <v>1083.767190364011</v>
      </c>
      <c r="E1833" s="23">
        <f t="shared" si="120"/>
        <v>1082.4239409981074</v>
      </c>
      <c r="F1833" s="23">
        <f>AlphaC*(D1833-E1833)</f>
        <v>33.581234147590067</v>
      </c>
      <c r="G1833" s="13">
        <f>Phi*EpsilonF*Botzman/10^8*J1833*((D1833+273)^4-(E1833+273)^4)</f>
        <v>531.82497527573844</v>
      </c>
      <c r="H1833" s="23">
        <f t="shared" si="121"/>
        <v>650</v>
      </c>
      <c r="I1833" s="12">
        <f>ksh*Massivete/(H1833*RhoA)*DeltaT*(F1833+G1833)</f>
        <v>8.339755464832925E-2</v>
      </c>
      <c r="J1833" s="3">
        <f>IF(E1833&lt;=500,IF(Galva=Oui,0.35,0.7),0.7)</f>
        <v>0.7</v>
      </c>
    </row>
    <row r="1834" spans="2:10" x14ac:dyDescent="0.25">
      <c r="B1834" s="3">
        <f>B1833+DeltaT</f>
        <v>9085</v>
      </c>
      <c r="C1834" s="13">
        <f t="shared" si="122"/>
        <v>151.41666666666666</v>
      </c>
      <c r="D1834" s="11">
        <f t="shared" si="123"/>
        <v>1083.8496059855918</v>
      </c>
      <c r="E1834" s="23">
        <f t="shared" si="120"/>
        <v>1082.5073385527558</v>
      </c>
      <c r="F1834" s="23">
        <f>AlphaC*(D1834-E1834)</f>
        <v>33.556685820900611</v>
      </c>
      <c r="G1834" s="13">
        <f>Phi*EpsilonF*Botzman/10^8*J1834*((D1834+273)^4-(E1834+273)^4)</f>
        <v>531.53367997027237</v>
      </c>
      <c r="H1834" s="23">
        <f t="shared" si="121"/>
        <v>650</v>
      </c>
      <c r="I1834" s="12">
        <f>ksh*Massivete/(H1834*RhoA)*DeltaT*(F1834+G1834)</f>
        <v>8.3350967635073978E-2</v>
      </c>
      <c r="J1834" s="3">
        <f>IF(E1834&lt;=500,IF(Galva=Oui,0.35,0.7),0.7)</f>
        <v>0.7</v>
      </c>
    </row>
    <row r="1835" spans="2:10" x14ac:dyDescent="0.25">
      <c r="B1835" s="3">
        <f>B1834+DeltaT</f>
        <v>9090</v>
      </c>
      <c r="C1835" s="13">
        <f t="shared" si="122"/>
        <v>151.5</v>
      </c>
      <c r="D1835" s="11">
        <f t="shared" si="123"/>
        <v>1083.9319762989676</v>
      </c>
      <c r="E1835" s="23">
        <f t="shared" si="120"/>
        <v>1082.5906895203909</v>
      </c>
      <c r="F1835" s="23">
        <f>AlphaC*(D1835-E1835)</f>
        <v>33.532169464416484</v>
      </c>
      <c r="G1835" s="13">
        <f>Phi*EpsilonF*Botzman/10^8*J1835*((D1835+273)^4-(E1835+273)^4)</f>
        <v>531.24270646305115</v>
      </c>
      <c r="H1835" s="23">
        <f t="shared" si="121"/>
        <v>650</v>
      </c>
      <c r="I1835" s="12">
        <f>ksh*Massivete/(H1835*RhoA)*DeltaT*(F1835+G1835)</f>
        <v>8.3304432802751932E-2</v>
      </c>
      <c r="J1835" s="3">
        <f>IF(E1835&lt;=500,IF(Galva=Oui,0.35,0.7),0.7)</f>
        <v>0.7</v>
      </c>
    </row>
    <row r="1836" spans="2:10" x14ac:dyDescent="0.25">
      <c r="B1836" s="3">
        <f>B1835+DeltaT</f>
        <v>9095</v>
      </c>
      <c r="C1836" s="13">
        <f t="shared" si="122"/>
        <v>151.58333333333334</v>
      </c>
      <c r="D1836" s="11">
        <f t="shared" si="123"/>
        <v>1084.0143013539268</v>
      </c>
      <c r="E1836" s="23">
        <f t="shared" si="120"/>
        <v>1082.6739939531938</v>
      </c>
      <c r="F1836" s="23">
        <f>AlphaC*(D1836-E1836)</f>
        <v>33.507685018327038</v>
      </c>
      <c r="G1836" s="13">
        <f>Phi*EpsilonF*Botzman/10^8*J1836*((D1836+273)^4-(E1836+273)^4)</f>
        <v>530.95205421787205</v>
      </c>
      <c r="H1836" s="23">
        <f t="shared" si="121"/>
        <v>650</v>
      </c>
      <c r="I1836" s="12">
        <f>ksh*Massivete/(H1836*RhoA)*DeltaT*(F1836+G1836)</f>
        <v>8.3257950063450978E-2</v>
      </c>
      <c r="J1836" s="3">
        <f>IF(E1836&lt;=500,IF(Galva=Oui,0.35,0.7),0.7)</f>
        <v>0.7</v>
      </c>
    </row>
    <row r="1837" spans="2:10" x14ac:dyDescent="0.25">
      <c r="B1837" s="3">
        <f>B1836+DeltaT</f>
        <v>9100</v>
      </c>
      <c r="C1837" s="13">
        <f t="shared" si="122"/>
        <v>151.66666666666666</v>
      </c>
      <c r="D1837" s="11">
        <f t="shared" si="123"/>
        <v>1084.0965812001773</v>
      </c>
      <c r="E1837" s="23">
        <f t="shared" si="120"/>
        <v>1082.7572519032572</v>
      </c>
      <c r="F1837" s="23">
        <f>AlphaC*(D1837-E1837)</f>
        <v>33.483232423003528</v>
      </c>
      <c r="G1837" s="13">
        <f>Phi*EpsilonF*Botzman/10^8*J1837*((D1837+273)^4-(E1837+273)^4)</f>
        <v>530.66172270043182</v>
      </c>
      <c r="H1837" s="23">
        <f t="shared" si="121"/>
        <v>650</v>
      </c>
      <c r="I1837" s="12">
        <f>ksh*Massivete/(H1837*RhoA)*DeltaT*(F1837+G1837)</f>
        <v>8.3211519329566025E-2</v>
      </c>
      <c r="J1837" s="3">
        <f>IF(E1837&lt;=500,IF(Galva=Oui,0.35,0.7),0.7)</f>
        <v>0.7</v>
      </c>
    </row>
    <row r="1838" spans="2:10" x14ac:dyDescent="0.25">
      <c r="B1838" s="3">
        <f>B1837+DeltaT</f>
        <v>9105</v>
      </c>
      <c r="C1838" s="13">
        <f t="shared" si="122"/>
        <v>151.75</v>
      </c>
      <c r="D1838" s="11">
        <f t="shared" si="123"/>
        <v>1084.1788158873442</v>
      </c>
      <c r="E1838" s="23">
        <f t="shared" si="120"/>
        <v>1082.8404634225867</v>
      </c>
      <c r="F1838" s="23">
        <f>AlphaC*(D1838-E1838)</f>
        <v>33.458811618936579</v>
      </c>
      <c r="G1838" s="13">
        <f>Phi*EpsilonF*Botzman/10^8*J1838*((D1838+273)^4-(E1838+273)^4)</f>
        <v>530.37171137710538</v>
      </c>
      <c r="H1838" s="23">
        <f t="shared" si="121"/>
        <v>650</v>
      </c>
      <c r="I1838" s="12">
        <f>ksh*Massivete/(H1838*RhoA)*DeltaT*(F1838+G1838)</f>
        <v>8.316514051360957E-2</v>
      </c>
      <c r="J1838" s="3">
        <f>IF(E1838&lt;=500,IF(Galva=Oui,0.35,0.7),0.7)</f>
        <v>0.7</v>
      </c>
    </row>
    <row r="1839" spans="2:10" x14ac:dyDescent="0.25">
      <c r="B1839" s="3">
        <f>B1838+DeltaT</f>
        <v>9110</v>
      </c>
      <c r="C1839" s="13">
        <f t="shared" si="122"/>
        <v>151.83333333333334</v>
      </c>
      <c r="D1839" s="11">
        <f t="shared" si="123"/>
        <v>1084.2610054649708</v>
      </c>
      <c r="E1839" s="23">
        <f t="shared" si="120"/>
        <v>1082.9236285631002</v>
      </c>
      <c r="F1839" s="23">
        <f>AlphaC*(D1839-E1839)</f>
        <v>33.434422546764608</v>
      </c>
      <c r="G1839" s="13">
        <f>Phi*EpsilonF*Botzman/10^8*J1839*((D1839+273)^4-(E1839+273)^4)</f>
        <v>530.08201971552717</v>
      </c>
      <c r="H1839" s="23">
        <f t="shared" si="121"/>
        <v>650</v>
      </c>
      <c r="I1839" s="12">
        <f>ksh*Massivete/(H1839*RhoA)*DeltaT*(F1839+G1839)</f>
        <v>8.3118813528301722E-2</v>
      </c>
      <c r="J1839" s="3">
        <f>IF(E1839&lt;=500,IF(Galva=Oui,0.35,0.7),0.7)</f>
        <v>0.7</v>
      </c>
    </row>
    <row r="1840" spans="2:10" x14ac:dyDescent="0.25">
      <c r="B1840" s="3">
        <f>B1839+DeltaT</f>
        <v>9115</v>
      </c>
      <c r="C1840" s="13">
        <f t="shared" si="122"/>
        <v>151.91666666666666</v>
      </c>
      <c r="D1840" s="11">
        <f t="shared" si="123"/>
        <v>1084.3431499825199</v>
      </c>
      <c r="E1840" s="23">
        <f t="shared" si="120"/>
        <v>1083.0067473766285</v>
      </c>
      <c r="F1840" s="23">
        <f>AlphaC*(D1840-E1840)</f>
        <v>33.410065147285195</v>
      </c>
      <c r="G1840" s="13">
        <f>Phi*EpsilonF*Botzman/10^8*J1840*((D1840+273)^4-(E1840+273)^4)</f>
        <v>529.79264718482432</v>
      </c>
      <c r="H1840" s="23">
        <f t="shared" si="121"/>
        <v>650</v>
      </c>
      <c r="I1840" s="12">
        <f>ksh*Massivete/(H1840*RhoA)*DeltaT*(F1840+G1840)</f>
        <v>8.307253828660624E-2</v>
      </c>
      <c r="J1840" s="3">
        <f>IF(E1840&lt;=500,IF(Galva=Oui,0.35,0.7),0.7)</f>
        <v>0.7</v>
      </c>
    </row>
    <row r="1841" spans="2:10" x14ac:dyDescent="0.25">
      <c r="B1841" s="3">
        <f>B1840+DeltaT</f>
        <v>9120</v>
      </c>
      <c r="C1841" s="13">
        <f t="shared" si="122"/>
        <v>152</v>
      </c>
      <c r="D1841" s="11">
        <f t="shared" si="123"/>
        <v>1084.4252494893722</v>
      </c>
      <c r="E1841" s="23">
        <f t="shared" si="120"/>
        <v>1083.0898199149151</v>
      </c>
      <c r="F1841" s="23">
        <f>AlphaC*(D1841-E1841)</f>
        <v>33.385739361426658</v>
      </c>
      <c r="G1841" s="13">
        <f>Phi*EpsilonF*Botzman/10^8*J1841*((D1841+273)^4-(E1841+273)^4)</f>
        <v>529.50359325499562</v>
      </c>
      <c r="H1841" s="23">
        <f t="shared" si="121"/>
        <v>650</v>
      </c>
      <c r="I1841" s="12">
        <f>ksh*Massivete/(H1841*RhoA)*DeltaT*(F1841+G1841)</f>
        <v>8.3026314701634713E-2</v>
      </c>
      <c r="J1841" s="3">
        <f>IF(E1841&lt;=500,IF(Galva=Oui,0.35,0.7),0.7)</f>
        <v>0.7</v>
      </c>
    </row>
    <row r="1842" spans="2:10" x14ac:dyDescent="0.25">
      <c r="B1842" s="3">
        <f>B1841+DeltaT</f>
        <v>9125</v>
      </c>
      <c r="C1842" s="13">
        <f t="shared" si="122"/>
        <v>152.08333333333334</v>
      </c>
      <c r="D1842" s="11">
        <f t="shared" si="123"/>
        <v>1084.5073040348275</v>
      </c>
      <c r="E1842" s="23">
        <f t="shared" si="120"/>
        <v>1083.1728462296167</v>
      </c>
      <c r="F1842" s="23">
        <f>AlphaC*(D1842-E1842)</f>
        <v>33.361445130270795</v>
      </c>
      <c r="G1842" s="13">
        <f>Phi*EpsilonF*Botzman/10^8*J1842*((D1842+273)^4-(E1842+273)^4)</f>
        <v>529.21485739737739</v>
      </c>
      <c r="H1842" s="23">
        <f t="shared" si="121"/>
        <v>650</v>
      </c>
      <c r="I1842" s="12">
        <f>ksh*Massivete/(H1842*RhoA)*DeltaT*(F1842+G1842)</f>
        <v>8.2980142686718689E-2</v>
      </c>
      <c r="J1842" s="3">
        <f>IF(E1842&lt;=500,IF(Galva=Oui,0.35,0.7),0.7)</f>
        <v>0.7</v>
      </c>
    </row>
    <row r="1843" spans="2:10" x14ac:dyDescent="0.25">
      <c r="B1843" s="3">
        <f>B1842+DeltaT</f>
        <v>9130</v>
      </c>
      <c r="C1843" s="13">
        <f t="shared" si="122"/>
        <v>152.16666666666666</v>
      </c>
      <c r="D1843" s="11">
        <f t="shared" si="123"/>
        <v>1084.5893136681048</v>
      </c>
      <c r="E1843" s="23">
        <f t="shared" si="120"/>
        <v>1083.2558263723033</v>
      </c>
      <c r="F1843" s="23">
        <f>AlphaC*(D1843-E1843)</f>
        <v>33.337182395035825</v>
      </c>
      <c r="G1843" s="13">
        <f>Phi*EpsilonF*Botzman/10^8*J1843*((D1843+273)^4-(E1843+273)^4)</f>
        <v>528.92643908444904</v>
      </c>
      <c r="H1843" s="23">
        <f t="shared" si="121"/>
        <v>650</v>
      </c>
      <c r="I1843" s="12">
        <f>ksh*Massivete/(H1843*RhoA)*DeltaT*(F1843+G1843)</f>
        <v>8.2934022155378415E-2</v>
      </c>
      <c r="J1843" s="3">
        <f>IF(E1843&lt;=500,IF(Galva=Oui,0.35,0.7),0.7)</f>
        <v>0.7</v>
      </c>
    </row>
    <row r="1844" spans="2:10" x14ac:dyDescent="0.25">
      <c r="B1844" s="3">
        <f>B1843+DeltaT</f>
        <v>9135</v>
      </c>
      <c r="C1844" s="13">
        <f t="shared" si="122"/>
        <v>152.25</v>
      </c>
      <c r="D1844" s="11">
        <f t="shared" si="123"/>
        <v>1084.6712784383415</v>
      </c>
      <c r="E1844" s="23">
        <f t="shared" ref="E1844:E1907" si="124">E1843+I1843</f>
        <v>1083.3387603944586</v>
      </c>
      <c r="F1844" s="23">
        <f>AlphaC*(D1844-E1844)</f>
        <v>33.312951097070709</v>
      </c>
      <c r="G1844" s="13">
        <f>Phi*EpsilonF*Botzman/10^8*J1844*((D1844+273)^4-(E1844+273)^4)</f>
        <v>528.63833778963988</v>
      </c>
      <c r="H1844" s="23">
        <f t="shared" ref="H1844:H1907" si="125">IF(E1844&lt;600,425+0.773*E1844-1.69/1000*E1844^2+2.22/1000^2*E1844^3,IF(E1844&lt;735,666+13002/(738-E1844),IF(E1844&lt;900,545+17820/(E1844-731),650)))</f>
        <v>650</v>
      </c>
      <c r="I1844" s="12">
        <f>ksh*Massivete/(H1844*RhoA)*DeltaT*(F1844+G1844)</f>
        <v>8.2887953021293537E-2</v>
      </c>
      <c r="J1844" s="3">
        <f>IF(E1844&lt;=500,IF(Galva=Oui,0.35,0.7),0.7)</f>
        <v>0.7</v>
      </c>
    </row>
    <row r="1845" spans="2:10" x14ac:dyDescent="0.25">
      <c r="B1845" s="3">
        <f>B1844+DeltaT</f>
        <v>9140</v>
      </c>
      <c r="C1845" s="13">
        <f t="shared" si="122"/>
        <v>152.33333333333334</v>
      </c>
      <c r="D1845" s="11">
        <f t="shared" si="123"/>
        <v>1084.753198394596</v>
      </c>
      <c r="E1845" s="23">
        <f t="shared" si="124"/>
        <v>1083.42164834748</v>
      </c>
      <c r="F1845" s="23">
        <f>AlphaC*(D1845-E1845)</f>
        <v>33.288751177900622</v>
      </c>
      <c r="G1845" s="13">
        <f>Phi*EpsilonF*Botzman/10^8*J1845*((D1845+273)^4-(E1845+273)^4)</f>
        <v>528.35055298810391</v>
      </c>
      <c r="H1845" s="23">
        <f t="shared" si="125"/>
        <v>650</v>
      </c>
      <c r="I1845" s="12">
        <f>ksh*Massivete/(H1845*RhoA)*DeltaT*(F1845+G1845)</f>
        <v>8.2841935198424088E-2</v>
      </c>
      <c r="J1845" s="3">
        <f>IF(E1845&lt;=500,IF(Galva=Oui,0.35,0.7),0.7)</f>
        <v>0.7</v>
      </c>
    </row>
    <row r="1846" spans="2:10" x14ac:dyDescent="0.25">
      <c r="B1846" s="3">
        <f>B1845+DeltaT</f>
        <v>9145</v>
      </c>
      <c r="C1846" s="13">
        <f t="shared" si="122"/>
        <v>152.41666666666666</v>
      </c>
      <c r="D1846" s="11">
        <f t="shared" si="123"/>
        <v>1084.8350735858446</v>
      </c>
      <c r="E1846" s="23">
        <f t="shared" si="124"/>
        <v>1083.5044902826785</v>
      </c>
      <c r="F1846" s="23">
        <f>AlphaC*(D1846-E1846)</f>
        <v>33.264582579153057</v>
      </c>
      <c r="G1846" s="13">
        <f>Phi*EpsilonF*Botzman/10^8*J1846*((D1846+273)^4-(E1846+273)^4)</f>
        <v>528.06308415538285</v>
      </c>
      <c r="H1846" s="23">
        <f t="shared" si="125"/>
        <v>650</v>
      </c>
      <c r="I1846" s="12">
        <f>ksh*Massivete/(H1846*RhoA)*DeltaT*(F1846+G1846)</f>
        <v>8.2795968600802392E-2</v>
      </c>
      <c r="J1846" s="3">
        <f>IF(E1846&lt;=500,IF(Galva=Oui,0.35,0.7),0.7)</f>
        <v>0.7</v>
      </c>
    </row>
    <row r="1847" spans="2:10" x14ac:dyDescent="0.25">
      <c r="B1847" s="3">
        <f>B1846+DeltaT</f>
        <v>9150</v>
      </c>
      <c r="C1847" s="13">
        <f t="shared" si="122"/>
        <v>152.5</v>
      </c>
      <c r="D1847" s="11">
        <f t="shared" si="123"/>
        <v>1084.9169040609843</v>
      </c>
      <c r="E1847" s="23">
        <f t="shared" si="124"/>
        <v>1083.5872862512792</v>
      </c>
      <c r="F1847" s="23">
        <f>AlphaC*(D1847-E1847)</f>
        <v>33.240445242626038</v>
      </c>
      <c r="G1847" s="13">
        <f>Phi*EpsilonF*Botzman/10^8*J1847*((D1847+273)^4-(E1847+273)^4)</f>
        <v>527.77593076889787</v>
      </c>
      <c r="H1847" s="23">
        <f t="shared" si="125"/>
        <v>650</v>
      </c>
      <c r="I1847" s="12">
        <f>ksh*Massivete/(H1847*RhoA)*DeltaT*(F1847+G1847)</f>
        <v>8.2750053142763139E-2</v>
      </c>
      <c r="J1847" s="3">
        <f>IF(E1847&lt;=500,IF(Galva=Oui,0.35,0.7),0.7)</f>
        <v>0.7</v>
      </c>
    </row>
    <row r="1848" spans="2:10" x14ac:dyDescent="0.25">
      <c r="B1848" s="3">
        <f>B1847+DeltaT</f>
        <v>9155</v>
      </c>
      <c r="C1848" s="13">
        <f t="shared" si="122"/>
        <v>152.58333333333334</v>
      </c>
      <c r="D1848" s="11">
        <f t="shared" si="123"/>
        <v>1084.9986898688321</v>
      </c>
      <c r="E1848" s="23">
        <f t="shared" si="124"/>
        <v>1083.670036304422</v>
      </c>
      <c r="F1848" s="23">
        <f>AlphaC*(D1848-E1848)</f>
        <v>33.216339110254012</v>
      </c>
      <c r="G1848" s="13">
        <f>Phi*EpsilonF*Botzman/10^8*J1848*((D1848+273)^4-(E1848+273)^4)</f>
        <v>527.48909230698155</v>
      </c>
      <c r="H1848" s="23">
        <f t="shared" si="125"/>
        <v>650</v>
      </c>
      <c r="I1848" s="12">
        <f>ksh*Massivete/(H1848*RhoA)*DeltaT*(F1848+G1848)</f>
        <v>8.2704188738795564E-2</v>
      </c>
      <c r="J1848" s="3">
        <f>IF(E1848&lt;=500,IF(Galva=Oui,0.35,0.7),0.7)</f>
        <v>0.7</v>
      </c>
    </row>
    <row r="1849" spans="2:10" x14ac:dyDescent="0.25">
      <c r="B1849" s="3">
        <f>B1848+DeltaT</f>
        <v>9160</v>
      </c>
      <c r="C1849" s="13">
        <f t="shared" si="122"/>
        <v>152.66666666666666</v>
      </c>
      <c r="D1849" s="11">
        <f t="shared" si="123"/>
        <v>1085.0804310581243</v>
      </c>
      <c r="E1849" s="23">
        <f t="shared" si="124"/>
        <v>1083.7527404931607</v>
      </c>
      <c r="F1849" s="23">
        <f>AlphaC*(D1849-E1849)</f>
        <v>33.192264124090798</v>
      </c>
      <c r="G1849" s="13">
        <f>Phi*EpsilonF*Botzman/10^8*J1849*((D1849+273)^4-(E1849+273)^4)</f>
        <v>527.20256824879948</v>
      </c>
      <c r="H1849" s="23">
        <f t="shared" si="125"/>
        <v>650</v>
      </c>
      <c r="I1849" s="12">
        <f>ksh*Massivete/(H1849*RhoA)*DeltaT*(F1849+G1849)</f>
        <v>8.2658375303529402E-2</v>
      </c>
      <c r="J1849" s="3">
        <f>IF(E1849&lt;=500,IF(Galva=Oui,0.35,0.7),0.7)</f>
        <v>0.7</v>
      </c>
    </row>
    <row r="1850" spans="2:10" x14ac:dyDescent="0.25">
      <c r="B1850" s="3">
        <f>B1849+DeltaT</f>
        <v>9165</v>
      </c>
      <c r="C1850" s="13">
        <f t="shared" si="122"/>
        <v>152.75</v>
      </c>
      <c r="D1850" s="11">
        <f t="shared" si="123"/>
        <v>1085.1621276775184</v>
      </c>
      <c r="E1850" s="23">
        <f t="shared" si="124"/>
        <v>1083.8353988684642</v>
      </c>
      <c r="F1850" s="23">
        <f>AlphaC*(D1850-E1850)</f>
        <v>33.168220226355061</v>
      </c>
      <c r="G1850" s="13">
        <f>Phi*EpsilonF*Botzman/10^8*J1850*((D1850+273)^4-(E1850+273)^4)</f>
        <v>526.91635807504827</v>
      </c>
      <c r="H1850" s="23">
        <f t="shared" si="125"/>
        <v>650</v>
      </c>
      <c r="I1850" s="12">
        <f>ksh*Massivete/(H1850*RhoA)*DeltaT*(F1850+G1850)</f>
        <v>8.2612612751844491E-2</v>
      </c>
      <c r="J1850" s="3">
        <f>IF(E1850&lt;=500,IF(Galva=Oui,0.35,0.7),0.7)</f>
        <v>0.7</v>
      </c>
    </row>
    <row r="1851" spans="2:10" x14ac:dyDescent="0.25">
      <c r="B1851" s="3">
        <f>B1850+DeltaT</f>
        <v>9170</v>
      </c>
      <c r="C1851" s="13">
        <f t="shared" si="122"/>
        <v>152.83333333333334</v>
      </c>
      <c r="D1851" s="11">
        <f t="shared" si="123"/>
        <v>1085.2437797755917</v>
      </c>
      <c r="E1851" s="23">
        <f t="shared" si="124"/>
        <v>1083.9180114812159</v>
      </c>
      <c r="F1851" s="23">
        <f>AlphaC*(D1851-E1851)</f>
        <v>33.144207359396205</v>
      </c>
      <c r="G1851" s="13">
        <f>Phi*EpsilonF*Botzman/10^8*J1851*((D1851+273)^4-(E1851+273)^4)</f>
        <v>526.63046126758741</v>
      </c>
      <c r="H1851" s="23">
        <f t="shared" si="125"/>
        <v>650</v>
      </c>
      <c r="I1851" s="12">
        <f>ksh*Massivete/(H1851*RhoA)*DeltaT*(F1851+G1851)</f>
        <v>8.2566900998811532E-2</v>
      </c>
      <c r="J1851" s="3">
        <f>IF(E1851&lt;=500,IF(Galva=Oui,0.35,0.7),0.7)</f>
        <v>0.7</v>
      </c>
    </row>
    <row r="1852" spans="2:10" x14ac:dyDescent="0.25">
      <c r="B1852" s="3">
        <f>B1851+DeltaT</f>
        <v>9175</v>
      </c>
      <c r="C1852" s="13">
        <f t="shared" si="122"/>
        <v>152.91666666666666</v>
      </c>
      <c r="D1852" s="11">
        <f t="shared" si="123"/>
        <v>1085.3253874008426</v>
      </c>
      <c r="E1852" s="23">
        <f t="shared" si="124"/>
        <v>1084.0005783822146</v>
      </c>
      <c r="F1852" s="23">
        <f>AlphaC*(D1852-E1852)</f>
        <v>33.120225465700059</v>
      </c>
      <c r="G1852" s="13">
        <f>Phi*EpsilonF*Botzman/10^8*J1852*((D1852+273)^4-(E1852+273)^4)</f>
        <v>526.34487730914839</v>
      </c>
      <c r="H1852" s="23">
        <f t="shared" si="125"/>
        <v>650</v>
      </c>
      <c r="I1852" s="12">
        <f>ksh*Massivete/(H1852*RhoA)*DeltaT*(F1852+G1852)</f>
        <v>8.2521239959649911E-2</v>
      </c>
      <c r="J1852" s="3">
        <f>IF(E1852&lt;=500,IF(Galva=Oui,0.35,0.7),0.7)</f>
        <v>0.7</v>
      </c>
    </row>
    <row r="1853" spans="2:10" x14ac:dyDescent="0.25">
      <c r="B1853" s="3">
        <f>B1852+DeltaT</f>
        <v>9180</v>
      </c>
      <c r="C1853" s="13">
        <f t="shared" si="122"/>
        <v>153</v>
      </c>
      <c r="D1853" s="11">
        <f t="shared" si="123"/>
        <v>1085.4069506016901</v>
      </c>
      <c r="E1853" s="23">
        <f t="shared" si="124"/>
        <v>1084.0830996221744</v>
      </c>
      <c r="F1853" s="23">
        <f>AlphaC*(D1853-E1853)</f>
        <v>33.096274487894561</v>
      </c>
      <c r="G1853" s="13">
        <f>Phi*EpsilonF*Botzman/10^8*J1853*((D1853+273)^4-(E1853+273)^4)</f>
        <v>526.05960568383875</v>
      </c>
      <c r="H1853" s="23">
        <f t="shared" si="125"/>
        <v>650</v>
      </c>
      <c r="I1853" s="12">
        <f>ksh*Massivete/(H1853*RhoA)*DeltaT*(F1853+G1853)</f>
        <v>8.247562954980299E-2</v>
      </c>
      <c r="J1853" s="3">
        <f>IF(E1853&lt;=500,IF(Galva=Oui,0.35,0.7),0.7)</f>
        <v>0.7</v>
      </c>
    </row>
    <row r="1854" spans="2:10" x14ac:dyDescent="0.25">
      <c r="B1854" s="3">
        <f>B1853+DeltaT</f>
        <v>9185</v>
      </c>
      <c r="C1854" s="13">
        <f t="shared" si="122"/>
        <v>153.08333333333334</v>
      </c>
      <c r="D1854" s="11">
        <f t="shared" si="123"/>
        <v>1085.488469426474</v>
      </c>
      <c r="E1854" s="23">
        <f t="shared" si="124"/>
        <v>1084.1655752517242</v>
      </c>
      <c r="F1854" s="23">
        <f>AlphaC*(D1854-E1854)</f>
        <v>33.072354368744072</v>
      </c>
      <c r="G1854" s="13">
        <f>Phi*EpsilonF*Botzman/10^8*J1854*((D1854+273)^4-(E1854+273)^4)</f>
        <v>525.77464587673512</v>
      </c>
      <c r="H1854" s="23">
        <f t="shared" si="125"/>
        <v>650</v>
      </c>
      <c r="I1854" s="12">
        <f>ksh*Massivete/(H1854*RhoA)*DeltaT*(F1854+G1854)</f>
        <v>8.2430069684877164E-2</v>
      </c>
      <c r="J1854" s="3">
        <f>IF(E1854&lt;=500,IF(Galva=Oui,0.35,0.7),0.7)</f>
        <v>0.7</v>
      </c>
    </row>
    <row r="1855" spans="2:10" x14ac:dyDescent="0.25">
      <c r="B1855" s="3">
        <f>B1854+DeltaT</f>
        <v>9190</v>
      </c>
      <c r="C1855" s="13">
        <f t="shared" si="122"/>
        <v>153.16666666666666</v>
      </c>
      <c r="D1855" s="11">
        <f t="shared" si="123"/>
        <v>1085.5699439234552</v>
      </c>
      <c r="E1855" s="23">
        <f t="shared" si="124"/>
        <v>1084.2480053214092</v>
      </c>
      <c r="F1855" s="23">
        <f>AlphaC*(D1855-E1855)</f>
        <v>33.048465051149378</v>
      </c>
      <c r="G1855" s="13">
        <f>Phi*EpsilonF*Botzman/10^8*J1855*((D1855+273)^4-(E1855+273)^4)</f>
        <v>525.48999737409611</v>
      </c>
      <c r="H1855" s="23">
        <f t="shared" si="125"/>
        <v>650</v>
      </c>
      <c r="I1855" s="12">
        <f>ksh*Massivete/(H1855*RhoA)*DeltaT*(F1855+G1855)</f>
        <v>8.2384560280673313E-2</v>
      </c>
      <c r="J1855" s="3">
        <f>IF(E1855&lt;=500,IF(Galva=Oui,0.35,0.7),0.7)</f>
        <v>0.7</v>
      </c>
    </row>
    <row r="1856" spans="2:10" x14ac:dyDescent="0.25">
      <c r="B1856" s="3">
        <f>B1855+DeltaT</f>
        <v>9195</v>
      </c>
      <c r="C1856" s="13">
        <f t="shared" si="122"/>
        <v>153.25</v>
      </c>
      <c r="D1856" s="11">
        <f t="shared" si="123"/>
        <v>1085.6513741408164</v>
      </c>
      <c r="E1856" s="23">
        <f t="shared" si="124"/>
        <v>1084.3303898816898</v>
      </c>
      <c r="F1856" s="23">
        <f>AlphaC*(D1856-E1856)</f>
        <v>33.024606478164742</v>
      </c>
      <c r="G1856" s="13">
        <f>Phi*EpsilonF*Botzman/10^8*J1856*((D1856+273)^4-(E1856+273)^4)</f>
        <v>525.20565966355628</v>
      </c>
      <c r="H1856" s="23">
        <f t="shared" si="125"/>
        <v>650</v>
      </c>
      <c r="I1856" s="12">
        <f>ksh*Massivete/(H1856*RhoA)*DeltaT*(F1856+G1856)</f>
        <v>8.2339101253217889E-2</v>
      </c>
      <c r="J1856" s="3">
        <f>IF(E1856&lt;=500,IF(Galva=Oui,0.35,0.7),0.7)</f>
        <v>0.7</v>
      </c>
    </row>
    <row r="1857" spans="2:10" x14ac:dyDescent="0.25">
      <c r="B1857" s="3">
        <f>B1856+DeltaT</f>
        <v>9200</v>
      </c>
      <c r="C1857" s="13">
        <f t="shared" si="122"/>
        <v>153.33333333333334</v>
      </c>
      <c r="D1857" s="11">
        <f t="shared" si="123"/>
        <v>1085.7327601266613</v>
      </c>
      <c r="E1857" s="23">
        <f t="shared" si="124"/>
        <v>1084.412728982943</v>
      </c>
      <c r="F1857" s="23">
        <f>AlphaC*(D1857-E1857)</f>
        <v>33.000778592958113</v>
      </c>
      <c r="G1857" s="13">
        <f>Phi*EpsilonF*Botzman/10^8*J1857*((D1857+273)^4-(E1857+273)^4)</f>
        <v>524.92163223346745</v>
      </c>
      <c r="H1857" s="23">
        <f t="shared" si="125"/>
        <v>650</v>
      </c>
      <c r="I1857" s="12">
        <f>ksh*Massivete/(H1857*RhoA)*DeltaT*(F1857+G1857)</f>
        <v>8.2293692518659908E-2</v>
      </c>
      <c r="J1857" s="3">
        <f>IF(E1857&lt;=500,IF(Galva=Oui,0.35,0.7),0.7)</f>
        <v>0.7</v>
      </c>
    </row>
    <row r="1858" spans="2:10" x14ac:dyDescent="0.25">
      <c r="B1858" s="3">
        <f>B1857+DeltaT</f>
        <v>9205</v>
      </c>
      <c r="C1858" s="13">
        <f t="shared" si="122"/>
        <v>153.41666666666666</v>
      </c>
      <c r="D1858" s="11">
        <f t="shared" si="123"/>
        <v>1085.8141019290156</v>
      </c>
      <c r="E1858" s="23">
        <f t="shared" si="124"/>
        <v>1084.4950226754618</v>
      </c>
      <c r="F1858" s="23">
        <f>AlphaC*(D1858-E1858)</f>
        <v>32.976981338845235</v>
      </c>
      <c r="G1858" s="13">
        <f>Phi*EpsilonF*Botzman/10^8*J1858*((D1858+273)^4-(E1858+273)^4)</f>
        <v>524.63791457359605</v>
      </c>
      <c r="H1858" s="23">
        <f t="shared" si="125"/>
        <v>650</v>
      </c>
      <c r="I1858" s="12">
        <f>ksh*Massivete/(H1858*RhoA)*DeltaT*(F1858+G1858)</f>
        <v>8.2248333993378886E-2</v>
      </c>
      <c r="J1858" s="3">
        <f>IF(E1858&lt;=500,IF(Galva=Oui,0.35,0.7),0.7)</f>
        <v>0.7</v>
      </c>
    </row>
    <row r="1859" spans="2:10" x14ac:dyDescent="0.25">
      <c r="B1859" s="3">
        <f>B1858+DeltaT</f>
        <v>9210</v>
      </c>
      <c r="C1859" s="13">
        <f t="shared" si="122"/>
        <v>153.5</v>
      </c>
      <c r="D1859" s="11">
        <f t="shared" si="123"/>
        <v>1085.8953995958263</v>
      </c>
      <c r="E1859" s="23">
        <f t="shared" si="124"/>
        <v>1084.5772710094552</v>
      </c>
      <c r="F1859" s="23">
        <f>AlphaC*(D1859-E1859)</f>
        <v>32.953214659278274</v>
      </c>
      <c r="G1859" s="13">
        <f>Phi*EpsilonF*Botzman/10^8*J1859*((D1859+273)^4-(E1859+273)^4)</f>
        <v>524.35450617467745</v>
      </c>
      <c r="H1859" s="23">
        <f t="shared" si="125"/>
        <v>650</v>
      </c>
      <c r="I1859" s="12">
        <f>ksh*Massivete/(H1859*RhoA)*DeltaT*(F1859+G1859)</f>
        <v>8.2203025593917317E-2</v>
      </c>
      <c r="J1859" s="3">
        <f>IF(E1859&lt;=500,IF(Galva=Oui,0.35,0.7),0.7)</f>
        <v>0.7</v>
      </c>
    </row>
    <row r="1860" spans="2:10" x14ac:dyDescent="0.25">
      <c r="B1860" s="3">
        <f>B1859+DeltaT</f>
        <v>9215</v>
      </c>
      <c r="C1860" s="13">
        <f t="shared" si="122"/>
        <v>153.58333333333334</v>
      </c>
      <c r="D1860" s="11">
        <f t="shared" si="123"/>
        <v>1085.9766531749635</v>
      </c>
      <c r="E1860" s="23">
        <f t="shared" si="124"/>
        <v>1084.6594740350492</v>
      </c>
      <c r="F1860" s="23">
        <f>AlphaC*(D1860-E1860)</f>
        <v>32.92947849785719</v>
      </c>
      <c r="G1860" s="13">
        <f>Phi*EpsilonF*Botzman/10^8*J1860*((D1860+273)^4-(E1860+273)^4)</f>
        <v>524.07140652888131</v>
      </c>
      <c r="H1860" s="23">
        <f t="shared" si="125"/>
        <v>650</v>
      </c>
      <c r="I1860" s="12">
        <f>ksh*Massivete/(H1860*RhoA)*DeltaT*(F1860+G1860)</f>
        <v>8.215776723705108E-2</v>
      </c>
      <c r="J1860" s="3">
        <f>IF(E1860&lt;=500,IF(Galva=Oui,0.35,0.7),0.7)</f>
        <v>0.7</v>
      </c>
    </row>
    <row r="1861" spans="2:10" x14ac:dyDescent="0.25">
      <c r="B1861" s="3">
        <f>B1860+DeltaT</f>
        <v>9220</v>
      </c>
      <c r="C1861" s="13">
        <f t="shared" si="122"/>
        <v>153.66666666666666</v>
      </c>
      <c r="D1861" s="11">
        <f t="shared" si="123"/>
        <v>1086.0578627142181</v>
      </c>
      <c r="E1861" s="23">
        <f t="shared" si="124"/>
        <v>1084.7416318022863</v>
      </c>
      <c r="F1861" s="23">
        <f>AlphaC*(D1861-E1861)</f>
        <v>32.905772798295629</v>
      </c>
      <c r="G1861" s="13">
        <f>Phi*EpsilonF*Botzman/10^8*J1861*((D1861+273)^4-(E1861+273)^4)</f>
        <v>523.78861512899732</v>
      </c>
      <c r="H1861" s="23">
        <f t="shared" si="125"/>
        <v>650</v>
      </c>
      <c r="I1861" s="12">
        <f>ksh*Massivete/(H1861*RhoA)*DeltaT*(F1861+G1861)</f>
        <v>8.2112558839664299E-2</v>
      </c>
      <c r="J1861" s="3">
        <f>IF(E1861&lt;=500,IF(Galva=Oui,0.35,0.7),0.7)</f>
        <v>0.7</v>
      </c>
    </row>
    <row r="1862" spans="2:10" x14ac:dyDescent="0.25">
      <c r="B1862" s="3">
        <f>B1861+DeltaT</f>
        <v>9225</v>
      </c>
      <c r="C1862" s="13">
        <f t="shared" si="122"/>
        <v>153.75</v>
      </c>
      <c r="D1862" s="11">
        <f t="shared" si="123"/>
        <v>1086.139028261304</v>
      </c>
      <c r="E1862" s="23">
        <f t="shared" si="124"/>
        <v>1084.823744361126</v>
      </c>
      <c r="F1862" s="23">
        <f>AlphaC*(D1862-E1862)</f>
        <v>32.882097504449348</v>
      </c>
      <c r="G1862" s="13">
        <f>Phi*EpsilonF*Botzman/10^8*J1862*((D1862+273)^4-(E1862+273)^4)</f>
        <v>523.5061314692299</v>
      </c>
      <c r="H1862" s="23">
        <f t="shared" si="125"/>
        <v>650</v>
      </c>
      <c r="I1862" s="12">
        <f>ksh*Massivete/(H1862*RhoA)*DeltaT*(F1862+G1862)</f>
        <v>8.2067400318870706E-2</v>
      </c>
      <c r="J1862" s="3">
        <f>IF(E1862&lt;=500,IF(Galva=Oui,0.35,0.7),0.7)</f>
        <v>0.7</v>
      </c>
    </row>
    <row r="1863" spans="2:10" x14ac:dyDescent="0.25">
      <c r="B1863" s="3">
        <f>B1862+DeltaT</f>
        <v>9230</v>
      </c>
      <c r="C1863" s="13">
        <f t="shared" si="122"/>
        <v>153.83333333333334</v>
      </c>
      <c r="D1863" s="11">
        <f t="shared" si="123"/>
        <v>1086.2201498638578</v>
      </c>
      <c r="E1863" s="23">
        <f t="shared" si="124"/>
        <v>1084.905811761445</v>
      </c>
      <c r="F1863" s="23">
        <f>AlphaC*(D1863-E1863)</f>
        <v>32.858452560321894</v>
      </c>
      <c r="G1863" s="13">
        <f>Phi*EpsilonF*Botzman/10^8*J1863*((D1863+273)^4-(E1863+273)^4)</f>
        <v>523.22395504496558</v>
      </c>
      <c r="H1863" s="23">
        <f t="shared" si="125"/>
        <v>650</v>
      </c>
      <c r="I1863" s="12">
        <f>ksh*Massivete/(H1863*RhoA)*DeltaT*(F1863+G1863)</f>
        <v>8.2022291591980184E-2</v>
      </c>
      <c r="J1863" s="3">
        <f>IF(E1863&lt;=500,IF(Galva=Oui,0.35,0.7),0.7)</f>
        <v>0.7</v>
      </c>
    </row>
    <row r="1864" spans="2:10" x14ac:dyDescent="0.25">
      <c r="B1864" s="3">
        <f>B1863+DeltaT</f>
        <v>9235</v>
      </c>
      <c r="C1864" s="13">
        <f t="shared" si="122"/>
        <v>153.91666666666666</v>
      </c>
      <c r="D1864" s="11">
        <f t="shared" si="123"/>
        <v>1086.3012275694382</v>
      </c>
      <c r="E1864" s="23">
        <f t="shared" si="124"/>
        <v>1084.987834053037</v>
      </c>
      <c r="F1864" s="23">
        <f>AlphaC*(D1864-E1864)</f>
        <v>32.834837910030501</v>
      </c>
      <c r="G1864" s="13">
        <f>Phi*EpsilonF*Botzman/10^8*J1864*((D1864+273)^4-(E1864+273)^4)</f>
        <v>522.94208535238567</v>
      </c>
      <c r="H1864" s="23">
        <f t="shared" si="125"/>
        <v>650</v>
      </c>
      <c r="I1864" s="12">
        <f>ksh*Massivete/(H1864*RhoA)*DeltaT*(F1864+G1864)</f>
        <v>8.1977232576436646E-2</v>
      </c>
      <c r="J1864" s="3">
        <f>IF(E1864&lt;=500,IF(Galva=Oui,0.35,0.7),0.7)</f>
        <v>0.7</v>
      </c>
    </row>
    <row r="1865" spans="2:10" x14ac:dyDescent="0.25">
      <c r="B1865" s="3">
        <f>B1864+DeltaT</f>
        <v>9240</v>
      </c>
      <c r="C1865" s="13">
        <f t="shared" si="122"/>
        <v>154</v>
      </c>
      <c r="D1865" s="11">
        <f t="shared" si="123"/>
        <v>1086.3822614255273</v>
      </c>
      <c r="E1865" s="23">
        <f t="shared" si="124"/>
        <v>1085.0698112856135</v>
      </c>
      <c r="F1865" s="23">
        <f>AlphaC*(D1865-E1865)</f>
        <v>32.811253497845883</v>
      </c>
      <c r="G1865" s="13">
        <f>Phi*EpsilonF*Botzman/10^8*J1865*((D1865+273)^4-(E1865+273)^4)</f>
        <v>522.66052188912477</v>
      </c>
      <c r="H1865" s="23">
        <f t="shared" si="125"/>
        <v>650</v>
      </c>
      <c r="I1865" s="12">
        <f>ksh*Massivete/(H1865*RhoA)*DeltaT*(F1865+G1865)</f>
        <v>8.193222318992098E-2</v>
      </c>
      <c r="J1865" s="3">
        <f>IF(E1865&lt;=500,IF(Galva=Oui,0.35,0.7),0.7)</f>
        <v>0.7</v>
      </c>
    </row>
    <row r="1866" spans="2:10" x14ac:dyDescent="0.25">
      <c r="B1866" s="3">
        <f>B1865+DeltaT</f>
        <v>9245</v>
      </c>
      <c r="C1866" s="13">
        <f t="shared" si="122"/>
        <v>154.08333333333334</v>
      </c>
      <c r="D1866" s="11">
        <f t="shared" si="123"/>
        <v>1086.4632514795298</v>
      </c>
      <c r="E1866" s="23">
        <f t="shared" si="124"/>
        <v>1085.1517435088033</v>
      </c>
      <c r="F1866" s="23">
        <f>AlphaC*(D1866-E1866)</f>
        <v>32.787699268163806</v>
      </c>
      <c r="G1866" s="13">
        <f>Phi*EpsilonF*Botzman/10^8*J1866*((D1866+273)^4-(E1866+273)^4)</f>
        <v>522.3792641537284</v>
      </c>
      <c r="H1866" s="23">
        <f t="shared" si="125"/>
        <v>650</v>
      </c>
      <c r="I1866" s="12">
        <f>ksh*Massivete/(H1866*RhoA)*DeltaT*(F1866+G1866)</f>
        <v>8.1887263350266901E-2</v>
      </c>
      <c r="J1866" s="3">
        <f>IF(E1866&lt;=500,IF(Galva=Oui,0.35,0.7),0.7)</f>
        <v>0.7</v>
      </c>
    </row>
    <row r="1867" spans="2:10" x14ac:dyDescent="0.25">
      <c r="B1867" s="3">
        <f>B1866+DeltaT</f>
        <v>9250</v>
      </c>
      <c r="C1867" s="13">
        <f t="shared" si="122"/>
        <v>154.16666666666666</v>
      </c>
      <c r="D1867" s="11">
        <f t="shared" si="123"/>
        <v>1086.5441977787739</v>
      </c>
      <c r="E1867" s="23">
        <f t="shared" si="124"/>
        <v>1085.2336307721534</v>
      </c>
      <c r="F1867" s="23">
        <f>AlphaC*(D1867-E1867)</f>
        <v>32.764175165510778</v>
      </c>
      <c r="G1867" s="13">
        <f>Phi*EpsilonF*Botzman/10^8*J1867*((D1867+273)^4-(E1867+273)^4)</f>
        <v>522.09831164586626</v>
      </c>
      <c r="H1867" s="23">
        <f t="shared" si="125"/>
        <v>650</v>
      </c>
      <c r="I1867" s="12">
        <f>ksh*Massivete/(H1867*RhoA)*DeltaT*(F1867+G1867)</f>
        <v>8.1842352975493207E-2</v>
      </c>
      <c r="J1867" s="3">
        <f>IF(E1867&lt;=500,IF(Galva=Oui,0.35,0.7),0.7)</f>
        <v>0.7</v>
      </c>
    </row>
    <row r="1868" spans="2:10" x14ac:dyDescent="0.25">
      <c r="B1868" s="3">
        <f>B1867+DeltaT</f>
        <v>9255</v>
      </c>
      <c r="C1868" s="13">
        <f t="shared" si="122"/>
        <v>154.25</v>
      </c>
      <c r="D1868" s="11">
        <f t="shared" si="123"/>
        <v>1086.6251003705111</v>
      </c>
      <c r="E1868" s="23">
        <f t="shared" si="124"/>
        <v>1085.3154731251288</v>
      </c>
      <c r="F1868" s="23">
        <f>AlphaC*(D1868-E1868)</f>
        <v>32.740681134555416</v>
      </c>
      <c r="G1868" s="13">
        <f>Phi*EpsilonF*Botzman/10^8*J1868*((D1868+273)^4-(E1868+273)^4)</f>
        <v>521.81766386637048</v>
      </c>
      <c r="H1868" s="23">
        <f t="shared" si="125"/>
        <v>650</v>
      </c>
      <c r="I1868" s="12">
        <f>ksh*Massivete/(H1868*RhoA)*DeltaT*(F1868+G1868)</f>
        <v>8.1797491983811116E-2</v>
      </c>
      <c r="J1868" s="3">
        <f>IF(E1868&lt;=500,IF(Galva=Oui,0.35,0.7),0.7)</f>
        <v>0.7</v>
      </c>
    </row>
    <row r="1869" spans="2:10" x14ac:dyDescent="0.25">
      <c r="B1869" s="3">
        <f>B1868+DeltaT</f>
        <v>9260</v>
      </c>
      <c r="C1869" s="13">
        <f t="shared" si="122"/>
        <v>154.33333333333334</v>
      </c>
      <c r="D1869" s="11">
        <f t="shared" si="123"/>
        <v>1086.7059593019158</v>
      </c>
      <c r="E1869" s="23">
        <f t="shared" si="124"/>
        <v>1085.3972706171126</v>
      </c>
      <c r="F1869" s="23">
        <f>AlphaC*(D1869-E1869)</f>
        <v>32.717217120080022</v>
      </c>
      <c r="G1869" s="13">
        <f>Phi*EpsilonF*Botzman/10^8*J1869*((D1869+273)^4-(E1869+273)^4)</f>
        <v>521.53732031700383</v>
      </c>
      <c r="H1869" s="23">
        <f t="shared" si="125"/>
        <v>650</v>
      </c>
      <c r="I1869" s="12">
        <f>ksh*Massivete/(H1869*RhoA)*DeltaT*(F1869+G1869)</f>
        <v>8.17526802935859E-2</v>
      </c>
      <c r="J1869" s="3">
        <f>IF(E1869&lt;=500,IF(Galva=Oui,0.35,0.7),0.7)</f>
        <v>0.7</v>
      </c>
    </row>
    <row r="1870" spans="2:10" x14ac:dyDescent="0.25">
      <c r="B1870" s="3">
        <f>B1869+DeltaT</f>
        <v>9265</v>
      </c>
      <c r="C1870" s="13">
        <f t="shared" si="122"/>
        <v>154.41666666666666</v>
      </c>
      <c r="D1870" s="11">
        <f t="shared" si="123"/>
        <v>1086.7867746200868</v>
      </c>
      <c r="E1870" s="23">
        <f t="shared" si="124"/>
        <v>1085.4790232974062</v>
      </c>
      <c r="F1870" s="23">
        <f>AlphaC*(D1870-E1870)</f>
        <v>32.693783067014692</v>
      </c>
      <c r="G1870" s="13">
        <f>Phi*EpsilonF*Botzman/10^8*J1870*((D1870+273)^4-(E1870+273)^4)</f>
        <v>521.257280500653</v>
      </c>
      <c r="H1870" s="23">
        <f t="shared" si="125"/>
        <v>650</v>
      </c>
      <c r="I1870" s="12">
        <f>ksh*Massivete/(H1870*RhoA)*DeltaT*(F1870+G1870)</f>
        <v>8.1707917823370391E-2</v>
      </c>
      <c r="J1870" s="3">
        <f>IF(E1870&lt;=500,IF(Galva=Oui,0.35,0.7),0.7)</f>
        <v>0.7</v>
      </c>
    </row>
    <row r="1871" spans="2:10" x14ac:dyDescent="0.25">
      <c r="B1871" s="3">
        <f>B1870+DeltaT</f>
        <v>9270</v>
      </c>
      <c r="C1871" s="13">
        <f t="shared" si="122"/>
        <v>154.5</v>
      </c>
      <c r="D1871" s="11">
        <f t="shared" si="123"/>
        <v>1086.8675463720465</v>
      </c>
      <c r="E1871" s="23">
        <f t="shared" si="124"/>
        <v>1085.5607312152297</v>
      </c>
      <c r="F1871" s="23">
        <f>AlphaC*(D1871-E1871)</f>
        <v>32.670378920420262</v>
      </c>
      <c r="G1871" s="13">
        <f>Phi*EpsilonF*Botzman/10^8*J1871*((D1871+273)^4-(E1871+273)^4)</f>
        <v>520.97754392152217</v>
      </c>
      <c r="H1871" s="23">
        <f t="shared" si="125"/>
        <v>650</v>
      </c>
      <c r="I1871" s="12">
        <f>ksh*Massivete/(H1871*RhoA)*DeltaT*(F1871+G1871)</f>
        <v>8.1663204491931055E-2</v>
      </c>
      <c r="J1871" s="3">
        <f>IF(E1871&lt;=500,IF(Galva=Oui,0.35,0.7),0.7)</f>
        <v>0.7</v>
      </c>
    </row>
    <row r="1872" spans="2:10" x14ac:dyDescent="0.25">
      <c r="B1872" s="3">
        <f>B1871+DeltaT</f>
        <v>9275</v>
      </c>
      <c r="C1872" s="13">
        <f t="shared" si="122"/>
        <v>154.58333333333334</v>
      </c>
      <c r="D1872" s="11">
        <f t="shared" si="123"/>
        <v>1086.9482746047413</v>
      </c>
      <c r="E1872" s="23">
        <f t="shared" si="124"/>
        <v>1085.6423944197215</v>
      </c>
      <c r="F1872" s="23">
        <f>AlphaC*(D1872-E1872)</f>
        <v>32.647004625493992</v>
      </c>
      <c r="G1872" s="13">
        <f>Phi*EpsilonF*Botzman/10^8*J1872*((D1872+273)^4-(E1872+273)^4)</f>
        <v>520.69811008484317</v>
      </c>
      <c r="H1872" s="23">
        <f t="shared" si="125"/>
        <v>650</v>
      </c>
      <c r="I1872" s="12">
        <f>ksh*Massivete/(H1872*RhoA)*DeltaT*(F1872+G1872)</f>
        <v>8.161854021820604E-2</v>
      </c>
      <c r="J1872" s="3">
        <f>IF(E1872&lt;=500,IF(Galva=Oui,0.35,0.7),0.7)</f>
        <v>0.7</v>
      </c>
    </row>
    <row r="1873" spans="2:10" x14ac:dyDescent="0.25">
      <c r="B1873" s="3">
        <f>B1872+DeltaT</f>
        <v>9280</v>
      </c>
      <c r="C1873" s="13">
        <f t="shared" si="122"/>
        <v>154.66666666666666</v>
      </c>
      <c r="D1873" s="11">
        <f t="shared" si="123"/>
        <v>1087.0289593650411</v>
      </c>
      <c r="E1873" s="23">
        <f t="shared" si="124"/>
        <v>1085.7240129599397</v>
      </c>
      <c r="F1873" s="23">
        <f>AlphaC*(D1873-E1873)</f>
        <v>32.623660127535459</v>
      </c>
      <c r="G1873" s="13">
        <f>Phi*EpsilonF*Botzman/10^8*J1873*((D1873+273)^4-(E1873+273)^4)</f>
        <v>520.41897849642896</v>
      </c>
      <c r="H1873" s="23">
        <f t="shared" si="125"/>
        <v>650</v>
      </c>
      <c r="I1873" s="12">
        <f>ksh*Massivete/(H1873*RhoA)*DeltaT*(F1873+G1873)</f>
        <v>8.1573924921234303E-2</v>
      </c>
      <c r="J1873" s="3">
        <f>IF(E1873&lt;=500,IF(Galva=Oui,0.35,0.7),0.7)</f>
        <v>0.7</v>
      </c>
    </row>
    <row r="1874" spans="2:10" x14ac:dyDescent="0.25">
      <c r="B1874" s="3">
        <f>B1873+DeltaT</f>
        <v>9285</v>
      </c>
      <c r="C1874" s="13">
        <f t="shared" ref="C1874:C1937" si="126">B1874/60</f>
        <v>154.75</v>
      </c>
      <c r="D1874" s="11">
        <f t="shared" ref="D1874:D1937" si="127">20+345*LOG(8*C1874+1,10)</f>
        <v>1087.1096006997418</v>
      </c>
      <c r="E1874" s="23">
        <f t="shared" si="124"/>
        <v>1085.805586884861</v>
      </c>
      <c r="F1874" s="23">
        <f>AlphaC*(D1874-E1874)</f>
        <v>32.600345372020456</v>
      </c>
      <c r="G1874" s="13">
        <f>Phi*EpsilonF*Botzman/10^8*J1874*((D1874+273)^4-(E1874+273)^4)</f>
        <v>520.14014866397224</v>
      </c>
      <c r="H1874" s="23">
        <f t="shared" si="125"/>
        <v>650</v>
      </c>
      <c r="I1874" s="12">
        <f>ksh*Massivete/(H1874*RhoA)*DeltaT*(F1874+G1874)</f>
        <v>8.1529358520358072E-2</v>
      </c>
      <c r="J1874" s="3">
        <f>IF(E1874&lt;=500,IF(Galva=Oui,0.35,0.7),0.7)</f>
        <v>0.7</v>
      </c>
    </row>
    <row r="1875" spans="2:10" x14ac:dyDescent="0.25">
      <c r="B1875" s="3">
        <f>B1874+DeltaT</f>
        <v>9290</v>
      </c>
      <c r="C1875" s="13">
        <f t="shared" si="126"/>
        <v>154.83333333333334</v>
      </c>
      <c r="D1875" s="11">
        <f t="shared" si="127"/>
        <v>1087.190198655562</v>
      </c>
      <c r="E1875" s="23">
        <f t="shared" si="124"/>
        <v>1085.8871162433813</v>
      </c>
      <c r="F1875" s="23">
        <f>AlphaC*(D1875-E1875)</f>
        <v>32.577060304515726</v>
      </c>
      <c r="G1875" s="13">
        <f>Phi*EpsilonF*Botzman/10^8*J1875*((D1875+273)^4-(E1875+273)^4)</f>
        <v>519.86162009565055</v>
      </c>
      <c r="H1875" s="23">
        <f t="shared" si="125"/>
        <v>650</v>
      </c>
      <c r="I1875" s="12">
        <f>ksh*Massivete/(H1875*RhoA)*DeltaT*(F1875+G1875)</f>
        <v>8.1484840935004493E-2</v>
      </c>
      <c r="J1875" s="3">
        <f>IF(E1875&lt;=500,IF(Galva=Oui,0.35,0.7),0.7)</f>
        <v>0.7</v>
      </c>
    </row>
    <row r="1876" spans="2:10" x14ac:dyDescent="0.25">
      <c r="B1876" s="3">
        <f>B1875+DeltaT</f>
        <v>9295</v>
      </c>
      <c r="C1876" s="13">
        <f t="shared" si="126"/>
        <v>154.91666666666666</v>
      </c>
      <c r="D1876" s="11">
        <f t="shared" si="127"/>
        <v>1087.2707532791455</v>
      </c>
      <c r="E1876" s="23">
        <f t="shared" si="124"/>
        <v>1085.9686010843163</v>
      </c>
      <c r="F1876" s="23">
        <f>AlphaC*(D1876-E1876)</f>
        <v>32.553804870730119</v>
      </c>
      <c r="G1876" s="13">
        <f>Phi*EpsilonF*Botzman/10^8*J1876*((D1876+273)^4-(E1876+273)^4)</f>
        <v>519.58339230078445</v>
      </c>
      <c r="H1876" s="23">
        <f t="shared" si="125"/>
        <v>650</v>
      </c>
      <c r="I1876" s="12">
        <f>ksh*Massivete/(H1876*RhoA)*DeltaT*(F1876+G1876)</f>
        <v>8.1440372084790283E-2</v>
      </c>
      <c r="J1876" s="3">
        <f>IF(E1876&lt;=500,IF(Galva=Oui,0.35,0.7),0.7)</f>
        <v>0.7</v>
      </c>
    </row>
    <row r="1877" spans="2:10" x14ac:dyDescent="0.25">
      <c r="B1877" s="3">
        <f>B1876+DeltaT</f>
        <v>9300</v>
      </c>
      <c r="C1877" s="13">
        <f t="shared" si="126"/>
        <v>155</v>
      </c>
      <c r="D1877" s="11">
        <f t="shared" si="127"/>
        <v>1087.3512646170616</v>
      </c>
      <c r="E1877" s="23">
        <f t="shared" si="124"/>
        <v>1086.0500414564012</v>
      </c>
      <c r="F1877" s="23">
        <f>AlphaC*(D1877-E1877)</f>
        <v>32.530579016508909</v>
      </c>
      <c r="G1877" s="13">
        <f>Phi*EpsilonF*Botzman/10^8*J1877*((D1877+273)^4-(E1877+273)^4)</f>
        <v>519.30546479001259</v>
      </c>
      <c r="H1877" s="23">
        <f t="shared" si="125"/>
        <v>650</v>
      </c>
      <c r="I1877" s="12">
        <f>ksh*Massivete/(H1877*RhoA)*DeltaT*(F1877+G1877)</f>
        <v>8.1395951889546667E-2</v>
      </c>
      <c r="J1877" s="3">
        <f>IF(E1877&lt;=500,IF(Galva=Oui,0.35,0.7),0.7)</f>
        <v>0.7</v>
      </c>
    </row>
    <row r="1878" spans="2:10" x14ac:dyDescent="0.25">
      <c r="B1878" s="3">
        <f>B1877+DeltaT</f>
        <v>9305</v>
      </c>
      <c r="C1878" s="13">
        <f t="shared" si="126"/>
        <v>155.08333333333334</v>
      </c>
      <c r="D1878" s="11">
        <f t="shared" si="127"/>
        <v>1087.4317327158039</v>
      </c>
      <c r="E1878" s="23">
        <f t="shared" si="124"/>
        <v>1086.1314374082908</v>
      </c>
      <c r="F1878" s="23">
        <f>AlphaC*(D1878-E1878)</f>
        <v>32.507382687828112</v>
      </c>
      <c r="G1878" s="13">
        <f>Phi*EpsilonF*Botzman/10^8*J1878*((D1878+273)^4-(E1878+273)^4)</f>
        <v>519.02783707505887</v>
      </c>
      <c r="H1878" s="23">
        <f t="shared" si="125"/>
        <v>650</v>
      </c>
      <c r="I1878" s="12">
        <f>ksh*Massivete/(H1878*RhoA)*DeltaT*(F1878+G1878)</f>
        <v>8.1351580269284254E-2</v>
      </c>
      <c r="J1878" s="3">
        <f>IF(E1878&lt;=500,IF(Galva=Oui,0.35,0.7),0.7)</f>
        <v>0.7</v>
      </c>
    </row>
    <row r="1879" spans="2:10" x14ac:dyDescent="0.25">
      <c r="B1879" s="3">
        <f>B1878+DeltaT</f>
        <v>9310</v>
      </c>
      <c r="C1879" s="13">
        <f t="shared" si="126"/>
        <v>155.16666666666666</v>
      </c>
      <c r="D1879" s="11">
        <f t="shared" si="127"/>
        <v>1087.5121576217909</v>
      </c>
      <c r="E1879" s="23">
        <f t="shared" si="124"/>
        <v>1086.2127889885601</v>
      </c>
      <c r="F1879" s="23">
        <f>AlphaC*(D1879-E1879)</f>
        <v>32.484215830771745</v>
      </c>
      <c r="G1879" s="13">
        <f>Phi*EpsilonF*Botzman/10^8*J1879*((D1879+273)^4-(E1879+273)^4)</f>
        <v>518.75050866820902</v>
      </c>
      <c r="H1879" s="23">
        <f t="shared" si="125"/>
        <v>650</v>
      </c>
      <c r="I1879" s="12">
        <f>ksh*Massivete/(H1879*RhoA)*DeltaT*(F1879+G1879)</f>
        <v>8.1307257144112452E-2</v>
      </c>
      <c r="J1879" s="3">
        <f>IF(E1879&lt;=500,IF(Galva=Oui,0.35,0.7),0.7)</f>
        <v>0.7</v>
      </c>
    </row>
    <row r="1880" spans="2:10" x14ac:dyDescent="0.25">
      <c r="B1880" s="3">
        <f>B1879+DeltaT</f>
        <v>9315</v>
      </c>
      <c r="C1880" s="13">
        <f t="shared" si="126"/>
        <v>155.25</v>
      </c>
      <c r="D1880" s="11">
        <f t="shared" si="127"/>
        <v>1087.5925393813673</v>
      </c>
      <c r="E1880" s="23">
        <f t="shared" si="124"/>
        <v>1086.2940962457042</v>
      </c>
      <c r="F1880" s="23">
        <f>AlphaC*(D1880-E1880)</f>
        <v>32.461078391577303</v>
      </c>
      <c r="G1880" s="13">
        <f>Phi*EpsilonF*Botzman/10^8*J1880*((D1880+273)^4-(E1880+273)^4)</f>
        <v>518.47347908341578</v>
      </c>
      <c r="H1880" s="23">
        <f t="shared" si="125"/>
        <v>650</v>
      </c>
      <c r="I1880" s="12">
        <f>ksh*Massivete/(H1880*RhoA)*DeltaT*(F1880+G1880)</f>
        <v>8.1262982434409187E-2</v>
      </c>
      <c r="J1880" s="3">
        <f>IF(E1880&lt;=500,IF(Galva=Oui,0.35,0.7),0.7)</f>
        <v>0.7</v>
      </c>
    </row>
    <row r="1881" spans="2:10" x14ac:dyDescent="0.25">
      <c r="B1881" s="3">
        <f>B1880+DeltaT</f>
        <v>9320</v>
      </c>
      <c r="C1881" s="13">
        <f t="shared" si="126"/>
        <v>155.33333333333334</v>
      </c>
      <c r="D1881" s="11">
        <f t="shared" si="127"/>
        <v>1087.6728780408025</v>
      </c>
      <c r="E1881" s="23">
        <f t="shared" si="124"/>
        <v>1086.3753592281387</v>
      </c>
      <c r="F1881" s="23">
        <f>AlphaC*(D1881-E1881)</f>
        <v>32.437970316595965</v>
      </c>
      <c r="G1881" s="13">
        <f>Phi*EpsilonF*Botzman/10^8*J1881*((D1881+273)^4-(E1881+273)^4)</f>
        <v>518.19674783540677</v>
      </c>
      <c r="H1881" s="23">
        <f t="shared" si="125"/>
        <v>650</v>
      </c>
      <c r="I1881" s="12">
        <f>ksh*Massivete/(H1881*RhoA)*DeltaT*(F1881+G1881)</f>
        <v>8.1218756060683461E-2</v>
      </c>
      <c r="J1881" s="3">
        <f>IF(E1881&lt;=500,IF(Galva=Oui,0.35,0.7),0.7)</f>
        <v>0.7</v>
      </c>
    </row>
    <row r="1882" spans="2:10" x14ac:dyDescent="0.25">
      <c r="B1882" s="3">
        <f>B1881+DeltaT</f>
        <v>9325</v>
      </c>
      <c r="C1882" s="13">
        <f t="shared" si="126"/>
        <v>155.41666666666666</v>
      </c>
      <c r="D1882" s="11">
        <f t="shared" si="127"/>
        <v>1087.7531736462915</v>
      </c>
      <c r="E1882" s="23">
        <f t="shared" si="124"/>
        <v>1086.4565779841994</v>
      </c>
      <c r="F1882" s="23">
        <f>AlphaC*(D1882-E1882)</f>
        <v>32.41489155230397</v>
      </c>
      <c r="G1882" s="13">
        <f>Phi*EpsilonF*Botzman/10^8*J1882*((D1882+273)^4-(E1882+273)^4)</f>
        <v>517.92031443982057</v>
      </c>
      <c r="H1882" s="23">
        <f t="shared" si="125"/>
        <v>650</v>
      </c>
      <c r="I1882" s="12">
        <f>ksh*Massivete/(H1882*RhoA)*DeltaT*(F1882+G1882)</f>
        <v>8.1174577943597059E-2</v>
      </c>
      <c r="J1882" s="3">
        <f>IF(E1882&lt;=500,IF(Galva=Oui,0.35,0.7),0.7)</f>
        <v>0.7</v>
      </c>
    </row>
    <row r="1883" spans="2:10" x14ac:dyDescent="0.25">
      <c r="B1883" s="3">
        <f>B1882+DeltaT</f>
        <v>9330</v>
      </c>
      <c r="C1883" s="13">
        <f t="shared" si="126"/>
        <v>155.5</v>
      </c>
      <c r="D1883" s="11">
        <f t="shared" si="127"/>
        <v>1087.8334262439553</v>
      </c>
      <c r="E1883" s="23">
        <f t="shared" si="124"/>
        <v>1086.5377525621429</v>
      </c>
      <c r="F1883" s="23">
        <f>AlphaC*(D1883-E1883)</f>
        <v>32.391842045308294</v>
      </c>
      <c r="G1883" s="13">
        <f>Phi*EpsilonF*Botzman/10^8*J1883*((D1883+273)^4-(E1883+273)^4)</f>
        <v>517.64417841351667</v>
      </c>
      <c r="H1883" s="23">
        <f t="shared" si="125"/>
        <v>650</v>
      </c>
      <c r="I1883" s="12">
        <f>ksh*Massivete/(H1883*RhoA)*DeltaT*(F1883+G1883)</f>
        <v>8.113044800401116E-2</v>
      </c>
      <c r="J1883" s="3">
        <f>IF(E1883&lt;=500,IF(Galva=Oui,0.35,0.7),0.7)</f>
        <v>0.7</v>
      </c>
    </row>
    <row r="1884" spans="2:10" x14ac:dyDescent="0.25">
      <c r="B1884" s="3">
        <f>B1883+DeltaT</f>
        <v>9335</v>
      </c>
      <c r="C1884" s="13">
        <f t="shared" si="126"/>
        <v>155.58333333333334</v>
      </c>
      <c r="D1884" s="11">
        <f t="shared" si="127"/>
        <v>1087.9136358798414</v>
      </c>
      <c r="E1884" s="23">
        <f t="shared" si="124"/>
        <v>1086.6188830101469</v>
      </c>
      <c r="F1884" s="23">
        <f>AlphaC*(D1884-E1884)</f>
        <v>32.368821742363707</v>
      </c>
      <c r="G1884" s="13">
        <f>Phi*EpsilonF*Botzman/10^8*J1884*((D1884+273)^4-(E1884+273)^4)</f>
        <v>517.36833927469183</v>
      </c>
      <c r="H1884" s="23">
        <f t="shared" si="125"/>
        <v>650</v>
      </c>
      <c r="I1884" s="12">
        <f>ksh*Massivete/(H1884*RhoA)*DeltaT*(F1884+G1884)</f>
        <v>8.1086366163005991E-2</v>
      </c>
      <c r="J1884" s="3">
        <f>IF(E1884&lt;=500,IF(Galva=Oui,0.35,0.7),0.7)</f>
        <v>0.7</v>
      </c>
    </row>
    <row r="1885" spans="2:10" x14ac:dyDescent="0.25">
      <c r="B1885" s="3">
        <f>B1884+DeltaT</f>
        <v>9340</v>
      </c>
      <c r="C1885" s="13">
        <f t="shared" si="126"/>
        <v>155.66666666666666</v>
      </c>
      <c r="D1885" s="11">
        <f t="shared" si="127"/>
        <v>1087.9938025999222</v>
      </c>
      <c r="E1885" s="23">
        <f t="shared" si="124"/>
        <v>1086.6999693763098</v>
      </c>
      <c r="F1885" s="23">
        <f>AlphaC*(D1885-E1885)</f>
        <v>32.345830590310243</v>
      </c>
      <c r="G1885" s="13">
        <f>Phi*EpsilonF*Botzman/10^8*J1885*((D1885+273)^4-(E1885+273)^4)</f>
        <v>517.09279654196928</v>
      </c>
      <c r="H1885" s="23">
        <f t="shared" si="125"/>
        <v>650</v>
      </c>
      <c r="I1885" s="12">
        <f>ksh*Massivete/(H1885*RhoA)*DeltaT*(F1885+G1885)</f>
        <v>8.1042332341737244E-2</v>
      </c>
      <c r="J1885" s="3">
        <f>IF(E1885&lt;=500,IF(Galva=Oui,0.35,0.7),0.7)</f>
        <v>0.7</v>
      </c>
    </row>
    <row r="1886" spans="2:10" x14ac:dyDescent="0.25">
      <c r="B1886" s="3">
        <f>B1885+DeltaT</f>
        <v>9345</v>
      </c>
      <c r="C1886" s="13">
        <f t="shared" si="126"/>
        <v>155.75</v>
      </c>
      <c r="D1886" s="11">
        <f t="shared" si="127"/>
        <v>1088.0739264500971</v>
      </c>
      <c r="E1886" s="23">
        <f t="shared" si="124"/>
        <v>1086.7810117086515</v>
      </c>
      <c r="F1886" s="23">
        <f>AlphaC*(D1886-E1886)</f>
        <v>32.322868536141414</v>
      </c>
      <c r="G1886" s="13">
        <f>Phi*EpsilonF*Botzman/10^8*J1886*((D1886+273)^4-(E1886+273)^4)</f>
        <v>516.8175497354448</v>
      </c>
      <c r="H1886" s="23">
        <f t="shared" si="125"/>
        <v>650</v>
      </c>
      <c r="I1886" s="12">
        <f>ksh*Massivete/(H1886*RhoA)*DeltaT*(F1886+G1886)</f>
        <v>8.0998346461600465E-2</v>
      </c>
      <c r="J1886" s="3">
        <f>IF(E1886&lt;=500,IF(Galva=Oui,0.35,0.7),0.7)</f>
        <v>0.7</v>
      </c>
    </row>
    <row r="1887" spans="2:10" x14ac:dyDescent="0.25">
      <c r="B1887" s="3">
        <f>B1886+DeltaT</f>
        <v>9350</v>
      </c>
      <c r="C1887" s="13">
        <f t="shared" si="126"/>
        <v>155.83333333333334</v>
      </c>
      <c r="D1887" s="11">
        <f t="shared" si="127"/>
        <v>1088.154007476192</v>
      </c>
      <c r="E1887" s="23">
        <f t="shared" si="124"/>
        <v>1086.8620100551132</v>
      </c>
      <c r="F1887" s="23">
        <f>AlphaC*(D1887-E1887)</f>
        <v>32.299935526970103</v>
      </c>
      <c r="G1887" s="13">
        <f>Phi*EpsilonF*Botzman/10^8*J1887*((D1887+273)^4-(E1887+273)^4)</f>
        <v>516.54259837612528</v>
      </c>
      <c r="H1887" s="23">
        <f t="shared" si="125"/>
        <v>650</v>
      </c>
      <c r="I1887" s="12">
        <f>ksh*Massivete/(H1887*RhoA)*DeltaT*(F1887+G1887)</f>
        <v>8.0954408444143186E-2</v>
      </c>
      <c r="J1887" s="3">
        <f>IF(E1887&lt;=500,IF(Galva=Oui,0.35,0.7),0.7)</f>
        <v>0.7</v>
      </c>
    </row>
    <row r="1888" spans="2:10" x14ac:dyDescent="0.25">
      <c r="B1888" s="3">
        <f>B1887+DeltaT</f>
        <v>9355</v>
      </c>
      <c r="C1888" s="13">
        <f t="shared" si="126"/>
        <v>155.91666666666666</v>
      </c>
      <c r="D1888" s="11">
        <f t="shared" si="127"/>
        <v>1088.2340457239586</v>
      </c>
      <c r="E1888" s="23">
        <f t="shared" si="124"/>
        <v>1086.9429644635572</v>
      </c>
      <c r="F1888" s="23">
        <f>AlphaC*(D1888-E1888)</f>
        <v>32.277031510034249</v>
      </c>
      <c r="G1888" s="13">
        <f>Phi*EpsilonF*Botzman/10^8*J1888*((D1888+273)^4-(E1888+273)^4)</f>
        <v>516.26794198608343</v>
      </c>
      <c r="H1888" s="23">
        <f t="shared" si="125"/>
        <v>650</v>
      </c>
      <c r="I1888" s="12">
        <f>ksh*Massivete/(H1888*RhoA)*DeltaT*(F1888+G1888)</f>
        <v>8.0910518211088592E-2</v>
      </c>
      <c r="J1888" s="3">
        <f>IF(E1888&lt;=500,IF(Galva=Oui,0.35,0.7),0.7)</f>
        <v>0.7</v>
      </c>
    </row>
    <row r="1889" spans="2:10" x14ac:dyDescent="0.25">
      <c r="B1889" s="3">
        <f>B1888+DeltaT</f>
        <v>9360</v>
      </c>
      <c r="C1889" s="13">
        <f t="shared" si="126"/>
        <v>156</v>
      </c>
      <c r="D1889" s="11">
        <f t="shared" si="127"/>
        <v>1088.3140412390767</v>
      </c>
      <c r="E1889" s="23">
        <f t="shared" si="124"/>
        <v>1087.0238749817684</v>
      </c>
      <c r="F1889" s="23">
        <f>AlphaC*(D1889-E1889)</f>
        <v>32.254156432708214</v>
      </c>
      <c r="G1889" s="13">
        <f>Phi*EpsilonF*Botzman/10^8*J1889*((D1889+273)^4-(E1889+273)^4)</f>
        <v>515.99358008853528</v>
      </c>
      <c r="H1889" s="23">
        <f t="shared" si="125"/>
        <v>650</v>
      </c>
      <c r="I1889" s="12">
        <f>ksh*Massivete/(H1889*RhoA)*DeltaT*(F1889+G1889)</f>
        <v>8.0866675684348646E-2</v>
      </c>
      <c r="J1889" s="3">
        <f>IF(E1889&lt;=500,IF(Galva=Oui,0.35,0.7),0.7)</f>
        <v>0.7</v>
      </c>
    </row>
    <row r="1890" spans="2:10" x14ac:dyDescent="0.25">
      <c r="B1890" s="3">
        <f>B1889+DeltaT</f>
        <v>9365</v>
      </c>
      <c r="C1890" s="13">
        <f t="shared" si="126"/>
        <v>156.08333333333334</v>
      </c>
      <c r="D1890" s="11">
        <f t="shared" si="127"/>
        <v>1088.3939940671512</v>
      </c>
      <c r="E1890" s="23">
        <f t="shared" si="124"/>
        <v>1087.1047416574527</v>
      </c>
      <c r="F1890" s="23">
        <f>AlphaC*(D1890-E1890)</f>
        <v>32.231310242462996</v>
      </c>
      <c r="G1890" s="13">
        <f>Phi*EpsilonF*Botzman/10^8*J1890*((D1890+273)^4-(E1890+273)^4)</f>
        <v>515.71951220739481</v>
      </c>
      <c r="H1890" s="23">
        <f t="shared" si="125"/>
        <v>650</v>
      </c>
      <c r="I1890" s="12">
        <f>ksh*Massivete/(H1890*RhoA)*DeltaT*(F1890+G1890)</f>
        <v>8.0822880785952511E-2</v>
      </c>
      <c r="J1890" s="3">
        <f>IF(E1890&lt;=500,IF(Galva=Oui,0.35,0.7),0.7)</f>
        <v>0.7</v>
      </c>
    </row>
    <row r="1891" spans="2:10" x14ac:dyDescent="0.25">
      <c r="B1891" s="3">
        <f>B1890+DeltaT</f>
        <v>9370</v>
      </c>
      <c r="C1891" s="13">
        <f t="shared" si="126"/>
        <v>156.16666666666666</v>
      </c>
      <c r="D1891" s="11">
        <f t="shared" si="127"/>
        <v>1088.4739042537155</v>
      </c>
      <c r="E1891" s="23">
        <f t="shared" si="124"/>
        <v>1087.1855645382386</v>
      </c>
      <c r="F1891" s="23">
        <f>AlphaC*(D1891-E1891)</f>
        <v>32.208492886923068</v>
      </c>
      <c r="G1891" s="13">
        <f>Phi*EpsilonF*Botzman/10^8*J1891*((D1891+273)^4-(E1891+273)^4)</f>
        <v>515.44573786800981</v>
      </c>
      <c r="H1891" s="23">
        <f t="shared" si="125"/>
        <v>650</v>
      </c>
      <c r="I1891" s="12">
        <f>ksh*Massivete/(H1891*RhoA)*DeltaT*(F1891+G1891)</f>
        <v>8.0779133438163439E-2</v>
      </c>
      <c r="J1891" s="3">
        <f>IF(E1891&lt;=500,IF(Galva=Oui,0.35,0.7),0.7)</f>
        <v>0.7</v>
      </c>
    </row>
    <row r="1892" spans="2:10" x14ac:dyDescent="0.25">
      <c r="B1892" s="3">
        <f>B1891+DeltaT</f>
        <v>9375</v>
      </c>
      <c r="C1892" s="13">
        <f t="shared" si="126"/>
        <v>156.25</v>
      </c>
      <c r="D1892" s="11">
        <f t="shared" si="127"/>
        <v>1088.5537718442299</v>
      </c>
      <c r="E1892" s="23">
        <f t="shared" si="124"/>
        <v>1087.2663436716769</v>
      </c>
      <c r="F1892" s="23">
        <f>AlphaC*(D1892-E1892)</f>
        <v>32.185704313826591</v>
      </c>
      <c r="G1892" s="13">
        <f>Phi*EpsilonF*Botzman/10^8*J1892*((D1892+273)^4-(E1892+273)^4)</f>
        <v>515.17225659660028</v>
      </c>
      <c r="H1892" s="23">
        <f t="shared" si="125"/>
        <v>650</v>
      </c>
      <c r="I1892" s="12">
        <f>ksh*Massivete/(H1892*RhoA)*DeltaT*(F1892+G1892)</f>
        <v>8.0735433563390135E-2</v>
      </c>
      <c r="J1892" s="3">
        <f>IF(E1892&lt;=500,IF(Galva=Oui,0.35,0.7),0.7)</f>
        <v>0.7</v>
      </c>
    </row>
    <row r="1893" spans="2:10" x14ac:dyDescent="0.25">
      <c r="B1893" s="3">
        <f>B1892+DeltaT</f>
        <v>9380</v>
      </c>
      <c r="C1893" s="13">
        <f t="shared" si="126"/>
        <v>156.33333333333334</v>
      </c>
      <c r="D1893" s="11">
        <f t="shared" si="127"/>
        <v>1088.633596884081</v>
      </c>
      <c r="E1893" s="23">
        <f t="shared" si="124"/>
        <v>1087.3470791052403</v>
      </c>
      <c r="F1893" s="23">
        <f>AlphaC*(D1893-E1893)</f>
        <v>32.162944471019728</v>
      </c>
      <c r="G1893" s="13">
        <f>Phi*EpsilonF*Botzman/10^8*J1893*((D1893+273)^4-(E1893+273)^4)</f>
        <v>514.89906792016154</v>
      </c>
      <c r="H1893" s="23">
        <f t="shared" si="125"/>
        <v>650</v>
      </c>
      <c r="I1893" s="12">
        <f>ksh*Massivete/(H1893*RhoA)*DeltaT*(F1893+G1893)</f>
        <v>8.0691781084171618E-2</v>
      </c>
      <c r="J1893" s="3">
        <f>IF(E1893&lt;=500,IF(Galva=Oui,0.35,0.7),0.7)</f>
        <v>0.7</v>
      </c>
    </row>
    <row r="1894" spans="2:10" x14ac:dyDescent="0.25">
      <c r="B1894" s="3">
        <f>B1893+DeltaT</f>
        <v>9385</v>
      </c>
      <c r="C1894" s="13">
        <f t="shared" si="126"/>
        <v>156.41666666666666</v>
      </c>
      <c r="D1894" s="11">
        <f t="shared" si="127"/>
        <v>1088.7133794185841</v>
      </c>
      <c r="E1894" s="23">
        <f t="shared" si="124"/>
        <v>1087.4277708863244</v>
      </c>
      <c r="F1894" s="23">
        <f>AlphaC*(D1894-E1894)</f>
        <v>32.14021330649075</v>
      </c>
      <c r="G1894" s="13">
        <f>Phi*EpsilonF*Botzman/10^8*J1894*((D1894+273)^4-(E1894+273)^4)</f>
        <v>514.62617136700646</v>
      </c>
      <c r="H1894" s="23">
        <f t="shared" si="125"/>
        <v>650</v>
      </c>
      <c r="I1894" s="12">
        <f>ksh*Massivete/(H1894*RhoA)*DeltaT*(F1894+G1894)</f>
        <v>8.064817592326215E-2</v>
      </c>
      <c r="J1894" s="3">
        <f>IF(E1894&lt;=500,IF(Galva=Oui,0.35,0.7),0.7)</f>
        <v>0.7</v>
      </c>
    </row>
    <row r="1895" spans="2:10" x14ac:dyDescent="0.25">
      <c r="B1895" s="3">
        <f>B1894+DeltaT</f>
        <v>9390</v>
      </c>
      <c r="C1895" s="13">
        <f t="shared" si="126"/>
        <v>156.5</v>
      </c>
      <c r="D1895" s="11">
        <f t="shared" si="127"/>
        <v>1088.7931194929818</v>
      </c>
      <c r="E1895" s="23">
        <f t="shared" si="124"/>
        <v>1087.5084190622476</v>
      </c>
      <c r="F1895" s="23">
        <f>AlphaC*(D1895-E1895)</f>
        <v>32.117510768352986</v>
      </c>
      <c r="G1895" s="13">
        <f>Phi*EpsilonF*Botzman/10^8*J1895*((D1895+273)^4-(E1895+273)^4)</f>
        <v>514.35356646655271</v>
      </c>
      <c r="H1895" s="23">
        <f t="shared" si="125"/>
        <v>650</v>
      </c>
      <c r="I1895" s="12">
        <f>ksh*Massivete/(H1895*RhoA)*DeltaT*(F1895+G1895)</f>
        <v>8.0604618003597431E-2</v>
      </c>
      <c r="J1895" s="3">
        <f>IF(E1895&lt;=500,IF(Galva=Oui,0.35,0.7),0.7)</f>
        <v>0.7</v>
      </c>
    </row>
    <row r="1896" spans="2:10" x14ac:dyDescent="0.25">
      <c r="B1896" s="3">
        <f>B1895+DeltaT</f>
        <v>9395</v>
      </c>
      <c r="C1896" s="13">
        <f t="shared" si="126"/>
        <v>156.58333333333334</v>
      </c>
      <c r="D1896" s="11">
        <f t="shared" si="127"/>
        <v>1088.872817152444</v>
      </c>
      <c r="E1896" s="23">
        <f t="shared" si="124"/>
        <v>1087.5890236802513</v>
      </c>
      <c r="F1896" s="23">
        <f>AlphaC*(D1896-E1896)</f>
        <v>32.094836804816396</v>
      </c>
      <c r="G1896" s="13">
        <f>Phi*EpsilonF*Botzman/10^8*J1896*((D1896+273)^4-(E1896+273)^4)</f>
        <v>514.08125274874146</v>
      </c>
      <c r="H1896" s="23">
        <f t="shared" si="125"/>
        <v>650</v>
      </c>
      <c r="I1896" s="12">
        <f>ksh*Massivete/(H1896*RhoA)*DeltaT*(F1896+G1896)</f>
        <v>8.056110724820463E-2</v>
      </c>
      <c r="J1896" s="3">
        <f>IF(E1896&lt;=500,IF(Galva=Oui,0.35,0.7),0.7)</f>
        <v>0.7</v>
      </c>
    </row>
    <row r="1897" spans="2:10" x14ac:dyDescent="0.25">
      <c r="B1897" s="3">
        <f>B1896+DeltaT</f>
        <v>9400</v>
      </c>
      <c r="C1897" s="13">
        <f t="shared" si="126"/>
        <v>156.66666666666666</v>
      </c>
      <c r="D1897" s="11">
        <f t="shared" si="127"/>
        <v>1088.9524724420696</v>
      </c>
      <c r="E1897" s="23">
        <f t="shared" si="124"/>
        <v>1087.6695847874996</v>
      </c>
      <c r="F1897" s="23">
        <f>AlphaC*(D1897-E1897)</f>
        <v>32.072191364250102</v>
      </c>
      <c r="G1897" s="13">
        <f>Phi*EpsilonF*Botzman/10^8*J1897*((D1897+273)^4-(E1897+273)^4)</f>
        <v>513.80922974521889</v>
      </c>
      <c r="H1897" s="23">
        <f t="shared" si="125"/>
        <v>650</v>
      </c>
      <c r="I1897" s="12">
        <f>ksh*Massivete/(H1897*RhoA)*DeltaT*(F1897+G1897)</f>
        <v>8.0517643580385864E-2</v>
      </c>
      <c r="J1897" s="3">
        <f>IF(E1897&lt;=500,IF(Galva=Oui,0.35,0.7),0.7)</f>
        <v>0.7</v>
      </c>
    </row>
    <row r="1898" spans="2:10" x14ac:dyDescent="0.25">
      <c r="B1898" s="3">
        <f>B1897+DeltaT</f>
        <v>9405</v>
      </c>
      <c r="C1898" s="13">
        <f t="shared" si="126"/>
        <v>156.75</v>
      </c>
      <c r="D1898" s="11">
        <f t="shared" si="127"/>
        <v>1089.0320854068846</v>
      </c>
      <c r="E1898" s="23">
        <f t="shared" si="124"/>
        <v>1087.75010243108</v>
      </c>
      <c r="F1898" s="23">
        <f>AlphaC*(D1898-E1898)</f>
        <v>32.049574395114178</v>
      </c>
      <c r="G1898" s="13">
        <f>Phi*EpsilonF*Botzman/10^8*J1898*((D1898+273)^4-(E1898+273)^4)</f>
        <v>513.53749698799959</v>
      </c>
      <c r="H1898" s="23">
        <f t="shared" si="125"/>
        <v>650</v>
      </c>
      <c r="I1898" s="12">
        <f>ksh*Massivete/(H1898*RhoA)*DeltaT*(F1898+G1898)</f>
        <v>8.0474226923511041E-2</v>
      </c>
      <c r="J1898" s="3">
        <f>IF(E1898&lt;=500,IF(Galva=Oui,0.35,0.7),0.7)</f>
        <v>0.7</v>
      </c>
    </row>
    <row r="1899" spans="2:10" x14ac:dyDescent="0.25">
      <c r="B1899" s="3">
        <f>B1898+DeltaT</f>
        <v>9410</v>
      </c>
      <c r="C1899" s="13">
        <f t="shared" si="126"/>
        <v>156.83333333333334</v>
      </c>
      <c r="D1899" s="11">
        <f t="shared" si="127"/>
        <v>1089.1116560918438</v>
      </c>
      <c r="E1899" s="23">
        <f t="shared" si="124"/>
        <v>1087.8305766580036</v>
      </c>
      <c r="F1899" s="23">
        <f>AlphaC*(D1899-E1899)</f>
        <v>32.026985846005118</v>
      </c>
      <c r="G1899" s="13">
        <f>Phi*EpsilonF*Botzman/10^8*J1899*((D1899+273)^4-(E1899+273)^4)</f>
        <v>513.26605401045492</v>
      </c>
      <c r="H1899" s="23">
        <f t="shared" si="125"/>
        <v>650</v>
      </c>
      <c r="I1899" s="12">
        <f>ksh*Massivete/(H1899*RhoA)*DeltaT*(F1899+G1899)</f>
        <v>8.0430857201170269E-2</v>
      </c>
      <c r="J1899" s="3">
        <f>IF(E1899&lt;=500,IF(Galva=Oui,0.35,0.7),0.7)</f>
        <v>0.7</v>
      </c>
    </row>
    <row r="1900" spans="2:10" x14ac:dyDescent="0.25">
      <c r="B1900" s="3">
        <f>B1899+DeltaT</f>
        <v>9415</v>
      </c>
      <c r="C1900" s="13">
        <f t="shared" si="126"/>
        <v>156.91666666666666</v>
      </c>
      <c r="D1900" s="11">
        <f t="shared" si="127"/>
        <v>1089.1911845418301</v>
      </c>
      <c r="E1900" s="23">
        <f t="shared" si="124"/>
        <v>1087.9110075152048</v>
      </c>
      <c r="F1900" s="23">
        <f>AlphaC*(D1900-E1900)</f>
        <v>32.004425665633107</v>
      </c>
      <c r="G1900" s="13">
        <f>Phi*EpsilonF*Botzman/10^8*J1900*((D1900+273)^4-(E1900+273)^4)</f>
        <v>512.99490034692474</v>
      </c>
      <c r="H1900" s="23">
        <f t="shared" si="125"/>
        <v>650</v>
      </c>
      <c r="I1900" s="12">
        <f>ksh*Massivete/(H1900*RhoA)*DeltaT*(F1900+G1900)</f>
        <v>8.038753433711332E-2</v>
      </c>
      <c r="J1900" s="3">
        <f>IF(E1900&lt;=500,IF(Galva=Oui,0.35,0.7),0.7)</f>
        <v>0.7</v>
      </c>
    </row>
    <row r="1901" spans="2:10" x14ac:dyDescent="0.25">
      <c r="B1901" s="3">
        <f>B1900+DeltaT</f>
        <v>9420</v>
      </c>
      <c r="C1901" s="13">
        <f t="shared" si="126"/>
        <v>157</v>
      </c>
      <c r="D1901" s="11">
        <f t="shared" si="127"/>
        <v>1089.2706708016553</v>
      </c>
      <c r="E1901" s="23">
        <f t="shared" si="124"/>
        <v>1087.991395049542</v>
      </c>
      <c r="F1901" s="23">
        <f>AlphaC*(D1901-E1901)</f>
        <v>31.981893802833383</v>
      </c>
      <c r="G1901" s="13">
        <f>Phi*EpsilonF*Botzman/10^8*J1901*((D1901+273)^4-(E1901+273)^4)</f>
        <v>512.72403553262166</v>
      </c>
      <c r="H1901" s="23">
        <f t="shared" si="125"/>
        <v>650</v>
      </c>
      <c r="I1901" s="12">
        <f>ksh*Massivete/(H1901*RhoA)*DeltaT*(F1901+G1901)</f>
        <v>8.0344258255237111E-2</v>
      </c>
      <c r="J1901" s="3">
        <f>IF(E1901&lt;=500,IF(Galva=Oui,0.35,0.7),0.7)</f>
        <v>0.7</v>
      </c>
    </row>
    <row r="1902" spans="2:10" x14ac:dyDescent="0.25">
      <c r="B1902" s="3">
        <f>B1901+DeltaT</f>
        <v>9425</v>
      </c>
      <c r="C1902" s="13">
        <f t="shared" si="126"/>
        <v>157.08333333333334</v>
      </c>
      <c r="D1902" s="11">
        <f t="shared" si="127"/>
        <v>1089.35011491606</v>
      </c>
      <c r="E1902" s="23">
        <f t="shared" si="124"/>
        <v>1088.0717393077973</v>
      </c>
      <c r="F1902" s="23">
        <f>AlphaC*(D1902-E1902)</f>
        <v>31.959390206566241</v>
      </c>
      <c r="G1902" s="13">
        <f>Phi*EpsilonF*Botzman/10^8*J1902*((D1902+273)^4-(E1902+273)^4)</f>
        <v>512.45345910399806</v>
      </c>
      <c r="H1902" s="23">
        <f t="shared" si="125"/>
        <v>650</v>
      </c>
      <c r="I1902" s="12">
        <f>ksh*Massivete/(H1902*RhoA)*DeltaT*(F1902+G1902)</f>
        <v>8.0301028879639899E-2</v>
      </c>
      <c r="J1902" s="3">
        <f>IF(E1902&lt;=500,IF(Galva=Oui,0.35,0.7),0.7)</f>
        <v>0.7</v>
      </c>
    </row>
    <row r="1903" spans="2:10" x14ac:dyDescent="0.25">
      <c r="B1903" s="3">
        <f>B1902+DeltaT</f>
        <v>9430</v>
      </c>
      <c r="C1903" s="13">
        <f t="shared" si="126"/>
        <v>157.16666666666666</v>
      </c>
      <c r="D1903" s="11">
        <f t="shared" si="127"/>
        <v>1089.4295169297127</v>
      </c>
      <c r="E1903" s="23">
        <f t="shared" si="124"/>
        <v>1088.1520403366769</v>
      </c>
      <c r="F1903" s="23">
        <f>AlphaC*(D1903-E1903)</f>
        <v>31.936914825894291</v>
      </c>
      <c r="G1903" s="13">
        <f>Phi*EpsilonF*Botzman/10^8*J1903*((D1903+273)^4-(E1903+273)^4)</f>
        <v>512.18317059810738</v>
      </c>
      <c r="H1903" s="23">
        <f t="shared" si="125"/>
        <v>650</v>
      </c>
      <c r="I1903" s="12">
        <f>ksh*Massivete/(H1903*RhoA)*DeltaT*(F1903+G1903)</f>
        <v>8.0257846134523664E-2</v>
      </c>
      <c r="J1903" s="3">
        <f>IF(E1903&lt;=500,IF(Galva=Oui,0.35,0.7),0.7)</f>
        <v>0.7</v>
      </c>
    </row>
    <row r="1904" spans="2:10" x14ac:dyDescent="0.25">
      <c r="B1904" s="3">
        <f>B1903+DeltaT</f>
        <v>9435</v>
      </c>
      <c r="C1904" s="13">
        <f t="shared" si="126"/>
        <v>157.25</v>
      </c>
      <c r="D1904" s="11">
        <f t="shared" si="127"/>
        <v>1089.5088768872124</v>
      </c>
      <c r="E1904" s="23">
        <f t="shared" si="124"/>
        <v>1088.2322981828115</v>
      </c>
      <c r="F1904" s="23">
        <f>AlphaC*(D1904-E1904)</f>
        <v>31.914467610022257</v>
      </c>
      <c r="G1904" s="13">
        <f>Phi*EpsilonF*Botzman/10^8*J1904*((D1904+273)^4-(E1904+273)^4)</f>
        <v>511.91316955343706</v>
      </c>
      <c r="H1904" s="23">
        <f t="shared" si="125"/>
        <v>650</v>
      </c>
      <c r="I1904" s="12">
        <f>ksh*Massivete/(H1904*RhoA)*DeltaT*(F1904+G1904)</f>
        <v>8.0214709944322865E-2</v>
      </c>
      <c r="J1904" s="3">
        <f>IF(E1904&lt;=500,IF(Galva=Oui,0.35,0.7),0.7)</f>
        <v>0.7</v>
      </c>
    </row>
    <row r="1905" spans="2:10" x14ac:dyDescent="0.25">
      <c r="B1905" s="3">
        <f>B1904+DeltaT</f>
        <v>9440</v>
      </c>
      <c r="C1905" s="13">
        <f t="shared" si="126"/>
        <v>157.33333333333334</v>
      </c>
      <c r="D1905" s="11">
        <f t="shared" si="127"/>
        <v>1089.5881948330864</v>
      </c>
      <c r="E1905" s="23">
        <f t="shared" si="124"/>
        <v>1088.3125128927559</v>
      </c>
      <c r="F1905" s="23">
        <f>AlphaC*(D1905-E1905)</f>
        <v>31.89204850826286</v>
      </c>
      <c r="G1905" s="13">
        <f>Phi*EpsilonF*Botzman/10^8*J1905*((D1905+273)^4-(E1905+273)^4)</f>
        <v>511.6434555091916</v>
      </c>
      <c r="H1905" s="23">
        <f t="shared" si="125"/>
        <v>650</v>
      </c>
      <c r="I1905" s="12">
        <f>ksh*Massivete/(H1905*RhoA)*DeltaT*(F1905+G1905)</f>
        <v>8.0171620233593713E-2</v>
      </c>
      <c r="J1905" s="3">
        <f>IF(E1905&lt;=500,IF(Galva=Oui,0.35,0.7),0.7)</f>
        <v>0.7</v>
      </c>
    </row>
    <row r="1906" spans="2:10" x14ac:dyDescent="0.25">
      <c r="B1906" s="3">
        <f>B1905+DeltaT</f>
        <v>9445</v>
      </c>
      <c r="C1906" s="13">
        <f t="shared" si="126"/>
        <v>157.41666666666666</v>
      </c>
      <c r="D1906" s="11">
        <f t="shared" si="127"/>
        <v>1089.6674708117912</v>
      </c>
      <c r="E1906" s="23">
        <f t="shared" si="124"/>
        <v>1088.3926845129895</v>
      </c>
      <c r="F1906" s="23">
        <f>AlphaC*(D1906-E1906)</f>
        <v>31.869657470042512</v>
      </c>
      <c r="G1906" s="13">
        <f>Phi*EpsilonF*Botzman/10^8*J1906*((D1906+273)^4-(E1906+273)^4)</f>
        <v>511.37402800566082</v>
      </c>
      <c r="H1906" s="23">
        <f t="shared" si="125"/>
        <v>650</v>
      </c>
      <c r="I1906" s="12">
        <f>ksh*Massivete/(H1906*RhoA)*DeltaT*(F1906+G1906)</f>
        <v>8.0128576927069178E-2</v>
      </c>
      <c r="J1906" s="3">
        <f>IF(E1906&lt;=500,IF(Galva=Oui,0.35,0.7),0.7)</f>
        <v>0.7</v>
      </c>
    </row>
    <row r="1907" spans="2:10" x14ac:dyDescent="0.25">
      <c r="B1907" s="3">
        <f>B1906+DeltaT</f>
        <v>9450</v>
      </c>
      <c r="C1907" s="13">
        <f t="shared" si="126"/>
        <v>157.5</v>
      </c>
      <c r="D1907" s="11">
        <f t="shared" si="127"/>
        <v>1089.7467048677131</v>
      </c>
      <c r="E1907" s="23">
        <f t="shared" si="124"/>
        <v>1088.4728130899166</v>
      </c>
      <c r="F1907" s="23">
        <f>AlphaC*(D1907-E1907)</f>
        <v>31.847294444912677</v>
      </c>
      <c r="G1907" s="13">
        <f>Phi*EpsilonF*Botzman/10^8*J1907*((D1907+273)^4-(E1907+273)^4)</f>
        <v>511.1048865840454</v>
      </c>
      <c r="H1907" s="23">
        <f t="shared" si="125"/>
        <v>650</v>
      </c>
      <c r="I1907" s="12">
        <f>ksh*Massivete/(H1907*RhoA)*DeltaT*(F1907+G1907)</f>
        <v>8.0085579949635083E-2</v>
      </c>
      <c r="J1907" s="3">
        <f>IF(E1907&lt;=500,IF(Galva=Oui,0.35,0.7),0.7)</f>
        <v>0.7</v>
      </c>
    </row>
    <row r="1908" spans="2:10" x14ac:dyDescent="0.25">
      <c r="B1908" s="3">
        <f>B1907+DeltaT</f>
        <v>9455</v>
      </c>
      <c r="C1908" s="13">
        <f t="shared" si="126"/>
        <v>157.58333333333334</v>
      </c>
      <c r="D1908" s="11">
        <f t="shared" si="127"/>
        <v>1089.8258970451679</v>
      </c>
      <c r="E1908" s="23">
        <f t="shared" ref="E1908:E1971" si="128">E1907+I1907</f>
        <v>1088.5528986698662</v>
      </c>
      <c r="F1908" s="23">
        <f>AlphaC*(D1908-E1908)</f>
        <v>31.824959382544193</v>
      </c>
      <c r="G1908" s="13">
        <f>Phi*EpsilonF*Botzman/10^8*J1908*((D1908+273)^4-(E1908+273)^4)</f>
        <v>510.83603078661184</v>
      </c>
      <c r="H1908" s="23">
        <f t="shared" ref="H1908:H1971" si="129">IF(E1908&lt;600,425+0.773*E1908-1.69/1000*E1908^2+2.22/1000^2*E1908^3,IF(E1908&lt;735,666+13002/(738-E1908),IF(E1908&lt;900,545+17820/(E1908-731),650)))</f>
        <v>650</v>
      </c>
      <c r="I1908" s="12">
        <f>ksh*Massivete/(H1908*RhoA)*DeltaT*(F1908+G1908)</f>
        <v>8.004262922635208E-2</v>
      </c>
      <c r="J1908" s="3">
        <f>IF(E1908&lt;=500,IF(Galva=Oui,0.35,0.7),0.7)</f>
        <v>0.7</v>
      </c>
    </row>
    <row r="1909" spans="2:10" x14ac:dyDescent="0.25">
      <c r="B1909" s="3">
        <f>B1908+DeltaT</f>
        <v>9460</v>
      </c>
      <c r="C1909" s="13">
        <f t="shared" si="126"/>
        <v>157.66666666666666</v>
      </c>
      <c r="D1909" s="11">
        <f t="shared" si="127"/>
        <v>1089.9050473884015</v>
      </c>
      <c r="E1909" s="23">
        <f t="shared" si="128"/>
        <v>1088.6329412990926</v>
      </c>
      <c r="F1909" s="23">
        <f>AlphaC*(D1909-E1909)</f>
        <v>31.802652232721584</v>
      </c>
      <c r="G1909" s="13">
        <f>Phi*EpsilonF*Botzman/10^8*J1909*((D1909+273)^4-(E1909+273)^4)</f>
        <v>510.56746015653761</v>
      </c>
      <c r="H1909" s="23">
        <f t="shared" si="129"/>
        <v>650</v>
      </c>
      <c r="I1909" s="12">
        <f>ksh*Massivete/(H1909*RhoA)*DeltaT*(F1909+G1909)</f>
        <v>7.9999724682431925E-2</v>
      </c>
      <c r="J1909" s="3">
        <f>IF(E1909&lt;=500,IF(Galva=Oui,0.35,0.7),0.7)</f>
        <v>0.7</v>
      </c>
    </row>
    <row r="1910" spans="2:10" x14ac:dyDescent="0.25">
      <c r="B1910" s="3">
        <f>B1909+DeltaT</f>
        <v>9465</v>
      </c>
      <c r="C1910" s="13">
        <f t="shared" si="126"/>
        <v>157.75</v>
      </c>
      <c r="D1910" s="11">
        <f t="shared" si="127"/>
        <v>1089.9841559415891</v>
      </c>
      <c r="E1910" s="23">
        <f t="shared" si="128"/>
        <v>1088.7129410237751</v>
      </c>
      <c r="F1910" s="23">
        <f>AlphaC*(D1910-E1910)</f>
        <v>31.780372945348745</v>
      </c>
      <c r="G1910" s="13">
        <f>Phi*EpsilonF*Botzman/10^8*J1910*((D1910+273)^4-(E1910+273)^4)</f>
        <v>510.29917423806597</v>
      </c>
      <c r="H1910" s="23">
        <f t="shared" si="129"/>
        <v>650</v>
      </c>
      <c r="I1910" s="12">
        <f>ksh*Massivete/(H1910*RhoA)*DeltaT*(F1910+G1910)</f>
        <v>7.995686624326119E-2</v>
      </c>
      <c r="J1910" s="3">
        <f>IF(E1910&lt;=500,IF(Galva=Oui,0.35,0.7),0.7)</f>
        <v>0.7</v>
      </c>
    </row>
    <row r="1911" spans="2:10" x14ac:dyDescent="0.25">
      <c r="B1911" s="3">
        <f>B1910+DeltaT</f>
        <v>9470</v>
      </c>
      <c r="C1911" s="13">
        <f t="shared" si="126"/>
        <v>157.83333333333334</v>
      </c>
      <c r="D1911" s="11">
        <f t="shared" si="127"/>
        <v>1090.0632227488363</v>
      </c>
      <c r="E1911" s="23">
        <f t="shared" si="128"/>
        <v>1088.7928978900184</v>
      </c>
      <c r="F1911" s="23">
        <f>AlphaC*(D1911-E1911)</f>
        <v>31.758121470448941</v>
      </c>
      <c r="G1911" s="13">
        <f>Phi*EpsilonF*Botzman/10^8*J1911*((D1911+273)^4-(E1911+273)^4)</f>
        <v>510.03117257627349</v>
      </c>
      <c r="H1911" s="23">
        <f t="shared" si="129"/>
        <v>650</v>
      </c>
      <c r="I1911" s="12">
        <f>ksh*Massivete/(H1911*RhoA)*DeltaT*(F1911+G1911)</f>
        <v>7.9914053834367019E-2</v>
      </c>
      <c r="J1911" s="3">
        <f>IF(E1911&lt;=500,IF(Galva=Oui,0.35,0.7),0.7)</f>
        <v>0.7</v>
      </c>
    </row>
    <row r="1912" spans="2:10" x14ac:dyDescent="0.25">
      <c r="B1912" s="3">
        <f>B1911+DeltaT</f>
        <v>9475</v>
      </c>
      <c r="C1912" s="13">
        <f t="shared" si="126"/>
        <v>157.91666666666666</v>
      </c>
      <c r="D1912" s="11">
        <f t="shared" si="127"/>
        <v>1090.142247854179</v>
      </c>
      <c r="E1912" s="23">
        <f t="shared" si="128"/>
        <v>1088.8728119438526</v>
      </c>
      <c r="F1912" s="23">
        <f>AlphaC*(D1912-E1912)</f>
        <v>31.735897758159126</v>
      </c>
      <c r="G1912" s="13">
        <f>Phi*EpsilonF*Botzman/10^8*J1912*((D1912+273)^4-(E1912+273)^4)</f>
        <v>509.76345471736096</v>
      </c>
      <c r="H1912" s="23">
        <f t="shared" si="129"/>
        <v>650</v>
      </c>
      <c r="I1912" s="12">
        <f>ksh*Massivete/(H1912*RhoA)*DeltaT*(F1912+G1912)</f>
        <v>7.9871287381459044E-2</v>
      </c>
      <c r="J1912" s="3">
        <f>IF(E1912&lt;=500,IF(Galva=Oui,0.35,0.7),0.7)</f>
        <v>0.7</v>
      </c>
    </row>
    <row r="1913" spans="2:10" x14ac:dyDescent="0.25">
      <c r="B1913" s="3">
        <f>B1912+DeltaT</f>
        <v>9480</v>
      </c>
      <c r="C1913" s="13">
        <f t="shared" si="126"/>
        <v>158</v>
      </c>
      <c r="D1913" s="11">
        <f t="shared" si="127"/>
        <v>1090.2212313015837</v>
      </c>
      <c r="E1913" s="23">
        <f t="shared" si="128"/>
        <v>1088.952683231234</v>
      </c>
      <c r="F1913" s="23">
        <f>AlphaC*(D1913-E1913)</f>
        <v>31.713701758741308</v>
      </c>
      <c r="G1913" s="13">
        <f>Phi*EpsilonF*Botzman/10^8*J1913*((D1913+273)^4-(E1913+273)^4)</f>
        <v>509.4960202085561</v>
      </c>
      <c r="H1913" s="23">
        <f t="shared" si="129"/>
        <v>650</v>
      </c>
      <c r="I1913" s="12">
        <f>ksh*Massivete/(H1913*RhoA)*DeltaT*(F1913+G1913)</f>
        <v>7.9828566810416918E-2</v>
      </c>
      <c r="J1913" s="3">
        <f>IF(E1913&lt;=500,IF(Galva=Oui,0.35,0.7),0.7)</f>
        <v>0.7</v>
      </c>
    </row>
    <row r="1914" spans="2:10" x14ac:dyDescent="0.25">
      <c r="B1914" s="3">
        <f>B1913+DeltaT</f>
        <v>9485</v>
      </c>
      <c r="C1914" s="13">
        <f t="shared" si="126"/>
        <v>158.08333333333334</v>
      </c>
      <c r="D1914" s="11">
        <f t="shared" si="127"/>
        <v>1090.3001731349464</v>
      </c>
      <c r="E1914" s="23">
        <f t="shared" si="128"/>
        <v>1089.0325117980444</v>
      </c>
      <c r="F1914" s="23">
        <f>AlphaC*(D1914-E1914)</f>
        <v>31.691533422548446</v>
      </c>
      <c r="G1914" s="13">
        <f>Phi*EpsilonF*Botzman/10^8*J1914*((D1914+273)^4-(E1914+273)^4)</f>
        <v>509.22886859760996</v>
      </c>
      <c r="H1914" s="23">
        <f t="shared" si="129"/>
        <v>650</v>
      </c>
      <c r="I1914" s="12">
        <f>ksh*Massivete/(H1914*RhoA)*DeltaT*(F1914+G1914)</f>
        <v>7.9785892047210871E-2</v>
      </c>
      <c r="J1914" s="3">
        <f>IF(E1914&lt;=500,IF(Galva=Oui,0.35,0.7),0.7)</f>
        <v>0.7</v>
      </c>
    </row>
    <row r="1915" spans="2:10" x14ac:dyDescent="0.25">
      <c r="B1915" s="3">
        <f>B1914+DeltaT</f>
        <v>9490</v>
      </c>
      <c r="C1915" s="13">
        <f t="shared" si="126"/>
        <v>158.16666666666666</v>
      </c>
      <c r="D1915" s="11">
        <f t="shared" si="127"/>
        <v>1090.3790733980948</v>
      </c>
      <c r="E1915" s="23">
        <f t="shared" si="128"/>
        <v>1089.1122976900917</v>
      </c>
      <c r="F1915" s="23">
        <f>AlphaC*(D1915-E1915)</f>
        <v>31.669392700075605</v>
      </c>
      <c r="G1915" s="13">
        <f>Phi*EpsilonF*Botzman/10^8*J1915*((D1915+273)^4-(E1915+273)^4)</f>
        <v>508.96199943374648</v>
      </c>
      <c r="H1915" s="23">
        <f t="shared" si="129"/>
        <v>650</v>
      </c>
      <c r="I1915" s="12">
        <f>ksh*Massivete/(H1915*RhoA)*DeltaT*(F1915+G1915)</f>
        <v>7.9743263018049307E-2</v>
      </c>
      <c r="J1915" s="3">
        <f>IF(E1915&lt;=500,IF(Galva=Oui,0.35,0.7),0.7)</f>
        <v>0.7</v>
      </c>
    </row>
    <row r="1916" spans="2:10" x14ac:dyDescent="0.25">
      <c r="B1916" s="3">
        <f>B1915+DeltaT</f>
        <v>9495</v>
      </c>
      <c r="C1916" s="13">
        <f t="shared" si="126"/>
        <v>158.25</v>
      </c>
      <c r="D1916" s="11">
        <f t="shared" si="127"/>
        <v>1090.4579321347871</v>
      </c>
      <c r="E1916" s="23">
        <f t="shared" si="128"/>
        <v>1089.1920409531099</v>
      </c>
      <c r="F1916" s="23">
        <f>AlphaC*(D1916-E1916)</f>
        <v>31.647279541931539</v>
      </c>
      <c r="G1916" s="13">
        <f>Phi*EpsilonF*Botzman/10^8*J1916*((D1916+273)^4-(E1916+273)^4)</f>
        <v>508.69541226698414</v>
      </c>
      <c r="H1916" s="23">
        <f t="shared" si="129"/>
        <v>650</v>
      </c>
      <c r="I1916" s="12">
        <f>ksh*Massivete/(H1916*RhoA)*DeltaT*(F1916+G1916)</f>
        <v>7.9700679649274603E-2</v>
      </c>
      <c r="J1916" s="3">
        <f>IF(E1916&lt;=500,IF(Galva=Oui,0.35,0.7),0.7)</f>
        <v>0.7</v>
      </c>
    </row>
    <row r="1917" spans="2:10" x14ac:dyDescent="0.25">
      <c r="B1917" s="3">
        <f>B1916+DeltaT</f>
        <v>9500</v>
      </c>
      <c r="C1917" s="13">
        <f t="shared" si="126"/>
        <v>158.33333333333334</v>
      </c>
      <c r="D1917" s="11">
        <f t="shared" si="127"/>
        <v>1090.5367493887125</v>
      </c>
      <c r="E1917" s="23">
        <f t="shared" si="128"/>
        <v>1089.2717416327591</v>
      </c>
      <c r="F1917" s="23">
        <f>AlphaC*(D1917-E1917)</f>
        <v>31.625193898833004</v>
      </c>
      <c r="G1917" s="13">
        <f>Phi*EpsilonF*Botzman/10^8*J1917*((D1917+273)^4-(E1917+273)^4)</f>
        <v>508.42910664840741</v>
      </c>
      <c r="H1917" s="23">
        <f t="shared" si="129"/>
        <v>650</v>
      </c>
      <c r="I1917" s="12">
        <f>ksh*Massivete/(H1917*RhoA)*DeltaT*(F1917+G1917)</f>
        <v>7.9658141867402374E-2</v>
      </c>
      <c r="J1917" s="3">
        <f>IF(E1917&lt;=500,IF(Galva=Oui,0.35,0.7),0.7)</f>
        <v>0.7</v>
      </c>
    </row>
    <row r="1918" spans="2:10" x14ac:dyDescent="0.25">
      <c r="B1918" s="3">
        <f>B1917+DeltaT</f>
        <v>9505</v>
      </c>
      <c r="C1918" s="13">
        <f t="shared" si="126"/>
        <v>158.41666666666666</v>
      </c>
      <c r="D1918" s="11">
        <f t="shared" si="127"/>
        <v>1090.6155252034905</v>
      </c>
      <c r="E1918" s="23">
        <f t="shared" si="128"/>
        <v>1089.3513997746265</v>
      </c>
      <c r="F1918" s="23">
        <f>AlphaC*(D1918-E1918)</f>
        <v>31.603135721599074</v>
      </c>
      <c r="G1918" s="13">
        <f>Phi*EpsilonF*Botzman/10^8*J1918*((D1918+273)^4-(E1918+273)^4)</f>
        <v>508.16308212960445</v>
      </c>
      <c r="H1918" s="23">
        <f t="shared" si="129"/>
        <v>650</v>
      </c>
      <c r="I1918" s="12">
        <f>ksh*Massivete/(H1918*RhoA)*DeltaT*(F1918+G1918)</f>
        <v>7.9615649599037497E-2</v>
      </c>
      <c r="J1918" s="3">
        <f>IF(E1918&lt;=500,IF(Galva=Oui,0.35,0.7),0.7)</f>
        <v>0.7</v>
      </c>
    </row>
    <row r="1919" spans="2:10" x14ac:dyDescent="0.25">
      <c r="B1919" s="3">
        <f>B1918+DeltaT</f>
        <v>9510</v>
      </c>
      <c r="C1919" s="13">
        <f t="shared" si="126"/>
        <v>158.5</v>
      </c>
      <c r="D1919" s="11">
        <f t="shared" si="127"/>
        <v>1090.6942596226731</v>
      </c>
      <c r="E1919" s="23">
        <f t="shared" si="128"/>
        <v>1089.4310154242255</v>
      </c>
      <c r="F1919" s="23">
        <f>AlphaC*(D1919-E1919)</f>
        <v>31.581104961190931</v>
      </c>
      <c r="G1919" s="13">
        <f>Phi*EpsilonF*Botzman/10^8*J1919*((D1919+273)^4-(E1919+273)^4)</f>
        <v>507.897338263714</v>
      </c>
      <c r="H1919" s="23">
        <f t="shared" si="129"/>
        <v>650</v>
      </c>
      <c r="I1919" s="12">
        <f>ksh*Massivete/(H1919*RhoA)*DeltaT*(F1919+G1919)</f>
        <v>7.9573202771034648E-2</v>
      </c>
      <c r="J1919" s="3">
        <f>IF(E1919&lt;=500,IF(Galva=Oui,0.35,0.7),0.7)</f>
        <v>0.7</v>
      </c>
    </row>
    <row r="1920" spans="2:10" x14ac:dyDescent="0.25">
      <c r="B1920" s="3">
        <f>B1919+DeltaT</f>
        <v>9515</v>
      </c>
      <c r="C1920" s="13">
        <f t="shared" si="126"/>
        <v>158.58333333333334</v>
      </c>
      <c r="D1920" s="11">
        <f t="shared" si="127"/>
        <v>1090.7729526897429</v>
      </c>
      <c r="E1920" s="23">
        <f t="shared" si="128"/>
        <v>1089.5105886269967</v>
      </c>
      <c r="F1920" s="23">
        <f>AlphaC*(D1920-E1920)</f>
        <v>31.559101568655024</v>
      </c>
      <c r="G1920" s="13">
        <f>Phi*EpsilonF*Botzman/10^8*J1920*((D1920+273)^4-(E1920+273)^4)</f>
        <v>507.63187460437859</v>
      </c>
      <c r="H1920" s="23">
        <f t="shared" si="129"/>
        <v>650</v>
      </c>
      <c r="I1920" s="12">
        <f>ksh*Massivete/(H1920*RhoA)*DeltaT*(F1920+G1920)</f>
        <v>7.9530801310335297E-2</v>
      </c>
      <c r="J1920" s="3">
        <f>IF(E1920&lt;=500,IF(Galva=Oui,0.35,0.7),0.7)</f>
        <v>0.7</v>
      </c>
    </row>
    <row r="1921" spans="2:10" x14ac:dyDescent="0.25">
      <c r="B1921" s="3">
        <f>B1920+DeltaT</f>
        <v>9520</v>
      </c>
      <c r="C1921" s="13">
        <f t="shared" si="126"/>
        <v>158.66666666666666</v>
      </c>
      <c r="D1921" s="11">
        <f t="shared" si="127"/>
        <v>1090.8516044481139</v>
      </c>
      <c r="E1921" s="23">
        <f t="shared" si="128"/>
        <v>1089.5901194283069</v>
      </c>
      <c r="F1921" s="23">
        <f>AlphaC*(D1921-E1921)</f>
        <v>31.537125495174223</v>
      </c>
      <c r="G1921" s="13">
        <f>Phi*EpsilonF*Botzman/10^8*J1921*((D1921+273)^4-(E1921+273)^4)</f>
        <v>507.36669070638419</v>
      </c>
      <c r="H1921" s="23">
        <f t="shared" si="129"/>
        <v>650</v>
      </c>
      <c r="I1921" s="12">
        <f>ksh*Massivete/(H1921*RhoA)*DeltaT*(F1921+G1921)</f>
        <v>7.9488445144069719E-2</v>
      </c>
      <c r="J1921" s="3">
        <f>IF(E1921&lt;=500,IF(Galva=Oui,0.35,0.7),0.7)</f>
        <v>0.7</v>
      </c>
    </row>
    <row r="1922" spans="2:10" x14ac:dyDescent="0.25">
      <c r="B1922" s="3">
        <f>B1921+DeltaT</f>
        <v>9525</v>
      </c>
      <c r="C1922" s="13">
        <f t="shared" si="126"/>
        <v>158.75</v>
      </c>
      <c r="D1922" s="11">
        <f t="shared" si="127"/>
        <v>1090.9302149411328</v>
      </c>
      <c r="E1922" s="23">
        <f t="shared" si="128"/>
        <v>1089.669607873451</v>
      </c>
      <c r="F1922" s="23">
        <f>AlphaC*(D1922-E1922)</f>
        <v>31.515176692045088</v>
      </c>
      <c r="G1922" s="13">
        <f>Phi*EpsilonF*Botzman/10^8*J1922*((D1922+273)^4-(E1922+273)^4)</f>
        <v>507.10178612573765</v>
      </c>
      <c r="H1922" s="23">
        <f t="shared" si="129"/>
        <v>650</v>
      </c>
      <c r="I1922" s="12">
        <f>ksh*Massivete/(H1922*RhoA)*DeltaT*(F1922+G1922)</f>
        <v>7.9446134199565088E-2</v>
      </c>
      <c r="J1922" s="3">
        <f>IF(E1922&lt;=500,IF(Galva=Oui,0.35,0.7),0.7)</f>
        <v>0.7</v>
      </c>
    </row>
    <row r="1923" spans="2:10" x14ac:dyDescent="0.25">
      <c r="B1923" s="3">
        <f>B1922+DeltaT</f>
        <v>9530</v>
      </c>
      <c r="C1923" s="13">
        <f t="shared" si="126"/>
        <v>158.83333333333334</v>
      </c>
      <c r="D1923" s="11">
        <f t="shared" si="127"/>
        <v>1091.0087842120765</v>
      </c>
      <c r="E1923" s="23">
        <f t="shared" si="128"/>
        <v>1089.7490540076506</v>
      </c>
      <c r="F1923" s="23">
        <f>AlphaC*(D1923-E1923)</f>
        <v>31.493255110649443</v>
      </c>
      <c r="G1923" s="13">
        <f>Phi*EpsilonF*Botzman/10^8*J1923*((D1923+273)^4-(E1923+273)^4)</f>
        <v>506.8371604186396</v>
      </c>
      <c r="H1923" s="23">
        <f t="shared" si="129"/>
        <v>650</v>
      </c>
      <c r="I1923" s="12">
        <f>ksh*Massivete/(H1923*RhoA)*DeltaT*(F1923+G1923)</f>
        <v>7.9403868404189656E-2</v>
      </c>
      <c r="J1923" s="3">
        <f>IF(E1923&lt;=500,IF(Galva=Oui,0.35,0.7),0.7)</f>
        <v>0.7</v>
      </c>
    </row>
    <row r="1924" spans="2:10" x14ac:dyDescent="0.25">
      <c r="B1924" s="3">
        <f>B1923+DeltaT</f>
        <v>9535</v>
      </c>
      <c r="C1924" s="13">
        <f t="shared" si="126"/>
        <v>158.91666666666666</v>
      </c>
      <c r="D1924" s="11">
        <f t="shared" si="127"/>
        <v>1091.0873123041554</v>
      </c>
      <c r="E1924" s="23">
        <f t="shared" si="128"/>
        <v>1089.8284578760547</v>
      </c>
      <c r="F1924" s="23">
        <f>AlphaC*(D1924-E1924)</f>
        <v>31.471360702516904</v>
      </c>
      <c r="G1924" s="13">
        <f>Phi*EpsilonF*Botzman/10^8*J1924*((D1924+273)^4-(E1924+273)^4)</f>
        <v>506.57281314303503</v>
      </c>
      <c r="H1924" s="23">
        <f t="shared" si="129"/>
        <v>650</v>
      </c>
      <c r="I1924" s="12">
        <f>ksh*Massivete/(H1924*RhoA)*DeltaT*(F1924+G1924)</f>
        <v>7.9361647685590841E-2</v>
      </c>
      <c r="J1924" s="3">
        <f>IF(E1924&lt;=500,IF(Galva=Oui,0.35,0.7),0.7)</f>
        <v>0.7</v>
      </c>
    </row>
    <row r="1925" spans="2:10" x14ac:dyDescent="0.25">
      <c r="B1925" s="3">
        <f>B1924+DeltaT</f>
        <v>9540</v>
      </c>
      <c r="C1925" s="13">
        <f t="shared" si="126"/>
        <v>159</v>
      </c>
      <c r="D1925" s="11">
        <f t="shared" si="127"/>
        <v>1091.165799260511</v>
      </c>
      <c r="E1925" s="23">
        <f t="shared" si="128"/>
        <v>1089.9078195237403</v>
      </c>
      <c r="F1925" s="23">
        <f>AlphaC*(D1925-E1925)</f>
        <v>31.449493419268038</v>
      </c>
      <c r="G1925" s="13">
        <f>Phi*EpsilonF*Botzman/10^8*J1925*((D1925+273)^4-(E1925+273)^4)</f>
        <v>506.30874385733387</v>
      </c>
      <c r="H1925" s="23">
        <f t="shared" si="129"/>
        <v>650</v>
      </c>
      <c r="I1925" s="12">
        <f>ksh*Massivete/(H1925*RhoA)*DeltaT*(F1925+G1925)</f>
        <v>7.9319471971497968E-2</v>
      </c>
      <c r="J1925" s="3">
        <f>IF(E1925&lt;=500,IF(Galva=Oui,0.35,0.7),0.7)</f>
        <v>0.7</v>
      </c>
    </row>
    <row r="1926" spans="2:10" x14ac:dyDescent="0.25">
      <c r="B1926" s="3">
        <f>B1925+DeltaT</f>
        <v>9545</v>
      </c>
      <c r="C1926" s="13">
        <f t="shared" si="126"/>
        <v>159.08333333333334</v>
      </c>
      <c r="D1926" s="11">
        <f t="shared" si="127"/>
        <v>1091.2442451242173</v>
      </c>
      <c r="E1926" s="23">
        <f t="shared" si="128"/>
        <v>1089.9871389957118</v>
      </c>
      <c r="F1926" s="23">
        <f>AlphaC*(D1926-E1926)</f>
        <v>31.427653212637097</v>
      </c>
      <c r="G1926" s="13">
        <f>Phi*EpsilonF*Botzman/10^8*J1926*((D1926+273)^4-(E1926+273)^4)</f>
        <v>506.04495212091507</v>
      </c>
      <c r="H1926" s="23">
        <f t="shared" si="129"/>
        <v>650</v>
      </c>
      <c r="I1926" s="12">
        <f>ksh*Massivete/(H1926*RhoA)*DeltaT*(F1926+G1926)</f>
        <v>7.9277341189800149E-2</v>
      </c>
      <c r="J1926" s="3">
        <f>IF(E1926&lt;=500,IF(Galva=Oui,0.35,0.7),0.7)</f>
        <v>0.7</v>
      </c>
    </row>
    <row r="1927" spans="2:10" x14ac:dyDescent="0.25">
      <c r="B1927" s="3">
        <f>B1926+DeltaT</f>
        <v>9550</v>
      </c>
      <c r="C1927" s="13">
        <f t="shared" si="126"/>
        <v>159.16666666666666</v>
      </c>
      <c r="D1927" s="11">
        <f t="shared" si="127"/>
        <v>1091.3226499382811</v>
      </c>
      <c r="E1927" s="23">
        <f t="shared" si="128"/>
        <v>1090.0664163369015</v>
      </c>
      <c r="F1927" s="23">
        <f>AlphaC*(D1927-E1927)</f>
        <v>31.405840034489074</v>
      </c>
      <c r="G1927" s="13">
        <f>Phi*EpsilonF*Botzman/10^8*J1927*((D1927+273)^4-(E1927+273)^4)</f>
        <v>505.78143749443677</v>
      </c>
      <c r="H1927" s="23">
        <f t="shared" si="129"/>
        <v>650</v>
      </c>
      <c r="I1927" s="12">
        <f>ksh*Massivete/(H1927*RhoA)*DeltaT*(F1927+G1927)</f>
        <v>7.9235255268594443E-2</v>
      </c>
      <c r="J1927" s="3">
        <f>IF(E1927&lt;=500,IF(Galva=Oui,0.35,0.7),0.7)</f>
        <v>0.7</v>
      </c>
    </row>
    <row r="1928" spans="2:10" x14ac:dyDescent="0.25">
      <c r="B1928" s="3">
        <f>B1927+DeltaT</f>
        <v>9555</v>
      </c>
      <c r="C1928" s="13">
        <f t="shared" si="126"/>
        <v>159.25</v>
      </c>
      <c r="D1928" s="11">
        <f t="shared" si="127"/>
        <v>1091.401013745641</v>
      </c>
      <c r="E1928" s="23">
        <f t="shared" si="128"/>
        <v>1090.14565159217</v>
      </c>
      <c r="F1928" s="23">
        <f>AlphaC*(D1928-E1928)</f>
        <v>31.384053836774228</v>
      </c>
      <c r="G1928" s="13">
        <f>Phi*EpsilonF*Botzman/10^8*J1928*((D1928+273)^4-(E1928+273)^4)</f>
        <v>505.51819953909956</v>
      </c>
      <c r="H1928" s="23">
        <f t="shared" si="129"/>
        <v>650</v>
      </c>
      <c r="I1928" s="12">
        <f>ksh*Massivete/(H1928*RhoA)*DeltaT*(F1928+G1928)</f>
        <v>7.9193214136070458E-2</v>
      </c>
      <c r="J1928" s="3">
        <f>IF(E1928&lt;=500,IF(Galva=Oui,0.35,0.7),0.7)</f>
        <v>0.7</v>
      </c>
    </row>
    <row r="1929" spans="2:10" x14ac:dyDescent="0.25">
      <c r="B1929" s="3">
        <f>B1928+DeltaT</f>
        <v>9560</v>
      </c>
      <c r="C1929" s="13">
        <f t="shared" si="126"/>
        <v>159.33333333333334</v>
      </c>
      <c r="D1929" s="11">
        <f t="shared" si="127"/>
        <v>1091.4793365891685</v>
      </c>
      <c r="E1929" s="23">
        <f t="shared" si="128"/>
        <v>1090.224844806306</v>
      </c>
      <c r="F1929" s="23">
        <f>AlphaC*(D1929-E1929)</f>
        <v>31.362294571562188</v>
      </c>
      <c r="G1929" s="13">
        <f>Phi*EpsilonF*Botzman/10^8*J1929*((D1929+273)^4-(E1929+273)^4)</f>
        <v>505.25523781703447</v>
      </c>
      <c r="H1929" s="23">
        <f t="shared" si="129"/>
        <v>650</v>
      </c>
      <c r="I1929" s="12">
        <f>ksh*Massivete/(H1929*RhoA)*DeltaT*(F1929+G1929)</f>
        <v>7.9151217720572667E-2</v>
      </c>
      <c r="J1929" s="3">
        <f>IF(E1929&lt;=500,IF(Galva=Oui,0.35,0.7),0.7)</f>
        <v>0.7</v>
      </c>
    </row>
    <row r="1930" spans="2:10" x14ac:dyDescent="0.25">
      <c r="B1930" s="3">
        <f>B1929+DeltaT</f>
        <v>9565</v>
      </c>
      <c r="C1930" s="13">
        <f t="shared" si="126"/>
        <v>159.41666666666666</v>
      </c>
      <c r="D1930" s="11">
        <f t="shared" si="127"/>
        <v>1091.5576185116686</v>
      </c>
      <c r="E1930" s="23">
        <f t="shared" si="128"/>
        <v>1090.3039960240267</v>
      </c>
      <c r="F1930" s="23">
        <f>AlphaC*(D1930-E1930)</f>
        <v>31.340562191047638</v>
      </c>
      <c r="G1930" s="13">
        <f>Phi*EpsilonF*Botzman/10^8*J1930*((D1930+273)^4-(E1930+273)^4)</f>
        <v>504.99255189165143</v>
      </c>
      <c r="H1930" s="23">
        <f t="shared" si="129"/>
        <v>650</v>
      </c>
      <c r="I1930" s="12">
        <f>ksh*Massivete/(H1930*RhoA)*DeltaT*(F1930+G1930)</f>
        <v>7.9109265950652638E-2</v>
      </c>
      <c r="J1930" s="3">
        <f>IF(E1930&lt;=500,IF(Galva=Oui,0.35,0.7),0.7)</f>
        <v>0.7</v>
      </c>
    </row>
    <row r="1931" spans="2:10" x14ac:dyDescent="0.25">
      <c r="B1931" s="3">
        <f>B1930+DeltaT</f>
        <v>9570</v>
      </c>
      <c r="C1931" s="13">
        <f t="shared" si="126"/>
        <v>159.5</v>
      </c>
      <c r="D1931" s="11">
        <f t="shared" si="127"/>
        <v>1091.6358595558781</v>
      </c>
      <c r="E1931" s="23">
        <f t="shared" si="128"/>
        <v>1090.3831052899773</v>
      </c>
      <c r="F1931" s="23">
        <f>AlphaC*(D1931-E1931)</f>
        <v>31.318856647521898</v>
      </c>
      <c r="G1931" s="13">
        <f>Phi*EpsilonF*Botzman/10^8*J1931*((D1931+273)^4-(E1931+273)^4)</f>
        <v>504.73014132698063</v>
      </c>
      <c r="H1931" s="23">
        <f t="shared" si="129"/>
        <v>650</v>
      </c>
      <c r="I1931" s="12">
        <f>ksh*Massivete/(H1931*RhoA)*DeltaT*(F1931+G1931)</f>
        <v>7.906735875496769E-2</v>
      </c>
      <c r="J1931" s="3">
        <f>IF(E1931&lt;=500,IF(Galva=Oui,0.35,0.7),0.7)</f>
        <v>0.7</v>
      </c>
    </row>
    <row r="1932" spans="2:10" x14ac:dyDescent="0.25">
      <c r="B1932" s="3">
        <f>B1931+DeltaT</f>
        <v>9575</v>
      </c>
      <c r="C1932" s="13">
        <f t="shared" si="126"/>
        <v>159.58333333333334</v>
      </c>
      <c r="D1932" s="11">
        <f t="shared" si="127"/>
        <v>1091.7140597644679</v>
      </c>
      <c r="E1932" s="23">
        <f t="shared" si="128"/>
        <v>1090.4621726487321</v>
      </c>
      <c r="F1932" s="23">
        <f>AlphaC*(D1932-E1932)</f>
        <v>31.297177893395656</v>
      </c>
      <c r="G1932" s="13">
        <f>Phi*EpsilonF*Botzman/10^8*J1932*((D1932+273)^4-(E1932+273)^4)</f>
        <v>504.46800568811813</v>
      </c>
      <c r="H1932" s="23">
        <f t="shared" si="129"/>
        <v>650</v>
      </c>
      <c r="I1932" s="12">
        <f>ksh*Massivete/(H1932*RhoA)*DeltaT*(F1932+G1932)</f>
        <v>7.9025496062349945E-2</v>
      </c>
      <c r="J1932" s="3">
        <f>IF(E1932&lt;=500,IF(Galva=Oui,0.35,0.7),0.7)</f>
        <v>0.7</v>
      </c>
    </row>
    <row r="1933" spans="2:10" x14ac:dyDescent="0.25">
      <c r="B1933" s="3">
        <f>B1932+DeltaT</f>
        <v>9580</v>
      </c>
      <c r="C1933" s="13">
        <f t="shared" si="126"/>
        <v>159.66666666666666</v>
      </c>
      <c r="D1933" s="11">
        <f t="shared" si="127"/>
        <v>1091.7922191800412</v>
      </c>
      <c r="E1933" s="23">
        <f t="shared" si="128"/>
        <v>1090.5411981447944</v>
      </c>
      <c r="F1933" s="23">
        <f>AlphaC*(D1933-E1933)</f>
        <v>31.275525881170552</v>
      </c>
      <c r="G1933" s="13">
        <f>Phi*EpsilonF*Botzman/10^8*J1933*((D1933+273)^4-(E1933+273)^4)</f>
        <v>504.20614454089639</v>
      </c>
      <c r="H1933" s="23">
        <f t="shared" si="129"/>
        <v>650</v>
      </c>
      <c r="I1933" s="12">
        <f>ksh*Massivete/(H1933*RhoA)*DeltaT*(F1933+G1933)</f>
        <v>7.8983677801753527E-2</v>
      </c>
      <c r="J1933" s="3">
        <f>IF(E1933&lt;=500,IF(Galva=Oui,0.35,0.7),0.7)</f>
        <v>0.7</v>
      </c>
    </row>
    <row r="1934" spans="2:10" x14ac:dyDescent="0.25">
      <c r="B1934" s="3">
        <f>B1933+DeltaT</f>
        <v>9585</v>
      </c>
      <c r="C1934" s="13">
        <f t="shared" si="126"/>
        <v>159.75</v>
      </c>
      <c r="D1934" s="11">
        <f t="shared" si="127"/>
        <v>1091.8703378451355</v>
      </c>
      <c r="E1934" s="23">
        <f t="shared" si="128"/>
        <v>1090.6201818225961</v>
      </c>
      <c r="F1934" s="23">
        <f>AlphaC*(D1934-E1934)</f>
        <v>31.253900563484649</v>
      </c>
      <c r="G1934" s="13">
        <f>Phi*EpsilonF*Botzman/10^8*J1934*((D1934+273)^4-(E1934+273)^4)</f>
        <v>503.94455745234944</v>
      </c>
      <c r="H1934" s="23">
        <f t="shared" si="129"/>
        <v>650</v>
      </c>
      <c r="I1934" s="12">
        <f>ksh*Massivete/(H1934*RhoA)*DeltaT*(F1934+G1934)</f>
        <v>7.894190390233001E-2</v>
      </c>
      <c r="J1934" s="3">
        <f>IF(E1934&lt;=500,IF(Galva=Oui,0.35,0.7),0.7)</f>
        <v>0.7</v>
      </c>
    </row>
    <row r="1935" spans="2:10" x14ac:dyDescent="0.25">
      <c r="B1935" s="3">
        <f>B1934+DeltaT</f>
        <v>9590</v>
      </c>
      <c r="C1935" s="13">
        <f t="shared" si="126"/>
        <v>159.83333333333334</v>
      </c>
      <c r="D1935" s="11">
        <f t="shared" si="127"/>
        <v>1091.948415802221</v>
      </c>
      <c r="E1935" s="23">
        <f t="shared" si="128"/>
        <v>1090.6991237264986</v>
      </c>
      <c r="F1935" s="23">
        <f>AlphaC*(D1935-E1935)</f>
        <v>31.232301893061276</v>
      </c>
      <c r="G1935" s="13">
        <f>Phi*EpsilonF*Botzman/10^8*J1935*((D1935+273)^4-(E1935+273)^4)</f>
        <v>503.68324399001523</v>
      </c>
      <c r="H1935" s="23">
        <f t="shared" si="129"/>
        <v>650</v>
      </c>
      <c r="I1935" s="12">
        <f>ksh*Massivete/(H1935*RhoA)*DeltaT*(F1935+G1935)</f>
        <v>7.8900174293317762E-2</v>
      </c>
      <c r="J1935" s="3">
        <f>IF(E1935&lt;=500,IF(Galva=Oui,0.35,0.7),0.7)</f>
        <v>0.7</v>
      </c>
    </row>
    <row r="1936" spans="2:10" x14ac:dyDescent="0.25">
      <c r="B1936" s="3">
        <f>B1935+DeltaT</f>
        <v>9595</v>
      </c>
      <c r="C1936" s="13">
        <f t="shared" si="126"/>
        <v>159.91666666666666</v>
      </c>
      <c r="D1936" s="11">
        <f t="shared" si="127"/>
        <v>1092.026453093702</v>
      </c>
      <c r="E1936" s="23">
        <f t="shared" si="128"/>
        <v>1090.7780239007918</v>
      </c>
      <c r="F1936" s="23">
        <f>AlphaC*(D1936-E1936)</f>
        <v>31.210729822754502</v>
      </c>
      <c r="G1936" s="13">
        <f>Phi*EpsilonF*Botzman/10^8*J1936*((D1936+273)^4-(E1936+273)^4)</f>
        <v>503.42220372292388</v>
      </c>
      <c r="H1936" s="23">
        <f t="shared" si="129"/>
        <v>650</v>
      </c>
      <c r="I1936" s="12">
        <f>ksh*Massivete/(H1936*RhoA)*DeltaT*(F1936+G1936)</f>
        <v>7.8858488904194626E-2</v>
      </c>
      <c r="J1936" s="3">
        <f>IF(E1936&lt;=500,IF(Galva=Oui,0.35,0.7),0.7)</f>
        <v>0.7</v>
      </c>
    </row>
    <row r="1937" spans="2:10" x14ac:dyDescent="0.25">
      <c r="B1937" s="3">
        <f>B1936+DeltaT</f>
        <v>9600</v>
      </c>
      <c r="C1937" s="13">
        <f t="shared" si="126"/>
        <v>160</v>
      </c>
      <c r="D1937" s="11">
        <f t="shared" si="127"/>
        <v>1092.1044497619166</v>
      </c>
      <c r="E1937" s="23">
        <f t="shared" si="128"/>
        <v>1090.856882389696</v>
      </c>
      <c r="F1937" s="23">
        <f>AlphaC*(D1937-E1937)</f>
        <v>31.189184305515028</v>
      </c>
      <c r="G1937" s="13">
        <f>Phi*EpsilonF*Botzman/10^8*J1937*((D1937+273)^4-(E1937+273)^4)</f>
        <v>503.16143622053193</v>
      </c>
      <c r="H1937" s="23">
        <f t="shared" si="129"/>
        <v>650</v>
      </c>
      <c r="I1937" s="12">
        <f>ksh*Massivete/(H1937*RhoA)*DeltaT*(F1937+G1937)</f>
        <v>7.8816847664515521E-2</v>
      </c>
      <c r="J1937" s="3">
        <f>IF(E1937&lt;=500,IF(Galva=Oui,0.35,0.7),0.7)</f>
        <v>0.7</v>
      </c>
    </row>
    <row r="1938" spans="2:10" x14ac:dyDescent="0.25">
      <c r="B1938" s="3">
        <f>B1937+DeltaT</f>
        <v>9605</v>
      </c>
      <c r="C1938" s="13">
        <f t="shared" ref="C1938:C2001" si="130">B1938/60</f>
        <v>160.08333333333334</v>
      </c>
      <c r="D1938" s="11">
        <f t="shared" ref="D1938:D2001" si="131">20+345*LOG(8*C1938+1,10)</f>
        <v>1092.1824058491366</v>
      </c>
      <c r="E1938" s="23">
        <f t="shared" si="128"/>
        <v>1090.9356992373605</v>
      </c>
      <c r="F1938" s="23">
        <f>AlphaC*(D1938-E1938)</f>
        <v>31.167665294401559</v>
      </c>
      <c r="G1938" s="13">
        <f>Phi*EpsilonF*Botzman/10^8*J1938*((D1938+273)^4-(E1938+273)^4)</f>
        <v>502.90094105340063</v>
      </c>
      <c r="H1938" s="23">
        <f t="shared" si="129"/>
        <v>650</v>
      </c>
      <c r="I1938" s="12">
        <f>ksh*Massivete/(H1938*RhoA)*DeltaT*(F1938+G1938)</f>
        <v>7.8775250504014308E-2</v>
      </c>
      <c r="J1938" s="3">
        <f>IF(E1938&lt;=500,IF(Galva=Oui,0.35,0.7),0.7)</f>
        <v>0.7</v>
      </c>
    </row>
    <row r="1939" spans="2:10" x14ac:dyDescent="0.25">
      <c r="B1939" s="3">
        <f>B1938+DeltaT</f>
        <v>9610</v>
      </c>
      <c r="C1939" s="13">
        <f t="shared" si="130"/>
        <v>160.16666666666666</v>
      </c>
      <c r="D1939" s="11">
        <f t="shared" si="131"/>
        <v>1092.2603213975676</v>
      </c>
      <c r="E1939" s="23">
        <f t="shared" si="128"/>
        <v>1091.0144744878646</v>
      </c>
      <c r="F1939" s="23">
        <f>AlphaC*(D1939-E1939)</f>
        <v>31.146172742575118</v>
      </c>
      <c r="G1939" s="13">
        <f>Phi*EpsilonF*Botzman/10^8*J1939*((D1939+273)^4-(E1939+273)^4)</f>
        <v>502.64071779276929</v>
      </c>
      <c r="H1939" s="23">
        <f t="shared" si="129"/>
        <v>650</v>
      </c>
      <c r="I1939" s="12">
        <f>ksh*Massivete/(H1939*RhoA)*DeltaT*(F1939+G1939)</f>
        <v>7.8733697352539878E-2</v>
      </c>
      <c r="J1939" s="3">
        <f>IF(E1939&lt;=500,IF(Galva=Oui,0.35,0.7),0.7)</f>
        <v>0.7</v>
      </c>
    </row>
    <row r="1940" spans="2:10" x14ac:dyDescent="0.25">
      <c r="B1940" s="3">
        <f>B1939+DeltaT</f>
        <v>9615</v>
      </c>
      <c r="C1940" s="13">
        <f t="shared" si="130"/>
        <v>160.25</v>
      </c>
      <c r="D1940" s="11">
        <f t="shared" si="131"/>
        <v>1092.3381964493503</v>
      </c>
      <c r="E1940" s="23">
        <f t="shared" si="128"/>
        <v>1091.0932081852172</v>
      </c>
      <c r="F1940" s="23">
        <f>AlphaC*(D1940-E1940)</f>
        <v>31.124706603327468</v>
      </c>
      <c r="G1940" s="13">
        <f>Phi*EpsilonF*Botzman/10^8*J1940*((D1940+273)^4-(E1940+273)^4)</f>
        <v>502.38076601123419</v>
      </c>
      <c r="H1940" s="23">
        <f t="shared" si="129"/>
        <v>650</v>
      </c>
      <c r="I1940" s="12">
        <f>ksh*Massivete/(H1940*RhoA)*DeltaT*(F1940+G1940)</f>
        <v>7.8692188140160629E-2</v>
      </c>
      <c r="J1940" s="3">
        <f>IF(E1940&lt;=500,IF(Galva=Oui,0.35,0.7),0.7)</f>
        <v>0.7</v>
      </c>
    </row>
    <row r="1941" spans="2:10" x14ac:dyDescent="0.25">
      <c r="B1941" s="3">
        <f>B1940+DeltaT</f>
        <v>9620</v>
      </c>
      <c r="C1941" s="13">
        <f t="shared" si="130"/>
        <v>160.33333333333334</v>
      </c>
      <c r="D1941" s="11">
        <f t="shared" si="131"/>
        <v>1092.4160310465586</v>
      </c>
      <c r="E1941" s="23">
        <f t="shared" si="128"/>
        <v>1091.1719003733574</v>
      </c>
      <c r="F1941" s="23">
        <f>AlphaC*(D1941-E1941)</f>
        <v>31.103266830029952</v>
      </c>
      <c r="G1941" s="13">
        <f>Phi*EpsilonF*Botzman/10^8*J1941*((D1941+273)^4-(E1941+273)^4)</f>
        <v>502.12108528187571</v>
      </c>
      <c r="H1941" s="23">
        <f t="shared" si="129"/>
        <v>650</v>
      </c>
      <c r="I1941" s="12">
        <f>ksh*Massivete/(H1941*RhoA)*DeltaT*(F1941+G1941)</f>
        <v>7.8650722797028075E-2</v>
      </c>
      <c r="J1941" s="3">
        <f>IF(E1941&lt;=500,IF(Galva=Oui,0.35,0.7),0.7)</f>
        <v>0.7</v>
      </c>
    </row>
    <row r="1942" spans="2:10" x14ac:dyDescent="0.25">
      <c r="B1942" s="3">
        <f>B1941+DeltaT</f>
        <v>9625</v>
      </c>
      <c r="C1942" s="13">
        <f t="shared" si="130"/>
        <v>160.41666666666666</v>
      </c>
      <c r="D1942" s="11">
        <f t="shared" si="131"/>
        <v>1092.4938252312018</v>
      </c>
      <c r="E1942" s="23">
        <f t="shared" si="128"/>
        <v>1091.2505510961544</v>
      </c>
      <c r="F1942" s="23">
        <f>AlphaC*(D1942-E1942)</f>
        <v>31.081853376184654</v>
      </c>
      <c r="G1942" s="13">
        <f>Phi*EpsilonF*Botzman/10^8*J1942*((D1942+273)^4-(E1942+273)^4)</f>
        <v>501.86167517887912</v>
      </c>
      <c r="H1942" s="23">
        <f t="shared" si="129"/>
        <v>650</v>
      </c>
      <c r="I1942" s="12">
        <f>ksh*Massivete/(H1942*RhoA)*DeltaT*(F1942+G1942)</f>
        <v>7.8609301253475955E-2</v>
      </c>
      <c r="J1942" s="3">
        <f>IF(E1942&lt;=500,IF(Galva=Oui,0.35,0.7),0.7)</f>
        <v>0.7</v>
      </c>
    </row>
    <row r="1943" spans="2:10" x14ac:dyDescent="0.25">
      <c r="B1943" s="3">
        <f>B1942+DeltaT</f>
        <v>9630</v>
      </c>
      <c r="C1943" s="13">
        <f t="shared" si="130"/>
        <v>160.5</v>
      </c>
      <c r="D1943" s="11">
        <f t="shared" si="131"/>
        <v>1092.5715790452232</v>
      </c>
      <c r="E1943" s="23">
        <f t="shared" si="128"/>
        <v>1091.3291603974078</v>
      </c>
      <c r="F1943" s="23">
        <f>AlphaC*(D1943-E1943)</f>
        <v>31.060466195384606</v>
      </c>
      <c r="G1943" s="13">
        <f>Phi*EpsilonF*Botzman/10^8*J1943*((D1943+273)^4-(E1943+273)^4)</f>
        <v>501.60253527728236</v>
      </c>
      <c r="H1943" s="23">
        <f t="shared" si="129"/>
        <v>650</v>
      </c>
      <c r="I1943" s="12">
        <f>ksh*Massivete/(H1943*RhoA)*DeltaT*(F1943+G1943)</f>
        <v>7.8567923439977275E-2</v>
      </c>
      <c r="J1943" s="3">
        <f>IF(E1943&lt;=500,IF(Galva=Oui,0.35,0.7),0.7)</f>
        <v>0.7</v>
      </c>
    </row>
    <row r="1944" spans="2:10" x14ac:dyDescent="0.25">
      <c r="B1944" s="3">
        <f>B1943+DeltaT</f>
        <v>9635</v>
      </c>
      <c r="C1944" s="13">
        <f t="shared" si="130"/>
        <v>160.58333333333334</v>
      </c>
      <c r="D1944" s="11">
        <f t="shared" si="131"/>
        <v>1092.6492925305008</v>
      </c>
      <c r="E1944" s="23">
        <f t="shared" si="128"/>
        <v>1091.4077283208478</v>
      </c>
      <c r="F1944" s="23">
        <f>AlphaC*(D1944-E1944)</f>
        <v>31.03910524132516</v>
      </c>
      <c r="G1944" s="13">
        <f>Phi*EpsilonF*Botzman/10^8*J1944*((D1944+273)^4-(E1944+273)^4)</f>
        <v>501.34366515274354</v>
      </c>
      <c r="H1944" s="23">
        <f t="shared" si="129"/>
        <v>650</v>
      </c>
      <c r="I1944" s="12">
        <f>ksh*Massivete/(H1944*RhoA)*DeltaT*(F1944+G1944)</f>
        <v>7.8526589287111509E-2</v>
      </c>
      <c r="J1944" s="3">
        <f>IF(E1944&lt;=500,IF(Galva=Oui,0.35,0.7),0.7)</f>
        <v>0.7</v>
      </c>
    </row>
    <row r="1945" spans="2:10" x14ac:dyDescent="0.25">
      <c r="B1945" s="3">
        <f>B1944+DeltaT</f>
        <v>9640</v>
      </c>
      <c r="C1945" s="13">
        <f t="shared" si="130"/>
        <v>160.66666666666666</v>
      </c>
      <c r="D1945" s="11">
        <f t="shared" si="131"/>
        <v>1092.7269657288482</v>
      </c>
      <c r="E1945" s="23">
        <f t="shared" si="128"/>
        <v>1091.4862549101349</v>
      </c>
      <c r="F1945" s="23">
        <f>AlphaC*(D1945-E1945)</f>
        <v>31.017770467832406</v>
      </c>
      <c r="G1945" s="13">
        <f>Phi*EpsilonF*Botzman/10^8*J1945*((D1945+273)^4-(E1945+273)^4)</f>
        <v>501.08506438241295</v>
      </c>
      <c r="H1945" s="23">
        <f t="shared" si="129"/>
        <v>650</v>
      </c>
      <c r="I1945" s="12">
        <f>ksh*Massivete/(H1945*RhoA)*DeltaT*(F1945+G1945)</f>
        <v>7.8485298725697553E-2</v>
      </c>
      <c r="J1945" s="3">
        <f>IF(E1945&lt;=500,IF(Galva=Oui,0.35,0.7),0.7)</f>
        <v>0.7</v>
      </c>
    </row>
    <row r="1946" spans="2:10" x14ac:dyDescent="0.25">
      <c r="B1946" s="3">
        <f>B1945+DeltaT</f>
        <v>9645</v>
      </c>
      <c r="C1946" s="13">
        <f t="shared" si="130"/>
        <v>160.75</v>
      </c>
      <c r="D1946" s="11">
        <f t="shared" si="131"/>
        <v>1092.8045986820134</v>
      </c>
      <c r="E1946" s="23">
        <f t="shared" si="128"/>
        <v>1091.5647402088607</v>
      </c>
      <c r="F1946" s="23">
        <f>AlphaC*(D1946-E1946)</f>
        <v>30.996461828817701</v>
      </c>
      <c r="G1946" s="13">
        <f>Phi*EpsilonF*Botzman/10^8*J1946*((D1946+273)^4-(E1946+273)^4)</f>
        <v>500.82673254382854</v>
      </c>
      <c r="H1946" s="23">
        <f t="shared" si="129"/>
        <v>650</v>
      </c>
      <c r="I1946" s="12">
        <f>ksh*Massivete/(H1946*RhoA)*DeltaT*(F1946+G1946)</f>
        <v>7.8444051686624092E-2</v>
      </c>
      <c r="J1946" s="3">
        <f>IF(E1946&lt;=500,IF(Galva=Oui,0.35,0.7),0.7)</f>
        <v>0.7</v>
      </c>
    </row>
    <row r="1947" spans="2:10" x14ac:dyDescent="0.25">
      <c r="B1947" s="3">
        <f>B1946+DeltaT</f>
        <v>9650</v>
      </c>
      <c r="C1947" s="13">
        <f t="shared" si="130"/>
        <v>160.83333333333334</v>
      </c>
      <c r="D1947" s="11">
        <f t="shared" si="131"/>
        <v>1092.8821914316795</v>
      </c>
      <c r="E1947" s="23">
        <f t="shared" si="128"/>
        <v>1091.6431842605473</v>
      </c>
      <c r="F1947" s="23">
        <f>AlphaC*(D1947-E1947)</f>
        <v>30.975179278306086</v>
      </c>
      <c r="G1947" s="13">
        <f>Phi*EpsilonF*Botzman/10^8*J1947*((D1947+273)^4-(E1947+273)^4)</f>
        <v>500.56866921555542</v>
      </c>
      <c r="H1947" s="23">
        <f t="shared" si="129"/>
        <v>650</v>
      </c>
      <c r="I1947" s="12">
        <f>ksh*Massivete/(H1947*RhoA)*DeltaT*(F1947+G1947)</f>
        <v>7.840284810094808E-2</v>
      </c>
      <c r="J1947" s="3">
        <f>IF(E1947&lt;=500,IF(Galva=Oui,0.35,0.7),0.7)</f>
        <v>0.7</v>
      </c>
    </row>
    <row r="1948" spans="2:10" x14ac:dyDescent="0.25">
      <c r="B1948" s="3">
        <f>B1947+DeltaT</f>
        <v>9655</v>
      </c>
      <c r="C1948" s="13">
        <f t="shared" si="130"/>
        <v>160.91666666666666</v>
      </c>
      <c r="D1948" s="11">
        <f t="shared" si="131"/>
        <v>1092.959744019465</v>
      </c>
      <c r="E1948" s="23">
        <f t="shared" si="128"/>
        <v>1091.7215871086482</v>
      </c>
      <c r="F1948" s="23">
        <f>AlphaC*(D1948-E1948)</f>
        <v>30.95392277041924</v>
      </c>
      <c r="G1948" s="13">
        <f>Phi*EpsilonF*Botzman/10^8*J1948*((D1948+273)^4-(E1948+273)^4)</f>
        <v>500.31087397706943</v>
      </c>
      <c r="H1948" s="23">
        <f t="shared" si="129"/>
        <v>650</v>
      </c>
      <c r="I1948" s="12">
        <f>ksh*Massivete/(H1948*RhoA)*DeltaT*(F1948+G1948)</f>
        <v>7.8361687899874966E-2</v>
      </c>
      <c r="J1948" s="3">
        <f>IF(E1948&lt;=500,IF(Galva=Oui,0.35,0.7),0.7)</f>
        <v>0.7</v>
      </c>
    </row>
    <row r="1949" spans="2:10" x14ac:dyDescent="0.25">
      <c r="B1949" s="3">
        <f>B1948+DeltaT</f>
        <v>9660</v>
      </c>
      <c r="C1949" s="13">
        <f t="shared" si="130"/>
        <v>161</v>
      </c>
      <c r="D1949" s="11">
        <f t="shared" si="131"/>
        <v>1093.037256486924</v>
      </c>
      <c r="E1949" s="23">
        <f t="shared" si="128"/>
        <v>1091.7999487965481</v>
      </c>
      <c r="F1949" s="23">
        <f>AlphaC*(D1949-E1949)</f>
        <v>30.932692259398209</v>
      </c>
      <c r="G1949" s="13">
        <f>Phi*EpsilonF*Botzman/10^8*J1949*((D1949+273)^4-(E1949+273)^4)</f>
        <v>500.05334640871871</v>
      </c>
      <c r="H1949" s="23">
        <f t="shared" si="129"/>
        <v>650</v>
      </c>
      <c r="I1949" s="12">
        <f>ksh*Massivete/(H1949*RhoA)*DeltaT*(F1949+G1949)</f>
        <v>7.8320571014756604E-2</v>
      </c>
      <c r="J1949" s="3">
        <f>IF(E1949&lt;=500,IF(Galva=Oui,0.35,0.7),0.7)</f>
        <v>0.7</v>
      </c>
    </row>
    <row r="1950" spans="2:10" x14ac:dyDescent="0.25">
      <c r="B1950" s="3">
        <f>B1949+DeltaT</f>
        <v>9665</v>
      </c>
      <c r="C1950" s="13">
        <f t="shared" si="130"/>
        <v>161.08333333333334</v>
      </c>
      <c r="D1950" s="11">
        <f t="shared" si="131"/>
        <v>1093.114728875546</v>
      </c>
      <c r="E1950" s="23">
        <f t="shared" si="128"/>
        <v>1091.8782693675628</v>
      </c>
      <c r="F1950" s="23">
        <f>AlphaC*(D1950-E1950)</f>
        <v>30.911487699580675</v>
      </c>
      <c r="G1950" s="13">
        <f>Phi*EpsilonF*Botzman/10^8*J1950*((D1950+273)^4-(E1950+273)^4)</f>
        <v>499.79608609174261</v>
      </c>
      <c r="H1950" s="23">
        <f t="shared" si="129"/>
        <v>650</v>
      </c>
      <c r="I1950" s="12">
        <f>ksh*Massivete/(H1950*RhoA)*DeltaT*(F1950+G1950)</f>
        <v>7.8279497377090473E-2</v>
      </c>
      <c r="J1950" s="3">
        <f>IF(E1950&lt;=500,IF(Galva=Oui,0.35,0.7),0.7)</f>
        <v>0.7</v>
      </c>
    </row>
    <row r="1951" spans="2:10" x14ac:dyDescent="0.25">
      <c r="B1951" s="3">
        <f>B1950+DeltaT</f>
        <v>9670</v>
      </c>
      <c r="C1951" s="13">
        <f t="shared" si="130"/>
        <v>161.16666666666666</v>
      </c>
      <c r="D1951" s="11">
        <f t="shared" si="131"/>
        <v>1093.1921612267558</v>
      </c>
      <c r="E1951" s="23">
        <f t="shared" si="128"/>
        <v>1091.9565488649398</v>
      </c>
      <c r="F1951" s="23">
        <f>AlphaC*(D1951-E1951)</f>
        <v>30.890309045400954</v>
      </c>
      <c r="G1951" s="13">
        <f>Phi*EpsilonF*Botzman/10^8*J1951*((D1951+273)^4-(E1951+273)^4)</f>
        <v>499.53909260809775</v>
      </c>
      <c r="H1951" s="23">
        <f t="shared" si="129"/>
        <v>650</v>
      </c>
      <c r="I1951" s="12">
        <f>ksh*Massivete/(H1951*RhoA)*DeltaT*(F1951+G1951)</f>
        <v>7.8238466918494107E-2</v>
      </c>
      <c r="J1951" s="3">
        <f>IF(E1951&lt;=500,IF(Galva=Oui,0.35,0.7),0.7)</f>
        <v>0.7</v>
      </c>
    </row>
    <row r="1952" spans="2:10" x14ac:dyDescent="0.25">
      <c r="B1952" s="3">
        <f>B1951+DeltaT</f>
        <v>9675</v>
      </c>
      <c r="C1952" s="13">
        <f t="shared" si="130"/>
        <v>161.25</v>
      </c>
      <c r="D1952" s="11">
        <f t="shared" si="131"/>
        <v>1093.2695535819148</v>
      </c>
      <c r="E1952" s="23">
        <f t="shared" si="128"/>
        <v>1092.0347873318583</v>
      </c>
      <c r="F1952" s="23">
        <f>AlphaC*(D1952-E1952)</f>
        <v>30.869156251412733</v>
      </c>
      <c r="G1952" s="13">
        <f>Phi*EpsilonF*Botzman/10^8*J1952*((D1952+273)^4-(E1952+273)^4)</f>
        <v>499.28236554094224</v>
      </c>
      <c r="H1952" s="23">
        <f t="shared" si="129"/>
        <v>650</v>
      </c>
      <c r="I1952" s="12">
        <f>ksh*Massivete/(H1952*RhoA)*DeltaT*(F1952+G1952)</f>
        <v>7.819747957077991E-2</v>
      </c>
      <c r="J1952" s="3">
        <f>IF(E1952&lt;=500,IF(Galva=Oui,0.35,0.7),0.7)</f>
        <v>0.7</v>
      </c>
    </row>
    <row r="1953" spans="2:10" x14ac:dyDescent="0.25">
      <c r="B1953" s="3">
        <f>B1952+DeltaT</f>
        <v>9680</v>
      </c>
      <c r="C1953" s="13">
        <f t="shared" si="130"/>
        <v>161.33333333333334</v>
      </c>
      <c r="D1953" s="11">
        <f t="shared" si="131"/>
        <v>1093.3469059823199</v>
      </c>
      <c r="E1953" s="23">
        <f t="shared" si="128"/>
        <v>1092.112984811429</v>
      </c>
      <c r="F1953" s="23">
        <f>AlphaC*(D1953-E1953)</f>
        <v>30.848029272272015</v>
      </c>
      <c r="G1953" s="13">
        <f>Phi*EpsilonF*Botzman/10^8*J1953*((D1953+273)^4-(E1953+273)^4)</f>
        <v>499.02590447413183</v>
      </c>
      <c r="H1953" s="23">
        <f t="shared" si="129"/>
        <v>650</v>
      </c>
      <c r="I1953" s="12">
        <f>ksh*Massivete/(H1953*RhoA)*DeltaT*(F1953+G1953)</f>
        <v>7.8156535265878235E-2</v>
      </c>
      <c r="J1953" s="3">
        <f>IF(E1953&lt;=500,IF(Galva=Oui,0.35,0.7),0.7)</f>
        <v>0.7</v>
      </c>
    </row>
    <row r="1954" spans="2:10" x14ac:dyDescent="0.25">
      <c r="B1954" s="3">
        <f>B1953+DeltaT</f>
        <v>9685</v>
      </c>
      <c r="C1954" s="13">
        <f t="shared" si="130"/>
        <v>161.41666666666666</v>
      </c>
      <c r="D1954" s="11">
        <f t="shared" si="131"/>
        <v>1093.4242184692039</v>
      </c>
      <c r="E1954" s="23">
        <f t="shared" si="128"/>
        <v>1092.1911413466948</v>
      </c>
      <c r="F1954" s="23">
        <f>AlphaC*(D1954-E1954)</f>
        <v>30.826928062725756</v>
      </c>
      <c r="G1954" s="13">
        <f>Phi*EpsilonF*Botzman/10^8*J1954*((D1954+273)^4-(E1954+273)^4)</f>
        <v>498.76970899223943</v>
      </c>
      <c r="H1954" s="23">
        <f t="shared" si="129"/>
        <v>650</v>
      </c>
      <c r="I1954" s="12">
        <f>ksh*Massivete/(H1954*RhoA)*DeltaT*(F1954+G1954)</f>
        <v>7.8115633935838646E-2</v>
      </c>
      <c r="J1954" s="3">
        <f>IF(E1954&lt;=500,IF(Galva=Oui,0.35,0.7),0.7)</f>
        <v>0.7</v>
      </c>
    </row>
    <row r="1955" spans="2:10" x14ac:dyDescent="0.25">
      <c r="B1955" s="3">
        <f>B1954+DeltaT</f>
        <v>9690</v>
      </c>
      <c r="C1955" s="13">
        <f t="shared" si="130"/>
        <v>161.5</v>
      </c>
      <c r="D1955" s="11">
        <f t="shared" si="131"/>
        <v>1093.5014910837358</v>
      </c>
      <c r="E1955" s="23">
        <f t="shared" si="128"/>
        <v>1092.2692569806306</v>
      </c>
      <c r="F1955" s="23">
        <f>AlphaC*(D1955-E1955)</f>
        <v>30.805852577628912</v>
      </c>
      <c r="G1955" s="13">
        <f>Phi*EpsilonF*Botzman/10^8*J1955*((D1955+273)^4-(E1955+273)^4)</f>
        <v>498.51377868082608</v>
      </c>
      <c r="H1955" s="23">
        <f t="shared" si="129"/>
        <v>650</v>
      </c>
      <c r="I1955" s="12">
        <f>ksh*Massivete/(H1955*RhoA)*DeltaT*(F1955+G1955)</f>
        <v>7.8074775512872396E-2</v>
      </c>
      <c r="J1955" s="3">
        <f>IF(E1955&lt;=500,IF(Galva=Oui,0.35,0.7),0.7)</f>
        <v>0.7</v>
      </c>
    </row>
    <row r="1956" spans="2:10" x14ac:dyDescent="0.25">
      <c r="B1956" s="3">
        <f>B1955+DeltaT</f>
        <v>9695</v>
      </c>
      <c r="C1956" s="13">
        <f t="shared" si="130"/>
        <v>161.58333333333334</v>
      </c>
      <c r="D1956" s="11">
        <f t="shared" si="131"/>
        <v>1093.5787238670214</v>
      </c>
      <c r="E1956" s="23">
        <f t="shared" si="128"/>
        <v>1092.3473317561436</v>
      </c>
      <c r="F1956" s="23">
        <f>AlphaC*(D1956-E1956)</f>
        <v>30.784802771944442</v>
      </c>
      <c r="G1956" s="13">
        <f>Phi*EpsilonF*Botzman/10^8*J1956*((D1956+273)^4-(E1956+273)^4)</f>
        <v>498.25811312634465</v>
      </c>
      <c r="H1956" s="23">
        <f t="shared" si="129"/>
        <v>650</v>
      </c>
      <c r="I1956" s="12">
        <f>ksh*Massivete/(H1956*RhoA)*DeltaT*(F1956+G1956)</f>
        <v>7.803395992933819E-2</v>
      </c>
      <c r="J1956" s="3">
        <f>IF(E1956&lt;=500,IF(Galva=Oui,0.35,0.7),0.7)</f>
        <v>0.7</v>
      </c>
    </row>
    <row r="1957" spans="2:10" x14ac:dyDescent="0.25">
      <c r="B1957" s="3">
        <f>B1956+DeltaT</f>
        <v>9700</v>
      </c>
      <c r="C1957" s="13">
        <f t="shared" si="130"/>
        <v>161.66666666666666</v>
      </c>
      <c r="D1957" s="11">
        <f t="shared" si="131"/>
        <v>1093.6559168601027</v>
      </c>
      <c r="E1957" s="23">
        <f t="shared" si="128"/>
        <v>1092.425365716073</v>
      </c>
      <c r="F1957" s="23">
        <f>AlphaC*(D1957-E1957)</f>
        <v>30.763778600743308</v>
      </c>
      <c r="G1957" s="13">
        <f>Phi*EpsilonF*Botzman/10^8*J1957*((D1957+273)^4-(E1957+273)^4)</f>
        <v>498.00271191631356</v>
      </c>
      <c r="H1957" s="23">
        <f t="shared" si="129"/>
        <v>650</v>
      </c>
      <c r="I1957" s="12">
        <f>ksh*Massivete/(H1957*RhoA)*DeltaT*(F1957+G1957)</f>
        <v>7.7993187117767884E-2</v>
      </c>
      <c r="J1957" s="3">
        <f>IF(E1957&lt;=500,IF(Galva=Oui,0.35,0.7),0.7)</f>
        <v>0.7</v>
      </c>
    </row>
    <row r="1958" spans="2:10" x14ac:dyDescent="0.25">
      <c r="B1958" s="3">
        <f>B1957+DeltaT</f>
        <v>9705</v>
      </c>
      <c r="C1958" s="13">
        <f t="shared" si="130"/>
        <v>161.75</v>
      </c>
      <c r="D1958" s="11">
        <f t="shared" si="131"/>
        <v>1093.7330701039582</v>
      </c>
      <c r="E1958" s="23">
        <f t="shared" si="128"/>
        <v>1092.5033589031907</v>
      </c>
      <c r="F1958" s="23">
        <f>AlphaC*(D1958-E1958)</f>
        <v>30.742780019187421</v>
      </c>
      <c r="G1958" s="13">
        <f>Phi*EpsilonF*Botzman/10^8*J1958*((D1958+273)^4-(E1958+273)^4)</f>
        <v>497.74757463865848</v>
      </c>
      <c r="H1958" s="23">
        <f t="shared" si="129"/>
        <v>650</v>
      </c>
      <c r="I1958" s="12">
        <f>ksh*Massivete/(H1958*RhoA)*DeltaT*(F1958+G1958)</f>
        <v>7.7952457010766779E-2</v>
      </c>
      <c r="J1958" s="3">
        <f>IF(E1958&lt;=500,IF(Galva=Oui,0.35,0.7),0.7)</f>
        <v>0.7</v>
      </c>
    </row>
    <row r="1959" spans="2:10" x14ac:dyDescent="0.25">
      <c r="B1959" s="3">
        <f>B1958+DeltaT</f>
        <v>9710</v>
      </c>
      <c r="C1959" s="13">
        <f t="shared" si="130"/>
        <v>161.83333333333334</v>
      </c>
      <c r="D1959" s="11">
        <f t="shared" si="131"/>
        <v>1093.8101836395033</v>
      </c>
      <c r="E1959" s="23">
        <f t="shared" si="128"/>
        <v>1092.5813113602014</v>
      </c>
      <c r="F1959" s="23">
        <f>AlphaC*(D1959-E1959)</f>
        <v>30.721806982546696</v>
      </c>
      <c r="G1959" s="13">
        <f>Phi*EpsilonF*Botzman/10^8*J1959*((D1959+273)^4-(E1959+273)^4)</f>
        <v>497.49270088254519</v>
      </c>
      <c r="H1959" s="23">
        <f t="shared" si="129"/>
        <v>650</v>
      </c>
      <c r="I1959" s="12">
        <f>ksh*Massivete/(H1959*RhoA)*DeltaT*(F1959+G1959)</f>
        <v>7.7911769541139E-2</v>
      </c>
      <c r="J1959" s="3">
        <f>IF(E1959&lt;=500,IF(Galva=Oui,0.35,0.7),0.7)</f>
        <v>0.7</v>
      </c>
    </row>
    <row r="1960" spans="2:10" x14ac:dyDescent="0.25">
      <c r="B1960" s="3">
        <f>B1959+DeltaT</f>
        <v>9715</v>
      </c>
      <c r="C1960" s="13">
        <f t="shared" si="130"/>
        <v>161.91666666666666</v>
      </c>
      <c r="D1960" s="11">
        <f t="shared" si="131"/>
        <v>1093.88725750759</v>
      </c>
      <c r="E1960" s="23">
        <f t="shared" si="128"/>
        <v>1092.6592231297425</v>
      </c>
      <c r="F1960" s="23">
        <f>AlphaC*(D1960-E1960)</f>
        <v>30.700859446187678</v>
      </c>
      <c r="G1960" s="13">
        <f>Phi*EpsilonF*Botzman/10^8*J1960*((D1960+273)^4-(E1960+273)^4)</f>
        <v>497.23809023783724</v>
      </c>
      <c r="H1960" s="23">
        <f t="shared" si="129"/>
        <v>650</v>
      </c>
      <c r="I1960" s="12">
        <f>ksh*Massivete/(H1960*RhoA)*DeltaT*(F1960+G1960)</f>
        <v>7.7871124641805886E-2</v>
      </c>
      <c r="J1960" s="3">
        <f>IF(E1960&lt;=500,IF(Galva=Oui,0.35,0.7),0.7)</f>
        <v>0.7</v>
      </c>
    </row>
    <row r="1961" spans="2:10" x14ac:dyDescent="0.25">
      <c r="B1961" s="3">
        <f>B1960+DeltaT</f>
        <v>9720</v>
      </c>
      <c r="C1961" s="13">
        <f t="shared" si="130"/>
        <v>162</v>
      </c>
      <c r="D1961" s="11">
        <f t="shared" si="131"/>
        <v>1093.9642917490075</v>
      </c>
      <c r="E1961" s="23">
        <f t="shared" si="128"/>
        <v>1092.7370942543844</v>
      </c>
      <c r="F1961" s="23">
        <f>AlphaC*(D1961-E1961)</f>
        <v>30.679937365579235</v>
      </c>
      <c r="G1961" s="13">
        <f>Phi*EpsilonF*Botzman/10^8*J1961*((D1961+273)^4-(E1961+273)^4)</f>
        <v>496.98374229511529</v>
      </c>
      <c r="H1961" s="23">
        <f t="shared" si="129"/>
        <v>650</v>
      </c>
      <c r="I1961" s="12">
        <f>ksh*Massivete/(H1961*RhoA)*DeltaT*(F1961+G1961)</f>
        <v>7.7830522245809636E-2</v>
      </c>
      <c r="J1961" s="3">
        <f>IF(E1961&lt;=500,IF(Galva=Oui,0.35,0.7),0.7)</f>
        <v>0.7</v>
      </c>
    </row>
    <row r="1962" spans="2:10" x14ac:dyDescent="0.25">
      <c r="B1962" s="3">
        <f>B1961+DeltaT</f>
        <v>9725</v>
      </c>
      <c r="C1962" s="13">
        <f t="shared" si="130"/>
        <v>162.08333333333334</v>
      </c>
      <c r="D1962" s="11">
        <f t="shared" si="131"/>
        <v>1094.0412864044822</v>
      </c>
      <c r="E1962" s="23">
        <f t="shared" si="128"/>
        <v>1092.8149247766303</v>
      </c>
      <c r="F1962" s="23">
        <f>AlphaC*(D1962-E1962)</f>
        <v>30.659040696298234</v>
      </c>
      <c r="G1962" s="13">
        <f>Phi*EpsilonF*Botzman/10^8*J1962*((D1962+273)^4-(E1962+273)^4)</f>
        <v>496.72965664610331</v>
      </c>
      <c r="H1962" s="23">
        <f t="shared" si="129"/>
        <v>650</v>
      </c>
      <c r="I1962" s="12">
        <f>ksh*Massivete/(H1962*RhoA)*DeltaT*(F1962+G1962)</f>
        <v>7.778996228637701E-2</v>
      </c>
      <c r="J1962" s="3">
        <f>IF(E1962&lt;=500,IF(Galva=Oui,0.35,0.7),0.7)</f>
        <v>0.7</v>
      </c>
    </row>
    <row r="1963" spans="2:10" x14ac:dyDescent="0.25">
      <c r="B1963" s="3">
        <f>B1962+DeltaT</f>
        <v>9730</v>
      </c>
      <c r="C1963" s="13">
        <f t="shared" si="130"/>
        <v>162.16666666666666</v>
      </c>
      <c r="D1963" s="11">
        <f t="shared" si="131"/>
        <v>1094.1182415146775</v>
      </c>
      <c r="E1963" s="23">
        <f t="shared" si="128"/>
        <v>1092.8927147389168</v>
      </c>
      <c r="F1963" s="23">
        <f>AlphaC*(D1963-E1963)</f>
        <v>30.638169394018178</v>
      </c>
      <c r="G1963" s="13">
        <f>Phi*EpsilonF*Botzman/10^8*J1963*((D1963+273)^4-(E1963+273)^4)</f>
        <v>496.47583288322295</v>
      </c>
      <c r="H1963" s="23">
        <f t="shared" si="129"/>
        <v>650</v>
      </c>
      <c r="I1963" s="12">
        <f>ksh*Massivete/(H1963*RhoA)*DeltaT*(F1963+G1963)</f>
        <v>7.7749444696851938E-2</v>
      </c>
      <c r="J1963" s="3">
        <f>IF(E1963&lt;=500,IF(Galva=Oui,0.35,0.7),0.7)</f>
        <v>0.7</v>
      </c>
    </row>
    <row r="1964" spans="2:10" x14ac:dyDescent="0.25">
      <c r="B1964" s="3">
        <f>B1963+DeltaT</f>
        <v>9735</v>
      </c>
      <c r="C1964" s="13">
        <f t="shared" si="130"/>
        <v>162.25</v>
      </c>
      <c r="D1964" s="11">
        <f t="shared" si="131"/>
        <v>1094.1951571201946</v>
      </c>
      <c r="E1964" s="23">
        <f t="shared" si="128"/>
        <v>1092.9704641836136</v>
      </c>
      <c r="F1964" s="23">
        <f>AlphaC*(D1964-E1964)</f>
        <v>30.617323414526254</v>
      </c>
      <c r="G1964" s="13">
        <f>Phi*EpsilonF*Botzman/10^8*J1964*((D1964+273)^4-(E1964+273)^4)</f>
        <v>496.2222705998455</v>
      </c>
      <c r="H1964" s="23">
        <f t="shared" si="129"/>
        <v>650</v>
      </c>
      <c r="I1964" s="12">
        <f>ksh*Massivete/(H1964*RhoA)*DeltaT*(F1964+G1964)</f>
        <v>7.7708969410735185E-2</v>
      </c>
      <c r="J1964" s="3">
        <f>IF(E1964&lt;=500,IF(Galva=Oui,0.35,0.7),0.7)</f>
        <v>0.7</v>
      </c>
    </row>
    <row r="1965" spans="2:10" x14ac:dyDescent="0.25">
      <c r="B1965" s="3">
        <f>B1964+DeltaT</f>
        <v>9740</v>
      </c>
      <c r="C1965" s="13">
        <f t="shared" si="130"/>
        <v>162.33333333333334</v>
      </c>
      <c r="D1965" s="11">
        <f t="shared" si="131"/>
        <v>1094.2720332615716</v>
      </c>
      <c r="E1965" s="23">
        <f t="shared" si="128"/>
        <v>1093.0481731530242</v>
      </c>
      <c r="F1965" s="23">
        <f>AlphaC*(D1965-E1965)</f>
        <v>30.596502713683549</v>
      </c>
      <c r="G1965" s="13">
        <f>Phi*EpsilonF*Botzman/10^8*J1965*((D1965+273)^4-(E1965+273)^4)</f>
        <v>495.96896939004006</v>
      </c>
      <c r="H1965" s="23">
        <f t="shared" si="129"/>
        <v>650</v>
      </c>
      <c r="I1965" s="12">
        <f>ksh*Massivete/(H1965*RhoA)*DeltaT*(F1965+G1965)</f>
        <v>7.7668536361641324E-2</v>
      </c>
      <c r="J1965" s="3">
        <f>IF(E1965&lt;=500,IF(Galva=Oui,0.35,0.7),0.7)</f>
        <v>0.7</v>
      </c>
    </row>
    <row r="1966" spans="2:10" x14ac:dyDescent="0.25">
      <c r="B1966" s="3">
        <f>B1965+DeltaT</f>
        <v>9745</v>
      </c>
      <c r="C1966" s="13">
        <f t="shared" si="130"/>
        <v>162.41666666666666</v>
      </c>
      <c r="D1966" s="11">
        <f t="shared" si="131"/>
        <v>1094.3488699792845</v>
      </c>
      <c r="E1966" s="23">
        <f t="shared" si="128"/>
        <v>1093.1258416893859</v>
      </c>
      <c r="F1966" s="23">
        <f>AlphaC*(D1966-E1966)</f>
        <v>30.575707247464834</v>
      </c>
      <c r="G1966" s="13">
        <f>Phi*EpsilonF*Botzman/10^8*J1966*((D1966+273)^4-(E1966+273)^4)</f>
        <v>495.71592884865066</v>
      </c>
      <c r="H1966" s="23">
        <f t="shared" si="129"/>
        <v>650</v>
      </c>
      <c r="I1966" s="12">
        <f>ksh*Massivete/(H1966*RhoA)*DeltaT*(F1966+G1966)</f>
        <v>7.7628145483316049E-2</v>
      </c>
      <c r="J1966" s="3">
        <f>IF(E1966&lt;=500,IF(Galva=Oui,0.35,0.7),0.7)</f>
        <v>0.7</v>
      </c>
    </row>
    <row r="1967" spans="2:10" x14ac:dyDescent="0.25">
      <c r="B1967" s="3">
        <f>B1966+DeltaT</f>
        <v>9750</v>
      </c>
      <c r="C1967" s="13">
        <f t="shared" si="130"/>
        <v>162.5</v>
      </c>
      <c r="D1967" s="11">
        <f t="shared" si="131"/>
        <v>1094.4256673137472</v>
      </c>
      <c r="E1967" s="23">
        <f t="shared" si="128"/>
        <v>1093.2034698348691</v>
      </c>
      <c r="F1967" s="23">
        <f>AlphaC*(D1967-E1967)</f>
        <v>30.554936971952884</v>
      </c>
      <c r="G1967" s="13">
        <f>Phi*EpsilonF*Botzman/10^8*J1967*((D1967+273)^4-(E1967+273)^4)</f>
        <v>495.46314857166493</v>
      </c>
      <c r="H1967" s="23">
        <f t="shared" si="129"/>
        <v>650</v>
      </c>
      <c r="I1967" s="12">
        <f>ksh*Massivete/(H1967*RhoA)*DeltaT*(F1967+G1967)</f>
        <v>7.7587796709689613E-2</v>
      </c>
      <c r="J1967" s="3">
        <f>IF(E1967&lt;=500,IF(Galva=Oui,0.35,0.7),0.7)</f>
        <v>0.7</v>
      </c>
    </row>
    <row r="1968" spans="2:10" x14ac:dyDescent="0.25">
      <c r="B1968" s="3">
        <f>B1967+DeltaT</f>
        <v>9755</v>
      </c>
      <c r="C1968" s="13">
        <f t="shared" si="130"/>
        <v>162.58333333333334</v>
      </c>
      <c r="D1968" s="11">
        <f t="shared" si="131"/>
        <v>1094.5024253053116</v>
      </c>
      <c r="E1968" s="23">
        <f t="shared" si="128"/>
        <v>1093.2810576315787</v>
      </c>
      <c r="F1968" s="23">
        <f>AlphaC*(D1968-E1968)</f>
        <v>30.534191843321423</v>
      </c>
      <c r="G1968" s="13">
        <f>Phi*EpsilonF*Botzman/10^8*J1968*((D1968+273)^4-(E1968+273)^4)</f>
        <v>495.21062815563255</v>
      </c>
      <c r="H1968" s="23">
        <f t="shared" si="129"/>
        <v>650</v>
      </c>
      <c r="I1968" s="12">
        <f>ksh*Massivete/(H1968*RhoA)*DeltaT*(F1968+G1968)</f>
        <v>7.7547489974788594E-2</v>
      </c>
      <c r="J1968" s="3">
        <f>IF(E1968&lt;=500,IF(Galva=Oui,0.35,0.7),0.7)</f>
        <v>0.7</v>
      </c>
    </row>
    <row r="1969" spans="2:10" x14ac:dyDescent="0.25">
      <c r="B1969" s="3">
        <f>B1968+DeltaT</f>
        <v>9760</v>
      </c>
      <c r="C1969" s="13">
        <f t="shared" si="130"/>
        <v>162.66666666666666</v>
      </c>
      <c r="D1969" s="11">
        <f t="shared" si="131"/>
        <v>1094.579143994267</v>
      </c>
      <c r="E1969" s="23">
        <f t="shared" si="128"/>
        <v>1093.3586051215534</v>
      </c>
      <c r="F1969" s="23">
        <f>AlphaC*(D1969-E1969)</f>
        <v>30.513471817840809</v>
      </c>
      <c r="G1969" s="13">
        <f>Phi*EpsilonF*Botzman/10^8*J1969*((D1969+273)^4-(E1969+273)^4)</f>
        <v>494.9583671980526</v>
      </c>
      <c r="H1969" s="23">
        <f t="shared" si="129"/>
        <v>650</v>
      </c>
      <c r="I1969" s="12">
        <f>ksh*Massivete/(H1969*RhoA)*DeltaT*(F1969+G1969)</f>
        <v>7.750722521279392E-2</v>
      </c>
      <c r="J1969" s="3">
        <f>IF(E1969&lt;=500,IF(Galva=Oui,0.35,0.7),0.7)</f>
        <v>0.7</v>
      </c>
    </row>
    <row r="1970" spans="2:10" x14ac:dyDescent="0.25">
      <c r="B1970" s="3">
        <f>B1969+DeltaT</f>
        <v>9765</v>
      </c>
      <c r="C1970" s="13">
        <f t="shared" si="130"/>
        <v>162.75</v>
      </c>
      <c r="D1970" s="11">
        <f t="shared" si="131"/>
        <v>1094.6558234208417</v>
      </c>
      <c r="E1970" s="23">
        <f t="shared" si="128"/>
        <v>1093.4361123467661</v>
      </c>
      <c r="F1970" s="23">
        <f>AlphaC*(D1970-E1970)</f>
        <v>30.492776851889403</v>
      </c>
      <c r="G1970" s="13">
        <f>Phi*EpsilonF*Botzman/10^8*J1970*((D1970+273)^4-(E1970+273)^4)</f>
        <v>494.70636529727705</v>
      </c>
      <c r="H1970" s="23">
        <f t="shared" si="129"/>
        <v>650</v>
      </c>
      <c r="I1970" s="12">
        <f>ksh*Massivete/(H1970*RhoA)*DeltaT*(F1970+G1970)</f>
        <v>7.7467002358028156E-2</v>
      </c>
      <c r="J1970" s="3">
        <f>IF(E1970&lt;=500,IF(Galva=Oui,0.35,0.7),0.7)</f>
        <v>0.7</v>
      </c>
    </row>
    <row r="1971" spans="2:10" x14ac:dyDescent="0.25">
      <c r="B1971" s="3">
        <f>B1970+DeltaT</f>
        <v>9770</v>
      </c>
      <c r="C1971" s="13">
        <f t="shared" si="130"/>
        <v>162.83333333333334</v>
      </c>
      <c r="D1971" s="11">
        <f t="shared" si="131"/>
        <v>1094.7324636252015</v>
      </c>
      <c r="E1971" s="23">
        <f t="shared" si="128"/>
        <v>1093.513579349124</v>
      </c>
      <c r="F1971" s="23">
        <f>AlphaC*(D1971-E1971)</f>
        <v>30.472106901936513</v>
      </c>
      <c r="G1971" s="13">
        <f>Phi*EpsilonF*Botzman/10^8*J1971*((D1971+273)^4-(E1971+273)^4)</f>
        <v>494.45462205239431</v>
      </c>
      <c r="H1971" s="23">
        <f t="shared" si="129"/>
        <v>650</v>
      </c>
      <c r="I1971" s="12">
        <f>ksh*Massivete/(H1971*RhoA)*DeltaT*(F1971+G1971)</f>
        <v>7.7426821344936003E-2</v>
      </c>
      <c r="J1971" s="3">
        <f>IF(E1971&lt;=500,IF(Galva=Oui,0.35,0.7),0.7)</f>
        <v>0.7</v>
      </c>
    </row>
    <row r="1972" spans="2:10" x14ac:dyDescent="0.25">
      <c r="B1972" s="3">
        <f>B1971+DeltaT</f>
        <v>9775</v>
      </c>
      <c r="C1972" s="13">
        <f t="shared" si="130"/>
        <v>162.91666666666666</v>
      </c>
      <c r="D1972" s="11">
        <f t="shared" si="131"/>
        <v>1094.8090646474511</v>
      </c>
      <c r="E1972" s="23">
        <f t="shared" ref="E1972:E2035" si="132">E1971+I1971</f>
        <v>1093.591006170469</v>
      </c>
      <c r="F1972" s="23">
        <f>AlphaC*(D1972-E1972)</f>
        <v>30.451461924553769</v>
      </c>
      <c r="G1972" s="13">
        <f>Phi*EpsilonF*Botzman/10^8*J1972*((D1972+273)^4-(E1972+273)^4)</f>
        <v>494.20313706344234</v>
      </c>
      <c r="H1972" s="23">
        <f t="shared" ref="H1972:H2035" si="133">IF(E1972&lt;600,425+0.773*E1972-1.69/1000*E1972^2+2.22/1000^2*E1972^3,IF(E1972&lt;735,666+13002/(738-E1972),IF(E1972&lt;900,545+17820/(E1972-731),650)))</f>
        <v>650</v>
      </c>
      <c r="I1972" s="12">
        <f>ksh*Massivete/(H1972*RhoA)*DeltaT*(F1972+G1972)</f>
        <v>7.7386682108117222E-2</v>
      </c>
      <c r="J1972" s="3">
        <f>IF(E1972&lt;=500,IF(Galva=Oui,0.35,0.7),0.7)</f>
        <v>0.7</v>
      </c>
    </row>
    <row r="1973" spans="2:10" x14ac:dyDescent="0.25">
      <c r="B1973" s="3">
        <f>B1972+DeltaT</f>
        <v>9780</v>
      </c>
      <c r="C1973" s="13">
        <f t="shared" si="130"/>
        <v>163</v>
      </c>
      <c r="D1973" s="11">
        <f t="shared" si="131"/>
        <v>1094.8856265276333</v>
      </c>
      <c r="E1973" s="23">
        <f t="shared" si="132"/>
        <v>1093.6683928525772</v>
      </c>
      <c r="F1973" s="23">
        <f>AlphaC*(D1973-E1973)</f>
        <v>30.430841876403747</v>
      </c>
      <c r="G1973" s="13">
        <f>Phi*EpsilonF*Botzman/10^8*J1973*((D1973+273)^4-(E1973+273)^4)</f>
        <v>493.95190993109867</v>
      </c>
      <c r="H1973" s="23">
        <f t="shared" si="133"/>
        <v>650</v>
      </c>
      <c r="I1973" s="12">
        <f>ksh*Massivete/(H1973*RhoA)*DeltaT*(F1973+G1973)</f>
        <v>7.7346584582279401E-2</v>
      </c>
      <c r="J1973" s="3">
        <f>IF(E1973&lt;=500,IF(Galva=Oui,0.35,0.7),0.7)</f>
        <v>0.7</v>
      </c>
    </row>
    <row r="1974" spans="2:10" x14ac:dyDescent="0.25">
      <c r="B1974" s="3">
        <f>B1973+DeltaT</f>
        <v>9785</v>
      </c>
      <c r="C1974" s="13">
        <f t="shared" si="130"/>
        <v>163.08333333333334</v>
      </c>
      <c r="D1974" s="11">
        <f t="shared" si="131"/>
        <v>1094.96214930573</v>
      </c>
      <c r="E1974" s="23">
        <f t="shared" si="132"/>
        <v>1093.7457394371595</v>
      </c>
      <c r="F1974" s="23">
        <f>AlphaC*(D1974-E1974)</f>
        <v>30.410246714262712</v>
      </c>
      <c r="G1974" s="13">
        <f>Phi*EpsilonF*Botzman/10^8*J1974*((D1974+273)^4-(E1974+273)^4)</f>
        <v>493.70094025714536</v>
      </c>
      <c r="H1974" s="23">
        <f t="shared" si="133"/>
        <v>650</v>
      </c>
      <c r="I1974" s="12">
        <f>ksh*Massivete/(H1974*RhoA)*DeltaT*(F1974+G1974)</f>
        <v>7.7306528702309765E-2</v>
      </c>
      <c r="J1974" s="3">
        <f>IF(E1974&lt;=500,IF(Galva=Oui,0.35,0.7),0.7)</f>
        <v>0.7</v>
      </c>
    </row>
    <row r="1975" spans="2:10" x14ac:dyDescent="0.25">
      <c r="B1975" s="3">
        <f>B1974+DeltaT</f>
        <v>9790</v>
      </c>
      <c r="C1975" s="13">
        <f t="shared" si="130"/>
        <v>163.16666666666666</v>
      </c>
      <c r="D1975" s="11">
        <f t="shared" si="131"/>
        <v>1095.0386330216618</v>
      </c>
      <c r="E1975" s="23">
        <f t="shared" si="132"/>
        <v>1093.8230459658619</v>
      </c>
      <c r="F1975" s="23">
        <f>AlphaC*(D1975-E1975)</f>
        <v>30.389676394997878</v>
      </c>
      <c r="G1975" s="13">
        <f>Phi*EpsilonF*Botzman/10^8*J1975*((D1975+273)^4-(E1975+273)^4)</f>
        <v>493.45022764412056</v>
      </c>
      <c r="H1975" s="23">
        <f t="shared" si="133"/>
        <v>650</v>
      </c>
      <c r="I1975" s="12">
        <f>ksh*Massivete/(H1975*RhoA)*DeltaT*(F1975+G1975)</f>
        <v>7.7266514403220521E-2</v>
      </c>
      <c r="J1975" s="3">
        <f>IF(E1975&lt;=500,IF(Galva=Oui,0.35,0.7),0.7)</f>
        <v>0.7</v>
      </c>
    </row>
    <row r="1976" spans="2:10" x14ac:dyDescent="0.25">
      <c r="B1976" s="3">
        <f>B1975+DeltaT</f>
        <v>9795</v>
      </c>
      <c r="C1976" s="13">
        <f t="shared" si="130"/>
        <v>163.25</v>
      </c>
      <c r="D1976" s="11">
        <f t="shared" si="131"/>
        <v>1095.1150777152877</v>
      </c>
      <c r="E1976" s="23">
        <f t="shared" si="132"/>
        <v>1093.900312480265</v>
      </c>
      <c r="F1976" s="23">
        <f>AlphaC*(D1976-E1976)</f>
        <v>30.369130875567407</v>
      </c>
      <c r="G1976" s="13">
        <f>Phi*EpsilonF*Botzman/10^8*J1976*((D1976+273)^4-(E1976+273)^4)</f>
        <v>493.19977169514351</v>
      </c>
      <c r="H1976" s="23">
        <f t="shared" si="133"/>
        <v>650</v>
      </c>
      <c r="I1976" s="12">
        <f>ksh*Massivete/(H1976*RhoA)*DeltaT*(F1976+G1976)</f>
        <v>7.7226541620122949E-2</v>
      </c>
      <c r="J1976" s="3">
        <f>IF(E1976&lt;=500,IF(Galva=Oui,0.35,0.7),0.7)</f>
        <v>0.7</v>
      </c>
    </row>
    <row r="1977" spans="2:10" x14ac:dyDescent="0.25">
      <c r="B1977" s="3">
        <f>B1976+DeltaT</f>
        <v>9800</v>
      </c>
      <c r="C1977" s="13">
        <f t="shared" si="130"/>
        <v>163.33333333333334</v>
      </c>
      <c r="D1977" s="11">
        <f t="shared" si="131"/>
        <v>1095.1914834264062</v>
      </c>
      <c r="E1977" s="23">
        <f t="shared" si="132"/>
        <v>1093.9775390218851</v>
      </c>
      <c r="F1977" s="23">
        <f>AlphaC*(D1977-E1977)</f>
        <v>30.348610113026098</v>
      </c>
      <c r="G1977" s="13">
        <f>Phi*EpsilonF*Botzman/10^8*J1977*((D1977+273)^4-(E1977+273)^4)</f>
        <v>492.94957201434147</v>
      </c>
      <c r="H1977" s="23">
        <f t="shared" si="133"/>
        <v>650</v>
      </c>
      <c r="I1977" s="12">
        <f>ksh*Massivete/(H1977*RhoA)*DeltaT*(F1977+G1977)</f>
        <v>7.7186610288291324E-2</v>
      </c>
      <c r="J1977" s="3">
        <f>IF(E1977&lt;=500,IF(Galva=Oui,0.35,0.7),0.7)</f>
        <v>0.7</v>
      </c>
    </row>
    <row r="1978" spans="2:10" x14ac:dyDescent="0.25">
      <c r="B1978" s="3">
        <f>B1977+DeltaT</f>
        <v>9805</v>
      </c>
      <c r="C1978" s="13">
        <f t="shared" si="130"/>
        <v>163.41666666666666</v>
      </c>
      <c r="D1978" s="11">
        <f t="shared" si="131"/>
        <v>1095.2678501947548</v>
      </c>
      <c r="E1978" s="23">
        <f t="shared" si="132"/>
        <v>1094.0547256321734</v>
      </c>
      <c r="F1978" s="23">
        <f>AlphaC*(D1978-E1978)</f>
        <v>30.328114064536749</v>
      </c>
      <c r="G1978" s="13">
        <f>Phi*EpsilonF*Botzman/10^8*J1978*((D1978+273)^4-(E1978+273)^4)</f>
        <v>492.69962820667479</v>
      </c>
      <c r="H1978" s="23">
        <f t="shared" si="133"/>
        <v>650</v>
      </c>
      <c r="I1978" s="12">
        <f>ksh*Massivete/(H1978*RhoA)*DeltaT*(F1978+G1978)</f>
        <v>7.7146720343138686E-2</v>
      </c>
      <c r="J1978" s="3">
        <f>IF(E1978&lt;=500,IF(Galva=Oui,0.35,0.7),0.7)</f>
        <v>0.7</v>
      </c>
    </row>
    <row r="1979" spans="2:10" x14ac:dyDescent="0.25">
      <c r="B1979" s="3">
        <f>B1978+DeltaT</f>
        <v>9810</v>
      </c>
      <c r="C1979" s="13">
        <f t="shared" si="130"/>
        <v>163.5</v>
      </c>
      <c r="D1979" s="11">
        <f t="shared" si="131"/>
        <v>1095.3441780600106</v>
      </c>
      <c r="E1979" s="23">
        <f t="shared" si="132"/>
        <v>1094.1318723525164</v>
      </c>
      <c r="F1979" s="23">
        <f>AlphaC*(D1979-E1979)</f>
        <v>30.307642687353109</v>
      </c>
      <c r="G1979" s="13">
        <f>Phi*EpsilonF*Botzman/10^8*J1979*((D1979+273)^4-(E1979+273)^4)</f>
        <v>492.44993987791793</v>
      </c>
      <c r="H1979" s="23">
        <f t="shared" si="133"/>
        <v>650</v>
      </c>
      <c r="I1979" s="12">
        <f>ksh*Massivete/(H1979*RhoA)*DeltaT*(F1979+G1979)</f>
        <v>7.7106871720211592E-2</v>
      </c>
      <c r="J1979" s="3">
        <f>IF(E1979&lt;=500,IF(Galva=Oui,0.35,0.7),0.7)</f>
        <v>0.7</v>
      </c>
    </row>
    <row r="1980" spans="2:10" x14ac:dyDescent="0.25">
      <c r="B1980" s="3">
        <f>B1979+DeltaT</f>
        <v>9815</v>
      </c>
      <c r="C1980" s="13">
        <f t="shared" si="130"/>
        <v>163.58333333333334</v>
      </c>
      <c r="D1980" s="11">
        <f t="shared" si="131"/>
        <v>1095.4204670617894</v>
      </c>
      <c r="E1980" s="23">
        <f t="shared" si="132"/>
        <v>1094.2089792242366</v>
      </c>
      <c r="F1980" s="23">
        <f>AlphaC*(D1980-E1980)</f>
        <v>30.287195938819877</v>
      </c>
      <c r="G1980" s="13">
        <f>Phi*EpsilonF*Botzman/10^8*J1980*((D1980+273)^4-(E1980+273)^4)</f>
        <v>492.20050663446551</v>
      </c>
      <c r="H1980" s="23">
        <f t="shared" si="133"/>
        <v>650</v>
      </c>
      <c r="I1980" s="12">
        <f>ksh*Massivete/(H1980*RhoA)*DeltaT*(F1980+G1980)</f>
        <v>7.7067064355161474E-2</v>
      </c>
      <c r="J1980" s="3">
        <f>IF(E1980&lt;=500,IF(Galva=Oui,0.35,0.7),0.7)</f>
        <v>0.7</v>
      </c>
    </row>
    <row r="1981" spans="2:10" x14ac:dyDescent="0.25">
      <c r="B1981" s="3">
        <f>B1980+DeltaT</f>
        <v>9820</v>
      </c>
      <c r="C1981" s="13">
        <f t="shared" si="130"/>
        <v>163.66666666666666</v>
      </c>
      <c r="D1981" s="11">
        <f t="shared" si="131"/>
        <v>1095.4967172396471</v>
      </c>
      <c r="E1981" s="23">
        <f t="shared" si="132"/>
        <v>1094.2860462885917</v>
      </c>
      <c r="F1981" s="23">
        <f>AlphaC*(D1981-E1981)</f>
        <v>30.266773776384071</v>
      </c>
      <c r="G1981" s="13">
        <f>Phi*EpsilonF*Botzman/10^8*J1981*((D1981+273)^4-(E1981+273)^4)</f>
        <v>491.95132808377798</v>
      </c>
      <c r="H1981" s="23">
        <f t="shared" si="133"/>
        <v>650</v>
      </c>
      <c r="I1981" s="12">
        <f>ksh*Massivete/(H1981*RhoA)*DeltaT*(F1981+G1981)</f>
        <v>7.7027298183812098E-2</v>
      </c>
      <c r="J1981" s="3">
        <f>IF(E1981&lt;=500,IF(Galva=Oui,0.35,0.7),0.7)</f>
        <v>0.7</v>
      </c>
    </row>
    <row r="1982" spans="2:10" x14ac:dyDescent="0.25">
      <c r="B1982" s="3">
        <f>B1981+DeltaT</f>
        <v>9825</v>
      </c>
      <c r="C1982" s="13">
        <f t="shared" si="130"/>
        <v>163.75</v>
      </c>
      <c r="D1982" s="11">
        <f t="shared" si="131"/>
        <v>1095.5729286330791</v>
      </c>
      <c r="E1982" s="23">
        <f t="shared" si="132"/>
        <v>1094.3630735867755</v>
      </c>
      <c r="F1982" s="23">
        <f>AlphaC*(D1982-E1982)</f>
        <v>30.246376157589339</v>
      </c>
      <c r="G1982" s="13">
        <f>Phi*EpsilonF*Botzman/10^8*J1982*((D1982+273)^4-(E1982+273)^4)</f>
        <v>491.70240383403285</v>
      </c>
      <c r="H1982" s="23">
        <f t="shared" si="133"/>
        <v>650</v>
      </c>
      <c r="I1982" s="12">
        <f>ksh*Massivete/(H1982*RhoA)*DeltaT*(F1982+G1982)</f>
        <v>7.6987573142107205E-2</v>
      </c>
      <c r="J1982" s="3">
        <f>IF(E1982&lt;=500,IF(Galva=Oui,0.35,0.7),0.7)</f>
        <v>0.7</v>
      </c>
    </row>
    <row r="1983" spans="2:10" x14ac:dyDescent="0.25">
      <c r="B1983" s="3">
        <f>B1982+DeltaT</f>
        <v>9830</v>
      </c>
      <c r="C1983" s="13">
        <f t="shared" si="130"/>
        <v>163.83333333333334</v>
      </c>
      <c r="D1983" s="11">
        <f t="shared" si="131"/>
        <v>1095.64910128152</v>
      </c>
      <c r="E1983" s="23">
        <f t="shared" si="132"/>
        <v>1094.4400611599176</v>
      </c>
      <c r="F1983" s="23">
        <f>AlphaC*(D1983-E1983)</f>
        <v>30.226003040058913</v>
      </c>
      <c r="G1983" s="13">
        <f>Phi*EpsilonF*Botzman/10^8*J1983*((D1983+273)^4-(E1983+273)^4)</f>
        <v>491.45373349395032</v>
      </c>
      <c r="H1983" s="23">
        <f t="shared" si="133"/>
        <v>650</v>
      </c>
      <c r="I1983" s="12">
        <f>ksh*Massivete/(H1983*RhoA)*DeltaT*(F1983+G1983)</f>
        <v>7.6947889166082362E-2</v>
      </c>
      <c r="J1983" s="3">
        <f>IF(E1983&lt;=500,IF(Galva=Oui,0.35,0.7),0.7)</f>
        <v>0.7</v>
      </c>
    </row>
    <row r="1984" spans="2:10" x14ac:dyDescent="0.25">
      <c r="B1984" s="3">
        <f>B1983+DeltaT</f>
        <v>9835</v>
      </c>
      <c r="C1984" s="13">
        <f t="shared" si="130"/>
        <v>163.91666666666666</v>
      </c>
      <c r="D1984" s="11">
        <f t="shared" si="131"/>
        <v>1095.7252352243456</v>
      </c>
      <c r="E1984" s="23">
        <f t="shared" si="132"/>
        <v>1094.5170090490838</v>
      </c>
      <c r="F1984" s="23">
        <f>AlphaC*(D1984-E1984)</f>
        <v>30.205654381546765</v>
      </c>
      <c r="G1984" s="13">
        <f>Phi*EpsilonF*Botzman/10^8*J1984*((D1984+273)^4-(E1984+273)^4)</f>
        <v>491.20531667370403</v>
      </c>
      <c r="H1984" s="23">
        <f t="shared" si="133"/>
        <v>650</v>
      </c>
      <c r="I1984" s="12">
        <f>ksh*Massivete/(H1984*RhoA)*DeltaT*(F1984+G1984)</f>
        <v>7.6908246192006799E-2</v>
      </c>
      <c r="J1984" s="3">
        <f>IF(E1984&lt;=500,IF(Galva=Oui,0.35,0.7),0.7)</f>
        <v>0.7</v>
      </c>
    </row>
    <row r="1985" spans="2:10" x14ac:dyDescent="0.25">
      <c r="B1985" s="3">
        <f>B1984+DeltaT</f>
        <v>9840</v>
      </c>
      <c r="C1985" s="13">
        <f t="shared" si="130"/>
        <v>164</v>
      </c>
      <c r="D1985" s="11">
        <f t="shared" si="131"/>
        <v>1095.8013305008703</v>
      </c>
      <c r="E1985" s="23">
        <f t="shared" si="132"/>
        <v>1094.5939172952758</v>
      </c>
      <c r="F1985" s="23">
        <f>AlphaC*(D1985-E1985)</f>
        <v>30.185330139863709</v>
      </c>
      <c r="G1985" s="13">
        <f>Phi*EpsilonF*Botzman/10^8*J1985*((D1985+273)^4-(E1985+273)^4)</f>
        <v>490.95715298358391</v>
      </c>
      <c r="H1985" s="23">
        <f t="shared" si="133"/>
        <v>650</v>
      </c>
      <c r="I1985" s="12">
        <f>ksh*Massivete/(H1985*RhoA)*DeltaT*(F1985+G1985)</f>
        <v>7.6868644156175225E-2</v>
      </c>
      <c r="J1985" s="3">
        <f>IF(E1985&lt;=500,IF(Galva=Oui,0.35,0.7),0.7)</f>
        <v>0.7</v>
      </c>
    </row>
    <row r="1986" spans="2:10" x14ac:dyDescent="0.25">
      <c r="B1986" s="3">
        <f>B1985+DeltaT</f>
        <v>9845</v>
      </c>
      <c r="C1986" s="13">
        <f t="shared" si="130"/>
        <v>164.08333333333334</v>
      </c>
      <c r="D1986" s="11">
        <f t="shared" si="131"/>
        <v>1095.8773871503495</v>
      </c>
      <c r="E1986" s="23">
        <f t="shared" si="132"/>
        <v>1094.6707859394319</v>
      </c>
      <c r="F1986" s="23">
        <f>AlphaC*(D1986-E1986)</f>
        <v>30.16503027293993</v>
      </c>
      <c r="G1986" s="13">
        <f>Phi*EpsilonF*Botzman/10^8*J1986*((D1986+273)^4-(E1986+273)^4)</f>
        <v>490.70924203510089</v>
      </c>
      <c r="H1986" s="23">
        <f t="shared" si="133"/>
        <v>650</v>
      </c>
      <c r="I1986" s="12">
        <f>ksh*Massivete/(H1986*RhoA)*DeltaT*(F1986+G1986)</f>
        <v>7.682908299508015E-2</v>
      </c>
      <c r="J1986" s="3">
        <f>IF(E1986&lt;=500,IF(Galva=Oui,0.35,0.7),0.7)</f>
        <v>0.7</v>
      </c>
    </row>
    <row r="1987" spans="2:10" x14ac:dyDescent="0.25">
      <c r="B1987" s="3">
        <f>B1986+DeltaT</f>
        <v>9850</v>
      </c>
      <c r="C1987" s="13">
        <f t="shared" si="130"/>
        <v>164.16666666666666</v>
      </c>
      <c r="D1987" s="11">
        <f t="shared" si="131"/>
        <v>1095.9534052119784</v>
      </c>
      <c r="E1987" s="23">
        <f t="shared" si="132"/>
        <v>1094.747615022427</v>
      </c>
      <c r="F1987" s="23">
        <f>AlphaC*(D1987-E1987)</f>
        <v>30.144754738785196</v>
      </c>
      <c r="G1987" s="13">
        <f>Phi*EpsilonF*Botzman/10^8*J1987*((D1987+273)^4-(E1987+273)^4)</f>
        <v>490.46158344028896</v>
      </c>
      <c r="H1987" s="23">
        <f t="shared" si="133"/>
        <v>650</v>
      </c>
      <c r="I1987" s="12">
        <f>ksh*Massivete/(H1987*RhoA)*DeltaT*(F1987+G1987)</f>
        <v>7.6789562645302858E-2</v>
      </c>
      <c r="J1987" s="3">
        <f>IF(E1987&lt;=500,IF(Galva=Oui,0.35,0.7),0.7)</f>
        <v>0.7</v>
      </c>
    </row>
    <row r="1988" spans="2:10" x14ac:dyDescent="0.25">
      <c r="B1988" s="3">
        <f>B1987+DeltaT</f>
        <v>9855</v>
      </c>
      <c r="C1988" s="13">
        <f t="shared" si="130"/>
        <v>164.25</v>
      </c>
      <c r="D1988" s="11">
        <f t="shared" si="131"/>
        <v>1096.0293847248929</v>
      </c>
      <c r="E1988" s="23">
        <f t="shared" si="132"/>
        <v>1094.8244045850722</v>
      </c>
      <c r="F1988" s="23">
        <f>AlphaC*(D1988-E1988)</f>
        <v>30.124503495517274</v>
      </c>
      <c r="G1988" s="13">
        <f>Phi*EpsilonF*Botzman/10^8*J1988*((D1988+273)^4-(E1988+273)^4)</f>
        <v>490.21417681230639</v>
      </c>
      <c r="H1988" s="23">
        <f t="shared" si="133"/>
        <v>650</v>
      </c>
      <c r="I1988" s="12">
        <f>ksh*Massivete/(H1988*RhoA)*DeltaT*(F1988+G1988)</f>
        <v>7.6750083043606532E-2</v>
      </c>
      <c r="J1988" s="3">
        <f>IF(E1988&lt;=500,IF(Galva=Oui,0.35,0.7),0.7)</f>
        <v>0.7</v>
      </c>
    </row>
    <row r="1989" spans="2:10" x14ac:dyDescent="0.25">
      <c r="B1989" s="3">
        <f>B1988+DeltaT</f>
        <v>9860</v>
      </c>
      <c r="C1989" s="13">
        <f t="shared" si="130"/>
        <v>164.33333333333334</v>
      </c>
      <c r="D1989" s="11">
        <f t="shared" si="131"/>
        <v>1096.1053257281692</v>
      </c>
      <c r="E1989" s="23">
        <f t="shared" si="132"/>
        <v>1094.9011546681159</v>
      </c>
      <c r="F1989" s="23">
        <f>AlphaC*(D1989-E1989)</f>
        <v>30.104276501333516</v>
      </c>
      <c r="G1989" s="13">
        <f>Phi*EpsilonF*Botzman/10^8*J1989*((D1989+273)^4-(E1989+273)^4)</f>
        <v>489.96702176473769</v>
      </c>
      <c r="H1989" s="23">
        <f t="shared" si="133"/>
        <v>650</v>
      </c>
      <c r="I1989" s="12">
        <f>ksh*Massivete/(H1989*RhoA)*DeltaT*(F1989+G1989)</f>
        <v>7.6710644126828834E-2</v>
      </c>
      <c r="J1989" s="3">
        <f>IF(E1989&lt;=500,IF(Galva=Oui,0.35,0.7),0.7)</f>
        <v>0.7</v>
      </c>
    </row>
    <row r="1990" spans="2:10" x14ac:dyDescent="0.25">
      <c r="B1990" s="3">
        <f>B1989+DeltaT</f>
        <v>9865</v>
      </c>
      <c r="C1990" s="13">
        <f t="shared" si="130"/>
        <v>164.41666666666666</v>
      </c>
      <c r="D1990" s="11">
        <f t="shared" si="131"/>
        <v>1096.1812282608241</v>
      </c>
      <c r="E1990" s="23">
        <f t="shared" si="132"/>
        <v>1094.9778653122428</v>
      </c>
      <c r="F1990" s="23">
        <f>AlphaC*(D1990-E1990)</f>
        <v>30.084073714533588</v>
      </c>
      <c r="G1990" s="13">
        <f>Phi*EpsilonF*Botzman/10^8*J1990*((D1990+273)^4-(E1990+273)^4)</f>
        <v>489.72011791217506</v>
      </c>
      <c r="H1990" s="23">
        <f t="shared" si="133"/>
        <v>650</v>
      </c>
      <c r="I1990" s="12">
        <f>ksh*Massivete/(H1990*RhoA)*DeltaT*(F1990+G1990)</f>
        <v>7.6671245831971255E-2</v>
      </c>
      <c r="J1990" s="3">
        <f>IF(E1990&lt;=500,IF(Galva=Oui,0.35,0.7),0.7)</f>
        <v>0.7</v>
      </c>
    </row>
    <row r="1991" spans="2:10" x14ac:dyDescent="0.25">
      <c r="B1991" s="3">
        <f>B1990+DeltaT</f>
        <v>9870</v>
      </c>
      <c r="C1991" s="13">
        <f t="shared" si="130"/>
        <v>164.5</v>
      </c>
      <c r="D1991" s="11">
        <f t="shared" si="131"/>
        <v>1096.2570923618152</v>
      </c>
      <c r="E1991" s="23">
        <f t="shared" si="132"/>
        <v>1095.0545365580747</v>
      </c>
      <c r="F1991" s="23">
        <f>AlphaC*(D1991-E1991)</f>
        <v>30.063895093513793</v>
      </c>
      <c r="G1991" s="13">
        <f>Phi*EpsilonF*Botzman/10^8*J1991*((D1991+273)^4-(E1991+273)^4)</f>
        <v>489.47346487002483</v>
      </c>
      <c r="H1991" s="23">
        <f t="shared" si="133"/>
        <v>650</v>
      </c>
      <c r="I1991" s="12">
        <f>ksh*Massivete/(H1991*RhoA)*DeltaT*(F1991+G1991)</f>
        <v>7.6631888096169554E-2</v>
      </c>
      <c r="J1991" s="3">
        <f>IF(E1991&lt;=500,IF(Galva=Oui,0.35,0.7),0.7)</f>
        <v>0.7</v>
      </c>
    </row>
    <row r="1992" spans="2:10" x14ac:dyDescent="0.25">
      <c r="B1992" s="3">
        <f>B1991+DeltaT</f>
        <v>9875</v>
      </c>
      <c r="C1992" s="13">
        <f t="shared" si="130"/>
        <v>164.58333333333334</v>
      </c>
      <c r="D1992" s="11">
        <f t="shared" si="131"/>
        <v>1096.3329180700414</v>
      </c>
      <c r="E1992" s="23">
        <f t="shared" si="132"/>
        <v>1095.1311684461709</v>
      </c>
      <c r="F1992" s="23">
        <f>AlphaC*(D1992-E1992)</f>
        <v>30.043740596761381</v>
      </c>
      <c r="G1992" s="13">
        <f>Phi*EpsilonF*Botzman/10^8*J1992*((D1992+273)^4-(E1992+273)^4)</f>
        <v>489.22706225448769</v>
      </c>
      <c r="H1992" s="23">
        <f t="shared" si="133"/>
        <v>650</v>
      </c>
      <c r="I1992" s="12">
        <f>ksh*Massivete/(H1992*RhoA)*DeltaT*(F1992+G1992)</f>
        <v>7.6592570856690093E-2</v>
      </c>
      <c r="J1992" s="3">
        <f>IF(E1992&lt;=500,IF(Galva=Oui,0.35,0.7),0.7)</f>
        <v>0.7</v>
      </c>
    </row>
    <row r="1993" spans="2:10" x14ac:dyDescent="0.25">
      <c r="B1993" s="3">
        <f>B1992+DeltaT</f>
        <v>9880</v>
      </c>
      <c r="C1993" s="13">
        <f t="shared" si="130"/>
        <v>164.66666666666666</v>
      </c>
      <c r="D1993" s="11">
        <f t="shared" si="131"/>
        <v>1096.4087054243412</v>
      </c>
      <c r="E1993" s="23">
        <f t="shared" si="132"/>
        <v>1095.2077610170277</v>
      </c>
      <c r="F1993" s="23">
        <f>AlphaC*(D1993-E1993)</f>
        <v>30.023610182837501</v>
      </c>
      <c r="G1993" s="13">
        <f>Phi*EpsilonF*Botzman/10^8*J1993*((D1993+273)^4-(E1993+273)^4)</f>
        <v>488.98090968221027</v>
      </c>
      <c r="H1993" s="23">
        <f t="shared" si="133"/>
        <v>650</v>
      </c>
      <c r="I1993" s="12">
        <f>ksh*Massivete/(H1993*RhoA)*DeltaT*(F1993+G1993)</f>
        <v>7.6553294050875936E-2</v>
      </c>
      <c r="J1993" s="3">
        <f>IF(E1993&lt;=500,IF(Galva=Oui,0.35,0.7),0.7)</f>
        <v>0.7</v>
      </c>
    </row>
    <row r="1994" spans="2:10" x14ac:dyDescent="0.25">
      <c r="B1994" s="3">
        <f>B1993+DeltaT</f>
        <v>9885</v>
      </c>
      <c r="C1994" s="13">
        <f t="shared" si="130"/>
        <v>164.75</v>
      </c>
      <c r="D1994" s="11">
        <f t="shared" si="131"/>
        <v>1096.4844544634959</v>
      </c>
      <c r="E1994" s="23">
        <f t="shared" si="132"/>
        <v>1095.2843143110786</v>
      </c>
      <c r="F1994" s="23">
        <f>AlphaC*(D1994-E1994)</f>
        <v>30.00350381043404</v>
      </c>
      <c r="G1994" s="13">
        <f>Phi*EpsilonF*Botzman/10^8*J1994*((D1994+273)^4-(E1994+273)^4)</f>
        <v>488.73500677119563</v>
      </c>
      <c r="H1994" s="23">
        <f t="shared" si="133"/>
        <v>650</v>
      </c>
      <c r="I1994" s="12">
        <f>ksh*Massivete/(H1994*RhoA)*DeltaT*(F1994+G1994)</f>
        <v>7.6514057616289474E-2</v>
      </c>
      <c r="J1994" s="3">
        <f>IF(E1994&lt;=500,IF(Galva=Oui,0.35,0.7),0.7)</f>
        <v>0.7</v>
      </c>
    </row>
    <row r="1995" spans="2:10" x14ac:dyDescent="0.25">
      <c r="B1995" s="3">
        <f>B1994+DeltaT</f>
        <v>9890</v>
      </c>
      <c r="C1995" s="13">
        <f t="shared" si="130"/>
        <v>164.83333333333334</v>
      </c>
      <c r="D1995" s="11">
        <f t="shared" si="131"/>
        <v>1096.5601652262269</v>
      </c>
      <c r="E1995" s="23">
        <f t="shared" si="132"/>
        <v>1095.3608283686949</v>
      </c>
      <c r="F1995" s="23">
        <f>AlphaC*(D1995-E1995)</f>
        <v>29.983421438299729</v>
      </c>
      <c r="G1995" s="13">
        <f>Phi*EpsilonF*Botzman/10^8*J1995*((D1995+273)^4-(E1995+273)^4)</f>
        <v>488.48935313975704</v>
      </c>
      <c r="H1995" s="23">
        <f t="shared" si="133"/>
        <v>650</v>
      </c>
      <c r="I1995" s="12">
        <f>ksh*Massivete/(H1995*RhoA)*DeltaT*(F1995+G1995)</f>
        <v>7.6474861490547219E-2</v>
      </c>
      <c r="J1995" s="3">
        <f>IF(E1995&lt;=500,IF(Galva=Oui,0.35,0.7),0.7)</f>
        <v>0.7</v>
      </c>
    </row>
    <row r="1996" spans="2:10" x14ac:dyDescent="0.25">
      <c r="B1996" s="3">
        <f>B1995+DeltaT</f>
        <v>9895</v>
      </c>
      <c r="C1996" s="13">
        <f t="shared" si="130"/>
        <v>164.91666666666666</v>
      </c>
      <c r="D1996" s="11">
        <f t="shared" si="131"/>
        <v>1096.6358377511974</v>
      </c>
      <c r="E1996" s="23">
        <f t="shared" si="132"/>
        <v>1095.4373032301855</v>
      </c>
      <c r="F1996" s="23">
        <f>AlphaC*(D1996-E1996)</f>
        <v>29.963363025296985</v>
      </c>
      <c r="G1996" s="13">
        <f>Phi*EpsilonF*Botzman/10^8*J1996*((D1996+273)^4-(E1996+273)^4)</f>
        <v>488.24394840721544</v>
      </c>
      <c r="H1996" s="23">
        <f t="shared" si="133"/>
        <v>650</v>
      </c>
      <c r="I1996" s="12">
        <f>ksh*Massivete/(H1996*RhoA)*DeltaT*(F1996+G1996)</f>
        <v>7.6435705611431148E-2</v>
      </c>
      <c r="J1996" s="3">
        <f>IF(E1996&lt;=500,IF(Galva=Oui,0.35,0.7),0.7)</f>
        <v>0.7</v>
      </c>
    </row>
    <row r="1997" spans="2:10" x14ac:dyDescent="0.25">
      <c r="B1997" s="3">
        <f>B1996+DeltaT</f>
        <v>9900</v>
      </c>
      <c r="C1997" s="13">
        <f t="shared" si="130"/>
        <v>165</v>
      </c>
      <c r="D1997" s="11">
        <f t="shared" si="131"/>
        <v>1096.7114720770116</v>
      </c>
      <c r="E1997" s="23">
        <f t="shared" si="132"/>
        <v>1095.5137389357969</v>
      </c>
      <c r="F1997" s="23">
        <f>AlphaC*(D1997-E1997)</f>
        <v>29.943328530367808</v>
      </c>
      <c r="G1997" s="13">
        <f>Phi*EpsilonF*Botzman/10^8*J1997*((D1997+273)^4-(E1997+273)^4)</f>
        <v>487.99879219358945</v>
      </c>
      <c r="H1997" s="23">
        <f t="shared" si="133"/>
        <v>650</v>
      </c>
      <c r="I1997" s="12">
        <f>ksh*Massivete/(H1997*RhoA)*DeltaT*(F1997+G1997)</f>
        <v>7.6396589916837856E-2</v>
      </c>
      <c r="J1997" s="3">
        <f>IF(E1997&lt;=500,IF(Galva=Oui,0.35,0.7),0.7)</f>
        <v>0.7</v>
      </c>
    </row>
    <row r="1998" spans="2:10" x14ac:dyDescent="0.25">
      <c r="B1998" s="3">
        <f>B1997+DeltaT</f>
        <v>9905</v>
      </c>
      <c r="C1998" s="13">
        <f t="shared" si="130"/>
        <v>165.08333333333334</v>
      </c>
      <c r="D1998" s="11">
        <f t="shared" si="131"/>
        <v>1096.7870682422163</v>
      </c>
      <c r="E1998" s="23">
        <f t="shared" si="132"/>
        <v>1095.5901355257138</v>
      </c>
      <c r="F1998" s="23">
        <f>AlphaC*(D1998-E1998)</f>
        <v>29.923317912562197</v>
      </c>
      <c r="G1998" s="13">
        <f>Phi*EpsilonF*Botzman/10^8*J1998*((D1998+273)^4-(E1998+273)^4)</f>
        <v>487.75388411984733</v>
      </c>
      <c r="H1998" s="23">
        <f t="shared" si="133"/>
        <v>650</v>
      </c>
      <c r="I1998" s="12">
        <f>ksh*Massivete/(H1998*RhoA)*DeltaT*(F1998+G1998)</f>
        <v>7.6357514344819896E-2</v>
      </c>
      <c r="J1998" s="3">
        <f>IF(E1998&lt;=500,IF(Galva=Oui,0.35,0.7),0.7)</f>
        <v>0.7</v>
      </c>
    </row>
    <row r="1999" spans="2:10" x14ac:dyDescent="0.25">
      <c r="B1999" s="3">
        <f>B1998+DeltaT</f>
        <v>9910</v>
      </c>
      <c r="C1999" s="13">
        <f t="shared" si="130"/>
        <v>165.16666666666666</v>
      </c>
      <c r="D1999" s="11">
        <f t="shared" si="131"/>
        <v>1096.8626262852981</v>
      </c>
      <c r="E1999" s="23">
        <f t="shared" si="132"/>
        <v>1095.6664930400586</v>
      </c>
      <c r="F1999" s="23">
        <f>AlphaC*(D1999-E1999)</f>
        <v>29.903331130986999</v>
      </c>
      <c r="G1999" s="13">
        <f>Phi*EpsilonF*Botzman/10^8*J1999*((D1999+273)^4-(E1999+273)^4)</f>
        <v>487.50922380722864</v>
      </c>
      <c r="H1999" s="23">
        <f t="shared" si="133"/>
        <v>650</v>
      </c>
      <c r="I1999" s="12">
        <f>ksh*Massivete/(H1999*RhoA)*DeltaT*(F1999+G1999)</f>
        <v>7.6318478833478309E-2</v>
      </c>
      <c r="J1999" s="3">
        <f>IF(E1999&lt;=500,IF(Galva=Oui,0.35,0.7),0.7)</f>
        <v>0.7</v>
      </c>
    </row>
    <row r="2000" spans="2:10" x14ac:dyDescent="0.25">
      <c r="B2000" s="3">
        <f>B1999+DeltaT</f>
        <v>9915</v>
      </c>
      <c r="C2000" s="13">
        <f t="shared" si="130"/>
        <v>165.25</v>
      </c>
      <c r="D2000" s="11">
        <f t="shared" si="131"/>
        <v>1096.9381462446877</v>
      </c>
      <c r="E2000" s="23">
        <f t="shared" si="132"/>
        <v>1095.742811518892</v>
      </c>
      <c r="F2000" s="23">
        <f>AlphaC*(D2000-E2000)</f>
        <v>29.883368144891165</v>
      </c>
      <c r="G2000" s="13">
        <f>Phi*EpsilonF*Botzman/10^8*J2000*((D2000+273)^4-(E2000+273)^4)</f>
        <v>487.26481087852335</v>
      </c>
      <c r="H2000" s="23">
        <f t="shared" si="133"/>
        <v>650</v>
      </c>
      <c r="I2000" s="12">
        <f>ksh*Massivete/(H2000*RhoA)*DeltaT*(F2000+G2000)</f>
        <v>7.6279483321163688E-2</v>
      </c>
      <c r="J2000" s="3">
        <f>IF(E2000&lt;=500,IF(Galva=Oui,0.35,0.7),0.7)</f>
        <v>0.7</v>
      </c>
    </row>
    <row r="2001" spans="2:10" x14ac:dyDescent="0.25">
      <c r="B2001" s="3">
        <f>B2000+DeltaT</f>
        <v>9920</v>
      </c>
      <c r="C2001" s="13">
        <f t="shared" si="130"/>
        <v>165.33333333333334</v>
      </c>
      <c r="D2001" s="11">
        <f t="shared" si="131"/>
        <v>1097.0136281587561</v>
      </c>
      <c r="E2001" s="23">
        <f t="shared" si="132"/>
        <v>1095.8190910022131</v>
      </c>
      <c r="F2001" s="23">
        <f>AlphaC*(D2001-E2001)</f>
        <v>29.863428913574808</v>
      </c>
      <c r="G2001" s="13">
        <f>Phi*EpsilonF*Botzman/10^8*J2001*((D2001+273)^4-(E2001+273)^4)</f>
        <v>487.02064495661836</v>
      </c>
      <c r="H2001" s="23">
        <f t="shared" si="133"/>
        <v>650</v>
      </c>
      <c r="I2001" s="12">
        <f>ksh*Massivete/(H2001*RhoA)*DeltaT*(F2001+G2001)</f>
        <v>7.6240527746248524E-2</v>
      </c>
      <c r="J2001" s="3">
        <f>IF(E2001&lt;=500,IF(Galva=Oui,0.35,0.7),0.7)</f>
        <v>0.7</v>
      </c>
    </row>
    <row r="2002" spans="2:10" x14ac:dyDescent="0.25">
      <c r="B2002" s="3">
        <f>B2001+DeltaT</f>
        <v>9925</v>
      </c>
      <c r="C2002" s="13">
        <f t="shared" ref="C2002:C2065" si="134">B2002/60</f>
        <v>165.41666666666666</v>
      </c>
      <c r="D2002" s="11">
        <f t="shared" ref="D2002:D2065" si="135">20+345*LOG(8*C2002+1,10)</f>
        <v>1097.0890720658165</v>
      </c>
      <c r="E2002" s="23">
        <f t="shared" si="132"/>
        <v>1095.8953315299593</v>
      </c>
      <c r="F2002" s="23">
        <f>AlphaC*(D2002-E2002)</f>
        <v>29.843513396428989</v>
      </c>
      <c r="G2002" s="13">
        <f>Phi*EpsilonF*Botzman/10^8*J2002*((D2002+273)^4-(E2002+273)^4)</f>
        <v>486.77672566533067</v>
      </c>
      <c r="H2002" s="23">
        <f t="shared" si="133"/>
        <v>650</v>
      </c>
      <c r="I2002" s="12">
        <f>ksh*Massivete/(H2002*RhoA)*DeltaT*(F2002+G2002)</f>
        <v>7.6201612047255937E-2</v>
      </c>
      <c r="J2002" s="3">
        <f>IF(E2002&lt;=500,IF(Galva=Oui,0.35,0.7),0.7)</f>
        <v>0.7</v>
      </c>
    </row>
    <row r="2003" spans="2:10" x14ac:dyDescent="0.25">
      <c r="B2003" s="3">
        <f>B2002+DeltaT</f>
        <v>9930</v>
      </c>
      <c r="C2003" s="13">
        <f t="shared" si="134"/>
        <v>165.5</v>
      </c>
      <c r="D2003" s="11">
        <f t="shared" si="135"/>
        <v>1097.1644780041249</v>
      </c>
      <c r="E2003" s="23">
        <f t="shared" si="132"/>
        <v>1095.9715331420066</v>
      </c>
      <c r="F2003" s="23">
        <f>AlphaC*(D2003-E2003)</f>
        <v>29.823621552958457</v>
      </c>
      <c r="G2003" s="13">
        <f>Phi*EpsilonF*Botzman/10^8*J2003*((D2003+273)^4-(E2003+273)^4)</f>
        <v>486.53305262944644</v>
      </c>
      <c r="H2003" s="23">
        <f t="shared" si="133"/>
        <v>650</v>
      </c>
      <c r="I2003" s="12">
        <f>ksh*Massivete/(H2003*RhoA)*DeltaT*(F2003+G2003)</f>
        <v>7.6162736162868713E-2</v>
      </c>
      <c r="J2003" s="3">
        <f>IF(E2003&lt;=500,IF(Galva=Oui,0.35,0.7),0.7)</f>
        <v>0.7</v>
      </c>
    </row>
    <row r="2004" spans="2:10" x14ac:dyDescent="0.25">
      <c r="B2004" s="3">
        <f>B2003+DeltaT</f>
        <v>9935</v>
      </c>
      <c r="C2004" s="13">
        <f t="shared" si="134"/>
        <v>165.58333333333334</v>
      </c>
      <c r="D2004" s="11">
        <f t="shared" si="135"/>
        <v>1097.2398460118795</v>
      </c>
      <c r="E2004" s="23">
        <f t="shared" si="132"/>
        <v>1096.0476958781694</v>
      </c>
      <c r="F2004" s="23">
        <f>AlphaC*(D2004-E2004)</f>
        <v>29.803753342753225</v>
      </c>
      <c r="G2004" s="13">
        <f>Phi*EpsilonF*Botzman/10^8*J2004*((D2004+273)^4-(E2004+273)^4)</f>
        <v>486.2896254745076</v>
      </c>
      <c r="H2004" s="23">
        <f t="shared" si="133"/>
        <v>650</v>
      </c>
      <c r="I2004" s="12">
        <f>ksh*Massivete/(H2004*RhoA)*DeltaT*(F2004+G2004)</f>
        <v>7.6123900031893676E-2</v>
      </c>
      <c r="J2004" s="3">
        <f>IF(E2004&lt;=500,IF(Galva=Oui,0.35,0.7),0.7)</f>
        <v>0.7</v>
      </c>
    </row>
    <row r="2005" spans="2:10" x14ac:dyDescent="0.25">
      <c r="B2005" s="3">
        <f>B2004+DeltaT</f>
        <v>9940</v>
      </c>
      <c r="C2005" s="13">
        <f t="shared" si="134"/>
        <v>165.66666666666666</v>
      </c>
      <c r="D2005" s="11">
        <f t="shared" si="135"/>
        <v>1097.3151761272202</v>
      </c>
      <c r="E2005" s="23">
        <f t="shared" si="132"/>
        <v>1096.1238197782013</v>
      </c>
      <c r="F2005" s="23">
        <f>AlphaC*(D2005-E2005)</f>
        <v>29.78390872547152</v>
      </c>
      <c r="G2005" s="13">
        <f>Phi*EpsilonF*Botzman/10^8*J2005*((D2005+273)^4-(E2005+273)^4)</f>
        <v>486.04644382648235</v>
      </c>
      <c r="H2005" s="23">
        <f t="shared" si="133"/>
        <v>650</v>
      </c>
      <c r="I2005" s="12">
        <f>ksh*Massivete/(H2005*RhoA)*DeltaT*(F2005+G2005)</f>
        <v>7.6085103593210676E-2</v>
      </c>
      <c r="J2005" s="3">
        <f>IF(E2005&lt;=500,IF(Galva=Oui,0.35,0.7),0.7)</f>
        <v>0.7</v>
      </c>
    </row>
    <row r="2006" spans="2:10" x14ac:dyDescent="0.25">
      <c r="B2006" s="3">
        <f>B2005+DeltaT</f>
        <v>9945</v>
      </c>
      <c r="C2006" s="13">
        <f t="shared" si="134"/>
        <v>165.75</v>
      </c>
      <c r="D2006" s="11">
        <f t="shared" si="135"/>
        <v>1097.3904683882301</v>
      </c>
      <c r="E2006" s="23">
        <f t="shared" si="132"/>
        <v>1096.1999048817945</v>
      </c>
      <c r="F2006" s="23">
        <f>AlphaC*(D2006-E2006)</f>
        <v>29.764087660890937</v>
      </c>
      <c r="G2006" s="13">
        <f>Phi*EpsilonF*Botzman/10^8*J2006*((D2006+273)^4-(E2006+273)^4)</f>
        <v>485.80350731254055</v>
      </c>
      <c r="H2006" s="23">
        <f t="shared" si="133"/>
        <v>650</v>
      </c>
      <c r="I2006" s="12">
        <f>ksh*Massivete/(H2006*RhoA)*DeltaT*(F2006+G2006)</f>
        <v>7.6046346785894323E-2</v>
      </c>
      <c r="J2006" s="3">
        <f>IF(E2006&lt;=500,IF(Galva=Oui,0.35,0.7),0.7)</f>
        <v>0.7</v>
      </c>
    </row>
    <row r="2007" spans="2:10" x14ac:dyDescent="0.25">
      <c r="B2007" s="3">
        <f>B2006+DeltaT</f>
        <v>9950</v>
      </c>
      <c r="C2007" s="13">
        <f t="shared" si="134"/>
        <v>165.83333333333334</v>
      </c>
      <c r="D2007" s="11">
        <f t="shared" si="135"/>
        <v>1097.4657228329345</v>
      </c>
      <c r="E2007" s="23">
        <f t="shared" si="132"/>
        <v>1096.2759512285804</v>
      </c>
      <c r="F2007" s="23">
        <f>AlphaC*(D2007-E2007)</f>
        <v>29.744290108851601</v>
      </c>
      <c r="G2007" s="13">
        <f>Phi*EpsilonF*Botzman/10^8*J2007*((D2007+273)^4-(E2007+273)^4)</f>
        <v>485.56081556018142</v>
      </c>
      <c r="H2007" s="23">
        <f t="shared" si="133"/>
        <v>650</v>
      </c>
      <c r="I2007" s="12">
        <f>ksh*Massivete/(H2007*RhoA)*DeltaT*(F2007+G2007)</f>
        <v>7.600762954907711E-2</v>
      </c>
      <c r="J2007" s="3">
        <f>IF(E2007&lt;=500,IF(Galva=Oui,0.35,0.7),0.7)</f>
        <v>0.7</v>
      </c>
    </row>
    <row r="2008" spans="2:10" x14ac:dyDescent="0.25">
      <c r="B2008" s="3">
        <f>B2007+DeltaT</f>
        <v>9955</v>
      </c>
      <c r="C2008" s="13">
        <f t="shared" si="134"/>
        <v>165.91666666666666</v>
      </c>
      <c r="D2008" s="11">
        <f t="shared" si="135"/>
        <v>1097.5409394993017</v>
      </c>
      <c r="E2008" s="23">
        <f t="shared" si="132"/>
        <v>1096.3519588581296</v>
      </c>
      <c r="F2008" s="23">
        <f>AlphaC*(D2008-E2008)</f>
        <v>29.72451602930164</v>
      </c>
      <c r="G2008" s="13">
        <f>Phi*EpsilonF*Botzman/10^8*J2008*((D2008+273)^4-(E2008+273)^4)</f>
        <v>485.31836819800895</v>
      </c>
      <c r="H2008" s="23">
        <f t="shared" si="133"/>
        <v>650</v>
      </c>
      <c r="I2008" s="12">
        <f>ksh*Massivete/(H2008*RhoA)*DeltaT*(F2008+G2008)</f>
        <v>7.5968951822070335E-2</v>
      </c>
      <c r="J2008" s="3">
        <f>IF(E2008&lt;=500,IF(Galva=Oui,0.35,0.7),0.7)</f>
        <v>0.7</v>
      </c>
    </row>
    <row r="2009" spans="2:10" x14ac:dyDescent="0.25">
      <c r="B2009" s="3">
        <f>B2008+DeltaT</f>
        <v>9960</v>
      </c>
      <c r="C2009" s="13">
        <f t="shared" si="134"/>
        <v>166</v>
      </c>
      <c r="D2009" s="11">
        <f t="shared" si="135"/>
        <v>1097.6161184252423</v>
      </c>
      <c r="E2009" s="23">
        <f t="shared" si="132"/>
        <v>1096.4279278099516</v>
      </c>
      <c r="F2009" s="23">
        <f>AlphaC*(D2009-E2009)</f>
        <v>29.704765382268761</v>
      </c>
      <c r="G2009" s="13">
        <f>Phi*EpsilonF*Botzman/10^8*J2009*((D2009+273)^4-(E2009+273)^4)</f>
        <v>485.07616485516962</v>
      </c>
      <c r="H2009" s="23">
        <f t="shared" si="133"/>
        <v>650</v>
      </c>
      <c r="I2009" s="12">
        <f>ksh*Massivete/(H2009*RhoA)*DeltaT*(F2009+G2009)</f>
        <v>7.5930313544277095E-2</v>
      </c>
      <c r="J2009" s="3">
        <f>IF(E2009&lt;=500,IF(Galva=Oui,0.35,0.7),0.7)</f>
        <v>0.7</v>
      </c>
    </row>
    <row r="2010" spans="2:10" x14ac:dyDescent="0.25">
      <c r="B2010" s="3">
        <f>B2009+DeltaT</f>
        <v>9965</v>
      </c>
      <c r="C2010" s="13">
        <f t="shared" si="134"/>
        <v>166.08333333333334</v>
      </c>
      <c r="D2010" s="11">
        <f t="shared" si="135"/>
        <v>1097.6912596486111</v>
      </c>
      <c r="E2010" s="23">
        <f t="shared" si="132"/>
        <v>1096.5038581234958</v>
      </c>
      <c r="F2010" s="23">
        <f>AlphaC*(D2010-E2010)</f>
        <v>29.68503812788299</v>
      </c>
      <c r="G2010" s="13">
        <f>Phi*EpsilonF*Botzman/10^8*J2010*((D2010+273)^4-(E2010+273)^4)</f>
        <v>484.83420516185663</v>
      </c>
      <c r="H2010" s="23">
        <f t="shared" si="133"/>
        <v>650</v>
      </c>
      <c r="I2010" s="12">
        <f>ksh*Massivete/(H2010*RhoA)*DeltaT*(F2010+G2010)</f>
        <v>7.589171465526999E-2</v>
      </c>
      <c r="J2010" s="3">
        <f>IF(E2010&lt;=500,IF(Galva=Oui,0.35,0.7),0.7)</f>
        <v>0.7</v>
      </c>
    </row>
    <row r="2011" spans="2:10" x14ac:dyDescent="0.25">
      <c r="B2011" s="3">
        <f>B2010+DeltaT</f>
        <v>9970</v>
      </c>
      <c r="C2011" s="13">
        <f t="shared" si="134"/>
        <v>166.16666666666666</v>
      </c>
      <c r="D2011" s="11">
        <f t="shared" si="135"/>
        <v>1097.7663632072044</v>
      </c>
      <c r="E2011" s="23">
        <f t="shared" si="132"/>
        <v>1096.579749838151</v>
      </c>
      <c r="F2011" s="23">
        <f>AlphaC*(D2011-E2011)</f>
        <v>29.665334226336881</v>
      </c>
      <c r="G2011" s="13">
        <f>Phi*EpsilonF*Botzman/10^8*J2011*((D2011+273)^4-(E2011+273)^4)</f>
        <v>484.5924887484955</v>
      </c>
      <c r="H2011" s="23">
        <f t="shared" si="133"/>
        <v>650</v>
      </c>
      <c r="I2011" s="12">
        <f>ksh*Massivete/(H2011*RhoA)*DeltaT*(F2011+G2011)</f>
        <v>7.5853155094665059E-2</v>
      </c>
      <c r="J2011" s="3">
        <f>IF(E2011&lt;=500,IF(Galva=Oui,0.35,0.7),0.7)</f>
        <v>0.7</v>
      </c>
    </row>
    <row r="2012" spans="2:10" x14ac:dyDescent="0.25">
      <c r="B2012" s="3">
        <f>B2011+DeltaT</f>
        <v>9975</v>
      </c>
      <c r="C2012" s="13">
        <f t="shared" si="134"/>
        <v>166.25</v>
      </c>
      <c r="D2012" s="11">
        <f t="shared" si="135"/>
        <v>1097.841429138763</v>
      </c>
      <c r="E2012" s="23">
        <f t="shared" si="132"/>
        <v>1096.6556029932456</v>
      </c>
      <c r="F2012" s="23">
        <f>AlphaC*(D2012-E2012)</f>
        <v>29.645653637936675</v>
      </c>
      <c r="G2012" s="13">
        <f>Phi*EpsilonF*Botzman/10^8*J2012*((D2012+273)^4-(E2012+273)^4)</f>
        <v>484.35101524677157</v>
      </c>
      <c r="H2012" s="23">
        <f t="shared" si="133"/>
        <v>650</v>
      </c>
      <c r="I2012" s="12">
        <f>ksh*Massivete/(H2012*RhoA)*DeltaT*(F2012+G2012)</f>
        <v>7.5814634802280984E-2</v>
      </c>
      <c r="J2012" s="3">
        <f>IF(E2012&lt;=500,IF(Galva=Oui,0.35,0.7),0.7)</f>
        <v>0.7</v>
      </c>
    </row>
    <row r="2013" spans="2:10" x14ac:dyDescent="0.25">
      <c r="B2013" s="3">
        <f>B2012+DeltaT</f>
        <v>9980</v>
      </c>
      <c r="C2013" s="13">
        <f t="shared" si="134"/>
        <v>166.33333333333334</v>
      </c>
      <c r="D2013" s="11">
        <f t="shared" si="135"/>
        <v>1097.9164574809699</v>
      </c>
      <c r="E2013" s="23">
        <f t="shared" si="132"/>
        <v>1096.7314176280479</v>
      </c>
      <c r="F2013" s="23">
        <f>AlphaC*(D2013-E2013)</f>
        <v>29.62599632305114</v>
      </c>
      <c r="G2013" s="13">
        <f>Phi*EpsilonF*Botzman/10^8*J2013*((D2013+273)^4-(E2013+273)^4)</f>
        <v>484.10978428860278</v>
      </c>
      <c r="H2013" s="23">
        <f t="shared" si="133"/>
        <v>650</v>
      </c>
      <c r="I2013" s="12">
        <f>ksh*Massivete/(H2013*RhoA)*DeltaT*(F2013+G2013)</f>
        <v>7.5776153717979938E-2</v>
      </c>
      <c r="J2013" s="3">
        <f>IF(E2013&lt;=500,IF(Galva=Oui,0.35,0.7),0.7)</f>
        <v>0.7</v>
      </c>
    </row>
    <row r="2014" spans="2:10" x14ac:dyDescent="0.25">
      <c r="B2014" s="3">
        <f>B2013+DeltaT</f>
        <v>9985</v>
      </c>
      <c r="C2014" s="13">
        <f t="shared" si="134"/>
        <v>166.41666666666666</v>
      </c>
      <c r="D2014" s="11">
        <f t="shared" si="135"/>
        <v>1097.9914482714526</v>
      </c>
      <c r="E2014" s="23">
        <f t="shared" si="132"/>
        <v>1096.8071937817658</v>
      </c>
      <c r="F2014" s="23">
        <f>AlphaC*(D2014-E2014)</f>
        <v>29.606362242168416</v>
      </c>
      <c r="G2014" s="13">
        <f>Phi*EpsilonF*Botzman/10^8*J2014*((D2014+273)^4-(E2014+273)^4)</f>
        <v>483.86879550734108</v>
      </c>
      <c r="H2014" s="23">
        <f t="shared" si="133"/>
        <v>650</v>
      </c>
      <c r="I2014" s="12">
        <f>ksh*Massivete/(H2014*RhoA)*DeltaT*(F2014+G2014)</f>
        <v>7.573771178185322E-2</v>
      </c>
      <c r="J2014" s="3">
        <f>IF(E2014&lt;=500,IF(Galva=Oui,0.35,0.7),0.7)</f>
        <v>0.7</v>
      </c>
    </row>
    <row r="2015" spans="2:10" x14ac:dyDescent="0.25">
      <c r="B2015" s="3">
        <f>B2014+DeltaT</f>
        <v>9990</v>
      </c>
      <c r="C2015" s="13">
        <f t="shared" si="134"/>
        <v>166.5</v>
      </c>
      <c r="D2015" s="11">
        <f t="shared" si="135"/>
        <v>1098.0664015477814</v>
      </c>
      <c r="E2015" s="23">
        <f t="shared" si="132"/>
        <v>1096.8829314935476</v>
      </c>
      <c r="F2015" s="23">
        <f>AlphaC*(D2015-E2015)</f>
        <v>29.586751355844854</v>
      </c>
      <c r="G2015" s="13">
        <f>Phi*EpsilonF*Botzman/10^8*J2015*((D2015+273)^4-(E2015+273)^4)</f>
        <v>483.62804853651289</v>
      </c>
      <c r="H2015" s="23">
        <f t="shared" si="133"/>
        <v>650</v>
      </c>
      <c r="I2015" s="12">
        <f>ksh*Massivete/(H2015*RhoA)*DeltaT*(F2015+G2015)</f>
        <v>7.5699308934027973E-2</v>
      </c>
      <c r="J2015" s="3">
        <f>IF(E2015&lt;=500,IF(Galva=Oui,0.35,0.7),0.7)</f>
        <v>0.7</v>
      </c>
    </row>
    <row r="2016" spans="2:10" x14ac:dyDescent="0.25">
      <c r="B2016" s="3">
        <f>B2015+DeltaT</f>
        <v>9995</v>
      </c>
      <c r="C2016" s="13">
        <f t="shared" si="134"/>
        <v>166.58333333333334</v>
      </c>
      <c r="D2016" s="11">
        <f t="shared" si="135"/>
        <v>1098.1413173474702</v>
      </c>
      <c r="E2016" s="23">
        <f t="shared" si="132"/>
        <v>1096.9586308024816</v>
      </c>
      <c r="F2016" s="23">
        <f>AlphaC*(D2016-E2016)</f>
        <v>29.567163624716386</v>
      </c>
      <c r="G2016" s="13">
        <f>Phi*EpsilonF*Botzman/10^8*J2016*((D2016+273)^4-(E2016+273)^4)</f>
        <v>483.387543010478</v>
      </c>
      <c r="H2016" s="23">
        <f t="shared" si="133"/>
        <v>650</v>
      </c>
      <c r="I2016" s="12">
        <f>ksh*Massivete/(H2016*RhoA)*DeltaT*(F2016+G2016)</f>
        <v>7.5660945114765954E-2</v>
      </c>
      <c r="J2016" s="3">
        <f>IF(E2016&lt;=500,IF(Galva=Oui,0.35,0.7),0.7)</f>
        <v>0.7</v>
      </c>
    </row>
    <row r="2017" spans="2:10" x14ac:dyDescent="0.25">
      <c r="B2017" s="3">
        <f>B2016+DeltaT</f>
        <v>10000</v>
      </c>
      <c r="C2017" s="13">
        <f t="shared" si="134"/>
        <v>166.66666666666666</v>
      </c>
      <c r="D2017" s="11">
        <f t="shared" si="135"/>
        <v>1098.2161957079775</v>
      </c>
      <c r="E2017" s="23">
        <f t="shared" si="132"/>
        <v>1097.0342917475964</v>
      </c>
      <c r="F2017" s="23">
        <f>AlphaC*(D2017-E2017)</f>
        <v>29.547599009526948</v>
      </c>
      <c r="G2017" s="13">
        <f>Phi*EpsilonF*Botzman/10^8*J2017*((D2017+273)^4-(E2017+273)^4)</f>
        <v>483.14727856454579</v>
      </c>
      <c r="H2017" s="23">
        <f t="shared" si="133"/>
        <v>650</v>
      </c>
      <c r="I2017" s="12">
        <f>ksh*Massivete/(H2017*RhoA)*DeltaT*(F2017+G2017)</f>
        <v>7.5622620264484922E-2</v>
      </c>
      <c r="J2017" s="3">
        <f>IF(E2017&lt;=500,IF(Galva=Oui,0.35,0.7),0.7)</f>
        <v>0.7</v>
      </c>
    </row>
    <row r="2018" spans="2:10" x14ac:dyDescent="0.25">
      <c r="B2018" s="3">
        <f>B2017+DeltaT</f>
        <v>10005</v>
      </c>
      <c r="C2018" s="13">
        <f t="shared" si="134"/>
        <v>166.75</v>
      </c>
      <c r="D2018" s="11">
        <f t="shared" si="135"/>
        <v>1098.2910366667049</v>
      </c>
      <c r="E2018" s="23">
        <f t="shared" si="132"/>
        <v>1097.1099143678609</v>
      </c>
      <c r="F2018" s="23">
        <f>AlphaC*(D2018-E2018)</f>
        <v>29.528057471100055</v>
      </c>
      <c r="G2018" s="13">
        <f>Phi*EpsilonF*Botzman/10^8*J2018*((D2018+273)^4-(E2018+273)^4)</f>
        <v>482.90725483474262</v>
      </c>
      <c r="H2018" s="23">
        <f t="shared" si="133"/>
        <v>650</v>
      </c>
      <c r="I2018" s="12">
        <f>ksh*Massivete/(H2018*RhoA)*DeltaT*(F2018+G2018)</f>
        <v>7.5584334323720137E-2</v>
      </c>
      <c r="J2018" s="3">
        <f>IF(E2018&lt;=500,IF(Galva=Oui,0.35,0.7),0.7)</f>
        <v>0.7</v>
      </c>
    </row>
    <row r="2019" spans="2:10" x14ac:dyDescent="0.25">
      <c r="B2019" s="3">
        <f>B2018+DeltaT</f>
        <v>10010</v>
      </c>
      <c r="C2019" s="13">
        <f t="shared" si="134"/>
        <v>166.83333333333334</v>
      </c>
      <c r="D2019" s="11">
        <f t="shared" si="135"/>
        <v>1098.3658402609979</v>
      </c>
      <c r="E2019" s="23">
        <f t="shared" si="132"/>
        <v>1097.1854987021848</v>
      </c>
      <c r="F2019" s="23">
        <f>AlphaC*(D2019-E2019)</f>
        <v>29.508538970327436</v>
      </c>
      <c r="G2019" s="13">
        <f>Phi*EpsilonF*Botzman/10^8*J2019*((D2019+273)^4-(E2019+273)^4)</f>
        <v>482.66747145742437</v>
      </c>
      <c r="H2019" s="23">
        <f t="shared" si="133"/>
        <v>650</v>
      </c>
      <c r="I2019" s="12">
        <f>ksh*Massivete/(H2019*RhoA)*DeltaT*(F2019+G2019)</f>
        <v>7.5546087233065523E-2</v>
      </c>
      <c r="J2019" s="3">
        <f>IF(E2019&lt;=500,IF(Galva=Oui,0.35,0.7),0.7)</f>
        <v>0.7</v>
      </c>
    </row>
    <row r="2020" spans="2:10" x14ac:dyDescent="0.25">
      <c r="B2020" s="3">
        <f>B2019+DeltaT</f>
        <v>10015</v>
      </c>
      <c r="C2020" s="13">
        <f t="shared" si="134"/>
        <v>166.91666666666666</v>
      </c>
      <c r="D2020" s="11">
        <f t="shared" si="135"/>
        <v>1098.4406065281464</v>
      </c>
      <c r="E2020" s="23">
        <f t="shared" si="132"/>
        <v>1097.2610447894178</v>
      </c>
      <c r="F2020" s="23">
        <f>AlphaC*(D2020-E2020)</f>
        <v>29.489043468214504</v>
      </c>
      <c r="G2020" s="13">
        <f>Phi*EpsilonF*Botzman/10^8*J2020*((D2020+273)^4-(E2020+273)^4)</f>
        <v>482.42792807028411</v>
      </c>
      <c r="H2020" s="23">
        <f t="shared" si="133"/>
        <v>650</v>
      </c>
      <c r="I2020" s="12">
        <f>ksh*Massivete/(H2020*RhoA)*DeltaT*(F2020+G2020)</f>
        <v>7.5507878933328998E-2</v>
      </c>
      <c r="J2020" s="3">
        <f>IF(E2020&lt;=500,IF(Galva=Oui,0.35,0.7),0.7)</f>
        <v>0.7</v>
      </c>
    </row>
    <row r="2021" spans="2:10" x14ac:dyDescent="0.25">
      <c r="B2021" s="3">
        <f>B2020+DeltaT</f>
        <v>10020</v>
      </c>
      <c r="C2021" s="13">
        <f t="shared" si="134"/>
        <v>167</v>
      </c>
      <c r="D2021" s="11">
        <f t="shared" si="135"/>
        <v>1098.5153355053844</v>
      </c>
      <c r="E2021" s="23">
        <f t="shared" si="132"/>
        <v>1097.3365526683513</v>
      </c>
      <c r="F2021" s="23">
        <f>AlphaC*(D2021-E2021)</f>
        <v>29.469570925829203</v>
      </c>
      <c r="G2021" s="13">
        <f>Phi*EpsilonF*Botzman/10^8*J2021*((D2021+273)^4-(E2021+273)^4)</f>
        <v>482.1886243111507</v>
      </c>
      <c r="H2021" s="23">
        <f t="shared" si="133"/>
        <v>650</v>
      </c>
      <c r="I2021" s="12">
        <f>ksh*Massivete/(H2021*RhoA)*DeltaT*(F2021+G2021)</f>
        <v>7.5469709365347748E-2</v>
      </c>
      <c r="J2021" s="3">
        <f>IF(E2021&lt;=500,IF(Galva=Oui,0.35,0.7),0.7)</f>
        <v>0.7</v>
      </c>
    </row>
    <row r="2022" spans="2:10" x14ac:dyDescent="0.25">
      <c r="B2022" s="3">
        <f>B2021+DeltaT</f>
        <v>10025</v>
      </c>
      <c r="C2022" s="13">
        <f t="shared" si="134"/>
        <v>167.08333333333334</v>
      </c>
      <c r="D2022" s="11">
        <f t="shared" si="135"/>
        <v>1098.5900272298907</v>
      </c>
      <c r="E2022" s="23">
        <f t="shared" si="132"/>
        <v>1097.4120223777165</v>
      </c>
      <c r="F2022" s="23">
        <f>AlphaC*(D2022-E2022)</f>
        <v>29.450121304353161</v>
      </c>
      <c r="G2022" s="13">
        <f>Phi*EpsilonF*Botzman/10^8*J2022*((D2022+273)^4-(E2022+273)^4)</f>
        <v>481.94955981926756</v>
      </c>
      <c r="H2022" s="23">
        <f t="shared" si="133"/>
        <v>650</v>
      </c>
      <c r="I2022" s="12">
        <f>ksh*Massivete/(H2022*RhoA)*DeltaT*(F2022+G2022)</f>
        <v>7.5431578470184391E-2</v>
      </c>
      <c r="J2022" s="3">
        <f>IF(E2022&lt;=500,IF(Galva=Oui,0.35,0.7),0.7)</f>
        <v>0.7</v>
      </c>
    </row>
    <row r="2023" spans="2:10" x14ac:dyDescent="0.25">
      <c r="B2023" s="3">
        <f>B2022+DeltaT</f>
        <v>10030</v>
      </c>
      <c r="C2023" s="13">
        <f t="shared" si="134"/>
        <v>167.16666666666666</v>
      </c>
      <c r="D2023" s="11">
        <f t="shared" si="135"/>
        <v>1098.6646817387877</v>
      </c>
      <c r="E2023" s="23">
        <f t="shared" si="132"/>
        <v>1097.4874539561868</v>
      </c>
      <c r="F2023" s="23">
        <f>AlphaC*(D2023-E2023)</f>
        <v>29.430694565024851</v>
      </c>
      <c r="G2023" s="13">
        <f>Phi*EpsilonF*Botzman/10^8*J2023*((D2023+273)^4-(E2023+273)^4)</f>
        <v>481.71073423397502</v>
      </c>
      <c r="H2023" s="23">
        <f t="shared" si="133"/>
        <v>650</v>
      </c>
      <c r="I2023" s="12">
        <f>ksh*Massivete/(H2023*RhoA)*DeltaT*(F2023+G2023)</f>
        <v>7.5393486188924178E-2</v>
      </c>
      <c r="J2023" s="3">
        <f>IF(E2023&lt;=500,IF(Galva=Oui,0.35,0.7),0.7)</f>
        <v>0.7</v>
      </c>
    </row>
    <row r="2024" spans="2:10" x14ac:dyDescent="0.25">
      <c r="B2024" s="3">
        <f>B2023+DeltaT</f>
        <v>10035</v>
      </c>
      <c r="C2024" s="13">
        <f t="shared" si="134"/>
        <v>167.25</v>
      </c>
      <c r="D2024" s="11">
        <f t="shared" si="135"/>
        <v>1098.739299069143</v>
      </c>
      <c r="E2024" s="23">
        <f t="shared" si="132"/>
        <v>1097.5628474423756</v>
      </c>
      <c r="F2024" s="23">
        <f>AlphaC*(D2024-E2024)</f>
        <v>29.411290669185064</v>
      </c>
      <c r="G2024" s="13">
        <f>Phi*EpsilonF*Botzman/10^8*J2024*((D2024+273)^4-(E2024+273)^4)</f>
        <v>481.47214719564067</v>
      </c>
      <c r="H2024" s="23">
        <f t="shared" si="133"/>
        <v>650</v>
      </c>
      <c r="I2024" s="12">
        <f>ksh*Massivete/(H2024*RhoA)*DeltaT*(F2024+G2024)</f>
        <v>7.5355432462818991E-2</v>
      </c>
      <c r="J2024" s="3">
        <f>IF(E2024&lt;=500,IF(Galva=Oui,0.35,0.7),0.7)</f>
        <v>0.7</v>
      </c>
    </row>
    <row r="2025" spans="2:10" x14ac:dyDescent="0.25">
      <c r="B2025" s="3">
        <f>B2024+DeltaT</f>
        <v>10040</v>
      </c>
      <c r="C2025" s="13">
        <f t="shared" si="134"/>
        <v>167.33333333333334</v>
      </c>
      <c r="D2025" s="11">
        <f t="shared" si="135"/>
        <v>1098.8138792579684</v>
      </c>
      <c r="E2025" s="23">
        <f t="shared" si="132"/>
        <v>1097.6382028748385</v>
      </c>
      <c r="F2025" s="23">
        <f>AlphaC*(D2025-E2025)</f>
        <v>29.391909578248487</v>
      </c>
      <c r="G2025" s="13">
        <f>Phi*EpsilonF*Botzman/10^8*J2025*((D2025+273)^4-(E2025+273)^4)</f>
        <v>481.23379834519397</v>
      </c>
      <c r="H2025" s="23">
        <f t="shared" si="133"/>
        <v>650</v>
      </c>
      <c r="I2025" s="12">
        <f>ksh*Massivete/(H2025*RhoA)*DeltaT*(F2025+G2025)</f>
        <v>7.5317417233214529E-2</v>
      </c>
      <c r="J2025" s="3">
        <f>IF(E2025&lt;=500,IF(Galva=Oui,0.35,0.7),0.7)</f>
        <v>0.7</v>
      </c>
    </row>
    <row r="2026" spans="2:10" x14ac:dyDescent="0.25">
      <c r="B2026" s="3">
        <f>B2025+DeltaT</f>
        <v>10045</v>
      </c>
      <c r="C2026" s="13">
        <f t="shared" si="134"/>
        <v>167.41666666666666</v>
      </c>
      <c r="D2026" s="11">
        <f t="shared" si="135"/>
        <v>1098.8884223422208</v>
      </c>
      <c r="E2026" s="23">
        <f t="shared" si="132"/>
        <v>1097.7135202920717</v>
      </c>
      <c r="F2026" s="23">
        <f>AlphaC*(D2026-E2026)</f>
        <v>29.372551253726442</v>
      </c>
      <c r="G2026" s="13">
        <f>Phi*EpsilonF*Botzman/10^8*J2026*((D2026+273)^4-(E2026+273)^4)</f>
        <v>480.99568732453355</v>
      </c>
      <c r="H2026" s="23">
        <f t="shared" si="133"/>
        <v>650</v>
      </c>
      <c r="I2026" s="12">
        <f>ksh*Massivete/(H2026*RhoA)*DeltaT*(F2026+G2026)</f>
        <v>7.5279440441613624E-2</v>
      </c>
      <c r="J2026" s="3">
        <f>IF(E2026&lt;=500,IF(Galva=Oui,0.35,0.7),0.7)</f>
        <v>0.7</v>
      </c>
    </row>
    <row r="2027" spans="2:10" x14ac:dyDescent="0.25">
      <c r="B2027" s="3">
        <f>B2026+DeltaT</f>
        <v>10050</v>
      </c>
      <c r="C2027" s="13">
        <f t="shared" si="134"/>
        <v>167.5</v>
      </c>
      <c r="D2027" s="11">
        <f t="shared" si="135"/>
        <v>1098.9629283588015</v>
      </c>
      <c r="E2027" s="23">
        <f t="shared" si="132"/>
        <v>1097.7887997325133</v>
      </c>
      <c r="F2027" s="23">
        <f>AlphaC*(D2027-E2027)</f>
        <v>29.353215657204146</v>
      </c>
      <c r="G2027" s="13">
        <f>Phi*EpsilonF*Botzman/10^8*J2027*((D2027+273)^4-(E2027+273)^4)</f>
        <v>480.75781377598418</v>
      </c>
      <c r="H2027" s="23">
        <f t="shared" si="133"/>
        <v>650</v>
      </c>
      <c r="I2027" s="12">
        <f>ksh*Massivete/(H2027*RhoA)*DeltaT*(F2027+G2027)</f>
        <v>7.5241502029592927E-2</v>
      </c>
      <c r="J2027" s="3">
        <f>IF(E2027&lt;=500,IF(Galva=Oui,0.35,0.7),0.7)</f>
        <v>0.7</v>
      </c>
    </row>
    <row r="2028" spans="2:10" x14ac:dyDescent="0.25">
      <c r="B2028" s="3">
        <f>B2027+DeltaT</f>
        <v>10055</v>
      </c>
      <c r="C2028" s="13">
        <f t="shared" si="134"/>
        <v>167.58333333333334</v>
      </c>
      <c r="D2028" s="11">
        <f t="shared" si="135"/>
        <v>1099.0373973445573</v>
      </c>
      <c r="E2028" s="23">
        <f t="shared" si="132"/>
        <v>1097.8640412345428</v>
      </c>
      <c r="F2028" s="23">
        <f>AlphaC*(D2028-E2028)</f>
        <v>29.33390275036345</v>
      </c>
      <c r="G2028" s="13">
        <f>Phi*EpsilonF*Botzman/10^8*J2028*((D2028+273)^4-(E2028+273)^4)</f>
        <v>480.52017734291735</v>
      </c>
      <c r="H2028" s="23">
        <f t="shared" si="133"/>
        <v>650</v>
      </c>
      <c r="I2028" s="12">
        <f>ksh*Massivete/(H2028*RhoA)*DeltaT*(F2028+G2028)</f>
        <v>7.5203601938897691E-2</v>
      </c>
      <c r="J2028" s="3">
        <f>IF(E2028&lt;=500,IF(Galva=Oui,0.35,0.7),0.7)</f>
        <v>0.7</v>
      </c>
    </row>
    <row r="2029" spans="2:10" x14ac:dyDescent="0.25">
      <c r="B2029" s="3">
        <f>B2028+DeltaT</f>
        <v>10060</v>
      </c>
      <c r="C2029" s="13">
        <f t="shared" si="134"/>
        <v>167.66666666666666</v>
      </c>
      <c r="D2029" s="11">
        <f t="shared" si="135"/>
        <v>1099.1118293362804</v>
      </c>
      <c r="E2029" s="23">
        <f t="shared" si="132"/>
        <v>1097.9392448364817</v>
      </c>
      <c r="F2029" s="23">
        <f>AlphaC*(D2029-E2029)</f>
        <v>29.314612494965786</v>
      </c>
      <c r="G2029" s="13">
        <f>Phi*EpsilonF*Botzman/10^8*J2029*((D2029+273)^4-(E2029+273)^4)</f>
        <v>480.28277766924697</v>
      </c>
      <c r="H2029" s="23">
        <f t="shared" si="133"/>
        <v>650</v>
      </c>
      <c r="I2029" s="12">
        <f>ksh*Massivete/(H2029*RhoA)*DeltaT*(F2029+G2029)</f>
        <v>7.5165740111364954E-2</v>
      </c>
      <c r="J2029" s="3">
        <f>IF(E2029&lt;=500,IF(Galva=Oui,0.35,0.7),0.7)</f>
        <v>0.7</v>
      </c>
    </row>
    <row r="2030" spans="2:10" x14ac:dyDescent="0.25">
      <c r="B2030" s="3">
        <f>B2029+DeltaT</f>
        <v>10065</v>
      </c>
      <c r="C2030" s="13">
        <f t="shared" si="134"/>
        <v>167.75</v>
      </c>
      <c r="D2030" s="11">
        <f t="shared" si="135"/>
        <v>1099.1862243707067</v>
      </c>
      <c r="E2030" s="23">
        <f t="shared" si="132"/>
        <v>1098.014410576593</v>
      </c>
      <c r="F2030" s="23">
        <f>AlphaC*(D2030-E2030)</f>
        <v>29.295344852840799</v>
      </c>
      <c r="G2030" s="13">
        <f>Phi*EpsilonF*Botzman/10^8*J2030*((D2030+273)^4-(E2030+273)^4)</f>
        <v>480.04561439935236</v>
      </c>
      <c r="H2030" s="23">
        <f t="shared" si="133"/>
        <v>650</v>
      </c>
      <c r="I2030" s="12">
        <f>ksh*Massivete/(H2030*RhoA)*DeltaT*(F2030+G2030)</f>
        <v>7.5127916488910429E-2</v>
      </c>
      <c r="J2030" s="3">
        <f>IF(E2030&lt;=500,IF(Galva=Oui,0.35,0.7),0.7)</f>
        <v>0.7</v>
      </c>
    </row>
    <row r="2031" spans="2:10" x14ac:dyDescent="0.25">
      <c r="B2031" s="3">
        <f>B2030+DeltaT</f>
        <v>10070</v>
      </c>
      <c r="C2031" s="13">
        <f t="shared" si="134"/>
        <v>167.83333333333334</v>
      </c>
      <c r="D2031" s="11">
        <f t="shared" si="135"/>
        <v>1099.2605824845191</v>
      </c>
      <c r="E2031" s="23">
        <f t="shared" si="132"/>
        <v>1098.089538493082</v>
      </c>
      <c r="F2031" s="23">
        <f>AlphaC*(D2031-E2031)</f>
        <v>29.276099785926135</v>
      </c>
      <c r="G2031" s="13">
        <f>Phi*EpsilonF*Botzman/10^8*J2031*((D2031+273)^4-(E2031+273)^4)</f>
        <v>479.80868717881407</v>
      </c>
      <c r="H2031" s="23">
        <f t="shared" si="133"/>
        <v>650</v>
      </c>
      <c r="I2031" s="12">
        <f>ksh*Massivete/(H2031*RhoA)*DeltaT*(F2031+G2031)</f>
        <v>7.5090131013642938E-2</v>
      </c>
      <c r="J2031" s="3">
        <f>IF(E2031&lt;=500,IF(Galva=Oui,0.35,0.7),0.7)</f>
        <v>0.7</v>
      </c>
    </row>
    <row r="2032" spans="2:10" x14ac:dyDescent="0.25">
      <c r="B2032" s="3">
        <f>B2031+DeltaT</f>
        <v>10075</v>
      </c>
      <c r="C2032" s="13">
        <f t="shared" si="134"/>
        <v>167.91666666666666</v>
      </c>
      <c r="D2032" s="11">
        <f t="shared" si="135"/>
        <v>1099.3349037143448</v>
      </c>
      <c r="E2032" s="23">
        <f t="shared" si="132"/>
        <v>1098.1646286240957</v>
      </c>
      <c r="F2032" s="23">
        <f>AlphaC*(D2032-E2032)</f>
        <v>29.256877256227654</v>
      </c>
      <c r="G2032" s="13">
        <f>Phi*EpsilonF*Botzman/10^8*J2032*((D2032+273)^4-(E2032+273)^4)</f>
        <v>479.5719956535811</v>
      </c>
      <c r="H2032" s="23">
        <f t="shared" si="133"/>
        <v>650</v>
      </c>
      <c r="I2032" s="12">
        <f>ksh*Massivete/(H2032*RhoA)*DeltaT*(F2032+G2032)</f>
        <v>7.5052383627735753E-2</v>
      </c>
      <c r="J2032" s="3">
        <f>IF(E2032&lt;=500,IF(Galva=Oui,0.35,0.7),0.7)</f>
        <v>0.7</v>
      </c>
    </row>
    <row r="2033" spans="2:10" x14ac:dyDescent="0.25">
      <c r="B2033" s="3">
        <f>B2032+DeltaT</f>
        <v>10080</v>
      </c>
      <c r="C2033" s="13">
        <f t="shared" si="134"/>
        <v>168</v>
      </c>
      <c r="D2033" s="11">
        <f t="shared" si="135"/>
        <v>1099.4091880967571</v>
      </c>
      <c r="E2033" s="23">
        <f t="shared" si="132"/>
        <v>1098.2396810077234</v>
      </c>
      <c r="F2033" s="23">
        <f>AlphaC*(D2033-E2033)</f>
        <v>29.237677225842162</v>
      </c>
      <c r="G2033" s="13">
        <f>Phi*EpsilonF*Botzman/10^8*J2033*((D2033+273)^4-(E2033+273)^4)</f>
        <v>479.33553947045505</v>
      </c>
      <c r="H2033" s="23">
        <f t="shared" si="133"/>
        <v>650</v>
      </c>
      <c r="I2033" s="12">
        <f>ksh*Massivete/(H2033*RhoA)*DeltaT*(F2033+G2033)</f>
        <v>7.5014674273501281E-2</v>
      </c>
      <c r="J2033" s="3">
        <f>IF(E2033&lt;=500,IF(Galva=Oui,0.35,0.7),0.7)</f>
        <v>0.7</v>
      </c>
    </row>
    <row r="2034" spans="2:10" x14ac:dyDescent="0.25">
      <c r="B2034" s="3">
        <f>B2033+DeltaT</f>
        <v>10085</v>
      </c>
      <c r="C2034" s="13">
        <f t="shared" si="134"/>
        <v>168.08333333333334</v>
      </c>
      <c r="D2034" s="11">
        <f t="shared" si="135"/>
        <v>1099.4834356682748</v>
      </c>
      <c r="E2034" s="23">
        <f t="shared" si="132"/>
        <v>1098.3146956819969</v>
      </c>
      <c r="F2034" s="23">
        <f>AlphaC*(D2034-E2034)</f>
        <v>29.218499656946051</v>
      </c>
      <c r="G2034" s="13">
        <f>Phi*EpsilonF*Botzman/10^8*J2034*((D2034+273)^4-(E2034+273)^4)</f>
        <v>479.09931827689655</v>
      </c>
      <c r="H2034" s="23">
        <f t="shared" si="133"/>
        <v>650</v>
      </c>
      <c r="I2034" s="12">
        <f>ksh*Massivete/(H2034*RhoA)*DeltaT*(F2034+G2034)</f>
        <v>7.49770028933609E-2</v>
      </c>
      <c r="J2034" s="3">
        <f>IF(E2034&lt;=500,IF(Galva=Oui,0.35,0.7),0.7)</f>
        <v>0.7</v>
      </c>
    </row>
    <row r="2035" spans="2:10" x14ac:dyDescent="0.25">
      <c r="B2035" s="3">
        <f>B2034+DeltaT</f>
        <v>10090</v>
      </c>
      <c r="C2035" s="13">
        <f t="shared" si="134"/>
        <v>168.16666666666666</v>
      </c>
      <c r="D2035" s="11">
        <f t="shared" si="135"/>
        <v>1099.5576464653623</v>
      </c>
      <c r="E2035" s="23">
        <f t="shared" si="132"/>
        <v>1098.3896726848902</v>
      </c>
      <c r="F2035" s="23">
        <f>AlphaC*(D2035-E2035)</f>
        <v>29.199344511800973</v>
      </c>
      <c r="G2035" s="13">
        <f>Phi*EpsilonF*Botzman/10^8*J2035*((D2035+273)^4-(E2035+273)^4)</f>
        <v>478.8633317211025</v>
      </c>
      <c r="H2035" s="23">
        <f t="shared" si="133"/>
        <v>650</v>
      </c>
      <c r="I2035" s="12">
        <f>ksh*Massivete/(H2035*RhoA)*DeltaT*(F2035+G2035)</f>
        <v>7.4939369429857128E-2</v>
      </c>
      <c r="J2035" s="3">
        <f>IF(E2035&lt;=500,IF(Galva=Oui,0.35,0.7),0.7)</f>
        <v>0.7</v>
      </c>
    </row>
    <row r="2036" spans="2:10" x14ac:dyDescent="0.25">
      <c r="B2036" s="3">
        <f>B2035+DeltaT</f>
        <v>10095</v>
      </c>
      <c r="C2036" s="13">
        <f t="shared" si="134"/>
        <v>168.25</v>
      </c>
      <c r="D2036" s="11">
        <f t="shared" si="135"/>
        <v>1099.6318205244299</v>
      </c>
      <c r="E2036" s="23">
        <f t="shared" ref="E2036:E2099" si="136">E2035+I2035</f>
        <v>1098.46461205432</v>
      </c>
      <c r="F2036" s="23">
        <f>AlphaC*(D2036-E2036)</f>
        <v>29.180211752748164</v>
      </c>
      <c r="G2036" s="13">
        <f>Phi*EpsilonF*Botzman/10^8*J2036*((D2036+273)^4-(E2036+273)^4)</f>
        <v>478.62757945200633</v>
      </c>
      <c r="H2036" s="23">
        <f t="shared" ref="H2036:H2099" si="137">IF(E2036&lt;600,425+0.773*E2036-1.69/1000*E2036^2+2.22/1000^2*E2036^3,IF(E2036&lt;735,666+13002/(738-E2036),IF(E2036&lt;900,545+17820/(E2036-731),650)))</f>
        <v>650</v>
      </c>
      <c r="I2036" s="12">
        <f>ksh*Massivete/(H2036*RhoA)*DeltaT*(F2036+G2036)</f>
        <v>7.4901773825652884E-2</v>
      </c>
      <c r="J2036" s="3">
        <f>IF(E2036&lt;=500,IF(Galva=Oui,0.35,0.7),0.7)</f>
        <v>0.7</v>
      </c>
    </row>
    <row r="2037" spans="2:10" x14ac:dyDescent="0.25">
      <c r="B2037" s="3">
        <f>B2036+DeltaT</f>
        <v>10100</v>
      </c>
      <c r="C2037" s="13">
        <f t="shared" si="134"/>
        <v>168.33333333333334</v>
      </c>
      <c r="D2037" s="11">
        <f t="shared" si="135"/>
        <v>1099.7059578818339</v>
      </c>
      <c r="E2037" s="23">
        <f t="shared" si="136"/>
        <v>1098.5395138281456</v>
      </c>
      <c r="F2037" s="23">
        <f>AlphaC*(D2037-E2037)</f>
        <v>29.16110134220844</v>
      </c>
      <c r="G2037" s="13">
        <f>Phi*EpsilonF*Botzman/10^8*J2037*((D2037+273)^4-(E2037+273)^4)</f>
        <v>478.39206111904537</v>
      </c>
      <c r="H2037" s="23">
        <f t="shared" si="137"/>
        <v>650</v>
      </c>
      <c r="I2037" s="12">
        <f>ksh*Massivete/(H2037*RhoA)*DeltaT*(F2037+G2037)</f>
        <v>7.4864216023497174E-2</v>
      </c>
      <c r="J2037" s="3">
        <f>IF(E2037&lt;=500,IF(Galva=Oui,0.35,0.7),0.7)</f>
        <v>0.7</v>
      </c>
    </row>
    <row r="2038" spans="2:10" x14ac:dyDescent="0.25">
      <c r="B2038" s="3">
        <f>B2037+DeltaT</f>
        <v>10105</v>
      </c>
      <c r="C2038" s="13">
        <f t="shared" si="134"/>
        <v>168.41666666666666</v>
      </c>
      <c r="D2038" s="11">
        <f t="shared" si="135"/>
        <v>1099.7800585738769</v>
      </c>
      <c r="E2038" s="23">
        <f t="shared" si="136"/>
        <v>1098.6143780441691</v>
      </c>
      <c r="F2038" s="23">
        <f>AlphaC*(D2038-E2038)</f>
        <v>29.142013242693565</v>
      </c>
      <c r="G2038" s="13">
        <f>Phi*EpsilonF*Botzman/10^8*J2038*((D2038+273)^4-(E2038+273)^4)</f>
        <v>478.15677637262587</v>
      </c>
      <c r="H2038" s="23">
        <f t="shared" si="137"/>
        <v>650</v>
      </c>
      <c r="I2038" s="12">
        <f>ksh*Massivete/(H2038*RhoA)*DeltaT*(F2038+G2038)</f>
        <v>7.4826695966295292E-2</v>
      </c>
      <c r="J2038" s="3">
        <f>IF(E2038&lt;=500,IF(Galva=Oui,0.35,0.7),0.7)</f>
        <v>0.7</v>
      </c>
    </row>
    <row r="2039" spans="2:10" x14ac:dyDescent="0.25">
      <c r="B2039" s="3">
        <f>B2038+DeltaT</f>
        <v>10110</v>
      </c>
      <c r="C2039" s="13">
        <f t="shared" si="134"/>
        <v>168.5</v>
      </c>
      <c r="D2039" s="11">
        <f t="shared" si="135"/>
        <v>1099.8541226368068</v>
      </c>
      <c r="E2039" s="23">
        <f t="shared" si="136"/>
        <v>1098.6892047401354</v>
      </c>
      <c r="F2039" s="23">
        <f>AlphaC*(D2039-E2039)</f>
        <v>29.122947416783518</v>
      </c>
      <c r="G2039" s="13">
        <f>Phi*EpsilonF*Botzman/10^8*J2039*((D2039+273)^4-(E2039+273)^4)</f>
        <v>477.92172486359993</v>
      </c>
      <c r="H2039" s="23">
        <f t="shared" si="137"/>
        <v>650</v>
      </c>
      <c r="I2039" s="12">
        <f>ksh*Massivete/(H2039*RhoA)*DeltaT*(F2039+G2039)</f>
        <v>7.4789213597028378E-2</v>
      </c>
      <c r="J2039" s="3">
        <f>IF(E2039&lt;=500,IF(Galva=Oui,0.35,0.7),0.7)</f>
        <v>0.7</v>
      </c>
    </row>
    <row r="2040" spans="2:10" x14ac:dyDescent="0.25">
      <c r="B2040" s="3">
        <f>B2039+DeltaT</f>
        <v>10115</v>
      </c>
      <c r="C2040" s="13">
        <f t="shared" si="134"/>
        <v>168.58333333333334</v>
      </c>
      <c r="D2040" s="11">
        <f t="shared" si="135"/>
        <v>1099.928150106819</v>
      </c>
      <c r="E2040" s="23">
        <f t="shared" si="136"/>
        <v>1098.7639939537326</v>
      </c>
      <c r="F2040" s="23">
        <f>AlphaC*(D2040-E2040)</f>
        <v>29.103903827160593</v>
      </c>
      <c r="G2040" s="13">
        <f>Phi*EpsilonF*Botzman/10^8*J2040*((D2040+273)^4-(E2040+273)^4)</f>
        <v>477.68690624380793</v>
      </c>
      <c r="H2040" s="23">
        <f t="shared" si="137"/>
        <v>650</v>
      </c>
      <c r="I2040" s="12">
        <f>ksh*Massivete/(H2040*RhoA)*DeltaT*(F2040+G2040)</f>
        <v>7.4751768858838427E-2</v>
      </c>
      <c r="J2040" s="3">
        <f>IF(E2040&lt;=500,IF(Galva=Oui,0.35,0.7),0.7)</f>
        <v>0.7</v>
      </c>
    </row>
    <row r="2041" spans="2:10" x14ac:dyDescent="0.25">
      <c r="B2041" s="3">
        <f>B2040+DeltaT</f>
        <v>10120</v>
      </c>
      <c r="C2041" s="13">
        <f t="shared" si="134"/>
        <v>168.66666666666666</v>
      </c>
      <c r="D2041" s="11">
        <f t="shared" si="135"/>
        <v>1100.0021410200543</v>
      </c>
      <c r="E2041" s="23">
        <f t="shared" si="136"/>
        <v>1098.8387457225913</v>
      </c>
      <c r="F2041" s="23">
        <f>AlphaC*(D2041-E2041)</f>
        <v>29.084882436575299</v>
      </c>
      <c r="G2041" s="13">
        <f>Phi*EpsilonF*Botzman/10^8*J2041*((D2041+273)^4-(E2041+273)^4)</f>
        <v>477.45232016561351</v>
      </c>
      <c r="H2041" s="23">
        <f t="shared" si="137"/>
        <v>650</v>
      </c>
      <c r="I2041" s="12">
        <f>ksh*Massivete/(H2041*RhoA)*DeltaT*(F2041+G2041)</f>
        <v>7.4714361694954698E-2</v>
      </c>
      <c r="J2041" s="3">
        <f>IF(E2041&lt;=500,IF(Galva=Oui,0.35,0.7),0.7)</f>
        <v>0.7</v>
      </c>
    </row>
    <row r="2042" spans="2:10" x14ac:dyDescent="0.25">
      <c r="B2042" s="3">
        <f>B2041+DeltaT</f>
        <v>10125</v>
      </c>
      <c r="C2042" s="13">
        <f t="shared" si="134"/>
        <v>168.75</v>
      </c>
      <c r="D2042" s="11">
        <f t="shared" si="135"/>
        <v>1100.0760954126006</v>
      </c>
      <c r="E2042" s="23">
        <f t="shared" si="136"/>
        <v>1098.9134600842863</v>
      </c>
      <c r="F2042" s="23">
        <f>AlphaC*(D2042-E2042)</f>
        <v>29.065883207857723</v>
      </c>
      <c r="G2042" s="13">
        <f>Phi*EpsilonF*Botzman/10^8*J2042*((D2042+273)^4-(E2042+273)^4)</f>
        <v>477.21796628200048</v>
      </c>
      <c r="H2042" s="23">
        <f t="shared" si="137"/>
        <v>650</v>
      </c>
      <c r="I2042" s="12">
        <f>ksh*Massivete/(H2042*RhoA)*DeltaT*(F2042+G2042)</f>
        <v>7.4676992048709617E-2</v>
      </c>
      <c r="J2042" s="3">
        <f>IF(E2042&lt;=500,IF(Galva=Oui,0.35,0.7),0.7)</f>
        <v>0.7</v>
      </c>
    </row>
    <row r="2043" spans="2:10" x14ac:dyDescent="0.25">
      <c r="B2043" s="3">
        <f>B2042+DeltaT</f>
        <v>10130</v>
      </c>
      <c r="C2043" s="13">
        <f t="shared" si="134"/>
        <v>168.83333333333334</v>
      </c>
      <c r="D2043" s="11">
        <f t="shared" si="135"/>
        <v>1100.1500133204918</v>
      </c>
      <c r="E2043" s="23">
        <f t="shared" si="136"/>
        <v>1098.9881370763351</v>
      </c>
      <c r="F2043" s="23">
        <f>AlphaC*(D2043-E2043)</f>
        <v>29.046906103917536</v>
      </c>
      <c r="G2043" s="13">
        <f>Phi*EpsilonF*Botzman/10^8*J2043*((D2043+273)^4-(E2043+273)^4)</f>
        <v>476.98384424670854</v>
      </c>
      <c r="H2043" s="23">
        <f t="shared" si="137"/>
        <v>650</v>
      </c>
      <c r="I2043" s="12">
        <f>ksh*Massivete/(H2043*RhoA)*DeltaT*(F2043+G2043)</f>
        <v>7.4639659863558902E-2</v>
      </c>
      <c r="J2043" s="3">
        <f>IF(E2043&lt;=500,IF(Galva=Oui,0.35,0.7),0.7)</f>
        <v>0.7</v>
      </c>
    </row>
    <row r="2044" spans="2:10" x14ac:dyDescent="0.25">
      <c r="B2044" s="3">
        <f>B2043+DeltaT</f>
        <v>10135</v>
      </c>
      <c r="C2044" s="13">
        <f t="shared" si="134"/>
        <v>168.91666666666666</v>
      </c>
      <c r="D2044" s="11">
        <f t="shared" si="135"/>
        <v>1100.2238947797089</v>
      </c>
      <c r="E2044" s="23">
        <f t="shared" si="136"/>
        <v>1099.0627767361987</v>
      </c>
      <c r="F2044" s="23">
        <f>AlphaC*(D2044-E2044)</f>
        <v>29.027951087755355</v>
      </c>
      <c r="G2044" s="13">
        <f>Phi*EpsilonF*Botzman/10^8*J2044*((D2044+273)^4-(E2044+273)^4)</f>
        <v>476.74995371427184</v>
      </c>
      <c r="H2044" s="23">
        <f t="shared" si="137"/>
        <v>650</v>
      </c>
      <c r="I2044" s="12">
        <f>ksh*Massivete/(H2044*RhoA)*DeltaT*(F2044+G2044)</f>
        <v>7.4602365083088831E-2</v>
      </c>
      <c r="J2044" s="3">
        <f>IF(E2044&lt;=500,IF(Galva=Oui,0.35,0.7),0.7)</f>
        <v>0.7</v>
      </c>
    </row>
    <row r="2045" spans="2:10" x14ac:dyDescent="0.25">
      <c r="B2045" s="3">
        <f>B2044+DeltaT</f>
        <v>10140</v>
      </c>
      <c r="C2045" s="13">
        <f t="shared" si="134"/>
        <v>169</v>
      </c>
      <c r="D2045" s="11">
        <f t="shared" si="135"/>
        <v>1100.2977398261798</v>
      </c>
      <c r="E2045" s="23">
        <f t="shared" si="136"/>
        <v>1099.1373791012818</v>
      </c>
      <c r="F2045" s="23">
        <f>AlphaC*(D2045-E2045)</f>
        <v>29.00901812245138</v>
      </c>
      <c r="G2045" s="13">
        <f>Phi*EpsilonF*Botzman/10^8*J2045*((D2045+273)^4-(E2045+273)^4)</f>
        <v>476.51629433984476</v>
      </c>
      <c r="H2045" s="23">
        <f t="shared" si="137"/>
        <v>650</v>
      </c>
      <c r="I2045" s="12">
        <f>ksh*Massivete/(H2045*RhoA)*DeltaT*(F2045+G2045)</f>
        <v>7.4565107650988893E-2</v>
      </c>
      <c r="J2045" s="3">
        <f>IF(E2045&lt;=500,IF(Galva=Oui,0.35,0.7),0.7)</f>
        <v>0.7</v>
      </c>
    </row>
    <row r="2046" spans="2:10" x14ac:dyDescent="0.25">
      <c r="B2046" s="3">
        <f>B2045+DeltaT</f>
        <v>10145</v>
      </c>
      <c r="C2046" s="13">
        <f t="shared" si="134"/>
        <v>169.08333333333334</v>
      </c>
      <c r="D2046" s="11">
        <f t="shared" si="135"/>
        <v>1100.3715484957793</v>
      </c>
      <c r="E2046" s="23">
        <f t="shared" si="136"/>
        <v>1099.2119442089329</v>
      </c>
      <c r="F2046" s="23">
        <f>AlphaC*(D2046-E2046)</f>
        <v>28.990107171159707</v>
      </c>
      <c r="G2046" s="13">
        <f>Phi*EpsilonF*Botzman/10^8*J2046*((D2046+273)^4-(E2046+273)^4)</f>
        <v>476.28286577927929</v>
      </c>
      <c r="H2046" s="23">
        <f t="shared" si="137"/>
        <v>650</v>
      </c>
      <c r="I2046" s="12">
        <f>ksh*Massivete/(H2046*RhoA)*DeltaT*(F2046+G2046)</f>
        <v>7.4527887511062416E-2</v>
      </c>
      <c r="J2046" s="3">
        <f>IF(E2046&lt;=500,IF(Galva=Oui,0.35,0.7),0.7)</f>
        <v>0.7</v>
      </c>
    </row>
    <row r="2047" spans="2:10" x14ac:dyDescent="0.25">
      <c r="B2047" s="3">
        <f>B2046+DeltaT</f>
        <v>10150</v>
      </c>
      <c r="C2047" s="13">
        <f t="shared" si="134"/>
        <v>169.16666666666666</v>
      </c>
      <c r="D2047" s="11">
        <f t="shared" si="135"/>
        <v>1100.4453208243285</v>
      </c>
      <c r="E2047" s="23">
        <f t="shared" si="136"/>
        <v>1099.286472096444</v>
      </c>
      <c r="F2047" s="23">
        <f>AlphaC*(D2047-E2047)</f>
        <v>28.971218197114013</v>
      </c>
      <c r="G2047" s="13">
        <f>Phi*EpsilonF*Botzman/10^8*J2047*((D2047+273)^4-(E2047+273)^4)</f>
        <v>476.04966768898959</v>
      </c>
      <c r="H2047" s="23">
        <f t="shared" si="137"/>
        <v>650</v>
      </c>
      <c r="I2047" s="12">
        <f>ksh*Massivete/(H2047*RhoA)*DeltaT*(F2047+G2047)</f>
        <v>7.4490704607207345E-2</v>
      </c>
      <c r="J2047" s="3">
        <f>IF(E2047&lt;=500,IF(Galva=Oui,0.35,0.7),0.7)</f>
        <v>0.7</v>
      </c>
    </row>
    <row r="2048" spans="2:10" x14ac:dyDescent="0.25">
      <c r="B2048" s="3">
        <f>B2047+DeltaT</f>
        <v>10155</v>
      </c>
      <c r="C2048" s="13">
        <f t="shared" si="134"/>
        <v>169.25</v>
      </c>
      <c r="D2048" s="11">
        <f t="shared" si="135"/>
        <v>1100.5190568475964</v>
      </c>
      <c r="E2048" s="23">
        <f t="shared" si="136"/>
        <v>1099.3609628010511</v>
      </c>
      <c r="F2048" s="23">
        <f>AlphaC*(D2048-E2048)</f>
        <v>28.952351163633239</v>
      </c>
      <c r="G2048" s="13">
        <f>Phi*EpsilonF*Botzman/10^8*J2048*((D2048+273)^4-(E2048+273)^4)</f>
        <v>475.81669972624235</v>
      </c>
      <c r="H2048" s="23">
        <f t="shared" si="137"/>
        <v>650</v>
      </c>
      <c r="I2048" s="12">
        <f>ksh*Massivete/(H2048*RhoA)*DeltaT*(F2048+G2048)</f>
        <v>7.4453558883459975E-2</v>
      </c>
      <c r="J2048" s="3">
        <f>IF(E2048&lt;=500,IF(Galva=Oui,0.35,0.7),0.7)</f>
        <v>0.7</v>
      </c>
    </row>
    <row r="2049" spans="2:10" x14ac:dyDescent="0.25">
      <c r="B2049" s="3">
        <f>B2048+DeltaT</f>
        <v>10160</v>
      </c>
      <c r="C2049" s="13">
        <f t="shared" si="134"/>
        <v>169.33333333333334</v>
      </c>
      <c r="D2049" s="11">
        <f t="shared" si="135"/>
        <v>1100.592756601299</v>
      </c>
      <c r="E2049" s="23">
        <f t="shared" si="136"/>
        <v>1099.4354163599346</v>
      </c>
      <c r="F2049" s="23">
        <f>AlphaC*(D2049-E2049)</f>
        <v>28.933506034110223</v>
      </c>
      <c r="G2049" s="13">
        <f>Phi*EpsilonF*Botzman/10^8*J2049*((D2049+273)^4-(E2049+273)^4)</f>
        <v>475.58396154886645</v>
      </c>
      <c r="H2049" s="23">
        <f t="shared" si="137"/>
        <v>650</v>
      </c>
      <c r="I2049" s="12">
        <f>ksh*Massivete/(H2049*RhoA)*DeltaT*(F2049+G2049)</f>
        <v>7.4416450283950414E-2</v>
      </c>
      <c r="J2049" s="3">
        <f>IF(E2049&lt;=500,IF(Galva=Oui,0.35,0.7),0.7)</f>
        <v>0.7</v>
      </c>
    </row>
    <row r="2050" spans="2:10" x14ac:dyDescent="0.25">
      <c r="B2050" s="3">
        <f>B2049+DeltaT</f>
        <v>10165</v>
      </c>
      <c r="C2050" s="13">
        <f t="shared" si="134"/>
        <v>169.41666666666666</v>
      </c>
      <c r="D2050" s="11">
        <f t="shared" si="135"/>
        <v>1100.6664201210999</v>
      </c>
      <c r="E2050" s="23">
        <f t="shared" si="136"/>
        <v>1099.5098328102185</v>
      </c>
      <c r="F2050" s="23">
        <f>AlphaC*(D2050-E2050)</f>
        <v>28.914682772034439</v>
      </c>
      <c r="G2050" s="13">
        <f>Phi*EpsilonF*Botzman/10^8*J2050*((D2050+273)^4-(E2050+273)^4)</f>
        <v>475.3514528156208</v>
      </c>
      <c r="H2050" s="23">
        <f t="shared" si="137"/>
        <v>650</v>
      </c>
      <c r="I2050" s="12">
        <f>ksh*Massivete/(H2050*RhoA)*DeltaT*(F2050+G2050)</f>
        <v>7.4379378752960204E-2</v>
      </c>
      <c r="J2050" s="3">
        <f>IF(E2050&lt;=500,IF(Galva=Oui,0.35,0.7),0.7)</f>
        <v>0.7</v>
      </c>
    </row>
    <row r="2051" spans="2:10" x14ac:dyDescent="0.25">
      <c r="B2051" s="3">
        <f>B2050+DeltaT</f>
        <v>10170</v>
      </c>
      <c r="C2051" s="13">
        <f t="shared" si="134"/>
        <v>169.5</v>
      </c>
      <c r="D2051" s="11">
        <f t="shared" si="135"/>
        <v>1100.7400474426092</v>
      </c>
      <c r="E2051" s="23">
        <f t="shared" si="136"/>
        <v>1099.5842121889716</v>
      </c>
      <c r="F2051" s="23">
        <f>AlphaC*(D2051-E2051)</f>
        <v>28.895881340940832</v>
      </c>
      <c r="G2051" s="13">
        <f>Phi*EpsilonF*Botzman/10^8*J2051*((D2051+273)^4-(E2051+273)^4)</f>
        <v>475.11917318540014</v>
      </c>
      <c r="H2051" s="23">
        <f t="shared" si="137"/>
        <v>650</v>
      </c>
      <c r="I2051" s="12">
        <f>ksh*Massivete/(H2051*RhoA)*DeltaT*(F2051+G2051)</f>
        <v>7.434234423479763E-2</v>
      </c>
      <c r="J2051" s="3">
        <f>IF(E2051&lt;=500,IF(Galva=Oui,0.35,0.7),0.7)</f>
        <v>0.7</v>
      </c>
    </row>
    <row r="2052" spans="2:10" x14ac:dyDescent="0.25">
      <c r="B2052" s="3">
        <f>B2051+DeltaT</f>
        <v>10175</v>
      </c>
      <c r="C2052" s="13">
        <f t="shared" si="134"/>
        <v>169.58333333333334</v>
      </c>
      <c r="D2052" s="11">
        <f t="shared" si="135"/>
        <v>1100.8136386013857</v>
      </c>
      <c r="E2052" s="23">
        <f t="shared" si="136"/>
        <v>1099.6585545332064</v>
      </c>
      <c r="F2052" s="23">
        <f>AlphaC*(D2052-E2052)</f>
        <v>28.877101704483721</v>
      </c>
      <c r="G2052" s="13">
        <f>Phi*EpsilonF*Botzman/10^8*J2052*((D2052+273)^4-(E2052+273)^4)</f>
        <v>474.88712231847512</v>
      </c>
      <c r="H2052" s="23">
        <f t="shared" si="137"/>
        <v>650</v>
      </c>
      <c r="I2052" s="12">
        <f>ksh*Massivete/(H2052*RhoA)*DeltaT*(F2052+G2052)</f>
        <v>7.4305346673991551E-2</v>
      </c>
      <c r="J2052" s="3">
        <f>IF(E2052&lt;=500,IF(Galva=Oui,0.35,0.7),0.7)</f>
        <v>0.7</v>
      </c>
    </row>
    <row r="2053" spans="2:10" x14ac:dyDescent="0.25">
      <c r="B2053" s="3">
        <f>B2052+DeltaT</f>
        <v>10180</v>
      </c>
      <c r="C2053" s="13">
        <f t="shared" si="134"/>
        <v>169.66666666666666</v>
      </c>
      <c r="D2053" s="11">
        <f t="shared" si="135"/>
        <v>1100.8871936329347</v>
      </c>
      <c r="E2053" s="23">
        <f t="shared" si="136"/>
        <v>1099.7328598798804</v>
      </c>
      <c r="F2053" s="23">
        <f>AlphaC*(D2053-E2053)</f>
        <v>28.858343826357213</v>
      </c>
      <c r="G2053" s="13">
        <f>Phi*EpsilonF*Botzman/10^8*J2053*((D2053+273)^4-(E2053+273)^4)</f>
        <v>474.65529987507762</v>
      </c>
      <c r="H2053" s="23">
        <f t="shared" si="137"/>
        <v>650</v>
      </c>
      <c r="I2053" s="12">
        <f>ksh*Massivete/(H2053*RhoA)*DeltaT*(F2053+G2053)</f>
        <v>7.4268386015070922E-2</v>
      </c>
      <c r="J2053" s="3">
        <f>IF(E2053&lt;=500,IF(Galva=Oui,0.35,0.7),0.7)</f>
        <v>0.7</v>
      </c>
    </row>
    <row r="2054" spans="2:10" x14ac:dyDescent="0.25">
      <c r="B2054" s="3">
        <f>B2053+DeltaT</f>
        <v>10185</v>
      </c>
      <c r="C2054" s="13">
        <f t="shared" si="134"/>
        <v>169.75</v>
      </c>
      <c r="D2054" s="11">
        <f t="shared" si="135"/>
        <v>1100.9607125727105</v>
      </c>
      <c r="E2054" s="23">
        <f t="shared" si="136"/>
        <v>1099.8071282658955</v>
      </c>
      <c r="F2054" s="23">
        <f>AlphaC*(D2054-E2054)</f>
        <v>28.839607670374789</v>
      </c>
      <c r="G2054" s="13">
        <f>Phi*EpsilonF*Botzman/10^8*J2054*((D2054+273)^4-(E2054+273)^4)</f>
        <v>474.42370551689311</v>
      </c>
      <c r="H2054" s="23">
        <f t="shared" si="137"/>
        <v>650</v>
      </c>
      <c r="I2054" s="12">
        <f>ksh*Massivete/(H2054*RhoA)*DeltaT*(F2054+G2054)</f>
        <v>7.4231462202796791E-2</v>
      </c>
      <c r="J2054" s="3">
        <f>IF(E2054&lt;=500,IF(Galva=Oui,0.35,0.7),0.7)</f>
        <v>0.7</v>
      </c>
    </row>
    <row r="2055" spans="2:10" x14ac:dyDescent="0.25">
      <c r="B2055" s="3">
        <f>B2054+DeltaT</f>
        <v>10190</v>
      </c>
      <c r="C2055" s="13">
        <f t="shared" si="134"/>
        <v>169.83333333333334</v>
      </c>
      <c r="D2055" s="11">
        <f t="shared" si="135"/>
        <v>1101.034195456114</v>
      </c>
      <c r="E2055" s="23">
        <f t="shared" si="136"/>
        <v>1099.8813597280982</v>
      </c>
      <c r="F2055" s="23">
        <f>AlphaC*(D2055-E2055)</f>
        <v>28.820893200395403</v>
      </c>
      <c r="G2055" s="13">
        <f>Phi*EpsilonF*Botzman/10^8*J2055*((D2055+273)^4-(E2055+273)^4)</f>
        <v>474.1923389055487</v>
      </c>
      <c r="H2055" s="23">
        <f t="shared" si="137"/>
        <v>650</v>
      </c>
      <c r="I2055" s="12">
        <f>ksh*Massivete/(H2055*RhoA)*DeltaT*(F2055+G2055)</f>
        <v>7.4194575181928221E-2</v>
      </c>
      <c r="J2055" s="3">
        <f>IF(E2055&lt;=500,IF(Galva=Oui,0.35,0.7),0.7)</f>
        <v>0.7</v>
      </c>
    </row>
    <row r="2056" spans="2:10" x14ac:dyDescent="0.25">
      <c r="B2056" s="3">
        <f>B2055+DeltaT</f>
        <v>10195</v>
      </c>
      <c r="C2056" s="13">
        <f t="shared" si="134"/>
        <v>169.91666666666666</v>
      </c>
      <c r="D2056" s="11">
        <f t="shared" si="135"/>
        <v>1101.1076423184948</v>
      </c>
      <c r="E2056" s="23">
        <f t="shared" si="136"/>
        <v>1099.9555543032802</v>
      </c>
      <c r="F2056" s="23">
        <f>AlphaC*(D2056-E2056)</f>
        <v>28.802200380363274</v>
      </c>
      <c r="G2056" s="13">
        <f>Phi*EpsilonF*Botzman/10^8*J2056*((D2056+273)^4-(E2056+273)^4)</f>
        <v>473.96119970369881</v>
      </c>
      <c r="H2056" s="23">
        <f t="shared" si="137"/>
        <v>650</v>
      </c>
      <c r="I2056" s="12">
        <f>ksh*Massivete/(H2056*RhoA)*DeltaT*(F2056+G2056)</f>
        <v>7.4157724897388436E-2</v>
      </c>
      <c r="J2056" s="3">
        <f>IF(E2056&lt;=500,IF(Galva=Oui,0.35,0.7),0.7)</f>
        <v>0.7</v>
      </c>
    </row>
    <row r="2057" spans="2:10" x14ac:dyDescent="0.25">
      <c r="B2057" s="3">
        <f>B2056+DeltaT</f>
        <v>10200</v>
      </c>
      <c r="C2057" s="13">
        <f t="shared" si="134"/>
        <v>170</v>
      </c>
      <c r="D2057" s="11">
        <f t="shared" si="135"/>
        <v>1101.1810531951503</v>
      </c>
      <c r="E2057" s="23">
        <f t="shared" si="136"/>
        <v>1100.0297120281775</v>
      </c>
      <c r="F2057" s="23">
        <f>AlphaC*(D2057-E2057)</f>
        <v>28.783529174319256</v>
      </c>
      <c r="G2057" s="13">
        <f>Phi*EpsilonF*Botzman/10^8*J2057*((D2057+273)^4-(E2057+273)^4)</f>
        <v>473.73028757471496</v>
      </c>
      <c r="H2057" s="23">
        <f t="shared" si="137"/>
        <v>650</v>
      </c>
      <c r="I2057" s="12">
        <f>ksh*Massivete/(H2057*RhoA)*DeltaT*(F2057+G2057)</f>
        <v>7.4120911294220673E-2</v>
      </c>
      <c r="J2057" s="3">
        <f>IF(E2057&lt;=500,IF(Galva=Oui,0.35,0.7),0.7)</f>
        <v>0.7</v>
      </c>
    </row>
    <row r="2058" spans="2:10" x14ac:dyDescent="0.25">
      <c r="B2058" s="3">
        <f>B2057+DeltaT</f>
        <v>10205</v>
      </c>
      <c r="C2058" s="13">
        <f t="shared" si="134"/>
        <v>170.08333333333334</v>
      </c>
      <c r="D2058" s="11">
        <f t="shared" si="135"/>
        <v>1101.2544281213263</v>
      </c>
      <c r="E2058" s="23">
        <f t="shared" si="136"/>
        <v>1100.1038329394717</v>
      </c>
      <c r="F2058" s="23">
        <f>AlphaC*(D2058-E2058)</f>
        <v>28.764879546366728</v>
      </c>
      <c r="G2058" s="13">
        <f>Phi*EpsilonF*Botzman/10^8*J2058*((D2058+273)^4-(E2058+273)^4)</f>
        <v>473.49960218262743</v>
      </c>
      <c r="H2058" s="23">
        <f t="shared" si="137"/>
        <v>650</v>
      </c>
      <c r="I2058" s="12">
        <f>ksh*Massivete/(H2058*RhoA)*DeltaT*(F2058+G2058)</f>
        <v>7.408413431757456E-2</v>
      </c>
      <c r="J2058" s="3">
        <f>IF(E2058&lt;=500,IF(Galva=Oui,0.35,0.7),0.7)</f>
        <v>0.7</v>
      </c>
    </row>
    <row r="2059" spans="2:10" x14ac:dyDescent="0.25">
      <c r="B2059" s="3">
        <f>B2058+DeltaT</f>
        <v>10210</v>
      </c>
      <c r="C2059" s="13">
        <f t="shared" si="134"/>
        <v>170.16666666666666</v>
      </c>
      <c r="D2059" s="11">
        <f t="shared" si="135"/>
        <v>1101.3277671322162</v>
      </c>
      <c r="E2059" s="23">
        <f t="shared" si="136"/>
        <v>1100.1779170737893</v>
      </c>
      <c r="F2059" s="23">
        <f>AlphaC*(D2059-E2059)</f>
        <v>28.746251460671601</v>
      </c>
      <c r="G2059" s="13">
        <f>Phi*EpsilonF*Botzman/10^8*J2059*((D2059+273)^4-(E2059+273)^4)</f>
        <v>473.26914319171851</v>
      </c>
      <c r="H2059" s="23">
        <f t="shared" si="137"/>
        <v>650</v>
      </c>
      <c r="I2059" s="12">
        <f>ksh*Massivete/(H2059*RhoA)*DeltaT*(F2059+G2059)</f>
        <v>7.4047393912646101E-2</v>
      </c>
      <c r="J2059" s="3">
        <f>IF(E2059&lt;=500,IF(Galva=Oui,0.35,0.7),0.7)</f>
        <v>0.7</v>
      </c>
    </row>
    <row r="2060" spans="2:10" x14ac:dyDescent="0.25">
      <c r="B2060" s="3">
        <f>B2059+DeltaT</f>
        <v>10215</v>
      </c>
      <c r="C2060" s="13">
        <f t="shared" si="134"/>
        <v>170.25</v>
      </c>
      <c r="D2060" s="11">
        <f t="shared" si="135"/>
        <v>1101.4010702629623</v>
      </c>
      <c r="E2060" s="23">
        <f t="shared" si="136"/>
        <v>1100.251964467702</v>
      </c>
      <c r="F2060" s="23">
        <f>AlphaC*(D2060-E2060)</f>
        <v>28.727644881507786</v>
      </c>
      <c r="G2060" s="13">
        <f>Phi*EpsilonF*Botzman/10^8*J2060*((D2060+273)^4-(E2060+273)^4)</f>
        <v>473.03891026749147</v>
      </c>
      <c r="H2060" s="23">
        <f t="shared" si="137"/>
        <v>650</v>
      </c>
      <c r="I2060" s="12">
        <f>ksh*Massivete/(H2060*RhoA)*DeltaT*(F2060+G2060)</f>
        <v>7.4010690024827339E-2</v>
      </c>
      <c r="J2060" s="3">
        <f>IF(E2060&lt;=500,IF(Galva=Oui,0.35,0.7),0.7)</f>
        <v>0.7</v>
      </c>
    </row>
    <row r="2061" spans="2:10" x14ac:dyDescent="0.25">
      <c r="B2061" s="3">
        <f>B2060+DeltaT</f>
        <v>10220</v>
      </c>
      <c r="C2061" s="13">
        <f t="shared" si="134"/>
        <v>170.33333333333334</v>
      </c>
      <c r="D2061" s="11">
        <f t="shared" si="135"/>
        <v>1101.4743375486553</v>
      </c>
      <c r="E2061" s="23">
        <f t="shared" si="136"/>
        <v>1100.3259751577268</v>
      </c>
      <c r="F2061" s="23">
        <f>AlphaC*(D2061-E2061)</f>
        <v>28.70905977321172</v>
      </c>
      <c r="G2061" s="13">
        <f>Phi*EpsilonF*Botzman/10^8*J2061*((D2061+273)^4-(E2061+273)^4)</f>
        <v>472.80890307581768</v>
      </c>
      <c r="H2061" s="23">
        <f t="shared" si="137"/>
        <v>650</v>
      </c>
      <c r="I2061" s="12">
        <f>ksh*Massivete/(H2061*RhoA)*DeltaT*(F2061+G2061)</f>
        <v>7.3974022599573849E-2</v>
      </c>
      <c r="J2061" s="3">
        <f>IF(E2061&lt;=500,IF(Galva=Oui,0.35,0.7),0.7)</f>
        <v>0.7</v>
      </c>
    </row>
    <row r="2062" spans="2:10" x14ac:dyDescent="0.25">
      <c r="B2062" s="3">
        <f>B2061+DeltaT</f>
        <v>10225</v>
      </c>
      <c r="C2062" s="13">
        <f t="shared" si="134"/>
        <v>170.41666666666666</v>
      </c>
      <c r="D2062" s="11">
        <f t="shared" si="135"/>
        <v>1101.5475690243343</v>
      </c>
      <c r="E2062" s="23">
        <f t="shared" si="136"/>
        <v>1100.3999491803263</v>
      </c>
      <c r="F2062" s="23">
        <f>AlphaC*(D2062-E2062)</f>
        <v>28.690496100199425</v>
      </c>
      <c r="G2062" s="13">
        <f>Phi*EpsilonF*Botzman/10^8*J2062*((D2062+273)^4-(E2062+273)^4)</f>
        <v>472.57912128336318</v>
      </c>
      <c r="H2062" s="23">
        <f t="shared" si="137"/>
        <v>650</v>
      </c>
      <c r="I2062" s="12">
        <f>ksh*Massivete/(H2062*RhoA)*DeltaT*(F2062+G2062)</f>
        <v>7.3937391582470133E-2</v>
      </c>
      <c r="J2062" s="3">
        <f>IF(E2062&lt;=500,IF(Galva=Oui,0.35,0.7),0.7)</f>
        <v>0.7</v>
      </c>
    </row>
    <row r="2063" spans="2:10" x14ac:dyDescent="0.25">
      <c r="B2063" s="3">
        <f>B2062+DeltaT</f>
        <v>10230</v>
      </c>
      <c r="C2063" s="13">
        <f t="shared" si="134"/>
        <v>170.5</v>
      </c>
      <c r="D2063" s="11">
        <f t="shared" si="135"/>
        <v>1101.6207647249873</v>
      </c>
      <c r="E2063" s="23">
        <f t="shared" si="136"/>
        <v>1100.4738865719087</v>
      </c>
      <c r="F2063" s="23">
        <f>AlphaC*(D2063-E2063)</f>
        <v>28.671953826966501</v>
      </c>
      <c r="G2063" s="13">
        <f>Phi*EpsilonF*Botzman/10^8*J2063*((D2063+273)^4-(E2063+273)^4)</f>
        <v>472.34956455741423</v>
      </c>
      <c r="H2063" s="23">
        <f t="shared" si="137"/>
        <v>650</v>
      </c>
      <c r="I2063" s="12">
        <f>ksh*Massivete/(H2063*RhoA)*DeltaT*(F2063+G2063)</f>
        <v>7.390079691920394E-2</v>
      </c>
      <c r="J2063" s="3">
        <f>IF(E2063&lt;=500,IF(Galva=Oui,0.35,0.7),0.7)</f>
        <v>0.7</v>
      </c>
    </row>
    <row r="2064" spans="2:10" x14ac:dyDescent="0.25">
      <c r="B2064" s="3">
        <f>B2063+DeltaT</f>
        <v>10235</v>
      </c>
      <c r="C2064" s="13">
        <f t="shared" si="134"/>
        <v>170.58333333333334</v>
      </c>
      <c r="D2064" s="11">
        <f t="shared" si="135"/>
        <v>1101.6939246855507</v>
      </c>
      <c r="E2064" s="23">
        <f t="shared" si="136"/>
        <v>1100.5477873688278</v>
      </c>
      <c r="F2064" s="23">
        <f>AlphaC*(D2064-E2064)</f>
        <v>28.653432918071076</v>
      </c>
      <c r="G2064" s="13">
        <f>Phi*EpsilonF*Botzman/10^8*J2064*((D2064+273)^4-(E2064+273)^4)</f>
        <v>472.1202325657801</v>
      </c>
      <c r="H2064" s="23">
        <f t="shared" si="137"/>
        <v>650</v>
      </c>
      <c r="I2064" s="12">
        <f>ksh*Massivete/(H2064*RhoA)*DeltaT*(F2064+G2064)</f>
        <v>7.3864238555549341E-2</v>
      </c>
      <c r="J2064" s="3">
        <f>IF(E2064&lt;=500,IF(Galva=Oui,0.35,0.7),0.7)</f>
        <v>0.7</v>
      </c>
    </row>
    <row r="2065" spans="2:10" x14ac:dyDescent="0.25">
      <c r="B2065" s="3">
        <f>B2064+DeltaT</f>
        <v>10240</v>
      </c>
      <c r="C2065" s="13">
        <f t="shared" si="134"/>
        <v>170.66666666666666</v>
      </c>
      <c r="D2065" s="11">
        <f t="shared" si="135"/>
        <v>1101.7670489409095</v>
      </c>
      <c r="E2065" s="23">
        <f t="shared" si="136"/>
        <v>1100.6216516073835</v>
      </c>
      <c r="F2065" s="23">
        <f>AlphaC*(D2065-E2065)</f>
        <v>28.634933338150859</v>
      </c>
      <c r="G2065" s="13">
        <f>Phi*EpsilonF*Botzman/10^8*J2065*((D2065+273)^4-(E2065+273)^4)</f>
        <v>471.89112497683232</v>
      </c>
      <c r="H2065" s="23">
        <f t="shared" si="137"/>
        <v>650</v>
      </c>
      <c r="I2065" s="12">
        <f>ksh*Massivete/(H2065*RhoA)*DeltaT*(F2065+G2065)</f>
        <v>7.3827716437375138E-2</v>
      </c>
      <c r="J2065" s="3">
        <f>IF(E2065&lt;=500,IF(Galva=Oui,0.35,0.7),0.7)</f>
        <v>0.7</v>
      </c>
    </row>
    <row r="2066" spans="2:10" x14ac:dyDescent="0.25">
      <c r="B2066" s="3">
        <f>B2065+DeltaT</f>
        <v>10245</v>
      </c>
      <c r="C2066" s="13">
        <f t="shared" ref="C2066:C2129" si="138">B2066/60</f>
        <v>170.75</v>
      </c>
      <c r="D2066" s="11">
        <f t="shared" ref="D2066:D2129" si="139">20+345*LOG(8*C2066+1,10)</f>
        <v>1101.8401375258986</v>
      </c>
      <c r="E2066" s="23">
        <f t="shared" si="136"/>
        <v>1100.6954793238208</v>
      </c>
      <c r="F2066" s="23">
        <f>AlphaC*(D2066-E2066)</f>
        <v>28.616455051945877</v>
      </c>
      <c r="G2066" s="13">
        <f>Phi*EpsilonF*Botzman/10^8*J2066*((D2066+273)^4-(E2066+273)^4)</f>
        <v>471.66224146014395</v>
      </c>
      <c r="H2066" s="23">
        <f t="shared" si="137"/>
        <v>650</v>
      </c>
      <c r="I2066" s="12">
        <f>ksh*Massivete/(H2066*RhoA)*DeltaT*(F2066+G2066)</f>
        <v>7.379123051074242E-2</v>
      </c>
      <c r="J2066" s="3">
        <f>IF(E2066&lt;=500,IF(Galva=Oui,0.35,0.7),0.7)</f>
        <v>0.7</v>
      </c>
    </row>
    <row r="2067" spans="2:10" x14ac:dyDescent="0.25">
      <c r="B2067" s="3">
        <f>B2066+DeltaT</f>
        <v>10250</v>
      </c>
      <c r="C2067" s="13">
        <f t="shared" si="138"/>
        <v>170.83333333333334</v>
      </c>
      <c r="D2067" s="11">
        <f t="shared" si="139"/>
        <v>1101.9131904753012</v>
      </c>
      <c r="E2067" s="23">
        <f t="shared" si="136"/>
        <v>1100.7692705543316</v>
      </c>
      <c r="F2067" s="23">
        <f>AlphaC*(D2067-E2067)</f>
        <v>28.597998024241633</v>
      </c>
      <c r="G2067" s="13">
        <f>Phi*EpsilonF*Botzman/10^8*J2067*((D2067+273)^4-(E2067+273)^4)</f>
        <v>471.43358168546229</v>
      </c>
      <c r="H2067" s="23">
        <f t="shared" si="137"/>
        <v>650</v>
      </c>
      <c r="I2067" s="12">
        <f>ksh*Massivete/(H2067*RhoA)*DeltaT*(F2067+G2067)</f>
        <v>7.375478072174467E-2</v>
      </c>
      <c r="J2067" s="3">
        <f>IF(E2067&lt;=500,IF(Galva=Oui,0.35,0.7),0.7)</f>
        <v>0.7</v>
      </c>
    </row>
    <row r="2068" spans="2:10" x14ac:dyDescent="0.25">
      <c r="B2068" s="3">
        <f>B2067+DeltaT</f>
        <v>10255</v>
      </c>
      <c r="C2068" s="13">
        <f t="shared" si="138"/>
        <v>170.91666666666666</v>
      </c>
      <c r="D2068" s="11">
        <f t="shared" si="139"/>
        <v>1101.98620782385</v>
      </c>
      <c r="E2068" s="23">
        <f t="shared" si="136"/>
        <v>1100.8430253350534</v>
      </c>
      <c r="F2068" s="23">
        <f>AlphaC*(D2068-E2068)</f>
        <v>28.579562219914578</v>
      </c>
      <c r="G2068" s="13">
        <f>Phi*EpsilonF*Botzman/10^8*J2068*((D2068+273)^4-(E2068+273)^4)</f>
        <v>471.20514532321312</v>
      </c>
      <c r="H2068" s="23">
        <f t="shared" si="137"/>
        <v>650</v>
      </c>
      <c r="I2068" s="12">
        <f>ksh*Massivete/(H2068*RhoA)*DeltaT*(F2068+G2068)</f>
        <v>7.3718367016588876E-2</v>
      </c>
      <c r="J2068" s="3">
        <f>IF(E2068&lt;=500,IF(Galva=Oui,0.35,0.7),0.7)</f>
        <v>0.7</v>
      </c>
    </row>
    <row r="2069" spans="2:10" x14ac:dyDescent="0.25">
      <c r="B2069" s="3">
        <f>B2068+DeltaT</f>
        <v>10260</v>
      </c>
      <c r="C2069" s="13">
        <f t="shared" si="138"/>
        <v>171</v>
      </c>
      <c r="D2069" s="11">
        <f t="shared" si="139"/>
        <v>1102.0591896062265</v>
      </c>
      <c r="E2069" s="23">
        <f t="shared" si="136"/>
        <v>1100.9167437020701</v>
      </c>
      <c r="F2069" s="23">
        <f>AlphaC*(D2069-E2069)</f>
        <v>28.561147603909376</v>
      </c>
      <c r="G2069" s="13">
        <f>Phi*EpsilonF*Botzman/10^8*J2069*((D2069+273)^4-(E2069+273)^4)</f>
        <v>470.9769320446361</v>
      </c>
      <c r="H2069" s="23">
        <f t="shared" si="137"/>
        <v>650</v>
      </c>
      <c r="I2069" s="12">
        <f>ksh*Massivete/(H2069*RhoA)*DeltaT*(F2069+G2069)</f>
        <v>7.3681989341612159E-2</v>
      </c>
      <c r="J2069" s="3">
        <f>IF(E2069&lt;=500,IF(Galva=Oui,0.35,0.7),0.7)</f>
        <v>0.7</v>
      </c>
    </row>
    <row r="2070" spans="2:10" x14ac:dyDescent="0.25">
      <c r="B2070" s="3">
        <f>B2069+DeltaT</f>
        <v>10265</v>
      </c>
      <c r="C2070" s="13">
        <f t="shared" si="138"/>
        <v>171.08333333333334</v>
      </c>
      <c r="D2070" s="11">
        <f t="shared" si="139"/>
        <v>1102.1321358570619</v>
      </c>
      <c r="E2070" s="23">
        <f t="shared" si="136"/>
        <v>1100.9904256914117</v>
      </c>
      <c r="F2070" s="23">
        <f>AlphaC*(D2070-E2070)</f>
        <v>28.542754141255955</v>
      </c>
      <c r="G2070" s="13">
        <f>Phi*EpsilonF*Botzman/10^8*J2070*((D2070+273)^4-(E2070+273)^4)</f>
        <v>470.74894152161039</v>
      </c>
      <c r="H2070" s="23">
        <f t="shared" si="137"/>
        <v>650</v>
      </c>
      <c r="I2070" s="12">
        <f>ksh*Massivete/(H2070*RhoA)*DeltaT*(F2070+G2070)</f>
        <v>7.3645647643258497E-2</v>
      </c>
      <c r="J2070" s="3">
        <f>IF(E2070&lt;=500,IF(Galva=Oui,0.35,0.7),0.7)</f>
        <v>0.7</v>
      </c>
    </row>
    <row r="2071" spans="2:10" x14ac:dyDescent="0.25">
      <c r="B2071" s="3">
        <f>B2070+DeltaT</f>
        <v>10270</v>
      </c>
      <c r="C2071" s="13">
        <f t="shared" si="138"/>
        <v>171.16666666666666</v>
      </c>
      <c r="D2071" s="11">
        <f t="shared" si="139"/>
        <v>1102.205046610937</v>
      </c>
      <c r="E2071" s="23">
        <f t="shared" si="136"/>
        <v>1101.0640713390549</v>
      </c>
      <c r="F2071" s="23">
        <f>AlphaC*(D2071-E2071)</f>
        <v>28.524381797052456</v>
      </c>
      <c r="G2071" s="13">
        <f>Phi*EpsilonF*Botzman/10^8*J2071*((D2071+273)^4-(E2071+273)^4)</f>
        <v>470.52117342657732</v>
      </c>
      <c r="H2071" s="23">
        <f t="shared" si="137"/>
        <v>650</v>
      </c>
      <c r="I2071" s="12">
        <f>ksh*Massivete/(H2071*RhoA)*DeltaT*(F2071+G2071)</f>
        <v>7.3609341868064879E-2</v>
      </c>
      <c r="J2071" s="3">
        <f>IF(E2071&lt;=500,IF(Galva=Oui,0.35,0.7),0.7)</f>
        <v>0.7</v>
      </c>
    </row>
    <row r="2072" spans="2:10" x14ac:dyDescent="0.25">
      <c r="B2072" s="3">
        <f>B2071+DeltaT</f>
        <v>10275</v>
      </c>
      <c r="C2072" s="13">
        <f t="shared" si="138"/>
        <v>171.25</v>
      </c>
      <c r="D2072" s="11">
        <f t="shared" si="139"/>
        <v>1102.2779219023816</v>
      </c>
      <c r="E2072" s="23">
        <f t="shared" si="136"/>
        <v>1101.137680680923</v>
      </c>
      <c r="F2072" s="23">
        <f>AlphaC*(D2072-E2072)</f>
        <v>28.506030536465232</v>
      </c>
      <c r="G2072" s="13">
        <f>Phi*EpsilonF*Botzman/10^8*J2072*((D2072+273)^4-(E2072+273)^4)</f>
        <v>470.29362743250124</v>
      </c>
      <c r="H2072" s="23">
        <f t="shared" si="137"/>
        <v>650</v>
      </c>
      <c r="I2072" s="12">
        <f>ksh*Massivete/(H2072*RhoA)*DeltaT*(F2072+G2072)</f>
        <v>7.3573071962655515E-2</v>
      </c>
      <c r="J2072" s="3">
        <f>IF(E2072&lt;=500,IF(Galva=Oui,0.35,0.7),0.7)</f>
        <v>0.7</v>
      </c>
    </row>
    <row r="2073" spans="2:10" x14ac:dyDescent="0.25">
      <c r="B2073" s="3">
        <f>B2072+DeltaT</f>
        <v>10280</v>
      </c>
      <c r="C2073" s="13">
        <f t="shared" si="138"/>
        <v>171.33333333333334</v>
      </c>
      <c r="D2073" s="11">
        <f t="shared" si="139"/>
        <v>1102.3507617658761</v>
      </c>
      <c r="E2073" s="23">
        <f t="shared" si="136"/>
        <v>1101.2112537528858</v>
      </c>
      <c r="F2073" s="23">
        <f>AlphaC*(D2073-E2073)</f>
        <v>28.48770032475727</v>
      </c>
      <c r="G2073" s="13">
        <f>Phi*EpsilonF*Botzman/10^8*J2073*((D2073+273)^4-(E2073+273)^4)</f>
        <v>470.06630321339321</v>
      </c>
      <c r="H2073" s="23">
        <f t="shared" si="137"/>
        <v>650</v>
      </c>
      <c r="I2073" s="12">
        <f>ksh*Massivete/(H2073*RhoA)*DeltaT*(F2073+G2073)</f>
        <v>7.3536837873823202E-2</v>
      </c>
      <c r="J2073" s="3">
        <f>IF(E2073&lt;=500,IF(Galva=Oui,0.35,0.7),0.7)</f>
        <v>0.7</v>
      </c>
    </row>
    <row r="2074" spans="2:10" x14ac:dyDescent="0.25">
      <c r="B2074" s="3">
        <f>B2073+DeltaT</f>
        <v>10285</v>
      </c>
      <c r="C2074" s="13">
        <f t="shared" si="138"/>
        <v>171.41666666666666</v>
      </c>
      <c r="D2074" s="11">
        <f t="shared" si="139"/>
        <v>1102.423566235849</v>
      </c>
      <c r="E2074" s="23">
        <f t="shared" si="136"/>
        <v>1101.2847905907597</v>
      </c>
      <c r="F2074" s="23">
        <f>AlphaC*(D2074-E2074)</f>
        <v>28.469391127231347</v>
      </c>
      <c r="G2074" s="13">
        <f>Phi*EpsilonF*Botzman/10^8*J2074*((D2074+273)^4-(E2074+273)^4)</f>
        <v>469.83920044332234</v>
      </c>
      <c r="H2074" s="23">
        <f t="shared" si="137"/>
        <v>650</v>
      </c>
      <c r="I2074" s="12">
        <f>ksh*Massivete/(H2074*RhoA)*DeltaT*(F2074+G2074)</f>
        <v>7.3500639548375241E-2</v>
      </c>
      <c r="J2074" s="3">
        <f>IF(E2074&lt;=500,IF(Galva=Oui,0.35,0.7),0.7)</f>
        <v>0.7</v>
      </c>
    </row>
    <row r="2075" spans="2:10" x14ac:dyDescent="0.25">
      <c r="B2075" s="3">
        <f>B2074+DeltaT</f>
        <v>10290</v>
      </c>
      <c r="C2075" s="13">
        <f t="shared" si="138"/>
        <v>171.5</v>
      </c>
      <c r="D2075" s="11">
        <f t="shared" si="139"/>
        <v>1102.4963353466803</v>
      </c>
      <c r="E2075" s="23">
        <f t="shared" si="136"/>
        <v>1101.3582912303082</v>
      </c>
      <c r="F2075" s="23">
        <f>AlphaC*(D2075-E2075)</f>
        <v>28.451102909303927</v>
      </c>
      <c r="G2075" s="13">
        <f>Phi*EpsilonF*Botzman/10^8*J2075*((D2075+273)^4-(E2075+273)^4)</f>
        <v>469.61231879759811</v>
      </c>
      <c r="H2075" s="23">
        <f t="shared" si="137"/>
        <v>650</v>
      </c>
      <c r="I2075" s="12">
        <f>ksh*Massivete/(H2075*RhoA)*DeltaT*(F2075+G2075)</f>
        <v>7.346447693331859E-2</v>
      </c>
      <c r="J2075" s="3">
        <f>IF(E2075&lt;=500,IF(Galva=Oui,0.35,0.7),0.7)</f>
        <v>0.7</v>
      </c>
    </row>
    <row r="2076" spans="2:10" x14ac:dyDescent="0.25">
      <c r="B2076" s="3">
        <f>B2075+DeltaT</f>
        <v>10295</v>
      </c>
      <c r="C2076" s="13">
        <f t="shared" si="138"/>
        <v>171.58333333333334</v>
      </c>
      <c r="D2076" s="11">
        <f t="shared" si="139"/>
        <v>1102.5690691326993</v>
      </c>
      <c r="E2076" s="23">
        <f t="shared" si="136"/>
        <v>1101.4317557072416</v>
      </c>
      <c r="F2076" s="23">
        <f>AlphaC*(D2076-E2076)</f>
        <v>28.432835636442633</v>
      </c>
      <c r="G2076" s="13">
        <f>Phi*EpsilonF*Botzman/10^8*J2076*((D2076+273)^4-(E2076+273)^4)</f>
        <v>469.38565795182063</v>
      </c>
      <c r="H2076" s="23">
        <f t="shared" si="137"/>
        <v>650</v>
      </c>
      <c r="I2076" s="12">
        <f>ksh*Massivete/(H2076*RhoA)*DeltaT*(F2076+G2076)</f>
        <v>7.3428349975710683E-2</v>
      </c>
      <c r="J2076" s="3">
        <f>IF(E2076&lt;=500,IF(Galva=Oui,0.35,0.7),0.7)</f>
        <v>0.7</v>
      </c>
    </row>
    <row r="2077" spans="2:10" x14ac:dyDescent="0.25">
      <c r="B2077" s="3">
        <f>B2076+DeltaT</f>
        <v>10300</v>
      </c>
      <c r="C2077" s="13">
        <f t="shared" si="138"/>
        <v>171.66666666666666</v>
      </c>
      <c r="D2077" s="11">
        <f t="shared" si="139"/>
        <v>1102.6417676281849</v>
      </c>
      <c r="E2077" s="23">
        <f t="shared" si="136"/>
        <v>1101.5051840572173</v>
      </c>
      <c r="F2077" s="23">
        <f>AlphaC*(D2077-E2077)</f>
        <v>28.414589274188984</v>
      </c>
      <c r="G2077" s="13">
        <f>Phi*EpsilonF*Botzman/10^8*J2077*((D2077+273)^4-(E2077+273)^4)</f>
        <v>469.15921758215205</v>
      </c>
      <c r="H2077" s="23">
        <f t="shared" si="137"/>
        <v>650</v>
      </c>
      <c r="I2077" s="12">
        <f>ksh*Massivete/(H2077*RhoA)*DeltaT*(F2077+G2077)</f>
        <v>7.3392258622702697E-2</v>
      </c>
      <c r="J2077" s="3">
        <f>IF(E2077&lt;=500,IF(Galva=Oui,0.35,0.7),0.7)</f>
        <v>0.7</v>
      </c>
    </row>
    <row r="2078" spans="2:10" x14ac:dyDescent="0.25">
      <c r="B2078" s="3">
        <f>B2077+DeltaT</f>
        <v>10305</v>
      </c>
      <c r="C2078" s="13">
        <f t="shared" si="138"/>
        <v>171.75</v>
      </c>
      <c r="D2078" s="11">
        <f t="shared" si="139"/>
        <v>1102.7144308673669</v>
      </c>
      <c r="E2078" s="23">
        <f t="shared" si="136"/>
        <v>1101.5785763158401</v>
      </c>
      <c r="F2078" s="23">
        <f>AlphaC*(D2078-E2078)</f>
        <v>28.396363788169765</v>
      </c>
      <c r="G2078" s="13">
        <f>Phi*EpsilonF*Botzman/10^8*J2078*((D2078+273)^4-(E2078+273)^4)</f>
        <v>468.93299736568474</v>
      </c>
      <c r="H2078" s="23">
        <f t="shared" si="137"/>
        <v>650</v>
      </c>
      <c r="I2078" s="12">
        <f>ksh*Massivete/(H2078*RhoA)*DeltaT*(F2078+G2078)</f>
        <v>7.335620282159562E-2</v>
      </c>
      <c r="J2078" s="3">
        <f>IF(E2078&lt;=500,IF(Galva=Oui,0.35,0.7),0.7)</f>
        <v>0.7</v>
      </c>
    </row>
    <row r="2079" spans="2:10" x14ac:dyDescent="0.25">
      <c r="B2079" s="3">
        <f>B2078+DeltaT</f>
        <v>10310</v>
      </c>
      <c r="C2079" s="13">
        <f t="shared" si="138"/>
        <v>171.83333333333334</v>
      </c>
      <c r="D2079" s="11">
        <f t="shared" si="139"/>
        <v>1102.7870588844248</v>
      </c>
      <c r="E2079" s="23">
        <f t="shared" si="136"/>
        <v>1101.6519325186616</v>
      </c>
      <c r="F2079" s="23">
        <f>AlphaC*(D2079-E2079)</f>
        <v>28.378159144079973</v>
      </c>
      <c r="G2079" s="13">
        <f>Phi*EpsilonF*Botzman/10^8*J2079*((D2079+273)^4-(E2079+273)^4)</f>
        <v>468.70699698005382</v>
      </c>
      <c r="H2079" s="23">
        <f t="shared" si="137"/>
        <v>650</v>
      </c>
      <c r="I2079" s="12">
        <f>ksh*Massivete/(H2079*RhoA)*DeltaT*(F2079+G2079)</f>
        <v>7.3320182519780577E-2</v>
      </c>
      <c r="J2079" s="3">
        <f>IF(E2079&lt;=500,IF(Galva=Oui,0.35,0.7),0.7)</f>
        <v>0.7</v>
      </c>
    </row>
    <row r="2080" spans="2:10" x14ac:dyDescent="0.25">
      <c r="B2080" s="3">
        <f>B2079+DeltaT</f>
        <v>10315</v>
      </c>
      <c r="C2080" s="13">
        <f t="shared" si="138"/>
        <v>171.91666666666666</v>
      </c>
      <c r="D2080" s="11">
        <f t="shared" si="139"/>
        <v>1102.8596517134886</v>
      </c>
      <c r="E2080" s="23">
        <f t="shared" si="136"/>
        <v>1101.7252527011815</v>
      </c>
      <c r="F2080" s="23">
        <f>AlphaC*(D2080-E2080)</f>
        <v>28.359975307677132</v>
      </c>
      <c r="G2080" s="13">
        <f>Phi*EpsilonF*Botzman/10^8*J2080*((D2080+273)^4-(E2080+273)^4)</f>
        <v>468.48121610324307</v>
      </c>
      <c r="H2080" s="23">
        <f t="shared" si="137"/>
        <v>650</v>
      </c>
      <c r="I2080" s="12">
        <f>ksh*Massivete/(H2080*RhoA)*DeltaT*(F2080+G2080)</f>
        <v>7.3284197664709311E-2</v>
      </c>
      <c r="J2080" s="3">
        <f>IF(E2080&lt;=500,IF(Galva=Oui,0.35,0.7),0.7)</f>
        <v>0.7</v>
      </c>
    </row>
    <row r="2081" spans="2:10" x14ac:dyDescent="0.25">
      <c r="B2081" s="3">
        <f>B2080+DeltaT</f>
        <v>10320</v>
      </c>
      <c r="C2081" s="13">
        <f t="shared" si="138"/>
        <v>172</v>
      </c>
      <c r="D2081" s="11">
        <f t="shared" si="139"/>
        <v>1102.9322093886385</v>
      </c>
      <c r="E2081" s="23">
        <f t="shared" si="136"/>
        <v>1101.7985368988461</v>
      </c>
      <c r="F2081" s="23">
        <f>AlphaC*(D2081-E2081)</f>
        <v>28.341812244809717</v>
      </c>
      <c r="G2081" s="13">
        <f>Phi*EpsilonF*Botzman/10^8*J2081*((D2081+273)^4-(E2081+273)^4)</f>
        <v>468.25565441426352</v>
      </c>
      <c r="H2081" s="23">
        <f t="shared" si="137"/>
        <v>650</v>
      </c>
      <c r="I2081" s="12">
        <f>ksh*Massivete/(H2081*RhoA)*DeltaT*(F2081+G2081)</f>
        <v>7.3248248203998501E-2</v>
      </c>
      <c r="J2081" s="3">
        <f>IF(E2081&lt;=500,IF(Galva=Oui,0.35,0.7),0.7)</f>
        <v>0.7</v>
      </c>
    </row>
    <row r="2082" spans="2:10" x14ac:dyDescent="0.25">
      <c r="B2082" s="3">
        <f>B2081+DeltaT</f>
        <v>10325</v>
      </c>
      <c r="C2082" s="13">
        <f t="shared" si="138"/>
        <v>172.08333333333334</v>
      </c>
      <c r="D2082" s="11">
        <f t="shared" si="139"/>
        <v>1103.0047319439057</v>
      </c>
      <c r="E2082" s="23">
        <f t="shared" si="136"/>
        <v>1101.8717851470501</v>
      </c>
      <c r="F2082" s="23">
        <f>AlphaC*(D2082-E2082)</f>
        <v>28.323669921388728</v>
      </c>
      <c r="G2082" s="13">
        <f>Phi*EpsilonF*Botzman/10^8*J2082*((D2082+273)^4-(E2082+273)^4)</f>
        <v>468.0303115924944</v>
      </c>
      <c r="H2082" s="23">
        <f t="shared" si="137"/>
        <v>650</v>
      </c>
      <c r="I2082" s="12">
        <f>ksh*Massivete/(H2082*RhoA)*DeltaT*(F2082+G2082)</f>
        <v>7.3212334085328387E-2</v>
      </c>
      <c r="J2082" s="3">
        <f>IF(E2082&lt;=500,IF(Galva=Oui,0.35,0.7),0.7)</f>
        <v>0.7</v>
      </c>
    </row>
    <row r="2083" spans="2:10" x14ac:dyDescent="0.25">
      <c r="B2083" s="3">
        <f>B2082+DeltaT</f>
        <v>10330</v>
      </c>
      <c r="C2083" s="13">
        <f t="shared" si="138"/>
        <v>172.16666666666666</v>
      </c>
      <c r="D2083" s="11">
        <f t="shared" si="139"/>
        <v>1103.0772194132715</v>
      </c>
      <c r="E2083" s="23">
        <f t="shared" si="136"/>
        <v>1101.9449974811355</v>
      </c>
      <c r="F2083" s="23">
        <f>AlphaC*(D2083-E2083)</f>
        <v>28.305548303399064</v>
      </c>
      <c r="G2083" s="13">
        <f>Phi*EpsilonF*Botzman/10^8*J2083*((D2083+273)^4-(E2083+273)^4)</f>
        <v>467.80518731801254</v>
      </c>
      <c r="H2083" s="23">
        <f t="shared" si="137"/>
        <v>650</v>
      </c>
      <c r="I2083" s="12">
        <f>ksh*Massivete/(H2083*RhoA)*DeltaT*(F2083+G2083)</f>
        <v>7.3176455256492981E-2</v>
      </c>
      <c r="J2083" s="3">
        <f>IF(E2083&lt;=500,IF(Galva=Oui,0.35,0.7),0.7)</f>
        <v>0.7</v>
      </c>
    </row>
    <row r="2084" spans="2:10" x14ac:dyDescent="0.25">
      <c r="B2084" s="3">
        <f>B2083+DeltaT</f>
        <v>10335</v>
      </c>
      <c r="C2084" s="13">
        <f t="shared" si="138"/>
        <v>172.25</v>
      </c>
      <c r="D2084" s="11">
        <f t="shared" si="139"/>
        <v>1103.149671830668</v>
      </c>
      <c r="E2084" s="23">
        <f t="shared" si="136"/>
        <v>1102.018173936392</v>
      </c>
      <c r="F2084" s="23">
        <f>AlphaC*(D2084-E2084)</f>
        <v>28.28744735689952</v>
      </c>
      <c r="G2084" s="13">
        <f>Phi*EpsilonF*Botzman/10^8*J2084*((D2084+273)^4-(E2084+273)^4)</f>
        <v>467.5802812715151</v>
      </c>
      <c r="H2084" s="23">
        <f t="shared" si="137"/>
        <v>650</v>
      </c>
      <c r="I2084" s="12">
        <f>ksh*Massivete/(H2084*RhoA)*DeltaT*(F2084+G2084)</f>
        <v>7.3140611665388697E-2</v>
      </c>
      <c r="J2084" s="3">
        <f>IF(E2084&lt;=500,IF(Galva=Oui,0.35,0.7),0.7)</f>
        <v>0.7</v>
      </c>
    </row>
    <row r="2085" spans="2:10" x14ac:dyDescent="0.25">
      <c r="B2085" s="3">
        <f>B2084+DeltaT</f>
        <v>10340</v>
      </c>
      <c r="C2085" s="13">
        <f t="shared" si="138"/>
        <v>172.33333333333334</v>
      </c>
      <c r="D2085" s="11">
        <f t="shared" si="139"/>
        <v>1103.2220892299783</v>
      </c>
      <c r="E2085" s="23">
        <f t="shared" si="136"/>
        <v>1102.0913145480574</v>
      </c>
      <c r="F2085" s="23">
        <f>AlphaC*(D2085-E2085)</f>
        <v>28.269367048022787</v>
      </c>
      <c r="G2085" s="13">
        <f>Phi*EpsilonF*Botzman/10^8*J2085*((D2085+273)^4-(E2085+273)^4)</f>
        <v>467.35559313437739</v>
      </c>
      <c r="H2085" s="23">
        <f t="shared" si="137"/>
        <v>650</v>
      </c>
      <c r="I2085" s="12">
        <f>ksh*Massivete/(H2085*RhoA)*DeltaT*(F2085+G2085)</f>
        <v>7.3104803260022888E-2</v>
      </c>
      <c r="J2085" s="3">
        <f>IF(E2085&lt;=500,IF(Galva=Oui,0.35,0.7),0.7)</f>
        <v>0.7</v>
      </c>
    </row>
    <row r="2086" spans="2:10" x14ac:dyDescent="0.25">
      <c r="B2086" s="3">
        <f>B2085+DeltaT</f>
        <v>10345</v>
      </c>
      <c r="C2086" s="13">
        <f t="shared" si="138"/>
        <v>172.41666666666666</v>
      </c>
      <c r="D2086" s="11">
        <f t="shared" si="139"/>
        <v>1103.2944716450368</v>
      </c>
      <c r="E2086" s="23">
        <f t="shared" si="136"/>
        <v>1102.1644193513175</v>
      </c>
      <c r="F2086" s="23">
        <f>AlphaC*(D2086-E2086)</f>
        <v>28.251307342981136</v>
      </c>
      <c r="G2086" s="13">
        <f>Phi*EpsilonF*Botzman/10^8*J2086*((D2086+273)^4-(E2086+273)^4)</f>
        <v>467.131122588653</v>
      </c>
      <c r="H2086" s="23">
        <f t="shared" si="137"/>
        <v>650</v>
      </c>
      <c r="I2086" s="12">
        <f>ksh*Massivete/(H2086*RhoA)*DeltaT*(F2086+G2086)</f>
        <v>7.3069029988514667E-2</v>
      </c>
      <c r="J2086" s="3">
        <f>IF(E2086&lt;=500,IF(Galva=Oui,0.35,0.7),0.7)</f>
        <v>0.7</v>
      </c>
    </row>
    <row r="2087" spans="2:10" x14ac:dyDescent="0.25">
      <c r="B2087" s="3">
        <f>B2086+DeltaT</f>
        <v>10350</v>
      </c>
      <c r="C2087" s="13">
        <f t="shared" si="138"/>
        <v>172.5</v>
      </c>
      <c r="D2087" s="11">
        <f t="shared" si="139"/>
        <v>1103.3668191096276</v>
      </c>
      <c r="E2087" s="23">
        <f t="shared" si="136"/>
        <v>1102.2374883813061</v>
      </c>
      <c r="F2087" s="23">
        <f>AlphaC*(D2087-E2087)</f>
        <v>28.233268208037998</v>
      </c>
      <c r="G2087" s="13">
        <f>Phi*EpsilonF*Botzman/10^8*J2087*((D2087+273)^4-(E2087+273)^4)</f>
        <v>466.90686931672508</v>
      </c>
      <c r="H2087" s="23">
        <f t="shared" si="137"/>
        <v>650</v>
      </c>
      <c r="I2087" s="12">
        <f>ksh*Massivete/(H2087*RhoA)*DeltaT*(F2087+G2087)</f>
        <v>7.3033291799039321E-2</v>
      </c>
      <c r="J2087" s="3">
        <f>IF(E2087&lt;=500,IF(Galva=Oui,0.35,0.7),0.7)</f>
        <v>0.7</v>
      </c>
    </row>
    <row r="2088" spans="2:10" x14ac:dyDescent="0.25">
      <c r="B2088" s="3">
        <f>B2087+DeltaT</f>
        <v>10355</v>
      </c>
      <c r="C2088" s="13">
        <f t="shared" si="138"/>
        <v>172.58333333333334</v>
      </c>
      <c r="D2088" s="11">
        <f t="shared" si="139"/>
        <v>1103.4391316574872</v>
      </c>
      <c r="E2088" s="23">
        <f t="shared" si="136"/>
        <v>1102.3105216731051</v>
      </c>
      <c r="F2088" s="23">
        <f>AlphaC*(D2088-E2088)</f>
        <v>28.215249609553439</v>
      </c>
      <c r="G2088" s="13">
        <f>Phi*EpsilonF*Botzman/10^8*J2088*((D2088+273)^4-(E2088+273)^4)</f>
        <v>466.68283300206201</v>
      </c>
      <c r="H2088" s="23">
        <f t="shared" si="137"/>
        <v>650</v>
      </c>
      <c r="I2088" s="12">
        <f>ksh*Massivete/(H2088*RhoA)*DeltaT*(F2088+G2088)</f>
        <v>7.2997588639946473E-2</v>
      </c>
      <c r="J2088" s="3">
        <f>IF(E2088&lt;=500,IF(Galva=Oui,0.35,0.7),0.7)</f>
        <v>0.7</v>
      </c>
    </row>
    <row r="2089" spans="2:10" x14ac:dyDescent="0.25">
      <c r="B2089" s="3">
        <f>B2088+DeltaT</f>
        <v>10360</v>
      </c>
      <c r="C2089" s="13">
        <f t="shared" si="138"/>
        <v>172.66666666666666</v>
      </c>
      <c r="D2089" s="11">
        <f t="shared" si="139"/>
        <v>1103.5114093223026</v>
      </c>
      <c r="E2089" s="23">
        <f t="shared" si="136"/>
        <v>1102.3835192617451</v>
      </c>
      <c r="F2089" s="23">
        <f>AlphaC*(D2089-E2089)</f>
        <v>28.197251513938681</v>
      </c>
      <c r="G2089" s="13">
        <f>Phi*EpsilonF*Botzman/10^8*J2089*((D2089+273)^4-(E2089+273)^4)</f>
        <v>466.45901332826776</v>
      </c>
      <c r="H2089" s="23">
        <f t="shared" si="137"/>
        <v>650</v>
      </c>
      <c r="I2089" s="12">
        <f>ksh*Massivete/(H2089*RhoA)*DeltaT*(F2089+G2089)</f>
        <v>7.2961920459613278E-2</v>
      </c>
      <c r="J2089" s="3">
        <f>IF(E2089&lt;=500,IF(Galva=Oui,0.35,0.7),0.7)</f>
        <v>0.7</v>
      </c>
    </row>
    <row r="2090" spans="2:10" x14ac:dyDescent="0.25">
      <c r="B2090" s="3">
        <f>B2089+DeltaT</f>
        <v>10365</v>
      </c>
      <c r="C2090" s="13">
        <f t="shared" si="138"/>
        <v>172.75</v>
      </c>
      <c r="D2090" s="11">
        <f t="shared" si="139"/>
        <v>1103.5836521377121</v>
      </c>
      <c r="E2090" s="23">
        <f t="shared" si="136"/>
        <v>1102.4564811822047</v>
      </c>
      <c r="F2090" s="23">
        <f>AlphaC*(D2090-E2090)</f>
        <v>28.179273887684531</v>
      </c>
      <c r="G2090" s="13">
        <f>Phi*EpsilonF*Botzman/10^8*J2090*((D2090+273)^4-(E2090+273)^4)</f>
        <v>466.23540997979916</v>
      </c>
      <c r="H2090" s="23">
        <f t="shared" si="137"/>
        <v>650</v>
      </c>
      <c r="I2090" s="12">
        <f>ksh*Massivete/(H2090*RhoA)*DeltaT*(F2090+G2090)</f>
        <v>7.2926287206554405E-2</v>
      </c>
      <c r="J2090" s="3">
        <f>IF(E2090&lt;=500,IF(Galva=Oui,0.35,0.7),0.7)</f>
        <v>0.7</v>
      </c>
    </row>
    <row r="2091" spans="2:10" x14ac:dyDescent="0.25">
      <c r="B2091" s="3">
        <f>B2090+DeltaT</f>
        <v>10370</v>
      </c>
      <c r="C2091" s="13">
        <f t="shared" si="138"/>
        <v>172.83333333333334</v>
      </c>
      <c r="D2091" s="11">
        <f t="shared" si="139"/>
        <v>1103.6558601373056</v>
      </c>
      <c r="E2091" s="23">
        <f t="shared" si="136"/>
        <v>1102.5294074694114</v>
      </c>
      <c r="F2091" s="23">
        <f>AlphaC*(D2091-E2091)</f>
        <v>28.161316697355687</v>
      </c>
      <c r="G2091" s="13">
        <f>Phi*EpsilonF*Botzman/10^8*J2091*((D2091+273)^4-(E2091+273)^4)</f>
        <v>466.01202264169427</v>
      </c>
      <c r="H2091" s="23">
        <f t="shared" si="137"/>
        <v>650</v>
      </c>
      <c r="I2091" s="12">
        <f>ksh*Massivete/(H2091*RhoA)*DeltaT*(F2091+G2091)</f>
        <v>7.2890688829381198E-2</v>
      </c>
      <c r="J2091" s="3">
        <f>IF(E2091&lt;=500,IF(Galva=Oui,0.35,0.7),0.7)</f>
        <v>0.7</v>
      </c>
    </row>
    <row r="2092" spans="2:10" x14ac:dyDescent="0.25">
      <c r="B2092" s="3">
        <f>B2091+DeltaT</f>
        <v>10375</v>
      </c>
      <c r="C2092" s="13">
        <f t="shared" si="138"/>
        <v>172.91666666666666</v>
      </c>
      <c r="D2092" s="11">
        <f t="shared" si="139"/>
        <v>1103.7280333546244</v>
      </c>
      <c r="E2092" s="23">
        <f t="shared" si="136"/>
        <v>1102.6022981582407</v>
      </c>
      <c r="F2092" s="23">
        <f>AlphaC*(D2092-E2092)</f>
        <v>28.143379909590749</v>
      </c>
      <c r="G2092" s="13">
        <f>Phi*EpsilonF*Botzman/10^8*J2092*((D2092+273)^4-(E2092+273)^4)</f>
        <v>465.78885099972774</v>
      </c>
      <c r="H2092" s="23">
        <f t="shared" si="137"/>
        <v>650</v>
      </c>
      <c r="I2092" s="12">
        <f>ksh*Massivete/(H2092*RhoA)*DeltaT*(F2092+G2092)</f>
        <v>7.2855125276824501E-2</v>
      </c>
      <c r="J2092" s="3">
        <f>IF(E2092&lt;=500,IF(Galva=Oui,0.35,0.7),0.7)</f>
        <v>0.7</v>
      </c>
    </row>
    <row r="2093" spans="2:10" x14ac:dyDescent="0.25">
      <c r="B2093" s="3">
        <f>B2092+DeltaT</f>
        <v>10380</v>
      </c>
      <c r="C2093" s="13">
        <f t="shared" si="138"/>
        <v>173</v>
      </c>
      <c r="D2093" s="11">
        <f t="shared" si="139"/>
        <v>1103.800171823161</v>
      </c>
      <c r="E2093" s="23">
        <f t="shared" si="136"/>
        <v>1102.6751532835176</v>
      </c>
      <c r="F2093" s="23">
        <f>AlphaC*(D2093-E2093)</f>
        <v>28.125463491085156</v>
      </c>
      <c r="G2093" s="13">
        <f>Phi*EpsilonF*Botzman/10^8*J2093*((D2093+273)^4-(E2093+273)^4)</f>
        <v>465.56589474004232</v>
      </c>
      <c r="H2093" s="23">
        <f t="shared" si="137"/>
        <v>650</v>
      </c>
      <c r="I2093" s="12">
        <f>ksh*Massivete/(H2093*RhoA)*DeltaT*(F2093+G2093)</f>
        <v>7.2819596497677899E-2</v>
      </c>
      <c r="J2093" s="3">
        <f>IF(E2093&lt;=500,IF(Galva=Oui,0.35,0.7),0.7)</f>
        <v>0.7</v>
      </c>
    </row>
    <row r="2094" spans="2:10" x14ac:dyDescent="0.25">
      <c r="B2094" s="3">
        <f>B2093+DeltaT</f>
        <v>10385</v>
      </c>
      <c r="C2094" s="13">
        <f t="shared" si="138"/>
        <v>173.08333333333334</v>
      </c>
      <c r="D2094" s="11">
        <f t="shared" si="139"/>
        <v>1103.8722755763604</v>
      </c>
      <c r="E2094" s="23">
        <f t="shared" si="136"/>
        <v>1102.7479728800154</v>
      </c>
      <c r="F2094" s="23">
        <f>AlphaC*(D2094-E2094)</f>
        <v>28.1075674086253</v>
      </c>
      <c r="G2094" s="13">
        <f>Phi*EpsilonF*Botzman/10^8*J2094*((D2094+273)^4-(E2094+273)^4)</f>
        <v>465.34315354965298</v>
      </c>
      <c r="H2094" s="23">
        <f t="shared" si="137"/>
        <v>650</v>
      </c>
      <c r="I2094" s="12">
        <f>ksh*Massivete/(H2094*RhoA)*DeltaT*(F2094+G2094)</f>
        <v>7.2784102440876977E-2</v>
      </c>
      <c r="J2094" s="3">
        <f>IF(E2094&lt;=500,IF(Galva=Oui,0.35,0.7),0.7)</f>
        <v>0.7</v>
      </c>
    </row>
    <row r="2095" spans="2:10" x14ac:dyDescent="0.25">
      <c r="B2095" s="3">
        <f>B2094+DeltaT</f>
        <v>10390</v>
      </c>
      <c r="C2095" s="13">
        <f t="shared" si="138"/>
        <v>173.16666666666666</v>
      </c>
      <c r="D2095" s="11">
        <f t="shared" si="139"/>
        <v>1103.9443446476184</v>
      </c>
      <c r="E2095" s="23">
        <f t="shared" si="136"/>
        <v>1102.8207569824563</v>
      </c>
      <c r="F2095" s="23">
        <f>AlphaC*(D2095-E2095)</f>
        <v>28.089691629054414</v>
      </c>
      <c r="G2095" s="13">
        <f>Phi*EpsilonF*Botzman/10^8*J2095*((D2095+273)^4-(E2095+273)^4)</f>
        <v>465.12062711598145</v>
      </c>
      <c r="H2095" s="23">
        <f t="shared" si="137"/>
        <v>650</v>
      </c>
      <c r="I2095" s="12">
        <f>ksh*Massivete/(H2095*RhoA)*DeltaT*(F2095+G2095)</f>
        <v>7.2748643055425735E-2</v>
      </c>
      <c r="J2095" s="3">
        <f>IF(E2095&lt;=500,IF(Galva=Oui,0.35,0.7),0.7)</f>
        <v>0.7</v>
      </c>
    </row>
    <row r="2096" spans="2:10" x14ac:dyDescent="0.25">
      <c r="B2096" s="3">
        <f>B2095+DeltaT</f>
        <v>10395</v>
      </c>
      <c r="C2096" s="13">
        <f t="shared" si="138"/>
        <v>173.25</v>
      </c>
      <c r="D2096" s="11">
        <f t="shared" si="139"/>
        <v>1104.0163790702832</v>
      </c>
      <c r="E2096" s="23">
        <f t="shared" si="136"/>
        <v>1102.8935056255116</v>
      </c>
      <c r="F2096" s="23">
        <f>AlphaC*(D2096-E2096)</f>
        <v>28.071836119289628</v>
      </c>
      <c r="G2096" s="13">
        <f>Phi*EpsilonF*Botzman/10^8*J2096*((D2096+273)^4-(E2096+273)^4)</f>
        <v>464.89831512720559</v>
      </c>
      <c r="H2096" s="23">
        <f t="shared" si="137"/>
        <v>650</v>
      </c>
      <c r="I2096" s="12">
        <f>ksh*Massivete/(H2096*RhoA)*DeltaT*(F2096+G2096)</f>
        <v>7.2713218290450618E-2</v>
      </c>
      <c r="J2096" s="3">
        <f>IF(E2096&lt;=500,IF(Galva=Oui,0.35,0.7),0.7)</f>
        <v>0.7</v>
      </c>
    </row>
    <row r="2097" spans="2:10" x14ac:dyDescent="0.25">
      <c r="B2097" s="3">
        <f>B2096+DeltaT</f>
        <v>10400</v>
      </c>
      <c r="C2097" s="13">
        <f t="shared" si="138"/>
        <v>173.33333333333334</v>
      </c>
      <c r="D2097" s="11">
        <f t="shared" si="139"/>
        <v>1104.0883788776546</v>
      </c>
      <c r="E2097" s="23">
        <f t="shared" si="136"/>
        <v>1102.9662188438019</v>
      </c>
      <c r="F2097" s="23">
        <f>AlphaC*(D2097-E2097)</f>
        <v>28.054000846316285</v>
      </c>
      <c r="G2097" s="13">
        <f>Phi*EpsilonF*Botzman/10^8*J2097*((D2097+273)^4-(E2097+273)^4)</f>
        <v>464.67621727196808</v>
      </c>
      <c r="H2097" s="23">
        <f t="shared" si="137"/>
        <v>650</v>
      </c>
      <c r="I2097" s="12">
        <f>ksh*Massivete/(H2097*RhoA)*DeltaT*(F2097+G2097)</f>
        <v>7.267782809515666E-2</v>
      </c>
      <c r="J2097" s="3">
        <f>IF(E2097&lt;=500,IF(Galva=Oui,0.35,0.7),0.7)</f>
        <v>0.7</v>
      </c>
    </row>
    <row r="2098" spans="2:10" x14ac:dyDescent="0.25">
      <c r="B2098" s="3">
        <f>B2097+DeltaT</f>
        <v>10405</v>
      </c>
      <c r="C2098" s="13">
        <f t="shared" si="138"/>
        <v>173.41666666666666</v>
      </c>
      <c r="D2098" s="11">
        <f t="shared" si="139"/>
        <v>1104.1603441029845</v>
      </c>
      <c r="E2098" s="23">
        <f t="shared" si="136"/>
        <v>1103.0388966718972</v>
      </c>
      <c r="F2098" s="23">
        <f>AlphaC*(D2098-E2098)</f>
        <v>28.036185777182254</v>
      </c>
      <c r="G2098" s="13">
        <f>Phi*EpsilonF*Botzman/10^8*J2098*((D2098+273)^4-(E2098+273)^4)</f>
        <v>464.45433323941563</v>
      </c>
      <c r="H2098" s="23">
        <f t="shared" si="137"/>
        <v>650</v>
      </c>
      <c r="I2098" s="12">
        <f>ksh*Massivete/(H2098*RhoA)*DeltaT*(F2098+G2098)</f>
        <v>7.2642472418832468E-2</v>
      </c>
      <c r="J2098" s="3">
        <f>IF(E2098&lt;=500,IF(Galva=Oui,0.35,0.7),0.7)</f>
        <v>0.7</v>
      </c>
    </row>
    <row r="2099" spans="2:10" x14ac:dyDescent="0.25">
      <c r="B2099" s="3">
        <f>B2098+DeltaT</f>
        <v>10410</v>
      </c>
      <c r="C2099" s="13">
        <f t="shared" si="138"/>
        <v>173.5</v>
      </c>
      <c r="D2099" s="11">
        <f t="shared" si="139"/>
        <v>1104.2322747794774</v>
      </c>
      <c r="E2099" s="23">
        <f t="shared" si="136"/>
        <v>1103.1115391443161</v>
      </c>
      <c r="F2099" s="23">
        <f>AlphaC*(D2099-E2099)</f>
        <v>28.01839087903204</v>
      </c>
      <c r="G2099" s="13">
        <f>Phi*EpsilonF*Botzman/10^8*J2099*((D2099+273)^4-(E2099+273)^4)</f>
        <v>464.23266271970266</v>
      </c>
      <c r="H2099" s="23">
        <f t="shared" si="137"/>
        <v>650</v>
      </c>
      <c r="I2099" s="12">
        <f>ksh*Massivete/(H2099*RhoA)*DeltaT*(F2099+G2099)</f>
        <v>7.2607151210929574E-2</v>
      </c>
      <c r="J2099" s="3">
        <f>IF(E2099&lt;=500,IF(Galva=Oui,0.35,0.7),0.7)</f>
        <v>0.7</v>
      </c>
    </row>
    <row r="2100" spans="2:10" x14ac:dyDescent="0.25">
      <c r="B2100" s="3">
        <f>B2099+DeltaT</f>
        <v>10415</v>
      </c>
      <c r="C2100" s="13">
        <f t="shared" si="138"/>
        <v>173.58333333333334</v>
      </c>
      <c r="D2100" s="11">
        <f t="shared" si="139"/>
        <v>1104.3041709402889</v>
      </c>
      <c r="E2100" s="23">
        <f t="shared" ref="E2100:E2163" si="140">E2099+I2099</f>
        <v>1103.1841462955269</v>
      </c>
      <c r="F2100" s="23">
        <f>AlphaC*(D2100-E2100)</f>
        <v>28.000616119049937</v>
      </c>
      <c r="G2100" s="13">
        <f>Phi*EpsilonF*Botzman/10^8*J2100*((D2100+273)^4-(E2100+273)^4)</f>
        <v>464.01120540325496</v>
      </c>
      <c r="H2100" s="23">
        <f t="shared" ref="H2100:H2163" si="141">IF(E2100&lt;600,425+0.773*E2100-1.69/1000*E2100^2+2.22/1000^2*E2100^3,IF(E2100&lt;735,666+13002/(738-E2100),IF(E2100&lt;900,545+17820/(E2100-731),650)))</f>
        <v>650</v>
      </c>
      <c r="I2100" s="12">
        <f>ksh*Massivete/(H2100*RhoA)*DeltaT*(F2100+G2100)</f>
        <v>7.2571864420945376E-2</v>
      </c>
      <c r="J2100" s="3">
        <f>IF(E2100&lt;=500,IF(Galva=Oui,0.35,0.7),0.7)</f>
        <v>0.7</v>
      </c>
    </row>
    <row r="2101" spans="2:10" x14ac:dyDescent="0.25">
      <c r="B2101" s="3">
        <f>B2100+DeltaT</f>
        <v>10420</v>
      </c>
      <c r="C2101" s="13">
        <f t="shared" si="138"/>
        <v>173.66666666666666</v>
      </c>
      <c r="D2101" s="11">
        <f t="shared" si="139"/>
        <v>1104.3760326185281</v>
      </c>
      <c r="E2101" s="23">
        <f t="shared" si="140"/>
        <v>1103.2567181599479</v>
      </c>
      <c r="F2101" s="23">
        <f>AlphaC*(D2101-E2101)</f>
        <v>27.982861464505504</v>
      </c>
      <c r="G2101" s="13">
        <f>Phi*EpsilonF*Botzman/10^8*J2101*((D2101+273)^4-(E2101+273)^4)</f>
        <v>463.78996098119592</v>
      </c>
      <c r="H2101" s="23">
        <f t="shared" si="141"/>
        <v>650</v>
      </c>
      <c r="I2101" s="12">
        <f>ksh*Massivete/(H2101*RhoA)*DeltaT*(F2101+G2101)</f>
        <v>7.2536611998492734E-2</v>
      </c>
      <c r="J2101" s="3">
        <f>IF(E2101&lt;=500,IF(Galva=Oui,0.35,0.7),0.7)</f>
        <v>0.7</v>
      </c>
    </row>
    <row r="2102" spans="2:10" x14ac:dyDescent="0.25">
      <c r="B2102" s="3">
        <f>B2101+DeltaT</f>
        <v>10425</v>
      </c>
      <c r="C2102" s="13">
        <f t="shared" si="138"/>
        <v>173.75</v>
      </c>
      <c r="D2102" s="11">
        <f t="shared" si="139"/>
        <v>1104.447859847256</v>
      </c>
      <c r="E2102" s="23">
        <f t="shared" si="140"/>
        <v>1103.3292547719464</v>
      </c>
      <c r="F2102" s="23">
        <f>AlphaC*(D2102-E2102)</f>
        <v>27.965126882742197</v>
      </c>
      <c r="G2102" s="13">
        <f>Phi*EpsilonF*Botzman/10^8*J2102*((D2102+273)^4-(E2102+273)^4)</f>
        <v>463.56892914534666</v>
      </c>
      <c r="H2102" s="23">
        <f t="shared" si="141"/>
        <v>650</v>
      </c>
      <c r="I2102" s="12">
        <f>ksh*Massivete/(H2102*RhoA)*DeltaT*(F2102+G2102)</f>
        <v>7.2501393893298335E-2</v>
      </c>
      <c r="J2102" s="3">
        <f>IF(E2102&lt;=500,IF(Galva=Oui,0.35,0.7),0.7)</f>
        <v>0.7</v>
      </c>
    </row>
    <row r="2103" spans="2:10" x14ac:dyDescent="0.25">
      <c r="B2103" s="3">
        <f>B2102+DeltaT</f>
        <v>10430</v>
      </c>
      <c r="C2103" s="13">
        <f t="shared" si="138"/>
        <v>173.83333333333334</v>
      </c>
      <c r="D2103" s="11">
        <f t="shared" si="139"/>
        <v>1104.5196526594855</v>
      </c>
      <c r="E2103" s="23">
        <f t="shared" si="140"/>
        <v>1103.4017561658397</v>
      </c>
      <c r="F2103" s="23">
        <f>AlphaC*(D2103-E2103)</f>
        <v>27.947412341143263</v>
      </c>
      <c r="G2103" s="13">
        <f>Phi*EpsilonF*Botzman/10^8*J2103*((D2103+273)^4-(E2103+273)^4)</f>
        <v>463.34810958764461</v>
      </c>
      <c r="H2103" s="23">
        <f t="shared" si="141"/>
        <v>650</v>
      </c>
      <c r="I2103" s="12">
        <f>ksh*Massivete/(H2103*RhoA)*DeltaT*(F2103+G2103)</f>
        <v>7.2466210055111932E-2</v>
      </c>
      <c r="J2103" s="3">
        <f>IF(E2103&lt;=500,IF(Galva=Oui,0.35,0.7),0.7)</f>
        <v>0.7</v>
      </c>
    </row>
    <row r="2104" spans="2:10" x14ac:dyDescent="0.25">
      <c r="B2104" s="3">
        <f>B2103+DeltaT</f>
        <v>10435</v>
      </c>
      <c r="C2104" s="13">
        <f t="shared" si="138"/>
        <v>173.91666666666666</v>
      </c>
      <c r="D2104" s="11">
        <f t="shared" si="139"/>
        <v>1104.5914110881831</v>
      </c>
      <c r="E2104" s="23">
        <f t="shared" si="140"/>
        <v>1103.4742223758949</v>
      </c>
      <c r="F2104" s="23">
        <f>AlphaC*(D2104-E2104)</f>
        <v>27.929717807205634</v>
      </c>
      <c r="G2104" s="13">
        <f>Phi*EpsilonF*Botzman/10^8*J2104*((D2104+273)^4-(E2104+273)^4)</f>
        <v>463.12750200144177</v>
      </c>
      <c r="H2104" s="23">
        <f t="shared" si="141"/>
        <v>650</v>
      </c>
      <c r="I2104" s="12">
        <f>ksh*Massivete/(H2104*RhoA)*DeltaT*(F2104+G2104)</f>
        <v>7.2431060433908623E-2</v>
      </c>
      <c r="J2104" s="3">
        <f>IF(E2104&lt;=500,IF(Galva=Oui,0.35,0.7),0.7)</f>
        <v>0.7</v>
      </c>
    </row>
    <row r="2105" spans="2:10" x14ac:dyDescent="0.25">
      <c r="B2105" s="3">
        <f>B2104+DeltaT</f>
        <v>10440</v>
      </c>
      <c r="C2105" s="13">
        <f t="shared" si="138"/>
        <v>174</v>
      </c>
      <c r="D2105" s="11">
        <f t="shared" si="139"/>
        <v>1104.6631351662672</v>
      </c>
      <c r="E2105" s="23">
        <f t="shared" si="140"/>
        <v>1103.5466534363288</v>
      </c>
      <c r="F2105" s="23">
        <f>AlphaC*(D2105-E2105)</f>
        <v>27.91204324846035</v>
      </c>
      <c r="G2105" s="13">
        <f>Phi*EpsilonF*Botzman/10^8*J2105*((D2105+273)^4-(E2105+273)^4)</f>
        <v>462.90710607999347</v>
      </c>
      <c r="H2105" s="23">
        <f t="shared" si="141"/>
        <v>650</v>
      </c>
      <c r="I2105" s="12">
        <f>ksh*Massivete/(H2105*RhoA)*DeltaT*(F2105+G2105)</f>
        <v>7.2395944979654334E-2</v>
      </c>
      <c r="J2105" s="3">
        <f>IF(E2105&lt;=500,IF(Galva=Oui,0.35,0.7),0.7)</f>
        <v>0.7</v>
      </c>
    </row>
    <row r="2106" spans="2:10" x14ac:dyDescent="0.25">
      <c r="B2106" s="3">
        <f>B2105+DeltaT</f>
        <v>10445</v>
      </c>
      <c r="C2106" s="13">
        <f t="shared" si="138"/>
        <v>174.08333333333334</v>
      </c>
      <c r="D2106" s="11">
        <f t="shared" si="139"/>
        <v>1104.7348249266095</v>
      </c>
      <c r="E2106" s="23">
        <f t="shared" si="140"/>
        <v>1103.6190493813085</v>
      </c>
      <c r="F2106" s="23">
        <f>AlphaC*(D2106-E2106)</f>
        <v>27.894388632523714</v>
      </c>
      <c r="G2106" s="13">
        <f>Phi*EpsilonF*Botzman/10^8*J2106*((D2106+273)^4-(E2106+273)^4)</f>
        <v>462.68692151754323</v>
      </c>
      <c r="H2106" s="23">
        <f t="shared" si="141"/>
        <v>650</v>
      </c>
      <c r="I2106" s="12">
        <f>ksh*Massivete/(H2106*RhoA)*DeltaT*(F2106+G2106)</f>
        <v>7.2360863642473294E-2</v>
      </c>
      <c r="J2106" s="3">
        <f>IF(E2106&lt;=500,IF(Galva=Oui,0.35,0.7),0.7)</f>
        <v>0.7</v>
      </c>
    </row>
    <row r="2107" spans="2:10" x14ac:dyDescent="0.25">
      <c r="B2107" s="3">
        <f>B2106+DeltaT</f>
        <v>10450</v>
      </c>
      <c r="C2107" s="13">
        <f t="shared" si="138"/>
        <v>174.16666666666666</v>
      </c>
      <c r="D2107" s="11">
        <f t="shared" si="139"/>
        <v>1104.8064804020339</v>
      </c>
      <c r="E2107" s="23">
        <f t="shared" si="140"/>
        <v>1103.6914102449509</v>
      </c>
      <c r="F2107" s="23">
        <f>AlphaC*(D2107-E2107)</f>
        <v>27.87675392707456</v>
      </c>
      <c r="G2107" s="13">
        <f>Phi*EpsilonF*Botzman/10^8*J2107*((D2107+273)^4-(E2107+273)^4)</f>
        <v>462.46694800866413</v>
      </c>
      <c r="H2107" s="23">
        <f t="shared" si="141"/>
        <v>650</v>
      </c>
      <c r="I2107" s="12">
        <f>ksh*Massivete/(H2107*RhoA)*DeltaT*(F2107+G2107)</f>
        <v>7.2325816372547577E-2</v>
      </c>
      <c r="J2107" s="3">
        <f>IF(E2107&lt;=500,IF(Galva=Oui,0.35,0.7),0.7)</f>
        <v>0.7</v>
      </c>
    </row>
    <row r="2108" spans="2:10" x14ac:dyDescent="0.25">
      <c r="B2108" s="3">
        <f>B2107+DeltaT</f>
        <v>10455</v>
      </c>
      <c r="C2108" s="13">
        <f t="shared" si="138"/>
        <v>174.25</v>
      </c>
      <c r="D2108" s="11">
        <f t="shared" si="139"/>
        <v>1104.8781016253176</v>
      </c>
      <c r="E2108" s="23">
        <f t="shared" si="140"/>
        <v>1103.7637360613235</v>
      </c>
      <c r="F2108" s="23">
        <f>AlphaC*(D2108-E2108)</f>
        <v>27.859139099854247</v>
      </c>
      <c r="G2108" s="13">
        <f>Phi*EpsilonF*Botzman/10^8*J2108*((D2108+273)^4-(E2108+273)^4)</f>
        <v>462.24718524862686</v>
      </c>
      <c r="H2108" s="23">
        <f t="shared" si="141"/>
        <v>650</v>
      </c>
      <c r="I2108" s="12">
        <f>ksh*Massivete/(H2108*RhoA)*DeltaT*(F2108+G2108)</f>
        <v>7.2290803120171387E-2</v>
      </c>
      <c r="J2108" s="3">
        <f>IF(E2108&lt;=500,IF(Galva=Oui,0.35,0.7),0.7)</f>
        <v>0.7</v>
      </c>
    </row>
    <row r="2109" spans="2:10" x14ac:dyDescent="0.25">
      <c r="B2109" s="3">
        <f>B2108+DeltaT</f>
        <v>10460</v>
      </c>
      <c r="C2109" s="13">
        <f t="shared" si="138"/>
        <v>174.33333333333334</v>
      </c>
      <c r="D2109" s="11">
        <f t="shared" si="139"/>
        <v>1104.9496886291909</v>
      </c>
      <c r="E2109" s="23">
        <f t="shared" si="140"/>
        <v>1103.8360268644437</v>
      </c>
      <c r="F2109" s="23">
        <f>AlphaC*(D2109-E2109)</f>
        <v>27.84154411867803</v>
      </c>
      <c r="G2109" s="13">
        <f>Phi*EpsilonF*Botzman/10^8*J2109*((D2109+273)^4-(E2109+273)^4)</f>
        <v>462.02763293320606</v>
      </c>
      <c r="H2109" s="23">
        <f t="shared" si="141"/>
        <v>650</v>
      </c>
      <c r="I2109" s="12">
        <f>ksh*Massivete/(H2109*RhoA)*DeltaT*(F2109+G2109)</f>
        <v>7.2255823835724153E-2</v>
      </c>
      <c r="J2109" s="3">
        <f>IF(E2109&lt;=500,IF(Galva=Oui,0.35,0.7),0.7)</f>
        <v>0.7</v>
      </c>
    </row>
    <row r="2110" spans="2:10" x14ac:dyDescent="0.25">
      <c r="B2110" s="3">
        <f>B2109+DeltaT</f>
        <v>10465</v>
      </c>
      <c r="C2110" s="13">
        <f t="shared" si="138"/>
        <v>174.41666666666666</v>
      </c>
      <c r="D2110" s="11">
        <f t="shared" si="139"/>
        <v>1105.0212414463369</v>
      </c>
      <c r="E2110" s="23">
        <f t="shared" si="140"/>
        <v>1103.9082826882795</v>
      </c>
      <c r="F2110" s="23">
        <f>AlphaC*(D2110-E2110)</f>
        <v>27.823968951435063</v>
      </c>
      <c r="G2110" s="13">
        <f>Phi*EpsilonF*Botzman/10^8*J2110*((D2110+273)^4-(E2110+273)^4)</f>
        <v>461.80829075900965</v>
      </c>
      <c r="H2110" s="23">
        <f t="shared" si="141"/>
        <v>650</v>
      </c>
      <c r="I2110" s="12">
        <f>ksh*Massivete/(H2110*RhoA)*DeltaT*(F2110+G2110)</f>
        <v>7.2220878469719099E-2</v>
      </c>
      <c r="J2110" s="3">
        <f>IF(E2110&lt;=500,IF(Galva=Oui,0.35,0.7),0.7)</f>
        <v>0.7</v>
      </c>
    </row>
    <row r="2111" spans="2:10" x14ac:dyDescent="0.25">
      <c r="B2111" s="3">
        <f>B2110+DeltaT</f>
        <v>10470</v>
      </c>
      <c r="C2111" s="13">
        <f t="shared" si="138"/>
        <v>174.5</v>
      </c>
      <c r="D2111" s="11">
        <f t="shared" si="139"/>
        <v>1105.0927601093927</v>
      </c>
      <c r="E2111" s="23">
        <f t="shared" si="140"/>
        <v>1103.9805035667493</v>
      </c>
      <c r="F2111" s="23">
        <f>AlphaC*(D2111-E2111)</f>
        <v>27.806413566082711</v>
      </c>
      <c r="G2111" s="13">
        <f>Phi*EpsilonF*Botzman/10^8*J2111*((D2111+273)^4-(E2111+273)^4)</f>
        <v>461.58915842307192</v>
      </c>
      <c r="H2111" s="23">
        <f t="shared" si="141"/>
        <v>650</v>
      </c>
      <c r="I2111" s="12">
        <f>ksh*Massivete/(H2111*RhoA)*DeltaT*(F2111+G2111)</f>
        <v>7.2185966972742419E-2</v>
      </c>
      <c r="J2111" s="3">
        <f>IF(E2111&lt;=500,IF(Galva=Oui,0.35,0.7),0.7)</f>
        <v>0.7</v>
      </c>
    </row>
    <row r="2112" spans="2:10" x14ac:dyDescent="0.25">
      <c r="B2112" s="3">
        <f>B2111+DeltaT</f>
        <v>10475</v>
      </c>
      <c r="C2112" s="13">
        <f t="shared" si="138"/>
        <v>174.58333333333334</v>
      </c>
      <c r="D2112" s="11">
        <f t="shared" si="139"/>
        <v>1105.1642446509472</v>
      </c>
      <c r="E2112" s="23">
        <f t="shared" si="140"/>
        <v>1104.0526895337221</v>
      </c>
      <c r="F2112" s="23">
        <f>AlphaC*(D2112-E2112)</f>
        <v>27.788877930629496</v>
      </c>
      <c r="G2112" s="13">
        <f>Phi*EpsilonF*Botzman/10^8*J2112*((D2112+273)^4-(E2112+273)^4)</f>
        <v>461.37023562293098</v>
      </c>
      <c r="H2112" s="23">
        <f t="shared" si="141"/>
        <v>650</v>
      </c>
      <c r="I2112" s="12">
        <f>ksh*Massivete/(H2112*RhoA)*DeltaT*(F2112+G2112)</f>
        <v>7.2151089295462156E-2</v>
      </c>
      <c r="J2112" s="3">
        <f>IF(E2112&lt;=500,IF(Galva=Oui,0.35,0.7),0.7)</f>
        <v>0.7</v>
      </c>
    </row>
    <row r="2113" spans="2:10" x14ac:dyDescent="0.25">
      <c r="B2113" s="3">
        <f>B2112+DeltaT</f>
        <v>10480</v>
      </c>
      <c r="C2113" s="13">
        <f t="shared" si="138"/>
        <v>174.66666666666666</v>
      </c>
      <c r="D2113" s="11">
        <f t="shared" si="139"/>
        <v>1105.2356951035445</v>
      </c>
      <c r="E2113" s="23">
        <f t="shared" si="140"/>
        <v>1104.1248406230175</v>
      </c>
      <c r="F2113" s="23">
        <f>AlphaC*(D2113-E2113)</f>
        <v>27.771362013174894</v>
      </c>
      <c r="G2113" s="13">
        <f>Phi*EpsilonF*Botzman/10^8*J2113*((D2113+273)^4-(E2113+273)^4)</f>
        <v>461.15152205697785</v>
      </c>
      <c r="H2113" s="23">
        <f t="shared" si="141"/>
        <v>650</v>
      </c>
      <c r="I2113" s="12">
        <f>ksh*Massivete/(H2113*RhoA)*DeltaT*(F2113+G2113)</f>
        <v>7.2116245388685579E-2</v>
      </c>
      <c r="J2113" s="3">
        <f>IF(E2113&lt;=500,IF(Galva=Oui,0.35,0.7),0.7)</f>
        <v>0.7</v>
      </c>
    </row>
    <row r="2114" spans="2:10" x14ac:dyDescent="0.25">
      <c r="B2114" s="3">
        <f>B2113+DeltaT</f>
        <v>10485</v>
      </c>
      <c r="C2114" s="13">
        <f t="shared" si="138"/>
        <v>174.75</v>
      </c>
      <c r="D2114" s="11">
        <f t="shared" si="139"/>
        <v>1105.3071114996806</v>
      </c>
      <c r="E2114" s="23">
        <f t="shared" si="140"/>
        <v>1104.1969568684062</v>
      </c>
      <c r="F2114" s="23">
        <f>AlphaC*(D2114-E2114)</f>
        <v>27.753865781858167</v>
      </c>
      <c r="G2114" s="13">
        <f>Phi*EpsilonF*Botzman/10^8*J2114*((D2114+273)^4-(E2114+273)^4)</f>
        <v>460.93301742373893</v>
      </c>
      <c r="H2114" s="23">
        <f t="shared" si="141"/>
        <v>650</v>
      </c>
      <c r="I2114" s="12">
        <f>ksh*Massivete/(H2114*RhoA)*DeltaT*(F2114+G2114)</f>
        <v>7.2081435203245794E-2</v>
      </c>
      <c r="J2114" s="3">
        <f>IF(E2114&lt;=500,IF(Galva=Oui,0.35,0.7),0.7)</f>
        <v>0.7</v>
      </c>
    </row>
    <row r="2115" spans="2:10" x14ac:dyDescent="0.25">
      <c r="B2115" s="3">
        <f>B2114+DeltaT</f>
        <v>10490</v>
      </c>
      <c r="C2115" s="13">
        <f t="shared" si="138"/>
        <v>174.83333333333334</v>
      </c>
      <c r="D2115" s="11">
        <f t="shared" si="139"/>
        <v>1105.3784938718056</v>
      </c>
      <c r="E2115" s="23">
        <f t="shared" si="140"/>
        <v>1104.2690383036095</v>
      </c>
      <c r="F2115" s="23">
        <f>AlphaC*(D2115-E2115)</f>
        <v>27.736389204903844</v>
      </c>
      <c r="G2115" s="13">
        <f>Phi*EpsilonF*Botzman/10^8*J2115*((D2115+273)^4-(E2115+273)^4)</f>
        <v>460.71472142261297</v>
      </c>
      <c r="H2115" s="23">
        <f t="shared" si="141"/>
        <v>650</v>
      </c>
      <c r="I2115" s="12">
        <f>ksh*Massivete/(H2115*RhoA)*DeltaT*(F2115+G2115)</f>
        <v>7.2046658690117157E-2</v>
      </c>
      <c r="J2115" s="3">
        <f>IF(E2115&lt;=500,IF(Galva=Oui,0.35,0.7),0.7)</f>
        <v>0.7</v>
      </c>
    </row>
    <row r="2116" spans="2:10" x14ac:dyDescent="0.25">
      <c r="B2116" s="3">
        <f>B2115+DeltaT</f>
        <v>10495</v>
      </c>
      <c r="C2116" s="13">
        <f t="shared" si="138"/>
        <v>174.91666666666666</v>
      </c>
      <c r="D2116" s="11">
        <f t="shared" si="139"/>
        <v>1105.4498422523234</v>
      </c>
      <c r="E2116" s="23">
        <f t="shared" si="140"/>
        <v>1104.3410849622996</v>
      </c>
      <c r="F2116" s="23">
        <f>AlphaC*(D2116-E2116)</f>
        <v>27.718932250593298</v>
      </c>
      <c r="G2116" s="13">
        <f>Phi*EpsilonF*Botzman/10^8*J2116*((D2116+273)^4-(E2116+273)^4)</f>
        <v>460.4966337535605</v>
      </c>
      <c r="H2116" s="23">
        <f t="shared" si="141"/>
        <v>650</v>
      </c>
      <c r="I2116" s="12">
        <f>ksh*Massivete/(H2116*RhoA)*DeltaT*(F2116+G2116)</f>
        <v>7.2011915800365256E-2</v>
      </c>
      <c r="J2116" s="3">
        <f>IF(E2116&lt;=500,IF(Galva=Oui,0.35,0.7),0.7)</f>
        <v>0.7</v>
      </c>
    </row>
    <row r="2117" spans="2:10" x14ac:dyDescent="0.25">
      <c r="B2117" s="3">
        <f>B2116+DeltaT</f>
        <v>10500</v>
      </c>
      <c r="C2117" s="13">
        <f t="shared" si="138"/>
        <v>175</v>
      </c>
      <c r="D2117" s="11">
        <f t="shared" si="139"/>
        <v>1105.521156673592</v>
      </c>
      <c r="E2117" s="23">
        <f t="shared" si="140"/>
        <v>1104.4130968781001</v>
      </c>
      <c r="F2117" s="23">
        <f>AlphaC*(D2117-E2117)</f>
        <v>27.70149488729885</v>
      </c>
      <c r="G2117" s="13">
        <f>Phi*EpsilonF*Botzman/10^8*J2117*((D2117+273)^4-(E2117+273)^4)</f>
        <v>460.27875411724</v>
      </c>
      <c r="H2117" s="23">
        <f t="shared" si="141"/>
        <v>650</v>
      </c>
      <c r="I2117" s="12">
        <f>ksh*Massivete/(H2117*RhoA)*DeltaT*(F2117+G2117)</f>
        <v>7.1977206485172043E-2</v>
      </c>
      <c r="J2117" s="3">
        <f>IF(E2117&lt;=500,IF(Galva=Oui,0.35,0.7),0.7)</f>
        <v>0.7</v>
      </c>
    </row>
    <row r="2118" spans="2:10" x14ac:dyDescent="0.25">
      <c r="B2118" s="3">
        <f>B2117+DeltaT</f>
        <v>10505</v>
      </c>
      <c r="C2118" s="13">
        <f t="shared" si="138"/>
        <v>175.08333333333334</v>
      </c>
      <c r="D2118" s="11">
        <f t="shared" si="139"/>
        <v>1105.5924371679225</v>
      </c>
      <c r="E2118" s="23">
        <f t="shared" si="140"/>
        <v>1104.4850740845852</v>
      </c>
      <c r="F2118" s="23">
        <f>AlphaC*(D2118-E2118)</f>
        <v>27.684077083432612</v>
      </c>
      <c r="G2118" s="13">
        <f>Phi*EpsilonF*Botzman/10^8*J2118*((D2118+273)^4-(E2118+273)^4)</f>
        <v>460.06108221469731</v>
      </c>
      <c r="H2118" s="23">
        <f t="shared" si="141"/>
        <v>650</v>
      </c>
      <c r="I2118" s="12">
        <f>ksh*Massivete/(H2118*RhoA)*DeltaT*(F2118+G2118)</f>
        <v>7.1942530695782506E-2</v>
      </c>
      <c r="J2118" s="3">
        <f>IF(E2118&lt;=500,IF(Galva=Oui,0.35,0.7),0.7)</f>
        <v>0.7</v>
      </c>
    </row>
    <row r="2119" spans="2:10" x14ac:dyDescent="0.25">
      <c r="B2119" s="3">
        <f>B2118+DeltaT</f>
        <v>10510</v>
      </c>
      <c r="C2119" s="13">
        <f t="shared" si="138"/>
        <v>175.16666666666666</v>
      </c>
      <c r="D2119" s="11">
        <f t="shared" si="139"/>
        <v>1105.6636837675801</v>
      </c>
      <c r="E2119" s="23">
        <f t="shared" si="140"/>
        <v>1104.5570166152811</v>
      </c>
      <c r="F2119" s="23">
        <f>AlphaC*(D2119-E2119)</f>
        <v>27.666678807474909</v>
      </c>
      <c r="G2119" s="13">
        <f>Phi*EpsilonF*Botzman/10^8*J2119*((D2119+273)^4-(E2119+273)^4)</f>
        <v>459.84361774746282</v>
      </c>
      <c r="H2119" s="23">
        <f t="shared" si="141"/>
        <v>650</v>
      </c>
      <c r="I2119" s="12">
        <f>ksh*Massivete/(H2119*RhoA)*DeltaT*(F2119+G2119)</f>
        <v>7.1907888383523147E-2</v>
      </c>
      <c r="J2119" s="3">
        <f>IF(E2119&lt;=500,IF(Galva=Oui,0.35,0.7),0.7)</f>
        <v>0.7</v>
      </c>
    </row>
    <row r="2120" spans="2:10" x14ac:dyDescent="0.25">
      <c r="B2120" s="3">
        <f>B2119+DeltaT</f>
        <v>10515</v>
      </c>
      <c r="C2120" s="13">
        <f t="shared" si="138"/>
        <v>175.25</v>
      </c>
      <c r="D2120" s="11">
        <f t="shared" si="139"/>
        <v>1105.734896504784</v>
      </c>
      <c r="E2120" s="23">
        <f t="shared" si="140"/>
        <v>1104.6289245036646</v>
      </c>
      <c r="F2120" s="23">
        <f>AlphaC*(D2120-E2120)</f>
        <v>27.649300027985646</v>
      </c>
      <c r="G2120" s="13">
        <f>Phi*EpsilonF*Botzman/10^8*J2120*((D2120+273)^4-(E2120+273)^4)</f>
        <v>459.62636041791978</v>
      </c>
      <c r="H2120" s="23">
        <f t="shared" si="141"/>
        <v>650</v>
      </c>
      <c r="I2120" s="12">
        <f>ksh*Massivete/(H2120*RhoA)*DeltaT*(F2120+G2120)</f>
        <v>7.1873279499857987E-2</v>
      </c>
      <c r="J2120" s="3">
        <f>IF(E2120&lt;=500,IF(Galva=Oui,0.35,0.7),0.7)</f>
        <v>0.7</v>
      </c>
    </row>
    <row r="2121" spans="2:10" x14ac:dyDescent="0.25">
      <c r="B2121" s="3">
        <f>B2120+DeltaT</f>
        <v>10520</v>
      </c>
      <c r="C2121" s="13">
        <f t="shared" si="138"/>
        <v>175.33333333333334</v>
      </c>
      <c r="D2121" s="11">
        <f t="shared" si="139"/>
        <v>1105.806075411708</v>
      </c>
      <c r="E2121" s="23">
        <f t="shared" si="140"/>
        <v>1104.7007977831645</v>
      </c>
      <c r="F2121" s="23">
        <f>AlphaC*(D2121-E2121)</f>
        <v>27.631940713587255</v>
      </c>
      <c r="G2121" s="13">
        <f>Phi*EpsilonF*Botzman/10^8*J2121*((D2121+273)^4-(E2121+273)^4)</f>
        <v>459.40930992891634</v>
      </c>
      <c r="H2121" s="23">
        <f t="shared" si="141"/>
        <v>650</v>
      </c>
      <c r="I2121" s="12">
        <f>ksh*Massivete/(H2121*RhoA)*DeltaT*(F2121+G2121)</f>
        <v>7.1838703996328857E-2</v>
      </c>
      <c r="J2121" s="3">
        <f>IF(E2121&lt;=500,IF(Galva=Oui,0.35,0.7),0.7)</f>
        <v>0.7</v>
      </c>
    </row>
    <row r="2122" spans="2:10" x14ac:dyDescent="0.25">
      <c r="B2122" s="3">
        <f>B2121+DeltaT</f>
        <v>10525</v>
      </c>
      <c r="C2122" s="13">
        <f t="shared" si="138"/>
        <v>175.41666666666666</v>
      </c>
      <c r="D2122" s="11">
        <f t="shared" si="139"/>
        <v>1105.8772205204789</v>
      </c>
      <c r="E2122" s="23">
        <f t="shared" si="140"/>
        <v>1104.7726364871608</v>
      </c>
      <c r="F2122" s="23">
        <f>AlphaC*(D2122-E2122)</f>
        <v>27.614600832953329</v>
      </c>
      <c r="G2122" s="13">
        <f>Phi*EpsilonF*Botzman/10^8*J2122*((D2122+273)^4-(E2122+273)^4)</f>
        <v>459.19246598364964</v>
      </c>
      <c r="H2122" s="23">
        <f t="shared" si="141"/>
        <v>650</v>
      </c>
      <c r="I2122" s="12">
        <f>ksh*Massivete/(H2122*RhoA)*DeltaT*(F2122+G2122)</f>
        <v>7.1804161824536611E-2</v>
      </c>
      <c r="J2122" s="3">
        <f>IF(E2122&lt;=500,IF(Galva=Oui,0.35,0.7),0.7)</f>
        <v>0.7</v>
      </c>
    </row>
    <row r="2123" spans="2:10" x14ac:dyDescent="0.25">
      <c r="B2123" s="3">
        <f>B2122+DeltaT</f>
        <v>10530</v>
      </c>
      <c r="C2123" s="13">
        <f t="shared" si="138"/>
        <v>175.5</v>
      </c>
      <c r="D2123" s="11">
        <f t="shared" si="139"/>
        <v>1105.9483318631787</v>
      </c>
      <c r="E2123" s="23">
        <f t="shared" si="140"/>
        <v>1104.8444406489853</v>
      </c>
      <c r="F2123" s="23">
        <f>AlphaC*(D2123-E2123)</f>
        <v>27.597280354837039</v>
      </c>
      <c r="G2123" s="13">
        <f>Phi*EpsilonF*Botzman/10^8*J2123*((D2123+273)^4-(E2123+273)^4)</f>
        <v>458.97582828603385</v>
      </c>
      <c r="H2123" s="23">
        <f t="shared" si="141"/>
        <v>650</v>
      </c>
      <c r="I2123" s="12">
        <f>ksh*Massivete/(H2123*RhoA)*DeltaT*(F2123+G2123)</f>
        <v>7.1769652936199607E-2</v>
      </c>
      <c r="J2123" s="3">
        <f>IF(E2123&lt;=500,IF(Galva=Oui,0.35,0.7),0.7)</f>
        <v>0.7</v>
      </c>
    </row>
    <row r="2124" spans="2:10" x14ac:dyDescent="0.25">
      <c r="B2124" s="3">
        <f>B2123+DeltaT</f>
        <v>10535</v>
      </c>
      <c r="C2124" s="13">
        <f t="shared" si="138"/>
        <v>175.58333333333334</v>
      </c>
      <c r="D2124" s="11">
        <f t="shared" si="139"/>
        <v>1106.0194094718443</v>
      </c>
      <c r="E2124" s="23">
        <f t="shared" si="140"/>
        <v>1104.9162103019214</v>
      </c>
      <c r="F2124" s="23">
        <f>AlphaC*(D2124-E2124)</f>
        <v>27.57997924807114</v>
      </c>
      <c r="G2124" s="13">
        <f>Phi*EpsilonF*Botzman/10^8*J2124*((D2124+273)^4-(E2124+273)^4)</f>
        <v>458.75939654102962</v>
      </c>
      <c r="H2124" s="23">
        <f t="shared" si="141"/>
        <v>650</v>
      </c>
      <c r="I2124" s="12">
        <f>ksh*Massivete/(H2124*RhoA)*DeltaT*(F2124+G2124)</f>
        <v>7.1735177283202278E-2</v>
      </c>
      <c r="J2124" s="3">
        <f>IF(E2124&lt;=500,IF(Galva=Oui,0.35,0.7),0.7)</f>
        <v>0.7</v>
      </c>
    </row>
    <row r="2125" spans="2:10" x14ac:dyDescent="0.25">
      <c r="B2125" s="3">
        <f>B2124+DeltaT</f>
        <v>10540</v>
      </c>
      <c r="C2125" s="13">
        <f t="shared" si="138"/>
        <v>175.66666666666666</v>
      </c>
      <c r="D2125" s="11">
        <f t="shared" si="139"/>
        <v>1106.0904533784653</v>
      </c>
      <c r="E2125" s="23">
        <f t="shared" si="140"/>
        <v>1104.9879454792047</v>
      </c>
      <c r="F2125" s="23">
        <f>AlphaC*(D2125-E2125)</f>
        <v>27.562697481516807</v>
      </c>
      <c r="G2125" s="13">
        <f>Phi*EpsilonF*Botzman/10^8*J2125*((D2125+273)^4-(E2125+273)^4)</f>
        <v>458.54317045321</v>
      </c>
      <c r="H2125" s="23">
        <f t="shared" si="141"/>
        <v>650</v>
      </c>
      <c r="I2125" s="12">
        <f>ksh*Massivete/(H2125*RhoA)*DeltaT*(F2125+G2125)</f>
        <v>7.1700734817376113E-2</v>
      </c>
      <c r="J2125" s="3">
        <f>IF(E2125&lt;=500,IF(Galva=Oui,0.35,0.7),0.7)</f>
        <v>0.7</v>
      </c>
    </row>
    <row r="2126" spans="2:10" x14ac:dyDescent="0.25">
      <c r="B2126" s="3">
        <f>B2125+DeltaT</f>
        <v>10545</v>
      </c>
      <c r="C2126" s="13">
        <f t="shared" si="138"/>
        <v>175.75</v>
      </c>
      <c r="D2126" s="11">
        <f t="shared" si="139"/>
        <v>1106.1614636149873</v>
      </c>
      <c r="E2126" s="23">
        <f t="shared" si="140"/>
        <v>1105.059646214022</v>
      </c>
      <c r="F2126" s="23">
        <f>AlphaC*(D2126-E2126)</f>
        <v>27.545435024131848</v>
      </c>
      <c r="G2126" s="13">
        <f>Phi*EpsilonF*Botzman/10^8*J2126*((D2126+273)^4-(E2126+273)^4)</f>
        <v>458.32714972852398</v>
      </c>
      <c r="H2126" s="23">
        <f t="shared" si="141"/>
        <v>650</v>
      </c>
      <c r="I2126" s="12">
        <f>ksh*Massivete/(H2126*RhoA)*DeltaT*(F2126+G2126)</f>
        <v>7.1666325490769775E-2</v>
      </c>
      <c r="J2126" s="3">
        <f>IF(E2126&lt;=500,IF(Galva=Oui,0.35,0.7),0.7)</f>
        <v>0.7</v>
      </c>
    </row>
    <row r="2127" spans="2:10" x14ac:dyDescent="0.25">
      <c r="B2127" s="3">
        <f>B2126+DeltaT</f>
        <v>10550</v>
      </c>
      <c r="C2127" s="13">
        <f t="shared" si="138"/>
        <v>175.83333333333334</v>
      </c>
      <c r="D2127" s="11">
        <f t="shared" si="139"/>
        <v>1106.2324402133095</v>
      </c>
      <c r="E2127" s="23">
        <f t="shared" si="140"/>
        <v>1105.1313125395127</v>
      </c>
      <c r="F2127" s="23">
        <f>AlphaC*(D2127-E2127)</f>
        <v>27.528191844919547</v>
      </c>
      <c r="G2127" s="13">
        <f>Phi*EpsilonF*Botzman/10^8*J2127*((D2127+273)^4-(E2127+273)^4)</f>
        <v>458.11133407303703</v>
      </c>
      <c r="H2127" s="23">
        <f t="shared" si="141"/>
        <v>650</v>
      </c>
      <c r="I2127" s="12">
        <f>ksh*Massivete/(H2127*RhoA)*DeltaT*(F2127+G2127)</f>
        <v>7.1631949255455823E-2</v>
      </c>
      <c r="J2127" s="3">
        <f>IF(E2127&lt;=500,IF(Galva=Oui,0.35,0.7),0.7)</f>
        <v>0.7</v>
      </c>
    </row>
    <row r="2128" spans="2:10" x14ac:dyDescent="0.25">
      <c r="B2128" s="3">
        <f>B2127+DeltaT</f>
        <v>10555</v>
      </c>
      <c r="C2128" s="13">
        <f t="shared" si="138"/>
        <v>175.91666666666666</v>
      </c>
      <c r="D2128" s="11">
        <f t="shared" si="139"/>
        <v>1106.3033832052868</v>
      </c>
      <c r="E2128" s="23">
        <f t="shared" si="140"/>
        <v>1105.2029444887683</v>
      </c>
      <c r="F2128" s="23">
        <f>AlphaC*(D2128-E2128)</f>
        <v>27.510967912962769</v>
      </c>
      <c r="G2128" s="13">
        <f>Phi*EpsilonF*Botzman/10^8*J2128*((D2128+273)^4-(E2128+273)^4)</f>
        <v>457.8957231935895</v>
      </c>
      <c r="H2128" s="23">
        <f t="shared" si="141"/>
        <v>650</v>
      </c>
      <c r="I2128" s="12">
        <f>ksh*Massivete/(H2128*RhoA)*DeltaT*(F2128+G2128)</f>
        <v>7.1597606063632843E-2</v>
      </c>
      <c r="J2128" s="3">
        <f>IF(E2128&lt;=500,IF(Galva=Oui,0.35,0.7),0.7)</f>
        <v>0.7</v>
      </c>
    </row>
    <row r="2129" spans="2:10" x14ac:dyDescent="0.25">
      <c r="B2129" s="3">
        <f>B2128+DeltaT</f>
        <v>10560</v>
      </c>
      <c r="C2129" s="13">
        <f t="shared" si="138"/>
        <v>176</v>
      </c>
      <c r="D2129" s="11">
        <f t="shared" si="139"/>
        <v>1106.3742926227278</v>
      </c>
      <c r="E2129" s="23">
        <f t="shared" si="140"/>
        <v>1105.274542094832</v>
      </c>
      <c r="F2129" s="23">
        <f>AlphaC*(D2129-E2129)</f>
        <v>27.493763197395538</v>
      </c>
      <c r="G2129" s="13">
        <f>Phi*EpsilonF*Botzman/10^8*J2129*((D2129+273)^4-(E2129+273)^4)</f>
        <v>457.6803167974096</v>
      </c>
      <c r="H2129" s="23">
        <f t="shared" si="141"/>
        <v>650</v>
      </c>
      <c r="I2129" s="12">
        <f>ksh*Massivete/(H2129*RhoA)*DeltaT*(F2129+G2129)</f>
        <v>7.1563295867564214E-2</v>
      </c>
      <c r="J2129" s="3">
        <f>IF(E2129&lt;=500,IF(Galva=Oui,0.35,0.7),0.7)</f>
        <v>0.7</v>
      </c>
    </row>
    <row r="2130" spans="2:10" x14ac:dyDescent="0.25">
      <c r="B2130" s="3">
        <f>B2129+DeltaT</f>
        <v>10565</v>
      </c>
      <c r="C2130" s="13">
        <f t="shared" ref="C2130:C2193" si="142">B2130/60</f>
        <v>176.08333333333334</v>
      </c>
      <c r="D2130" s="11">
        <f t="shared" ref="D2130:D2193" si="143">20+345*LOG(8*C2130+1,10)</f>
        <v>1106.4451684973969</v>
      </c>
      <c r="E2130" s="23">
        <f t="shared" si="140"/>
        <v>1105.3461053906994</v>
      </c>
      <c r="F2130" s="23">
        <f>AlphaC*(D2130-E2130)</f>
        <v>27.476577667437141</v>
      </c>
      <c r="G2130" s="13">
        <f>Phi*EpsilonF*Botzman/10^8*J2130*((D2130+273)^4-(E2130+273)^4)</f>
        <v>457.46511459263621</v>
      </c>
      <c r="H2130" s="23">
        <f t="shared" si="141"/>
        <v>650</v>
      </c>
      <c r="I2130" s="12">
        <f>ksh*Massivete/(H2130*RhoA)*DeltaT*(F2130+G2130)</f>
        <v>7.1529018619660156E-2</v>
      </c>
      <c r="J2130" s="3">
        <f>IF(E2130&lt;=500,IF(Galva=Oui,0.35,0.7),0.7)</f>
        <v>0.7</v>
      </c>
    </row>
    <row r="2131" spans="2:10" x14ac:dyDescent="0.25">
      <c r="B2131" s="3">
        <f>B2130+DeltaT</f>
        <v>10570</v>
      </c>
      <c r="C2131" s="13">
        <f t="shared" si="142"/>
        <v>176.16666666666666</v>
      </c>
      <c r="D2131" s="11">
        <f t="shared" si="143"/>
        <v>1106.516010861013</v>
      </c>
      <c r="E2131" s="23">
        <f t="shared" si="140"/>
        <v>1105.4176344093191</v>
      </c>
      <c r="F2131" s="23">
        <f>AlphaC*(D2131-E2131)</f>
        <v>27.459411292346658</v>
      </c>
      <c r="G2131" s="13">
        <f>Phi*EpsilonF*Botzman/10^8*J2131*((D2131+273)^4-(E2131+273)^4)</f>
        <v>457.25011628760222</v>
      </c>
      <c r="H2131" s="23">
        <f t="shared" si="141"/>
        <v>650</v>
      </c>
      <c r="I2131" s="12">
        <f>ksh*Massivete/(H2131*RhoA)*DeltaT*(F2131+G2131)</f>
        <v>7.1494774272365419E-2</v>
      </c>
      <c r="J2131" s="3">
        <f>IF(E2131&lt;=500,IF(Galva=Oui,0.35,0.7),0.7)</f>
        <v>0.7</v>
      </c>
    </row>
    <row r="2132" spans="2:10" x14ac:dyDescent="0.25">
      <c r="B2132" s="3">
        <f>B2131+DeltaT</f>
        <v>10575</v>
      </c>
      <c r="C2132" s="13">
        <f t="shared" si="142"/>
        <v>176.25</v>
      </c>
      <c r="D2132" s="11">
        <f t="shared" si="143"/>
        <v>1106.5868197452501</v>
      </c>
      <c r="E2132" s="23">
        <f t="shared" si="140"/>
        <v>1105.4891291835916</v>
      </c>
      <c r="F2132" s="23">
        <f>AlphaC*(D2132-E2132)</f>
        <v>27.442264041462749</v>
      </c>
      <c r="G2132" s="13">
        <f>Phi*EpsilonF*Botzman/10^8*J2132*((D2132+273)^4-(E2132+273)^4)</f>
        <v>457.03532159129918</v>
      </c>
      <c r="H2132" s="23">
        <f t="shared" si="141"/>
        <v>650</v>
      </c>
      <c r="I2132" s="12">
        <f>ksh*Massivete/(H2132*RhoA)*DeltaT*(F2132+G2132)</f>
        <v>7.1460562778233636E-2</v>
      </c>
      <c r="J2132" s="3">
        <f>IF(E2132&lt;=500,IF(Galva=Oui,0.35,0.7),0.7)</f>
        <v>0.7</v>
      </c>
    </row>
    <row r="2133" spans="2:10" x14ac:dyDescent="0.25">
      <c r="B2133" s="3">
        <f>B2132+DeltaT</f>
        <v>10580</v>
      </c>
      <c r="C2133" s="13">
        <f t="shared" si="142"/>
        <v>176.33333333333334</v>
      </c>
      <c r="D2133" s="11">
        <f t="shared" si="143"/>
        <v>1106.6575951817367</v>
      </c>
      <c r="E2133" s="23">
        <f t="shared" si="140"/>
        <v>1105.5605897463697</v>
      </c>
      <c r="F2133" s="23">
        <f>AlphaC*(D2133-E2133)</f>
        <v>27.425135884175234</v>
      </c>
      <c r="G2133" s="13">
        <f>Phi*EpsilonF*Botzman/10^8*J2133*((D2133+273)^4-(E2133+273)^4)</f>
        <v>456.82073021316461</v>
      </c>
      <c r="H2133" s="23">
        <f t="shared" si="141"/>
        <v>650</v>
      </c>
      <c r="I2133" s="12">
        <f>ksh*Massivete/(H2133*RhoA)*DeltaT*(F2133+G2133)</f>
        <v>7.1426384089891742E-2</v>
      </c>
      <c r="J2133" s="3">
        <f>IF(E2133&lt;=500,IF(Galva=Oui,0.35,0.7),0.7)</f>
        <v>0.7</v>
      </c>
    </row>
    <row r="2134" spans="2:10" x14ac:dyDescent="0.25">
      <c r="B2134" s="3">
        <f>B2133+DeltaT</f>
        <v>10585</v>
      </c>
      <c r="C2134" s="13">
        <f t="shared" si="142"/>
        <v>176.41666666666666</v>
      </c>
      <c r="D2134" s="11">
        <f t="shared" si="143"/>
        <v>1106.7283372020579</v>
      </c>
      <c r="E2134" s="23">
        <f t="shared" si="140"/>
        <v>1105.6320161304595</v>
      </c>
      <c r="F2134" s="23">
        <f>AlphaC*(D2134-E2134)</f>
        <v>27.408026789959195</v>
      </c>
      <c r="G2134" s="13">
        <f>Phi*EpsilonF*Botzman/10^8*J2134*((D2134+273)^4-(E2134+273)^4)</f>
        <v>456.60634186360483</v>
      </c>
      <c r="H2134" s="23">
        <f t="shared" si="141"/>
        <v>650</v>
      </c>
      <c r="I2134" s="12">
        <f>ksh*Massivete/(H2134*RhoA)*DeltaT*(F2134+G2134)</f>
        <v>7.1392238160122176E-2</v>
      </c>
      <c r="J2134" s="3">
        <f>IF(E2134&lt;=500,IF(Galva=Oui,0.35,0.7),0.7)</f>
        <v>0.7</v>
      </c>
    </row>
    <row r="2135" spans="2:10" x14ac:dyDescent="0.25">
      <c r="B2135" s="3">
        <f>B2134+DeltaT</f>
        <v>10590</v>
      </c>
      <c r="C2135" s="13">
        <f t="shared" si="142"/>
        <v>176.5</v>
      </c>
      <c r="D2135" s="11">
        <f t="shared" si="143"/>
        <v>1106.7990458377526</v>
      </c>
      <c r="E2135" s="23">
        <f t="shared" si="140"/>
        <v>1105.7034083686196</v>
      </c>
      <c r="F2135" s="23">
        <f>AlphaC*(D2135-E2135)</f>
        <v>27.390936728323823</v>
      </c>
      <c r="G2135" s="13">
        <f>Phi*EpsilonF*Botzman/10^8*J2135*((D2135+273)^4-(E2135+273)^4)</f>
        <v>456.39215625298755</v>
      </c>
      <c r="H2135" s="23">
        <f t="shared" si="141"/>
        <v>650</v>
      </c>
      <c r="I2135" s="12">
        <f>ksh*Massivete/(H2135*RhoA)*DeltaT*(F2135+G2135)</f>
        <v>7.1358124941706708E-2</v>
      </c>
      <c r="J2135" s="3">
        <f>IF(E2135&lt;=500,IF(Galva=Oui,0.35,0.7),0.7)</f>
        <v>0.7</v>
      </c>
    </row>
    <row r="2136" spans="2:10" x14ac:dyDescent="0.25">
      <c r="B2136" s="3">
        <f>B2135+DeltaT</f>
        <v>10595</v>
      </c>
      <c r="C2136" s="13">
        <f t="shared" si="142"/>
        <v>176.58333333333334</v>
      </c>
      <c r="D2136" s="11">
        <f t="shared" si="143"/>
        <v>1106.8697211203162</v>
      </c>
      <c r="E2136" s="23">
        <f t="shared" si="140"/>
        <v>1105.7747664935614</v>
      </c>
      <c r="F2136" s="23">
        <f>AlphaC*(D2136-E2136)</f>
        <v>27.373865668869257</v>
      </c>
      <c r="G2136" s="13">
        <f>Phi*EpsilonF*Botzman/10^8*J2136*((D2136+273)^4-(E2136+273)^4)</f>
        <v>456.17817309276569</v>
      </c>
      <c r="H2136" s="23">
        <f t="shared" si="141"/>
        <v>650</v>
      </c>
      <c r="I2136" s="12">
        <f>ksh*Massivete/(H2136*RhoA)*DeltaT*(F2136+G2136)</f>
        <v>7.132404438760058E-2</v>
      </c>
      <c r="J2136" s="3">
        <f>IF(E2136&lt;=500,IF(Galva=Oui,0.35,0.7),0.7)</f>
        <v>0.7</v>
      </c>
    </row>
    <row r="2137" spans="2:10" x14ac:dyDescent="0.25">
      <c r="B2137" s="3">
        <f>B2136+DeltaT</f>
        <v>10600</v>
      </c>
      <c r="C2137" s="13">
        <f t="shared" si="142"/>
        <v>176.66666666666666</v>
      </c>
      <c r="D2137" s="11">
        <f t="shared" si="143"/>
        <v>1106.9403630811987</v>
      </c>
      <c r="E2137" s="23">
        <f t="shared" si="140"/>
        <v>1105.8460905379491</v>
      </c>
      <c r="F2137" s="23">
        <f>AlphaC*(D2137-E2137)</f>
        <v>27.356813581241113</v>
      </c>
      <c r="G2137" s="13">
        <f>Phi*EpsilonF*Botzman/10^8*J2137*((D2137+273)^4-(E2137+273)^4)</f>
        <v>455.9643920944697</v>
      </c>
      <c r="H2137" s="23">
        <f t="shared" si="141"/>
        <v>650</v>
      </c>
      <c r="I2137" s="12">
        <f>ksh*Massivete/(H2137*RhoA)*DeltaT*(F2137+G2137)</f>
        <v>7.1289996450777188E-2</v>
      </c>
      <c r="J2137" s="3">
        <f>IF(E2137&lt;=500,IF(Galva=Oui,0.35,0.7),0.7)</f>
        <v>0.7</v>
      </c>
    </row>
    <row r="2138" spans="2:10" x14ac:dyDescent="0.25">
      <c r="B2138" s="3">
        <f>B2137+DeltaT</f>
        <v>10605</v>
      </c>
      <c r="C2138" s="13">
        <f t="shared" si="142"/>
        <v>176.75</v>
      </c>
      <c r="D2138" s="11">
        <f t="shared" si="143"/>
        <v>1107.0109717518067</v>
      </c>
      <c r="E2138" s="23">
        <f t="shared" si="140"/>
        <v>1105.9173805343999</v>
      </c>
      <c r="F2138" s="23">
        <f>AlphaC*(D2138-E2138)</f>
        <v>27.339780435170269</v>
      </c>
      <c r="G2138" s="13">
        <f>Phi*EpsilonF*Botzman/10^8*J2138*((D2138+273)^4-(E2138+273)^4)</f>
        <v>455.75081297079277</v>
      </c>
      <c r="H2138" s="23">
        <f t="shared" si="141"/>
        <v>650</v>
      </c>
      <c r="I2138" s="12">
        <f>ksh*Massivete/(H2138*RhoA)*DeltaT*(F2138+G2138)</f>
        <v>7.1255981084394002E-2</v>
      </c>
      <c r="J2138" s="3">
        <f>IF(E2138&lt;=500,IF(Galva=Oui,0.35,0.7),0.7)</f>
        <v>0.7</v>
      </c>
    </row>
    <row r="2139" spans="2:10" x14ac:dyDescent="0.25">
      <c r="B2139" s="3">
        <f>B2138+DeltaT</f>
        <v>10610</v>
      </c>
      <c r="C2139" s="13">
        <f t="shared" si="142"/>
        <v>176.83333333333334</v>
      </c>
      <c r="D2139" s="11">
        <f t="shared" si="143"/>
        <v>1107.0815471635008</v>
      </c>
      <c r="E2139" s="23">
        <f t="shared" si="140"/>
        <v>1105.9886365154844</v>
      </c>
      <c r="F2139" s="23">
        <f>AlphaC*(D2139-E2139)</f>
        <v>27.322766200410342</v>
      </c>
      <c r="G2139" s="13">
        <f>Phi*EpsilonF*Botzman/10^8*J2139*((D2139+273)^4-(E2139+273)^4)</f>
        <v>455.53743543421501</v>
      </c>
      <c r="H2139" s="23">
        <f t="shared" si="141"/>
        <v>650</v>
      </c>
      <c r="I2139" s="12">
        <f>ksh*Massivete/(H2139*RhoA)*DeltaT*(F2139+G2139)</f>
        <v>7.1221998241580417E-2</v>
      </c>
      <c r="J2139" s="3">
        <f>IF(E2139&lt;=500,IF(Galva=Oui,0.35,0.7),0.7)</f>
        <v>0.7</v>
      </c>
    </row>
    <row r="2140" spans="2:10" x14ac:dyDescent="0.25">
      <c r="B2140" s="3">
        <f>B2139+DeltaT</f>
        <v>10615</v>
      </c>
      <c r="C2140" s="13">
        <f t="shared" si="142"/>
        <v>176.91666666666666</v>
      </c>
      <c r="D2140" s="11">
        <f t="shared" si="143"/>
        <v>1107.1520893475988</v>
      </c>
      <c r="E2140" s="23">
        <f t="shared" si="140"/>
        <v>1106.0598585137259</v>
      </c>
      <c r="F2140" s="23">
        <f>AlphaC*(D2140-E2140)</f>
        <v>27.305770846822952</v>
      </c>
      <c r="G2140" s="13">
        <f>Phi*EpsilonF*Botzman/10^8*J2140*((D2140+273)^4-(E2140+273)^4)</f>
        <v>455.32425919843735</v>
      </c>
      <c r="H2140" s="23">
        <f t="shared" si="141"/>
        <v>650</v>
      </c>
      <c r="I2140" s="12">
        <f>ksh*Massivete/(H2140*RhoA)*DeltaT*(F2140+G2140)</f>
        <v>7.1188047875661825E-2</v>
      </c>
      <c r="J2140" s="3">
        <f>IF(E2140&lt;=500,IF(Galva=Oui,0.35,0.7),0.7)</f>
        <v>0.7</v>
      </c>
    </row>
    <row r="2141" spans="2:10" x14ac:dyDescent="0.25">
      <c r="B2141" s="3">
        <f>B2140+DeltaT</f>
        <v>10620</v>
      </c>
      <c r="C2141" s="13">
        <f t="shared" si="142"/>
        <v>177</v>
      </c>
      <c r="D2141" s="11">
        <f t="shared" si="143"/>
        <v>1107.2225983353737</v>
      </c>
      <c r="E2141" s="23">
        <f t="shared" si="140"/>
        <v>1106.1310465616016</v>
      </c>
      <c r="F2141" s="23">
        <f>AlphaC*(D2141-E2141)</f>
        <v>27.288794344303824</v>
      </c>
      <c r="G2141" s="13">
        <f>Phi*EpsilonF*Botzman/10^8*J2141*((D2141+273)^4-(E2141+273)^4)</f>
        <v>455.11128397729652</v>
      </c>
      <c r="H2141" s="23">
        <f t="shared" si="141"/>
        <v>650</v>
      </c>
      <c r="I2141" s="12">
        <f>ksh*Massivete/(H2141*RhoA)*DeltaT*(F2141+G2141)</f>
        <v>7.1154129939988695E-2</v>
      </c>
      <c r="J2141" s="3">
        <f>IF(E2141&lt;=500,IF(Galva=Oui,0.35,0.7),0.7)</f>
        <v>0.7</v>
      </c>
    </row>
    <row r="2142" spans="2:10" x14ac:dyDescent="0.25">
      <c r="B2142" s="3">
        <f>B2141+DeltaT</f>
        <v>10625</v>
      </c>
      <c r="C2142" s="13">
        <f t="shared" si="142"/>
        <v>177.08333333333334</v>
      </c>
      <c r="D2142" s="11">
        <f t="shared" si="143"/>
        <v>1107.2930741580544</v>
      </c>
      <c r="E2142" s="23">
        <f t="shared" si="140"/>
        <v>1106.2022006915415</v>
      </c>
      <c r="F2142" s="23">
        <f>AlphaC*(D2142-E2142)</f>
        <v>27.271836662822579</v>
      </c>
      <c r="G2142" s="13">
        <f>Phi*EpsilonF*Botzman/10^8*J2142*((D2142+273)^4-(E2142+273)^4)</f>
        <v>454.89850948538498</v>
      </c>
      <c r="H2142" s="23">
        <f t="shared" si="141"/>
        <v>650</v>
      </c>
      <c r="I2142" s="12">
        <f>ksh*Massivete/(H2142*RhoA)*DeltaT*(F2142+G2142)</f>
        <v>7.1120244388033854E-2</v>
      </c>
      <c r="J2142" s="3">
        <f>IF(E2142&lt;=500,IF(Galva=Oui,0.35,0.7),0.7)</f>
        <v>0.7</v>
      </c>
    </row>
    <row r="2143" spans="2:10" x14ac:dyDescent="0.25">
      <c r="B2143" s="3">
        <f>B2142+DeltaT</f>
        <v>10630</v>
      </c>
      <c r="C2143" s="13">
        <f t="shared" si="142"/>
        <v>177.16666666666666</v>
      </c>
      <c r="D2143" s="11">
        <f t="shared" si="143"/>
        <v>1107.3635168468259</v>
      </c>
      <c r="E2143" s="23">
        <f t="shared" si="140"/>
        <v>1106.2733209359296</v>
      </c>
      <c r="F2143" s="23">
        <f>AlphaC*(D2143-E2143)</f>
        <v>27.254897772405684</v>
      </c>
      <c r="G2143" s="13">
        <f>Phi*EpsilonF*Botzman/10^8*J2143*((D2143+273)^4-(E2143+273)^4)</f>
        <v>454.68593543758578</v>
      </c>
      <c r="H2143" s="23">
        <f t="shared" si="141"/>
        <v>650</v>
      </c>
      <c r="I2143" s="12">
        <f>ksh*Massivete/(H2143*RhoA)*DeltaT*(F2143+G2143)</f>
        <v>7.108639117332137E-2</v>
      </c>
      <c r="J2143" s="3">
        <f>IF(E2143&lt;=500,IF(Galva=Oui,0.35,0.7),0.7)</f>
        <v>0.7</v>
      </c>
    </row>
    <row r="2144" spans="2:10" x14ac:dyDescent="0.25">
      <c r="B2144" s="3">
        <f>B2143+DeltaT</f>
        <v>10635</v>
      </c>
      <c r="C2144" s="13">
        <f t="shared" si="142"/>
        <v>177.25</v>
      </c>
      <c r="D2144" s="11">
        <f t="shared" si="143"/>
        <v>1107.4339264328285</v>
      </c>
      <c r="E2144" s="23">
        <f t="shared" si="140"/>
        <v>1106.344407327103</v>
      </c>
      <c r="F2144" s="23">
        <f>AlphaC*(D2144-E2144)</f>
        <v>27.237977643136446</v>
      </c>
      <c r="G2144" s="13">
        <f>Phi*EpsilonF*Botzman/10^8*J2144*((D2144+273)^4-(E2144+273)^4)</f>
        <v>454.47356154955742</v>
      </c>
      <c r="H2144" s="23">
        <f t="shared" si="141"/>
        <v>650</v>
      </c>
      <c r="I2144" s="12">
        <f>ksh*Massivete/(H2144*RhoA)*DeltaT*(F2144+G2144)</f>
        <v>7.1052570249498098E-2</v>
      </c>
      <c r="J2144" s="3">
        <f>IF(E2144&lt;=500,IF(Galva=Oui,0.35,0.7),0.7)</f>
        <v>0.7</v>
      </c>
    </row>
    <row r="2145" spans="2:10" x14ac:dyDescent="0.25">
      <c r="B2145" s="3">
        <f>B2144+DeltaT</f>
        <v>10640</v>
      </c>
      <c r="C2145" s="13">
        <f t="shared" si="142"/>
        <v>177.33333333333334</v>
      </c>
      <c r="D2145" s="11">
        <f t="shared" si="143"/>
        <v>1107.5043029471597</v>
      </c>
      <c r="E2145" s="23">
        <f t="shared" si="140"/>
        <v>1106.4154598973525</v>
      </c>
      <c r="F2145" s="23">
        <f>AlphaC*(D2145-E2145)</f>
        <v>27.221076245177755</v>
      </c>
      <c r="G2145" s="13">
        <f>Phi*EpsilonF*Botzman/10^8*J2145*((D2145+273)^4-(E2145+273)^4)</f>
        <v>454.26138753742333</v>
      </c>
      <c r="H2145" s="23">
        <f t="shared" si="141"/>
        <v>650</v>
      </c>
      <c r="I2145" s="12">
        <f>ksh*Massivete/(H2145*RhoA)*DeltaT*(F2145+G2145)</f>
        <v>7.1018781570291192E-2</v>
      </c>
      <c r="J2145" s="3">
        <f>IF(E2145&lt;=500,IF(Galva=Oui,0.35,0.7),0.7)</f>
        <v>0.7</v>
      </c>
    </row>
    <row r="2146" spans="2:10" x14ac:dyDescent="0.25">
      <c r="B2146" s="3">
        <f>B2145+DeltaT</f>
        <v>10645</v>
      </c>
      <c r="C2146" s="13">
        <f t="shared" si="142"/>
        <v>177.41666666666666</v>
      </c>
      <c r="D2146" s="11">
        <f t="shared" si="143"/>
        <v>1107.5746464208728</v>
      </c>
      <c r="E2146" s="23">
        <f t="shared" si="140"/>
        <v>1106.4864786789228</v>
      </c>
      <c r="F2146" s="23">
        <f>AlphaC*(D2146-E2146)</f>
        <v>27.204193548749345</v>
      </c>
      <c r="G2146" s="13">
        <f>Phi*EpsilonF*Botzman/10^8*J2146*((D2146+273)^4-(E2146+273)^4)</f>
        <v>454.04941311798524</v>
      </c>
      <c r="H2146" s="23">
        <f t="shared" si="141"/>
        <v>650</v>
      </c>
      <c r="I2146" s="12">
        <f>ksh*Massivete/(H2146*RhoA)*DeltaT*(F2146+G2146)</f>
        <v>7.0985025089536233E-2</v>
      </c>
      <c r="J2146" s="3">
        <f>IF(E2146&lt;=500,IF(Galva=Oui,0.35,0.7),0.7)</f>
        <v>0.7</v>
      </c>
    </row>
    <row r="2147" spans="2:10" x14ac:dyDescent="0.25">
      <c r="B2147" s="3">
        <f>B2146+DeltaT</f>
        <v>10650</v>
      </c>
      <c r="C2147" s="13">
        <f t="shared" si="142"/>
        <v>177.5</v>
      </c>
      <c r="D2147" s="11">
        <f t="shared" si="143"/>
        <v>1107.6449568849769</v>
      </c>
      <c r="E2147" s="23">
        <f t="shared" si="140"/>
        <v>1106.5574637040124</v>
      </c>
      <c r="F2147" s="23">
        <f>AlphaC*(D2147-E2147)</f>
        <v>27.187329524110737</v>
      </c>
      <c r="G2147" s="13">
        <f>Phi*EpsilonF*Botzman/10^8*J2147*((D2147+273)^4-(E2147+273)^4)</f>
        <v>453.83763800823874</v>
      </c>
      <c r="H2147" s="23">
        <f t="shared" si="141"/>
        <v>650</v>
      </c>
      <c r="I2147" s="12">
        <f>ksh*Massivete/(H2147*RhoA)*DeltaT*(F2147+G2147)</f>
        <v>7.0951300761103259E-2</v>
      </c>
      <c r="J2147" s="3">
        <f>IF(E2147&lt;=500,IF(Galva=Oui,0.35,0.7),0.7)</f>
        <v>0.7</v>
      </c>
    </row>
    <row r="2148" spans="2:10" x14ac:dyDescent="0.25">
      <c r="B2148" s="3">
        <f>B2147+DeltaT</f>
        <v>10655</v>
      </c>
      <c r="C2148" s="13">
        <f t="shared" si="142"/>
        <v>177.58333333333334</v>
      </c>
      <c r="D2148" s="11">
        <f t="shared" si="143"/>
        <v>1107.7152343704383</v>
      </c>
      <c r="E2148" s="23">
        <f t="shared" si="140"/>
        <v>1106.6284150047736</v>
      </c>
      <c r="F2148" s="23">
        <f>AlphaC*(D2148-E2148)</f>
        <v>27.17048414161809</v>
      </c>
      <c r="G2148" s="13">
        <f>Phi*EpsilonF*Botzman/10^8*J2148*((D2148+273)^4-(E2148+273)^4)</f>
        <v>453.6260619260903</v>
      </c>
      <c r="H2148" s="23">
        <f t="shared" si="141"/>
        <v>650</v>
      </c>
      <c r="I2148" s="12">
        <f>ksh*Massivete/(H2148*RhoA)*DeltaT*(F2148+G2148)</f>
        <v>7.0917608539010968E-2</v>
      </c>
      <c r="J2148" s="3">
        <f>IF(E2148&lt;=500,IF(Galva=Oui,0.35,0.7),0.7)</f>
        <v>0.7</v>
      </c>
    </row>
    <row r="2149" spans="2:10" x14ac:dyDescent="0.25">
      <c r="B2149" s="3">
        <f>B2148+DeltaT</f>
        <v>10660</v>
      </c>
      <c r="C2149" s="13">
        <f t="shared" si="142"/>
        <v>177.66666666666666</v>
      </c>
      <c r="D2149" s="11">
        <f t="shared" si="143"/>
        <v>1107.7854789081791</v>
      </c>
      <c r="E2149" s="23">
        <f t="shared" si="140"/>
        <v>1106.6993326133127</v>
      </c>
      <c r="F2149" s="23">
        <f>AlphaC*(D2149-E2149)</f>
        <v>27.153657371661666</v>
      </c>
      <c r="G2149" s="13">
        <f>Phi*EpsilonF*Botzman/10^8*J2149*((D2149+273)^4-(E2149+273)^4)</f>
        <v>453.41468458973696</v>
      </c>
      <c r="H2149" s="23">
        <f t="shared" si="141"/>
        <v>650</v>
      </c>
      <c r="I2149" s="12">
        <f>ksh*Massivete/(H2149*RhoA)*DeltaT*(F2149+G2149)</f>
        <v>7.0883948377325881E-2</v>
      </c>
      <c r="J2149" s="3">
        <f>IF(E2149&lt;=500,IF(Galva=Oui,0.35,0.7),0.7)</f>
        <v>0.7</v>
      </c>
    </row>
    <row r="2150" spans="2:10" x14ac:dyDescent="0.25">
      <c r="B2150" s="3">
        <f>B2149+DeltaT</f>
        <v>10665</v>
      </c>
      <c r="C2150" s="13">
        <f t="shared" si="142"/>
        <v>177.75</v>
      </c>
      <c r="D2150" s="11">
        <f t="shared" si="143"/>
        <v>1107.8556905290779</v>
      </c>
      <c r="E2150" s="23">
        <f t="shared" si="140"/>
        <v>1106.7702165616899</v>
      </c>
      <c r="F2150" s="23">
        <f>AlphaC*(D2150-E2150)</f>
        <v>27.13684918469994</v>
      </c>
      <c r="G2150" s="13">
        <f>Phi*EpsilonF*Botzman/10^8*J2150*((D2150+273)^4-(E2150+273)^4)</f>
        <v>453.20350571795734</v>
      </c>
      <c r="H2150" s="23">
        <f t="shared" si="141"/>
        <v>650</v>
      </c>
      <c r="I2150" s="12">
        <f>ksh*Massivete/(H2150*RhoA)*DeltaT*(F2150+G2150)</f>
        <v>7.0850320230210401E-2</v>
      </c>
      <c r="J2150" s="3">
        <f>IF(E2150&lt;=500,IF(Galva=Oui,0.35,0.7),0.7)</f>
        <v>0.7</v>
      </c>
    </row>
    <row r="2151" spans="2:10" x14ac:dyDescent="0.25">
      <c r="B2151" s="3">
        <f>B2150+DeltaT</f>
        <v>10670</v>
      </c>
      <c r="C2151" s="13">
        <f t="shared" si="142"/>
        <v>177.83333333333334</v>
      </c>
      <c r="D2151" s="11">
        <f t="shared" si="143"/>
        <v>1107.9258692639705</v>
      </c>
      <c r="E2151" s="23">
        <f t="shared" si="140"/>
        <v>1106.8410668819201</v>
      </c>
      <c r="F2151" s="23">
        <f>AlphaC*(D2151-E2151)</f>
        <v>27.120059551259601</v>
      </c>
      <c r="G2151" s="13">
        <f>Phi*EpsilonF*Botzman/10^8*J2151*((D2151+273)^4-(E2151+273)^4)</f>
        <v>452.99252503013071</v>
      </c>
      <c r="H2151" s="23">
        <f t="shared" si="141"/>
        <v>650</v>
      </c>
      <c r="I2151" s="12">
        <f>ksh*Massivete/(H2151*RhoA)*DeltaT*(F2151+G2151)</f>
        <v>7.0816724051925573E-2</v>
      </c>
      <c r="J2151" s="3">
        <f>IF(E2151&lt;=500,IF(Galva=Oui,0.35,0.7),0.7)</f>
        <v>0.7</v>
      </c>
    </row>
    <row r="2152" spans="2:10" x14ac:dyDescent="0.25">
      <c r="B2152" s="3">
        <f>B2151+DeltaT</f>
        <v>10675</v>
      </c>
      <c r="C2152" s="13">
        <f t="shared" si="142"/>
        <v>177.91666666666666</v>
      </c>
      <c r="D2152" s="11">
        <f t="shared" si="143"/>
        <v>1107.9960151436492</v>
      </c>
      <c r="E2152" s="23">
        <f t="shared" si="140"/>
        <v>1106.911883605972</v>
      </c>
      <c r="F2152" s="23">
        <f>AlphaC*(D2152-E2152)</f>
        <v>27.103288441929863</v>
      </c>
      <c r="G2152" s="13">
        <f>Phi*EpsilonF*Botzman/10^8*J2152*((D2152+273)^4-(E2152+273)^4)</f>
        <v>452.78174224621768</v>
      </c>
      <c r="H2152" s="23">
        <f t="shared" si="141"/>
        <v>650</v>
      </c>
      <c r="I2152" s="12">
        <f>ksh*Massivete/(H2152*RhoA)*DeltaT*(F2152+G2152)</f>
        <v>7.078315979682745E-2</v>
      </c>
      <c r="J2152" s="3">
        <f>IF(E2152&lt;=500,IF(Galva=Oui,0.35,0.7),0.7)</f>
        <v>0.7</v>
      </c>
    </row>
    <row r="2153" spans="2:10" x14ac:dyDescent="0.25">
      <c r="B2153" s="3">
        <f>B2152+DeltaT</f>
        <v>10680</v>
      </c>
      <c r="C2153" s="13">
        <f t="shared" si="142"/>
        <v>178</v>
      </c>
      <c r="D2153" s="11">
        <f t="shared" si="143"/>
        <v>1108.0661281988625</v>
      </c>
      <c r="E2153" s="23">
        <f t="shared" si="140"/>
        <v>1106.9826667657687</v>
      </c>
      <c r="F2153" s="23">
        <f>AlphaC*(D2153-E2153)</f>
        <v>27.086535827345415</v>
      </c>
      <c r="G2153" s="13">
        <f>Phi*EpsilonF*Botzman/10^8*J2153*((D2153+273)^4-(E2153+273)^4)</f>
        <v>452.57115708652788</v>
      </c>
      <c r="H2153" s="23">
        <f t="shared" si="141"/>
        <v>650</v>
      </c>
      <c r="I2153" s="12">
        <f>ksh*Massivete/(H2153*RhoA)*DeltaT*(F2153+G2153)</f>
        <v>7.0749627419330205E-2</v>
      </c>
      <c r="J2153" s="3">
        <f>IF(E2153&lt;=500,IF(Galva=Oui,0.35,0.7),0.7)</f>
        <v>0.7</v>
      </c>
    </row>
    <row r="2154" spans="2:10" x14ac:dyDescent="0.25">
      <c r="B2154" s="3">
        <f>B2153+DeltaT</f>
        <v>10685</v>
      </c>
      <c r="C2154" s="13">
        <f t="shared" si="142"/>
        <v>178.08333333333334</v>
      </c>
      <c r="D2154" s="11">
        <f t="shared" si="143"/>
        <v>1108.1362084603161</v>
      </c>
      <c r="E2154" s="23">
        <f t="shared" si="140"/>
        <v>1107.0534163931879</v>
      </c>
      <c r="F2154" s="23">
        <f>AlphaC*(D2154-E2154)</f>
        <v>27.069801678203476</v>
      </c>
      <c r="G2154" s="13">
        <f>Phi*EpsilonF*Botzman/10^8*J2154*((D2154+273)^4-(E2154+273)^4)</f>
        <v>452.36076927181654</v>
      </c>
      <c r="H2154" s="23">
        <f t="shared" si="141"/>
        <v>650</v>
      </c>
      <c r="I2154" s="12">
        <f>ksh*Massivete/(H2154*RhoA)*DeltaT*(F2154+G2154)</f>
        <v>7.0716126873923021E-2</v>
      </c>
      <c r="J2154" s="3">
        <f>IF(E2154&lt;=500,IF(Galva=Oui,0.35,0.7),0.7)</f>
        <v>0.7</v>
      </c>
    </row>
    <row r="2155" spans="2:10" x14ac:dyDescent="0.25">
      <c r="B2155" s="3">
        <f>B2154+DeltaT</f>
        <v>10690</v>
      </c>
      <c r="C2155" s="13">
        <f t="shared" si="142"/>
        <v>178.16666666666666</v>
      </c>
      <c r="D2155" s="11">
        <f t="shared" si="143"/>
        <v>1108.2062559586732</v>
      </c>
      <c r="E2155" s="23">
        <f t="shared" si="140"/>
        <v>1107.1241325200619</v>
      </c>
      <c r="F2155" s="23">
        <f>AlphaC*(D2155-E2155)</f>
        <v>27.053085965280843</v>
      </c>
      <c r="G2155" s="13">
        <f>Phi*EpsilonF*Botzman/10^8*J2155*((D2155+273)^4-(E2155+273)^4)</f>
        <v>452.15057852373036</v>
      </c>
      <c r="H2155" s="23">
        <f t="shared" si="141"/>
        <v>650</v>
      </c>
      <c r="I2155" s="12">
        <f>ksh*Massivete/(H2155*RhoA)*DeltaT*(F2155+G2155)</f>
        <v>7.0682658115238287E-2</v>
      </c>
      <c r="J2155" s="3">
        <f>IF(E2155&lt;=500,IF(Galva=Oui,0.35,0.7),0.7)</f>
        <v>0.7</v>
      </c>
    </row>
    <row r="2156" spans="2:10" x14ac:dyDescent="0.25">
      <c r="B2156" s="3">
        <f>B2155+DeltaT</f>
        <v>10695</v>
      </c>
      <c r="C2156" s="13">
        <f t="shared" si="142"/>
        <v>178.25</v>
      </c>
      <c r="D2156" s="11">
        <f t="shared" si="143"/>
        <v>1108.2762707245531</v>
      </c>
      <c r="E2156" s="23">
        <f t="shared" si="140"/>
        <v>1107.1948151781771</v>
      </c>
      <c r="F2156" s="23">
        <f>AlphaC*(D2156-E2156)</f>
        <v>27.03638865939979</v>
      </c>
      <c r="G2156" s="13">
        <f>Phi*EpsilonF*Botzman/10^8*J2156*((D2156+273)^4-(E2156+273)^4)</f>
        <v>451.94058456426501</v>
      </c>
      <c r="H2156" s="23">
        <f t="shared" si="141"/>
        <v>650</v>
      </c>
      <c r="I2156" s="12">
        <f>ksh*Massivete/(H2156*RhoA)*DeltaT*(F2156+G2156)</f>
        <v>7.0649221097966564E-2</v>
      </c>
      <c r="J2156" s="3">
        <f>IF(E2156&lt;=500,IF(Galva=Oui,0.35,0.7),0.7)</f>
        <v>0.7</v>
      </c>
    </row>
    <row r="2157" spans="2:10" x14ac:dyDescent="0.25">
      <c r="B2157" s="3">
        <f>B2156+DeltaT</f>
        <v>10700</v>
      </c>
      <c r="C2157" s="13">
        <f t="shared" si="142"/>
        <v>178.33333333333334</v>
      </c>
      <c r="D2157" s="11">
        <f t="shared" si="143"/>
        <v>1108.3462527885329</v>
      </c>
      <c r="E2157" s="23">
        <f t="shared" si="140"/>
        <v>1107.2654643992751</v>
      </c>
      <c r="F2157" s="23">
        <f>AlphaC*(D2157-E2157)</f>
        <v>27.019709731445118</v>
      </c>
      <c r="G2157" s="13">
        <f>Phi*EpsilonF*Botzman/10^8*J2157*((D2157+273)^4-(E2157+273)^4)</f>
        <v>451.73078711588113</v>
      </c>
      <c r="H2157" s="23">
        <f t="shared" si="141"/>
        <v>650</v>
      </c>
      <c r="I2157" s="12">
        <f>ksh*Massivete/(H2157*RhoA)*DeltaT*(F2157+G2157)</f>
        <v>7.0615815776876242E-2</v>
      </c>
      <c r="J2157" s="3">
        <f>IF(E2157&lt;=500,IF(Galva=Oui,0.35,0.7),0.7)</f>
        <v>0.7</v>
      </c>
    </row>
    <row r="2158" spans="2:10" x14ac:dyDescent="0.25">
      <c r="B2158" s="3">
        <f>B2157+DeltaT</f>
        <v>10705</v>
      </c>
      <c r="C2158" s="13">
        <f t="shared" si="142"/>
        <v>178.41666666666666</v>
      </c>
      <c r="D2158" s="11">
        <f t="shared" si="143"/>
        <v>1108.4162021811462</v>
      </c>
      <c r="E2158" s="23">
        <f t="shared" si="140"/>
        <v>1107.3360802150519</v>
      </c>
      <c r="F2158" s="23">
        <f>AlphaC*(D2158-E2158)</f>
        <v>27.003049152358471</v>
      </c>
      <c r="G2158" s="13">
        <f>Phi*EpsilonF*Botzman/10^8*J2158*((D2158+273)^4-(E2158+273)^4)</f>
        <v>451.52118590156272</v>
      </c>
      <c r="H2158" s="23">
        <f t="shared" si="141"/>
        <v>650</v>
      </c>
      <c r="I2158" s="12">
        <f>ksh*Massivete/(H2158*RhoA)*DeltaT*(F2158+G2158)</f>
        <v>7.0582442106821269E-2</v>
      </c>
      <c r="J2158" s="3">
        <f>IF(E2158&lt;=500,IF(Galva=Oui,0.35,0.7),0.7)</f>
        <v>0.7</v>
      </c>
    </row>
    <row r="2159" spans="2:10" x14ac:dyDescent="0.25">
      <c r="B2159" s="3">
        <f>B2158+DeltaT</f>
        <v>10710</v>
      </c>
      <c r="C2159" s="13">
        <f t="shared" si="142"/>
        <v>178.5</v>
      </c>
      <c r="D2159" s="11">
        <f t="shared" si="143"/>
        <v>1108.4861189328847</v>
      </c>
      <c r="E2159" s="23">
        <f t="shared" si="140"/>
        <v>1107.4066626571587</v>
      </c>
      <c r="F2159" s="23">
        <f>AlphaC*(D2159-E2159)</f>
        <v>26.986406893149706</v>
      </c>
      <c r="G2159" s="13">
        <f>Phi*EpsilonF*Botzman/10^8*J2159*((D2159+273)^4-(E2159+273)^4)</f>
        <v>451.31178064491382</v>
      </c>
      <c r="H2159" s="23">
        <f t="shared" si="141"/>
        <v>650</v>
      </c>
      <c r="I2159" s="12">
        <f>ksh*Massivete/(H2159*RhoA)*DeltaT*(F2159+G2159)</f>
        <v>7.0549100042757121E-2</v>
      </c>
      <c r="J2159" s="3">
        <f>IF(E2159&lt;=500,IF(Galva=Oui,0.35,0.7),0.7)</f>
        <v>0.7</v>
      </c>
    </row>
    <row r="2160" spans="2:10" x14ac:dyDescent="0.25">
      <c r="B2160" s="3">
        <f>B2159+DeltaT</f>
        <v>10715</v>
      </c>
      <c r="C2160" s="13">
        <f t="shared" si="142"/>
        <v>178.58333333333334</v>
      </c>
      <c r="D2160" s="11">
        <f t="shared" si="143"/>
        <v>1108.5560030741967</v>
      </c>
      <c r="E2160" s="23">
        <f t="shared" si="140"/>
        <v>1107.4772117572015</v>
      </c>
      <c r="F2160" s="23">
        <f>AlphaC*(D2160-E2160)</f>
        <v>26.969782924879837</v>
      </c>
      <c r="G2160" s="13">
        <f>Phi*EpsilonF*Botzman/10^8*J2160*((D2160+273)^4-(E2160+273)^4)</f>
        <v>451.10257106998438</v>
      </c>
      <c r="H2160" s="23">
        <f t="shared" si="141"/>
        <v>650</v>
      </c>
      <c r="I2160" s="12">
        <f>ksh*Massivete/(H2160*RhoA)*DeltaT*(F2160+G2160)</f>
        <v>7.0515789539712589E-2</v>
      </c>
      <c r="J2160" s="3">
        <f>IF(E2160&lt;=500,IF(Galva=Oui,0.35,0.7),0.7)</f>
        <v>0.7</v>
      </c>
    </row>
    <row r="2161" spans="2:10" x14ac:dyDescent="0.25">
      <c r="B2161" s="3">
        <f>B2160+DeltaT</f>
        <v>10720</v>
      </c>
      <c r="C2161" s="13">
        <f t="shared" si="142"/>
        <v>178.66666666666666</v>
      </c>
      <c r="D2161" s="11">
        <f t="shared" si="143"/>
        <v>1108.6258546354882</v>
      </c>
      <c r="E2161" s="23">
        <f t="shared" si="140"/>
        <v>1107.5477275467413</v>
      </c>
      <c r="F2161" s="23">
        <f>AlphaC*(D2161-E2161)</f>
        <v>26.953177218672408</v>
      </c>
      <c r="G2161" s="13">
        <f>Phi*EpsilonF*Botzman/10^8*J2161*((D2161+273)^4-(E2161+273)^4)</f>
        <v>450.89355690128923</v>
      </c>
      <c r="H2161" s="23">
        <f t="shared" si="141"/>
        <v>650</v>
      </c>
      <c r="I2161" s="12">
        <f>ksh*Massivete/(H2161*RhoA)*DeltaT*(F2161+G2161)</f>
        <v>7.0482510552794267E-2</v>
      </c>
      <c r="J2161" s="3">
        <f>IF(E2161&lt;=500,IF(Galva=Oui,0.35,0.7),0.7)</f>
        <v>0.7</v>
      </c>
    </row>
    <row r="2162" spans="2:10" x14ac:dyDescent="0.25">
      <c r="B2162" s="3">
        <f>B2161+DeltaT</f>
        <v>10725</v>
      </c>
      <c r="C2162" s="13">
        <f t="shared" si="142"/>
        <v>178.75</v>
      </c>
      <c r="D2162" s="11">
        <f t="shared" si="143"/>
        <v>1108.6956736471227</v>
      </c>
      <c r="E2162" s="23">
        <f t="shared" si="140"/>
        <v>1107.6182100572942</v>
      </c>
      <c r="F2162" s="23">
        <f>AlphaC*(D2162-E2162)</f>
        <v>26.936589745713491</v>
      </c>
      <c r="G2162" s="13">
        <f>Phi*EpsilonF*Botzman/10^8*J2162*((D2162+273)^4-(E2162+273)^4)</f>
        <v>450.68473786402177</v>
      </c>
      <c r="H2162" s="23">
        <f t="shared" si="141"/>
        <v>650</v>
      </c>
      <c r="I2162" s="12">
        <f>ksh*Massivete/(H2162*RhoA)*DeltaT*(F2162+G2162)</f>
        <v>7.0449263037218046E-2</v>
      </c>
      <c r="J2162" s="3">
        <f>IF(E2162&lt;=500,IF(Galva=Oui,0.35,0.7),0.7)</f>
        <v>0.7</v>
      </c>
    </row>
    <row r="2163" spans="2:10" x14ac:dyDescent="0.25">
      <c r="B2163" s="3">
        <f>B2162+DeltaT</f>
        <v>10730</v>
      </c>
      <c r="C2163" s="13">
        <f t="shared" si="142"/>
        <v>178.83333333333334</v>
      </c>
      <c r="D2163" s="11">
        <f t="shared" si="143"/>
        <v>1108.7654601394215</v>
      </c>
      <c r="E2163" s="23">
        <f t="shared" si="140"/>
        <v>1107.6886593203315</v>
      </c>
      <c r="F2163" s="23">
        <f>AlphaC*(D2163-E2163)</f>
        <v>26.920020477251683</v>
      </c>
      <c r="G2163" s="13">
        <f>Phi*EpsilonF*Botzman/10^8*J2163*((D2163+273)^4-(E2163+273)^4)</f>
        <v>450.4761136838984</v>
      </c>
      <c r="H2163" s="23">
        <f t="shared" si="141"/>
        <v>650</v>
      </c>
      <c r="I2163" s="12">
        <f>ksh*Massivete/(H2163*RhoA)*DeltaT*(F2163+G2163)</f>
        <v>7.0416046948286196E-2</v>
      </c>
      <c r="J2163" s="3">
        <f>IF(E2163&lt;=500,IF(Galva=Oui,0.35,0.7),0.7)</f>
        <v>0.7</v>
      </c>
    </row>
    <row r="2164" spans="2:10" x14ac:dyDescent="0.25">
      <c r="B2164" s="3">
        <f>B2163+DeltaT</f>
        <v>10735</v>
      </c>
      <c r="C2164" s="13">
        <f t="shared" si="142"/>
        <v>178.91666666666666</v>
      </c>
      <c r="D2164" s="11">
        <f t="shared" si="143"/>
        <v>1108.8352141426628</v>
      </c>
      <c r="E2164" s="23">
        <f t="shared" ref="E2164:E2227" si="144">E2163+I2163</f>
        <v>1107.7590753672798</v>
      </c>
      <c r="F2164" s="23">
        <f>AlphaC*(D2164-E2164)</f>
        <v>26.903469384575374</v>
      </c>
      <c r="G2164" s="13">
        <f>Phi*EpsilonF*Botzman/10^8*J2164*((D2164+273)^4-(E2164+273)^4)</f>
        <v>450.26768408682955</v>
      </c>
      <c r="H2164" s="23">
        <f t="shared" ref="H2164:H2227" si="145">IF(E2164&lt;600,425+0.773*E2164-1.69/1000*E2164^2+2.22/1000^2*E2164^3,IF(E2164&lt;735,666+13002/(738-E2164),IF(E2164&lt;900,545+17820/(E2164-731),650)))</f>
        <v>650</v>
      </c>
      <c r="I2164" s="12">
        <f>ksh*Massivete/(H2164*RhoA)*DeltaT*(F2164+G2164)</f>
        <v>7.0382862241335456E-2</v>
      </c>
      <c r="J2164" s="3">
        <f>IF(E2164&lt;=500,IF(Galva=Oui,0.35,0.7),0.7)</f>
        <v>0.7</v>
      </c>
    </row>
    <row r="2165" spans="2:10" x14ac:dyDescent="0.25">
      <c r="B2165" s="3">
        <f>B2164+DeltaT</f>
        <v>10740</v>
      </c>
      <c r="C2165" s="13">
        <f t="shared" si="142"/>
        <v>179</v>
      </c>
      <c r="D2165" s="11">
        <f t="shared" si="143"/>
        <v>1108.9049356870839</v>
      </c>
      <c r="E2165" s="23">
        <f t="shared" si="144"/>
        <v>1107.8294582295212</v>
      </c>
      <c r="F2165" s="23">
        <f>AlphaC*(D2165-E2165)</f>
        <v>26.886936439069586</v>
      </c>
      <c r="G2165" s="13">
        <f>Phi*EpsilonF*Botzman/10^8*J2165*((D2165+273)^4-(E2165+273)^4)</f>
        <v>450.0594487998107</v>
      </c>
      <c r="H2165" s="23">
        <f t="shared" si="145"/>
        <v>650</v>
      </c>
      <c r="I2165" s="12">
        <f>ksh*Massivete/(H2165*RhoA)*DeltaT*(F2165+G2165)</f>
        <v>7.0349708871876887E-2</v>
      </c>
      <c r="J2165" s="3">
        <f>IF(E2165&lt;=500,IF(Galva=Oui,0.35,0.7),0.7)</f>
        <v>0.7</v>
      </c>
    </row>
    <row r="2166" spans="2:10" x14ac:dyDescent="0.25">
      <c r="B2166" s="3">
        <f>B2165+DeltaT</f>
        <v>10745</v>
      </c>
      <c r="C2166" s="13">
        <f t="shared" si="142"/>
        <v>179.08333333333334</v>
      </c>
      <c r="D2166" s="11">
        <f t="shared" si="143"/>
        <v>1108.974624802878</v>
      </c>
      <c r="E2166" s="23">
        <f t="shared" si="144"/>
        <v>1107.899807938393</v>
      </c>
      <c r="F2166" s="23">
        <f>AlphaC*(D2166-E2166)</f>
        <v>26.870421612125028</v>
      </c>
      <c r="G2166" s="13">
        <f>Phi*EpsilonF*Botzman/10^8*J2166*((D2166+273)^4-(E2166+273)^4)</f>
        <v>449.85140754960497</v>
      </c>
      <c r="H2166" s="23">
        <f t="shared" si="145"/>
        <v>650</v>
      </c>
      <c r="I2166" s="12">
        <f>ksh*Massivete/(H2166*RhoA)*DeltaT*(F2166+G2166)</f>
        <v>7.0316586795388103E-2</v>
      </c>
      <c r="J2166" s="3">
        <f>IF(E2166&lt;=500,IF(Galva=Oui,0.35,0.7),0.7)</f>
        <v>0.7</v>
      </c>
    </row>
    <row r="2167" spans="2:10" x14ac:dyDescent="0.25">
      <c r="B2167" s="3">
        <f>B2166+DeltaT</f>
        <v>10750</v>
      </c>
      <c r="C2167" s="13">
        <f t="shared" si="142"/>
        <v>179.16666666666666</v>
      </c>
      <c r="D2167" s="11">
        <f t="shared" si="143"/>
        <v>1109.044281520198</v>
      </c>
      <c r="E2167" s="23">
        <f t="shared" si="144"/>
        <v>1107.9701245251883</v>
      </c>
      <c r="F2167" s="23">
        <f>AlphaC*(D2167-E2167)</f>
        <v>26.853924875240409</v>
      </c>
      <c r="G2167" s="13">
        <f>Phi*EpsilonF*Botzman/10^8*J2167*((D2167+273)^4-(E2167+273)^4)</f>
        <v>449.64356006421565</v>
      </c>
      <c r="H2167" s="23">
        <f t="shared" si="145"/>
        <v>650</v>
      </c>
      <c r="I2167" s="12">
        <f>ksh*Massivete/(H2167*RhoA)*DeltaT*(F2167+G2167)</f>
        <v>7.0283495967545559E-2</v>
      </c>
      <c r="J2167" s="3">
        <f>IF(E2167&lt;=500,IF(Galva=Oui,0.35,0.7),0.7)</f>
        <v>0.7</v>
      </c>
    </row>
    <row r="2168" spans="2:10" x14ac:dyDescent="0.25">
      <c r="B2168" s="3">
        <f>B2167+DeltaT</f>
        <v>10755</v>
      </c>
      <c r="C2168" s="13">
        <f t="shared" si="142"/>
        <v>179.25</v>
      </c>
      <c r="D2168" s="11">
        <f t="shared" si="143"/>
        <v>1109.1139058691538</v>
      </c>
      <c r="E2168" s="23">
        <f t="shared" si="144"/>
        <v>1108.0404080211558</v>
      </c>
      <c r="F2168" s="23">
        <f>AlphaC*(D2168-E2168)</f>
        <v>26.837446199948545</v>
      </c>
      <c r="G2168" s="13">
        <f>Phi*EpsilonF*Botzman/10^8*J2168*((D2168+273)^4-(E2168+273)^4)</f>
        <v>449.43590607174298</v>
      </c>
      <c r="H2168" s="23">
        <f t="shared" si="145"/>
        <v>650</v>
      </c>
      <c r="I2168" s="12">
        <f>ksh*Massivete/(H2168*RhoA)*DeltaT*(F2168+G2168)</f>
        <v>7.0250436344045084E-2</v>
      </c>
      <c r="J2168" s="3">
        <f>IF(E2168&lt;=500,IF(Galva=Oui,0.35,0.7),0.7)</f>
        <v>0.7</v>
      </c>
    </row>
    <row r="2169" spans="2:10" x14ac:dyDescent="0.25">
      <c r="B2169" s="3">
        <f>B2168+DeltaT</f>
        <v>10760</v>
      </c>
      <c r="C2169" s="13">
        <f t="shared" si="142"/>
        <v>179.33333333333334</v>
      </c>
      <c r="D2169" s="11">
        <f t="shared" si="143"/>
        <v>1109.1834978798133</v>
      </c>
      <c r="E2169" s="23">
        <f t="shared" si="144"/>
        <v>1108.1106584574998</v>
      </c>
      <c r="F2169" s="23">
        <f>AlphaC*(D2169-E2169)</f>
        <v>26.820985557839094</v>
      </c>
      <c r="G2169" s="13">
        <f>Phi*EpsilonF*Botzman/10^8*J2169*((D2169+273)^4-(E2169+273)^4)</f>
        <v>449.22844530081056</v>
      </c>
      <c r="H2169" s="23">
        <f t="shared" si="145"/>
        <v>650</v>
      </c>
      <c r="I2169" s="12">
        <f>ksh*Massivete/(H2169*RhoA)*DeltaT*(F2169+G2169)</f>
        <v>7.0217407880668048E-2</v>
      </c>
      <c r="J2169" s="3">
        <f>IF(E2169&lt;=500,IF(Galva=Oui,0.35,0.7),0.7)</f>
        <v>0.7</v>
      </c>
    </row>
    <row r="2170" spans="2:10" x14ac:dyDescent="0.25">
      <c r="B2170" s="3">
        <f>B2169+DeltaT</f>
        <v>10765</v>
      </c>
      <c r="C2170" s="13">
        <f t="shared" si="142"/>
        <v>179.41666666666666</v>
      </c>
      <c r="D2170" s="11">
        <f t="shared" si="143"/>
        <v>1109.2530575822032</v>
      </c>
      <c r="E2170" s="23">
        <f t="shared" si="144"/>
        <v>1108.1808758653804</v>
      </c>
      <c r="F2170" s="23">
        <f>AlphaC*(D2170-E2170)</f>
        <v>26.804542920569929</v>
      </c>
      <c r="G2170" s="13">
        <f>Phi*EpsilonF*Botzman/10^8*J2170*((D2170+273)^4-(E2170+273)^4)</f>
        <v>449.02117748068127</v>
      </c>
      <c r="H2170" s="23">
        <f t="shared" si="145"/>
        <v>650</v>
      </c>
      <c r="I2170" s="12">
        <f>ksh*Massivete/(H2170*RhoA)*DeltaT*(F2170+G2170)</f>
        <v>7.0184410533300171E-2</v>
      </c>
      <c r="J2170" s="3">
        <f>IF(E2170&lt;=500,IF(Galva=Oui,0.35,0.7),0.7)</f>
        <v>0.7</v>
      </c>
    </row>
    <row r="2171" spans="2:10" x14ac:dyDescent="0.25">
      <c r="B2171" s="3">
        <f>B2170+DeltaT</f>
        <v>10770</v>
      </c>
      <c r="C2171" s="13">
        <f t="shared" si="142"/>
        <v>179.5</v>
      </c>
      <c r="D2171" s="11">
        <f t="shared" si="143"/>
        <v>1109.3225850063077</v>
      </c>
      <c r="E2171" s="23">
        <f t="shared" si="144"/>
        <v>1108.2510602759137</v>
      </c>
      <c r="F2171" s="23">
        <f>AlphaC*(D2171-E2171)</f>
        <v>26.78811825985008</v>
      </c>
      <c r="G2171" s="13">
        <f>Phi*EpsilonF*Botzman/10^8*J2171*((D2171+273)^4-(E2171+273)^4)</f>
        <v>448.81410234100588</v>
      </c>
      <c r="H2171" s="23">
        <f t="shared" si="145"/>
        <v>650</v>
      </c>
      <c r="I2171" s="12">
        <f>ksh*Massivete/(H2171*RhoA)*DeltaT*(F2171+G2171)</f>
        <v>7.0151444257891979E-2</v>
      </c>
      <c r="J2171" s="3">
        <f>IF(E2171&lt;=500,IF(Galva=Oui,0.35,0.7),0.7)</f>
        <v>0.7</v>
      </c>
    </row>
    <row r="2172" spans="2:10" x14ac:dyDescent="0.25">
      <c r="B2172" s="3">
        <f>B2171+DeltaT</f>
        <v>10775</v>
      </c>
      <c r="C2172" s="13">
        <f t="shared" si="142"/>
        <v>179.58333333333334</v>
      </c>
      <c r="D2172" s="11">
        <f t="shared" si="143"/>
        <v>1109.3920801820695</v>
      </c>
      <c r="E2172" s="23">
        <f t="shared" si="144"/>
        <v>1108.3212117201715</v>
      </c>
      <c r="F2172" s="23">
        <f>AlphaC*(D2172-E2172)</f>
        <v>26.771711547451105</v>
      </c>
      <c r="G2172" s="13">
        <f>Phi*EpsilonF*Botzman/10^8*J2172*((D2172+273)^4-(E2172+273)^4)</f>
        <v>448.60721961215205</v>
      </c>
      <c r="H2172" s="23">
        <f t="shared" si="145"/>
        <v>650</v>
      </c>
      <c r="I2172" s="12">
        <f>ksh*Massivete/(H2172*RhoA)*DeltaT*(F2172+G2172)</f>
        <v>7.0118509010508923E-2</v>
      </c>
      <c r="J2172" s="3">
        <f>IF(E2172&lt;=500,IF(Galva=Oui,0.35,0.7),0.7)</f>
        <v>0.7</v>
      </c>
    </row>
    <row r="2173" spans="2:10" x14ac:dyDescent="0.25">
      <c r="B2173" s="3">
        <f>B2172+DeltaT</f>
        <v>10780</v>
      </c>
      <c r="C2173" s="13">
        <f t="shared" si="142"/>
        <v>179.66666666666666</v>
      </c>
      <c r="D2173" s="11">
        <f t="shared" si="143"/>
        <v>1109.4615431393902</v>
      </c>
      <c r="E2173" s="23">
        <f t="shared" si="144"/>
        <v>1108.3913302291819</v>
      </c>
      <c r="F2173" s="23">
        <f>AlphaC*(D2173-E2173)</f>
        <v>26.755322755207089</v>
      </c>
      <c r="G2173" s="13">
        <f>Phi*EpsilonF*Botzman/10^8*J2173*((D2173+273)^4-(E2173+273)^4)</f>
        <v>448.40052902481688</v>
      </c>
      <c r="H2173" s="23">
        <f t="shared" si="145"/>
        <v>650</v>
      </c>
      <c r="I2173" s="12">
        <f>ksh*Massivete/(H2173*RhoA)*DeltaT*(F2173+G2173)</f>
        <v>7.0085604747274266E-2</v>
      </c>
      <c r="J2173" s="3">
        <f>IF(E2173&lt;=500,IF(Galva=Oui,0.35,0.7),0.7)</f>
        <v>0.7</v>
      </c>
    </row>
    <row r="2174" spans="2:10" x14ac:dyDescent="0.25">
      <c r="B2174" s="3">
        <f>B2173+DeltaT</f>
        <v>10785</v>
      </c>
      <c r="C2174" s="13">
        <f t="shared" si="142"/>
        <v>179.75</v>
      </c>
      <c r="D2174" s="11">
        <f t="shared" si="143"/>
        <v>1109.5309739081285</v>
      </c>
      <c r="E2174" s="23">
        <f t="shared" si="144"/>
        <v>1108.4614158339291</v>
      </c>
      <c r="F2174" s="23">
        <f>AlphaC*(D2174-E2174)</f>
        <v>26.738951854986226</v>
      </c>
      <c r="G2174" s="13">
        <f>Phi*EpsilonF*Botzman/10^8*J2174*((D2174+273)^4-(E2174+273)^4)</f>
        <v>448.19403031002696</v>
      </c>
      <c r="H2174" s="23">
        <f t="shared" si="145"/>
        <v>650</v>
      </c>
      <c r="I2174" s="12">
        <f>ksh*Massivete/(H2174*RhoA)*DeltaT*(F2174+G2174)</f>
        <v>7.0052731424364939E-2</v>
      </c>
      <c r="J2174" s="3">
        <f>IF(E2174&lt;=500,IF(Galva=Oui,0.35,0.7),0.7)</f>
        <v>0.7</v>
      </c>
    </row>
    <row r="2175" spans="2:10" x14ac:dyDescent="0.25">
      <c r="B2175" s="3">
        <f>B2174+DeltaT</f>
        <v>10790</v>
      </c>
      <c r="C2175" s="13">
        <f t="shared" si="142"/>
        <v>179.83333333333334</v>
      </c>
      <c r="D2175" s="11">
        <f t="shared" si="143"/>
        <v>1109.6003725181033</v>
      </c>
      <c r="E2175" s="23">
        <f t="shared" si="144"/>
        <v>1108.5314685653534</v>
      </c>
      <c r="F2175" s="23">
        <f>AlphaC*(D2175-E2175)</f>
        <v>26.722598818747656</v>
      </c>
      <c r="G2175" s="13">
        <f>Phi*EpsilonF*Botzman/10^8*J2175*((D2175+273)^4-(E2175+273)^4)</f>
        <v>447.98772319981674</v>
      </c>
      <c r="H2175" s="23">
        <f t="shared" si="145"/>
        <v>650</v>
      </c>
      <c r="I2175" s="12">
        <f>ksh*Massivete/(H2175*RhoA)*DeltaT*(F2175+G2175)</f>
        <v>7.0019888998119909E-2</v>
      </c>
      <c r="J2175" s="3">
        <f>IF(E2175&lt;=500,IF(Galva=Oui,0.35,0.7),0.7)</f>
        <v>0.7</v>
      </c>
    </row>
    <row r="2176" spans="2:10" x14ac:dyDescent="0.25">
      <c r="B2176" s="3">
        <f>B2175+DeltaT</f>
        <v>10795</v>
      </c>
      <c r="C2176" s="13">
        <f t="shared" si="142"/>
        <v>179.91666666666666</v>
      </c>
      <c r="D2176" s="11">
        <f t="shared" si="143"/>
        <v>1109.6697389990909</v>
      </c>
      <c r="E2176" s="23">
        <f t="shared" si="144"/>
        <v>1108.6014884543515</v>
      </c>
      <c r="F2176" s="23">
        <f>AlphaC*(D2176-E2176)</f>
        <v>26.706263618484627</v>
      </c>
      <c r="G2176" s="13">
        <f>Phi*EpsilonF*Botzman/10^8*J2176*((D2176+273)^4-(E2176+273)^4)</f>
        <v>447.78160742631741</v>
      </c>
      <c r="H2176" s="23">
        <f t="shared" si="145"/>
        <v>650</v>
      </c>
      <c r="I2176" s="12">
        <f>ksh*Massivete/(H2176*RhoA)*DeltaT*(F2176+G2176)</f>
        <v>6.9987077424897459E-2</v>
      </c>
      <c r="J2176" s="3">
        <f>IF(E2176&lt;=500,IF(Galva=Oui,0.35,0.7),0.7)</f>
        <v>0.7</v>
      </c>
    </row>
    <row r="2177" spans="2:10" x14ac:dyDescent="0.25">
      <c r="B2177" s="3">
        <f>B2176+DeltaT</f>
        <v>10800</v>
      </c>
      <c r="C2177" s="13">
        <f t="shared" si="142"/>
        <v>180</v>
      </c>
      <c r="D2177" s="11">
        <f t="shared" si="143"/>
        <v>1109.7390733808261</v>
      </c>
      <c r="E2177" s="23">
        <f t="shared" si="144"/>
        <v>1108.6714755317764</v>
      </c>
      <c r="F2177" s="23">
        <f>AlphaC*(D2177-E2177)</f>
        <v>26.689946226241545</v>
      </c>
      <c r="G2177" s="13">
        <f>Phi*EpsilonF*Botzman/10^8*J2177*((D2177+273)^4-(E2177+273)^4)</f>
        <v>447.57568272195095</v>
      </c>
      <c r="H2177" s="23">
        <f t="shared" si="145"/>
        <v>650</v>
      </c>
      <c r="I2177" s="12">
        <f>ksh*Massivete/(H2177*RhoA)*DeltaT*(F2177+G2177)</f>
        <v>6.9954296661106322E-2</v>
      </c>
      <c r="J2177" s="3">
        <f>IF(E2177&lt;=500,IF(Galva=Oui,0.35,0.7),0.7)</f>
        <v>0.7</v>
      </c>
    </row>
    <row r="2178" spans="2:10" x14ac:dyDescent="0.25">
      <c r="B2178" s="3">
        <f>B2177+DeltaT</f>
        <v>10805</v>
      </c>
      <c r="C2178" s="13">
        <f t="shared" si="142"/>
        <v>180.08333333333334</v>
      </c>
      <c r="D2178" s="11">
        <f t="shared" si="143"/>
        <v>1109.8083756930039</v>
      </c>
      <c r="E2178" s="23">
        <f t="shared" si="144"/>
        <v>1108.7414298284375</v>
      </c>
      <c r="F2178" s="23">
        <f>AlphaC*(D2178-E2178)</f>
        <v>26.673646614159452</v>
      </c>
      <c r="G2178" s="13">
        <f>Phi*EpsilonF*Botzman/10^8*J2178*((D2178+273)^4-(E2178+273)^4)</f>
        <v>447.36994882051533</v>
      </c>
      <c r="H2178" s="23">
        <f t="shared" si="145"/>
        <v>650</v>
      </c>
      <c r="I2178" s="12">
        <f>ksh*Massivete/(H2178*RhoA)*DeltaT*(F2178+G2178)</f>
        <v>6.99215466633724E-2</v>
      </c>
      <c r="J2178" s="3">
        <f>IF(E2178&lt;=500,IF(Galva=Oui,0.35,0.7),0.7)</f>
        <v>0.7</v>
      </c>
    </row>
    <row r="2179" spans="2:10" x14ac:dyDescent="0.25">
      <c r="B2179" s="3">
        <f>B2178+DeltaT</f>
        <v>10810</v>
      </c>
      <c r="C2179" s="13">
        <f t="shared" si="142"/>
        <v>180.16666666666666</v>
      </c>
      <c r="D2179" s="11">
        <f t="shared" si="143"/>
        <v>1109.8776459652761</v>
      </c>
      <c r="E2179" s="23">
        <f t="shared" si="144"/>
        <v>1108.8113513751009</v>
      </c>
      <c r="F2179" s="23">
        <f>AlphaC*(D2179-E2179)</f>
        <v>26.657364754379387</v>
      </c>
      <c r="G2179" s="13">
        <f>Phi*EpsilonF*Botzman/10^8*J2179*((D2179+273)^4-(E2179+273)^4)</f>
        <v>447.16440545524642</v>
      </c>
      <c r="H2179" s="23">
        <f t="shared" si="145"/>
        <v>650</v>
      </c>
      <c r="I2179" s="12">
        <f>ksh*Massivete/(H2179*RhoA)*DeltaT*(F2179+G2179)</f>
        <v>6.9888827388238747E-2</v>
      </c>
      <c r="J2179" s="3">
        <f>IF(E2179&lt;=500,IF(Galva=Oui,0.35,0.7),0.7)</f>
        <v>0.7</v>
      </c>
    </row>
    <row r="2180" spans="2:10" x14ac:dyDescent="0.25">
      <c r="B2180" s="3">
        <f>B2179+DeltaT</f>
        <v>10815</v>
      </c>
      <c r="C2180" s="13">
        <f t="shared" si="142"/>
        <v>180.25</v>
      </c>
      <c r="D2180" s="11">
        <f t="shared" si="143"/>
        <v>1109.9468842272554</v>
      </c>
      <c r="E2180" s="23">
        <f t="shared" si="144"/>
        <v>1108.8812402024892</v>
      </c>
      <c r="F2180" s="23">
        <f>AlphaC*(D2180-E2180)</f>
        <v>26.641100619156077</v>
      </c>
      <c r="G2180" s="13">
        <f>Phi*EpsilonF*Botzman/10^8*J2180*((D2180+273)^4-(E2180+273)^4)</f>
        <v>446.95905236077544</v>
      </c>
      <c r="H2180" s="23">
        <f t="shared" si="145"/>
        <v>650</v>
      </c>
      <c r="I2180" s="12">
        <f>ksh*Massivete/(H2180*RhoA)*DeltaT*(F2180+G2180)</f>
        <v>6.9856138792470948E-2</v>
      </c>
      <c r="J2180" s="3">
        <f>IF(E2180&lt;=500,IF(Galva=Oui,0.35,0.7),0.7)</f>
        <v>0.7</v>
      </c>
    </row>
    <row r="2181" spans="2:10" x14ac:dyDescent="0.25">
      <c r="B2181" s="3">
        <f>B2180+DeltaT</f>
        <v>10820</v>
      </c>
      <c r="C2181" s="13">
        <f t="shared" si="142"/>
        <v>180.33333333333334</v>
      </c>
      <c r="D2181" s="11">
        <f t="shared" si="143"/>
        <v>1110.016090508512</v>
      </c>
      <c r="E2181" s="23">
        <f t="shared" si="144"/>
        <v>1108.9510963412815</v>
      </c>
      <c r="F2181" s="23">
        <f>AlphaC*(D2181-E2181)</f>
        <v>26.624854180761304</v>
      </c>
      <c r="G2181" s="13">
        <f>Phi*EpsilonF*Botzman/10^8*J2181*((D2181+273)^4-(E2181+273)^4)</f>
        <v>446.75388927163687</v>
      </c>
      <c r="H2181" s="23">
        <f t="shared" si="145"/>
        <v>650</v>
      </c>
      <c r="I2181" s="12">
        <f>ksh*Massivete/(H2181*RhoA)*DeltaT*(F2181+G2181)</f>
        <v>6.982348083282286E-2</v>
      </c>
      <c r="J2181" s="3">
        <f>IF(E2181&lt;=500,IF(Galva=Oui,0.35,0.7),0.7)</f>
        <v>0.7</v>
      </c>
    </row>
    <row r="2182" spans="2:10" x14ac:dyDescent="0.25">
      <c r="B2182" s="3">
        <f>B2181+DeltaT</f>
        <v>10825</v>
      </c>
      <c r="C2182" s="13">
        <f t="shared" si="142"/>
        <v>180.41666666666666</v>
      </c>
      <c r="D2182" s="11">
        <f t="shared" si="143"/>
        <v>1110.0852648385755</v>
      </c>
      <c r="E2182" s="23">
        <f t="shared" si="144"/>
        <v>1109.0209198221144</v>
      </c>
      <c r="F2182" s="23">
        <f>AlphaC*(D2182-E2182)</f>
        <v>26.608625411529374</v>
      </c>
      <c r="G2182" s="13">
        <f>Phi*EpsilonF*Botzman/10^8*J2182*((D2182+273)^4-(E2182+273)^4)</f>
        <v>446.5489159229657</v>
      </c>
      <c r="H2182" s="23">
        <f t="shared" si="145"/>
        <v>650</v>
      </c>
      <c r="I2182" s="12">
        <f>ksh*Massivete/(H2182*RhoA)*DeltaT*(F2182+G2182)</f>
        <v>6.9790853466146149E-2</v>
      </c>
      <c r="J2182" s="3">
        <f>IF(E2182&lt;=500,IF(Galva=Oui,0.35,0.7),0.7)</f>
        <v>0.7</v>
      </c>
    </row>
    <row r="2183" spans="2:10" x14ac:dyDescent="0.25">
      <c r="B2183" s="3">
        <f>B2182+DeltaT</f>
        <v>10830</v>
      </c>
      <c r="C2183" s="13">
        <f t="shared" si="142"/>
        <v>180.5</v>
      </c>
      <c r="D2183" s="11">
        <f t="shared" si="143"/>
        <v>1110.1544072469355</v>
      </c>
      <c r="E2183" s="23">
        <f t="shared" si="144"/>
        <v>1109.0907106755806</v>
      </c>
      <c r="F2183" s="23">
        <f>AlphaC*(D2183-E2183)</f>
        <v>26.592414283874177</v>
      </c>
      <c r="G2183" s="13">
        <f>Phi*EpsilonF*Botzman/10^8*J2183*((D2183+273)^4-(E2183+273)^4)</f>
        <v>446.34413205074992</v>
      </c>
      <c r="H2183" s="23">
        <f t="shared" si="145"/>
        <v>650</v>
      </c>
      <c r="I2183" s="12">
        <f>ksh*Massivete/(H2183*RhoA)*DeltaT*(F2183+G2183)</f>
        <v>6.9758256649429987E-2</v>
      </c>
      <c r="J2183" s="3">
        <f>IF(E2183&lt;=500,IF(Galva=Oui,0.35,0.7),0.7)</f>
        <v>0.7</v>
      </c>
    </row>
    <row r="2184" spans="2:10" x14ac:dyDescent="0.25">
      <c r="B2184" s="3">
        <f>B2183+DeltaT</f>
        <v>10835</v>
      </c>
      <c r="C2184" s="13">
        <f t="shared" si="142"/>
        <v>180.58333333333334</v>
      </c>
      <c r="D2184" s="11">
        <f t="shared" si="143"/>
        <v>1110.2235177630394</v>
      </c>
      <c r="E2184" s="23">
        <f t="shared" si="144"/>
        <v>1109.1604689322301</v>
      </c>
      <c r="F2184" s="23">
        <f>AlphaC*(D2184-E2184)</f>
        <v>26.576220770232339</v>
      </c>
      <c r="G2184" s="13">
        <f>Phi*EpsilonF*Botzman/10^8*J2184*((D2184+273)^4-(E2184+273)^4)</f>
        <v>446.13953739088043</v>
      </c>
      <c r="H2184" s="23">
        <f t="shared" si="145"/>
        <v>650</v>
      </c>
      <c r="I2184" s="12">
        <f>ksh*Massivete/(H2184*RhoA)*DeltaT*(F2184+G2184)</f>
        <v>6.9725690339652646E-2</v>
      </c>
      <c r="J2184" s="3">
        <f>IF(E2184&lt;=500,IF(Galva=Oui,0.35,0.7),0.7)</f>
        <v>0.7</v>
      </c>
    </row>
    <row r="2185" spans="2:10" x14ac:dyDescent="0.25">
      <c r="B2185" s="3">
        <f>B2184+DeltaT</f>
        <v>10840</v>
      </c>
      <c r="C2185" s="13">
        <f t="shared" si="142"/>
        <v>180.66666666666666</v>
      </c>
      <c r="D2185" s="11">
        <f t="shared" si="143"/>
        <v>1110.2925964162944</v>
      </c>
      <c r="E2185" s="23">
        <f t="shared" si="144"/>
        <v>1109.2301946225698</v>
      </c>
      <c r="F2185" s="23">
        <f>AlphaC*(D2185-E2185)</f>
        <v>26.560044843114383</v>
      </c>
      <c r="G2185" s="13">
        <f>Phi*EpsilonF*Botzman/10^8*J2185*((D2185+273)^4-(E2185+273)^4)</f>
        <v>445.93513168012032</v>
      </c>
      <c r="H2185" s="23">
        <f t="shared" si="145"/>
        <v>650</v>
      </c>
      <c r="I2185" s="12">
        <f>ksh*Massivete/(H2185*RhoA)*DeltaT*(F2185+G2185)</f>
        <v>6.9693154493931889E-2</v>
      </c>
      <c r="J2185" s="3">
        <f>IF(E2185&lt;=500,IF(Galva=Oui,0.35,0.7),0.7)</f>
        <v>0.7</v>
      </c>
    </row>
    <row r="2186" spans="2:10" x14ac:dyDescent="0.25">
      <c r="B2186" s="3">
        <f>B2185+DeltaT</f>
        <v>10845</v>
      </c>
      <c r="C2186" s="13">
        <f t="shared" si="142"/>
        <v>180.75</v>
      </c>
      <c r="D2186" s="11">
        <f t="shared" si="143"/>
        <v>1110.3616432360677</v>
      </c>
      <c r="E2186" s="23">
        <f t="shared" si="144"/>
        <v>1109.2998877770638</v>
      </c>
      <c r="F2186" s="23">
        <f>AlphaC*(D2186-E2186)</f>
        <v>26.543886475099043</v>
      </c>
      <c r="G2186" s="13">
        <f>Phi*EpsilonF*Botzman/10^8*J2186*((D2186+273)^4-(E2186+273)^4)</f>
        <v>445.73091465589152</v>
      </c>
      <c r="H2186" s="23">
        <f t="shared" si="145"/>
        <v>650</v>
      </c>
      <c r="I2186" s="12">
        <f>ksh*Massivete/(H2186*RhoA)*DeltaT*(F2186+G2186)</f>
        <v>6.966064906949275E-2</v>
      </c>
      <c r="J2186" s="3">
        <f>IF(E2186&lt;=500,IF(Galva=Oui,0.35,0.7),0.7)</f>
        <v>0.7</v>
      </c>
    </row>
    <row r="2187" spans="2:10" x14ac:dyDescent="0.25">
      <c r="B2187" s="3">
        <f>B2186+DeltaT</f>
        <v>10850</v>
      </c>
      <c r="C2187" s="13">
        <f t="shared" si="142"/>
        <v>180.83333333333334</v>
      </c>
      <c r="D2187" s="11">
        <f t="shared" si="143"/>
        <v>1110.4306582516856</v>
      </c>
      <c r="E2187" s="23">
        <f t="shared" si="144"/>
        <v>1109.3695484261332</v>
      </c>
      <c r="F2187" s="23">
        <f>AlphaC*(D2187-E2187)</f>
        <v>26.527745638810529</v>
      </c>
      <c r="G2187" s="13">
        <f>Phi*EpsilonF*Botzman/10^8*J2187*((D2187+273)^4-(E2187+273)^4)</f>
        <v>445.5268860558873</v>
      </c>
      <c r="H2187" s="23">
        <f t="shared" si="145"/>
        <v>650</v>
      </c>
      <c r="I2187" s="12">
        <f>ksh*Massivete/(H2187*RhoA)*DeltaT*(F2187+G2187)</f>
        <v>6.9628174023606992E-2</v>
      </c>
      <c r="J2187" s="3">
        <f>IF(E2187&lt;=500,IF(Galva=Oui,0.35,0.7),0.7)</f>
        <v>0.7</v>
      </c>
    </row>
    <row r="2188" spans="2:10" x14ac:dyDescent="0.25">
      <c r="B2188" s="3">
        <f>B2187+DeltaT</f>
        <v>10855</v>
      </c>
      <c r="C2188" s="13">
        <f t="shared" si="142"/>
        <v>180.91666666666666</v>
      </c>
      <c r="D2188" s="11">
        <f t="shared" si="143"/>
        <v>1110.4996414924328</v>
      </c>
      <c r="E2188" s="23">
        <f t="shared" si="144"/>
        <v>1109.4391766001568</v>
      </c>
      <c r="F2188" s="23">
        <f>AlphaC*(D2188-E2188)</f>
        <v>26.511622306901472</v>
      </c>
      <c r="G2188" s="13">
        <f>Phi*EpsilonF*Botzman/10^8*J2188*((D2188+273)^4-(E2188+273)^4)</f>
        <v>445.32304561785912</v>
      </c>
      <c r="H2188" s="23">
        <f t="shared" si="145"/>
        <v>650</v>
      </c>
      <c r="I2188" s="12">
        <f>ksh*Massivete/(H2188*RhoA)*DeltaT*(F2188+G2188)</f>
        <v>6.9595729313559146E-2</v>
      </c>
      <c r="J2188" s="3">
        <f>IF(E2188&lt;=500,IF(Galva=Oui,0.35,0.7),0.7)</f>
        <v>0.7</v>
      </c>
    </row>
    <row r="2189" spans="2:10" x14ac:dyDescent="0.25">
      <c r="B2189" s="3">
        <f>B2188+DeltaT</f>
        <v>10860</v>
      </c>
      <c r="C2189" s="13">
        <f t="shared" si="142"/>
        <v>181</v>
      </c>
      <c r="D2189" s="11">
        <f t="shared" si="143"/>
        <v>1110.5685929875551</v>
      </c>
      <c r="E2189" s="23">
        <f t="shared" si="144"/>
        <v>1109.5087723294703</v>
      </c>
      <c r="F2189" s="23">
        <f>AlphaC*(D2189-E2189)</f>
        <v>26.495516452121137</v>
      </c>
      <c r="G2189" s="13">
        <f>Phi*EpsilonF*Botzman/10^8*J2189*((D2189+273)^4-(E2189+273)^4)</f>
        <v>445.1193930808181</v>
      </c>
      <c r="H2189" s="23">
        <f t="shared" si="145"/>
        <v>650</v>
      </c>
      <c r="I2189" s="12">
        <f>ksh*Massivete/(H2189*RhoA)*DeltaT*(F2189+G2189)</f>
        <v>6.9563314896833789E-2</v>
      </c>
      <c r="J2189" s="3">
        <f>IF(E2189&lt;=500,IF(Galva=Oui,0.35,0.7),0.7)</f>
        <v>0.7</v>
      </c>
    </row>
    <row r="2190" spans="2:10" x14ac:dyDescent="0.25">
      <c r="B2190" s="3">
        <f>B2189+DeltaT</f>
        <v>10865</v>
      </c>
      <c r="C2190" s="13">
        <f t="shared" si="142"/>
        <v>181.08333333333334</v>
      </c>
      <c r="D2190" s="11">
        <f t="shared" si="143"/>
        <v>1110.6375127662573</v>
      </c>
      <c r="E2190" s="23">
        <f t="shared" si="144"/>
        <v>1109.5783356443671</v>
      </c>
      <c r="F2190" s="23">
        <f>AlphaC*(D2190-E2190)</f>
        <v>26.479428047252895</v>
      </c>
      <c r="G2190" s="13">
        <f>Phi*EpsilonF*Botzman/10^8*J2190*((D2190+273)^4-(E2190+273)^4)</f>
        <v>444.9159281837172</v>
      </c>
      <c r="H2190" s="23">
        <f t="shared" si="145"/>
        <v>650</v>
      </c>
      <c r="I2190" s="12">
        <f>ksh*Massivete/(H2190*RhoA)*DeltaT*(F2190+G2190)</f>
        <v>6.9530930730911975E-2</v>
      </c>
      <c r="J2190" s="3">
        <f>IF(E2190&lt;=500,IF(Galva=Oui,0.35,0.7),0.7)</f>
        <v>0.7</v>
      </c>
    </row>
    <row r="2191" spans="2:10" x14ac:dyDescent="0.25">
      <c r="B2191" s="3">
        <f>B2190+DeltaT</f>
        <v>10870</v>
      </c>
      <c r="C2191" s="13">
        <f t="shared" si="142"/>
        <v>181.16666666666666</v>
      </c>
      <c r="D2191" s="11">
        <f t="shared" si="143"/>
        <v>1110.7064008577038</v>
      </c>
      <c r="E2191" s="23">
        <f t="shared" si="144"/>
        <v>1109.6478665750981</v>
      </c>
      <c r="F2191" s="23">
        <f>AlphaC*(D2191-E2191)</f>
        <v>26.463357065142645</v>
      </c>
      <c r="G2191" s="13">
        <f>Phi*EpsilonF*Botzman/10^8*J2191*((D2191+273)^4-(E2191+273)^4)</f>
        <v>444.71265066634271</v>
      </c>
      <c r="H2191" s="23">
        <f t="shared" si="145"/>
        <v>650</v>
      </c>
      <c r="I2191" s="12">
        <f>ksh*Massivete/(H2191*RhoA)*DeltaT*(F2191+G2191)</f>
        <v>6.9498576773406859E-2</v>
      </c>
      <c r="J2191" s="3">
        <f>IF(E2191&lt;=500,IF(Galva=Oui,0.35,0.7),0.7)</f>
        <v>0.7</v>
      </c>
    </row>
    <row r="2192" spans="2:10" x14ac:dyDescent="0.25">
      <c r="B2192" s="3">
        <f>B2191+DeltaT</f>
        <v>10875</v>
      </c>
      <c r="C2192" s="13">
        <f t="shared" si="142"/>
        <v>181.25</v>
      </c>
      <c r="D2192" s="11">
        <f t="shared" si="143"/>
        <v>1110.7752572910188</v>
      </c>
      <c r="E2192" s="23">
        <f t="shared" si="144"/>
        <v>1109.7173651518715</v>
      </c>
      <c r="F2192" s="23">
        <f>AlphaC*(D2192-E2192)</f>
        <v>26.447303478681761</v>
      </c>
      <c r="G2192" s="13">
        <f>Phi*EpsilonF*Botzman/10^8*J2192*((D2192+273)^4-(E2192+273)^4)</f>
        <v>444.50956026863605</v>
      </c>
      <c r="H2192" s="23">
        <f t="shared" si="145"/>
        <v>650</v>
      </c>
      <c r="I2192" s="12">
        <f>ksh*Massivete/(H2192*RhoA)*DeltaT*(F2192+G2192)</f>
        <v>6.9466252981961227E-2</v>
      </c>
      <c r="J2192" s="3">
        <f>IF(E2192&lt;=500,IF(Galva=Oui,0.35,0.7),0.7)</f>
        <v>0.7</v>
      </c>
    </row>
    <row r="2193" spans="2:10" x14ac:dyDescent="0.25">
      <c r="B2193" s="3">
        <f>B2192+DeltaT</f>
        <v>10880</v>
      </c>
      <c r="C2193" s="13">
        <f t="shared" si="142"/>
        <v>181.33333333333334</v>
      </c>
      <c r="D2193" s="11">
        <f t="shared" si="143"/>
        <v>1110.8440820952867</v>
      </c>
      <c r="E2193" s="23">
        <f t="shared" si="144"/>
        <v>1109.7868314048535</v>
      </c>
      <c r="F2193" s="23">
        <f>AlphaC*(D2193-E2193)</f>
        <v>26.431267260829827</v>
      </c>
      <c r="G2193" s="13">
        <f>Phi*EpsilonF*Botzman/10^8*J2193*((D2193+273)^4-(E2193+273)^4)</f>
        <v>444.30665673133313</v>
      </c>
      <c r="H2193" s="23">
        <f t="shared" si="145"/>
        <v>650</v>
      </c>
      <c r="I2193" s="12">
        <f>ksh*Massivete/(H2193*RhoA)*DeltaT*(F2193+G2193)</f>
        <v>6.9433959314345095E-2</v>
      </c>
      <c r="J2193" s="3">
        <f>IF(E2193&lt;=500,IF(Galva=Oui,0.35,0.7),0.7)</f>
        <v>0.7</v>
      </c>
    </row>
    <row r="2194" spans="2:10" x14ac:dyDescent="0.25">
      <c r="B2194" s="3">
        <f>B2193+DeltaT</f>
        <v>10885</v>
      </c>
      <c r="C2194" s="13">
        <f t="shared" ref="C2194:C2257" si="146">B2194/60</f>
        <v>181.41666666666666</v>
      </c>
      <c r="D2194" s="11">
        <f t="shared" ref="D2194:D2257" si="147">20+345*LOG(8*C2194+1,10)</f>
        <v>1110.9128752995516</v>
      </c>
      <c r="E2194" s="23">
        <f t="shared" si="144"/>
        <v>1109.8562653641679</v>
      </c>
      <c r="F2194" s="23">
        <f>AlphaC*(D2194-E2194)</f>
        <v>26.415248384591905</v>
      </c>
      <c r="G2194" s="13">
        <f>Phi*EpsilonF*Botzman/10^8*J2194*((D2194+273)^4-(E2194+273)^4)</f>
        <v>444.10393979540237</v>
      </c>
      <c r="H2194" s="23">
        <f t="shared" si="145"/>
        <v>650</v>
      </c>
      <c r="I2194" s="12">
        <f>ksh*Massivete/(H2194*RhoA)*DeltaT*(F2194+G2194)</f>
        <v>6.9401695728369461E-2</v>
      </c>
      <c r="J2194" s="3">
        <f>IF(E2194&lt;=500,IF(Galva=Oui,0.35,0.7),0.7)</f>
        <v>0.7</v>
      </c>
    </row>
    <row r="2195" spans="2:10" x14ac:dyDescent="0.25">
      <c r="B2195" s="3">
        <f>B2194+DeltaT</f>
        <v>10890</v>
      </c>
      <c r="C2195" s="13">
        <f t="shared" si="146"/>
        <v>181.5</v>
      </c>
      <c r="D2195" s="11">
        <f t="shared" si="147"/>
        <v>1110.9816369328173</v>
      </c>
      <c r="E2195" s="23">
        <f t="shared" si="144"/>
        <v>1109.9256670598963</v>
      </c>
      <c r="F2195" s="23">
        <f>AlphaC*(D2195-E2195)</f>
        <v>26.399246823024214</v>
      </c>
      <c r="G2195" s="13">
        <f>Phi*EpsilonF*Botzman/10^8*J2195*((D2195+273)^4-(E2195+273)^4)</f>
        <v>443.90140920231619</v>
      </c>
      <c r="H2195" s="23">
        <f t="shared" si="145"/>
        <v>650</v>
      </c>
      <c r="I2195" s="12">
        <f>ksh*Massivete/(H2195*RhoA)*DeltaT*(F2195+G2195)</f>
        <v>6.9369462181927244E-2</v>
      </c>
      <c r="J2195" s="3">
        <f>IF(E2195&lt;=500,IF(Galva=Oui,0.35,0.7),0.7)</f>
        <v>0.7</v>
      </c>
    </row>
    <row r="2196" spans="2:10" x14ac:dyDescent="0.25">
      <c r="B2196" s="3">
        <f>B2195+DeltaT</f>
        <v>10895</v>
      </c>
      <c r="C2196" s="13">
        <f t="shared" si="146"/>
        <v>181.58333333333334</v>
      </c>
      <c r="D2196" s="11">
        <f t="shared" si="147"/>
        <v>1111.0503670240485</v>
      </c>
      <c r="E2196" s="23">
        <f t="shared" si="144"/>
        <v>1109.9950365220782</v>
      </c>
      <c r="F2196" s="23">
        <f>AlphaC*(D2196-E2196)</f>
        <v>26.38326254925687</v>
      </c>
      <c r="G2196" s="13">
        <f>Phi*EpsilonF*Botzman/10^8*J2196*((D2196+273)^4-(E2196+273)^4)</f>
        <v>443.69906469436091</v>
      </c>
      <c r="H2196" s="23">
        <f t="shared" si="145"/>
        <v>650</v>
      </c>
      <c r="I2196" s="12">
        <f>ksh*Massivete/(H2196*RhoA)*DeltaT*(F2196+G2196)</f>
        <v>6.9337258633042298E-2</v>
      </c>
      <c r="J2196" s="3">
        <f>IF(E2196&lt;=500,IF(Galva=Oui,0.35,0.7),0.7)</f>
        <v>0.7</v>
      </c>
    </row>
    <row r="2197" spans="2:10" x14ac:dyDescent="0.25">
      <c r="B2197" s="3">
        <f>B2196+DeltaT</f>
        <v>10900</v>
      </c>
      <c r="C2197" s="13">
        <f t="shared" si="146"/>
        <v>181.66666666666666</v>
      </c>
      <c r="D2197" s="11">
        <f t="shared" si="147"/>
        <v>1111.1190656021693</v>
      </c>
      <c r="E2197" s="23">
        <f t="shared" si="144"/>
        <v>1110.0643737807113</v>
      </c>
      <c r="F2197" s="23">
        <f>AlphaC*(D2197-E2197)</f>
        <v>26.36729553644841</v>
      </c>
      <c r="G2197" s="13">
        <f>Phi*EpsilonF*Botzman/10^8*J2197*((D2197+273)^4-(E2197+273)^4)</f>
        <v>443.49690601376471</v>
      </c>
      <c r="H2197" s="23">
        <f t="shared" si="145"/>
        <v>650</v>
      </c>
      <c r="I2197" s="12">
        <f>ksh*Massivete/(H2197*RhoA)*DeltaT*(F2197+G2197)</f>
        <v>6.9305085039734093E-2</v>
      </c>
      <c r="J2197" s="3">
        <f>IF(E2197&lt;=500,IF(Galva=Oui,0.35,0.7),0.7)</f>
        <v>0.7</v>
      </c>
    </row>
    <row r="2198" spans="2:10" x14ac:dyDescent="0.25">
      <c r="B2198" s="3">
        <f>B2197+DeltaT</f>
        <v>10905</v>
      </c>
      <c r="C2198" s="13">
        <f t="shared" si="146"/>
        <v>181.75</v>
      </c>
      <c r="D2198" s="11">
        <f t="shared" si="147"/>
        <v>1111.1877326960646</v>
      </c>
      <c r="E2198" s="23">
        <f t="shared" si="144"/>
        <v>1110.1336788657511</v>
      </c>
      <c r="F2198" s="23">
        <f>AlphaC*(D2198-E2198)</f>
        <v>26.351345757836953</v>
      </c>
      <c r="G2198" s="13">
        <f>Phi*EpsilonF*Botzman/10^8*J2198*((D2198+273)^4-(E2198+273)^4)</f>
        <v>443.29493290376348</v>
      </c>
      <c r="H2198" s="23">
        <f t="shared" si="145"/>
        <v>650</v>
      </c>
      <c r="I2198" s="12">
        <f>ksh*Massivete/(H2198*RhoA)*DeltaT*(F2198+G2198)</f>
        <v>6.9272941360182486E-2</v>
      </c>
      <c r="J2198" s="3">
        <f>IF(E2198&lt;=500,IF(Galva=Oui,0.35,0.7),0.7)</f>
        <v>0.7</v>
      </c>
    </row>
    <row r="2199" spans="2:10" x14ac:dyDescent="0.25">
      <c r="B2199" s="3">
        <f>B2198+DeltaT</f>
        <v>10910</v>
      </c>
      <c r="C2199" s="13">
        <f t="shared" si="146"/>
        <v>181.83333333333334</v>
      </c>
      <c r="D2199" s="11">
        <f t="shared" si="147"/>
        <v>1111.2563683345788</v>
      </c>
      <c r="E2199" s="23">
        <f t="shared" si="144"/>
        <v>1110.2029518071113</v>
      </c>
      <c r="F2199" s="23">
        <f>AlphaC*(D2199-E2199)</f>
        <v>26.335413186689038</v>
      </c>
      <c r="G2199" s="13">
        <f>Phi*EpsilonF*Botzman/10^8*J2199*((D2199+273)^4-(E2199+273)^4)</f>
        <v>443.09314510757383</v>
      </c>
      <c r="H2199" s="23">
        <f t="shared" si="145"/>
        <v>650</v>
      </c>
      <c r="I2199" s="12">
        <f>ksh*Massivete/(H2199*RhoA)*DeltaT*(F2199+G2199)</f>
        <v>6.9240827552568648E-2</v>
      </c>
      <c r="J2199" s="3">
        <f>IF(E2199&lt;=500,IF(Galva=Oui,0.35,0.7),0.7)</f>
        <v>0.7</v>
      </c>
    </row>
    <row r="2200" spans="2:10" x14ac:dyDescent="0.25">
      <c r="B2200" s="3">
        <f>B2199+DeltaT</f>
        <v>10915</v>
      </c>
      <c r="C2200" s="13">
        <f t="shared" si="146"/>
        <v>181.91666666666666</v>
      </c>
      <c r="D2200" s="11">
        <f t="shared" si="147"/>
        <v>1111.3249725465175</v>
      </c>
      <c r="E2200" s="23">
        <f t="shared" si="144"/>
        <v>1110.272192634664</v>
      </c>
      <c r="F2200" s="23">
        <f>AlphaC*(D2200-E2200)</f>
        <v>26.319497796339419</v>
      </c>
      <c r="G2200" s="13">
        <f>Phi*EpsilonF*Botzman/10^8*J2200*((D2200+273)^4-(E2200+273)^4)</f>
        <v>442.89154236910991</v>
      </c>
      <c r="H2200" s="23">
        <f t="shared" si="145"/>
        <v>650</v>
      </c>
      <c r="I2200" s="12">
        <f>ksh*Massivete/(H2200*RhoA)*DeltaT*(F2200+G2200)</f>
        <v>6.9208743575186735E-2</v>
      </c>
      <c r="J2200" s="3">
        <f>IF(E2200&lt;=500,IF(Galva=Oui,0.35,0.7),0.7)</f>
        <v>0.7</v>
      </c>
    </row>
    <row r="2201" spans="2:10" x14ac:dyDescent="0.25">
      <c r="B2201" s="3">
        <f>B2200+DeltaT</f>
        <v>10920</v>
      </c>
      <c r="C2201" s="13">
        <f t="shared" si="146"/>
        <v>182</v>
      </c>
      <c r="D2201" s="11">
        <f t="shared" si="147"/>
        <v>1111.3935453606464</v>
      </c>
      <c r="E2201" s="23">
        <f t="shared" si="144"/>
        <v>1110.3414013782392</v>
      </c>
      <c r="F2201" s="23">
        <f>AlphaC*(D2201-E2201)</f>
        <v>26.303599560179691</v>
      </c>
      <c r="G2201" s="13">
        <f>Phi*EpsilonF*Botzman/10^8*J2201*((D2201+273)^4-(E2201+273)^4)</f>
        <v>442.69012443296435</v>
      </c>
      <c r="H2201" s="23">
        <f t="shared" si="145"/>
        <v>650</v>
      </c>
      <c r="I2201" s="12">
        <f>ksh*Massivete/(H2201*RhoA)*DeltaT*(F2201+G2201)</f>
        <v>6.9176689386439352E-2</v>
      </c>
      <c r="J2201" s="3">
        <f>IF(E2201&lt;=500,IF(Galva=Oui,0.35,0.7),0.7)</f>
        <v>0.7</v>
      </c>
    </row>
    <row r="2202" spans="2:10" x14ac:dyDescent="0.25">
      <c r="B2202" s="3">
        <f>B2201+DeltaT</f>
        <v>10925</v>
      </c>
      <c r="C2202" s="13">
        <f t="shared" si="146"/>
        <v>182.08333333333334</v>
      </c>
      <c r="D2202" s="11">
        <f t="shared" si="147"/>
        <v>1111.462086805692</v>
      </c>
      <c r="E2202" s="23">
        <f t="shared" si="144"/>
        <v>1110.4105780676257</v>
      </c>
      <c r="F2202" s="23">
        <f>AlphaC*(D2202-E2202)</f>
        <v>26.287718451658293</v>
      </c>
      <c r="G2202" s="13">
        <f>Phi*EpsilonF*Botzman/10^8*J2202*((D2202+273)^4-(E2202+273)^4)</f>
        <v>442.48889104403969</v>
      </c>
      <c r="H2202" s="23">
        <f t="shared" si="145"/>
        <v>650</v>
      </c>
      <c r="I2202" s="12">
        <f>ksh*Massivete/(H2202*RhoA)*DeltaT*(F2202+G2202)</f>
        <v>6.9144664944783205E-2</v>
      </c>
      <c r="J2202" s="3">
        <f>IF(E2202&lt;=500,IF(Galva=Oui,0.35,0.7),0.7)</f>
        <v>0.7</v>
      </c>
    </row>
    <row r="2203" spans="2:10" x14ac:dyDescent="0.25">
      <c r="B2203" s="3">
        <f>B2202+DeltaT</f>
        <v>10930</v>
      </c>
      <c r="C2203" s="13">
        <f t="shared" si="146"/>
        <v>182.16666666666666</v>
      </c>
      <c r="D2203" s="11">
        <f t="shared" si="147"/>
        <v>1111.5305969103408</v>
      </c>
      <c r="E2203" s="23">
        <f t="shared" si="144"/>
        <v>1110.4797227325705</v>
      </c>
      <c r="F2203" s="23">
        <f>AlphaC*(D2203-E2203)</f>
        <v>26.27185444425777</v>
      </c>
      <c r="G2203" s="13">
        <f>Phi*EpsilonF*Botzman/10^8*J2203*((D2203+273)^4-(E2203+273)^4)</f>
        <v>442.28784194749045</v>
      </c>
      <c r="H2203" s="23">
        <f t="shared" si="145"/>
        <v>650</v>
      </c>
      <c r="I2203" s="12">
        <f>ksh*Massivete/(H2203*RhoA)*DeltaT*(F2203+G2203)</f>
        <v>6.9112670208717183E-2</v>
      </c>
      <c r="J2203" s="3">
        <f>IF(E2203&lt;=500,IF(Galva=Oui,0.35,0.7),0.7)</f>
        <v>0.7</v>
      </c>
    </row>
    <row r="2204" spans="2:10" x14ac:dyDescent="0.25">
      <c r="B2204" s="3">
        <f>B2203+DeltaT</f>
        <v>10935</v>
      </c>
      <c r="C2204" s="13">
        <f t="shared" si="146"/>
        <v>182.25</v>
      </c>
      <c r="D2204" s="11">
        <f t="shared" si="147"/>
        <v>1111.5990757032407</v>
      </c>
      <c r="E2204" s="23">
        <f t="shared" si="144"/>
        <v>1110.5488354027793</v>
      </c>
      <c r="F2204" s="23">
        <f>AlphaC*(D2204-E2204)</f>
        <v>26.256007511534563</v>
      </c>
      <c r="G2204" s="13">
        <f>Phi*EpsilonF*Botzman/10^8*J2204*((D2204+273)^4-(E2204+273)^4)</f>
        <v>442.08697688932398</v>
      </c>
      <c r="H2204" s="23">
        <f t="shared" si="145"/>
        <v>650</v>
      </c>
      <c r="I2204" s="12">
        <f>ksh*Massivete/(H2204*RhoA)*DeltaT*(F2204+G2204)</f>
        <v>6.9080705136876877E-2</v>
      </c>
      <c r="J2204" s="3">
        <f>IF(E2204&lt;=500,IF(Galva=Oui,0.35,0.7),0.7)</f>
        <v>0.7</v>
      </c>
    </row>
    <row r="2205" spans="2:10" x14ac:dyDescent="0.25">
      <c r="B2205" s="3">
        <f>B2204+DeltaT</f>
        <v>10940</v>
      </c>
      <c r="C2205" s="13">
        <f t="shared" si="146"/>
        <v>182.33333333333334</v>
      </c>
      <c r="D2205" s="11">
        <f t="shared" si="147"/>
        <v>1111.6675232129996</v>
      </c>
      <c r="E2205" s="23">
        <f t="shared" si="144"/>
        <v>1110.6179161079162</v>
      </c>
      <c r="F2205" s="23">
        <f>AlphaC*(D2205-E2205)</f>
        <v>26.240177627084904</v>
      </c>
      <c r="G2205" s="13">
        <f>Phi*EpsilonF*Botzman/10^8*J2205*((D2205+273)^4-(E2205+273)^4)</f>
        <v>441.88629561562493</v>
      </c>
      <c r="H2205" s="23">
        <f t="shared" si="145"/>
        <v>650</v>
      </c>
      <c r="I2205" s="12">
        <f>ksh*Massivete/(H2205*RhoA)*DeltaT*(F2205+G2205)</f>
        <v>6.9048769687915151E-2</v>
      </c>
      <c r="J2205" s="3">
        <f>IF(E2205&lt;=500,IF(Galva=Oui,0.35,0.7),0.7)</f>
        <v>0.7</v>
      </c>
    </row>
    <row r="2206" spans="2:10" x14ac:dyDescent="0.25">
      <c r="B2206" s="3">
        <f>B2205+DeltaT</f>
        <v>10945</v>
      </c>
      <c r="C2206" s="13">
        <f t="shared" si="146"/>
        <v>182.41666666666666</v>
      </c>
      <c r="D2206" s="11">
        <f t="shared" si="147"/>
        <v>1111.7359394681869</v>
      </c>
      <c r="E2206" s="23">
        <f t="shared" si="144"/>
        <v>1110.6869648776042</v>
      </c>
      <c r="F2206" s="23">
        <f>AlphaC*(D2206-E2206)</f>
        <v>26.224364764567554</v>
      </c>
      <c r="G2206" s="13">
        <f>Phi*EpsilonF*Botzman/10^8*J2206*((D2206+273)^4-(E2206+273)^4)</f>
        <v>441.68579787327275</v>
      </c>
      <c r="H2206" s="23">
        <f t="shared" si="145"/>
        <v>650</v>
      </c>
      <c r="I2206" s="12">
        <f>ksh*Massivete/(H2206*RhoA)*DeltaT*(F2206+G2206)</f>
        <v>6.9016863820611327E-2</v>
      </c>
      <c r="J2206" s="3">
        <f>IF(E2206&lt;=500,IF(Galva=Oui,0.35,0.7),0.7)</f>
        <v>0.7</v>
      </c>
    </row>
    <row r="2207" spans="2:10" x14ac:dyDescent="0.25">
      <c r="B2207" s="3">
        <f>B2206+DeltaT</f>
        <v>10950</v>
      </c>
      <c r="C2207" s="13">
        <f t="shared" si="146"/>
        <v>182.5</v>
      </c>
      <c r="D2207" s="11">
        <f t="shared" si="147"/>
        <v>1111.8043244973323</v>
      </c>
      <c r="E2207" s="23">
        <f t="shared" si="144"/>
        <v>1110.7559817414249</v>
      </c>
      <c r="F2207" s="23">
        <f>AlphaC*(D2207-E2207)</f>
        <v>26.208568897686746</v>
      </c>
      <c r="G2207" s="13">
        <f>Phi*EpsilonF*Botzman/10^8*J2207*((D2207+273)^4-(E2207+273)^4)</f>
        <v>441.48548340947616</v>
      </c>
      <c r="H2207" s="23">
        <f t="shared" si="145"/>
        <v>650</v>
      </c>
      <c r="I2207" s="12">
        <f>ksh*Massivete/(H2207*RhoA)*DeltaT*(F2207+G2207)</f>
        <v>6.8984987493799999E-2</v>
      </c>
      <c r="J2207" s="3">
        <f>IF(E2207&lt;=500,IF(Galva=Oui,0.35,0.7),0.7)</f>
        <v>0.7</v>
      </c>
    </row>
    <row r="2208" spans="2:10" x14ac:dyDescent="0.25">
      <c r="B2208" s="3">
        <f>B2207+DeltaT</f>
        <v>10955</v>
      </c>
      <c r="C2208" s="13">
        <f t="shared" si="146"/>
        <v>182.58333333333334</v>
      </c>
      <c r="D2208" s="11">
        <f t="shared" si="147"/>
        <v>1111.8726783289267</v>
      </c>
      <c r="E2208" s="23">
        <f t="shared" si="144"/>
        <v>1110.8249667289188</v>
      </c>
      <c r="F2208" s="23">
        <f>AlphaC*(D2208-E2208)</f>
        <v>26.192790000197874</v>
      </c>
      <c r="G2208" s="13">
        <f>Phi*EpsilonF*Botzman/10^8*J2208*((D2208+273)^4-(E2208+273)^4)</f>
        <v>441.28535197179286</v>
      </c>
      <c r="H2208" s="23">
        <f t="shared" si="145"/>
        <v>650</v>
      </c>
      <c r="I2208" s="12">
        <f>ksh*Massivete/(H2208*RhoA)*DeltaT*(F2208+G2208)</f>
        <v>6.8953140666374757E-2</v>
      </c>
      <c r="J2208" s="3">
        <f>IF(E2208&lt;=500,IF(Galva=Oui,0.35,0.7),0.7)</f>
        <v>0.7</v>
      </c>
    </row>
    <row r="2209" spans="2:10" x14ac:dyDescent="0.25">
      <c r="B2209" s="3">
        <f>B2208+DeltaT</f>
        <v>10960</v>
      </c>
      <c r="C2209" s="13">
        <f t="shared" si="146"/>
        <v>182.66666666666666</v>
      </c>
      <c r="D2209" s="11">
        <f t="shared" si="147"/>
        <v>1111.9410009914225</v>
      </c>
      <c r="E2209" s="23">
        <f t="shared" si="144"/>
        <v>1110.893919869585</v>
      </c>
      <c r="F2209" s="23">
        <f>AlphaC*(D2209-E2209)</f>
        <v>26.177028045935913</v>
      </c>
      <c r="G2209" s="13">
        <f>Phi*EpsilonF*Botzman/10^8*J2209*((D2209+273)^4-(E2209+273)^4)</f>
        <v>441.08540330869141</v>
      </c>
      <c r="H2209" s="23">
        <f t="shared" si="145"/>
        <v>650</v>
      </c>
      <c r="I2209" s="12">
        <f>ksh*Massivete/(H2209*RhoA)*DeltaT*(F2209+G2209)</f>
        <v>6.8921323297375339E-2</v>
      </c>
      <c r="J2209" s="3">
        <f>IF(E2209&lt;=500,IF(Galva=Oui,0.35,0.7),0.7)</f>
        <v>0.7</v>
      </c>
    </row>
    <row r="2210" spans="2:10" x14ac:dyDescent="0.25">
      <c r="B2210" s="3">
        <f>B2209+DeltaT</f>
        <v>10965</v>
      </c>
      <c r="C2210" s="13">
        <f t="shared" si="146"/>
        <v>182.75</v>
      </c>
      <c r="D2210" s="11">
        <f t="shared" si="147"/>
        <v>1112.0092925132321</v>
      </c>
      <c r="E2210" s="23">
        <f t="shared" si="144"/>
        <v>1110.9628411928825</v>
      </c>
      <c r="F2210" s="23">
        <f>AlphaC*(D2210-E2210)</f>
        <v>26.16128300874152</v>
      </c>
      <c r="G2210" s="13">
        <f>Phi*EpsilonF*Botzman/10^8*J2210*((D2210+273)^4-(E2210+273)^4)</f>
        <v>440.88563716840764</v>
      </c>
      <c r="H2210" s="23">
        <f t="shared" si="145"/>
        <v>650</v>
      </c>
      <c r="I2210" s="12">
        <f>ksh*Massivete/(H2210*RhoA)*DeltaT*(F2210+G2210)</f>
        <v>6.8889535345807926E-2</v>
      </c>
      <c r="J2210" s="3">
        <f>IF(E2210&lt;=500,IF(Galva=Oui,0.35,0.7),0.7)</f>
        <v>0.7</v>
      </c>
    </row>
    <row r="2211" spans="2:10" x14ac:dyDescent="0.25">
      <c r="B2211" s="3">
        <f>B2210+DeltaT</f>
        <v>10970</v>
      </c>
      <c r="C2211" s="13">
        <f t="shared" si="146"/>
        <v>182.83333333333334</v>
      </c>
      <c r="D2211" s="11">
        <f t="shared" si="147"/>
        <v>1112.0775529227301</v>
      </c>
      <c r="E2211" s="23">
        <f t="shared" si="144"/>
        <v>1111.0317307282282</v>
      </c>
      <c r="F2211" s="23">
        <f>AlphaC*(D2211-E2211)</f>
        <v>26.145554862546305</v>
      </c>
      <c r="G2211" s="13">
        <f>Phi*EpsilonF*Botzman/10^8*J2211*((D2211+273)^4-(E2211+273)^4)</f>
        <v>440.6860533002822</v>
      </c>
      <c r="H2211" s="23">
        <f t="shared" si="145"/>
        <v>650</v>
      </c>
      <c r="I2211" s="12">
        <f>ksh*Massivete/(H2211*RhoA)*DeltaT*(F2211+G2211)</f>
        <v>6.8857776770855125E-2</v>
      </c>
      <c r="J2211" s="3">
        <f>IF(E2211&lt;=500,IF(Galva=Oui,0.35,0.7),0.7)</f>
        <v>0.7</v>
      </c>
    </row>
    <row r="2212" spans="2:10" x14ac:dyDescent="0.25">
      <c r="B2212" s="3">
        <f>B2211+DeltaT</f>
        <v>10975</v>
      </c>
      <c r="C2212" s="13">
        <f t="shared" si="146"/>
        <v>182.91666666666666</v>
      </c>
      <c r="D2212" s="11">
        <f t="shared" si="147"/>
        <v>1112.1457822482519</v>
      </c>
      <c r="E2212" s="23">
        <f t="shared" si="144"/>
        <v>1111.100588504999</v>
      </c>
      <c r="F2212" s="23">
        <f>AlphaC*(D2212-E2212)</f>
        <v>26.129843581321666</v>
      </c>
      <c r="G2212" s="13">
        <f>Phi*EpsilonF*Botzman/10^8*J2212*((D2212+273)^4-(E2212+273)^4)</f>
        <v>440.4866514537332</v>
      </c>
      <c r="H2212" s="23">
        <f t="shared" si="145"/>
        <v>650</v>
      </c>
      <c r="I2212" s="12">
        <f>ksh*Massivete/(H2212*RhoA)*DeltaT*(F2212+G2212)</f>
        <v>6.8826047531716825E-2</v>
      </c>
      <c r="J2212" s="3">
        <f>IF(E2212&lt;=500,IF(Galva=Oui,0.35,0.7),0.7)</f>
        <v>0.7</v>
      </c>
    </row>
    <row r="2213" spans="2:10" x14ac:dyDescent="0.25">
      <c r="B2213" s="3">
        <f>B2212+DeltaT</f>
        <v>10980</v>
      </c>
      <c r="C2213" s="13">
        <f t="shared" si="146"/>
        <v>183</v>
      </c>
      <c r="D2213" s="11">
        <f t="shared" si="147"/>
        <v>1112.2139805180941</v>
      </c>
      <c r="E2213" s="23">
        <f t="shared" si="144"/>
        <v>1111.1694145525307</v>
      </c>
      <c r="F2213" s="23">
        <f>AlphaC*(D2213-E2213)</f>
        <v>26.114149139084475</v>
      </c>
      <c r="G2213" s="13">
        <f>Phi*EpsilonF*Botzman/10^8*J2213*((D2213+273)^4-(E2213+273)^4)</f>
        <v>440.28743137874079</v>
      </c>
      <c r="H2213" s="23">
        <f t="shared" si="145"/>
        <v>650</v>
      </c>
      <c r="I2213" s="12">
        <f>ksh*Massivete/(H2213*RhoA)*DeltaT*(F2213+G2213)</f>
        <v>6.8794347587682506E-2</v>
      </c>
      <c r="J2213" s="3">
        <f>IF(E2213&lt;=500,IF(Galva=Oui,0.35,0.7),0.7)</f>
        <v>0.7</v>
      </c>
    </row>
    <row r="2214" spans="2:10" x14ac:dyDescent="0.25">
      <c r="B2214" s="3">
        <f>B2213+DeltaT</f>
        <v>10985</v>
      </c>
      <c r="C2214" s="13">
        <f t="shared" si="146"/>
        <v>183.08333333333334</v>
      </c>
      <c r="D2214" s="11">
        <f t="shared" si="147"/>
        <v>1112.282147760515</v>
      </c>
      <c r="E2214" s="23">
        <f t="shared" si="144"/>
        <v>1111.2382089001185</v>
      </c>
      <c r="F2214" s="23">
        <f>AlphaC*(D2214-E2214)</f>
        <v>26.098471509914134</v>
      </c>
      <c r="G2214" s="13">
        <f>Phi*EpsilonF*Botzman/10^8*J2214*((D2214+273)^4-(E2214+273)^4)</f>
        <v>440.08839282578896</v>
      </c>
      <c r="H2214" s="23">
        <f t="shared" si="145"/>
        <v>650</v>
      </c>
      <c r="I2214" s="12">
        <f>ksh*Massivete/(H2214*RhoA)*DeltaT*(F2214+G2214)</f>
        <v>6.8762676898125208E-2</v>
      </c>
      <c r="J2214" s="3">
        <f>IF(E2214&lt;=500,IF(Galva=Oui,0.35,0.7),0.7)</f>
        <v>0.7</v>
      </c>
    </row>
    <row r="2215" spans="2:10" x14ac:dyDescent="0.25">
      <c r="B2215" s="3">
        <f>B2214+DeltaT</f>
        <v>10990</v>
      </c>
      <c r="C2215" s="13">
        <f t="shared" si="146"/>
        <v>183.16666666666666</v>
      </c>
      <c r="D2215" s="11">
        <f t="shared" si="147"/>
        <v>1112.350284003734</v>
      </c>
      <c r="E2215" s="23">
        <f t="shared" si="144"/>
        <v>1111.3069715770166</v>
      </c>
      <c r="F2215" s="23">
        <f>AlphaC*(D2215-E2215)</f>
        <v>26.082810667935519</v>
      </c>
      <c r="G2215" s="13">
        <f>Phi*EpsilonF*Botzman/10^8*J2215*((D2215+273)^4-(E2215+273)^4)</f>
        <v>439.88953554572993</v>
      </c>
      <c r="H2215" s="23">
        <f t="shared" si="145"/>
        <v>650</v>
      </c>
      <c r="I2215" s="12">
        <f>ksh*Massivete/(H2215*RhoA)*DeltaT*(F2215+G2215)</f>
        <v>6.8731035422478978E-2</v>
      </c>
      <c r="J2215" s="3">
        <f>IF(E2215&lt;=500,IF(Galva=Oui,0.35,0.7),0.7)</f>
        <v>0.7</v>
      </c>
    </row>
    <row r="2216" spans="2:10" x14ac:dyDescent="0.25">
      <c r="B2216" s="3">
        <f>B2215+DeltaT</f>
        <v>10995</v>
      </c>
      <c r="C2216" s="13">
        <f t="shared" si="146"/>
        <v>183.25</v>
      </c>
      <c r="D2216" s="11">
        <f t="shared" si="147"/>
        <v>1112.4183892759324</v>
      </c>
      <c r="E2216" s="23">
        <f t="shared" si="144"/>
        <v>1111.375702612439</v>
      </c>
      <c r="F2216" s="23">
        <f>AlphaC*(D2216-E2216)</f>
        <v>26.067166587336033</v>
      </c>
      <c r="G2216" s="13">
        <f>Phi*EpsilonF*Botzman/10^8*J2216*((D2216+273)^4-(E2216+273)^4)</f>
        <v>439.69085929017172</v>
      </c>
      <c r="H2216" s="23">
        <f t="shared" si="145"/>
        <v>650</v>
      </c>
      <c r="I2216" s="12">
        <f>ksh*Massivete/(H2216*RhoA)*DeltaT*(F2216+G2216)</f>
        <v>6.8699423120298586E-2</v>
      </c>
      <c r="J2216" s="3">
        <f>IF(E2216&lt;=500,IF(Galva=Oui,0.35,0.7),0.7)</f>
        <v>0.7</v>
      </c>
    </row>
    <row r="2217" spans="2:10" x14ac:dyDescent="0.25">
      <c r="B2217" s="3">
        <f>B2216+DeltaT</f>
        <v>11000</v>
      </c>
      <c r="C2217" s="13">
        <f t="shared" si="146"/>
        <v>183.33333333333334</v>
      </c>
      <c r="D2217" s="11">
        <f t="shared" si="147"/>
        <v>1112.4864636052528</v>
      </c>
      <c r="E2217" s="23">
        <f t="shared" si="144"/>
        <v>1111.4444020355593</v>
      </c>
      <c r="F2217" s="23">
        <f>AlphaC*(D2217-E2217)</f>
        <v>26.051539242337185</v>
      </c>
      <c r="G2217" s="13">
        <f>Phi*EpsilonF*Botzman/10^8*J2217*((D2217+273)^4-(E2217+273)^4)</f>
        <v>439.49236381058677</v>
      </c>
      <c r="H2217" s="23">
        <f t="shared" si="145"/>
        <v>650</v>
      </c>
      <c r="I2217" s="12">
        <f>ksh*Massivete/(H2217*RhoA)*DeltaT*(F2217+G2217)</f>
        <v>6.8667839951123827E-2</v>
      </c>
      <c r="J2217" s="3">
        <f>IF(E2217&lt;=500,IF(Galva=Oui,0.35,0.7),0.7)</f>
        <v>0.7</v>
      </c>
    </row>
    <row r="2218" spans="2:10" x14ac:dyDescent="0.25">
      <c r="B2218" s="3">
        <f>B2217+DeltaT</f>
        <v>11005</v>
      </c>
      <c r="C2218" s="13">
        <f t="shared" si="146"/>
        <v>183.41666666666666</v>
      </c>
      <c r="D2218" s="11">
        <f t="shared" si="147"/>
        <v>1112.5545070197993</v>
      </c>
      <c r="E2218" s="23">
        <f t="shared" si="144"/>
        <v>1111.5130698755104</v>
      </c>
      <c r="F2218" s="23">
        <f>AlphaC*(D2218-E2218)</f>
        <v>26.035928607223013</v>
      </c>
      <c r="G2218" s="13">
        <f>Phi*EpsilonF*Botzman/10^8*J2218*((D2218+273)^4-(E2218+273)^4)</f>
        <v>439.29404885949396</v>
      </c>
      <c r="H2218" s="23">
        <f t="shared" si="145"/>
        <v>650</v>
      </c>
      <c r="I2218" s="12">
        <f>ksh*Massivete/(H2218*RhoA)*DeltaT*(F2218+G2218)</f>
        <v>6.8636285874658046E-2</v>
      </c>
      <c r="J2218" s="3">
        <f>IF(E2218&lt;=500,IF(Galva=Oui,0.35,0.7),0.7)</f>
        <v>0.7</v>
      </c>
    </row>
    <row r="2219" spans="2:10" x14ac:dyDescent="0.25">
      <c r="B2219" s="3">
        <f>B2218+DeltaT</f>
        <v>11010</v>
      </c>
      <c r="C2219" s="13">
        <f t="shared" si="146"/>
        <v>183.5</v>
      </c>
      <c r="D2219" s="11">
        <f t="shared" si="147"/>
        <v>1112.6225195476384</v>
      </c>
      <c r="E2219" s="23">
        <f t="shared" si="144"/>
        <v>1111.581706161385</v>
      </c>
      <c r="F2219" s="23">
        <f>AlphaC*(D2219-E2219)</f>
        <v>26.020334656334398</v>
      </c>
      <c r="G2219" s="13">
        <f>Phi*EpsilonF*Botzman/10^8*J2219*((D2219+273)^4-(E2219+273)^4)</f>
        <v>439.09591418958655</v>
      </c>
      <c r="H2219" s="23">
        <f t="shared" si="145"/>
        <v>650</v>
      </c>
      <c r="I2219" s="12">
        <f>ksh*Massivete/(H2219*RhoA)*DeltaT*(F2219+G2219)</f>
        <v>6.8604760850638713E-2</v>
      </c>
      <c r="J2219" s="3">
        <f>IF(E2219&lt;=500,IF(Galva=Oui,0.35,0.7),0.7)</f>
        <v>0.7</v>
      </c>
    </row>
    <row r="2220" spans="2:10" x14ac:dyDescent="0.25">
      <c r="B2220" s="3">
        <f>B2219+DeltaT</f>
        <v>11015</v>
      </c>
      <c r="C2220" s="13">
        <f t="shared" si="146"/>
        <v>183.58333333333334</v>
      </c>
      <c r="D2220" s="11">
        <f t="shared" si="147"/>
        <v>1112.6905012167979</v>
      </c>
      <c r="E2220" s="23">
        <f t="shared" si="144"/>
        <v>1111.6503109222356</v>
      </c>
      <c r="F2220" s="23">
        <f>AlphaC*(D2220-E2220)</f>
        <v>26.004757364057696</v>
      </c>
      <c r="G2220" s="13">
        <f>Phi*EpsilonF*Botzman/10^8*J2220*((D2220+273)^4-(E2220+273)^4)</f>
        <v>438.89795955415872</v>
      </c>
      <c r="H2220" s="23">
        <f t="shared" si="145"/>
        <v>650</v>
      </c>
      <c r="I2220" s="12">
        <f>ksh*Massivete/(H2220*RhoA)*DeltaT*(F2220+G2220)</f>
        <v>6.857326483889864E-2</v>
      </c>
      <c r="J2220" s="3">
        <f>IF(E2220&lt;=500,IF(Galva=Oui,0.35,0.7),0.7)</f>
        <v>0.7</v>
      </c>
    </row>
    <row r="2221" spans="2:10" x14ac:dyDescent="0.25">
      <c r="B2221" s="3">
        <f>B2220+DeltaT</f>
        <v>11020</v>
      </c>
      <c r="C2221" s="13">
        <f t="shared" si="146"/>
        <v>183.66666666666666</v>
      </c>
      <c r="D2221" s="11">
        <f t="shared" si="147"/>
        <v>1112.7584520552668</v>
      </c>
      <c r="E2221" s="23">
        <f t="shared" si="144"/>
        <v>1111.7188841870745</v>
      </c>
      <c r="F2221" s="23">
        <f>AlphaC*(D2221-E2221)</f>
        <v>25.989196704807682</v>
      </c>
      <c r="G2221" s="13">
        <f>Phi*EpsilonF*Botzman/10^8*J2221*((D2221+273)^4-(E2221+273)^4)</f>
        <v>438.70018470642702</v>
      </c>
      <c r="H2221" s="23">
        <f t="shared" si="145"/>
        <v>650</v>
      </c>
      <c r="I2221" s="12">
        <f>ksh*Massivete/(H2221*RhoA)*DeltaT*(F2221+G2221)</f>
        <v>6.8541797799263407E-2</v>
      </c>
      <c r="J2221" s="3">
        <f>IF(E2221&lt;=500,IF(Galva=Oui,0.35,0.7),0.7)</f>
        <v>0.7</v>
      </c>
    </row>
    <row r="2222" spans="2:10" x14ac:dyDescent="0.25">
      <c r="B2222" s="3">
        <f>B2221+DeltaT</f>
        <v>11025</v>
      </c>
      <c r="C2222" s="13">
        <f t="shared" si="146"/>
        <v>183.75</v>
      </c>
      <c r="D2222" s="11">
        <f t="shared" si="147"/>
        <v>1112.8263720909979</v>
      </c>
      <c r="E2222" s="23">
        <f t="shared" si="144"/>
        <v>1111.7874259848738</v>
      </c>
      <c r="F2222" s="23">
        <f>AlphaC*(D2222-E2222)</f>
        <v>25.973652653101453</v>
      </c>
      <c r="G2222" s="13">
        <f>Phi*EpsilonF*Botzman/10^8*J2222*((D2222+273)^4-(E2222+273)^4)</f>
        <v>438.50258940092579</v>
      </c>
      <c r="H2222" s="23">
        <f t="shared" si="145"/>
        <v>650</v>
      </c>
      <c r="I2222" s="12">
        <f>ksh*Massivete/(H2222*RhoA)*DeltaT*(F2222+G2222)</f>
        <v>6.8510359691767997E-2</v>
      </c>
      <c r="J2222" s="3">
        <f>IF(E2222&lt;=500,IF(Galva=Oui,0.35,0.7),0.7)</f>
        <v>0.7</v>
      </c>
    </row>
    <row r="2223" spans="2:10" x14ac:dyDescent="0.25">
      <c r="B2223" s="3">
        <f>B2222+DeltaT</f>
        <v>11030</v>
      </c>
      <c r="C2223" s="13">
        <f t="shared" si="146"/>
        <v>183.83333333333334</v>
      </c>
      <c r="D2223" s="11">
        <f t="shared" si="147"/>
        <v>1112.8942613519041</v>
      </c>
      <c r="E2223" s="23">
        <f t="shared" si="144"/>
        <v>1111.8559363445656</v>
      </c>
      <c r="F2223" s="23">
        <f>AlphaC*(D2223-E2223)</f>
        <v>25.958125183461789</v>
      </c>
      <c r="G2223" s="13">
        <f>Phi*EpsilonF*Botzman/10^8*J2223*((D2223+273)^4-(E2223+273)^4)</f>
        <v>438.30517339207319</v>
      </c>
      <c r="H2223" s="23">
        <f t="shared" si="145"/>
        <v>650</v>
      </c>
      <c r="I2223" s="12">
        <f>ksh*Massivete/(H2223*RhoA)*DeltaT*(F2223+G2223)</f>
        <v>6.8478950476431155E-2</v>
      </c>
      <c r="J2223" s="3">
        <f>IF(E2223&lt;=500,IF(Galva=Oui,0.35,0.7),0.7)</f>
        <v>0.7</v>
      </c>
    </row>
    <row r="2224" spans="2:10" x14ac:dyDescent="0.25">
      <c r="B2224" s="3">
        <f>B2223+DeltaT</f>
        <v>11035</v>
      </c>
      <c r="C2224" s="13">
        <f t="shared" si="146"/>
        <v>183.91666666666666</v>
      </c>
      <c r="D2224" s="11">
        <f t="shared" si="147"/>
        <v>1112.9621198658613</v>
      </c>
      <c r="E2224" s="23">
        <f t="shared" si="144"/>
        <v>1111.9244152950421</v>
      </c>
      <c r="F2224" s="23">
        <f>AlphaC*(D2224-E2224)</f>
        <v>25.94261427047968</v>
      </c>
      <c r="G2224" s="13">
        <f>Phi*EpsilonF*Botzman/10^8*J2224*((D2224+273)^4-(E2224+273)^4)</f>
        <v>438.10793643471374</v>
      </c>
      <c r="H2224" s="23">
        <f t="shared" si="145"/>
        <v>650</v>
      </c>
      <c r="I2224" s="12">
        <f>ksh*Massivete/(H2224*RhoA)*DeltaT*(F2224+G2224)</f>
        <v>6.8447570113344555E-2</v>
      </c>
      <c r="J2224" s="3">
        <f>IF(E2224&lt;=500,IF(Galva=Oui,0.35,0.7),0.7)</f>
        <v>0.7</v>
      </c>
    </row>
    <row r="2225" spans="2:10" x14ac:dyDescent="0.25">
      <c r="B2225" s="3">
        <f>B2224+DeltaT</f>
        <v>11040</v>
      </c>
      <c r="C2225" s="13">
        <f t="shared" si="146"/>
        <v>184</v>
      </c>
      <c r="D2225" s="11">
        <f t="shared" si="147"/>
        <v>1113.0299476607076</v>
      </c>
      <c r="E2225" s="23">
        <f t="shared" si="144"/>
        <v>1111.9928628651555</v>
      </c>
      <c r="F2225" s="23">
        <f>AlphaC*(D2225-E2225)</f>
        <v>25.927119888802963</v>
      </c>
      <c r="G2225" s="13">
        <f>Phi*EpsilonF*Botzman/10^8*J2225*((D2225+273)^4-(E2225+273)^4)</f>
        <v>437.91087828450583</v>
      </c>
      <c r="H2225" s="23">
        <f t="shared" si="145"/>
        <v>650</v>
      </c>
      <c r="I2225" s="12">
        <f>ksh*Massivete/(H2225*RhoA)*DeltaT*(F2225+G2225)</f>
        <v>6.8416218562728282E-2</v>
      </c>
      <c r="J2225" s="3">
        <f>IF(E2225&lt;=500,IF(Galva=Oui,0.35,0.7),0.7)</f>
        <v>0.7</v>
      </c>
    </row>
    <row r="2226" spans="2:10" x14ac:dyDescent="0.25">
      <c r="B2226" s="3">
        <f>B2225+DeltaT</f>
        <v>11045</v>
      </c>
      <c r="C2226" s="13">
        <f t="shared" si="146"/>
        <v>184.08333333333334</v>
      </c>
      <c r="D2226" s="11">
        <f t="shared" si="147"/>
        <v>1113.0977447642429</v>
      </c>
      <c r="E2226" s="23">
        <f t="shared" si="144"/>
        <v>1112.0612790837183</v>
      </c>
      <c r="F2226" s="23">
        <f>AlphaC*(D2226-E2226)</f>
        <v>25.911642013113578</v>
      </c>
      <c r="G2226" s="13">
        <f>Phi*EpsilonF*Botzman/10^8*J2226*((D2226+273)^4-(E2226+273)^4)</f>
        <v>437.71399869714668</v>
      </c>
      <c r="H2226" s="23">
        <f t="shared" si="145"/>
        <v>650</v>
      </c>
      <c r="I2226" s="12">
        <f>ksh*Massivete/(H2226*RhoA)*DeltaT*(F2226+G2226)</f>
        <v>6.8384895784813216E-2</v>
      </c>
      <c r="J2226" s="3">
        <f>IF(E2226&lt;=500,IF(Galva=Oui,0.35,0.7),0.7)</f>
        <v>0.7</v>
      </c>
    </row>
    <row r="2227" spans="2:10" x14ac:dyDescent="0.25">
      <c r="B2227" s="3">
        <f>B2226+DeltaT</f>
        <v>11050</v>
      </c>
      <c r="C2227" s="13">
        <f t="shared" si="146"/>
        <v>184.16666666666666</v>
      </c>
      <c r="D2227" s="11">
        <f t="shared" si="147"/>
        <v>1113.1655112042297</v>
      </c>
      <c r="E2227" s="23">
        <f t="shared" si="144"/>
        <v>1112.1296639795032</v>
      </c>
      <c r="F2227" s="23">
        <f>AlphaC*(D2227-E2227)</f>
        <v>25.896180618161679</v>
      </c>
      <c r="G2227" s="13">
        <f>Phi*EpsilonF*Botzman/10^8*J2227*((D2227+273)^4-(E2227+273)^4)</f>
        <v>437.51729742912806</v>
      </c>
      <c r="H2227" s="23">
        <f t="shared" si="145"/>
        <v>650</v>
      </c>
      <c r="I2227" s="12">
        <f>ksh*Massivete/(H2227*RhoA)*DeltaT*(F2227+G2227)</f>
        <v>6.8353601739957456E-2</v>
      </c>
      <c r="J2227" s="3">
        <f>IF(E2227&lt;=500,IF(Galva=Oui,0.35,0.7),0.7)</f>
        <v>0.7</v>
      </c>
    </row>
    <row r="2228" spans="2:10" x14ac:dyDescent="0.25">
      <c r="B2228" s="3">
        <f>B2227+DeltaT</f>
        <v>11055</v>
      </c>
      <c r="C2228" s="13">
        <f t="shared" si="146"/>
        <v>184.25</v>
      </c>
      <c r="D2228" s="11">
        <f t="shared" si="147"/>
        <v>1113.2332470083925</v>
      </c>
      <c r="E2228" s="23">
        <f t="shared" ref="E2228:E2291" si="148">E2227+I2227</f>
        <v>1112.1980175812432</v>
      </c>
      <c r="F2228" s="23">
        <f>AlphaC*(D2228-E2228)</f>
        <v>25.880735678731526</v>
      </c>
      <c r="G2228" s="13">
        <f>Phi*EpsilonF*Botzman/10^8*J2228*((D2228+273)^4-(E2228+273)^4)</f>
        <v>437.32077423703862</v>
      </c>
      <c r="H2228" s="23">
        <f t="shared" ref="H2228:H2291" si="149">IF(E2228&lt;600,425+0.773*E2228-1.69/1000*E2228^2+2.22/1000^2*E2228^3,IF(E2228&lt;735,666+13002/(738-E2228),IF(E2228&lt;900,545+17820/(E2228-731),650)))</f>
        <v>650</v>
      </c>
      <c r="I2228" s="12">
        <f>ksh*Massivete/(H2228*RhoA)*DeltaT*(F2228+G2228)</f>
        <v>6.8322336388538449E-2</v>
      </c>
      <c r="J2228" s="3">
        <f>IF(E2228&lt;=500,IF(Galva=Oui,0.35,0.7),0.7)</f>
        <v>0.7</v>
      </c>
    </row>
    <row r="2229" spans="2:10" x14ac:dyDescent="0.25">
      <c r="B2229" s="3">
        <f>B2228+DeltaT</f>
        <v>11060</v>
      </c>
      <c r="C2229" s="13">
        <f t="shared" si="146"/>
        <v>184.33333333333334</v>
      </c>
      <c r="D2229" s="11">
        <f t="shared" si="147"/>
        <v>1113.3009522044188</v>
      </c>
      <c r="E2229" s="23">
        <f t="shared" si="148"/>
        <v>1112.2663399176317</v>
      </c>
      <c r="F2229" s="23">
        <f>AlphaC*(D2229-E2229)</f>
        <v>25.865307169675589</v>
      </c>
      <c r="G2229" s="13">
        <f>Phi*EpsilonF*Botzman/10^8*J2229*((D2229+273)^4-(E2229+273)^4)</f>
        <v>437.12442887833919</v>
      </c>
      <c r="H2229" s="23">
        <f t="shared" si="149"/>
        <v>650</v>
      </c>
      <c r="I2229" s="12">
        <f>ksh*Massivete/(H2229*RhoA)*DeltaT*(F2229+G2229)</f>
        <v>6.8291099691072332E-2</v>
      </c>
      <c r="J2229" s="3">
        <f>IF(E2229&lt;=500,IF(Galva=Oui,0.35,0.7),0.7)</f>
        <v>0.7</v>
      </c>
    </row>
    <row r="2230" spans="2:10" x14ac:dyDescent="0.25">
      <c r="B2230" s="3">
        <f>B2229+DeltaT</f>
        <v>11065</v>
      </c>
      <c r="C2230" s="13">
        <f t="shared" si="146"/>
        <v>184.41666666666666</v>
      </c>
      <c r="D2230" s="11">
        <f t="shared" si="147"/>
        <v>1113.3686268199581</v>
      </c>
      <c r="E2230" s="23">
        <f t="shared" si="148"/>
        <v>1112.3346310173229</v>
      </c>
      <c r="F2230" s="23">
        <f>AlphaC*(D2230-E2230)</f>
        <v>25.849895065880446</v>
      </c>
      <c r="G2230" s="13">
        <f>Phi*EpsilonF*Botzman/10^8*J2230*((D2230+273)^4-(E2230+273)^4)</f>
        <v>436.92826111050982</v>
      </c>
      <c r="H2230" s="23">
        <f t="shared" si="149"/>
        <v>650</v>
      </c>
      <c r="I2230" s="12">
        <f>ksh*Massivete/(H2230*RhoA)*DeltaT*(F2230+G2230)</f>
        <v>6.8259891608083129E-2</v>
      </c>
      <c r="J2230" s="3">
        <f>IF(E2230&lt;=500,IF(Galva=Oui,0.35,0.7),0.7)</f>
        <v>0.7</v>
      </c>
    </row>
    <row r="2231" spans="2:10" x14ac:dyDescent="0.25">
      <c r="B2231" s="3">
        <f>B2230+DeltaT</f>
        <v>11070</v>
      </c>
      <c r="C2231" s="13">
        <f t="shared" si="146"/>
        <v>184.5</v>
      </c>
      <c r="D2231" s="11">
        <f t="shared" si="147"/>
        <v>1113.4362708826227</v>
      </c>
      <c r="E2231" s="23">
        <f t="shared" si="148"/>
        <v>1112.4028909089309</v>
      </c>
      <c r="F2231" s="23">
        <f>AlphaC*(D2231-E2231)</f>
        <v>25.834499342295203</v>
      </c>
      <c r="G2231" s="13">
        <f>Phi*EpsilonF*Botzman/10^8*J2231*((D2231+273)^4-(E2231+273)^4)</f>
        <v>436.73227069186407</v>
      </c>
      <c r="H2231" s="23">
        <f t="shared" si="149"/>
        <v>650</v>
      </c>
      <c r="I2231" s="12">
        <f>ksh*Massivete/(H2231*RhoA)*DeltaT*(F2231+G2231)</f>
        <v>6.8228712100227018E-2</v>
      </c>
      <c r="J2231" s="3">
        <f>IF(E2231&lt;=500,IF(Galva=Oui,0.35,0.7),0.7)</f>
        <v>0.7</v>
      </c>
    </row>
    <row r="2232" spans="2:10" x14ac:dyDescent="0.25">
      <c r="B2232" s="3">
        <f>B2231+DeltaT</f>
        <v>11075</v>
      </c>
      <c r="C2232" s="13">
        <f t="shared" si="146"/>
        <v>184.58333333333334</v>
      </c>
      <c r="D2232" s="11">
        <f t="shared" si="147"/>
        <v>1113.5038844199869</v>
      </c>
      <c r="E2232" s="23">
        <f t="shared" si="148"/>
        <v>1112.4711196210312</v>
      </c>
      <c r="F2232" s="23">
        <f>AlphaC*(D2232-E2232)</f>
        <v>25.819119973891702</v>
      </c>
      <c r="G2232" s="13">
        <f>Phi*EpsilonF*Botzman/10^8*J2232*((D2232+273)^4-(E2232+273)^4)</f>
        <v>436.53645738048283</v>
      </c>
      <c r="H2232" s="23">
        <f t="shared" si="149"/>
        <v>650</v>
      </c>
      <c r="I2232" s="12">
        <f>ksh*Massivete/(H2232*RhoA)*DeltaT*(F2232+G2232)</f>
        <v>6.8197561128129205E-2</v>
      </c>
      <c r="J2232" s="3">
        <f>IF(E2232&lt;=500,IF(Galva=Oui,0.35,0.7),0.7)</f>
        <v>0.7</v>
      </c>
    </row>
    <row r="2233" spans="2:10" x14ac:dyDescent="0.25">
      <c r="B2233" s="3">
        <f>B2232+DeltaT</f>
        <v>11080</v>
      </c>
      <c r="C2233" s="13">
        <f t="shared" si="146"/>
        <v>184.66666666666666</v>
      </c>
      <c r="D2233" s="11">
        <f t="shared" si="147"/>
        <v>1113.5714674595883</v>
      </c>
      <c r="E2233" s="23">
        <f t="shared" si="148"/>
        <v>1112.5393171821593</v>
      </c>
      <c r="F2233" s="23">
        <f>AlphaC*(D2233-E2233)</f>
        <v>25.803756935727051</v>
      </c>
      <c r="G2233" s="13">
        <f>Phi*EpsilonF*Botzman/10^8*J2233*((D2233+273)^4-(E2233+273)^4)</f>
        <v>436.34082093568736</v>
      </c>
      <c r="H2233" s="23">
        <f t="shared" si="149"/>
        <v>650</v>
      </c>
      <c r="I2233" s="12">
        <f>ksh*Massivete/(H2233*RhoA)*DeltaT*(F2233+G2233)</f>
        <v>6.8166438652610448E-2</v>
      </c>
      <c r="J2233" s="3">
        <f>IF(E2233&lt;=500,IF(Galva=Oui,0.35,0.7),0.7)</f>
        <v>0.7</v>
      </c>
    </row>
    <row r="2234" spans="2:10" x14ac:dyDescent="0.25">
      <c r="B2234" s="3">
        <f>B2233+DeltaT</f>
        <v>11085</v>
      </c>
      <c r="C2234" s="13">
        <f t="shared" si="146"/>
        <v>184.75</v>
      </c>
      <c r="D2234" s="11">
        <f t="shared" si="147"/>
        <v>1113.6390200289279</v>
      </c>
      <c r="E2234" s="23">
        <f t="shared" si="148"/>
        <v>1112.6074836208118</v>
      </c>
      <c r="F2234" s="23">
        <f>AlphaC*(D2234-E2234)</f>
        <v>25.788410202903833</v>
      </c>
      <c r="G2234" s="13">
        <f>Phi*EpsilonF*Botzman/10^8*J2234*((D2234+273)^4-(E2234+273)^4)</f>
        <v>436.14536111708958</v>
      </c>
      <c r="H2234" s="23">
        <f t="shared" si="149"/>
        <v>650</v>
      </c>
      <c r="I2234" s="12">
        <f>ksh*Massivete/(H2234*RhoA)*DeltaT*(F2234+G2234)</f>
        <v>6.8135344634541045E-2</v>
      </c>
      <c r="J2234" s="3">
        <f>IF(E2234&lt;=500,IF(Galva=Oui,0.35,0.7),0.7)</f>
        <v>0.7</v>
      </c>
    </row>
    <row r="2235" spans="2:10" x14ac:dyDescent="0.25">
      <c r="B2235" s="3">
        <f>B2234+DeltaT</f>
        <v>11090</v>
      </c>
      <c r="C2235" s="13">
        <f t="shared" si="146"/>
        <v>184.83333333333334</v>
      </c>
      <c r="D2235" s="11">
        <f t="shared" si="147"/>
        <v>1113.7065421554678</v>
      </c>
      <c r="E2235" s="23">
        <f t="shared" si="148"/>
        <v>1112.6756189654463</v>
      </c>
      <c r="F2235" s="23">
        <f>AlphaC*(D2235-E2235)</f>
        <v>25.773079750535999</v>
      </c>
      <c r="G2235" s="13">
        <f>Phi*EpsilonF*Botzman/10^8*J2235*((D2235+273)^4-(E2235+273)^4)</f>
        <v>435.95007768395254</v>
      </c>
      <c r="H2235" s="23">
        <f t="shared" si="149"/>
        <v>650</v>
      </c>
      <c r="I2235" s="12">
        <f>ksh*Massivete/(H2235*RhoA)*DeltaT*(F2235+G2235)</f>
        <v>6.8104279034741561E-2</v>
      </c>
      <c r="J2235" s="3">
        <f>IF(E2235&lt;=500,IF(Galva=Oui,0.35,0.7),0.7)</f>
        <v>0.7</v>
      </c>
    </row>
    <row r="2236" spans="2:10" x14ac:dyDescent="0.25">
      <c r="B2236" s="3">
        <f>B2235+DeltaT</f>
        <v>11095</v>
      </c>
      <c r="C2236" s="13">
        <f t="shared" si="146"/>
        <v>184.91666666666666</v>
      </c>
      <c r="D2236" s="11">
        <f t="shared" si="147"/>
        <v>1113.7740338666345</v>
      </c>
      <c r="E2236" s="23">
        <f t="shared" si="148"/>
        <v>1112.7437232444811</v>
      </c>
      <c r="F2236" s="23">
        <f>AlphaC*(D2236-E2236)</f>
        <v>25.757765553834133</v>
      </c>
      <c r="G2236" s="13">
        <f>Phi*EpsilonF*Botzman/10^8*J2236*((D2236+273)^4-(E2236+273)^4)</f>
        <v>435.75497039708978</v>
      </c>
      <c r="H2236" s="23">
        <f t="shared" si="149"/>
        <v>650</v>
      </c>
      <c r="I2236" s="12">
        <f>ksh*Massivete/(H2236*RhoA)*DeltaT*(F2236+G2236)</f>
        <v>6.8073241814275473E-2</v>
      </c>
      <c r="J2236" s="3">
        <f>IF(E2236&lt;=500,IF(Galva=Oui,0.35,0.7),0.7)</f>
        <v>0.7</v>
      </c>
    </row>
    <row r="2237" spans="2:10" x14ac:dyDescent="0.25">
      <c r="B2237" s="3">
        <f>B2236+DeltaT</f>
        <v>11100</v>
      </c>
      <c r="C2237" s="13">
        <f t="shared" si="146"/>
        <v>185</v>
      </c>
      <c r="D2237" s="11">
        <f t="shared" si="147"/>
        <v>1113.8414951898169</v>
      </c>
      <c r="E2237" s="23">
        <f t="shared" si="148"/>
        <v>1112.8117964862954</v>
      </c>
      <c r="F2237" s="23">
        <f>AlphaC*(D2237-E2237)</f>
        <v>25.742467588037243</v>
      </c>
      <c r="G2237" s="13">
        <f>Phi*EpsilonF*Botzman/10^8*J2237*((D2237+273)^4-(E2237+273)^4)</f>
        <v>435.56003901712103</v>
      </c>
      <c r="H2237" s="23">
        <f t="shared" si="149"/>
        <v>650</v>
      </c>
      <c r="I2237" s="12">
        <f>ksh*Massivete/(H2237*RhoA)*DeltaT*(F2237+G2237)</f>
        <v>6.8042232934181907E-2</v>
      </c>
      <c r="J2237" s="3">
        <f>IF(E2237&lt;=500,IF(Galva=Oui,0.35,0.7),0.7)</f>
        <v>0.7</v>
      </c>
    </row>
    <row r="2238" spans="2:10" x14ac:dyDescent="0.25">
      <c r="B2238" s="3">
        <f>B2237+DeltaT</f>
        <v>11105</v>
      </c>
      <c r="C2238" s="13">
        <f t="shared" si="146"/>
        <v>185.08333333333334</v>
      </c>
      <c r="D2238" s="11">
        <f t="shared" si="147"/>
        <v>1113.9089261523666</v>
      </c>
      <c r="E2238" s="23">
        <f t="shared" si="148"/>
        <v>1112.8798387192296</v>
      </c>
      <c r="F2238" s="23">
        <f>AlphaC*(D2238-E2238)</f>
        <v>25.727185828424126</v>
      </c>
      <c r="G2238" s="13">
        <f>Phi*EpsilonF*Botzman/10^8*J2238*((D2238+273)^4-(E2238+273)^4)</f>
        <v>435.36528330503404</v>
      </c>
      <c r="H2238" s="23">
        <f t="shared" si="149"/>
        <v>650</v>
      </c>
      <c r="I2238" s="12">
        <f>ksh*Massivete/(H2238*RhoA)*DeltaT*(F2238+G2238)</f>
        <v>6.8011252355560076E-2</v>
      </c>
      <c r="J2238" s="3">
        <f>IF(E2238&lt;=500,IF(Galva=Oui,0.35,0.7),0.7)</f>
        <v>0.7</v>
      </c>
    </row>
    <row r="2239" spans="2:10" x14ac:dyDescent="0.25">
      <c r="B2239" s="3">
        <f>B2238+DeltaT</f>
        <v>11110</v>
      </c>
      <c r="C2239" s="13">
        <f t="shared" si="146"/>
        <v>185.16666666666666</v>
      </c>
      <c r="D2239" s="11">
        <f t="shared" si="147"/>
        <v>1113.9763267815988</v>
      </c>
      <c r="E2239" s="23">
        <f t="shared" si="148"/>
        <v>1112.9478499715851</v>
      </c>
      <c r="F2239" s="23">
        <f>AlphaC*(D2239-E2239)</f>
        <v>25.711920250341791</v>
      </c>
      <c r="G2239" s="13">
        <f>Phi*EpsilonF*Botzman/10^8*J2239*((D2239+273)^4-(E2239+273)^4)</f>
        <v>435.1707030225727</v>
      </c>
      <c r="H2239" s="23">
        <f t="shared" si="149"/>
        <v>650</v>
      </c>
      <c r="I2239" s="12">
        <f>ksh*Massivete/(H2239*RhoA)*DeltaT*(F2239+G2239)</f>
        <v>6.7980300039630848E-2</v>
      </c>
      <c r="J2239" s="3">
        <f>IF(E2239&lt;=500,IF(Galva=Oui,0.35,0.7),0.7)</f>
        <v>0.7</v>
      </c>
    </row>
    <row r="2240" spans="2:10" x14ac:dyDescent="0.25">
      <c r="B2240" s="3">
        <f>B2239+DeltaT</f>
        <v>11115</v>
      </c>
      <c r="C2240" s="13">
        <f t="shared" si="146"/>
        <v>185.25</v>
      </c>
      <c r="D2240" s="11">
        <f t="shared" si="147"/>
        <v>1114.0436971047918</v>
      </c>
      <c r="E2240" s="23">
        <f t="shared" si="148"/>
        <v>1113.0158302716247</v>
      </c>
      <c r="F2240" s="23">
        <f>AlphaC*(D2240-E2240)</f>
        <v>25.696670829177037</v>
      </c>
      <c r="G2240" s="13">
        <f>Phi*EpsilonF*Botzman/10^8*J2240*((D2240+273)^4-(E2240+273)^4)</f>
        <v>434.97629793179073</v>
      </c>
      <c r="H2240" s="23">
        <f t="shared" si="149"/>
        <v>650</v>
      </c>
      <c r="I2240" s="12">
        <f>ksh*Massivete/(H2240*RhoA)*DeltaT*(F2240+G2240)</f>
        <v>6.7949375947666632E-2</v>
      </c>
      <c r="J2240" s="3">
        <f>IF(E2240&lt;=500,IF(Galva=Oui,0.35,0.7),0.7)</f>
        <v>0.7</v>
      </c>
    </row>
    <row r="2241" spans="2:10" x14ac:dyDescent="0.25">
      <c r="B2241" s="3">
        <f>B2240+DeltaT</f>
        <v>11120</v>
      </c>
      <c r="C2241" s="13">
        <f t="shared" si="146"/>
        <v>185.33333333333334</v>
      </c>
      <c r="D2241" s="11">
        <f t="shared" si="147"/>
        <v>1114.1110371491866</v>
      </c>
      <c r="E2241" s="23">
        <f t="shared" si="148"/>
        <v>1113.0837796475723</v>
      </c>
      <c r="F2241" s="23">
        <f>AlphaC*(D2241-E2241)</f>
        <v>25.681437540356455</v>
      </c>
      <c r="G2241" s="13">
        <f>Phi*EpsilonF*Botzman/10^8*J2241*((D2241+273)^4-(E2241+273)^4)</f>
        <v>434.78206779507138</v>
      </c>
      <c r="H2241" s="23">
        <f t="shared" si="149"/>
        <v>650</v>
      </c>
      <c r="I2241" s="12">
        <f>ksh*Massivete/(H2241*RhoA)*DeltaT*(F2241+G2241)</f>
        <v>6.7918480040994322E-2</v>
      </c>
      <c r="J2241" s="3">
        <f>IF(E2241&lt;=500,IF(Galva=Oui,0.35,0.7),0.7)</f>
        <v>0.7</v>
      </c>
    </row>
    <row r="2242" spans="2:10" x14ac:dyDescent="0.25">
      <c r="B2242" s="3">
        <f>B2241+DeltaT</f>
        <v>11125</v>
      </c>
      <c r="C2242" s="13">
        <f t="shared" si="146"/>
        <v>185.41666666666666</v>
      </c>
      <c r="D2242" s="11">
        <f t="shared" si="147"/>
        <v>1114.1783469419881</v>
      </c>
      <c r="E2242" s="23">
        <f t="shared" si="148"/>
        <v>1113.1516981276134</v>
      </c>
      <c r="F2242" s="23">
        <f>AlphaC*(D2242-E2242)</f>
        <v>25.666220359369163</v>
      </c>
      <c r="G2242" s="13">
        <f>Phi*EpsilonF*Botzman/10^8*J2242*((D2242+273)^4-(E2242+273)^4)</f>
        <v>434.58801237518554</v>
      </c>
      <c r="H2242" s="23">
        <f t="shared" si="149"/>
        <v>650</v>
      </c>
      <c r="I2242" s="12">
        <f>ksh*Massivete/(H2242*RhoA)*DeltaT*(F2242+G2242)</f>
        <v>6.788761228100719E-2</v>
      </c>
      <c r="J2242" s="3">
        <f>IF(E2242&lt;=500,IF(Galva=Oui,0.35,0.7),0.7)</f>
        <v>0.7</v>
      </c>
    </row>
    <row r="2243" spans="2:10" x14ac:dyDescent="0.25">
      <c r="B2243" s="3">
        <f>B2242+DeltaT</f>
        <v>11130</v>
      </c>
      <c r="C2243" s="13">
        <f t="shared" si="146"/>
        <v>185.5</v>
      </c>
      <c r="D2243" s="11">
        <f t="shared" si="147"/>
        <v>1114.2456265103647</v>
      </c>
      <c r="E2243" s="23">
        <f t="shared" si="148"/>
        <v>1113.2195857398945</v>
      </c>
      <c r="F2243" s="23">
        <f>AlphaC*(D2243-E2243)</f>
        <v>25.651019261755437</v>
      </c>
      <c r="G2243" s="13">
        <f>Phi*EpsilonF*Botzman/10^8*J2243*((D2243+273)^4-(E2243+273)^4)</f>
        <v>434.39413143577616</v>
      </c>
      <c r="H2243" s="23">
        <f t="shared" si="149"/>
        <v>650</v>
      </c>
      <c r="I2243" s="12">
        <f>ksh*Massivete/(H2243*RhoA)*DeltaT*(F2243+G2243)</f>
        <v>6.7856772629234688E-2</v>
      </c>
      <c r="J2243" s="3">
        <f>IF(E2243&lt;=500,IF(Galva=Oui,0.35,0.7),0.7)</f>
        <v>0.7</v>
      </c>
    </row>
    <row r="2244" spans="2:10" x14ac:dyDescent="0.25">
      <c r="B2244" s="3">
        <f>B2243+DeltaT</f>
        <v>11135</v>
      </c>
      <c r="C2244" s="13">
        <f t="shared" si="146"/>
        <v>185.58333333333334</v>
      </c>
      <c r="D2244" s="11">
        <f t="shared" si="147"/>
        <v>1114.3128758814471</v>
      </c>
      <c r="E2244" s="23">
        <f t="shared" si="148"/>
        <v>1113.2874425125237</v>
      </c>
      <c r="F2244" s="23">
        <f>AlphaC*(D2244-E2244)</f>
        <v>25.635834223083975</v>
      </c>
      <c r="G2244" s="13">
        <f>Phi*EpsilonF*Botzman/10^8*J2244*((D2244+273)^4-(E2244+273)^4)</f>
        <v>434.20042474029236</v>
      </c>
      <c r="H2244" s="23">
        <f t="shared" si="149"/>
        <v>650</v>
      </c>
      <c r="I2244" s="12">
        <f>ksh*Massivete/(H2244*RhoA)*DeltaT*(F2244+G2244)</f>
        <v>6.7825961047181915E-2</v>
      </c>
      <c r="J2244" s="3">
        <f>IF(E2244&lt;=500,IF(Galva=Oui,0.35,0.7),0.7)</f>
        <v>0.7</v>
      </c>
    </row>
    <row r="2245" spans="2:10" x14ac:dyDescent="0.25">
      <c r="B2245" s="3">
        <f>B2244+DeltaT</f>
        <v>11140</v>
      </c>
      <c r="C2245" s="13">
        <f t="shared" si="146"/>
        <v>185.66666666666666</v>
      </c>
      <c r="D2245" s="11">
        <f t="shared" si="147"/>
        <v>1114.3800950823309</v>
      </c>
      <c r="E2245" s="23">
        <f t="shared" si="148"/>
        <v>1113.355268473571</v>
      </c>
      <c r="F2245" s="23">
        <f>AlphaC*(D2245-E2245)</f>
        <v>25.620665218997374</v>
      </c>
      <c r="G2245" s="13">
        <f>Phi*EpsilonF*Botzman/10^8*J2245*((D2245+273)^4-(E2245+273)^4)</f>
        <v>434.00689205309413</v>
      </c>
      <c r="H2245" s="23">
        <f t="shared" si="149"/>
        <v>650</v>
      </c>
      <c r="I2245" s="12">
        <f>ksh*Massivete/(H2245*RhoA)*DeltaT*(F2245+G2245)</f>
        <v>6.7795177496499159E-2</v>
      </c>
      <c r="J2245" s="3">
        <f>IF(E2245&lt;=500,IF(Galva=Oui,0.35,0.7),0.7)</f>
        <v>0.7</v>
      </c>
    </row>
    <row r="2246" spans="2:10" x14ac:dyDescent="0.25">
      <c r="B2246" s="3">
        <f>B2245+DeltaT</f>
        <v>11145</v>
      </c>
      <c r="C2246" s="13">
        <f t="shared" si="146"/>
        <v>185.75</v>
      </c>
      <c r="D2246" s="11">
        <f t="shared" si="147"/>
        <v>1114.4472841400741</v>
      </c>
      <c r="E2246" s="23">
        <f t="shared" si="148"/>
        <v>1113.4230636510674</v>
      </c>
      <c r="F2246" s="23">
        <f>AlphaC*(D2246-E2246)</f>
        <v>25.605512225166649</v>
      </c>
      <c r="G2246" s="13">
        <f>Phi*EpsilonF*Botzman/10^8*J2246*((D2246+273)^4-(E2246+273)^4)</f>
        <v>433.81353313877406</v>
      </c>
      <c r="H2246" s="23">
        <f t="shared" si="149"/>
        <v>650</v>
      </c>
      <c r="I2246" s="12">
        <f>ksh*Massivete/(H2246*RhoA)*DeltaT*(F2246+G2246)</f>
        <v>6.7764421938875261E-2</v>
      </c>
      <c r="J2246" s="3">
        <f>IF(E2246&lt;=500,IF(Galva=Oui,0.35,0.7),0.7)</f>
        <v>0.7</v>
      </c>
    </row>
    <row r="2247" spans="2:10" x14ac:dyDescent="0.25">
      <c r="B2247" s="3">
        <f>B2246+DeltaT</f>
        <v>11150</v>
      </c>
      <c r="C2247" s="13">
        <f t="shared" si="146"/>
        <v>185.83333333333334</v>
      </c>
      <c r="D2247" s="11">
        <f t="shared" si="147"/>
        <v>1114.514443081699</v>
      </c>
      <c r="E2247" s="23">
        <f t="shared" si="148"/>
        <v>1113.4908280730062</v>
      </c>
      <c r="F2247" s="23">
        <f>AlphaC*(D2247-E2247)</f>
        <v>25.590375217319661</v>
      </c>
      <c r="G2247" s="13">
        <f>Phi*EpsilonF*Botzman/10^8*J2247*((D2247+273)^4-(E2247+273)^4)</f>
        <v>433.62034776231235</v>
      </c>
      <c r="H2247" s="23">
        <f t="shared" si="149"/>
        <v>650</v>
      </c>
      <c r="I2247" s="12">
        <f>ksh*Massivete/(H2247*RhoA)*DeltaT*(F2247+G2247)</f>
        <v>6.7733694336064576E-2</v>
      </c>
      <c r="J2247" s="3">
        <f>IF(E2247&lt;=500,IF(Galva=Oui,0.35,0.7),0.7)</f>
        <v>0.7</v>
      </c>
    </row>
    <row r="2248" spans="2:10" x14ac:dyDescent="0.25">
      <c r="B2248" s="3">
        <f>B2247+DeltaT</f>
        <v>11155</v>
      </c>
      <c r="C2248" s="13">
        <f t="shared" si="146"/>
        <v>185.91666666666666</v>
      </c>
      <c r="D2248" s="11">
        <f t="shared" si="147"/>
        <v>1114.5815719341913</v>
      </c>
      <c r="E2248" s="23">
        <f t="shared" si="148"/>
        <v>1113.5585617673423</v>
      </c>
      <c r="F2248" s="23">
        <f>AlphaC*(D2248-E2248)</f>
        <v>25.57525417122406</v>
      </c>
      <c r="G2248" s="13">
        <f>Phi*EpsilonF*Botzman/10^8*J2248*((D2248+273)^4-(E2248+273)^4)</f>
        <v>433.42733568905732</v>
      </c>
      <c r="H2248" s="23">
        <f t="shared" si="149"/>
        <v>650</v>
      </c>
      <c r="I2248" s="12">
        <f>ksh*Massivete/(H2248*RhoA)*DeltaT*(F2248+G2248)</f>
        <v>6.7702994649881651E-2</v>
      </c>
      <c r="J2248" s="3">
        <f>IF(E2248&lt;=500,IF(Galva=Oui,0.35,0.7),0.7)</f>
        <v>0.7</v>
      </c>
    </row>
    <row r="2249" spans="2:10" x14ac:dyDescent="0.25">
      <c r="B2249" s="3">
        <f>B2248+DeltaT</f>
        <v>11160</v>
      </c>
      <c r="C2249" s="13">
        <f t="shared" si="146"/>
        <v>186</v>
      </c>
      <c r="D2249" s="11">
        <f t="shared" si="147"/>
        <v>1114.6486707245008</v>
      </c>
      <c r="E2249" s="23">
        <f t="shared" si="148"/>
        <v>1113.6262647619922</v>
      </c>
      <c r="F2249" s="23">
        <f>AlphaC*(D2249-E2249)</f>
        <v>25.560149062715709</v>
      </c>
      <c r="G2249" s="13">
        <f>Phi*EpsilonF*Botzman/10^8*J2249*((D2249+273)^4-(E2249+273)^4)</f>
        <v>433.23449668517128</v>
      </c>
      <c r="H2249" s="23">
        <f t="shared" si="149"/>
        <v>650</v>
      </c>
      <c r="I2249" s="12">
        <f>ksh*Massivete/(H2249*RhoA)*DeltaT*(F2249+G2249)</f>
        <v>6.7672322842271163E-2</v>
      </c>
      <c r="J2249" s="3">
        <f>IF(E2249&lt;=500,IF(Galva=Oui,0.35,0.7),0.7)</f>
        <v>0.7</v>
      </c>
    </row>
    <row r="2250" spans="2:10" x14ac:dyDescent="0.25">
      <c r="B2250" s="3">
        <f>B2249+DeltaT</f>
        <v>11165</v>
      </c>
      <c r="C2250" s="13">
        <f t="shared" si="146"/>
        <v>186.08333333333334</v>
      </c>
      <c r="D2250" s="11">
        <f t="shared" si="147"/>
        <v>1114.7157394795404</v>
      </c>
      <c r="E2250" s="23">
        <f t="shared" si="148"/>
        <v>1113.6939370848345</v>
      </c>
      <c r="F2250" s="23">
        <f>AlphaC*(D2250-E2250)</f>
        <v>25.545059867647524</v>
      </c>
      <c r="G2250" s="13">
        <f>Phi*EpsilonF*Botzman/10^8*J2250*((D2250+273)^4-(E2250+273)^4)</f>
        <v>433.04183051670037</v>
      </c>
      <c r="H2250" s="23">
        <f t="shared" si="149"/>
        <v>650</v>
      </c>
      <c r="I2250" s="12">
        <f>ksh*Massivete/(H2250*RhoA)*DeltaT*(F2250+G2250)</f>
        <v>6.7641678875163147E-2</v>
      </c>
      <c r="J2250" s="3">
        <f>IF(E2250&lt;=500,IF(Galva=Oui,0.35,0.7),0.7)</f>
        <v>0.7</v>
      </c>
    </row>
    <row r="2251" spans="2:10" x14ac:dyDescent="0.25">
      <c r="B2251" s="3">
        <f>B2250+DeltaT</f>
        <v>11170</v>
      </c>
      <c r="C2251" s="13">
        <f t="shared" si="146"/>
        <v>186.16666666666666</v>
      </c>
      <c r="D2251" s="11">
        <f t="shared" si="147"/>
        <v>1114.7827782261872</v>
      </c>
      <c r="E2251" s="23">
        <f t="shared" si="148"/>
        <v>1113.7615787637096</v>
      </c>
      <c r="F2251" s="23">
        <f>AlphaC*(D2251-E2251)</f>
        <v>25.529986561940632</v>
      </c>
      <c r="G2251" s="13">
        <f>Phi*EpsilonF*Botzman/10^8*J2251*((D2251+273)^4-(E2251+273)^4)</f>
        <v>432.84933695033016</v>
      </c>
      <c r="H2251" s="23">
        <f t="shared" si="149"/>
        <v>650</v>
      </c>
      <c r="I2251" s="12">
        <f>ksh*Massivete/(H2251*RhoA)*DeltaT*(F2251+G2251)</f>
        <v>6.7611062710592029E-2</v>
      </c>
      <c r="J2251" s="3">
        <f>IF(E2251&lt;=500,IF(Galva=Oui,0.35,0.7),0.7)</f>
        <v>0.7</v>
      </c>
    </row>
    <row r="2252" spans="2:10" x14ac:dyDescent="0.25">
      <c r="B2252" s="3">
        <f>B2251+DeltaT</f>
        <v>11175</v>
      </c>
      <c r="C2252" s="13">
        <f t="shared" si="146"/>
        <v>186.25</v>
      </c>
      <c r="D2252" s="11">
        <f t="shared" si="147"/>
        <v>1114.8497869912831</v>
      </c>
      <c r="E2252" s="23">
        <f t="shared" si="148"/>
        <v>1113.8291898264201</v>
      </c>
      <c r="F2252" s="23">
        <f>AlphaC*(D2252-E2252)</f>
        <v>25.514929121573005</v>
      </c>
      <c r="G2252" s="13">
        <f>Phi*EpsilonF*Botzman/10^8*J2252*((D2252+273)^4-(E2252+273)^4)</f>
        <v>432.65701575350198</v>
      </c>
      <c r="H2252" s="23">
        <f t="shared" si="149"/>
        <v>650</v>
      </c>
      <c r="I2252" s="12">
        <f>ksh*Massivete/(H2252*RhoA)*DeltaT*(F2252+G2252)</f>
        <v>6.758047431071211E-2</v>
      </c>
      <c r="J2252" s="3">
        <f>IF(E2252&lt;=500,IF(Galva=Oui,0.35,0.7),0.7)</f>
        <v>0.7</v>
      </c>
    </row>
    <row r="2253" spans="2:10" x14ac:dyDescent="0.25">
      <c r="B2253" s="3">
        <f>B2252+DeltaT</f>
        <v>11180</v>
      </c>
      <c r="C2253" s="13">
        <f t="shared" si="146"/>
        <v>186.33333333333334</v>
      </c>
      <c r="D2253" s="11">
        <f t="shared" si="147"/>
        <v>1114.9167658016324</v>
      </c>
      <c r="E2253" s="23">
        <f t="shared" si="148"/>
        <v>1113.8967703007309</v>
      </c>
      <c r="F2253" s="23">
        <f>AlphaC*(D2253-E2253)</f>
        <v>25.499887522539666</v>
      </c>
      <c r="G2253" s="13">
        <f>Phi*EpsilonF*Botzman/10^8*J2253*((D2253+273)^4-(E2253+273)^4)</f>
        <v>432.46486669350224</v>
      </c>
      <c r="H2253" s="23">
        <f t="shared" si="149"/>
        <v>650</v>
      </c>
      <c r="I2253" s="12">
        <f>ksh*Massivete/(H2253*RhoA)*DeltaT*(F2253+G2253)</f>
        <v>6.7549913637657319E-2</v>
      </c>
      <c r="J2253" s="3">
        <f>IF(E2253&lt;=500,IF(Galva=Oui,0.35,0.7),0.7)</f>
        <v>0.7</v>
      </c>
    </row>
    <row r="2254" spans="2:10" x14ac:dyDescent="0.25">
      <c r="B2254" s="3">
        <f>B2253+DeltaT</f>
        <v>11185</v>
      </c>
      <c r="C2254" s="13">
        <f t="shared" si="146"/>
        <v>186.41666666666666</v>
      </c>
      <c r="D2254" s="11">
        <f t="shared" si="147"/>
        <v>1114.983714684005</v>
      </c>
      <c r="E2254" s="23">
        <f t="shared" si="148"/>
        <v>1113.9643202143684</v>
      </c>
      <c r="F2254" s="23">
        <f>AlphaC*(D2254-E2254)</f>
        <v>25.484861740915221</v>
      </c>
      <c r="G2254" s="13">
        <f>Phi*EpsilonF*Botzman/10^8*J2254*((D2254+273)^4-(E2254+273)^4)</f>
        <v>432.27288953856703</v>
      </c>
      <c r="H2254" s="23">
        <f t="shared" si="149"/>
        <v>650</v>
      </c>
      <c r="I2254" s="12">
        <f>ksh*Massivete/(H2254*RhoA)*DeltaT*(F2254+G2254)</f>
        <v>6.7519380653713434E-2</v>
      </c>
      <c r="J2254" s="3">
        <f>IF(E2254&lt;=500,IF(Galva=Oui,0.35,0.7),0.7)</f>
        <v>0.7</v>
      </c>
    </row>
    <row r="2255" spans="2:10" x14ac:dyDescent="0.25">
      <c r="B2255" s="3">
        <f>B2254+DeltaT</f>
        <v>11190</v>
      </c>
      <c r="C2255" s="13">
        <f t="shared" si="146"/>
        <v>186.5</v>
      </c>
      <c r="D2255" s="11">
        <f t="shared" si="147"/>
        <v>1115.0506336651338</v>
      </c>
      <c r="E2255" s="23">
        <f t="shared" si="148"/>
        <v>1114.0318395950221</v>
      </c>
      <c r="F2255" s="23">
        <f>AlphaC*(D2255-E2255)</f>
        <v>25.469851752791328</v>
      </c>
      <c r="G2255" s="13">
        <f>Phi*EpsilonF*Botzman/10^8*J2255*((D2255+273)^4-(E2255+273)^4)</f>
        <v>432.08108405685465</v>
      </c>
      <c r="H2255" s="23">
        <f t="shared" si="149"/>
        <v>650</v>
      </c>
      <c r="I2255" s="12">
        <f>ksh*Massivete/(H2255*RhoA)*DeltaT*(F2255+G2255)</f>
        <v>6.7488875321157243E-2</v>
      </c>
      <c r="J2255" s="3">
        <f>IF(E2255&lt;=500,IF(Galva=Oui,0.35,0.7),0.7)</f>
        <v>0.7</v>
      </c>
    </row>
    <row r="2256" spans="2:10" x14ac:dyDescent="0.25">
      <c r="B2256" s="3">
        <f>B2255+DeltaT</f>
        <v>11195</v>
      </c>
      <c r="C2256" s="13">
        <f t="shared" si="146"/>
        <v>186.58333333333334</v>
      </c>
      <c r="D2256" s="11">
        <f t="shared" si="147"/>
        <v>1115.1175227717163</v>
      </c>
      <c r="E2256" s="23">
        <f t="shared" si="148"/>
        <v>1114.0993284703434</v>
      </c>
      <c r="F2256" s="23">
        <f>AlphaC*(D2256-E2256)</f>
        <v>25.454857534322173</v>
      </c>
      <c r="G2256" s="13">
        <f>Phi*EpsilonF*Botzman/10^8*J2256*((D2256+273)^4-(E2256+273)^4)</f>
        <v>431.88945001720191</v>
      </c>
      <c r="H2256" s="23">
        <f t="shared" si="149"/>
        <v>650</v>
      </c>
      <c r="I2256" s="12">
        <f>ksh*Massivete/(H2256*RhoA)*DeltaT*(F2256+G2256)</f>
        <v>6.7458397602374875E-2</v>
      </c>
      <c r="J2256" s="3">
        <f>IF(E2256&lt;=500,IF(Galva=Oui,0.35,0.7),0.7)</f>
        <v>0.7</v>
      </c>
    </row>
    <row r="2257" spans="2:10" x14ac:dyDescent="0.25">
      <c r="B2257" s="3">
        <f>B2256+DeltaT</f>
        <v>11200</v>
      </c>
      <c r="C2257" s="13">
        <f t="shared" si="146"/>
        <v>186.66666666666666</v>
      </c>
      <c r="D2257" s="11">
        <f t="shared" si="147"/>
        <v>1115.1843820304143</v>
      </c>
      <c r="E2257" s="23">
        <f t="shared" si="148"/>
        <v>1114.1667868679458</v>
      </c>
      <c r="F2257" s="23">
        <f>AlphaC*(D2257-E2257)</f>
        <v>25.4398790617131</v>
      </c>
      <c r="G2257" s="13">
        <f>Phi*EpsilonF*Botzman/10^8*J2257*((D2257+273)^4-(E2257+273)^4)</f>
        <v>431.69798718887193</v>
      </c>
      <c r="H2257" s="23">
        <f t="shared" si="149"/>
        <v>650</v>
      </c>
      <c r="I2257" s="12">
        <f>ksh*Massivete/(H2257*RhoA)*DeltaT*(F2257+G2257)</f>
        <v>6.7427947459822862E-2</v>
      </c>
      <c r="J2257" s="3">
        <f>IF(E2257&lt;=500,IF(Galva=Oui,0.35,0.7),0.7)</f>
        <v>0.7</v>
      </c>
    </row>
    <row r="2258" spans="2:10" x14ac:dyDescent="0.25">
      <c r="B2258" s="3">
        <f>B2257+DeltaT</f>
        <v>11205</v>
      </c>
      <c r="C2258" s="13">
        <f t="shared" ref="C2258:C2321" si="150">B2258/60</f>
        <v>186.75</v>
      </c>
      <c r="D2258" s="11">
        <f t="shared" ref="D2258:D2321" si="151">20+345*LOG(8*C2258+1,10)</f>
        <v>1115.2512114678545</v>
      </c>
      <c r="E2258" s="23">
        <f t="shared" si="148"/>
        <v>1114.2342148154057</v>
      </c>
      <c r="F2258" s="23">
        <f>AlphaC*(D2258-E2258)</f>
        <v>25.424916311220613</v>
      </c>
      <c r="G2258" s="13">
        <f>Phi*EpsilonF*Botzman/10^8*J2258*((D2258+273)^4-(E2258+273)^4)</f>
        <v>431.50669534174807</v>
      </c>
      <c r="H2258" s="23">
        <f t="shared" si="149"/>
        <v>650</v>
      </c>
      <c r="I2258" s="12">
        <f>ksh*Massivete/(H2258*RhoA)*DeltaT*(F2258+G2258)</f>
        <v>6.7397524856056754E-2</v>
      </c>
      <c r="J2258" s="3">
        <f>IF(E2258&lt;=500,IF(Galva=Oui,0.35,0.7),0.7)</f>
        <v>0.7</v>
      </c>
    </row>
    <row r="2259" spans="2:10" x14ac:dyDescent="0.25">
      <c r="B2259" s="3">
        <f>B2258+DeltaT</f>
        <v>11210</v>
      </c>
      <c r="C2259" s="13">
        <f t="shared" si="150"/>
        <v>186.83333333333334</v>
      </c>
      <c r="D2259" s="11">
        <f t="shared" si="151"/>
        <v>1115.3180111106269</v>
      </c>
      <c r="E2259" s="23">
        <f t="shared" si="148"/>
        <v>1114.3016123402617</v>
      </c>
      <c r="F2259" s="23">
        <f>AlphaC*(D2259-E2259)</f>
        <v>25.409969259129639</v>
      </c>
      <c r="G2259" s="13">
        <f>Phi*EpsilonF*Botzman/10^8*J2259*((D2259+273)^4-(E2259+273)^4)</f>
        <v>431.31557424569405</v>
      </c>
      <c r="H2259" s="23">
        <f t="shared" si="149"/>
        <v>650</v>
      </c>
      <c r="I2259" s="12">
        <f>ksh*Massivete/(H2259*RhoA)*DeltaT*(F2259+G2259)</f>
        <v>6.7367129753633445E-2</v>
      </c>
      <c r="J2259" s="3">
        <f>IF(E2259&lt;=500,IF(Galva=Oui,0.35,0.7),0.7)</f>
        <v>0.7</v>
      </c>
    </row>
    <row r="2260" spans="2:10" x14ac:dyDescent="0.25">
      <c r="B2260" s="3">
        <f>B2259+DeltaT</f>
        <v>11215</v>
      </c>
      <c r="C2260" s="13">
        <f t="shared" si="150"/>
        <v>186.91666666666666</v>
      </c>
      <c r="D2260" s="11">
        <f t="shared" si="151"/>
        <v>1115.3847809852866</v>
      </c>
      <c r="E2260" s="23">
        <f t="shared" si="148"/>
        <v>1114.3689794700153</v>
      </c>
      <c r="F2260" s="23">
        <f>AlphaC*(D2260-E2260)</f>
        <v>25.395037881781946</v>
      </c>
      <c r="G2260" s="13">
        <f>Phi*EpsilonF*Botzman/10^8*J2260*((D2260+273)^4-(E2260+273)^4)</f>
        <v>431.12462367121344</v>
      </c>
      <c r="H2260" s="23">
        <f t="shared" si="149"/>
        <v>650</v>
      </c>
      <c r="I2260" s="12">
        <f>ksh*Massivete/(H2260*RhoA)*DeltaT*(F2260+G2260)</f>
        <v>6.7336762115212528E-2</v>
      </c>
      <c r="J2260" s="3">
        <f>IF(E2260&lt;=500,IF(Galva=Oui,0.35,0.7),0.7)</f>
        <v>0.7</v>
      </c>
    </row>
    <row r="2261" spans="2:10" x14ac:dyDescent="0.25">
      <c r="B2261" s="3">
        <f>B2260+DeltaT</f>
        <v>11220</v>
      </c>
      <c r="C2261" s="13">
        <f t="shared" si="150"/>
        <v>187</v>
      </c>
      <c r="D2261" s="11">
        <f t="shared" si="151"/>
        <v>1115.451521118353</v>
      </c>
      <c r="E2261" s="23">
        <f t="shared" si="148"/>
        <v>1114.4363162321306</v>
      </c>
      <c r="F2261" s="23">
        <f>AlphaC*(D2261-E2261)</f>
        <v>25.380122155559093</v>
      </c>
      <c r="G2261" s="13">
        <f>Phi*EpsilonF*Botzman/10^8*J2261*((D2261+273)^4-(E2261+273)^4)</f>
        <v>430.93384338911972</v>
      </c>
      <c r="H2261" s="23">
        <f t="shared" si="149"/>
        <v>650</v>
      </c>
      <c r="I2261" s="12">
        <f>ksh*Massivete/(H2261*RhoA)*DeltaT*(F2261+G2261)</f>
        <v>6.7306421903505234E-2</v>
      </c>
      <c r="J2261" s="3">
        <f>IF(E2261&lt;=500,IF(Galva=Oui,0.35,0.7),0.7)</f>
        <v>0.7</v>
      </c>
    </row>
    <row r="2262" spans="2:10" x14ac:dyDescent="0.25">
      <c r="B2262" s="3">
        <f>B2261+DeltaT</f>
        <v>11225</v>
      </c>
      <c r="C2262" s="13">
        <f t="shared" si="150"/>
        <v>187.08333333333334</v>
      </c>
      <c r="D2262" s="11">
        <f t="shared" si="151"/>
        <v>1115.5182315363102</v>
      </c>
      <c r="E2262" s="23">
        <f t="shared" si="148"/>
        <v>1114.5036226540342</v>
      </c>
      <c r="F2262" s="23">
        <f>AlphaC*(D2262-E2262)</f>
        <v>25.365222056899484</v>
      </c>
      <c r="G2262" s="13">
        <f>Phi*EpsilonF*Botzman/10^8*J2262*((D2262+273)^4-(E2262+273)^4)</f>
        <v>430.7432331707883</v>
      </c>
      <c r="H2262" s="23">
        <f t="shared" si="149"/>
        <v>650</v>
      </c>
      <c r="I2262" s="12">
        <f>ksh*Massivete/(H2262*RhoA)*DeltaT*(F2262+G2262)</f>
        <v>6.7276109081314026E-2</v>
      </c>
      <c r="J2262" s="3">
        <f>IF(E2262&lt;=500,IF(Galva=Oui,0.35,0.7),0.7)</f>
        <v>0.7</v>
      </c>
    </row>
    <row r="2263" spans="2:10" x14ac:dyDescent="0.25">
      <c r="B2263" s="3">
        <f>B2262+DeltaT</f>
        <v>11230</v>
      </c>
      <c r="C2263" s="13">
        <f t="shared" si="150"/>
        <v>187.16666666666666</v>
      </c>
      <c r="D2263" s="11">
        <f t="shared" si="151"/>
        <v>1115.5849122656066</v>
      </c>
      <c r="E2263" s="23">
        <f t="shared" si="148"/>
        <v>1114.5708987631156</v>
      </c>
      <c r="F2263" s="23">
        <f>AlphaC*(D2263-E2263)</f>
        <v>25.350337562275627</v>
      </c>
      <c r="G2263" s="13">
        <f>Phi*EpsilonF*Botzman/10^8*J2263*((D2263+273)^4-(E2263+273)^4)</f>
        <v>430.55279278782746</v>
      </c>
      <c r="H2263" s="23">
        <f t="shared" si="149"/>
        <v>650</v>
      </c>
      <c r="I2263" s="12">
        <f>ksh*Massivete/(H2263*RhoA)*DeltaT*(F2263+G2263)</f>
        <v>6.7245823611480751E-2</v>
      </c>
      <c r="J2263" s="3">
        <f>IF(E2263&lt;=500,IF(Galva=Oui,0.35,0.7),0.7)</f>
        <v>0.7</v>
      </c>
    </row>
    <row r="2264" spans="2:10" x14ac:dyDescent="0.25">
      <c r="B2264" s="3">
        <f>B2263+DeltaT</f>
        <v>11235</v>
      </c>
      <c r="C2264" s="13">
        <f t="shared" si="150"/>
        <v>187.25</v>
      </c>
      <c r="D2264" s="11">
        <f t="shared" si="151"/>
        <v>1115.6515633326562</v>
      </c>
      <c r="E2264" s="23">
        <f t="shared" si="148"/>
        <v>1114.6381445867271</v>
      </c>
      <c r="F2264" s="23">
        <f>AlphaC*(D2264-E2264)</f>
        <v>25.335468648228243</v>
      </c>
      <c r="G2264" s="13">
        <f>Phi*EpsilonF*Botzman/10^8*J2264*((D2264+273)^4-(E2264+273)^4)</f>
        <v>430.36252201269781</v>
      </c>
      <c r="H2264" s="23">
        <f t="shared" si="149"/>
        <v>650</v>
      </c>
      <c r="I2264" s="12">
        <f>ksh*Massivete/(H2264*RhoA)*DeltaT*(F2264+G2264)</f>
        <v>6.7215565456983067E-2</v>
      </c>
      <c r="J2264" s="3">
        <f>IF(E2264&lt;=500,IF(Galva=Oui,0.35,0.7),0.7)</f>
        <v>0.7</v>
      </c>
    </row>
    <row r="2265" spans="2:10" x14ac:dyDescent="0.25">
      <c r="B2265" s="3">
        <f>B2264+DeltaT</f>
        <v>11240</v>
      </c>
      <c r="C2265" s="13">
        <f t="shared" si="150"/>
        <v>187.33333333333334</v>
      </c>
      <c r="D2265" s="11">
        <f t="shared" si="151"/>
        <v>1115.7181847638369</v>
      </c>
      <c r="E2265" s="23">
        <f t="shared" si="148"/>
        <v>1114.7053601521841</v>
      </c>
      <c r="F2265" s="23">
        <f>AlphaC*(D2265-E2265)</f>
        <v>25.320615291320792</v>
      </c>
      <c r="G2265" s="13">
        <f>Phi*EpsilonF*Botzman/10^8*J2265*((D2265+273)^4-(E2265+273)^4)</f>
        <v>430.17242061764705</v>
      </c>
      <c r="H2265" s="23">
        <f t="shared" si="149"/>
        <v>650</v>
      </c>
      <c r="I2265" s="12">
        <f>ksh*Massivete/(H2265*RhoA)*DeltaT*(F2265+G2265)</f>
        <v>6.7185334580770542E-2</v>
      </c>
      <c r="J2265" s="3">
        <f>IF(E2265&lt;=500,IF(Galva=Oui,0.35,0.7),0.7)</f>
        <v>0.7</v>
      </c>
    </row>
    <row r="2266" spans="2:10" x14ac:dyDescent="0.25">
      <c r="B2266" s="3">
        <f>B2265+DeltaT</f>
        <v>11245</v>
      </c>
      <c r="C2266" s="13">
        <f t="shared" si="150"/>
        <v>187.41666666666666</v>
      </c>
      <c r="D2266" s="11">
        <f t="shared" si="151"/>
        <v>1115.7847765854915</v>
      </c>
      <c r="E2266" s="23">
        <f t="shared" si="148"/>
        <v>1114.7725454867648</v>
      </c>
      <c r="F2266" s="23">
        <f>AlphaC*(D2266-E2266)</f>
        <v>25.305777468167889</v>
      </c>
      <c r="G2266" s="13">
        <f>Phi*EpsilonF*Botzman/10^8*J2266*((D2266+273)^4-(E2266+273)^4)</f>
        <v>429.98248837565922</v>
      </c>
      <c r="H2266" s="23">
        <f t="shared" si="149"/>
        <v>650</v>
      </c>
      <c r="I2266" s="12">
        <f>ksh*Massivete/(H2266*RhoA)*DeltaT*(F2266+G2266)</f>
        <v>6.7155130945908914E-2</v>
      </c>
      <c r="J2266" s="3">
        <f>IF(E2266&lt;=500,IF(Galva=Oui,0.35,0.7),0.7)</f>
        <v>0.7</v>
      </c>
    </row>
    <row r="2267" spans="2:10" x14ac:dyDescent="0.25">
      <c r="B2267" s="3">
        <f>B2266+DeltaT</f>
        <v>11250</v>
      </c>
      <c r="C2267" s="13">
        <f t="shared" si="150"/>
        <v>187.5</v>
      </c>
      <c r="D2267" s="11">
        <f t="shared" si="151"/>
        <v>1115.851338823928</v>
      </c>
      <c r="E2267" s="23">
        <f t="shared" si="148"/>
        <v>1114.8397006177106</v>
      </c>
      <c r="F2267" s="23">
        <f>AlphaC*(D2267-E2267)</f>
        <v>25.290955155435313</v>
      </c>
      <c r="G2267" s="13">
        <f>Phi*EpsilonF*Botzman/10^8*J2267*((D2267+273)^4-(E2267+273)^4)</f>
        <v>429.79272506006726</v>
      </c>
      <c r="H2267" s="23">
        <f t="shared" si="149"/>
        <v>650</v>
      </c>
      <c r="I2267" s="12">
        <f>ksh*Massivete/(H2267*RhoA)*DeltaT*(F2267+G2267)</f>
        <v>6.7124954515522944E-2</v>
      </c>
      <c r="J2267" s="3">
        <f>IF(E2267&lt;=500,IF(Galva=Oui,0.35,0.7),0.7)</f>
        <v>0.7</v>
      </c>
    </row>
    <row r="2268" spans="2:10" x14ac:dyDescent="0.25">
      <c r="B2268" s="3">
        <f>B2267+DeltaT</f>
        <v>11255</v>
      </c>
      <c r="C2268" s="13">
        <f t="shared" si="150"/>
        <v>187.58333333333334</v>
      </c>
      <c r="D2268" s="11">
        <f t="shared" si="151"/>
        <v>1115.9178715054197</v>
      </c>
      <c r="E2268" s="23">
        <f t="shared" si="148"/>
        <v>1114.9068255722261</v>
      </c>
      <c r="F2268" s="23">
        <f>AlphaC*(D2268-E2268)</f>
        <v>25.276148329839998</v>
      </c>
      <c r="G2268" s="13">
        <f>Phi*EpsilonF*Botzman/10^8*J2268*((D2268+273)^4-(E2268+273)^4)</f>
        <v>429.60313044476595</v>
      </c>
      <c r="H2268" s="23">
        <f t="shared" si="149"/>
        <v>650</v>
      </c>
      <c r="I2268" s="12">
        <f>ksh*Massivete/(H2268*RhoA)*DeltaT*(F2268+G2268)</f>
        <v>6.7094805252827794E-2</v>
      </c>
      <c r="J2268" s="3">
        <f>IF(E2268&lt;=500,IF(Galva=Oui,0.35,0.7),0.7)</f>
        <v>0.7</v>
      </c>
    </row>
    <row r="2269" spans="2:10" x14ac:dyDescent="0.25">
      <c r="B2269" s="3">
        <f>B2268+DeltaT</f>
        <v>11260</v>
      </c>
      <c r="C2269" s="13">
        <f t="shared" si="150"/>
        <v>187.66666666666666</v>
      </c>
      <c r="D2269" s="11">
        <f t="shared" si="151"/>
        <v>1115.9843746562037</v>
      </c>
      <c r="E2269" s="23">
        <f t="shared" si="148"/>
        <v>1114.9739203774789</v>
      </c>
      <c r="F2269" s="23">
        <f>AlphaC*(D2269-E2269)</f>
        <v>25.261356968121618</v>
      </c>
      <c r="G2269" s="13">
        <f>Phi*EpsilonF*Botzman/10^8*J2269*((D2269+273)^4-(E2269+273)^4)</f>
        <v>429.41370430372785</v>
      </c>
      <c r="H2269" s="23">
        <f t="shared" si="149"/>
        <v>650</v>
      </c>
      <c r="I2269" s="12">
        <f>ksh*Massivete/(H2269*RhoA)*DeltaT*(F2269+G2269)</f>
        <v>6.7064683121053459E-2</v>
      </c>
      <c r="J2269" s="3">
        <f>IF(E2269&lt;=500,IF(Galva=Oui,0.35,0.7),0.7)</f>
        <v>0.7</v>
      </c>
    </row>
    <row r="2270" spans="2:10" x14ac:dyDescent="0.25">
      <c r="B2270" s="3">
        <f>B2269+DeltaT</f>
        <v>11265</v>
      </c>
      <c r="C2270" s="13">
        <f t="shared" si="150"/>
        <v>187.75</v>
      </c>
      <c r="D2270" s="11">
        <f t="shared" si="151"/>
        <v>1116.0508483024832</v>
      </c>
      <c r="E2270" s="23">
        <f t="shared" si="148"/>
        <v>1115.0409850606</v>
      </c>
      <c r="F2270" s="23">
        <f>AlphaC*(D2270-E2270)</f>
        <v>25.246581047082373</v>
      </c>
      <c r="G2270" s="13">
        <f>Phi*EpsilonF*Botzman/10^8*J2270*((D2270+273)^4-(E2270+273)^4)</f>
        <v>429.22444641146802</v>
      </c>
      <c r="H2270" s="23">
        <f t="shared" si="149"/>
        <v>650</v>
      </c>
      <c r="I2270" s="12">
        <f>ksh*Massivete/(H2270*RhoA)*DeltaT*(F2270+G2270)</f>
        <v>6.703458808351917E-2</v>
      </c>
      <c r="J2270" s="3">
        <f>IF(E2270&lt;=500,IF(Galva=Oui,0.35,0.7),0.7)</f>
        <v>0.7</v>
      </c>
    </row>
    <row r="2271" spans="2:10" x14ac:dyDescent="0.25">
      <c r="B2271" s="3">
        <f>B2270+DeltaT</f>
        <v>11270</v>
      </c>
      <c r="C2271" s="13">
        <f t="shared" si="150"/>
        <v>187.83333333333334</v>
      </c>
      <c r="D2271" s="11">
        <f t="shared" si="151"/>
        <v>1116.1172924704265</v>
      </c>
      <c r="E2271" s="23">
        <f t="shared" si="148"/>
        <v>1115.1080196486835</v>
      </c>
      <c r="F2271" s="23">
        <f>AlphaC*(D2271-E2271)</f>
        <v>25.231820543575623</v>
      </c>
      <c r="G2271" s="13">
        <f>Phi*EpsilonF*Botzman/10^8*J2271*((D2271+273)^4-(E2271+273)^4)</f>
        <v>429.03535654314095</v>
      </c>
      <c r="H2271" s="23">
        <f t="shared" si="149"/>
        <v>650</v>
      </c>
      <c r="I2271" s="12">
        <f>ksh*Massivete/(H2271*RhoA)*DeltaT*(F2271+G2271)</f>
        <v>6.700452010364602E-2</v>
      </c>
      <c r="J2271" s="3">
        <f>IF(E2271&lt;=500,IF(Galva=Oui,0.35,0.7),0.7)</f>
        <v>0.7</v>
      </c>
    </row>
    <row r="2272" spans="2:10" x14ac:dyDescent="0.25">
      <c r="B2272" s="3">
        <f>B2271+DeltaT</f>
        <v>11275</v>
      </c>
      <c r="C2272" s="13">
        <f t="shared" si="150"/>
        <v>187.91666666666666</v>
      </c>
      <c r="D2272" s="11">
        <f t="shared" si="151"/>
        <v>1116.1837071861667</v>
      </c>
      <c r="E2272" s="23">
        <f t="shared" si="148"/>
        <v>1115.1750241687871</v>
      </c>
      <c r="F2272" s="23">
        <f>AlphaC*(D2272-E2272)</f>
        <v>25.217075434488834</v>
      </c>
      <c r="G2272" s="13">
        <f>Phi*EpsilonF*Botzman/10^8*J2272*((D2272+273)^4-(E2272+273)^4)</f>
        <v>428.8464344740176</v>
      </c>
      <c r="H2272" s="23">
        <f t="shared" si="149"/>
        <v>650</v>
      </c>
      <c r="I2272" s="12">
        <f>ksh*Massivete/(H2272*RhoA)*DeltaT*(F2272+G2272)</f>
        <v>6.6974479144877322E-2</v>
      </c>
      <c r="J2272" s="3">
        <f>IF(E2272&lt;=500,IF(Galva=Oui,0.35,0.7),0.7)</f>
        <v>0.7</v>
      </c>
    </row>
    <row r="2273" spans="2:10" x14ac:dyDescent="0.25">
      <c r="B2273" s="3">
        <f>B2272+DeltaT</f>
        <v>11280</v>
      </c>
      <c r="C2273" s="13">
        <f t="shared" si="150"/>
        <v>188</v>
      </c>
      <c r="D2273" s="11">
        <f t="shared" si="151"/>
        <v>1116.2500924758024</v>
      </c>
      <c r="E2273" s="23">
        <f t="shared" si="148"/>
        <v>1115.241998647932</v>
      </c>
      <c r="F2273" s="23">
        <f>AlphaC*(D2273-E2273)</f>
        <v>25.202345696760631</v>
      </c>
      <c r="G2273" s="13">
        <f>Phi*EpsilonF*Botzman/10^8*J2273*((D2273+273)^4-(E2273+273)^4)</f>
        <v>428.65767997991145</v>
      </c>
      <c r="H2273" s="23">
        <f t="shared" si="149"/>
        <v>650</v>
      </c>
      <c r="I2273" s="12">
        <f>ksh*Massivete/(H2273*RhoA)*DeltaT*(F2273+G2273)</f>
        <v>6.6944465170743955E-2</v>
      </c>
      <c r="J2273" s="3">
        <f>IF(E2273&lt;=500,IF(Galva=Oui,0.35,0.7),0.7)</f>
        <v>0.7</v>
      </c>
    </row>
    <row r="2274" spans="2:10" x14ac:dyDescent="0.25">
      <c r="B2274" s="3">
        <f>B2273+DeltaT</f>
        <v>11285</v>
      </c>
      <c r="C2274" s="13">
        <f t="shared" si="150"/>
        <v>188.08333333333334</v>
      </c>
      <c r="D2274" s="11">
        <f t="shared" si="151"/>
        <v>1116.3164483653973</v>
      </c>
      <c r="E2274" s="23">
        <f t="shared" si="148"/>
        <v>1115.3089431131027</v>
      </c>
      <c r="F2274" s="23">
        <f>AlphaC*(D2274-E2274)</f>
        <v>25.187631307363745</v>
      </c>
      <c r="G2274" s="13">
        <f>Phi*EpsilonF*Botzman/10^8*J2274*((D2274+273)^4-(E2274+273)^4)</f>
        <v>428.46909283690735</v>
      </c>
      <c r="H2274" s="23">
        <f t="shared" si="149"/>
        <v>650</v>
      </c>
      <c r="I2274" s="12">
        <f>ksh*Massivete/(H2274*RhoA)*DeltaT*(F2274+G2274)</f>
        <v>6.6914478144821848E-2</v>
      </c>
      <c r="J2274" s="3">
        <f>IF(E2274&lt;=500,IF(Galva=Oui,0.35,0.7),0.7)</f>
        <v>0.7</v>
      </c>
    </row>
    <row r="2275" spans="2:10" x14ac:dyDescent="0.25">
      <c r="B2275" s="3">
        <f>B2274+DeltaT</f>
        <v>11290</v>
      </c>
      <c r="C2275" s="13">
        <f t="shared" si="150"/>
        <v>188.16666666666666</v>
      </c>
      <c r="D2275" s="11">
        <f t="shared" si="151"/>
        <v>1116.3827748809811</v>
      </c>
      <c r="E2275" s="23">
        <f t="shared" si="148"/>
        <v>1115.3758575912475</v>
      </c>
      <c r="F2275" s="23">
        <f>AlphaC*(D2275-E2275)</f>
        <v>25.172932243339119</v>
      </c>
      <c r="G2275" s="13">
        <f>Phi*EpsilonF*Botzman/10^8*J2275*((D2275+273)^4-(E2275+273)^4)</f>
        <v>428.28067282176846</v>
      </c>
      <c r="H2275" s="23">
        <f t="shared" si="149"/>
        <v>650</v>
      </c>
      <c r="I2275" s="12">
        <f>ksh*Massivete/(H2275*RhoA)*DeltaT*(F2275+G2275)</f>
        <v>6.6884518030797036E-2</v>
      </c>
      <c r="J2275" s="3">
        <f>IF(E2275&lt;=500,IF(Galva=Oui,0.35,0.7),0.7)</f>
        <v>0.7</v>
      </c>
    </row>
    <row r="2276" spans="2:10" x14ac:dyDescent="0.25">
      <c r="B2276" s="3">
        <f>B2275+DeltaT</f>
        <v>11295</v>
      </c>
      <c r="C2276" s="13">
        <f t="shared" si="150"/>
        <v>188.25</v>
      </c>
      <c r="D2276" s="11">
        <f t="shared" si="151"/>
        <v>1116.4490720485478</v>
      </c>
      <c r="E2276" s="23">
        <f t="shared" si="148"/>
        <v>1115.4427421092782</v>
      </c>
      <c r="F2276" s="23">
        <f>AlphaC*(D2276-E2276)</f>
        <v>25.158248481739065</v>
      </c>
      <c r="G2276" s="13">
        <f>Phi*EpsilonF*Botzman/10^8*J2276*((D2276+273)^4-(E2276+273)^4)</f>
        <v>428.09241971125783</v>
      </c>
      <c r="H2276" s="23">
        <f t="shared" si="149"/>
        <v>650</v>
      </c>
      <c r="I2276" s="12">
        <f>ksh*Massivete/(H2276*RhoA)*DeltaT*(F2276+G2276)</f>
        <v>6.685458479235723E-2</v>
      </c>
      <c r="J2276" s="3">
        <f>IF(E2276&lt;=500,IF(Galva=Oui,0.35,0.7),0.7)</f>
        <v>0.7</v>
      </c>
    </row>
    <row r="2277" spans="2:10" x14ac:dyDescent="0.25">
      <c r="B2277" s="3">
        <f>B2276+DeltaT</f>
        <v>11300</v>
      </c>
      <c r="C2277" s="13">
        <f t="shared" si="150"/>
        <v>188.33333333333334</v>
      </c>
      <c r="D2277" s="11">
        <f t="shared" si="151"/>
        <v>1116.5153398940583</v>
      </c>
      <c r="E2277" s="23">
        <f t="shared" si="148"/>
        <v>1115.5095966940705</v>
      </c>
      <c r="F2277" s="23">
        <f>AlphaC*(D2277-E2277)</f>
        <v>25.143579999695476</v>
      </c>
      <c r="G2277" s="13">
        <f>Phi*EpsilonF*Botzman/10^8*J2277*((D2277+273)^4-(E2277+273)^4)</f>
        <v>427.90433328287514</v>
      </c>
      <c r="H2277" s="23">
        <f t="shared" si="149"/>
        <v>650</v>
      </c>
      <c r="I2277" s="12">
        <f>ksh*Massivete/(H2277*RhoA)*DeltaT*(F2277+G2277)</f>
        <v>6.6824678393310535E-2</v>
      </c>
      <c r="J2277" s="3">
        <f>IF(E2277&lt;=500,IF(Galva=Oui,0.35,0.7),0.7)</f>
        <v>0.7</v>
      </c>
    </row>
    <row r="2278" spans="2:10" x14ac:dyDescent="0.25">
      <c r="B2278" s="3">
        <f>B2277+DeltaT</f>
        <v>11305</v>
      </c>
      <c r="C2278" s="13">
        <f t="shared" si="150"/>
        <v>188.41666666666666</v>
      </c>
      <c r="D2278" s="11">
        <f t="shared" si="151"/>
        <v>1116.581578443438</v>
      </c>
      <c r="E2278" s="23">
        <f t="shared" si="148"/>
        <v>1115.5764213724638</v>
      </c>
      <c r="F2278" s="23">
        <f>AlphaC*(D2278-E2278)</f>
        <v>25.128926774357296</v>
      </c>
      <c r="G2278" s="13">
        <f>Phi*EpsilonF*Botzman/10^8*J2278*((D2278+273)^4-(E2278+273)^4)</f>
        <v>427.7164133142943</v>
      </c>
      <c r="H2278" s="23">
        <f t="shared" si="149"/>
        <v>650</v>
      </c>
      <c r="I2278" s="12">
        <f>ksh*Massivete/(H2278*RhoA)*DeltaT*(F2278+G2278)</f>
        <v>6.6794798797493268E-2</v>
      </c>
      <c r="J2278" s="3">
        <f>IF(E2278&lt;=500,IF(Galva=Oui,0.35,0.7),0.7)</f>
        <v>0.7</v>
      </c>
    </row>
    <row r="2279" spans="2:10" x14ac:dyDescent="0.25">
      <c r="B2279" s="3">
        <f>B2278+DeltaT</f>
        <v>11310</v>
      </c>
      <c r="C2279" s="13">
        <f t="shared" si="150"/>
        <v>188.5</v>
      </c>
      <c r="D2279" s="11">
        <f t="shared" si="151"/>
        <v>1116.6477877225784</v>
      </c>
      <c r="E2279" s="23">
        <f t="shared" si="148"/>
        <v>1115.6432161712612</v>
      </c>
      <c r="F2279" s="23">
        <f>AlphaC*(D2279-E2279)</f>
        <v>25.114288782930316</v>
      </c>
      <c r="G2279" s="13">
        <f>Phi*EpsilonF*Botzman/10^8*J2279*((D2279+273)^4-(E2279+273)^4)</f>
        <v>427.52865958367374</v>
      </c>
      <c r="H2279" s="23">
        <f t="shared" si="149"/>
        <v>650</v>
      </c>
      <c r="I2279" s="12">
        <f>ksh*Massivete/(H2279*RhoA)*DeltaT*(F2279+G2279)</f>
        <v>6.6764945968821571E-2</v>
      </c>
      <c r="J2279" s="3">
        <f>IF(E2279&lt;=500,IF(Galva=Oui,0.35,0.7),0.7)</f>
        <v>0.7</v>
      </c>
    </row>
    <row r="2280" spans="2:10" x14ac:dyDescent="0.25">
      <c r="B2280" s="3">
        <f>B2279+DeltaT</f>
        <v>11315</v>
      </c>
      <c r="C2280" s="13">
        <f t="shared" si="150"/>
        <v>188.58333333333334</v>
      </c>
      <c r="D2280" s="11">
        <f t="shared" si="151"/>
        <v>1116.7139677573366</v>
      </c>
      <c r="E2280" s="23">
        <f t="shared" si="148"/>
        <v>1115.70998111723</v>
      </c>
      <c r="F2280" s="23">
        <f>AlphaC*(D2280-E2280)</f>
        <v>25.099666002665799</v>
      </c>
      <c r="G2280" s="13">
        <f>Phi*EpsilonF*Botzman/10^8*J2280*((D2280+273)^4-(E2280+273)^4)</f>
        <v>427.34107186963718</v>
      </c>
      <c r="H2280" s="23">
        <f t="shared" si="149"/>
        <v>650</v>
      </c>
      <c r="I2280" s="12">
        <f>ksh*Massivete/(H2280*RhoA)*DeltaT*(F2280+G2280)</f>
        <v>6.6735119871286941E-2</v>
      </c>
      <c r="J2280" s="3">
        <f>IF(E2280&lt;=500,IF(Galva=Oui,0.35,0.7),0.7)</f>
        <v>0.7</v>
      </c>
    </row>
    <row r="2281" spans="2:10" x14ac:dyDescent="0.25">
      <c r="B2281" s="3">
        <f>B2280+DeltaT</f>
        <v>11320</v>
      </c>
      <c r="C2281" s="13">
        <f t="shared" si="150"/>
        <v>188.66666666666666</v>
      </c>
      <c r="D2281" s="11">
        <f t="shared" si="151"/>
        <v>1116.7801185735354</v>
      </c>
      <c r="E2281" s="23">
        <f t="shared" si="148"/>
        <v>1115.7767162371013</v>
      </c>
      <c r="F2281" s="23">
        <f>AlphaC*(D2281-E2281)</f>
        <v>25.085058410854799</v>
      </c>
      <c r="G2281" s="13">
        <f>Phi*EpsilonF*Botzman/10^8*J2281*((D2281+273)^4-(E2281+273)^4)</f>
        <v>427.15364995106006</v>
      </c>
      <c r="H2281" s="23">
        <f t="shared" si="149"/>
        <v>650</v>
      </c>
      <c r="I2281" s="12">
        <f>ksh*Massivete/(H2281*RhoA)*DeltaT*(F2281+G2281)</f>
        <v>6.6705320468923898E-2</v>
      </c>
      <c r="J2281" s="3">
        <f>IF(E2281&lt;=500,IF(Galva=Oui,0.35,0.7),0.7)</f>
        <v>0.7</v>
      </c>
    </row>
    <row r="2282" spans="2:10" x14ac:dyDescent="0.25">
      <c r="B2282" s="3">
        <f>B2281+DeltaT</f>
        <v>11325</v>
      </c>
      <c r="C2282" s="13">
        <f t="shared" si="150"/>
        <v>188.75</v>
      </c>
      <c r="D2282" s="11">
        <f t="shared" si="151"/>
        <v>1116.8462401969637</v>
      </c>
      <c r="E2282" s="23">
        <f t="shared" si="148"/>
        <v>1115.8434215575701</v>
      </c>
      <c r="F2282" s="23">
        <f>AlphaC*(D2282-E2282)</f>
        <v>25.070465984839529</v>
      </c>
      <c r="G2282" s="13">
        <f>Phi*EpsilonF*Botzman/10^8*J2282*((D2282+273)^4-(E2282+273)^4)</f>
        <v>426.96639360734127</v>
      </c>
      <c r="H2282" s="23">
        <f t="shared" si="149"/>
        <v>650</v>
      </c>
      <c r="I2282" s="12">
        <f>ksh*Massivete/(H2282*RhoA)*DeltaT*(F2282+G2282)</f>
        <v>6.6675547725851686E-2</v>
      </c>
      <c r="J2282" s="3">
        <f>IF(E2282&lt;=500,IF(Galva=Oui,0.35,0.7),0.7)</f>
        <v>0.7</v>
      </c>
    </row>
    <row r="2283" spans="2:10" x14ac:dyDescent="0.25">
      <c r="B2283" s="3">
        <f>B2282+DeltaT</f>
        <v>11330</v>
      </c>
      <c r="C2283" s="13">
        <f t="shared" si="150"/>
        <v>188.83333333333334</v>
      </c>
      <c r="D2283" s="11">
        <f t="shared" si="151"/>
        <v>1116.9123326533756</v>
      </c>
      <c r="E2283" s="23">
        <f t="shared" si="148"/>
        <v>1115.910097105296</v>
      </c>
      <c r="F2283" s="23">
        <f>AlphaC*(D2283-E2283)</f>
        <v>25.055888701990625</v>
      </c>
      <c r="G2283" s="13">
        <f>Phi*EpsilonF*Botzman/10^8*J2283*((D2283+273)^4-(E2283+273)^4)</f>
        <v>426.77930261815084</v>
      </c>
      <c r="H2283" s="23">
        <f t="shared" si="149"/>
        <v>650</v>
      </c>
      <c r="I2283" s="12">
        <f>ksh*Massivete/(H2283*RhoA)*DeltaT*(F2283+G2283)</f>
        <v>6.6645801606233748E-2</v>
      </c>
      <c r="J2283" s="3">
        <f>IF(E2283&lt;=500,IF(Galva=Oui,0.35,0.7),0.7)</f>
        <v>0.7</v>
      </c>
    </row>
    <row r="2284" spans="2:10" x14ac:dyDescent="0.25">
      <c r="B2284" s="3">
        <f>B2283+DeltaT</f>
        <v>11335</v>
      </c>
      <c r="C2284" s="13">
        <f t="shared" si="150"/>
        <v>188.91666666666666</v>
      </c>
      <c r="D2284" s="11">
        <f t="shared" si="151"/>
        <v>1116.9783959684921</v>
      </c>
      <c r="E2284" s="23">
        <f t="shared" si="148"/>
        <v>1115.9767429069022</v>
      </c>
      <c r="F2284" s="23">
        <f>AlphaC*(D2284-E2284)</f>
        <v>25.041326539746933</v>
      </c>
      <c r="G2284" s="13">
        <f>Phi*EpsilonF*Botzman/10^8*J2284*((D2284+273)^4-(E2284+273)^4)</f>
        <v>426.59237676370151</v>
      </c>
      <c r="H2284" s="23">
        <f t="shared" si="149"/>
        <v>650</v>
      </c>
      <c r="I2284" s="12">
        <f>ksh*Massivete/(H2284*RhoA)*DeltaT*(F2284+G2284)</f>
        <v>6.6616082074323624E-2</v>
      </c>
      <c r="J2284" s="3">
        <f>IF(E2284&lt;=500,IF(Galva=Oui,0.35,0.7),0.7)</f>
        <v>0.7</v>
      </c>
    </row>
    <row r="2285" spans="2:10" x14ac:dyDescent="0.25">
      <c r="B2285" s="3">
        <f>B2284+DeltaT</f>
        <v>11340</v>
      </c>
      <c r="C2285" s="13">
        <f t="shared" si="150"/>
        <v>189</v>
      </c>
      <c r="D2285" s="11">
        <f t="shared" si="151"/>
        <v>1117.0444301679993</v>
      </c>
      <c r="E2285" s="23">
        <f t="shared" si="148"/>
        <v>1116.0433589889765</v>
      </c>
      <c r="F2285" s="23">
        <f>AlphaC*(D2285-E2285)</f>
        <v>25.026779475570038</v>
      </c>
      <c r="G2285" s="13">
        <f>Phi*EpsilonF*Botzman/10^8*J2285*((D2285+273)^4-(E2285+273)^4)</f>
        <v>426.40561582451613</v>
      </c>
      <c r="H2285" s="23">
        <f t="shared" si="149"/>
        <v>650</v>
      </c>
      <c r="I2285" s="12">
        <f>ksh*Massivete/(H2285*RhoA)*DeltaT*(F2285+G2285)</f>
        <v>6.6586389094423964E-2</v>
      </c>
      <c r="J2285" s="3">
        <f>IF(E2285&lt;=500,IF(Galva=Oui,0.35,0.7),0.7)</f>
        <v>0.7</v>
      </c>
    </row>
    <row r="2286" spans="2:10" x14ac:dyDescent="0.25">
      <c r="B2286" s="3">
        <f>B2285+DeltaT</f>
        <v>11345</v>
      </c>
      <c r="C2286" s="13">
        <f t="shared" si="150"/>
        <v>189.08333333333334</v>
      </c>
      <c r="D2286" s="11">
        <f t="shared" si="151"/>
        <v>1117.1104352775499</v>
      </c>
      <c r="E2286" s="23">
        <f t="shared" si="148"/>
        <v>1116.109945378071</v>
      </c>
      <c r="F2286" s="23">
        <f>AlphaC*(D2286-E2286)</f>
        <v>25.012247486972683</v>
      </c>
      <c r="G2286" s="13">
        <f>Phi*EpsilonF*Botzman/10^8*J2286*((D2286+273)^4-(E2286+273)^4)</f>
        <v>426.21901958135015</v>
      </c>
      <c r="H2286" s="23">
        <f t="shared" si="149"/>
        <v>650</v>
      </c>
      <c r="I2286" s="12">
        <f>ksh*Massivete/(H2286*RhoA)*DeltaT*(F2286+G2286)</f>
        <v>6.655672263087925E-2</v>
      </c>
      <c r="J2286" s="3">
        <f>IF(E2286&lt;=500,IF(Galva=Oui,0.35,0.7),0.7)</f>
        <v>0.7</v>
      </c>
    </row>
    <row r="2287" spans="2:10" x14ac:dyDescent="0.25">
      <c r="B2287" s="3">
        <f>B2286+DeltaT</f>
        <v>11350</v>
      </c>
      <c r="C2287" s="13">
        <f t="shared" si="150"/>
        <v>189.16666666666666</v>
      </c>
      <c r="D2287" s="11">
        <f t="shared" si="151"/>
        <v>1117.1764113227623</v>
      </c>
      <c r="E2287" s="23">
        <f t="shared" si="148"/>
        <v>1116.1765021007018</v>
      </c>
      <c r="F2287" s="23">
        <f>AlphaC*(D2287-E2287)</f>
        <v>24.997730551513087</v>
      </c>
      <c r="G2287" s="13">
        <f>Phi*EpsilonF*Botzman/10^8*J2287*((D2287+273)^4-(E2287+273)^4)</f>
        <v>426.03258781573408</v>
      </c>
      <c r="H2287" s="23">
        <f t="shared" si="149"/>
        <v>650</v>
      </c>
      <c r="I2287" s="12">
        <f>ksh*Massivete/(H2287*RhoA)*DeltaT*(F2287+G2287)</f>
        <v>6.6527082648155045E-2</v>
      </c>
      <c r="J2287" s="3">
        <f>IF(E2287&lt;=500,IF(Galva=Oui,0.35,0.7),0.7)</f>
        <v>0.7</v>
      </c>
    </row>
    <row r="2288" spans="2:10" x14ac:dyDescent="0.25">
      <c r="B2288" s="3">
        <f>B2287+DeltaT</f>
        <v>11355</v>
      </c>
      <c r="C2288" s="13">
        <f t="shared" si="150"/>
        <v>189.25</v>
      </c>
      <c r="D2288" s="11">
        <f t="shared" si="151"/>
        <v>1117.2423583292216</v>
      </c>
      <c r="E2288" s="23">
        <f t="shared" si="148"/>
        <v>1116.24302918335</v>
      </c>
      <c r="F2288" s="23">
        <f>AlphaC*(D2288-E2288)</f>
        <v>24.983228646789257</v>
      </c>
      <c r="G2288" s="13">
        <f>Phi*EpsilonF*Botzman/10^8*J2288*((D2288+273)^4-(E2288+273)^4)</f>
        <v>425.84632030912098</v>
      </c>
      <c r="H2288" s="23">
        <f t="shared" si="149"/>
        <v>650</v>
      </c>
      <c r="I2288" s="12">
        <f>ksh*Massivete/(H2288*RhoA)*DeltaT*(F2288+G2288)</f>
        <v>6.6497469110711305E-2</v>
      </c>
      <c r="J2288" s="3">
        <f>IF(E2288&lt;=500,IF(Galva=Oui,0.35,0.7),0.7)</f>
        <v>0.7</v>
      </c>
    </row>
    <row r="2289" spans="2:10" x14ac:dyDescent="0.25">
      <c r="B2289" s="3">
        <f>B2288+DeltaT</f>
        <v>11360</v>
      </c>
      <c r="C2289" s="13">
        <f t="shared" si="150"/>
        <v>189.33333333333334</v>
      </c>
      <c r="D2289" s="11">
        <f t="shared" si="151"/>
        <v>1117.3082763224786</v>
      </c>
      <c r="E2289" s="23">
        <f t="shared" si="148"/>
        <v>1116.3095266524608</v>
      </c>
      <c r="F2289" s="23">
        <f>AlphaC*(D2289-E2289)</f>
        <v>24.968741750444678</v>
      </c>
      <c r="G2289" s="13">
        <f>Phi*EpsilonF*Botzman/10^8*J2289*((D2289+273)^4-(E2289+273)^4)</f>
        <v>425.66021684368098</v>
      </c>
      <c r="H2289" s="23">
        <f t="shared" si="149"/>
        <v>650</v>
      </c>
      <c r="I2289" s="12">
        <f>ksh*Massivete/(H2289*RhoA)*DeltaT*(F2289+G2289)</f>
        <v>6.6467881983120466E-2</v>
      </c>
      <c r="J2289" s="3">
        <f>IF(E2289&lt;=500,IF(Galva=Oui,0.35,0.7),0.7)</f>
        <v>0.7</v>
      </c>
    </row>
    <row r="2290" spans="2:10" x14ac:dyDescent="0.25">
      <c r="B2290" s="3">
        <f>B2289+DeltaT</f>
        <v>11365</v>
      </c>
      <c r="C2290" s="13">
        <f t="shared" si="150"/>
        <v>189.41666666666666</v>
      </c>
      <c r="D2290" s="11">
        <f t="shared" si="151"/>
        <v>1117.3741653280508</v>
      </c>
      <c r="E2290" s="23">
        <f t="shared" si="148"/>
        <v>1116.3759945344439</v>
      </c>
      <c r="F2290" s="23">
        <f>AlphaC*(D2290-E2290)</f>
        <v>24.954269840173993</v>
      </c>
      <c r="G2290" s="13">
        <f>Phi*EpsilonF*Botzman/10^8*J2290*((D2290+273)^4-(E2290+273)^4)</f>
        <v>425.4742772019718</v>
      </c>
      <c r="H2290" s="23">
        <f t="shared" si="149"/>
        <v>650</v>
      </c>
      <c r="I2290" s="12">
        <f>ksh*Massivete/(H2290*RhoA)*DeltaT*(F2290+G2290)</f>
        <v>6.6438321230019706E-2</v>
      </c>
      <c r="J2290" s="3">
        <f>IF(E2290&lt;=500,IF(Galva=Oui,0.35,0.7),0.7)</f>
        <v>0.7</v>
      </c>
    </row>
    <row r="2291" spans="2:10" x14ac:dyDescent="0.25">
      <c r="B2291" s="3">
        <f>B2290+DeltaT</f>
        <v>11370</v>
      </c>
      <c r="C2291" s="13">
        <f t="shared" si="150"/>
        <v>189.5</v>
      </c>
      <c r="D2291" s="11">
        <f t="shared" si="151"/>
        <v>1117.4400253714218</v>
      </c>
      <c r="E2291" s="23">
        <f t="shared" si="148"/>
        <v>1116.4424328556738</v>
      </c>
      <c r="F2291" s="23">
        <f>AlphaC*(D2291-E2291)</f>
        <v>24.939812893700264</v>
      </c>
      <c r="G2291" s="13">
        <f>Phi*EpsilonF*Botzman/10^8*J2291*((D2291+273)^4-(E2291+273)^4)</f>
        <v>425.28850116680314</v>
      </c>
      <c r="H2291" s="23">
        <f t="shared" si="149"/>
        <v>650</v>
      </c>
      <c r="I2291" s="12">
        <f>ksh*Massivete/(H2291*RhoA)*DeltaT*(F2291+G2291)</f>
        <v>6.6408786816087556E-2</v>
      </c>
      <c r="J2291" s="3">
        <f>IF(E2291&lt;=500,IF(Galva=Oui,0.35,0.7),0.7)</f>
        <v>0.7</v>
      </c>
    </row>
    <row r="2292" spans="2:10" x14ac:dyDescent="0.25">
      <c r="B2292" s="3">
        <f>B2291+DeltaT</f>
        <v>11375</v>
      </c>
      <c r="C2292" s="13">
        <f t="shared" si="150"/>
        <v>189.58333333333334</v>
      </c>
      <c r="D2292" s="11">
        <f t="shared" si="151"/>
        <v>1117.5058564780418</v>
      </c>
      <c r="E2292" s="23">
        <f t="shared" ref="E2292:E2355" si="152">E2291+I2291</f>
        <v>1116.5088416424899</v>
      </c>
      <c r="F2292" s="23">
        <f>AlphaC*(D2292-E2292)</f>
        <v>24.925370888797715</v>
      </c>
      <c r="G2292" s="13">
        <f>Phi*EpsilonF*Botzman/10^8*J2292*((D2292+273)^4-(E2292+273)^4)</f>
        <v>425.10288852127525</v>
      </c>
      <c r="H2292" s="23">
        <f t="shared" ref="H2292:H2355" si="153">IF(E2292&lt;600,425+0.773*E2292-1.69/1000*E2292^2+2.22/1000^2*E2292^3,IF(E2292&lt;735,666+13002/(738-E2292),IF(E2292&lt;900,545+17820/(E2292-731),650)))</f>
        <v>650</v>
      </c>
      <c r="I2292" s="12">
        <f>ksh*Massivete/(H2292*RhoA)*DeltaT*(F2292+G2292)</f>
        <v>6.6379278706052924E-2</v>
      </c>
      <c r="J2292" s="3">
        <f>IF(E2292&lt;=500,IF(Galva=Oui,0.35,0.7),0.7)</f>
        <v>0.7</v>
      </c>
    </row>
    <row r="2293" spans="2:10" x14ac:dyDescent="0.25">
      <c r="B2293" s="3">
        <f>B2292+DeltaT</f>
        <v>11380</v>
      </c>
      <c r="C2293" s="13">
        <f t="shared" si="150"/>
        <v>189.66666666666666</v>
      </c>
      <c r="D2293" s="11">
        <f t="shared" si="151"/>
        <v>1117.5716586733272</v>
      </c>
      <c r="E2293" s="23">
        <f t="shared" si="152"/>
        <v>1116.575220921196</v>
      </c>
      <c r="F2293" s="23">
        <f>AlphaC*(D2293-E2293)</f>
        <v>24.910943803280361</v>
      </c>
      <c r="G2293" s="13">
        <f>Phi*EpsilonF*Botzman/10^8*J2293*((D2293+273)^4-(E2293+273)^4)</f>
        <v>424.91743904908935</v>
      </c>
      <c r="H2293" s="23">
        <f t="shared" si="153"/>
        <v>650</v>
      </c>
      <c r="I2293" s="12">
        <f>ksh*Massivete/(H2293*RhoA)*DeltaT*(F2293+G2293)</f>
        <v>6.6349796864739269E-2</v>
      </c>
      <c r="J2293" s="3">
        <f>IF(E2293&lt;=500,IF(Galva=Oui,0.35,0.7),0.7)</f>
        <v>0.7</v>
      </c>
    </row>
    <row r="2294" spans="2:10" x14ac:dyDescent="0.25">
      <c r="B2294" s="3">
        <f>B2293+DeltaT</f>
        <v>11385</v>
      </c>
      <c r="C2294" s="13">
        <f t="shared" si="150"/>
        <v>189.75</v>
      </c>
      <c r="D2294" s="11">
        <f t="shared" si="151"/>
        <v>1117.6374319826612</v>
      </c>
      <c r="E2294" s="23">
        <f t="shared" si="152"/>
        <v>1116.6415707180606</v>
      </c>
      <c r="F2294" s="23">
        <f>AlphaC*(D2294-E2294)</f>
        <v>24.896531615013373</v>
      </c>
      <c r="G2294" s="13">
        <f>Phi*EpsilonF*Botzman/10^8*J2294*((D2294+273)^4-(E2294+273)^4)</f>
        <v>424.732152534276</v>
      </c>
      <c r="H2294" s="23">
        <f t="shared" si="153"/>
        <v>650</v>
      </c>
      <c r="I2294" s="12">
        <f>ksh*Massivete/(H2294*RhoA)*DeltaT*(F2294+G2294)</f>
        <v>6.6320341257026141E-2</v>
      </c>
      <c r="J2294" s="3">
        <f>IF(E2294&lt;=500,IF(Galva=Oui,0.35,0.7),0.7)</f>
        <v>0.7</v>
      </c>
    </row>
    <row r="2295" spans="2:10" x14ac:dyDescent="0.25">
      <c r="B2295" s="3">
        <f>B2294+DeltaT</f>
        <v>11390</v>
      </c>
      <c r="C2295" s="13">
        <f t="shared" si="150"/>
        <v>189.83333333333334</v>
      </c>
      <c r="D2295" s="11">
        <f t="shared" si="151"/>
        <v>1117.7031764313933</v>
      </c>
      <c r="E2295" s="23">
        <f t="shared" si="152"/>
        <v>1116.7078910593177</v>
      </c>
      <c r="F2295" s="23">
        <f>AlphaC*(D2295-E2295)</f>
        <v>24.882134301890346</v>
      </c>
      <c r="G2295" s="13">
        <f>Phi*EpsilonF*Botzman/10^8*J2295*((D2295+273)^4-(E2295+273)^4)</f>
        <v>424.54702876109826</v>
      </c>
      <c r="H2295" s="23">
        <f t="shared" si="153"/>
        <v>650</v>
      </c>
      <c r="I2295" s="12">
        <f>ksh*Massivete/(H2295*RhoA)*DeltaT*(F2295+G2295)</f>
        <v>6.6290911847831577E-2</v>
      </c>
      <c r="J2295" s="3">
        <f>IF(E2295&lt;=500,IF(Galva=Oui,0.35,0.7),0.7)</f>
        <v>0.7</v>
      </c>
    </row>
    <row r="2296" spans="2:10" x14ac:dyDescent="0.25">
      <c r="B2296" s="3">
        <f>B2295+DeltaT</f>
        <v>11395</v>
      </c>
      <c r="C2296" s="13">
        <f t="shared" si="150"/>
        <v>189.91666666666666</v>
      </c>
      <c r="D2296" s="11">
        <f t="shared" si="151"/>
        <v>1117.7688920448402</v>
      </c>
      <c r="E2296" s="23">
        <f t="shared" si="152"/>
        <v>1116.7741819711655</v>
      </c>
      <c r="F2296" s="23">
        <f>AlphaC*(D2296-E2296)</f>
        <v>24.867751841867403</v>
      </c>
      <c r="G2296" s="13">
        <f>Phi*EpsilonF*Botzman/10^8*J2296*((D2296+273)^4-(E2296+273)^4)</f>
        <v>424.36206751447833</v>
      </c>
      <c r="H2296" s="23">
        <f t="shared" si="153"/>
        <v>650</v>
      </c>
      <c r="I2296" s="12">
        <f>ksh*Massivete/(H2296*RhoA)*DeltaT*(F2296+G2296)</f>
        <v>6.6261508602180094E-2</v>
      </c>
      <c r="J2296" s="3">
        <f>IF(E2296&lt;=500,IF(Galva=Oui,0.35,0.7),0.7)</f>
        <v>0.7</v>
      </c>
    </row>
    <row r="2297" spans="2:10" x14ac:dyDescent="0.25">
      <c r="B2297" s="3">
        <f>B2296+DeltaT</f>
        <v>11400</v>
      </c>
      <c r="C2297" s="13">
        <f t="shared" si="150"/>
        <v>190</v>
      </c>
      <c r="D2297" s="11">
        <f t="shared" si="151"/>
        <v>1117.8345788482843</v>
      </c>
      <c r="E2297" s="23">
        <f t="shared" si="152"/>
        <v>1116.8404434797676</v>
      </c>
      <c r="F2297" s="23">
        <f>AlphaC*(D2297-E2297)</f>
        <v>24.853384212917717</v>
      </c>
      <c r="G2297" s="13">
        <f>Phi*EpsilonF*Botzman/10^8*J2297*((D2297+273)^4-(E2297+273)^4)</f>
        <v>424.17726857941574</v>
      </c>
      <c r="H2297" s="23">
        <f t="shared" si="153"/>
        <v>650</v>
      </c>
      <c r="I2297" s="12">
        <f>ksh*Massivete/(H2297*RhoA)*DeltaT*(F2297+G2297)</f>
        <v>6.6232131485110091E-2</v>
      </c>
      <c r="J2297" s="3">
        <f>IF(E2297&lt;=500,IF(Galva=Oui,0.35,0.7),0.7)</f>
        <v>0.7</v>
      </c>
    </row>
    <row r="2298" spans="2:10" x14ac:dyDescent="0.25">
      <c r="B2298" s="3">
        <f>B2297+DeltaT</f>
        <v>11405</v>
      </c>
      <c r="C2298" s="13">
        <f t="shared" si="150"/>
        <v>190.08333333333334</v>
      </c>
      <c r="D2298" s="11">
        <f t="shared" si="151"/>
        <v>1117.900236866976</v>
      </c>
      <c r="E2298" s="23">
        <f t="shared" si="152"/>
        <v>1116.9066756112527</v>
      </c>
      <c r="F2298" s="23">
        <f>AlphaC*(D2298-E2298)</f>
        <v>24.839031393082678</v>
      </c>
      <c r="G2298" s="13">
        <f>Phi*EpsilonF*Botzman/10^8*J2298*((D2298+273)^4-(E2298+273)^4)</f>
        <v>423.99263174149138</v>
      </c>
      <c r="H2298" s="23">
        <f t="shared" si="153"/>
        <v>650</v>
      </c>
      <c r="I2298" s="12">
        <f>ksh*Massivete/(H2298*RhoA)*DeltaT*(F2298+G2298)</f>
        <v>6.6202780461755803E-2</v>
      </c>
      <c r="J2298" s="3">
        <f>IF(E2298&lt;=500,IF(Galva=Oui,0.35,0.7),0.7)</f>
        <v>0.7</v>
      </c>
    </row>
    <row r="2299" spans="2:10" x14ac:dyDescent="0.25">
      <c r="B2299" s="3">
        <f>B2298+DeltaT</f>
        <v>11410</v>
      </c>
      <c r="C2299" s="13">
        <f t="shared" si="150"/>
        <v>190.16666666666666</v>
      </c>
      <c r="D2299" s="11">
        <f t="shared" si="151"/>
        <v>1117.9658661261317</v>
      </c>
      <c r="E2299" s="23">
        <f t="shared" si="152"/>
        <v>1116.9728783917144</v>
      </c>
      <c r="F2299" s="23">
        <f>AlphaC*(D2299-E2299)</f>
        <v>24.824693360432093</v>
      </c>
      <c r="G2299" s="13">
        <f>Phi*EpsilonF*Botzman/10^8*J2299*((D2299+273)^4-(E2299+273)^4)</f>
        <v>423.80815678671269</v>
      </c>
      <c r="H2299" s="23">
        <f t="shared" si="153"/>
        <v>650</v>
      </c>
      <c r="I2299" s="12">
        <f>ksh*Massivete/(H2299*RhoA)*DeltaT*(F2299+G2299)</f>
        <v>6.6173455497318567E-2</v>
      </c>
      <c r="J2299" s="3">
        <f>IF(E2299&lt;=500,IF(Galva=Oui,0.35,0.7),0.7)</f>
        <v>0.7</v>
      </c>
    </row>
    <row r="2300" spans="2:10" x14ac:dyDescent="0.25">
      <c r="B2300" s="3">
        <f>B2299+DeltaT</f>
        <v>11415</v>
      </c>
      <c r="C2300" s="13">
        <f t="shared" si="150"/>
        <v>190.25</v>
      </c>
      <c r="D2300" s="11">
        <f t="shared" si="151"/>
        <v>1118.0314666509346</v>
      </c>
      <c r="E2300" s="23">
        <f t="shared" si="152"/>
        <v>1117.0390518472118</v>
      </c>
      <c r="F2300" s="23">
        <f>AlphaC*(D2300-E2300)</f>
        <v>24.810370093069878</v>
      </c>
      <c r="G2300" s="13">
        <f>Phi*EpsilonF*Botzman/10^8*J2300*((D2300+273)^4-(E2300+273)^4)</f>
        <v>423.62384350104821</v>
      </c>
      <c r="H2300" s="23">
        <f t="shared" si="153"/>
        <v>650</v>
      </c>
      <c r="I2300" s="12">
        <f>ksh*Massivete/(H2300*RhoA)*DeltaT*(F2300+G2300)</f>
        <v>6.6144156556999026E-2</v>
      </c>
      <c r="J2300" s="3">
        <f>IF(E2300&lt;=500,IF(Galva=Oui,0.35,0.7),0.7)</f>
        <v>0.7</v>
      </c>
    </row>
    <row r="2301" spans="2:10" x14ac:dyDescent="0.25">
      <c r="B2301" s="3">
        <f>B2300+DeltaT</f>
        <v>11420</v>
      </c>
      <c r="C2301" s="13">
        <f t="shared" si="150"/>
        <v>190.33333333333334</v>
      </c>
      <c r="D2301" s="11">
        <f t="shared" si="151"/>
        <v>1118.0970384665354</v>
      </c>
      <c r="E2301" s="23">
        <f t="shared" si="152"/>
        <v>1117.1051960037687</v>
      </c>
      <c r="F2301" s="23">
        <f>AlphaC*(D2301-E2301)</f>
        <v>24.79606156916816</v>
      </c>
      <c r="G2301" s="13">
        <f>Phi*EpsilonF*Botzman/10^8*J2301*((D2301+273)^4-(E2301+273)^4)</f>
        <v>423.43969167143553</v>
      </c>
      <c r="H2301" s="23">
        <f t="shared" si="153"/>
        <v>650</v>
      </c>
      <c r="I2301" s="12">
        <f>ksh*Massivete/(H2301*RhoA)*DeltaT*(F2301+G2301)</f>
        <v>6.6114883606150768E-2</v>
      </c>
      <c r="J2301" s="3">
        <f>IF(E2301&lt;=500,IF(Galva=Oui,0.35,0.7),0.7)</f>
        <v>0.7</v>
      </c>
    </row>
    <row r="2302" spans="2:10" x14ac:dyDescent="0.25">
      <c r="B2302" s="3">
        <f>B2301+DeltaT</f>
        <v>11425</v>
      </c>
      <c r="C2302" s="13">
        <f t="shared" si="150"/>
        <v>190.41666666666666</v>
      </c>
      <c r="D2302" s="11">
        <f t="shared" si="151"/>
        <v>1118.1625815980517</v>
      </c>
      <c r="E2302" s="23">
        <f t="shared" si="152"/>
        <v>1117.1713108873748</v>
      </c>
      <c r="F2302" s="23">
        <f>AlphaC*(D2302-E2302)</f>
        <v>24.781767766921803</v>
      </c>
      <c r="G2302" s="13">
        <f>Phi*EpsilonF*Botzman/10^8*J2302*((D2302+273)^4-(E2302+273)^4)</f>
        <v>423.25570108490911</v>
      </c>
      <c r="H2302" s="23">
        <f t="shared" si="153"/>
        <v>650</v>
      </c>
      <c r="I2302" s="12">
        <f>ksh*Massivete/(H2302*RhoA)*DeltaT*(F2302+G2302)</f>
        <v>6.608563661014509E-2</v>
      </c>
      <c r="J2302" s="3">
        <f>IF(E2302&lt;=500,IF(Galva=Oui,0.35,0.7),0.7)</f>
        <v>0.7</v>
      </c>
    </row>
    <row r="2303" spans="2:10" x14ac:dyDescent="0.25">
      <c r="B2303" s="3">
        <f>B2302+DeltaT</f>
        <v>11430</v>
      </c>
      <c r="C2303" s="13">
        <f t="shared" si="150"/>
        <v>190.5</v>
      </c>
      <c r="D2303" s="11">
        <f t="shared" si="151"/>
        <v>1118.2280960705675</v>
      </c>
      <c r="E2303" s="23">
        <f t="shared" si="152"/>
        <v>1117.2373965239849</v>
      </c>
      <c r="F2303" s="23">
        <f>AlphaC*(D2303-E2303)</f>
        <v>24.767488664565462</v>
      </c>
      <c r="G2303" s="13">
        <f>Phi*EpsilonF*Botzman/10^8*J2303*((D2303+273)^4-(E2303+273)^4)</f>
        <v>423.07187152871654</v>
      </c>
      <c r="H2303" s="23">
        <f t="shared" si="153"/>
        <v>650</v>
      </c>
      <c r="I2303" s="12">
        <f>ksh*Massivete/(H2303*RhoA)*DeltaT*(F2303+G2303)</f>
        <v>6.6056415534390567E-2</v>
      </c>
      <c r="J2303" s="3">
        <f>IF(E2303&lt;=500,IF(Galva=Oui,0.35,0.7),0.7)</f>
        <v>0.7</v>
      </c>
    </row>
    <row r="2304" spans="2:10" x14ac:dyDescent="0.25">
      <c r="B2304" s="3">
        <f>B2303+DeltaT</f>
        <v>11435</v>
      </c>
      <c r="C2304" s="13">
        <f t="shared" si="150"/>
        <v>190.58333333333334</v>
      </c>
      <c r="D2304" s="11">
        <f t="shared" si="151"/>
        <v>1118.2935819091347</v>
      </c>
      <c r="E2304" s="23">
        <f t="shared" si="152"/>
        <v>1117.3034529395193</v>
      </c>
      <c r="F2304" s="23">
        <f>AlphaC*(D2304-E2304)</f>
        <v>24.753224240384952</v>
      </c>
      <c r="G2304" s="13">
        <f>Phi*EpsilonF*Botzman/10^8*J2304*((D2304+273)^4-(E2304+273)^4)</f>
        <v>422.88820279064811</v>
      </c>
      <c r="H2304" s="23">
        <f t="shared" si="153"/>
        <v>650</v>
      </c>
      <c r="I2304" s="12">
        <f>ksh*Massivete/(H2304*RhoA)*DeltaT*(F2304+G2304)</f>
        <v>6.6027220344383353E-2</v>
      </c>
      <c r="J2304" s="3">
        <f>IF(E2304&lt;=500,IF(Galva=Oui,0.35,0.7),0.7)</f>
        <v>0.7</v>
      </c>
    </row>
    <row r="2305" spans="2:10" x14ac:dyDescent="0.25">
      <c r="B2305" s="3">
        <f>B2304+DeltaT</f>
        <v>11440</v>
      </c>
      <c r="C2305" s="13">
        <f t="shared" si="150"/>
        <v>190.66666666666666</v>
      </c>
      <c r="D2305" s="11">
        <f t="shared" si="151"/>
        <v>1118.359039138772</v>
      </c>
      <c r="E2305" s="23">
        <f t="shared" si="152"/>
        <v>1117.3694801598638</v>
      </c>
      <c r="F2305" s="23">
        <f>AlphaC*(D2305-E2305)</f>
        <v>24.738974472705877</v>
      </c>
      <c r="G2305" s="13">
        <f>Phi*EpsilonF*Botzman/10^8*J2305*((D2305+273)^4-(E2305+273)^4)</f>
        <v>422.70469465895934</v>
      </c>
      <c r="H2305" s="23">
        <f t="shared" si="153"/>
        <v>650</v>
      </c>
      <c r="I2305" s="12">
        <f>ksh*Massivete/(H2305*RhoA)*DeltaT*(F2305+G2305)</f>
        <v>6.5998051005694114E-2</v>
      </c>
      <c r="J2305" s="3">
        <f>IF(E2305&lt;=500,IF(Galva=Oui,0.35,0.7),0.7)</f>
        <v>0.7</v>
      </c>
    </row>
    <row r="2306" spans="2:10" x14ac:dyDescent="0.25">
      <c r="B2306" s="3">
        <f>B2305+DeltaT</f>
        <v>11445</v>
      </c>
      <c r="C2306" s="13">
        <f t="shared" si="150"/>
        <v>190.75</v>
      </c>
      <c r="D2306" s="11">
        <f t="shared" si="151"/>
        <v>1118.4244677844652</v>
      </c>
      <c r="E2306" s="23">
        <f t="shared" si="152"/>
        <v>1117.4354782108694</v>
      </c>
      <c r="F2306" s="23">
        <f>AlphaC*(D2306-E2306)</f>
        <v>24.724739339893631</v>
      </c>
      <c r="G2306" s="13">
        <f>Phi*EpsilonF*Botzman/10^8*J2306*((D2306+273)^4-(E2306+273)^4)</f>
        <v>422.52134692215742</v>
      </c>
      <c r="H2306" s="23">
        <f t="shared" si="153"/>
        <v>650</v>
      </c>
      <c r="I2306" s="12">
        <f>ksh*Massivete/(H2306*RhoA)*DeltaT*(F2306+G2306)</f>
        <v>6.5968907483936495E-2</v>
      </c>
      <c r="J2306" s="3">
        <f>IF(E2306&lt;=500,IF(Galva=Oui,0.35,0.7),0.7)</f>
        <v>0.7</v>
      </c>
    </row>
    <row r="2307" spans="2:10" x14ac:dyDescent="0.25">
      <c r="B2307" s="3">
        <f>B2306+DeltaT</f>
        <v>11450</v>
      </c>
      <c r="C2307" s="13">
        <f t="shared" si="150"/>
        <v>190.83333333333334</v>
      </c>
      <c r="D2307" s="11">
        <f t="shared" si="151"/>
        <v>1118.4898678711677</v>
      </c>
      <c r="E2307" s="23">
        <f t="shared" si="152"/>
        <v>1117.5014471183533</v>
      </c>
      <c r="F2307" s="23">
        <f>AlphaC*(D2307-E2307)</f>
        <v>24.710518820359084</v>
      </c>
      <c r="G2307" s="13">
        <f>Phi*EpsilonF*Botzman/10^8*J2307*((D2307+273)^4-(E2307+273)^4)</f>
        <v>422.33815936915676</v>
      </c>
      <c r="H2307" s="23">
        <f t="shared" si="153"/>
        <v>650</v>
      </c>
      <c r="I2307" s="12">
        <f>ksh*Massivete/(H2307*RhoA)*DeltaT*(F2307+G2307)</f>
        <v>6.5939789744790922E-2</v>
      </c>
      <c r="J2307" s="3">
        <f>IF(E2307&lt;=500,IF(Galva=Oui,0.35,0.7),0.7)</f>
        <v>0.7</v>
      </c>
    </row>
    <row r="2308" spans="2:10" x14ac:dyDescent="0.25">
      <c r="B2308" s="3">
        <f>B2307+DeltaT</f>
        <v>11455</v>
      </c>
      <c r="C2308" s="13">
        <f t="shared" si="150"/>
        <v>190.91666666666666</v>
      </c>
      <c r="D2308" s="11">
        <f t="shared" si="151"/>
        <v>1118.5552394238</v>
      </c>
      <c r="E2308" s="23">
        <f t="shared" si="152"/>
        <v>1117.5673869080981</v>
      </c>
      <c r="F2308" s="23">
        <f>AlphaC*(D2308-E2308)</f>
        <v>24.696312892547212</v>
      </c>
      <c r="G2308" s="13">
        <f>Phi*EpsilonF*Botzman/10^8*J2308*((D2308+273)^4-(E2308+273)^4)</f>
        <v>422.15513178914296</v>
      </c>
      <c r="H2308" s="23">
        <f t="shared" si="153"/>
        <v>650</v>
      </c>
      <c r="I2308" s="12">
        <f>ksh*Massivete/(H2308*RhoA)*DeltaT*(F2308+G2308)</f>
        <v>6.5910697753982839E-2</v>
      </c>
      <c r="J2308" s="3">
        <f>IF(E2308&lt;=500,IF(Galva=Oui,0.35,0.7),0.7)</f>
        <v>0.7</v>
      </c>
    </row>
    <row r="2309" spans="2:10" x14ac:dyDescent="0.25">
      <c r="B2309" s="3">
        <f>B2308+DeltaT</f>
        <v>11460</v>
      </c>
      <c r="C2309" s="13">
        <f t="shared" si="150"/>
        <v>191</v>
      </c>
      <c r="D2309" s="11">
        <f t="shared" si="151"/>
        <v>1118.6205824672504</v>
      </c>
      <c r="E2309" s="23">
        <f t="shared" si="152"/>
        <v>1117.633297605852</v>
      </c>
      <c r="F2309" s="23">
        <f>AlphaC*(D2309-E2309)</f>
        <v>24.682121534959833</v>
      </c>
      <c r="G2309" s="13">
        <f>Phi*EpsilonF*Botzman/10^8*J2309*((D2309+273)^4-(E2309+273)^4)</f>
        <v>421.97226397203809</v>
      </c>
      <c r="H2309" s="23">
        <f t="shared" si="153"/>
        <v>650</v>
      </c>
      <c r="I2309" s="12">
        <f>ksh*Massivete/(H2309*RhoA)*DeltaT*(F2309+G2309)</f>
        <v>6.5881631477354735E-2</v>
      </c>
      <c r="J2309" s="3">
        <f>IF(E2309&lt;=500,IF(Galva=Oui,0.35,0.7),0.7)</f>
        <v>0.7</v>
      </c>
    </row>
    <row r="2310" spans="2:10" x14ac:dyDescent="0.25">
      <c r="B2310" s="3">
        <f>B2309+DeltaT</f>
        <v>11465</v>
      </c>
      <c r="C2310" s="13">
        <f t="shared" si="150"/>
        <v>191.08333333333334</v>
      </c>
      <c r="D2310" s="11">
        <f t="shared" si="151"/>
        <v>1118.6858970263738</v>
      </c>
      <c r="E2310" s="23">
        <f t="shared" si="152"/>
        <v>1117.6991792373294</v>
      </c>
      <c r="F2310" s="23">
        <f>AlphaC*(D2310-E2310)</f>
        <v>24.667944726110136</v>
      </c>
      <c r="G2310" s="13">
        <f>Phi*EpsilonF*Botzman/10^8*J2310*((D2310+273)^4-(E2310+273)^4)</f>
        <v>421.789555707396</v>
      </c>
      <c r="H2310" s="23">
        <f t="shared" si="153"/>
        <v>650</v>
      </c>
      <c r="I2310" s="12">
        <f>ksh*Massivete/(H2310*RhoA)*DeltaT*(F2310+G2310)</f>
        <v>6.5852590880696407E-2</v>
      </c>
      <c r="J2310" s="3">
        <f>IF(E2310&lt;=500,IF(Galva=Oui,0.35,0.7),0.7)</f>
        <v>0.7</v>
      </c>
    </row>
    <row r="2311" spans="2:10" x14ac:dyDescent="0.25">
      <c r="B2311" s="3">
        <f>B2310+DeltaT</f>
        <v>11470</v>
      </c>
      <c r="C2311" s="13">
        <f t="shared" si="150"/>
        <v>191.16666666666666</v>
      </c>
      <c r="D2311" s="11">
        <f t="shared" si="151"/>
        <v>1118.7511831259935</v>
      </c>
      <c r="E2311" s="23">
        <f t="shared" si="152"/>
        <v>1117.7650318282101</v>
      </c>
      <c r="F2311" s="23">
        <f>AlphaC*(D2311-E2311)</f>
        <v>24.653782444585204</v>
      </c>
      <c r="G2311" s="13">
        <f>Phi*EpsilonF*Botzman/10^8*J2311*((D2311+273)^4-(E2311+273)^4)</f>
        <v>421.607006785914</v>
      </c>
      <c r="H2311" s="23">
        <f t="shared" si="153"/>
        <v>650</v>
      </c>
      <c r="I2311" s="12">
        <f>ksh*Massivete/(H2311*RhoA)*DeltaT*(F2311+G2311)</f>
        <v>6.5823575929977285E-2</v>
      </c>
      <c r="J2311" s="3">
        <f>IF(E2311&lt;=500,IF(Galva=Oui,0.35,0.7),0.7)</f>
        <v>0.7</v>
      </c>
    </row>
    <row r="2312" spans="2:10" x14ac:dyDescent="0.25">
      <c r="B2312" s="3">
        <f>B2311+DeltaT</f>
        <v>11475</v>
      </c>
      <c r="C2312" s="13">
        <f t="shared" si="150"/>
        <v>191.25</v>
      </c>
      <c r="D2312" s="11">
        <f t="shared" si="151"/>
        <v>1118.8164407909001</v>
      </c>
      <c r="E2312" s="23">
        <f t="shared" si="152"/>
        <v>1117.83085540414</v>
      </c>
      <c r="F2312" s="23">
        <f>AlphaC*(D2312-E2312)</f>
        <v>24.639634669000543</v>
      </c>
      <c r="G2312" s="13">
        <f>Phi*EpsilonF*Botzman/10^8*J2312*((D2312+273)^4-(E2312+273)^4)</f>
        <v>421.42461699836679</v>
      </c>
      <c r="H2312" s="23">
        <f t="shared" si="153"/>
        <v>650</v>
      </c>
      <c r="I2312" s="12">
        <f>ksh*Massivete/(H2312*RhoA)*DeltaT*(F2312+G2312)</f>
        <v>6.5794586591182327E-2</v>
      </c>
      <c r="J2312" s="3">
        <f>IF(E2312&lt;=500,IF(Galva=Oui,0.35,0.7),0.7)</f>
        <v>0.7</v>
      </c>
    </row>
    <row r="2313" spans="2:10" x14ac:dyDescent="0.25">
      <c r="B2313" s="3">
        <f>B2312+DeltaT</f>
        <v>11480</v>
      </c>
      <c r="C2313" s="13">
        <f t="shared" si="150"/>
        <v>191.33333333333334</v>
      </c>
      <c r="D2313" s="11">
        <f t="shared" si="151"/>
        <v>1118.8816700458513</v>
      </c>
      <c r="E2313" s="23">
        <f t="shared" si="152"/>
        <v>1117.8966499907312</v>
      </c>
      <c r="F2313" s="23">
        <f>AlphaC*(D2313-E2313)</f>
        <v>24.625501378000081</v>
      </c>
      <c r="G2313" s="13">
        <f>Phi*EpsilonF*Botzman/10^8*J2313*((D2313+273)^4-(E2313+273)^4)</f>
        <v>421.24238613560675</v>
      </c>
      <c r="H2313" s="23">
        <f t="shared" si="153"/>
        <v>650</v>
      </c>
      <c r="I2313" s="12">
        <f>ksh*Massivete/(H2313*RhoA)*DeltaT*(F2313+G2313)</f>
        <v>6.5765622830312218E-2</v>
      </c>
      <c r="J2313" s="3">
        <f>IF(E2313&lt;=500,IF(Galva=Oui,0.35,0.7),0.7)</f>
        <v>0.7</v>
      </c>
    </row>
    <row r="2314" spans="2:10" x14ac:dyDescent="0.25">
      <c r="B2314" s="3">
        <f>B2313+DeltaT</f>
        <v>11485</v>
      </c>
      <c r="C2314" s="13">
        <f t="shared" si="150"/>
        <v>191.41666666666666</v>
      </c>
      <c r="D2314" s="11">
        <f t="shared" si="151"/>
        <v>1118.9468709155731</v>
      </c>
      <c r="E2314" s="23">
        <f t="shared" si="152"/>
        <v>1117.9624156135615</v>
      </c>
      <c r="F2314" s="23">
        <f>AlphaC*(D2314-E2314)</f>
        <v>24.611382550290273</v>
      </c>
      <c r="G2314" s="13">
        <f>Phi*EpsilonF*Botzman/10^8*J2314*((D2314+273)^4-(E2314+273)^4)</f>
        <v>421.06031398937762</v>
      </c>
      <c r="H2314" s="23">
        <f t="shared" si="153"/>
        <v>650</v>
      </c>
      <c r="I2314" s="12">
        <f>ksh*Massivete/(H2314*RhoA)*DeltaT*(F2314+G2314)</f>
        <v>6.5736684613508289E-2</v>
      </c>
      <c r="J2314" s="3">
        <f>IF(E2314&lt;=500,IF(Galva=Oui,0.35,0.7),0.7)</f>
        <v>0.7</v>
      </c>
    </row>
    <row r="2315" spans="2:10" x14ac:dyDescent="0.25">
      <c r="B2315" s="3">
        <f>B2314+DeltaT</f>
        <v>11490</v>
      </c>
      <c r="C2315" s="13">
        <f t="shared" si="150"/>
        <v>191.5</v>
      </c>
      <c r="D2315" s="11">
        <f t="shared" si="151"/>
        <v>1119.0120434247594</v>
      </c>
      <c r="E2315" s="23">
        <f t="shared" si="152"/>
        <v>1118.028152298175</v>
      </c>
      <c r="F2315" s="23">
        <f>AlphaC*(D2315-E2315)</f>
        <v>24.59727816461168</v>
      </c>
      <c r="G2315" s="13">
        <f>Phi*EpsilonF*Botzman/10^8*J2315*((D2315+273)^4-(E2315+273)^4)</f>
        <v>420.87840035144256</v>
      </c>
      <c r="H2315" s="23">
        <f t="shared" si="153"/>
        <v>650</v>
      </c>
      <c r="I2315" s="12">
        <f>ksh*Massivete/(H2315*RhoA)*DeltaT*(F2315+G2315)</f>
        <v>6.5707771906919787E-2</v>
      </c>
      <c r="J2315" s="3">
        <f>IF(E2315&lt;=500,IF(Galva=Oui,0.35,0.7),0.7)</f>
        <v>0.7</v>
      </c>
    </row>
    <row r="2316" spans="2:10" x14ac:dyDescent="0.25">
      <c r="B2316" s="3">
        <f>B2315+DeltaT</f>
        <v>11495</v>
      </c>
      <c r="C2316" s="13">
        <f t="shared" si="150"/>
        <v>191.58333333333334</v>
      </c>
      <c r="D2316" s="11">
        <f t="shared" si="151"/>
        <v>1119.0771875980711</v>
      </c>
      <c r="E2316" s="23">
        <f t="shared" si="152"/>
        <v>1118.093860070082</v>
      </c>
      <c r="F2316" s="23">
        <f>AlphaC*(D2316-E2316)</f>
        <v>24.583188199727601</v>
      </c>
      <c r="G2316" s="13">
        <f>Phi*EpsilonF*Botzman/10^8*J2316*((D2316+273)^4-(E2316+273)^4)</f>
        <v>420.69664501397176</v>
      </c>
      <c r="H2316" s="23">
        <f t="shared" si="153"/>
        <v>650</v>
      </c>
      <c r="I2316" s="12">
        <f>ksh*Massivete/(H2316*RhoA)*DeltaT*(F2316+G2316)</f>
        <v>6.5678884676759336E-2</v>
      </c>
      <c r="J2316" s="3">
        <f>IF(E2316&lt;=500,IF(Galva=Oui,0.35,0.7),0.7)</f>
        <v>0.7</v>
      </c>
    </row>
    <row r="2317" spans="2:10" x14ac:dyDescent="0.25">
      <c r="B2317" s="3">
        <f>B2316+DeltaT</f>
        <v>11500</v>
      </c>
      <c r="C2317" s="13">
        <f t="shared" si="150"/>
        <v>191.66666666666666</v>
      </c>
      <c r="D2317" s="11">
        <f t="shared" si="151"/>
        <v>1119.1423034601376</v>
      </c>
      <c r="E2317" s="23">
        <f t="shared" si="152"/>
        <v>1118.1595389547588</v>
      </c>
      <c r="F2317" s="23">
        <f>AlphaC*(D2317-E2317)</f>
        <v>24.569112634469548</v>
      </c>
      <c r="G2317" s="13">
        <f>Phi*EpsilonF*Botzman/10^8*J2317*((D2317+273)^4-(E2317+273)^4)</f>
        <v>420.51504776960041</v>
      </c>
      <c r="H2317" s="23">
        <f t="shared" si="153"/>
        <v>650</v>
      </c>
      <c r="I2317" s="12">
        <f>ksh*Massivete/(H2317*RhoA)*DeltaT*(F2317+G2317)</f>
        <v>6.5650022889318219E-2</v>
      </c>
      <c r="J2317" s="3">
        <f>IF(E2317&lt;=500,IF(Galva=Oui,0.35,0.7),0.7)</f>
        <v>0.7</v>
      </c>
    </row>
    <row r="2318" spans="2:10" x14ac:dyDescent="0.25">
      <c r="B2318" s="3">
        <f>B2317+DeltaT</f>
        <v>11505</v>
      </c>
      <c r="C2318" s="13">
        <f t="shared" si="150"/>
        <v>191.75</v>
      </c>
      <c r="D2318" s="11">
        <f t="shared" si="151"/>
        <v>1119.2073910355557</v>
      </c>
      <c r="E2318" s="23">
        <f t="shared" si="152"/>
        <v>1118.225188977648</v>
      </c>
      <c r="F2318" s="23">
        <f>AlphaC*(D2318-E2318)</f>
        <v>24.555051447691767</v>
      </c>
      <c r="G2318" s="13">
        <f>Phi*EpsilonF*Botzman/10^8*J2318*((D2318+273)^4-(E2318+273)^4)</f>
        <v>420.33360841125449</v>
      </c>
      <c r="H2318" s="23">
        <f t="shared" si="153"/>
        <v>650</v>
      </c>
      <c r="I2318" s="12">
        <f>ksh*Massivete/(H2318*RhoA)*DeltaT*(F2318+G2318)</f>
        <v>6.5621186510933974E-2</v>
      </c>
      <c r="J2318" s="3">
        <f>IF(E2318&lt;=500,IF(Galva=Oui,0.35,0.7),0.7)</f>
        <v>0.7</v>
      </c>
    </row>
    <row r="2319" spans="2:10" x14ac:dyDescent="0.25">
      <c r="B2319" s="3">
        <f>B2318+DeltaT</f>
        <v>11510</v>
      </c>
      <c r="C2319" s="13">
        <f t="shared" si="150"/>
        <v>191.83333333333334</v>
      </c>
      <c r="D2319" s="11">
        <f t="shared" si="151"/>
        <v>1119.2724503488907</v>
      </c>
      <c r="E2319" s="23">
        <f t="shared" si="152"/>
        <v>1118.290810164159</v>
      </c>
      <c r="F2319" s="23">
        <f>AlphaC*(D2319-E2319)</f>
        <v>24.541004618293982</v>
      </c>
      <c r="G2319" s="13">
        <f>Phi*EpsilonF*Botzman/10^8*J2319*((D2319+273)^4-(E2319+273)^4)</f>
        <v>420.15232673217002</v>
      </c>
      <c r="H2319" s="23">
        <f t="shared" si="153"/>
        <v>650</v>
      </c>
      <c r="I2319" s="12">
        <f>ksh*Massivete/(H2319*RhoA)*DeltaT*(F2319+G2319)</f>
        <v>6.559237550799657E-2</v>
      </c>
      <c r="J2319" s="3">
        <f>IF(E2319&lt;=500,IF(Galva=Oui,0.35,0.7),0.7)</f>
        <v>0.7</v>
      </c>
    </row>
    <row r="2320" spans="2:10" x14ac:dyDescent="0.25">
      <c r="B2320" s="3">
        <f>B2319+DeltaT</f>
        <v>11515</v>
      </c>
      <c r="C2320" s="13">
        <f t="shared" si="150"/>
        <v>191.91666666666666</v>
      </c>
      <c r="D2320" s="11">
        <f t="shared" si="151"/>
        <v>1119.3374814246761</v>
      </c>
      <c r="E2320" s="23">
        <f t="shared" si="152"/>
        <v>1118.356402539667</v>
      </c>
      <c r="F2320" s="23">
        <f>AlphaC*(D2320-E2320)</f>
        <v>24.526972125227076</v>
      </c>
      <c r="G2320" s="13">
        <f>Phi*EpsilonF*Botzman/10^8*J2320*((D2320+273)^4-(E2320+273)^4)</f>
        <v>419.97120252630009</v>
      </c>
      <c r="H2320" s="23">
        <f t="shared" si="153"/>
        <v>650</v>
      </c>
      <c r="I2320" s="12">
        <f>ksh*Massivete/(H2320*RhoA)*DeltaT*(F2320+G2320)</f>
        <v>6.5563589847009274E-2</v>
      </c>
      <c r="J2320" s="3">
        <f>IF(E2320&lt;=500,IF(Galva=Oui,0.35,0.7),0.7)</f>
        <v>0.7</v>
      </c>
    </row>
    <row r="2321" spans="2:10" x14ac:dyDescent="0.25">
      <c r="B2321" s="3">
        <f>B2320+DeltaT</f>
        <v>11520</v>
      </c>
      <c r="C2321" s="13">
        <f t="shared" si="150"/>
        <v>192</v>
      </c>
      <c r="D2321" s="11">
        <f t="shared" si="151"/>
        <v>1119.4024842874119</v>
      </c>
      <c r="E2321" s="23">
        <f t="shared" si="152"/>
        <v>1118.421966129514</v>
      </c>
      <c r="F2321" s="23">
        <f>AlphaC*(D2321-E2321)</f>
        <v>24.512953947447613</v>
      </c>
      <c r="G2321" s="13">
        <f>Phi*EpsilonF*Botzman/10^8*J2321*((D2321+273)^4-(E2321+273)^4)</f>
        <v>419.79023558722957</v>
      </c>
      <c r="H2321" s="23">
        <f t="shared" si="153"/>
        <v>650</v>
      </c>
      <c r="I2321" s="12">
        <f>ksh*Massivete/(H2321*RhoA)*DeltaT*(F2321+G2321)</f>
        <v>6.5534829494421895E-2</v>
      </c>
      <c r="J2321" s="3">
        <f>IF(E2321&lt;=500,IF(Galva=Oui,0.35,0.7),0.7)</f>
        <v>0.7</v>
      </c>
    </row>
    <row r="2322" spans="2:10" x14ac:dyDescent="0.25">
      <c r="B2322" s="3">
        <f>B2321+DeltaT</f>
        <v>11525</v>
      </c>
      <c r="C2322" s="13">
        <f t="shared" ref="C2322:C2385" si="154">B2322/60</f>
        <v>192.08333333333334</v>
      </c>
      <c r="D2322" s="11">
        <f t="shared" ref="D2322:D2385" si="155">20+345*LOG(8*C2322+1,10)</f>
        <v>1119.4674589615684</v>
      </c>
      <c r="E2322" s="23">
        <f t="shared" si="152"/>
        <v>1118.4875009590085</v>
      </c>
      <c r="F2322" s="23">
        <f>AlphaC*(D2322-E2322)</f>
        <v>24.498950063997427</v>
      </c>
      <c r="G2322" s="13">
        <f>Phi*EpsilonF*Botzman/10^8*J2322*((D2322+273)^4-(E2322+273)^4)</f>
        <v>419.60942570968678</v>
      </c>
      <c r="H2322" s="23">
        <f t="shared" si="153"/>
        <v>650</v>
      </c>
      <c r="I2322" s="12">
        <f>ksh*Massivete/(H2322*RhoA)*DeltaT*(F2322+G2322)</f>
        <v>6.5506094416865474E-2</v>
      </c>
      <c r="J2322" s="3">
        <f>IF(E2322&lt;=500,IF(Galva=Oui,0.35,0.7),0.7)</f>
        <v>0.7</v>
      </c>
    </row>
    <row r="2323" spans="2:10" x14ac:dyDescent="0.25">
      <c r="B2323" s="3">
        <f>B2322+DeltaT</f>
        <v>11530</v>
      </c>
      <c r="C2323" s="13">
        <f t="shared" si="154"/>
        <v>192.16666666666666</v>
      </c>
      <c r="D2323" s="11">
        <f t="shared" si="155"/>
        <v>1119.5324054715825</v>
      </c>
      <c r="E2323" s="23">
        <f t="shared" si="152"/>
        <v>1118.5530070534253</v>
      </c>
      <c r="F2323" s="23">
        <f>AlphaC*(D2323-E2323)</f>
        <v>24.484960453929716</v>
      </c>
      <c r="G2323" s="13">
        <f>Phi*EpsilonF*Botzman/10^8*J2323*((D2323+273)^4-(E2323+273)^4)</f>
        <v>419.42877268826425</v>
      </c>
      <c r="H2323" s="23">
        <f t="shared" si="153"/>
        <v>650</v>
      </c>
      <c r="I2323" s="12">
        <f>ksh*Massivete/(H2323*RhoA)*DeltaT*(F2323+G2323)</f>
        <v>6.5477384580952716E-2</v>
      </c>
      <c r="J2323" s="3">
        <f>IF(E2323&lt;=500,IF(Galva=Oui,0.35,0.7),0.7)</f>
        <v>0.7</v>
      </c>
    </row>
    <row r="2324" spans="2:10" x14ac:dyDescent="0.25">
      <c r="B2324" s="3">
        <f>B2323+DeltaT</f>
        <v>11535</v>
      </c>
      <c r="C2324" s="13">
        <f t="shared" si="154"/>
        <v>192.25</v>
      </c>
      <c r="D2324" s="11">
        <f t="shared" si="155"/>
        <v>1119.5973238418601</v>
      </c>
      <c r="E2324" s="23">
        <f t="shared" si="152"/>
        <v>1118.6184844380061</v>
      </c>
      <c r="F2324" s="23">
        <f>AlphaC*(D2324-E2324)</f>
        <v>24.470985096348841</v>
      </c>
      <c r="G2324" s="13">
        <f>Phi*EpsilonF*Botzman/10^8*J2324*((D2324+273)^4-(E2324+273)^4)</f>
        <v>419.24827631821358</v>
      </c>
      <c r="H2324" s="23">
        <f t="shared" si="153"/>
        <v>650</v>
      </c>
      <c r="I2324" s="12">
        <f>ksh*Massivete/(H2324*RhoA)*DeltaT*(F2324+G2324)</f>
        <v>6.5448699953401052E-2</v>
      </c>
      <c r="J2324" s="3">
        <f>IF(E2324&lt;=500,IF(Galva=Oui,0.35,0.7),0.7)</f>
        <v>0.7</v>
      </c>
    </row>
    <row r="2325" spans="2:10" x14ac:dyDescent="0.25">
      <c r="B2325" s="3">
        <f>B2324+DeltaT</f>
        <v>11540</v>
      </c>
      <c r="C2325" s="13">
        <f t="shared" si="154"/>
        <v>192.33333333333334</v>
      </c>
      <c r="D2325" s="11">
        <f t="shared" si="155"/>
        <v>1119.662214096775</v>
      </c>
      <c r="E2325" s="23">
        <f t="shared" si="152"/>
        <v>1118.6839331379595</v>
      </c>
      <c r="F2325" s="23">
        <f>AlphaC*(D2325-E2325)</f>
        <v>24.457023970387581</v>
      </c>
      <c r="G2325" s="13">
        <f>Phi*EpsilonF*Botzman/10^8*J2325*((D2325+273)^4-(E2325+273)^4)</f>
        <v>419.06793639482504</v>
      </c>
      <c r="H2325" s="23">
        <f t="shared" si="153"/>
        <v>650</v>
      </c>
      <c r="I2325" s="12">
        <f>ksh*Massivete/(H2325*RhoA)*DeltaT*(F2325+G2325)</f>
        <v>6.5420040500937832E-2</v>
      </c>
      <c r="J2325" s="3">
        <f>IF(E2325&lt;=500,IF(Galva=Oui,0.35,0.7),0.7)</f>
        <v>0.7</v>
      </c>
    </row>
    <row r="2326" spans="2:10" x14ac:dyDescent="0.25">
      <c r="B2326" s="3">
        <f>B2325+DeltaT</f>
        <v>11545</v>
      </c>
      <c r="C2326" s="13">
        <f t="shared" si="154"/>
        <v>192.41666666666666</v>
      </c>
      <c r="D2326" s="11">
        <f t="shared" si="155"/>
        <v>1119.7270762606697</v>
      </c>
      <c r="E2326" s="23">
        <f t="shared" si="152"/>
        <v>1118.7493531784603</v>
      </c>
      <c r="F2326" s="23">
        <f>AlphaC*(D2326-E2326)</f>
        <v>24.443077055235563</v>
      </c>
      <c r="G2326" s="13">
        <f>Phi*EpsilonF*Botzman/10^8*J2326*((D2326+273)^4-(E2326+273)^4)</f>
        <v>418.88775271408667</v>
      </c>
      <c r="H2326" s="23">
        <f t="shared" si="153"/>
        <v>650</v>
      </c>
      <c r="I2326" s="12">
        <f>ksh*Massivete/(H2326*RhoA)*DeltaT*(F2326+G2326)</f>
        <v>6.5391406190401694E-2</v>
      </c>
      <c r="J2326" s="3">
        <f>IF(E2326&lt;=500,IF(Galva=Oui,0.35,0.7),0.7)</f>
        <v>0.7</v>
      </c>
    </row>
    <row r="2327" spans="2:10" x14ac:dyDescent="0.25">
      <c r="B2327" s="3">
        <f>B2326+DeltaT</f>
        <v>11550</v>
      </c>
      <c r="C2327" s="13">
        <f t="shared" si="154"/>
        <v>192.5</v>
      </c>
      <c r="D2327" s="11">
        <f t="shared" si="155"/>
        <v>1119.7919103578545</v>
      </c>
      <c r="E2327" s="23">
        <f t="shared" si="152"/>
        <v>1118.8147445846507</v>
      </c>
      <c r="F2327" s="23">
        <f>AlphaC*(D2327-E2327)</f>
        <v>24.429144330093777</v>
      </c>
      <c r="G2327" s="13">
        <f>Phi*EpsilonF*Botzman/10^8*J2327*((D2327+273)^4-(E2327+273)^4)</f>
        <v>418.70772507181192</v>
      </c>
      <c r="H2327" s="23">
        <f t="shared" si="153"/>
        <v>650</v>
      </c>
      <c r="I2327" s="12">
        <f>ksh*Massivete/(H2327*RhoA)*DeltaT*(F2327+G2327)</f>
        <v>6.5362796988607239E-2</v>
      </c>
      <c r="J2327" s="3">
        <f>IF(E2327&lt;=500,IF(Galva=Oui,0.35,0.7),0.7)</f>
        <v>0.7</v>
      </c>
    </row>
    <row r="2328" spans="2:10" x14ac:dyDescent="0.25">
      <c r="B2328" s="3">
        <f>B2327+DeltaT</f>
        <v>11555</v>
      </c>
      <c r="C2328" s="13">
        <f t="shared" si="154"/>
        <v>192.58333333333334</v>
      </c>
      <c r="D2328" s="11">
        <f t="shared" si="155"/>
        <v>1119.8567164126093</v>
      </c>
      <c r="E2328" s="23">
        <f t="shared" si="152"/>
        <v>1118.8801073816394</v>
      </c>
      <c r="F2328" s="23">
        <f>AlphaC*(D2328-E2328)</f>
        <v>24.415225774248484</v>
      </c>
      <c r="G2328" s="13">
        <f>Phi*EpsilonF*Botzman/10^8*J2328*((D2328+273)^4-(E2328+273)^4)</f>
        <v>418.52785326509354</v>
      </c>
      <c r="H2328" s="23">
        <f t="shared" si="153"/>
        <v>650</v>
      </c>
      <c r="I2328" s="12">
        <f>ksh*Massivete/(H2328*RhoA)*DeltaT*(F2328+G2328)</f>
        <v>6.5334212862570309E-2</v>
      </c>
      <c r="J2328" s="3">
        <f>IF(E2328&lt;=500,IF(Galva=Oui,0.35,0.7),0.7)</f>
        <v>0.7</v>
      </c>
    </row>
    <row r="2329" spans="2:10" x14ac:dyDescent="0.25">
      <c r="B2329" s="3">
        <f>B2328+DeltaT</f>
        <v>11560</v>
      </c>
      <c r="C2329" s="13">
        <f t="shared" si="154"/>
        <v>192.66666666666666</v>
      </c>
      <c r="D2329" s="11">
        <f t="shared" si="155"/>
        <v>1119.921494449181</v>
      </c>
      <c r="E2329" s="23">
        <f t="shared" si="152"/>
        <v>1118.945441594502</v>
      </c>
      <c r="F2329" s="23">
        <f>AlphaC*(D2329-E2329)</f>
        <v>24.401321366974571</v>
      </c>
      <c r="G2329" s="13">
        <f>Phi*EpsilonF*Botzman/10^8*J2329*((D2329+273)^4-(E2329+273)^4)</f>
        <v>418.34813709028759</v>
      </c>
      <c r="H2329" s="23">
        <f t="shared" si="153"/>
        <v>650</v>
      </c>
      <c r="I2329" s="12">
        <f>ksh*Massivete/(H2329*RhoA)*DeltaT*(F2329+G2329)</f>
        <v>6.5305653779196393E-2</v>
      </c>
      <c r="J2329" s="3">
        <f>IF(E2329&lt;=500,IF(Galva=Oui,0.35,0.7),0.7)</f>
        <v>0.7</v>
      </c>
    </row>
    <row r="2330" spans="2:10" x14ac:dyDescent="0.25">
      <c r="B2330" s="3">
        <f>B2329+DeltaT</f>
        <v>11565</v>
      </c>
      <c r="C2330" s="13">
        <f t="shared" si="154"/>
        <v>192.75</v>
      </c>
      <c r="D2330" s="11">
        <f t="shared" si="155"/>
        <v>1119.986244491786</v>
      </c>
      <c r="E2330" s="23">
        <f t="shared" si="152"/>
        <v>1119.0107472482812</v>
      </c>
      <c r="F2330" s="23">
        <f>AlphaC*(D2330-E2330)</f>
        <v>24.387431087620826</v>
      </c>
      <c r="G2330" s="13">
        <f>Phi*EpsilonF*Botzman/10^8*J2330*((D2330+273)^4-(E2330+273)^4)</f>
        <v>418.16857634493255</v>
      </c>
      <c r="H2330" s="23">
        <f t="shared" si="153"/>
        <v>650</v>
      </c>
      <c r="I2330" s="12">
        <f>ksh*Massivete/(H2330*RhoA)*DeltaT*(F2330+G2330)</f>
        <v>6.5277119705576328E-2</v>
      </c>
      <c r="J2330" s="3">
        <f>IF(E2330&lt;=500,IF(Galva=Oui,0.35,0.7),0.7)</f>
        <v>0.7</v>
      </c>
    </row>
    <row r="2331" spans="2:10" x14ac:dyDescent="0.25">
      <c r="B2331" s="3">
        <f>B2330+DeltaT</f>
        <v>11570</v>
      </c>
      <c r="C2331" s="13">
        <f t="shared" si="154"/>
        <v>192.83333333333334</v>
      </c>
      <c r="D2331" s="11">
        <f t="shared" si="155"/>
        <v>1120.0509665646096</v>
      </c>
      <c r="E2331" s="23">
        <f t="shared" si="152"/>
        <v>1119.0760243679867</v>
      </c>
      <c r="F2331" s="23">
        <f>AlphaC*(D2331-E2331)</f>
        <v>24.373554915570139</v>
      </c>
      <c r="G2331" s="13">
        <f>Phi*EpsilonF*Botzman/10^8*J2331*((D2331+273)^4-(E2331+273)^4)</f>
        <v>417.98917082662484</v>
      </c>
      <c r="H2331" s="23">
        <f t="shared" si="153"/>
        <v>650</v>
      </c>
      <c r="I2331" s="12">
        <f>ksh*Massivete/(H2331*RhoA)*DeltaT*(F2331+G2331)</f>
        <v>6.5248610608814511E-2</v>
      </c>
      <c r="J2331" s="3">
        <f>IF(E2331&lt;=500,IF(Galva=Oui,0.35,0.7),0.7)</f>
        <v>0.7</v>
      </c>
    </row>
    <row r="2332" spans="2:10" x14ac:dyDescent="0.25">
      <c r="B2332" s="3">
        <f>B2331+DeltaT</f>
        <v>11575</v>
      </c>
      <c r="C2332" s="13">
        <f t="shared" si="154"/>
        <v>192.91666666666666</v>
      </c>
      <c r="D2332" s="11">
        <f t="shared" si="155"/>
        <v>1120.1156606918048</v>
      </c>
      <c r="E2332" s="23">
        <f t="shared" si="152"/>
        <v>1119.1412729785955</v>
      </c>
      <c r="F2332" s="23">
        <f>AlphaC*(D2332-E2332)</f>
        <v>24.359692830233826</v>
      </c>
      <c r="G2332" s="13">
        <f>Phi*EpsilonF*Botzman/10^8*J2332*((D2332+273)^4-(E2332+273)^4)</f>
        <v>417.80992033323236</v>
      </c>
      <c r="H2332" s="23">
        <f t="shared" si="153"/>
        <v>650</v>
      </c>
      <c r="I2332" s="12">
        <f>ksh*Massivete/(H2332*RhoA)*DeltaT*(F2332+G2332)</f>
        <v>6.5220126456059554E-2</v>
      </c>
      <c r="J2332" s="3">
        <f>IF(E2332&lt;=500,IF(Galva=Oui,0.35,0.7),0.7)</f>
        <v>0.7</v>
      </c>
    </row>
    <row r="2333" spans="2:10" x14ac:dyDescent="0.25">
      <c r="B2333" s="3">
        <f>B2332+DeltaT</f>
        <v>11580</v>
      </c>
      <c r="C2333" s="13">
        <f t="shared" si="154"/>
        <v>193</v>
      </c>
      <c r="D2333" s="11">
        <f t="shared" si="155"/>
        <v>1120.1803268974943</v>
      </c>
      <c r="E2333" s="23">
        <f t="shared" si="152"/>
        <v>1119.2064931050515</v>
      </c>
      <c r="F2333" s="23">
        <f>AlphaC*(D2333-E2333)</f>
        <v>24.345844811068673</v>
      </c>
      <c r="G2333" s="13">
        <f>Phi*EpsilonF*Botzman/10^8*J2333*((D2333+273)^4-(E2333+273)^4)</f>
        <v>417.63082466304922</v>
      </c>
      <c r="H2333" s="23">
        <f t="shared" si="153"/>
        <v>650</v>
      </c>
      <c r="I2333" s="12">
        <f>ksh*Massivete/(H2333*RhoA)*DeltaT*(F2333+G2333)</f>
        <v>6.5191667214529667E-2</v>
      </c>
      <c r="J2333" s="3">
        <f>IF(E2333&lt;=500,IF(Galva=Oui,0.35,0.7),0.7)</f>
        <v>0.7</v>
      </c>
    </row>
    <row r="2334" spans="2:10" x14ac:dyDescent="0.25">
      <c r="B2334" s="3">
        <f>B2333+DeltaT</f>
        <v>11585</v>
      </c>
      <c r="C2334" s="13">
        <f t="shared" si="154"/>
        <v>193.08333333333334</v>
      </c>
      <c r="D2334" s="11">
        <f t="shared" si="155"/>
        <v>1120.2449652057689</v>
      </c>
      <c r="E2334" s="23">
        <f t="shared" si="152"/>
        <v>1119.2716847722661</v>
      </c>
      <c r="F2334" s="23">
        <f>AlphaC*(D2334-E2334)</f>
        <v>24.332010837571261</v>
      </c>
      <c r="G2334" s="13">
        <f>Phi*EpsilonF*Botzman/10^8*J2334*((D2334+273)^4-(E2334+273)^4)</f>
        <v>417.45188361479597</v>
      </c>
      <c r="H2334" s="23">
        <f t="shared" si="153"/>
        <v>650</v>
      </c>
      <c r="I2334" s="12">
        <f>ksh*Massivete/(H2334*RhoA)*DeltaT*(F2334+G2334)</f>
        <v>6.5163232851511835E-2</v>
      </c>
      <c r="J2334" s="3">
        <f>IF(E2334&lt;=500,IF(Galva=Oui,0.35,0.7),0.7)</f>
        <v>0.7</v>
      </c>
    </row>
    <row r="2335" spans="2:10" x14ac:dyDescent="0.25">
      <c r="B2335" s="3">
        <f>B2334+DeltaT</f>
        <v>11590</v>
      </c>
      <c r="C2335" s="13">
        <f t="shared" si="154"/>
        <v>193.16666666666666</v>
      </c>
      <c r="D2335" s="11">
        <f t="shared" si="155"/>
        <v>1120.3095756406885</v>
      </c>
      <c r="E2335" s="23">
        <f t="shared" si="152"/>
        <v>1119.3368480051176</v>
      </c>
      <c r="F2335" s="23">
        <f>AlphaC*(D2335-E2335)</f>
        <v>24.318190889272273</v>
      </c>
      <c r="G2335" s="13">
        <f>Phi*EpsilonF*Botzman/10^8*J2335*((D2335+273)^4-(E2335+273)^4)</f>
        <v>417.27309698738696</v>
      </c>
      <c r="H2335" s="23">
        <f t="shared" si="153"/>
        <v>650</v>
      </c>
      <c r="I2335" s="12">
        <f>ksh*Massivete/(H2335*RhoA)*DeltaT*(F2335+G2335)</f>
        <v>6.513482333432663E-2</v>
      </c>
      <c r="J2335" s="3">
        <f>IF(E2335&lt;=500,IF(Galva=Oui,0.35,0.7),0.7)</f>
        <v>0.7</v>
      </c>
    </row>
    <row r="2336" spans="2:10" x14ac:dyDescent="0.25">
      <c r="B2336" s="3">
        <f>B2335+DeltaT</f>
        <v>11595</v>
      </c>
      <c r="C2336" s="13">
        <f t="shared" si="154"/>
        <v>193.25</v>
      </c>
      <c r="D2336" s="11">
        <f t="shared" si="155"/>
        <v>1120.3741582262817</v>
      </c>
      <c r="E2336" s="23">
        <f t="shared" si="152"/>
        <v>1119.401982828452</v>
      </c>
      <c r="F2336" s="23">
        <f>AlphaC*(D2336-E2336)</f>
        <v>24.304384945742186</v>
      </c>
      <c r="G2336" s="13">
        <f>Phi*EpsilonF*Botzman/10^8*J2336*((D2336+273)^4-(E2336+273)^4)</f>
        <v>417.09446458008534</v>
      </c>
      <c r="H2336" s="23">
        <f t="shared" si="153"/>
        <v>650</v>
      </c>
      <c r="I2336" s="12">
        <f>ksh*Massivete/(H2336*RhoA)*DeltaT*(F2336+G2336)</f>
        <v>6.5106438630351954E-2</v>
      </c>
      <c r="J2336" s="3">
        <f>IF(E2336&lt;=500,IF(Galva=Oui,0.35,0.7),0.7)</f>
        <v>0.7</v>
      </c>
    </row>
    <row r="2337" spans="2:10" x14ac:dyDescent="0.25">
      <c r="B2337" s="3">
        <f>B2336+DeltaT</f>
        <v>11600</v>
      </c>
      <c r="C2337" s="13">
        <f t="shared" si="154"/>
        <v>193.33333333333334</v>
      </c>
      <c r="D2337" s="11">
        <f t="shared" si="155"/>
        <v>1120.4387129865465</v>
      </c>
      <c r="E2337" s="23">
        <f t="shared" si="152"/>
        <v>1119.4670892670824</v>
      </c>
      <c r="F2337" s="23">
        <f>AlphaC*(D2337-E2337)</f>
        <v>24.290592986602633</v>
      </c>
      <c r="G2337" s="13">
        <f>Phi*EpsilonF*Botzman/10^8*J2337*((D2337+273)^4-(E2337+273)^4)</f>
        <v>416.91598619289078</v>
      </c>
      <c r="H2337" s="23">
        <f t="shared" si="153"/>
        <v>650</v>
      </c>
      <c r="I2337" s="12">
        <f>ksh*Massivete/(H2337*RhoA)*DeltaT*(F2337+G2337)</f>
        <v>6.5078078707081904E-2</v>
      </c>
      <c r="J2337" s="3">
        <f>IF(E2337&lt;=500,IF(Galva=Oui,0.35,0.7),0.7)</f>
        <v>0.7</v>
      </c>
    </row>
    <row r="2338" spans="2:10" x14ac:dyDescent="0.25">
      <c r="B2338" s="3">
        <f>B2337+DeltaT</f>
        <v>11605</v>
      </c>
      <c r="C2338" s="13">
        <f t="shared" si="154"/>
        <v>193.41666666666666</v>
      </c>
      <c r="D2338" s="11">
        <f t="shared" si="155"/>
        <v>1120.5032399454492</v>
      </c>
      <c r="E2338" s="23">
        <f t="shared" si="152"/>
        <v>1119.5321673457895</v>
      </c>
      <c r="F2338" s="23">
        <f>AlphaC*(D2338-E2338)</f>
        <v>24.276814991492301</v>
      </c>
      <c r="G2338" s="13">
        <f>Phi*EpsilonF*Botzman/10^8*J2338*((D2338+273)^4-(E2338+273)^4)</f>
        <v>416.73766162553153</v>
      </c>
      <c r="H2338" s="23">
        <f t="shared" si="153"/>
        <v>650</v>
      </c>
      <c r="I2338" s="12">
        <f>ksh*Massivete/(H2338*RhoA)*DeltaT*(F2338+G2338)</f>
        <v>6.5049743531973056E-2</v>
      </c>
      <c r="J2338" s="3">
        <f>IF(E2338&lt;=500,IF(Galva=Oui,0.35,0.7),0.7)</f>
        <v>0.7</v>
      </c>
    </row>
    <row r="2339" spans="2:10" x14ac:dyDescent="0.25">
      <c r="B2339" s="3">
        <f>B2338+DeltaT</f>
        <v>11610</v>
      </c>
      <c r="C2339" s="13">
        <f t="shared" si="154"/>
        <v>193.5</v>
      </c>
      <c r="D2339" s="11">
        <f t="shared" si="155"/>
        <v>1120.567739126926</v>
      </c>
      <c r="E2339" s="23">
        <f t="shared" si="152"/>
        <v>1119.5972170893215</v>
      </c>
      <c r="F2339" s="23">
        <f>AlphaC*(D2339-E2339)</f>
        <v>24.263050940112407</v>
      </c>
      <c r="G2339" s="13">
        <f>Phi*EpsilonF*Botzman/10^8*J2339*((D2339+273)^4-(E2339+273)^4)</f>
        <v>416.55949067862736</v>
      </c>
      <c r="H2339" s="23">
        <f t="shared" si="153"/>
        <v>650</v>
      </c>
      <c r="I2339" s="12">
        <f>ksh*Massivete/(H2339*RhoA)*DeltaT*(F2339+G2339)</f>
        <v>6.5021433072622689E-2</v>
      </c>
      <c r="J2339" s="3">
        <f>IF(E2339&lt;=500,IF(Galva=Oui,0.35,0.7),0.7)</f>
        <v>0.7</v>
      </c>
    </row>
    <row r="2340" spans="2:10" x14ac:dyDescent="0.25">
      <c r="B2340" s="3">
        <f>B2339+DeltaT</f>
        <v>11615</v>
      </c>
      <c r="C2340" s="13">
        <f t="shared" si="154"/>
        <v>193.58333333333334</v>
      </c>
      <c r="D2340" s="11">
        <f t="shared" si="155"/>
        <v>1120.6322105548813</v>
      </c>
      <c r="E2340" s="23">
        <f t="shared" si="152"/>
        <v>1119.6622385223941</v>
      </c>
      <c r="F2340" s="23">
        <f>AlphaC*(D2340-E2340)</f>
        <v>24.249300812181218</v>
      </c>
      <c r="G2340" s="13">
        <f>Phi*EpsilonF*Botzman/10^8*J2340*((D2340+273)^4-(E2340+273)^4)</f>
        <v>416.38147315273989</v>
      </c>
      <c r="H2340" s="23">
        <f t="shared" si="153"/>
        <v>650</v>
      </c>
      <c r="I2340" s="12">
        <f>ksh*Massivete/(H2340*RhoA)*DeltaT*(F2340+G2340)</f>
        <v>6.4993147296622047E-2</v>
      </c>
      <c r="J2340" s="3">
        <f>IF(E2340&lt;=500,IF(Galva=Oui,0.35,0.7),0.7)</f>
        <v>0.7</v>
      </c>
    </row>
    <row r="2341" spans="2:10" x14ac:dyDescent="0.25">
      <c r="B2341" s="3">
        <f>B2340+DeltaT</f>
        <v>11620</v>
      </c>
      <c r="C2341" s="13">
        <f t="shared" si="154"/>
        <v>193.66666666666666</v>
      </c>
      <c r="D2341" s="11">
        <f t="shared" si="155"/>
        <v>1120.6966542531895</v>
      </c>
      <c r="E2341" s="23">
        <f t="shared" si="152"/>
        <v>1119.7272316696908</v>
      </c>
      <c r="F2341" s="23">
        <f>AlphaC*(D2341-E2341)</f>
        <v>24.235564587468161</v>
      </c>
      <c r="G2341" s="13">
        <f>Phi*EpsilonF*Botzman/10^8*J2341*((D2341+273)^4-(E2341+273)^4)</f>
        <v>416.20360884908968</v>
      </c>
      <c r="H2341" s="23">
        <f t="shared" si="153"/>
        <v>650</v>
      </c>
      <c r="I2341" s="12">
        <f>ksh*Massivete/(H2341*RhoA)*DeltaT*(F2341+G2341)</f>
        <v>6.4964886171667083E-2</v>
      </c>
      <c r="J2341" s="3">
        <f>IF(E2341&lt;=500,IF(Galva=Oui,0.35,0.7),0.7)</f>
        <v>0.7</v>
      </c>
    </row>
    <row r="2342" spans="2:10" x14ac:dyDescent="0.25">
      <c r="B2342" s="3">
        <f>B2341+DeltaT</f>
        <v>11625</v>
      </c>
      <c r="C2342" s="13">
        <f t="shared" si="154"/>
        <v>193.75</v>
      </c>
      <c r="D2342" s="11">
        <f t="shared" si="155"/>
        <v>1120.7610702456936</v>
      </c>
      <c r="E2342" s="23">
        <f t="shared" si="152"/>
        <v>1119.7921965558626</v>
      </c>
      <c r="F2342" s="23">
        <f>AlphaC*(D2342-E2342)</f>
        <v>24.22184224577677</v>
      </c>
      <c r="G2342" s="13">
        <f>Phi*EpsilonF*Botzman/10^8*J2342*((D2342+273)^4-(E2342+273)^4)</f>
        <v>416.02589756903285</v>
      </c>
      <c r="H2342" s="23">
        <f t="shared" si="153"/>
        <v>650</v>
      </c>
      <c r="I2342" s="12">
        <f>ksh*Massivete/(H2342*RhoA)*DeltaT*(F2342+G2342)</f>
        <v>6.4936649665478796E-2</v>
      </c>
      <c r="J2342" s="3">
        <f>IF(E2342&lt;=500,IF(Galva=Oui,0.35,0.7),0.7)</f>
        <v>0.7</v>
      </c>
    </row>
    <row r="2343" spans="2:10" x14ac:dyDescent="0.25">
      <c r="B2343" s="3">
        <f>B2342+DeltaT</f>
        <v>11630</v>
      </c>
      <c r="C2343" s="13">
        <f t="shared" si="154"/>
        <v>193.83333333333334</v>
      </c>
      <c r="D2343" s="11">
        <f t="shared" si="155"/>
        <v>1120.8254585562061</v>
      </c>
      <c r="E2343" s="23">
        <f t="shared" si="152"/>
        <v>1119.857133205528</v>
      </c>
      <c r="F2343" s="23">
        <f>AlphaC*(D2343-E2343)</f>
        <v>24.208133766950368</v>
      </c>
      <c r="G2343" s="13">
        <f>Phi*EpsilonF*Botzman/10^8*J2343*((D2343+273)^4-(E2343+273)^4)</f>
        <v>415.8483391143327</v>
      </c>
      <c r="H2343" s="23">
        <f t="shared" si="153"/>
        <v>650</v>
      </c>
      <c r="I2343" s="12">
        <f>ksh*Massivete/(H2343*RhoA)*DeltaT*(F2343+G2343)</f>
        <v>6.4908437745844122E-2</v>
      </c>
      <c r="J2343" s="3">
        <f>IF(E2343&lt;=500,IF(Galva=Oui,0.35,0.7),0.7)</f>
        <v>0.7</v>
      </c>
    </row>
    <row r="2344" spans="2:10" x14ac:dyDescent="0.25">
      <c r="B2344" s="3">
        <f>B2343+DeltaT</f>
        <v>11635</v>
      </c>
      <c r="C2344" s="13">
        <f t="shared" si="154"/>
        <v>193.91666666666666</v>
      </c>
      <c r="D2344" s="11">
        <f t="shared" si="155"/>
        <v>1120.8898192085087</v>
      </c>
      <c r="E2344" s="23">
        <f t="shared" si="152"/>
        <v>1119.9220416432738</v>
      </c>
      <c r="F2344" s="23">
        <f>AlphaC*(D2344-E2344)</f>
        <v>24.19443913087207</v>
      </c>
      <c r="G2344" s="13">
        <f>Phi*EpsilonF*Botzman/10^8*J2344*((D2344+273)^4-(E2344+273)^4)</f>
        <v>415.67093328721751</v>
      </c>
      <c r="H2344" s="23">
        <f t="shared" si="153"/>
        <v>650</v>
      </c>
      <c r="I2344" s="12">
        <f>ksh*Massivete/(H2344*RhoA)*DeltaT*(F2344+G2344)</f>
        <v>6.4880250380624421E-2</v>
      </c>
      <c r="J2344" s="3">
        <f>IF(E2344&lt;=500,IF(Galva=Oui,0.35,0.7),0.7)</f>
        <v>0.7</v>
      </c>
    </row>
    <row r="2345" spans="2:10" x14ac:dyDescent="0.25">
      <c r="B2345" s="3">
        <f>B2344+DeltaT</f>
        <v>11640</v>
      </c>
      <c r="C2345" s="13">
        <f t="shared" si="154"/>
        <v>194</v>
      </c>
      <c r="D2345" s="11">
        <f t="shared" si="155"/>
        <v>1120.9541522263526</v>
      </c>
      <c r="E2345" s="23">
        <f t="shared" si="152"/>
        <v>1119.9869218936544</v>
      </c>
      <c r="F2345" s="23">
        <f>AlphaC*(D2345-E2345)</f>
        <v>24.18075831745341</v>
      </c>
      <c r="G2345" s="13">
        <f>Phi*EpsilonF*Botzman/10^8*J2345*((D2345+273)^4-(E2345+273)^4)</f>
        <v>415.49367989001234</v>
      </c>
      <c r="H2345" s="23">
        <f t="shared" si="153"/>
        <v>650</v>
      </c>
      <c r="I2345" s="12">
        <f>ksh*Massivete/(H2345*RhoA)*DeltaT*(F2345+G2345)</f>
        <v>6.4852087537699554E-2</v>
      </c>
      <c r="J2345" s="3">
        <f>IF(E2345&lt;=500,IF(Galva=Oui,0.35,0.7),0.7)</f>
        <v>0.7</v>
      </c>
    </row>
    <row r="2346" spans="2:10" x14ac:dyDescent="0.25">
      <c r="B2346" s="3">
        <f>B2345+DeltaT</f>
        <v>11645</v>
      </c>
      <c r="C2346" s="13">
        <f t="shared" si="154"/>
        <v>194.08333333333334</v>
      </c>
      <c r="D2346" s="11">
        <f t="shared" si="155"/>
        <v>1121.0184576334584</v>
      </c>
      <c r="E2346" s="23">
        <f t="shared" si="152"/>
        <v>1120.0517739811921</v>
      </c>
      <c r="F2346" s="23">
        <f>AlphaC*(D2346-E2346)</f>
        <v>24.167091306657085</v>
      </c>
      <c r="G2346" s="13">
        <f>Phi*EpsilonF*Botzman/10^8*J2346*((D2346+273)^4-(E2346+273)^4)</f>
        <v>415.31657872554644</v>
      </c>
      <c r="H2346" s="23">
        <f t="shared" si="153"/>
        <v>650</v>
      </c>
      <c r="I2346" s="12">
        <f>ksh*Massivete/(H2346*RhoA)*DeltaT*(F2346+G2346)</f>
        <v>6.482394918503126E-2</v>
      </c>
      <c r="J2346" s="3">
        <f>IF(E2346&lt;=500,IF(Galva=Oui,0.35,0.7),0.7)</f>
        <v>0.7</v>
      </c>
    </row>
    <row r="2347" spans="2:10" x14ac:dyDescent="0.25">
      <c r="B2347" s="3">
        <f>B2346+DeltaT</f>
        <v>11650</v>
      </c>
      <c r="C2347" s="13">
        <f t="shared" si="154"/>
        <v>194.16666666666666</v>
      </c>
      <c r="D2347" s="11">
        <f t="shared" si="155"/>
        <v>1121.0827354535161</v>
      </c>
      <c r="E2347" s="23">
        <f t="shared" si="152"/>
        <v>1120.1165979303771</v>
      </c>
      <c r="F2347" s="23">
        <f>AlphaC*(D2347-E2347)</f>
        <v>24.15343807847421</v>
      </c>
      <c r="G2347" s="13">
        <f>Phi*EpsilonF*Botzman/10^8*J2347*((D2347+273)^4-(E2347+273)^4)</f>
        <v>415.13962959701701</v>
      </c>
      <c r="H2347" s="23">
        <f t="shared" si="153"/>
        <v>650</v>
      </c>
      <c r="I2347" s="12">
        <f>ksh*Massivete/(H2347*RhoA)*DeltaT*(F2347+G2347)</f>
        <v>6.4795835290639786E-2</v>
      </c>
      <c r="J2347" s="3">
        <f>IF(E2347&lt;=500,IF(Galva=Oui,0.35,0.7),0.7)</f>
        <v>0.7</v>
      </c>
    </row>
    <row r="2348" spans="2:10" x14ac:dyDescent="0.25">
      <c r="B2348" s="3">
        <f>B2347+DeltaT</f>
        <v>11655</v>
      </c>
      <c r="C2348" s="13">
        <f t="shared" si="154"/>
        <v>194.25</v>
      </c>
      <c r="D2348" s="11">
        <f t="shared" si="155"/>
        <v>1121.1469857101852</v>
      </c>
      <c r="E2348" s="23">
        <f t="shared" si="152"/>
        <v>1120.1813937656677</v>
      </c>
      <c r="F2348" s="23">
        <f>AlphaC*(D2348-E2348)</f>
        <v>24.139798612935692</v>
      </c>
      <c r="G2348" s="13">
        <f>Phi*EpsilonF*Botzman/10^8*J2348*((D2348+273)^4-(E2348+273)^4)</f>
        <v>414.96283230775697</v>
      </c>
      <c r="H2348" s="23">
        <f t="shared" si="153"/>
        <v>650</v>
      </c>
      <c r="I2348" s="12">
        <f>ksh*Massivete/(H2348*RhoA)*DeltaT*(F2348+G2348)</f>
        <v>6.4767745822571221E-2</v>
      </c>
      <c r="J2348" s="3">
        <f>IF(E2348&lt;=500,IF(Galva=Oui,0.35,0.7),0.7)</f>
        <v>0.7</v>
      </c>
    </row>
    <row r="2349" spans="2:10" x14ac:dyDescent="0.25">
      <c r="B2349" s="3">
        <f>B2348+DeltaT</f>
        <v>11660</v>
      </c>
      <c r="C2349" s="13">
        <f t="shared" si="154"/>
        <v>194.33333333333334</v>
      </c>
      <c r="D2349" s="11">
        <f t="shared" si="155"/>
        <v>1121.2112084270952</v>
      </c>
      <c r="E2349" s="23">
        <f t="shared" si="152"/>
        <v>1120.2461615114903</v>
      </c>
      <c r="F2349" s="23">
        <f>AlphaC*(D2349-E2349)</f>
        <v>24.126172890123598</v>
      </c>
      <c r="G2349" s="13">
        <f>Phi*EpsilonF*Botzman/10^8*J2349*((D2349+273)^4-(E2349+273)^4)</f>
        <v>414.78618666191329</v>
      </c>
      <c r="H2349" s="23">
        <f t="shared" si="153"/>
        <v>650</v>
      </c>
      <c r="I2349" s="12">
        <f>ksh*Massivete/(H2349*RhoA)*DeltaT*(F2349+G2349)</f>
        <v>6.4739680748999315E-2</v>
      </c>
      <c r="J2349" s="3">
        <f>IF(E2349&lt;=500,IF(Galva=Oui,0.35,0.7),0.7)</f>
        <v>0.7</v>
      </c>
    </row>
    <row r="2350" spans="2:10" x14ac:dyDescent="0.25">
      <c r="B2350" s="3">
        <f>B2349+DeltaT</f>
        <v>11665</v>
      </c>
      <c r="C2350" s="13">
        <f t="shared" si="154"/>
        <v>194.41666666666666</v>
      </c>
      <c r="D2350" s="11">
        <f t="shared" si="155"/>
        <v>1121.2754036278443</v>
      </c>
      <c r="E2350" s="23">
        <f t="shared" si="152"/>
        <v>1120.3109011922393</v>
      </c>
      <c r="F2350" s="23">
        <f>AlphaC*(D2350-E2350)</f>
        <v>24.112560890125678</v>
      </c>
      <c r="G2350" s="13">
        <f>Phi*EpsilonF*Botzman/10^8*J2350*((D2350+273)^4-(E2350+273)^4)</f>
        <v>414.60969246322583</v>
      </c>
      <c r="H2350" s="23">
        <f t="shared" si="153"/>
        <v>650</v>
      </c>
      <c r="I2350" s="12">
        <f>ksh*Massivete/(H2350*RhoA)*DeltaT*(F2350+G2350)</f>
        <v>6.4711640038038559E-2</v>
      </c>
      <c r="J2350" s="3">
        <f>IF(E2350&lt;=500,IF(Galva=Oui,0.35,0.7),0.7)</f>
        <v>0.7</v>
      </c>
    </row>
    <row r="2351" spans="2:10" x14ac:dyDescent="0.25">
      <c r="B2351" s="3">
        <f>B2350+DeltaT</f>
        <v>11670</v>
      </c>
      <c r="C2351" s="13">
        <f t="shared" si="154"/>
        <v>194.5</v>
      </c>
      <c r="D2351" s="11">
        <f t="shared" si="155"/>
        <v>1121.3395713360014</v>
      </c>
      <c r="E2351" s="23">
        <f t="shared" si="152"/>
        <v>1120.3756128322773</v>
      </c>
      <c r="F2351" s="23">
        <f>AlphaC*(D2351-E2351)</f>
        <v>24.098962593103579</v>
      </c>
      <c r="G2351" s="13">
        <f>Phi*EpsilonF*Botzman/10^8*J2351*((D2351+273)^4-(E2351+273)^4)</f>
        <v>414.43334951653929</v>
      </c>
      <c r="H2351" s="23">
        <f t="shared" si="153"/>
        <v>650</v>
      </c>
      <c r="I2351" s="12">
        <f>ksh*Massivete/(H2351*RhoA)*DeltaT*(F2351+G2351)</f>
        <v>6.4683623657977377E-2</v>
      </c>
      <c r="J2351" s="3">
        <f>IF(E2351&lt;=500,IF(Galva=Oui,0.35,0.7),0.7)</f>
        <v>0.7</v>
      </c>
    </row>
    <row r="2352" spans="2:10" x14ac:dyDescent="0.25">
      <c r="B2352" s="3">
        <f>B2351+DeltaT</f>
        <v>11675</v>
      </c>
      <c r="C2352" s="13">
        <f t="shared" si="154"/>
        <v>194.58333333333334</v>
      </c>
      <c r="D2352" s="11">
        <f t="shared" si="155"/>
        <v>1121.4037115751044</v>
      </c>
      <c r="E2352" s="23">
        <f t="shared" si="152"/>
        <v>1120.4402964559354</v>
      </c>
      <c r="F2352" s="23">
        <f>AlphaC*(D2352-E2352)</f>
        <v>24.085377979224631</v>
      </c>
      <c r="G2352" s="13">
        <f>Phi*EpsilonF*Botzman/10^8*J2352*((D2352+273)^4-(E2352+273)^4)</f>
        <v>414.25715762638805</v>
      </c>
      <c r="H2352" s="23">
        <f t="shared" si="153"/>
        <v>650</v>
      </c>
      <c r="I2352" s="12">
        <f>ksh*Massivete/(H2352*RhoA)*DeltaT*(F2352+G2352)</f>
        <v>6.4655631577059183E-2</v>
      </c>
      <c r="J2352" s="3">
        <f>IF(E2352&lt;=500,IF(Galva=Oui,0.35,0.7),0.7)</f>
        <v>0.7</v>
      </c>
    </row>
    <row r="2353" spans="2:10" x14ac:dyDescent="0.25">
      <c r="B2353" s="3">
        <f>B2352+DeltaT</f>
        <v>11680</v>
      </c>
      <c r="C2353" s="13">
        <f t="shared" si="154"/>
        <v>194.66666666666666</v>
      </c>
      <c r="D2353" s="11">
        <f t="shared" si="155"/>
        <v>1121.4678243686615</v>
      </c>
      <c r="E2353" s="23">
        <f t="shared" si="152"/>
        <v>1120.5049520875125</v>
      </c>
      <c r="F2353" s="23">
        <f>AlphaC*(D2353-E2353)</f>
        <v>24.071807028724379</v>
      </c>
      <c r="G2353" s="13">
        <f>Phi*EpsilonF*Botzman/10^8*J2353*((D2353+273)^4-(E2353+273)^4)</f>
        <v>414.08111659821748</v>
      </c>
      <c r="H2353" s="23">
        <f t="shared" si="153"/>
        <v>650</v>
      </c>
      <c r="I2353" s="12">
        <f>ksh*Massivete/(H2353*RhoA)*DeltaT*(F2353+G2353)</f>
        <v>6.4627663763671864E-2</v>
      </c>
      <c r="J2353" s="3">
        <f>IF(E2353&lt;=500,IF(Galva=Oui,0.35,0.7),0.7)</f>
        <v>0.7</v>
      </c>
    </row>
    <row r="2354" spans="2:10" x14ac:dyDescent="0.25">
      <c r="B2354" s="3">
        <f>B2353+DeltaT</f>
        <v>11685</v>
      </c>
      <c r="C2354" s="13">
        <f t="shared" si="154"/>
        <v>194.75</v>
      </c>
      <c r="D2354" s="11">
        <f t="shared" si="155"/>
        <v>1121.5319097401502</v>
      </c>
      <c r="E2354" s="23">
        <f t="shared" si="152"/>
        <v>1120.5695797512763</v>
      </c>
      <c r="F2354" s="23">
        <f>AlphaC*(D2354-E2354)</f>
        <v>24.058249721849734</v>
      </c>
      <c r="G2354" s="13">
        <f>Phi*EpsilonF*Botzman/10^8*J2354*((D2354+273)^4-(E2354+273)^4)</f>
        <v>413.90522623735671</v>
      </c>
      <c r="H2354" s="23">
        <f t="shared" si="153"/>
        <v>650</v>
      </c>
      <c r="I2354" s="12">
        <f>ksh*Massivete/(H2354*RhoA)*DeltaT*(F2354+G2354)</f>
        <v>6.4599720186187856E-2</v>
      </c>
      <c r="J2354" s="3">
        <f>IF(E2354&lt;=500,IF(Galva=Oui,0.35,0.7),0.7)</f>
        <v>0.7</v>
      </c>
    </row>
    <row r="2355" spans="2:10" x14ac:dyDescent="0.25">
      <c r="B2355" s="3">
        <f>B2354+DeltaT</f>
        <v>11690</v>
      </c>
      <c r="C2355" s="13">
        <f t="shared" si="154"/>
        <v>194.83333333333334</v>
      </c>
      <c r="D2355" s="11">
        <f t="shared" si="155"/>
        <v>1121.5959677130186</v>
      </c>
      <c r="E2355" s="23">
        <f t="shared" si="152"/>
        <v>1120.6341794714624</v>
      </c>
      <c r="F2355" s="23">
        <f>AlphaC*(D2355-E2355)</f>
        <v>24.044706038904451</v>
      </c>
      <c r="G2355" s="13">
        <f>Phi*EpsilonF*Botzman/10^8*J2355*((D2355+273)^4-(E2355+273)^4)</f>
        <v>413.72948634979372</v>
      </c>
      <c r="H2355" s="23">
        <f t="shared" si="153"/>
        <v>650</v>
      </c>
      <c r="I2355" s="12">
        <f>ksh*Massivete/(H2355*RhoA)*DeltaT*(F2355+G2355)</f>
        <v>6.4571800813085126E-2</v>
      </c>
      <c r="J2355" s="3">
        <f>IF(E2355&lt;=500,IF(Galva=Oui,0.35,0.7),0.7)</f>
        <v>0.7</v>
      </c>
    </row>
    <row r="2356" spans="2:10" x14ac:dyDescent="0.25">
      <c r="B2356" s="3">
        <f>B2355+DeltaT</f>
        <v>11695</v>
      </c>
      <c r="C2356" s="13">
        <f t="shared" si="154"/>
        <v>194.91666666666666</v>
      </c>
      <c r="D2356" s="11">
        <f t="shared" si="155"/>
        <v>1121.6599983106839</v>
      </c>
      <c r="E2356" s="23">
        <f t="shared" ref="E2356:E2419" si="156">E2355+I2355</f>
        <v>1120.6987512722756</v>
      </c>
      <c r="F2356" s="23">
        <f>AlphaC*(D2356-E2356)</f>
        <v>24.031175960209339</v>
      </c>
      <c r="G2356" s="13">
        <f>Phi*EpsilonF*Botzman/10^8*J2356*((D2356+273)^4-(E2356+273)^4)</f>
        <v>413.55389674153582</v>
      </c>
      <c r="H2356" s="23">
        <f t="shared" ref="H2356:H2419" si="157">IF(E2356&lt;600,425+0.773*E2356-1.69/1000*E2356^2+2.22/1000^2*E2356^3,IF(E2356&lt;735,666+13002/(738-E2356),IF(E2356&lt;900,545+17820/(E2356-731),650)))</f>
        <v>650</v>
      </c>
      <c r="I2356" s="12">
        <f>ksh*Massivete/(H2356*RhoA)*DeltaT*(F2356+G2356)</f>
        <v>6.4543905612847008E-2</v>
      </c>
      <c r="J2356" s="3">
        <f>IF(E2356&lt;=500,IF(Galva=Oui,0.35,0.7),0.7)</f>
        <v>0.7</v>
      </c>
    </row>
    <row r="2357" spans="2:10" x14ac:dyDescent="0.25">
      <c r="B2357" s="3">
        <f>B2356+DeltaT</f>
        <v>11700</v>
      </c>
      <c r="C2357" s="13">
        <f t="shared" si="154"/>
        <v>195</v>
      </c>
      <c r="D2357" s="11">
        <f t="shared" si="155"/>
        <v>1121.7240015565339</v>
      </c>
      <c r="E2357" s="23">
        <f t="shared" si="156"/>
        <v>1120.7632951778885</v>
      </c>
      <c r="F2357" s="23">
        <f>AlphaC*(D2357-E2357)</f>
        <v>24.017659466136365</v>
      </c>
      <c r="G2357" s="13">
        <f>Phi*EpsilonF*Botzman/10^8*J2357*((D2357+273)^4-(E2357+273)^4)</f>
        <v>413.37845721919126</v>
      </c>
      <c r="H2357" s="23">
        <f t="shared" si="157"/>
        <v>650</v>
      </c>
      <c r="I2357" s="12">
        <f>ksh*Massivete/(H2357*RhoA)*DeltaT*(F2357+G2357)</f>
        <v>6.4516034554053039E-2</v>
      </c>
      <c r="J2357" s="3">
        <f>IF(E2357&lt;=500,IF(Galva=Oui,0.35,0.7),0.7)</f>
        <v>0.7</v>
      </c>
    </row>
    <row r="2358" spans="2:10" x14ac:dyDescent="0.25">
      <c r="B2358" s="3">
        <f>B2357+DeltaT</f>
        <v>11705</v>
      </c>
      <c r="C2358" s="13">
        <f t="shared" si="154"/>
        <v>195.08333333333334</v>
      </c>
      <c r="D2358" s="11">
        <f t="shared" si="155"/>
        <v>1121.7879774739263</v>
      </c>
      <c r="E2358" s="23">
        <f t="shared" si="156"/>
        <v>1120.8278112124426</v>
      </c>
      <c r="F2358" s="23">
        <f>AlphaC*(D2358-E2358)</f>
        <v>24.004156537091603</v>
      </c>
      <c r="G2358" s="13">
        <f>Phi*EpsilonF*Botzman/10^8*J2358*((D2358+273)^4-(E2358+273)^4)</f>
        <v>413.20316758956193</v>
      </c>
      <c r="H2358" s="23">
        <f t="shared" si="157"/>
        <v>650</v>
      </c>
      <c r="I2358" s="12">
        <f>ksh*Massivete/(H2358*RhoA)*DeltaT*(F2358+G2358)</f>
        <v>6.4488187605316341E-2</v>
      </c>
      <c r="J2358" s="3">
        <f>IF(E2358&lt;=500,IF(Galva=Oui,0.35,0.7),0.7)</f>
        <v>0.7</v>
      </c>
    </row>
    <row r="2359" spans="2:10" x14ac:dyDescent="0.25">
      <c r="B2359" s="3">
        <f>B2358+DeltaT</f>
        <v>11710</v>
      </c>
      <c r="C2359" s="13">
        <f t="shared" si="154"/>
        <v>195.16666666666666</v>
      </c>
      <c r="D2359" s="11">
        <f t="shared" si="155"/>
        <v>1121.8519260861888</v>
      </c>
      <c r="E2359" s="23">
        <f t="shared" si="156"/>
        <v>1120.8922994000479</v>
      </c>
      <c r="F2359" s="23">
        <f>AlphaC*(D2359-E2359)</f>
        <v>23.990667153520917</v>
      </c>
      <c r="G2359" s="13">
        <f>Phi*EpsilonF*Botzman/10^8*J2359*((D2359+273)^4-(E2359+273)^4)</f>
        <v>413.0280276599924</v>
      </c>
      <c r="H2359" s="23">
        <f t="shared" si="157"/>
        <v>650</v>
      </c>
      <c r="I2359" s="12">
        <f>ksh*Massivete/(H2359*RhoA)*DeltaT*(F2359+G2359)</f>
        <v>6.4460364735335951E-2</v>
      </c>
      <c r="J2359" s="3">
        <f>IF(E2359&lt;=500,IF(Galva=Oui,0.35,0.7),0.7)</f>
        <v>0.7</v>
      </c>
    </row>
    <row r="2360" spans="2:10" x14ac:dyDescent="0.25">
      <c r="B2360" s="3">
        <f>B2359+DeltaT</f>
        <v>11715</v>
      </c>
      <c r="C2360" s="13">
        <f t="shared" si="154"/>
        <v>195.25</v>
      </c>
      <c r="D2360" s="11">
        <f t="shared" si="155"/>
        <v>1121.9158474166195</v>
      </c>
      <c r="E2360" s="23">
        <f t="shared" si="156"/>
        <v>1120.9567597647833</v>
      </c>
      <c r="F2360" s="23">
        <f>AlphaC*(D2360-E2360)</f>
        <v>23.977191295904277</v>
      </c>
      <c r="G2360" s="13">
        <f>Phi*EpsilonF*Botzman/10^8*J2360*((D2360+273)^4-(E2360+273)^4)</f>
        <v>412.85303723786609</v>
      </c>
      <c r="H2360" s="23">
        <f t="shared" si="157"/>
        <v>650</v>
      </c>
      <c r="I2360" s="12">
        <f>ksh*Massivete/(H2360*RhoA)*DeltaT*(F2360+G2360)</f>
        <v>6.4432565912821677E-2</v>
      </c>
      <c r="J2360" s="3">
        <f>IF(E2360&lt;=500,IF(Galva=Oui,0.35,0.7),0.7)</f>
        <v>0.7</v>
      </c>
    </row>
    <row r="2361" spans="2:10" x14ac:dyDescent="0.25">
      <c r="B2361" s="3">
        <f>B2360+DeltaT</f>
        <v>11720</v>
      </c>
      <c r="C2361" s="13">
        <f t="shared" si="154"/>
        <v>195.33333333333334</v>
      </c>
      <c r="D2361" s="11">
        <f t="shared" si="155"/>
        <v>1121.9797414884858</v>
      </c>
      <c r="E2361" s="23">
        <f t="shared" si="156"/>
        <v>1121.0211923306961</v>
      </c>
      <c r="F2361" s="23">
        <f>AlphaC*(D2361-E2361)</f>
        <v>23.963728944744389</v>
      </c>
      <c r="G2361" s="13">
        <f>Phi*EpsilonF*Botzman/10^8*J2361*((D2361+273)^4-(E2361+273)^4)</f>
        <v>412.67819613085697</v>
      </c>
      <c r="H2361" s="23">
        <f t="shared" si="157"/>
        <v>650</v>
      </c>
      <c r="I2361" s="12">
        <f>ksh*Massivete/(H2361*RhoA)*DeltaT*(F2361+G2361)</f>
        <v>6.440479110652951E-2</v>
      </c>
      <c r="J2361" s="3">
        <f>IF(E2361&lt;=500,IF(Galva=Oui,0.35,0.7),0.7)</f>
        <v>0.7</v>
      </c>
    </row>
    <row r="2362" spans="2:10" x14ac:dyDescent="0.25">
      <c r="B2362" s="3">
        <f>B2361+DeltaT</f>
        <v>11725</v>
      </c>
      <c r="C2362" s="13">
        <f t="shared" si="154"/>
        <v>195.41666666666666</v>
      </c>
      <c r="D2362" s="11">
        <f t="shared" si="155"/>
        <v>1122.043608325027</v>
      </c>
      <c r="E2362" s="23">
        <f t="shared" si="156"/>
        <v>1121.0855971218025</v>
      </c>
      <c r="F2362" s="23">
        <f>AlphaC*(D2362-E2362)</f>
        <v>23.950280080612174</v>
      </c>
      <c r="G2362" s="13">
        <f>Phi*EpsilonF*Botzman/10^8*J2362*((D2362+273)^4-(E2362+273)^4)</f>
        <v>412.50350414747243</v>
      </c>
      <c r="H2362" s="23">
        <f t="shared" si="157"/>
        <v>650</v>
      </c>
      <c r="I2362" s="12">
        <f>ksh*Massivete/(H2362*RhoA)*DeltaT*(F2362+G2362)</f>
        <v>6.4377040285348464E-2</v>
      </c>
      <c r="J2362" s="3">
        <f>IF(E2362&lt;=500,IF(Galva=Oui,0.35,0.7),0.7)</f>
        <v>0.7</v>
      </c>
    </row>
    <row r="2363" spans="2:10" x14ac:dyDescent="0.25">
      <c r="B2363" s="3">
        <f>B2362+DeltaT</f>
        <v>11730</v>
      </c>
      <c r="C2363" s="13">
        <f t="shared" si="154"/>
        <v>195.5</v>
      </c>
      <c r="D2363" s="11">
        <f t="shared" si="155"/>
        <v>1122.1074479494512</v>
      </c>
      <c r="E2363" s="23">
        <f t="shared" si="156"/>
        <v>1121.1499741620878</v>
      </c>
      <c r="F2363" s="23">
        <f>AlphaC*(D2363-E2363)</f>
        <v>23.936844684084235</v>
      </c>
      <c r="G2363" s="13">
        <f>Phi*EpsilonF*Botzman/10^8*J2363*((D2363+273)^4-(E2363+273)^4)</f>
        <v>412.32896109600671</v>
      </c>
      <c r="H2363" s="23">
        <f t="shared" si="157"/>
        <v>650</v>
      </c>
      <c r="I2363" s="12">
        <f>ksh*Massivete/(H2363*RhoA)*DeltaT*(F2363+G2363)</f>
        <v>6.4349313418136919E-2</v>
      </c>
      <c r="J2363" s="3">
        <f>IF(E2363&lt;=500,IF(Galva=Oui,0.35,0.7),0.7)</f>
        <v>0.7</v>
      </c>
    </row>
    <row r="2364" spans="2:10" x14ac:dyDescent="0.25">
      <c r="B2364" s="3">
        <f>B2363+DeltaT</f>
        <v>11735</v>
      </c>
      <c r="C2364" s="13">
        <f t="shared" si="154"/>
        <v>195.58333333333334</v>
      </c>
      <c r="D2364" s="11">
        <f t="shared" si="155"/>
        <v>1122.1712603849373</v>
      </c>
      <c r="E2364" s="23">
        <f t="shared" si="156"/>
        <v>1121.214323475506</v>
      </c>
      <c r="F2364" s="23">
        <f>AlphaC*(D2364-E2364)</f>
        <v>23.923422735782651</v>
      </c>
      <c r="G2364" s="13">
        <f>Phi*EpsilonF*Botzman/10^8*J2364*((D2364+273)^4-(E2364+273)^4)</f>
        <v>412.15456678523844</v>
      </c>
      <c r="H2364" s="23">
        <f t="shared" si="157"/>
        <v>650</v>
      </c>
      <c r="I2364" s="12">
        <f>ksh*Massivete/(H2364*RhoA)*DeltaT*(F2364+G2364)</f>
        <v>6.4321610473831448E-2</v>
      </c>
      <c r="J2364" s="3">
        <f>IF(E2364&lt;=500,IF(Galva=Oui,0.35,0.7),0.7)</f>
        <v>0.7</v>
      </c>
    </row>
    <row r="2365" spans="2:10" x14ac:dyDescent="0.25">
      <c r="B2365" s="3">
        <f>B2364+DeltaT</f>
        <v>11740</v>
      </c>
      <c r="C2365" s="13">
        <f t="shared" si="154"/>
        <v>195.66666666666666</v>
      </c>
      <c r="D2365" s="11">
        <f t="shared" si="155"/>
        <v>1122.2350456546349</v>
      </c>
      <c r="E2365" s="23">
        <f t="shared" si="156"/>
        <v>1121.2786450859799</v>
      </c>
      <c r="F2365" s="23">
        <f>AlphaC*(D2365-E2365)</f>
        <v>23.910014216374975</v>
      </c>
      <c r="G2365" s="13">
        <f>Phi*EpsilonF*Botzman/10^8*J2365*((D2365+273)^4-(E2365+273)^4)</f>
        <v>411.98032102443085</v>
      </c>
      <c r="H2365" s="23">
        <f t="shared" si="157"/>
        <v>650</v>
      </c>
      <c r="I2365" s="12">
        <f>ksh*Massivete/(H2365*RhoA)*DeltaT*(F2365+G2365)</f>
        <v>6.4293931421446779E-2</v>
      </c>
      <c r="J2365" s="3">
        <f>IF(E2365&lt;=500,IF(Galva=Oui,0.35,0.7),0.7)</f>
        <v>0.7</v>
      </c>
    </row>
    <row r="2366" spans="2:10" x14ac:dyDescent="0.25">
      <c r="B2366" s="3">
        <f>B2365+DeltaT</f>
        <v>11745</v>
      </c>
      <c r="C2366" s="13">
        <f t="shared" si="154"/>
        <v>195.75</v>
      </c>
      <c r="D2366" s="11">
        <f t="shared" si="155"/>
        <v>1122.2988037816635</v>
      </c>
      <c r="E2366" s="23">
        <f t="shared" si="156"/>
        <v>1121.3429390174012</v>
      </c>
      <c r="F2366" s="23">
        <f>AlphaC*(D2366-E2366)</f>
        <v>23.896619106557182</v>
      </c>
      <c r="G2366" s="13">
        <f>Phi*EpsilonF*Botzman/10^8*J2366*((D2366+273)^4-(E2366+273)^4)</f>
        <v>411.806223622944</v>
      </c>
      <c r="H2366" s="23">
        <f t="shared" si="157"/>
        <v>650</v>
      </c>
      <c r="I2366" s="12">
        <f>ksh*Massivete/(H2366*RhoA)*DeltaT*(F2366+G2366)</f>
        <v>6.4266276230016128E-2</v>
      </c>
      <c r="J2366" s="3">
        <f>IF(E2366&lt;=500,IF(Galva=Oui,0.35,0.7),0.7)</f>
        <v>0.7</v>
      </c>
    </row>
    <row r="2367" spans="2:10" x14ac:dyDescent="0.25">
      <c r="B2367" s="3">
        <f>B2366+DeltaT</f>
        <v>11750</v>
      </c>
      <c r="C2367" s="13">
        <f t="shared" si="154"/>
        <v>195.83333333333334</v>
      </c>
      <c r="D2367" s="11">
        <f t="shared" si="155"/>
        <v>1122.3625347891139</v>
      </c>
      <c r="E2367" s="23">
        <f t="shared" si="156"/>
        <v>1121.4072052936313</v>
      </c>
      <c r="F2367" s="23">
        <f>AlphaC*(D2367-E2367)</f>
        <v>23.883237387065037</v>
      </c>
      <c r="G2367" s="13">
        <f>Phi*EpsilonF*Botzman/10^8*J2367*((D2367+273)^4-(E2367+273)^4)</f>
        <v>411.63227439075825</v>
      </c>
      <c r="H2367" s="23">
        <f t="shared" si="157"/>
        <v>650</v>
      </c>
      <c r="I2367" s="12">
        <f>ksh*Massivete/(H2367*RhoA)*DeltaT*(F2367+G2367)</f>
        <v>6.4238644868670078E-2</v>
      </c>
      <c r="J2367" s="3">
        <f>IF(E2367&lt;=500,IF(Galva=Oui,0.35,0.7),0.7)</f>
        <v>0.7</v>
      </c>
    </row>
    <row r="2368" spans="2:10" x14ac:dyDescent="0.25">
      <c r="B2368" s="3">
        <f>B2367+DeltaT</f>
        <v>11755</v>
      </c>
      <c r="C2368" s="13">
        <f t="shared" si="154"/>
        <v>195.91666666666666</v>
      </c>
      <c r="D2368" s="11">
        <f t="shared" si="155"/>
        <v>1122.4262387000465</v>
      </c>
      <c r="E2368" s="23">
        <f t="shared" si="156"/>
        <v>1121.4714439385</v>
      </c>
      <c r="F2368" s="23">
        <f>AlphaC*(D2368-E2368)</f>
        <v>23.869869038662728</v>
      </c>
      <c r="G2368" s="13">
        <f>Phi*EpsilonF*Botzman/10^8*J2368*((D2368+273)^4-(E2368+273)^4)</f>
        <v>411.45847313787311</v>
      </c>
      <c r="H2368" s="23">
        <f t="shared" si="157"/>
        <v>650</v>
      </c>
      <c r="I2368" s="12">
        <f>ksh*Massivete/(H2368*RhoA)*DeltaT*(F2368+G2368)</f>
        <v>6.4211037306546204E-2</v>
      </c>
      <c r="J2368" s="3">
        <f>IF(E2368&lt;=500,IF(Galva=Oui,0.35,0.7),0.7)</f>
        <v>0.7</v>
      </c>
    </row>
    <row r="2369" spans="2:10" x14ac:dyDescent="0.25">
      <c r="B2369" s="3">
        <f>B2368+DeltaT</f>
        <v>11760</v>
      </c>
      <c r="C2369" s="13">
        <f t="shared" si="154"/>
        <v>196</v>
      </c>
      <c r="D2369" s="11">
        <f t="shared" si="155"/>
        <v>1122.4899155374931</v>
      </c>
      <c r="E2369" s="23">
        <f t="shared" si="156"/>
        <v>1121.5356549758064</v>
      </c>
      <c r="F2369" s="23">
        <f>AlphaC*(D2369-E2369)</f>
        <v>23.8565140421656</v>
      </c>
      <c r="G2369" s="13">
        <f>Phi*EpsilonF*Botzman/10^8*J2369*((D2369+273)^4-(E2369+273)^4)</f>
        <v>411.28481967490836</v>
      </c>
      <c r="H2369" s="23">
        <f t="shared" si="157"/>
        <v>650</v>
      </c>
      <c r="I2369" s="12">
        <f>ksh*Massivete/(H2369*RhoA)*DeltaT*(F2369+G2369)</f>
        <v>6.4183453512881156E-2</v>
      </c>
      <c r="J2369" s="3">
        <f>IF(E2369&lt;=500,IF(Galva=Oui,0.35,0.7),0.7)</f>
        <v>0.7</v>
      </c>
    </row>
    <row r="2370" spans="2:10" x14ac:dyDescent="0.25">
      <c r="B2370" s="3">
        <f>B2369+DeltaT</f>
        <v>11765</v>
      </c>
      <c r="C2370" s="13">
        <f t="shared" si="154"/>
        <v>196.08333333333334</v>
      </c>
      <c r="D2370" s="11">
        <f t="shared" si="155"/>
        <v>1122.5535653244556</v>
      </c>
      <c r="E2370" s="23">
        <f t="shared" si="156"/>
        <v>1121.5998384293193</v>
      </c>
      <c r="F2370" s="23">
        <f>AlphaC*(D2370-E2370)</f>
        <v>23.843172378406052</v>
      </c>
      <c r="G2370" s="13">
        <f>Phi*EpsilonF*Botzman/10^8*J2370*((D2370+273)^4-(E2370+273)^4)</f>
        <v>411.11131381240637</v>
      </c>
      <c r="H2370" s="23">
        <f t="shared" si="157"/>
        <v>650</v>
      </c>
      <c r="I2370" s="12">
        <f>ksh*Massivete/(H2370*RhoA)*DeltaT*(F2370+G2370)</f>
        <v>6.4155893456902646E-2</v>
      </c>
      <c r="J2370" s="3">
        <f>IF(E2370&lt;=500,IF(Galva=Oui,0.35,0.7),0.7)</f>
        <v>0.7</v>
      </c>
    </row>
    <row r="2371" spans="2:10" x14ac:dyDescent="0.25">
      <c r="B2371" s="3">
        <f>B2370+DeltaT</f>
        <v>11770</v>
      </c>
      <c r="C2371" s="13">
        <f t="shared" si="154"/>
        <v>196.16666666666666</v>
      </c>
      <c r="D2371" s="11">
        <f t="shared" si="155"/>
        <v>1122.617188083907</v>
      </c>
      <c r="E2371" s="23">
        <f t="shared" si="156"/>
        <v>1121.6639943227763</v>
      </c>
      <c r="F2371" s="23">
        <f>AlphaC*(D2371-E2371)</f>
        <v>23.829844028267644</v>
      </c>
      <c r="G2371" s="13">
        <f>Phi*EpsilonF*Botzman/10^8*J2371*((D2371+273)^4-(E2371+273)^4)</f>
        <v>410.93795536168454</v>
      </c>
      <c r="H2371" s="23">
        <f t="shared" si="157"/>
        <v>650</v>
      </c>
      <c r="I2371" s="12">
        <f>ksh*Massivete/(H2371*RhoA)*DeltaT*(F2371+G2371)</f>
        <v>6.4128357107960277E-2</v>
      </c>
      <c r="J2371" s="3">
        <f>IF(E2371&lt;=500,IF(Galva=Oui,0.35,0.7),0.7)</f>
        <v>0.7</v>
      </c>
    </row>
    <row r="2372" spans="2:10" x14ac:dyDescent="0.25">
      <c r="B2372" s="3">
        <f>B2371+DeltaT</f>
        <v>11775</v>
      </c>
      <c r="C2372" s="13">
        <f t="shared" si="154"/>
        <v>196.25</v>
      </c>
      <c r="D2372" s="11">
        <f t="shared" si="155"/>
        <v>1122.6807838387906</v>
      </c>
      <c r="E2372" s="23">
        <f t="shared" si="156"/>
        <v>1121.7281226798841</v>
      </c>
      <c r="F2372" s="23">
        <f>AlphaC*(D2372-E2372)</f>
        <v>23.816528972662354</v>
      </c>
      <c r="G2372" s="13">
        <f>Phi*EpsilonF*Botzman/10^8*J2372*((D2372+273)^4-(E2372+273)^4)</f>
        <v>410.76474413413786</v>
      </c>
      <c r="H2372" s="23">
        <f t="shared" si="157"/>
        <v>650</v>
      </c>
      <c r="I2372" s="12">
        <f>ksh*Massivete/(H2372*RhoA)*DeltaT*(F2372+G2372)</f>
        <v>6.4100844435419274E-2</v>
      </c>
      <c r="J2372" s="3">
        <f>IF(E2372&lt;=500,IF(Galva=Oui,0.35,0.7),0.7)</f>
        <v>0.7</v>
      </c>
    </row>
    <row r="2373" spans="2:10" x14ac:dyDescent="0.25">
      <c r="B2373" s="3">
        <f>B2372+DeltaT</f>
        <v>11780</v>
      </c>
      <c r="C2373" s="13">
        <f t="shared" si="154"/>
        <v>196.33333333333334</v>
      </c>
      <c r="D2373" s="11">
        <f t="shared" si="155"/>
        <v>1122.744352612021</v>
      </c>
      <c r="E2373" s="23">
        <f t="shared" si="156"/>
        <v>1121.7922235243195</v>
      </c>
      <c r="F2373" s="23">
        <f>AlphaC*(D2373-E2373)</f>
        <v>23.803227192536269</v>
      </c>
      <c r="G2373" s="13">
        <f>Phi*EpsilonF*Botzman/10^8*J2373*((D2373+273)^4-(E2373+273)^4)</f>
        <v>410.59167994141319</v>
      </c>
      <c r="H2373" s="23">
        <f t="shared" si="157"/>
        <v>650</v>
      </c>
      <c r="I2373" s="12">
        <f>ksh*Massivete/(H2373*RhoA)*DeltaT*(F2373+G2373)</f>
        <v>6.4073355408687041E-2</v>
      </c>
      <c r="J2373" s="3">
        <f>IF(E2373&lt;=500,IF(Galva=Oui,0.35,0.7),0.7)</f>
        <v>0.7</v>
      </c>
    </row>
    <row r="2374" spans="2:10" x14ac:dyDescent="0.25">
      <c r="B2374" s="3">
        <f>B2373+DeltaT</f>
        <v>11785</v>
      </c>
      <c r="C2374" s="13">
        <f t="shared" si="154"/>
        <v>196.41666666666666</v>
      </c>
      <c r="D2374" s="11">
        <f t="shared" si="155"/>
        <v>1122.8078944264835</v>
      </c>
      <c r="E2374" s="23">
        <f t="shared" si="156"/>
        <v>1121.8562968797282</v>
      </c>
      <c r="F2374" s="23">
        <f>AlphaC*(D2374-E2374)</f>
        <v>23.78993866888095</v>
      </c>
      <c r="G2374" s="13">
        <f>Phi*EpsilonF*Botzman/10^8*J2374*((D2374+273)^4-(E2374+273)^4)</f>
        <v>410.41876259573894</v>
      </c>
      <c r="H2374" s="23">
        <f t="shared" si="157"/>
        <v>650</v>
      </c>
      <c r="I2374" s="12">
        <f>ksh*Massivete/(H2374*RhoA)*DeltaT*(F2374+G2374)</f>
        <v>6.4045889997263461E-2</v>
      </c>
      <c r="J2374" s="3">
        <f>IF(E2374&lt;=500,IF(Galva=Oui,0.35,0.7),0.7)</f>
        <v>0.7</v>
      </c>
    </row>
    <row r="2375" spans="2:10" x14ac:dyDescent="0.25">
      <c r="B2375" s="3">
        <f>B2374+DeltaT</f>
        <v>11790</v>
      </c>
      <c r="C2375" s="13">
        <f t="shared" si="154"/>
        <v>196.5</v>
      </c>
      <c r="D2375" s="11">
        <f t="shared" si="155"/>
        <v>1122.8714093050337</v>
      </c>
      <c r="E2375" s="23">
        <f t="shared" si="156"/>
        <v>1121.9203427697255</v>
      </c>
      <c r="F2375" s="23">
        <f>AlphaC*(D2375-E2375)</f>
        <v>23.77666338270501</v>
      </c>
      <c r="G2375" s="13">
        <f>Phi*EpsilonF*Botzman/10^8*J2375*((D2375+273)^4-(E2375+273)^4)</f>
        <v>410.24599190936271</v>
      </c>
      <c r="H2375" s="23">
        <f t="shared" si="157"/>
        <v>650</v>
      </c>
      <c r="I2375" s="12">
        <f>ksh*Massivete/(H2375*RhoA)*DeltaT*(F2375+G2375)</f>
        <v>6.4018448170653802E-2</v>
      </c>
      <c r="J2375" s="3">
        <f>IF(E2375&lt;=500,IF(Galva=Oui,0.35,0.7),0.7)</f>
        <v>0.7</v>
      </c>
    </row>
    <row r="2376" spans="2:10" x14ac:dyDescent="0.25">
      <c r="B2376" s="3">
        <f>B2375+DeltaT</f>
        <v>11795</v>
      </c>
      <c r="C2376" s="13">
        <f t="shared" si="154"/>
        <v>196.58333333333334</v>
      </c>
      <c r="D2376" s="11">
        <f t="shared" si="155"/>
        <v>1122.9348972704993</v>
      </c>
      <c r="E2376" s="23">
        <f t="shared" si="156"/>
        <v>1121.9843612178961</v>
      </c>
      <c r="F2376" s="23">
        <f>AlphaC*(D2376-E2376)</f>
        <v>23.763401315079591</v>
      </c>
      <c r="G2376" s="13">
        <f>Phi*EpsilonF*Botzman/10^8*J2376*((D2376+273)^4-(E2376+273)^4)</f>
        <v>410.07336769521061</v>
      </c>
      <c r="H2376" s="23">
        <f t="shared" si="157"/>
        <v>650</v>
      </c>
      <c r="I2376" s="12">
        <f>ksh*Massivete/(H2376*RhoA)*DeltaT*(F2376+G2376)</f>
        <v>6.3991029898472593E-2</v>
      </c>
      <c r="J2376" s="3">
        <f>IF(E2376&lt;=500,IF(Galva=Oui,0.35,0.7),0.7)</f>
        <v>0.7</v>
      </c>
    </row>
    <row r="2377" spans="2:10" x14ac:dyDescent="0.25">
      <c r="B2377" s="3">
        <f>B2376+DeltaT</f>
        <v>11800</v>
      </c>
      <c r="C2377" s="13">
        <f t="shared" si="154"/>
        <v>196.66666666666666</v>
      </c>
      <c r="D2377" s="11">
        <f t="shared" si="155"/>
        <v>1122.9983583456778</v>
      </c>
      <c r="E2377" s="23">
        <f t="shared" si="156"/>
        <v>1122.0483522477946</v>
      </c>
      <c r="F2377" s="23">
        <f>AlphaC*(D2377-E2377)</f>
        <v>23.750152447081518</v>
      </c>
      <c r="G2377" s="13">
        <f>Phi*EpsilonF*Botzman/10^8*J2377*((D2377+273)^4-(E2377+273)^4)</f>
        <v>409.90088976605347</v>
      </c>
      <c r="H2377" s="23">
        <f t="shared" si="157"/>
        <v>650</v>
      </c>
      <c r="I2377" s="12">
        <f>ksh*Massivete/(H2377*RhoA)*DeltaT*(F2377+G2377)</f>
        <v>6.3963635150312309E-2</v>
      </c>
      <c r="J2377" s="3">
        <f>IF(E2377&lt;=500,IF(Galva=Oui,0.35,0.7),0.7)</f>
        <v>0.7</v>
      </c>
    </row>
    <row r="2378" spans="2:10" x14ac:dyDescent="0.25">
      <c r="B2378" s="3">
        <f>B2377+DeltaT</f>
        <v>11805</v>
      </c>
      <c r="C2378" s="13">
        <f t="shared" si="154"/>
        <v>196.75</v>
      </c>
      <c r="D2378" s="11">
        <f t="shared" si="155"/>
        <v>1123.0617925533386</v>
      </c>
      <c r="E2378" s="23">
        <f t="shared" si="156"/>
        <v>1122.1123158829448</v>
      </c>
      <c r="F2378" s="23">
        <f>AlphaC*(D2378-E2378)</f>
        <v>23.736916759844462</v>
      </c>
      <c r="G2378" s="13">
        <f>Phi*EpsilonF*Botzman/10^8*J2378*((D2378+273)^4-(E2378+273)^4)</f>
        <v>409.72855793549564</v>
      </c>
      <c r="H2378" s="23">
        <f t="shared" si="157"/>
        <v>650</v>
      </c>
      <c r="I2378" s="12">
        <f>ksh*Massivete/(H2378*RhoA)*DeltaT*(F2378+G2378)</f>
        <v>6.3936263895896767E-2</v>
      </c>
      <c r="J2378" s="3">
        <f>IF(E2378&lt;=500,IF(Galva=Oui,0.35,0.7),0.7)</f>
        <v>0.7</v>
      </c>
    </row>
    <row r="2379" spans="2:10" x14ac:dyDescent="0.25">
      <c r="B2379" s="3">
        <f>B2378+DeltaT</f>
        <v>11810</v>
      </c>
      <c r="C2379" s="13">
        <f t="shared" si="154"/>
        <v>196.83333333333334</v>
      </c>
      <c r="D2379" s="11">
        <f t="shared" si="155"/>
        <v>1123.1251999162216</v>
      </c>
      <c r="E2379" s="23">
        <f t="shared" si="156"/>
        <v>1122.1762521468406</v>
      </c>
      <c r="F2379" s="23">
        <f>AlphaC*(D2379-E2379)</f>
        <v>23.723694234524828</v>
      </c>
      <c r="G2379" s="13">
        <f>Phi*EpsilonF*Botzman/10^8*J2379*((D2379+273)^4-(E2379+273)^4)</f>
        <v>409.55637201702513</v>
      </c>
      <c r="H2379" s="23">
        <f t="shared" si="157"/>
        <v>650</v>
      </c>
      <c r="I2379" s="12">
        <f>ksh*Massivete/(H2379*RhoA)*DeltaT*(F2379+G2379)</f>
        <v>6.3908916104935959E-2</v>
      </c>
      <c r="J2379" s="3">
        <f>IF(E2379&lt;=500,IF(Galva=Oui,0.35,0.7),0.7)</f>
        <v>0.7</v>
      </c>
    </row>
    <row r="2380" spans="2:10" x14ac:dyDescent="0.25">
      <c r="B2380" s="3">
        <f>B2379+DeltaT</f>
        <v>11815</v>
      </c>
      <c r="C2380" s="13">
        <f t="shared" si="154"/>
        <v>196.91666666666666</v>
      </c>
      <c r="D2380" s="11">
        <f t="shared" si="155"/>
        <v>1123.1885804570384</v>
      </c>
      <c r="E2380" s="23">
        <f t="shared" si="156"/>
        <v>1122.2401610629456</v>
      </c>
      <c r="F2380" s="23">
        <f>AlphaC*(D2380-E2380)</f>
        <v>23.710484852318814</v>
      </c>
      <c r="G2380" s="13">
        <f>Phi*EpsilonF*Botzman/10^8*J2380*((D2380+273)^4-(E2380+273)^4)</f>
        <v>409.38433182459505</v>
      </c>
      <c r="H2380" s="23">
        <f t="shared" si="157"/>
        <v>650</v>
      </c>
      <c r="I2380" s="12">
        <f>ksh*Massivete/(H2380*RhoA)*DeltaT*(F2380+G2380)</f>
        <v>6.3881591747214375E-2</v>
      </c>
      <c r="J2380" s="3">
        <f>IF(E2380&lt;=500,IF(Galva=Oui,0.35,0.7),0.7)</f>
        <v>0.7</v>
      </c>
    </row>
    <row r="2381" spans="2:10" x14ac:dyDescent="0.25">
      <c r="B2381" s="3">
        <f>B2380+DeltaT</f>
        <v>11820</v>
      </c>
      <c r="C2381" s="13">
        <f t="shared" si="154"/>
        <v>197</v>
      </c>
      <c r="D2381" s="11">
        <f t="shared" si="155"/>
        <v>1123.2519341984714</v>
      </c>
      <c r="E2381" s="23">
        <f t="shared" si="156"/>
        <v>1122.3040426546929</v>
      </c>
      <c r="F2381" s="23">
        <f>AlphaC*(D2381-E2381)</f>
        <v>23.697288594462407</v>
      </c>
      <c r="G2381" s="13">
        <f>Phi*EpsilonF*Botzman/10^8*J2381*((D2381+273)^4-(E2381+273)^4)</f>
        <v>409.21243717275934</v>
      </c>
      <c r="H2381" s="23">
        <f t="shared" si="157"/>
        <v>650</v>
      </c>
      <c r="I2381" s="12">
        <f>ksh*Massivete/(H2381*RhoA)*DeltaT*(F2381+G2381)</f>
        <v>6.3854290792610957E-2</v>
      </c>
      <c r="J2381" s="3">
        <f>IF(E2381&lt;=500,IF(Galva=Oui,0.35,0.7),0.7)</f>
        <v>0.7</v>
      </c>
    </row>
    <row r="2382" spans="2:10" x14ac:dyDescent="0.25">
      <c r="B2382" s="3">
        <f>B2381+DeltaT</f>
        <v>11825</v>
      </c>
      <c r="C2382" s="13">
        <f t="shared" si="154"/>
        <v>197.08333333333334</v>
      </c>
      <c r="D2382" s="11">
        <f t="shared" si="155"/>
        <v>1123.3152611631745</v>
      </c>
      <c r="E2382" s="23">
        <f t="shared" si="156"/>
        <v>1122.3678969454854</v>
      </c>
      <c r="F2382" s="23">
        <f>AlphaC*(D2382-E2382)</f>
        <v>23.6841054422257</v>
      </c>
      <c r="G2382" s="13">
        <f>Phi*EpsilonF*Botzman/10^8*J2382*((D2382+273)^4-(E2382+273)^4)</f>
        <v>409.04068787609123</v>
      </c>
      <c r="H2382" s="23">
        <f t="shared" si="157"/>
        <v>650</v>
      </c>
      <c r="I2382" s="12">
        <f>ksh*Massivete/(H2382*RhoA)*DeltaT*(F2382+G2382)</f>
        <v>6.3827013211012543E-2</v>
      </c>
      <c r="J2382" s="3">
        <f>IF(E2382&lt;=500,IF(Galva=Oui,0.35,0.7),0.7)</f>
        <v>0.7</v>
      </c>
    </row>
    <row r="2383" spans="2:10" x14ac:dyDescent="0.25">
      <c r="B2383" s="3">
        <f>B2382+DeltaT</f>
        <v>11830</v>
      </c>
      <c r="C2383" s="13">
        <f t="shared" si="154"/>
        <v>197.16666666666666</v>
      </c>
      <c r="D2383" s="11">
        <f t="shared" si="155"/>
        <v>1123.3785613737721</v>
      </c>
      <c r="E2383" s="23">
        <f t="shared" si="156"/>
        <v>1122.4317239586965</v>
      </c>
      <c r="F2383" s="23">
        <f>AlphaC*(D2383-E2383)</f>
        <v>23.670935376890156</v>
      </c>
      <c r="G2383" s="13">
        <f>Phi*EpsilonF*Botzman/10^8*J2383*((D2383+273)^4-(E2383+273)^4)</f>
        <v>408.86908374918335</v>
      </c>
      <c r="H2383" s="23">
        <f t="shared" si="157"/>
        <v>650</v>
      </c>
      <c r="I2383" s="12">
        <f>ksh*Massivete/(H2383*RhoA)*DeltaT*(F2383+G2383)</f>
        <v>6.3799758972310536E-2</v>
      </c>
      <c r="J2383" s="3">
        <f>IF(E2383&lt;=500,IF(Galva=Oui,0.35,0.7),0.7)</f>
        <v>0.7</v>
      </c>
    </row>
    <row r="2384" spans="2:10" x14ac:dyDescent="0.25">
      <c r="B2384" s="3">
        <f>B2383+DeltaT</f>
        <v>11835</v>
      </c>
      <c r="C2384" s="13">
        <f t="shared" si="154"/>
        <v>197.25</v>
      </c>
      <c r="D2384" s="11">
        <f t="shared" si="155"/>
        <v>1123.4418348528613</v>
      </c>
      <c r="E2384" s="23">
        <f t="shared" si="156"/>
        <v>1122.4955237176687</v>
      </c>
      <c r="F2384" s="23">
        <f>AlphaC*(D2384-E2384)</f>
        <v>23.657778379816818</v>
      </c>
      <c r="G2384" s="13">
        <f>Phi*EpsilonF*Botzman/10^8*J2384*((D2384+273)^4-(E2384+273)^4)</f>
        <v>408.6976246077719</v>
      </c>
      <c r="H2384" s="23">
        <f t="shared" si="157"/>
        <v>650</v>
      </c>
      <c r="I2384" s="12">
        <f>ksh*Massivete/(H2384*RhoA)*DeltaT*(F2384+G2384)</f>
        <v>6.3772528046576724E-2</v>
      </c>
      <c r="J2384" s="3">
        <f>IF(E2384&lt;=500,IF(Galva=Oui,0.35,0.7),0.7)</f>
        <v>0.7</v>
      </c>
    </row>
    <row r="2385" spans="2:10" x14ac:dyDescent="0.25">
      <c r="B2385" s="3">
        <f>B2384+DeltaT</f>
        <v>11840</v>
      </c>
      <c r="C2385" s="13">
        <f t="shared" si="154"/>
        <v>197.33333333333334</v>
      </c>
      <c r="D2385" s="11">
        <f t="shared" si="155"/>
        <v>1123.5050816230096</v>
      </c>
      <c r="E2385" s="23">
        <f t="shared" si="156"/>
        <v>1122.5592962457154</v>
      </c>
      <c r="F2385" s="23">
        <f>AlphaC*(D2385-E2385)</f>
        <v>23.64463443235536</v>
      </c>
      <c r="G2385" s="13">
        <f>Phi*EpsilonF*Botzman/10^8*J2385*((D2385+273)^4-(E2385+273)^4)</f>
        <v>408.52631026706956</v>
      </c>
      <c r="H2385" s="23">
        <f t="shared" si="157"/>
        <v>650</v>
      </c>
      <c r="I2385" s="12">
        <f>ksh*Massivete/(H2385*RhoA)*DeltaT*(F2385+G2385)</f>
        <v>6.3745320403803984E-2</v>
      </c>
      <c r="J2385" s="3">
        <f>IF(E2385&lt;=500,IF(Galva=Oui,0.35,0.7),0.7)</f>
        <v>0.7</v>
      </c>
    </row>
    <row r="2386" spans="2:10" x14ac:dyDescent="0.25">
      <c r="B2386" s="3">
        <f>B2385+DeltaT</f>
        <v>11845</v>
      </c>
      <c r="C2386" s="13">
        <f t="shared" ref="C2386:C2449" si="158">B2386/60</f>
        <v>197.41666666666666</v>
      </c>
      <c r="D2386" s="11">
        <f t="shared" ref="D2386:D2449" si="159">20+345*LOG(8*C2386+1,10)</f>
        <v>1123.5683017067563</v>
      </c>
      <c r="E2386" s="23">
        <f t="shared" si="156"/>
        <v>1122.6230415661191</v>
      </c>
      <c r="F2386" s="23">
        <f>AlphaC*(D2386-E2386)</f>
        <v>23.631503515929353</v>
      </c>
      <c r="G2386" s="13">
        <f>Phi*EpsilonF*Botzman/10^8*J2386*((D2386+273)^4-(E2386+273)^4)</f>
        <v>408.35514054325824</v>
      </c>
      <c r="H2386" s="23">
        <f t="shared" si="157"/>
        <v>650</v>
      </c>
      <c r="I2386" s="12">
        <f>ksh*Massivete/(H2386*RhoA)*DeltaT*(F2386+G2386)</f>
        <v>6.3718136014139087E-2</v>
      </c>
      <c r="J2386" s="3">
        <f>IF(E2386&lt;=500,IF(Galva=Oui,0.35,0.7),0.7)</f>
        <v>0.7</v>
      </c>
    </row>
    <row r="2387" spans="2:10" x14ac:dyDescent="0.25">
      <c r="B2387" s="3">
        <f>B2386+DeltaT</f>
        <v>11850</v>
      </c>
      <c r="C2387" s="13">
        <f t="shared" si="158"/>
        <v>197.5</v>
      </c>
      <c r="D2387" s="11">
        <f t="shared" si="159"/>
        <v>1123.631495126612</v>
      </c>
      <c r="E2387" s="23">
        <f t="shared" si="156"/>
        <v>1122.6867597021333</v>
      </c>
      <c r="F2387" s="23">
        <f>AlphaC*(D2387-E2387)</f>
        <v>23.618385611968051</v>
      </c>
      <c r="G2387" s="13">
        <f>Phi*EpsilonF*Botzman/10^8*J2387*((D2387+273)^4-(E2387+273)^4)</f>
        <v>408.18411525236462</v>
      </c>
      <c r="H2387" s="23">
        <f t="shared" si="157"/>
        <v>650</v>
      </c>
      <c r="I2387" s="12">
        <f>ksh*Massivete/(H2387*RhoA)*DeltaT*(F2387+G2387)</f>
        <v>6.3690974847706736E-2</v>
      </c>
      <c r="J2387" s="3">
        <f>IF(E2387&lt;=500,IF(Galva=Oui,0.35,0.7),0.7)</f>
        <v>0.7</v>
      </c>
    </row>
    <row r="2388" spans="2:10" x14ac:dyDescent="0.25">
      <c r="B2388" s="3">
        <f>B2387+DeltaT</f>
        <v>11855</v>
      </c>
      <c r="C2388" s="13">
        <f t="shared" si="158"/>
        <v>197.58333333333334</v>
      </c>
      <c r="D2388" s="11">
        <f t="shared" si="159"/>
        <v>1123.6946619050589</v>
      </c>
      <c r="E2388" s="23">
        <f t="shared" si="156"/>
        <v>1122.750450676981</v>
      </c>
      <c r="F2388" s="23">
        <f>AlphaC*(D2388-E2388)</f>
        <v>23.605280701946185</v>
      </c>
      <c r="G2388" s="13">
        <f>Phi*EpsilonF*Botzman/10^8*J2388*((D2388+273)^4-(E2388+273)^4)</f>
        <v>408.01323421090007</v>
      </c>
      <c r="H2388" s="23">
        <f t="shared" si="157"/>
        <v>650</v>
      </c>
      <c r="I2388" s="12">
        <f>ksh*Massivete/(H2388*RhoA)*DeltaT*(F2388+G2388)</f>
        <v>6.3663836874709834E-2</v>
      </c>
      <c r="J2388" s="3">
        <f>IF(E2388&lt;=500,IF(Galva=Oui,0.35,0.7),0.7)</f>
        <v>0.7</v>
      </c>
    </row>
    <row r="2389" spans="2:10" x14ac:dyDescent="0.25">
      <c r="B2389" s="3">
        <f>B2388+DeltaT</f>
        <v>11860</v>
      </c>
      <c r="C2389" s="13">
        <f t="shared" si="158"/>
        <v>197.66666666666666</v>
      </c>
      <c r="D2389" s="11">
        <f t="shared" si="159"/>
        <v>1123.7578020645506</v>
      </c>
      <c r="E2389" s="23">
        <f t="shared" si="156"/>
        <v>1122.8141145138557</v>
      </c>
      <c r="F2389" s="23">
        <f>AlphaC*(D2389-E2389)</f>
        <v>23.592188767372591</v>
      </c>
      <c r="G2389" s="13">
        <f>Phi*EpsilonF*Botzman/10^8*J2389*((D2389+273)^4-(E2389+273)^4)</f>
        <v>407.84249723570525</v>
      </c>
      <c r="H2389" s="23">
        <f t="shared" si="157"/>
        <v>650</v>
      </c>
      <c r="I2389" s="12">
        <f>ksh*Massivete/(H2389*RhoA)*DeltaT*(F2389+G2389)</f>
        <v>6.3636722065404869E-2</v>
      </c>
      <c r="J2389" s="3">
        <f>IF(E2389&lt;=500,IF(Galva=Oui,0.35,0.7),0.7)</f>
        <v>0.7</v>
      </c>
    </row>
    <row r="2390" spans="2:10" x14ac:dyDescent="0.25">
      <c r="B2390" s="3">
        <f>B2389+DeltaT</f>
        <v>11865</v>
      </c>
      <c r="C2390" s="13">
        <f t="shared" si="158"/>
        <v>197.75</v>
      </c>
      <c r="D2390" s="11">
        <f t="shared" si="159"/>
        <v>1123.8209156275127</v>
      </c>
      <c r="E2390" s="23">
        <f t="shared" si="156"/>
        <v>1122.8777512359211</v>
      </c>
      <c r="F2390" s="23">
        <f>AlphaC*(D2390-E2390)</f>
        <v>23.579109789790209</v>
      </c>
      <c r="G2390" s="13">
        <f>Phi*EpsilonF*Botzman/10^8*J2390*((D2390+273)^4-(E2390+273)^4)</f>
        <v>407.67190414387289</v>
      </c>
      <c r="H2390" s="23">
        <f t="shared" si="157"/>
        <v>650</v>
      </c>
      <c r="I2390" s="12">
        <f>ksh*Massivete/(H2390*RhoA)*DeltaT*(F2390+G2390)</f>
        <v>6.3609630390090571E-2</v>
      </c>
      <c r="J2390" s="3">
        <f>IF(E2390&lt;=500,IF(Galva=Oui,0.35,0.7),0.7)</f>
        <v>0.7</v>
      </c>
    </row>
    <row r="2391" spans="2:10" x14ac:dyDescent="0.25">
      <c r="B2391" s="3">
        <f>B2390+DeltaT</f>
        <v>11870</v>
      </c>
      <c r="C2391" s="13">
        <f t="shared" si="158"/>
        <v>197.83333333333334</v>
      </c>
      <c r="D2391" s="11">
        <f t="shared" si="159"/>
        <v>1123.8840026163421</v>
      </c>
      <c r="E2391" s="23">
        <f t="shared" si="156"/>
        <v>1122.9413608663112</v>
      </c>
      <c r="F2391" s="23">
        <f>AlphaC*(D2391-E2391)</f>
        <v>23.566043750770405</v>
      </c>
      <c r="G2391" s="13">
        <f>Phi*EpsilonF*Botzman/10^8*J2391*((D2391+273)^4-(E2391+273)^4)</f>
        <v>407.50145475282505</v>
      </c>
      <c r="H2391" s="23">
        <f t="shared" si="157"/>
        <v>650</v>
      </c>
      <c r="I2391" s="12">
        <f>ksh*Massivete/(H2391*RhoA)*DeltaT*(F2391+G2391)</f>
        <v>6.3582561819118408E-2</v>
      </c>
      <c r="J2391" s="3">
        <f>IF(E2391&lt;=500,IF(Galva=Oui,0.35,0.7),0.7)</f>
        <v>0.7</v>
      </c>
    </row>
    <row r="2392" spans="2:10" x14ac:dyDescent="0.25">
      <c r="B2392" s="3">
        <f>B2391+DeltaT</f>
        <v>11875</v>
      </c>
      <c r="C2392" s="13">
        <f t="shared" si="158"/>
        <v>197.91666666666666</v>
      </c>
      <c r="D2392" s="11">
        <f t="shared" si="159"/>
        <v>1123.9470630534079</v>
      </c>
      <c r="E2392" s="23">
        <f t="shared" si="156"/>
        <v>1123.0049434281304</v>
      </c>
      <c r="F2392" s="23">
        <f>AlphaC*(D2392-E2392)</f>
        <v>23.5529906319357</v>
      </c>
      <c r="G2392" s="13">
        <f>Phi*EpsilonF*Botzman/10^8*J2392*((D2392+273)^4-(E2392+273)^4)</f>
        <v>407.33114888042957</v>
      </c>
      <c r="H2392" s="23">
        <f t="shared" si="157"/>
        <v>650</v>
      </c>
      <c r="I2392" s="12">
        <f>ksh*Massivete/(H2392*RhoA)*DeltaT*(F2392+G2392)</f>
        <v>6.3555516322913147E-2</v>
      </c>
      <c r="J2392" s="3">
        <f>IF(E2392&lt;=500,IF(Galva=Oui,0.35,0.7),0.7)</f>
        <v>0.7</v>
      </c>
    </row>
    <row r="2393" spans="2:10" x14ac:dyDescent="0.25">
      <c r="B2393" s="3">
        <f>B2392+DeltaT</f>
        <v>11880</v>
      </c>
      <c r="C2393" s="13">
        <f t="shared" si="158"/>
        <v>198</v>
      </c>
      <c r="D2393" s="11">
        <f t="shared" si="159"/>
        <v>1124.0100969610507</v>
      </c>
      <c r="E2393" s="23">
        <f t="shared" si="156"/>
        <v>1123.0684989444533</v>
      </c>
      <c r="F2393" s="23">
        <f>AlphaC*(D2393-E2393)</f>
        <v>23.539950414937039</v>
      </c>
      <c r="G2393" s="13">
        <f>Phi*EpsilonF*Botzman/10^8*J2393*((D2393+273)^4-(E2393+273)^4)</f>
        <v>407.16098634486445</v>
      </c>
      <c r="H2393" s="23">
        <f t="shared" si="157"/>
        <v>650</v>
      </c>
      <c r="I2393" s="12">
        <f>ksh*Massivete/(H2393*RhoA)*DeltaT*(F2393+G2393)</f>
        <v>6.3528493871949546E-2</v>
      </c>
      <c r="J2393" s="3">
        <f>IF(E2393&lt;=500,IF(Galva=Oui,0.35,0.7),0.7)</f>
        <v>0.7</v>
      </c>
    </row>
    <row r="2394" spans="2:10" x14ac:dyDescent="0.25">
      <c r="B2394" s="3">
        <f>B2393+DeltaT</f>
        <v>11885</v>
      </c>
      <c r="C2394" s="13">
        <f t="shared" si="158"/>
        <v>198.08333333333334</v>
      </c>
      <c r="D2394" s="11">
        <f t="shared" si="159"/>
        <v>1124.0731043615826</v>
      </c>
      <c r="E2394" s="23">
        <f t="shared" si="156"/>
        <v>1123.1320274383252</v>
      </c>
      <c r="F2394" s="23">
        <f>AlphaC*(D2394-E2394)</f>
        <v>23.526923081436735</v>
      </c>
      <c r="G2394" s="13">
        <f>Phi*EpsilonF*Botzman/10^8*J2394*((D2394+273)^4-(E2394+273)^4)</f>
        <v>406.99096696430763</v>
      </c>
      <c r="H2394" s="23">
        <f t="shared" si="157"/>
        <v>650</v>
      </c>
      <c r="I2394" s="12">
        <f>ksh*Massivete/(H2394*RhoA)*DeltaT*(F2394+G2394)</f>
        <v>6.3501494436703956E-2</v>
      </c>
      <c r="J2394" s="3">
        <f>IF(E2394&lt;=500,IF(Galva=Oui,0.35,0.7),0.7)</f>
        <v>0.7</v>
      </c>
    </row>
    <row r="2395" spans="2:10" x14ac:dyDescent="0.25">
      <c r="B2395" s="3">
        <f>B2394+DeltaT</f>
        <v>11890</v>
      </c>
      <c r="C2395" s="13">
        <f t="shared" si="158"/>
        <v>198.16666666666666</v>
      </c>
      <c r="D2395" s="11">
        <f t="shared" si="159"/>
        <v>1124.1360852772877</v>
      </c>
      <c r="E2395" s="23">
        <f t="shared" si="156"/>
        <v>1123.1955289327618</v>
      </c>
      <c r="F2395" s="23">
        <f>AlphaC*(D2395-E2395)</f>
        <v>23.51390861314826</v>
      </c>
      <c r="G2395" s="13">
        <f>Phi*EpsilonF*Botzman/10^8*J2395*((D2395+273)^4-(E2395+273)^4)</f>
        <v>406.82109055724715</v>
      </c>
      <c r="H2395" s="23">
        <f t="shared" si="157"/>
        <v>650</v>
      </c>
      <c r="I2395" s="12">
        <f>ksh*Massivete/(H2395*RhoA)*DeltaT*(F2395+G2395)</f>
        <v>6.3474517987706078E-2</v>
      </c>
      <c r="J2395" s="3">
        <f>IF(E2395&lt;=500,IF(Galva=Oui,0.35,0.7),0.7)</f>
        <v>0.7</v>
      </c>
    </row>
    <row r="2396" spans="2:10" x14ac:dyDescent="0.25">
      <c r="B2396" s="3">
        <f>B2395+DeltaT</f>
        <v>11895</v>
      </c>
      <c r="C2396" s="13">
        <f t="shared" si="158"/>
        <v>198.25</v>
      </c>
      <c r="D2396" s="11">
        <f t="shared" si="159"/>
        <v>1124.1990397304226</v>
      </c>
      <c r="E2396" s="23">
        <f t="shared" si="156"/>
        <v>1123.2590034507496</v>
      </c>
      <c r="F2396" s="23">
        <f>AlphaC*(D2396-E2396)</f>
        <v>23.500906991824877</v>
      </c>
      <c r="G2396" s="13">
        <f>Phi*EpsilonF*Botzman/10^8*J2396*((D2396+273)^4-(E2396+273)^4)</f>
        <v>406.65135694294611</v>
      </c>
      <c r="H2396" s="23">
        <f t="shared" si="157"/>
        <v>650</v>
      </c>
      <c r="I2396" s="12">
        <f>ksh*Massivete/(H2396*RhoA)*DeltaT*(F2396+G2396)</f>
        <v>6.3447564495605763E-2</v>
      </c>
      <c r="J2396" s="3">
        <f>IF(E2396&lt;=500,IF(Galva=Oui,0.35,0.7),0.7)</f>
        <v>0.7</v>
      </c>
    </row>
    <row r="2397" spans="2:10" x14ac:dyDescent="0.25">
      <c r="B2397" s="3">
        <f>B2396+DeltaT</f>
        <v>11900</v>
      </c>
      <c r="C2397" s="13">
        <f t="shared" si="158"/>
        <v>198.33333333333334</v>
      </c>
      <c r="D2397" s="11">
        <f t="shared" si="159"/>
        <v>1124.2619677432149</v>
      </c>
      <c r="E2397" s="23">
        <f t="shared" si="156"/>
        <v>1123.3224510152452</v>
      </c>
      <c r="F2397" s="23">
        <f>AlphaC*(D2397-E2397)</f>
        <v>23.487918199242586</v>
      </c>
      <c r="G2397" s="13">
        <f>Phi*EpsilonF*Botzman/10^8*J2397*((D2397+273)^4-(E2397+273)^4)</f>
        <v>406.48176594057094</v>
      </c>
      <c r="H2397" s="23">
        <f t="shared" si="157"/>
        <v>650</v>
      </c>
      <c r="I2397" s="12">
        <f>ksh*Massivete/(H2397*RhoA)*DeltaT*(F2397+G2397)</f>
        <v>6.3420633931041956E-2</v>
      </c>
      <c r="J2397" s="3">
        <f>IF(E2397&lt;=500,IF(Galva=Oui,0.35,0.7),0.7)</f>
        <v>0.7</v>
      </c>
    </row>
    <row r="2398" spans="2:10" x14ac:dyDescent="0.25">
      <c r="B2398" s="3">
        <f>B2397+DeltaT</f>
        <v>11905</v>
      </c>
      <c r="C2398" s="13">
        <f t="shared" si="158"/>
        <v>198.41666666666666</v>
      </c>
      <c r="D2398" s="11">
        <f t="shared" si="159"/>
        <v>1124.3248693378655</v>
      </c>
      <c r="E2398" s="23">
        <f t="shared" si="156"/>
        <v>1123.3858716491761</v>
      </c>
      <c r="F2398" s="23">
        <f>AlphaC*(D2398-E2398)</f>
        <v>23.474942217234229</v>
      </c>
      <c r="G2398" s="13">
        <f>Phi*EpsilonF*Botzman/10^8*J2398*((D2398+273)^4-(E2398+273)^4)</f>
        <v>406.31231736996614</v>
      </c>
      <c r="H2398" s="23">
        <f t="shared" si="157"/>
        <v>650</v>
      </c>
      <c r="I2398" s="12">
        <f>ksh*Massivete/(H2398*RhoA)*DeltaT*(F2398+G2398)</f>
        <v>6.3393726264762057E-2</v>
      </c>
      <c r="J2398" s="3">
        <f>IF(E2398&lt;=500,IF(Galva=Oui,0.35,0.7),0.7)</f>
        <v>0.7</v>
      </c>
    </row>
    <row r="2399" spans="2:10" x14ac:dyDescent="0.25">
      <c r="B2399" s="3">
        <f>B2398+DeltaT</f>
        <v>11910</v>
      </c>
      <c r="C2399" s="13">
        <f t="shared" si="158"/>
        <v>198.5</v>
      </c>
      <c r="D2399" s="11">
        <f t="shared" si="159"/>
        <v>1124.3877445365458</v>
      </c>
      <c r="E2399" s="23">
        <f t="shared" si="156"/>
        <v>1123.449265375441</v>
      </c>
      <c r="F2399" s="23">
        <f>AlphaC*(D2399-E2399)</f>
        <v>23.461979027621283</v>
      </c>
      <c r="G2399" s="13">
        <f>Phi*EpsilonF*Botzman/10^8*J2399*((D2399+273)^4-(E2399+273)^4)</f>
        <v>406.14301105070513</v>
      </c>
      <c r="H2399" s="23">
        <f t="shared" si="157"/>
        <v>650</v>
      </c>
      <c r="I2399" s="12">
        <f>ksh*Massivete/(H2399*RhoA)*DeltaT*(F2399+G2399)</f>
        <v>6.3366841467471721E-2</v>
      </c>
      <c r="J2399" s="3">
        <f>IF(E2399&lt;=500,IF(Galva=Oui,0.35,0.7),0.7)</f>
        <v>0.7</v>
      </c>
    </row>
    <row r="2400" spans="2:10" x14ac:dyDescent="0.25">
      <c r="B2400" s="3">
        <f>B2399+DeltaT</f>
        <v>11915</v>
      </c>
      <c r="C2400" s="13">
        <f t="shared" si="158"/>
        <v>198.58333333333334</v>
      </c>
      <c r="D2400" s="11">
        <f t="shared" si="159"/>
        <v>1124.4505933614005</v>
      </c>
      <c r="E2400" s="23">
        <f t="shared" si="156"/>
        <v>1123.5126322169085</v>
      </c>
      <c r="F2400" s="23">
        <f>AlphaC*(D2400-E2400)</f>
        <v>23.449028612299117</v>
      </c>
      <c r="G2400" s="13">
        <f>Phi*EpsilonF*Botzman/10^8*J2400*((D2400+273)^4-(E2400+273)^4)</f>
        <v>405.97384680309756</v>
      </c>
      <c r="H2400" s="23">
        <f t="shared" si="157"/>
        <v>650</v>
      </c>
      <c r="I2400" s="12">
        <f>ksh*Massivete/(H2400*RhoA)*DeltaT*(F2400+G2400)</f>
        <v>6.3339979509996161E-2</v>
      </c>
      <c r="J2400" s="3">
        <f>IF(E2400&lt;=500,IF(Galva=Oui,0.35,0.7),0.7)</f>
        <v>0.7</v>
      </c>
    </row>
    <row r="2401" spans="2:10" x14ac:dyDescent="0.25">
      <c r="B2401" s="3">
        <f>B2400+DeltaT</f>
        <v>11920</v>
      </c>
      <c r="C2401" s="13">
        <f t="shared" si="158"/>
        <v>198.66666666666666</v>
      </c>
      <c r="D2401" s="11">
        <f t="shared" si="159"/>
        <v>1124.5134158345459</v>
      </c>
      <c r="E2401" s="23">
        <f t="shared" si="156"/>
        <v>1123.5759721964184</v>
      </c>
      <c r="F2401" s="23">
        <f>AlphaC*(D2401-E2401)</f>
        <v>23.43609095318584</v>
      </c>
      <c r="G2401" s="13">
        <f>Phi*EpsilonF*Botzman/10^8*J2401*((D2401+273)^4-(E2401+273)^4)</f>
        <v>405.80482444772446</v>
      </c>
      <c r="H2401" s="23">
        <f t="shared" si="157"/>
        <v>650</v>
      </c>
      <c r="I2401" s="12">
        <f>ksh*Massivete/(H2401*RhoA)*DeltaT*(F2401+G2401)</f>
        <v>6.3313140363203957E-2</v>
      </c>
      <c r="J2401" s="3">
        <f>IF(E2401&lt;=500,IF(Galva=Oui,0.35,0.7),0.7)</f>
        <v>0.7</v>
      </c>
    </row>
    <row r="2402" spans="2:10" x14ac:dyDescent="0.25">
      <c r="B2402" s="3">
        <f>B2401+DeltaT</f>
        <v>11925</v>
      </c>
      <c r="C2402" s="13">
        <f t="shared" si="158"/>
        <v>198.75</v>
      </c>
      <c r="D2402" s="11">
        <f t="shared" si="159"/>
        <v>1124.5762119780704</v>
      </c>
      <c r="E2402" s="23">
        <f t="shared" si="156"/>
        <v>1123.6392853367815</v>
      </c>
      <c r="F2402" s="23">
        <f>AlphaC*(D2402-E2402)</f>
        <v>23.423166032222298</v>
      </c>
      <c r="G2402" s="13">
        <f>Phi*EpsilonF*Botzman/10^8*J2402*((D2402+273)^4-(E2402+273)^4)</f>
        <v>405.63594380539951</v>
      </c>
      <c r="H2402" s="23">
        <f t="shared" si="157"/>
        <v>650</v>
      </c>
      <c r="I2402" s="12">
        <f>ksh*Massivete/(H2402*RhoA)*DeltaT*(F2402+G2402)</f>
        <v>6.328632399800134E-2</v>
      </c>
      <c r="J2402" s="3">
        <f>IF(E2402&lt;=500,IF(Galva=Oui,0.35,0.7),0.7)</f>
        <v>0.7</v>
      </c>
    </row>
    <row r="2403" spans="2:10" x14ac:dyDescent="0.25">
      <c r="B2403" s="3">
        <f>B2402+DeltaT</f>
        <v>11930</v>
      </c>
      <c r="C2403" s="13">
        <f t="shared" si="158"/>
        <v>198.83333333333334</v>
      </c>
      <c r="D2403" s="11">
        <f t="shared" si="159"/>
        <v>1124.6389818140353</v>
      </c>
      <c r="E2403" s="23">
        <f t="shared" si="156"/>
        <v>1123.7025716607795</v>
      </c>
      <c r="F2403" s="23">
        <f>AlphaC*(D2403-E2403)</f>
        <v>23.410253831394812</v>
      </c>
      <c r="G2403" s="13">
        <f>Phi*EpsilonF*Botzman/10^8*J2403*((D2403+273)^4-(E2403+273)^4)</f>
        <v>405.46720469720753</v>
      </c>
      <c r="H2403" s="23">
        <f t="shared" si="157"/>
        <v>650</v>
      </c>
      <c r="I2403" s="12">
        <f>ksh*Massivete/(H2403*RhoA)*DeltaT*(F2403+G2403)</f>
        <v>6.3259530385341267E-2</v>
      </c>
      <c r="J2403" s="3">
        <f>IF(E2403&lt;=500,IF(Galva=Oui,0.35,0.7),0.7)</f>
        <v>0.7</v>
      </c>
    </row>
    <row r="2404" spans="2:10" x14ac:dyDescent="0.25">
      <c r="B2404" s="3">
        <f>B2403+DeltaT</f>
        <v>11935</v>
      </c>
      <c r="C2404" s="13">
        <f t="shared" si="158"/>
        <v>198.91666666666666</v>
      </c>
      <c r="D2404" s="11">
        <f t="shared" si="159"/>
        <v>1124.7017253644735</v>
      </c>
      <c r="E2404" s="23">
        <f t="shared" si="156"/>
        <v>1123.7658311911648</v>
      </c>
      <c r="F2404" s="23">
        <f>AlphaC*(D2404-E2404)</f>
        <v>23.397354332718123</v>
      </c>
      <c r="G2404" s="13">
        <f>Phi*EpsilonF*Botzman/10^8*J2404*((D2404+273)^4-(E2404+273)^4)</f>
        <v>405.29860694458233</v>
      </c>
      <c r="H2404" s="23">
        <f t="shared" si="157"/>
        <v>650</v>
      </c>
      <c r="I2404" s="12">
        <f>ksh*Massivete/(H2404*RhoA)*DeltaT*(F2404+G2404)</f>
        <v>6.3232759496232332E-2</v>
      </c>
      <c r="J2404" s="3">
        <f>IF(E2404&lt;=500,IF(Galva=Oui,0.35,0.7),0.7)</f>
        <v>0.7</v>
      </c>
    </row>
    <row r="2405" spans="2:10" x14ac:dyDescent="0.25">
      <c r="B2405" s="3">
        <f>B2404+DeltaT</f>
        <v>11940</v>
      </c>
      <c r="C2405" s="13">
        <f t="shared" si="158"/>
        <v>199</v>
      </c>
      <c r="D2405" s="11">
        <f t="shared" si="159"/>
        <v>1124.7644426513903</v>
      </c>
      <c r="E2405" s="23">
        <f t="shared" si="156"/>
        <v>1123.8290639506611</v>
      </c>
      <c r="F2405" s="23">
        <f>AlphaC*(D2405-E2405)</f>
        <v>23.384467518229712</v>
      </c>
      <c r="G2405" s="13">
        <f>Phi*EpsilonF*Botzman/10^8*J2405*((D2405+273)^4-(E2405+273)^4)</f>
        <v>405.13015036909337</v>
      </c>
      <c r="H2405" s="23">
        <f t="shared" si="157"/>
        <v>650</v>
      </c>
      <c r="I2405" s="12">
        <f>ksh*Massivete/(H2405*RhoA)*DeltaT*(F2405+G2405)</f>
        <v>6.3206011301706541E-2</v>
      </c>
      <c r="J2405" s="3">
        <f>IF(E2405&lt;=500,IF(Galva=Oui,0.35,0.7),0.7)</f>
        <v>0.7</v>
      </c>
    </row>
    <row r="2406" spans="2:10" x14ac:dyDescent="0.25">
      <c r="B2406" s="3">
        <f>B2405+DeltaT</f>
        <v>11945</v>
      </c>
      <c r="C2406" s="13">
        <f t="shared" si="158"/>
        <v>199.08333333333334</v>
      </c>
      <c r="D2406" s="11">
        <f t="shared" si="159"/>
        <v>1124.8271336967637</v>
      </c>
      <c r="E2406" s="23">
        <f t="shared" si="156"/>
        <v>1123.8922699619627</v>
      </c>
      <c r="F2406" s="23">
        <f>AlphaC*(D2406-E2406)</f>
        <v>23.371593370023902</v>
      </c>
      <c r="G2406" s="13">
        <f>Phi*EpsilonF*Botzman/10^8*J2406*((D2406+273)^4-(E2406+273)^4)</f>
        <v>404.96183479291079</v>
      </c>
      <c r="H2406" s="23">
        <f t="shared" si="157"/>
        <v>650</v>
      </c>
      <c r="I2406" s="12">
        <f>ksh*Massivete/(H2406*RhoA)*DeltaT*(F2406+G2406)</f>
        <v>6.3179285772892821E-2</v>
      </c>
      <c r="J2406" s="3">
        <f>IF(E2406&lt;=500,IF(Galva=Oui,0.35,0.7),0.7)</f>
        <v>0.7</v>
      </c>
    </row>
    <row r="2407" spans="2:10" x14ac:dyDescent="0.25">
      <c r="B2407" s="3">
        <f>B2406+DeltaT</f>
        <v>11950</v>
      </c>
      <c r="C2407" s="13">
        <f t="shared" si="158"/>
        <v>199.16666666666666</v>
      </c>
      <c r="D2407" s="11">
        <f t="shared" si="159"/>
        <v>1124.889798522544</v>
      </c>
      <c r="E2407" s="23">
        <f t="shared" si="156"/>
        <v>1123.9554492477357</v>
      </c>
      <c r="F2407" s="23">
        <f>AlphaC*(D2407-E2407)</f>
        <v>23.358731870206384</v>
      </c>
      <c r="G2407" s="13">
        <f>Phi*EpsilonF*Botzman/10^8*J2407*((D2407+273)^4-(E2407+273)^4)</f>
        <v>404.79366003830171</v>
      </c>
      <c r="H2407" s="23">
        <f t="shared" si="157"/>
        <v>650</v>
      </c>
      <c r="I2407" s="12">
        <f>ksh*Massivete/(H2407*RhoA)*DeltaT*(F2407+G2407)</f>
        <v>6.3152582880936128E-2</v>
      </c>
      <c r="J2407" s="3">
        <f>IF(E2407&lt;=500,IF(Galva=Oui,0.35,0.7),0.7)</f>
        <v>0.7</v>
      </c>
    </row>
    <row r="2408" spans="2:10" x14ac:dyDescent="0.25">
      <c r="B2408" s="3">
        <f>B2407+DeltaT</f>
        <v>11955</v>
      </c>
      <c r="C2408" s="13">
        <f t="shared" si="158"/>
        <v>199.25</v>
      </c>
      <c r="D2408" s="11">
        <f t="shared" si="159"/>
        <v>1124.9524371506539</v>
      </c>
      <c r="E2408" s="23">
        <f t="shared" si="156"/>
        <v>1124.0186018306167</v>
      </c>
      <c r="F2408" s="23">
        <f>AlphaC*(D2408-E2408)</f>
        <v>23.345883000928325</v>
      </c>
      <c r="G2408" s="13">
        <f>Phi*EpsilonF*Botzman/10^8*J2408*((D2408+273)^4-(E2408+273)^4)</f>
        <v>404.62562592794018</v>
      </c>
      <c r="H2408" s="23">
        <f t="shared" si="157"/>
        <v>650</v>
      </c>
      <c r="I2408" s="12">
        <f>ksh*Massivete/(H2408*RhoA)*DeltaT*(F2408+G2408)</f>
        <v>6.3125902597048145E-2</v>
      </c>
      <c r="J2408" s="3">
        <f>IF(E2408&lt;=500,IF(Galva=Oui,0.35,0.7),0.7)</f>
        <v>0.7</v>
      </c>
    </row>
    <row r="2409" spans="2:10" x14ac:dyDescent="0.25">
      <c r="B2409" s="3">
        <f>B2408+DeltaT</f>
        <v>11960</v>
      </c>
      <c r="C2409" s="13">
        <f t="shared" si="158"/>
        <v>199.33333333333334</v>
      </c>
      <c r="D2409" s="11">
        <f t="shared" si="159"/>
        <v>1125.0150496029887</v>
      </c>
      <c r="E2409" s="23">
        <f t="shared" si="156"/>
        <v>1124.0817277332137</v>
      </c>
      <c r="F2409" s="23">
        <f>AlphaC*(D2409-E2409)</f>
        <v>23.333046744374997</v>
      </c>
      <c r="G2409" s="13">
        <f>Phi*EpsilonF*Botzman/10^8*J2409*((D2409+273)^4-(E2409+273)^4)</f>
        <v>404.45773228479101</v>
      </c>
      <c r="H2409" s="23">
        <f t="shared" si="157"/>
        <v>650</v>
      </c>
      <c r="I2409" s="12">
        <f>ksh*Massivete/(H2409*RhoA)*DeltaT*(F2409+G2409)</f>
        <v>6.3099244892488443E-2</v>
      </c>
      <c r="J2409" s="3">
        <f>IF(E2409&lt;=500,IF(Galva=Oui,0.35,0.7),0.7)</f>
        <v>0.7</v>
      </c>
    </row>
    <row r="2410" spans="2:10" x14ac:dyDescent="0.25">
      <c r="B2410" s="3">
        <f>B2409+DeltaT</f>
        <v>11965</v>
      </c>
      <c r="C2410" s="13">
        <f t="shared" si="158"/>
        <v>199.41666666666666</v>
      </c>
      <c r="D2410" s="11">
        <f t="shared" si="159"/>
        <v>1125.077635901416</v>
      </c>
      <c r="E2410" s="23">
        <f t="shared" si="156"/>
        <v>1124.1448269781063</v>
      </c>
      <c r="F2410" s="23">
        <f>AlphaC*(D2410-E2410)</f>
        <v>23.320223082743041</v>
      </c>
      <c r="G2410" s="13">
        <f>Phi*EpsilonF*Botzman/10^8*J2410*((D2410+273)^4-(E2410+273)^4)</f>
        <v>404.28997893181889</v>
      </c>
      <c r="H2410" s="23">
        <f t="shared" si="157"/>
        <v>650</v>
      </c>
      <c r="I2410" s="12">
        <f>ksh*Massivete/(H2410*RhoA)*DeltaT*(F2410+G2410)</f>
        <v>6.307260973851829E-2</v>
      </c>
      <c r="J2410" s="3">
        <f>IF(E2410&lt;=500,IF(Galva=Oui,0.35,0.7),0.7)</f>
        <v>0.7</v>
      </c>
    </row>
    <row r="2411" spans="2:10" x14ac:dyDescent="0.25">
      <c r="B2411" s="3">
        <f>B2410+DeltaT</f>
        <v>11970</v>
      </c>
      <c r="C2411" s="13">
        <f t="shared" si="158"/>
        <v>199.5</v>
      </c>
      <c r="D2411" s="11">
        <f t="shared" si="159"/>
        <v>1125.1401960677765</v>
      </c>
      <c r="E2411" s="23">
        <f t="shared" si="156"/>
        <v>1124.2078995878448</v>
      </c>
      <c r="F2411" s="23">
        <f>AlphaC*(D2411-E2411)</f>
        <v>23.307411998291627</v>
      </c>
      <c r="G2411" s="13">
        <f>Phi*EpsilonF*Botzman/10^8*J2411*((D2411+273)^4-(E2411+273)^4)</f>
        <v>404.12236569276388</v>
      </c>
      <c r="H2411" s="23">
        <f t="shared" si="157"/>
        <v>650</v>
      </c>
      <c r="I2411" s="12">
        <f>ksh*Massivete/(H2411*RhoA)*DeltaT*(F2411+G2411)</f>
        <v>6.3045997106522506E-2</v>
      </c>
      <c r="J2411" s="3">
        <f>IF(E2411&lt;=500,IF(Galva=Oui,0.35,0.7),0.7)</f>
        <v>0.7</v>
      </c>
    </row>
    <row r="2412" spans="2:10" x14ac:dyDescent="0.25">
      <c r="B2412" s="3">
        <f>B2411+DeltaT</f>
        <v>11975</v>
      </c>
      <c r="C2412" s="13">
        <f t="shared" si="158"/>
        <v>199.58333333333334</v>
      </c>
      <c r="D2412" s="11">
        <f t="shared" si="159"/>
        <v>1125.2027301238832</v>
      </c>
      <c r="E2412" s="23">
        <f t="shared" si="156"/>
        <v>1124.2709455849513</v>
      </c>
      <c r="F2412" s="23">
        <f>AlphaC*(D2412-E2412)</f>
        <v>23.294613473296977</v>
      </c>
      <c r="G2412" s="13">
        <f>Phi*EpsilonF*Botzman/10^8*J2412*((D2412+273)^4-(E2412+273)^4)</f>
        <v>403.95489239146281</v>
      </c>
      <c r="H2412" s="23">
        <f t="shared" si="157"/>
        <v>650</v>
      </c>
      <c r="I2412" s="12">
        <f>ksh*Massivete/(H2412*RhoA)*DeltaT*(F2412+G2412)</f>
        <v>6.3019406967902716E-2</v>
      </c>
      <c r="J2412" s="3">
        <f>IF(E2412&lt;=500,IF(Galva=Oui,0.35,0.7),0.7)</f>
        <v>0.7</v>
      </c>
    </row>
    <row r="2413" spans="2:10" x14ac:dyDescent="0.25">
      <c r="B2413" s="3">
        <f>B2412+DeltaT</f>
        <v>11980</v>
      </c>
      <c r="C2413" s="13">
        <f t="shared" si="158"/>
        <v>199.66666666666666</v>
      </c>
      <c r="D2413" s="11">
        <f t="shared" si="159"/>
        <v>1125.2652380915217</v>
      </c>
      <c r="E2413" s="23">
        <f t="shared" si="156"/>
        <v>1124.3339649919192</v>
      </c>
      <c r="F2413" s="23">
        <f>AlphaC*(D2413-E2413)</f>
        <v>23.281827490063733</v>
      </c>
      <c r="G2413" s="13">
        <f>Phi*EpsilonF*Botzman/10^8*J2413*((D2413+273)^4-(E2413+273)^4)</f>
        <v>403.78755885183006</v>
      </c>
      <c r="H2413" s="23">
        <f t="shared" si="157"/>
        <v>650</v>
      </c>
      <c r="I2413" s="12">
        <f>ksh*Massivete/(H2413*RhoA)*DeltaT*(F2413+G2413)</f>
        <v>6.2992839294076203E-2</v>
      </c>
      <c r="J2413" s="3">
        <f>IF(E2413&lt;=500,IF(Galva=Oui,0.35,0.7),0.7)</f>
        <v>0.7</v>
      </c>
    </row>
    <row r="2414" spans="2:10" x14ac:dyDescent="0.25">
      <c r="B2414" s="3">
        <f>B2413+DeltaT</f>
        <v>11985</v>
      </c>
      <c r="C2414" s="13">
        <f t="shared" si="158"/>
        <v>199.75</v>
      </c>
      <c r="D2414" s="11">
        <f t="shared" si="159"/>
        <v>1125.327719992451</v>
      </c>
      <c r="E2414" s="23">
        <f t="shared" si="156"/>
        <v>1124.3969578312133</v>
      </c>
      <c r="F2414" s="23">
        <f>AlphaC*(D2414-E2414)</f>
        <v>23.269054030942016</v>
      </c>
      <c r="G2414" s="13">
        <f>Phi*EpsilonF*Botzman/10^8*J2414*((D2414+273)^4-(E2414+273)^4)</f>
        <v>403.62036489853585</v>
      </c>
      <c r="H2414" s="23">
        <f t="shared" si="157"/>
        <v>650</v>
      </c>
      <c r="I2414" s="12">
        <f>ksh*Massivete/(H2414*RhoA)*DeltaT*(F2414+G2414)</f>
        <v>6.2966294056578401E-2</v>
      </c>
      <c r="J2414" s="3">
        <f>IF(E2414&lt;=500,IF(Galva=Oui,0.35,0.7),0.7)</f>
        <v>0.7</v>
      </c>
    </row>
    <row r="2415" spans="2:10" x14ac:dyDescent="0.25">
      <c r="B2415" s="3">
        <f>B2414+DeltaT</f>
        <v>11990</v>
      </c>
      <c r="C2415" s="13">
        <f t="shared" si="158"/>
        <v>199.83333333333334</v>
      </c>
      <c r="D2415" s="11">
        <f t="shared" si="159"/>
        <v>1125.3901758484017</v>
      </c>
      <c r="E2415" s="23">
        <f t="shared" si="156"/>
        <v>1124.4599241252699</v>
      </c>
      <c r="F2415" s="23">
        <f>AlphaC*(D2415-E2415)</f>
        <v>23.256293078293311</v>
      </c>
      <c r="G2415" s="13">
        <f>Phi*EpsilonF*Botzman/10^8*J2415*((D2415+273)^4-(E2415+273)^4)</f>
        <v>403.45331035580455</v>
      </c>
      <c r="H2415" s="23">
        <f t="shared" si="157"/>
        <v>650</v>
      </c>
      <c r="I2415" s="12">
        <f>ksh*Massivete/(H2415*RhoA)*DeltaT*(F2415+G2415)</f>
        <v>6.2939771226880672E-2</v>
      </c>
      <c r="J2415" s="3">
        <f>IF(E2415&lt;=500,IF(Galva=Oui,0.35,0.7),0.7)</f>
        <v>0.7</v>
      </c>
    </row>
    <row r="2416" spans="2:10" x14ac:dyDescent="0.25">
      <c r="B2416" s="3">
        <f>B2415+DeltaT</f>
        <v>11995</v>
      </c>
      <c r="C2416" s="13">
        <f t="shared" si="158"/>
        <v>199.91666666666666</v>
      </c>
      <c r="D2416" s="11">
        <f t="shared" si="159"/>
        <v>1125.4526056810787</v>
      </c>
      <c r="E2416" s="23">
        <f t="shared" si="156"/>
        <v>1124.5228638964968</v>
      </c>
      <c r="F2416" s="23">
        <f>AlphaC*(D2416-E2416)</f>
        <v>23.243544614547318</v>
      </c>
      <c r="G2416" s="13">
        <f>Phi*EpsilonF*Botzman/10^8*J2416*((D2416+273)^4-(E2416+273)^4)</f>
        <v>403.2863950492561</v>
      </c>
      <c r="H2416" s="23">
        <f t="shared" si="157"/>
        <v>650</v>
      </c>
      <c r="I2416" s="12">
        <f>ksh*Massivete/(H2416*RhoA)*DeltaT*(F2416+G2416)</f>
        <v>6.2913270776670305E-2</v>
      </c>
      <c r="J2416" s="3">
        <f>IF(E2416&lt;=500,IF(Galva=Oui,0.35,0.7),0.7)</f>
        <v>0.7</v>
      </c>
    </row>
    <row r="2417" spans="2:10" x14ac:dyDescent="0.25">
      <c r="B2417" s="3">
        <f>B2416+DeltaT</f>
        <v>12000</v>
      </c>
      <c r="C2417" s="13">
        <f t="shared" si="158"/>
        <v>200</v>
      </c>
      <c r="D2417" s="11">
        <f t="shared" si="159"/>
        <v>1125.5150095121583</v>
      </c>
      <c r="E2417" s="23">
        <f t="shared" si="156"/>
        <v>1124.5857771672734</v>
      </c>
      <c r="F2417" s="23">
        <f>AlphaC*(D2417-E2417)</f>
        <v>23.230808622122368</v>
      </c>
      <c r="G2417" s="13">
        <f>Phi*EpsilonF*Botzman/10^8*J2417*((D2417+273)^4-(E2417+273)^4)</f>
        <v>403.11961880363816</v>
      </c>
      <c r="H2417" s="23">
        <f t="shared" si="157"/>
        <v>650</v>
      </c>
      <c r="I2417" s="12">
        <f>ksh*Massivete/(H2417*RhoA)*DeltaT*(F2417+G2417)</f>
        <v>6.288679267750423E-2</v>
      </c>
      <c r="J2417" s="3">
        <f>IF(E2417&lt;=500,IF(Galva=Oui,0.35,0.7),0.7)</f>
        <v>0.7</v>
      </c>
    </row>
    <row r="2418" spans="2:10" x14ac:dyDescent="0.25">
      <c r="B2418" s="3">
        <f>B2417+DeltaT</f>
        <v>12005</v>
      </c>
      <c r="C2418" s="13">
        <f t="shared" si="158"/>
        <v>200.08333333333334</v>
      </c>
      <c r="D2418" s="11">
        <f t="shared" si="159"/>
        <v>1125.5773873632909</v>
      </c>
      <c r="E2418" s="23">
        <f t="shared" si="156"/>
        <v>1124.6486639599509</v>
      </c>
      <c r="F2418" s="23">
        <f>AlphaC*(D2418-E2418)</f>
        <v>23.218085083499318</v>
      </c>
      <c r="G2418" s="13">
        <f>Phi*EpsilonF*Botzman/10^8*J2418*((D2418+273)^4-(E2418+273)^4)</f>
        <v>402.95298144480313</v>
      </c>
      <c r="H2418" s="23">
        <f t="shared" si="157"/>
        <v>650</v>
      </c>
      <c r="I2418" s="12">
        <f>ksh*Massivete/(H2418*RhoA)*DeltaT*(F2418+G2418)</f>
        <v>6.2860336901111549E-2</v>
      </c>
      <c r="J2418" s="3">
        <f>IF(E2418&lt;=500,IF(Galva=Oui,0.35,0.7),0.7)</f>
        <v>0.7</v>
      </c>
    </row>
    <row r="2419" spans="2:10" x14ac:dyDescent="0.25">
      <c r="B2419" s="3">
        <f>B2418+DeltaT</f>
        <v>12010</v>
      </c>
      <c r="C2419" s="13">
        <f t="shared" si="158"/>
        <v>200.16666666666666</v>
      </c>
      <c r="D2419" s="11">
        <f t="shared" si="159"/>
        <v>1125.6397392560993</v>
      </c>
      <c r="E2419" s="23">
        <f t="shared" si="156"/>
        <v>1124.7115242968521</v>
      </c>
      <c r="F2419" s="23">
        <f>AlphaC*(D2419-E2419)</f>
        <v>23.205373981181765</v>
      </c>
      <c r="G2419" s="13">
        <f>Phi*EpsilonF*Botzman/10^8*J2419*((D2419+273)^4-(E2419+273)^4)</f>
        <v>402.78648279848704</v>
      </c>
      <c r="H2419" s="23">
        <f t="shared" si="157"/>
        <v>650</v>
      </c>
      <c r="I2419" s="12">
        <f>ksh*Massivete/(H2419*RhoA)*DeltaT*(F2419+G2419)</f>
        <v>6.2833903419207582E-2</v>
      </c>
      <c r="J2419" s="3">
        <f>IF(E2419&lt;=500,IF(Galva=Oui,0.35,0.7),0.7)</f>
        <v>0.7</v>
      </c>
    </row>
    <row r="2420" spans="2:10" x14ac:dyDescent="0.25">
      <c r="B2420" s="3">
        <f>B2419+DeltaT</f>
        <v>12015</v>
      </c>
      <c r="C2420" s="13">
        <f t="shared" si="158"/>
        <v>200.25</v>
      </c>
      <c r="D2420" s="11">
        <f t="shared" si="159"/>
        <v>1125.7020652121798</v>
      </c>
      <c r="E2420" s="23">
        <f t="shared" ref="E2420:E2483" si="160">E2419+I2419</f>
        <v>1124.7743582002713</v>
      </c>
      <c r="F2420" s="23">
        <f>AlphaC*(D2420-E2420)</f>
        <v>23.192675297713095</v>
      </c>
      <c r="G2420" s="13">
        <f>Phi*EpsilonF*Botzman/10^8*J2420*((D2420+273)^4-(E2420+273)^4)</f>
        <v>402.62012269110437</v>
      </c>
      <c r="H2420" s="23">
        <f t="shared" ref="H2420:H2483" si="161">IF(E2420&lt;600,425+0.773*E2420-1.69/1000*E2420^2+2.22/1000^2*E2420^3,IF(E2420&lt;735,666+13002/(738-E2420),IF(E2420&lt;900,545+17820/(E2420-731),650)))</f>
        <v>650</v>
      </c>
      <c r="I2420" s="12">
        <f>ksh*Massivete/(H2420*RhoA)*DeltaT*(F2420+G2420)</f>
        <v>6.2807492203613535E-2</v>
      </c>
      <c r="J2420" s="3">
        <f>IF(E2420&lt;=500,IF(Galva=Oui,0.35,0.7),0.7)</f>
        <v>0.7</v>
      </c>
    </row>
    <row r="2421" spans="2:10" x14ac:dyDescent="0.25">
      <c r="B2421" s="3">
        <f>B2420+DeltaT</f>
        <v>12020</v>
      </c>
      <c r="C2421" s="13">
        <f t="shared" si="158"/>
        <v>200.33333333333334</v>
      </c>
      <c r="D2421" s="11">
        <f t="shared" si="159"/>
        <v>1125.764365253101</v>
      </c>
      <c r="E2421" s="23">
        <f t="shared" si="160"/>
        <v>1124.8371656924749</v>
      </c>
      <c r="F2421" s="23">
        <f>AlphaC*(D2421-E2421)</f>
        <v>23.179989015653746</v>
      </c>
      <c r="G2421" s="13">
        <f>Phi*EpsilonF*Botzman/10^8*J2421*((D2421+273)^4-(E2421+273)^4)</f>
        <v>402.45390094879815</v>
      </c>
      <c r="H2421" s="23">
        <f t="shared" si="161"/>
        <v>650</v>
      </c>
      <c r="I2421" s="12">
        <f>ksh*Massivete/(H2421*RhoA)*DeltaT*(F2421+G2421)</f>
        <v>6.2781103226113147E-2</v>
      </c>
      <c r="J2421" s="3">
        <f>IF(E2421&lt;=500,IF(Galva=Oui,0.35,0.7),0.7)</f>
        <v>0.7</v>
      </c>
    </row>
    <row r="2422" spans="2:10" x14ac:dyDescent="0.25">
      <c r="B2422" s="3">
        <f>B2421+DeltaT</f>
        <v>12025</v>
      </c>
      <c r="C2422" s="13">
        <f t="shared" si="158"/>
        <v>200.41666666666666</v>
      </c>
      <c r="D2422" s="11">
        <f t="shared" si="159"/>
        <v>1125.8266394004049</v>
      </c>
      <c r="E2422" s="23">
        <f t="shared" si="160"/>
        <v>1124.899946795701</v>
      </c>
      <c r="F2422" s="23">
        <f>AlphaC*(D2422-E2422)</f>
        <v>23.167315117598264</v>
      </c>
      <c r="G2422" s="13">
        <f>Phi*EpsilonF*Botzman/10^8*J2422*((D2422+273)^4-(E2422+273)^4)</f>
        <v>402.28781739840906</v>
      </c>
      <c r="H2422" s="23">
        <f t="shared" si="161"/>
        <v>650</v>
      </c>
      <c r="I2422" s="12">
        <f>ksh*Massivete/(H2422*RhoA)*DeltaT*(F2422+G2422)</f>
        <v>6.2754736458598068E-2</v>
      </c>
      <c r="J2422" s="3">
        <f>IF(E2422&lt;=500,IF(Galva=Oui,0.35,0.7),0.7)</f>
        <v>0.7</v>
      </c>
    </row>
    <row r="2423" spans="2:10" x14ac:dyDescent="0.25">
      <c r="B2423" s="3">
        <f>B2422+DeltaT</f>
        <v>12030</v>
      </c>
      <c r="C2423" s="13">
        <f t="shared" si="158"/>
        <v>200.5</v>
      </c>
      <c r="D2423" s="11">
        <f t="shared" si="159"/>
        <v>1125.8888876756073</v>
      </c>
      <c r="E2423" s="23">
        <f t="shared" si="160"/>
        <v>1124.9627015321596</v>
      </c>
      <c r="F2423" s="23">
        <f>AlphaC*(D2423-E2423)</f>
        <v>23.154653586192353</v>
      </c>
      <c r="G2423" s="13">
        <f>Phi*EpsilonF*Botzman/10^8*J2423*((D2423+273)^4-(E2423+273)^4)</f>
        <v>402.1218718671268</v>
      </c>
      <c r="H2423" s="23">
        <f t="shared" si="161"/>
        <v>650</v>
      </c>
      <c r="I2423" s="12">
        <f>ksh*Massivete/(H2423*RhoA)*DeltaT*(F2423+G2423)</f>
        <v>6.2728391873018943E-2</v>
      </c>
      <c r="J2423" s="3">
        <f>IF(E2423&lt;=500,IF(Galva=Oui,0.35,0.7),0.7)</f>
        <v>0.7</v>
      </c>
    </row>
    <row r="2424" spans="2:10" x14ac:dyDescent="0.25">
      <c r="B2424" s="3">
        <f>B2423+DeltaT</f>
        <v>12035</v>
      </c>
      <c r="C2424" s="13">
        <f t="shared" si="158"/>
        <v>200.58333333333334</v>
      </c>
      <c r="D2424" s="11">
        <f t="shared" si="159"/>
        <v>1125.951110100196</v>
      </c>
      <c r="E2424" s="23">
        <f t="shared" si="160"/>
        <v>1125.0254299240326</v>
      </c>
      <c r="F2424" s="23">
        <f>AlphaC*(D2424-E2424)</f>
        <v>23.142004404087402</v>
      </c>
      <c r="G2424" s="13">
        <f>Phi*EpsilonF*Botzman/10^8*J2424*((D2424+273)^4-(E2424+273)^4)</f>
        <v>401.95606418204397</v>
      </c>
      <c r="H2424" s="23">
        <f t="shared" si="161"/>
        <v>650</v>
      </c>
      <c r="I2424" s="12">
        <f>ksh*Massivete/(H2424*RhoA)*DeltaT*(F2424+G2424)</f>
        <v>6.2702069441312999E-2</v>
      </c>
      <c r="J2424" s="3">
        <f>IF(E2424&lt;=500,IF(Galva=Oui,0.35,0.7),0.7)</f>
        <v>0.7</v>
      </c>
    </row>
    <row r="2425" spans="2:10" x14ac:dyDescent="0.25">
      <c r="B2425" s="3">
        <f>B2424+DeltaT</f>
        <v>12040</v>
      </c>
      <c r="C2425" s="13">
        <f t="shared" si="158"/>
        <v>200.66666666666666</v>
      </c>
      <c r="D2425" s="11">
        <f t="shared" si="159"/>
        <v>1126.0133066956332</v>
      </c>
      <c r="E2425" s="23">
        <f t="shared" si="160"/>
        <v>1125.0881319934738</v>
      </c>
      <c r="F2425" s="23">
        <f>AlphaC*(D2425-E2425)</f>
        <v>23.129367553985958</v>
      </c>
      <c r="G2425" s="13">
        <f>Phi*EpsilonF*Botzman/10^8*J2425*((D2425+273)^4-(E2425+273)^4)</f>
        <v>401.79039417087347</v>
      </c>
      <c r="H2425" s="23">
        <f t="shared" si="161"/>
        <v>650</v>
      </c>
      <c r="I2425" s="12">
        <f>ksh*Massivete/(H2425*RhoA)*DeltaT*(F2425+G2425)</f>
        <v>6.2675769135516465E-2</v>
      </c>
      <c r="J2425" s="3">
        <f>IF(E2425&lt;=500,IF(Galva=Oui,0.35,0.7),0.7)</f>
        <v>0.7</v>
      </c>
    </row>
    <row r="2426" spans="2:10" x14ac:dyDescent="0.25">
      <c r="B2426" s="3">
        <f>B2425+DeltaT</f>
        <v>12045</v>
      </c>
      <c r="C2426" s="13">
        <f t="shared" si="158"/>
        <v>200.75</v>
      </c>
      <c r="D2426" s="11">
        <f t="shared" si="159"/>
        <v>1126.0754774833538</v>
      </c>
      <c r="E2426" s="23">
        <f t="shared" si="160"/>
        <v>1125.1508077626092</v>
      </c>
      <c r="F2426" s="23">
        <f>AlphaC*(D2426-E2426)</f>
        <v>23.116743018613306</v>
      </c>
      <c r="G2426" s="13">
        <f>Phi*EpsilonF*Botzman/10^8*J2426*((D2426+273)^4-(E2426+273)^4)</f>
        <v>401.62486166156066</v>
      </c>
      <c r="H2426" s="23">
        <f t="shared" si="161"/>
        <v>650</v>
      </c>
      <c r="I2426" s="12">
        <f>ksh*Massivete/(H2426*RhoA)*DeltaT*(F2426+G2426)</f>
        <v>6.264949092770318E-2</v>
      </c>
      <c r="J2426" s="3">
        <f>IF(E2426&lt;=500,IF(Galva=Oui,0.35,0.7),0.7)</f>
        <v>0.7</v>
      </c>
    </row>
    <row r="2427" spans="2:10" x14ac:dyDescent="0.25">
      <c r="B2427" s="3">
        <f>B2426+DeltaT</f>
        <v>12050</v>
      </c>
      <c r="C2427" s="13">
        <f t="shared" si="158"/>
        <v>200.83333333333334</v>
      </c>
      <c r="D2427" s="11">
        <f t="shared" si="159"/>
        <v>1126.1376224847659</v>
      </c>
      <c r="E2427" s="23">
        <f t="shared" si="160"/>
        <v>1125.2134572535369</v>
      </c>
      <c r="F2427" s="23">
        <f>AlphaC*(D2427-E2427)</f>
        <v>23.104130780723153</v>
      </c>
      <c r="G2427" s="13">
        <f>Phi*EpsilonF*Botzman/10^8*J2427*((D2427+273)^4-(E2427+273)^4)</f>
        <v>401.45946648218666</v>
      </c>
      <c r="H2427" s="23">
        <f t="shared" si="161"/>
        <v>650</v>
      </c>
      <c r="I2427" s="12">
        <f>ksh*Massivete/(H2427*RhoA)*DeltaT*(F2427+G2427)</f>
        <v>6.2623234789971283E-2</v>
      </c>
      <c r="J2427" s="3">
        <f>IF(E2427&lt;=500,IF(Galva=Oui,0.35,0.7),0.7)</f>
        <v>0.7</v>
      </c>
    </row>
    <row r="2428" spans="2:10" x14ac:dyDescent="0.25">
      <c r="B2428" s="3">
        <f>B2427+DeltaT</f>
        <v>12055</v>
      </c>
      <c r="C2428" s="13">
        <f t="shared" si="158"/>
        <v>200.91666666666666</v>
      </c>
      <c r="D2428" s="11">
        <f t="shared" si="159"/>
        <v>1126.1997417212513</v>
      </c>
      <c r="E2428" s="23">
        <f t="shared" si="160"/>
        <v>1125.2760804883269</v>
      </c>
      <c r="F2428" s="23">
        <f>AlphaC*(D2428-E2428)</f>
        <v>23.091530823108997</v>
      </c>
      <c r="G2428" s="13">
        <f>Phi*EpsilonF*Botzman/10^8*J2428*((D2428+273)^4-(E2428+273)^4)</f>
        <v>401.29420846129756</v>
      </c>
      <c r="H2428" s="23">
        <f t="shared" si="161"/>
        <v>650</v>
      </c>
      <c r="I2428" s="12">
        <f>ksh*Massivete/(H2428*RhoA)*DeltaT*(F2428+G2428)</f>
        <v>6.2597000694493282E-2</v>
      </c>
      <c r="J2428" s="3">
        <f>IF(E2428&lt;=500,IF(Galva=Oui,0.35,0.7),0.7)</f>
        <v>0.7</v>
      </c>
    </row>
    <row r="2429" spans="2:10" x14ac:dyDescent="0.25">
      <c r="B2429" s="3">
        <f>B2428+DeltaT</f>
        <v>12060</v>
      </c>
      <c r="C2429" s="13">
        <f t="shared" si="158"/>
        <v>201</v>
      </c>
      <c r="D2429" s="11">
        <f t="shared" si="159"/>
        <v>1126.2618352141651</v>
      </c>
      <c r="E2429" s="23">
        <f t="shared" si="160"/>
        <v>1125.3386774890214</v>
      </c>
      <c r="F2429" s="23">
        <f>AlphaC*(D2429-E2429)</f>
        <v>23.078943128592755</v>
      </c>
      <c r="G2429" s="13">
        <f>Phi*EpsilonF*Botzman/10^8*J2429*((D2429+273)^4-(E2429+273)^4)</f>
        <v>401.12908742761397</v>
      </c>
      <c r="H2429" s="23">
        <f t="shared" si="161"/>
        <v>650</v>
      </c>
      <c r="I2429" s="12">
        <f>ksh*Massivete/(H2429*RhoA)*DeltaT*(F2429+G2429)</f>
        <v>6.2570788613471665E-2</v>
      </c>
      <c r="J2429" s="3">
        <f>IF(E2429&lt;=500,IF(Galva=Oui,0.35,0.7),0.7)</f>
        <v>0.7</v>
      </c>
    </row>
    <row r="2430" spans="2:10" x14ac:dyDescent="0.25">
      <c r="B2430" s="3">
        <f>B2429+DeltaT</f>
        <v>12065</v>
      </c>
      <c r="C2430" s="13">
        <f t="shared" si="158"/>
        <v>201.08333333333334</v>
      </c>
      <c r="D2430" s="11">
        <f t="shared" si="159"/>
        <v>1126.3239029848357</v>
      </c>
      <c r="E2430" s="23">
        <f t="shared" si="160"/>
        <v>1125.401248277635</v>
      </c>
      <c r="F2430" s="23">
        <f>AlphaC*(D2430-E2430)</f>
        <v>23.066367680019084</v>
      </c>
      <c r="G2430" s="13">
        <f>Phi*EpsilonF*Botzman/10^8*J2430*((D2430+273)^4-(E2430+273)^4)</f>
        <v>400.96410321010848</v>
      </c>
      <c r="H2430" s="23">
        <f t="shared" si="161"/>
        <v>650</v>
      </c>
      <c r="I2430" s="12">
        <f>ksh*Massivete/(H2430*RhoA)*DeltaT*(F2430+G2430)</f>
        <v>6.2544598519149425E-2</v>
      </c>
      <c r="J2430" s="3">
        <f>IF(E2430&lt;=500,IF(Galva=Oui,0.35,0.7),0.7)</f>
        <v>0.7</v>
      </c>
    </row>
    <row r="2431" spans="2:10" x14ac:dyDescent="0.25">
      <c r="B2431" s="3">
        <f>B2430+DeltaT</f>
        <v>12070</v>
      </c>
      <c r="C2431" s="13">
        <f t="shared" si="158"/>
        <v>201.16666666666666</v>
      </c>
      <c r="D2431" s="11">
        <f t="shared" si="159"/>
        <v>1126.3859450545656</v>
      </c>
      <c r="E2431" s="23">
        <f t="shared" si="160"/>
        <v>1125.4637928761542</v>
      </c>
      <c r="F2431" s="23">
        <f>AlphaC*(D2431-E2431)</f>
        <v>23.0538044602838</v>
      </c>
      <c r="G2431" s="13">
        <f>Phi*EpsilonF*Botzman/10^8*J2431*((D2431+273)^4-(E2431+273)^4)</f>
        <v>400.79925563831563</v>
      </c>
      <c r="H2431" s="23">
        <f t="shared" si="161"/>
        <v>650</v>
      </c>
      <c r="I2431" s="12">
        <f>ksh*Massivete/(H2431*RhoA)*DeltaT*(F2431+G2431)</f>
        <v>6.2518430383859999E-2</v>
      </c>
      <c r="J2431" s="3">
        <f>IF(E2431&lt;=500,IF(Galva=Oui,0.35,0.7),0.7)</f>
        <v>0.7</v>
      </c>
    </row>
    <row r="2432" spans="2:10" x14ac:dyDescent="0.25">
      <c r="B2432" s="3">
        <f>B2431+DeltaT</f>
        <v>12075</v>
      </c>
      <c r="C2432" s="13">
        <f t="shared" si="158"/>
        <v>201.25</v>
      </c>
      <c r="D2432" s="11">
        <f t="shared" si="159"/>
        <v>1126.44796144463</v>
      </c>
      <c r="E2432" s="23">
        <f t="shared" si="160"/>
        <v>1125.526311306538</v>
      </c>
      <c r="F2432" s="23">
        <f>AlphaC*(D2432-E2432)</f>
        <v>23.04125345229977</v>
      </c>
      <c r="G2432" s="13">
        <f>Phi*EpsilonF*Botzman/10^8*J2432*((D2432+273)^4-(E2432+273)^4)</f>
        <v>400.6345445417893</v>
      </c>
      <c r="H2432" s="23">
        <f t="shared" si="161"/>
        <v>650</v>
      </c>
      <c r="I2432" s="12">
        <f>ksh*Massivete/(H2432*RhoA)*DeltaT*(F2432+G2432)</f>
        <v>6.2492284179942181E-2</v>
      </c>
      <c r="J2432" s="3">
        <f>IF(E2432&lt;=500,IF(Galva=Oui,0.35,0.7),0.7)</f>
        <v>0.7</v>
      </c>
    </row>
    <row r="2433" spans="2:10" x14ac:dyDescent="0.25">
      <c r="B2433" s="3">
        <f>B2432+DeltaT</f>
        <v>12080</v>
      </c>
      <c r="C2433" s="13">
        <f t="shared" si="158"/>
        <v>201.33333333333334</v>
      </c>
      <c r="D2433" s="11">
        <f t="shared" si="159"/>
        <v>1126.5099521762784</v>
      </c>
      <c r="E2433" s="23">
        <f t="shared" si="160"/>
        <v>1125.588803590718</v>
      </c>
      <c r="F2433" s="23">
        <f>AlphaC*(D2433-E2433)</f>
        <v>23.028714639008285</v>
      </c>
      <c r="G2433" s="13">
        <f>Phi*EpsilonF*Botzman/10^8*J2433*((D2433+273)^4-(E2433+273)^4)</f>
        <v>400.46996975031607</v>
      </c>
      <c r="H2433" s="23">
        <f t="shared" si="161"/>
        <v>650</v>
      </c>
      <c r="I2433" s="12">
        <f>ksh*Massivete/(H2433*RhoA)*DeltaT*(F2433+G2433)</f>
        <v>6.2466159879773296E-2</v>
      </c>
      <c r="J2433" s="3">
        <f>IF(E2433&lt;=500,IF(Galva=Oui,0.35,0.7),0.7)</f>
        <v>0.7</v>
      </c>
    </row>
    <row r="2434" spans="2:10" x14ac:dyDescent="0.25">
      <c r="B2434" s="3">
        <f>B2433+DeltaT</f>
        <v>12085</v>
      </c>
      <c r="C2434" s="13">
        <f t="shared" si="158"/>
        <v>201.41666666666666</v>
      </c>
      <c r="D2434" s="11">
        <f t="shared" si="159"/>
        <v>1126.5719172707334</v>
      </c>
      <c r="E2434" s="23">
        <f t="shared" si="160"/>
        <v>1125.6512697505977</v>
      </c>
      <c r="F2434" s="23">
        <f>AlphaC*(D2434-E2434)</f>
        <v>23.016188003390425</v>
      </c>
      <c r="G2434" s="13">
        <f>Phi*EpsilonF*Botzman/10^8*J2434*((D2434+273)^4-(E2434+273)^4)</f>
        <v>400.30553109420555</v>
      </c>
      <c r="H2434" s="23">
        <f t="shared" si="161"/>
        <v>650</v>
      </c>
      <c r="I2434" s="12">
        <f>ksh*Massivete/(H2434*RhoA)*DeltaT*(F2434+G2434)</f>
        <v>6.2440057455813665E-2</v>
      </c>
      <c r="J2434" s="3">
        <f>IF(E2434&lt;=500,IF(Galva=Oui,0.35,0.7),0.7)</f>
        <v>0.7</v>
      </c>
    </row>
    <row r="2435" spans="2:10" x14ac:dyDescent="0.25">
      <c r="B2435" s="3">
        <f>B2434+DeltaT</f>
        <v>12090</v>
      </c>
      <c r="C2435" s="13">
        <f t="shared" si="158"/>
        <v>201.5</v>
      </c>
      <c r="D2435" s="11">
        <f t="shared" si="159"/>
        <v>1126.6338567491916</v>
      </c>
      <c r="E2435" s="23">
        <f t="shared" si="160"/>
        <v>1125.7137098080536</v>
      </c>
      <c r="F2435" s="23">
        <f>AlphaC*(D2435-E2435)</f>
        <v>23.003673528450008</v>
      </c>
      <c r="G2435" s="13">
        <f>Phi*EpsilonF*Botzman/10^8*J2435*((D2435+273)^4-(E2435+273)^4)</f>
        <v>400.1412284038451</v>
      </c>
      <c r="H2435" s="23">
        <f t="shared" si="161"/>
        <v>650</v>
      </c>
      <c r="I2435" s="12">
        <f>ksh*Massivete/(H2435*RhoA)*DeltaT*(F2435+G2435)</f>
        <v>6.2413976880538444E-2</v>
      </c>
      <c r="J2435" s="3">
        <f>IF(E2435&lt;=500,IF(Galva=Oui,0.35,0.7),0.7)</f>
        <v>0.7</v>
      </c>
    </row>
    <row r="2436" spans="2:10" x14ac:dyDescent="0.25">
      <c r="B2436" s="3">
        <f>B2435+DeltaT</f>
        <v>12095</v>
      </c>
      <c r="C2436" s="13">
        <f t="shared" si="158"/>
        <v>201.58333333333334</v>
      </c>
      <c r="D2436" s="11">
        <f t="shared" si="159"/>
        <v>1126.6957706328233</v>
      </c>
      <c r="E2436" s="23">
        <f t="shared" si="160"/>
        <v>1125.7761237849343</v>
      </c>
      <c r="F2436" s="23">
        <f>AlphaC*(D2436-E2436)</f>
        <v>22.991171197224958</v>
      </c>
      <c r="G2436" s="13">
        <f>Phi*EpsilonF*Botzman/10^8*J2436*((D2436+273)^4-(E2436+273)^4)</f>
        <v>399.97706150991274</v>
      </c>
      <c r="H2436" s="23">
        <f t="shared" si="161"/>
        <v>650</v>
      </c>
      <c r="I2436" s="12">
        <f>ksh*Massivete/(H2436*RhoA)*DeltaT*(F2436+G2436)</f>
        <v>6.2387918126470689E-2</v>
      </c>
      <c r="J2436" s="3">
        <f>IF(E2436&lt;=500,IF(Galva=Oui,0.35,0.7),0.7)</f>
        <v>0.7</v>
      </c>
    </row>
    <row r="2437" spans="2:10" x14ac:dyDescent="0.25">
      <c r="B2437" s="3">
        <f>B2436+DeltaT</f>
        <v>12100</v>
      </c>
      <c r="C2437" s="13">
        <f t="shared" si="158"/>
        <v>201.66666666666666</v>
      </c>
      <c r="D2437" s="11">
        <f t="shared" si="159"/>
        <v>1126.7576589427724</v>
      </c>
      <c r="E2437" s="23">
        <f t="shared" si="160"/>
        <v>1125.8385117030607</v>
      </c>
      <c r="F2437" s="23">
        <f>AlphaC*(D2437-E2437)</f>
        <v>22.978680992792988</v>
      </c>
      <c r="G2437" s="13">
        <f>Phi*EpsilonF*Botzman/10^8*J2437*((D2437+273)^4-(E2437+273)^4)</f>
        <v>399.81303024364831</v>
      </c>
      <c r="H2437" s="23">
        <f t="shared" si="161"/>
        <v>650</v>
      </c>
      <c r="I2437" s="12">
        <f>ksh*Massivete/(H2437*RhoA)*DeltaT*(F2437+G2437)</f>
        <v>6.2361881166222197E-2</v>
      </c>
      <c r="J2437" s="3">
        <f>IF(E2437&lt;=500,IF(Galva=Oui,0.35,0.7),0.7)</f>
        <v>0.7</v>
      </c>
    </row>
    <row r="2438" spans="2:10" x14ac:dyDescent="0.25">
      <c r="B2438" s="3">
        <f>B2437+DeltaT</f>
        <v>12105</v>
      </c>
      <c r="C2438" s="13">
        <f t="shared" si="158"/>
        <v>201.75</v>
      </c>
      <c r="D2438" s="11">
        <f t="shared" si="159"/>
        <v>1126.8195217001569</v>
      </c>
      <c r="E2438" s="23">
        <f t="shared" si="160"/>
        <v>1125.9008735842269</v>
      </c>
      <c r="F2438" s="23">
        <f>AlphaC*(D2438-E2438)</f>
        <v>22.966202898248866</v>
      </c>
      <c r="G2438" s="13">
        <f>Phi*EpsilonF*Botzman/10^8*J2438*((D2438+273)^4-(E2438+273)^4)</f>
        <v>399.64913443623374</v>
      </c>
      <c r="H2438" s="23">
        <f t="shared" si="161"/>
        <v>650</v>
      </c>
      <c r="I2438" s="12">
        <f>ksh*Massivete/(H2438*RhoA)*DeltaT*(F2438+G2438)</f>
        <v>6.2335865972398728E-2</v>
      </c>
      <c r="J2438" s="3">
        <f>IF(E2438&lt;=500,IF(Galva=Oui,0.35,0.7),0.7)</f>
        <v>0.7</v>
      </c>
    </row>
    <row r="2439" spans="2:10" x14ac:dyDescent="0.25">
      <c r="B2439" s="3">
        <f>B2438+DeltaT</f>
        <v>12110</v>
      </c>
      <c r="C2439" s="13">
        <f t="shared" si="158"/>
        <v>201.83333333333334</v>
      </c>
      <c r="D2439" s="11">
        <f t="shared" si="159"/>
        <v>1126.8813589260683</v>
      </c>
      <c r="E2439" s="23">
        <f t="shared" si="160"/>
        <v>1125.9632094501994</v>
      </c>
      <c r="F2439" s="23">
        <f>AlphaC*(D2439-E2439)</f>
        <v>22.953736896721466</v>
      </c>
      <c r="G2439" s="13">
        <f>Phi*EpsilonF*Botzman/10^8*J2439*((D2439+273)^4-(E2439+273)^4)</f>
        <v>399.48537391918029</v>
      </c>
      <c r="H2439" s="23">
        <f t="shared" si="161"/>
        <v>650</v>
      </c>
      <c r="I2439" s="12">
        <f>ksh*Massivete/(H2439*RhoA)*DeltaT*(F2439+G2439)</f>
        <v>6.2309872517659667E-2</v>
      </c>
      <c r="J2439" s="3">
        <f>IF(E2439&lt;=500,IF(Galva=Oui,0.35,0.7),0.7)</f>
        <v>0.7</v>
      </c>
    </row>
    <row r="2440" spans="2:10" x14ac:dyDescent="0.25">
      <c r="B2440" s="3">
        <f>B2439+DeltaT</f>
        <v>12115</v>
      </c>
      <c r="C2440" s="13">
        <f t="shared" si="158"/>
        <v>201.91666666666666</v>
      </c>
      <c r="D2440" s="11">
        <f t="shared" si="159"/>
        <v>1126.9431706415721</v>
      </c>
      <c r="E2440" s="23">
        <f t="shared" si="160"/>
        <v>1126.0255193227172</v>
      </c>
      <c r="F2440" s="23">
        <f>AlphaC*(D2440-E2440)</f>
        <v>22.941282971373766</v>
      </c>
      <c r="G2440" s="13">
        <f>Phi*EpsilonF*Botzman/10^8*J2440*((D2440+273)^4-(E2440+273)^4)</f>
        <v>399.32174852440625</v>
      </c>
      <c r="H2440" s="23">
        <f t="shared" si="161"/>
        <v>650</v>
      </c>
      <c r="I2440" s="12">
        <f>ksh*Massivete/(H2440*RhoA)*DeltaT*(F2440+G2440)</f>
        <v>6.2283900774729443E-2</v>
      </c>
      <c r="J2440" s="3">
        <f>IF(E2440&lt;=500,IF(Galva=Oui,0.35,0.7),0.7)</f>
        <v>0.7</v>
      </c>
    </row>
    <row r="2441" spans="2:10" x14ac:dyDescent="0.25">
      <c r="B2441" s="3">
        <f>B2440+DeltaT</f>
        <v>12120</v>
      </c>
      <c r="C2441" s="13">
        <f t="shared" si="158"/>
        <v>202</v>
      </c>
      <c r="D2441" s="11">
        <f t="shared" si="159"/>
        <v>1127.0049568677084</v>
      </c>
      <c r="E2441" s="23">
        <f t="shared" si="160"/>
        <v>1126.0878032234918</v>
      </c>
      <c r="F2441" s="23">
        <f>AlphaC*(D2441-E2441)</f>
        <v>22.928841105414222</v>
      </c>
      <c r="G2441" s="13">
        <f>Phi*EpsilonF*Botzman/10^8*J2441*((D2441+273)^4-(E2441+273)^4)</f>
        <v>399.15825808435318</v>
      </c>
      <c r="H2441" s="23">
        <f t="shared" si="161"/>
        <v>650</v>
      </c>
      <c r="I2441" s="12">
        <f>ksh*Massivete/(H2441*RhoA)*DeltaT*(F2441+G2441)</f>
        <v>6.2257950716416398E-2</v>
      </c>
      <c r="J2441" s="3">
        <f>IF(E2441&lt;=500,IF(Galva=Oui,0.35,0.7),0.7)</f>
        <v>0.7</v>
      </c>
    </row>
    <row r="2442" spans="2:10" x14ac:dyDescent="0.25">
      <c r="B2442" s="3">
        <f>B2441+DeltaT</f>
        <v>12125</v>
      </c>
      <c r="C2442" s="13">
        <f t="shared" si="158"/>
        <v>202.08333333333334</v>
      </c>
      <c r="D2442" s="11">
        <f t="shared" si="159"/>
        <v>1127.0667176254899</v>
      </c>
      <c r="E2442" s="23">
        <f t="shared" si="160"/>
        <v>1126.1500611742083</v>
      </c>
      <c r="F2442" s="23">
        <f>AlphaC*(D2442-E2442)</f>
        <v>22.916411282039917</v>
      </c>
      <c r="G2442" s="13">
        <f>Phi*EpsilonF*Botzman/10^8*J2442*((D2442+273)^4-(E2442+273)^4)</f>
        <v>398.99490243097807</v>
      </c>
      <c r="H2442" s="23">
        <f t="shared" si="161"/>
        <v>650</v>
      </c>
      <c r="I2442" s="12">
        <f>ksh*Massivete/(H2442*RhoA)*DeltaT*(F2442+G2442)</f>
        <v>6.2232022315455708E-2</v>
      </c>
      <c r="J2442" s="3">
        <f>IF(E2442&lt;=500,IF(Galva=Oui,0.35,0.7),0.7)</f>
        <v>0.7</v>
      </c>
    </row>
    <row r="2443" spans="2:10" x14ac:dyDescent="0.25">
      <c r="B2443" s="3">
        <f>B2442+DeltaT</f>
        <v>12130</v>
      </c>
      <c r="C2443" s="13">
        <f t="shared" si="158"/>
        <v>202.16666666666666</v>
      </c>
      <c r="D2443" s="11">
        <f t="shared" si="159"/>
        <v>1127.1284529359045</v>
      </c>
      <c r="E2443" s="23">
        <f t="shared" si="160"/>
        <v>1126.2122931965237</v>
      </c>
      <c r="F2443" s="23">
        <f>AlphaC*(D2443-E2443)</f>
        <v>22.903993484521834</v>
      </c>
      <c r="G2443" s="13">
        <f>Phi*EpsilonF*Botzman/10^8*J2443*((D2443+273)^4-(E2443+273)^4)</f>
        <v>398.83168139734266</v>
      </c>
      <c r="H2443" s="23">
        <f t="shared" si="161"/>
        <v>650</v>
      </c>
      <c r="I2443" s="12">
        <f>ksh*Massivete/(H2443*RhoA)*DeltaT*(F2443+G2443)</f>
        <v>6.2206115544756406E-2</v>
      </c>
      <c r="J2443" s="3">
        <f>IF(E2443&lt;=500,IF(Galva=Oui,0.35,0.7),0.7)</f>
        <v>0.7</v>
      </c>
    </row>
    <row r="2444" spans="2:10" x14ac:dyDescent="0.25">
      <c r="B2444" s="3">
        <f>B2443+DeltaT</f>
        <v>12135</v>
      </c>
      <c r="C2444" s="13">
        <f t="shared" si="158"/>
        <v>202.25</v>
      </c>
      <c r="D2444" s="11">
        <f t="shared" si="159"/>
        <v>1127.1901628199139</v>
      </c>
      <c r="E2444" s="23">
        <f t="shared" si="160"/>
        <v>1126.2744993120684</v>
      </c>
      <c r="F2444" s="23">
        <f>AlphaC*(D2444-E2444)</f>
        <v>22.891587696136639</v>
      </c>
      <c r="G2444" s="13">
        <f>Phi*EpsilonF*Botzman/10^8*J2444*((D2444+273)^4-(E2444+273)^4)</f>
        <v>398.66859481621793</v>
      </c>
      <c r="H2444" s="23">
        <f t="shared" si="161"/>
        <v>650</v>
      </c>
      <c r="I2444" s="12">
        <f>ksh*Massivete/(H2444*RhoA)*DeltaT*(F2444+G2444)</f>
        <v>6.2180230377185473E-2</v>
      </c>
      <c r="J2444" s="3">
        <f>IF(E2444&lt;=500,IF(Galva=Oui,0.35,0.7),0.7)</f>
        <v>0.7</v>
      </c>
    </row>
    <row r="2445" spans="2:10" x14ac:dyDescent="0.25">
      <c r="B2445" s="3">
        <f>B2444+DeltaT</f>
        <v>12140</v>
      </c>
      <c r="C2445" s="13">
        <f t="shared" si="158"/>
        <v>202.33333333333334</v>
      </c>
      <c r="D2445" s="11">
        <f t="shared" si="159"/>
        <v>1127.2518472984534</v>
      </c>
      <c r="E2445" s="23">
        <f t="shared" si="160"/>
        <v>1126.3366795424456</v>
      </c>
      <c r="F2445" s="23">
        <f>AlphaC*(D2445-E2445)</f>
        <v>22.879193900195105</v>
      </c>
      <c r="G2445" s="13">
        <f>Phi*EpsilonF*Botzman/10^8*J2445*((D2445+273)^4-(E2445+273)^4)</f>
        <v>398.50564252093682</v>
      </c>
      <c r="H2445" s="23">
        <f t="shared" si="161"/>
        <v>650</v>
      </c>
      <c r="I2445" s="12">
        <f>ksh*Massivete/(H2445*RhoA)*DeltaT*(F2445+G2445)</f>
        <v>6.2154366785697815E-2</v>
      </c>
      <c r="J2445" s="3">
        <f>IF(E2445&lt;=500,IF(Galva=Oui,0.35,0.7),0.7)</f>
        <v>0.7</v>
      </c>
    </row>
    <row r="2446" spans="2:10" x14ac:dyDescent="0.25">
      <c r="B2446" s="3">
        <f>B2445+DeltaT</f>
        <v>12145</v>
      </c>
      <c r="C2446" s="13">
        <f t="shared" si="158"/>
        <v>202.41666666666666</v>
      </c>
      <c r="D2446" s="11">
        <f t="shared" si="159"/>
        <v>1127.3135063924335</v>
      </c>
      <c r="E2446" s="23">
        <f t="shared" si="160"/>
        <v>1126.3988339092314</v>
      </c>
      <c r="F2446" s="23">
        <f>AlphaC*(D2446-E2446)</f>
        <v>22.866812080053478</v>
      </c>
      <c r="G2446" s="13">
        <f>Phi*EpsilonF*Botzman/10^8*J2446*((D2446+273)^4-(E2446+273)^4)</f>
        <v>398.3428243451425</v>
      </c>
      <c r="H2446" s="23">
        <f t="shared" si="161"/>
        <v>650</v>
      </c>
      <c r="I2446" s="12">
        <f>ksh*Massivete/(H2446*RhoA)*DeltaT*(F2446+G2446)</f>
        <v>6.2128524743300793E-2</v>
      </c>
      <c r="J2446" s="3">
        <f>IF(E2446&lt;=500,IF(Galva=Oui,0.35,0.7),0.7)</f>
        <v>0.7</v>
      </c>
    </row>
    <row r="2447" spans="2:10" x14ac:dyDescent="0.25">
      <c r="B2447" s="3">
        <f>B2446+DeltaT</f>
        <v>12150</v>
      </c>
      <c r="C2447" s="13">
        <f t="shared" si="158"/>
        <v>202.5</v>
      </c>
      <c r="D2447" s="11">
        <f t="shared" si="159"/>
        <v>1127.3751401227375</v>
      </c>
      <c r="E2447" s="23">
        <f t="shared" si="160"/>
        <v>1126.4609624339746</v>
      </c>
      <c r="F2447" s="23">
        <f>AlphaC*(D2447-E2447)</f>
        <v>22.85444221907369</v>
      </c>
      <c r="G2447" s="13">
        <f>Phi*EpsilonF*Botzman/10^8*J2447*((D2447+273)^4-(E2447+273)^4)</f>
        <v>398.18014012249739</v>
      </c>
      <c r="H2447" s="23">
        <f t="shared" si="161"/>
        <v>650</v>
      </c>
      <c r="I2447" s="12">
        <f>ksh*Massivete/(H2447*RhoA)*DeltaT*(F2447+G2447)</f>
        <v>6.2102704223005463E-2</v>
      </c>
      <c r="J2447" s="3">
        <f>IF(E2447&lt;=500,IF(Galva=Oui,0.35,0.7),0.7)</f>
        <v>0.7</v>
      </c>
    </row>
    <row r="2448" spans="2:10" x14ac:dyDescent="0.25">
      <c r="B2448" s="3">
        <f>B2447+DeltaT</f>
        <v>12155</v>
      </c>
      <c r="C2448" s="13">
        <f t="shared" si="158"/>
        <v>202.58333333333334</v>
      </c>
      <c r="D2448" s="11">
        <f t="shared" si="159"/>
        <v>1127.4367485102243</v>
      </c>
      <c r="E2448" s="23">
        <f t="shared" si="160"/>
        <v>1126.5230651381976</v>
      </c>
      <c r="F2448" s="23">
        <f>AlphaC*(D2448-E2448)</f>
        <v>22.84208430066883</v>
      </c>
      <c r="G2448" s="13">
        <f>Phi*EpsilonF*Botzman/10^8*J2448*((D2448+273)^4-(E2448+273)^4)</f>
        <v>398.01758968716786</v>
      </c>
      <c r="H2448" s="23">
        <f t="shared" si="161"/>
        <v>650</v>
      </c>
      <c r="I2448" s="12">
        <f>ksh*Massivete/(H2448*RhoA)*DeltaT*(F2448+G2448)</f>
        <v>6.207690519790475E-2</v>
      </c>
      <c r="J2448" s="3">
        <f>IF(E2448&lt;=500,IF(Galva=Oui,0.35,0.7),0.7)</f>
        <v>0.7</v>
      </c>
    </row>
    <row r="2449" spans="2:10" x14ac:dyDescent="0.25">
      <c r="B2449" s="3">
        <f>B2448+DeltaT</f>
        <v>12160</v>
      </c>
      <c r="C2449" s="13">
        <f t="shared" si="158"/>
        <v>202.66666666666666</v>
      </c>
      <c r="D2449" s="11">
        <f t="shared" si="159"/>
        <v>1127.4983315757261</v>
      </c>
      <c r="E2449" s="23">
        <f t="shared" si="160"/>
        <v>1126.5851420433955</v>
      </c>
      <c r="F2449" s="23">
        <f>AlphaC*(D2449-E2449)</f>
        <v>22.829738308263359</v>
      </c>
      <c r="G2449" s="13">
        <f>Phi*EpsilonF*Botzman/10^8*J2449*((D2449+273)^4-(E2449+273)^4)</f>
        <v>397.85517287343652</v>
      </c>
      <c r="H2449" s="23">
        <f t="shared" si="161"/>
        <v>650</v>
      </c>
      <c r="I2449" s="12">
        <f>ksh*Massivete/(H2449*RhoA)*DeltaT*(F2449+G2449)</f>
        <v>6.2051127641110398E-2</v>
      </c>
      <c r="J2449" s="3">
        <f>IF(E2449&lt;=500,IF(Galva=Oui,0.35,0.7),0.7)</f>
        <v>0.7</v>
      </c>
    </row>
    <row r="2450" spans="2:10" x14ac:dyDescent="0.25">
      <c r="B2450" s="3">
        <f>B2449+DeltaT</f>
        <v>12165</v>
      </c>
      <c r="C2450" s="13">
        <f t="shared" ref="C2450:C2513" si="162">B2450/60</f>
        <v>202.75</v>
      </c>
      <c r="D2450" s="11">
        <f t="shared" ref="D2450:D2513" si="163">20+345*LOG(8*C2450+1,10)</f>
        <v>1127.5598893400497</v>
      </c>
      <c r="E2450" s="23">
        <f t="shared" si="160"/>
        <v>1126.6471931710366</v>
      </c>
      <c r="F2450" s="23">
        <f>AlphaC*(D2450-E2450)</f>
        <v>22.817404225327209</v>
      </c>
      <c r="G2450" s="13">
        <f>Phi*EpsilonF*Botzman/10^8*J2450*((D2450+273)^4-(E2450+273)^4)</f>
        <v>397.69288951595422</v>
      </c>
      <c r="H2450" s="23">
        <f t="shared" si="161"/>
        <v>650</v>
      </c>
      <c r="I2450" s="12">
        <f>ksh*Massivete/(H2450*RhoA)*DeltaT*(F2450+G2450)</f>
        <v>6.2025371525795174E-2</v>
      </c>
      <c r="J2450" s="3">
        <f>IF(E2450&lt;=500,IF(Galva=Oui,0.35,0.7),0.7)</f>
        <v>0.7</v>
      </c>
    </row>
    <row r="2451" spans="2:10" x14ac:dyDescent="0.25">
      <c r="B2451" s="3">
        <f>B2450+DeltaT</f>
        <v>12170</v>
      </c>
      <c r="C2451" s="13">
        <f t="shared" si="162"/>
        <v>202.83333333333334</v>
      </c>
      <c r="D2451" s="11">
        <f t="shared" si="163"/>
        <v>1127.621421823977</v>
      </c>
      <c r="E2451" s="23">
        <f t="shared" si="160"/>
        <v>1126.7092185425624</v>
      </c>
      <c r="F2451" s="23">
        <f>AlphaC*(D2451-E2451)</f>
        <v>22.805082035364421</v>
      </c>
      <c r="G2451" s="13">
        <f>Phi*EpsilonF*Botzman/10^8*J2451*((D2451+273)^4-(E2451+273)^4)</f>
        <v>397.53073944985624</v>
      </c>
      <c r="H2451" s="23">
        <f t="shared" si="161"/>
        <v>650</v>
      </c>
      <c r="I2451" s="12">
        <f>ksh*Massivete/(H2451*RhoA)*DeltaT*(F2451+G2451)</f>
        <v>6.1999636825208343E-2</v>
      </c>
      <c r="J2451" s="3">
        <f>IF(E2451&lt;=500,IF(Galva=Oui,0.35,0.7),0.7)</f>
        <v>0.7</v>
      </c>
    </row>
    <row r="2452" spans="2:10" x14ac:dyDescent="0.25">
      <c r="B2452" s="3">
        <f>B2451+DeltaT</f>
        <v>12175</v>
      </c>
      <c r="C2452" s="13">
        <f t="shared" si="162"/>
        <v>202.91666666666666</v>
      </c>
      <c r="D2452" s="11">
        <f t="shared" si="163"/>
        <v>1127.6829290482631</v>
      </c>
      <c r="E2452" s="23">
        <f t="shared" si="160"/>
        <v>1126.7712181793877</v>
      </c>
      <c r="F2452" s="23">
        <f>AlphaC*(D2452-E2452)</f>
        <v>22.792771721884719</v>
      </c>
      <c r="G2452" s="13">
        <f>Phi*EpsilonF*Botzman/10^8*J2452*((D2452+273)^4-(E2452+273)^4)</f>
        <v>397.3687225100648</v>
      </c>
      <c r="H2452" s="23">
        <f t="shared" si="161"/>
        <v>650</v>
      </c>
      <c r="I2452" s="12">
        <f>ksh*Massivete/(H2452*RhoA)*DeltaT*(F2452+G2452)</f>
        <v>6.1973923512568564E-2</v>
      </c>
      <c r="J2452" s="3">
        <f>IF(E2452&lt;=500,IF(Galva=Oui,0.35,0.7),0.7)</f>
        <v>0.7</v>
      </c>
    </row>
    <row r="2453" spans="2:10" x14ac:dyDescent="0.25">
      <c r="B2453" s="3">
        <f>B2452+DeltaT</f>
        <v>12180</v>
      </c>
      <c r="C2453" s="13">
        <f t="shared" si="162"/>
        <v>203</v>
      </c>
      <c r="D2453" s="11">
        <f t="shared" si="163"/>
        <v>1127.744411033638</v>
      </c>
      <c r="E2453" s="23">
        <f t="shared" si="160"/>
        <v>1126.8331921029003</v>
      </c>
      <c r="F2453" s="23">
        <f>AlphaC*(D2453-E2453)</f>
        <v>22.780473268443302</v>
      </c>
      <c r="G2453" s="13">
        <f>Phi*EpsilonF*Botzman/10^8*J2453*((D2453+273)^4-(E2453+273)^4)</f>
        <v>397.20683853204469</v>
      </c>
      <c r="H2453" s="23">
        <f t="shared" si="161"/>
        <v>650</v>
      </c>
      <c r="I2453" s="12">
        <f>ksh*Massivete/(H2453*RhoA)*DeltaT*(F2453+G2453)</f>
        <v>6.1948231561181247E-2</v>
      </c>
      <c r="J2453" s="3">
        <f>IF(E2453&lt;=500,IF(Galva=Oui,0.35,0.7),0.7)</f>
        <v>0.7</v>
      </c>
    </row>
    <row r="2454" spans="2:10" x14ac:dyDescent="0.25">
      <c r="B2454" s="3">
        <f>B2453+DeltaT</f>
        <v>12185</v>
      </c>
      <c r="C2454" s="13">
        <f t="shared" si="162"/>
        <v>203.08333333333334</v>
      </c>
      <c r="D2454" s="11">
        <f t="shared" si="163"/>
        <v>1127.8058678008067</v>
      </c>
      <c r="E2454" s="23">
        <f t="shared" si="160"/>
        <v>1126.8951403344615</v>
      </c>
      <c r="F2454" s="23">
        <f>AlphaC*(D2454-E2454)</f>
        <v>22.768186658629475</v>
      </c>
      <c r="G2454" s="13">
        <f>Phi*EpsilonF*Botzman/10^8*J2454*((D2454+273)^4-(E2454+273)^4)</f>
        <v>397.04508735166769</v>
      </c>
      <c r="H2454" s="23">
        <f t="shared" si="161"/>
        <v>650</v>
      </c>
      <c r="I2454" s="12">
        <f>ksh*Massivete/(H2454*RhoA)*DeltaT*(F2454+G2454)</f>
        <v>6.1922560944416859E-2</v>
      </c>
      <c r="J2454" s="3">
        <f>IF(E2454&lt;=500,IF(Galva=Oui,0.35,0.7),0.7)</f>
        <v>0.7</v>
      </c>
    </row>
    <row r="2455" spans="2:10" x14ac:dyDescent="0.25">
      <c r="B2455" s="3">
        <f>B2454+DeltaT</f>
        <v>12190</v>
      </c>
      <c r="C2455" s="13">
        <f t="shared" si="162"/>
        <v>203.16666666666666</v>
      </c>
      <c r="D2455" s="11">
        <f t="shared" si="163"/>
        <v>1127.8672993704481</v>
      </c>
      <c r="E2455" s="23">
        <f t="shared" si="160"/>
        <v>1126.9570628954059</v>
      </c>
      <c r="F2455" s="23">
        <f>AlphaC*(D2455-E2455)</f>
        <v>22.755911876055279</v>
      </c>
      <c r="G2455" s="13">
        <f>Phi*EpsilonF*Botzman/10^8*J2455*((D2455+273)^4-(E2455+273)^4)</f>
        <v>396.8834688048637</v>
      </c>
      <c r="H2455" s="23">
        <f t="shared" si="161"/>
        <v>650</v>
      </c>
      <c r="I2455" s="12">
        <f>ksh*Massivete/(H2455*RhoA)*DeltaT*(F2455+G2455)</f>
        <v>6.1896911635657782E-2</v>
      </c>
      <c r="J2455" s="3">
        <f>IF(E2455&lt;=500,IF(Galva=Oui,0.35,0.7),0.7)</f>
        <v>0.7</v>
      </c>
    </row>
    <row r="2456" spans="2:10" x14ac:dyDescent="0.25">
      <c r="B2456" s="3">
        <f>B2455+DeltaT</f>
        <v>12195</v>
      </c>
      <c r="C2456" s="13">
        <f t="shared" si="162"/>
        <v>203.25</v>
      </c>
      <c r="D2456" s="11">
        <f t="shared" si="163"/>
        <v>1127.9287057632162</v>
      </c>
      <c r="E2456" s="23">
        <f t="shared" si="160"/>
        <v>1127.0189598070415</v>
      </c>
      <c r="F2456" s="23">
        <f>AlphaC*(D2456-E2456)</f>
        <v>22.743648904366864</v>
      </c>
      <c r="G2456" s="13">
        <f>Phi*EpsilonF*Botzman/10^8*J2456*((D2456+273)^4-(E2456+273)^4)</f>
        <v>396.7219827280083</v>
      </c>
      <c r="H2456" s="23">
        <f t="shared" si="161"/>
        <v>650</v>
      </c>
      <c r="I2456" s="12">
        <f>ksh*Massivete/(H2456*RhoA)*DeltaT*(F2456+G2456)</f>
        <v>6.1871283608357183E-2</v>
      </c>
      <c r="J2456" s="3">
        <f>IF(E2456&lt;=500,IF(Galva=Oui,0.35,0.7),0.7)</f>
        <v>0.7</v>
      </c>
    </row>
    <row r="2457" spans="2:10" x14ac:dyDescent="0.25">
      <c r="B2457" s="3">
        <f>B2456+DeltaT</f>
        <v>12200</v>
      </c>
      <c r="C2457" s="13">
        <f t="shared" si="162"/>
        <v>203.33333333333334</v>
      </c>
      <c r="D2457" s="11">
        <f t="shared" si="163"/>
        <v>1127.9900869997391</v>
      </c>
      <c r="E2457" s="23">
        <f t="shared" si="160"/>
        <v>1127.0808310906498</v>
      </c>
      <c r="F2457" s="23">
        <f>AlphaC*(D2457-E2457)</f>
        <v>22.731397727233116</v>
      </c>
      <c r="G2457" s="13">
        <f>Phi*EpsilonF*Botzman/10^8*J2457*((D2457+273)^4-(E2457+273)^4)</f>
        <v>396.56062895755474</v>
      </c>
      <c r="H2457" s="23">
        <f t="shared" si="161"/>
        <v>650</v>
      </c>
      <c r="I2457" s="12">
        <f>ksh*Massivete/(H2457*RhoA)*DeltaT*(F2457+G2457)</f>
        <v>6.1845676835983035E-2</v>
      </c>
      <c r="J2457" s="3">
        <f>IF(E2457&lt;=500,IF(Galva=Oui,0.35,0.7),0.7)</f>
        <v>0.7</v>
      </c>
    </row>
    <row r="2458" spans="2:10" x14ac:dyDescent="0.25">
      <c r="B2458" s="3">
        <f>B2457+DeltaT</f>
        <v>12205</v>
      </c>
      <c r="C2458" s="13">
        <f t="shared" si="162"/>
        <v>203.41666666666666</v>
      </c>
      <c r="D2458" s="11">
        <f t="shared" si="163"/>
        <v>1128.0514431006195</v>
      </c>
      <c r="E2458" s="23">
        <f t="shared" si="160"/>
        <v>1127.1426767674857</v>
      </c>
      <c r="F2458" s="23">
        <f>AlphaC*(D2458-E2458)</f>
        <v>22.719158328345657</v>
      </c>
      <c r="G2458" s="13">
        <f>Phi*EpsilonF*Botzman/10^8*J2458*((D2458+273)^4-(E2458+273)^4)</f>
        <v>396.39940733016937</v>
      </c>
      <c r="H2458" s="23">
        <f t="shared" si="161"/>
        <v>650</v>
      </c>
      <c r="I2458" s="12">
        <f>ksh*Massivete/(H2458*RhoA)*DeltaT*(F2458+G2458)</f>
        <v>6.1820091292038096E-2</v>
      </c>
      <c r="J2458" s="3">
        <f>IF(E2458&lt;=500,IF(Galva=Oui,0.35,0.7),0.7)</f>
        <v>0.7</v>
      </c>
    </row>
    <row r="2459" spans="2:10" x14ac:dyDescent="0.25">
      <c r="B2459" s="3">
        <f>B2458+DeltaT</f>
        <v>12210</v>
      </c>
      <c r="C2459" s="13">
        <f t="shared" si="162"/>
        <v>203.5</v>
      </c>
      <c r="D2459" s="11">
        <f t="shared" si="163"/>
        <v>1128.1127740864358</v>
      </c>
      <c r="E2459" s="23">
        <f t="shared" si="160"/>
        <v>1127.2044968587777</v>
      </c>
      <c r="F2459" s="23">
        <f>AlphaC*(D2459-E2459)</f>
        <v>22.706930691452953</v>
      </c>
      <c r="G2459" s="13">
        <f>Phi*EpsilonF*Botzman/10^8*J2459*((D2459+273)^4-(E2459+273)^4)</f>
        <v>396.23831768319684</v>
      </c>
      <c r="H2459" s="23">
        <f t="shared" si="161"/>
        <v>650</v>
      </c>
      <c r="I2459" s="12">
        <f>ksh*Massivete/(H2459*RhoA)*DeltaT*(F2459+G2459)</f>
        <v>6.1794526950133551E-2</v>
      </c>
      <c r="J2459" s="3">
        <f>IF(E2459&lt;=500,IF(Galva=Oui,0.35,0.7),0.7)</f>
        <v>0.7</v>
      </c>
    </row>
    <row r="2460" spans="2:10" x14ac:dyDescent="0.25">
      <c r="B2460" s="3">
        <f>B2459+DeltaT</f>
        <v>12215</v>
      </c>
      <c r="C2460" s="13">
        <f t="shared" si="162"/>
        <v>203.58333333333334</v>
      </c>
      <c r="D2460" s="11">
        <f t="shared" si="163"/>
        <v>1128.1740799777397</v>
      </c>
      <c r="E2460" s="23">
        <f t="shared" si="160"/>
        <v>1127.2662913857278</v>
      </c>
      <c r="F2460" s="23">
        <f>AlphaC*(D2460-E2460)</f>
        <v>22.694714800297788</v>
      </c>
      <c r="G2460" s="13">
        <f>Phi*EpsilonF*Botzman/10^8*J2460*((D2460+273)^4-(E2460+273)^4)</f>
        <v>396.07735985367162</v>
      </c>
      <c r="H2460" s="23">
        <f t="shared" si="161"/>
        <v>650</v>
      </c>
      <c r="I2460" s="12">
        <f>ksh*Massivete/(H2460*RhoA)*DeltaT*(F2460+G2460)</f>
        <v>6.1768983783834004E-2</v>
      </c>
      <c r="J2460" s="3">
        <f>IF(E2460&lt;=500,IF(Galva=Oui,0.35,0.7),0.7)</f>
        <v>0.7</v>
      </c>
    </row>
    <row r="2461" spans="2:10" x14ac:dyDescent="0.25">
      <c r="B2461" s="3">
        <f>B2460+DeltaT</f>
        <v>12220</v>
      </c>
      <c r="C2461" s="13">
        <f t="shared" si="162"/>
        <v>203.66666666666666</v>
      </c>
      <c r="D2461" s="11">
        <f t="shared" si="163"/>
        <v>1128.2353607950588</v>
      </c>
      <c r="E2461" s="23">
        <f t="shared" si="160"/>
        <v>1127.3280603695116</v>
      </c>
      <c r="F2461" s="23">
        <f>AlphaC*(D2461-E2461)</f>
        <v>22.682510638679787</v>
      </c>
      <c r="G2461" s="13">
        <f>Phi*EpsilonF*Botzman/10^8*J2461*((D2461+273)^4-(E2461+273)^4)</f>
        <v>395.9165336795005</v>
      </c>
      <c r="H2461" s="23">
        <f t="shared" si="161"/>
        <v>650</v>
      </c>
      <c r="I2461" s="12">
        <f>ksh*Massivete/(H2461*RhoA)*DeltaT*(F2461+G2461)</f>
        <v>6.1743461766841104E-2</v>
      </c>
      <c r="J2461" s="3">
        <f>IF(E2461&lt;=500,IF(Galva=Oui,0.35,0.7),0.7)</f>
        <v>0.7</v>
      </c>
    </row>
    <row r="2462" spans="2:10" x14ac:dyDescent="0.25">
      <c r="B2462" s="3">
        <f>B2461+DeltaT</f>
        <v>12225</v>
      </c>
      <c r="C2462" s="13">
        <f t="shared" si="162"/>
        <v>203.75</v>
      </c>
      <c r="D2462" s="11">
        <f t="shared" si="163"/>
        <v>1128.296616558895</v>
      </c>
      <c r="E2462" s="23">
        <f t="shared" si="160"/>
        <v>1127.3898038312784</v>
      </c>
      <c r="F2462" s="23">
        <f>AlphaC*(D2462-E2462)</f>
        <v>22.670318190415628</v>
      </c>
      <c r="G2462" s="13">
        <f>Phi*EpsilonF*Botzman/10^8*J2462*((D2462+273)^4-(E2462+273)^4)</f>
        <v>395.75583899841564</v>
      </c>
      <c r="H2462" s="23">
        <f t="shared" si="161"/>
        <v>650</v>
      </c>
      <c r="I2462" s="12">
        <f>ksh*Massivete/(H2462*RhoA)*DeltaT*(F2462+G2462)</f>
        <v>6.1717960872833266E-2</v>
      </c>
      <c r="J2462" s="3">
        <f>IF(E2462&lt;=500,IF(Galva=Oui,0.35,0.7),0.7)</f>
        <v>0.7</v>
      </c>
    </row>
    <row r="2463" spans="2:10" x14ac:dyDescent="0.25">
      <c r="B2463" s="3">
        <f>B2462+DeltaT</f>
        <v>12230</v>
      </c>
      <c r="C2463" s="13">
        <f t="shared" si="162"/>
        <v>203.83333333333334</v>
      </c>
      <c r="D2463" s="11">
        <f t="shared" si="163"/>
        <v>1128.3578472897254</v>
      </c>
      <c r="E2463" s="23">
        <f t="shared" si="160"/>
        <v>1127.4515217921512</v>
      </c>
      <c r="F2463" s="23">
        <f>AlphaC*(D2463-E2463)</f>
        <v>22.658137439356096</v>
      </c>
      <c r="G2463" s="13">
        <f>Phi*EpsilonF*Botzman/10^8*J2463*((D2463+273)^4-(E2463+273)^4)</f>
        <v>395.59527564867255</v>
      </c>
      <c r="H2463" s="23">
        <f t="shared" si="161"/>
        <v>650</v>
      </c>
      <c r="I2463" s="12">
        <f>ksh*Massivete/(H2463*RhoA)*DeltaT*(F2463+G2463)</f>
        <v>6.1692481075571126E-2</v>
      </c>
      <c r="J2463" s="3">
        <f>IF(E2463&lt;=500,IF(Galva=Oui,0.35,0.7),0.7)</f>
        <v>0.7</v>
      </c>
    </row>
    <row r="2464" spans="2:10" x14ac:dyDescent="0.25">
      <c r="B2464" s="3">
        <f>B2463+DeltaT</f>
        <v>12235</v>
      </c>
      <c r="C2464" s="13">
        <f t="shared" si="162"/>
        <v>203.91666666666666</v>
      </c>
      <c r="D2464" s="11">
        <f t="shared" si="163"/>
        <v>1128.4190530080016</v>
      </c>
      <c r="E2464" s="23">
        <f t="shared" si="160"/>
        <v>1127.5132142732268</v>
      </c>
      <c r="F2464" s="23">
        <f>AlphaC*(D2464-E2464)</f>
        <v>22.645968369369029</v>
      </c>
      <c r="G2464" s="13">
        <f>Phi*EpsilonF*Botzman/10^8*J2464*((D2464+273)^4-(E2464+273)^4)</f>
        <v>395.43484346850732</v>
      </c>
      <c r="H2464" s="23">
        <f t="shared" si="161"/>
        <v>650</v>
      </c>
      <c r="I2464" s="12">
        <f>ksh*Massivete/(H2464*RhoA)*DeltaT*(F2464+G2464)</f>
        <v>6.1667022348814965E-2</v>
      </c>
      <c r="J2464" s="3">
        <f>IF(E2464&lt;=500,IF(Galva=Oui,0.35,0.7),0.7)</f>
        <v>0.7</v>
      </c>
    </row>
    <row r="2465" spans="2:10" x14ac:dyDescent="0.25">
      <c r="B2465" s="3">
        <f>B2464+DeltaT</f>
        <v>12240</v>
      </c>
      <c r="C2465" s="13">
        <f t="shared" si="162"/>
        <v>204</v>
      </c>
      <c r="D2465" s="11">
        <f t="shared" si="163"/>
        <v>1128.4802337341505</v>
      </c>
      <c r="E2465" s="23">
        <f t="shared" si="160"/>
        <v>1127.5748812955756</v>
      </c>
      <c r="F2465" s="23">
        <f>AlphaC*(D2465-E2465)</f>
        <v>22.633810964373424</v>
      </c>
      <c r="G2465" s="13">
        <f>Phi*EpsilonF*Botzman/10^8*J2465*((D2465+273)^4-(E2465+273)^4)</f>
        <v>395.27454229689261</v>
      </c>
      <c r="H2465" s="23">
        <f t="shared" si="161"/>
        <v>650</v>
      </c>
      <c r="I2465" s="12">
        <f>ksh*Massivete/(H2465*RhoA)*DeltaT*(F2465+G2465)</f>
        <v>6.1641584666441256E-2</v>
      </c>
      <c r="J2465" s="3">
        <f>IF(E2465&lt;=500,IF(Galva=Oui,0.35,0.7),0.7)</f>
        <v>0.7</v>
      </c>
    </row>
    <row r="2466" spans="2:10" x14ac:dyDescent="0.25">
      <c r="B2466" s="3">
        <f>B2465+DeltaT</f>
        <v>12245</v>
      </c>
      <c r="C2466" s="13">
        <f t="shared" si="162"/>
        <v>204.08333333333334</v>
      </c>
      <c r="D2466" s="11">
        <f t="shared" si="163"/>
        <v>1128.5413894885735</v>
      </c>
      <c r="E2466" s="23">
        <f t="shared" si="160"/>
        <v>1127.636522880242</v>
      </c>
      <c r="F2466" s="23">
        <f>AlphaC*(D2466-E2466)</f>
        <v>22.621665208288277</v>
      </c>
      <c r="G2466" s="13">
        <f>Phi*EpsilonF*Botzman/10^8*J2466*((D2466+273)^4-(E2466+273)^4)</f>
        <v>395.11437197241327</v>
      </c>
      <c r="H2466" s="23">
        <f t="shared" si="161"/>
        <v>650</v>
      </c>
      <c r="I2466" s="12">
        <f>ksh*Massivete/(H2466*RhoA)*DeltaT*(F2466+G2466)</f>
        <v>6.1616168002269281E-2</v>
      </c>
      <c r="J2466" s="3">
        <f>IF(E2466&lt;=500,IF(Galva=Oui,0.35,0.7),0.7)</f>
        <v>0.7</v>
      </c>
    </row>
    <row r="2467" spans="2:10" x14ac:dyDescent="0.25">
      <c r="B2467" s="3">
        <f>B2466+DeltaT</f>
        <v>12250</v>
      </c>
      <c r="C2467" s="13">
        <f t="shared" si="162"/>
        <v>204.16666666666666</v>
      </c>
      <c r="D2467" s="11">
        <f t="shared" si="163"/>
        <v>1128.602520291648</v>
      </c>
      <c r="E2467" s="23">
        <f t="shared" si="160"/>
        <v>1127.6981390482442</v>
      </c>
      <c r="F2467" s="23">
        <f>AlphaC*(D2467-E2467)</f>
        <v>22.609531085095114</v>
      </c>
      <c r="G2467" s="13">
        <f>Phi*EpsilonF*Botzman/10^8*J2467*((D2467+273)^4-(E2467+273)^4)</f>
        <v>394.95433233470078</v>
      </c>
      <c r="H2467" s="23">
        <f t="shared" si="161"/>
        <v>650</v>
      </c>
      <c r="I2467" s="12">
        <f>ksh*Massivete/(H2467*RhoA)*DeltaT*(F2467+G2467)</f>
        <v>6.1590772330281908E-2</v>
      </c>
      <c r="J2467" s="3">
        <f>IF(E2467&lt;=500,IF(Galva=Oui,0.35,0.7),0.7)</f>
        <v>0.7</v>
      </c>
    </row>
    <row r="2468" spans="2:10" x14ac:dyDescent="0.25">
      <c r="B2468" s="3">
        <f>B2467+DeltaT</f>
        <v>12255</v>
      </c>
      <c r="C2468" s="13">
        <f t="shared" si="162"/>
        <v>204.25</v>
      </c>
      <c r="D2468" s="11">
        <f t="shared" si="163"/>
        <v>1128.6636261637252</v>
      </c>
      <c r="E2468" s="23">
        <f t="shared" si="160"/>
        <v>1127.7597298205744</v>
      </c>
      <c r="F2468" s="23">
        <f>AlphaC*(D2468-E2468)</f>
        <v>22.597408578769773</v>
      </c>
      <c r="G2468" s="13">
        <f>Phi*EpsilonF*Botzman/10^8*J2468*((D2468+273)^4-(E2468+273)^4)</f>
        <v>394.79442322284405</v>
      </c>
      <c r="H2468" s="23">
        <f t="shared" si="161"/>
        <v>650</v>
      </c>
      <c r="I2468" s="12">
        <f>ksh*Massivete/(H2468*RhoA)*DeltaT*(F2468+G2468)</f>
        <v>6.1565397624381152E-2</v>
      </c>
      <c r="J2468" s="3">
        <f>IF(E2468&lt;=500,IF(Galva=Oui,0.35,0.7),0.7)</f>
        <v>0.7</v>
      </c>
    </row>
    <row r="2469" spans="2:10" x14ac:dyDescent="0.25">
      <c r="B2469" s="3">
        <f>B2468+DeltaT</f>
        <v>12260</v>
      </c>
      <c r="C2469" s="13">
        <f t="shared" si="162"/>
        <v>204.33333333333334</v>
      </c>
      <c r="D2469" s="11">
        <f t="shared" si="163"/>
        <v>1128.724707125132</v>
      </c>
      <c r="E2469" s="23">
        <f t="shared" si="160"/>
        <v>1127.8212952181989</v>
      </c>
      <c r="F2469" s="23">
        <f>AlphaC*(D2469-E2469)</f>
        <v>22.585297673327887</v>
      </c>
      <c r="G2469" s="13">
        <f>Phi*EpsilonF*Botzman/10^8*J2469*((D2469+273)^4-(E2469+273)^4)</f>
        <v>394.63464447651319</v>
      </c>
      <c r="H2469" s="23">
        <f t="shared" si="161"/>
        <v>650</v>
      </c>
      <c r="I2469" s="12">
        <f>ksh*Massivete/(H2469*RhoA)*DeltaT*(F2469+G2469)</f>
        <v>6.1540043858560607E-2</v>
      </c>
      <c r="J2469" s="3">
        <f>IF(E2469&lt;=500,IF(Galva=Oui,0.35,0.7),0.7)</f>
        <v>0.7</v>
      </c>
    </row>
    <row r="2470" spans="2:10" x14ac:dyDescent="0.25">
      <c r="B2470" s="3">
        <f>B2469+DeltaT</f>
        <v>12265</v>
      </c>
      <c r="C2470" s="13">
        <f t="shared" si="162"/>
        <v>204.41666666666666</v>
      </c>
      <c r="D2470" s="11">
        <f t="shared" si="163"/>
        <v>1128.7857631961713</v>
      </c>
      <c r="E2470" s="23">
        <f t="shared" si="160"/>
        <v>1127.8828352620574</v>
      </c>
      <c r="F2470" s="23">
        <f>AlphaC*(D2470-E2470)</f>
        <v>22.573198352847612</v>
      </c>
      <c r="G2470" s="13">
        <f>Phi*EpsilonF*Botzman/10^8*J2470*((D2470+273)^4-(E2470+273)^4)</f>
        <v>394.47499593634757</v>
      </c>
      <c r="H2470" s="23">
        <f t="shared" si="161"/>
        <v>650</v>
      </c>
      <c r="I2470" s="12">
        <f>ksh*Massivete/(H2470*RhoA)*DeltaT*(F2470+G2470)</f>
        <v>6.1514711006966073E-2</v>
      </c>
      <c r="J2470" s="3">
        <f>IF(E2470&lt;=500,IF(Galva=Oui,0.35,0.7),0.7)</f>
        <v>0.7</v>
      </c>
    </row>
    <row r="2471" spans="2:10" x14ac:dyDescent="0.25">
      <c r="B2471" s="3">
        <f>B2470+DeltaT</f>
        <v>12270</v>
      </c>
      <c r="C2471" s="13">
        <f t="shared" si="162"/>
        <v>204.5</v>
      </c>
      <c r="D2471" s="11">
        <f t="shared" si="163"/>
        <v>1128.8467943971195</v>
      </c>
      <c r="E2471" s="23">
        <f t="shared" si="160"/>
        <v>1127.9443499730644</v>
      </c>
      <c r="F2471" s="23">
        <f>AlphaC*(D2471-E2471)</f>
        <v>22.561110601378687</v>
      </c>
      <c r="G2471" s="13">
        <f>Phi*EpsilonF*Botzman/10^8*J2471*((D2471+273)^4-(E2471+273)^4)</f>
        <v>394.31547744190101</v>
      </c>
      <c r="H2471" s="23">
        <f t="shared" si="161"/>
        <v>650</v>
      </c>
      <c r="I2471" s="12">
        <f>ksh*Massivete/(H2471*RhoA)*DeltaT*(F2471+G2471)</f>
        <v>6.1489399043579029E-2</v>
      </c>
      <c r="J2471" s="3">
        <f>IF(E2471&lt;=500,IF(Galva=Oui,0.35,0.7),0.7)</f>
        <v>0.7</v>
      </c>
    </row>
    <row r="2472" spans="2:10" x14ac:dyDescent="0.25">
      <c r="B2472" s="3">
        <f>B2471+DeltaT</f>
        <v>12275</v>
      </c>
      <c r="C2472" s="13">
        <f t="shared" si="162"/>
        <v>204.58333333333334</v>
      </c>
      <c r="D2472" s="11">
        <f t="shared" si="163"/>
        <v>1128.9078007482299</v>
      </c>
      <c r="E2472" s="23">
        <f t="shared" si="160"/>
        <v>1128.0058393721079</v>
      </c>
      <c r="F2472" s="23">
        <f>AlphaC*(D2472-E2472)</f>
        <v>22.549034403050427</v>
      </c>
      <c r="G2472" s="13">
        <f>Phi*EpsilonF*Botzman/10^8*J2472*((D2472+273)^4-(E2472+273)^4)</f>
        <v>394.15608883427791</v>
      </c>
      <c r="H2472" s="23">
        <f t="shared" si="161"/>
        <v>650</v>
      </c>
      <c r="I2472" s="12">
        <f>ksh*Massivete/(H2472*RhoA)*DeltaT*(F2472+G2472)</f>
        <v>6.1464107942621402E-2</v>
      </c>
      <c r="J2472" s="3">
        <f>IF(E2472&lt;=500,IF(Galva=Oui,0.35,0.7),0.7)</f>
        <v>0.7</v>
      </c>
    </row>
    <row r="2473" spans="2:10" x14ac:dyDescent="0.25">
      <c r="B2473" s="3">
        <f>B2472+DeltaT</f>
        <v>12280</v>
      </c>
      <c r="C2473" s="13">
        <f t="shared" si="162"/>
        <v>204.66666666666666</v>
      </c>
      <c r="D2473" s="11">
        <f t="shared" si="163"/>
        <v>1128.9687822697297</v>
      </c>
      <c r="E2473" s="23">
        <f t="shared" si="160"/>
        <v>1128.0673034800504</v>
      </c>
      <c r="F2473" s="23">
        <f>AlphaC*(D2473-E2473)</f>
        <v>22.536969741980784</v>
      </c>
      <c r="G2473" s="13">
        <f>Phi*EpsilonF*Botzman/10^8*J2473*((D2473+273)^4-(E2473+273)^4)</f>
        <v>393.99682995384615</v>
      </c>
      <c r="H2473" s="23">
        <f t="shared" si="161"/>
        <v>650</v>
      </c>
      <c r="I2473" s="12">
        <f>ksh*Massivete/(H2473*RhoA)*DeltaT*(F2473+G2473)</f>
        <v>6.1438837678204815E-2</v>
      </c>
      <c r="J2473" s="3">
        <f>IF(E2473&lt;=500,IF(Galva=Oui,0.35,0.7),0.7)</f>
        <v>0.7</v>
      </c>
    </row>
    <row r="2474" spans="2:10" x14ac:dyDescent="0.25">
      <c r="B2474" s="3">
        <f>B2473+DeltaT</f>
        <v>12285</v>
      </c>
      <c r="C2474" s="13">
        <f t="shared" si="162"/>
        <v>204.75</v>
      </c>
      <c r="D2474" s="11">
        <f t="shared" si="163"/>
        <v>1129.0297389818222</v>
      </c>
      <c r="E2474" s="23">
        <f t="shared" si="160"/>
        <v>1128.1287423177287</v>
      </c>
      <c r="F2474" s="23">
        <f>AlphaC*(D2474-E2474)</f>
        <v>22.524916602338863</v>
      </c>
      <c r="G2474" s="13">
        <f>Phi*EpsilonF*Botzman/10^8*J2474*((D2474+273)^4-(E2474+273)^4)</f>
        <v>393.83770064180703</v>
      </c>
      <c r="H2474" s="23">
        <f t="shared" si="161"/>
        <v>650</v>
      </c>
      <c r="I2474" s="12">
        <f>ksh*Massivete/(H2474*RhoA)*DeltaT*(F2474+G2474)</f>
        <v>6.1413588224571353E-2</v>
      </c>
      <c r="J2474" s="3">
        <f>IF(E2474&lt;=500,IF(Galva=Oui,0.35,0.7),0.7)</f>
        <v>0.7</v>
      </c>
    </row>
    <row r="2475" spans="2:10" x14ac:dyDescent="0.25">
      <c r="B2475" s="3">
        <f>B2474+DeltaT</f>
        <v>12290</v>
      </c>
      <c r="C2475" s="13">
        <f t="shared" si="162"/>
        <v>204.83333333333334</v>
      </c>
      <c r="D2475" s="11">
        <f t="shared" si="163"/>
        <v>1129.0906709046856</v>
      </c>
      <c r="E2475" s="23">
        <f t="shared" si="160"/>
        <v>1128.1901559059531</v>
      </c>
      <c r="F2475" s="23">
        <f>AlphaC*(D2475-E2475)</f>
        <v>22.512874968310825</v>
      </c>
      <c r="G2475" s="13">
        <f>Phi*EpsilonF*Botzman/10^8*J2475*((D2475+273)^4-(E2475+273)^4)</f>
        <v>393.67870073941987</v>
      </c>
      <c r="H2475" s="23">
        <f t="shared" si="161"/>
        <v>650</v>
      </c>
      <c r="I2475" s="12">
        <f>ksh*Massivete/(H2475*RhoA)*DeltaT*(F2475+G2475)</f>
        <v>6.1388359555974187E-2</v>
      </c>
      <c r="J2475" s="3">
        <f>IF(E2475&lt;=500,IF(Galva=Oui,0.35,0.7),0.7)</f>
        <v>0.7</v>
      </c>
    </row>
    <row r="2476" spans="2:10" x14ac:dyDescent="0.25">
      <c r="B2476" s="3">
        <f>B2475+DeltaT</f>
        <v>12295</v>
      </c>
      <c r="C2476" s="13">
        <f t="shared" si="162"/>
        <v>204.91666666666666</v>
      </c>
      <c r="D2476" s="11">
        <f t="shared" si="163"/>
        <v>1129.1515780584743</v>
      </c>
      <c r="E2476" s="23">
        <f t="shared" si="160"/>
        <v>1128.2515442655092</v>
      </c>
      <c r="F2476" s="23">
        <f>AlphaC*(D2476-E2476)</f>
        <v>22.500844824128308</v>
      </c>
      <c r="G2476" s="13">
        <f>Phi*EpsilonF*Botzman/10^8*J2476*((D2476+273)^4-(E2476+273)^4)</f>
        <v>393.51983008835106</v>
      </c>
      <c r="H2476" s="23">
        <f t="shared" si="161"/>
        <v>650</v>
      </c>
      <c r="I2476" s="12">
        <f>ksh*Massivete/(H2476*RhoA)*DeltaT*(F2476+G2476)</f>
        <v>6.1363151646733234E-2</v>
      </c>
      <c r="J2476" s="3">
        <f>IF(E2476&lt;=500,IF(Galva=Oui,0.35,0.7),0.7)</f>
        <v>0.7</v>
      </c>
    </row>
    <row r="2477" spans="2:10" x14ac:dyDescent="0.25">
      <c r="B2477" s="3">
        <f>B2476+DeltaT</f>
        <v>12300</v>
      </c>
      <c r="C2477" s="13">
        <f t="shared" si="162"/>
        <v>205</v>
      </c>
      <c r="D2477" s="11">
        <f t="shared" si="163"/>
        <v>1129.212460463317</v>
      </c>
      <c r="E2477" s="23">
        <f t="shared" si="160"/>
        <v>1128.3129074171559</v>
      </c>
      <c r="F2477" s="23">
        <f>AlphaC*(D2477-E2477)</f>
        <v>22.488826154028629</v>
      </c>
      <c r="G2477" s="13">
        <f>Phi*EpsilonF*Botzman/10^8*J2477*((D2477+273)^4-(E2477+273)^4)</f>
        <v>393.36108853032505</v>
      </c>
      <c r="H2477" s="23">
        <f t="shared" si="161"/>
        <v>650</v>
      </c>
      <c r="I2477" s="12">
        <f>ksh*Massivete/(H2477*RhoA)*DeltaT*(F2477+G2477)</f>
        <v>6.1337964471177807E-2</v>
      </c>
      <c r="J2477" s="3">
        <f>IF(E2477&lt;=500,IF(Galva=Oui,0.35,0.7),0.7)</f>
        <v>0.7</v>
      </c>
    </row>
    <row r="2478" spans="2:10" x14ac:dyDescent="0.25">
      <c r="B2478" s="3">
        <f>B2477+DeltaT</f>
        <v>12305</v>
      </c>
      <c r="C2478" s="13">
        <f t="shared" si="162"/>
        <v>205.08333333333334</v>
      </c>
      <c r="D2478" s="11">
        <f t="shared" si="163"/>
        <v>1129.2733181393189</v>
      </c>
      <c r="E2478" s="23">
        <f t="shared" si="160"/>
        <v>1128.3742453816271</v>
      </c>
      <c r="F2478" s="23">
        <f>AlphaC*(D2478-E2478)</f>
        <v>22.476818942294585</v>
      </c>
      <c r="G2478" s="13">
        <f>Phi*EpsilonF*Botzman/10^8*J2478*((D2478+273)^4-(E2478+273)^4)</f>
        <v>393.20247590747334</v>
      </c>
      <c r="H2478" s="23">
        <f t="shared" si="161"/>
        <v>650</v>
      </c>
      <c r="I2478" s="12">
        <f>ksh*Massivete/(H2478*RhoA)*DeltaT*(F2478+G2478)</f>
        <v>6.1312798003703976E-2</v>
      </c>
      <c r="J2478" s="3">
        <f>IF(E2478&lt;=500,IF(Galva=Oui,0.35,0.7),0.7)</f>
        <v>0.7</v>
      </c>
    </row>
    <row r="2479" spans="2:10" x14ac:dyDescent="0.25">
      <c r="B2479" s="3">
        <f>B2478+DeltaT</f>
        <v>12310</v>
      </c>
      <c r="C2479" s="13">
        <f t="shared" si="162"/>
        <v>205.16666666666666</v>
      </c>
      <c r="D2479" s="11">
        <f t="shared" si="163"/>
        <v>1129.3341511065601</v>
      </c>
      <c r="E2479" s="23">
        <f t="shared" si="160"/>
        <v>1128.4355581796308</v>
      </c>
      <c r="F2479" s="23">
        <f>AlphaC*(D2479-E2479)</f>
        <v>22.464823173231707</v>
      </c>
      <c r="G2479" s="13">
        <f>Phi*EpsilonF*Botzman/10^8*J2479*((D2479+273)^4-(E2479+273)^4)</f>
        <v>393.04399206221814</v>
      </c>
      <c r="H2479" s="23">
        <f t="shared" si="161"/>
        <v>650</v>
      </c>
      <c r="I2479" s="12">
        <f>ksh*Massivete/(H2479*RhoA)*DeltaT*(F2479+G2479)</f>
        <v>6.1287652218754041E-2</v>
      </c>
      <c r="J2479" s="3">
        <f>IF(E2479&lt;=500,IF(Galva=Oui,0.35,0.7),0.7)</f>
        <v>0.7</v>
      </c>
    </row>
    <row r="2480" spans="2:10" x14ac:dyDescent="0.25">
      <c r="B2480" s="3">
        <f>B2479+DeltaT</f>
        <v>12315</v>
      </c>
      <c r="C2480" s="13">
        <f t="shared" si="162"/>
        <v>205.25</v>
      </c>
      <c r="D2480" s="11">
        <f t="shared" si="163"/>
        <v>1129.3949593850962</v>
      </c>
      <c r="E2480" s="23">
        <f t="shared" si="160"/>
        <v>1128.4968458318494</v>
      </c>
      <c r="F2480" s="23">
        <f>AlphaC*(D2480-E2480)</f>
        <v>22.452838831168265</v>
      </c>
      <c r="G2480" s="13">
        <f>Phi*EpsilonF*Botzman/10^8*J2480*((D2480+273)^4-(E2480+273)^4)</f>
        <v>392.88563683709788</v>
      </c>
      <c r="H2480" s="23">
        <f t="shared" si="161"/>
        <v>650</v>
      </c>
      <c r="I2480" s="12">
        <f>ksh*Massivete/(H2480*RhoA)*DeltaT*(F2480+G2480)</f>
        <v>6.1262527090790789E-2</v>
      </c>
      <c r="J2480" s="3">
        <f>IF(E2480&lt;=500,IF(Galva=Oui,0.35,0.7),0.7)</f>
        <v>0.7</v>
      </c>
    </row>
    <row r="2481" spans="2:10" x14ac:dyDescent="0.25">
      <c r="B2481" s="3">
        <f>B2480+DeltaT</f>
        <v>12320</v>
      </c>
      <c r="C2481" s="13">
        <f t="shared" si="162"/>
        <v>205.33333333333334</v>
      </c>
      <c r="D2481" s="11">
        <f t="shared" si="163"/>
        <v>1129.4557429949589</v>
      </c>
      <c r="E2481" s="23">
        <f t="shared" si="160"/>
        <v>1128.5581083589402</v>
      </c>
      <c r="F2481" s="23">
        <f>AlphaC*(D2481-E2481)</f>
        <v>22.440865900466633</v>
      </c>
      <c r="G2481" s="13">
        <f>Phi*EpsilonF*Botzman/10^8*J2481*((D2481+273)^4-(E2481+273)^4)</f>
        <v>392.72741007492226</v>
      </c>
      <c r="H2481" s="23">
        <f t="shared" si="161"/>
        <v>650</v>
      </c>
      <c r="I2481" s="12">
        <f>ksh*Massivete/(H2481*RhoA)*DeltaT*(F2481+G2481)</f>
        <v>6.1237422594322077E-2</v>
      </c>
      <c r="J2481" s="3">
        <f>IF(E2481&lt;=500,IF(Galva=Oui,0.35,0.7),0.7)</f>
        <v>0.7</v>
      </c>
    </row>
    <row r="2482" spans="2:10" x14ac:dyDescent="0.25">
      <c r="B2482" s="3">
        <f>B2481+DeltaT</f>
        <v>12325</v>
      </c>
      <c r="C2482" s="13">
        <f t="shared" si="162"/>
        <v>205.41666666666666</v>
      </c>
      <c r="D2482" s="11">
        <f t="shared" si="163"/>
        <v>1129.516501956155</v>
      </c>
      <c r="E2482" s="23">
        <f t="shared" si="160"/>
        <v>1128.6193457815345</v>
      </c>
      <c r="F2482" s="23">
        <f>AlphaC*(D2482-E2482)</f>
        <v>22.428904365511926</v>
      </c>
      <c r="G2482" s="13">
        <f>Phi*EpsilonF*Botzman/10^8*J2482*((D2482+273)^4-(E2482+273)^4)</f>
        <v>392.56931161885001</v>
      </c>
      <c r="H2482" s="23">
        <f t="shared" si="161"/>
        <v>650</v>
      </c>
      <c r="I2482" s="12">
        <f>ksh*Massivete/(H2482*RhoA)*DeltaT*(F2482+G2482)</f>
        <v>6.121233870391056E-2</v>
      </c>
      <c r="J2482" s="3">
        <f>IF(E2482&lt;=500,IF(Galva=Oui,0.35,0.7),0.7)</f>
        <v>0.7</v>
      </c>
    </row>
    <row r="2483" spans="2:10" x14ac:dyDescent="0.25">
      <c r="B2483" s="3">
        <f>B2482+DeltaT</f>
        <v>12330</v>
      </c>
      <c r="C2483" s="13">
        <f t="shared" si="162"/>
        <v>205.5</v>
      </c>
      <c r="D2483" s="11">
        <f t="shared" si="163"/>
        <v>1129.5772362886676</v>
      </c>
      <c r="E2483" s="23">
        <f t="shared" si="160"/>
        <v>1128.6805581202384</v>
      </c>
      <c r="F2483" s="23">
        <f>AlphaC*(D2483-E2483)</f>
        <v>22.416954210729045</v>
      </c>
      <c r="G2483" s="13">
        <f>Phi*EpsilonF*Botzman/10^8*J2483*((D2483+273)^4-(E2483+273)^4)</f>
        <v>392.41134131231098</v>
      </c>
      <c r="H2483" s="23">
        <f t="shared" si="161"/>
        <v>650</v>
      </c>
      <c r="I2483" s="12">
        <f>ksh*Massivete/(H2483*RhoA)*DeltaT*(F2483+G2483)</f>
        <v>6.1187275394164783E-2</v>
      </c>
      <c r="J2483" s="3">
        <f>IF(E2483&lt;=500,IF(Galva=Oui,0.35,0.7),0.7)</f>
        <v>0.7</v>
      </c>
    </row>
    <row r="2484" spans="2:10" x14ac:dyDescent="0.25">
      <c r="B2484" s="3">
        <f>B2483+DeltaT</f>
        <v>12335</v>
      </c>
      <c r="C2484" s="13">
        <f t="shared" si="162"/>
        <v>205.58333333333334</v>
      </c>
      <c r="D2484" s="11">
        <f t="shared" si="163"/>
        <v>1129.6379460124544</v>
      </c>
      <c r="E2484" s="23">
        <f t="shared" ref="E2484:E2547" si="164">E2483+I2483</f>
        <v>1128.7417453956325</v>
      </c>
      <c r="F2484" s="23">
        <f>AlphaC*(D2484-E2484)</f>
        <v>22.40501542054858</v>
      </c>
      <c r="G2484" s="13">
        <f>Phi*EpsilonF*Botzman/10^8*J2484*((D2484+273)^4-(E2484+273)^4)</f>
        <v>392.25349899877386</v>
      </c>
      <c r="H2484" s="23">
        <f t="shared" ref="H2484:H2547" si="165">IF(E2484&lt;600,425+0.773*E2484-1.69/1000*E2484^2+2.22/1000^2*E2484^3,IF(E2484&lt;735,666+13002/(738-E2484),IF(E2484&lt;900,545+17820/(E2484-731),650)))</f>
        <v>650</v>
      </c>
      <c r="I2484" s="12">
        <f>ksh*Massivete/(H2484*RhoA)*DeltaT*(F2484+G2484)</f>
        <v>6.1162232639699839E-2</v>
      </c>
      <c r="J2484" s="3">
        <f>IF(E2484&lt;=500,IF(Galva=Oui,0.35,0.7),0.7)</f>
        <v>0.7</v>
      </c>
    </row>
    <row r="2485" spans="2:10" x14ac:dyDescent="0.25">
      <c r="B2485" s="3">
        <f>B2484+DeltaT</f>
        <v>12340</v>
      </c>
      <c r="C2485" s="13">
        <f t="shared" si="162"/>
        <v>205.66666666666666</v>
      </c>
      <c r="D2485" s="11">
        <f t="shared" si="163"/>
        <v>1129.6986311474504</v>
      </c>
      <c r="E2485" s="23">
        <f t="shared" si="164"/>
        <v>1128.8029076282721</v>
      </c>
      <c r="F2485" s="23">
        <f>AlphaC*(D2485-E2485)</f>
        <v>22.39308797945796</v>
      </c>
      <c r="G2485" s="13">
        <f>Phi*EpsilonF*Botzman/10^8*J2485*((D2485+273)^4-(E2485+273)^4)</f>
        <v>392.09578452238566</v>
      </c>
      <c r="H2485" s="23">
        <f t="shared" si="165"/>
        <v>650</v>
      </c>
      <c r="I2485" s="12">
        <f>ksh*Massivete/(H2485*RhoA)*DeltaT*(F2485+G2485)</f>
        <v>6.1137210415239278E-2</v>
      </c>
      <c r="J2485" s="3">
        <f>IF(E2485&lt;=500,IF(Galva=Oui,0.35,0.7),0.7)</f>
        <v>0.7</v>
      </c>
    </row>
    <row r="2486" spans="2:10" x14ac:dyDescent="0.25">
      <c r="B2486" s="3">
        <f>B2485+DeltaT</f>
        <v>12345</v>
      </c>
      <c r="C2486" s="13">
        <f t="shared" si="162"/>
        <v>205.75</v>
      </c>
      <c r="D2486" s="11">
        <f t="shared" si="163"/>
        <v>1129.7592917135651</v>
      </c>
      <c r="E2486" s="23">
        <f t="shared" si="164"/>
        <v>1128.8640448386873</v>
      </c>
      <c r="F2486" s="23">
        <f>AlphaC*(D2486-E2486)</f>
        <v>22.381171871944616</v>
      </c>
      <c r="G2486" s="13">
        <f>Phi*EpsilonF*Botzman/10^8*J2486*((D2486+273)^4-(E2486+273)^4)</f>
        <v>391.93819772702204</v>
      </c>
      <c r="H2486" s="23">
        <f t="shared" si="165"/>
        <v>650</v>
      </c>
      <c r="I2486" s="12">
        <f>ksh*Massivete/(H2486*RhoA)*DeltaT*(F2486+G2486)</f>
        <v>6.1112208695466602E-2</v>
      </c>
      <c r="J2486" s="3">
        <f>IF(E2486&lt;=500,IF(Galva=Oui,0.35,0.7),0.7)</f>
        <v>0.7</v>
      </c>
    </row>
    <row r="2487" spans="2:10" x14ac:dyDescent="0.25">
      <c r="B2487" s="3">
        <f>B2486+DeltaT</f>
        <v>12350</v>
      </c>
      <c r="C2487" s="13">
        <f t="shared" si="162"/>
        <v>205.83333333333334</v>
      </c>
      <c r="D2487" s="11">
        <f t="shared" si="163"/>
        <v>1129.8199277306842</v>
      </c>
      <c r="E2487" s="23">
        <f t="shared" si="164"/>
        <v>1128.9251570473828</v>
      </c>
      <c r="F2487" s="23">
        <f>AlphaC*(D2487-E2487)</f>
        <v>22.369267082535771</v>
      </c>
      <c r="G2487" s="13">
        <f>Phi*EpsilonF*Botzman/10^8*J2487*((D2487+273)^4-(E2487+273)^4)</f>
        <v>391.78073845717881</v>
      </c>
      <c r="H2487" s="23">
        <f t="shared" si="165"/>
        <v>650</v>
      </c>
      <c r="I2487" s="12">
        <f>ksh*Massivete/(H2487*RhoA)*DeltaT*(F2487+G2487)</f>
        <v>6.1087227455162672E-2</v>
      </c>
      <c r="J2487" s="3">
        <f>IF(E2487&lt;=500,IF(Galva=Oui,0.35,0.7),0.7)</f>
        <v>0.7</v>
      </c>
    </row>
    <row r="2488" spans="2:10" x14ac:dyDescent="0.25">
      <c r="B2488" s="3">
        <f>B2487+DeltaT</f>
        <v>12355</v>
      </c>
      <c r="C2488" s="13">
        <f t="shared" si="162"/>
        <v>205.91666666666666</v>
      </c>
      <c r="D2488" s="11">
        <f t="shared" si="163"/>
        <v>1129.8805392186698</v>
      </c>
      <c r="E2488" s="23">
        <f t="shared" si="164"/>
        <v>1128.9862442748379</v>
      </c>
      <c r="F2488" s="23">
        <f>AlphaC*(D2488-E2488)</f>
        <v>22.357373595798435</v>
      </c>
      <c r="G2488" s="13">
        <f>Phi*EpsilonF*Botzman/10^8*J2488*((D2488+273)^4-(E2488+273)^4)</f>
        <v>391.62340655766189</v>
      </c>
      <c r="H2488" s="23">
        <f t="shared" si="165"/>
        <v>650</v>
      </c>
      <c r="I2488" s="12">
        <f>ksh*Massivete/(H2488*RhoA)*DeltaT*(F2488+G2488)</f>
        <v>6.1062266669159954E-2</v>
      </c>
      <c r="J2488" s="3">
        <f>IF(E2488&lt;=500,IF(Galva=Oui,0.35,0.7),0.7)</f>
        <v>0.7</v>
      </c>
    </row>
    <row r="2489" spans="2:10" x14ac:dyDescent="0.25">
      <c r="B2489" s="3">
        <f>B2488+DeltaT</f>
        <v>12360</v>
      </c>
      <c r="C2489" s="13">
        <f t="shared" si="162"/>
        <v>206</v>
      </c>
      <c r="D2489" s="11">
        <f t="shared" si="163"/>
        <v>1129.9411261973589</v>
      </c>
      <c r="E2489" s="23">
        <f t="shared" si="164"/>
        <v>1129.0473065415069</v>
      </c>
      <c r="F2489" s="23">
        <f>AlphaC*(D2489-E2489)</f>
        <v>22.345491396299622</v>
      </c>
      <c r="G2489" s="13">
        <f>Phi*EpsilonF*Botzman/10^8*J2489*((D2489+273)^4-(E2489+273)^4)</f>
        <v>391.46620187308332</v>
      </c>
      <c r="H2489" s="23">
        <f t="shared" si="165"/>
        <v>650</v>
      </c>
      <c r="I2489" s="12">
        <f>ksh*Massivete/(H2489*RhoA)*DeltaT*(F2489+G2489)</f>
        <v>6.1037326312262316E-2</v>
      </c>
      <c r="J2489" s="3">
        <f>IF(E2489&lt;=500,IF(Galva=Oui,0.35,0.7),0.7)</f>
        <v>0.7</v>
      </c>
    </row>
    <row r="2490" spans="2:10" x14ac:dyDescent="0.25">
      <c r="B2490" s="3">
        <f>B2489+DeltaT</f>
        <v>12365</v>
      </c>
      <c r="C2490" s="13">
        <f t="shared" si="162"/>
        <v>206.08333333333334</v>
      </c>
      <c r="D2490" s="11">
        <f t="shared" si="163"/>
        <v>1130.0016886865653</v>
      </c>
      <c r="E2490" s="23">
        <f t="shared" si="164"/>
        <v>1129.1083438678193</v>
      </c>
      <c r="F2490" s="23">
        <f>AlphaC*(D2490-E2490)</f>
        <v>22.333620468651816</v>
      </c>
      <c r="G2490" s="13">
        <f>Phi*EpsilonF*Botzman/10^8*J2490*((D2490+273)^4-(E2490+273)^4)</f>
        <v>391.30912424871417</v>
      </c>
      <c r="H2490" s="23">
        <f t="shared" si="165"/>
        <v>650</v>
      </c>
      <c r="I2490" s="12">
        <f>ksh*Massivete/(H2490*RhoA)*DeltaT*(F2490+G2490)</f>
        <v>6.101240635937754E-2</v>
      </c>
      <c r="J2490" s="3">
        <f>IF(E2490&lt;=500,IF(Galva=Oui,0.35,0.7),0.7)</f>
        <v>0.7</v>
      </c>
    </row>
    <row r="2491" spans="2:10" x14ac:dyDescent="0.25">
      <c r="B2491" s="3">
        <f>B2490+DeltaT</f>
        <v>12370</v>
      </c>
      <c r="C2491" s="13">
        <f t="shared" si="162"/>
        <v>206.16666666666666</v>
      </c>
      <c r="D2491" s="11">
        <f t="shared" si="163"/>
        <v>1130.0622267060783</v>
      </c>
      <c r="E2491" s="23">
        <f t="shared" si="164"/>
        <v>1129.1693562741787</v>
      </c>
      <c r="F2491" s="23">
        <f>AlphaC*(D2491-E2491)</f>
        <v>22.321760797490242</v>
      </c>
      <c r="G2491" s="13">
        <f>Phi*EpsilonF*Botzman/10^8*J2491*((D2491+273)^4-(E2491+273)^4)</f>
        <v>391.15217352986417</v>
      </c>
      <c r="H2491" s="23">
        <f t="shared" si="165"/>
        <v>650</v>
      </c>
      <c r="I2491" s="12">
        <f>ksh*Massivete/(H2491*RhoA)*DeltaT*(F2491+G2491)</f>
        <v>6.098750678542246E-2</v>
      </c>
      <c r="J2491" s="3">
        <f>IF(E2491&lt;=500,IF(Galva=Oui,0.35,0.7),0.7)</f>
        <v>0.7</v>
      </c>
    </row>
    <row r="2492" spans="2:10" x14ac:dyDescent="0.25">
      <c r="B2492" s="3">
        <f>B2491+DeltaT</f>
        <v>12375</v>
      </c>
      <c r="C2492" s="13">
        <f t="shared" si="162"/>
        <v>206.25</v>
      </c>
      <c r="D2492" s="11">
        <f t="shared" si="163"/>
        <v>1130.1227402756638</v>
      </c>
      <c r="E2492" s="23">
        <f t="shared" si="164"/>
        <v>1129.2303437809642</v>
      </c>
      <c r="F2492" s="23">
        <f>AlphaC*(D2492-E2492)</f>
        <v>22.309912367489915</v>
      </c>
      <c r="G2492" s="13">
        <f>Phi*EpsilonF*Botzman/10^8*J2492*((D2492+273)^4-(E2492+273)^4)</f>
        <v>390.99534956242456</v>
      </c>
      <c r="H2492" s="23">
        <f t="shared" si="165"/>
        <v>650</v>
      </c>
      <c r="I2492" s="12">
        <f>ksh*Massivete/(H2492*RhoA)*DeltaT*(F2492+G2492)</f>
        <v>6.0962627565405568E-2</v>
      </c>
      <c r="J2492" s="3">
        <f>IF(E2492&lt;=500,IF(Galva=Oui,0.35,0.7),0.7)</f>
        <v>0.7</v>
      </c>
    </row>
    <row r="2493" spans="2:10" x14ac:dyDescent="0.25">
      <c r="B2493" s="3">
        <f>B2492+DeltaT</f>
        <v>12380</v>
      </c>
      <c r="C2493" s="13">
        <f t="shared" si="162"/>
        <v>206.33333333333334</v>
      </c>
      <c r="D2493" s="11">
        <f t="shared" si="163"/>
        <v>1130.1832294150629</v>
      </c>
      <c r="E2493" s="23">
        <f t="shared" si="164"/>
        <v>1129.2913064085296</v>
      </c>
      <c r="F2493" s="23">
        <f>AlphaC*(D2493-E2493)</f>
        <v>22.298075163331532</v>
      </c>
      <c r="G2493" s="13">
        <f>Phi*EpsilonF*Botzman/10^8*J2493*((D2493+273)^4-(E2493+273)^4)</f>
        <v>390.83865219211202</v>
      </c>
      <c r="H2493" s="23">
        <f t="shared" si="165"/>
        <v>650</v>
      </c>
      <c r="I2493" s="12">
        <f>ksh*Massivete/(H2493*RhoA)*DeltaT*(F2493+G2493)</f>
        <v>6.0937768674310423E-2</v>
      </c>
      <c r="J2493" s="3">
        <f>IF(E2493&lt;=500,IF(Galva=Oui,0.35,0.7),0.7)</f>
        <v>0.7</v>
      </c>
    </row>
    <row r="2494" spans="2:10" x14ac:dyDescent="0.25">
      <c r="B2494" s="3">
        <f>B2493+DeltaT</f>
        <v>12385</v>
      </c>
      <c r="C2494" s="13">
        <f t="shared" si="162"/>
        <v>206.41666666666666</v>
      </c>
      <c r="D2494" s="11">
        <f t="shared" si="163"/>
        <v>1130.2436941439935</v>
      </c>
      <c r="E2494" s="23">
        <f t="shared" si="164"/>
        <v>1129.3522441772041</v>
      </c>
      <c r="F2494" s="23">
        <f>AlphaC*(D2494-E2494)</f>
        <v>22.286249169735584</v>
      </c>
      <c r="G2494" s="13">
        <f>Phi*EpsilonF*Botzman/10^8*J2494*((D2494+273)^4-(E2494+273)^4)</f>
        <v>390.68208126510848</v>
      </c>
      <c r="H2494" s="23">
        <f t="shared" si="165"/>
        <v>650</v>
      </c>
      <c r="I2494" s="12">
        <f>ksh*Massivete/(H2494*RhoA)*DeltaT*(F2494+G2494)</f>
        <v>6.0912930087195095E-2</v>
      </c>
      <c r="J2494" s="3">
        <f>IF(E2494&lt;=500,IF(Galva=Oui,0.35,0.7),0.7)</f>
        <v>0.7</v>
      </c>
    </row>
    <row r="2495" spans="2:10" x14ac:dyDescent="0.25">
      <c r="B2495" s="3">
        <f>B2494+DeltaT</f>
        <v>12390</v>
      </c>
      <c r="C2495" s="13">
        <f t="shared" si="162"/>
        <v>206.5</v>
      </c>
      <c r="D2495" s="11">
        <f t="shared" si="163"/>
        <v>1130.3041344821493</v>
      </c>
      <c r="E2495" s="23">
        <f t="shared" si="164"/>
        <v>1129.4131571072912</v>
      </c>
      <c r="F2495" s="23">
        <f>AlphaC*(D2495-E2495)</f>
        <v>22.27443437145098</v>
      </c>
      <c r="G2495" s="13">
        <f>Phi*EpsilonF*Botzman/10^8*J2495*((D2495+273)^4-(E2495+273)^4)</f>
        <v>390.52563662788651</v>
      </c>
      <c r="H2495" s="23">
        <f t="shared" si="165"/>
        <v>650</v>
      </c>
      <c r="I2495" s="12">
        <f>ksh*Massivete/(H2495*RhoA)*DeltaT*(F2495+G2495)</f>
        <v>6.0888111779164721E-2</v>
      </c>
      <c r="J2495" s="3">
        <f>IF(E2495&lt;=500,IF(Galva=Oui,0.35,0.7),0.7)</f>
        <v>0.7</v>
      </c>
    </row>
    <row r="2496" spans="2:10" x14ac:dyDescent="0.25">
      <c r="B2496" s="3">
        <f>B2495+DeltaT</f>
        <v>12395</v>
      </c>
      <c r="C2496" s="13">
        <f t="shared" si="162"/>
        <v>206.58333333333334</v>
      </c>
      <c r="D2496" s="11">
        <f t="shared" si="163"/>
        <v>1130.3645504492004</v>
      </c>
      <c r="E2496" s="23">
        <f t="shared" si="164"/>
        <v>1129.4740452190704</v>
      </c>
      <c r="F2496" s="23">
        <f>AlphaC*(D2496-E2496)</f>
        <v>22.262630753249368</v>
      </c>
      <c r="G2496" s="13">
        <f>Phi*EpsilonF*Botzman/10^8*J2496*((D2496+273)^4-(E2496+273)^4)</f>
        <v>390.36931812707365</v>
      </c>
      <c r="H2496" s="23">
        <f t="shared" si="165"/>
        <v>650</v>
      </c>
      <c r="I2496" s="12">
        <f>ksh*Massivete/(H2496*RhoA)*DeltaT*(F2496+G2496)</f>
        <v>6.0863313725350629E-2</v>
      </c>
      <c r="J2496" s="3">
        <f>IF(E2496&lt;=500,IF(Galva=Oui,0.35,0.7),0.7)</f>
        <v>0.7</v>
      </c>
    </row>
    <row r="2497" spans="2:10" x14ac:dyDescent="0.25">
      <c r="B2497" s="3">
        <f>B2496+DeltaT</f>
        <v>12400</v>
      </c>
      <c r="C2497" s="13">
        <f t="shared" si="162"/>
        <v>206.66666666666666</v>
      </c>
      <c r="D2497" s="11">
        <f t="shared" si="163"/>
        <v>1130.424942064793</v>
      </c>
      <c r="E2497" s="23">
        <f t="shared" si="164"/>
        <v>1129.5349085327957</v>
      </c>
      <c r="F2497" s="23">
        <f>AlphaC*(D2497-E2497)</f>
        <v>22.25083829993082</v>
      </c>
      <c r="G2497" s="13">
        <f>Phi*EpsilonF*Botzman/10^8*J2497*((D2497+273)^4-(E2497+273)^4)</f>
        <v>390.21312560962701</v>
      </c>
      <c r="H2497" s="23">
        <f t="shared" si="165"/>
        <v>650</v>
      </c>
      <c r="I2497" s="12">
        <f>ksh*Massivete/(H2497*RhoA)*DeltaT*(F2497+G2497)</f>
        <v>6.0838535900936963E-2</v>
      </c>
      <c r="J2497" s="3">
        <f>IF(E2497&lt;=500,IF(Galva=Oui,0.35,0.7),0.7)</f>
        <v>0.7</v>
      </c>
    </row>
    <row r="2498" spans="2:10" x14ac:dyDescent="0.25">
      <c r="B2498" s="3">
        <f>B2497+DeltaT</f>
        <v>12405</v>
      </c>
      <c r="C2498" s="13">
        <f t="shared" si="162"/>
        <v>206.75</v>
      </c>
      <c r="D2498" s="11">
        <f t="shared" si="163"/>
        <v>1130.4853093485494</v>
      </c>
      <c r="E2498" s="23">
        <f t="shared" si="164"/>
        <v>1129.5957470686967</v>
      </c>
      <c r="F2498" s="23">
        <f>AlphaC*(D2498-E2498)</f>
        <v>22.239056996318141</v>
      </c>
      <c r="G2498" s="13">
        <f>Phi*EpsilonF*Botzman/10^8*J2498*((D2498+273)^4-(E2498+273)^4)</f>
        <v>390.05705892260056</v>
      </c>
      <c r="H2498" s="23">
        <f t="shared" si="165"/>
        <v>650</v>
      </c>
      <c r="I2498" s="12">
        <f>ksh*Massivete/(H2498*RhoA)*DeltaT*(F2498+G2498)</f>
        <v>6.0813778281125504E-2</v>
      </c>
      <c r="J2498" s="3">
        <f>IF(E2498&lt;=500,IF(Galva=Oui,0.35,0.7),0.7)</f>
        <v>0.7</v>
      </c>
    </row>
    <row r="2499" spans="2:10" x14ac:dyDescent="0.25">
      <c r="B2499" s="3">
        <f>B2498+DeltaT</f>
        <v>12410</v>
      </c>
      <c r="C2499" s="13">
        <f t="shared" si="162"/>
        <v>206.83333333333334</v>
      </c>
      <c r="D2499" s="11">
        <f t="shared" si="163"/>
        <v>1130.5456523200685</v>
      </c>
      <c r="E2499" s="23">
        <f t="shared" si="164"/>
        <v>1129.6565608469778</v>
      </c>
      <c r="F2499" s="23">
        <f>AlphaC*(D2499-E2499)</f>
        <v>22.227286827268244</v>
      </c>
      <c r="G2499" s="13">
        <f>Phi*EpsilonF*Botzman/10^8*J2499*((D2499+273)^4-(E2499+273)^4)</f>
        <v>389.90111791341644</v>
      </c>
      <c r="H2499" s="23">
        <f t="shared" si="165"/>
        <v>650</v>
      </c>
      <c r="I2499" s="12">
        <f>ksh*Massivete/(H2499*RhoA)*DeltaT*(F2499+G2499)</f>
        <v>6.078904084117738E-2</v>
      </c>
      <c r="J2499" s="3">
        <f>IF(E2499&lt;=500,IF(Galva=Oui,0.35,0.7),0.7)</f>
        <v>0.7</v>
      </c>
    </row>
    <row r="2500" spans="2:10" x14ac:dyDescent="0.25">
      <c r="B2500" s="3">
        <f>B2499+DeltaT</f>
        <v>12415</v>
      </c>
      <c r="C2500" s="13">
        <f t="shared" si="162"/>
        <v>206.91666666666666</v>
      </c>
      <c r="D2500" s="11">
        <f t="shared" si="163"/>
        <v>1130.6059709989252</v>
      </c>
      <c r="E2500" s="23">
        <f t="shared" si="164"/>
        <v>1129.717349887819</v>
      </c>
      <c r="F2500" s="23">
        <f>AlphaC*(D2500-E2500)</f>
        <v>22.215527777655097</v>
      </c>
      <c r="G2500" s="13">
        <f>Phi*EpsilonF*Botzman/10^8*J2500*((D2500+273)^4-(E2500+273)^4)</f>
        <v>389.7453024296907</v>
      </c>
      <c r="H2500" s="23">
        <f t="shared" si="165"/>
        <v>650</v>
      </c>
      <c r="I2500" s="12">
        <f>ksh*Massivete/(H2500*RhoA)*DeltaT*(F2500+G2500)</f>
        <v>6.0764323556384822E-2</v>
      </c>
      <c r="J2500" s="3">
        <f>IF(E2500&lt;=500,IF(Galva=Oui,0.35,0.7),0.7)</f>
        <v>0.7</v>
      </c>
    </row>
    <row r="2501" spans="2:10" x14ac:dyDescent="0.25">
      <c r="B2501" s="3">
        <f>B2500+DeltaT</f>
        <v>12420</v>
      </c>
      <c r="C2501" s="13">
        <f t="shared" si="162"/>
        <v>207</v>
      </c>
      <c r="D2501" s="11">
        <f t="shared" si="163"/>
        <v>1130.6662654046711</v>
      </c>
      <c r="E2501" s="23">
        <f t="shared" si="164"/>
        <v>1129.7781142113754</v>
      </c>
      <c r="F2501" s="23">
        <f>AlphaC*(D2501-E2501)</f>
        <v>22.203779832392456</v>
      </c>
      <c r="G2501" s="13">
        <f>Phi*EpsilonF*Botzman/10^8*J2501*((D2501+273)^4-(E2501+273)^4)</f>
        <v>389.58961231942686</v>
      </c>
      <c r="H2501" s="23">
        <f t="shared" si="165"/>
        <v>650</v>
      </c>
      <c r="I2501" s="12">
        <f>ksh*Massivete/(H2501*RhoA)*DeltaT*(F2501+G2501)</f>
        <v>6.0739626402103085E-2</v>
      </c>
      <c r="J2501" s="3">
        <f>IF(E2501&lt;=500,IF(Galva=Oui,0.35,0.7),0.7)</f>
        <v>0.7</v>
      </c>
    </row>
    <row r="2502" spans="2:10" x14ac:dyDescent="0.25">
      <c r="B2502" s="3">
        <f>B2501+DeltaT</f>
        <v>12425</v>
      </c>
      <c r="C2502" s="13">
        <f t="shared" si="162"/>
        <v>207.08333333333334</v>
      </c>
      <c r="D2502" s="11">
        <f t="shared" si="163"/>
        <v>1130.7265355568338</v>
      </c>
      <c r="E2502" s="23">
        <f t="shared" si="164"/>
        <v>1129.8388538377776</v>
      </c>
      <c r="F2502" s="23">
        <f>AlphaC*(D2502-E2502)</f>
        <v>22.192042976405446</v>
      </c>
      <c r="G2502" s="13">
        <f>Phi*EpsilonF*Botzman/10^8*J2502*((D2502+273)^4-(E2502+273)^4)</f>
        <v>389.43404743057044</v>
      </c>
      <c r="H2502" s="23">
        <f t="shared" si="165"/>
        <v>650</v>
      </c>
      <c r="I2502" s="12">
        <f>ksh*Massivete/(H2502*RhoA)*DeltaT*(F2502+G2502)</f>
        <v>6.0714949353680547E-2</v>
      </c>
      <c r="J2502" s="3">
        <f>IF(E2502&lt;=500,IF(Galva=Oui,0.35,0.7),0.7)</f>
        <v>0.7</v>
      </c>
    </row>
    <row r="2503" spans="2:10" x14ac:dyDescent="0.25">
      <c r="B2503" s="3">
        <f>B2502+DeltaT</f>
        <v>12430</v>
      </c>
      <c r="C2503" s="13">
        <f t="shared" si="162"/>
        <v>207.16666666666666</v>
      </c>
      <c r="D2503" s="11">
        <f t="shared" si="163"/>
        <v>1130.7867814749181</v>
      </c>
      <c r="E2503" s="23">
        <f t="shared" si="164"/>
        <v>1129.8995687871313</v>
      </c>
      <c r="F2503" s="23">
        <f>AlphaC*(D2503-E2503)</f>
        <v>22.180317194670351</v>
      </c>
      <c r="G2503" s="13">
        <f>Phi*EpsilonF*Botzman/10^8*J2503*((D2503+273)^4-(E2503+273)^4)</f>
        <v>389.27860761182257</v>
      </c>
      <c r="H2503" s="23">
        <f t="shared" si="165"/>
        <v>650</v>
      </c>
      <c r="I2503" s="12">
        <f>ksh*Massivete/(H2503*RhoA)*DeltaT*(F2503+G2503)</f>
        <v>6.0690292386584598E-2</v>
      </c>
      <c r="J2503" s="3">
        <f>IF(E2503&lt;=500,IF(Galva=Oui,0.35,0.7),0.7)</f>
        <v>0.7</v>
      </c>
    </row>
    <row r="2504" spans="2:10" x14ac:dyDescent="0.25">
      <c r="B2504" s="3">
        <f>B2503+DeltaT</f>
        <v>12435</v>
      </c>
      <c r="C2504" s="13">
        <f t="shared" si="162"/>
        <v>207.25</v>
      </c>
      <c r="D2504" s="11">
        <f t="shared" si="163"/>
        <v>1130.8470031784043</v>
      </c>
      <c r="E2504" s="23">
        <f t="shared" si="164"/>
        <v>1129.960259079518</v>
      </c>
      <c r="F2504" s="23">
        <f>AlphaC*(D2504-E2504)</f>
        <v>22.168602472157772</v>
      </c>
      <c r="G2504" s="13">
        <f>Phi*EpsilonF*Botzman/10^8*J2504*((D2504+273)^4-(E2504+273)^4)</f>
        <v>389.12329271155517</v>
      </c>
      <c r="H2504" s="23">
        <f t="shared" si="165"/>
        <v>650</v>
      </c>
      <c r="I2504" s="12">
        <f>ksh*Massivete/(H2504*RhoA)*DeltaT*(F2504+G2504)</f>
        <v>6.0665655476233205E-2</v>
      </c>
      <c r="J2504" s="3">
        <f>IF(E2504&lt;=500,IF(Galva=Oui,0.35,0.7),0.7)</f>
        <v>0.7</v>
      </c>
    </row>
    <row r="2505" spans="2:10" x14ac:dyDescent="0.25">
      <c r="B2505" s="3">
        <f>B2504+DeltaT</f>
        <v>12440</v>
      </c>
      <c r="C2505" s="13">
        <f t="shared" si="162"/>
        <v>207.33333333333334</v>
      </c>
      <c r="D2505" s="11">
        <f t="shared" si="163"/>
        <v>1130.9072006867498</v>
      </c>
      <c r="E2505" s="23">
        <f t="shared" si="164"/>
        <v>1130.0209247349942</v>
      </c>
      <c r="F2505" s="23">
        <f>AlphaC*(D2505-E2505)</f>
        <v>22.156898793889468</v>
      </c>
      <c r="G2505" s="13">
        <f>Phi*EpsilonF*Botzman/10^8*J2505*((D2505+273)^4-(E2505+273)^4)</f>
        <v>388.96810257868259</v>
      </c>
      <c r="H2505" s="23">
        <f t="shared" si="165"/>
        <v>650</v>
      </c>
      <c r="I2505" s="12">
        <f>ksh*Massivete/(H2505*RhoA)*DeltaT*(F2505+G2505)</f>
        <v>6.0641038598131906E-2</v>
      </c>
      <c r="J2505" s="3">
        <f>IF(E2505&lt;=500,IF(Galva=Oui,0.35,0.7),0.7)</f>
        <v>0.7</v>
      </c>
    </row>
    <row r="2506" spans="2:10" x14ac:dyDescent="0.25">
      <c r="B2506" s="3">
        <f>B2505+DeltaT</f>
        <v>12445</v>
      </c>
      <c r="C2506" s="13">
        <f t="shared" si="162"/>
        <v>207.41666666666666</v>
      </c>
      <c r="D2506" s="11">
        <f t="shared" si="163"/>
        <v>1130.9673740193887</v>
      </c>
      <c r="E2506" s="23">
        <f t="shared" si="164"/>
        <v>1130.0815657735923</v>
      </c>
      <c r="F2506" s="23">
        <f>AlphaC*(D2506-E2506)</f>
        <v>22.145206144909935</v>
      </c>
      <c r="G2506" s="13">
        <f>Phi*EpsilonF*Botzman/10^8*J2506*((D2506+273)^4-(E2506+273)^4)</f>
        <v>388.81303706252623</v>
      </c>
      <c r="H2506" s="23">
        <f t="shared" si="165"/>
        <v>650</v>
      </c>
      <c r="I2506" s="12">
        <f>ksh*Massivete/(H2506*RhoA)*DeltaT*(F2506+G2506)</f>
        <v>6.0616441727849635E-2</v>
      </c>
      <c r="J2506" s="3">
        <f>IF(E2506&lt;=500,IF(Galva=Oui,0.35,0.7),0.7)</f>
        <v>0.7</v>
      </c>
    </row>
    <row r="2507" spans="2:10" x14ac:dyDescent="0.25">
      <c r="B2507" s="3">
        <f>B2506+DeltaT</f>
        <v>12450</v>
      </c>
      <c r="C2507" s="13">
        <f t="shared" si="162"/>
        <v>207.5</v>
      </c>
      <c r="D2507" s="11">
        <f t="shared" si="163"/>
        <v>1131.027523195731</v>
      </c>
      <c r="E2507" s="23">
        <f t="shared" si="164"/>
        <v>1130.1421822153202</v>
      </c>
      <c r="F2507" s="23">
        <f>AlphaC*(D2507-E2507)</f>
        <v>22.133524510269353</v>
      </c>
      <c r="G2507" s="13">
        <f>Phi*EpsilonF*Botzman/10^8*J2507*((D2507+273)^4-(E2507+273)^4)</f>
        <v>388.65809601215568</v>
      </c>
      <c r="H2507" s="23">
        <f t="shared" si="165"/>
        <v>650</v>
      </c>
      <c r="I2507" s="12">
        <f>ksh*Massivete/(H2507*RhoA)*DeltaT*(F2507+G2507)</f>
        <v>6.0591864840919017E-2</v>
      </c>
      <c r="J2507" s="3">
        <f>IF(E2507&lt;=500,IF(Galva=Oui,0.35,0.7),0.7)</f>
        <v>0.7</v>
      </c>
    </row>
    <row r="2508" spans="2:10" x14ac:dyDescent="0.25">
      <c r="B2508" s="3">
        <f>B2507+DeltaT</f>
        <v>12455</v>
      </c>
      <c r="C2508" s="13">
        <f t="shared" si="162"/>
        <v>207.58333333333334</v>
      </c>
      <c r="D2508" s="11">
        <f t="shared" si="163"/>
        <v>1131.0876482351639</v>
      </c>
      <c r="E2508" s="23">
        <f t="shared" si="164"/>
        <v>1130.2027740801611</v>
      </c>
      <c r="F2508" s="23">
        <f>AlphaC*(D2508-E2508)</f>
        <v>22.121853875069064</v>
      </c>
      <c r="G2508" s="13">
        <f>Phi*EpsilonF*Botzman/10^8*J2508*((D2508+273)^4-(E2508+273)^4)</f>
        <v>388.50327927726045</v>
      </c>
      <c r="H2508" s="23">
        <f t="shared" si="165"/>
        <v>650</v>
      </c>
      <c r="I2508" s="12">
        <f>ksh*Massivete/(H2508*RhoA)*DeltaT*(F2508+G2508)</f>
        <v>6.0567307912971657E-2</v>
      </c>
      <c r="J2508" s="3">
        <f>IF(E2508&lt;=500,IF(Galva=Oui,0.35,0.7),0.7)</f>
        <v>0.7</v>
      </c>
    </row>
    <row r="2509" spans="2:10" x14ac:dyDescent="0.25">
      <c r="B2509" s="3">
        <f>B2508+DeltaT</f>
        <v>12460</v>
      </c>
      <c r="C2509" s="13">
        <f t="shared" si="162"/>
        <v>207.66666666666666</v>
      </c>
      <c r="D2509" s="11">
        <f t="shared" si="163"/>
        <v>1131.1477491570517</v>
      </c>
      <c r="E2509" s="23">
        <f t="shared" si="164"/>
        <v>1130.2633413880742</v>
      </c>
      <c r="F2509" s="23">
        <f>AlphaC*(D2509-E2509)</f>
        <v>22.110194224438828</v>
      </c>
      <c r="G2509" s="13">
        <f>Phi*EpsilonF*Botzman/10^8*J2509*((D2509+273)^4-(E2509+273)^4)</f>
        <v>388.34858670797593</v>
      </c>
      <c r="H2509" s="23">
        <f t="shared" si="165"/>
        <v>650</v>
      </c>
      <c r="I2509" s="12">
        <f>ksh*Massivete/(H2509*RhoA)*DeltaT*(F2509+G2509)</f>
        <v>6.0542770919709131E-2</v>
      </c>
      <c r="J2509" s="3">
        <f>IF(E2509&lt;=500,IF(Galva=Oui,0.35,0.7),0.7)</f>
        <v>0.7</v>
      </c>
    </row>
    <row r="2510" spans="2:10" x14ac:dyDescent="0.25">
      <c r="B2510" s="3">
        <f>B2509+DeltaT</f>
        <v>12465</v>
      </c>
      <c r="C2510" s="13">
        <f t="shared" si="162"/>
        <v>207.75</v>
      </c>
      <c r="D2510" s="11">
        <f t="shared" si="163"/>
        <v>1131.207825980734</v>
      </c>
      <c r="E2510" s="23">
        <f t="shared" si="164"/>
        <v>1130.3238841589939</v>
      </c>
      <c r="F2510" s="23">
        <f>AlphaC*(D2510-E2510)</f>
        <v>22.098545543502723</v>
      </c>
      <c r="G2510" s="13">
        <f>Phi*EpsilonF*Botzman/10^8*J2510*((D2510+273)^4-(E2510+273)^4)</f>
        <v>388.19401815391427</v>
      </c>
      <c r="H2510" s="23">
        <f t="shared" si="165"/>
        <v>650</v>
      </c>
      <c r="I2510" s="12">
        <f>ksh*Massivete/(H2510*RhoA)*DeltaT*(F2510+G2510)</f>
        <v>6.0518253836754986E-2</v>
      </c>
      <c r="J2510" s="3">
        <f>IF(E2510&lt;=500,IF(Galva=Oui,0.35,0.7),0.7)</f>
        <v>0.7</v>
      </c>
    </row>
    <row r="2511" spans="2:10" x14ac:dyDescent="0.25">
      <c r="B2511" s="3">
        <f>B2510+DeltaT</f>
        <v>12470</v>
      </c>
      <c r="C2511" s="13">
        <f t="shared" si="162"/>
        <v>207.83333333333334</v>
      </c>
      <c r="D2511" s="11">
        <f t="shared" si="163"/>
        <v>1131.2678787255286</v>
      </c>
      <c r="E2511" s="23">
        <f t="shared" si="164"/>
        <v>1130.3844024128307</v>
      </c>
      <c r="F2511" s="23">
        <f>AlphaC*(D2511-E2511)</f>
        <v>22.086907817447354</v>
      </c>
      <c r="G2511" s="13">
        <f>Phi*EpsilonF*Botzman/10^8*J2511*((D2511+273)^4-(E2511+273)^4)</f>
        <v>388.03957346579222</v>
      </c>
      <c r="H2511" s="23">
        <f t="shared" si="165"/>
        <v>650</v>
      </c>
      <c r="I2511" s="12">
        <f>ksh*Massivete/(H2511*RhoA)*DeltaT*(F2511+G2511)</f>
        <v>6.049375663990493E-2</v>
      </c>
      <c r="J2511" s="3">
        <f>IF(E2511&lt;=500,IF(Galva=Oui,0.35,0.7),0.7)</f>
        <v>0.7</v>
      </c>
    </row>
    <row r="2512" spans="2:10" x14ac:dyDescent="0.25">
      <c r="B2512" s="3">
        <f>B2511+DeltaT</f>
        <v>12475</v>
      </c>
      <c r="C2512" s="13">
        <f t="shared" si="162"/>
        <v>207.91666666666666</v>
      </c>
      <c r="D2512" s="11">
        <f t="shared" si="163"/>
        <v>1131.327907410729</v>
      </c>
      <c r="E2512" s="23">
        <f t="shared" si="164"/>
        <v>1130.4448961694707</v>
      </c>
      <c r="F2512" s="23">
        <f>AlphaC*(D2512-E2512)</f>
        <v>22.075281031459326</v>
      </c>
      <c r="G2512" s="13">
        <f>Phi*EpsilonF*Botzman/10^8*J2512*((D2512+273)^4-(E2512+273)^4)</f>
        <v>387.88525249390017</v>
      </c>
      <c r="H2512" s="23">
        <f t="shared" si="165"/>
        <v>650</v>
      </c>
      <c r="I2512" s="12">
        <f>ksh*Massivete/(H2512*RhoA)*DeltaT*(F2512+G2512)</f>
        <v>6.0469279304891779E-2</v>
      </c>
      <c r="J2512" s="3">
        <f>IF(E2512&lt;=500,IF(Galva=Oui,0.35,0.7),0.7)</f>
        <v>0.7</v>
      </c>
    </row>
    <row r="2513" spans="2:10" x14ac:dyDescent="0.25">
      <c r="B2513" s="3">
        <f>B2512+DeltaT</f>
        <v>12480</v>
      </c>
      <c r="C2513" s="13">
        <f t="shared" si="162"/>
        <v>208</v>
      </c>
      <c r="D2513" s="11">
        <f t="shared" si="163"/>
        <v>1131.3879120556069</v>
      </c>
      <c r="E2513" s="23">
        <f t="shared" si="164"/>
        <v>1130.5053654487756</v>
      </c>
      <c r="F2513" s="23">
        <f>AlphaC*(D2513-E2513)</f>
        <v>22.063665170782087</v>
      </c>
      <c r="G2513" s="13">
        <f>Phi*EpsilonF*Botzman/10^8*J2513*((D2513+273)^4-(E2513+273)^4)</f>
        <v>387.73105508951693</v>
      </c>
      <c r="H2513" s="23">
        <f t="shared" si="165"/>
        <v>650</v>
      </c>
      <c r="I2513" s="12">
        <f>ksh*Massivete/(H2513*RhoA)*DeltaT*(F2513+G2513)</f>
        <v>6.0444821807602522E-2</v>
      </c>
      <c r="J2513" s="3">
        <f>IF(E2513&lt;=500,IF(Galva=Oui,0.35,0.7),0.7)</f>
        <v>0.7</v>
      </c>
    </row>
    <row r="2514" spans="2:10" x14ac:dyDescent="0.25">
      <c r="B2514" s="3">
        <f>B2513+DeltaT</f>
        <v>12485</v>
      </c>
      <c r="C2514" s="13">
        <f t="shared" ref="C2514:C2577" si="166">B2514/60</f>
        <v>208.08333333333334</v>
      </c>
      <c r="D2514" s="11">
        <f t="shared" ref="D2514:D2577" si="167">20+345*LOG(8*C2514+1,10)</f>
        <v>1131.4478926794088</v>
      </c>
      <c r="E2514" s="23">
        <f t="shared" si="164"/>
        <v>1130.5658102705831</v>
      </c>
      <c r="F2514" s="23">
        <f>AlphaC*(D2514-E2514)</f>
        <v>22.052060220642034</v>
      </c>
      <c r="G2514" s="13">
        <f>Phi*EpsilonF*Botzman/10^8*J2514*((D2514+273)^4-(E2514+273)^4)</f>
        <v>387.57698110322355</v>
      </c>
      <c r="H2514" s="23">
        <f t="shared" si="165"/>
        <v>650</v>
      </c>
      <c r="I2514" s="12">
        <f>ksh*Massivete/(H2514*RhoA)*DeltaT*(F2514+G2514)</f>
        <v>6.042038412381872E-2</v>
      </c>
      <c r="J2514" s="3">
        <f>IF(E2514&lt;=500,IF(Galva=Oui,0.35,0.7),0.7)</f>
        <v>0.7</v>
      </c>
    </row>
    <row r="2515" spans="2:10" x14ac:dyDescent="0.25">
      <c r="B2515" s="3">
        <f>B2514+DeltaT</f>
        <v>12490</v>
      </c>
      <c r="C2515" s="13">
        <f t="shared" si="166"/>
        <v>208.16666666666666</v>
      </c>
      <c r="D2515" s="11">
        <f t="shared" si="167"/>
        <v>1131.50784930136</v>
      </c>
      <c r="E2515" s="23">
        <f t="shared" si="164"/>
        <v>1130.6262306547069</v>
      </c>
      <c r="F2515" s="23">
        <f>AlphaC*(D2515-E2515)</f>
        <v>22.040466166328088</v>
      </c>
      <c r="G2515" s="13">
        <f>Phi*EpsilonF*Botzman/10^8*J2515*((D2515+273)^4-(E2515+273)^4)</f>
        <v>387.42303038653137</v>
      </c>
      <c r="H2515" s="23">
        <f t="shared" si="165"/>
        <v>650</v>
      </c>
      <c r="I2515" s="12">
        <f>ksh*Massivete/(H2515*RhoA)*DeltaT*(F2515+G2515)</f>
        <v>6.0395966229468377E-2</v>
      </c>
      <c r="J2515" s="3">
        <f>IF(E2515&lt;=500,IF(Galva=Oui,0.35,0.7),0.7)</f>
        <v>0.7</v>
      </c>
    </row>
    <row r="2516" spans="2:10" x14ac:dyDescent="0.25">
      <c r="B2516" s="3">
        <f>B2515+DeltaT</f>
        <v>12495</v>
      </c>
      <c r="C2516" s="13">
        <f t="shared" si="166"/>
        <v>208.25</v>
      </c>
      <c r="D2516" s="11">
        <f t="shared" si="167"/>
        <v>1131.5677819406619</v>
      </c>
      <c r="E2516" s="23">
        <f t="shared" si="164"/>
        <v>1130.6866266209363</v>
      </c>
      <c r="F2516" s="23">
        <f>AlphaC*(D2516-E2516)</f>
        <v>22.028882993140542</v>
      </c>
      <c r="G2516" s="13">
        <f>Phi*EpsilonF*Botzman/10^8*J2516*((D2516+273)^4-(E2516+273)^4)</f>
        <v>387.26920279100989</v>
      </c>
      <c r="H2516" s="23">
        <f t="shared" si="165"/>
        <v>650</v>
      </c>
      <c r="I2516" s="12">
        <f>ksh*Massivete/(H2516*RhoA)*DeltaT*(F2516+G2516)</f>
        <v>6.0371568100489735E-2</v>
      </c>
      <c r="J2516" s="3">
        <f>IF(E2516&lt;=500,IF(Galva=Oui,0.35,0.7),0.7)</f>
        <v>0.7</v>
      </c>
    </row>
    <row r="2517" spans="2:10" x14ac:dyDescent="0.25">
      <c r="B2517" s="3">
        <f>B2516+DeltaT</f>
        <v>12500</v>
      </c>
      <c r="C2517" s="13">
        <f t="shared" si="166"/>
        <v>208.33333333333334</v>
      </c>
      <c r="D2517" s="11">
        <f t="shared" si="167"/>
        <v>1131.6276906164926</v>
      </c>
      <c r="E2517" s="23">
        <f t="shared" si="164"/>
        <v>1130.7469981890367</v>
      </c>
      <c r="F2517" s="23">
        <f>AlphaC*(D2517-E2517)</f>
        <v>22.01731068639674</v>
      </c>
      <c r="G2517" s="13">
        <f>Phi*EpsilonF*Botzman/10^8*J2517*((D2517+273)^4-(E2517+273)^4)</f>
        <v>387.115498168248</v>
      </c>
      <c r="H2517" s="23">
        <f t="shared" si="165"/>
        <v>650</v>
      </c>
      <c r="I2517" s="12">
        <f>ksh*Massivete/(H2517*RhoA)*DeltaT*(F2517+G2517)</f>
        <v>6.0347189712826439E-2</v>
      </c>
      <c r="J2517" s="3">
        <f>IF(E2517&lt;=500,IF(Galva=Oui,0.35,0.7),0.7)</f>
        <v>0.7</v>
      </c>
    </row>
    <row r="2518" spans="2:10" x14ac:dyDescent="0.25">
      <c r="B2518" s="3">
        <f>B2517+DeltaT</f>
        <v>12505</v>
      </c>
      <c r="C2518" s="13">
        <f t="shared" si="166"/>
        <v>208.41666666666666</v>
      </c>
      <c r="D2518" s="11">
        <f t="shared" si="167"/>
        <v>1131.6875753480076</v>
      </c>
      <c r="E2518" s="23">
        <f t="shared" si="164"/>
        <v>1130.8073453787495</v>
      </c>
      <c r="F2518" s="23">
        <f>AlphaC*(D2518-E2518)</f>
        <v>22.005749231453819</v>
      </c>
      <c r="G2518" s="13">
        <f>Phi*EpsilonF*Botzman/10^8*J2518*((D2518+273)^4-(E2518+273)^4)</f>
        <v>386.96191637033843</v>
      </c>
      <c r="H2518" s="23">
        <f t="shared" si="165"/>
        <v>650</v>
      </c>
      <c r="I2518" s="12">
        <f>ksh*Massivete/(H2518*RhoA)*DeltaT*(F2518+G2518)</f>
        <v>6.0322831042502294E-2</v>
      </c>
      <c r="J2518" s="3">
        <f>IF(E2518&lt;=500,IF(Galva=Oui,0.35,0.7),0.7)</f>
        <v>0.7</v>
      </c>
    </row>
    <row r="2519" spans="2:10" x14ac:dyDescent="0.25">
      <c r="B2519" s="3">
        <f>B2518+DeltaT</f>
        <v>12510</v>
      </c>
      <c r="C2519" s="13">
        <f t="shared" si="166"/>
        <v>208.5</v>
      </c>
      <c r="D2519" s="11">
        <f t="shared" si="167"/>
        <v>1131.7474361543398</v>
      </c>
      <c r="E2519" s="23">
        <f t="shared" si="164"/>
        <v>1130.8676682097919</v>
      </c>
      <c r="F2519" s="23">
        <f>AlphaC*(D2519-E2519)</f>
        <v>21.994198613697336</v>
      </c>
      <c r="G2519" s="13">
        <f>Phi*EpsilonF*Botzman/10^8*J2519*((D2519+273)^4-(E2519+273)^4)</f>
        <v>386.80845724964519</v>
      </c>
      <c r="H2519" s="23">
        <f t="shared" si="165"/>
        <v>650</v>
      </c>
      <c r="I2519" s="12">
        <f>ksh*Massivete/(H2519*RhoA)*DeltaT*(F2519+G2519)</f>
        <v>6.0298492065585317E-2</v>
      </c>
      <c r="J2519" s="3">
        <f>IF(E2519&lt;=500,IF(Galva=Oui,0.35,0.7),0.7)</f>
        <v>0.7</v>
      </c>
    </row>
    <row r="2520" spans="2:10" x14ac:dyDescent="0.25">
      <c r="B2520" s="3">
        <f>B2519+DeltaT</f>
        <v>12515</v>
      </c>
      <c r="C2520" s="13">
        <f t="shared" si="166"/>
        <v>208.58333333333334</v>
      </c>
      <c r="D2520" s="11">
        <f t="shared" si="167"/>
        <v>1131.8072730545987</v>
      </c>
      <c r="E2520" s="23">
        <f t="shared" si="164"/>
        <v>1130.9279667018575</v>
      </c>
      <c r="F2520" s="23">
        <f>AlphaC*(D2520-E2520)</f>
        <v>21.982658818529899</v>
      </c>
      <c r="G2520" s="13">
        <f>Phi*EpsilonF*Botzman/10^8*J2520*((D2520+273)^4-(E2520+273)^4)</f>
        <v>386.6551206586098</v>
      </c>
      <c r="H2520" s="23">
        <f t="shared" si="165"/>
        <v>650</v>
      </c>
      <c r="I2520" s="12">
        <f>ksh*Massivete/(H2520*RhoA)*DeltaT*(F2520+G2520)</f>
        <v>6.0274172758157489E-2</v>
      </c>
      <c r="J2520" s="3">
        <f>IF(E2520&lt;=500,IF(Galva=Oui,0.35,0.7),0.7)</f>
        <v>0.7</v>
      </c>
    </row>
    <row r="2521" spans="2:10" x14ac:dyDescent="0.25">
      <c r="B2521" s="3">
        <f>B2520+DeltaT</f>
        <v>12520</v>
      </c>
      <c r="C2521" s="13">
        <f t="shared" si="166"/>
        <v>208.66666666666666</v>
      </c>
      <c r="D2521" s="11">
        <f t="shared" si="167"/>
        <v>1131.867086067871</v>
      </c>
      <c r="E2521" s="23">
        <f t="shared" si="164"/>
        <v>1130.9882408746157</v>
      </c>
      <c r="F2521" s="23">
        <f>AlphaC*(D2521-E2521)</f>
        <v>21.971129831382541</v>
      </c>
      <c r="G2521" s="13">
        <f>Phi*EpsilonF*Botzman/10^8*J2521*((D2521+273)^4-(E2521+273)^4)</f>
        <v>386.50190645002283</v>
      </c>
      <c r="H2521" s="23">
        <f t="shared" si="165"/>
        <v>650</v>
      </c>
      <c r="I2521" s="12">
        <f>ksh*Massivete/(H2521*RhoA)*DeltaT*(F2521+G2521)</f>
        <v>6.0249873096356453E-2</v>
      </c>
      <c r="J2521" s="3">
        <f>IF(E2521&lt;=500,IF(Galva=Oui,0.35,0.7),0.7)</f>
        <v>0.7</v>
      </c>
    </row>
    <row r="2522" spans="2:10" x14ac:dyDescent="0.25">
      <c r="B2522" s="3">
        <f>B2521+DeltaT</f>
        <v>12525</v>
      </c>
      <c r="C2522" s="13">
        <f t="shared" si="166"/>
        <v>208.75</v>
      </c>
      <c r="D2522" s="11">
        <f t="shared" si="167"/>
        <v>1131.92687521322</v>
      </c>
      <c r="E2522" s="23">
        <f t="shared" si="164"/>
        <v>1131.0484907477121</v>
      </c>
      <c r="F2522" s="23">
        <f>AlphaC*(D2522-E2522)</f>
        <v>21.959611637697662</v>
      </c>
      <c r="G2522" s="13">
        <f>Phi*EpsilonF*Botzman/10^8*J2522*((D2522+273)^4-(E2522+273)^4)</f>
        <v>386.34881447661644</v>
      </c>
      <c r="H2522" s="23">
        <f t="shared" si="165"/>
        <v>650</v>
      </c>
      <c r="I2522" s="12">
        <f>ksh*Massivete/(H2522*RhoA)*DeltaT*(F2522+G2522)</f>
        <v>6.0225593056312914E-2</v>
      </c>
      <c r="J2522" s="3">
        <f>IF(E2522&lt;=500,IF(Galva=Oui,0.35,0.7),0.7)</f>
        <v>0.7</v>
      </c>
    </row>
    <row r="2523" spans="2:10" x14ac:dyDescent="0.25">
      <c r="B2523" s="3">
        <f>B2522+DeltaT</f>
        <v>12530</v>
      </c>
      <c r="C2523" s="13">
        <f t="shared" si="166"/>
        <v>208.83333333333334</v>
      </c>
      <c r="D2523" s="11">
        <f t="shared" si="167"/>
        <v>1131.986640509687</v>
      </c>
      <c r="E2523" s="23">
        <f t="shared" si="164"/>
        <v>1131.1087163407683</v>
      </c>
      <c r="F2523" s="23">
        <f>AlphaC*(D2523-E2523)</f>
        <v>21.948104222968823</v>
      </c>
      <c r="G2523" s="13">
        <f>Phi*EpsilonF*Botzman/10^8*J2523*((D2523+273)^4-(E2523+273)^4)</f>
        <v>386.19584459176241</v>
      </c>
      <c r="H2523" s="23">
        <f t="shared" si="165"/>
        <v>650</v>
      </c>
      <c r="I2523" s="12">
        <f>ksh*Massivete/(H2523*RhoA)*DeltaT*(F2523+G2523)</f>
        <v>6.0201332614259466E-2</v>
      </c>
      <c r="J2523" s="3">
        <f>IF(E2523&lt;=500,IF(Galva=Oui,0.35,0.7),0.7)</f>
        <v>0.7</v>
      </c>
    </row>
    <row r="2524" spans="2:10" x14ac:dyDescent="0.25">
      <c r="B2524" s="3">
        <f>B2523+DeltaT</f>
        <v>12535</v>
      </c>
      <c r="C2524" s="13">
        <f t="shared" si="166"/>
        <v>208.91666666666666</v>
      </c>
      <c r="D2524" s="11">
        <f t="shared" si="167"/>
        <v>1132.0463819762906</v>
      </c>
      <c r="E2524" s="23">
        <f t="shared" si="164"/>
        <v>1131.1689176733826</v>
      </c>
      <c r="F2524" s="23">
        <f>AlphaC*(D2524-E2524)</f>
        <v>21.93660757270095</v>
      </c>
      <c r="G2524" s="13">
        <f>Phi*EpsilonF*Botzman/10^8*J2524*((D2524+273)^4-(E2524+273)^4)</f>
        <v>386.04299664889078</v>
      </c>
      <c r="H2524" s="23">
        <f t="shared" si="165"/>
        <v>650</v>
      </c>
      <c r="I2524" s="12">
        <f>ksh*Massivete/(H2524*RhoA)*DeltaT*(F2524+G2524)</f>
        <v>6.0177091746438989E-2</v>
      </c>
      <c r="J2524" s="3">
        <f>IF(E2524&lt;=500,IF(Galva=Oui,0.35,0.7),0.7)</f>
        <v>0.7</v>
      </c>
    </row>
    <row r="2525" spans="2:10" x14ac:dyDescent="0.25">
      <c r="B2525" s="3">
        <f>B2524+DeltaT</f>
        <v>12540</v>
      </c>
      <c r="C2525" s="13">
        <f t="shared" si="166"/>
        <v>209</v>
      </c>
      <c r="D2525" s="11">
        <f t="shared" si="167"/>
        <v>1132.1060996320259</v>
      </c>
      <c r="E2525" s="23">
        <f t="shared" si="164"/>
        <v>1131.229094765129</v>
      </c>
      <c r="F2525" s="23">
        <f>AlphaC*(D2525-E2525)</f>
        <v>21.92512167242171</v>
      </c>
      <c r="G2525" s="13">
        <f>Phi*EpsilonF*Botzman/10^8*J2525*((D2525+273)^4-(E2525+273)^4)</f>
        <v>385.89027050160587</v>
      </c>
      <c r="H2525" s="23">
        <f t="shared" si="165"/>
        <v>650</v>
      </c>
      <c r="I2525" s="12">
        <f>ksh*Massivete/(H2525*RhoA)*DeltaT*(F2525+G2525)</f>
        <v>6.0152870429123401E-2</v>
      </c>
      <c r="J2525" s="3">
        <f>IF(E2525&lt;=500,IF(Galva=Oui,0.35,0.7),0.7)</f>
        <v>0.7</v>
      </c>
    </row>
    <row r="2526" spans="2:10" x14ac:dyDescent="0.25">
      <c r="B2526" s="3">
        <f>B2525+DeltaT</f>
        <v>12545</v>
      </c>
      <c r="C2526" s="13">
        <f t="shared" si="166"/>
        <v>209.08333333333334</v>
      </c>
      <c r="D2526" s="11">
        <f t="shared" si="167"/>
        <v>1132.1657934958662</v>
      </c>
      <c r="E2526" s="23">
        <f t="shared" si="164"/>
        <v>1131.2892476355582</v>
      </c>
      <c r="F2526" s="23">
        <f>AlphaC*(D2526-E2526)</f>
        <v>21.913646507698559</v>
      </c>
      <c r="G2526" s="13">
        <f>Phi*EpsilonF*Botzman/10^8*J2526*((D2526+273)^4-(E2526+273)^4)</f>
        <v>385.73766600393839</v>
      </c>
      <c r="H2526" s="23">
        <f t="shared" si="165"/>
        <v>650</v>
      </c>
      <c r="I2526" s="12">
        <f>ksh*Massivete/(H2526*RhoA)*DeltaT*(F2526+G2526)</f>
        <v>6.0128668638653397E-2</v>
      </c>
      <c r="J2526" s="3">
        <f>IF(E2526&lt;=500,IF(Galva=Oui,0.35,0.7),0.7)</f>
        <v>0.7</v>
      </c>
    </row>
    <row r="2527" spans="2:10" x14ac:dyDescent="0.25">
      <c r="B2527" s="3">
        <f>B2526+DeltaT</f>
        <v>12550</v>
      </c>
      <c r="C2527" s="13">
        <f t="shared" si="166"/>
        <v>209.16666666666666</v>
      </c>
      <c r="D2527" s="11">
        <f t="shared" si="167"/>
        <v>1132.225463586761</v>
      </c>
      <c r="E2527" s="23">
        <f t="shared" si="164"/>
        <v>1131.349376304197</v>
      </c>
      <c r="F2527" s="23">
        <f>AlphaC*(D2527-E2527)</f>
        <v>21.902182064098952</v>
      </c>
      <c r="G2527" s="13">
        <f>Phi*EpsilonF*Botzman/10^8*J2527*((D2527+273)^4-(E2527+273)^4)</f>
        <v>385.58518300991909</v>
      </c>
      <c r="H2527" s="23">
        <f t="shared" si="165"/>
        <v>650</v>
      </c>
      <c r="I2527" s="12">
        <f>ksh*Massivete/(H2527*RhoA)*DeltaT*(F2527+G2527)</f>
        <v>6.0104486351369675E-2</v>
      </c>
      <c r="J2527" s="3">
        <f>IF(E2527&lt;=500,IF(Galva=Oui,0.35,0.7),0.7)</f>
        <v>0.7</v>
      </c>
    </row>
    <row r="2528" spans="2:10" x14ac:dyDescent="0.25">
      <c r="B2528" s="3">
        <f>B2527+DeltaT</f>
        <v>12555</v>
      </c>
      <c r="C2528" s="13">
        <f t="shared" si="166"/>
        <v>209.25</v>
      </c>
      <c r="D2528" s="11">
        <f t="shared" si="167"/>
        <v>1132.2851099236379</v>
      </c>
      <c r="E2528" s="23">
        <f t="shared" si="164"/>
        <v>1131.4094807905483</v>
      </c>
      <c r="F2528" s="23">
        <f>AlphaC*(D2528-E2528)</f>
        <v>21.890728327241504</v>
      </c>
      <c r="G2528" s="13">
        <f>Phi*EpsilonF*Botzman/10^8*J2528*((D2528+273)^4-(E2528+273)^4)</f>
        <v>385.43282137392748</v>
      </c>
      <c r="H2528" s="23">
        <f t="shared" si="165"/>
        <v>650</v>
      </c>
      <c r="I2528" s="12">
        <f>ksh*Massivete/(H2528*RhoA)*DeltaT*(F2528+G2528)</f>
        <v>6.0080323543671911E-2</v>
      </c>
      <c r="J2528" s="3">
        <f>IF(E2528&lt;=500,IF(Galva=Oui,0.35,0.7),0.7)</f>
        <v>0.7</v>
      </c>
    </row>
    <row r="2529" spans="2:10" x14ac:dyDescent="0.25">
      <c r="B2529" s="3">
        <f>B2528+DeltaT</f>
        <v>12560</v>
      </c>
      <c r="C2529" s="13">
        <f t="shared" si="166"/>
        <v>209.33333333333334</v>
      </c>
      <c r="D2529" s="11">
        <f t="shared" si="167"/>
        <v>1132.3447325254024</v>
      </c>
      <c r="E2529" s="23">
        <f t="shared" si="164"/>
        <v>1131.4695611140919</v>
      </c>
      <c r="F2529" s="23">
        <f>AlphaC*(D2529-E2529)</f>
        <v>21.879285282761884</v>
      </c>
      <c r="G2529" s="13">
        <f>Phi*EpsilonF*Botzman/10^8*J2529*((D2529+273)^4-(E2529+273)^4)</f>
        <v>385.28058095075016</v>
      </c>
      <c r="H2529" s="23">
        <f t="shared" si="165"/>
        <v>650</v>
      </c>
      <c r="I2529" s="12">
        <f>ksh*Massivete/(H2529*RhoA)*DeltaT*(F2529+G2529)</f>
        <v>6.0056180192022364E-2</v>
      </c>
      <c r="J2529" s="3">
        <f>IF(E2529&lt;=500,IF(Galva=Oui,0.35,0.7),0.7)</f>
        <v>0.7</v>
      </c>
    </row>
    <row r="2530" spans="2:10" x14ac:dyDescent="0.25">
      <c r="B2530" s="3">
        <f>B2529+DeltaT</f>
        <v>12565</v>
      </c>
      <c r="C2530" s="13">
        <f t="shared" si="166"/>
        <v>209.41666666666666</v>
      </c>
      <c r="D2530" s="11">
        <f t="shared" si="167"/>
        <v>1132.404331410936</v>
      </c>
      <c r="E2530" s="23">
        <f t="shared" si="164"/>
        <v>1131.529617294284</v>
      </c>
      <c r="F2530" s="23">
        <f>AlphaC*(D2530-E2530)</f>
        <v>21.867852916301445</v>
      </c>
      <c r="G2530" s="13">
        <f>Phi*EpsilonF*Botzman/10^8*J2530*((D2530+273)^4-(E2530+273)^4)</f>
        <v>385.12846159486355</v>
      </c>
      <c r="H2530" s="23">
        <f t="shared" si="165"/>
        <v>650</v>
      </c>
      <c r="I2530" s="12">
        <f>ksh*Massivete/(H2530*RhoA)*DeltaT*(F2530+G2530)</f>
        <v>6.0032056272838349E-2</v>
      </c>
      <c r="J2530" s="3">
        <f>IF(E2530&lt;=500,IF(Galva=Oui,0.35,0.7),0.7)</f>
        <v>0.7</v>
      </c>
    </row>
    <row r="2531" spans="2:10" x14ac:dyDescent="0.25">
      <c r="B2531" s="3">
        <f>B2530+DeltaT</f>
        <v>12570</v>
      </c>
      <c r="C2531" s="13">
        <f t="shared" si="166"/>
        <v>209.5</v>
      </c>
      <c r="D2531" s="11">
        <f t="shared" si="167"/>
        <v>1132.4639065990996</v>
      </c>
      <c r="E2531" s="23">
        <f t="shared" si="164"/>
        <v>1131.5896493505568</v>
      </c>
      <c r="F2531" s="23">
        <f>AlphaC*(D2531-E2531)</f>
        <v>21.856431213569749</v>
      </c>
      <c r="G2531" s="13">
        <f>Phi*EpsilonF*Botzman/10^8*J2531*((D2531+273)^4-(E2531+273)^4)</f>
        <v>384.97646316184876</v>
      </c>
      <c r="H2531" s="23">
        <f t="shared" si="165"/>
        <v>650</v>
      </c>
      <c r="I2531" s="12">
        <f>ksh*Massivete/(H2531*RhoA)*DeltaT*(F2531+G2531)</f>
        <v>6.0007951762710218E-2</v>
      </c>
      <c r="J2531" s="3">
        <f>IF(E2531&lt;=500,IF(Galva=Oui,0.35,0.7),0.7)</f>
        <v>0.7</v>
      </c>
    </row>
    <row r="2532" spans="2:10" x14ac:dyDescent="0.25">
      <c r="B2532" s="3">
        <f>B2531+DeltaT</f>
        <v>12575</v>
      </c>
      <c r="C2532" s="13">
        <f t="shared" si="166"/>
        <v>209.58333333333334</v>
      </c>
      <c r="D2532" s="11">
        <f t="shared" si="167"/>
        <v>1132.5234581087295</v>
      </c>
      <c r="E2532" s="23">
        <f t="shared" si="164"/>
        <v>1131.6496573023194</v>
      </c>
      <c r="F2532" s="23">
        <f>AlphaC*(D2532-E2532)</f>
        <v>21.845020160253625</v>
      </c>
      <c r="G2532" s="13">
        <f>Phi*EpsilonF*Botzman/10^8*J2532*((D2532+273)^4-(E2532+273)^4)</f>
        <v>384.82458550653115</v>
      </c>
      <c r="H2532" s="23">
        <f t="shared" si="165"/>
        <v>650</v>
      </c>
      <c r="I2532" s="12">
        <f>ksh*Massivete/(H2532*RhoA)*DeltaT*(F2532+G2532)</f>
        <v>5.9983866638113469E-2</v>
      </c>
      <c r="J2532" s="3">
        <f>IF(E2532&lt;=500,IF(Galva=Oui,0.35,0.7),0.7)</f>
        <v>0.7</v>
      </c>
    </row>
    <row r="2533" spans="2:10" x14ac:dyDescent="0.25">
      <c r="B2533" s="3">
        <f>B2532+DeltaT</f>
        <v>12580</v>
      </c>
      <c r="C2533" s="13">
        <f t="shared" si="166"/>
        <v>209.66666666666666</v>
      </c>
      <c r="D2533" s="11">
        <f t="shared" si="167"/>
        <v>1132.5829859586411</v>
      </c>
      <c r="E2533" s="23">
        <f t="shared" si="164"/>
        <v>1131.7096411689574</v>
      </c>
      <c r="F2533" s="23">
        <f>AlphaC*(D2533-E2533)</f>
        <v>21.833619742091059</v>
      </c>
      <c r="G2533" s="13">
        <f>Phi*EpsilonF*Botzman/10^8*J2533*((D2533+273)^4-(E2533+273)^4)</f>
        <v>384.67282848470495</v>
      </c>
      <c r="H2533" s="23">
        <f t="shared" si="165"/>
        <v>650</v>
      </c>
      <c r="I2533" s="12">
        <f>ksh*Massivete/(H2533*RhoA)*DeltaT*(F2533+G2533)</f>
        <v>5.9959800875674062E-2</v>
      </c>
      <c r="J2533" s="3">
        <f>IF(E2533&lt;=500,IF(Galva=Oui,0.35,0.7),0.7)</f>
        <v>0.7</v>
      </c>
    </row>
    <row r="2534" spans="2:10" x14ac:dyDescent="0.25">
      <c r="B2534" s="3">
        <f>B2533+DeltaT</f>
        <v>12585</v>
      </c>
      <c r="C2534" s="13">
        <f t="shared" si="166"/>
        <v>209.75</v>
      </c>
      <c r="D2534" s="11">
        <f t="shared" si="167"/>
        <v>1132.6424901676266</v>
      </c>
      <c r="E2534" s="23">
        <f t="shared" si="164"/>
        <v>1131.7696009698332</v>
      </c>
      <c r="F2534" s="23">
        <f>AlphaC*(D2534-E2534)</f>
        <v>21.82222994483709</v>
      </c>
      <c r="G2534" s="13">
        <f>Phi*EpsilonF*Botzman/10^8*J2534*((D2534+273)^4-(E2534+273)^4)</f>
        <v>384.5211919519125</v>
      </c>
      <c r="H2534" s="23">
        <f t="shared" si="165"/>
        <v>650</v>
      </c>
      <c r="I2534" s="12">
        <f>ksh*Massivete/(H2534*RhoA)*DeltaT*(F2534+G2534)</f>
        <v>5.9935754451983334E-2</v>
      </c>
      <c r="J2534" s="3">
        <f>IF(E2534&lt;=500,IF(Galva=Oui,0.35,0.7),0.7)</f>
        <v>0.7</v>
      </c>
    </row>
    <row r="2535" spans="2:10" x14ac:dyDescent="0.25">
      <c r="B2535" s="3">
        <f>B2534+DeltaT</f>
        <v>12590</v>
      </c>
      <c r="C2535" s="13">
        <f t="shared" si="166"/>
        <v>209.83333333333334</v>
      </c>
      <c r="D2535" s="11">
        <f t="shared" si="167"/>
        <v>1132.7019707544566</v>
      </c>
      <c r="E2535" s="23">
        <f t="shared" si="164"/>
        <v>1131.8295367242852</v>
      </c>
      <c r="F2535" s="23">
        <f>AlphaC*(D2535-E2535)</f>
        <v>21.810850754286548</v>
      </c>
      <c r="G2535" s="13">
        <f>Phi*EpsilonF*Botzman/10^8*J2535*((D2535+273)^4-(E2535+273)^4)</f>
        <v>384.36967576447137</v>
      </c>
      <c r="H2535" s="23">
        <f t="shared" si="165"/>
        <v>650</v>
      </c>
      <c r="I2535" s="12">
        <f>ksh*Massivete/(H2535*RhoA)*DeltaT*(F2535+G2535)</f>
        <v>5.9911727343752816E-2</v>
      </c>
      <c r="J2535" s="3">
        <f>IF(E2535&lt;=500,IF(Galva=Oui,0.35,0.7),0.7)</f>
        <v>0.7</v>
      </c>
    </row>
    <row r="2536" spans="2:10" x14ac:dyDescent="0.25">
      <c r="B2536" s="3">
        <f>B2535+DeltaT</f>
        <v>12595</v>
      </c>
      <c r="C2536" s="13">
        <f t="shared" si="166"/>
        <v>209.91666666666666</v>
      </c>
      <c r="D2536" s="11">
        <f t="shared" si="167"/>
        <v>1132.7614277378784</v>
      </c>
      <c r="E2536" s="23">
        <f t="shared" si="164"/>
        <v>1131.8894484516288</v>
      </c>
      <c r="F2536" s="23">
        <f>AlphaC*(D2536-E2536)</f>
        <v>21.799482156239947</v>
      </c>
      <c r="G2536" s="13">
        <f>Phi*EpsilonF*Botzman/10^8*J2536*((D2536+273)^4-(E2536+273)^4)</f>
        <v>384.21827977842787</v>
      </c>
      <c r="H2536" s="23">
        <f t="shared" si="165"/>
        <v>650</v>
      </c>
      <c r="I2536" s="12">
        <f>ksh*Massivete/(H2536*RhoA)*DeltaT*(F2536+G2536)</f>
        <v>5.9887719527654877E-2</v>
      </c>
      <c r="J2536" s="3">
        <f>IF(E2536&lt;=500,IF(Galva=Oui,0.35,0.7),0.7)</f>
        <v>0.7</v>
      </c>
    </row>
    <row r="2537" spans="2:10" x14ac:dyDescent="0.25">
      <c r="B2537" s="3">
        <f>B2536+DeltaT</f>
        <v>12600</v>
      </c>
      <c r="C2537" s="13">
        <f t="shared" si="166"/>
        <v>210</v>
      </c>
      <c r="D2537" s="11">
        <f t="shared" si="167"/>
        <v>1132.8208611366174</v>
      </c>
      <c r="E2537" s="23">
        <f t="shared" si="164"/>
        <v>1131.9493361711566</v>
      </c>
      <c r="F2537" s="23">
        <f>AlphaC*(D2537-E2537)</f>
        <v>21.788124136520537</v>
      </c>
      <c r="G2537" s="13">
        <f>Phi*EpsilonF*Botzman/10^8*J2537*((D2537+273)^4-(E2537+273)^4)</f>
        <v>384.06700385008003</v>
      </c>
      <c r="H2537" s="23">
        <f t="shared" si="165"/>
        <v>650</v>
      </c>
      <c r="I2537" s="12">
        <f>ksh*Massivete/(H2537*RhoA)*DeltaT*(F2537+G2537)</f>
        <v>5.9863730980402374E-2</v>
      </c>
      <c r="J2537" s="3">
        <f>IF(E2537&lt;=500,IF(Galva=Oui,0.35,0.7),0.7)</f>
        <v>0.7</v>
      </c>
    </row>
    <row r="2538" spans="2:10" x14ac:dyDescent="0.25">
      <c r="B2538" s="3">
        <f>B2537+DeltaT</f>
        <v>12605</v>
      </c>
      <c r="C2538" s="13">
        <f t="shared" si="166"/>
        <v>210.08333333333334</v>
      </c>
      <c r="D2538" s="11">
        <f t="shared" si="167"/>
        <v>1132.8802709693771</v>
      </c>
      <c r="E2538" s="23">
        <f t="shared" si="164"/>
        <v>1132.009199902137</v>
      </c>
      <c r="F2538" s="23">
        <f>AlphaC*(D2538-E2538)</f>
        <v>21.77677668100273</v>
      </c>
      <c r="G2538" s="13">
        <f>Phi*EpsilonF*Botzman/10^8*J2538*((D2538+273)^4-(E2538+273)^4)</f>
        <v>383.91584783648193</v>
      </c>
      <c r="H2538" s="23">
        <f t="shared" si="165"/>
        <v>650</v>
      </c>
      <c r="I2538" s="12">
        <f>ksh*Massivete/(H2538*RhoA)*DeltaT*(F2538+G2538)</f>
        <v>5.9839761678827215E-2</v>
      </c>
      <c r="J2538" s="3">
        <f>IF(E2538&lt;=500,IF(Galva=Oui,0.35,0.7),0.7)</f>
        <v>0.7</v>
      </c>
    </row>
    <row r="2539" spans="2:10" x14ac:dyDescent="0.25">
      <c r="B2539" s="3">
        <f>B2538+DeltaT</f>
        <v>12610</v>
      </c>
      <c r="C2539" s="13">
        <f t="shared" si="166"/>
        <v>210.16666666666666</v>
      </c>
      <c r="D2539" s="11">
        <f t="shared" si="167"/>
        <v>1132.939657254838</v>
      </c>
      <c r="E2539" s="23">
        <f t="shared" si="164"/>
        <v>1132.0690396638158</v>
      </c>
      <c r="F2539" s="23">
        <f>AlphaC*(D2539-E2539)</f>
        <v>21.765439775555251</v>
      </c>
      <c r="G2539" s="13">
        <f>Phi*EpsilonF*Botzman/10^8*J2539*((D2539+273)^4-(E2539+273)^4)</f>
        <v>383.76481159426118</v>
      </c>
      <c r="H2539" s="23">
        <f t="shared" si="165"/>
        <v>650</v>
      </c>
      <c r="I2539" s="12">
        <f>ksh*Massivete/(H2539*RhoA)*DeltaT*(F2539+G2539)</f>
        <v>5.9815811599697566E-2</v>
      </c>
      <c r="J2539" s="3">
        <f>IF(E2539&lt;=500,IF(Galva=Oui,0.35,0.7),0.7)</f>
        <v>0.7</v>
      </c>
    </row>
    <row r="2540" spans="2:10" x14ac:dyDescent="0.25">
      <c r="B2540" s="3">
        <f>B2539+DeltaT</f>
        <v>12615</v>
      </c>
      <c r="C2540" s="13">
        <f t="shared" si="166"/>
        <v>210.25</v>
      </c>
      <c r="D2540" s="11">
        <f t="shared" si="167"/>
        <v>1132.999020011659</v>
      </c>
      <c r="E2540" s="23">
        <f t="shared" si="164"/>
        <v>1132.1288554754155</v>
      </c>
      <c r="F2540" s="23">
        <f>AlphaC*(D2540-E2540)</f>
        <v>21.754113406086617</v>
      </c>
      <c r="G2540" s="13">
        <f>Phi*EpsilonF*Botzman/10^8*J2540*((D2540+273)^4-(E2540+273)^4)</f>
        <v>383.61389498052984</v>
      </c>
      <c r="H2540" s="23">
        <f t="shared" si="165"/>
        <v>650</v>
      </c>
      <c r="I2540" s="12">
        <f>ksh*Massivete/(H2540*RhoA)*DeltaT*(F2540+G2540)</f>
        <v>5.9791880719858928E-2</v>
      </c>
      <c r="J2540" s="3">
        <f>IF(E2540&lt;=500,IF(Galva=Oui,0.35,0.7),0.7)</f>
        <v>0.7</v>
      </c>
    </row>
    <row r="2541" spans="2:10" x14ac:dyDescent="0.25">
      <c r="B2541" s="3">
        <f>B2540+DeltaT</f>
        <v>12620</v>
      </c>
      <c r="C2541" s="13">
        <f t="shared" si="166"/>
        <v>210.33333333333334</v>
      </c>
      <c r="D2541" s="11">
        <f t="shared" si="167"/>
        <v>1133.0583592584769</v>
      </c>
      <c r="E2541" s="23">
        <f t="shared" si="164"/>
        <v>1132.1886473561353</v>
      </c>
      <c r="F2541" s="23">
        <f>AlphaC*(D2541-E2541)</f>
        <v>21.742797558539451</v>
      </c>
      <c r="G2541" s="13">
        <f>Phi*EpsilonF*Botzman/10^8*J2541*((D2541+273)^4-(E2541+273)^4)</f>
        <v>383.4630978530397</v>
      </c>
      <c r="H2541" s="23">
        <f t="shared" si="165"/>
        <v>650</v>
      </c>
      <c r="I2541" s="12">
        <f>ksh*Massivete/(H2541*RhoA)*DeltaT*(F2541+G2541)</f>
        <v>5.9767969016256195E-2</v>
      </c>
      <c r="J2541" s="3">
        <f>IF(E2541&lt;=500,IF(Galva=Oui,0.35,0.7),0.7)</f>
        <v>0.7</v>
      </c>
    </row>
    <row r="2542" spans="2:10" x14ac:dyDescent="0.25">
      <c r="B2542" s="3">
        <f>B2541+DeltaT</f>
        <v>12625</v>
      </c>
      <c r="C2542" s="13">
        <f t="shared" si="166"/>
        <v>210.41666666666666</v>
      </c>
      <c r="D2542" s="11">
        <f t="shared" si="167"/>
        <v>1133.1176750139059</v>
      </c>
      <c r="E2542" s="23">
        <f t="shared" si="164"/>
        <v>1132.2484153251517</v>
      </c>
      <c r="F2542" s="23">
        <f>AlphaC*(D2542-E2542)</f>
        <v>21.731492218856374</v>
      </c>
      <c r="G2542" s="13">
        <f>Phi*EpsilonF*Botzman/10^8*J2542*((D2542+273)^4-(E2542+273)^4)</f>
        <v>383.31242006901903</v>
      </c>
      <c r="H2542" s="23">
        <f t="shared" si="165"/>
        <v>650</v>
      </c>
      <c r="I2542" s="12">
        <f>ksh*Massivete/(H2542*RhoA)*DeltaT*(F2542+G2542)</f>
        <v>5.9744076465757023E-2</v>
      </c>
      <c r="J2542" s="3">
        <f>IF(E2542&lt;=500,IF(Galva=Oui,0.35,0.7),0.7)</f>
        <v>0.7</v>
      </c>
    </row>
    <row r="2543" spans="2:10" x14ac:dyDescent="0.25">
      <c r="B2543" s="3">
        <f>B2542+DeltaT</f>
        <v>12630</v>
      </c>
      <c r="C2543" s="13">
        <f t="shared" si="166"/>
        <v>210.5</v>
      </c>
      <c r="D2543" s="11">
        <f t="shared" si="167"/>
        <v>1133.1769672965384</v>
      </c>
      <c r="E2543" s="23">
        <f t="shared" si="164"/>
        <v>1132.3081594016173</v>
      </c>
      <c r="F2543" s="23">
        <f>AlphaC*(D2543-E2543)</f>
        <v>21.720197373025485</v>
      </c>
      <c r="G2543" s="13">
        <f>Phi*EpsilonF*Botzman/10^8*J2543*((D2543+273)^4-(E2543+273)^4)</f>
        <v>383.16186148651025</v>
      </c>
      <c r="H2543" s="23">
        <f t="shared" si="165"/>
        <v>650</v>
      </c>
      <c r="I2543" s="12">
        <f>ksh*Massivete/(H2543*RhoA)*DeltaT*(F2543+G2543)</f>
        <v>5.9720203045355885E-2</v>
      </c>
      <c r="J2543" s="3">
        <f>IF(E2543&lt;=500,IF(Galva=Oui,0.35,0.7),0.7)</f>
        <v>0.7</v>
      </c>
    </row>
    <row r="2544" spans="2:10" x14ac:dyDescent="0.25">
      <c r="B2544" s="3">
        <f>B2543+DeltaT</f>
        <v>12635</v>
      </c>
      <c r="C2544" s="13">
        <f t="shared" si="166"/>
        <v>210.58333333333334</v>
      </c>
      <c r="D2544" s="11">
        <f t="shared" si="167"/>
        <v>1133.2362361249441</v>
      </c>
      <c r="E2544" s="23">
        <f t="shared" si="164"/>
        <v>1132.3678796046627</v>
      </c>
      <c r="F2544" s="23">
        <f>AlphaC*(D2544-E2544)</f>
        <v>21.70891300703488</v>
      </c>
      <c r="G2544" s="13">
        <f>Phi*EpsilonF*Botzman/10^8*J2544*((D2544+273)^4-(E2544+273)^4)</f>
        <v>383.01142196316812</v>
      </c>
      <c r="H2544" s="23">
        <f t="shared" si="165"/>
        <v>650</v>
      </c>
      <c r="I2544" s="12">
        <f>ksh*Massivete/(H2544*RhoA)*DeltaT*(F2544+G2544)</f>
        <v>5.9696348731990062E-2</v>
      </c>
      <c r="J2544" s="3">
        <f>IF(E2544&lt;=500,IF(Galva=Oui,0.35,0.7),0.7)</f>
        <v>0.7</v>
      </c>
    </row>
    <row r="2545" spans="2:10" x14ac:dyDescent="0.25">
      <c r="B2545" s="3">
        <f>B2544+DeltaT</f>
        <v>12640</v>
      </c>
      <c r="C2545" s="13">
        <f t="shared" si="166"/>
        <v>210.66666666666666</v>
      </c>
      <c r="D2545" s="11">
        <f t="shared" si="167"/>
        <v>1133.2954815176722</v>
      </c>
      <c r="E2545" s="23">
        <f t="shared" si="164"/>
        <v>1132.4275759533946</v>
      </c>
      <c r="F2545" s="23">
        <f>AlphaC*(D2545-E2545)</f>
        <v>21.697639106940869</v>
      </c>
      <c r="G2545" s="13">
        <f>Phi*EpsilonF*Botzman/10^8*J2545*((D2545+273)^4-(E2545+273)^4)</f>
        <v>382.86110135794587</v>
      </c>
      <c r="H2545" s="23">
        <f t="shared" si="165"/>
        <v>650</v>
      </c>
      <c r="I2545" s="12">
        <f>ksh*Massivete/(H2545*RhoA)*DeltaT*(F2545+G2545)</f>
        <v>5.9672513502798424E-2</v>
      </c>
      <c r="J2545" s="3">
        <f>IF(E2545&lt;=500,IF(Galva=Oui,0.35,0.7),0.7)</f>
        <v>0.7</v>
      </c>
    </row>
    <row r="2546" spans="2:10" x14ac:dyDescent="0.25">
      <c r="B2546" s="3">
        <f>B2545+DeltaT</f>
        <v>12645</v>
      </c>
      <c r="C2546" s="13">
        <f t="shared" si="166"/>
        <v>210.75</v>
      </c>
      <c r="D2546" s="11">
        <f t="shared" si="167"/>
        <v>1133.3547034932481</v>
      </c>
      <c r="E2546" s="23">
        <f t="shared" si="164"/>
        <v>1132.4872484668974</v>
      </c>
      <c r="F2546" s="23">
        <f>AlphaC*(D2546-E2546)</f>
        <v>21.686375658765655</v>
      </c>
      <c r="G2546" s="13">
        <f>Phi*EpsilonF*Botzman/10^8*J2546*((D2546+273)^4-(E2546+273)^4)</f>
        <v>382.71089952863389</v>
      </c>
      <c r="H2546" s="23">
        <f t="shared" si="165"/>
        <v>650</v>
      </c>
      <c r="I2546" s="12">
        <f>ksh*Massivete/(H2546*RhoA)*DeltaT*(F2546+G2546)</f>
        <v>5.9648697334743282E-2</v>
      </c>
      <c r="J2546" s="3">
        <f>IF(E2546&lt;=500,IF(Galva=Oui,0.35,0.7),0.7)</f>
        <v>0.7</v>
      </c>
    </row>
    <row r="2547" spans="2:10" x14ac:dyDescent="0.25">
      <c r="B2547" s="3">
        <f>B2546+DeltaT</f>
        <v>12650</v>
      </c>
      <c r="C2547" s="13">
        <f t="shared" si="166"/>
        <v>210.83333333333334</v>
      </c>
      <c r="D2547" s="11">
        <f t="shared" si="167"/>
        <v>1133.4139020701766</v>
      </c>
      <c r="E2547" s="23">
        <f t="shared" si="164"/>
        <v>1132.5468971642322</v>
      </c>
      <c r="F2547" s="23">
        <f>AlphaC*(D2547-E2547)</f>
        <v>21.675122648611023</v>
      </c>
      <c r="G2547" s="13">
        <f>Phi*EpsilonF*Botzman/10^8*J2547*((D2547+273)^4-(E2547+273)^4)</f>
        <v>382.56081633451481</v>
      </c>
      <c r="H2547" s="23">
        <f t="shared" si="165"/>
        <v>650</v>
      </c>
      <c r="I2547" s="12">
        <f>ksh*Massivete/(H2547*RhoA)*DeltaT*(F2547+G2547)</f>
        <v>5.9624900205018809E-2</v>
      </c>
      <c r="J2547" s="3">
        <f>IF(E2547&lt;=500,IF(Galva=Oui,0.35,0.7),0.7)</f>
        <v>0.7</v>
      </c>
    </row>
    <row r="2548" spans="2:10" x14ac:dyDescent="0.25">
      <c r="B2548" s="3">
        <f>B2547+DeltaT</f>
        <v>12655</v>
      </c>
      <c r="C2548" s="13">
        <f t="shared" si="166"/>
        <v>210.91666666666666</v>
      </c>
      <c r="D2548" s="11">
        <f t="shared" si="167"/>
        <v>1133.4730772669395</v>
      </c>
      <c r="E2548" s="23">
        <f t="shared" ref="E2548:E2611" si="168">E2547+I2547</f>
        <v>1132.6065220644373</v>
      </c>
      <c r="F2548" s="23">
        <f>AlphaC*(D2548-E2548)</f>
        <v>21.663880062556018</v>
      </c>
      <c r="G2548" s="13">
        <f>Phi*EpsilonF*Botzman/10^8*J2548*((D2548+273)^4-(E2548+273)^4)</f>
        <v>382.41085163409622</v>
      </c>
      <c r="H2548" s="23">
        <f t="shared" ref="H2548:H2611" si="169">IF(E2548&lt;600,425+0.773*E2548-1.69/1000*E2548^2+2.22/1000^2*E2548^3,IF(E2548&lt;735,666+13002/(738-E2548),IF(E2548&lt;900,545+17820/(E2548-731),650)))</f>
        <v>650</v>
      </c>
      <c r="I2548" s="12">
        <f>ksh*Massivete/(H2548*RhoA)*DeltaT*(F2548+G2548)</f>
        <v>5.9601122090701487E-2</v>
      </c>
      <c r="J2548" s="3">
        <f>IF(E2548&lt;=500,IF(Galva=Oui,0.35,0.7),0.7)</f>
        <v>0.7</v>
      </c>
    </row>
    <row r="2549" spans="2:10" x14ac:dyDescent="0.25">
      <c r="B2549" s="3">
        <f>B2548+DeltaT</f>
        <v>12660</v>
      </c>
      <c r="C2549" s="13">
        <f t="shared" si="166"/>
        <v>211</v>
      </c>
      <c r="D2549" s="11">
        <f t="shared" si="167"/>
        <v>1133.5322291019979</v>
      </c>
      <c r="E2549" s="23">
        <f t="shared" si="168"/>
        <v>1132.666123186528</v>
      </c>
      <c r="F2549" s="23">
        <f>AlphaC*(D2549-E2549)</f>
        <v>21.6526478867479</v>
      </c>
      <c r="G2549" s="13">
        <f>Phi*EpsilonF*Botzman/10^8*J2549*((D2549+273)^4-(E2549+273)^4)</f>
        <v>382.26100528691262</v>
      </c>
      <c r="H2549" s="23">
        <f t="shared" si="169"/>
        <v>650</v>
      </c>
      <c r="I2549" s="12">
        <f>ksh*Massivete/(H2549*RhoA)*DeltaT*(F2549+G2549)</f>
        <v>5.9577362969029345E-2</v>
      </c>
      <c r="J2549" s="3">
        <f>IF(E2549&lt;=500,IF(Galva=Oui,0.35,0.7),0.7)</f>
        <v>0.7</v>
      </c>
    </row>
    <row r="2550" spans="2:10" x14ac:dyDescent="0.25">
      <c r="B2550" s="3">
        <f>B2549+DeltaT</f>
        <v>12665</v>
      </c>
      <c r="C2550" s="13">
        <f t="shared" si="166"/>
        <v>211.08333333333334</v>
      </c>
      <c r="D2550" s="11">
        <f t="shared" si="167"/>
        <v>1133.59135759379</v>
      </c>
      <c r="E2550" s="23">
        <f t="shared" si="168"/>
        <v>1132.7257005494971</v>
      </c>
      <c r="F2550" s="23">
        <f>AlphaC*(D2550-E2550)</f>
        <v>21.641426107322559</v>
      </c>
      <c r="G2550" s="13">
        <f>Phi*EpsilonF*Botzman/10^8*J2550*((D2550+273)^4-(E2550+273)^4)</f>
        <v>382.11127715214985</v>
      </c>
      <c r="H2550" s="23">
        <f t="shared" si="169"/>
        <v>650</v>
      </c>
      <c r="I2550" s="12">
        <f>ksh*Massivete/(H2550*RhoA)*DeltaT*(F2550+G2550)</f>
        <v>5.9553622817187298E-2</v>
      </c>
      <c r="J2550" s="3">
        <f>IF(E2550&lt;=500,IF(Galva=Oui,0.35,0.7),0.7)</f>
        <v>0.7</v>
      </c>
    </row>
    <row r="2551" spans="2:10" x14ac:dyDescent="0.25">
      <c r="B2551" s="3">
        <f>B2550+DeltaT</f>
        <v>12670</v>
      </c>
      <c r="C2551" s="13">
        <f t="shared" si="166"/>
        <v>211.16666666666666</v>
      </c>
      <c r="D2551" s="11">
        <f t="shared" si="167"/>
        <v>1133.6504627607326</v>
      </c>
      <c r="E2551" s="23">
        <f t="shared" si="168"/>
        <v>1132.7852541723144</v>
      </c>
      <c r="F2551" s="23">
        <f>AlphaC*(D2551-E2551)</f>
        <v>21.630214710455675</v>
      </c>
      <c r="G2551" s="13">
        <f>Phi*EpsilonF*Botzman/10^8*J2551*((D2551+273)^4-(E2551+273)^4)</f>
        <v>381.96166708953632</v>
      </c>
      <c r="H2551" s="23">
        <f t="shared" si="169"/>
        <v>650</v>
      </c>
      <c r="I2551" s="12">
        <f>ksh*Massivete/(H2551*RhoA)*DeltaT*(F2551+G2551)</f>
        <v>5.9529901612446152E-2</v>
      </c>
      <c r="J2551" s="3">
        <f>IF(E2551&lt;=500,IF(Galva=Oui,0.35,0.7),0.7)</f>
        <v>0.7</v>
      </c>
    </row>
    <row r="2552" spans="2:10" x14ac:dyDescent="0.25">
      <c r="B2552" s="3">
        <f>B2551+DeltaT</f>
        <v>12675</v>
      </c>
      <c r="C2552" s="13">
        <f t="shared" si="166"/>
        <v>211.25</v>
      </c>
      <c r="D2552" s="11">
        <f t="shared" si="167"/>
        <v>1133.7095446212206</v>
      </c>
      <c r="E2552" s="23">
        <f t="shared" si="168"/>
        <v>1132.8447840739268</v>
      </c>
      <c r="F2552" s="23">
        <f>AlphaC*(D2552-E2552)</f>
        <v>21.619013682345667</v>
      </c>
      <c r="G2552" s="13">
        <f>Phi*EpsilonF*Botzman/10^8*J2552*((D2552+273)^4-(E2552+273)^4)</f>
        <v>381.81217495880037</v>
      </c>
      <c r="H2552" s="23">
        <f t="shared" si="169"/>
        <v>650</v>
      </c>
      <c r="I2552" s="12">
        <f>ksh*Massivete/(H2552*RhoA)*DeltaT*(F2552+G2552)</f>
        <v>5.9506199332080088E-2</v>
      </c>
      <c r="J2552" s="3">
        <f>IF(E2552&lt;=500,IF(Galva=Oui,0.35,0.7),0.7)</f>
        <v>0.7</v>
      </c>
    </row>
    <row r="2553" spans="2:10" x14ac:dyDescent="0.25">
      <c r="B2553" s="3">
        <f>B2552+DeltaT</f>
        <v>12680</v>
      </c>
      <c r="C2553" s="13">
        <f t="shared" si="166"/>
        <v>211.33333333333334</v>
      </c>
      <c r="D2553" s="11">
        <f t="shared" si="167"/>
        <v>1133.7686031936278</v>
      </c>
      <c r="E2553" s="23">
        <f t="shared" si="168"/>
        <v>1132.904290273259</v>
      </c>
      <c r="F2553" s="23">
        <f>AlphaC*(D2553-E2553)</f>
        <v>21.607823009219373</v>
      </c>
      <c r="G2553" s="13">
        <f>Phi*EpsilonF*Botzman/10^8*J2553*((D2553+273)^4-(E2553+273)^4)</f>
        <v>381.66280062027124</v>
      </c>
      <c r="H2553" s="23">
        <f t="shared" si="169"/>
        <v>650</v>
      </c>
      <c r="I2553" s="12">
        <f>ksh*Massivete/(H2553*RhoA)*DeltaT*(F2553+G2553)</f>
        <v>5.9482515953456071E-2</v>
      </c>
      <c r="J2553" s="3">
        <f>IF(E2553&lt;=500,IF(Galva=Oui,0.35,0.7),0.7)</f>
        <v>0.7</v>
      </c>
    </row>
    <row r="2554" spans="2:10" x14ac:dyDescent="0.25">
      <c r="B2554" s="3">
        <f>B2553+DeltaT</f>
        <v>12685</v>
      </c>
      <c r="C2554" s="13">
        <f t="shared" si="166"/>
        <v>211.41666666666666</v>
      </c>
      <c r="D2554" s="11">
        <f t="shared" si="167"/>
        <v>1133.8276384963051</v>
      </c>
      <c r="E2554" s="23">
        <f t="shared" si="168"/>
        <v>1132.9637727892125</v>
      </c>
      <c r="F2554" s="23">
        <f>AlphaC*(D2554-E2554)</f>
        <v>21.596642677315003</v>
      </c>
      <c r="G2554" s="13">
        <f>Phi*EpsilonF*Botzman/10^8*J2554*((D2554+273)^4-(E2554+273)^4)</f>
        <v>381.5135439340068</v>
      </c>
      <c r="H2554" s="23">
        <f t="shared" si="169"/>
        <v>650</v>
      </c>
      <c r="I2554" s="12">
        <f>ksh*Massivete/(H2554*RhoA)*DeltaT*(F2554+G2554)</f>
        <v>5.9458851453902742E-2</v>
      </c>
      <c r="J2554" s="3">
        <f>IF(E2554&lt;=500,IF(Galva=Oui,0.35,0.7),0.7)</f>
        <v>0.7</v>
      </c>
    </row>
    <row r="2555" spans="2:10" x14ac:dyDescent="0.25">
      <c r="B2555" s="3">
        <f>B2554+DeltaT</f>
        <v>12690</v>
      </c>
      <c r="C2555" s="13">
        <f t="shared" si="166"/>
        <v>211.5</v>
      </c>
      <c r="D2555" s="11">
        <f t="shared" si="167"/>
        <v>1133.8866505475826</v>
      </c>
      <c r="E2555" s="23">
        <f t="shared" si="168"/>
        <v>1133.0232316406664</v>
      </c>
      <c r="F2555" s="23">
        <f>AlphaC*(D2555-E2555)</f>
        <v>21.585472672904871</v>
      </c>
      <c r="G2555" s="13">
        <f>Phi*EpsilonF*Botzman/10^8*J2555*((D2555+273)^4-(E2555+273)^4)</f>
        <v>381.36440476058812</v>
      </c>
      <c r="H2555" s="23">
        <f t="shared" si="169"/>
        <v>650</v>
      </c>
      <c r="I2555" s="12">
        <f>ksh*Massivete/(H2555*RhoA)*DeltaT*(F2555+G2555)</f>
        <v>5.9435205810830935E-2</v>
      </c>
      <c r="J2555" s="3">
        <f>IF(E2555&lt;=500,IF(Galva=Oui,0.35,0.7),0.7)</f>
        <v>0.7</v>
      </c>
    </row>
    <row r="2556" spans="2:10" x14ac:dyDescent="0.25">
      <c r="B2556" s="3">
        <f>B2555+DeltaT</f>
        <v>12695</v>
      </c>
      <c r="C2556" s="13">
        <f t="shared" si="166"/>
        <v>211.58333333333334</v>
      </c>
      <c r="D2556" s="11">
        <f t="shared" si="167"/>
        <v>1133.9456393657686</v>
      </c>
      <c r="E2556" s="23">
        <f t="shared" si="168"/>
        <v>1133.0826668464772</v>
      </c>
      <c r="F2556" s="23">
        <f>AlphaC*(D2556-E2556)</f>
        <v>21.574312982284027</v>
      </c>
      <c r="G2556" s="13">
        <f>Phi*EpsilonF*Botzman/10^8*J2556*((D2556+273)^4-(E2556+273)^4)</f>
        <v>381.2153829607708</v>
      </c>
      <c r="H2556" s="23">
        <f t="shared" si="169"/>
        <v>650</v>
      </c>
      <c r="I2556" s="12">
        <f>ksh*Massivete/(H2556*RhoA)*DeltaT*(F2556+G2556)</f>
        <v>5.9411579001680585E-2</v>
      </c>
      <c r="J2556" s="3">
        <f>IF(E2556&lt;=500,IF(Galva=Oui,0.35,0.7),0.7)</f>
        <v>0.7</v>
      </c>
    </row>
    <row r="2557" spans="2:10" x14ac:dyDescent="0.25">
      <c r="B2557" s="3">
        <f>B2556+DeltaT</f>
        <v>12700</v>
      </c>
      <c r="C2557" s="13">
        <f t="shared" si="166"/>
        <v>211.66666666666666</v>
      </c>
      <c r="D2557" s="11">
        <f t="shared" si="167"/>
        <v>1134.0046049691491</v>
      </c>
      <c r="E2557" s="23">
        <f t="shared" si="168"/>
        <v>1133.142078425479</v>
      </c>
      <c r="F2557" s="23">
        <f>AlphaC*(D2557-E2557)</f>
        <v>21.563163591753209</v>
      </c>
      <c r="G2557" s="13">
        <f>Phi*EpsilonF*Botzman/10^8*J2557*((D2557+273)^4-(E2557+273)^4)</f>
        <v>381.06647839529097</v>
      </c>
      <c r="H2557" s="23">
        <f t="shared" si="169"/>
        <v>650</v>
      </c>
      <c r="I2557" s="12">
        <f>ksh*Massivete/(H2557*RhoA)*DeltaT*(F2557+G2557)</f>
        <v>5.9387971003889588E-2</v>
      </c>
      <c r="J2557" s="3">
        <f>IF(E2557&lt;=500,IF(Galva=Oui,0.35,0.7),0.7)</f>
        <v>0.7</v>
      </c>
    </row>
    <row r="2558" spans="2:10" x14ac:dyDescent="0.25">
      <c r="B2558" s="3">
        <f>B2557+DeltaT</f>
        <v>12705</v>
      </c>
      <c r="C2558" s="13">
        <f t="shared" si="166"/>
        <v>211.75</v>
      </c>
      <c r="D2558" s="11">
        <f t="shared" si="167"/>
        <v>1134.0635473759896</v>
      </c>
      <c r="E2558" s="23">
        <f t="shared" si="168"/>
        <v>1133.2014663964828</v>
      </c>
      <c r="F2558" s="23">
        <f>AlphaC*(D2558-E2558)</f>
        <v>21.552024487669996</v>
      </c>
      <c r="G2558" s="13">
        <f>Phi*EpsilonF*Botzman/10^8*J2558*((D2558+273)^4-(E2558+273)^4)</f>
        <v>380.91769092560185</v>
      </c>
      <c r="H2558" s="23">
        <f t="shared" si="169"/>
        <v>650</v>
      </c>
      <c r="I2558" s="12">
        <f>ksh*Massivete/(H2558*RhoA)*DeltaT*(F2558+G2558)</f>
        <v>5.936438179501001E-2</v>
      </c>
      <c r="J2558" s="3">
        <f>IF(E2558&lt;=500,IF(Galva=Oui,0.35,0.7),0.7)</f>
        <v>0.7</v>
      </c>
    </row>
    <row r="2559" spans="2:10" x14ac:dyDescent="0.25">
      <c r="B2559" s="3">
        <f>B2558+DeltaT</f>
        <v>12710</v>
      </c>
      <c r="C2559" s="13">
        <f t="shared" si="166"/>
        <v>211.83333333333334</v>
      </c>
      <c r="D2559" s="11">
        <f t="shared" si="167"/>
        <v>1134.1224666045337</v>
      </c>
      <c r="E2559" s="23">
        <f t="shared" si="168"/>
        <v>1133.2608307782778</v>
      </c>
      <c r="F2559" s="23">
        <f>AlphaC*(D2559-E2559)</f>
        <v>21.540895656397652</v>
      </c>
      <c r="G2559" s="13">
        <f>Phi*EpsilonF*Botzman/10^8*J2559*((D2559+273)^4-(E2559+273)^4)</f>
        <v>380.76902041307915</v>
      </c>
      <c r="H2559" s="23">
        <f t="shared" si="169"/>
        <v>650</v>
      </c>
      <c r="I2559" s="12">
        <f>ksh*Massivete/(H2559*RhoA)*DeltaT*(F2559+G2559)</f>
        <v>5.9340811352583303E-2</v>
      </c>
      <c r="J2559" s="3">
        <f>IF(E2559&lt;=500,IF(Galva=Oui,0.35,0.7),0.7)</f>
        <v>0.7</v>
      </c>
    </row>
    <row r="2560" spans="2:10" x14ac:dyDescent="0.25">
      <c r="B2560" s="3">
        <f>B2559+DeltaT</f>
        <v>12715</v>
      </c>
      <c r="C2560" s="13">
        <f t="shared" si="166"/>
        <v>211.91666666666666</v>
      </c>
      <c r="D2560" s="11">
        <f t="shared" si="167"/>
        <v>1134.1813626730029</v>
      </c>
      <c r="E2560" s="23">
        <f t="shared" si="168"/>
        <v>1133.3201715896303</v>
      </c>
      <c r="F2560" s="23">
        <f>AlphaC*(D2560-E2560)</f>
        <v>21.529777084316493</v>
      </c>
      <c r="G2560" s="13">
        <f>Phi*EpsilonF*Botzman/10^8*J2560*((D2560+273)^4-(E2560+273)^4)</f>
        <v>380.62046671925361</v>
      </c>
      <c r="H2560" s="23">
        <f t="shared" si="169"/>
        <v>650</v>
      </c>
      <c r="I2560" s="12">
        <f>ksh*Massivete/(H2560*RhoA)*DeltaT*(F2560+G2560)</f>
        <v>5.9317259654176321E-2</v>
      </c>
      <c r="J2560" s="3">
        <f>IF(E2560&lt;=500,IF(Galva=Oui,0.35,0.7),0.7)</f>
        <v>0.7</v>
      </c>
    </row>
    <row r="2561" spans="2:10" x14ac:dyDescent="0.25">
      <c r="B2561" s="3">
        <f>B2560+DeltaT</f>
        <v>12720</v>
      </c>
      <c r="C2561" s="13">
        <f t="shared" si="166"/>
        <v>212</v>
      </c>
      <c r="D2561" s="11">
        <f t="shared" si="167"/>
        <v>1134.240235599598</v>
      </c>
      <c r="E2561" s="23">
        <f t="shared" si="168"/>
        <v>1133.3794888492844</v>
      </c>
      <c r="F2561" s="23">
        <f>AlphaC*(D2561-E2561)</f>
        <v>21.518668757840942</v>
      </c>
      <c r="G2561" s="13">
        <f>Phi*EpsilonF*Botzman/10^8*J2561*((D2561+273)^4-(E2561+273)^4)</f>
        <v>380.47202970594668</v>
      </c>
      <c r="H2561" s="23">
        <f t="shared" si="169"/>
        <v>650</v>
      </c>
      <c r="I2561" s="12">
        <f>ksh*Massivete/(H2561*RhoA)*DeltaT*(F2561+G2561)</f>
        <v>5.9293726677403805E-2</v>
      </c>
      <c r="J2561" s="3">
        <f>IF(E2561&lt;=500,IF(Galva=Oui,0.35,0.7),0.7)</f>
        <v>0.7</v>
      </c>
    </row>
    <row r="2562" spans="2:10" x14ac:dyDescent="0.25">
      <c r="B2562" s="3">
        <f>B2561+DeltaT</f>
        <v>12725</v>
      </c>
      <c r="C2562" s="13">
        <f t="shared" si="166"/>
        <v>212.08333333333334</v>
      </c>
      <c r="D2562" s="11">
        <f t="shared" si="167"/>
        <v>1134.2990854024977</v>
      </c>
      <c r="E2562" s="23">
        <f t="shared" si="168"/>
        <v>1133.4387825759618</v>
      </c>
      <c r="F2562" s="23">
        <f>AlphaC*(D2562-E2562)</f>
        <v>21.507570663396791</v>
      </c>
      <c r="G2562" s="13">
        <f>Phi*EpsilonF*Botzman/10^8*J2562*((D2562+273)^4-(E2562+273)^4)</f>
        <v>380.32370923507665</v>
      </c>
      <c r="H2562" s="23">
        <f t="shared" si="169"/>
        <v>650</v>
      </c>
      <c r="I2562" s="12">
        <f>ksh*Massivete/(H2562*RhoA)*DeltaT*(F2562+G2562)</f>
        <v>5.9270212399896473E-2</v>
      </c>
      <c r="J2562" s="3">
        <f>IF(E2562&lt;=500,IF(Galva=Oui,0.35,0.7),0.7)</f>
        <v>0.7</v>
      </c>
    </row>
    <row r="2563" spans="2:10" x14ac:dyDescent="0.25">
      <c r="B2563" s="3">
        <f>B2562+DeltaT</f>
        <v>12730</v>
      </c>
      <c r="C2563" s="13">
        <f t="shared" si="166"/>
        <v>212.16666666666666</v>
      </c>
      <c r="D2563" s="11">
        <f t="shared" si="167"/>
        <v>1134.35791209986</v>
      </c>
      <c r="E2563" s="23">
        <f t="shared" si="168"/>
        <v>1133.4980527883617</v>
      </c>
      <c r="F2563" s="23">
        <f>AlphaC*(D2563-E2563)</f>
        <v>21.496482787455307</v>
      </c>
      <c r="G2563" s="13">
        <f>Phi*EpsilonF*Botzman/10^8*J2563*((D2563+273)^4-(E2563+273)^4)</f>
        <v>380.17550516924018</v>
      </c>
      <c r="H2563" s="23">
        <f t="shared" si="169"/>
        <v>650</v>
      </c>
      <c r="I2563" s="12">
        <f>ksh*Massivete/(H2563*RhoA)*DeltaT*(F2563+G2563)</f>
        <v>5.9246716799391808E-2</v>
      </c>
      <c r="J2563" s="3">
        <f>IF(E2563&lt;=500,IF(Galva=Oui,0.35,0.7),0.7)</f>
        <v>0.7</v>
      </c>
    </row>
    <row r="2564" spans="2:10" x14ac:dyDescent="0.25">
      <c r="B2564" s="3">
        <f>B2563+DeltaT</f>
        <v>12735</v>
      </c>
      <c r="C2564" s="13">
        <f t="shared" si="166"/>
        <v>212.25</v>
      </c>
      <c r="D2564" s="11">
        <f t="shared" si="167"/>
        <v>1134.4167157098207</v>
      </c>
      <c r="E2564" s="23">
        <f t="shared" si="168"/>
        <v>1133.5572995051612</v>
      </c>
      <c r="F2564" s="23">
        <f>AlphaC*(D2564-E2564)</f>
        <v>21.485405116487755</v>
      </c>
      <c r="G2564" s="13">
        <f>Phi*EpsilonF*Botzman/10^8*J2564*((D2564+273)^4-(E2564+273)^4)</f>
        <v>380.02741737066572</v>
      </c>
      <c r="H2564" s="23">
        <f t="shared" si="169"/>
        <v>650</v>
      </c>
      <c r="I2564" s="12">
        <f>ksh*Massivete/(H2564*RhoA)*DeltaT*(F2564+G2564)</f>
        <v>5.9223239853572987E-2</v>
      </c>
      <c r="J2564" s="3">
        <f>IF(E2564&lt;=500,IF(Galva=Oui,0.35,0.7),0.7)</f>
        <v>0.7</v>
      </c>
    </row>
    <row r="2565" spans="2:10" x14ac:dyDescent="0.25">
      <c r="B2565" s="3">
        <f>B2564+DeltaT</f>
        <v>12740</v>
      </c>
      <c r="C2565" s="13">
        <f t="shared" si="166"/>
        <v>212.33333333333334</v>
      </c>
      <c r="D2565" s="11">
        <f t="shared" si="167"/>
        <v>1134.4754962504946</v>
      </c>
      <c r="E2565" s="23">
        <f t="shared" si="168"/>
        <v>1133.6165227450147</v>
      </c>
      <c r="F2565" s="23">
        <f>AlphaC*(D2565-E2565)</f>
        <v>21.474337636999508</v>
      </c>
      <c r="G2565" s="13">
        <f>Phi*EpsilonF*Botzman/10^8*J2565*((D2565+273)^4-(E2565+273)^4)</f>
        <v>379.87944570210482</v>
      </c>
      <c r="H2565" s="23">
        <f t="shared" si="169"/>
        <v>650</v>
      </c>
      <c r="I2565" s="12">
        <f>ksh*Massivete/(H2565*RhoA)*DeltaT*(F2565+G2565)</f>
        <v>5.9199781540205366E-2</v>
      </c>
      <c r="J2565" s="3">
        <f>IF(E2565&lt;=500,IF(Galva=Oui,0.35,0.7),0.7)</f>
        <v>0.7</v>
      </c>
    </row>
    <row r="2566" spans="2:10" x14ac:dyDescent="0.25">
      <c r="B2566" s="3">
        <f>B2565+DeltaT</f>
        <v>12745</v>
      </c>
      <c r="C2566" s="13">
        <f t="shared" si="166"/>
        <v>212.41666666666666</v>
      </c>
      <c r="D2566" s="11">
        <f t="shared" si="167"/>
        <v>1134.5342537399758</v>
      </c>
      <c r="E2566" s="23">
        <f t="shared" si="168"/>
        <v>1133.6757225265549</v>
      </c>
      <c r="F2566" s="23">
        <f>AlphaC*(D2566-E2566)</f>
        <v>21.46328033552436</v>
      </c>
      <c r="G2566" s="13">
        <f>Phi*EpsilonF*Botzman/10^8*J2566*((D2566+273)^4-(E2566+273)^4)</f>
        <v>379.73159002654182</v>
      </c>
      <c r="H2566" s="23">
        <f t="shared" si="169"/>
        <v>650</v>
      </c>
      <c r="I2566" s="12">
        <f>ksh*Massivete/(H2566*RhoA)*DeltaT*(F2566+G2566)</f>
        <v>5.9176341837092826E-2</v>
      </c>
      <c r="J2566" s="3">
        <f>IF(E2566&lt;=500,IF(Galva=Oui,0.35,0.7),0.7)</f>
        <v>0.7</v>
      </c>
    </row>
    <row r="2567" spans="2:10" x14ac:dyDescent="0.25">
      <c r="B2567" s="3">
        <f>B2566+DeltaT</f>
        <v>12750</v>
      </c>
      <c r="C2567" s="13">
        <f t="shared" si="166"/>
        <v>212.5</v>
      </c>
      <c r="D2567" s="11">
        <f t="shared" si="167"/>
        <v>1134.5929881963361</v>
      </c>
      <c r="E2567" s="23">
        <f t="shared" si="168"/>
        <v>1133.7348988683921</v>
      </c>
      <c r="F2567" s="23">
        <f>AlphaC*(D2567-E2567)</f>
        <v>21.452233198601789</v>
      </c>
      <c r="G2567" s="13">
        <f>Phi*EpsilonF*Botzman/10^8*J2567*((D2567+273)^4-(E2567+273)^4)</f>
        <v>379.58385020699967</v>
      </c>
      <c r="H2567" s="23">
        <f t="shared" si="169"/>
        <v>650</v>
      </c>
      <c r="I2567" s="12">
        <f>ksh*Massivete/(H2567*RhoA)*DeltaT*(F2567+G2567)</f>
        <v>5.9152920722045796E-2</v>
      </c>
      <c r="J2567" s="3">
        <f>IF(E2567&lt;=500,IF(Galva=Oui,0.35,0.7),0.7)</f>
        <v>0.7</v>
      </c>
    </row>
    <row r="2568" spans="2:10" x14ac:dyDescent="0.25">
      <c r="B2568" s="3">
        <f>B2567+DeltaT</f>
        <v>12755</v>
      </c>
      <c r="C2568" s="13">
        <f t="shared" si="166"/>
        <v>212.58333333333334</v>
      </c>
      <c r="D2568" s="11">
        <f t="shared" si="167"/>
        <v>1134.651699637627</v>
      </c>
      <c r="E2568" s="23">
        <f t="shared" si="168"/>
        <v>1133.7940517891141</v>
      </c>
      <c r="F2568" s="23">
        <f>AlphaC*(D2568-E2568)</f>
        <v>21.441196212822433</v>
      </c>
      <c r="G2568" s="13">
        <f>Phi*EpsilonF*Botzman/10^8*J2568*((D2568+273)^4-(E2568+273)^4)</f>
        <v>379.43622610700527</v>
      </c>
      <c r="H2568" s="23">
        <f t="shared" si="169"/>
        <v>650</v>
      </c>
      <c r="I2568" s="12">
        <f>ksh*Massivete/(H2568*RhoA)*DeltaT*(F2568+G2568)</f>
        <v>5.9129518172956579E-2</v>
      </c>
      <c r="J2568" s="3">
        <f>IF(E2568&lt;=500,IF(Galva=Oui,0.35,0.7),0.7)</f>
        <v>0.7</v>
      </c>
    </row>
    <row r="2569" spans="2:10" x14ac:dyDescent="0.25">
      <c r="B2569" s="3">
        <f>B2568+DeltaT</f>
        <v>12760</v>
      </c>
      <c r="C2569" s="13">
        <f t="shared" si="166"/>
        <v>212.66666666666666</v>
      </c>
      <c r="D2569" s="11">
        <f t="shared" si="167"/>
        <v>1134.7103880818777</v>
      </c>
      <c r="E2569" s="23">
        <f t="shared" si="168"/>
        <v>1133.8531813072871</v>
      </c>
      <c r="F2569" s="23">
        <f>AlphaC*(D2569-E2569)</f>
        <v>21.430169364765561</v>
      </c>
      <c r="G2569" s="13">
        <f>Phi*EpsilonF*Botzman/10^8*J2569*((D2569+273)^4-(E2569+273)^4)</f>
        <v>379.28871758991102</v>
      </c>
      <c r="H2569" s="23">
        <f t="shared" si="169"/>
        <v>650</v>
      </c>
      <c r="I2569" s="12">
        <f>ksh*Massivete/(H2569*RhoA)*DeltaT*(F2569+G2569)</f>
        <v>5.9106134167690047E-2</v>
      </c>
      <c r="J2569" s="3">
        <f>IF(E2569&lt;=500,IF(Galva=Oui,0.35,0.7),0.7)</f>
        <v>0.7</v>
      </c>
    </row>
    <row r="2570" spans="2:10" x14ac:dyDescent="0.25">
      <c r="B2570" s="3">
        <f>B2569+DeltaT</f>
        <v>12765</v>
      </c>
      <c r="C2570" s="13">
        <f t="shared" si="166"/>
        <v>212.75</v>
      </c>
      <c r="D2570" s="11">
        <f t="shared" si="167"/>
        <v>1134.7690535470974</v>
      </c>
      <c r="E2570" s="23">
        <f t="shared" si="168"/>
        <v>1133.9122874414547</v>
      </c>
      <c r="F2570" s="23">
        <f>AlphaC*(D2570-E2570)</f>
        <v>21.419152641067285</v>
      </c>
      <c r="G2570" s="13">
        <f>Phi*EpsilonF*Botzman/10^8*J2570*((D2570+273)^4-(E2570+273)^4)</f>
        <v>379.1413245197283</v>
      </c>
      <c r="H2570" s="23">
        <f t="shared" si="169"/>
        <v>650</v>
      </c>
      <c r="I2570" s="12">
        <f>ksh*Massivete/(H2570*RhoA)*DeltaT*(F2570+G2570)</f>
        <v>5.9082768684216677E-2</v>
      </c>
      <c r="J2570" s="3">
        <f>IF(E2570&lt;=500,IF(Galva=Oui,0.35,0.7),0.7)</f>
        <v>0.7</v>
      </c>
    </row>
    <row r="2571" spans="2:10" x14ac:dyDescent="0.25">
      <c r="B2571" s="3">
        <f>B2570+DeltaT</f>
        <v>12770</v>
      </c>
      <c r="C2571" s="13">
        <f t="shared" si="166"/>
        <v>212.83333333333334</v>
      </c>
      <c r="D2571" s="11">
        <f t="shared" si="167"/>
        <v>1134.8276960512731</v>
      </c>
      <c r="E2571" s="23">
        <f t="shared" si="168"/>
        <v>1133.971370210139</v>
      </c>
      <c r="F2571" s="23">
        <f>AlphaC*(D2571-E2571)</f>
        <v>21.408146028352348</v>
      </c>
      <c r="G2571" s="13">
        <f>Phi*EpsilonF*Botzman/10^8*J2571*((D2571+273)^4-(E2571+273)^4)</f>
        <v>378.99404676015837</v>
      </c>
      <c r="H2571" s="23">
        <f t="shared" si="169"/>
        <v>650</v>
      </c>
      <c r="I2571" s="12">
        <f>ksh*Massivete/(H2571*RhoA)*DeltaT*(F2571+G2571)</f>
        <v>5.9059421700459518E-2</v>
      </c>
      <c r="J2571" s="3">
        <f>IF(E2571&lt;=500,IF(Galva=Oui,0.35,0.7),0.7)</f>
        <v>0.7</v>
      </c>
    </row>
    <row r="2572" spans="2:10" x14ac:dyDescent="0.25">
      <c r="B2572" s="3">
        <f>B2571+DeltaT</f>
        <v>12775</v>
      </c>
      <c r="C2572" s="13">
        <f t="shared" si="166"/>
        <v>212.91666666666666</v>
      </c>
      <c r="D2572" s="11">
        <f t="shared" si="167"/>
        <v>1134.8863156123716</v>
      </c>
      <c r="E2572" s="23">
        <f t="shared" si="168"/>
        <v>1134.0304296318395</v>
      </c>
      <c r="F2572" s="23">
        <f>AlphaC*(D2572-E2572)</f>
        <v>21.397149513302338</v>
      </c>
      <c r="G2572" s="13">
        <f>Phi*EpsilonF*Botzman/10^8*J2572*((D2572+273)^4-(E2572+273)^4)</f>
        <v>378.84688417567776</v>
      </c>
      <c r="H2572" s="23">
        <f t="shared" si="169"/>
        <v>650</v>
      </c>
      <c r="I2572" s="12">
        <f>ksh*Massivete/(H2572*RhoA)*DeltaT*(F2572+G2572)</f>
        <v>5.9036093194464352E-2</v>
      </c>
      <c r="J2572" s="3">
        <f>IF(E2572&lt;=500,IF(Galva=Oui,0.35,0.7),0.7)</f>
        <v>0.7</v>
      </c>
    </row>
    <row r="2573" spans="2:10" x14ac:dyDescent="0.25">
      <c r="B2573" s="3">
        <f>B2572+DeltaT</f>
        <v>12780</v>
      </c>
      <c r="C2573" s="13">
        <f t="shared" si="166"/>
        <v>213</v>
      </c>
      <c r="D2573" s="11">
        <f t="shared" si="167"/>
        <v>1134.9449122483381</v>
      </c>
      <c r="E2573" s="23">
        <f t="shared" si="168"/>
        <v>1134.089465725034</v>
      </c>
      <c r="F2573" s="23">
        <f>AlphaC*(D2573-E2573)</f>
        <v>21.386163082604526</v>
      </c>
      <c r="G2573" s="13">
        <f>Phi*EpsilonF*Botzman/10^8*J2573*((D2573+273)^4-(E2573+273)^4)</f>
        <v>378.69983663064659</v>
      </c>
      <c r="H2573" s="23">
        <f t="shared" si="169"/>
        <v>650</v>
      </c>
      <c r="I2573" s="12">
        <f>ksh*Massivete/(H2573*RhoA)*DeltaT*(F2573+G2573)</f>
        <v>5.9012783144260637E-2</v>
      </c>
      <c r="J2573" s="3">
        <f>IF(E2573&lt;=500,IF(Galva=Oui,0.35,0.7),0.7)</f>
        <v>0.7</v>
      </c>
    </row>
    <row r="2574" spans="2:10" x14ac:dyDescent="0.25">
      <c r="B2574" s="3">
        <f>B2573+DeltaT</f>
        <v>12785</v>
      </c>
      <c r="C2574" s="13">
        <f t="shared" si="166"/>
        <v>213.08333333333334</v>
      </c>
      <c r="D2574" s="11">
        <f t="shared" si="167"/>
        <v>1135.0034859770969</v>
      </c>
      <c r="E2574" s="23">
        <f t="shared" si="168"/>
        <v>1134.1484785081782</v>
      </c>
      <c r="F2574" s="23">
        <f>AlphaC*(D2574-E2574)</f>
        <v>21.37518672296892</v>
      </c>
      <c r="G2574" s="13">
        <f>Phi*EpsilonF*Botzman/10^8*J2574*((D2574+273)^4-(E2574+273)^4)</f>
        <v>378.55290398971584</v>
      </c>
      <c r="H2574" s="23">
        <f t="shared" si="169"/>
        <v>650</v>
      </c>
      <c r="I2574" s="12">
        <f>ksh*Massivete/(H2574*RhoA)*DeltaT*(F2574+G2574)</f>
        <v>5.8989491527924084E-2</v>
      </c>
      <c r="J2574" s="3">
        <f>IF(E2574&lt;=500,IF(Galva=Oui,0.35,0.7),0.7)</f>
        <v>0.7</v>
      </c>
    </row>
    <row r="2575" spans="2:10" x14ac:dyDescent="0.25">
      <c r="B2575" s="3">
        <f>B2574+DeltaT</f>
        <v>12790</v>
      </c>
      <c r="C2575" s="13">
        <f t="shared" si="166"/>
        <v>213.16666666666666</v>
      </c>
      <c r="D2575" s="11">
        <f t="shared" si="167"/>
        <v>1135.062036816551</v>
      </c>
      <c r="E2575" s="23">
        <f t="shared" si="168"/>
        <v>1134.2074679997061</v>
      </c>
      <c r="F2575" s="23">
        <f>AlphaC*(D2575-E2575)</f>
        <v>21.364220421122582</v>
      </c>
      <c r="G2575" s="13">
        <f>Phi*EpsilonF*Botzman/10^8*J2575*((D2575+273)^4-(E2575+273)^4)</f>
        <v>378.40608611757517</v>
      </c>
      <c r="H2575" s="23">
        <f t="shared" si="169"/>
        <v>650</v>
      </c>
      <c r="I2575" s="12">
        <f>ksh*Massivete/(H2575*RhoA)*DeltaT*(F2575+G2575)</f>
        <v>5.8966218323538613E-2</v>
      </c>
      <c r="J2575" s="3">
        <f>IF(E2575&lt;=500,IF(Galva=Oui,0.35,0.7),0.7)</f>
        <v>0.7</v>
      </c>
    </row>
    <row r="2576" spans="2:10" x14ac:dyDescent="0.25">
      <c r="B2576" s="3">
        <f>B2575+DeltaT</f>
        <v>12795</v>
      </c>
      <c r="C2576" s="13">
        <f t="shared" si="166"/>
        <v>213.25</v>
      </c>
      <c r="D2576" s="11">
        <f t="shared" si="167"/>
        <v>1135.1205647845832</v>
      </c>
      <c r="E2576" s="23">
        <f t="shared" si="168"/>
        <v>1134.2664342180296</v>
      </c>
      <c r="F2576" s="23">
        <f>AlphaC*(D2576-E2576)</f>
        <v>21.353264163838048</v>
      </c>
      <c r="G2576" s="13">
        <f>Phi*EpsilonF*Botzman/10^8*J2576*((D2576+273)^4-(E2576+273)^4)</f>
        <v>378.25938287957308</v>
      </c>
      <c r="H2576" s="23">
        <f t="shared" si="169"/>
        <v>650</v>
      </c>
      <c r="I2576" s="12">
        <f>ksh*Massivete/(H2576*RhoA)*DeltaT*(F2576+G2576)</f>
        <v>5.8942963509292047E-2</v>
      </c>
      <c r="J2576" s="3">
        <f>IF(E2576&lt;=500,IF(Galva=Oui,0.35,0.7),0.7)</f>
        <v>0.7</v>
      </c>
    </row>
    <row r="2577" spans="2:10" x14ac:dyDescent="0.25">
      <c r="B2577" s="3">
        <f>B2576+DeltaT</f>
        <v>12800</v>
      </c>
      <c r="C2577" s="13">
        <f t="shared" si="166"/>
        <v>213.33333333333334</v>
      </c>
      <c r="D2577" s="11">
        <f t="shared" si="167"/>
        <v>1135.179069899054</v>
      </c>
      <c r="E2577" s="23">
        <f t="shared" si="168"/>
        <v>1134.3253771815389</v>
      </c>
      <c r="F2577" s="23">
        <f>AlphaC*(D2577-E2577)</f>
        <v>21.342317937876487</v>
      </c>
      <c r="G2577" s="13">
        <f>Phi*EpsilonF*Botzman/10^8*J2577*((D2577+273)^4-(E2577+273)^4)</f>
        <v>378.11279414059311</v>
      </c>
      <c r="H2577" s="23">
        <f t="shared" si="169"/>
        <v>650</v>
      </c>
      <c r="I2577" s="12">
        <f>ksh*Massivete/(H2577*RhoA)*DeltaT*(F2577+G2577)</f>
        <v>5.8919727063301945E-2</v>
      </c>
      <c r="J2577" s="3">
        <f>IF(E2577&lt;=500,IF(Galva=Oui,0.35,0.7),0.7)</f>
        <v>0.7</v>
      </c>
    </row>
    <row r="2578" spans="2:10" x14ac:dyDescent="0.25">
      <c r="B2578" s="3">
        <f>B2577+DeltaT</f>
        <v>12805</v>
      </c>
      <c r="C2578" s="13">
        <f t="shared" ref="C2578:C2641" si="170">B2578/60</f>
        <v>213.41666666666666</v>
      </c>
      <c r="D2578" s="11">
        <f t="shared" ref="D2578:D2641" si="171">20+345*LOG(8*C2578+1,10)</f>
        <v>1135.2375521778044</v>
      </c>
      <c r="E2578" s="23">
        <f t="shared" si="168"/>
        <v>1134.3842969086022</v>
      </c>
      <c r="F2578" s="23">
        <f>AlphaC*(D2578-E2578)</f>
        <v>21.331381730055909</v>
      </c>
      <c r="G2578" s="13">
        <f>Phi*EpsilonF*Botzman/10^8*J2578*((D2578+273)^4-(E2578+273)^4)</f>
        <v>377.96631976648763</v>
      </c>
      <c r="H2578" s="23">
        <f t="shared" si="169"/>
        <v>650</v>
      </c>
      <c r="I2578" s="12">
        <f>ksh*Massivete/(H2578*RhoA)*DeltaT*(F2578+G2578)</f>
        <v>5.8896508963837149E-2</v>
      </c>
      <c r="J2578" s="3">
        <f>IF(E2578&lt;=500,IF(Galva=Oui,0.35,0.7),0.7)</f>
        <v>0.7</v>
      </c>
    </row>
    <row r="2579" spans="2:10" x14ac:dyDescent="0.25">
      <c r="B2579" s="3">
        <f>B2578+DeltaT</f>
        <v>12810</v>
      </c>
      <c r="C2579" s="13">
        <f t="shared" si="170"/>
        <v>213.5</v>
      </c>
      <c r="D2579" s="11">
        <f t="shared" si="171"/>
        <v>1135.2960116386541</v>
      </c>
      <c r="E2579" s="23">
        <f t="shared" si="168"/>
        <v>1134.4431934175661</v>
      </c>
      <c r="F2579" s="23">
        <f>AlphaC*(D2579-E2579)</f>
        <v>21.320455527200011</v>
      </c>
      <c r="G2579" s="13">
        <f>Phi*EpsilonF*Botzman/10^8*J2579*((D2579+273)^4-(E2579+273)^4)</f>
        <v>377.8199596227991</v>
      </c>
      <c r="H2579" s="23">
        <f t="shared" si="169"/>
        <v>650</v>
      </c>
      <c r="I2579" s="12">
        <f>ksh*Massivete/(H2579*RhoA)*DeltaT*(F2579+G2579)</f>
        <v>5.8873309189121634E-2</v>
      </c>
      <c r="J2579" s="3">
        <f>IF(E2579&lt;=500,IF(Galva=Oui,0.35,0.7),0.7)</f>
        <v>0.7</v>
      </c>
    </row>
    <row r="2580" spans="2:10" x14ac:dyDescent="0.25">
      <c r="B2580" s="3">
        <f>B2579+DeltaT</f>
        <v>12815</v>
      </c>
      <c r="C2580" s="13">
        <f t="shared" si="170"/>
        <v>213.58333333333334</v>
      </c>
      <c r="D2580" s="11">
        <f t="shared" si="171"/>
        <v>1135.3544482994014</v>
      </c>
      <c r="E2580" s="23">
        <f t="shared" si="168"/>
        <v>1134.5020667267552</v>
      </c>
      <c r="F2580" s="23">
        <f>AlphaC*(D2580-E2580)</f>
        <v>21.309539316155224</v>
      </c>
      <c r="G2580" s="13">
        <f>Phi*EpsilonF*Botzman/10^8*J2580*((D2580+273)^4-(E2580+273)^4)</f>
        <v>377.67371357547677</v>
      </c>
      <c r="H2580" s="23">
        <f t="shared" si="169"/>
        <v>650</v>
      </c>
      <c r="I2580" s="12">
        <f>ksh*Massivete/(H2580*RhoA)*DeltaT*(F2580+G2580)</f>
        <v>5.8850127717442718E-2</v>
      </c>
      <c r="J2580" s="3">
        <f>IF(E2580&lt;=500,IF(Galva=Oui,0.35,0.7),0.7)</f>
        <v>0.7</v>
      </c>
    </row>
    <row r="2581" spans="2:10" x14ac:dyDescent="0.25">
      <c r="B2581" s="3">
        <f>B2580+DeltaT</f>
        <v>12820</v>
      </c>
      <c r="C2581" s="13">
        <f t="shared" si="170"/>
        <v>213.66666666666666</v>
      </c>
      <c r="D2581" s="11">
        <f t="shared" si="171"/>
        <v>1135.4128621778241</v>
      </c>
      <c r="E2581" s="23">
        <f t="shared" si="168"/>
        <v>1134.5609168544727</v>
      </c>
      <c r="F2581" s="23">
        <f>AlphaC*(D2581-E2581)</f>
        <v>21.298633083785035</v>
      </c>
      <c r="G2581" s="13">
        <f>Phi*EpsilonF*Botzman/10^8*J2581*((D2581+273)^4-(E2581+273)^4)</f>
        <v>377.52758149050885</v>
      </c>
      <c r="H2581" s="23">
        <f t="shared" si="169"/>
        <v>650</v>
      </c>
      <c r="I2581" s="12">
        <f>ksh*Massivete/(H2581*RhoA)*DeltaT*(F2581+G2581)</f>
        <v>5.8826964527096008E-2</v>
      </c>
      <c r="J2581" s="3">
        <f>IF(E2581&lt;=500,IF(Galva=Oui,0.35,0.7),0.7)</f>
        <v>0.7</v>
      </c>
    </row>
    <row r="2582" spans="2:10" x14ac:dyDescent="0.25">
      <c r="B2582" s="3">
        <f>B2581+DeltaT</f>
        <v>12825</v>
      </c>
      <c r="C2582" s="13">
        <f t="shared" si="170"/>
        <v>213.75</v>
      </c>
      <c r="D2582" s="11">
        <f t="shared" si="171"/>
        <v>1135.4712532916794</v>
      </c>
      <c r="E2582" s="23">
        <f t="shared" si="168"/>
        <v>1134.6197438189997</v>
      </c>
      <c r="F2582" s="23">
        <f>AlphaC*(D2582-E2582)</f>
        <v>21.287736816992719</v>
      </c>
      <c r="G2582" s="13">
        <f>Phi*EpsilonF*Botzman/10^8*J2582*((D2582+273)^4-(E2582+273)^4)</f>
        <v>377.38156323440666</v>
      </c>
      <c r="H2582" s="23">
        <f t="shared" si="169"/>
        <v>650</v>
      </c>
      <c r="I2582" s="12">
        <f>ksh*Massivete/(H2582*RhoA)*DeltaT*(F2582+G2582)</f>
        <v>5.8803819596460104E-2</v>
      </c>
      <c r="J2582" s="3">
        <f>IF(E2582&lt;=500,IF(Galva=Oui,0.35,0.7),0.7)</f>
        <v>0.7</v>
      </c>
    </row>
    <row r="2583" spans="2:10" x14ac:dyDescent="0.25">
      <c r="B2583" s="3">
        <f>B2582+DeltaT</f>
        <v>12830</v>
      </c>
      <c r="C2583" s="13">
        <f t="shared" si="170"/>
        <v>213.83333333333334</v>
      </c>
      <c r="D2583" s="11">
        <f t="shared" si="171"/>
        <v>1135.5296216587039</v>
      </c>
      <c r="E2583" s="23">
        <f t="shared" si="168"/>
        <v>1134.6785476385962</v>
      </c>
      <c r="F2583" s="23">
        <f>AlphaC*(D2583-E2583)</f>
        <v>21.276850502692923</v>
      </c>
      <c r="G2583" s="13">
        <f>Phi*EpsilonF*Botzman/10^8*J2583*((D2583+273)^4-(E2583+273)^4)</f>
        <v>377.23565867368154</v>
      </c>
      <c r="H2583" s="23">
        <f t="shared" si="169"/>
        <v>650</v>
      </c>
      <c r="I2583" s="12">
        <f>ksh*Massivete/(H2583*RhoA)*DeltaT*(F2583+G2583)</f>
        <v>5.8780692903915313E-2</v>
      </c>
      <c r="J2583" s="3">
        <f>IF(E2583&lt;=500,IF(Galva=Oui,0.35,0.7),0.7)</f>
        <v>0.7</v>
      </c>
    </row>
    <row r="2584" spans="2:10" x14ac:dyDescent="0.25">
      <c r="B2584" s="3">
        <f>B2583+DeltaT</f>
        <v>12835</v>
      </c>
      <c r="C2584" s="13">
        <f t="shared" si="170"/>
        <v>213.91666666666666</v>
      </c>
      <c r="D2584" s="11">
        <f t="shared" si="171"/>
        <v>1135.5879672966128</v>
      </c>
      <c r="E2584" s="23">
        <f t="shared" si="168"/>
        <v>1134.7373283315001</v>
      </c>
      <c r="F2584" s="23">
        <f>AlphaC*(D2584-E2584)</f>
        <v>21.265974127817344</v>
      </c>
      <c r="G2584" s="13">
        <f>Phi*EpsilonF*Botzman/10^8*J2584*((D2584+273)^4-(E2584+273)^4)</f>
        <v>377.08986767498055</v>
      </c>
      <c r="H2584" s="23">
        <f t="shared" si="169"/>
        <v>650</v>
      </c>
      <c r="I2584" s="12">
        <f>ksh*Massivete/(H2584*RhoA)*DeltaT*(F2584+G2584)</f>
        <v>5.8757584427864461E-2</v>
      </c>
      <c r="J2584" s="3">
        <f>IF(E2584&lt;=500,IF(Galva=Oui,0.35,0.7),0.7)</f>
        <v>0.7</v>
      </c>
    </row>
    <row r="2585" spans="2:10" x14ac:dyDescent="0.25">
      <c r="B2585" s="3">
        <f>B2584+DeltaT</f>
        <v>12840</v>
      </c>
      <c r="C2585" s="13">
        <f t="shared" si="170"/>
        <v>214</v>
      </c>
      <c r="D2585" s="11">
        <f t="shared" si="171"/>
        <v>1135.646290223101</v>
      </c>
      <c r="E2585" s="23">
        <f t="shared" si="168"/>
        <v>1134.796085915928</v>
      </c>
      <c r="F2585" s="23">
        <f>AlphaC*(D2585-E2585)</f>
        <v>21.255107679326102</v>
      </c>
      <c r="G2585" s="13">
        <f>Phi*EpsilonF*Botzman/10^8*J2585*((D2585+273)^4-(E2585+273)^4)</f>
        <v>376.94419010524143</v>
      </c>
      <c r="H2585" s="23">
        <f t="shared" si="169"/>
        <v>650</v>
      </c>
      <c r="I2585" s="12">
        <f>ksh*Massivete/(H2585*RhoA)*DeltaT*(F2585+G2585)</f>
        <v>5.8734494146757445E-2</v>
      </c>
      <c r="J2585" s="3">
        <f>IF(E2585&lt;=500,IF(Galva=Oui,0.35,0.7),0.7)</f>
        <v>0.7</v>
      </c>
    </row>
    <row r="2586" spans="2:10" x14ac:dyDescent="0.25">
      <c r="B2586" s="3">
        <f>B2585+DeltaT</f>
        <v>12845</v>
      </c>
      <c r="C2586" s="13">
        <f t="shared" si="170"/>
        <v>214.08333333333334</v>
      </c>
      <c r="D2586" s="11">
        <f t="shared" si="171"/>
        <v>1135.7045904558431</v>
      </c>
      <c r="E2586" s="23">
        <f t="shared" si="168"/>
        <v>1134.8548204100748</v>
      </c>
      <c r="F2586" s="23">
        <f>AlphaC*(D2586-E2586)</f>
        <v>21.244251144207738</v>
      </c>
      <c r="G2586" s="13">
        <f>Phi*EpsilonF*Botzman/10^8*J2586*((D2586+273)^4-(E2586+273)^4)</f>
        <v>376.79862583173139</v>
      </c>
      <c r="H2586" s="23">
        <f t="shared" si="169"/>
        <v>650</v>
      </c>
      <c r="I2586" s="12">
        <f>ksh*Massivete/(H2586*RhoA)*DeltaT*(F2586+G2586)</f>
        <v>5.8711422039096961E-2</v>
      </c>
      <c r="J2586" s="3">
        <f>IF(E2586&lt;=500,IF(Galva=Oui,0.35,0.7),0.7)</f>
        <v>0.7</v>
      </c>
    </row>
    <row r="2587" spans="2:10" x14ac:dyDescent="0.25">
      <c r="B2587" s="3">
        <f>B2586+DeltaT</f>
        <v>12850</v>
      </c>
      <c r="C2587" s="13">
        <f t="shared" si="170"/>
        <v>214.16666666666666</v>
      </c>
      <c r="D2587" s="11">
        <f t="shared" si="171"/>
        <v>1135.7628680124924</v>
      </c>
      <c r="E2587" s="23">
        <f t="shared" si="168"/>
        <v>1134.9135318321139</v>
      </c>
      <c r="F2587" s="23">
        <f>AlphaC*(D2587-E2587)</f>
        <v>21.233404509462162</v>
      </c>
      <c r="G2587" s="13">
        <f>Phi*EpsilonF*Botzman/10^8*J2587*((D2587+273)^4-(E2587+273)^4)</f>
        <v>376.65317472179498</v>
      </c>
      <c r="H2587" s="23">
        <f t="shared" si="169"/>
        <v>650</v>
      </c>
      <c r="I2587" s="12">
        <f>ksh*Massivete/(H2587*RhoA)*DeltaT*(F2587+G2587)</f>
        <v>5.8688368083398772E-2</v>
      </c>
      <c r="J2587" s="3">
        <f>IF(E2587&lt;=500,IF(Galva=Oui,0.35,0.7),0.7)</f>
        <v>0.7</v>
      </c>
    </row>
    <row r="2588" spans="2:10" x14ac:dyDescent="0.25">
      <c r="B2588" s="3">
        <f>B2587+DeltaT</f>
        <v>12855</v>
      </c>
      <c r="C2588" s="13">
        <f t="shared" si="170"/>
        <v>214.25</v>
      </c>
      <c r="D2588" s="11">
        <f t="shared" si="171"/>
        <v>1135.8211229106823</v>
      </c>
      <c r="E2588" s="23">
        <f t="shared" si="168"/>
        <v>1134.9722202001974</v>
      </c>
      <c r="F2588" s="23">
        <f>AlphaC*(D2588-E2588)</f>
        <v>21.22256776212339</v>
      </c>
      <c r="G2588" s="13">
        <f>Phi*EpsilonF*Botzman/10^8*J2588*((D2588+273)^4-(E2588+273)^4)</f>
        <v>376.50783664300963</v>
      </c>
      <c r="H2588" s="23">
        <f t="shared" si="169"/>
        <v>650</v>
      </c>
      <c r="I2588" s="12">
        <f>ksh*Massivete/(H2588*RhoA)*DeltaT*(F2588+G2588)</f>
        <v>5.8665332258218031E-2</v>
      </c>
      <c r="J2588" s="3">
        <f>IF(E2588&lt;=500,IF(Galva=Oui,0.35,0.7),0.7)</f>
        <v>0.7</v>
      </c>
    </row>
    <row r="2589" spans="2:10" x14ac:dyDescent="0.25">
      <c r="B2589" s="3">
        <f>B2588+DeltaT</f>
        <v>12860</v>
      </c>
      <c r="C2589" s="13">
        <f t="shared" si="170"/>
        <v>214.33333333333334</v>
      </c>
      <c r="D2589" s="11">
        <f t="shared" si="171"/>
        <v>1135.8793551680249</v>
      </c>
      <c r="E2589" s="23">
        <f t="shared" si="168"/>
        <v>1135.0308855324556</v>
      </c>
      <c r="F2589" s="23">
        <f>AlphaC*(D2589-E2589)</f>
        <v>21.211740889231123</v>
      </c>
      <c r="G2589" s="13">
        <f>Phi*EpsilonF*Botzman/10^8*J2589*((D2589+273)^4-(E2589+273)^4)</f>
        <v>376.36261146310756</v>
      </c>
      <c r="H2589" s="23">
        <f t="shared" si="169"/>
        <v>650</v>
      </c>
      <c r="I2589" s="12">
        <f>ksh*Massivete/(H2589*RhoA)*DeltaT*(F2589+G2589)</f>
        <v>5.8642314542133568E-2</v>
      </c>
      <c r="J2589" s="3">
        <f>IF(E2589&lt;=500,IF(Galva=Oui,0.35,0.7),0.7)</f>
        <v>0.7</v>
      </c>
    </row>
    <row r="2590" spans="2:10" x14ac:dyDescent="0.25">
      <c r="B2590" s="3">
        <f>B2589+DeltaT</f>
        <v>12865</v>
      </c>
      <c r="C2590" s="13">
        <f t="shared" si="170"/>
        <v>214.41666666666666</v>
      </c>
      <c r="D2590" s="11">
        <f t="shared" si="171"/>
        <v>1135.9375648021123</v>
      </c>
      <c r="E2590" s="23">
        <f t="shared" si="168"/>
        <v>1135.0895278469977</v>
      </c>
      <c r="F2590" s="23">
        <f>AlphaC*(D2590-E2590)</f>
        <v>21.200923877864852</v>
      </c>
      <c r="G2590" s="13">
        <f>Phi*EpsilonF*Botzman/10^8*J2590*((D2590+273)^4-(E2590+273)^4)</f>
        <v>376.21749905022807</v>
      </c>
      <c r="H2590" s="23">
        <f t="shared" si="169"/>
        <v>650</v>
      </c>
      <c r="I2590" s="12">
        <f>ksh*Massivete/(H2590*RhoA)*DeltaT*(F2590+G2590)</f>
        <v>5.8619314913790112E-2</v>
      </c>
      <c r="J2590" s="3">
        <f>IF(E2590&lt;=500,IF(Galva=Oui,0.35,0.7),0.7)</f>
        <v>0.7</v>
      </c>
    </row>
    <row r="2591" spans="2:10" x14ac:dyDescent="0.25">
      <c r="B2591" s="3">
        <f>B2590+DeltaT</f>
        <v>12870</v>
      </c>
      <c r="C2591" s="13">
        <f t="shared" si="170"/>
        <v>214.5</v>
      </c>
      <c r="D2591" s="11">
        <f t="shared" si="171"/>
        <v>1135.9957518305162</v>
      </c>
      <c r="E2591" s="23">
        <f t="shared" si="168"/>
        <v>1135.1481471619115</v>
      </c>
      <c r="F2591" s="23">
        <f>AlphaC*(D2591-E2591)</f>
        <v>21.190116715115437</v>
      </c>
      <c r="G2591" s="13">
        <f>Phi*EpsilonF*Botzman/10^8*J2591*((D2591+273)^4-(E2591+273)^4)</f>
        <v>376.07249927245232</v>
      </c>
      <c r="H2591" s="23">
        <f t="shared" si="169"/>
        <v>650</v>
      </c>
      <c r="I2591" s="12">
        <f>ksh*Massivete/(H2591*RhoA)*DeltaT*(F2591+G2591)</f>
        <v>5.8596333351825507E-2</v>
      </c>
      <c r="J2591" s="3">
        <f>IF(E2591&lt;=500,IF(Galva=Oui,0.35,0.7),0.7)</f>
        <v>0.7</v>
      </c>
    </row>
    <row r="2592" spans="2:10" x14ac:dyDescent="0.25">
      <c r="B2592" s="3">
        <f>B2591+DeltaT</f>
        <v>12875</v>
      </c>
      <c r="C2592" s="13">
        <f t="shared" si="170"/>
        <v>214.58333333333334</v>
      </c>
      <c r="D2592" s="11">
        <f t="shared" si="171"/>
        <v>1136.0539162707871</v>
      </c>
      <c r="E2592" s="23">
        <f t="shared" si="168"/>
        <v>1135.2067434952633</v>
      </c>
      <c r="F2592" s="23">
        <f>AlphaC*(D2592-E2592)</f>
        <v>21.179319388096474</v>
      </c>
      <c r="G2592" s="13">
        <f>Phi*EpsilonF*Botzman/10^8*J2592*((D2592+273)^4-(E2592+273)^4)</f>
        <v>375.9276119981908</v>
      </c>
      <c r="H2592" s="23">
        <f t="shared" si="169"/>
        <v>650</v>
      </c>
      <c r="I2592" s="12">
        <f>ksh*Massivete/(H2592*RhoA)*DeltaT*(F2592+G2592)</f>
        <v>5.8573369834929508E-2</v>
      </c>
      <c r="J2592" s="3">
        <f>IF(E2592&lt;=500,IF(Galva=Oui,0.35,0.7),0.7)</f>
        <v>0.7</v>
      </c>
    </row>
    <row r="2593" spans="2:10" x14ac:dyDescent="0.25">
      <c r="B2593" s="3">
        <f>B2592+DeltaT</f>
        <v>12880</v>
      </c>
      <c r="C2593" s="13">
        <f t="shared" si="170"/>
        <v>214.66666666666666</v>
      </c>
      <c r="D2593" s="11">
        <f t="shared" si="171"/>
        <v>1136.1120581404562</v>
      </c>
      <c r="E2593" s="23">
        <f t="shared" si="168"/>
        <v>1135.2653168650982</v>
      </c>
      <c r="F2593" s="23">
        <f>AlphaC*(D2593-E2593)</f>
        <v>21.168531883949981</v>
      </c>
      <c r="G2593" s="13">
        <f>Phi*EpsilonF*Botzman/10^8*J2593*((D2593+273)^4-(E2593+273)^4)</f>
        <v>375.78283709614493</v>
      </c>
      <c r="H2593" s="23">
        <f t="shared" si="169"/>
        <v>650</v>
      </c>
      <c r="I2593" s="12">
        <f>ksh*Massivete/(H2593*RhoA)*DeltaT*(F2593+G2593)</f>
        <v>5.8550424341839005E-2</v>
      </c>
      <c r="J2593" s="3">
        <f>IF(E2593&lt;=500,IF(Galva=Oui,0.35,0.7),0.7)</f>
        <v>0.7</v>
      </c>
    </row>
    <row r="2594" spans="2:10" x14ac:dyDescent="0.25">
      <c r="B2594" s="3">
        <f>B2593+DeltaT</f>
        <v>12885</v>
      </c>
      <c r="C2594" s="13">
        <f t="shared" si="170"/>
        <v>214.75</v>
      </c>
      <c r="D2594" s="11">
        <f t="shared" si="171"/>
        <v>1136.1701774570329</v>
      </c>
      <c r="E2594" s="23">
        <f t="shared" si="168"/>
        <v>1135.3238672894399</v>
      </c>
      <c r="F2594" s="23">
        <f>AlphaC*(D2594-E2594)</f>
        <v>21.157754189823663</v>
      </c>
      <c r="G2594" s="13">
        <f>Phi*EpsilonF*Botzman/10^8*J2594*((D2594+273)^4-(E2594+273)^4)</f>
        <v>375.63817443493843</v>
      </c>
      <c r="H2594" s="23">
        <f t="shared" si="169"/>
        <v>650</v>
      </c>
      <c r="I2594" s="12">
        <f>ksh*Massivete/(H2594*RhoA)*DeltaT*(F2594+G2594)</f>
        <v>5.8527496851280232E-2</v>
      </c>
      <c r="J2594" s="3">
        <f>IF(E2594&lt;=500,IF(Galva=Oui,0.35,0.7),0.7)</f>
        <v>0.7</v>
      </c>
    </row>
    <row r="2595" spans="2:10" x14ac:dyDescent="0.25">
      <c r="B2595" s="3">
        <f>B2594+DeltaT</f>
        <v>12890</v>
      </c>
      <c r="C2595" s="13">
        <f t="shared" si="170"/>
        <v>214.83333333333334</v>
      </c>
      <c r="D2595" s="11">
        <f t="shared" si="171"/>
        <v>1136.2282742380075</v>
      </c>
      <c r="E2595" s="23">
        <f t="shared" si="168"/>
        <v>1135.3823947862911</v>
      </c>
      <c r="F2595" s="23">
        <f>AlphaC*(D2595-E2595)</f>
        <v>21.146986292910697</v>
      </c>
      <c r="G2595" s="13">
        <f>Phi*EpsilonF*Botzman/10^8*J2595*((D2595+273)^4-(E2595+273)^4)</f>
        <v>375.49362388373777</v>
      </c>
      <c r="H2595" s="23">
        <f t="shared" si="169"/>
        <v>650</v>
      </c>
      <c r="I2595" s="12">
        <f>ksh*Massivete/(H2595*RhoA)*DeltaT*(F2595+G2595)</f>
        <v>5.8504587342066205E-2</v>
      </c>
      <c r="J2595" s="3">
        <f>IF(E2595&lt;=500,IF(Galva=Oui,0.35,0.7),0.7)</f>
        <v>0.7</v>
      </c>
    </row>
    <row r="2596" spans="2:10" x14ac:dyDescent="0.25">
      <c r="B2596" s="3">
        <f>B2595+DeltaT</f>
        <v>12895</v>
      </c>
      <c r="C2596" s="13">
        <f t="shared" si="170"/>
        <v>214.91666666666666</v>
      </c>
      <c r="D2596" s="11">
        <f t="shared" si="171"/>
        <v>1136.2863485008497</v>
      </c>
      <c r="E2596" s="23">
        <f t="shared" si="168"/>
        <v>1135.4408993736331</v>
      </c>
      <c r="F2596" s="23">
        <f>AlphaC*(D2596-E2596)</f>
        <v>21.136228180415628</v>
      </c>
      <c r="G2596" s="13">
        <f>Phi*EpsilonF*Botzman/10^8*J2596*((D2596+273)^4-(E2596+273)^4)</f>
        <v>375.34918531184491</v>
      </c>
      <c r="H2596" s="23">
        <f t="shared" si="169"/>
        <v>650</v>
      </c>
      <c r="I2596" s="12">
        <f>ksh*Massivete/(H2596*RhoA)*DeltaT*(F2596+G2596)</f>
        <v>5.8481695793031606E-2</v>
      </c>
      <c r="J2596" s="3">
        <f>IF(E2596&lt;=500,IF(Galva=Oui,0.35,0.7),0.7)</f>
        <v>0.7</v>
      </c>
    </row>
    <row r="2597" spans="2:10" x14ac:dyDescent="0.25">
      <c r="B2597" s="3">
        <f>B2596+DeltaT</f>
        <v>12900</v>
      </c>
      <c r="C2597" s="13">
        <f t="shared" si="170"/>
        <v>215</v>
      </c>
      <c r="D2597" s="11">
        <f t="shared" si="171"/>
        <v>1136.3444002630081</v>
      </c>
      <c r="E2597" s="23">
        <f t="shared" si="168"/>
        <v>1135.4993810694261</v>
      </c>
      <c r="F2597" s="23">
        <f>AlphaC*(D2597-E2597)</f>
        <v>21.125479839548689</v>
      </c>
      <c r="G2597" s="13">
        <f>Phi*EpsilonF*Botzman/10^8*J2597*((D2597+273)^4-(E2597+273)^4)</f>
        <v>375.20485858848446</v>
      </c>
      <c r="H2597" s="23">
        <f t="shared" si="169"/>
        <v>650</v>
      </c>
      <c r="I2597" s="12">
        <f>ksh*Massivete/(H2597*RhoA)*DeltaT*(F2597+G2597)</f>
        <v>5.8458822183000532E-2</v>
      </c>
      <c r="J2597" s="3">
        <f>IF(E2597&lt;=500,IF(Galva=Oui,0.35,0.7),0.7)</f>
        <v>0.7</v>
      </c>
    </row>
    <row r="2598" spans="2:10" x14ac:dyDescent="0.25">
      <c r="B2598" s="3">
        <f>B2597+DeltaT</f>
        <v>12905</v>
      </c>
      <c r="C2598" s="13">
        <f t="shared" si="170"/>
        <v>215.08333333333334</v>
      </c>
      <c r="D2598" s="11">
        <f t="shared" si="171"/>
        <v>1136.4024295419119</v>
      </c>
      <c r="E2598" s="23">
        <f t="shared" si="168"/>
        <v>1135.5578398916091</v>
      </c>
      <c r="F2598" s="23">
        <f>AlphaC*(D2598-E2598)</f>
        <v>21.114741257571268</v>
      </c>
      <c r="G2598" s="13">
        <f>Phi*EpsilonF*Botzman/10^8*J2598*((D2598+273)^4-(E2598+273)^4)</f>
        <v>375.06064358348169</v>
      </c>
      <c r="H2598" s="23">
        <f t="shared" si="169"/>
        <v>650</v>
      </c>
      <c r="I2598" s="12">
        <f>ksh*Massivete/(H2598*RhoA)*DeltaT*(F2598+G2598)</f>
        <v>5.8435966490893235E-2</v>
      </c>
      <c r="J2598" s="3">
        <f>IF(E2598&lt;=500,IF(Galva=Oui,0.35,0.7),0.7)</f>
        <v>0.7</v>
      </c>
    </row>
    <row r="2599" spans="2:10" x14ac:dyDescent="0.25">
      <c r="B2599" s="3">
        <f>B2598+DeltaT</f>
        <v>12910</v>
      </c>
      <c r="C2599" s="13">
        <f t="shared" si="170"/>
        <v>215.16666666666666</v>
      </c>
      <c r="D2599" s="11">
        <f t="shared" si="171"/>
        <v>1136.4604363549697</v>
      </c>
      <c r="E2599" s="23">
        <f t="shared" si="168"/>
        <v>1135.6162758580999</v>
      </c>
      <c r="F2599" s="23">
        <f>AlphaC*(D2599-E2599)</f>
        <v>21.104012421744756</v>
      </c>
      <c r="G2599" s="13">
        <f>Phi*EpsilonF*Botzman/10^8*J2599*((D2599+273)^4-(E2599+273)^4)</f>
        <v>374.91654016656514</v>
      </c>
      <c r="H2599" s="23">
        <f t="shared" si="169"/>
        <v>650</v>
      </c>
      <c r="I2599" s="12">
        <f>ksh*Massivete/(H2599*RhoA)*DeltaT*(F2599+G2599)</f>
        <v>5.8413128695615685E-2</v>
      </c>
      <c r="J2599" s="3">
        <f>IF(E2599&lt;=500,IF(Galva=Oui,0.35,0.7),0.7)</f>
        <v>0.7</v>
      </c>
    </row>
    <row r="2600" spans="2:10" x14ac:dyDescent="0.25">
      <c r="B2600" s="3">
        <f>B2599+DeltaT</f>
        <v>12915</v>
      </c>
      <c r="C2600" s="13">
        <f t="shared" si="170"/>
        <v>215.25</v>
      </c>
      <c r="D2600" s="11">
        <f t="shared" si="171"/>
        <v>1136.5184207195698</v>
      </c>
      <c r="E2600" s="23">
        <f t="shared" si="168"/>
        <v>1135.6746889867954</v>
      </c>
      <c r="F2600" s="23">
        <f>AlphaC*(D2600-E2600)</f>
        <v>21.093293319358963</v>
      </c>
      <c r="G2600" s="13">
        <f>Phi*EpsilonF*Botzman/10^8*J2600*((D2600+273)^4-(E2600+273)^4)</f>
        <v>374.77254820779268</v>
      </c>
      <c r="H2600" s="23">
        <f t="shared" si="169"/>
        <v>650</v>
      </c>
      <c r="I2600" s="12">
        <f>ksh*Massivete/(H2600*RhoA)*DeltaT*(F2600+G2600)</f>
        <v>5.8390308776126644E-2</v>
      </c>
      <c r="J2600" s="3">
        <f>IF(E2600&lt;=500,IF(Galva=Oui,0.35,0.7),0.7)</f>
        <v>0.7</v>
      </c>
    </row>
    <row r="2601" spans="2:10" x14ac:dyDescent="0.25">
      <c r="B2601" s="3">
        <f>B2600+DeltaT</f>
        <v>12920</v>
      </c>
      <c r="C2601" s="13">
        <f t="shared" si="170"/>
        <v>215.33333333333334</v>
      </c>
      <c r="D2601" s="11">
        <f t="shared" si="171"/>
        <v>1136.5763826530804</v>
      </c>
      <c r="E2601" s="23">
        <f t="shared" si="168"/>
        <v>1135.7330792955715</v>
      </c>
      <c r="F2601" s="23">
        <f>AlphaC*(D2601-E2601)</f>
        <v>21.082583937720756</v>
      </c>
      <c r="G2601" s="13">
        <f>Phi*EpsilonF*Botzman/10^8*J2601*((D2601+273)^4-(E2601+273)^4)</f>
        <v>374.62866757728023</v>
      </c>
      <c r="H2601" s="23">
        <f t="shared" si="169"/>
        <v>650</v>
      </c>
      <c r="I2601" s="12">
        <f>ksh*Massivete/(H2601*RhoA)*DeltaT*(F2601+G2601)</f>
        <v>5.8367506711395921E-2</v>
      </c>
      <c r="J2601" s="3">
        <f>IF(E2601&lt;=500,IF(Galva=Oui,0.35,0.7),0.7)</f>
        <v>0.7</v>
      </c>
    </row>
    <row r="2602" spans="2:10" x14ac:dyDescent="0.25">
      <c r="B2602" s="3">
        <f>B2601+DeltaT</f>
        <v>12925</v>
      </c>
      <c r="C2602" s="13">
        <f t="shared" si="170"/>
        <v>215.41666666666666</v>
      </c>
      <c r="D2602" s="11">
        <f t="shared" si="171"/>
        <v>1136.6343221728498</v>
      </c>
      <c r="E2602" s="23">
        <f t="shared" si="168"/>
        <v>1135.791446802283</v>
      </c>
      <c r="F2602" s="23">
        <f>AlphaC*(D2602-E2602)</f>
        <v>21.071884264171103</v>
      </c>
      <c r="G2602" s="13">
        <f>Phi*EpsilonF*Botzman/10^8*J2602*((D2602+273)^4-(E2602+273)^4)</f>
        <v>374.48489814564778</v>
      </c>
      <c r="H2602" s="23">
        <f t="shared" si="169"/>
        <v>650</v>
      </c>
      <c r="I2602" s="12">
        <f>ksh*Massivete/(H2602*RhoA)*DeltaT*(F2602+G2602)</f>
        <v>5.834472248047274E-2</v>
      </c>
      <c r="J2602" s="3">
        <f>IF(E2602&lt;=500,IF(Galva=Oui,0.35,0.7),0.7)</f>
        <v>0.7</v>
      </c>
    </row>
    <row r="2603" spans="2:10" x14ac:dyDescent="0.25">
      <c r="B2603" s="3">
        <f>B2602+DeltaT</f>
        <v>12930</v>
      </c>
      <c r="C2603" s="13">
        <f t="shared" si="170"/>
        <v>215.5</v>
      </c>
      <c r="D2603" s="11">
        <f t="shared" si="171"/>
        <v>1136.6922392962058</v>
      </c>
      <c r="E2603" s="23">
        <f t="shared" si="168"/>
        <v>1135.8497915247635</v>
      </c>
      <c r="F2603" s="23">
        <f>AlphaC*(D2603-E2603)</f>
        <v>21.061194286056661</v>
      </c>
      <c r="G2603" s="13">
        <f>Phi*EpsilonF*Botzman/10^8*J2603*((D2603+273)^4-(E2603+273)^4)</f>
        <v>374.34123978339892</v>
      </c>
      <c r="H2603" s="23">
        <f t="shared" si="169"/>
        <v>650</v>
      </c>
      <c r="I2603" s="12">
        <f>ksh*Massivete/(H2603*RhoA)*DeltaT*(F2603+G2603)</f>
        <v>5.8321956062389969E-2</v>
      </c>
      <c r="J2603" s="3">
        <f>IF(E2603&lt;=500,IF(Galva=Oui,0.35,0.7),0.7)</f>
        <v>0.7</v>
      </c>
    </row>
    <row r="2604" spans="2:10" x14ac:dyDescent="0.25">
      <c r="B2604" s="3">
        <f>B2603+DeltaT</f>
        <v>12935</v>
      </c>
      <c r="C2604" s="13">
        <f t="shared" si="170"/>
        <v>215.58333333333334</v>
      </c>
      <c r="D2604" s="11">
        <f t="shared" si="171"/>
        <v>1136.7501340404567</v>
      </c>
      <c r="E2604" s="23">
        <f t="shared" si="168"/>
        <v>1135.9081134808259</v>
      </c>
      <c r="F2604" s="23">
        <f>AlphaC*(D2604-E2604)</f>
        <v>21.050513990769559</v>
      </c>
      <c r="G2604" s="13">
        <f>Phi*EpsilonF*Botzman/10^8*J2604*((D2604+273)^4-(E2604+273)^4)</f>
        <v>374.19769236163808</v>
      </c>
      <c r="H2604" s="23">
        <f t="shared" si="169"/>
        <v>650</v>
      </c>
      <c r="I2604" s="12">
        <f>ksh*Massivete/(H2604*RhoA)*DeltaT*(F2604+G2604)</f>
        <v>5.8299207436275813E-2</v>
      </c>
      <c r="J2604" s="3">
        <f>IF(E2604&lt;=500,IF(Galva=Oui,0.35,0.7),0.7)</f>
        <v>0.7</v>
      </c>
    </row>
    <row r="2605" spans="2:10" x14ac:dyDescent="0.25">
      <c r="B2605" s="3">
        <f>B2604+DeltaT</f>
        <v>12940</v>
      </c>
      <c r="C2605" s="13">
        <f t="shared" si="170"/>
        <v>215.66666666666666</v>
      </c>
      <c r="D2605" s="11">
        <f t="shared" si="171"/>
        <v>1136.8080064228898</v>
      </c>
      <c r="E2605" s="23">
        <f t="shared" si="168"/>
        <v>1135.9664126882622</v>
      </c>
      <c r="F2605" s="23">
        <f>AlphaC*(D2605-E2605)</f>
        <v>21.039843365690558</v>
      </c>
      <c r="G2605" s="13">
        <f>Phi*EpsilonF*Botzman/10^8*J2605*((D2605+273)^4-(E2605+273)^4)</f>
        <v>374.0542557511983</v>
      </c>
      <c r="H2605" s="23">
        <f t="shared" si="169"/>
        <v>650</v>
      </c>
      <c r="I2605" s="12">
        <f>ksh*Massivete/(H2605*RhoA)*DeltaT*(F2605+G2605)</f>
        <v>5.8276476581216777E-2</v>
      </c>
      <c r="J2605" s="3">
        <f>IF(E2605&lt;=500,IF(Galva=Oui,0.35,0.7),0.7)</f>
        <v>0.7</v>
      </c>
    </row>
    <row r="2606" spans="2:10" x14ac:dyDescent="0.25">
      <c r="B2606" s="3">
        <f>B2605+DeltaT</f>
        <v>12945</v>
      </c>
      <c r="C2606" s="13">
        <f t="shared" si="170"/>
        <v>215.75</v>
      </c>
      <c r="D2606" s="11">
        <f t="shared" si="171"/>
        <v>1136.8658564607731</v>
      </c>
      <c r="E2606" s="23">
        <f t="shared" si="168"/>
        <v>1136.0246891648433</v>
      </c>
      <c r="F2606" s="23">
        <f>AlphaC*(D2606-E2606)</f>
        <v>21.029182398245894</v>
      </c>
      <c r="G2606" s="13">
        <f>Phi*EpsilonF*Botzman/10^8*J2606*((D2606+273)^4-(E2606+273)^4)</f>
        <v>373.91092982330025</v>
      </c>
      <c r="H2606" s="23">
        <f t="shared" si="169"/>
        <v>650</v>
      </c>
      <c r="I2606" s="12">
        <f>ksh*Massivete/(H2606*RhoA)*DeltaT*(F2606+G2606)</f>
        <v>5.8253763476363248E-2</v>
      </c>
      <c r="J2606" s="3">
        <f>IF(E2606&lt;=500,IF(Galva=Oui,0.35,0.7),0.7)</f>
        <v>0.7</v>
      </c>
    </row>
    <row r="2607" spans="2:10" x14ac:dyDescent="0.25">
      <c r="B2607" s="3">
        <f>B2606+DeltaT</f>
        <v>12950</v>
      </c>
      <c r="C2607" s="13">
        <f t="shared" si="170"/>
        <v>215.83333333333334</v>
      </c>
      <c r="D2607" s="11">
        <f t="shared" si="171"/>
        <v>1136.9236841713548</v>
      </c>
      <c r="E2607" s="23">
        <f t="shared" si="168"/>
        <v>1136.0829429283197</v>
      </c>
      <c r="F2607" s="23">
        <f>AlphaC*(D2607-E2607)</f>
        <v>21.018531075878855</v>
      </c>
      <c r="G2607" s="13">
        <f>Phi*EpsilonF*Botzman/10^8*J2607*((D2607+273)^4-(E2607+273)^4)</f>
        <v>373.76771444961042</v>
      </c>
      <c r="H2607" s="23">
        <f t="shared" si="169"/>
        <v>650</v>
      </c>
      <c r="I2607" s="12">
        <f>ksh*Massivete/(H2607*RhoA)*DeltaT*(F2607+G2607)</f>
        <v>5.8231068100933876E-2</v>
      </c>
      <c r="J2607" s="3">
        <f>IF(E2607&lt;=500,IF(Galva=Oui,0.35,0.7),0.7)</f>
        <v>0.7</v>
      </c>
    </row>
    <row r="2608" spans="2:10" x14ac:dyDescent="0.25">
      <c r="B2608" s="3">
        <f>B2607+DeltaT</f>
        <v>12955</v>
      </c>
      <c r="C2608" s="13">
        <f t="shared" si="170"/>
        <v>215.91666666666666</v>
      </c>
      <c r="D2608" s="11">
        <f t="shared" si="171"/>
        <v>1136.9814895718619</v>
      </c>
      <c r="E2608" s="23">
        <f t="shared" si="168"/>
        <v>1136.1411739964205</v>
      </c>
      <c r="F2608" s="23">
        <f>AlphaC*(D2608-E2608)</f>
        <v>21.00788938603273</v>
      </c>
      <c r="G2608" s="13">
        <f>Phi*EpsilonF*Botzman/10^8*J2608*((D2608+273)^4-(E2608+273)^4)</f>
        <v>373.62460950136881</v>
      </c>
      <c r="H2608" s="23">
        <f t="shared" si="169"/>
        <v>650</v>
      </c>
      <c r="I2608" s="12">
        <f>ksh*Massivete/(H2608*RhoA)*DeltaT*(F2608+G2608)</f>
        <v>5.8208390434084413E-2</v>
      </c>
      <c r="J2608" s="3">
        <f>IF(E2608&lt;=500,IF(Galva=Oui,0.35,0.7),0.7)</f>
        <v>0.7</v>
      </c>
    </row>
    <row r="2609" spans="2:10" x14ac:dyDescent="0.25">
      <c r="B2609" s="3">
        <f>B2608+DeltaT</f>
        <v>12960</v>
      </c>
      <c r="C2609" s="13">
        <f t="shared" si="170"/>
        <v>216</v>
      </c>
      <c r="D2609" s="11">
        <f t="shared" si="171"/>
        <v>1137.0392726795033</v>
      </c>
      <c r="E2609" s="23">
        <f t="shared" si="168"/>
        <v>1136.1993823868547</v>
      </c>
      <c r="F2609" s="23">
        <f>AlphaC*(D2609-E2609)</f>
        <v>20.997257316213336</v>
      </c>
      <c r="G2609" s="13">
        <f>Phi*EpsilonF*Botzman/10^8*J2609*((D2609+273)^4-(E2609+273)^4)</f>
        <v>373.481614850862</v>
      </c>
      <c r="H2609" s="23">
        <f t="shared" si="169"/>
        <v>650</v>
      </c>
      <c r="I2609" s="12">
        <f>ksh*Massivete/(H2609*RhoA)*DeltaT*(F2609+G2609)</f>
        <v>5.8185730455134206E-2</v>
      </c>
      <c r="J2609" s="3">
        <f>IF(E2609&lt;=500,IF(Galva=Oui,0.35,0.7),0.7)</f>
        <v>0.7</v>
      </c>
    </row>
    <row r="2610" spans="2:10" x14ac:dyDescent="0.25">
      <c r="B2610" s="3">
        <f>B2609+DeltaT</f>
        <v>12965</v>
      </c>
      <c r="C2610" s="13">
        <f t="shared" si="170"/>
        <v>216.08333333333334</v>
      </c>
      <c r="D2610" s="11">
        <f t="shared" si="171"/>
        <v>1137.0970335114664</v>
      </c>
      <c r="E2610" s="23">
        <f t="shared" si="168"/>
        <v>1136.2575681173098</v>
      </c>
      <c r="F2610" s="23">
        <f>AlphaC*(D2610-E2610)</f>
        <v>20.98663485391512</v>
      </c>
      <c r="G2610" s="13">
        <f>Phi*EpsilonF*Botzman/10^8*J2610*((D2610+273)^4-(E2610+273)^4)</f>
        <v>373.33873036989206</v>
      </c>
      <c r="H2610" s="23">
        <f t="shared" si="169"/>
        <v>650</v>
      </c>
      <c r="I2610" s="12">
        <f>ksh*Massivete/(H2610*RhoA)*DeltaT*(F2610+G2610)</f>
        <v>5.8163088143329454E-2</v>
      </c>
      <c r="J2610" s="3">
        <f>IF(E2610&lt;=500,IF(Galva=Oui,0.35,0.7),0.7)</f>
        <v>0.7</v>
      </c>
    </row>
    <row r="2611" spans="2:10" x14ac:dyDescent="0.25">
      <c r="B2611" s="3">
        <f>B2610+DeltaT</f>
        <v>12970</v>
      </c>
      <c r="C2611" s="13">
        <f t="shared" si="170"/>
        <v>216.16666666666666</v>
      </c>
      <c r="D2611" s="11">
        <f t="shared" si="171"/>
        <v>1137.1547720849194</v>
      </c>
      <c r="E2611" s="23">
        <f t="shared" si="168"/>
        <v>1136.3157312054532</v>
      </c>
      <c r="F2611" s="23">
        <f>AlphaC*(D2611-E2611)</f>
        <v>20.976021986655269</v>
      </c>
      <c r="G2611" s="13">
        <f>Phi*EpsilonF*Botzman/10^8*J2611*((D2611+273)^4-(E2611+273)^4)</f>
        <v>373.19595593064867</v>
      </c>
      <c r="H2611" s="23">
        <f t="shared" si="169"/>
        <v>650</v>
      </c>
      <c r="I2611" s="12">
        <f>ksh*Massivete/(H2611*RhoA)*DeltaT*(F2611+G2611)</f>
        <v>5.8140463477976891E-2</v>
      </c>
      <c r="J2611" s="3">
        <f>IF(E2611&lt;=500,IF(Galva=Oui,0.35,0.7),0.7)</f>
        <v>0.7</v>
      </c>
    </row>
    <row r="2612" spans="2:10" x14ac:dyDescent="0.25">
      <c r="B2612" s="3">
        <f>B2611+DeltaT</f>
        <v>12975</v>
      </c>
      <c r="C2612" s="13">
        <f t="shared" si="170"/>
        <v>216.25</v>
      </c>
      <c r="D2612" s="11">
        <f t="shared" si="171"/>
        <v>1137.2124884170107</v>
      </c>
      <c r="E2612" s="23">
        <f t="shared" ref="E2612:E2675" si="172">E2611+I2611</f>
        <v>1136.3738716689311</v>
      </c>
      <c r="F2612" s="23">
        <f>AlphaC*(D2612-E2612)</f>
        <v>20.965418701990757</v>
      </c>
      <c r="G2612" s="13">
        <f>Phi*EpsilonF*Botzman/10^8*J2612*((D2612+273)^4-(E2612+273)^4)</f>
        <v>373.05329140580602</v>
      </c>
      <c r="H2612" s="23">
        <f t="shared" ref="H2612:H2675" si="173">IF(E2612&lt;600,425+0.773*E2612-1.69/1000*E2612^2+2.22/1000^2*E2612^3,IF(E2612&lt;735,666+13002/(738-E2612),IF(E2612&lt;900,545+17820/(E2612-731),650)))</f>
        <v>650</v>
      </c>
      <c r="I2612" s="12">
        <f>ksh*Massivete/(H2612*RhoA)*DeltaT*(F2612+G2612)</f>
        <v>5.8117856438460576E-2</v>
      </c>
      <c r="J2612" s="3">
        <f>IF(E2612&lt;=500,IF(Galva=Oui,0.35,0.7),0.7)</f>
        <v>0.7</v>
      </c>
    </row>
    <row r="2613" spans="2:10" x14ac:dyDescent="0.25">
      <c r="B2613" s="3">
        <f>B2612+DeltaT</f>
        <v>12980</v>
      </c>
      <c r="C2613" s="13">
        <f t="shared" si="170"/>
        <v>216.33333333333334</v>
      </c>
      <c r="D2613" s="11">
        <f t="shared" si="171"/>
        <v>1137.2701825248689</v>
      </c>
      <c r="E2613" s="23">
        <f t="shared" si="172"/>
        <v>1136.4319895253695</v>
      </c>
      <c r="F2613" s="23">
        <f>AlphaC*(D2613-E2613)</f>
        <v>20.954824987484244</v>
      </c>
      <c r="G2613" s="13">
        <f>Phi*EpsilonF*Botzman/10^8*J2613*((D2613+273)^4-(E2613+273)^4)</f>
        <v>372.9107366677863</v>
      </c>
      <c r="H2613" s="23">
        <f t="shared" si="173"/>
        <v>650</v>
      </c>
      <c r="I2613" s="12">
        <f>ksh*Massivete/(H2613*RhoA)*DeltaT*(F2613+G2613)</f>
        <v>5.8095267004128238E-2</v>
      </c>
      <c r="J2613" s="3">
        <f>IF(E2613&lt;=500,IF(Galva=Oui,0.35,0.7),0.7)</f>
        <v>0.7</v>
      </c>
    </row>
    <row r="2614" spans="2:10" x14ac:dyDescent="0.25">
      <c r="B2614" s="3">
        <f>B2613+DeltaT</f>
        <v>12985</v>
      </c>
      <c r="C2614" s="13">
        <f t="shared" si="170"/>
        <v>216.41666666666666</v>
      </c>
      <c r="D2614" s="11">
        <f t="shared" si="171"/>
        <v>1137.3278544256029</v>
      </c>
      <c r="E2614" s="23">
        <f t="shared" si="172"/>
        <v>1136.4900847923736</v>
      </c>
      <c r="F2614" s="23">
        <f>AlphaC*(D2614-E2614)</f>
        <v>20.944240830732497</v>
      </c>
      <c r="G2614" s="13">
        <f>Phi*EpsilonF*Botzman/10^8*J2614*((D2614+273)^4-(E2614+273)^4)</f>
        <v>372.76829158963193</v>
      </c>
      <c r="H2614" s="23">
        <f t="shared" si="173"/>
        <v>650</v>
      </c>
      <c r="I2614" s="12">
        <f>ksh*Massivete/(H2614*RhoA)*DeltaT*(F2614+G2614)</f>
        <v>5.8072695154424127E-2</v>
      </c>
      <c r="J2614" s="3">
        <f>IF(E2614&lt;=500,IF(Galva=Oui,0.35,0.7),0.7)</f>
        <v>0.7</v>
      </c>
    </row>
    <row r="2615" spans="2:10" x14ac:dyDescent="0.25">
      <c r="B2615" s="3">
        <f>B2614+DeltaT</f>
        <v>12990</v>
      </c>
      <c r="C2615" s="13">
        <f t="shared" si="170"/>
        <v>216.5</v>
      </c>
      <c r="D2615" s="11">
        <f t="shared" si="171"/>
        <v>1137.3855041363011</v>
      </c>
      <c r="E2615" s="23">
        <f t="shared" si="172"/>
        <v>1136.548157487528</v>
      </c>
      <c r="F2615" s="23">
        <f>AlphaC*(D2615-E2615)</f>
        <v>20.933666219326597</v>
      </c>
      <c r="G2615" s="13">
        <f>Phi*EpsilonF*Botzman/10^8*J2615*((D2615+273)^4-(E2615+273)^4)</f>
        <v>372.62595604409461</v>
      </c>
      <c r="H2615" s="23">
        <f t="shared" si="173"/>
        <v>650</v>
      </c>
      <c r="I2615" s="12">
        <f>ksh*Massivete/(H2615*RhoA)*DeltaT*(F2615+G2615)</f>
        <v>5.8050140868748767E-2</v>
      </c>
      <c r="J2615" s="3">
        <f>IF(E2615&lt;=500,IF(Galva=Oui,0.35,0.7),0.7)</f>
        <v>0.7</v>
      </c>
    </row>
    <row r="2616" spans="2:10" x14ac:dyDescent="0.25">
      <c r="B2616" s="3">
        <f>B2615+DeltaT</f>
        <v>12995</v>
      </c>
      <c r="C2616" s="13">
        <f t="shared" si="170"/>
        <v>216.58333333333334</v>
      </c>
      <c r="D2616" s="11">
        <f t="shared" si="171"/>
        <v>1137.4431316740333</v>
      </c>
      <c r="E2616" s="23">
        <f t="shared" si="172"/>
        <v>1136.6062076283968</v>
      </c>
      <c r="F2616" s="23">
        <f>AlphaC*(D2616-E2616)</f>
        <v>20.923101140914468</v>
      </c>
      <c r="G2616" s="13">
        <f>Phi*EpsilonF*Botzman/10^8*J2616*((D2616+273)^4-(E2616+273)^4)</f>
        <v>372.48372990472058</v>
      </c>
      <c r="H2616" s="23">
        <f t="shared" si="173"/>
        <v>650</v>
      </c>
      <c r="I2616" s="12">
        <f>ksh*Massivete/(H2616*RhoA)*DeltaT*(F2616+G2616)</f>
        <v>5.8027604126628267E-2</v>
      </c>
      <c r="J2616" s="3">
        <f>IF(E2616&lt;=500,IF(Galva=Oui,0.35,0.7),0.7)</f>
        <v>0.7</v>
      </c>
    </row>
    <row r="2617" spans="2:10" x14ac:dyDescent="0.25">
      <c r="B2617" s="3">
        <f>B2616+DeltaT</f>
        <v>13000</v>
      </c>
      <c r="C2617" s="13">
        <f t="shared" si="170"/>
        <v>216.66666666666666</v>
      </c>
      <c r="D2617" s="11">
        <f t="shared" si="171"/>
        <v>1137.500737055849</v>
      </c>
      <c r="E2617" s="23">
        <f t="shared" si="172"/>
        <v>1136.6642352325234</v>
      </c>
      <c r="F2617" s="23">
        <f>AlphaC*(D2617-E2617)</f>
        <v>20.912545583138353</v>
      </c>
      <c r="G2617" s="13">
        <f>Phi*EpsilonF*Botzman/10^8*J2617*((D2617+273)^4-(E2617+273)^4)</f>
        <v>372.34161304470729</v>
      </c>
      <c r="H2617" s="23">
        <f t="shared" si="173"/>
        <v>650</v>
      </c>
      <c r="I2617" s="12">
        <f>ksh*Massivete/(H2617*RhoA)*DeltaT*(F2617+G2617)</f>
        <v>5.8005084907536433E-2</v>
      </c>
      <c r="J2617" s="3">
        <f>IF(E2617&lt;=500,IF(Galva=Oui,0.35,0.7),0.7)</f>
        <v>0.7</v>
      </c>
    </row>
    <row r="2618" spans="2:10" x14ac:dyDescent="0.25">
      <c r="B2618" s="3">
        <f>B2617+DeltaT</f>
        <v>13005</v>
      </c>
      <c r="C2618" s="13">
        <f t="shared" si="170"/>
        <v>216.75</v>
      </c>
      <c r="D2618" s="11">
        <f t="shared" si="171"/>
        <v>1137.5583202987777</v>
      </c>
      <c r="E2618" s="23">
        <f t="shared" si="172"/>
        <v>1136.722240317431</v>
      </c>
      <c r="F2618" s="23">
        <f>AlphaC*(D2618-E2618)</f>
        <v>20.901999533668914</v>
      </c>
      <c r="G2618" s="13">
        <f>Phi*EpsilonF*Botzman/10^8*J2618*((D2618+273)^4-(E2618+273)^4)</f>
        <v>372.19960533767846</v>
      </c>
      <c r="H2618" s="23">
        <f t="shared" si="173"/>
        <v>650</v>
      </c>
      <c r="I2618" s="12">
        <f>ksh*Massivete/(H2618*RhoA)*DeltaT*(F2618+G2618)</f>
        <v>5.7982583191014167E-2</v>
      </c>
      <c r="J2618" s="3">
        <f>IF(E2618&lt;=500,IF(Galva=Oui,0.35,0.7),0.7)</f>
        <v>0.7</v>
      </c>
    </row>
    <row r="2619" spans="2:10" x14ac:dyDescent="0.25">
      <c r="B2619" s="3">
        <f>B2618+DeltaT</f>
        <v>13010</v>
      </c>
      <c r="C2619" s="13">
        <f t="shared" si="170"/>
        <v>216.83333333333334</v>
      </c>
      <c r="D2619" s="11">
        <f t="shared" si="171"/>
        <v>1137.6158814198302</v>
      </c>
      <c r="E2619" s="23">
        <f t="shared" si="172"/>
        <v>1136.780222900622</v>
      </c>
      <c r="F2619" s="23">
        <f>AlphaC*(D2619-E2619)</f>
        <v>20.891462980205233</v>
      </c>
      <c r="G2619" s="13">
        <f>Phi*EpsilonF*Botzman/10^8*J2619*((D2619+273)^4-(E2619+273)^4)</f>
        <v>372.05770665762617</v>
      </c>
      <c r="H2619" s="23">
        <f t="shared" si="173"/>
        <v>650</v>
      </c>
      <c r="I2619" s="12">
        <f>ksh*Massivete/(H2619*RhoA)*DeltaT*(F2619+G2619)</f>
        <v>5.7960098956660884E-2</v>
      </c>
      <c r="J2619" s="3">
        <f>IF(E2619&lt;=500,IF(Galva=Oui,0.35,0.7),0.7)</f>
        <v>0.7</v>
      </c>
    </row>
    <row r="2620" spans="2:10" x14ac:dyDescent="0.25">
      <c r="B2620" s="3">
        <f>B2619+DeltaT</f>
        <v>13015</v>
      </c>
      <c r="C2620" s="13">
        <f t="shared" si="170"/>
        <v>216.91666666666666</v>
      </c>
      <c r="D2620" s="11">
        <f t="shared" si="171"/>
        <v>1137.6734204359968</v>
      </c>
      <c r="E2620" s="23">
        <f t="shared" si="172"/>
        <v>1136.8381829995787</v>
      </c>
      <c r="F2620" s="23">
        <f>AlphaC*(D2620-E2620)</f>
        <v>20.880935910452081</v>
      </c>
      <c r="G2620" s="13">
        <f>Phi*EpsilonF*Botzman/10^8*J2620*((D2620+273)^4-(E2620+273)^4)</f>
        <v>371.91591687829043</v>
      </c>
      <c r="H2620" s="23">
        <f t="shared" si="173"/>
        <v>650</v>
      </c>
      <c r="I2620" s="12">
        <f>ksh*Massivete/(H2620*RhoA)*DeltaT*(F2620+G2620)</f>
        <v>5.793763218403964E-2</v>
      </c>
      <c r="J2620" s="3">
        <f>IF(E2620&lt;=500,IF(Galva=Oui,0.35,0.7),0.7)</f>
        <v>0.7</v>
      </c>
    </row>
    <row r="2621" spans="2:10" x14ac:dyDescent="0.25">
      <c r="B2621" s="3">
        <f>B2620+DeltaT</f>
        <v>13020</v>
      </c>
      <c r="C2621" s="13">
        <f t="shared" si="170"/>
        <v>217</v>
      </c>
      <c r="D2621" s="11">
        <f t="shared" si="171"/>
        <v>1137.7309373642488</v>
      </c>
      <c r="E2621" s="23">
        <f t="shared" si="172"/>
        <v>1136.8961206317629</v>
      </c>
      <c r="F2621" s="23">
        <f>AlphaC*(D2621-E2621)</f>
        <v>20.870418312148331</v>
      </c>
      <c r="G2621" s="13">
        <f>Phi*EpsilonF*Botzman/10^8*J2621*((D2621+273)^4-(E2621+273)^4)</f>
        <v>371.77423587405093</v>
      </c>
      <c r="H2621" s="23">
        <f t="shared" si="173"/>
        <v>650</v>
      </c>
      <c r="I2621" s="12">
        <f>ksh*Massivete/(H2621*RhoA)*DeltaT*(F2621+G2621)</f>
        <v>5.7915182852812899E-2</v>
      </c>
      <c r="J2621" s="3">
        <f>IF(E2621&lt;=500,IF(Galva=Oui,0.35,0.7),0.7)</f>
        <v>0.7</v>
      </c>
    </row>
    <row r="2622" spans="2:10" x14ac:dyDescent="0.25">
      <c r="B2622" s="3">
        <f>B2621+DeltaT</f>
        <v>13025</v>
      </c>
      <c r="C2622" s="13">
        <f t="shared" si="170"/>
        <v>217.08333333333334</v>
      </c>
      <c r="D2622" s="11">
        <f t="shared" si="171"/>
        <v>1137.788432221538</v>
      </c>
      <c r="E2622" s="23">
        <f t="shared" si="172"/>
        <v>1136.9540358146157</v>
      </c>
      <c r="F2622" s="23">
        <f>AlphaC*(D2622-E2622)</f>
        <v>20.859910173055596</v>
      </c>
      <c r="G2622" s="13">
        <f>Phi*EpsilonF*Botzman/10^8*J2622*((D2622+273)^4-(E2622+273)^4)</f>
        <v>371.63266351944219</v>
      </c>
      <c r="H2622" s="23">
        <f t="shared" si="173"/>
        <v>650</v>
      </c>
      <c r="I2622" s="12">
        <f>ksh*Massivete/(H2622*RhoA)*DeltaT*(F2622+G2622)</f>
        <v>5.7892750942669303E-2</v>
      </c>
      <c r="J2622" s="3">
        <f>IF(E2622&lt;=500,IF(Galva=Oui,0.35,0.7),0.7)</f>
        <v>0.7</v>
      </c>
    </row>
    <row r="2623" spans="2:10" x14ac:dyDescent="0.25">
      <c r="B2623" s="3">
        <f>B2622+DeltaT</f>
        <v>13030</v>
      </c>
      <c r="C2623" s="13">
        <f t="shared" si="170"/>
        <v>217.16666666666666</v>
      </c>
      <c r="D2623" s="11">
        <f t="shared" si="171"/>
        <v>1137.8459050247961</v>
      </c>
      <c r="E2623" s="23">
        <f t="shared" si="172"/>
        <v>1137.0119285655585</v>
      </c>
      <c r="F2623" s="23">
        <f>AlphaC*(D2623-E2623)</f>
        <v>20.849411480941171</v>
      </c>
      <c r="G2623" s="13">
        <f>Phi*EpsilonF*Botzman/10^8*J2623*((D2623+273)^4-(E2623+273)^4)</f>
        <v>371.4911996888826</v>
      </c>
      <c r="H2623" s="23">
        <f t="shared" si="173"/>
        <v>650</v>
      </c>
      <c r="I2623" s="12">
        <f>ksh*Massivete/(H2623*RhoA)*DeltaT*(F2623+G2623)</f>
        <v>5.7870336433281218E-2</v>
      </c>
      <c r="J2623" s="3">
        <f>IF(E2623&lt;=500,IF(Galva=Oui,0.35,0.7),0.7)</f>
        <v>0.7</v>
      </c>
    </row>
    <row r="2624" spans="2:10" x14ac:dyDescent="0.25">
      <c r="B2624" s="3">
        <f>B2623+DeltaT</f>
        <v>13035</v>
      </c>
      <c r="C2624" s="13">
        <f t="shared" si="170"/>
        <v>217.25</v>
      </c>
      <c r="D2624" s="11">
        <f t="shared" si="171"/>
        <v>1137.9033557909356</v>
      </c>
      <c r="E2624" s="23">
        <f t="shared" si="172"/>
        <v>1137.0697989019918</v>
      </c>
      <c r="F2624" s="23">
        <f>AlphaC*(D2624-E2624)</f>
        <v>20.838922223595091</v>
      </c>
      <c r="G2624" s="13">
        <f>Phi*EpsilonF*Botzman/10^8*J2624*((D2624+273)^4-(E2624+273)^4)</f>
        <v>371.34984425694557</v>
      </c>
      <c r="H2624" s="23">
        <f t="shared" si="173"/>
        <v>650</v>
      </c>
      <c r="I2624" s="12">
        <f>ksh*Massivete/(H2624*RhoA)*DeltaT*(F2624+G2624)</f>
        <v>5.7847939304347201E-2</v>
      </c>
      <c r="J2624" s="3">
        <f>IF(E2624&lt;=500,IF(Galva=Oui,0.35,0.7),0.7)</f>
        <v>0.7</v>
      </c>
    </row>
    <row r="2625" spans="2:10" x14ac:dyDescent="0.25">
      <c r="B2625" s="3">
        <f>B2624+DeltaT</f>
        <v>13040</v>
      </c>
      <c r="C2625" s="13">
        <f t="shared" si="170"/>
        <v>217.33333333333334</v>
      </c>
      <c r="D2625" s="11">
        <f t="shared" si="171"/>
        <v>1137.9607845368503</v>
      </c>
      <c r="E2625" s="23">
        <f t="shared" si="172"/>
        <v>1137.1276468412962</v>
      </c>
      <c r="F2625" s="23">
        <f>AlphaC*(D2625-E2625)</f>
        <v>20.828442388852864</v>
      </c>
      <c r="G2625" s="13">
        <f>Phi*EpsilonF*Botzman/10^8*J2625*((D2625+273)^4-(E2625+273)^4)</f>
        <v>371.20859709915419</v>
      </c>
      <c r="H2625" s="23">
        <f t="shared" si="173"/>
        <v>650</v>
      </c>
      <c r="I2625" s="12">
        <f>ksh*Massivete/(H2625*RhoA)*DeltaT*(F2625+G2625)</f>
        <v>5.7825559535712619E-2</v>
      </c>
      <c r="J2625" s="3">
        <f>IF(E2625&lt;=500,IF(Galva=Oui,0.35,0.7),0.7)</f>
        <v>0.7</v>
      </c>
    </row>
    <row r="2626" spans="2:10" x14ac:dyDescent="0.25">
      <c r="B2626" s="3">
        <f>B2625+DeltaT</f>
        <v>13045</v>
      </c>
      <c r="C2626" s="13">
        <f t="shared" si="170"/>
        <v>217.41666666666666</v>
      </c>
      <c r="D2626" s="11">
        <f t="shared" si="171"/>
        <v>1138.0181912794133</v>
      </c>
      <c r="E2626" s="23">
        <f t="shared" si="172"/>
        <v>1137.1854724008319</v>
      </c>
      <c r="F2626" s="23">
        <f>AlphaC*(D2626-E2626)</f>
        <v>20.817971964532944</v>
      </c>
      <c r="G2626" s="13">
        <f>Phi*EpsilonF*Botzman/10^8*J2626*((D2626+273)^4-(E2626+273)^4)</f>
        <v>371.06745809015928</v>
      </c>
      <c r="H2626" s="23">
        <f t="shared" si="173"/>
        <v>650</v>
      </c>
      <c r="I2626" s="12">
        <f>ksh*Massivete/(H2626*RhoA)*DeltaT*(F2626+G2626)</f>
        <v>5.7803197107091663E-2</v>
      </c>
      <c r="J2626" s="3">
        <f>IF(E2626&lt;=500,IF(Galva=Oui,0.35,0.7),0.7)</f>
        <v>0.7</v>
      </c>
    </row>
    <row r="2627" spans="2:10" x14ac:dyDescent="0.25">
      <c r="B2627" s="3">
        <f>B2626+DeltaT</f>
        <v>13050</v>
      </c>
      <c r="C2627" s="13">
        <f t="shared" si="170"/>
        <v>217.5</v>
      </c>
      <c r="D2627" s="11">
        <f t="shared" si="171"/>
        <v>1138.0755760354791</v>
      </c>
      <c r="E2627" s="23">
        <f t="shared" si="172"/>
        <v>1137.2432755979391</v>
      </c>
      <c r="F2627" s="23">
        <f>AlphaC*(D2627-E2627)</f>
        <v>20.807510938499263</v>
      </c>
      <c r="G2627" s="13">
        <f>Phi*EpsilonF*Botzman/10^8*J2627*((D2627+273)^4-(E2627+273)^4)</f>
        <v>370.92642710556134</v>
      </c>
      <c r="H2627" s="23">
        <f t="shared" si="173"/>
        <v>650</v>
      </c>
      <c r="I2627" s="12">
        <f>ksh*Massivete/(H2627*RhoA)*DeltaT*(F2627+G2627)</f>
        <v>5.7780851998345296E-2</v>
      </c>
      <c r="J2627" s="3">
        <f>IF(E2627&lt;=500,IF(Galva=Oui,0.35,0.7),0.7)</f>
        <v>0.7</v>
      </c>
    </row>
    <row r="2628" spans="2:10" x14ac:dyDescent="0.25">
      <c r="B2628" s="3">
        <f>B2627+DeltaT</f>
        <v>13055</v>
      </c>
      <c r="C2628" s="13">
        <f t="shared" si="170"/>
        <v>217.58333333333334</v>
      </c>
      <c r="D2628" s="11">
        <f t="shared" si="171"/>
        <v>1138.1329388218828</v>
      </c>
      <c r="E2628" s="23">
        <f t="shared" si="172"/>
        <v>1137.3010564499375</v>
      </c>
      <c r="F2628" s="23">
        <f>AlphaC*(D2628-E2628)</f>
        <v>20.797059298632803</v>
      </c>
      <c r="G2628" s="13">
        <f>Phi*EpsilonF*Botzman/10^8*J2628*((D2628+273)^4-(E2628+273)^4)</f>
        <v>370.78550402092225</v>
      </c>
      <c r="H2628" s="23">
        <f t="shared" si="173"/>
        <v>650</v>
      </c>
      <c r="I2628" s="12">
        <f>ksh*Massivete/(H2628*RhoA)*DeltaT*(F2628+G2628)</f>
        <v>5.7758524189331306E-2</v>
      </c>
      <c r="J2628" s="3">
        <f>IF(E2628&lt;=500,IF(Galva=Oui,0.35,0.7),0.7)</f>
        <v>0.7</v>
      </c>
    </row>
    <row r="2629" spans="2:10" x14ac:dyDescent="0.25">
      <c r="B2629" s="3">
        <f>B2628+DeltaT</f>
        <v>13060</v>
      </c>
      <c r="C2629" s="13">
        <f t="shared" si="170"/>
        <v>217.66666666666666</v>
      </c>
      <c r="D2629" s="11">
        <f t="shared" si="171"/>
        <v>1138.1902796554402</v>
      </c>
      <c r="E2629" s="23">
        <f t="shared" si="172"/>
        <v>1137.3588149741267</v>
      </c>
      <c r="F2629" s="23">
        <f>AlphaC*(D2629-E2629)</f>
        <v>20.786617032837285</v>
      </c>
      <c r="G2629" s="13">
        <f>Phi*EpsilonF*Botzman/10^8*J2629*((D2629+273)^4-(E2629+273)^4)</f>
        <v>370.64468871211386</v>
      </c>
      <c r="H2629" s="23">
        <f t="shared" si="173"/>
        <v>650</v>
      </c>
      <c r="I2629" s="12">
        <f>ksh*Massivete/(H2629*RhoA)*DeltaT*(F2629+G2629)</f>
        <v>5.7736213659956563E-2</v>
      </c>
      <c r="J2629" s="3">
        <f>IF(E2629&lt;=500,IF(Galva=Oui,0.35,0.7),0.7)</f>
        <v>0.7</v>
      </c>
    </row>
    <row r="2630" spans="2:10" x14ac:dyDescent="0.25">
      <c r="B2630" s="3">
        <f>B2629+DeltaT</f>
        <v>13065</v>
      </c>
      <c r="C2630" s="13">
        <f t="shared" si="170"/>
        <v>217.75</v>
      </c>
      <c r="D2630" s="11">
        <f t="shared" si="171"/>
        <v>1138.2475985529475</v>
      </c>
      <c r="E2630" s="23">
        <f t="shared" si="172"/>
        <v>1137.4165511877868</v>
      </c>
      <c r="F2630" s="23">
        <f>AlphaC*(D2630-E2630)</f>
        <v>20.776184129016428</v>
      </c>
      <c r="G2630" s="13">
        <f>Phi*EpsilonF*Botzman/10^8*J2630*((D2630+273)^4-(E2630+273)^4)</f>
        <v>370.50398105473658</v>
      </c>
      <c r="H2630" s="23">
        <f t="shared" si="173"/>
        <v>650</v>
      </c>
      <c r="I2630" s="12">
        <f>ksh*Massivete/(H2630*RhoA)*DeltaT*(F2630+G2630)</f>
        <v>5.7713920390087881E-2</v>
      </c>
      <c r="J2630" s="3">
        <f>IF(E2630&lt;=500,IF(Galva=Oui,0.35,0.7),0.7)</f>
        <v>0.7</v>
      </c>
    </row>
    <row r="2631" spans="2:10" x14ac:dyDescent="0.25">
      <c r="B2631" s="3">
        <f>B2630+DeltaT</f>
        <v>13070</v>
      </c>
      <c r="C2631" s="13">
        <f t="shared" si="170"/>
        <v>217.83333333333334</v>
      </c>
      <c r="D2631" s="11">
        <f t="shared" si="171"/>
        <v>1138.304895531182</v>
      </c>
      <c r="E2631" s="23">
        <f t="shared" si="172"/>
        <v>1137.474265108177</v>
      </c>
      <c r="F2631" s="23">
        <f>AlphaC*(D2631-E2631)</f>
        <v>20.765760575125114</v>
      </c>
      <c r="G2631" s="13">
        <f>Phi*EpsilonF*Botzman/10^8*J2631*((D2631+273)^4-(E2631+273)^4)</f>
        <v>370.3633809253019</v>
      </c>
      <c r="H2631" s="23">
        <f t="shared" si="173"/>
        <v>650</v>
      </c>
      <c r="I2631" s="12">
        <f>ksh*Massivete/(H2631*RhoA)*DeltaT*(F2631+G2631)</f>
        <v>5.7691644359734028E-2</v>
      </c>
      <c r="J2631" s="3">
        <f>IF(E2631&lt;=500,IF(Galva=Oui,0.35,0.7),0.7)</f>
        <v>0.7</v>
      </c>
    </row>
    <row r="2632" spans="2:10" x14ac:dyDescent="0.25">
      <c r="B2632" s="3">
        <f>B2631+DeltaT</f>
        <v>13075</v>
      </c>
      <c r="C2632" s="13">
        <f t="shared" si="170"/>
        <v>217.91666666666666</v>
      </c>
      <c r="D2632" s="11">
        <f t="shared" si="171"/>
        <v>1138.3621706069009</v>
      </c>
      <c r="E2632" s="23">
        <f t="shared" si="172"/>
        <v>1137.5319567525366</v>
      </c>
      <c r="F2632" s="23">
        <f>AlphaC*(D2632-E2632)</f>
        <v>20.755346359106852</v>
      </c>
      <c r="G2632" s="13">
        <f>Phi*EpsilonF*Botzman/10^8*J2632*((D2632+273)^4-(E2632+273)^4)</f>
        <v>370.22288819975921</v>
      </c>
      <c r="H2632" s="23">
        <f t="shared" si="173"/>
        <v>650</v>
      </c>
      <c r="I2632" s="12">
        <f>ksh*Massivete/(H2632*RhoA)*DeltaT*(F2632+G2632)</f>
        <v>5.7669385548819167E-2</v>
      </c>
      <c r="J2632" s="3">
        <f>IF(E2632&lt;=500,IF(Galva=Oui,0.35,0.7),0.7)</f>
        <v>0.7</v>
      </c>
    </row>
    <row r="2633" spans="2:10" x14ac:dyDescent="0.25">
      <c r="B2633" s="3">
        <f>B2632+DeltaT</f>
        <v>13080</v>
      </c>
      <c r="C2633" s="13">
        <f t="shared" si="170"/>
        <v>218</v>
      </c>
      <c r="D2633" s="11">
        <f t="shared" si="171"/>
        <v>1138.4194237968434</v>
      </c>
      <c r="E2633" s="23">
        <f t="shared" si="172"/>
        <v>1137.5896261380854</v>
      </c>
      <c r="F2633" s="23">
        <f>AlphaC*(D2633-E2633)</f>
        <v>20.744941468950628</v>
      </c>
      <c r="G2633" s="13">
        <f>Phi*EpsilonF*Botzman/10^8*J2633*((D2633+273)^4-(E2633+273)^4)</f>
        <v>370.08250275483294</v>
      </c>
      <c r="H2633" s="23">
        <f t="shared" si="173"/>
        <v>650</v>
      </c>
      <c r="I2633" s="12">
        <f>ksh*Massivete/(H2633*RhoA)*DeltaT*(F2633+G2633)</f>
        <v>5.7647143937388498E-2</v>
      </c>
      <c r="J2633" s="3">
        <f>IF(E2633&lt;=500,IF(Galva=Oui,0.35,0.7),0.7)</f>
        <v>0.7</v>
      </c>
    </row>
    <row r="2634" spans="2:10" x14ac:dyDescent="0.25">
      <c r="B2634" s="3">
        <f>B2633+DeltaT</f>
        <v>13085</v>
      </c>
      <c r="C2634" s="13">
        <f t="shared" si="170"/>
        <v>218.08333333333334</v>
      </c>
      <c r="D2634" s="11">
        <f t="shared" si="171"/>
        <v>1138.476655117729</v>
      </c>
      <c r="E2634" s="23">
        <f t="shared" si="172"/>
        <v>1137.6472732820228</v>
      </c>
      <c r="F2634" s="23">
        <f>AlphaC*(D2634-E2634)</f>
        <v>20.734545892656797</v>
      </c>
      <c r="G2634" s="13">
        <f>Phi*EpsilonF*Botzman/10^8*J2634*((D2634+273)^4-(E2634+273)^4)</f>
        <v>369.94222446726718</v>
      </c>
      <c r="H2634" s="23">
        <f t="shared" si="173"/>
        <v>650</v>
      </c>
      <c r="I2634" s="12">
        <f>ksh*Massivete/(H2634*RhoA)*DeltaT*(F2634+G2634)</f>
        <v>5.7624919505491791E-2</v>
      </c>
      <c r="J2634" s="3">
        <f>IF(E2634&lt;=500,IF(Galva=Oui,0.35,0.7),0.7)</f>
        <v>0.7</v>
      </c>
    </row>
    <row r="2635" spans="2:10" x14ac:dyDescent="0.25">
      <c r="B2635" s="3">
        <f>B2634+DeltaT</f>
        <v>13090</v>
      </c>
      <c r="C2635" s="13">
        <f t="shared" si="170"/>
        <v>218.16666666666666</v>
      </c>
      <c r="D2635" s="11">
        <f t="shared" si="171"/>
        <v>1138.5338645862578</v>
      </c>
      <c r="E2635" s="23">
        <f t="shared" si="172"/>
        <v>1137.7048982015283</v>
      </c>
      <c r="F2635" s="23">
        <f>AlphaC*(D2635-E2635)</f>
        <v>20.724159618237081</v>
      </c>
      <c r="G2635" s="13">
        <f>Phi*EpsilonF*Botzman/10^8*J2635*((D2635+273)^4-(E2635+273)^4)</f>
        <v>369.8020532137283</v>
      </c>
      <c r="H2635" s="23">
        <f t="shared" si="173"/>
        <v>650</v>
      </c>
      <c r="I2635" s="12">
        <f>ksh*Massivete/(H2635*RhoA)*DeltaT*(F2635+G2635)</f>
        <v>5.7602712233169026E-2</v>
      </c>
      <c r="J2635" s="3">
        <f>IF(E2635&lt;=500,IF(Galva=Oui,0.35,0.7),0.7)</f>
        <v>0.7</v>
      </c>
    </row>
    <row r="2636" spans="2:10" x14ac:dyDescent="0.25">
      <c r="B2636" s="3">
        <f>B2635+DeltaT</f>
        <v>13095</v>
      </c>
      <c r="C2636" s="13">
        <f t="shared" si="170"/>
        <v>218.25</v>
      </c>
      <c r="D2636" s="11">
        <f t="shared" si="171"/>
        <v>1138.5910522191109</v>
      </c>
      <c r="E2636" s="23">
        <f t="shared" si="172"/>
        <v>1137.7625009137614</v>
      </c>
      <c r="F2636" s="23">
        <f>AlphaC*(D2636-E2636)</f>
        <v>20.71378263373731</v>
      </c>
      <c r="G2636" s="13">
        <f>Phi*EpsilonF*Botzman/10^8*J2636*((D2636+273)^4-(E2636+273)^4)</f>
        <v>369.66198887154167</v>
      </c>
      <c r="H2636" s="23">
        <f t="shared" si="173"/>
        <v>650</v>
      </c>
      <c r="I2636" s="12">
        <f>ksh*Massivete/(H2636*RhoA)*DeltaT*(F2636+G2636)</f>
        <v>5.7580522100562428E-2</v>
      </c>
      <c r="J2636" s="3">
        <f>IF(E2636&lt;=500,IF(Galva=Oui,0.35,0.7),0.7)</f>
        <v>0.7</v>
      </c>
    </row>
    <row r="2637" spans="2:10" x14ac:dyDescent="0.25">
      <c r="B2637" s="3">
        <f>B2636+DeltaT</f>
        <v>13100</v>
      </c>
      <c r="C2637" s="13">
        <f t="shared" si="170"/>
        <v>218.33333333333334</v>
      </c>
      <c r="D2637" s="11">
        <f t="shared" si="171"/>
        <v>1138.648218032951</v>
      </c>
      <c r="E2637" s="23">
        <f t="shared" si="172"/>
        <v>1137.820081435862</v>
      </c>
      <c r="F2637" s="23">
        <f>AlphaC*(D2637-E2637)</f>
        <v>20.703414927226049</v>
      </c>
      <c r="G2637" s="13">
        <f>Phi*EpsilonF*Botzman/10^8*J2637*((D2637+273)^4-(E2637+273)^4)</f>
        <v>369.52203131793567</v>
      </c>
      <c r="H2637" s="23">
        <f t="shared" si="173"/>
        <v>650</v>
      </c>
      <c r="I2637" s="12">
        <f>ksh*Massivete/(H2637*RhoA)*DeltaT*(F2637+G2637)</f>
        <v>5.7558349087803266E-2</v>
      </c>
      <c r="J2637" s="3">
        <f>IF(E2637&lt;=500,IF(Galva=Oui,0.35,0.7),0.7)</f>
        <v>0.7</v>
      </c>
    </row>
    <row r="2638" spans="2:10" x14ac:dyDescent="0.25">
      <c r="B2638" s="3">
        <f>B2637+DeltaT</f>
        <v>13105</v>
      </c>
      <c r="C2638" s="13">
        <f t="shared" si="170"/>
        <v>218.41666666666666</v>
      </c>
      <c r="D2638" s="11">
        <f t="shared" si="171"/>
        <v>1138.7053620444203</v>
      </c>
      <c r="E2638" s="23">
        <f t="shared" si="172"/>
        <v>1137.8776397849499</v>
      </c>
      <c r="F2638" s="23">
        <f>AlphaC*(D2638-E2638)</f>
        <v>20.693056486760497</v>
      </c>
      <c r="G2638" s="13">
        <f>Phi*EpsilonF*Botzman/10^8*J2638*((D2638+273)^4-(E2638+273)^4)</f>
        <v>369.38218043009999</v>
      </c>
      <c r="H2638" s="23">
        <f t="shared" si="173"/>
        <v>650</v>
      </c>
      <c r="I2638" s="12">
        <f>ksh*Massivete/(H2638*RhoA)*DeltaT*(F2638+G2638)</f>
        <v>5.7536193175015418E-2</v>
      </c>
      <c r="J2638" s="3">
        <f>IF(E2638&lt;=500,IF(Galva=Oui,0.35,0.7),0.7)</f>
        <v>0.7</v>
      </c>
    </row>
    <row r="2639" spans="2:10" x14ac:dyDescent="0.25">
      <c r="B2639" s="3">
        <f>B2638+DeltaT</f>
        <v>13110</v>
      </c>
      <c r="C2639" s="13">
        <f t="shared" si="170"/>
        <v>218.5</v>
      </c>
      <c r="D2639" s="11">
        <f t="shared" si="171"/>
        <v>1138.7624842701432</v>
      </c>
      <c r="E2639" s="23">
        <f t="shared" si="172"/>
        <v>1137.935175978125</v>
      </c>
      <c r="F2639" s="23">
        <f>AlphaC*(D2639-E2639)</f>
        <v>20.682707300454695</v>
      </c>
      <c r="G2639" s="13">
        <f>Phi*EpsilonF*Botzman/10^8*J2639*((D2639+273)^4-(E2639+273)^4)</f>
        <v>369.24243608594145</v>
      </c>
      <c r="H2639" s="23">
        <f t="shared" si="173"/>
        <v>650</v>
      </c>
      <c r="I2639" s="12">
        <f>ksh*Massivete/(H2639*RhoA)*DeltaT*(F2639+G2639)</f>
        <v>5.7514054342436928E-2</v>
      </c>
      <c r="J2639" s="3">
        <f>IF(E2639&lt;=500,IF(Galva=Oui,0.35,0.7),0.7)</f>
        <v>0.7</v>
      </c>
    </row>
    <row r="2640" spans="2:10" x14ac:dyDescent="0.25">
      <c r="B2640" s="3">
        <f>B2639+DeltaT</f>
        <v>13115</v>
      </c>
      <c r="C2640" s="13">
        <f t="shared" si="170"/>
        <v>218.58333333333334</v>
      </c>
      <c r="D2640" s="11">
        <f t="shared" si="171"/>
        <v>1138.8195847267248</v>
      </c>
      <c r="E2640" s="23">
        <f t="shared" si="172"/>
        <v>1137.9926900324674</v>
      </c>
      <c r="F2640" s="23">
        <f>AlphaC*(D2640-E2640)</f>
        <v>20.672367356434052</v>
      </c>
      <c r="G2640" s="13">
        <f>Phi*EpsilonF*Botzman/10^8*J2640*((D2640+273)^4-(E2640+273)^4)</f>
        <v>369.10279816328915</v>
      </c>
      <c r="H2640" s="23">
        <f t="shared" si="173"/>
        <v>650</v>
      </c>
      <c r="I2640" s="12">
        <f>ksh*Massivete/(H2640*RhoA)*DeltaT*(F2640+G2640)</f>
        <v>5.7491932570296063E-2</v>
      </c>
      <c r="J2640" s="3">
        <f>IF(E2640&lt;=500,IF(Galva=Oui,0.35,0.7),0.7)</f>
        <v>0.7</v>
      </c>
    </row>
    <row r="2641" spans="2:10" x14ac:dyDescent="0.25">
      <c r="B2641" s="3">
        <f>B2640+DeltaT</f>
        <v>13120</v>
      </c>
      <c r="C2641" s="13">
        <f t="shared" si="170"/>
        <v>218.66666666666666</v>
      </c>
      <c r="D2641" s="11">
        <f t="shared" si="171"/>
        <v>1138.876663430751</v>
      </c>
      <c r="E2641" s="23">
        <f t="shared" si="172"/>
        <v>1138.0501819650376</v>
      </c>
      <c r="F2641" s="23">
        <f>AlphaC*(D2641-E2641)</f>
        <v>20.662036642835346</v>
      </c>
      <c r="G2641" s="13">
        <f>Phi*EpsilonF*Botzman/10^8*J2641*((D2641+273)^4-(E2641+273)^4)</f>
        <v>368.96326654020498</v>
      </c>
      <c r="H2641" s="23">
        <f t="shared" si="173"/>
        <v>650</v>
      </c>
      <c r="I2641" s="12">
        <f>ksh*Massivete/(H2641*RhoA)*DeltaT*(F2641+G2641)</f>
        <v>5.7469827838857075E-2</v>
      </c>
      <c r="J2641" s="3">
        <f>IF(E2641&lt;=500,IF(Galva=Oui,0.35,0.7),0.7)</f>
        <v>0.7</v>
      </c>
    </row>
    <row r="2642" spans="2:10" x14ac:dyDescent="0.25">
      <c r="B2642" s="3">
        <f>B2641+DeltaT</f>
        <v>13125</v>
      </c>
      <c r="C2642" s="13">
        <f t="shared" ref="C2642:C2705" si="174">B2642/60</f>
        <v>218.75</v>
      </c>
      <c r="D2642" s="11">
        <f t="shared" ref="D2642:D2705" si="175">20+345*LOG(8*C2642+1,10)</f>
        <v>1138.9337203987889</v>
      </c>
      <c r="E2642" s="23">
        <f t="shared" si="172"/>
        <v>1138.1076517928764</v>
      </c>
      <c r="F2642" s="23">
        <f>AlphaC*(D2642-E2642)</f>
        <v>20.651715147812411</v>
      </c>
      <c r="G2642" s="13">
        <f>Phi*EpsilonF*Botzman/10^8*J2642*((D2642+273)^4-(E2642+273)^4)</f>
        <v>368.8238410947119</v>
      </c>
      <c r="H2642" s="23">
        <f t="shared" si="173"/>
        <v>650</v>
      </c>
      <c r="I2642" s="12">
        <f>ksh*Massivete/(H2642*RhoA)*DeltaT*(F2642+G2642)</f>
        <v>5.7447740128381025E-2</v>
      </c>
      <c r="J2642" s="3">
        <f>IF(E2642&lt;=500,IF(Galva=Oui,0.35,0.7),0.7)</f>
        <v>0.7</v>
      </c>
    </row>
    <row r="2643" spans="2:10" x14ac:dyDescent="0.25">
      <c r="B2643" s="3">
        <f>B2642+DeltaT</f>
        <v>13130</v>
      </c>
      <c r="C2643" s="13">
        <f t="shared" si="174"/>
        <v>218.83333333333334</v>
      </c>
      <c r="D2643" s="11">
        <f t="shared" si="175"/>
        <v>1138.9907556473863</v>
      </c>
      <c r="E2643" s="23">
        <f t="shared" si="172"/>
        <v>1138.1650995330046</v>
      </c>
      <c r="F2643" s="23">
        <f>AlphaC*(D2643-E2643)</f>
        <v>20.641402859541813</v>
      </c>
      <c r="G2643" s="13">
        <f>Phi*EpsilonF*Botzman/10^8*J2643*((D2643+273)^4-(E2643+273)^4)</f>
        <v>368.68452170525927</v>
      </c>
      <c r="H2643" s="23">
        <f t="shared" si="173"/>
        <v>650</v>
      </c>
      <c r="I2643" s="12">
        <f>ksh*Massivete/(H2643*RhoA)*DeltaT*(F2643+G2643)</f>
        <v>5.7425669419195198E-2</v>
      </c>
      <c r="J2643" s="3">
        <f>IF(E2643&lt;=500,IF(Galva=Oui,0.35,0.7),0.7)</f>
        <v>0.7</v>
      </c>
    </row>
    <row r="2644" spans="2:10" x14ac:dyDescent="0.25">
      <c r="B2644" s="3">
        <f>B2643+DeltaT</f>
        <v>13135</v>
      </c>
      <c r="C2644" s="13">
        <f t="shared" si="174"/>
        <v>218.91666666666666</v>
      </c>
      <c r="D2644" s="11">
        <f t="shared" si="175"/>
        <v>1139.047769193073</v>
      </c>
      <c r="E2644" s="23">
        <f t="shared" si="172"/>
        <v>1138.2225252024239</v>
      </c>
      <c r="F2644" s="23">
        <f>AlphaC*(D2644-E2644)</f>
        <v>20.631099766228544</v>
      </c>
      <c r="G2644" s="13">
        <f>Phi*EpsilonF*Botzman/10^8*J2644*((D2644+273)^4-(E2644+273)^4)</f>
        <v>368.54530825045157</v>
      </c>
      <c r="H2644" s="23">
        <f t="shared" si="173"/>
        <v>650</v>
      </c>
      <c r="I2644" s="12">
        <f>ksh*Massivete/(H2644*RhoA)*DeltaT*(F2644+G2644)</f>
        <v>5.7403615691653954E-2</v>
      </c>
      <c r="J2644" s="3">
        <f>IF(E2644&lt;=500,IF(Galva=Oui,0.35,0.7),0.7)</f>
        <v>0.7</v>
      </c>
    </row>
    <row r="2645" spans="2:10" x14ac:dyDescent="0.25">
      <c r="B2645" s="3">
        <f>B2644+DeltaT</f>
        <v>13140</v>
      </c>
      <c r="C2645" s="13">
        <f t="shared" si="174"/>
        <v>219</v>
      </c>
      <c r="D2645" s="11">
        <f t="shared" si="175"/>
        <v>1139.104761052359</v>
      </c>
      <c r="E2645" s="23">
        <f t="shared" si="172"/>
        <v>1138.2799288181154</v>
      </c>
      <c r="F2645" s="23">
        <f>AlphaC*(D2645-E2645)</f>
        <v>20.620805856088964</v>
      </c>
      <c r="G2645" s="13">
        <f>Phi*EpsilonF*Botzman/10^8*J2645*((D2645+273)^4-(E2645+273)^4)</f>
        <v>368.40620060900943</v>
      </c>
      <c r="H2645" s="23">
        <f t="shared" si="173"/>
        <v>650</v>
      </c>
      <c r="I2645" s="12">
        <f>ksh*Massivete/(H2645*RhoA)*DeltaT*(F2645+G2645)</f>
        <v>5.7381578926130473E-2</v>
      </c>
      <c r="J2645" s="3">
        <f>IF(E2645&lt;=500,IF(Galva=Oui,0.35,0.7),0.7)</f>
        <v>0.7</v>
      </c>
    </row>
    <row r="2646" spans="2:10" x14ac:dyDescent="0.25">
      <c r="B2646" s="3">
        <f>B2645+DeltaT</f>
        <v>13145</v>
      </c>
      <c r="C2646" s="13">
        <f t="shared" si="174"/>
        <v>219.08333333333334</v>
      </c>
      <c r="D2646" s="11">
        <f t="shared" si="175"/>
        <v>1139.1617312417361</v>
      </c>
      <c r="E2646" s="23">
        <f t="shared" si="172"/>
        <v>1138.3373103970416</v>
      </c>
      <c r="F2646" s="23">
        <f>AlphaC*(D2646-E2646)</f>
        <v>20.610521117362168</v>
      </c>
      <c r="G2646" s="13">
        <f>Phi*EpsilonF*Botzman/10^8*J2646*((D2646+273)^4-(E2646+273)^4)</f>
        <v>368.26719865992487</v>
      </c>
      <c r="H2646" s="23">
        <f t="shared" si="173"/>
        <v>650</v>
      </c>
      <c r="I2646" s="12">
        <f>ksh*Massivete/(H2646*RhoA)*DeltaT*(F2646+G2646)</f>
        <v>5.7359559103041309E-2</v>
      </c>
      <c r="J2646" s="3">
        <f>IF(E2646&lt;=500,IF(Galva=Oui,0.35,0.7),0.7)</f>
        <v>0.7</v>
      </c>
    </row>
    <row r="2647" spans="2:10" x14ac:dyDescent="0.25">
      <c r="B2647" s="3">
        <f>B2646+DeltaT</f>
        <v>13150</v>
      </c>
      <c r="C2647" s="13">
        <f t="shared" si="174"/>
        <v>219.16666666666666</v>
      </c>
      <c r="D2647" s="11">
        <f t="shared" si="175"/>
        <v>1139.2186797776769</v>
      </c>
      <c r="E2647" s="23">
        <f t="shared" si="172"/>
        <v>1138.3946699561448</v>
      </c>
      <c r="F2647" s="23">
        <f>AlphaC*(D2647-E2647)</f>
        <v>20.600245538304307</v>
      </c>
      <c r="G2647" s="13">
        <f>Phi*EpsilonF*Botzman/10^8*J2647*((D2647+273)^4-(E2647+273)^4)</f>
        <v>368.12830228226744</v>
      </c>
      <c r="H2647" s="23">
        <f t="shared" si="173"/>
        <v>650</v>
      </c>
      <c r="I2647" s="12">
        <f>ksh*Massivete/(H2647*RhoA)*DeltaT*(F2647+G2647)</f>
        <v>5.7337556202816976E-2</v>
      </c>
      <c r="J2647" s="3">
        <f>IF(E2647&lt;=500,IF(Galva=Oui,0.35,0.7),0.7)</f>
        <v>0.7</v>
      </c>
    </row>
    <row r="2648" spans="2:10" x14ac:dyDescent="0.25">
      <c r="B2648" s="3">
        <f>B2647+DeltaT</f>
        <v>13155</v>
      </c>
      <c r="C2648" s="13">
        <f t="shared" si="174"/>
        <v>219.25</v>
      </c>
      <c r="D2648" s="11">
        <f t="shared" si="175"/>
        <v>1139.2756066766358</v>
      </c>
      <c r="E2648" s="23">
        <f t="shared" si="172"/>
        <v>1138.4520075123476</v>
      </c>
      <c r="F2648" s="23">
        <f>AlphaC*(D2648-E2648)</f>
        <v>20.589979107205636</v>
      </c>
      <c r="G2648" s="13">
        <f>Phi*EpsilonF*Botzman/10^8*J2648*((D2648+273)^4-(E2648+273)^4)</f>
        <v>367.98951135562993</v>
      </c>
      <c r="H2648" s="23">
        <f t="shared" si="173"/>
        <v>650</v>
      </c>
      <c r="I2648" s="12">
        <f>ksh*Massivete/(H2648*RhoA)*DeltaT*(F2648+G2648)</f>
        <v>5.7315570205970182E-2</v>
      </c>
      <c r="J2648" s="3">
        <f>IF(E2648&lt;=500,IF(Galva=Oui,0.35,0.7),0.7)</f>
        <v>0.7</v>
      </c>
    </row>
    <row r="2649" spans="2:10" x14ac:dyDescent="0.25">
      <c r="B2649" s="3">
        <f>B2648+DeltaT</f>
        <v>13160</v>
      </c>
      <c r="C2649" s="13">
        <f t="shared" si="174"/>
        <v>219.33333333333334</v>
      </c>
      <c r="D2649" s="11">
        <f t="shared" si="175"/>
        <v>1139.3325119550473</v>
      </c>
      <c r="E2649" s="23">
        <f t="shared" si="172"/>
        <v>1138.5093230825535</v>
      </c>
      <c r="F2649" s="23">
        <f>AlphaC*(D2649-E2649)</f>
        <v>20.579721812345042</v>
      </c>
      <c r="G2649" s="13">
        <f>Phi*EpsilonF*Botzman/10^8*J2649*((D2649+273)^4-(E2649+273)^4)</f>
        <v>367.85082575921751</v>
      </c>
      <c r="H2649" s="23">
        <f t="shared" si="173"/>
        <v>650</v>
      </c>
      <c r="I2649" s="12">
        <f>ksh*Massivete/(H2649*RhoA)*DeltaT*(F2649+G2649)</f>
        <v>5.7293601092954796E-2</v>
      </c>
      <c r="J2649" s="3">
        <f>IF(E2649&lt;=500,IF(Galva=Oui,0.35,0.7),0.7)</f>
        <v>0.7</v>
      </c>
    </row>
    <row r="2650" spans="2:10" x14ac:dyDescent="0.25">
      <c r="B2650" s="3">
        <f>B2649+DeltaT</f>
        <v>13165</v>
      </c>
      <c r="C2650" s="13">
        <f t="shared" si="174"/>
        <v>219.41666666666666</v>
      </c>
      <c r="D2650" s="11">
        <f t="shared" si="175"/>
        <v>1139.3893956293284</v>
      </c>
      <c r="E2650" s="23">
        <f t="shared" si="172"/>
        <v>1138.5666166836463</v>
      </c>
      <c r="F2650" s="23">
        <f>AlphaC*(D2650-E2650)</f>
        <v>20.569473642052571</v>
      </c>
      <c r="G2650" s="13">
        <f>Phi*EpsilonF*Botzman/10^8*J2650*((D2650+273)^4-(E2650+273)^4)</f>
        <v>367.71224537283615</v>
      </c>
      <c r="H2650" s="23">
        <f t="shared" si="173"/>
        <v>650</v>
      </c>
      <c r="I2650" s="12">
        <f>ksh*Massivete/(H2650*RhoA)*DeltaT*(F2650+G2650)</f>
        <v>5.7271648844320851E-2</v>
      </c>
      <c r="J2650" s="3">
        <f>IF(E2650&lt;=500,IF(Galva=Oui,0.35,0.7),0.7)</f>
        <v>0.7</v>
      </c>
    </row>
    <row r="2651" spans="2:10" x14ac:dyDescent="0.25">
      <c r="B2651" s="3">
        <f>B2650+DeltaT</f>
        <v>13170</v>
      </c>
      <c r="C2651" s="13">
        <f t="shared" si="174"/>
        <v>219.5</v>
      </c>
      <c r="D2651" s="11">
        <f t="shared" si="175"/>
        <v>1139.4462577158765</v>
      </c>
      <c r="E2651" s="23">
        <f t="shared" si="172"/>
        <v>1138.6238883324907</v>
      </c>
      <c r="F2651" s="23">
        <f>AlphaC*(D2651-E2651)</f>
        <v>20.559234584646902</v>
      </c>
      <c r="G2651" s="13">
        <f>Phi*EpsilonF*Botzman/10^8*J2651*((D2651+273)^4-(E2651+273)^4)</f>
        <v>367.57377007611746</v>
      </c>
      <c r="H2651" s="23">
        <f t="shared" si="173"/>
        <v>650</v>
      </c>
      <c r="I2651" s="12">
        <f>ksh*Massivete/(H2651*RhoA)*DeltaT*(F2651+G2651)</f>
        <v>5.7249713440590981E-2</v>
      </c>
      <c r="J2651" s="3">
        <f>IF(E2651&lt;=500,IF(Galva=Oui,0.35,0.7),0.7)</f>
        <v>0.7</v>
      </c>
    </row>
    <row r="2652" spans="2:10" x14ac:dyDescent="0.25">
      <c r="B2652" s="3">
        <f>B2651+DeltaT</f>
        <v>13175</v>
      </c>
      <c r="C2652" s="13">
        <f t="shared" si="174"/>
        <v>219.58333333333334</v>
      </c>
      <c r="D2652" s="11">
        <f t="shared" si="175"/>
        <v>1139.5030982310714</v>
      </c>
      <c r="E2652" s="23">
        <f t="shared" si="172"/>
        <v>1138.6811380459312</v>
      </c>
      <c r="F2652" s="23">
        <f>AlphaC*(D2652-E2652)</f>
        <v>20.549004628503553</v>
      </c>
      <c r="G2652" s="13">
        <f>Phi*EpsilonF*Botzman/10^8*J2652*((D2652+273)^4-(E2652+273)^4)</f>
        <v>367.43539974944872</v>
      </c>
      <c r="H2652" s="23">
        <f t="shared" si="173"/>
        <v>650</v>
      </c>
      <c r="I2652" s="12">
        <f>ksh*Massivete/(H2652*RhoA)*DeltaT*(F2652+G2652)</f>
        <v>5.7227794862407665E-2</v>
      </c>
      <c r="J2652" s="3">
        <f>IF(E2652&lt;=500,IF(Galva=Oui,0.35,0.7),0.7)</f>
        <v>0.7</v>
      </c>
    </row>
    <row r="2653" spans="2:10" x14ac:dyDescent="0.25">
      <c r="B2653" s="3">
        <f>B2652+DeltaT</f>
        <v>13180</v>
      </c>
      <c r="C2653" s="13">
        <f t="shared" si="174"/>
        <v>219.66666666666666</v>
      </c>
      <c r="D2653" s="11">
        <f t="shared" si="175"/>
        <v>1139.5599171912734</v>
      </c>
      <c r="E2653" s="23">
        <f t="shared" si="172"/>
        <v>1138.7383658407937</v>
      </c>
      <c r="F2653" s="23">
        <f>AlphaC*(D2653-E2653)</f>
        <v>20.538783761992363</v>
      </c>
      <c r="G2653" s="13">
        <f>Phi*EpsilonF*Botzman/10^8*J2653*((D2653+273)^4-(E2653+273)^4)</f>
        <v>367.29713427308161</v>
      </c>
      <c r="H2653" s="23">
        <f t="shared" si="173"/>
        <v>650</v>
      </c>
      <c r="I2653" s="12">
        <f>ksh*Massivete/(H2653*RhoA)*DeltaT*(F2653+G2653)</f>
        <v>5.7205893090392541E-2</v>
      </c>
      <c r="J2653" s="3">
        <f>IF(E2653&lt;=500,IF(Galva=Oui,0.35,0.7),0.7)</f>
        <v>0.7</v>
      </c>
    </row>
    <row r="2654" spans="2:10" x14ac:dyDescent="0.25">
      <c r="B2654" s="3">
        <f>B2653+DeltaT</f>
        <v>13185</v>
      </c>
      <c r="C2654" s="13">
        <f t="shared" si="174"/>
        <v>219.75</v>
      </c>
      <c r="D2654" s="11">
        <f t="shared" si="175"/>
        <v>1139.6167146128239</v>
      </c>
      <c r="E2654" s="23">
        <f t="shared" si="172"/>
        <v>1138.7955717338841</v>
      </c>
      <c r="F2654" s="23">
        <f>AlphaC*(D2654-E2654)</f>
        <v>20.528571973494536</v>
      </c>
      <c r="G2654" s="13">
        <f>Phi*EpsilonF*Botzman/10^8*J2654*((D2654+273)^4-(E2654+273)^4)</f>
        <v>367.15897352703541</v>
      </c>
      <c r="H2654" s="23">
        <f t="shared" si="173"/>
        <v>650</v>
      </c>
      <c r="I2654" s="12">
        <f>ksh*Massivete/(H2654*RhoA)*DeltaT*(F2654+G2654)</f>
        <v>5.7184008105134652E-2</v>
      </c>
      <c r="J2654" s="3">
        <f>IF(E2654&lt;=500,IF(Galva=Oui,0.35,0.7),0.7)</f>
        <v>0.7</v>
      </c>
    </row>
    <row r="2655" spans="2:10" x14ac:dyDescent="0.25">
      <c r="B2655" s="3">
        <f>B2654+DeltaT</f>
        <v>13190</v>
      </c>
      <c r="C2655" s="13">
        <f t="shared" si="174"/>
        <v>219.83333333333334</v>
      </c>
      <c r="D2655" s="11">
        <f t="shared" si="175"/>
        <v>1139.673490512047</v>
      </c>
      <c r="E2655" s="23">
        <f t="shared" si="172"/>
        <v>1138.8527557419893</v>
      </c>
      <c r="F2655" s="23">
        <f>AlphaC*(D2655-E2655)</f>
        <v>20.518369251442437</v>
      </c>
      <c r="G2655" s="13">
        <f>Phi*EpsilonF*Botzman/10^8*J2655*((D2655+273)^4-(E2655+273)^4)</f>
        <v>367.02091739227876</v>
      </c>
      <c r="H2655" s="23">
        <f t="shared" si="173"/>
        <v>650</v>
      </c>
      <c r="I2655" s="12">
        <f>ksh*Massivete/(H2655*RhoA)*DeltaT*(F2655+G2655)</f>
        <v>5.7162139887370622E-2</v>
      </c>
      <c r="J2655" s="3">
        <f>IF(E2655&lt;=500,IF(Galva=Oui,0.35,0.7),0.7)</f>
        <v>0.7</v>
      </c>
    </row>
    <row r="2656" spans="2:10" x14ac:dyDescent="0.25">
      <c r="B2656" s="3">
        <f>B2655+DeltaT</f>
        <v>13195</v>
      </c>
      <c r="C2656" s="13">
        <f t="shared" si="174"/>
        <v>219.91666666666666</v>
      </c>
      <c r="D2656" s="11">
        <f t="shared" si="175"/>
        <v>1139.730244905247</v>
      </c>
      <c r="E2656" s="23">
        <f t="shared" si="172"/>
        <v>1138.9099178818767</v>
      </c>
      <c r="F2656" s="23">
        <f>AlphaC*(D2656-E2656)</f>
        <v>20.50817558425706</v>
      </c>
      <c r="G2656" s="13">
        <f>Phi*EpsilonF*Botzman/10^8*J2656*((D2656+273)^4-(E2656+273)^4)</f>
        <v>366.88296574950914</v>
      </c>
      <c r="H2656" s="23">
        <f t="shared" si="173"/>
        <v>650</v>
      </c>
      <c r="I2656" s="12">
        <f>ksh*Massivete/(H2656*RhoA)*DeltaT*(F2656+G2656)</f>
        <v>5.7140288417795379E-2</v>
      </c>
      <c r="J2656" s="3">
        <f>IF(E2656&lt;=500,IF(Galva=Oui,0.35,0.7),0.7)</f>
        <v>0.7</v>
      </c>
    </row>
    <row r="2657" spans="2:10" x14ac:dyDescent="0.25">
      <c r="B2657" s="3">
        <f>B2656+DeltaT</f>
        <v>13200</v>
      </c>
      <c r="C2657" s="13">
        <f t="shared" si="174"/>
        <v>220</v>
      </c>
      <c r="D2657" s="11">
        <f t="shared" si="175"/>
        <v>1139.7869778087104</v>
      </c>
      <c r="E2657" s="23">
        <f t="shared" si="172"/>
        <v>1138.9670581702944</v>
      </c>
      <c r="F2657" s="23">
        <f>AlphaC*(D2657-E2657)</f>
        <v>20.497990960399193</v>
      </c>
      <c r="G2657" s="13">
        <f>Phi*EpsilonF*Botzman/10^8*J2657*((D2657+273)^4-(E2657+273)^4)</f>
        <v>366.7451184797535</v>
      </c>
      <c r="H2657" s="23">
        <f t="shared" si="173"/>
        <v>650</v>
      </c>
      <c r="I2657" s="12">
        <f>ksh*Massivete/(H2657*RhoA)*DeltaT*(F2657+G2657)</f>
        <v>5.7118453677158343E-2</v>
      </c>
      <c r="J2657" s="3">
        <f>IF(E2657&lt;=500,IF(Galva=Oui,0.35,0.7),0.7)</f>
        <v>0.7</v>
      </c>
    </row>
    <row r="2658" spans="2:10" x14ac:dyDescent="0.25">
      <c r="B2658" s="3">
        <f>B2657+DeltaT</f>
        <v>13205</v>
      </c>
      <c r="C2658" s="13">
        <f t="shared" si="174"/>
        <v>220.08333333333334</v>
      </c>
      <c r="D2658" s="11">
        <f t="shared" si="175"/>
        <v>1139.8436892387049</v>
      </c>
      <c r="E2658" s="23">
        <f t="shared" si="172"/>
        <v>1139.0241766239715</v>
      </c>
      <c r="F2658" s="23">
        <f>AlphaC*(D2658-E2658)</f>
        <v>20.487815368335305</v>
      </c>
      <c r="G2658" s="13">
        <f>Phi*EpsilonF*Botzman/10^8*J2658*((D2658+273)^4-(E2658+273)^4)</f>
        <v>366.60737546403863</v>
      </c>
      <c r="H2658" s="23">
        <f t="shared" si="173"/>
        <v>650</v>
      </c>
      <c r="I2658" s="12">
        <f>ksh*Massivete/(H2658*RhoA)*DeltaT*(F2658+G2658)</f>
        <v>5.7096635646209738E-2</v>
      </c>
      <c r="J2658" s="3">
        <f>IF(E2658&lt;=500,IF(Galva=Oui,0.35,0.7),0.7)</f>
        <v>0.7</v>
      </c>
    </row>
    <row r="2659" spans="2:10" x14ac:dyDescent="0.25">
      <c r="B2659" s="3">
        <f>B2658+DeltaT</f>
        <v>13210</v>
      </c>
      <c r="C2659" s="13">
        <f t="shared" si="174"/>
        <v>220.16666666666666</v>
      </c>
      <c r="D2659" s="11">
        <f t="shared" si="175"/>
        <v>1139.9003792114797</v>
      </c>
      <c r="E2659" s="23">
        <f t="shared" si="172"/>
        <v>1139.0812732596178</v>
      </c>
      <c r="F2659" s="23">
        <f>AlphaC*(D2659-E2659)</f>
        <v>20.47764879654892</v>
      </c>
      <c r="G2659" s="13">
        <f>Phi*EpsilonF*Botzman/10^8*J2659*((D2659+273)^4-(E2659+273)^4)</f>
        <v>366.46973658364345</v>
      </c>
      <c r="H2659" s="23">
        <f t="shared" si="173"/>
        <v>650</v>
      </c>
      <c r="I2659" s="12">
        <f>ksh*Massivete/(H2659*RhoA)*DeltaT*(F2659+G2659)</f>
        <v>5.707483430573948E-2</v>
      </c>
      <c r="J2659" s="3">
        <f>IF(E2659&lt;=500,IF(Galva=Oui,0.35,0.7),0.7)</f>
        <v>0.7</v>
      </c>
    </row>
    <row r="2660" spans="2:10" x14ac:dyDescent="0.25">
      <c r="B2660" s="3">
        <f>B2659+DeltaT</f>
        <v>13215</v>
      </c>
      <c r="C2660" s="13">
        <f t="shared" si="174"/>
        <v>220.25</v>
      </c>
      <c r="D2660" s="11">
        <f t="shared" si="175"/>
        <v>1139.957047743266</v>
      </c>
      <c r="E2660" s="23">
        <f t="shared" si="172"/>
        <v>1139.1383480939235</v>
      </c>
      <c r="F2660" s="23">
        <f>AlphaC*(D2660-E2660)</f>
        <v>20.467491233563351</v>
      </c>
      <c r="G2660" s="13">
        <f>Phi*EpsilonF*Botzman/10^8*J2660*((D2660+273)^4-(E2660+273)^4)</f>
        <v>366.33220172029252</v>
      </c>
      <c r="H2660" s="23">
        <f t="shared" si="173"/>
        <v>650</v>
      </c>
      <c r="I2660" s="12">
        <f>ksh*Massivete/(H2660*RhoA)*DeltaT*(F2660+G2660)</f>
        <v>5.7053049636609114E-2</v>
      </c>
      <c r="J2660" s="3">
        <f>IF(E2660&lt;=500,IF(Galva=Oui,0.35,0.7),0.7)</f>
        <v>0.7</v>
      </c>
    </row>
    <row r="2661" spans="2:10" x14ac:dyDescent="0.25">
      <c r="B2661" s="3">
        <f>B2660+DeltaT</f>
        <v>13220</v>
      </c>
      <c r="C2661" s="13">
        <f t="shared" si="174"/>
        <v>220.33333333333334</v>
      </c>
      <c r="D2661" s="11">
        <f t="shared" si="175"/>
        <v>1140.0136948502759</v>
      </c>
      <c r="E2661" s="23">
        <f t="shared" si="172"/>
        <v>1139.19540114356</v>
      </c>
      <c r="F2661" s="23">
        <f>AlphaC*(D2661-E2661)</f>
        <v>20.457342667896228</v>
      </c>
      <c r="G2661" s="13">
        <f>Phi*EpsilonF*Botzman/10^8*J2661*((D2661+273)^4-(E2661+273)^4)</f>
        <v>366.19477075545848</v>
      </c>
      <c r="H2661" s="23">
        <f t="shared" si="173"/>
        <v>650</v>
      </c>
      <c r="I2661" s="12">
        <f>ksh*Massivete/(H2661*RhoA)*DeltaT*(F2661+G2661)</f>
        <v>5.7031281619642167E-2</v>
      </c>
      <c r="J2661" s="3">
        <f>IF(E2661&lt;=500,IF(Galva=Oui,0.35,0.7),0.7)</f>
        <v>0.7</v>
      </c>
    </row>
    <row r="2662" spans="2:10" x14ac:dyDescent="0.25">
      <c r="B2662" s="3">
        <f>B2661+DeltaT</f>
        <v>13225</v>
      </c>
      <c r="C2662" s="13">
        <f t="shared" si="174"/>
        <v>220.41666666666666</v>
      </c>
      <c r="D2662" s="11">
        <f t="shared" si="175"/>
        <v>1140.0703205487039</v>
      </c>
      <c r="E2662" s="23">
        <f t="shared" si="172"/>
        <v>1139.2524324251797</v>
      </c>
      <c r="F2662" s="23">
        <f>AlphaC*(D2662-E2662)</f>
        <v>20.44720308810497</v>
      </c>
      <c r="G2662" s="13">
        <f>Phi*EpsilonF*Botzman/10^8*J2662*((D2662+273)^4-(E2662+273)^4)</f>
        <v>366.05744357117595</v>
      </c>
      <c r="H2662" s="23">
        <f t="shared" si="173"/>
        <v>650</v>
      </c>
      <c r="I2662" s="12">
        <f>ksh*Massivete/(H2662*RhoA)*DeltaT*(F2662+G2662)</f>
        <v>5.7009530235750928E-2</v>
      </c>
      <c r="J2662" s="3">
        <f>IF(E2662&lt;=500,IF(Galva=Oui,0.35,0.7),0.7)</f>
        <v>0.7</v>
      </c>
    </row>
    <row r="2663" spans="2:10" x14ac:dyDescent="0.25">
      <c r="B2663" s="3">
        <f>B2662+DeltaT</f>
        <v>13230</v>
      </c>
      <c r="C2663" s="13">
        <f t="shared" si="174"/>
        <v>220.5</v>
      </c>
      <c r="D2663" s="11">
        <f t="shared" si="175"/>
        <v>1140.1269248547251</v>
      </c>
      <c r="E2663" s="23">
        <f t="shared" si="172"/>
        <v>1139.3094419554154</v>
      </c>
      <c r="F2663" s="23">
        <f>AlphaC*(D2663-E2663)</f>
        <v>20.437072482741314</v>
      </c>
      <c r="G2663" s="13">
        <f>Phi*EpsilonF*Botzman/10^8*J2663*((D2663+273)^4-(E2663+273)^4)</f>
        <v>365.92022004928577</v>
      </c>
      <c r="H2663" s="23">
        <f t="shared" si="173"/>
        <v>650</v>
      </c>
      <c r="I2663" s="12">
        <f>ksh*Massivete/(H2663*RhoA)*DeltaT*(F2663+G2663)</f>
        <v>5.6987795465818281E-2</v>
      </c>
      <c r="J2663" s="3">
        <f>IF(E2663&lt;=500,IF(Galva=Oui,0.35,0.7),0.7)</f>
        <v>0.7</v>
      </c>
    </row>
    <row r="2664" spans="2:10" x14ac:dyDescent="0.25">
      <c r="B2664" s="3">
        <f>B2663+DeltaT</f>
        <v>13235</v>
      </c>
      <c r="C2664" s="13">
        <f t="shared" si="174"/>
        <v>220.58333333333334</v>
      </c>
      <c r="D2664" s="11">
        <f t="shared" si="175"/>
        <v>1140.1835077844976</v>
      </c>
      <c r="E2664" s="23">
        <f t="shared" si="172"/>
        <v>1139.3664297508813</v>
      </c>
      <c r="F2664" s="23">
        <f>AlphaC*(D2664-E2664)</f>
        <v>20.426950840408153</v>
      </c>
      <c r="G2664" s="13">
        <f>Phi*EpsilonF*Botzman/10^8*J2664*((D2664+273)^4-(E2664+273)^4)</f>
        <v>365.78310007221029</v>
      </c>
      <c r="H2664" s="23">
        <f t="shared" si="173"/>
        <v>650</v>
      </c>
      <c r="I2664" s="12">
        <f>ksh*Massivete/(H2664*RhoA)*DeltaT*(F2664+G2664)</f>
        <v>5.6966077290820406E-2</v>
      </c>
      <c r="J2664" s="3">
        <f>IF(E2664&lt;=500,IF(Galva=Oui,0.35,0.7),0.7)</f>
        <v>0.7</v>
      </c>
    </row>
    <row r="2665" spans="2:10" x14ac:dyDescent="0.25">
      <c r="B2665" s="3">
        <f>B2664+DeltaT</f>
        <v>13240</v>
      </c>
      <c r="C2665" s="13">
        <f t="shared" si="174"/>
        <v>220.66666666666666</v>
      </c>
      <c r="D2665" s="11">
        <f t="shared" si="175"/>
        <v>1140.2400693541599</v>
      </c>
      <c r="E2665" s="23">
        <f t="shared" si="172"/>
        <v>1139.423395828172</v>
      </c>
      <c r="F2665" s="23">
        <f>AlphaC*(D2665-E2665)</f>
        <v>20.416838149697014</v>
      </c>
      <c r="G2665" s="13">
        <f>Phi*EpsilonF*Botzman/10^8*J2665*((D2665+273)^4-(E2665+273)^4)</f>
        <v>365.64608352227481</v>
      </c>
      <c r="H2665" s="23">
        <f t="shared" si="173"/>
        <v>650</v>
      </c>
      <c r="I2665" s="12">
        <f>ksh*Massivete/(H2665*RhoA)*DeltaT*(F2665+G2665)</f>
        <v>5.6944375691717508E-2</v>
      </c>
      <c r="J2665" s="3">
        <f>IF(E2665&lt;=500,IF(Galva=Oui,0.35,0.7),0.7)</f>
        <v>0.7</v>
      </c>
    </row>
    <row r="2666" spans="2:10" x14ac:dyDescent="0.25">
      <c r="B2666" s="3">
        <f>B2665+DeltaT</f>
        <v>13245</v>
      </c>
      <c r="C2666" s="13">
        <f t="shared" si="174"/>
        <v>220.75</v>
      </c>
      <c r="D2666" s="11">
        <f t="shared" si="175"/>
        <v>1140.2966095798336</v>
      </c>
      <c r="E2666" s="23">
        <f t="shared" si="172"/>
        <v>1139.4803402038638</v>
      </c>
      <c r="F2666" s="23">
        <f>AlphaC*(D2666-E2666)</f>
        <v>20.406734399244897</v>
      </c>
      <c r="G2666" s="13">
        <f>Phi*EpsilonF*Botzman/10^8*J2666*((D2666+273)^4-(E2666+273)^4)</f>
        <v>365.50917028221158</v>
      </c>
      <c r="H2666" s="23">
        <f t="shared" si="173"/>
        <v>650</v>
      </c>
      <c r="I2666" s="12">
        <f>ksh*Massivete/(H2666*RhoA)*DeltaT*(F2666+G2666)</f>
        <v>5.692269064953652E-2</v>
      </c>
      <c r="J2666" s="3">
        <f>IF(E2666&lt;=500,IF(Galva=Oui,0.35,0.7),0.7)</f>
        <v>0.7</v>
      </c>
    </row>
    <row r="2667" spans="2:10" x14ac:dyDescent="0.25">
      <c r="B2667" s="3">
        <f>B2666+DeltaT</f>
        <v>13250</v>
      </c>
      <c r="C2667" s="13">
        <f t="shared" si="174"/>
        <v>220.83333333333334</v>
      </c>
      <c r="D2667" s="11">
        <f t="shared" si="175"/>
        <v>1140.3531284776204</v>
      </c>
      <c r="E2667" s="23">
        <f t="shared" si="172"/>
        <v>1139.5372628945133</v>
      </c>
      <c r="F2667" s="23">
        <f>AlphaC*(D2667-E2667)</f>
        <v>20.396639577677433</v>
      </c>
      <c r="G2667" s="13">
        <f>Phi*EpsilonF*Botzman/10^8*J2667*((D2667+273)^4-(E2667+273)^4)</f>
        <v>365.37236023444297</v>
      </c>
      <c r="H2667" s="23">
        <f t="shared" si="173"/>
        <v>650</v>
      </c>
      <c r="I2667" s="12">
        <f>ksh*Massivete/(H2667*RhoA)*DeltaT*(F2667+G2667)</f>
        <v>5.6901022145256989E-2</v>
      </c>
      <c r="J2667" s="3">
        <f>IF(E2667&lt;=500,IF(Galva=Oui,0.35,0.7),0.7)</f>
        <v>0.7</v>
      </c>
    </row>
    <row r="2668" spans="2:10" x14ac:dyDescent="0.25">
      <c r="B2668" s="3">
        <f>B2667+DeltaT</f>
        <v>13255</v>
      </c>
      <c r="C2668" s="13">
        <f t="shared" si="174"/>
        <v>220.91666666666666</v>
      </c>
      <c r="D2668" s="11">
        <f t="shared" si="175"/>
        <v>1140.4096260636054</v>
      </c>
      <c r="E2668" s="23">
        <f t="shared" si="172"/>
        <v>1139.5941639166585</v>
      </c>
      <c r="F2668" s="23">
        <f>AlphaC*(D2668-E2668)</f>
        <v>20.386553673671415</v>
      </c>
      <c r="G2668" s="13">
        <f>Phi*EpsilonF*Botzman/10^8*J2668*((D2668+273)^4-(E2668+273)^4)</f>
        <v>365.23565326228265</v>
      </c>
      <c r="H2668" s="23">
        <f t="shared" si="173"/>
        <v>650</v>
      </c>
      <c r="I2668" s="12">
        <f>ksh*Massivete/(H2668*RhoA)*DeltaT*(F2668+G2668)</f>
        <v>5.6879370159997486E-2</v>
      </c>
      <c r="J2668" s="3">
        <f>IF(E2668&lt;=500,IF(Galva=Oui,0.35,0.7),0.7)</f>
        <v>0.7</v>
      </c>
    </row>
    <row r="2669" spans="2:10" x14ac:dyDescent="0.25">
      <c r="B2669" s="3">
        <f>B2668+DeltaT</f>
        <v>13260</v>
      </c>
      <c r="C2669" s="13">
        <f t="shared" si="174"/>
        <v>221</v>
      </c>
      <c r="D2669" s="11">
        <f t="shared" si="175"/>
        <v>1140.4661023538545</v>
      </c>
      <c r="E2669" s="23">
        <f t="shared" si="172"/>
        <v>1139.6510432868185</v>
      </c>
      <c r="F2669" s="23">
        <f>AlphaC*(D2669-E2669)</f>
        <v>20.376476675897948</v>
      </c>
      <c r="G2669" s="13">
        <f>Phi*EpsilonF*Botzman/10^8*J2669*((D2669+273)^4-(E2669+273)^4)</f>
        <v>365.09904924863736</v>
      </c>
      <c r="H2669" s="23">
        <f t="shared" si="173"/>
        <v>650</v>
      </c>
      <c r="I2669" s="12">
        <f>ksh*Massivete/(H2669*RhoA)*DeltaT*(F2669+G2669)</f>
        <v>5.6857734674815696E-2</v>
      </c>
      <c r="J2669" s="3">
        <f>IF(E2669&lt;=500,IF(Galva=Oui,0.35,0.7),0.7)</f>
        <v>0.7</v>
      </c>
    </row>
    <row r="2670" spans="2:10" x14ac:dyDescent="0.25">
      <c r="B2670" s="3">
        <f>B2669+DeltaT</f>
        <v>13265</v>
      </c>
      <c r="C2670" s="13">
        <f t="shared" si="174"/>
        <v>221.08333333333334</v>
      </c>
      <c r="D2670" s="11">
        <f t="shared" si="175"/>
        <v>1140.5225573644154</v>
      </c>
      <c r="E2670" s="23">
        <f t="shared" si="172"/>
        <v>1139.7079010214934</v>
      </c>
      <c r="F2670" s="23">
        <f>AlphaC*(D2670-E2670)</f>
        <v>20.366408573050876</v>
      </c>
      <c r="G2670" s="13">
        <f>Phi*EpsilonF*Botzman/10^8*J2670*((D2670+273)^4-(E2670+273)^4)</f>
        <v>364.96254807674336</v>
      </c>
      <c r="H2670" s="23">
        <f t="shared" si="173"/>
        <v>650</v>
      </c>
      <c r="I2670" s="12">
        <f>ksh*Massivete/(H2670*RhoA)*DeltaT*(F2670+G2670)</f>
        <v>5.6836115670821294E-2</v>
      </c>
      <c r="J2670" s="3">
        <f>IF(E2670&lt;=500,IF(Galva=Oui,0.35,0.7),0.7)</f>
        <v>0.7</v>
      </c>
    </row>
    <row r="2671" spans="2:10" x14ac:dyDescent="0.25">
      <c r="B2671" s="3">
        <f>B2670+DeltaT</f>
        <v>13270</v>
      </c>
      <c r="C2671" s="13">
        <f t="shared" si="174"/>
        <v>221.16666666666666</v>
      </c>
      <c r="D2671" s="11">
        <f t="shared" si="175"/>
        <v>1140.5789911113186</v>
      </c>
      <c r="E2671" s="23">
        <f t="shared" si="172"/>
        <v>1139.7647371371643</v>
      </c>
      <c r="F2671" s="23">
        <f>AlphaC*(D2671-E2671)</f>
        <v>20.35634935385815</v>
      </c>
      <c r="G2671" s="13">
        <f>Phi*EpsilonF*Botzman/10^8*J2671*((D2671+273)^4-(E2671+273)^4)</f>
        <v>364.82614963022439</v>
      </c>
      <c r="H2671" s="23">
        <f t="shared" si="173"/>
        <v>650</v>
      </c>
      <c r="I2671" s="12">
        <f>ksh*Massivete/(H2671*RhoA)*DeltaT*(F2671+G2671)</f>
        <v>5.681451312918611E-2</v>
      </c>
      <c r="J2671" s="3">
        <f>IF(E2671&lt;=500,IF(Galva=Oui,0.35,0.7),0.7)</f>
        <v>0.7</v>
      </c>
    </row>
    <row r="2672" spans="2:10" x14ac:dyDescent="0.25">
      <c r="B2672" s="3">
        <f>B2671+DeltaT</f>
        <v>13275</v>
      </c>
      <c r="C2672" s="13">
        <f t="shared" si="174"/>
        <v>221.25</v>
      </c>
      <c r="D2672" s="11">
        <f t="shared" si="175"/>
        <v>1140.6354036105756</v>
      </c>
      <c r="E2672" s="23">
        <f t="shared" si="172"/>
        <v>1139.8215516502935</v>
      </c>
      <c r="F2672" s="23">
        <f>AlphaC*(D2672-E2672)</f>
        <v>20.346299007053403</v>
      </c>
      <c r="G2672" s="13">
        <f>Phi*EpsilonF*Botzman/10^8*J2672*((D2672+273)^4-(E2672+273)^4)</f>
        <v>364.68985379270424</v>
      </c>
      <c r="H2672" s="23">
        <f t="shared" si="173"/>
        <v>650</v>
      </c>
      <c r="I2672" s="12">
        <f>ksh*Massivete/(H2672*RhoA)*DeltaT*(F2672+G2672)</f>
        <v>5.6792927031082845E-2</v>
      </c>
      <c r="J2672" s="3">
        <f>IF(E2672&lt;=500,IF(Galva=Oui,0.35,0.7),0.7)</f>
        <v>0.7</v>
      </c>
    </row>
    <row r="2673" spans="2:10" x14ac:dyDescent="0.25">
      <c r="B2673" s="3">
        <f>B2672+DeltaT</f>
        <v>13280</v>
      </c>
      <c r="C2673" s="13">
        <f t="shared" si="174"/>
        <v>221.33333333333334</v>
      </c>
      <c r="D2673" s="11">
        <f t="shared" si="175"/>
        <v>1140.6917948781802</v>
      </c>
      <c r="E2673" s="23">
        <f t="shared" si="172"/>
        <v>1139.8783445773245</v>
      </c>
      <c r="F2673" s="23">
        <f>AlphaC*(D2673-E2673)</f>
        <v>20.336257521393009</v>
      </c>
      <c r="G2673" s="13">
        <f>Phi*EpsilonF*Botzman/10^8*J2673*((D2673+273)^4-(E2673+273)^4)</f>
        <v>364.55366044803935</v>
      </c>
      <c r="H2673" s="23">
        <f t="shared" si="173"/>
        <v>650</v>
      </c>
      <c r="I2673" s="12">
        <f>ksh*Massivete/(H2673*RhoA)*DeltaT*(F2673+G2673)</f>
        <v>5.677135735772184E-2</v>
      </c>
      <c r="J2673" s="3">
        <f>IF(E2673&lt;=500,IF(Galva=Oui,0.35,0.7),0.7)</f>
        <v>0.7</v>
      </c>
    </row>
    <row r="2674" spans="2:10" x14ac:dyDescent="0.25">
      <c r="B2674" s="3">
        <f>B2673+DeltaT</f>
        <v>13285</v>
      </c>
      <c r="C2674" s="13">
        <f t="shared" si="174"/>
        <v>221.41666666666666</v>
      </c>
      <c r="D2674" s="11">
        <f t="shared" si="175"/>
        <v>1140.748164930108</v>
      </c>
      <c r="E2674" s="23">
        <f t="shared" si="172"/>
        <v>1139.9351159346822</v>
      </c>
      <c r="F2674" s="23">
        <f>AlphaC*(D2674-E2674)</f>
        <v>20.326224885644706</v>
      </c>
      <c r="G2674" s="13">
        <f>Phi*EpsilonF*Botzman/10^8*J2674*((D2674+273)^4-(E2674+273)^4)</f>
        <v>364.4175694802023</v>
      </c>
      <c r="H2674" s="23">
        <f t="shared" si="173"/>
        <v>650</v>
      </c>
      <c r="I2674" s="12">
        <f>ksh*Massivete/(H2674*RhoA)*DeltaT*(F2674+G2674)</f>
        <v>5.6749804090332277E-2</v>
      </c>
      <c r="J2674" s="3">
        <f>IF(E2674&lt;=500,IF(Galva=Oui,0.35,0.7),0.7)</f>
        <v>0.7</v>
      </c>
    </row>
    <row r="2675" spans="2:10" x14ac:dyDescent="0.25">
      <c r="B2675" s="3">
        <f>B2674+DeltaT</f>
        <v>13290</v>
      </c>
      <c r="C2675" s="13">
        <f t="shared" si="174"/>
        <v>221.5</v>
      </c>
      <c r="D2675" s="11">
        <f t="shared" si="175"/>
        <v>1140.8045137823165</v>
      </c>
      <c r="E2675" s="23">
        <f t="shared" si="172"/>
        <v>1139.9918657387725</v>
      </c>
      <c r="F2675" s="23">
        <f>AlphaC*(D2675-E2675)</f>
        <v>20.316201088598973</v>
      </c>
      <c r="G2675" s="13">
        <f>Phi*EpsilonF*Botzman/10^8*J2675*((D2675+273)^4-(E2675+273)^4)</f>
        <v>364.28158077320455</v>
      </c>
      <c r="H2675" s="23">
        <f t="shared" si="173"/>
        <v>650</v>
      </c>
      <c r="I2675" s="12">
        <f>ksh*Massivete/(H2675*RhoA)*DeltaT*(F2675+G2675)</f>
        <v>5.6728267210152408E-2</v>
      </c>
      <c r="J2675" s="3">
        <f>IF(E2675&lt;=500,IF(Galva=Oui,0.35,0.7),0.7)</f>
        <v>0.7</v>
      </c>
    </row>
    <row r="2676" spans="2:10" x14ac:dyDescent="0.25">
      <c r="B2676" s="3">
        <f>B2675+DeltaT</f>
        <v>13295</v>
      </c>
      <c r="C2676" s="13">
        <f t="shared" si="174"/>
        <v>221.58333333333334</v>
      </c>
      <c r="D2676" s="11">
        <f t="shared" si="175"/>
        <v>1140.8608414507457</v>
      </c>
      <c r="E2676" s="23">
        <f t="shared" ref="E2676:E2739" si="176">E2675+I2675</f>
        <v>1140.0485940059827</v>
      </c>
      <c r="F2676" s="23">
        <f>AlphaC*(D2676-E2676)</f>
        <v>20.306186119074709</v>
      </c>
      <c r="G2676" s="13">
        <f>Phi*EpsilonF*Botzman/10^8*J2676*((D2676+273)^4-(E2676+273)^4)</f>
        <v>364.14569421163884</v>
      </c>
      <c r="H2676" s="23">
        <f t="shared" ref="H2676:H2739" si="177">IF(E2676&lt;600,425+0.773*E2676-1.69/1000*E2676^2+2.22/1000^2*E2676^3,IF(E2676&lt;735,666+13002/(738-E2676),IF(E2676&lt;900,545+17820/(E2676-731),650)))</f>
        <v>650</v>
      </c>
      <c r="I2676" s="12">
        <f>ksh*Massivete/(H2676*RhoA)*DeltaT*(F2676+G2676)</f>
        <v>5.6706746698510412E-2</v>
      </c>
      <c r="J2676" s="3">
        <f>IF(E2676&lt;=500,IF(Galva=Oui,0.35,0.7),0.7)</f>
        <v>0.7</v>
      </c>
    </row>
    <row r="2677" spans="2:10" x14ac:dyDescent="0.25">
      <c r="B2677" s="3">
        <f>B2676+DeltaT</f>
        <v>13300</v>
      </c>
      <c r="C2677" s="13">
        <f t="shared" si="174"/>
        <v>221.66666666666666</v>
      </c>
      <c r="D2677" s="11">
        <f t="shared" si="175"/>
        <v>1140.9171479513168</v>
      </c>
      <c r="E2677" s="23">
        <f t="shared" si="176"/>
        <v>1140.1053007526812</v>
      </c>
      <c r="F2677" s="23">
        <f>AlphaC*(D2677-E2677)</f>
        <v>20.296179965890815</v>
      </c>
      <c r="G2677" s="13">
        <f>Phi*EpsilonF*Botzman/10^8*J2677*((D2677+273)^4-(E2677+273)^4)</f>
        <v>364.00990967986542</v>
      </c>
      <c r="H2677" s="23">
        <f t="shared" si="177"/>
        <v>650</v>
      </c>
      <c r="I2677" s="12">
        <f>ksh*Massivete/(H2677*RhoA)*DeltaT*(F2677+G2677)</f>
        <v>5.6685242536700188E-2</v>
      </c>
      <c r="J2677" s="3">
        <f>IF(E2677&lt;=500,IF(Galva=Oui,0.35,0.7),0.7)</f>
        <v>0.7</v>
      </c>
    </row>
    <row r="2678" spans="2:10" x14ac:dyDescent="0.25">
      <c r="B2678" s="3">
        <f>B2677+DeltaT</f>
        <v>13305</v>
      </c>
      <c r="C2678" s="13">
        <f t="shared" si="174"/>
        <v>221.75</v>
      </c>
      <c r="D2678" s="11">
        <f t="shared" si="175"/>
        <v>1140.9734332999337</v>
      </c>
      <c r="E2678" s="23">
        <f t="shared" si="176"/>
        <v>1140.1619859952179</v>
      </c>
      <c r="F2678" s="23">
        <f>AlphaC*(D2678-E2678)</f>
        <v>20.28618261789461</v>
      </c>
      <c r="G2678" s="13">
        <f>Phi*EpsilonF*Botzman/10^8*J2678*((D2678+273)^4-(E2678+273)^4)</f>
        <v>363.87422706253523</v>
      </c>
      <c r="H2678" s="23">
        <f t="shared" si="177"/>
        <v>650</v>
      </c>
      <c r="I2678" s="12">
        <f>ksh*Massivete/(H2678*RhoA)*DeltaT*(F2678+G2678)</f>
        <v>5.6663754706062698E-2</v>
      </c>
      <c r="J2678" s="3">
        <f>IF(E2678&lt;=500,IF(Galva=Oui,0.35,0.7),0.7)</f>
        <v>0.7</v>
      </c>
    </row>
    <row r="2679" spans="2:10" x14ac:dyDescent="0.25">
      <c r="B2679" s="3">
        <f>B2678+DeltaT</f>
        <v>13310</v>
      </c>
      <c r="C2679" s="13">
        <f t="shared" si="174"/>
        <v>221.83333333333334</v>
      </c>
      <c r="D2679" s="11">
        <f t="shared" si="175"/>
        <v>1141.0296975124827</v>
      </c>
      <c r="E2679" s="23">
        <f t="shared" si="176"/>
        <v>1140.218649749924</v>
      </c>
      <c r="F2679" s="23">
        <f>AlphaC*(D2679-E2679)</f>
        <v>20.276194063967523</v>
      </c>
      <c r="G2679" s="13">
        <f>Phi*EpsilonF*Botzman/10^8*J2679*((D2679+273)^4-(E2679+273)^4)</f>
        <v>363.73864624486129</v>
      </c>
      <c r="H2679" s="23">
        <f t="shared" si="177"/>
        <v>650</v>
      </c>
      <c r="I2679" s="12">
        <f>ksh*Massivete/(H2679*RhoA)*DeltaT*(F2679+G2679)</f>
        <v>5.6642283188026839E-2</v>
      </c>
      <c r="J2679" s="3">
        <f>IF(E2679&lt;=500,IF(Galva=Oui,0.35,0.7),0.7)</f>
        <v>0.7</v>
      </c>
    </row>
    <row r="2680" spans="2:10" x14ac:dyDescent="0.25">
      <c r="B2680" s="3">
        <f>B2679+DeltaT</f>
        <v>13315</v>
      </c>
      <c r="C2680" s="13">
        <f t="shared" si="174"/>
        <v>221.91666666666666</v>
      </c>
      <c r="D2680" s="11">
        <f t="shared" si="175"/>
        <v>1141.085940604831</v>
      </c>
      <c r="E2680" s="23">
        <f t="shared" si="176"/>
        <v>1140.275292033112</v>
      </c>
      <c r="F2680" s="23">
        <f>AlphaC*(D2680-E2680)</f>
        <v>20.266214292973928</v>
      </c>
      <c r="G2680" s="13">
        <f>Phi*EpsilonF*Botzman/10^8*J2680*((D2680+273)^4-(E2680+273)^4)</f>
        <v>363.60316711151381</v>
      </c>
      <c r="H2680" s="23">
        <f t="shared" si="177"/>
        <v>650</v>
      </c>
      <c r="I2680" s="12">
        <f>ksh*Massivete/(H2680*RhoA)*DeltaT*(F2680+G2680)</f>
        <v>5.6620827963938934E-2</v>
      </c>
      <c r="J2680" s="3">
        <f>IF(E2680&lt;=500,IF(Galva=Oui,0.35,0.7),0.7)</f>
        <v>0.7</v>
      </c>
    </row>
    <row r="2681" spans="2:10" x14ac:dyDescent="0.25">
      <c r="B2681" s="3">
        <f>B2680+DeltaT</f>
        <v>13320</v>
      </c>
      <c r="C2681" s="13">
        <f t="shared" si="174"/>
        <v>222</v>
      </c>
      <c r="D2681" s="11">
        <f t="shared" si="175"/>
        <v>1141.142162592829</v>
      </c>
      <c r="E2681" s="23">
        <f t="shared" si="176"/>
        <v>1140.331912861076</v>
      </c>
      <c r="F2681" s="23">
        <f>AlphaC*(D2681-E2681)</f>
        <v>20.256243293823673</v>
      </c>
      <c r="G2681" s="13">
        <f>Phi*EpsilonF*Botzman/10^8*J2681*((D2681+273)^4-(E2681+273)^4)</f>
        <v>363.46778954788022</v>
      </c>
      <c r="H2681" s="23">
        <f t="shared" si="177"/>
        <v>650</v>
      </c>
      <c r="I2681" s="12">
        <f>ksh*Massivete/(H2681*RhoA)*DeltaT*(F2681+G2681)</f>
        <v>5.6599389015257795E-2</v>
      </c>
      <c r="J2681" s="3">
        <f>IF(E2681&lt;=500,IF(Galva=Oui,0.35,0.7),0.7)</f>
        <v>0.7</v>
      </c>
    </row>
    <row r="2682" spans="2:10" x14ac:dyDescent="0.25">
      <c r="B2682" s="3">
        <f>B2681+DeltaT</f>
        <v>13325</v>
      </c>
      <c r="C2682" s="13">
        <f t="shared" si="174"/>
        <v>222.08333333333334</v>
      </c>
      <c r="D2682" s="11">
        <f t="shared" si="175"/>
        <v>1141.1983634923088</v>
      </c>
      <c r="E2682" s="23">
        <f t="shared" si="176"/>
        <v>1140.3885122500913</v>
      </c>
      <c r="F2682" s="23">
        <f>AlphaC*(D2682-E2682)</f>
        <v>20.246281055437976</v>
      </c>
      <c r="G2682" s="13">
        <f>Phi*EpsilonF*Botzman/10^8*J2682*((D2682+273)^4-(E2682+273)^4)</f>
        <v>363.33251343932847</v>
      </c>
      <c r="H2682" s="23">
        <f t="shared" si="177"/>
        <v>650</v>
      </c>
      <c r="I2682" s="12">
        <f>ksh*Massivete/(H2682*RhoA)*DeltaT*(F2682+G2682)</f>
        <v>5.6577966323441052E-2</v>
      </c>
      <c r="J2682" s="3">
        <f>IF(E2682&lt;=500,IF(Galva=Oui,0.35,0.7),0.7)</f>
        <v>0.7</v>
      </c>
    </row>
    <row r="2683" spans="2:10" x14ac:dyDescent="0.25">
      <c r="B2683" s="3">
        <f>B2682+DeltaT</f>
        <v>13330</v>
      </c>
      <c r="C2683" s="13">
        <f t="shared" si="174"/>
        <v>222.16666666666666</v>
      </c>
      <c r="D2683" s="11">
        <f t="shared" si="175"/>
        <v>1141.2545433190849</v>
      </c>
      <c r="E2683" s="23">
        <f t="shared" si="176"/>
        <v>1140.4450902164147</v>
      </c>
      <c r="F2683" s="23">
        <f>AlphaC*(D2683-E2683)</f>
        <v>20.236327566755108</v>
      </c>
      <c r="G2683" s="13">
        <f>Phi*EpsilonF*Botzman/10^8*J2683*((D2683+273)^4-(E2683+273)^4)</f>
        <v>363.19733867145919</v>
      </c>
      <c r="H2683" s="23">
        <f t="shared" si="177"/>
        <v>650</v>
      </c>
      <c r="I2683" s="12">
        <f>ksh*Massivete/(H2683*RhoA)*DeltaT*(F2683+G2683)</f>
        <v>5.6556559869983161E-2</v>
      </c>
      <c r="J2683" s="3">
        <f>IF(E2683&lt;=500,IF(Galva=Oui,0.35,0.7),0.7)</f>
        <v>0.7</v>
      </c>
    </row>
    <row r="2684" spans="2:10" x14ac:dyDescent="0.25">
      <c r="B2684" s="3">
        <f>B2683+DeltaT</f>
        <v>13335</v>
      </c>
      <c r="C2684" s="13">
        <f t="shared" si="174"/>
        <v>222.25</v>
      </c>
      <c r="D2684" s="11">
        <f t="shared" si="175"/>
        <v>1141.310702088954</v>
      </c>
      <c r="E2684" s="23">
        <f t="shared" si="176"/>
        <v>1140.5016467762846</v>
      </c>
      <c r="F2684" s="23">
        <f>AlphaC*(D2684-E2684)</f>
        <v>20.226382816736077</v>
      </c>
      <c r="G2684" s="13">
        <f>Phi*EpsilonF*Botzman/10^8*J2684*((D2684+273)^4-(E2684+273)^4)</f>
        <v>363.06226513004731</v>
      </c>
      <c r="H2684" s="23">
        <f t="shared" si="177"/>
        <v>650</v>
      </c>
      <c r="I2684" s="12">
        <f>ksh*Massivete/(H2684*RhoA)*DeltaT*(F2684+G2684)</f>
        <v>5.6535169636407638E-2</v>
      </c>
      <c r="J2684" s="3">
        <f>IF(E2684&lt;=500,IF(Galva=Oui,0.35,0.7),0.7)</f>
        <v>0.7</v>
      </c>
    </row>
    <row r="2685" spans="2:10" x14ac:dyDescent="0.25">
      <c r="B2685" s="3">
        <f>B2684+DeltaT</f>
        <v>13340</v>
      </c>
      <c r="C2685" s="13">
        <f t="shared" si="174"/>
        <v>222.33333333333334</v>
      </c>
      <c r="D2685" s="11">
        <f t="shared" si="175"/>
        <v>1141.3668398176949</v>
      </c>
      <c r="E2685" s="23">
        <f t="shared" si="176"/>
        <v>1140.558181945921</v>
      </c>
      <c r="F2685" s="23">
        <f>AlphaC*(D2685-E2685)</f>
        <v>20.216446794347576</v>
      </c>
      <c r="G2685" s="13">
        <f>Phi*EpsilonF*Botzman/10^8*J2685*((D2685+273)^4-(E2685+273)^4)</f>
        <v>362.92729270082901</v>
      </c>
      <c r="H2685" s="23">
        <f t="shared" si="177"/>
        <v>650</v>
      </c>
      <c r="I2685" s="12">
        <f>ksh*Massivete/(H2685*RhoA)*DeltaT*(F2685+G2685)</f>
        <v>5.6513795604233127E-2</v>
      </c>
      <c r="J2685" s="3">
        <f>IF(E2685&lt;=500,IF(Galva=Oui,0.35,0.7),0.7)</f>
        <v>0.7</v>
      </c>
    </row>
    <row r="2686" spans="2:10" x14ac:dyDescent="0.25">
      <c r="B2686" s="3">
        <f>B2685+DeltaT</f>
        <v>13345</v>
      </c>
      <c r="C2686" s="13">
        <f t="shared" si="174"/>
        <v>222.41666666666666</v>
      </c>
      <c r="D2686" s="11">
        <f t="shared" si="175"/>
        <v>1141.4229565210687</v>
      </c>
      <c r="E2686" s="23">
        <f t="shared" si="176"/>
        <v>1140.6146957415251</v>
      </c>
      <c r="F2686" s="23">
        <f>AlphaC*(D2686-E2686)</f>
        <v>20.206519488590402</v>
      </c>
      <c r="G2686" s="13">
        <f>Phi*EpsilonF*Botzman/10^8*J2686*((D2686+273)^4-(E2686+273)^4)</f>
        <v>362.79242127012191</v>
      </c>
      <c r="H2686" s="23">
        <f t="shared" si="177"/>
        <v>650</v>
      </c>
      <c r="I2686" s="12">
        <f>ksh*Massivete/(H2686*RhoA)*DeltaT*(F2686+G2686)</f>
        <v>5.6492437755069062E-2</v>
      </c>
      <c r="J2686" s="3">
        <f>IF(E2686&lt;=500,IF(Galva=Oui,0.35,0.7),0.7)</f>
        <v>0.7</v>
      </c>
    </row>
    <row r="2687" spans="2:10" x14ac:dyDescent="0.25">
      <c r="B2687" s="3">
        <f>B2686+DeltaT</f>
        <v>13350</v>
      </c>
      <c r="C2687" s="13">
        <f t="shared" si="174"/>
        <v>222.5</v>
      </c>
      <c r="D2687" s="11">
        <f t="shared" si="175"/>
        <v>1141.4790522148189</v>
      </c>
      <c r="E2687" s="23">
        <f t="shared" si="176"/>
        <v>1140.6711881792801</v>
      </c>
      <c r="F2687" s="23">
        <f>AlphaC*(D2687-E2687)</f>
        <v>20.196600888471039</v>
      </c>
      <c r="G2687" s="13">
        <f>Phi*EpsilonF*Botzman/10^8*J2687*((D2687+273)^4-(E2687+273)^4)</f>
        <v>362.65765072399176</v>
      </c>
      <c r="H2687" s="23">
        <f t="shared" si="177"/>
        <v>650</v>
      </c>
      <c r="I2687" s="12">
        <f>ksh*Massivete/(H2687*RhoA)*DeltaT*(F2687+G2687)</f>
        <v>5.6471096070488572E-2</v>
      </c>
      <c r="J2687" s="3">
        <f>IF(E2687&lt;=500,IF(Galva=Oui,0.35,0.7),0.7)</f>
        <v>0.7</v>
      </c>
    </row>
    <row r="2688" spans="2:10" x14ac:dyDescent="0.25">
      <c r="B2688" s="3">
        <f>B2687+DeltaT</f>
        <v>13355</v>
      </c>
      <c r="C2688" s="13">
        <f t="shared" si="174"/>
        <v>222.58333333333334</v>
      </c>
      <c r="D2688" s="11">
        <f t="shared" si="175"/>
        <v>1141.5351269146713</v>
      </c>
      <c r="E2688" s="23">
        <f t="shared" si="176"/>
        <v>1140.7276592753506</v>
      </c>
      <c r="F2688" s="23">
        <f>AlphaC*(D2688-E2688)</f>
        <v>20.186690983018707</v>
      </c>
      <c r="G2688" s="13">
        <f>Phi*EpsilonF*Botzman/10^8*J2688*((D2688+273)^4-(E2688+273)^4)</f>
        <v>362.52298094894985</v>
      </c>
      <c r="H2688" s="23">
        <f t="shared" si="177"/>
        <v>650</v>
      </c>
      <c r="I2688" s="12">
        <f>ksh*Massivete/(H2688*RhoA)*DeltaT*(F2688+G2688)</f>
        <v>5.6449770532133847E-2</v>
      </c>
      <c r="J2688" s="3">
        <f>IF(E2688&lt;=500,IF(Galva=Oui,0.35,0.7),0.7)</f>
        <v>0.7</v>
      </c>
    </row>
    <row r="2689" spans="2:10" x14ac:dyDescent="0.25">
      <c r="B2689" s="3">
        <f>B2688+DeltaT</f>
        <v>13360</v>
      </c>
      <c r="C2689" s="13">
        <f t="shared" si="174"/>
        <v>222.66666666666666</v>
      </c>
      <c r="D2689" s="11">
        <f t="shared" si="175"/>
        <v>1141.5911806363338</v>
      </c>
      <c r="E2689" s="23">
        <f t="shared" si="176"/>
        <v>1140.7841090458826</v>
      </c>
      <c r="F2689" s="23">
        <f>AlphaC*(D2689-E2689)</f>
        <v>20.176789761279679</v>
      </c>
      <c r="G2689" s="13">
        <f>Phi*EpsilonF*Botzman/10^8*J2689*((D2689+273)^4-(E2689+273)^4)</f>
        <v>362.38841183152704</v>
      </c>
      <c r="H2689" s="23">
        <f t="shared" si="177"/>
        <v>650</v>
      </c>
      <c r="I2689" s="12">
        <f>ksh*Massivete/(H2689*RhoA)*DeltaT*(F2689+G2689)</f>
        <v>5.6428461121652486E-2</v>
      </c>
      <c r="J2689" s="3">
        <f>IF(E2689&lt;=500,IF(Galva=Oui,0.35,0.7),0.7)</f>
        <v>0.7</v>
      </c>
    </row>
    <row r="2690" spans="2:10" x14ac:dyDescent="0.25">
      <c r="B2690" s="3">
        <f>B2689+DeltaT</f>
        <v>13365</v>
      </c>
      <c r="C2690" s="13">
        <f t="shared" si="174"/>
        <v>222.75</v>
      </c>
      <c r="D2690" s="11">
        <f t="shared" si="175"/>
        <v>1141.6472133954971</v>
      </c>
      <c r="E2690" s="23">
        <f t="shared" si="176"/>
        <v>1140.8405375070042</v>
      </c>
      <c r="F2690" s="23">
        <f>AlphaC*(D2690-E2690)</f>
        <v>20.166897212322965</v>
      </c>
      <c r="G2690" s="13">
        <f>Phi*EpsilonF*Botzman/10^8*J2690*((D2690+273)^4-(E2690+273)^4)</f>
        <v>362.25394325858355</v>
      </c>
      <c r="H2690" s="23">
        <f t="shared" si="177"/>
        <v>650</v>
      </c>
      <c r="I2690" s="12">
        <f>ksh*Massivete/(H2690*RhoA)*DeltaT*(F2690+G2690)</f>
        <v>5.6407167820744016E-2</v>
      </c>
      <c r="J2690" s="3">
        <f>IF(E2690&lt;=500,IF(Galva=Oui,0.35,0.7),0.7)</f>
        <v>0.7</v>
      </c>
    </row>
    <row r="2691" spans="2:10" x14ac:dyDescent="0.25">
      <c r="B2691" s="3">
        <f>B2690+DeltaT</f>
        <v>13370</v>
      </c>
      <c r="C2691" s="13">
        <f t="shared" si="174"/>
        <v>222.83333333333334</v>
      </c>
      <c r="D2691" s="11">
        <f t="shared" si="175"/>
        <v>1141.7032252078343</v>
      </c>
      <c r="E2691" s="23">
        <f t="shared" si="176"/>
        <v>1140.8969446748249</v>
      </c>
      <c r="F2691" s="23">
        <f>AlphaC*(D2691-E2691)</f>
        <v>20.15701332523463</v>
      </c>
      <c r="G2691" s="13">
        <f>Phi*EpsilonF*Botzman/10^8*J2691*((D2691+273)^4-(E2691+273)^4)</f>
        <v>362.11957511707652</v>
      </c>
      <c r="H2691" s="23">
        <f t="shared" si="177"/>
        <v>650</v>
      </c>
      <c r="I2691" s="12">
        <f>ksh*Massivete/(H2691*RhoA)*DeltaT*(F2691+G2691)</f>
        <v>5.6385890611124791E-2</v>
      </c>
      <c r="J2691" s="3">
        <f>IF(E2691&lt;=500,IF(Galva=Oui,0.35,0.7),0.7)</f>
        <v>0.7</v>
      </c>
    </row>
    <row r="2692" spans="2:10" x14ac:dyDescent="0.25">
      <c r="B2692" s="3">
        <f>B2691+DeltaT</f>
        <v>13375</v>
      </c>
      <c r="C2692" s="13">
        <f t="shared" si="174"/>
        <v>222.91666666666666</v>
      </c>
      <c r="D2692" s="11">
        <f t="shared" si="175"/>
        <v>1141.7592160890001</v>
      </c>
      <c r="E2692" s="23">
        <f t="shared" si="176"/>
        <v>1140.9533305654361</v>
      </c>
      <c r="F2692" s="23">
        <f>AlphaC*(D2692-E2692)</f>
        <v>20.147138089100736</v>
      </c>
      <c r="G2692" s="13">
        <f>Phi*EpsilonF*Botzman/10^8*J2692*((D2692+273)^4-(E2692+273)^4)</f>
        <v>361.98530729378865</v>
      </c>
      <c r="H2692" s="23">
        <f t="shared" si="177"/>
        <v>650</v>
      </c>
      <c r="I2692" s="12">
        <f>ksh*Massivete/(H2692*RhoA)*DeltaT*(F2692+G2692)</f>
        <v>5.6364629474485409E-2</v>
      </c>
      <c r="J2692" s="3">
        <f>IF(E2692&lt;=500,IF(Galva=Oui,0.35,0.7),0.7)</f>
        <v>0.7</v>
      </c>
    </row>
    <row r="2693" spans="2:10" x14ac:dyDescent="0.25">
      <c r="B2693" s="3">
        <f>B2692+DeltaT</f>
        <v>13380</v>
      </c>
      <c r="C2693" s="13">
        <f t="shared" si="174"/>
        <v>223</v>
      </c>
      <c r="D2693" s="11">
        <f t="shared" si="175"/>
        <v>1141.8151860546329</v>
      </c>
      <c r="E2693" s="23">
        <f t="shared" si="176"/>
        <v>1141.0096951949106</v>
      </c>
      <c r="F2693" s="23">
        <f>AlphaC*(D2693-E2693)</f>
        <v>20.137271493058506</v>
      </c>
      <c r="G2693" s="13">
        <f>Phi*EpsilonF*Botzman/10^8*J2693*((D2693+273)^4-(E2693+273)^4)</f>
        <v>361.85113967647175</v>
      </c>
      <c r="H2693" s="23">
        <f t="shared" si="177"/>
        <v>650</v>
      </c>
      <c r="I2693" s="12">
        <f>ksh*Massivete/(H2693*RhoA)*DeltaT*(F2693+G2693)</f>
        <v>5.6343384392666979E-2</v>
      </c>
      <c r="J2693" s="3">
        <f>IF(E2693&lt;=500,IF(Galva=Oui,0.35,0.7),0.7)</f>
        <v>0.7</v>
      </c>
    </row>
    <row r="2694" spans="2:10" x14ac:dyDescent="0.25">
      <c r="B2694" s="3">
        <f>B2693+DeltaT</f>
        <v>13385</v>
      </c>
      <c r="C2694" s="13">
        <f t="shared" si="174"/>
        <v>223.08333333333334</v>
      </c>
      <c r="D2694" s="11">
        <f t="shared" si="175"/>
        <v>1141.8711351203528</v>
      </c>
      <c r="E2694" s="23">
        <f t="shared" si="176"/>
        <v>1141.0660385793033</v>
      </c>
      <c r="F2694" s="23">
        <f>AlphaC*(D2694-E2694)</f>
        <v>20.127413526239479</v>
      </c>
      <c r="G2694" s="13">
        <f>Phi*EpsilonF*Botzman/10^8*J2694*((D2694+273)^4-(E2694+273)^4)</f>
        <v>361.71707215233477</v>
      </c>
      <c r="H2694" s="23">
        <f t="shared" si="177"/>
        <v>650</v>
      </c>
      <c r="I2694" s="12">
        <f>ksh*Massivete/(H2694*RhoA)*DeltaT*(F2694+G2694)</f>
        <v>5.6322155347429688E-2</v>
      </c>
      <c r="J2694" s="3">
        <f>IF(E2694&lt;=500,IF(Galva=Oui,0.35,0.7),0.7)</f>
        <v>0.7</v>
      </c>
    </row>
    <row r="2695" spans="2:10" x14ac:dyDescent="0.25">
      <c r="B2695" s="3">
        <f>B2694+DeltaT</f>
        <v>13390</v>
      </c>
      <c r="C2695" s="13">
        <f t="shared" si="174"/>
        <v>223.16666666666666</v>
      </c>
      <c r="D2695" s="11">
        <f t="shared" si="175"/>
        <v>1141.9270633017625</v>
      </c>
      <c r="E2695" s="23">
        <f t="shared" si="176"/>
        <v>1141.1223607346508</v>
      </c>
      <c r="F2695" s="23">
        <f>AlphaC*(D2695-E2695)</f>
        <v>20.117564177792246</v>
      </c>
      <c r="G2695" s="13">
        <f>Phi*EpsilonF*Botzman/10^8*J2695*((D2695+273)^4-(E2695+273)^4)</f>
        <v>361.58310460903266</v>
      </c>
      <c r="H2695" s="23">
        <f t="shared" si="177"/>
        <v>650</v>
      </c>
      <c r="I2695" s="12">
        <f>ksh*Massivete/(H2695*RhoA)*DeltaT*(F2695+G2695)</f>
        <v>5.6300942320602038E-2</v>
      </c>
      <c r="J2695" s="3">
        <f>IF(E2695&lt;=500,IF(Galva=Oui,0.35,0.7),0.7)</f>
        <v>0.7</v>
      </c>
    </row>
    <row r="2696" spans="2:10" x14ac:dyDescent="0.25">
      <c r="B2696" s="3">
        <f>B2695+DeltaT</f>
        <v>13395</v>
      </c>
      <c r="C2696" s="13">
        <f t="shared" si="174"/>
        <v>223.25</v>
      </c>
      <c r="D2696" s="11">
        <f t="shared" si="175"/>
        <v>1141.9829706144471</v>
      </c>
      <c r="E2696" s="23">
        <f t="shared" si="176"/>
        <v>1141.1786616769714</v>
      </c>
      <c r="F2696" s="23">
        <f>AlphaC*(D2696-E2696)</f>
        <v>20.107723436893821</v>
      </c>
      <c r="G2696" s="13">
        <f>Phi*EpsilonF*Botzman/10^8*J2696*((D2696+273)^4-(E2696+273)^4)</f>
        <v>361.44923693423954</v>
      </c>
      <c r="H2696" s="23">
        <f t="shared" si="177"/>
        <v>650</v>
      </c>
      <c r="I2696" s="12">
        <f>ksh*Massivete/(H2696*RhoA)*DeltaT*(F2696+G2696)</f>
        <v>5.627974529401953E-2</v>
      </c>
      <c r="J2696" s="3">
        <f>IF(E2696&lt;=500,IF(Galva=Oui,0.35,0.7),0.7)</f>
        <v>0.7</v>
      </c>
    </row>
    <row r="2697" spans="2:10" x14ac:dyDescent="0.25">
      <c r="B2697" s="3">
        <f>B2696+DeltaT</f>
        <v>13400</v>
      </c>
      <c r="C2697" s="13">
        <f t="shared" si="174"/>
        <v>223.33333333333334</v>
      </c>
      <c r="D2697" s="11">
        <f t="shared" si="175"/>
        <v>1142.0388570739749</v>
      </c>
      <c r="E2697" s="23">
        <f t="shared" si="176"/>
        <v>1141.2349414222654</v>
      </c>
      <c r="F2697" s="23">
        <f>AlphaC*(D2697-E2697)</f>
        <v>20.097891292738268</v>
      </c>
      <c r="G2697" s="13">
        <f>Phi*EpsilonF*Botzman/10^8*J2697*((D2697+273)^4-(E2697+273)^4)</f>
        <v>361.31546901617224</v>
      </c>
      <c r="H2697" s="23">
        <f t="shared" si="177"/>
        <v>650</v>
      </c>
      <c r="I2697" s="12">
        <f>ksh*Massivete/(H2697*RhoA)*DeltaT*(F2697+G2697)</f>
        <v>5.6258564249600247E-2</v>
      </c>
      <c r="J2697" s="3">
        <f>IF(E2697&lt;=500,IF(Galva=Oui,0.35,0.7),0.7)</f>
        <v>0.7</v>
      </c>
    </row>
    <row r="2698" spans="2:10" x14ac:dyDescent="0.25">
      <c r="B2698" s="3">
        <f>B2697+DeltaT</f>
        <v>13405</v>
      </c>
      <c r="C2698" s="13">
        <f t="shared" si="174"/>
        <v>223.41666666666666</v>
      </c>
      <c r="D2698" s="11">
        <f t="shared" si="175"/>
        <v>1142.0947226958961</v>
      </c>
      <c r="E2698" s="23">
        <f t="shared" si="176"/>
        <v>1141.291199986515</v>
      </c>
      <c r="F2698" s="23">
        <f>AlphaC*(D2698-E2698)</f>
        <v>20.088067734525339</v>
      </c>
      <c r="G2698" s="13">
        <f>Phi*EpsilonF*Botzman/10^8*J2698*((D2698+273)^4-(E2698+273)^4)</f>
        <v>361.18180074271817</v>
      </c>
      <c r="H2698" s="23">
        <f t="shared" si="177"/>
        <v>650</v>
      </c>
      <c r="I2698" s="12">
        <f>ksh*Massivete/(H2698*RhoA)*DeltaT*(F2698+G2698)</f>
        <v>5.6237399169214511E-2</v>
      </c>
      <c r="J2698" s="3">
        <f>IF(E2698&lt;=500,IF(Galva=Oui,0.35,0.7),0.7)</f>
        <v>0.7</v>
      </c>
    </row>
    <row r="2699" spans="2:10" x14ac:dyDescent="0.25">
      <c r="B2699" s="3">
        <f>B2698+DeltaT</f>
        <v>13410</v>
      </c>
      <c r="C2699" s="13">
        <f t="shared" si="174"/>
        <v>223.5</v>
      </c>
      <c r="D2699" s="11">
        <f t="shared" si="175"/>
        <v>1142.1505674957436</v>
      </c>
      <c r="E2699" s="23">
        <f t="shared" si="176"/>
        <v>1141.3474373856843</v>
      </c>
      <c r="F2699" s="23">
        <f>AlphaC*(D2699-E2699)</f>
        <v>20.078252751483205</v>
      </c>
      <c r="G2699" s="13">
        <f>Phi*EpsilonF*Botzman/10^8*J2699*((D2699+273)^4-(E2699+273)^4)</f>
        <v>361.04823200211359</v>
      </c>
      <c r="H2699" s="23">
        <f t="shared" si="177"/>
        <v>650</v>
      </c>
      <c r="I2699" s="12">
        <f>ksh*Massivete/(H2699*RhoA)*DeltaT*(F2699+G2699)</f>
        <v>5.6216250034788307E-2</v>
      </c>
      <c r="J2699" s="3">
        <f>IF(E2699&lt;=500,IF(Galva=Oui,0.35,0.7),0.7)</f>
        <v>0.7</v>
      </c>
    </row>
    <row r="2700" spans="2:10" x14ac:dyDescent="0.25">
      <c r="B2700" s="3">
        <f>B2699+DeltaT</f>
        <v>13415</v>
      </c>
      <c r="C2700" s="13">
        <f t="shared" si="174"/>
        <v>223.58333333333334</v>
      </c>
      <c r="D2700" s="11">
        <f t="shared" si="175"/>
        <v>1142.2063914890334</v>
      </c>
      <c r="E2700" s="23">
        <f t="shared" si="176"/>
        <v>1141.4036536357191</v>
      </c>
      <c r="F2700" s="23">
        <f>AlphaC*(D2700-E2700)</f>
        <v>20.068446332857093</v>
      </c>
      <c r="G2700" s="13">
        <f>Phi*EpsilonF*Botzman/10^8*J2700*((D2700+273)^4-(E2700+273)^4)</f>
        <v>360.9147626829822</v>
      </c>
      <c r="H2700" s="23">
        <f t="shared" si="177"/>
        <v>650</v>
      </c>
      <c r="I2700" s="12">
        <f>ksh*Massivete/(H2700*RhoA)*DeltaT*(F2700+G2700)</f>
        <v>5.6195116828307252E-2</v>
      </c>
      <c r="J2700" s="3">
        <f>IF(E2700&lt;=500,IF(Galva=Oui,0.35,0.7),0.7)</f>
        <v>0.7</v>
      </c>
    </row>
    <row r="2701" spans="2:10" x14ac:dyDescent="0.25">
      <c r="B2701" s="3">
        <f>B2700+DeltaT</f>
        <v>13420</v>
      </c>
      <c r="C2701" s="13">
        <f t="shared" si="174"/>
        <v>223.66666666666666</v>
      </c>
      <c r="D2701" s="11">
        <f t="shared" si="175"/>
        <v>1142.2621946912639</v>
      </c>
      <c r="E2701" s="23">
        <f t="shared" si="176"/>
        <v>1141.4598487525475</v>
      </c>
      <c r="F2701" s="23">
        <f>AlphaC*(D2701-E2701)</f>
        <v>20.058648467909279</v>
      </c>
      <c r="G2701" s="13">
        <f>Phi*EpsilonF*Botzman/10^8*J2701*((D2701+273)^4-(E2701+273)^4)</f>
        <v>360.78139267396728</v>
      </c>
      <c r="H2701" s="23">
        <f t="shared" si="177"/>
        <v>650</v>
      </c>
      <c r="I2701" s="12">
        <f>ksh*Massivete/(H2701*RhoA)*DeltaT*(F2701+G2701)</f>
        <v>5.61739995317624E-2</v>
      </c>
      <c r="J2701" s="3">
        <f>IF(E2701&lt;=500,IF(Galva=Oui,0.35,0.7),0.7)</f>
        <v>0.7</v>
      </c>
    </row>
    <row r="2702" spans="2:10" x14ac:dyDescent="0.25">
      <c r="B2702" s="3">
        <f>B2701+DeltaT</f>
        <v>13425</v>
      </c>
      <c r="C2702" s="13">
        <f t="shared" si="174"/>
        <v>223.75</v>
      </c>
      <c r="D2702" s="11">
        <f t="shared" si="175"/>
        <v>1142.3179771179157</v>
      </c>
      <c r="E2702" s="23">
        <f t="shared" si="176"/>
        <v>1141.5160227520792</v>
      </c>
      <c r="F2702" s="23">
        <f>AlphaC*(D2702-E2702)</f>
        <v>20.048859145913411</v>
      </c>
      <c r="G2702" s="13">
        <f>Phi*EpsilonF*Botzman/10^8*J2702*((D2702+273)^4-(E2702+273)^4)</f>
        <v>360.64812186375076</v>
      </c>
      <c r="H2702" s="23">
        <f t="shared" si="177"/>
        <v>650</v>
      </c>
      <c r="I2702" s="12">
        <f>ksh*Massivete/(H2702*RhoA)*DeltaT*(F2702+G2702)</f>
        <v>5.615289812715217E-2</v>
      </c>
      <c r="J2702" s="3">
        <f>IF(E2702&lt;=500,IF(Galva=Oui,0.35,0.7),0.7)</f>
        <v>0.7</v>
      </c>
    </row>
    <row r="2703" spans="2:10" x14ac:dyDescent="0.25">
      <c r="B2703" s="3">
        <f>B2702+DeltaT</f>
        <v>13430</v>
      </c>
      <c r="C2703" s="13">
        <f t="shared" si="174"/>
        <v>223.83333333333334</v>
      </c>
      <c r="D2703" s="11">
        <f t="shared" si="175"/>
        <v>1142.3737387844533</v>
      </c>
      <c r="E2703" s="23">
        <f t="shared" si="176"/>
        <v>1141.5721756502062</v>
      </c>
      <c r="F2703" s="23">
        <f>AlphaC*(D2703-E2703)</f>
        <v>20.039078356177242</v>
      </c>
      <c r="G2703" s="13">
        <f>Phi*EpsilonF*Botzman/10^8*J2703*((D2703+273)^4-(E2703+273)^4)</f>
        <v>360.51495014151845</v>
      </c>
      <c r="H2703" s="23">
        <f t="shared" si="177"/>
        <v>650</v>
      </c>
      <c r="I2703" s="12">
        <f>ksh*Massivete/(H2703*RhoA)*DeltaT*(F2703+G2703)</f>
        <v>5.6131812596554323E-2</v>
      </c>
      <c r="J2703" s="3">
        <f>IF(E2703&lt;=500,IF(Galva=Oui,0.35,0.7),0.7)</f>
        <v>0.7</v>
      </c>
    </row>
    <row r="2704" spans="2:10" x14ac:dyDescent="0.25">
      <c r="B2704" s="3">
        <f>B2703+DeltaT</f>
        <v>13435</v>
      </c>
      <c r="C2704" s="13">
        <f t="shared" si="174"/>
        <v>223.91666666666666</v>
      </c>
      <c r="D2704" s="11">
        <f t="shared" si="175"/>
        <v>1142.4294797063226</v>
      </c>
      <c r="E2704" s="23">
        <f t="shared" si="176"/>
        <v>1141.6283074628027</v>
      </c>
      <c r="F2704" s="23">
        <f>AlphaC*(D2704-E2704)</f>
        <v>20.029306087997156</v>
      </c>
      <c r="G2704" s="13">
        <f>Phi*EpsilonF*Botzman/10^8*J2704*((D2704+273)^4-(E2704+273)^4)</f>
        <v>360.38187739599113</v>
      </c>
      <c r="H2704" s="23">
        <f t="shared" si="177"/>
        <v>650</v>
      </c>
      <c r="I2704" s="12">
        <f>ksh*Massivete/(H2704*RhoA)*DeltaT*(F2704+G2704)</f>
        <v>5.6110742921976368E-2</v>
      </c>
      <c r="J2704" s="3">
        <f>IF(E2704&lt;=500,IF(Galva=Oui,0.35,0.7),0.7)</f>
        <v>0.7</v>
      </c>
    </row>
    <row r="2705" spans="2:10" x14ac:dyDescent="0.25">
      <c r="B2705" s="3">
        <f>B2704+DeltaT</f>
        <v>13440</v>
      </c>
      <c r="C2705" s="13">
        <f t="shared" si="174"/>
        <v>224</v>
      </c>
      <c r="D2705" s="11">
        <f t="shared" si="175"/>
        <v>1142.4851998989529</v>
      </c>
      <c r="E2705" s="23">
        <f t="shared" si="176"/>
        <v>1141.6844182057246</v>
      </c>
      <c r="F2705" s="23">
        <f>AlphaC*(D2705-E2705)</f>
        <v>20.019542330709328</v>
      </c>
      <c r="G2705" s="13">
        <f>Phi*EpsilonF*Botzman/10^8*J2705*((D2705+273)^4-(E2705+273)^4)</f>
        <v>360.24890351670336</v>
      </c>
      <c r="H2705" s="23">
        <f t="shared" si="177"/>
        <v>650</v>
      </c>
      <c r="I2705" s="12">
        <f>ksh*Massivete/(H2705*RhoA)*DeltaT*(F2705+G2705)</f>
        <v>5.608968908555171E-2</v>
      </c>
      <c r="J2705" s="3">
        <f>IF(E2705&lt;=500,IF(Galva=Oui,0.35,0.7),0.7)</f>
        <v>0.7</v>
      </c>
    </row>
    <row r="2706" spans="2:10" x14ac:dyDescent="0.25">
      <c r="B2706" s="3">
        <f>B2705+DeltaT</f>
        <v>13445</v>
      </c>
      <c r="C2706" s="13">
        <f t="shared" ref="C2706:C2769" si="178">B2706/60</f>
        <v>224.08333333333334</v>
      </c>
      <c r="D2706" s="11">
        <f t="shared" ref="D2706:D2769" si="179">20+345*LOG(8*C2706+1,10)</f>
        <v>1142.5408993777569</v>
      </c>
      <c r="E2706" s="23">
        <f t="shared" si="176"/>
        <v>1141.7405078948102</v>
      </c>
      <c r="F2706" s="23">
        <f>AlphaC*(D2706-E2706)</f>
        <v>20.009787073666985</v>
      </c>
      <c r="G2706" s="13">
        <f>Phi*EpsilonF*Botzman/10^8*J2706*((D2706+273)^4-(E2706+273)^4)</f>
        <v>360.1160283931124</v>
      </c>
      <c r="H2706" s="23">
        <f t="shared" si="177"/>
        <v>650</v>
      </c>
      <c r="I2706" s="12">
        <f>ksh*Massivete/(H2706*RhoA)*DeltaT*(F2706+G2706)</f>
        <v>5.6068651069404854E-2</v>
      </c>
      <c r="J2706" s="3">
        <f>IF(E2706&lt;=500,IF(Galva=Oui,0.35,0.7),0.7)</f>
        <v>0.7</v>
      </c>
    </row>
    <row r="2707" spans="2:10" x14ac:dyDescent="0.25">
      <c r="B2707" s="3">
        <f>B2706+DeltaT</f>
        <v>13450</v>
      </c>
      <c r="C2707" s="13">
        <f t="shared" si="178"/>
        <v>224.16666666666666</v>
      </c>
      <c r="D2707" s="11">
        <f t="shared" si="179"/>
        <v>1142.5965781581288</v>
      </c>
      <c r="E2707" s="23">
        <f t="shared" si="176"/>
        <v>1141.7965765458796</v>
      </c>
      <c r="F2707" s="23">
        <f>AlphaC*(D2707-E2707)</f>
        <v>20.000040306229039</v>
      </c>
      <c r="G2707" s="13">
        <f>Phi*EpsilonF*Botzman/10^8*J2707*((D2707+273)^4-(E2707+273)^4)</f>
        <v>359.98325191467529</v>
      </c>
      <c r="H2707" s="23">
        <f t="shared" si="177"/>
        <v>650</v>
      </c>
      <c r="I2707" s="12">
        <f>ksh*Massivete/(H2707*RhoA)*DeltaT*(F2707+G2707)</f>
        <v>5.6047628855661141E-2</v>
      </c>
      <c r="J2707" s="3">
        <f>IF(E2707&lt;=500,IF(Galva=Oui,0.35,0.7),0.7)</f>
        <v>0.7</v>
      </c>
    </row>
    <row r="2708" spans="2:10" x14ac:dyDescent="0.25">
      <c r="B2708" s="3">
        <f>B2707+DeltaT</f>
        <v>13455</v>
      </c>
      <c r="C2708" s="13">
        <f t="shared" si="178"/>
        <v>224.25</v>
      </c>
      <c r="D2708" s="11">
        <f t="shared" si="179"/>
        <v>1142.6522362554465</v>
      </c>
      <c r="E2708" s="23">
        <f t="shared" si="176"/>
        <v>1141.8526241747352</v>
      </c>
      <c r="F2708" s="23">
        <f>AlphaC*(D2708-E2708)</f>
        <v>19.990302017782824</v>
      </c>
      <c r="G2708" s="13">
        <f>Phi*EpsilonF*Botzman/10^8*J2708*((D2708+273)^4-(E2708+273)^4)</f>
        <v>359.85057397137251</v>
      </c>
      <c r="H2708" s="23">
        <f t="shared" si="177"/>
        <v>650</v>
      </c>
      <c r="I2708" s="12">
        <f>ksh*Massivete/(H2708*RhoA)*DeltaT*(F2708+G2708)</f>
        <v>5.6026622426527277E-2</v>
      </c>
      <c r="J2708" s="3">
        <f>IF(E2708&lt;=500,IF(Galva=Oui,0.35,0.7),0.7)</f>
        <v>0.7</v>
      </c>
    </row>
    <row r="2709" spans="2:10" x14ac:dyDescent="0.25">
      <c r="B2709" s="3">
        <f>B2708+DeltaT</f>
        <v>13460</v>
      </c>
      <c r="C2709" s="13">
        <f t="shared" si="178"/>
        <v>224.33333333333334</v>
      </c>
      <c r="D2709" s="11">
        <f t="shared" si="179"/>
        <v>1142.7078736850708</v>
      </c>
      <c r="E2709" s="23">
        <f t="shared" si="176"/>
        <v>1141.9086507971617</v>
      </c>
      <c r="F2709" s="23">
        <f>AlphaC*(D2709-E2709)</f>
        <v>19.980572197727042</v>
      </c>
      <c r="G2709" s="13">
        <f>Phi*EpsilonF*Botzman/10^8*J2709*((D2709+273)^4-(E2709+273)^4)</f>
        <v>359.71799445308756</v>
      </c>
      <c r="H2709" s="23">
        <f t="shared" si="177"/>
        <v>650</v>
      </c>
      <c r="I2709" s="12">
        <f>ksh*Massivete/(H2709*RhoA)*DeltaT*(F2709+G2709)</f>
        <v>5.6005631764197372E-2</v>
      </c>
      <c r="J2709" s="3">
        <f>IF(E2709&lt;=500,IF(Galva=Oui,0.35,0.7),0.7)</f>
        <v>0.7</v>
      </c>
    </row>
    <row r="2710" spans="2:10" x14ac:dyDescent="0.25">
      <c r="B2710" s="3">
        <f>B2709+DeltaT</f>
        <v>13465</v>
      </c>
      <c r="C2710" s="13">
        <f t="shared" si="178"/>
        <v>224.41666666666666</v>
      </c>
      <c r="D2710" s="11">
        <f t="shared" si="179"/>
        <v>1142.7634904623451</v>
      </c>
      <c r="E2710" s="23">
        <f t="shared" si="176"/>
        <v>1141.964656428926</v>
      </c>
      <c r="F2710" s="23">
        <f>AlphaC*(D2710-E2710)</f>
        <v>19.970850835477449</v>
      </c>
      <c r="G2710" s="13">
        <f>Phi*EpsilonF*Botzman/10^8*J2710*((D2710+273)^4-(E2710+273)^4)</f>
        <v>359.58551324989776</v>
      </c>
      <c r="H2710" s="23">
        <f t="shared" si="177"/>
        <v>650</v>
      </c>
      <c r="I2710" s="12">
        <f>ksh*Massivete/(H2710*RhoA)*DeltaT*(F2710+G2710)</f>
        <v>5.5984656850896611E-2</v>
      </c>
      <c r="J2710" s="3">
        <f>IF(E2710&lt;=500,IF(Galva=Oui,0.35,0.7),0.7)</f>
        <v>0.7</v>
      </c>
    </row>
    <row r="2711" spans="2:10" x14ac:dyDescent="0.25">
      <c r="B2711" s="3">
        <f>B2710+DeltaT</f>
        <v>13470</v>
      </c>
      <c r="C2711" s="13">
        <f t="shared" si="178"/>
        <v>224.5</v>
      </c>
      <c r="D2711" s="11">
        <f t="shared" si="179"/>
        <v>1142.8190866025959</v>
      </c>
      <c r="E2711" s="23">
        <f t="shared" si="176"/>
        <v>1142.0206410857768</v>
      </c>
      <c r="F2711" s="23">
        <f>AlphaC*(D2711-E2711)</f>
        <v>19.961137920478222</v>
      </c>
      <c r="G2711" s="13">
        <f>Phi*EpsilonF*Botzman/10^8*J2711*((D2711+273)^4-(E2711+273)^4)</f>
        <v>359.45313025215165</v>
      </c>
      <c r="H2711" s="23">
        <f t="shared" si="177"/>
        <v>650</v>
      </c>
      <c r="I2711" s="12">
        <f>ksh*Massivete/(H2711*RhoA)*DeltaT*(F2711+G2711)</f>
        <v>5.5963697668894405E-2</v>
      </c>
      <c r="J2711" s="3">
        <f>IF(E2711&lt;=500,IF(Galva=Oui,0.35,0.7),0.7)</f>
        <v>0.7</v>
      </c>
    </row>
    <row r="2712" spans="2:10" x14ac:dyDescent="0.25">
      <c r="B2712" s="3">
        <f>B2711+DeltaT</f>
        <v>13475</v>
      </c>
      <c r="C2712" s="13">
        <f t="shared" si="178"/>
        <v>224.58333333333334</v>
      </c>
      <c r="D2712" s="11">
        <f t="shared" si="179"/>
        <v>1142.8746621211324</v>
      </c>
      <c r="E2712" s="23">
        <f t="shared" si="176"/>
        <v>1142.0766047834456</v>
      </c>
      <c r="F2712" s="23">
        <f>AlphaC*(D2712-E2712)</f>
        <v>19.951433442167854</v>
      </c>
      <c r="G2712" s="13">
        <f>Phi*EpsilonF*Botzman/10^8*J2712*((D2712+273)^4-(E2712+273)^4)</f>
        <v>359.32084535015917</v>
      </c>
      <c r="H2712" s="23">
        <f t="shared" si="177"/>
        <v>650</v>
      </c>
      <c r="I2712" s="12">
        <f>ksh*Massivete/(H2712*RhoA)*DeltaT*(F2712+G2712)</f>
        <v>5.5942754200453602E-2</v>
      </c>
      <c r="J2712" s="3">
        <f>IF(E2712&lt;=500,IF(Galva=Oui,0.35,0.7),0.7)</f>
        <v>0.7</v>
      </c>
    </row>
    <row r="2713" spans="2:10" x14ac:dyDescent="0.25">
      <c r="B2713" s="3">
        <f>B2712+DeltaT</f>
        <v>13480</v>
      </c>
      <c r="C2713" s="13">
        <f t="shared" si="178"/>
        <v>224.66666666666666</v>
      </c>
      <c r="D2713" s="11">
        <f t="shared" si="179"/>
        <v>1142.9302170332471</v>
      </c>
      <c r="E2713" s="23">
        <f t="shared" si="176"/>
        <v>1142.1325475376461</v>
      </c>
      <c r="F2713" s="23">
        <f>AlphaC*(D2713-E2713)</f>
        <v>19.941737390024628</v>
      </c>
      <c r="G2713" s="13">
        <f>Phi*EpsilonF*Botzman/10^8*J2713*((D2713+273)^4-(E2713+273)^4)</f>
        <v>359.18865843467592</v>
      </c>
      <c r="H2713" s="23">
        <f t="shared" si="177"/>
        <v>650</v>
      </c>
      <c r="I2713" s="12">
        <f>ksh*Massivete/(H2713*RhoA)*DeltaT*(F2713+G2713)</f>
        <v>5.5921826427908682E-2</v>
      </c>
      <c r="J2713" s="3">
        <f>IF(E2713&lt;=500,IF(Galva=Oui,0.35,0.7),0.7)</f>
        <v>0.7</v>
      </c>
    </row>
    <row r="2714" spans="2:10" x14ac:dyDescent="0.25">
      <c r="B2714" s="3">
        <f>B2713+DeltaT</f>
        <v>13485</v>
      </c>
      <c r="C2714" s="13">
        <f t="shared" si="178"/>
        <v>224.75</v>
      </c>
      <c r="D2714" s="11">
        <f t="shared" si="179"/>
        <v>1142.9857513542152</v>
      </c>
      <c r="E2714" s="23">
        <f t="shared" si="176"/>
        <v>1142.1884693640741</v>
      </c>
      <c r="F2714" s="23">
        <f>AlphaC*(D2714-E2714)</f>
        <v>19.932049753526826</v>
      </c>
      <c r="G2714" s="13">
        <f>Phi*EpsilonF*Botzman/10^8*J2714*((D2714+273)^4-(E2714+273)^4)</f>
        <v>359.05656939632183</v>
      </c>
      <c r="H2714" s="23">
        <f t="shared" si="177"/>
        <v>650</v>
      </c>
      <c r="I2714" s="12">
        <f>ksh*Massivete/(H2714*RhoA)*DeltaT*(F2714+G2714)</f>
        <v>5.5900914333574102E-2</v>
      </c>
      <c r="J2714" s="3">
        <f>IF(E2714&lt;=500,IF(Galva=Oui,0.35,0.7),0.7)</f>
        <v>0.7</v>
      </c>
    </row>
    <row r="2715" spans="2:10" x14ac:dyDescent="0.25">
      <c r="B2715" s="3">
        <f>B2714+DeltaT</f>
        <v>13490</v>
      </c>
      <c r="C2715" s="13">
        <f t="shared" si="178"/>
        <v>224.83333333333334</v>
      </c>
      <c r="D2715" s="11">
        <f t="shared" si="179"/>
        <v>1143.0412650992948</v>
      </c>
      <c r="E2715" s="23">
        <f t="shared" si="176"/>
        <v>1142.2443702784076</v>
      </c>
      <c r="F2715" s="23">
        <f>AlphaC*(D2715-E2715)</f>
        <v>19.922370522181154</v>
      </c>
      <c r="G2715" s="13">
        <f>Phi*EpsilonF*Botzman/10^8*J2715*((D2715+273)^4-(E2715+273)^4)</f>
        <v>358.92457812602686</v>
      </c>
      <c r="H2715" s="23">
        <f t="shared" si="177"/>
        <v>650</v>
      </c>
      <c r="I2715" s="12">
        <f>ksh*Massivete/(H2715*RhoA)*DeltaT*(F2715+G2715)</f>
        <v>5.5880017899814234E-2</v>
      </c>
      <c r="J2715" s="3">
        <f>IF(E2715&lt;=500,IF(Galva=Oui,0.35,0.7),0.7)</f>
        <v>0.7</v>
      </c>
    </row>
    <row r="2716" spans="2:10" x14ac:dyDescent="0.25">
      <c r="B2716" s="3">
        <f>B2715+DeltaT</f>
        <v>13495</v>
      </c>
      <c r="C2716" s="13">
        <f t="shared" si="178"/>
        <v>224.91666666666666</v>
      </c>
      <c r="D2716" s="11">
        <f t="shared" si="179"/>
        <v>1143.0967582837279</v>
      </c>
      <c r="E2716" s="23">
        <f t="shared" si="176"/>
        <v>1142.3002502963075</v>
      </c>
      <c r="F2716" s="23">
        <f>AlphaC*(D2716-E2716)</f>
        <v>19.91269968551137</v>
      </c>
      <c r="G2716" s="13">
        <f>Phi*EpsilonF*Botzman/10^8*J2716*((D2716+273)^4-(E2716+273)^4)</f>
        <v>358.79268451506994</v>
      </c>
      <c r="H2716" s="23">
        <f t="shared" si="177"/>
        <v>650</v>
      </c>
      <c r="I2716" s="12">
        <f>ksh*Massivete/(H2716*RhoA)*DeltaT*(F2716+G2716)</f>
        <v>5.5859137109047455E-2</v>
      </c>
      <c r="J2716" s="3">
        <f>IF(E2716&lt;=500,IF(Galva=Oui,0.35,0.7),0.7)</f>
        <v>0.7</v>
      </c>
    </row>
    <row r="2717" spans="2:10" x14ac:dyDescent="0.25">
      <c r="B2717" s="3">
        <f>B2716+DeltaT</f>
        <v>13500</v>
      </c>
      <c r="C2717" s="13">
        <f t="shared" si="178"/>
        <v>225</v>
      </c>
      <c r="D2717" s="11">
        <f t="shared" si="179"/>
        <v>1143.1522309227389</v>
      </c>
      <c r="E2717" s="23">
        <f t="shared" si="176"/>
        <v>1142.3561094334166</v>
      </c>
      <c r="F2717" s="23">
        <f>AlphaC*(D2717-E2717)</f>
        <v>19.903037233058285</v>
      </c>
      <c r="G2717" s="13">
        <f>Phi*EpsilonF*Botzman/10^8*J2717*((D2717+273)^4-(E2717+273)^4)</f>
        <v>358.66088845463304</v>
      </c>
      <c r="H2717" s="23">
        <f t="shared" si="177"/>
        <v>650</v>
      </c>
      <c r="I2717" s="12">
        <f>ksh*Massivete/(H2717*RhoA)*DeltaT*(F2717+G2717)</f>
        <v>5.583827194368033E-2</v>
      </c>
      <c r="J2717" s="3">
        <f>IF(E2717&lt;=500,IF(Galva=Oui,0.35,0.7),0.7)</f>
        <v>0.7</v>
      </c>
    </row>
    <row r="2718" spans="2:10" x14ac:dyDescent="0.25">
      <c r="B2718" s="3">
        <f>B2717+DeltaT</f>
        <v>13505</v>
      </c>
      <c r="C2718" s="13">
        <f t="shared" si="178"/>
        <v>225.08333333333334</v>
      </c>
      <c r="D2718" s="11">
        <f t="shared" si="179"/>
        <v>1143.2076830315348</v>
      </c>
      <c r="E2718" s="23">
        <f t="shared" si="176"/>
        <v>1142.4119477053603</v>
      </c>
      <c r="F2718" s="23">
        <f>AlphaC*(D2718-E2718)</f>
        <v>19.893383154362709</v>
      </c>
      <c r="G2718" s="13">
        <f>Phi*EpsilonF*Botzman/10^8*J2718*((D2718+273)^4-(E2718+273)^4)</f>
        <v>358.52918983599494</v>
      </c>
      <c r="H2718" s="23">
        <f t="shared" si="177"/>
        <v>650</v>
      </c>
      <c r="I2718" s="12">
        <f>ksh*Massivete/(H2718*RhoA)*DeltaT*(F2718+G2718)</f>
        <v>5.5817422386133742E-2</v>
      </c>
      <c r="J2718" s="3">
        <f>IF(E2718&lt;=500,IF(Galva=Oui,0.35,0.7),0.7)</f>
        <v>0.7</v>
      </c>
    </row>
    <row r="2719" spans="2:10" x14ac:dyDescent="0.25">
      <c r="B2719" s="3">
        <f>B2718+DeltaT</f>
        <v>13510</v>
      </c>
      <c r="C2719" s="13">
        <f t="shared" si="178"/>
        <v>225.16666666666666</v>
      </c>
      <c r="D2719" s="11">
        <f t="shared" si="179"/>
        <v>1143.2631146253068</v>
      </c>
      <c r="E2719" s="23">
        <f t="shared" si="176"/>
        <v>1142.4677651277464</v>
      </c>
      <c r="F2719" s="23">
        <f>AlphaC*(D2719-E2719)</f>
        <v>19.883737439010929</v>
      </c>
      <c r="G2719" s="13">
        <f>Phi*EpsilonF*Botzman/10^8*J2719*((D2719+273)^4-(E2719+273)^4)</f>
        <v>358.39758855088024</v>
      </c>
      <c r="H2719" s="23">
        <f t="shared" si="177"/>
        <v>650</v>
      </c>
      <c r="I2719" s="12">
        <f>ksh*Massivete/(H2719*RhoA)*DeltaT*(F2719+G2719)</f>
        <v>5.5796588418900991E-2</v>
      </c>
      <c r="J2719" s="3">
        <f>IF(E2719&lt;=500,IF(Galva=Oui,0.35,0.7),0.7)</f>
        <v>0.7</v>
      </c>
    </row>
    <row r="2720" spans="2:10" x14ac:dyDescent="0.25">
      <c r="B2720" s="3">
        <f>B2719+DeltaT</f>
        <v>13515</v>
      </c>
      <c r="C2720" s="13">
        <f t="shared" si="178"/>
        <v>225.25</v>
      </c>
      <c r="D2720" s="11">
        <f t="shared" si="179"/>
        <v>1143.3185257192285</v>
      </c>
      <c r="E2720" s="23">
        <f t="shared" si="176"/>
        <v>1142.5235617161652</v>
      </c>
      <c r="F2720" s="23">
        <f>AlphaC*(D2720-E2720)</f>
        <v>19.874100076583545</v>
      </c>
      <c r="G2720" s="13">
        <f>Phi*EpsilonF*Botzman/10^8*J2720*((D2720+273)^4-(E2720+273)^4)</f>
        <v>358.26608449103304</v>
      </c>
      <c r="H2720" s="23">
        <f t="shared" si="177"/>
        <v>650</v>
      </c>
      <c r="I2720" s="12">
        <f>ksh*Massivete/(H2720*RhoA)*DeltaT*(F2720+G2720)</f>
        <v>5.5775770024477464E-2</v>
      </c>
      <c r="J2720" s="3">
        <f>IF(E2720&lt;=500,IF(Galva=Oui,0.35,0.7),0.7)</f>
        <v>0.7</v>
      </c>
    </row>
    <row r="2721" spans="2:10" x14ac:dyDescent="0.25">
      <c r="B2721" s="3">
        <f>B2720+DeltaT</f>
        <v>13520</v>
      </c>
      <c r="C2721" s="13">
        <f t="shared" si="178"/>
        <v>225.33333333333334</v>
      </c>
      <c r="D2721" s="11">
        <f t="shared" si="179"/>
        <v>1143.3739163284572</v>
      </c>
      <c r="E2721" s="23">
        <f t="shared" si="176"/>
        <v>1142.5793374861896</v>
      </c>
      <c r="F2721" s="23">
        <f>AlphaC*(D2721-E2721)</f>
        <v>19.864471056689581</v>
      </c>
      <c r="G2721" s="13">
        <f>Phi*EpsilonF*Botzman/10^8*J2721*((D2721+273)^4-(E2721+273)^4)</f>
        <v>358.13467754831345</v>
      </c>
      <c r="H2721" s="23">
        <f t="shared" si="177"/>
        <v>650</v>
      </c>
      <c r="I2721" s="12">
        <f>ksh*Massivete/(H2721*RhoA)*DeltaT*(F2721+G2721)</f>
        <v>5.5754967185379818E-2</v>
      </c>
      <c r="J2721" s="3">
        <f>IF(E2721&lt;=500,IF(Galva=Oui,0.35,0.7),0.7)</f>
        <v>0.7</v>
      </c>
    </row>
    <row r="2722" spans="2:10" x14ac:dyDescent="0.25">
      <c r="B2722" s="3">
        <f>B2721+DeltaT</f>
        <v>13525</v>
      </c>
      <c r="C2722" s="13">
        <f t="shared" si="178"/>
        <v>225.41666666666666</v>
      </c>
      <c r="D2722" s="11">
        <f t="shared" si="179"/>
        <v>1143.4292864681324</v>
      </c>
      <c r="E2722" s="23">
        <f t="shared" si="176"/>
        <v>1142.6350924533749</v>
      </c>
      <c r="F2722" s="23">
        <f>AlphaC*(D2722-E2722)</f>
        <v>19.85485036893806</v>
      </c>
      <c r="G2722" s="13">
        <f>Phi*EpsilonF*Botzman/10^8*J2722*((D2722+273)^4-(E2722+273)^4)</f>
        <v>358.00336761460119</v>
      </c>
      <c r="H2722" s="23">
        <f t="shared" si="177"/>
        <v>650</v>
      </c>
      <c r="I2722" s="12">
        <f>ksh*Massivete/(H2722*RhoA)*DeltaT*(F2722+G2722)</f>
        <v>5.5734179884127613E-2</v>
      </c>
      <c r="J2722" s="3">
        <f>IF(E2722&lt;=500,IF(Galva=Oui,0.35,0.7),0.7)</f>
        <v>0.7</v>
      </c>
    </row>
    <row r="2723" spans="2:10" x14ac:dyDescent="0.25">
      <c r="B2723" s="3">
        <f>B2722+DeltaT</f>
        <v>13530</v>
      </c>
      <c r="C2723" s="13">
        <f t="shared" si="178"/>
        <v>225.5</v>
      </c>
      <c r="D2723" s="11">
        <f t="shared" si="179"/>
        <v>1143.4846361533785</v>
      </c>
      <c r="E2723" s="23">
        <f t="shared" si="176"/>
        <v>1142.6908266332591</v>
      </c>
      <c r="F2723" s="23">
        <f>AlphaC*(D2723-E2723)</f>
        <v>19.845238002983479</v>
      </c>
      <c r="G2723" s="13">
        <f>Phi*EpsilonF*Botzman/10^8*J2723*((D2723+273)^4-(E2723+273)^4)</f>
        <v>357.87215458235721</v>
      </c>
      <c r="H2723" s="23">
        <f t="shared" si="177"/>
        <v>650</v>
      </c>
      <c r="I2723" s="12">
        <f>ksh*Massivete/(H2723*RhoA)*DeltaT*(F2723+G2723)</f>
        <v>5.5713408103332855E-2</v>
      </c>
      <c r="J2723" s="3">
        <f>IF(E2723&lt;=500,IF(Galva=Oui,0.35,0.7),0.7)</f>
        <v>0.7</v>
      </c>
    </row>
    <row r="2724" spans="2:10" x14ac:dyDescent="0.25">
      <c r="B2724" s="3">
        <f>B2723+DeltaT</f>
        <v>13535</v>
      </c>
      <c r="C2724" s="13">
        <f t="shared" si="178"/>
        <v>225.58333333333334</v>
      </c>
      <c r="D2724" s="11">
        <f t="shared" si="179"/>
        <v>1143.5399653993013</v>
      </c>
      <c r="E2724" s="23">
        <f t="shared" si="176"/>
        <v>1142.7465400413626</v>
      </c>
      <c r="F2724" s="23">
        <f>AlphaC*(D2724-E2724)</f>
        <v>19.835633948468967</v>
      </c>
      <c r="G2724" s="13">
        <f>Phi*EpsilonF*Botzman/10^8*J2724*((D2724+273)^4-(E2724+273)^4)</f>
        <v>357.74103834379071</v>
      </c>
      <c r="H2724" s="23">
        <f t="shared" si="177"/>
        <v>650</v>
      </c>
      <c r="I2724" s="12">
        <f>ksh*Massivete/(H2724*RhoA)*DeltaT*(F2724+G2724)</f>
        <v>5.5692651825568727E-2</v>
      </c>
      <c r="J2724" s="3">
        <f>IF(E2724&lt;=500,IF(Galva=Oui,0.35,0.7),0.7)</f>
        <v>0.7</v>
      </c>
    </row>
    <row r="2725" spans="2:10" x14ac:dyDescent="0.25">
      <c r="B2725" s="3">
        <f>B2724+DeltaT</f>
        <v>13540</v>
      </c>
      <c r="C2725" s="13">
        <f t="shared" si="178"/>
        <v>225.66666666666666</v>
      </c>
      <c r="D2725" s="11">
        <f t="shared" si="179"/>
        <v>1143.5952742209913</v>
      </c>
      <c r="E2725" s="23">
        <f t="shared" si="176"/>
        <v>1142.8022326931882</v>
      </c>
      <c r="F2725" s="23">
        <f>AlphaC*(D2725-E2725)</f>
        <v>19.826038195077444</v>
      </c>
      <c r="G2725" s="13">
        <f>Phi*EpsilonF*Botzman/10^8*J2725*((D2725+273)^4-(E2725+273)^4)</f>
        <v>357.61001879157584</v>
      </c>
      <c r="H2725" s="23">
        <f t="shared" si="177"/>
        <v>650</v>
      </c>
      <c r="I2725" s="12">
        <f>ksh*Massivete/(H2725*RhoA)*DeltaT*(F2725+G2725)</f>
        <v>5.5671911033482874E-2</v>
      </c>
      <c r="J2725" s="3">
        <f>IF(E2725&lt;=500,IF(Galva=Oui,0.35,0.7),0.7)</f>
        <v>0.7</v>
      </c>
    </row>
    <row r="2726" spans="2:10" x14ac:dyDescent="0.25">
      <c r="B2726" s="3">
        <f>B2725+DeltaT</f>
        <v>13545</v>
      </c>
      <c r="C2726" s="13">
        <f t="shared" si="178"/>
        <v>225.75</v>
      </c>
      <c r="D2726" s="11">
        <f t="shared" si="179"/>
        <v>1143.6505626335213</v>
      </c>
      <c r="E2726" s="23">
        <f t="shared" si="176"/>
        <v>1142.8579046042216</v>
      </c>
      <c r="F2726" s="23">
        <f>AlphaC*(D2726-E2726)</f>
        <v>19.81645073249183</v>
      </c>
      <c r="G2726" s="13">
        <f>Phi*EpsilonF*Botzman/10^8*J2726*((D2726+273)^4-(E2726+273)^4)</f>
        <v>357.47909581830925</v>
      </c>
      <c r="H2726" s="23">
        <f t="shared" si="177"/>
        <v>650</v>
      </c>
      <c r="I2726" s="12">
        <f>ksh*Massivete/(H2726*RhoA)*DeltaT*(F2726+G2726)</f>
        <v>5.5651185709711497E-2</v>
      </c>
      <c r="J2726" s="3">
        <f>IF(E2726&lt;=500,IF(Galva=Oui,0.35,0.7),0.7)</f>
        <v>0.7</v>
      </c>
    </row>
    <row r="2727" spans="2:10" x14ac:dyDescent="0.25">
      <c r="B2727" s="3">
        <f>B2726+DeltaT</f>
        <v>13550</v>
      </c>
      <c r="C2727" s="13">
        <f t="shared" si="178"/>
        <v>225.83333333333334</v>
      </c>
      <c r="D2727" s="11">
        <f t="shared" si="179"/>
        <v>1143.7058306519484</v>
      </c>
      <c r="E2727" s="23">
        <f t="shared" si="176"/>
        <v>1142.9135557899313</v>
      </c>
      <c r="F2727" s="23">
        <f>AlphaC*(D2727-E2727)</f>
        <v>19.80687155042915</v>
      </c>
      <c r="G2727" s="13">
        <f>Phi*EpsilonF*Botzman/10^8*J2727*((D2727+273)^4-(E2727+273)^4)</f>
        <v>357.34826931707215</v>
      </c>
      <c r="H2727" s="23">
        <f t="shared" si="177"/>
        <v>650</v>
      </c>
      <c r="I2727" s="12">
        <f>ksh*Massivete/(H2727*RhoA)*DeltaT*(F2727+G2727)</f>
        <v>5.5630475836967314E-2</v>
      </c>
      <c r="J2727" s="3">
        <f>IF(E2727&lt;=500,IF(Galva=Oui,0.35,0.7),0.7)</f>
        <v>0.7</v>
      </c>
    </row>
    <row r="2728" spans="2:10" x14ac:dyDescent="0.25">
      <c r="B2728" s="3">
        <f>B2727+DeltaT</f>
        <v>13555</v>
      </c>
      <c r="C2728" s="13">
        <f t="shared" si="178"/>
        <v>225.91666666666666</v>
      </c>
      <c r="D2728" s="11">
        <f t="shared" si="179"/>
        <v>1143.7610782913121</v>
      </c>
      <c r="E2728" s="23">
        <f t="shared" si="176"/>
        <v>1142.9691862657683</v>
      </c>
      <c r="F2728" s="23">
        <f>AlphaC*(D2728-E2728)</f>
        <v>19.797300638595061</v>
      </c>
      <c r="G2728" s="13">
        <f>Phi*EpsilonF*Botzman/10^8*J2728*((D2728+273)^4-(E2728+273)^4)</f>
        <v>357.21753918059699</v>
      </c>
      <c r="H2728" s="23">
        <f t="shared" si="177"/>
        <v>650</v>
      </c>
      <c r="I2728" s="12">
        <f>ksh*Massivete/(H2728*RhoA)*DeltaT*(F2728+G2728)</f>
        <v>5.560978139790991E-2</v>
      </c>
      <c r="J2728" s="3">
        <f>IF(E2728&lt;=500,IF(Galva=Oui,0.35,0.7),0.7)</f>
        <v>0.7</v>
      </c>
    </row>
    <row r="2729" spans="2:10" x14ac:dyDescent="0.25">
      <c r="B2729" s="3">
        <f>B2728+DeltaT</f>
        <v>13560</v>
      </c>
      <c r="C2729" s="13">
        <f t="shared" si="178"/>
        <v>226</v>
      </c>
      <c r="D2729" s="11">
        <f t="shared" si="179"/>
        <v>1143.8163055666357</v>
      </c>
      <c r="E2729" s="23">
        <f t="shared" si="176"/>
        <v>1143.0247960471661</v>
      </c>
      <c r="F2729" s="23">
        <f>AlphaC*(D2729-E2729)</f>
        <v>19.787737986740694</v>
      </c>
      <c r="G2729" s="13">
        <f>Phi*EpsilonF*Botzman/10^8*J2729*((D2729+273)^4-(E2729+273)^4)</f>
        <v>357.0869053022555</v>
      </c>
      <c r="H2729" s="23">
        <f t="shared" si="177"/>
        <v>650</v>
      </c>
      <c r="I2729" s="12">
        <f>ksh*Massivete/(H2729*RhoA)*DeltaT*(F2729+G2729)</f>
        <v>5.5589102375299883E-2</v>
      </c>
      <c r="J2729" s="3">
        <f>IF(E2729&lt;=500,IF(Galva=Oui,0.35,0.7),0.7)</f>
        <v>0.7</v>
      </c>
    </row>
    <row r="2730" spans="2:10" x14ac:dyDescent="0.25">
      <c r="B2730" s="3">
        <f>B2729+DeltaT</f>
        <v>13565</v>
      </c>
      <c r="C2730" s="13">
        <f t="shared" si="178"/>
        <v>226.08333333333334</v>
      </c>
      <c r="D2730" s="11">
        <f t="shared" si="179"/>
        <v>1143.8715124929261</v>
      </c>
      <c r="E2730" s="23">
        <f t="shared" si="176"/>
        <v>1143.0803851495414</v>
      </c>
      <c r="F2730" s="23">
        <f>AlphaC*(D2730-E2730)</f>
        <v>19.778183584617182</v>
      </c>
      <c r="G2730" s="13">
        <f>Phi*EpsilonF*Botzman/10^8*J2730*((D2730+273)^4-(E2730+273)^4)</f>
        <v>356.95636757526461</v>
      </c>
      <c r="H2730" s="23">
        <f t="shared" si="177"/>
        <v>650</v>
      </c>
      <c r="I2730" s="12">
        <f>ksh*Massivete/(H2730*RhoA)*DeltaT*(F2730+G2730)</f>
        <v>5.5568438751874991E-2</v>
      </c>
      <c r="J2730" s="3">
        <f>IF(E2730&lt;=500,IF(Galva=Oui,0.35,0.7),0.7)</f>
        <v>0.7</v>
      </c>
    </row>
    <row r="2731" spans="2:10" x14ac:dyDescent="0.25">
      <c r="B2731" s="3">
        <f>B2730+DeltaT</f>
        <v>13570</v>
      </c>
      <c r="C2731" s="13">
        <f t="shared" si="178"/>
        <v>226.16666666666666</v>
      </c>
      <c r="D2731" s="11">
        <f t="shared" si="179"/>
        <v>1143.9266990851729</v>
      </c>
      <c r="E2731" s="23">
        <f t="shared" si="176"/>
        <v>1143.1359535882932</v>
      </c>
      <c r="F2731" s="23">
        <f>AlphaC*(D2731-E2731)</f>
        <v>19.768637421992707</v>
      </c>
      <c r="G2731" s="13">
        <f>Phi*EpsilonF*Botzman/10^8*J2731*((D2731+273)^4-(E2731+273)^4)</f>
        <v>356.82592589313185</v>
      </c>
      <c r="H2731" s="23">
        <f t="shared" si="177"/>
        <v>650</v>
      </c>
      <c r="I2731" s="12">
        <f>ksh*Massivete/(H2731*RhoA)*DeltaT*(F2731+G2731)</f>
        <v>5.5547790510418374E-2</v>
      </c>
      <c r="J2731" s="3">
        <f>IF(E2731&lt;=500,IF(Galva=Oui,0.35,0.7),0.7)</f>
        <v>0.7</v>
      </c>
    </row>
    <row r="2732" spans="2:10" x14ac:dyDescent="0.25">
      <c r="B2732" s="3">
        <f>B2731+DeltaT</f>
        <v>13575</v>
      </c>
      <c r="C2732" s="13">
        <f t="shared" si="178"/>
        <v>226.25</v>
      </c>
      <c r="D2732" s="11">
        <f t="shared" si="179"/>
        <v>1143.98186535835</v>
      </c>
      <c r="E2732" s="23">
        <f t="shared" si="176"/>
        <v>1143.1915013788037</v>
      </c>
      <c r="F2732" s="23">
        <f>AlphaC*(D2732-E2732)</f>
        <v>19.759099488658194</v>
      </c>
      <c r="G2732" s="13">
        <f>Phi*EpsilonF*Botzman/10^8*J2732*((D2732+273)^4-(E2732+273)^4)</f>
        <v>356.69558014948103</v>
      </c>
      <c r="H2732" s="23">
        <f t="shared" si="177"/>
        <v>650</v>
      </c>
      <c r="I2732" s="12">
        <f>ksh*Massivete/(H2732*RhoA)*DeltaT*(F2732+G2732)</f>
        <v>5.5527157633733677E-2</v>
      </c>
      <c r="J2732" s="3">
        <f>IF(E2732&lt;=500,IF(Galva=Oui,0.35,0.7),0.7)</f>
        <v>0.7</v>
      </c>
    </row>
    <row r="2733" spans="2:10" x14ac:dyDescent="0.25">
      <c r="B2733" s="3">
        <f>B2732+DeltaT</f>
        <v>13580</v>
      </c>
      <c r="C2733" s="13">
        <f t="shared" si="178"/>
        <v>226.33333333333334</v>
      </c>
      <c r="D2733" s="11">
        <f t="shared" si="179"/>
        <v>1144.0370113274143</v>
      </c>
      <c r="E2733" s="23">
        <f t="shared" si="176"/>
        <v>1143.2470285364375</v>
      </c>
      <c r="F2733" s="23">
        <f>AlphaC*(D2733-E2733)</f>
        <v>19.749569774421616</v>
      </c>
      <c r="G2733" s="13">
        <f>Phi*EpsilonF*Botzman/10^8*J2733*((D2733+273)^4-(E2733+273)^4)</f>
        <v>356.56533023809106</v>
      </c>
      <c r="H2733" s="23">
        <f t="shared" si="177"/>
        <v>650</v>
      </c>
      <c r="I2733" s="12">
        <f>ksh*Massivete/(H2733*RhoA)*DeltaT*(F2733+G2733)</f>
        <v>5.5506540104649935E-2</v>
      </c>
      <c r="J2733" s="3">
        <f>IF(E2733&lt;=500,IF(Galva=Oui,0.35,0.7),0.7)</f>
        <v>0.7</v>
      </c>
    </row>
    <row r="2734" spans="2:10" x14ac:dyDescent="0.25">
      <c r="B2734" s="3">
        <f>B2733+DeltaT</f>
        <v>13585</v>
      </c>
      <c r="C2734" s="13">
        <f t="shared" si="178"/>
        <v>226.41666666666666</v>
      </c>
      <c r="D2734" s="11">
        <f t="shared" si="179"/>
        <v>1144.0921370073065</v>
      </c>
      <c r="E2734" s="23">
        <f t="shared" si="176"/>
        <v>1143.3025350765422</v>
      </c>
      <c r="F2734" s="23">
        <f>AlphaC*(D2734-E2734)</f>
        <v>19.740048269108001</v>
      </c>
      <c r="G2734" s="13">
        <f>Phi*EpsilonF*Botzman/10^8*J2734*((D2734+273)^4-(E2734+273)^4)</f>
        <v>356.43517605316714</v>
      </c>
      <c r="H2734" s="23">
        <f t="shared" si="177"/>
        <v>650</v>
      </c>
      <c r="I2734" s="12">
        <f>ksh*Massivete/(H2734*RhoA)*DeltaT*(F2734+G2734)</f>
        <v>5.5485937906061579E-2</v>
      </c>
      <c r="J2734" s="3">
        <f>IF(E2734&lt;=500,IF(Galva=Oui,0.35,0.7),0.7)</f>
        <v>0.7</v>
      </c>
    </row>
    <row r="2735" spans="2:10" x14ac:dyDescent="0.25">
      <c r="B2735" s="3">
        <f>B2734+DeltaT</f>
        <v>13590</v>
      </c>
      <c r="C2735" s="13">
        <f t="shared" si="178"/>
        <v>226.5</v>
      </c>
      <c r="D2735" s="11">
        <f t="shared" si="179"/>
        <v>1144.1472424129504</v>
      </c>
      <c r="E2735" s="23">
        <f t="shared" si="176"/>
        <v>1143.3580210144482</v>
      </c>
      <c r="F2735" s="23">
        <f>AlphaC*(D2735-E2735)</f>
        <v>19.730534962553747</v>
      </c>
      <c r="G2735" s="13">
        <f>Phi*EpsilonF*Botzman/10^8*J2735*((D2735+273)^4-(E2735+273)^4)</f>
        <v>356.30511748860437</v>
      </c>
      <c r="H2735" s="23">
        <f t="shared" si="177"/>
        <v>650</v>
      </c>
      <c r="I2735" s="12">
        <f>ksh*Massivete/(H2735*RhoA)*DeltaT*(F2735+G2735)</f>
        <v>5.5465351020818981E-2</v>
      </c>
      <c r="J2735" s="3">
        <f>IF(E2735&lt;=500,IF(Galva=Oui,0.35,0.7),0.7)</f>
        <v>0.7</v>
      </c>
    </row>
    <row r="2736" spans="2:10" x14ac:dyDescent="0.25">
      <c r="B2736" s="3">
        <f>B2735+DeltaT</f>
        <v>13595</v>
      </c>
      <c r="C2736" s="13">
        <f t="shared" si="178"/>
        <v>226.58333333333334</v>
      </c>
      <c r="D2736" s="11">
        <f t="shared" si="179"/>
        <v>1144.2023275592535</v>
      </c>
      <c r="E2736" s="23">
        <f t="shared" si="176"/>
        <v>1143.413486365469</v>
      </c>
      <c r="F2736" s="23">
        <f>AlphaC*(D2736-E2736)</f>
        <v>19.721029844612303</v>
      </c>
      <c r="G2736" s="13">
        <f>Phi*EpsilonF*Botzman/10^8*J2736*((D2736+273)^4-(E2736+273)^4)</f>
        <v>356.17515443882115</v>
      </c>
      <c r="H2736" s="23">
        <f t="shared" si="177"/>
        <v>650</v>
      </c>
      <c r="I2736" s="12">
        <f>ksh*Massivete/(H2736*RhoA)*DeltaT*(F2736+G2736)</f>
        <v>5.5444779431852206E-2</v>
      </c>
      <c r="J2736" s="3">
        <f>IF(E2736&lt;=500,IF(Galva=Oui,0.35,0.7),0.7)</f>
        <v>0.7</v>
      </c>
    </row>
    <row r="2737" spans="2:10" x14ac:dyDescent="0.25">
      <c r="B2737" s="3">
        <f>B2736+DeltaT</f>
        <v>13600</v>
      </c>
      <c r="C2737" s="13">
        <f t="shared" si="178"/>
        <v>226.66666666666666</v>
      </c>
      <c r="D2737" s="11">
        <f t="shared" si="179"/>
        <v>1144.257392461107</v>
      </c>
      <c r="E2737" s="23">
        <f t="shared" si="176"/>
        <v>1143.4689311449008</v>
      </c>
      <c r="F2737" s="23">
        <f>AlphaC*(D2737-E2737)</f>
        <v>19.711532905154172</v>
      </c>
      <c r="G2737" s="13">
        <f>Phi*EpsilonF*Botzman/10^8*J2737*((D2737+273)^4-(E2737+273)^4)</f>
        <v>356.04528679813905</v>
      </c>
      <c r="H2737" s="23">
        <f t="shared" si="177"/>
        <v>650</v>
      </c>
      <c r="I2737" s="12">
        <f>ksh*Massivete/(H2737*RhoA)*DeltaT*(F2737+G2737)</f>
        <v>5.5424223122079549E-2</v>
      </c>
      <c r="J2737" s="3">
        <f>IF(E2737&lt;=500,IF(Galva=Oui,0.35,0.7),0.7)</f>
        <v>0.7</v>
      </c>
    </row>
    <row r="2738" spans="2:10" x14ac:dyDescent="0.25">
      <c r="B2738" s="3">
        <f>B2737+DeltaT</f>
        <v>13605</v>
      </c>
      <c r="C2738" s="13">
        <f t="shared" si="178"/>
        <v>226.75</v>
      </c>
      <c r="D2738" s="11">
        <f t="shared" si="179"/>
        <v>1144.3124371333852</v>
      </c>
      <c r="E2738" s="23">
        <f t="shared" si="176"/>
        <v>1143.524355368023</v>
      </c>
      <c r="F2738" s="23">
        <f>AlphaC*(D2738-E2738)</f>
        <v>19.702044134055541</v>
      </c>
      <c r="G2738" s="13">
        <f>Phi*EpsilonF*Botzman/10^8*J2738*((D2738+273)^4-(E2738+273)^4)</f>
        <v>355.91551446103449</v>
      </c>
      <c r="H2738" s="23">
        <f t="shared" si="177"/>
        <v>650</v>
      </c>
      <c r="I2738" s="12">
        <f>ksh*Massivete/(H2738*RhoA)*DeltaT*(F2738+G2738)</f>
        <v>5.540368207444301E-2</v>
      </c>
      <c r="J2738" s="3">
        <f>IF(E2738&lt;=500,IF(Galva=Oui,0.35,0.7),0.7)</f>
        <v>0.7</v>
      </c>
    </row>
    <row r="2739" spans="2:10" x14ac:dyDescent="0.25">
      <c r="B2739" s="3">
        <f>B2738+DeltaT</f>
        <v>13610</v>
      </c>
      <c r="C2739" s="13">
        <f t="shared" si="178"/>
        <v>226.83333333333334</v>
      </c>
      <c r="D2739" s="11">
        <f t="shared" si="179"/>
        <v>1144.367461590947</v>
      </c>
      <c r="E2739" s="23">
        <f t="shared" si="176"/>
        <v>1143.5797590500974</v>
      </c>
      <c r="F2739" s="23">
        <f>AlphaC*(D2739-E2739)</f>
        <v>19.692563521238071</v>
      </c>
      <c r="G2739" s="13">
        <f>Phi*EpsilonF*Botzman/10^8*J2739*((D2739+273)^4-(E2739+273)^4)</f>
        <v>355.78583732252679</v>
      </c>
      <c r="H2739" s="23">
        <f t="shared" si="177"/>
        <v>650</v>
      </c>
      <c r="I2739" s="12">
        <f>ksh*Massivete/(H2739*RhoA)*DeltaT*(F2739+G2739)</f>
        <v>5.5383156271971337E-2</v>
      </c>
      <c r="J2739" s="3">
        <f>IF(E2739&lt;=500,IF(Galva=Oui,0.35,0.7),0.7)</f>
        <v>0.7</v>
      </c>
    </row>
    <row r="2740" spans="2:10" x14ac:dyDescent="0.25">
      <c r="B2740" s="3">
        <f>B2739+DeltaT</f>
        <v>13615</v>
      </c>
      <c r="C2740" s="13">
        <f t="shared" si="178"/>
        <v>226.91666666666666</v>
      </c>
      <c r="D2740" s="11">
        <f t="shared" si="179"/>
        <v>1144.4224658486339</v>
      </c>
      <c r="E2740" s="23">
        <f t="shared" ref="E2740:E2803" si="180">E2739+I2739</f>
        <v>1143.6351422063694</v>
      </c>
      <c r="F2740" s="23">
        <f>AlphaC*(D2740-E2740)</f>
        <v>19.683091056612056</v>
      </c>
      <c r="G2740" s="13">
        <f>Phi*EpsilonF*Botzman/10^8*J2740*((D2740+273)^4-(E2740+273)^4)</f>
        <v>355.65625527730555</v>
      </c>
      <c r="H2740" s="23">
        <f t="shared" ref="H2740:H2803" si="181">IF(E2740&lt;600,425+0.773*E2740-1.69/1000*E2740^2+2.22/1000^2*E2740^3,IF(E2740&lt;735,666+13002/(738-E2740),IF(E2740&lt;900,545+17820/(E2740-731),650)))</f>
        <v>650</v>
      </c>
      <c r="I2740" s="12">
        <f>ksh*Massivete/(H2740*RhoA)*DeltaT*(F2740+G2740)</f>
        <v>5.5362645697642994E-2</v>
      </c>
      <c r="J2740" s="3">
        <f>IF(E2740&lt;=500,IF(Galva=Oui,0.35,0.7),0.7)</f>
        <v>0.7</v>
      </c>
    </row>
    <row r="2741" spans="2:10" x14ac:dyDescent="0.25">
      <c r="B2741" s="3">
        <f>B2740+DeltaT</f>
        <v>13620</v>
      </c>
      <c r="C2741" s="13">
        <f t="shared" si="178"/>
        <v>227</v>
      </c>
      <c r="D2741" s="11">
        <f t="shared" si="179"/>
        <v>1144.4774499212717</v>
      </c>
      <c r="E2741" s="23">
        <f t="shared" si="180"/>
        <v>1143.6905048520671</v>
      </c>
      <c r="F2741" s="23">
        <f>AlphaC*(D2741-E2741)</f>
        <v>19.673626730116212</v>
      </c>
      <c r="G2741" s="13">
        <f>Phi*EpsilonF*Botzman/10^8*J2741*((D2741+273)^4-(E2741+273)^4)</f>
        <v>355.52676822054508</v>
      </c>
      <c r="H2741" s="23">
        <f t="shared" si="181"/>
        <v>650</v>
      </c>
      <c r="I2741" s="12">
        <f>ksh*Massivete/(H2741*RhoA)*DeltaT*(F2741+G2741)</f>
        <v>5.5342150334512126E-2</v>
      </c>
      <c r="J2741" s="3">
        <f>IF(E2741&lt;=500,IF(Galva=Oui,0.35,0.7),0.7)</f>
        <v>0.7</v>
      </c>
    </row>
    <row r="2742" spans="2:10" x14ac:dyDescent="0.25">
      <c r="B2742" s="3">
        <f>B2741+DeltaT</f>
        <v>13625</v>
      </c>
      <c r="C2742" s="13">
        <f t="shared" si="178"/>
        <v>227.08333333333334</v>
      </c>
      <c r="D2742" s="11">
        <f t="shared" si="179"/>
        <v>1144.5324138236697</v>
      </c>
      <c r="E2742" s="23">
        <f t="shared" si="180"/>
        <v>1143.7458470024017</v>
      </c>
      <c r="F2742" s="23">
        <f>AlphaC*(D2742-E2742)</f>
        <v>19.66417053170062</v>
      </c>
      <c r="G2742" s="13">
        <f>Phi*EpsilonF*Botzman/10^8*J2742*((D2742+273)^4-(E2742+273)^4)</f>
        <v>355.39737604740014</v>
      </c>
      <c r="H2742" s="23">
        <f t="shared" si="181"/>
        <v>650</v>
      </c>
      <c r="I2742" s="12">
        <f>ksh*Massivete/(H2742*RhoA)*DeltaT*(F2742+G2742)</f>
        <v>5.5321670165631665E-2</v>
      </c>
      <c r="J2742" s="3">
        <f>IF(E2742&lt;=500,IF(Galva=Oui,0.35,0.7),0.7)</f>
        <v>0.7</v>
      </c>
    </row>
    <row r="2743" spans="2:10" x14ac:dyDescent="0.25">
      <c r="B2743" s="3">
        <f>B2742+DeltaT</f>
        <v>13630</v>
      </c>
      <c r="C2743" s="13">
        <f t="shared" si="178"/>
        <v>227.16666666666666</v>
      </c>
      <c r="D2743" s="11">
        <f t="shared" si="179"/>
        <v>1144.5873575706207</v>
      </c>
      <c r="E2743" s="23">
        <f t="shared" si="180"/>
        <v>1143.8011686725672</v>
      </c>
      <c r="F2743" s="23">
        <f>AlphaC*(D2743-E2743)</f>
        <v>19.654722451338102</v>
      </c>
      <c r="G2743" s="13">
        <f>Phi*EpsilonF*Botzman/10^8*J2743*((D2743+273)^4-(E2743+273)^4)</f>
        <v>355.26807865327748</v>
      </c>
      <c r="H2743" s="23">
        <f t="shared" si="181"/>
        <v>650</v>
      </c>
      <c r="I2743" s="12">
        <f>ksh*Massivete/(H2743*RhoA)*DeltaT*(F2743+G2743)</f>
        <v>5.5301205174095071E-2</v>
      </c>
      <c r="J2743" s="3">
        <f>IF(E2743&lt;=500,IF(Galva=Oui,0.35,0.7),0.7)</f>
        <v>0.7</v>
      </c>
    </row>
    <row r="2744" spans="2:10" x14ac:dyDescent="0.25">
      <c r="B2744" s="3">
        <f>B2743+DeltaT</f>
        <v>13635</v>
      </c>
      <c r="C2744" s="13">
        <f t="shared" si="178"/>
        <v>227.25</v>
      </c>
      <c r="D2744" s="11">
        <f t="shared" si="179"/>
        <v>1144.6422811769016</v>
      </c>
      <c r="E2744" s="23">
        <f t="shared" si="180"/>
        <v>1143.8564698777413</v>
      </c>
      <c r="F2744" s="23">
        <f>AlphaC*(D2744-E2744)</f>
        <v>19.645282479007165</v>
      </c>
      <c r="G2744" s="13">
        <f>Phi*EpsilonF*Botzman/10^8*J2744*((D2744+273)^4-(E2744+273)^4)</f>
        <v>355.13887593360334</v>
      </c>
      <c r="H2744" s="23">
        <f t="shared" si="181"/>
        <v>650</v>
      </c>
      <c r="I2744" s="12">
        <f>ksh*Massivete/(H2744*RhoA)*DeltaT*(F2744+G2744)</f>
        <v>5.5280755342999519E-2</v>
      </c>
      <c r="J2744" s="3">
        <f>IF(E2744&lt;=500,IF(Galva=Oui,0.35,0.7),0.7)</f>
        <v>0.7</v>
      </c>
    </row>
    <row r="2745" spans="2:10" x14ac:dyDescent="0.25">
      <c r="B2745" s="3">
        <f>B2744+DeltaT</f>
        <v>13640</v>
      </c>
      <c r="C2745" s="13">
        <f t="shared" si="178"/>
        <v>227.33333333333334</v>
      </c>
      <c r="D2745" s="11">
        <f t="shared" si="179"/>
        <v>1144.6971846572731</v>
      </c>
      <c r="E2745" s="23">
        <f t="shared" si="180"/>
        <v>1143.9117506330842</v>
      </c>
      <c r="F2745" s="23">
        <f>AlphaC*(D2745-E2745)</f>
        <v>19.635850604720417</v>
      </c>
      <c r="G2745" s="13">
        <f>Phi*EpsilonF*Botzman/10^8*J2745*((D2745+273)^4-(E2745+273)^4)</f>
        <v>355.0097677843271</v>
      </c>
      <c r="H2745" s="23">
        <f t="shared" si="181"/>
        <v>650</v>
      </c>
      <c r="I2745" s="12">
        <f>ksh*Massivete/(H2745*RhoA)*DeltaT*(F2745+G2745)</f>
        <v>5.5260320655524366E-2</v>
      </c>
      <c r="J2745" s="3">
        <f>IF(E2745&lt;=500,IF(Galva=Oui,0.35,0.7),0.7)</f>
        <v>0.7</v>
      </c>
    </row>
    <row r="2746" spans="2:10" x14ac:dyDescent="0.25">
      <c r="B2746" s="3">
        <f>B2745+DeltaT</f>
        <v>13645</v>
      </c>
      <c r="C2746" s="13">
        <f t="shared" si="178"/>
        <v>227.41666666666666</v>
      </c>
      <c r="D2746" s="11">
        <f t="shared" si="179"/>
        <v>1144.7520680264788</v>
      </c>
      <c r="E2746" s="23">
        <f t="shared" si="180"/>
        <v>1143.9670109537399</v>
      </c>
      <c r="F2746" s="23">
        <f>AlphaC*(D2746-E2746)</f>
        <v>19.626426818473419</v>
      </c>
      <c r="G2746" s="13">
        <f>Phi*EpsilonF*Botzman/10^8*J2746*((D2746+273)^4-(E2746+273)^4)</f>
        <v>354.88075410081672</v>
      </c>
      <c r="H2746" s="23">
        <f t="shared" si="181"/>
        <v>650</v>
      </c>
      <c r="I2746" s="12">
        <f>ksh*Massivete/(H2746*RhoA)*DeltaT*(F2746+G2746)</f>
        <v>5.5239901094760714E-2</v>
      </c>
      <c r="J2746" s="3">
        <f>IF(E2746&lt;=500,IF(Galva=Oui,0.35,0.7),0.7)</f>
        <v>0.7</v>
      </c>
    </row>
    <row r="2747" spans="2:10" x14ac:dyDescent="0.25">
      <c r="B2747" s="3">
        <f>B2746+DeltaT</f>
        <v>13650</v>
      </c>
      <c r="C2747" s="13">
        <f t="shared" si="178"/>
        <v>227.5</v>
      </c>
      <c r="D2747" s="11">
        <f t="shared" si="179"/>
        <v>1144.8069312992475</v>
      </c>
      <c r="E2747" s="23">
        <f t="shared" si="180"/>
        <v>1144.0222508548347</v>
      </c>
      <c r="F2747" s="23">
        <f>AlphaC*(D2747-E2747)</f>
        <v>19.617011110318572</v>
      </c>
      <c r="G2747" s="13">
        <f>Phi*EpsilonF*Botzman/10^8*J2747*((D2747+273)^4-(E2747+273)^4)</f>
        <v>354.75183477942863</v>
      </c>
      <c r="H2747" s="23">
        <f t="shared" si="181"/>
        <v>650</v>
      </c>
      <c r="I2747" s="12">
        <f>ksh*Massivete/(H2747*RhoA)*DeltaT*(F2747+G2747)</f>
        <v>5.5219496643953828E-2</v>
      </c>
      <c r="J2747" s="3">
        <f>IF(E2747&lt;=500,IF(Galva=Oui,0.35,0.7),0.7)</f>
        <v>0.7</v>
      </c>
    </row>
    <row r="2748" spans="2:10" x14ac:dyDescent="0.25">
      <c r="B2748" s="3">
        <f>B2747+DeltaT</f>
        <v>13655</v>
      </c>
      <c r="C2748" s="13">
        <f t="shared" si="178"/>
        <v>227.58333333333334</v>
      </c>
      <c r="D2748" s="11">
        <f t="shared" si="179"/>
        <v>1144.8617744902904</v>
      </c>
      <c r="E2748" s="23">
        <f t="shared" si="180"/>
        <v>1144.0774703514787</v>
      </c>
      <c r="F2748" s="23">
        <f>AlphaC*(D2748-E2748)</f>
        <v>19.607603470291224</v>
      </c>
      <c r="G2748" s="13">
        <f>Phi*EpsilonF*Botzman/10^8*J2748*((D2748+273)^4-(E2748+273)^4)</f>
        <v>354.62300971607345</v>
      </c>
      <c r="H2748" s="23">
        <f t="shared" si="181"/>
        <v>650</v>
      </c>
      <c r="I2748" s="12">
        <f>ksh*Massivete/(H2748*RhoA)*DeltaT*(F2748+G2748)</f>
        <v>5.5199107286280719E-2</v>
      </c>
      <c r="J2748" s="3">
        <f>IF(E2748&lt;=500,IF(Galva=Oui,0.35,0.7),0.7)</f>
        <v>0.7</v>
      </c>
    </row>
    <row r="2749" spans="2:10" x14ac:dyDescent="0.25">
      <c r="B2749" s="3">
        <f>B2748+DeltaT</f>
        <v>13660</v>
      </c>
      <c r="C2749" s="13">
        <f t="shared" si="178"/>
        <v>227.66666666666666</v>
      </c>
      <c r="D2749" s="11">
        <f t="shared" si="179"/>
        <v>1144.9165976143036</v>
      </c>
      <c r="E2749" s="23">
        <f t="shared" si="180"/>
        <v>1144.1326694587649</v>
      </c>
      <c r="F2749" s="23">
        <f>AlphaC*(D2749-E2749)</f>
        <v>19.598203888466514</v>
      </c>
      <c r="G2749" s="13">
        <f>Phi*EpsilonF*Botzman/10^8*J2749*((D2749+273)^4-(E2749+273)^4)</f>
        <v>354.49427880716581</v>
      </c>
      <c r="H2749" s="23">
        <f t="shared" si="181"/>
        <v>650</v>
      </c>
      <c r="I2749" s="12">
        <f>ksh*Massivete/(H2749*RhoA)*DeltaT*(F2749+G2749)</f>
        <v>5.5178733004998592E-2</v>
      </c>
      <c r="J2749" s="3">
        <f>IF(E2749&lt;=500,IF(Galva=Oui,0.35,0.7),0.7)</f>
        <v>0.7</v>
      </c>
    </row>
    <row r="2750" spans="2:10" x14ac:dyDescent="0.25">
      <c r="B2750" s="3">
        <f>B2749+DeltaT</f>
        <v>13665</v>
      </c>
      <c r="C2750" s="13">
        <f t="shared" si="178"/>
        <v>227.75</v>
      </c>
      <c r="D2750" s="11">
        <f t="shared" si="179"/>
        <v>1144.9714006859667</v>
      </c>
      <c r="E2750" s="23">
        <f t="shared" si="180"/>
        <v>1144.1878481917699</v>
      </c>
      <c r="F2750" s="23">
        <f>AlphaC*(D2750-E2750)</f>
        <v>19.588812354919583</v>
      </c>
      <c r="G2750" s="13">
        <f>Phi*EpsilonF*Botzman/10^8*J2750*((D2750+273)^4-(E2750+273)^4)</f>
        <v>354.3656419491395</v>
      </c>
      <c r="H2750" s="23">
        <f t="shared" si="181"/>
        <v>650</v>
      </c>
      <c r="I2750" s="12">
        <f>ksh*Massivete/(H2750*RhoA)*DeltaT*(F2750+G2750)</f>
        <v>5.5158373783367493E-2</v>
      </c>
      <c r="J2750" s="3">
        <f>IF(E2750&lt;=500,IF(Galva=Oui,0.35,0.7),0.7)</f>
        <v>0.7</v>
      </c>
    </row>
    <row r="2751" spans="2:10" x14ac:dyDescent="0.25">
      <c r="B2751" s="3">
        <f>B2750+DeltaT</f>
        <v>13670</v>
      </c>
      <c r="C2751" s="13">
        <f t="shared" si="178"/>
        <v>227.83333333333334</v>
      </c>
      <c r="D2751" s="11">
        <f t="shared" si="179"/>
        <v>1145.0261837199432</v>
      </c>
      <c r="E2751" s="23">
        <f t="shared" si="180"/>
        <v>1144.2430065655533</v>
      </c>
      <c r="F2751" s="23">
        <f>AlphaC*(D2751-E2751)</f>
        <v>19.579428859748305</v>
      </c>
      <c r="G2751" s="13">
        <f>Phi*EpsilonF*Botzman/10^8*J2751*((D2751+273)^4-(E2751+273)^4)</f>
        <v>354.23709903848658</v>
      </c>
      <c r="H2751" s="23">
        <f t="shared" si="181"/>
        <v>650</v>
      </c>
      <c r="I2751" s="12">
        <f>ksh*Massivete/(H2751*RhoA)*DeltaT*(F2751+G2751)</f>
        <v>5.5138029604659397E-2</v>
      </c>
      <c r="J2751" s="3">
        <f>IF(E2751&lt;=500,IF(Galva=Oui,0.35,0.7),0.7)</f>
        <v>0.7</v>
      </c>
    </row>
    <row r="2752" spans="2:10" x14ac:dyDescent="0.25">
      <c r="B2752" s="3">
        <f>B2751+DeltaT</f>
        <v>13675</v>
      </c>
      <c r="C2752" s="13">
        <f t="shared" si="178"/>
        <v>227.91666666666666</v>
      </c>
      <c r="D2752" s="11">
        <f t="shared" si="179"/>
        <v>1145.0809467308807</v>
      </c>
      <c r="E2752" s="23">
        <f t="shared" si="180"/>
        <v>1144.298144595158</v>
      </c>
      <c r="F2752" s="23">
        <f>AlphaC*(D2752-E2752)</f>
        <v>19.57005339306761</v>
      </c>
      <c r="G2752" s="13">
        <f>Phi*EpsilonF*Botzman/10^8*J2752*((D2752+273)^4-(E2752+273)^4)</f>
        <v>354.10864997212548</v>
      </c>
      <c r="H2752" s="23">
        <f t="shared" si="181"/>
        <v>650</v>
      </c>
      <c r="I2752" s="12">
        <f>ksh*Massivete/(H2752*RhoA)*DeltaT*(F2752+G2752)</f>
        <v>5.5117700452211718E-2</v>
      </c>
      <c r="J2752" s="3">
        <f>IF(E2752&lt;=500,IF(Galva=Oui,0.35,0.7),0.7)</f>
        <v>0.7</v>
      </c>
    </row>
    <row r="2753" spans="2:10" x14ac:dyDescent="0.25">
      <c r="B2753" s="3">
        <f>B2752+DeltaT</f>
        <v>13680</v>
      </c>
      <c r="C2753" s="13">
        <f t="shared" si="178"/>
        <v>228</v>
      </c>
      <c r="D2753" s="11">
        <f t="shared" si="179"/>
        <v>1145.1356897334101</v>
      </c>
      <c r="E2753" s="23">
        <f t="shared" si="180"/>
        <v>1144.3532622956102</v>
      </c>
      <c r="F2753" s="23">
        <f>AlphaC*(D2753-E2753)</f>
        <v>19.560685944998113</v>
      </c>
      <c r="G2753" s="13">
        <f>Phi*EpsilonF*Botzman/10^8*J2753*((D2753+273)^4-(E2753+273)^4)</f>
        <v>353.98029464674204</v>
      </c>
      <c r="H2753" s="23">
        <f t="shared" si="181"/>
        <v>650</v>
      </c>
      <c r="I2753" s="12">
        <f>ksh*Massivete/(H2753*RhoA)*DeltaT*(F2753+G2753)</f>
        <v>5.5097386309328367E-2</v>
      </c>
      <c r="J2753" s="3">
        <f>IF(E2753&lt;=500,IF(Galva=Oui,0.35,0.7),0.7)</f>
        <v>0.7</v>
      </c>
    </row>
    <row r="2754" spans="2:10" x14ac:dyDescent="0.25">
      <c r="B2754" s="3">
        <f>B2753+DeltaT</f>
        <v>13685</v>
      </c>
      <c r="C2754" s="13">
        <f t="shared" si="178"/>
        <v>228.08333333333334</v>
      </c>
      <c r="D2754" s="11">
        <f t="shared" si="179"/>
        <v>1145.1904127421471</v>
      </c>
      <c r="E2754" s="23">
        <f t="shared" si="180"/>
        <v>1144.4083596819196</v>
      </c>
      <c r="F2754" s="23">
        <f>AlphaC*(D2754-E2754)</f>
        <v>19.551326505688849</v>
      </c>
      <c r="G2754" s="13">
        <f>Phi*EpsilonF*Botzman/10^8*J2754*((D2754+273)^4-(E2754+273)^4)</f>
        <v>353.85203295944848</v>
      </c>
      <c r="H2754" s="23">
        <f t="shared" si="181"/>
        <v>650</v>
      </c>
      <c r="I2754" s="12">
        <f>ksh*Massivete/(H2754*RhoA)*DeltaT*(F2754+G2754)</f>
        <v>5.5077087159380346E-2</v>
      </c>
      <c r="J2754" s="3">
        <f>IF(E2754&lt;=500,IF(Galva=Oui,0.35,0.7),0.7)</f>
        <v>0.7</v>
      </c>
    </row>
    <row r="2755" spans="2:10" x14ac:dyDescent="0.25">
      <c r="B2755" s="3">
        <f>B2754+DeltaT</f>
        <v>13690</v>
      </c>
      <c r="C2755" s="13">
        <f t="shared" si="178"/>
        <v>228.16666666666666</v>
      </c>
      <c r="D2755" s="11">
        <f t="shared" si="179"/>
        <v>1145.2451157716912</v>
      </c>
      <c r="E2755" s="23">
        <f t="shared" si="180"/>
        <v>1144.463436769079</v>
      </c>
      <c r="F2755" s="23">
        <f>AlphaC*(D2755-E2755)</f>
        <v>19.541975065305905</v>
      </c>
      <c r="G2755" s="13">
        <f>Phi*EpsilonF*Botzman/10^8*J2755*((D2755+273)^4-(E2755+273)^4)</f>
        <v>353.72386480757018</v>
      </c>
      <c r="H2755" s="23">
        <f t="shared" si="181"/>
        <v>650</v>
      </c>
      <c r="I2755" s="12">
        <f>ksh*Massivete/(H2755*RhoA)*DeltaT*(F2755+G2755)</f>
        <v>5.5056802985772632E-2</v>
      </c>
      <c r="J2755" s="3">
        <f>IF(E2755&lt;=500,IF(Galva=Oui,0.35,0.7),0.7)</f>
        <v>0.7</v>
      </c>
    </row>
    <row r="2756" spans="2:10" x14ac:dyDescent="0.25">
      <c r="B2756" s="3">
        <f>B2755+DeltaT</f>
        <v>13695</v>
      </c>
      <c r="C2756" s="13">
        <f t="shared" si="178"/>
        <v>228.25</v>
      </c>
      <c r="D2756" s="11">
        <f t="shared" si="179"/>
        <v>1145.2997988366253</v>
      </c>
      <c r="E2756" s="23">
        <f t="shared" si="180"/>
        <v>1144.5184935720647</v>
      </c>
      <c r="F2756" s="23">
        <f>AlphaC*(D2756-E2756)</f>
        <v>19.532631614015372</v>
      </c>
      <c r="G2756" s="13">
        <f>Phi*EpsilonF*Botzman/10^8*J2756*((D2756+273)^4-(E2756+273)^4)</f>
        <v>353.59579008831622</v>
      </c>
      <c r="H2756" s="23">
        <f t="shared" si="181"/>
        <v>650</v>
      </c>
      <c r="I2756" s="12">
        <f>ksh*Massivete/(H2756*RhoA)*DeltaT*(F2756+G2756)</f>
        <v>5.5036533771893027E-2</v>
      </c>
      <c r="J2756" s="3">
        <f>IF(E2756&lt;=500,IF(Galva=Oui,0.35,0.7),0.7)</f>
        <v>0.7</v>
      </c>
    </row>
    <row r="2757" spans="2:10" x14ac:dyDescent="0.25">
      <c r="B2757" s="3">
        <f>B2756+DeltaT</f>
        <v>13700</v>
      </c>
      <c r="C2757" s="13">
        <f t="shared" si="178"/>
        <v>228.33333333333334</v>
      </c>
      <c r="D2757" s="11">
        <f t="shared" si="179"/>
        <v>1145.3544619515174</v>
      </c>
      <c r="E2757" s="23">
        <f t="shared" si="180"/>
        <v>1144.5735301058367</v>
      </c>
      <c r="F2757" s="23">
        <f>AlphaC*(D2757-E2757)</f>
        <v>19.523296142017443</v>
      </c>
      <c r="G2757" s="13">
        <f>Phi*EpsilonF*Botzman/10^8*J2757*((D2757+273)^4-(E2757+273)^4)</f>
        <v>353.46780869928324</v>
      </c>
      <c r="H2757" s="23">
        <f t="shared" si="181"/>
        <v>650</v>
      </c>
      <c r="I2757" s="12">
        <f>ksh*Massivete/(H2757*RhoA)*DeltaT*(F2757+G2757)</f>
        <v>5.5016279501191541E-2</v>
      </c>
      <c r="J2757" s="3">
        <f>IF(E2757&lt;=500,IF(Galva=Oui,0.35,0.7),0.7)</f>
        <v>0.7</v>
      </c>
    </row>
    <row r="2758" spans="2:10" x14ac:dyDescent="0.25">
      <c r="B2758" s="3">
        <f>B2757+DeltaT</f>
        <v>13705</v>
      </c>
      <c r="C2758" s="13">
        <f t="shared" si="178"/>
        <v>228.41666666666666</v>
      </c>
      <c r="D2758" s="11">
        <f t="shared" si="179"/>
        <v>1145.4091051309181</v>
      </c>
      <c r="E2758" s="23">
        <f t="shared" si="180"/>
        <v>1144.6285463853378</v>
      </c>
      <c r="F2758" s="23">
        <f>AlphaC*(D2758-E2758)</f>
        <v>19.513968639506629</v>
      </c>
      <c r="G2758" s="13">
        <f>Phi*EpsilonF*Botzman/10^8*J2758*((D2758+273)^4-(E2758+273)^4)</f>
        <v>353.33992053793241</v>
      </c>
      <c r="H2758" s="23">
        <f t="shared" si="181"/>
        <v>650</v>
      </c>
      <c r="I2758" s="12">
        <f>ksh*Massivete/(H2758*RhoA)*DeltaT*(F2758+G2758)</f>
        <v>5.4996040157097352E-2</v>
      </c>
      <c r="J2758" s="3">
        <f>IF(E2758&lt;=500,IF(Galva=Oui,0.35,0.7),0.7)</f>
        <v>0.7</v>
      </c>
    </row>
    <row r="2759" spans="2:10" x14ac:dyDescent="0.25">
      <c r="B2759" s="3">
        <f>B2758+DeltaT</f>
        <v>13710</v>
      </c>
      <c r="C2759" s="13">
        <f t="shared" si="178"/>
        <v>228.5</v>
      </c>
      <c r="D2759" s="11">
        <f t="shared" si="179"/>
        <v>1145.4637283893637</v>
      </c>
      <c r="E2759" s="23">
        <f t="shared" si="180"/>
        <v>1144.6835424254948</v>
      </c>
      <c r="F2759" s="23">
        <f>AlphaC*(D2759-E2759)</f>
        <v>19.504649096722915</v>
      </c>
      <c r="G2759" s="13">
        <f>Phi*EpsilonF*Botzman/10^8*J2759*((D2759+273)^4-(E2759+273)^4)</f>
        <v>353.21212550236424</v>
      </c>
      <c r="H2759" s="23">
        <f t="shared" si="181"/>
        <v>650</v>
      </c>
      <c r="I2759" s="12">
        <f>ksh*Massivete/(H2759*RhoA)*DeltaT*(F2759+G2759)</f>
        <v>5.4975815723140663E-2</v>
      </c>
      <c r="J2759" s="3">
        <f>IF(E2759&lt;=500,IF(Galva=Oui,0.35,0.7),0.7)</f>
        <v>0.7</v>
      </c>
    </row>
    <row r="2760" spans="2:10" x14ac:dyDescent="0.25">
      <c r="B2760" s="3">
        <f>B2759+DeltaT</f>
        <v>13715</v>
      </c>
      <c r="C2760" s="13">
        <f t="shared" si="178"/>
        <v>228.58333333333334</v>
      </c>
      <c r="D2760" s="11">
        <f t="shared" si="179"/>
        <v>1145.5183317413735</v>
      </c>
      <c r="E2760" s="23">
        <f t="shared" si="180"/>
        <v>1144.7385182412179</v>
      </c>
      <c r="F2760" s="23">
        <f>AlphaC*(D2760-E2760)</f>
        <v>19.495337503889232</v>
      </c>
      <c r="G2760" s="13">
        <f>Phi*EpsilonF*Botzman/10^8*J2760*((D2760+273)^4-(E2760+273)^4)</f>
        <v>353.08442349019481</v>
      </c>
      <c r="H2760" s="23">
        <f t="shared" si="181"/>
        <v>650</v>
      </c>
      <c r="I2760" s="12">
        <f>ksh*Massivete/(H2760*RhoA)*DeltaT*(F2760+G2760)</f>
        <v>5.49556061827777E-2</v>
      </c>
      <c r="J2760" s="3">
        <f>IF(E2760&lt;=500,IF(Galva=Oui,0.35,0.7),0.7)</f>
        <v>0.7</v>
      </c>
    </row>
    <row r="2761" spans="2:10" x14ac:dyDescent="0.25">
      <c r="B2761" s="3">
        <f>B2760+DeltaT</f>
        <v>13720</v>
      </c>
      <c r="C2761" s="13">
        <f t="shared" si="178"/>
        <v>228.66666666666666</v>
      </c>
      <c r="D2761" s="11">
        <f t="shared" si="179"/>
        <v>1145.5729152014515</v>
      </c>
      <c r="E2761" s="23">
        <f t="shared" si="180"/>
        <v>1144.7934738474007</v>
      </c>
      <c r="F2761" s="23">
        <f>AlphaC*(D2761-E2761)</f>
        <v>19.486033851268303</v>
      </c>
      <c r="G2761" s="13">
        <f>Phi*EpsilonF*Botzman/10^8*J2761*((D2761+273)^4-(E2761+273)^4)</f>
        <v>352.95681439981536</v>
      </c>
      <c r="H2761" s="23">
        <f t="shared" si="181"/>
        <v>650</v>
      </c>
      <c r="I2761" s="12">
        <f>ksh*Massivete/(H2761*RhoA)*DeltaT*(F2761+G2761)</f>
        <v>5.4935411519584892E-2</v>
      </c>
      <c r="J2761" s="3">
        <f>IF(E2761&lt;=500,IF(Galva=Oui,0.35,0.7),0.7)</f>
        <v>0.7</v>
      </c>
    </row>
    <row r="2762" spans="2:10" x14ac:dyDescent="0.25">
      <c r="B2762" s="3">
        <f>B2761+DeltaT</f>
        <v>13725</v>
      </c>
      <c r="C2762" s="13">
        <f t="shared" si="178"/>
        <v>228.75</v>
      </c>
      <c r="D2762" s="11">
        <f t="shared" si="179"/>
        <v>1145.627478784085</v>
      </c>
      <c r="E2762" s="23">
        <f t="shared" si="180"/>
        <v>1144.8484092589204</v>
      </c>
      <c r="F2762" s="23">
        <f>AlphaC*(D2762-E2762)</f>
        <v>19.476738129117166</v>
      </c>
      <c r="G2762" s="13">
        <f>Phi*EpsilonF*Botzman/10^8*J2762*((D2762+273)^4-(E2762+273)^4)</f>
        <v>352.82929812907457</v>
      </c>
      <c r="H2762" s="23">
        <f t="shared" si="181"/>
        <v>650</v>
      </c>
      <c r="I2762" s="12">
        <f>ksh*Massivete/(H2762*RhoA)*DeltaT*(F2762+G2762)</f>
        <v>5.4915231717057804E-2</v>
      </c>
      <c r="J2762" s="3">
        <f>IF(E2762&lt;=500,IF(Galva=Oui,0.35,0.7),0.7)</f>
        <v>0.7</v>
      </c>
    </row>
    <row r="2763" spans="2:10" x14ac:dyDescent="0.25">
      <c r="B2763" s="3">
        <f>B2762+DeltaT</f>
        <v>13730</v>
      </c>
      <c r="C2763" s="13">
        <f t="shared" si="178"/>
        <v>228.83333333333334</v>
      </c>
      <c r="D2763" s="11">
        <f t="shared" si="179"/>
        <v>1145.682022503747</v>
      </c>
      <c r="E2763" s="23">
        <f t="shared" si="180"/>
        <v>1144.9033244906375</v>
      </c>
      <c r="F2763" s="23">
        <f>AlphaC*(D2763-E2763)</f>
        <v>19.467450327738334</v>
      </c>
      <c r="G2763" s="13">
        <f>Phi*EpsilonF*Botzman/10^8*J2763*((D2763+273)^4-(E2763+273)^4)</f>
        <v>352.70187457679009</v>
      </c>
      <c r="H2763" s="23">
        <f t="shared" si="181"/>
        <v>650</v>
      </c>
      <c r="I2763" s="12">
        <f>ksh*Massivete/(H2763*RhoA)*DeltaT*(F2763+G2763)</f>
        <v>5.4895066758841635E-2</v>
      </c>
      <c r="J2763" s="3">
        <f>IF(E2763&lt;=500,IF(Galva=Oui,0.35,0.7),0.7)</f>
        <v>0.7</v>
      </c>
    </row>
    <row r="2764" spans="2:10" x14ac:dyDescent="0.25">
      <c r="B2764" s="3">
        <f>B2763+DeltaT</f>
        <v>13735</v>
      </c>
      <c r="C2764" s="13">
        <f t="shared" si="178"/>
        <v>228.91666666666666</v>
      </c>
      <c r="D2764" s="11">
        <f t="shared" si="179"/>
        <v>1145.7365463748934</v>
      </c>
      <c r="E2764" s="23">
        <f t="shared" si="180"/>
        <v>1144.9582195573964</v>
      </c>
      <c r="F2764" s="23">
        <f>AlphaC*(D2764-E2764)</f>
        <v>19.45817043742295</v>
      </c>
      <c r="G2764" s="13">
        <f>Phi*EpsilonF*Botzman/10^8*J2764*((D2764+273)^4-(E2764+273)^4)</f>
        <v>352.57454364131439</v>
      </c>
      <c r="H2764" s="23">
        <f t="shared" si="181"/>
        <v>650</v>
      </c>
      <c r="I2764" s="12">
        <f>ksh*Massivete/(H2764*RhoA)*DeltaT*(F2764+G2764)</f>
        <v>5.4874916628511294E-2</v>
      </c>
      <c r="J2764" s="3">
        <f>IF(E2764&lt;=500,IF(Galva=Oui,0.35,0.7),0.7)</f>
        <v>0.7</v>
      </c>
    </row>
    <row r="2765" spans="2:10" x14ac:dyDescent="0.25">
      <c r="B2765" s="3">
        <f>B2764+DeltaT</f>
        <v>13740</v>
      </c>
      <c r="C2765" s="13">
        <f t="shared" si="178"/>
        <v>229</v>
      </c>
      <c r="D2765" s="11">
        <f t="shared" si="179"/>
        <v>1145.7910504119645</v>
      </c>
      <c r="E2765" s="23">
        <f t="shared" si="180"/>
        <v>1145.0130944740249</v>
      </c>
      <c r="F2765" s="23">
        <f>AlphaC*(D2765-E2765)</f>
        <v>19.448898448490581</v>
      </c>
      <c r="G2765" s="13">
        <f>Phi*EpsilonF*Botzman/10^8*J2765*((D2765+273)^4-(E2765+273)^4)</f>
        <v>352.44730522134887</v>
      </c>
      <c r="H2765" s="23">
        <f t="shared" si="181"/>
        <v>650</v>
      </c>
      <c r="I2765" s="12">
        <f>ksh*Massivete/(H2765*RhoA)*DeltaT*(F2765+G2765)</f>
        <v>5.4854781309697342E-2</v>
      </c>
      <c r="J2765" s="3">
        <f>IF(E2765&lt;=500,IF(Galva=Oui,0.35,0.7),0.7)</f>
        <v>0.7</v>
      </c>
    </row>
    <row r="2766" spans="2:10" x14ac:dyDescent="0.25">
      <c r="B2766" s="3">
        <f>B2765+DeltaT</f>
        <v>13745</v>
      </c>
      <c r="C2766" s="13">
        <f t="shared" si="178"/>
        <v>229.08333333333334</v>
      </c>
      <c r="D2766" s="11">
        <f t="shared" si="179"/>
        <v>1145.8455346293858</v>
      </c>
      <c r="E2766" s="23">
        <f t="shared" si="180"/>
        <v>1145.0679492553345</v>
      </c>
      <c r="F2766" s="23">
        <f>AlphaC*(D2766-E2766)</f>
        <v>19.43963435128353</v>
      </c>
      <c r="G2766" s="13">
        <f>Phi*EpsilonF*Botzman/10^8*J2766*((D2766+273)^4-(E2766+273)^4)</f>
        <v>352.32015921604057</v>
      </c>
      <c r="H2766" s="23">
        <f t="shared" si="181"/>
        <v>650</v>
      </c>
      <c r="I2766" s="12">
        <f>ksh*Massivete/(H2766*RhoA)*DeltaT*(F2766+G2766)</f>
        <v>5.4834660786099429E-2</v>
      </c>
      <c r="J2766" s="3">
        <f>IF(E2766&lt;=500,IF(Galva=Oui,0.35,0.7),0.7)</f>
        <v>0.7</v>
      </c>
    </row>
    <row r="2767" spans="2:10" x14ac:dyDescent="0.25">
      <c r="B2767" s="3">
        <f>B2766+DeltaT</f>
        <v>13750</v>
      </c>
      <c r="C2767" s="13">
        <f t="shared" si="178"/>
        <v>229.16666666666666</v>
      </c>
      <c r="D2767" s="11">
        <f t="shared" si="179"/>
        <v>1145.8999990415655</v>
      </c>
      <c r="E2767" s="23">
        <f t="shared" si="180"/>
        <v>1145.1227839161206</v>
      </c>
      <c r="F2767" s="23">
        <f>AlphaC*(D2767-E2767)</f>
        <v>19.430378136121362</v>
      </c>
      <c r="G2767" s="13">
        <f>Phi*EpsilonF*Botzman/10^8*J2767*((D2767+273)^4-(E2767+273)^4)</f>
        <v>352.1931055237614</v>
      </c>
      <c r="H2767" s="23">
        <f t="shared" si="181"/>
        <v>650</v>
      </c>
      <c r="I2767" s="12">
        <f>ksh*Massivete/(H2767*RhoA)*DeltaT*(F2767+G2767)</f>
        <v>5.481455504129952E-2</v>
      </c>
      <c r="J2767" s="3">
        <f>IF(E2767&lt;=500,IF(Galva=Oui,0.35,0.7),0.7)</f>
        <v>0.7</v>
      </c>
    </row>
    <row r="2768" spans="2:10" x14ac:dyDescent="0.25">
      <c r="B2768" s="3">
        <f>B2767+DeltaT</f>
        <v>13755</v>
      </c>
      <c r="C2768" s="13">
        <f t="shared" si="178"/>
        <v>229.25</v>
      </c>
      <c r="D2768" s="11">
        <f t="shared" si="179"/>
        <v>1145.9544436628971</v>
      </c>
      <c r="E2768" s="23">
        <f t="shared" si="180"/>
        <v>1145.1775984711619</v>
      </c>
      <c r="F2768" s="23">
        <f>AlphaC*(D2768-E2768)</f>
        <v>19.421129793380487</v>
      </c>
      <c r="G2768" s="13">
        <f>Phi*EpsilonF*Botzman/10^8*J2768*((D2768+273)^4-(E2768+273)^4)</f>
        <v>352.06614404394918</v>
      </c>
      <c r="H2768" s="23">
        <f t="shared" si="181"/>
        <v>650</v>
      </c>
      <c r="I2768" s="12">
        <f>ksh*Massivete/(H2768*RhoA)*DeltaT*(F2768+G2768)</f>
        <v>5.4794464059045193E-2</v>
      </c>
      <c r="J2768" s="3">
        <f>IF(E2768&lt;=500,IF(Galva=Oui,0.35,0.7),0.7)</f>
        <v>0.7</v>
      </c>
    </row>
    <row r="2769" spans="2:10" x14ac:dyDescent="0.25">
      <c r="B2769" s="3">
        <f>B2768+DeltaT</f>
        <v>13760</v>
      </c>
      <c r="C2769" s="13">
        <f t="shared" si="178"/>
        <v>229.33333333333334</v>
      </c>
      <c r="D2769" s="11">
        <f t="shared" si="179"/>
        <v>1146.0088685077587</v>
      </c>
      <c r="E2769" s="23">
        <f t="shared" si="180"/>
        <v>1145.232392935221</v>
      </c>
      <c r="F2769" s="23">
        <f>AlphaC*(D2769-E2769)</f>
        <v>19.411889313442998</v>
      </c>
      <c r="G2769" s="13">
        <f>Phi*EpsilonF*Botzman/10^8*J2769*((D2769+273)^4-(E2769+273)^4)</f>
        <v>351.93927467602225</v>
      </c>
      <c r="H2769" s="23">
        <f t="shared" si="181"/>
        <v>650</v>
      </c>
      <c r="I2769" s="12">
        <f>ksh*Massivete/(H2769*RhoA)*DeltaT*(F2769+G2769)</f>
        <v>5.4774387823081978E-2</v>
      </c>
      <c r="J2769" s="3">
        <f>IF(E2769&lt;=500,IF(Galva=Oui,0.35,0.7),0.7)</f>
        <v>0.7</v>
      </c>
    </row>
    <row r="2770" spans="2:10" x14ac:dyDescent="0.25">
      <c r="B2770" s="3">
        <f>B2769+DeltaT</f>
        <v>13765</v>
      </c>
      <c r="C2770" s="13">
        <f t="shared" ref="C2770:C2833" si="182">B2770/60</f>
        <v>229.41666666666666</v>
      </c>
      <c r="D2770" s="11">
        <f t="shared" ref="D2770:D2833" si="183">20+345*LOG(8*C2770+1,10)</f>
        <v>1146.0632735905122</v>
      </c>
      <c r="E2770" s="23">
        <f t="shared" si="180"/>
        <v>1145.2871673230441</v>
      </c>
      <c r="F2770" s="23">
        <f>AlphaC*(D2770-E2770)</f>
        <v>19.402656686702358</v>
      </c>
      <c r="G2770" s="13">
        <f>Phi*EpsilonF*Botzman/10^8*J2770*((D2770+273)^4-(E2770+273)^4)</f>
        <v>351.81249731928278</v>
      </c>
      <c r="H2770" s="23">
        <f t="shared" si="181"/>
        <v>650</v>
      </c>
      <c r="I2770" s="12">
        <f>ksh*Massivete/(H2770*RhoA)*DeltaT*(F2770+G2770)</f>
        <v>5.4754326317139959E-2</v>
      </c>
      <c r="J2770" s="3">
        <f>IF(E2770&lt;=500,IF(Galva=Oui,0.35,0.7),0.7)</f>
        <v>0.7</v>
      </c>
    </row>
    <row r="2771" spans="2:10" x14ac:dyDescent="0.25">
      <c r="B2771" s="3">
        <f>B2770+DeltaT</f>
        <v>13770</v>
      </c>
      <c r="C2771" s="13">
        <f t="shared" si="182"/>
        <v>229.5</v>
      </c>
      <c r="D2771" s="11">
        <f t="shared" si="183"/>
        <v>1146.1176589255037</v>
      </c>
      <c r="E2771" s="23">
        <f t="shared" si="180"/>
        <v>1145.3419216493612</v>
      </c>
      <c r="F2771" s="23">
        <f>AlphaC*(D2771-E2771)</f>
        <v>19.393431903563396</v>
      </c>
      <c r="G2771" s="13">
        <f>Phi*EpsilonF*Botzman/10^8*J2771*((D2771+273)^4-(E2771+273)^4)</f>
        <v>351.68581187340118</v>
      </c>
      <c r="H2771" s="23">
        <f t="shared" si="181"/>
        <v>650</v>
      </c>
      <c r="I2771" s="12">
        <f>ksh*Massivete/(H2771*RhoA)*DeltaT*(F2771+G2771)</f>
        <v>5.473427952500521E-2</v>
      </c>
      <c r="J2771" s="3">
        <f>IF(E2771&lt;=500,IF(Galva=Oui,0.35,0.7),0.7)</f>
        <v>0.7</v>
      </c>
    </row>
    <row r="2772" spans="2:10" x14ac:dyDescent="0.25">
      <c r="B2772" s="3">
        <f>B2771+DeltaT</f>
        <v>13775</v>
      </c>
      <c r="C2772" s="13">
        <f t="shared" si="182"/>
        <v>229.58333333333334</v>
      </c>
      <c r="D2772" s="11">
        <f t="shared" si="183"/>
        <v>1146.1720245270642</v>
      </c>
      <c r="E2772" s="23">
        <f t="shared" si="180"/>
        <v>1145.3966559288863</v>
      </c>
      <c r="F2772" s="23">
        <f>AlphaC*(D2772-E2772)</f>
        <v>19.384214954447998</v>
      </c>
      <c r="G2772" s="13">
        <f>Phi*EpsilonF*Botzman/10^8*J2772*((D2772+273)^4-(E2772+273)^4)</f>
        <v>351.55921823793142</v>
      </c>
      <c r="H2772" s="23">
        <f t="shared" si="181"/>
        <v>650</v>
      </c>
      <c r="I2772" s="12">
        <f>ksh*Massivete/(H2772*RhoA)*DeltaT*(F2772+G2772)</f>
        <v>5.4714247430449128E-2</v>
      </c>
      <c r="J2772" s="3">
        <f>IF(E2772&lt;=500,IF(Galva=Oui,0.35,0.7),0.7)</f>
        <v>0.7</v>
      </c>
    </row>
    <row r="2773" spans="2:10" x14ac:dyDescent="0.25">
      <c r="B2773" s="3">
        <f>B2772+DeltaT</f>
        <v>13780</v>
      </c>
      <c r="C2773" s="13">
        <f t="shared" si="182"/>
        <v>229.66666666666666</v>
      </c>
      <c r="D2773" s="11">
        <f t="shared" si="183"/>
        <v>1146.2263704095085</v>
      </c>
      <c r="E2773" s="23">
        <f t="shared" si="180"/>
        <v>1145.4513701763167</v>
      </c>
      <c r="F2773" s="23">
        <f>AlphaC*(D2773-E2773)</f>
        <v>19.3750058297951</v>
      </c>
      <c r="G2773" s="13">
        <f>Phi*EpsilonF*Botzman/10^8*J2773*((D2773+273)^4-(E2773+273)^4)</f>
        <v>351.43271631281516</v>
      </c>
      <c r="H2773" s="23">
        <f t="shared" si="181"/>
        <v>650</v>
      </c>
      <c r="I2773" s="12">
        <f>ksh*Massivete/(H2773*RhoA)*DeltaT*(F2773+G2773)</f>
        <v>5.4694230017302836E-2</v>
      </c>
      <c r="J2773" s="3">
        <f>IF(E2773&lt;=500,IF(Galva=Oui,0.35,0.7),0.7)</f>
        <v>0.7</v>
      </c>
    </row>
    <row r="2774" spans="2:10" x14ac:dyDescent="0.25">
      <c r="B2774" s="3">
        <f>B2773+DeltaT</f>
        <v>13785</v>
      </c>
      <c r="C2774" s="13">
        <f t="shared" si="182"/>
        <v>229.75</v>
      </c>
      <c r="D2774" s="11">
        <f t="shared" si="183"/>
        <v>1146.2806965871366</v>
      </c>
      <c r="E2774" s="23">
        <f t="shared" si="180"/>
        <v>1145.506064406334</v>
      </c>
      <c r="F2774" s="23">
        <f>AlphaC*(D2774-E2774)</f>
        <v>19.365804520066376</v>
      </c>
      <c r="G2774" s="13">
        <f>Phi*EpsilonF*Botzman/10^8*J2774*((D2774+273)^4-(E2774+273)^4)</f>
        <v>351.30630599818795</v>
      </c>
      <c r="H2774" s="23">
        <f t="shared" si="181"/>
        <v>650</v>
      </c>
      <c r="I2774" s="12">
        <f>ksh*Massivete/(H2774*RhoA)*DeltaT*(F2774+G2774)</f>
        <v>5.4674227269429394E-2</v>
      </c>
      <c r="J2774" s="3">
        <f>IF(E2774&lt;=500,IF(Galva=Oui,0.35,0.7),0.7)</f>
        <v>0.7</v>
      </c>
    </row>
    <row r="2775" spans="2:10" x14ac:dyDescent="0.25">
      <c r="B2775" s="3">
        <f>B2774+DeltaT</f>
        <v>13790</v>
      </c>
      <c r="C2775" s="13">
        <f t="shared" si="182"/>
        <v>229.83333333333334</v>
      </c>
      <c r="D2775" s="11">
        <f t="shared" si="183"/>
        <v>1146.3350030742324</v>
      </c>
      <c r="E2775" s="23">
        <f t="shared" si="180"/>
        <v>1145.5607386336035</v>
      </c>
      <c r="F2775" s="23">
        <f>AlphaC*(D2775-E2775)</f>
        <v>19.356611015723502</v>
      </c>
      <c r="G2775" s="13">
        <f>Phi*EpsilonF*Botzman/10^8*J2775*((D2775+273)^4-(E2775+273)^4)</f>
        <v>351.17998719408831</v>
      </c>
      <c r="H2775" s="23">
        <f t="shared" si="181"/>
        <v>650</v>
      </c>
      <c r="I2775" s="12">
        <f>ksh*Massivete/(H2775*RhoA)*DeltaT*(F2775+G2775)</f>
        <v>5.4654239170677556E-2</v>
      </c>
      <c r="J2775" s="3">
        <f>IF(E2775&lt;=500,IF(Galva=Oui,0.35,0.7),0.7)</f>
        <v>0.7</v>
      </c>
    </row>
    <row r="2776" spans="2:10" x14ac:dyDescent="0.25">
      <c r="B2776" s="3">
        <f>B2775+DeltaT</f>
        <v>13795</v>
      </c>
      <c r="C2776" s="13">
        <f t="shared" si="182"/>
        <v>229.91666666666666</v>
      </c>
      <c r="D2776" s="11">
        <f t="shared" si="183"/>
        <v>1146.389289885064</v>
      </c>
      <c r="E2776" s="23">
        <f t="shared" si="180"/>
        <v>1145.6153928727742</v>
      </c>
      <c r="F2776" s="23">
        <f>AlphaC*(D2776-E2776)</f>
        <v>19.347425307245203</v>
      </c>
      <c r="G2776" s="13">
        <f>Phi*EpsilonF*Botzman/10^8*J2776*((D2776+273)^4-(E2776+273)^4)</f>
        <v>351.05375980067106</v>
      </c>
      <c r="H2776" s="23">
        <f t="shared" si="181"/>
        <v>650</v>
      </c>
      <c r="I2776" s="12">
        <f>ksh*Massivete/(H2776*RhoA)*DeltaT*(F2776+G2776)</f>
        <v>5.4634265704915745E-2</v>
      </c>
      <c r="J2776" s="3">
        <f>IF(E2776&lt;=500,IF(Galva=Oui,0.35,0.7),0.7)</f>
        <v>0.7</v>
      </c>
    </row>
    <row r="2777" spans="2:10" x14ac:dyDescent="0.25">
      <c r="B2777" s="3">
        <f>B2776+DeltaT</f>
        <v>13800</v>
      </c>
      <c r="C2777" s="13">
        <f t="shared" si="182"/>
        <v>230</v>
      </c>
      <c r="D2777" s="11">
        <f t="shared" si="183"/>
        <v>1146.4435570338851</v>
      </c>
      <c r="E2777" s="23">
        <f t="shared" si="180"/>
        <v>1145.6700271384791</v>
      </c>
      <c r="F2777" s="23">
        <f>AlphaC*(D2777-E2777)</f>
        <v>19.338247385149998</v>
      </c>
      <c r="G2777" s="13">
        <f>Phi*EpsilonF*Botzman/10^8*J2777*((D2777+273)^4-(E2777+273)^4)</f>
        <v>350.92762371882748</v>
      </c>
      <c r="H2777" s="23">
        <f t="shared" si="181"/>
        <v>650</v>
      </c>
      <c r="I2777" s="12">
        <f>ksh*Massivete/(H2777*RhoA)*DeltaT*(F2777+G2777)</f>
        <v>5.4614306856126872E-2</v>
      </c>
      <c r="J2777" s="3">
        <f>IF(E2777&lt;=500,IF(Galva=Oui,0.35,0.7),0.7)</f>
        <v>0.7</v>
      </c>
    </row>
    <row r="2778" spans="2:10" x14ac:dyDescent="0.25">
      <c r="B2778" s="3">
        <f>B2777+DeltaT</f>
        <v>13805</v>
      </c>
      <c r="C2778" s="13">
        <f t="shared" si="182"/>
        <v>230.08333333333334</v>
      </c>
      <c r="D2778" s="11">
        <f t="shared" si="183"/>
        <v>1146.4978045349326</v>
      </c>
      <c r="E2778" s="23">
        <f t="shared" si="180"/>
        <v>1145.7246414453352</v>
      </c>
      <c r="F2778" s="23">
        <f>AlphaC*(D2778-E2778)</f>
        <v>19.329077239933667</v>
      </c>
      <c r="G2778" s="13">
        <f>Phi*EpsilonF*Botzman/10^8*J2778*((D2778+273)^4-(E2778+273)^4)</f>
        <v>350.80157884867373</v>
      </c>
      <c r="H2778" s="23">
        <f t="shared" si="181"/>
        <v>650</v>
      </c>
      <c r="I2778" s="12">
        <f>ksh*Massivete/(H2778*RhoA)*DeltaT*(F2778+G2778)</f>
        <v>5.4594362608176177E-2</v>
      </c>
      <c r="J2778" s="3">
        <f>IF(E2778&lt;=500,IF(Galva=Oui,0.35,0.7),0.7)</f>
        <v>0.7</v>
      </c>
    </row>
    <row r="2779" spans="2:10" x14ac:dyDescent="0.25">
      <c r="B2779" s="3">
        <f>B2778+DeltaT</f>
        <v>13810</v>
      </c>
      <c r="C2779" s="13">
        <f t="shared" si="182"/>
        <v>230.16666666666666</v>
      </c>
      <c r="D2779" s="11">
        <f t="shared" si="183"/>
        <v>1146.5520324024287</v>
      </c>
      <c r="E2779" s="23">
        <f t="shared" si="180"/>
        <v>1145.7792358079435</v>
      </c>
      <c r="F2779" s="23">
        <f>AlphaC*(D2779-E2779)</f>
        <v>19.319914862131782</v>
      </c>
      <c r="G2779" s="13">
        <f>Phi*EpsilonF*Botzman/10^8*J2779*((D2779+273)^4-(E2779+273)^4)</f>
        <v>350.67562509121728</v>
      </c>
      <c r="H2779" s="23">
        <f t="shared" si="181"/>
        <v>650</v>
      </c>
      <c r="I2779" s="12">
        <f>ksh*Massivete/(H2779*RhoA)*DeltaT*(F2779+G2779)</f>
        <v>5.4574432945066233E-2</v>
      </c>
      <c r="J2779" s="3">
        <f>IF(E2779&lt;=500,IF(Galva=Oui,0.35,0.7),0.7)</f>
        <v>0.7</v>
      </c>
    </row>
    <row r="2780" spans="2:10" x14ac:dyDescent="0.25">
      <c r="B2780" s="3">
        <f>B2779+DeltaT</f>
        <v>13815</v>
      </c>
      <c r="C2780" s="13">
        <f t="shared" si="182"/>
        <v>230.25</v>
      </c>
      <c r="D2780" s="11">
        <f t="shared" si="183"/>
        <v>1146.6062406505805</v>
      </c>
      <c r="E2780" s="23">
        <f t="shared" si="180"/>
        <v>1145.8338102408886</v>
      </c>
      <c r="F2780" s="23">
        <f>AlphaC*(D2780-E2780)</f>
        <v>19.310760242296965</v>
      </c>
      <c r="G2780" s="13">
        <f>Phi*EpsilonF*Botzman/10^8*J2780*((D2780+273)^4-(E2780+273)^4)</f>
        <v>350.5497623473301</v>
      </c>
      <c r="H2780" s="23">
        <f t="shared" si="181"/>
        <v>650</v>
      </c>
      <c r="I2780" s="12">
        <f>ksh*Massivete/(H2780*RhoA)*DeltaT*(F2780+G2780)</f>
        <v>5.4554517850782136E-2</v>
      </c>
      <c r="J2780" s="3">
        <f>IF(E2780&lt;=500,IF(Galva=Oui,0.35,0.7),0.7)</f>
        <v>0.7</v>
      </c>
    </row>
    <row r="2781" spans="2:10" x14ac:dyDescent="0.25">
      <c r="B2781" s="3">
        <f>B2780+DeltaT</f>
        <v>13820</v>
      </c>
      <c r="C2781" s="13">
        <f t="shared" si="182"/>
        <v>230.33333333333334</v>
      </c>
      <c r="D2781" s="11">
        <f t="shared" si="183"/>
        <v>1146.6604292935783</v>
      </c>
      <c r="E2781" s="23">
        <f t="shared" si="180"/>
        <v>1145.8883647587395</v>
      </c>
      <c r="F2781" s="23">
        <f>AlphaC*(D2781-E2781)</f>
        <v>19.301613370970472</v>
      </c>
      <c r="G2781" s="13">
        <f>Phi*EpsilonF*Botzman/10^8*J2781*((D2781+273)^4-(E2781+273)^4)</f>
        <v>350.4239905177871</v>
      </c>
      <c r="H2781" s="23">
        <f t="shared" si="181"/>
        <v>650</v>
      </c>
      <c r="I2781" s="12">
        <f>ksh*Massivete/(H2781*RhoA)*DeltaT*(F2781+G2781)</f>
        <v>5.4534617309293001E-2</v>
      </c>
      <c r="J2781" s="3">
        <f>IF(E2781&lt;=500,IF(Galva=Oui,0.35,0.7),0.7)</f>
        <v>0.7</v>
      </c>
    </row>
    <row r="2782" spans="2:10" x14ac:dyDescent="0.25">
      <c r="B2782" s="3">
        <f>B2781+DeltaT</f>
        <v>13825</v>
      </c>
      <c r="C2782" s="13">
        <f t="shared" si="182"/>
        <v>230.41666666666666</v>
      </c>
      <c r="D2782" s="11">
        <f t="shared" si="183"/>
        <v>1146.7145983455989</v>
      </c>
      <c r="E2782" s="23">
        <f t="shared" si="180"/>
        <v>1145.9428993760489</v>
      </c>
      <c r="F2782" s="23">
        <f>AlphaC*(D2782-E2782)</f>
        <v>19.292474238750401</v>
      </c>
      <c r="G2782" s="13">
        <f>Phi*EpsilonF*Botzman/10^8*J2782*((D2782+273)^4-(E2782+273)^4)</f>
        <v>350.29830950423548</v>
      </c>
      <c r="H2782" s="23">
        <f t="shared" si="181"/>
        <v>650</v>
      </c>
      <c r="I2782" s="12">
        <f>ksh*Massivete/(H2782*RhoA)*DeltaT*(F2782+G2782)</f>
        <v>5.4514731304704973E-2</v>
      </c>
      <c r="J2782" s="3">
        <f>IF(E2782&lt;=500,IF(Galva=Oui,0.35,0.7),0.7)</f>
        <v>0.7</v>
      </c>
    </row>
    <row r="2783" spans="2:10" x14ac:dyDescent="0.25">
      <c r="B2783" s="3">
        <f>B2782+DeltaT</f>
        <v>13830</v>
      </c>
      <c r="C2783" s="13">
        <f t="shared" si="182"/>
        <v>230.5</v>
      </c>
      <c r="D2783" s="11">
        <f t="shared" si="183"/>
        <v>1146.7687478208022</v>
      </c>
      <c r="E2783" s="23">
        <f t="shared" si="180"/>
        <v>1145.9974141073535</v>
      </c>
      <c r="F2783" s="23">
        <f>AlphaC*(D2783-E2783)</f>
        <v>19.283342836217798</v>
      </c>
      <c r="G2783" s="13">
        <f>Phi*EpsilonF*Botzman/10^8*J2783*((D2783+273)^4-(E2783+273)^4)</f>
        <v>350.17271920774084</v>
      </c>
      <c r="H2783" s="23">
        <f t="shared" si="181"/>
        <v>650</v>
      </c>
      <c r="I2783" s="12">
        <f>ksh*Massivete/(H2783*RhoA)*DeltaT*(F2783+G2783)</f>
        <v>5.4494859821035913E-2</v>
      </c>
      <c r="J2783" s="3">
        <f>IF(E2783&lt;=500,IF(Galva=Oui,0.35,0.7),0.7)</f>
        <v>0.7</v>
      </c>
    </row>
    <row r="2784" spans="2:10" x14ac:dyDescent="0.25">
      <c r="B2784" s="3">
        <f>B2783+DeltaT</f>
        <v>13835</v>
      </c>
      <c r="C2784" s="13">
        <f t="shared" si="182"/>
        <v>230.58333333333334</v>
      </c>
      <c r="D2784" s="11">
        <f t="shared" si="183"/>
        <v>1146.8228777333334</v>
      </c>
      <c r="E2784" s="23">
        <f t="shared" si="180"/>
        <v>1146.0519089671745</v>
      </c>
      <c r="F2784" s="23">
        <f>AlphaC*(D2784-E2784)</f>
        <v>19.274219153970762</v>
      </c>
      <c r="G2784" s="13">
        <f>Phi*EpsilonF*Botzman/10^8*J2784*((D2784+273)^4-(E2784+273)^4)</f>
        <v>350.04721952967901</v>
      </c>
      <c r="H2784" s="23">
        <f t="shared" si="181"/>
        <v>650</v>
      </c>
      <c r="I2784" s="12">
        <f>ksh*Massivete/(H2784*RhoA)*DeltaT*(F2784+G2784)</f>
        <v>5.4475002842351954E-2</v>
      </c>
      <c r="J2784" s="3">
        <f>IF(E2784&lt;=500,IF(Galva=Oui,0.35,0.7),0.7)</f>
        <v>0.7</v>
      </c>
    </row>
    <row r="2785" spans="2:10" x14ac:dyDescent="0.25">
      <c r="B2785" s="3">
        <f>B2784+DeltaT</f>
        <v>13840</v>
      </c>
      <c r="C2785" s="13">
        <f t="shared" si="182"/>
        <v>230.66666666666666</v>
      </c>
      <c r="D2785" s="11">
        <f t="shared" si="183"/>
        <v>1146.8769880973223</v>
      </c>
      <c r="E2785" s="23">
        <f t="shared" si="180"/>
        <v>1146.1063839700169</v>
      </c>
      <c r="F2785" s="23">
        <f>AlphaC*(D2785-E2785)</f>
        <v>19.265103182635812</v>
      </c>
      <c r="G2785" s="13">
        <f>Phi*EpsilonF*Botzman/10^8*J2785*((D2785+273)^4-(E2785+273)^4)</f>
        <v>349.92181037173589</v>
      </c>
      <c r="H2785" s="23">
        <f t="shared" si="181"/>
        <v>650</v>
      </c>
      <c r="I2785" s="12">
        <f>ksh*Massivete/(H2785*RhoA)*DeltaT*(F2785+G2785)</f>
        <v>5.4455160352769136E-2</v>
      </c>
      <c r="J2785" s="3">
        <f>IF(E2785&lt;=500,IF(Galva=Oui,0.35,0.7),0.7)</f>
        <v>0.7</v>
      </c>
    </row>
    <row r="2786" spans="2:10" x14ac:dyDescent="0.25">
      <c r="B2786" s="3">
        <f>B2785+DeltaT</f>
        <v>13845</v>
      </c>
      <c r="C2786" s="13">
        <f t="shared" si="182"/>
        <v>230.75</v>
      </c>
      <c r="D2786" s="11">
        <f t="shared" si="183"/>
        <v>1146.9310789268832</v>
      </c>
      <c r="E2786" s="23">
        <f t="shared" si="180"/>
        <v>1146.1608391303696</v>
      </c>
      <c r="F2786" s="23">
        <f>AlphaC*(D2786-E2786)</f>
        <v>19.255994912839469</v>
      </c>
      <c r="G2786" s="13">
        <f>Phi*EpsilonF*Botzman/10^8*J2786*((D2786+273)^4-(E2786+273)^4)</f>
        <v>349.79649163565534</v>
      </c>
      <c r="H2786" s="23">
        <f t="shared" si="181"/>
        <v>650</v>
      </c>
      <c r="I2786" s="12">
        <f>ksh*Massivete/(H2786*RhoA)*DeltaT*(F2786+G2786)</f>
        <v>5.4435332336412075E-2</v>
      </c>
      <c r="J2786" s="3">
        <f>IF(E2786&lt;=500,IF(Galva=Oui,0.35,0.7),0.7)</f>
        <v>0.7</v>
      </c>
    </row>
    <row r="2787" spans="2:10" x14ac:dyDescent="0.25">
      <c r="B2787" s="3">
        <f>B2786+DeltaT</f>
        <v>13850</v>
      </c>
      <c r="C2787" s="13">
        <f t="shared" si="182"/>
        <v>230.83333333333334</v>
      </c>
      <c r="D2787" s="11">
        <f t="shared" si="183"/>
        <v>1146.9851502361155</v>
      </c>
      <c r="E2787" s="23">
        <f t="shared" si="180"/>
        <v>1146.215274462706</v>
      </c>
      <c r="F2787" s="23">
        <f>AlphaC*(D2787-E2787)</f>
        <v>19.246894335236675</v>
      </c>
      <c r="G2787" s="13">
        <f>Phi*EpsilonF*Botzman/10^8*J2787*((D2787+273)^4-(E2787+273)^4)</f>
        <v>349.6712632232784</v>
      </c>
      <c r="H2787" s="23">
        <f t="shared" si="181"/>
        <v>650</v>
      </c>
      <c r="I2787" s="12">
        <f>ksh*Massivete/(H2787*RhoA)*DeltaT*(F2787+G2787)</f>
        <v>5.4415518777423899E-2</v>
      </c>
      <c r="J2787" s="3">
        <f>IF(E2787&lt;=500,IF(Galva=Oui,0.35,0.7),0.7)</f>
        <v>0.7</v>
      </c>
    </row>
    <row r="2788" spans="2:10" x14ac:dyDescent="0.25">
      <c r="B2788" s="3">
        <f>B2787+DeltaT</f>
        <v>13855</v>
      </c>
      <c r="C2788" s="13">
        <f t="shared" si="182"/>
        <v>230.91666666666666</v>
      </c>
      <c r="D2788" s="11">
        <f t="shared" si="183"/>
        <v>1147.0392020391032</v>
      </c>
      <c r="E2788" s="23">
        <f t="shared" si="180"/>
        <v>1146.2696899814835</v>
      </c>
      <c r="F2788" s="23">
        <f>AlphaC*(D2788-E2788)</f>
        <v>19.23780144049374</v>
      </c>
      <c r="G2788" s="13">
        <f>Phi*EpsilonF*Botzman/10^8*J2788*((D2788+273)^4-(E2788+273)^4)</f>
        <v>349.54612503679471</v>
      </c>
      <c r="H2788" s="23">
        <f t="shared" si="181"/>
        <v>650</v>
      </c>
      <c r="I2788" s="12">
        <f>ksh*Massivete/(H2788*RhoA)*DeltaT*(F2788+G2788)</f>
        <v>5.4395719660000834E-2</v>
      </c>
      <c r="J2788" s="3">
        <f>IF(E2788&lt;=500,IF(Galva=Oui,0.35,0.7),0.7)</f>
        <v>0.7</v>
      </c>
    </row>
    <row r="2789" spans="2:10" x14ac:dyDescent="0.25">
      <c r="B2789" s="3">
        <f>B2788+DeltaT</f>
        <v>13860</v>
      </c>
      <c r="C2789" s="13">
        <f t="shared" si="182"/>
        <v>231</v>
      </c>
      <c r="D2789" s="11">
        <f t="shared" si="183"/>
        <v>1147.0932343499146</v>
      </c>
      <c r="E2789" s="23">
        <f t="shared" si="180"/>
        <v>1146.3240857011435</v>
      </c>
      <c r="F2789" s="23">
        <f>AlphaC*(D2789-E2789)</f>
        <v>19.228716219276976</v>
      </c>
      <c r="G2789" s="13">
        <f>Phi*EpsilonF*Botzman/10^8*J2789*((D2789+273)^4-(E2789+273)^4)</f>
        <v>349.42107697802584</v>
      </c>
      <c r="H2789" s="23">
        <f t="shared" si="181"/>
        <v>650</v>
      </c>
      <c r="I2789" s="12">
        <f>ksh*Massivete/(H2789*RhoA)*DeltaT*(F2789+G2789)</f>
        <v>5.4375934968284821E-2</v>
      </c>
      <c r="J2789" s="3">
        <f>IF(E2789&lt;=500,IF(Galva=Oui,0.35,0.7),0.7)</f>
        <v>0.7</v>
      </c>
    </row>
    <row r="2790" spans="2:10" x14ac:dyDescent="0.25">
      <c r="B2790" s="3">
        <f>B2789+DeltaT</f>
        <v>13865</v>
      </c>
      <c r="C2790" s="13">
        <f t="shared" si="182"/>
        <v>231.08333333333334</v>
      </c>
      <c r="D2790" s="11">
        <f t="shared" si="183"/>
        <v>1147.1472471826035</v>
      </c>
      <c r="E2790" s="23">
        <f t="shared" si="180"/>
        <v>1146.3784616361118</v>
      </c>
      <c r="F2790" s="23">
        <f>AlphaC*(D2790-E2790)</f>
        <v>19.219638662292482</v>
      </c>
      <c r="G2790" s="13">
        <f>Phi*EpsilonF*Botzman/10^8*J2790*((D2790+273)^4-(E2790+273)^4)</f>
        <v>349.29611894968468</v>
      </c>
      <c r="H2790" s="23">
        <f t="shared" si="181"/>
        <v>650</v>
      </c>
      <c r="I2790" s="12">
        <f>ksh*Massivete/(H2790*RhoA)*DeltaT*(F2790+G2790)</f>
        <v>5.4356164686555131E-2</v>
      </c>
      <c r="J2790" s="3">
        <f>IF(E2790&lt;=500,IF(Galva=Oui,0.35,0.7),0.7)</f>
        <v>0.7</v>
      </c>
    </row>
    <row r="2791" spans="2:10" x14ac:dyDescent="0.25">
      <c r="B2791" s="3">
        <f>B2790+DeltaT</f>
        <v>13870</v>
      </c>
      <c r="C2791" s="13">
        <f t="shared" si="182"/>
        <v>231.16666666666666</v>
      </c>
      <c r="D2791" s="11">
        <f t="shared" si="183"/>
        <v>1147.2012405512082</v>
      </c>
      <c r="E2791" s="23">
        <f t="shared" si="180"/>
        <v>1146.4328178007984</v>
      </c>
      <c r="F2791" s="23">
        <f>AlphaC*(D2791-E2791)</f>
        <v>19.21056876024636</v>
      </c>
      <c r="G2791" s="13">
        <f>Phi*EpsilonF*Botzman/10^8*J2791*((D2791+273)^4-(E2791+273)^4)</f>
        <v>349.17125085399982</v>
      </c>
      <c r="H2791" s="23">
        <f t="shared" si="181"/>
        <v>650</v>
      </c>
      <c r="I2791" s="12">
        <f>ksh*Massivete/(H2791*RhoA)*DeltaT*(F2791+G2791)</f>
        <v>5.4336408799019596E-2</v>
      </c>
      <c r="J2791" s="3">
        <f>IF(E2791&lt;=500,IF(Galva=Oui,0.35,0.7),0.7)</f>
        <v>0.7</v>
      </c>
    </row>
    <row r="2792" spans="2:10" x14ac:dyDescent="0.25">
      <c r="B2792" s="3">
        <f>B2791+DeltaT</f>
        <v>13875</v>
      </c>
      <c r="C2792" s="13">
        <f t="shared" si="182"/>
        <v>231.25</v>
      </c>
      <c r="D2792" s="11">
        <f t="shared" si="183"/>
        <v>1147.2552144697518</v>
      </c>
      <c r="E2792" s="23">
        <f t="shared" si="180"/>
        <v>1146.4871542095973</v>
      </c>
      <c r="F2792" s="23">
        <f>AlphaC*(D2792-E2792)</f>
        <v>19.201506503861765</v>
      </c>
      <c r="G2792" s="13">
        <f>Phi*EpsilonF*Botzman/10^8*J2792*((D2792+273)^4-(E2792+273)^4)</f>
        <v>349.04647259372302</v>
      </c>
      <c r="H2792" s="23">
        <f t="shared" si="181"/>
        <v>650</v>
      </c>
      <c r="I2792" s="12">
        <f>ksh*Massivete/(H2792*RhoA)*DeltaT*(F2792+G2792)</f>
        <v>5.4316667289965759E-2</v>
      </c>
      <c r="J2792" s="3">
        <f>IF(E2792&lt;=500,IF(Galva=Oui,0.35,0.7),0.7)</f>
        <v>0.7</v>
      </c>
    </row>
    <row r="2793" spans="2:10" x14ac:dyDescent="0.25">
      <c r="B2793" s="3">
        <f>B2792+DeltaT</f>
        <v>13880</v>
      </c>
      <c r="C2793" s="13">
        <f t="shared" si="182"/>
        <v>231.33333333333334</v>
      </c>
      <c r="D2793" s="11">
        <f t="shared" si="183"/>
        <v>1147.3091689522421</v>
      </c>
      <c r="E2793" s="23">
        <f t="shared" si="180"/>
        <v>1146.5414708768872</v>
      </c>
      <c r="F2793" s="23">
        <f>AlphaC*(D2793-E2793)</f>
        <v>19.192451883873218</v>
      </c>
      <c r="G2793" s="13">
        <f>Phi*EpsilonF*Botzman/10^8*J2793*((D2793+273)^4-(E2793+273)^4)</f>
        <v>348.92178407143155</v>
      </c>
      <c r="H2793" s="23">
        <f t="shared" si="181"/>
        <v>650</v>
      </c>
      <c r="I2793" s="12">
        <f>ksh*Massivete/(H2793*RhoA)*DeltaT*(F2793+G2793)</f>
        <v>5.429694014365706E-2</v>
      </c>
      <c r="J2793" s="3">
        <f>IF(E2793&lt;=500,IF(Galva=Oui,0.35,0.7),0.7)</f>
        <v>0.7</v>
      </c>
    </row>
    <row r="2794" spans="2:10" x14ac:dyDescent="0.25">
      <c r="B2794" s="3">
        <f>B2793+DeltaT</f>
        <v>13885</v>
      </c>
      <c r="C2794" s="13">
        <f t="shared" si="182"/>
        <v>231.41666666666666</v>
      </c>
      <c r="D2794" s="11">
        <f t="shared" si="183"/>
        <v>1147.3631040126722</v>
      </c>
      <c r="E2794" s="23">
        <f t="shared" si="180"/>
        <v>1146.5957678170307</v>
      </c>
      <c r="F2794" s="23">
        <f>AlphaC*(D2794-E2794)</f>
        <v>19.183404891037981</v>
      </c>
      <c r="G2794" s="13">
        <f>Phi*EpsilonF*Botzman/10^8*J2794*((D2794+273)^4-(E2794+273)^4)</f>
        <v>348.79718519016785</v>
      </c>
      <c r="H2794" s="23">
        <f t="shared" si="181"/>
        <v>650</v>
      </c>
      <c r="I2794" s="12">
        <f>ksh*Massivete/(H2794*RhoA)*DeltaT*(F2794+G2794)</f>
        <v>5.4277227344428955E-2</v>
      </c>
      <c r="J2794" s="3">
        <f>IF(E2794&lt;=500,IF(Galva=Oui,0.35,0.7),0.7)</f>
        <v>0.7</v>
      </c>
    </row>
    <row r="2795" spans="2:10" x14ac:dyDescent="0.25">
      <c r="B2795" s="3">
        <f>B2794+DeltaT</f>
        <v>13890</v>
      </c>
      <c r="C2795" s="13">
        <f t="shared" si="182"/>
        <v>231.5</v>
      </c>
      <c r="D2795" s="11">
        <f t="shared" si="183"/>
        <v>1147.4170196650196</v>
      </c>
      <c r="E2795" s="23">
        <f t="shared" si="180"/>
        <v>1146.6500450443752</v>
      </c>
      <c r="F2795" s="23">
        <f>AlphaC*(D2795-E2795)</f>
        <v>19.174365516107628</v>
      </c>
      <c r="G2795" s="13">
        <f>Phi*EpsilonF*Botzman/10^8*J2795*((D2795+273)^4-(E2795+273)^4)</f>
        <v>348.67267585270309</v>
      </c>
      <c r="H2795" s="23">
        <f t="shared" si="181"/>
        <v>650</v>
      </c>
      <c r="I2795" s="12">
        <f>ksh*Massivete/(H2795*RhoA)*DeltaT*(F2795+G2795)</f>
        <v>5.4257528876575999E-2</v>
      </c>
      <c r="J2795" s="3">
        <f>IF(E2795&lt;=500,IF(Galva=Oui,0.35,0.7),0.7)</f>
        <v>0.7</v>
      </c>
    </row>
    <row r="2796" spans="2:10" x14ac:dyDescent="0.25">
      <c r="B2796" s="3">
        <f>B2795+DeltaT</f>
        <v>13895</v>
      </c>
      <c r="C2796" s="13">
        <f t="shared" si="182"/>
        <v>231.58333333333334</v>
      </c>
      <c r="D2796" s="11">
        <f t="shared" si="183"/>
        <v>1147.470915923247</v>
      </c>
      <c r="E2796" s="23">
        <f t="shared" si="180"/>
        <v>1146.7043025732519</v>
      </c>
      <c r="F2796" s="23">
        <f>AlphaC*(D2796-E2796)</f>
        <v>19.16533374987921</v>
      </c>
      <c r="G2796" s="13">
        <f>Phi*EpsilonF*Botzman/10^8*J2796*((D2796+273)^4-(E2796+273)^4)</f>
        <v>348.54825596240914</v>
      </c>
      <c r="H2796" s="23">
        <f t="shared" si="181"/>
        <v>650</v>
      </c>
      <c r="I2796" s="12">
        <f>ksh*Massivete/(H2796*RhoA)*DeltaT*(F2796+G2796)</f>
        <v>5.4237844724488095E-2</v>
      </c>
      <c r="J2796" s="3">
        <f>IF(E2796&lt;=500,IF(Galva=Oui,0.35,0.7),0.7)</f>
        <v>0.7</v>
      </c>
    </row>
    <row r="2797" spans="2:10" x14ac:dyDescent="0.25">
      <c r="B2797" s="3">
        <f>B2796+DeltaT</f>
        <v>13900</v>
      </c>
      <c r="C2797" s="13">
        <f t="shared" si="182"/>
        <v>231.66666666666666</v>
      </c>
      <c r="D2797" s="11">
        <f t="shared" si="183"/>
        <v>1147.5247928013021</v>
      </c>
      <c r="E2797" s="23">
        <f t="shared" si="180"/>
        <v>1146.7585404179763</v>
      </c>
      <c r="F2797" s="23">
        <f>AlphaC*(D2797-E2797)</f>
        <v>19.156309583144093</v>
      </c>
      <c r="G2797" s="13">
        <f>Phi*EpsilonF*Botzman/10^8*J2797*((D2797+273)^4-(E2797+273)^4)</f>
        <v>348.42392542250286</v>
      </c>
      <c r="H2797" s="23">
        <f t="shared" si="181"/>
        <v>650</v>
      </c>
      <c r="I2797" s="12">
        <f>ksh*Massivete/(H2797*RhoA)*DeltaT*(F2797+G2797)</f>
        <v>5.4218174872531423E-2</v>
      </c>
      <c r="J2797" s="3">
        <f>IF(E2797&lt;=500,IF(Galva=Oui,0.35,0.7),0.7)</f>
        <v>0.7</v>
      </c>
    </row>
    <row r="2798" spans="2:10" x14ac:dyDescent="0.25">
      <c r="B2798" s="3">
        <f>B2797+DeltaT</f>
        <v>13905</v>
      </c>
      <c r="C2798" s="13">
        <f t="shared" si="182"/>
        <v>231.75</v>
      </c>
      <c r="D2798" s="11">
        <f t="shared" si="183"/>
        <v>1147.5786503131171</v>
      </c>
      <c r="E2798" s="23">
        <f t="shared" si="180"/>
        <v>1146.8127585928489</v>
      </c>
      <c r="F2798" s="23">
        <f>AlphaC*(D2798-E2798)</f>
        <v>19.147293006705013</v>
      </c>
      <c r="G2798" s="13">
        <f>Phi*EpsilonF*Botzman/10^8*J2798*((D2798+273)^4-(E2798+273)^4)</f>
        <v>348.29968413631747</v>
      </c>
      <c r="H2798" s="23">
        <f t="shared" si="181"/>
        <v>650</v>
      </c>
      <c r="I2798" s="12">
        <f>ksh*Massivete/(H2798*RhoA)*DeltaT*(F2798+G2798)</f>
        <v>5.4198519305091022E-2</v>
      </c>
      <c r="J2798" s="3">
        <f>IF(E2798&lt;=500,IF(Galva=Oui,0.35,0.7),0.7)</f>
        <v>0.7</v>
      </c>
    </row>
    <row r="2799" spans="2:10" x14ac:dyDescent="0.25">
      <c r="B2799" s="3">
        <f>B2798+DeltaT</f>
        <v>13910</v>
      </c>
      <c r="C2799" s="13">
        <f t="shared" si="182"/>
        <v>231.83333333333334</v>
      </c>
      <c r="D2799" s="11">
        <f t="shared" si="183"/>
        <v>1147.6324884726102</v>
      </c>
      <c r="E2799" s="23">
        <f t="shared" si="180"/>
        <v>1146.8669571121541</v>
      </c>
      <c r="F2799" s="23">
        <f>AlphaC*(D2799-E2799)</f>
        <v>19.138284011404494</v>
      </c>
      <c r="G2799" s="13">
        <f>Phi*EpsilonF*Botzman/10^8*J2799*((D2799+273)^4-(E2799+273)^4)</f>
        <v>348.17553200778679</v>
      </c>
      <c r="H2799" s="23">
        <f t="shared" si="181"/>
        <v>650</v>
      </c>
      <c r="I2799" s="12">
        <f>ksh*Massivete/(H2799*RhoA)*DeltaT*(F2799+G2799)</f>
        <v>5.4178878006646364E-2</v>
      </c>
      <c r="J2799" s="3">
        <f>IF(E2799&lt;=500,IF(Galva=Oui,0.35,0.7),0.7)</f>
        <v>0.7</v>
      </c>
    </row>
    <row r="2800" spans="2:10" x14ac:dyDescent="0.25">
      <c r="B2800" s="3">
        <f>B2799+DeltaT</f>
        <v>13915</v>
      </c>
      <c r="C2800" s="13">
        <f t="shared" si="182"/>
        <v>231.91666666666666</v>
      </c>
      <c r="D2800" s="11">
        <f t="shared" si="183"/>
        <v>1147.6863072936833</v>
      </c>
      <c r="E2800" s="23">
        <f t="shared" si="180"/>
        <v>1146.9211359901608</v>
      </c>
      <c r="F2800" s="23">
        <f>AlphaC*(D2800-E2800)</f>
        <v>19.129282588062324</v>
      </c>
      <c r="G2800" s="13">
        <f>Phi*EpsilonF*Botzman/10^8*J2800*((D2800+273)^4-(E2800+273)^4)</f>
        <v>348.05146894018588</v>
      </c>
      <c r="H2800" s="23">
        <f t="shared" si="181"/>
        <v>650</v>
      </c>
      <c r="I2800" s="12">
        <f>ksh*Massivete/(H2800*RhoA)*DeltaT*(F2800+G2800)</f>
        <v>5.4159250961576422E-2</v>
      </c>
      <c r="J2800" s="3">
        <f>IF(E2800&lt;=500,IF(Galva=Oui,0.35,0.7),0.7)</f>
        <v>0.7</v>
      </c>
    </row>
    <row r="2801" spans="2:10" x14ac:dyDescent="0.25">
      <c r="B2801" s="3">
        <f>B2800+DeltaT</f>
        <v>13920</v>
      </c>
      <c r="C2801" s="13">
        <f t="shared" si="182"/>
        <v>232</v>
      </c>
      <c r="D2801" s="11">
        <f t="shared" si="183"/>
        <v>1147.7401067902242</v>
      </c>
      <c r="E2801" s="23">
        <f t="shared" si="180"/>
        <v>1146.9752952411225</v>
      </c>
      <c r="F2801" s="23">
        <f>AlphaC*(D2801-E2801)</f>
        <v>19.120288727543766</v>
      </c>
      <c r="G2801" s="13">
        <f>Phi*EpsilonF*Botzman/10^8*J2801*((D2801+273)^4-(E2801+273)^4)</f>
        <v>347.92749483768119</v>
      </c>
      <c r="H2801" s="23">
        <f t="shared" si="181"/>
        <v>650</v>
      </c>
      <c r="I2801" s="12">
        <f>ksh*Massivete/(H2801*RhoA)*DeltaT*(F2801+G2801)</f>
        <v>5.4139638154398345E-2</v>
      </c>
      <c r="J2801" s="3">
        <f>IF(E2801&lt;=500,IF(Galva=Oui,0.35,0.7),0.7)</f>
        <v>0.7</v>
      </c>
    </row>
    <row r="2802" spans="2:10" x14ac:dyDescent="0.25">
      <c r="B2802" s="3">
        <f>B2801+DeltaT</f>
        <v>13925</v>
      </c>
      <c r="C2802" s="13">
        <f t="shared" si="182"/>
        <v>232.08333333333334</v>
      </c>
      <c r="D2802" s="11">
        <f t="shared" si="183"/>
        <v>1147.7938869761056</v>
      </c>
      <c r="E2802" s="23">
        <f t="shared" si="180"/>
        <v>1147.0294348792768</v>
      </c>
      <c r="F2802" s="23">
        <f>AlphaC*(D2802-E2802)</f>
        <v>19.111302420719767</v>
      </c>
      <c r="G2802" s="13">
        <f>Phi*EpsilonF*Botzman/10^8*J2802*((D2802+273)^4-(E2802+273)^4)</f>
        <v>347.8036096042261</v>
      </c>
      <c r="H2802" s="23">
        <f t="shared" si="181"/>
        <v>650</v>
      </c>
      <c r="I2802" s="12">
        <f>ksh*Massivete/(H2802*RhoA)*DeltaT*(F2802+G2802)</f>
        <v>5.4120039569598689E-2</v>
      </c>
      <c r="J2802" s="3">
        <f>IF(E2802&lt;=500,IF(Galva=Oui,0.35,0.7),0.7)</f>
        <v>0.7</v>
      </c>
    </row>
    <row r="2803" spans="2:10" x14ac:dyDescent="0.25">
      <c r="B2803" s="3">
        <f>B2802+DeltaT</f>
        <v>13930</v>
      </c>
      <c r="C2803" s="13">
        <f t="shared" si="182"/>
        <v>232.16666666666666</v>
      </c>
      <c r="D2803" s="11">
        <f t="shared" si="183"/>
        <v>1147.8476478651849</v>
      </c>
      <c r="E2803" s="23">
        <f t="shared" si="180"/>
        <v>1147.0835549188464</v>
      </c>
      <c r="F2803" s="23">
        <f>AlphaC*(D2803-E2803)</f>
        <v>19.102323658461273</v>
      </c>
      <c r="G2803" s="13">
        <f>Phi*EpsilonF*Botzman/10^8*J2803*((D2803+273)^4-(E2803+273)^4)</f>
        <v>347.67981314381257</v>
      </c>
      <c r="H2803" s="23">
        <f t="shared" si="181"/>
        <v>650</v>
      </c>
      <c r="I2803" s="12">
        <f>ksh*Massivete/(H2803*RhoA)*DeltaT*(F2803+G2803)</f>
        <v>5.410045519166972E-2</v>
      </c>
      <c r="J2803" s="3">
        <f>IF(E2803&lt;=500,IF(Galva=Oui,0.35,0.7),0.7)</f>
        <v>0.7</v>
      </c>
    </row>
    <row r="2804" spans="2:10" x14ac:dyDescent="0.25">
      <c r="B2804" s="3">
        <f>B2803+DeltaT</f>
        <v>13935</v>
      </c>
      <c r="C2804" s="13">
        <f t="shared" si="182"/>
        <v>232.25</v>
      </c>
      <c r="D2804" s="11">
        <f t="shared" si="183"/>
        <v>1147.901389471305</v>
      </c>
      <c r="E2804" s="23">
        <f t="shared" ref="E2804:E2867" si="184">E2803+I2803</f>
        <v>1147.1376553740381</v>
      </c>
      <c r="F2804" s="23">
        <f>AlphaC*(D2804-E2804)</f>
        <v>19.093352431673338</v>
      </c>
      <c r="G2804" s="13">
        <f>Phi*EpsilonF*Botzman/10^8*J2804*((D2804+273)^4-(E2804+273)^4)</f>
        <v>347.55610536083969</v>
      </c>
      <c r="H2804" s="23">
        <f t="shared" ref="H2804:H2867" si="185">IF(E2804&lt;600,425+0.773*E2804-1.69/1000*E2804^2+2.22/1000^2*E2804^3,IF(E2804&lt;735,666+13002/(738-E2804),IF(E2804&lt;900,545+17820/(E2804-731),650)))</f>
        <v>650</v>
      </c>
      <c r="I2804" s="12">
        <f>ksh*Massivete/(H2804*RhoA)*DeltaT*(F2804+G2804)</f>
        <v>5.4080885005168763E-2</v>
      </c>
      <c r="J2804" s="3">
        <f>IF(E2804&lt;=500,IF(Galva=Oui,0.35,0.7),0.7)</f>
        <v>0.7</v>
      </c>
    </row>
    <row r="2805" spans="2:10" x14ac:dyDescent="0.25">
      <c r="B2805" s="3">
        <f>B2804+DeltaT</f>
        <v>13940</v>
      </c>
      <c r="C2805" s="13">
        <f t="shared" si="182"/>
        <v>232.33333333333334</v>
      </c>
      <c r="D2805" s="11">
        <f t="shared" si="183"/>
        <v>1147.9551118082939</v>
      </c>
      <c r="E2805" s="23">
        <f t="shared" si="184"/>
        <v>1147.1917362590432</v>
      </c>
      <c r="F2805" s="23">
        <f>AlphaC*(D2805-E2805)</f>
        <v>19.084388731266699</v>
      </c>
      <c r="G2805" s="13">
        <f>Phi*EpsilonF*Botzman/10^8*J2805*((D2805+273)^4-(E2805+273)^4)</f>
        <v>347.43248615970651</v>
      </c>
      <c r="H2805" s="23">
        <f t="shared" si="185"/>
        <v>650</v>
      </c>
      <c r="I2805" s="12">
        <f>ksh*Massivete/(H2805*RhoA)*DeltaT*(F2805+G2805)</f>
        <v>5.406132899465399E-2</v>
      </c>
      <c r="J2805" s="3">
        <f>IF(E2805&lt;=500,IF(Galva=Oui,0.35,0.7),0.7)</f>
        <v>0.7</v>
      </c>
    </row>
    <row r="2806" spans="2:10" x14ac:dyDescent="0.25">
      <c r="B2806" s="3">
        <f>B2805+DeltaT</f>
        <v>13945</v>
      </c>
      <c r="C2806" s="13">
        <f t="shared" si="182"/>
        <v>232.41666666666666</v>
      </c>
      <c r="D2806" s="11">
        <f t="shared" si="183"/>
        <v>1148.0088148899642</v>
      </c>
      <c r="E2806" s="23">
        <f t="shared" si="184"/>
        <v>1147.2457975880379</v>
      </c>
      <c r="F2806" s="23">
        <f>AlphaC*(D2806-E2806)</f>
        <v>19.075432548157778</v>
      </c>
      <c r="G2806" s="13">
        <f>Phi*EpsilonF*Botzman/10^8*J2806*((D2806+273)^4-(E2806+273)^4)</f>
        <v>347.30895544477323</v>
      </c>
      <c r="H2806" s="23">
        <f t="shared" si="185"/>
        <v>650</v>
      </c>
      <c r="I2806" s="12">
        <f>ksh*Massivete/(H2806*RhoA)*DeltaT*(F2806+G2806)</f>
        <v>5.4041787144678673E-2</v>
      </c>
      <c r="J2806" s="3">
        <f>IF(E2806&lt;=500,IF(Galva=Oui,0.35,0.7),0.7)</f>
        <v>0.7</v>
      </c>
    </row>
    <row r="2807" spans="2:10" x14ac:dyDescent="0.25">
      <c r="B2807" s="3">
        <f>B2806+DeltaT</f>
        <v>13950</v>
      </c>
      <c r="C2807" s="13">
        <f t="shared" si="182"/>
        <v>232.5</v>
      </c>
      <c r="D2807" s="11">
        <f t="shared" si="183"/>
        <v>1148.0624987301146</v>
      </c>
      <c r="E2807" s="23">
        <f t="shared" si="184"/>
        <v>1147.2998393751825</v>
      </c>
      <c r="F2807" s="23">
        <f>AlphaC*(D2807-E2807)</f>
        <v>19.066483873302786</v>
      </c>
      <c r="G2807" s="13">
        <f>Phi*EpsilonF*Botzman/10^8*J2807*((D2807+273)^4-(E2807+273)^4)</f>
        <v>347.18551312111731</v>
      </c>
      <c r="H2807" s="23">
        <f t="shared" si="185"/>
        <v>650</v>
      </c>
      <c r="I2807" s="12">
        <f>ksh*Massivete/(H2807*RhoA)*DeltaT*(F2807+G2807)</f>
        <v>5.4022259439907759E-2</v>
      </c>
      <c r="J2807" s="3">
        <f>IF(E2807&lt;=500,IF(Galva=Oui,0.35,0.7),0.7)</f>
        <v>0.7</v>
      </c>
    </row>
    <row r="2808" spans="2:10" x14ac:dyDescent="0.25">
      <c r="B2808" s="3">
        <f>B2807+DeltaT</f>
        <v>13955</v>
      </c>
      <c r="C2808" s="13">
        <f t="shared" si="182"/>
        <v>232.58333333333334</v>
      </c>
      <c r="D2808" s="11">
        <f t="shared" si="183"/>
        <v>1148.1161633425279</v>
      </c>
      <c r="E2808" s="23">
        <f t="shared" si="184"/>
        <v>1147.3538616346225</v>
      </c>
      <c r="F2808" s="23">
        <f>AlphaC*(D2808-E2808)</f>
        <v>19.057542697635199</v>
      </c>
      <c r="G2808" s="13">
        <f>Phi*EpsilonF*Botzman/10^8*J2808*((D2808+273)^4-(E2808+273)^4)</f>
        <v>347.0621590930989</v>
      </c>
      <c r="H2808" s="23">
        <f t="shared" si="185"/>
        <v>650</v>
      </c>
      <c r="I2808" s="12">
        <f>ksh*Massivete/(H2808*RhoA)*DeltaT*(F2808+G2808)</f>
        <v>5.4002745864897027E-2</v>
      </c>
      <c r="J2808" s="3">
        <f>IF(E2808&lt;=500,IF(Galva=Oui,0.35,0.7),0.7)</f>
        <v>0.7</v>
      </c>
    </row>
    <row r="2809" spans="2:10" x14ac:dyDescent="0.25">
      <c r="B2809" s="3">
        <f>B2808+DeltaT</f>
        <v>13960</v>
      </c>
      <c r="C2809" s="13">
        <f t="shared" si="182"/>
        <v>232.66666666666666</v>
      </c>
      <c r="D2809" s="11">
        <f t="shared" si="183"/>
        <v>1148.1698087409732</v>
      </c>
      <c r="E2809" s="23">
        <f t="shared" si="184"/>
        <v>1147.4078643804874</v>
      </c>
      <c r="F2809" s="23">
        <f>AlphaC*(D2809-E2809)</f>
        <v>19.048609012145334</v>
      </c>
      <c r="G2809" s="13">
        <f>Phi*EpsilonF*Botzman/10^8*J2809*((D2809+273)^4-(E2809+273)^4)</f>
        <v>346.93889326606671</v>
      </c>
      <c r="H2809" s="23">
        <f t="shared" si="185"/>
        <v>650</v>
      </c>
      <c r="I2809" s="12">
        <f>ksh*Massivete/(H2809*RhoA)*DeltaT*(F2809+G2809)</f>
        <v>5.3983246404356464E-2</v>
      </c>
      <c r="J2809" s="3">
        <f>IF(E2809&lt;=500,IF(Galva=Oui,0.35,0.7),0.7)</f>
        <v>0.7</v>
      </c>
    </row>
    <row r="2810" spans="2:10" x14ac:dyDescent="0.25">
      <c r="B2810" s="3">
        <f>B2809+DeltaT</f>
        <v>13965</v>
      </c>
      <c r="C2810" s="13">
        <f t="shared" si="182"/>
        <v>232.75</v>
      </c>
      <c r="D2810" s="11">
        <f t="shared" si="183"/>
        <v>1148.2234349392038</v>
      </c>
      <c r="E2810" s="23">
        <f t="shared" si="184"/>
        <v>1147.4618476268918</v>
      </c>
      <c r="F2810" s="23">
        <f>AlphaC*(D2810-E2810)</f>
        <v>19.039682807800773</v>
      </c>
      <c r="G2810" s="13">
        <f>Phi*EpsilonF*Botzman/10^8*J2810*((D2810+273)^4-(E2810+273)^4)</f>
        <v>346.81571554492371</v>
      </c>
      <c r="H2810" s="23">
        <f t="shared" si="185"/>
        <v>650</v>
      </c>
      <c r="I2810" s="12">
        <f>ksh*Massivete/(H2810*RhoA)*DeltaT*(F2810+G2810)</f>
        <v>5.3963761042926946E-2</v>
      </c>
      <c r="J2810" s="3">
        <f>IF(E2810&lt;=500,IF(Galva=Oui,0.35,0.7),0.7)</f>
        <v>0.7</v>
      </c>
    </row>
    <row r="2811" spans="2:10" x14ac:dyDescent="0.25">
      <c r="B2811" s="3">
        <f>B2810+DeltaT</f>
        <v>13970</v>
      </c>
      <c r="C2811" s="13">
        <f t="shared" si="182"/>
        <v>232.83333333333334</v>
      </c>
      <c r="D2811" s="11">
        <f t="shared" si="183"/>
        <v>1148.2770419509586</v>
      </c>
      <c r="E2811" s="23">
        <f t="shared" si="184"/>
        <v>1147.5158113879347</v>
      </c>
      <c r="F2811" s="23">
        <f>AlphaC*(D2811-E2811)</f>
        <v>19.030764075597517</v>
      </c>
      <c r="G2811" s="13">
        <f>Phi*EpsilonF*Botzman/10^8*J2811*((D2811+273)^4-(E2811+273)^4)</f>
        <v>346.69262583484402</v>
      </c>
      <c r="H2811" s="23">
        <f t="shared" si="185"/>
        <v>650</v>
      </c>
      <c r="I2811" s="12">
        <f>ksh*Massivete/(H2811*RhoA)*DeltaT*(F2811+G2811)</f>
        <v>5.3944289765293536E-2</v>
      </c>
      <c r="J2811" s="3">
        <f>IF(E2811&lt;=500,IF(Galva=Oui,0.35,0.7),0.7)</f>
        <v>0.7</v>
      </c>
    </row>
    <row r="2812" spans="2:10" x14ac:dyDescent="0.25">
      <c r="B2812" s="3">
        <f>B2811+DeltaT</f>
        <v>13975</v>
      </c>
      <c r="C2812" s="13">
        <f t="shared" si="182"/>
        <v>232.91666666666666</v>
      </c>
      <c r="D2812" s="11">
        <f t="shared" si="183"/>
        <v>1148.3306297899619</v>
      </c>
      <c r="E2812" s="23">
        <f t="shared" si="184"/>
        <v>1147.5697556777</v>
      </c>
      <c r="F2812" s="23">
        <f>AlphaC*(D2812-E2812)</f>
        <v>19.021852806548623</v>
      </c>
      <c r="G2812" s="13">
        <f>Phi*EpsilonF*Botzman/10^8*J2812*((D2812+273)^4-(E2812+273)^4)</f>
        <v>346.56962404121515</v>
      </c>
      <c r="H2812" s="23">
        <f t="shared" si="185"/>
        <v>650</v>
      </c>
      <c r="I2812" s="12">
        <f>ksh*Massivete/(H2812*RhoA)*DeltaT*(F2812+G2812)</f>
        <v>5.3924832556175306E-2</v>
      </c>
      <c r="J2812" s="3">
        <f>IF(E2812&lt;=500,IF(Galva=Oui,0.35,0.7),0.7)</f>
        <v>0.7</v>
      </c>
    </row>
    <row r="2813" spans="2:10" x14ac:dyDescent="0.25">
      <c r="B2813" s="3">
        <f>B2812+DeltaT</f>
        <v>13980</v>
      </c>
      <c r="C2813" s="13">
        <f t="shared" si="182"/>
        <v>233</v>
      </c>
      <c r="D2813" s="11">
        <f t="shared" si="183"/>
        <v>1148.3841984699236</v>
      </c>
      <c r="E2813" s="23">
        <f t="shared" si="184"/>
        <v>1147.6236805102562</v>
      </c>
      <c r="F2813" s="23">
        <f>AlphaC*(D2813-E2813)</f>
        <v>19.012948991684198</v>
      </c>
      <c r="G2813" s="13">
        <f>Phi*EpsilonF*Botzman/10^8*J2813*((D2813+273)^4-(E2813+273)^4)</f>
        <v>346.44671006973454</v>
      </c>
      <c r="H2813" s="23">
        <f t="shared" si="185"/>
        <v>650</v>
      </c>
      <c r="I2813" s="12">
        <f>ksh*Massivete/(H2813*RhoA)*DeltaT*(F2813+G2813)</f>
        <v>5.390538940033953E-2</v>
      </c>
      <c r="J2813" s="3">
        <f>IF(E2813&lt;=500,IF(Galva=Oui,0.35,0.7),0.7)</f>
        <v>0.7</v>
      </c>
    </row>
    <row r="2814" spans="2:10" x14ac:dyDescent="0.25">
      <c r="B2814" s="3">
        <f>B2813+DeltaT</f>
        <v>13985</v>
      </c>
      <c r="C2814" s="13">
        <f t="shared" si="182"/>
        <v>233.08333333333334</v>
      </c>
      <c r="D2814" s="11">
        <f t="shared" si="183"/>
        <v>1148.4377480045382</v>
      </c>
      <c r="E2814" s="23">
        <f t="shared" si="184"/>
        <v>1147.6775858996566</v>
      </c>
      <c r="F2814" s="23">
        <f>AlphaC*(D2814-E2814)</f>
        <v>19.004052622040035</v>
      </c>
      <c r="G2814" s="13">
        <f>Phi*EpsilonF*Botzman/10^8*J2814*((D2814+273)^4-(E2814+273)^4)</f>
        <v>346.32388382594468</v>
      </c>
      <c r="H2814" s="23">
        <f t="shared" si="185"/>
        <v>650</v>
      </c>
      <c r="I2814" s="12">
        <f>ksh*Massivete/(H2814*RhoA)*DeltaT*(F2814+G2814)</f>
        <v>5.3885960282531488E-2</v>
      </c>
      <c r="J2814" s="3">
        <f>IF(E2814&lt;=500,IF(Galva=Oui,0.35,0.7),0.7)</f>
        <v>0.7</v>
      </c>
    </row>
    <row r="2815" spans="2:10" x14ac:dyDescent="0.25">
      <c r="B2815" s="3">
        <f>B2814+DeltaT</f>
        <v>13990</v>
      </c>
      <c r="C2815" s="13">
        <f t="shared" si="182"/>
        <v>233.16666666666666</v>
      </c>
      <c r="D2815" s="11">
        <f t="shared" si="183"/>
        <v>1148.4912784074859</v>
      </c>
      <c r="E2815" s="23">
        <f t="shared" si="184"/>
        <v>1147.7314718599391</v>
      </c>
      <c r="F2815" s="23">
        <f>AlphaC*(D2815-E2815)</f>
        <v>18.995163688668981</v>
      </c>
      <c r="G2815" s="13">
        <f>Phi*EpsilonF*Botzman/10^8*J2815*((D2815+273)^4-(E2815+273)^4)</f>
        <v>346.20114521552358</v>
      </c>
      <c r="H2815" s="23">
        <f t="shared" si="185"/>
        <v>650</v>
      </c>
      <c r="I2815" s="12">
        <f>ksh*Massivete/(H2815*RhoA)*DeltaT*(F2815+G2815)</f>
        <v>5.3866545187518954E-2</v>
      </c>
      <c r="J2815" s="3">
        <f>IF(E2815&lt;=500,IF(Galva=Oui,0.35,0.7),0.7)</f>
        <v>0.7</v>
      </c>
    </row>
    <row r="2816" spans="2:10" x14ac:dyDescent="0.25">
      <c r="B2816" s="3">
        <f>B2815+DeltaT</f>
        <v>13995</v>
      </c>
      <c r="C2816" s="13">
        <f t="shared" si="182"/>
        <v>233.25</v>
      </c>
      <c r="D2816" s="11">
        <f t="shared" si="183"/>
        <v>1148.5447896924318</v>
      </c>
      <c r="E2816" s="23">
        <f t="shared" si="184"/>
        <v>1147.7853384051266</v>
      </c>
      <c r="F2816" s="23">
        <f>AlphaC*(D2816-E2816)</f>
        <v>18.986282182629566</v>
      </c>
      <c r="G2816" s="13">
        <f>Phi*EpsilonF*Botzman/10^8*J2816*((D2816+273)^4-(E2816+273)^4)</f>
        <v>346.07849414438203</v>
      </c>
      <c r="H2816" s="23">
        <f t="shared" si="185"/>
        <v>650</v>
      </c>
      <c r="I2816" s="12">
        <f>ksh*Massivete/(H2816*RhoA)*DeltaT*(F2816+G2816)</f>
        <v>5.3847144100104875E-2</v>
      </c>
      <c r="J2816" s="3">
        <f>IF(E2816&lt;=500,IF(Galva=Oui,0.35,0.7),0.7)</f>
        <v>0.7</v>
      </c>
    </row>
    <row r="2817" spans="2:10" x14ac:dyDescent="0.25">
      <c r="B2817" s="3">
        <f>B2816+DeltaT</f>
        <v>14000</v>
      </c>
      <c r="C2817" s="13">
        <f t="shared" si="182"/>
        <v>233.33333333333334</v>
      </c>
      <c r="D2817" s="11">
        <f t="shared" si="183"/>
        <v>1148.5982818730274</v>
      </c>
      <c r="E2817" s="23">
        <f t="shared" si="184"/>
        <v>1147.8391855492266</v>
      </c>
      <c r="F2817" s="23">
        <f>AlphaC*(D2817-E2817)</f>
        <v>18.97740809502011</v>
      </c>
      <c r="G2817" s="13">
        <f>Phi*EpsilonF*Botzman/10^8*J2817*((D2817+273)^4-(E2817+273)^4)</f>
        <v>345.95593051883765</v>
      </c>
      <c r="H2817" s="23">
        <f t="shared" si="185"/>
        <v>650</v>
      </c>
      <c r="I2817" s="12">
        <f>ksh*Massivete/(H2817*RhoA)*DeltaT*(F2817+G2817)</f>
        <v>5.3827757005158079E-2</v>
      </c>
      <c r="J2817" s="3">
        <f>IF(E2817&lt;=500,IF(Galva=Oui,0.35,0.7),0.7)</f>
        <v>0.7</v>
      </c>
    </row>
    <row r="2818" spans="2:10" x14ac:dyDescent="0.25">
      <c r="B2818" s="3">
        <f>B2817+DeltaT</f>
        <v>14005</v>
      </c>
      <c r="C2818" s="13">
        <f t="shared" si="182"/>
        <v>233.41666666666666</v>
      </c>
      <c r="D2818" s="11">
        <f t="shared" si="183"/>
        <v>1148.6517549629086</v>
      </c>
      <c r="E2818" s="23">
        <f t="shared" si="184"/>
        <v>1147.8930133062318</v>
      </c>
      <c r="F2818" s="23">
        <f>AlphaC*(D2818-E2818)</f>
        <v>18.96854141692188</v>
      </c>
      <c r="G2818" s="13">
        <f>Phi*EpsilonF*Botzman/10^8*J2818*((D2818+273)^4-(E2818+273)^4)</f>
        <v>345.83345424480103</v>
      </c>
      <c r="H2818" s="23">
        <f t="shared" si="185"/>
        <v>650</v>
      </c>
      <c r="I2818" s="12">
        <f>ksh*Massivete/(H2818*RhoA)*DeltaT*(F2818+G2818)</f>
        <v>5.3808383887484837E-2</v>
      </c>
      <c r="J2818" s="3">
        <f>IF(E2818&lt;=500,IF(Galva=Oui,0.35,0.7),0.7)</f>
        <v>0.7</v>
      </c>
    </row>
    <row r="2819" spans="2:10" x14ac:dyDescent="0.25">
      <c r="B2819" s="3">
        <f>B2818+DeltaT</f>
        <v>14010</v>
      </c>
      <c r="C2819" s="13">
        <f t="shared" si="182"/>
        <v>233.5</v>
      </c>
      <c r="D2819" s="11">
        <f t="shared" si="183"/>
        <v>1148.7052089756969</v>
      </c>
      <c r="E2819" s="23">
        <f t="shared" si="184"/>
        <v>1147.9468216901191</v>
      </c>
      <c r="F2819" s="23">
        <f>AlphaC*(D2819-E2819)</f>
        <v>18.959682139444567</v>
      </c>
      <c r="G2819" s="13">
        <f>Phi*EpsilonF*Botzman/10^8*J2819*((D2819+273)^4-(E2819+273)^4)</f>
        <v>345.7110652286093</v>
      </c>
      <c r="H2819" s="23">
        <f t="shared" si="185"/>
        <v>650</v>
      </c>
      <c r="I2819" s="12">
        <f>ksh*Massivete/(H2819*RhoA)*DeltaT*(F2819+G2819)</f>
        <v>5.3789024731958533E-2</v>
      </c>
      <c r="J2819" s="3">
        <f>IF(E2819&lt;=500,IF(Galva=Oui,0.35,0.7),0.7)</f>
        <v>0.7</v>
      </c>
    </row>
    <row r="2820" spans="2:10" x14ac:dyDescent="0.25">
      <c r="B2820" s="3">
        <f>B2819+DeltaT</f>
        <v>14015</v>
      </c>
      <c r="C2820" s="13">
        <f t="shared" si="182"/>
        <v>233.58333333333334</v>
      </c>
      <c r="D2820" s="11">
        <f t="shared" si="183"/>
        <v>1148.7586439249997</v>
      </c>
      <c r="E2820" s="23">
        <f t="shared" si="184"/>
        <v>1148.0006107148511</v>
      </c>
      <c r="F2820" s="23">
        <f>AlphaC*(D2820-E2820)</f>
        <v>18.950830253714912</v>
      </c>
      <c r="G2820" s="13">
        <f>Phi*EpsilonF*Botzman/10^8*J2820*((D2820+273)^4-(E2820+273)^4)</f>
        <v>345.58876337679322</v>
      </c>
      <c r="H2820" s="23">
        <f t="shared" si="185"/>
        <v>650</v>
      </c>
      <c r="I2820" s="12">
        <f>ksh*Massivete/(H2820*RhoA)*DeltaT*(F2820+G2820)</f>
        <v>5.3769679523483625E-2</v>
      </c>
      <c r="J2820" s="3">
        <f>IF(E2820&lt;=500,IF(Galva=Oui,0.35,0.7),0.7)</f>
        <v>0.7</v>
      </c>
    </row>
    <row r="2821" spans="2:10" x14ac:dyDescent="0.25">
      <c r="B2821" s="3">
        <f>B2820+DeltaT</f>
        <v>14020</v>
      </c>
      <c r="C2821" s="13">
        <f t="shared" si="182"/>
        <v>233.66666666666666</v>
      </c>
      <c r="D2821" s="11">
        <f t="shared" si="183"/>
        <v>1148.8120598244091</v>
      </c>
      <c r="E2821" s="23">
        <f t="shared" si="184"/>
        <v>1148.0543803943744</v>
      </c>
      <c r="F2821" s="23">
        <f>AlphaC*(D2821-E2821)</f>
        <v>18.941985750865342</v>
      </c>
      <c r="G2821" s="13">
        <f>Phi*EpsilonF*Botzman/10^8*J2821*((D2821+273)^4-(E2821+273)^4)</f>
        <v>345.46654859584493</v>
      </c>
      <c r="H2821" s="23">
        <f t="shared" si="185"/>
        <v>650</v>
      </c>
      <c r="I2821" s="12">
        <f>ksh*Massivete/(H2821*RhoA)*DeltaT*(F2821+G2821)</f>
        <v>5.3750348246959706E-2</v>
      </c>
      <c r="J2821" s="3">
        <f>IF(E2821&lt;=500,IF(Galva=Oui,0.35,0.7),0.7)</f>
        <v>0.7</v>
      </c>
    </row>
    <row r="2822" spans="2:10" x14ac:dyDescent="0.25">
      <c r="B2822" s="3">
        <f>B2821+DeltaT</f>
        <v>14025</v>
      </c>
      <c r="C2822" s="13">
        <f t="shared" si="182"/>
        <v>233.75</v>
      </c>
      <c r="D2822" s="11">
        <f t="shared" si="183"/>
        <v>1148.8654566875032</v>
      </c>
      <c r="E2822" s="23">
        <f t="shared" si="184"/>
        <v>1148.1081307426214</v>
      </c>
      <c r="F2822" s="23">
        <f>AlphaC*(D2822-E2822)</f>
        <v>18.933148622045337</v>
      </c>
      <c r="G2822" s="13">
        <f>Phi*EpsilonF*Botzman/10^8*J2822*((D2822+273)^4-(E2822+273)^4)</f>
        <v>345.3444207924889</v>
      </c>
      <c r="H2822" s="23">
        <f t="shared" si="185"/>
        <v>650</v>
      </c>
      <c r="I2822" s="12">
        <f>ksh*Massivete/(H2822*RhoA)*DeltaT*(F2822+G2822)</f>
        <v>5.3731030887323158E-2</v>
      </c>
      <c r="J2822" s="3">
        <f>IF(E2822&lt;=500,IF(Galva=Oui,0.35,0.7),0.7)</f>
        <v>0.7</v>
      </c>
    </row>
    <row r="2823" spans="2:10" x14ac:dyDescent="0.25">
      <c r="B2823" s="3">
        <f>B2822+DeltaT</f>
        <v>14030</v>
      </c>
      <c r="C2823" s="13">
        <f t="shared" si="182"/>
        <v>233.83333333333334</v>
      </c>
      <c r="D2823" s="11">
        <f t="shared" si="183"/>
        <v>1148.9188345278458</v>
      </c>
      <c r="E2823" s="23">
        <f t="shared" si="184"/>
        <v>1148.1618617735087</v>
      </c>
      <c r="F2823" s="23">
        <f>AlphaC*(D2823-E2823)</f>
        <v>18.924318858427114</v>
      </c>
      <c r="G2823" s="13">
        <f>Phi*EpsilonF*Botzman/10^8*J2823*((D2823+273)^4-(E2823+273)^4)</f>
        <v>345.22237987370187</v>
      </c>
      <c r="H2823" s="23">
        <f t="shared" si="185"/>
        <v>650</v>
      </c>
      <c r="I2823" s="12">
        <f>ksh*Massivete/(H2823*RhoA)*DeltaT*(F2823+G2823)</f>
        <v>5.3711727429550937E-2</v>
      </c>
      <c r="J2823" s="3">
        <f>IF(E2823&lt;=500,IF(Galva=Oui,0.35,0.7),0.7)</f>
        <v>0.7</v>
      </c>
    </row>
    <row r="2824" spans="2:10" x14ac:dyDescent="0.25">
      <c r="B2824" s="3">
        <f>B2823+DeltaT</f>
        <v>14035</v>
      </c>
      <c r="C2824" s="13">
        <f t="shared" si="182"/>
        <v>233.91666666666666</v>
      </c>
      <c r="D2824" s="11">
        <f t="shared" si="183"/>
        <v>1148.9721933589854</v>
      </c>
      <c r="E2824" s="23">
        <f t="shared" si="184"/>
        <v>1148.2155735009383</v>
      </c>
      <c r="F2824" s="23">
        <f>AlphaC*(D2824-E2824)</f>
        <v>18.915496451177205</v>
      </c>
      <c r="G2824" s="13">
        <f>Phi*EpsilonF*Botzman/10^8*J2824*((D2824+273)^4-(E2824+273)^4)</f>
        <v>345.10042574632462</v>
      </c>
      <c r="H2824" s="23">
        <f t="shared" si="185"/>
        <v>650</v>
      </c>
      <c r="I2824" s="12">
        <f>ksh*Massivete/(H2824*RhoA)*DeltaT*(F2824+G2824)</f>
        <v>5.369243785859909E-2</v>
      </c>
      <c r="J2824" s="3">
        <f>IF(E2824&lt;=500,IF(Galva=Oui,0.35,0.7),0.7)</f>
        <v>0.7</v>
      </c>
    </row>
    <row r="2825" spans="2:10" x14ac:dyDescent="0.25">
      <c r="B2825" s="3">
        <f>B2824+DeltaT</f>
        <v>14040</v>
      </c>
      <c r="C2825" s="13">
        <f t="shared" si="182"/>
        <v>234</v>
      </c>
      <c r="D2825" s="11">
        <f t="shared" si="183"/>
        <v>1149.0255331944568</v>
      </c>
      <c r="E2825" s="23">
        <f t="shared" si="184"/>
        <v>1148.2692659387969</v>
      </c>
      <c r="F2825" s="23">
        <f>AlphaC*(D2825-E2825)</f>
        <v>18.906681391496249</v>
      </c>
      <c r="G2825" s="13">
        <f>Phi*EpsilonF*Botzman/10^8*J2825*((D2825+273)^4-(E2825+273)^4)</f>
        <v>344.97855831758574</v>
      </c>
      <c r="H2825" s="23">
        <f t="shared" si="185"/>
        <v>650</v>
      </c>
      <c r="I2825" s="12">
        <f>ksh*Massivete/(H2825*RhoA)*DeltaT*(F2825+G2825)</f>
        <v>5.36731621594859E-2</v>
      </c>
      <c r="J2825" s="3">
        <f>IF(E2825&lt;=500,IF(Galva=Oui,0.35,0.7),0.7)</f>
        <v>0.7</v>
      </c>
    </row>
    <row r="2826" spans="2:10" x14ac:dyDescent="0.25">
      <c r="B2826" s="3">
        <f>B2825+DeltaT</f>
        <v>14045</v>
      </c>
      <c r="C2826" s="13">
        <f t="shared" si="182"/>
        <v>234.08333333333334</v>
      </c>
      <c r="D2826" s="11">
        <f t="shared" si="183"/>
        <v>1149.0788540477799</v>
      </c>
      <c r="E2826" s="23">
        <f t="shared" si="184"/>
        <v>1148.3229391009563</v>
      </c>
      <c r="F2826" s="23">
        <f>AlphaC*(D2826-E2826)</f>
        <v>18.89787367059057</v>
      </c>
      <c r="G2826" s="13">
        <f>Phi*EpsilonF*Botzman/10^8*J2826*((D2826+273)^4-(E2826+273)^4)</f>
        <v>344.85677749473302</v>
      </c>
      <c r="H2826" s="23">
        <f t="shared" si="185"/>
        <v>650</v>
      </c>
      <c r="I2826" s="12">
        <f>ksh*Massivete/(H2826*RhoA)*DeltaT*(F2826+G2826)</f>
        <v>5.3653900317233327E-2</v>
      </c>
      <c r="J2826" s="3">
        <f>IF(E2826&lt;=500,IF(Galva=Oui,0.35,0.7),0.7)</f>
        <v>0.7</v>
      </c>
    </row>
    <row r="2827" spans="2:10" x14ac:dyDescent="0.25">
      <c r="B2827" s="3">
        <f>B2826+DeltaT</f>
        <v>14050</v>
      </c>
      <c r="C2827" s="13">
        <f t="shared" si="182"/>
        <v>234.16666666666666</v>
      </c>
      <c r="D2827" s="11">
        <f t="shared" si="183"/>
        <v>1149.1321559324604</v>
      </c>
      <c r="E2827" s="23">
        <f t="shared" si="184"/>
        <v>1148.3765930012735</v>
      </c>
      <c r="F2827" s="23">
        <f>AlphaC*(D2827-E2827)</f>
        <v>18.889073279672175</v>
      </c>
      <c r="G2827" s="13">
        <f>Phi*EpsilonF*Botzman/10^8*J2827*((D2827+273)^4-(E2827+273)^4)</f>
        <v>344.73508318501439</v>
      </c>
      <c r="H2827" s="23">
        <f t="shared" si="185"/>
        <v>650</v>
      </c>
      <c r="I2827" s="12">
        <f>ksh*Massivete/(H2827*RhoA)*DeltaT*(F2827+G2827)</f>
        <v>5.3634652316864186E-2</v>
      </c>
      <c r="J2827" s="3">
        <f>IF(E2827&lt;=500,IF(Galva=Oui,0.35,0.7),0.7)</f>
        <v>0.7</v>
      </c>
    </row>
    <row r="2828" spans="2:10" x14ac:dyDescent="0.25">
      <c r="B2828" s="3">
        <f>B2827+DeltaT</f>
        <v>14055</v>
      </c>
      <c r="C2828" s="13">
        <f t="shared" si="182"/>
        <v>234.25</v>
      </c>
      <c r="D2828" s="11">
        <f t="shared" si="183"/>
        <v>1149.1854388619893</v>
      </c>
      <c r="E2828" s="23">
        <f t="shared" si="184"/>
        <v>1148.4302276535902</v>
      </c>
      <c r="F2828" s="23">
        <f>AlphaC*(D2828-E2828)</f>
        <v>18.880280209975808</v>
      </c>
      <c r="G2828" s="13">
        <f>Phi*EpsilonF*Botzman/10^8*J2828*((D2828+273)^4-(E2828+273)^4)</f>
        <v>344.61347529606536</v>
      </c>
      <c r="H2828" s="23">
        <f t="shared" si="185"/>
        <v>650</v>
      </c>
      <c r="I2828" s="12">
        <f>ksh*Massivete/(H2828*RhoA)*DeltaT*(F2828+G2828)</f>
        <v>5.3615418143461817E-2</v>
      </c>
      <c r="J2828" s="3">
        <f>IF(E2828&lt;=500,IF(Galva=Oui,0.35,0.7),0.7)</f>
        <v>0.7</v>
      </c>
    </row>
    <row r="2829" spans="2:10" x14ac:dyDescent="0.25">
      <c r="B2829" s="3">
        <f>B2828+DeltaT</f>
        <v>14060</v>
      </c>
      <c r="C2829" s="13">
        <f t="shared" si="182"/>
        <v>234.33333333333334</v>
      </c>
      <c r="D2829" s="11">
        <f t="shared" si="183"/>
        <v>1149.2387028498438</v>
      </c>
      <c r="E2829" s="23">
        <f t="shared" si="184"/>
        <v>1148.4838430717336</v>
      </c>
      <c r="F2829" s="23">
        <f>AlphaC*(D2829-E2829)</f>
        <v>18.871494452753268</v>
      </c>
      <c r="G2829" s="13">
        <f>Phi*EpsilonF*Botzman/10^8*J2829*((D2829+273)^4-(E2829+273)^4)</f>
        <v>344.49195373548258</v>
      </c>
      <c r="H2829" s="23">
        <f t="shared" si="185"/>
        <v>650</v>
      </c>
      <c r="I2829" s="12">
        <f>ksh*Massivete/(H2829*RhoA)*DeltaT*(F2829+G2829)</f>
        <v>5.3596197782106343E-2</v>
      </c>
      <c r="J2829" s="3">
        <f>IF(E2829&lt;=500,IF(Galva=Oui,0.35,0.7),0.7)</f>
        <v>0.7</v>
      </c>
    </row>
    <row r="2830" spans="2:10" x14ac:dyDescent="0.25">
      <c r="B2830" s="3">
        <f>B2829+DeltaT</f>
        <v>14065</v>
      </c>
      <c r="C2830" s="13">
        <f t="shared" si="182"/>
        <v>234.41666666666666</v>
      </c>
      <c r="D2830" s="11">
        <f t="shared" si="183"/>
        <v>1149.291947909486</v>
      </c>
      <c r="E2830" s="23">
        <f t="shared" si="184"/>
        <v>1148.5374392695157</v>
      </c>
      <c r="F2830" s="23">
        <f>AlphaC*(D2830-E2830)</f>
        <v>18.862715999256352</v>
      </c>
      <c r="G2830" s="13">
        <f>Phi*EpsilonF*Botzman/10^8*J2830*((D2830+273)^4-(E2830+273)^4)</f>
        <v>344.37051841103721</v>
      </c>
      <c r="H2830" s="23">
        <f t="shared" si="185"/>
        <v>650</v>
      </c>
      <c r="I2830" s="12">
        <f>ksh*Massivete/(H2830*RhoA)*DeltaT*(F2830+G2830)</f>
        <v>5.3576991217903623E-2</v>
      </c>
      <c r="J2830" s="3">
        <f>IF(E2830&lt;=500,IF(Galva=Oui,0.35,0.7),0.7)</f>
        <v>0.7</v>
      </c>
    </row>
    <row r="2831" spans="2:10" x14ac:dyDescent="0.25">
      <c r="B2831" s="3">
        <f>B2830+DeltaT</f>
        <v>14070</v>
      </c>
      <c r="C2831" s="13">
        <f t="shared" si="182"/>
        <v>234.5</v>
      </c>
      <c r="D2831" s="11">
        <f t="shared" si="183"/>
        <v>1149.3451740543644</v>
      </c>
      <c r="E2831" s="23">
        <f t="shared" si="184"/>
        <v>1148.5910162607336</v>
      </c>
      <c r="F2831" s="23">
        <f>AlphaC*(D2831-E2831)</f>
        <v>18.853944840770964</v>
      </c>
      <c r="G2831" s="13">
        <f>Phi*EpsilonF*Botzman/10^8*J2831*((D2831+273)^4-(E2831+273)^4)</f>
        <v>344.24916923077177</v>
      </c>
      <c r="H2831" s="23">
        <f t="shared" si="185"/>
        <v>650</v>
      </c>
      <c r="I2831" s="12">
        <f>ksh*Massivete/(H2831*RhoA)*DeltaT*(F2831+G2831)</f>
        <v>5.3557798436004569E-2</v>
      </c>
      <c r="J2831" s="3">
        <f>IF(E2831&lt;=500,IF(Galva=Oui,0.35,0.7),0.7)</f>
        <v>0.7</v>
      </c>
    </row>
    <row r="2832" spans="2:10" x14ac:dyDescent="0.25">
      <c r="B2832" s="3">
        <f>B2831+DeltaT</f>
        <v>14075</v>
      </c>
      <c r="C2832" s="13">
        <f t="shared" si="182"/>
        <v>234.58333333333334</v>
      </c>
      <c r="D2832" s="11">
        <f t="shared" si="183"/>
        <v>1149.3983812979125</v>
      </c>
      <c r="E2832" s="23">
        <f t="shared" si="184"/>
        <v>1148.6445740591696</v>
      </c>
      <c r="F2832" s="23">
        <f>AlphaC*(D2832-E2832)</f>
        <v>18.84518096857164</v>
      </c>
      <c r="G2832" s="13">
        <f>Phi*EpsilonF*Botzman/10^8*J2832*((D2832+273)^4-(E2832+273)^4)</f>
        <v>344.12790610253484</v>
      </c>
      <c r="H2832" s="23">
        <f t="shared" si="185"/>
        <v>650</v>
      </c>
      <c r="I2832" s="12">
        <f>ksh*Massivete/(H2832*RhoA)*DeltaT*(F2832+G2832)</f>
        <v>5.3538619421529821E-2</v>
      </c>
      <c r="J2832" s="3">
        <f>IF(E2832&lt;=500,IF(Galva=Oui,0.35,0.7),0.7)</f>
        <v>0.7</v>
      </c>
    </row>
    <row r="2833" spans="2:10" x14ac:dyDescent="0.25">
      <c r="B2833" s="3">
        <f>B2832+DeltaT</f>
        <v>14080</v>
      </c>
      <c r="C2833" s="13">
        <f t="shared" si="182"/>
        <v>234.66666666666666</v>
      </c>
      <c r="D2833" s="11">
        <f t="shared" si="183"/>
        <v>1149.4515696535495</v>
      </c>
      <c r="E2833" s="23">
        <f t="shared" si="184"/>
        <v>1148.6981126785911</v>
      </c>
      <c r="F2833" s="23">
        <f>AlphaC*(D2833-E2833)</f>
        <v>18.836424373961336</v>
      </c>
      <c r="G2833" s="13">
        <f>Phi*EpsilonF*Botzman/10^8*J2833*((D2833+273)^4-(E2833+273)^4)</f>
        <v>344.00672893452389</v>
      </c>
      <c r="H2833" s="23">
        <f t="shared" si="185"/>
        <v>650</v>
      </c>
      <c r="I2833" s="12">
        <f>ksh*Massivete/(H2833*RhoA)*DeltaT*(F2833+G2833)</f>
        <v>5.3519454159655672E-2</v>
      </c>
      <c r="J2833" s="3">
        <f>IF(E2833&lt;=500,IF(Galva=Oui,0.35,0.7),0.7)</f>
        <v>0.7</v>
      </c>
    </row>
    <row r="2834" spans="2:10" x14ac:dyDescent="0.25">
      <c r="B2834" s="3">
        <f>B2833+DeltaT</f>
        <v>14085</v>
      </c>
      <c r="C2834" s="13">
        <f t="shared" ref="C2834:C2897" si="186">B2834/60</f>
        <v>234.75</v>
      </c>
      <c r="D2834" s="11">
        <f t="shared" ref="D2834:D2897" si="187">20+345*LOG(8*C2834+1,10)</f>
        <v>1149.5047391346811</v>
      </c>
      <c r="E2834" s="23">
        <f t="shared" si="184"/>
        <v>1148.7516321327507</v>
      </c>
      <c r="F2834" s="23">
        <f>AlphaC*(D2834-E2834)</f>
        <v>18.827675048260062</v>
      </c>
      <c r="G2834" s="13">
        <f>Phi*EpsilonF*Botzman/10^8*J2834*((D2834+273)^4-(E2834+273)^4)</f>
        <v>343.88563763513031</v>
      </c>
      <c r="H2834" s="23">
        <f t="shared" si="185"/>
        <v>650</v>
      </c>
      <c r="I2834" s="12">
        <f>ksh*Massivete/(H2834*RhoA)*DeltaT*(F2834+G2834)</f>
        <v>5.3500302635589525E-2</v>
      </c>
      <c r="J2834" s="3">
        <f>IF(E2834&lt;=500,IF(Galva=Oui,0.35,0.7),0.7)</f>
        <v>0.7</v>
      </c>
    </row>
    <row r="2835" spans="2:10" x14ac:dyDescent="0.25">
      <c r="B2835" s="3">
        <f>B2834+DeltaT</f>
        <v>14090</v>
      </c>
      <c r="C2835" s="13">
        <f t="shared" si="186"/>
        <v>234.83333333333334</v>
      </c>
      <c r="D2835" s="11">
        <f t="shared" si="187"/>
        <v>1149.5578897546982</v>
      </c>
      <c r="E2835" s="23">
        <f t="shared" si="184"/>
        <v>1148.8051324353862</v>
      </c>
      <c r="F2835" s="23">
        <f>AlphaC*(D2835-E2835)</f>
        <v>18.818932982799197</v>
      </c>
      <c r="G2835" s="13">
        <f>Phi*EpsilonF*Botzman/10^8*J2835*((D2835+273)^4-(E2835+273)^4)</f>
        <v>343.76463211284226</v>
      </c>
      <c r="H2835" s="23">
        <f t="shared" si="185"/>
        <v>650</v>
      </c>
      <c r="I2835" s="12">
        <f>ksh*Massivete/(H2835*RhoA)*DeltaT*(F2835+G2835)</f>
        <v>5.3481164834554736E-2</v>
      </c>
      <c r="J2835" s="3">
        <f>IF(E2835&lt;=500,IF(Galva=Oui,0.35,0.7),0.7)</f>
        <v>0.7</v>
      </c>
    </row>
    <row r="2836" spans="2:10" x14ac:dyDescent="0.25">
      <c r="B2836" s="3">
        <f>B2835+DeltaT</f>
        <v>14095</v>
      </c>
      <c r="C2836" s="13">
        <f t="shared" si="186"/>
        <v>234.91666666666666</v>
      </c>
      <c r="D2836" s="11">
        <f t="shared" si="187"/>
        <v>1149.6110215269771</v>
      </c>
      <c r="E2836" s="23">
        <f t="shared" si="184"/>
        <v>1148.8586136002207</v>
      </c>
      <c r="F2836" s="23">
        <f>AlphaC*(D2836-E2836)</f>
        <v>18.810198168910119</v>
      </c>
      <c r="G2836" s="13">
        <f>Phi*EpsilonF*Botzman/10^8*J2836*((D2836+273)^4-(E2836+273)^4)</f>
        <v>343.64371227608979</v>
      </c>
      <c r="H2836" s="23">
        <f t="shared" si="185"/>
        <v>650</v>
      </c>
      <c r="I2836" s="12">
        <f>ksh*Massivete/(H2836*RhoA)*DeltaT*(F2836+G2836)</f>
        <v>5.3462040741766088E-2</v>
      </c>
      <c r="J2836" s="3">
        <f>IF(E2836&lt;=500,IF(Galva=Oui,0.35,0.7),0.7)</f>
        <v>0.7</v>
      </c>
    </row>
    <row r="2837" spans="2:10" x14ac:dyDescent="0.25">
      <c r="B2837" s="3">
        <f>B2836+DeltaT</f>
        <v>14100</v>
      </c>
      <c r="C2837" s="13">
        <f t="shared" si="186"/>
        <v>235</v>
      </c>
      <c r="D2837" s="11">
        <f t="shared" si="187"/>
        <v>1149.6641344648806</v>
      </c>
      <c r="E2837" s="23">
        <f t="shared" si="184"/>
        <v>1148.9120756409625</v>
      </c>
      <c r="F2837" s="23">
        <f>AlphaC*(D2837-E2837)</f>
        <v>18.80147059795263</v>
      </c>
      <c r="G2837" s="13">
        <f>Phi*EpsilonF*Botzman/10^8*J2837*((D2837+273)^4-(E2837+273)^4)</f>
        <v>343.52287803365175</v>
      </c>
      <c r="H2837" s="23">
        <f t="shared" si="185"/>
        <v>650</v>
      </c>
      <c r="I2837" s="12">
        <f>ksh*Massivete/(H2837*RhoA)*DeltaT*(F2837+G2837)</f>
        <v>5.3442930342494012E-2</v>
      </c>
      <c r="J2837" s="3">
        <f>IF(E2837&lt;=500,IF(Galva=Oui,0.35,0.7),0.7)</f>
        <v>0.7</v>
      </c>
    </row>
    <row r="2838" spans="2:10" x14ac:dyDescent="0.25">
      <c r="B2838" s="3">
        <f>B2837+DeltaT</f>
        <v>14105</v>
      </c>
      <c r="C2838" s="13">
        <f t="shared" si="186"/>
        <v>235.08333333333334</v>
      </c>
      <c r="D2838" s="11">
        <f t="shared" si="187"/>
        <v>1149.7172285817569</v>
      </c>
      <c r="E2838" s="23">
        <f t="shared" si="184"/>
        <v>1148.965518571305</v>
      </c>
      <c r="F2838" s="23">
        <f>AlphaC*(D2838-E2838)</f>
        <v>18.792750261297897</v>
      </c>
      <c r="G2838" s="13">
        <f>Phi*EpsilonF*Botzman/10^8*J2838*((D2838+273)^4-(E2838+273)^4)</f>
        <v>343.40212929432647</v>
      </c>
      <c r="H2838" s="23">
        <f t="shared" si="185"/>
        <v>650</v>
      </c>
      <c r="I2838" s="12">
        <f>ksh*Massivete/(H2838*RhoA)*DeltaT*(F2838+G2838)</f>
        <v>5.3423833622013486E-2</v>
      </c>
      <c r="J2838" s="3">
        <f>IF(E2838&lt;=500,IF(Galva=Oui,0.35,0.7),0.7)</f>
        <v>0.7</v>
      </c>
    </row>
    <row r="2839" spans="2:10" x14ac:dyDescent="0.25">
      <c r="B2839" s="3">
        <f>B2838+DeltaT</f>
        <v>14110</v>
      </c>
      <c r="C2839" s="13">
        <f t="shared" si="186"/>
        <v>235.16666666666666</v>
      </c>
      <c r="D2839" s="11">
        <f t="shared" si="187"/>
        <v>1149.7703038909397</v>
      </c>
      <c r="E2839" s="23">
        <f t="shared" si="184"/>
        <v>1149.018942404927</v>
      </c>
      <c r="F2839" s="23">
        <f>AlphaC*(D2839-E2839)</f>
        <v>18.78403715031709</v>
      </c>
      <c r="G2839" s="13">
        <f>Phi*EpsilonF*Botzman/10^8*J2839*((D2839+273)^4-(E2839+273)^4)</f>
        <v>343.2814659669703</v>
      </c>
      <c r="H2839" s="23">
        <f t="shared" si="185"/>
        <v>650</v>
      </c>
      <c r="I2839" s="12">
        <f>ksh*Massivete/(H2839*RhoA)*DeltaT*(F2839+G2839)</f>
        <v>5.340475056560804E-2</v>
      </c>
      <c r="J2839" s="3">
        <f>IF(E2839&lt;=500,IF(Galva=Oui,0.35,0.7),0.7)</f>
        <v>0.7</v>
      </c>
    </row>
    <row r="2840" spans="2:10" x14ac:dyDescent="0.25">
      <c r="B2840" s="3">
        <f>B2839+DeltaT</f>
        <v>14115</v>
      </c>
      <c r="C2840" s="13">
        <f t="shared" si="186"/>
        <v>235.25</v>
      </c>
      <c r="D2840" s="11">
        <f t="shared" si="187"/>
        <v>1149.8233604057493</v>
      </c>
      <c r="E2840" s="23">
        <f t="shared" si="184"/>
        <v>1149.0723471554925</v>
      </c>
      <c r="F2840" s="23">
        <f>AlphaC*(D2840-E2840)</f>
        <v>18.775331256421168</v>
      </c>
      <c r="G2840" s="13">
        <f>Phi*EpsilonF*Botzman/10^8*J2840*((D2840+273)^4-(E2840+273)^4)</f>
        <v>343.16088796084671</v>
      </c>
      <c r="H2840" s="23">
        <f t="shared" si="185"/>
        <v>650</v>
      </c>
      <c r="I2840" s="12">
        <f>ksh*Massivete/(H2840*RhoA)*DeltaT*(F2840+G2840)</f>
        <v>5.338568115862713E-2</v>
      </c>
      <c r="J2840" s="3">
        <f>IF(E2840&lt;=500,IF(Galva=Oui,0.35,0.7),0.7)</f>
        <v>0.7</v>
      </c>
    </row>
    <row r="2841" spans="2:10" x14ac:dyDescent="0.25">
      <c r="B2841" s="3">
        <f>B2840+DeltaT</f>
        <v>14120</v>
      </c>
      <c r="C2841" s="13">
        <f t="shared" si="186"/>
        <v>235.33333333333334</v>
      </c>
      <c r="D2841" s="11">
        <f t="shared" si="187"/>
        <v>1149.8763981394914</v>
      </c>
      <c r="E2841" s="23">
        <f t="shared" si="184"/>
        <v>1149.1257328366512</v>
      </c>
      <c r="F2841" s="23">
        <f>AlphaC*(D2841-E2841)</f>
        <v>18.766632571004038</v>
      </c>
      <c r="G2841" s="13">
        <f>Phi*EpsilonF*Botzman/10^8*J2841*((D2841+273)^4-(E2841+273)^4)</f>
        <v>343.04039518506397</v>
      </c>
      <c r="H2841" s="23">
        <f t="shared" si="185"/>
        <v>650</v>
      </c>
      <c r="I2841" s="12">
        <f>ksh*Massivete/(H2841*RhoA)*DeltaT*(F2841+G2841)</f>
        <v>5.3366625386394806E-2</v>
      </c>
      <c r="J2841" s="3">
        <f>IF(E2841&lt;=500,IF(Galva=Oui,0.35,0.7),0.7)</f>
        <v>0.7</v>
      </c>
    </row>
    <row r="2842" spans="2:10" x14ac:dyDescent="0.25">
      <c r="B2842" s="3">
        <f>B2841+DeltaT</f>
        <v>14125</v>
      </c>
      <c r="C2842" s="13">
        <f t="shared" si="186"/>
        <v>235.41666666666666</v>
      </c>
      <c r="D2842" s="11">
        <f t="shared" si="187"/>
        <v>1149.9294171054573</v>
      </c>
      <c r="E2842" s="23">
        <f t="shared" si="184"/>
        <v>1149.1790994620376</v>
      </c>
      <c r="F2842" s="23">
        <f>AlphaC*(D2842-E2842)</f>
        <v>18.757941085493712</v>
      </c>
      <c r="G2842" s="13">
        <f>Phi*EpsilonF*Botzman/10^8*J2842*((D2842+273)^4-(E2842+273)^4)</f>
        <v>342.91998754890488</v>
      </c>
      <c r="H2842" s="23">
        <f t="shared" si="185"/>
        <v>650</v>
      </c>
      <c r="I2842" s="12">
        <f>ksh*Massivete/(H2842*RhoA)*DeltaT*(F2842+G2842)</f>
        <v>5.3347583234265882E-2</v>
      </c>
      <c r="J2842" s="3">
        <f>IF(E2842&lt;=500,IF(Galva=Oui,0.35,0.7),0.7)</f>
        <v>0.7</v>
      </c>
    </row>
    <row r="2843" spans="2:10" x14ac:dyDescent="0.25">
      <c r="B2843" s="3">
        <f>B2842+DeltaT</f>
        <v>14130</v>
      </c>
      <c r="C2843" s="13">
        <f t="shared" si="186"/>
        <v>235.5</v>
      </c>
      <c r="D2843" s="11">
        <f t="shared" si="187"/>
        <v>1149.982417316925</v>
      </c>
      <c r="E2843" s="23">
        <f t="shared" si="184"/>
        <v>1149.2324470452718</v>
      </c>
      <c r="F2843" s="23">
        <f>AlphaC*(D2843-E2843)</f>
        <v>18.749256791329572</v>
      </c>
      <c r="G2843" s="13">
        <f>Phi*EpsilonF*Botzman/10^8*J2843*((D2843+273)^4-(E2843+273)^4)</f>
        <v>342.79966496202047</v>
      </c>
      <c r="H2843" s="23">
        <f t="shared" si="185"/>
        <v>650</v>
      </c>
      <c r="I2843" s="12">
        <f>ksh*Massivete/(H2843*RhoA)*DeltaT*(F2843+G2843)</f>
        <v>5.3328554687651172E-2</v>
      </c>
      <c r="J2843" s="3">
        <f>IF(E2843&lt;=500,IF(Galva=Oui,0.35,0.7),0.7)</f>
        <v>0.7</v>
      </c>
    </row>
    <row r="2844" spans="2:10" x14ac:dyDescent="0.25">
      <c r="B2844" s="3">
        <f>B2843+DeltaT</f>
        <v>14135</v>
      </c>
      <c r="C2844" s="13">
        <f t="shared" si="186"/>
        <v>235.58333333333334</v>
      </c>
      <c r="D2844" s="11">
        <f t="shared" si="187"/>
        <v>1150.0353987871576</v>
      </c>
      <c r="E2844" s="23">
        <f t="shared" si="184"/>
        <v>1149.2857755999594</v>
      </c>
      <c r="F2844" s="23">
        <f>AlphaC*(D2844-E2844)</f>
        <v>18.740579679956682</v>
      </c>
      <c r="G2844" s="13">
        <f>Phi*EpsilonF*Botzman/10^8*J2844*((D2844+273)^4-(E2844+273)^4)</f>
        <v>342.67942733392596</v>
      </c>
      <c r="H2844" s="23">
        <f t="shared" si="185"/>
        <v>650</v>
      </c>
      <c r="I2844" s="12">
        <f>ksh*Massivete/(H2844*RhoA)*DeltaT*(F2844+G2844)</f>
        <v>5.3309539731942301E-2</v>
      </c>
      <c r="J2844" s="3">
        <f>IF(E2844&lt;=500,IF(Galva=Oui,0.35,0.7),0.7)</f>
        <v>0.7</v>
      </c>
    </row>
    <row r="2845" spans="2:10" x14ac:dyDescent="0.25">
      <c r="B2845" s="3">
        <f>B2844+DeltaT</f>
        <v>14140</v>
      </c>
      <c r="C2845" s="13">
        <f t="shared" si="186"/>
        <v>235.66666666666666</v>
      </c>
      <c r="D2845" s="11">
        <f t="shared" si="187"/>
        <v>1150.0883615294044</v>
      </c>
      <c r="E2845" s="23">
        <f t="shared" si="184"/>
        <v>1149.3390851396914</v>
      </c>
      <c r="F2845" s="23">
        <f>AlphaC*(D2845-E2845)</f>
        <v>18.731909742825792</v>
      </c>
      <c r="G2845" s="13">
        <f>Phi*EpsilonF*Botzman/10^8*J2845*((D2845+273)^4-(E2845+273)^4)</f>
        <v>342.55927457417556</v>
      </c>
      <c r="H2845" s="23">
        <f t="shared" si="185"/>
        <v>650</v>
      </c>
      <c r="I2845" s="12">
        <f>ksh*Massivete/(H2845*RhoA)*DeltaT*(F2845+G2845)</f>
        <v>5.3290538352537463E-2</v>
      </c>
      <c r="J2845" s="3">
        <f>IF(E2845&lt;=500,IF(Galva=Oui,0.35,0.7),0.7)</f>
        <v>0.7</v>
      </c>
    </row>
    <row r="2846" spans="2:10" x14ac:dyDescent="0.25">
      <c r="B2846" s="3">
        <f>B2845+DeltaT</f>
        <v>14145</v>
      </c>
      <c r="C2846" s="13">
        <f t="shared" si="186"/>
        <v>235.75</v>
      </c>
      <c r="D2846" s="11">
        <f t="shared" si="187"/>
        <v>1150.1413055569012</v>
      </c>
      <c r="E2846" s="23">
        <f t="shared" si="184"/>
        <v>1149.3923756780439</v>
      </c>
      <c r="F2846" s="23">
        <f>AlphaC*(D2846-E2846)</f>
        <v>18.723246971433127</v>
      </c>
      <c r="G2846" s="13">
        <f>Phi*EpsilonF*Botzman/10^8*J2846*((D2846+273)^4-(E2846+273)^4)</f>
        <v>342.43920659294344</v>
      </c>
      <c r="H2846" s="23">
        <f t="shared" si="185"/>
        <v>650</v>
      </c>
      <c r="I2846" s="12">
        <f>ksh*Massivete/(H2846*RhoA)*DeltaT*(F2846+G2846)</f>
        <v>5.3271550534933022E-2</v>
      </c>
      <c r="J2846" s="3">
        <f>IF(E2846&lt;=500,IF(Galva=Oui,0.35,0.7),0.7)</f>
        <v>0.7</v>
      </c>
    </row>
    <row r="2847" spans="2:10" x14ac:dyDescent="0.25">
      <c r="B2847" s="3">
        <f>B2846+DeltaT</f>
        <v>14150</v>
      </c>
      <c r="C2847" s="13">
        <f t="shared" si="186"/>
        <v>235.83333333333334</v>
      </c>
      <c r="D2847" s="11">
        <f t="shared" si="187"/>
        <v>1150.1942308828689</v>
      </c>
      <c r="E2847" s="23">
        <f t="shared" si="184"/>
        <v>1149.4456472285788</v>
      </c>
      <c r="F2847" s="23">
        <f>AlphaC*(D2847-E2847)</f>
        <v>18.714591357252175</v>
      </c>
      <c r="G2847" s="13">
        <f>Phi*EpsilonF*Botzman/10^8*J2847*((D2847+273)^4-(E2847+273)^4)</f>
        <v>342.319223300055</v>
      </c>
      <c r="H2847" s="23">
        <f t="shared" si="185"/>
        <v>650</v>
      </c>
      <c r="I2847" s="12">
        <f>ksh*Massivete/(H2847*RhoA)*DeltaT*(F2847+G2847)</f>
        <v>5.3252576264570549E-2</v>
      </c>
      <c r="J2847" s="3">
        <f>IF(E2847&lt;=500,IF(Galva=Oui,0.35,0.7),0.7)</f>
        <v>0.7</v>
      </c>
    </row>
    <row r="2848" spans="2:10" x14ac:dyDescent="0.25">
      <c r="B2848" s="3">
        <f>B2847+DeltaT</f>
        <v>14155</v>
      </c>
      <c r="C2848" s="13">
        <f t="shared" si="186"/>
        <v>235.91666666666666</v>
      </c>
      <c r="D2848" s="11">
        <f t="shared" si="187"/>
        <v>1150.247137520515</v>
      </c>
      <c r="E2848" s="23">
        <f t="shared" si="184"/>
        <v>1149.4988998048434</v>
      </c>
      <c r="F2848" s="23">
        <f>AlphaC*(D2848-E2848)</f>
        <v>18.705942891790528</v>
      </c>
      <c r="G2848" s="13">
        <f>Phi*EpsilonF*Botzman/10^8*J2848*((D2848+273)^4-(E2848+273)^4)</f>
        <v>342.19932460562637</v>
      </c>
      <c r="H2848" s="23">
        <f t="shared" si="185"/>
        <v>650</v>
      </c>
      <c r="I2848" s="12">
        <f>ksh*Massivete/(H2848*RhoA)*DeltaT*(F2848+G2848)</f>
        <v>5.3233615526939511E-2</v>
      </c>
      <c r="J2848" s="3">
        <f>IF(E2848&lt;=500,IF(Galva=Oui,0.35,0.7),0.7)</f>
        <v>0.7</v>
      </c>
    </row>
    <row r="2849" spans="2:10" x14ac:dyDescent="0.25">
      <c r="B2849" s="3">
        <f>B2848+DeltaT</f>
        <v>14160</v>
      </c>
      <c r="C2849" s="13">
        <f t="shared" si="186"/>
        <v>236</v>
      </c>
      <c r="D2849" s="11">
        <f t="shared" si="187"/>
        <v>1150.3000254830324</v>
      </c>
      <c r="E2849" s="23">
        <f t="shared" si="184"/>
        <v>1149.5521334203704</v>
      </c>
      <c r="F2849" s="23">
        <f>AlphaC*(D2849-E2849)</f>
        <v>18.697301566550095</v>
      </c>
      <c r="G2849" s="13">
        <f>Phi*EpsilonF*Botzman/10^8*J2849*((D2849+273)^4-(E2849+273)^4)</f>
        <v>342.0795104197349</v>
      </c>
      <c r="H2849" s="23">
        <f t="shared" si="185"/>
        <v>650</v>
      </c>
      <c r="I2849" s="12">
        <f>ksh*Massivete/(H2849*RhoA)*DeltaT*(F2849+G2849)</f>
        <v>5.3214668307522819E-2</v>
      </c>
      <c r="J2849" s="3">
        <f>IF(E2849&lt;=500,IF(Galva=Oui,0.35,0.7),0.7)</f>
        <v>0.7</v>
      </c>
    </row>
    <row r="2850" spans="2:10" x14ac:dyDescent="0.25">
      <c r="B2850" s="3">
        <f>B2849+DeltaT</f>
        <v>14165</v>
      </c>
      <c r="C2850" s="13">
        <f t="shared" si="186"/>
        <v>236.08333333333334</v>
      </c>
      <c r="D2850" s="11">
        <f t="shared" si="187"/>
        <v>1150.352894783601</v>
      </c>
      <c r="E2850" s="23">
        <f t="shared" si="184"/>
        <v>1149.6053480886778</v>
      </c>
      <c r="F2850" s="23">
        <f>AlphaC*(D2850-E2850)</f>
        <v>18.68866737307826</v>
      </c>
      <c r="G2850" s="13">
        <f>Phi*EpsilonF*Botzman/10^8*J2850*((D2850+273)^4-(E2850+273)^4)</f>
        <v>341.95978065309748</v>
      </c>
      <c r="H2850" s="23">
        <f t="shared" si="185"/>
        <v>650</v>
      </c>
      <c r="I2850" s="12">
        <f>ksh*Massivete/(H2850*RhoA)*DeltaT*(F2850+G2850)</f>
        <v>5.3195734591904444E-2</v>
      </c>
      <c r="J2850" s="3">
        <f>IF(E2850&lt;=500,IF(Galva=Oui,0.35,0.7),0.7)</f>
        <v>0.7</v>
      </c>
    </row>
    <row r="2851" spans="2:10" x14ac:dyDescent="0.25">
      <c r="B2851" s="3">
        <f>B2850+DeltaT</f>
        <v>14170</v>
      </c>
      <c r="C2851" s="13">
        <f t="shared" si="186"/>
        <v>236.16666666666666</v>
      </c>
      <c r="D2851" s="11">
        <f t="shared" si="187"/>
        <v>1150.4057454353858</v>
      </c>
      <c r="E2851" s="23">
        <f t="shared" si="184"/>
        <v>1149.6585438232698</v>
      </c>
      <c r="F2851" s="23">
        <f>AlphaC*(D2851-E2851)</f>
        <v>18.68004030289967</v>
      </c>
      <c r="G2851" s="13">
        <f>Phi*EpsilonF*Botzman/10^8*J2851*((D2851+273)^4-(E2851+273)^4)</f>
        <v>341.84013521590771</v>
      </c>
      <c r="H2851" s="23">
        <f t="shared" si="185"/>
        <v>650</v>
      </c>
      <c r="I2851" s="12">
        <f>ksh*Massivete/(H2851*RhoA)*DeltaT*(F2851+G2851)</f>
        <v>5.3176814365587785E-2</v>
      </c>
      <c r="J2851" s="3">
        <f>IF(E2851&lt;=500,IF(Galva=Oui,0.35,0.7),0.7)</f>
        <v>0.7</v>
      </c>
    </row>
    <row r="2852" spans="2:10" x14ac:dyDescent="0.25">
      <c r="B2852" s="3">
        <f>B2851+DeltaT</f>
        <v>14175</v>
      </c>
      <c r="C2852" s="13">
        <f t="shared" si="186"/>
        <v>236.25</v>
      </c>
      <c r="D2852" s="11">
        <f t="shared" si="187"/>
        <v>1150.4585774515385</v>
      </c>
      <c r="E2852" s="23">
        <f t="shared" si="184"/>
        <v>1149.7117206376354</v>
      </c>
      <c r="F2852" s="23">
        <f>AlphaC*(D2852-E2852)</f>
        <v>18.67142034757876</v>
      </c>
      <c r="G2852" s="13">
        <f>Phi*EpsilonF*Botzman/10^8*J2852*((D2852+273)^4-(E2852+273)^4)</f>
        <v>341.72057401899872</v>
      </c>
      <c r="H2852" s="23">
        <f t="shared" si="185"/>
        <v>650</v>
      </c>
      <c r="I2852" s="12">
        <f>ksh*Massivete/(H2852*RhoA)*DeltaT*(F2852+G2852)</f>
        <v>5.3157907614176478E-2</v>
      </c>
      <c r="J2852" s="3">
        <f>IF(E2852&lt;=500,IF(Galva=Oui,0.35,0.7),0.7)</f>
        <v>0.7</v>
      </c>
    </row>
    <row r="2853" spans="2:10" x14ac:dyDescent="0.25">
      <c r="B2853" s="3">
        <f>B2852+DeltaT</f>
        <v>14180</v>
      </c>
      <c r="C2853" s="13">
        <f t="shared" si="186"/>
        <v>236.33333333333334</v>
      </c>
      <c r="D2853" s="11">
        <f t="shared" si="187"/>
        <v>1150.5113908451967</v>
      </c>
      <c r="E2853" s="23">
        <f t="shared" si="184"/>
        <v>1149.7648785452495</v>
      </c>
      <c r="F2853" s="23">
        <f>AlphaC*(D2853-E2853)</f>
        <v>18.662807498679967</v>
      </c>
      <c r="G2853" s="13">
        <f>Phi*EpsilonF*Botzman/10^8*J2853*((D2853+273)^4-(E2853+273)^4)</f>
        <v>341.60109697302931</v>
      </c>
      <c r="H2853" s="23">
        <f t="shared" si="185"/>
        <v>650</v>
      </c>
      <c r="I2853" s="12">
        <f>ksh*Massivete/(H2853*RhoA)*DeltaT*(F2853+G2853)</f>
        <v>5.3139014323248412E-2</v>
      </c>
      <c r="J2853" s="3">
        <f>IF(E2853&lt;=500,IF(Galva=Oui,0.35,0.7),0.7)</f>
        <v>0.7</v>
      </c>
    </row>
    <row r="2854" spans="2:10" x14ac:dyDescent="0.25">
      <c r="B2854" s="3">
        <f>B2853+DeltaT</f>
        <v>14185</v>
      </c>
      <c r="C2854" s="13">
        <f t="shared" si="186"/>
        <v>236.41666666666666</v>
      </c>
      <c r="D2854" s="11">
        <f t="shared" si="187"/>
        <v>1150.5641856294837</v>
      </c>
      <c r="E2854" s="23">
        <f t="shared" si="184"/>
        <v>1149.8180175595728</v>
      </c>
      <c r="F2854" s="23">
        <f>AlphaC*(D2854-E2854)</f>
        <v>18.654201747773413</v>
      </c>
      <c r="G2854" s="13">
        <f>Phi*EpsilonF*Botzman/10^8*J2854*((D2854+273)^4-(E2854+273)^4)</f>
        <v>341.48170398877443</v>
      </c>
      <c r="H2854" s="23">
        <f t="shared" si="185"/>
        <v>650</v>
      </c>
      <c r="I2854" s="12">
        <f>ksh*Massivete/(H2854*RhoA)*DeltaT*(F2854+G2854)</f>
        <v>5.3120134478399465E-2</v>
      </c>
      <c r="J2854" s="3">
        <f>IF(E2854&lt;=500,IF(Galva=Oui,0.35,0.7),0.7)</f>
        <v>0.7</v>
      </c>
    </row>
    <row r="2855" spans="2:10" x14ac:dyDescent="0.25">
      <c r="B2855" s="3">
        <f>B2854+DeltaT</f>
        <v>14190</v>
      </c>
      <c r="C2855" s="13">
        <f t="shared" si="186"/>
        <v>236.5</v>
      </c>
      <c r="D2855" s="11">
        <f t="shared" si="187"/>
        <v>1150.6169618175097</v>
      </c>
      <c r="E2855" s="23">
        <f t="shared" si="184"/>
        <v>1149.8711376940512</v>
      </c>
      <c r="F2855" s="23">
        <f>AlphaC*(D2855-E2855)</f>
        <v>18.645603086463325</v>
      </c>
      <c r="G2855" s="13">
        <f>Phi*EpsilonF*Botzman/10^8*J2855*((D2855+273)^4-(E2855+273)^4)</f>
        <v>341.36239497737739</v>
      </c>
      <c r="H2855" s="23">
        <f t="shared" si="185"/>
        <v>650</v>
      </c>
      <c r="I2855" s="12">
        <f>ksh*Massivete/(H2855*RhoA)*DeltaT*(F2855+G2855)</f>
        <v>5.3101268065284875E-2</v>
      </c>
      <c r="J2855" s="3">
        <f>IF(E2855&lt;=500,IF(Galva=Oui,0.35,0.7),0.7)</f>
        <v>0.7</v>
      </c>
    </row>
    <row r="2856" spans="2:10" x14ac:dyDescent="0.25">
      <c r="B2856" s="3">
        <f>B2855+DeltaT</f>
        <v>14195</v>
      </c>
      <c r="C2856" s="13">
        <f t="shared" si="186"/>
        <v>236.58333333333334</v>
      </c>
      <c r="D2856" s="11">
        <f t="shared" si="187"/>
        <v>1150.6697194223705</v>
      </c>
      <c r="E2856" s="23">
        <f t="shared" si="184"/>
        <v>1149.9242389621165</v>
      </c>
      <c r="F2856" s="23">
        <f>AlphaC*(D2856-E2856)</f>
        <v>18.637011506348244</v>
      </c>
      <c r="G2856" s="13">
        <f>Phi*EpsilonF*Botzman/10^8*J2856*((D2856+273)^4-(E2856+273)^4)</f>
        <v>341.24316984986507</v>
      </c>
      <c r="H2856" s="23">
        <f t="shared" si="185"/>
        <v>650</v>
      </c>
      <c r="I2856" s="12">
        <f>ksh*Massivete/(H2856*RhoA)*DeltaT*(F2856+G2856)</f>
        <v>5.3082415069541873E-2</v>
      </c>
      <c r="J2856" s="3">
        <f>IF(E2856&lt;=500,IF(Galva=Oui,0.35,0.7),0.7)</f>
        <v>0.7</v>
      </c>
    </row>
    <row r="2857" spans="2:10" x14ac:dyDescent="0.25">
      <c r="B2857" s="3">
        <f>B2856+DeltaT</f>
        <v>14200</v>
      </c>
      <c r="C2857" s="13">
        <f t="shared" si="186"/>
        <v>236.66666666666666</v>
      </c>
      <c r="D2857" s="11">
        <f t="shared" si="187"/>
        <v>1150.7224584571484</v>
      </c>
      <c r="E2857" s="23">
        <f t="shared" si="184"/>
        <v>1149.9773213771862</v>
      </c>
      <c r="F2857" s="23">
        <f>AlphaC*(D2857-E2857)</f>
        <v>18.628426999055137</v>
      </c>
      <c r="G2857" s="13">
        <f>Phi*EpsilonF*Botzman/10^8*J2857*((D2857+273)^4-(E2857+273)^4)</f>
        <v>341.12402851759401</v>
      </c>
      <c r="H2857" s="23">
        <f t="shared" si="185"/>
        <v>650</v>
      </c>
      <c r="I2857" s="12">
        <f>ksh*Massivete/(H2857*RhoA)*DeltaT*(F2857+G2857)</f>
        <v>5.3063575476860497E-2</v>
      </c>
      <c r="J2857" s="3">
        <f>IF(E2857&lt;=500,IF(Galva=Oui,0.35,0.7),0.7)</f>
        <v>0.7</v>
      </c>
    </row>
    <row r="2858" spans="2:10" x14ac:dyDescent="0.25">
      <c r="B2858" s="3">
        <f>B2857+DeltaT</f>
        <v>14205</v>
      </c>
      <c r="C2858" s="13">
        <f t="shared" si="186"/>
        <v>236.75</v>
      </c>
      <c r="D2858" s="11">
        <f t="shared" si="187"/>
        <v>1150.7751789349113</v>
      </c>
      <c r="E2858" s="23">
        <f t="shared" si="184"/>
        <v>1150.0303849526631</v>
      </c>
      <c r="F2858" s="23">
        <f>AlphaC*(D2858-E2858)</f>
        <v>18.619849556205281</v>
      </c>
      <c r="G2858" s="13">
        <f>Phi*EpsilonF*Botzman/10^8*J2858*((D2858+273)^4-(E2858+273)^4)</f>
        <v>341.00497089182358</v>
      </c>
      <c r="H2858" s="23">
        <f t="shared" si="185"/>
        <v>650</v>
      </c>
      <c r="I2858" s="12">
        <f>ksh*Massivete/(H2858*RhoA)*DeltaT*(F2858+G2858)</f>
        <v>5.3044749272915623E-2</v>
      </c>
      <c r="J2858" s="3">
        <f>IF(E2858&lt;=500,IF(Galva=Oui,0.35,0.7),0.7)</f>
        <v>0.7</v>
      </c>
    </row>
    <row r="2859" spans="2:10" x14ac:dyDescent="0.25">
      <c r="B2859" s="3">
        <f>B2858+DeltaT</f>
        <v>14210</v>
      </c>
      <c r="C2859" s="13">
        <f t="shared" si="186"/>
        <v>236.83333333333334</v>
      </c>
      <c r="D2859" s="11">
        <f t="shared" si="187"/>
        <v>1150.8278808687141</v>
      </c>
      <c r="E2859" s="23">
        <f t="shared" si="184"/>
        <v>1150.083429701936</v>
      </c>
      <c r="F2859" s="23">
        <f>AlphaC*(D2859-E2859)</f>
        <v>18.611279169454065</v>
      </c>
      <c r="G2859" s="13">
        <f>Phi*EpsilonF*Botzman/10^8*J2859*((D2859+273)^4-(E2859+273)^4)</f>
        <v>340.88599688416224</v>
      </c>
      <c r="H2859" s="23">
        <f t="shared" si="185"/>
        <v>650</v>
      </c>
      <c r="I2859" s="12">
        <f>ksh*Massivete/(H2859*RhoA)*DeltaT*(F2859+G2859)</f>
        <v>5.3025936443438636E-2</v>
      </c>
      <c r="J2859" s="3">
        <f>IF(E2859&lt;=500,IF(Galva=Oui,0.35,0.7),0.7)</f>
        <v>0.7</v>
      </c>
    </row>
    <row r="2860" spans="2:10" x14ac:dyDescent="0.25">
      <c r="B2860" s="3">
        <f>B2859+DeltaT</f>
        <v>14215</v>
      </c>
      <c r="C2860" s="13">
        <f t="shared" si="186"/>
        <v>236.91666666666666</v>
      </c>
      <c r="D2860" s="11">
        <f t="shared" si="187"/>
        <v>1150.8805642715974</v>
      </c>
      <c r="E2860" s="23">
        <f t="shared" si="184"/>
        <v>1150.1364556383794</v>
      </c>
      <c r="F2860" s="23">
        <f>AlphaC*(D2860-E2860)</f>
        <v>18.602715830451189</v>
      </c>
      <c r="G2860" s="13">
        <f>Phi*EpsilonF*Botzman/10^8*J2860*((D2860+273)^4-(E2860+273)^4)</f>
        <v>340.76710640616017</v>
      </c>
      <c r="H2860" s="23">
        <f t="shared" si="185"/>
        <v>650</v>
      </c>
      <c r="I2860" s="12">
        <f>ksh*Massivete/(H2860*RhoA)*DeltaT*(F2860+G2860)</f>
        <v>5.3007136974151506E-2</v>
      </c>
      <c r="J2860" s="3">
        <f>IF(E2860&lt;=500,IF(Galva=Oui,0.35,0.7),0.7)</f>
        <v>0.7</v>
      </c>
    </row>
    <row r="2861" spans="2:10" x14ac:dyDescent="0.25">
      <c r="B2861" s="3">
        <f>B2860+DeltaT</f>
        <v>14220</v>
      </c>
      <c r="C2861" s="13">
        <f t="shared" si="186"/>
        <v>237</v>
      </c>
      <c r="D2861" s="11">
        <f t="shared" si="187"/>
        <v>1150.9332291565886</v>
      </c>
      <c r="E2861" s="23">
        <f t="shared" si="184"/>
        <v>1150.1894627753536</v>
      </c>
      <c r="F2861" s="23">
        <f>AlphaC*(D2861-E2861)</f>
        <v>18.594159530874776</v>
      </c>
      <c r="G2861" s="13">
        <f>Phi*EpsilonF*Botzman/10^8*J2861*((D2861+273)^4-(E2861+273)^4)</f>
        <v>340.64829936969699</v>
      </c>
      <c r="H2861" s="23">
        <f t="shared" si="185"/>
        <v>650</v>
      </c>
      <c r="I2861" s="12">
        <f>ksh*Massivete/(H2861*RhoA)*DeltaT*(F2861+G2861)</f>
        <v>5.2988350850828966E-2</v>
      </c>
      <c r="J2861" s="3">
        <f>IF(E2861&lt;=500,IF(Galva=Oui,0.35,0.7),0.7)</f>
        <v>0.7</v>
      </c>
    </row>
    <row r="2862" spans="2:10" x14ac:dyDescent="0.25">
      <c r="B2862" s="3">
        <f>B2861+DeltaT</f>
        <v>14225</v>
      </c>
      <c r="C2862" s="13">
        <f t="shared" si="186"/>
        <v>237.08333333333334</v>
      </c>
      <c r="D2862" s="11">
        <f t="shared" si="187"/>
        <v>1150.9858755367002</v>
      </c>
      <c r="E2862" s="23">
        <f t="shared" si="184"/>
        <v>1150.2424511262045</v>
      </c>
      <c r="F2862" s="23">
        <f>AlphaC*(D2862-E2862)</f>
        <v>18.585610262391583</v>
      </c>
      <c r="G2862" s="13">
        <f>Phi*EpsilonF*Botzman/10^8*J2862*((D2862+273)^4-(E2862+273)^4)</f>
        <v>340.5295756863618</v>
      </c>
      <c r="H2862" s="23">
        <f t="shared" si="185"/>
        <v>650</v>
      </c>
      <c r="I2862" s="12">
        <f>ksh*Massivete/(H2862*RhoA)*DeltaT*(F2862+G2862)</f>
        <v>5.2969578059201237E-2</v>
      </c>
      <c r="J2862" s="3">
        <f>IF(E2862&lt;=500,IF(Galva=Oui,0.35,0.7),0.7)</f>
        <v>0.7</v>
      </c>
    </row>
    <row r="2863" spans="2:10" x14ac:dyDescent="0.25">
      <c r="B2863" s="3">
        <f>B2862+DeltaT</f>
        <v>14230</v>
      </c>
      <c r="C2863" s="13">
        <f t="shared" si="186"/>
        <v>237.16666666666666</v>
      </c>
      <c r="D2863" s="11">
        <f t="shared" si="187"/>
        <v>1151.0385034249325</v>
      </c>
      <c r="E2863" s="23">
        <f t="shared" si="184"/>
        <v>1150.2954207042637</v>
      </c>
      <c r="F2863" s="23">
        <f>AlphaC*(D2863-E2863)</f>
        <v>18.577068016719522</v>
      </c>
      <c r="G2863" s="13">
        <f>Phi*EpsilonF*Botzman/10^8*J2863*((D2863+273)^4-(E2863+273)^4)</f>
        <v>340.41093526851864</v>
      </c>
      <c r="H2863" s="23">
        <f t="shared" si="185"/>
        <v>650</v>
      </c>
      <c r="I2863" s="12">
        <f>ksh*Massivete/(H2863*RhoA)*DeltaT*(F2863+G2863)</f>
        <v>5.2950818585120386E-2</v>
      </c>
      <c r="J2863" s="3">
        <f>IF(E2863&lt;=500,IF(Galva=Oui,0.35,0.7),0.7)</f>
        <v>0.7</v>
      </c>
    </row>
    <row r="2864" spans="2:10" x14ac:dyDescent="0.25">
      <c r="B2864" s="3">
        <f>B2863+DeltaT</f>
        <v>14235</v>
      </c>
      <c r="C2864" s="13">
        <f t="shared" si="186"/>
        <v>237.25</v>
      </c>
      <c r="D2864" s="11">
        <f t="shared" si="187"/>
        <v>1151.0911128342709</v>
      </c>
      <c r="E2864" s="23">
        <f t="shared" si="184"/>
        <v>1150.3483715228488</v>
      </c>
      <c r="F2864" s="23">
        <f>AlphaC*(D2864-E2864)</f>
        <v>18.568532785553771</v>
      </c>
      <c r="G2864" s="13">
        <f>Phi*EpsilonF*Botzman/10^8*J2864*((D2864+273)^4-(E2864+273)^4)</f>
        <v>340.29237802808598</v>
      </c>
      <c r="H2864" s="23">
        <f t="shared" si="185"/>
        <v>650</v>
      </c>
      <c r="I2864" s="12">
        <f>ksh*Massivete/(H2864*RhoA)*DeltaT*(F2864+G2864)</f>
        <v>5.293207241436939E-2</v>
      </c>
      <c r="J2864" s="3">
        <f>IF(E2864&lt;=500,IF(Galva=Oui,0.35,0.7),0.7)</f>
        <v>0.7</v>
      </c>
    </row>
    <row r="2865" spans="2:10" x14ac:dyDescent="0.25">
      <c r="B2865" s="3">
        <f>B2864+DeltaT</f>
        <v>14240</v>
      </c>
      <c r="C2865" s="13">
        <f t="shared" si="186"/>
        <v>237.33333333333334</v>
      </c>
      <c r="D2865" s="11">
        <f t="shared" si="187"/>
        <v>1151.143703777688</v>
      </c>
      <c r="E2865" s="23">
        <f t="shared" si="184"/>
        <v>1150.4013035952632</v>
      </c>
      <c r="F2865" s="23">
        <f>AlphaC*(D2865-E2865)</f>
        <v>18.560004560617926</v>
      </c>
      <c r="G2865" s="13">
        <f>Phi*EpsilonF*Botzman/10^8*J2865*((D2865+273)^4-(E2865+273)^4)</f>
        <v>340.17390387733116</v>
      </c>
      <c r="H2865" s="23">
        <f t="shared" si="185"/>
        <v>650</v>
      </c>
      <c r="I2865" s="12">
        <f>ksh*Massivete/(H2865*RhoA)*DeltaT*(F2865+G2865)</f>
        <v>5.2913339532786909E-2</v>
      </c>
      <c r="J2865" s="3">
        <f>IF(E2865&lt;=500,IF(Galva=Oui,0.35,0.7),0.7)</f>
        <v>0.7</v>
      </c>
    </row>
    <row r="2866" spans="2:10" x14ac:dyDescent="0.25">
      <c r="B2866" s="3">
        <f>B2865+DeltaT</f>
        <v>14245</v>
      </c>
      <c r="C2866" s="13">
        <f t="shared" si="186"/>
        <v>237.41666666666666</v>
      </c>
      <c r="D2866" s="11">
        <f t="shared" si="187"/>
        <v>1151.1962762681419</v>
      </c>
      <c r="E2866" s="23">
        <f t="shared" si="184"/>
        <v>1150.454216934796</v>
      </c>
      <c r="F2866" s="23">
        <f>AlphaC*(D2866-E2866)</f>
        <v>18.551483333646956</v>
      </c>
      <c r="G2866" s="13">
        <f>Phi*EpsilonF*Botzman/10^8*J2866*((D2866+273)^4-(E2866+273)^4)</f>
        <v>340.05551272863767</v>
      </c>
      <c r="H2866" s="23">
        <f t="shared" si="185"/>
        <v>650</v>
      </c>
      <c r="I2866" s="12">
        <f>ksh*Massivete/(H2866*RhoA)*DeltaT*(F2866+G2866)</f>
        <v>5.2894619926230374E-2</v>
      </c>
      <c r="J2866" s="3">
        <f>IF(E2866&lt;=500,IF(Galva=Oui,0.35,0.7),0.7)</f>
        <v>0.7</v>
      </c>
    </row>
    <row r="2867" spans="2:10" x14ac:dyDescent="0.25">
      <c r="B2867" s="3">
        <f>B2866+DeltaT</f>
        <v>14250</v>
      </c>
      <c r="C2867" s="13">
        <f t="shared" si="186"/>
        <v>237.5</v>
      </c>
      <c r="D2867" s="11">
        <f t="shared" si="187"/>
        <v>1151.2488303185778</v>
      </c>
      <c r="E2867" s="23">
        <f t="shared" si="184"/>
        <v>1150.5071115547223</v>
      </c>
      <c r="F2867" s="23">
        <f>AlphaC*(D2867-E2867)</f>
        <v>18.542969096387196</v>
      </c>
      <c r="G2867" s="13">
        <f>Phi*EpsilonF*Botzman/10^8*J2867*((D2867+273)^4-(E2867+273)^4)</f>
        <v>339.93720449448597</v>
      </c>
      <c r="H2867" s="23">
        <f t="shared" si="185"/>
        <v>650</v>
      </c>
      <c r="I2867" s="12">
        <f>ksh*Massivete/(H2867*RhoA)*DeltaT*(F2867+G2867)</f>
        <v>5.2875913580573218E-2</v>
      </c>
      <c r="J2867" s="3">
        <f>IF(E2867&lt;=500,IF(Galva=Oui,0.35,0.7),0.7)</f>
        <v>0.7</v>
      </c>
    </row>
    <row r="2868" spans="2:10" x14ac:dyDescent="0.25">
      <c r="B2868" s="3">
        <f>B2867+DeltaT</f>
        <v>14255</v>
      </c>
      <c r="C2868" s="13">
        <f t="shared" si="186"/>
        <v>237.58333333333334</v>
      </c>
      <c r="D2868" s="11">
        <f t="shared" si="187"/>
        <v>1151.3013659419269</v>
      </c>
      <c r="E2868" s="23">
        <f t="shared" ref="E2868:E2931" si="188">E2867+I2867</f>
        <v>1150.5599874683028</v>
      </c>
      <c r="F2868" s="23">
        <f>AlphaC*(D2868-E2868)</f>
        <v>18.534461840602034</v>
      </c>
      <c r="G2868" s="13">
        <f>Phi*EpsilonF*Botzman/10^8*J2868*((D2868+273)^4-(E2868+273)^4)</f>
        <v>339.81897908758901</v>
      </c>
      <c r="H2868" s="23">
        <f t="shared" ref="H2868:H2931" si="189">IF(E2868&lt;600,425+0.773*E2868-1.69/1000*E2868^2+2.22/1000^2*E2868^3,IF(E2868&lt;735,666+13002/(738-E2868),IF(E2868&lt;900,545+17820/(E2868-731),650)))</f>
        <v>650</v>
      </c>
      <c r="I2868" s="12">
        <f>ksh*Massivete/(H2868*RhoA)*DeltaT*(F2868+G2868)</f>
        <v>5.2857220481725684E-2</v>
      </c>
      <c r="J2868" s="3">
        <f>IF(E2868&lt;=500,IF(Galva=Oui,0.35,0.7),0.7)</f>
        <v>0.7</v>
      </c>
    </row>
    <row r="2869" spans="2:10" x14ac:dyDescent="0.25">
      <c r="B2869" s="3">
        <f>B2868+DeltaT</f>
        <v>14260</v>
      </c>
      <c r="C2869" s="13">
        <f t="shared" si="186"/>
        <v>237.66666666666666</v>
      </c>
      <c r="D2869" s="11">
        <f t="shared" si="187"/>
        <v>1151.3538831511071</v>
      </c>
      <c r="E2869" s="23">
        <f t="shared" si="188"/>
        <v>1150.6128446887844</v>
      </c>
      <c r="F2869" s="23">
        <f>AlphaC*(D2869-E2869)</f>
        <v>18.525961558066228</v>
      </c>
      <c r="G2869" s="13">
        <f>Phi*EpsilonF*Botzman/10^8*J2869*((D2869+273)^4-(E2869+273)^4)</f>
        <v>339.70083642067931</v>
      </c>
      <c r="H2869" s="23">
        <f t="shared" si="189"/>
        <v>650</v>
      </c>
      <c r="I2869" s="12">
        <f>ksh*Massivete/(H2869*RhoA)*DeltaT*(F2869+G2869)</f>
        <v>5.2838540615602565E-2</v>
      </c>
      <c r="J2869" s="3">
        <f>IF(E2869&lt;=500,IF(Galva=Oui,0.35,0.7),0.7)</f>
        <v>0.7</v>
      </c>
    </row>
    <row r="2870" spans="2:10" x14ac:dyDescent="0.25">
      <c r="B2870" s="3">
        <f>B2869+DeltaT</f>
        <v>14265</v>
      </c>
      <c r="C2870" s="13">
        <f t="shared" si="186"/>
        <v>237.75</v>
      </c>
      <c r="D2870" s="11">
        <f t="shared" si="187"/>
        <v>1151.4063819590219</v>
      </c>
      <c r="E2870" s="23">
        <f t="shared" si="188"/>
        <v>1150.6656832294</v>
      </c>
      <c r="F2870" s="23">
        <f>AlphaC*(D2870-E2870)</f>
        <v>18.517468240548851</v>
      </c>
      <c r="G2870" s="13">
        <f>Phi*EpsilonF*Botzman/10^8*J2870*((D2870+273)^4-(E2870+273)^4)</f>
        <v>339.58277640645036</v>
      </c>
      <c r="H2870" s="23">
        <f t="shared" si="189"/>
        <v>650</v>
      </c>
      <c r="I2870" s="12">
        <f>ksh*Massivete/(H2870*RhoA)*DeltaT*(F2870+G2870)</f>
        <v>5.2819873968112073E-2</v>
      </c>
      <c r="J2870" s="3">
        <f>IF(E2870&lt;=500,IF(Galva=Oui,0.35,0.7),0.7)</f>
        <v>0.7</v>
      </c>
    </row>
    <row r="2871" spans="2:10" x14ac:dyDescent="0.25">
      <c r="B2871" s="3">
        <f>B2870+DeltaT</f>
        <v>14270</v>
      </c>
      <c r="C2871" s="13">
        <f t="shared" si="186"/>
        <v>237.83333333333334</v>
      </c>
      <c r="D2871" s="11">
        <f t="shared" si="187"/>
        <v>1151.4588623785626</v>
      </c>
      <c r="E2871" s="23">
        <f t="shared" si="188"/>
        <v>1150.718503103368</v>
      </c>
      <c r="F2871" s="23">
        <f>AlphaC*(D2871-E2871)</f>
        <v>18.50898187986445</v>
      </c>
      <c r="G2871" s="13">
        <f>Phi*EpsilonF*Botzman/10^8*J2871*((D2871+273)^4-(E2871+273)^4)</f>
        <v>339.46479895806101</v>
      </c>
      <c r="H2871" s="23">
        <f t="shared" si="189"/>
        <v>650</v>
      </c>
      <c r="I2871" s="12">
        <f>ksh*Massivete/(H2871*RhoA)*DeltaT*(F2871+G2871)</f>
        <v>5.2801220525237752E-2</v>
      </c>
      <c r="J2871" s="3">
        <f>IF(E2871&lt;=500,IF(Galva=Oui,0.35,0.7),0.7)</f>
        <v>0.7</v>
      </c>
    </row>
    <row r="2872" spans="2:10" x14ac:dyDescent="0.25">
      <c r="B2872" s="3">
        <f>B2871+DeltaT</f>
        <v>14275</v>
      </c>
      <c r="C2872" s="13">
        <f t="shared" si="186"/>
        <v>237.91666666666666</v>
      </c>
      <c r="D2872" s="11">
        <f t="shared" si="187"/>
        <v>1151.5113244226059</v>
      </c>
      <c r="E2872" s="23">
        <f t="shared" si="188"/>
        <v>1150.7713043238932</v>
      </c>
      <c r="F2872" s="23">
        <f>AlphaC*(D2872-E2872)</f>
        <v>18.500502467816204</v>
      </c>
      <c r="G2872" s="13">
        <f>Phi*EpsilonF*Botzman/10^8*J2872*((D2872+273)^4-(E2872+273)^4)</f>
        <v>339.34690398853428</v>
      </c>
      <c r="H2872" s="23">
        <f t="shared" si="189"/>
        <v>650</v>
      </c>
      <c r="I2872" s="12">
        <f>ksh*Massivete/(H2872*RhoA)*DeltaT*(F2872+G2872)</f>
        <v>5.278258027294145E-2</v>
      </c>
      <c r="J2872" s="3">
        <f>IF(E2872&lt;=500,IF(Galva=Oui,0.35,0.7),0.7)</f>
        <v>0.7</v>
      </c>
    </row>
    <row r="2873" spans="2:10" x14ac:dyDescent="0.25">
      <c r="B2873" s="3">
        <f>B2872+DeltaT</f>
        <v>14280</v>
      </c>
      <c r="C2873" s="13">
        <f t="shared" si="186"/>
        <v>238</v>
      </c>
      <c r="D2873" s="11">
        <f t="shared" si="187"/>
        <v>1151.5637681040153</v>
      </c>
      <c r="E2873" s="23">
        <f t="shared" si="188"/>
        <v>1150.8240869041661</v>
      </c>
      <c r="F2873" s="23">
        <f>AlphaC*(D2873-E2873)</f>
        <v>18.492029996230031</v>
      </c>
      <c r="G2873" s="13">
        <f>Phi*EpsilonF*Botzman/10^8*J2873*((D2873+273)^4-(E2873+273)^4)</f>
        <v>339.22909141124211</v>
      </c>
      <c r="H2873" s="23">
        <f t="shared" si="189"/>
        <v>650</v>
      </c>
      <c r="I2873" s="12">
        <f>ksh*Massivete/(H2873*RhoA)*DeltaT*(F2873+G2873)</f>
        <v>5.2763953197239817E-2</v>
      </c>
      <c r="J2873" s="3">
        <f>IF(E2873&lt;=500,IF(Galva=Oui,0.35,0.7),0.7)</f>
        <v>0.7</v>
      </c>
    </row>
    <row r="2874" spans="2:10" x14ac:dyDescent="0.25">
      <c r="B2874" s="3">
        <f>B2873+DeltaT</f>
        <v>14285</v>
      </c>
      <c r="C2874" s="13">
        <f t="shared" si="186"/>
        <v>238.08333333333334</v>
      </c>
      <c r="D2874" s="11">
        <f t="shared" si="187"/>
        <v>1151.6161934356405</v>
      </c>
      <c r="E2874" s="23">
        <f t="shared" si="188"/>
        <v>1150.8768508573633</v>
      </c>
      <c r="F2874" s="23">
        <f>AlphaC*(D2874-E2874)</f>
        <v>18.483564456931845</v>
      </c>
      <c r="G2874" s="13">
        <f>Phi*EpsilonF*Botzman/10^8*J2874*((D2874+273)^4-(E2874+273)^4)</f>
        <v>339.11136113926574</v>
      </c>
      <c r="H2874" s="23">
        <f t="shared" si="189"/>
        <v>650</v>
      </c>
      <c r="I2874" s="12">
        <f>ksh*Massivete/(H2874*RhoA)*DeltaT*(F2874+G2874)</f>
        <v>5.274533928410665E-2</v>
      </c>
      <c r="J2874" s="3">
        <f>IF(E2874&lt;=500,IF(Galva=Oui,0.35,0.7),0.7)</f>
        <v>0.7</v>
      </c>
    </row>
    <row r="2875" spans="2:10" x14ac:dyDescent="0.25">
      <c r="B2875" s="3">
        <f>B2874+DeltaT</f>
        <v>14290</v>
      </c>
      <c r="C2875" s="13">
        <f t="shared" si="186"/>
        <v>238.16666666666666</v>
      </c>
      <c r="D2875" s="11">
        <f t="shared" si="187"/>
        <v>1151.6686004303183</v>
      </c>
      <c r="E2875" s="23">
        <f t="shared" si="188"/>
        <v>1150.9295961966473</v>
      </c>
      <c r="F2875" s="23">
        <f>AlphaC*(D2875-E2875)</f>
        <v>18.475105841775985</v>
      </c>
      <c r="G2875" s="13">
        <f>Phi*EpsilonF*Botzman/10^8*J2875*((D2875+273)^4-(E2875+273)^4)</f>
        <v>338.99371308624842</v>
      </c>
      <c r="H2875" s="23">
        <f t="shared" si="189"/>
        <v>650</v>
      </c>
      <c r="I2875" s="12">
        <f>ksh*Massivete/(H2875*RhoA)*DeltaT*(F2875+G2875)</f>
        <v>5.2726738519602814E-2</v>
      </c>
      <c r="J2875" s="3">
        <f>IF(E2875&lt;=500,IF(Galva=Oui,0.35,0.7),0.7)</f>
        <v>0.7</v>
      </c>
    </row>
    <row r="2876" spans="2:10" x14ac:dyDescent="0.25">
      <c r="B2876" s="3">
        <f>B2875+DeltaT</f>
        <v>14295</v>
      </c>
      <c r="C2876" s="13">
        <f t="shared" si="186"/>
        <v>238.25</v>
      </c>
      <c r="D2876" s="11">
        <f t="shared" si="187"/>
        <v>1151.7209891008717</v>
      </c>
      <c r="E2876" s="23">
        <f t="shared" si="188"/>
        <v>1150.9823229351668</v>
      </c>
      <c r="F2876" s="23">
        <f>AlphaC*(D2876-E2876)</f>
        <v>18.466654142622474</v>
      </c>
      <c r="G2876" s="13">
        <f>Phi*EpsilonF*Botzman/10^8*J2876*((D2876+273)^4-(E2876+273)^4)</f>
        <v>338.87614716579458</v>
      </c>
      <c r="H2876" s="23">
        <f t="shared" si="189"/>
        <v>650</v>
      </c>
      <c r="I2876" s="12">
        <f>ksh*Massivete/(H2876*RhoA)*DeltaT*(F2876+G2876)</f>
        <v>5.2708150889784283E-2</v>
      </c>
      <c r="J2876" s="3">
        <f>IF(E2876&lt;=500,IF(Galva=Oui,0.35,0.7),0.7)</f>
        <v>0.7</v>
      </c>
    </row>
    <row r="2877" spans="2:10" x14ac:dyDescent="0.25">
      <c r="B2877" s="3">
        <f>B2876+DeltaT</f>
        <v>14300</v>
      </c>
      <c r="C2877" s="13">
        <f t="shared" si="186"/>
        <v>238.33333333333334</v>
      </c>
      <c r="D2877" s="11">
        <f t="shared" si="187"/>
        <v>1151.7733594601107</v>
      </c>
      <c r="E2877" s="23">
        <f t="shared" si="188"/>
        <v>1151.0350310860567</v>
      </c>
      <c r="F2877" s="23">
        <f>AlphaC*(D2877-E2877)</f>
        <v>18.458209351348387</v>
      </c>
      <c r="G2877" s="13">
        <f>Phi*EpsilonF*Botzman/10^8*J2877*((D2877+273)^4-(E2877+273)^4)</f>
        <v>338.75866329164438</v>
      </c>
      <c r="H2877" s="23">
        <f t="shared" si="189"/>
        <v>650</v>
      </c>
      <c r="I2877" s="12">
        <f>ksh*Massivete/(H2877*RhoA)*DeltaT*(F2877+G2877)</f>
        <v>5.2689576380729596E-2</v>
      </c>
      <c r="J2877" s="3">
        <f>IF(E2877&lt;=500,IF(Galva=Oui,0.35,0.7),0.7)</f>
        <v>0.7</v>
      </c>
    </row>
    <row r="2878" spans="2:10" x14ac:dyDescent="0.25">
      <c r="B2878" s="3">
        <f>B2877+DeltaT</f>
        <v>14305</v>
      </c>
      <c r="C2878" s="13">
        <f t="shared" si="186"/>
        <v>238.41666666666666</v>
      </c>
      <c r="D2878" s="11">
        <f t="shared" si="187"/>
        <v>1151.8257115208307</v>
      </c>
      <c r="E2878" s="23">
        <f t="shared" si="188"/>
        <v>1151.0877206624375</v>
      </c>
      <c r="F2878" s="23">
        <f>AlphaC*(D2878-E2878)</f>
        <v>18.449771459830799</v>
      </c>
      <c r="G2878" s="13">
        <f>Phi*EpsilonF*Botzman/10^8*J2878*((D2878+273)^4-(E2878+273)^4)</f>
        <v>338.64126137755744</v>
      </c>
      <c r="H2878" s="23">
        <f t="shared" si="189"/>
        <v>650</v>
      </c>
      <c r="I2878" s="12">
        <f>ksh*Massivete/(H2878*RhoA)*DeltaT*(F2878+G2878)</f>
        <v>5.2671014978520121E-2</v>
      </c>
      <c r="J2878" s="3">
        <f>IF(E2878&lt;=500,IF(Galva=Oui,0.35,0.7),0.7)</f>
        <v>0.7</v>
      </c>
    </row>
    <row r="2879" spans="2:10" x14ac:dyDescent="0.25">
      <c r="B2879" s="3">
        <f>B2878+DeltaT</f>
        <v>14310</v>
      </c>
      <c r="C2879" s="13">
        <f t="shared" si="186"/>
        <v>238.5</v>
      </c>
      <c r="D2879" s="11">
        <f t="shared" si="187"/>
        <v>1151.8780452958151</v>
      </c>
      <c r="E2879" s="23">
        <f t="shared" si="188"/>
        <v>1151.1403916774161</v>
      </c>
      <c r="F2879" s="23">
        <f>AlphaC*(D2879-E2879)</f>
        <v>18.441340459975208</v>
      </c>
      <c r="G2879" s="13">
        <f>Phi*EpsilonF*Botzman/10^8*J2879*((D2879+273)^4-(E2879+273)^4)</f>
        <v>338.52394133758384</v>
      </c>
      <c r="H2879" s="23">
        <f t="shared" si="189"/>
        <v>650</v>
      </c>
      <c r="I2879" s="12">
        <f>ksh*Massivete/(H2879*RhoA)*DeltaT*(F2879+G2879)</f>
        <v>5.2652466669284297E-2</v>
      </c>
      <c r="J2879" s="3">
        <f>IF(E2879&lt;=500,IF(Galva=Oui,0.35,0.7),0.7)</f>
        <v>0.7</v>
      </c>
    </row>
    <row r="2880" spans="2:10" x14ac:dyDescent="0.25">
      <c r="B2880" s="3">
        <f>B2879+DeltaT</f>
        <v>14315</v>
      </c>
      <c r="C2880" s="13">
        <f t="shared" si="186"/>
        <v>238.58333333333334</v>
      </c>
      <c r="D2880" s="11">
        <f t="shared" si="187"/>
        <v>1151.9303607978327</v>
      </c>
      <c r="E2880" s="23">
        <f t="shared" si="188"/>
        <v>1151.1930441440854</v>
      </c>
      <c r="F2880" s="23">
        <f>AlphaC*(D2880-E2880)</f>
        <v>18.432916343681427</v>
      </c>
      <c r="G2880" s="13">
        <f>Phi*EpsilonF*Botzman/10^8*J2880*((D2880+273)^4-(E2880+273)^4)</f>
        <v>338.40670308567695</v>
      </c>
      <c r="H2880" s="23">
        <f t="shared" si="189"/>
        <v>650</v>
      </c>
      <c r="I2880" s="12">
        <f>ksh*Massivete/(H2880*RhoA)*DeltaT*(F2880+G2880)</f>
        <v>5.2633931439135445E-2</v>
      </c>
      <c r="J2880" s="3">
        <f>IF(E2880&lt;=500,IF(Galva=Oui,0.35,0.7),0.7)</f>
        <v>0.7</v>
      </c>
    </row>
    <row r="2881" spans="2:10" x14ac:dyDescent="0.25">
      <c r="B2881" s="3">
        <f>B2880+DeltaT</f>
        <v>14320</v>
      </c>
      <c r="C2881" s="13">
        <f t="shared" si="186"/>
        <v>238.66666666666666</v>
      </c>
      <c r="D2881" s="11">
        <f t="shared" si="187"/>
        <v>1151.9826580396398</v>
      </c>
      <c r="E2881" s="23">
        <f t="shared" si="188"/>
        <v>1151.2456780755247</v>
      </c>
      <c r="F2881" s="23">
        <f>AlphaC*(D2881-E2881)</f>
        <v>18.424499102877689</v>
      </c>
      <c r="G2881" s="13">
        <f>Phi*EpsilonF*Botzman/10^8*J2881*((D2881+273)^4-(E2881+273)^4)</f>
        <v>338.2895465361002</v>
      </c>
      <c r="H2881" s="23">
        <f t="shared" si="189"/>
        <v>650</v>
      </c>
      <c r="I2881" s="12">
        <f>ksh*Massivete/(H2881*RhoA)*DeltaT*(F2881+G2881)</f>
        <v>5.2615409274236802E-2</v>
      </c>
      <c r="J2881" s="3">
        <f>IF(E2881&lt;=500,IF(Galva=Oui,0.35,0.7),0.7)</f>
        <v>0.7</v>
      </c>
    </row>
    <row r="2882" spans="2:10" x14ac:dyDescent="0.25">
      <c r="B2882" s="3">
        <f>B2881+DeltaT</f>
        <v>14325</v>
      </c>
      <c r="C2882" s="13">
        <f t="shared" si="186"/>
        <v>238.75</v>
      </c>
      <c r="D2882" s="11">
        <f t="shared" si="187"/>
        <v>1152.0349370339793</v>
      </c>
      <c r="E2882" s="23">
        <f t="shared" si="188"/>
        <v>1151.2982934847989</v>
      </c>
      <c r="F2882" s="23">
        <f>AlphaC*(D2882-E2882)</f>
        <v>18.416088729509283</v>
      </c>
      <c r="G2882" s="13">
        <f>Phi*EpsilonF*Botzman/10^8*J2882*((D2882+273)^4-(E2882+273)^4)</f>
        <v>338.17247160338832</v>
      </c>
      <c r="H2882" s="23">
        <f t="shared" si="189"/>
        <v>650</v>
      </c>
      <c r="I2882" s="12">
        <f>ksh*Massivete/(H2882*RhoA)*DeltaT*(F2882+G2882)</f>
        <v>5.2596900160794151E-2</v>
      </c>
      <c r="J2882" s="3">
        <f>IF(E2882&lt;=500,IF(Galva=Oui,0.35,0.7),0.7)</f>
        <v>0.7</v>
      </c>
    </row>
    <row r="2883" spans="2:10" x14ac:dyDescent="0.25">
      <c r="B2883" s="3">
        <f>B2882+DeltaT</f>
        <v>14330</v>
      </c>
      <c r="C2883" s="13">
        <f t="shared" si="186"/>
        <v>238.83333333333334</v>
      </c>
      <c r="D2883" s="11">
        <f t="shared" si="187"/>
        <v>1152.0871977935801</v>
      </c>
      <c r="E2883" s="23">
        <f t="shared" si="188"/>
        <v>1151.3508903849597</v>
      </c>
      <c r="F2883" s="23">
        <f>AlphaC*(D2883-E2883)</f>
        <v>18.407685215510128</v>
      </c>
      <c r="G2883" s="13">
        <f>Phi*EpsilonF*Botzman/10^8*J2883*((D2883+273)^4-(E2883+273)^4)</f>
        <v>338.05547820174644</v>
      </c>
      <c r="H2883" s="23">
        <f t="shared" si="189"/>
        <v>650</v>
      </c>
      <c r="I2883" s="12">
        <f>ksh*Massivete/(H2883*RhoA)*DeltaT*(F2883+G2883)</f>
        <v>5.257840408496299E-2</v>
      </c>
      <c r="J2883" s="3">
        <f>IF(E2883&lt;=500,IF(Galva=Oui,0.35,0.7),0.7)</f>
        <v>0.7</v>
      </c>
    </row>
    <row r="2884" spans="2:10" x14ac:dyDescent="0.25">
      <c r="B2884" s="3">
        <f>B2883+DeltaT</f>
        <v>14335</v>
      </c>
      <c r="C2884" s="13">
        <f t="shared" si="186"/>
        <v>238.91666666666666</v>
      </c>
      <c r="D2884" s="11">
        <f t="shared" si="187"/>
        <v>1152.1394403311585</v>
      </c>
      <c r="E2884" s="23">
        <f t="shared" si="188"/>
        <v>1151.4034687890446</v>
      </c>
      <c r="F2884" s="23">
        <f>AlphaC*(D2884-E2884)</f>
        <v>18.399288552848247</v>
      </c>
      <c r="G2884" s="13">
        <f>Phi*EpsilonF*Botzman/10^8*J2884*((D2884+273)^4-(E2884+273)^4)</f>
        <v>337.93856624586448</v>
      </c>
      <c r="H2884" s="23">
        <f t="shared" si="189"/>
        <v>650</v>
      </c>
      <c r="I2884" s="12">
        <f>ksh*Massivete/(H2884*RhoA)*DeltaT*(F2884+G2884)</f>
        <v>5.2559921032975333E-2</v>
      </c>
      <c r="J2884" s="3">
        <f>IF(E2884&lt;=500,IF(Galva=Oui,0.35,0.7),0.7)</f>
        <v>0.7</v>
      </c>
    </row>
    <row r="2885" spans="2:10" x14ac:dyDescent="0.25">
      <c r="B2885" s="3">
        <f>B2884+DeltaT</f>
        <v>14340</v>
      </c>
      <c r="C2885" s="13">
        <f t="shared" si="186"/>
        <v>239</v>
      </c>
      <c r="D2885" s="11">
        <f t="shared" si="187"/>
        <v>1152.1916646594168</v>
      </c>
      <c r="E2885" s="23">
        <f t="shared" si="188"/>
        <v>1151.4560287100776</v>
      </c>
      <c r="F2885" s="23">
        <f>AlphaC*(D2885-E2885)</f>
        <v>18.390898733480299</v>
      </c>
      <c r="G2885" s="13">
        <f>Phi*EpsilonF*Botzman/10^8*J2885*((D2885+273)^4-(E2885+273)^4)</f>
        <v>337.82173565018019</v>
      </c>
      <c r="H2885" s="23">
        <f t="shared" si="189"/>
        <v>650</v>
      </c>
      <c r="I2885" s="12">
        <f>ksh*Massivete/(H2885*RhoA)*DeltaT*(F2885+G2885)</f>
        <v>5.2541450991024329E-2</v>
      </c>
      <c r="J2885" s="3">
        <f>IF(E2885&lt;=500,IF(Galva=Oui,0.35,0.7),0.7)</f>
        <v>0.7</v>
      </c>
    </row>
    <row r="2886" spans="2:10" x14ac:dyDescent="0.25">
      <c r="B2886" s="3">
        <f>B2885+DeltaT</f>
        <v>14345</v>
      </c>
      <c r="C2886" s="13">
        <f t="shared" si="186"/>
        <v>239.08333333333334</v>
      </c>
      <c r="D2886" s="11">
        <f t="shared" si="187"/>
        <v>1152.2438707910451</v>
      </c>
      <c r="E2886" s="23">
        <f t="shared" si="188"/>
        <v>1151.5085701610685</v>
      </c>
      <c r="F2886" s="23">
        <f>AlphaC*(D2886-E2886)</f>
        <v>18.382515749414097</v>
      </c>
      <c r="G2886" s="13">
        <f>Phi*EpsilonF*Botzman/10^8*J2886*((D2886+273)^4-(E2886+273)^4)</f>
        <v>337.70498632998408</v>
      </c>
      <c r="H2886" s="23">
        <f t="shared" si="189"/>
        <v>650</v>
      </c>
      <c r="I2886" s="12">
        <f>ksh*Massivete/(H2886*RhoA)*DeltaT*(F2886+G2886)</f>
        <v>5.2522993945436469E-2</v>
      </c>
      <c r="J2886" s="3">
        <f>IF(E2886&lt;=500,IF(Galva=Oui,0.35,0.7),0.7)</f>
        <v>0.7</v>
      </c>
    </row>
    <row r="2887" spans="2:10" x14ac:dyDescent="0.25">
      <c r="B2887" s="3">
        <f>B2886+DeltaT</f>
        <v>14350</v>
      </c>
      <c r="C2887" s="13">
        <f t="shared" si="186"/>
        <v>239.16666666666666</v>
      </c>
      <c r="D2887" s="11">
        <f t="shared" si="187"/>
        <v>1152.2960587387188</v>
      </c>
      <c r="E2887" s="23">
        <f t="shared" si="188"/>
        <v>1151.5610931550139</v>
      </c>
      <c r="F2887" s="23">
        <f>AlphaC*(D2887-E2887)</f>
        <v>18.374139592623351</v>
      </c>
      <c r="G2887" s="13">
        <f>Phi*EpsilonF*Botzman/10^8*J2887*((D2887+273)^4-(E2887+273)^4)</f>
        <v>337.58831819963643</v>
      </c>
      <c r="H2887" s="23">
        <f t="shared" si="189"/>
        <v>650</v>
      </c>
      <c r="I2887" s="12">
        <f>ksh*Massivete/(H2887*RhoA)*DeltaT*(F2887+G2887)</f>
        <v>5.250454988239598E-2</v>
      </c>
      <c r="J2887" s="3">
        <f>IF(E2887&lt;=500,IF(Galva=Oui,0.35,0.7),0.7)</f>
        <v>0.7</v>
      </c>
    </row>
    <row r="2888" spans="2:10" x14ac:dyDescent="0.25">
      <c r="B2888" s="3">
        <f>B2887+DeltaT</f>
        <v>14355</v>
      </c>
      <c r="C2888" s="13">
        <f t="shared" si="186"/>
        <v>239.25</v>
      </c>
      <c r="D2888" s="11">
        <f t="shared" si="187"/>
        <v>1152.3482285151013</v>
      </c>
      <c r="E2888" s="23">
        <f t="shared" si="188"/>
        <v>1151.6135977048962</v>
      </c>
      <c r="F2888" s="23">
        <f>AlphaC*(D2888-E2888)</f>
        <v>18.365770255127245</v>
      </c>
      <c r="G2888" s="13">
        <f>Phi*EpsilonF*Botzman/10^8*J2888*((D2888+273)^4-(E2888+273)^4)</f>
        <v>337.47173117446664</v>
      </c>
      <c r="H2888" s="23">
        <f t="shared" si="189"/>
        <v>650</v>
      </c>
      <c r="I2888" s="12">
        <f>ksh*Massivete/(H2888*RhoA)*DeltaT*(F2888+G2888)</f>
        <v>5.2486118788236766E-2</v>
      </c>
      <c r="J2888" s="3">
        <f>IF(E2888&lt;=500,IF(Galva=Oui,0.35,0.7),0.7)</f>
        <v>0.7</v>
      </c>
    </row>
    <row r="2889" spans="2:10" x14ac:dyDescent="0.25">
      <c r="B2889" s="3">
        <f>B2888+DeltaT</f>
        <v>14360</v>
      </c>
      <c r="C2889" s="13">
        <f t="shared" si="186"/>
        <v>239.33333333333334</v>
      </c>
      <c r="D2889" s="11">
        <f t="shared" si="187"/>
        <v>1152.400380132842</v>
      </c>
      <c r="E2889" s="23">
        <f t="shared" si="188"/>
        <v>1151.6660838236844</v>
      </c>
      <c r="F2889" s="23">
        <f>AlphaC*(D2889-E2889)</f>
        <v>18.357407728939279</v>
      </c>
      <c r="G2889" s="13">
        <f>Phi*EpsilonF*Botzman/10^8*J2889*((D2889+273)^4-(E2889+273)^4)</f>
        <v>337.35522516953256</v>
      </c>
      <c r="H2889" s="23">
        <f t="shared" si="189"/>
        <v>650</v>
      </c>
      <c r="I2889" s="12">
        <f>ksh*Massivete/(H2889*RhoA)*DeltaT*(F2889+G2889)</f>
        <v>5.2467700649251825E-2</v>
      </c>
      <c r="J2889" s="3">
        <f>IF(E2889&lt;=500,IF(Galva=Oui,0.35,0.7),0.7)</f>
        <v>0.7</v>
      </c>
    </row>
    <row r="2890" spans="2:10" x14ac:dyDescent="0.25">
      <c r="B2890" s="3">
        <f>B2889+DeltaT</f>
        <v>14365</v>
      </c>
      <c r="C2890" s="13">
        <f t="shared" si="186"/>
        <v>239.41666666666666</v>
      </c>
      <c r="D2890" s="11">
        <f t="shared" si="187"/>
        <v>1152.4525136045777</v>
      </c>
      <c r="E2890" s="23">
        <f t="shared" si="188"/>
        <v>1151.7185515243336</v>
      </c>
      <c r="F2890" s="23">
        <f>AlphaC*(D2890-E2890)</f>
        <v>18.349052006101374</v>
      </c>
      <c r="G2890" s="13">
        <f>Phi*EpsilonF*Botzman/10^8*J2890*((D2890+273)^4-(E2890+273)^4)</f>
        <v>337.23880010026045</v>
      </c>
      <c r="H2890" s="23">
        <f t="shared" si="189"/>
        <v>650</v>
      </c>
      <c r="I2890" s="12">
        <f>ksh*Massivete/(H2890*RhoA)*DeltaT*(F2890+G2890)</f>
        <v>5.2449295451792693E-2</v>
      </c>
      <c r="J2890" s="3">
        <f>IF(E2890&lt;=500,IF(Galva=Oui,0.35,0.7),0.7)</f>
        <v>0.7</v>
      </c>
    </row>
    <row r="2891" spans="2:10" x14ac:dyDescent="0.25">
      <c r="B2891" s="3">
        <f>B2890+DeltaT</f>
        <v>14370</v>
      </c>
      <c r="C2891" s="13">
        <f t="shared" si="186"/>
        <v>239.5</v>
      </c>
      <c r="D2891" s="11">
        <f t="shared" si="187"/>
        <v>1152.5046289429315</v>
      </c>
      <c r="E2891" s="23">
        <f t="shared" si="188"/>
        <v>1151.7710008197855</v>
      </c>
      <c r="F2891" s="23">
        <f>AlphaC*(D2891-E2891)</f>
        <v>18.340703078649767</v>
      </c>
      <c r="G2891" s="13">
        <f>Phi*EpsilonF*Botzman/10^8*J2891*((D2891+273)^4-(E2891+273)^4)</f>
        <v>337.12245588182452</v>
      </c>
      <c r="H2891" s="23">
        <f t="shared" si="189"/>
        <v>650</v>
      </c>
      <c r="I2891" s="12">
        <f>ksh*Massivete/(H2891*RhoA)*DeltaT*(F2891+G2891)</f>
        <v>5.2430903182172882E-2</v>
      </c>
      <c r="J2891" s="3">
        <f>IF(E2891&lt;=500,IF(Galva=Oui,0.35,0.7),0.7)</f>
        <v>0.7</v>
      </c>
    </row>
    <row r="2892" spans="2:10" x14ac:dyDescent="0.25">
      <c r="B2892" s="3">
        <f>B2891+DeltaT</f>
        <v>14375</v>
      </c>
      <c r="C2892" s="13">
        <f t="shared" si="186"/>
        <v>239.58333333333334</v>
      </c>
      <c r="D2892" s="11">
        <f t="shared" si="187"/>
        <v>1152.5567261605136</v>
      </c>
      <c r="E2892" s="23">
        <f t="shared" si="188"/>
        <v>1151.8234317229676</v>
      </c>
      <c r="F2892" s="23">
        <f>AlphaC*(D2892-E2892)</f>
        <v>18.332360938649117</v>
      </c>
      <c r="G2892" s="13">
        <f>Phi*EpsilonF*Botzman/10^8*J2892*((D2892+273)^4-(E2892+273)^4)</f>
        <v>337.00619242996112</v>
      </c>
      <c r="H2892" s="23">
        <f t="shared" si="189"/>
        <v>650</v>
      </c>
      <c r="I2892" s="12">
        <f>ksh*Massivete/(H2892*RhoA)*DeltaT*(F2892+G2892)</f>
        <v>5.2412523826793025E-2</v>
      </c>
      <c r="J2892" s="3">
        <f>IF(E2892&lt;=500,IF(Galva=Oui,0.35,0.7),0.7)</f>
        <v>0.7</v>
      </c>
    </row>
    <row r="2893" spans="2:10" x14ac:dyDescent="0.25">
      <c r="B2893" s="3">
        <f>B2892+DeltaT</f>
        <v>14380</v>
      </c>
      <c r="C2893" s="13">
        <f t="shared" si="186"/>
        <v>239.66666666666666</v>
      </c>
      <c r="D2893" s="11">
        <f t="shared" si="187"/>
        <v>1152.608805269921</v>
      </c>
      <c r="E2893" s="23">
        <f t="shared" si="188"/>
        <v>1151.8758442467945</v>
      </c>
      <c r="F2893" s="23">
        <f>AlphaC*(D2893-E2893)</f>
        <v>18.324025578164083</v>
      </c>
      <c r="G2893" s="13">
        <f>Phi*EpsilonF*Botzman/10^8*J2893*((D2893+273)^4-(E2893+273)^4)</f>
        <v>336.89000966011571</v>
      </c>
      <c r="H2893" s="23">
        <f t="shared" si="189"/>
        <v>650</v>
      </c>
      <c r="I2893" s="12">
        <f>ksh*Massivete/(H2893*RhoA)*DeltaT*(F2893+G2893)</f>
        <v>5.2394157372010836E-2</v>
      </c>
      <c r="J2893" s="3">
        <f>IF(E2893&lt;=500,IF(Galva=Oui,0.35,0.7),0.7)</f>
        <v>0.7</v>
      </c>
    </row>
    <row r="2894" spans="2:10" x14ac:dyDescent="0.25">
      <c r="B2894" s="3">
        <f>B2893+DeltaT</f>
        <v>14385</v>
      </c>
      <c r="C2894" s="13">
        <f t="shared" si="186"/>
        <v>239.75</v>
      </c>
      <c r="D2894" s="11">
        <f t="shared" si="187"/>
        <v>1152.6608662837375</v>
      </c>
      <c r="E2894" s="23">
        <f t="shared" si="188"/>
        <v>1151.9282384041664</v>
      </c>
      <c r="F2894" s="23">
        <f>AlphaC*(D2894-E2894)</f>
        <v>18.315696989276375</v>
      </c>
      <c r="G2894" s="13">
        <f>Phi*EpsilonF*Botzman/10^8*J2894*((D2894+273)^4-(E2894+273)^4)</f>
        <v>336.77390748821841</v>
      </c>
      <c r="H2894" s="23">
        <f t="shared" si="189"/>
        <v>650</v>
      </c>
      <c r="I2894" s="12">
        <f>ksh*Massivete/(H2894*RhoA)*DeltaT*(F2894+G2894)</f>
        <v>5.2375803804258048E-2</v>
      </c>
      <c r="J2894" s="3">
        <f>IF(E2894&lt;=500,IF(Galva=Oui,0.35,0.7),0.7)</f>
        <v>0.7</v>
      </c>
    </row>
    <row r="2895" spans="2:10" x14ac:dyDescent="0.25">
      <c r="B2895" s="3">
        <f>B2894+DeltaT</f>
        <v>14390</v>
      </c>
      <c r="C2895" s="13">
        <f t="shared" si="186"/>
        <v>239.83333333333334</v>
      </c>
      <c r="D2895" s="11">
        <f t="shared" si="187"/>
        <v>1152.7129092145342</v>
      </c>
      <c r="E2895" s="23">
        <f t="shared" si="188"/>
        <v>1151.9806142079708</v>
      </c>
      <c r="F2895" s="23">
        <f>AlphaC*(D2895-E2895)</f>
        <v>18.30737516408476</v>
      </c>
      <c r="G2895" s="13">
        <f>Phi*EpsilonF*Botzman/10^8*J2895*((D2895+273)^4-(E2895+273)^4)</f>
        <v>336.65788583004434</v>
      </c>
      <c r="H2895" s="23">
        <f t="shared" si="189"/>
        <v>650</v>
      </c>
      <c r="I2895" s="12">
        <f>ksh*Massivete/(H2895*RhoA)*DeltaT*(F2895+G2895)</f>
        <v>5.2357463109946024E-2</v>
      </c>
      <c r="J2895" s="3">
        <f>IF(E2895&lt;=500,IF(Galva=Oui,0.35,0.7),0.7)</f>
        <v>0.7</v>
      </c>
    </row>
    <row r="2896" spans="2:10" x14ac:dyDescent="0.25">
      <c r="B2896" s="3">
        <f>B2895+DeltaT</f>
        <v>14395</v>
      </c>
      <c r="C2896" s="13">
        <f t="shared" si="186"/>
        <v>239.91666666666666</v>
      </c>
      <c r="D2896" s="11">
        <f t="shared" si="187"/>
        <v>1152.7649340748681</v>
      </c>
      <c r="E2896" s="23">
        <f t="shared" si="188"/>
        <v>1152.0329716710808</v>
      </c>
      <c r="F2896" s="23">
        <f>AlphaC*(D2896-E2896)</f>
        <v>18.299060094682318</v>
      </c>
      <c r="G2896" s="13">
        <f>Phi*EpsilonF*Botzman/10^8*J2896*((D2896+273)^4-(E2896+273)^4)</f>
        <v>336.54194460146527</v>
      </c>
      <c r="H2896" s="23">
        <f t="shared" si="189"/>
        <v>650</v>
      </c>
      <c r="I2896" s="12">
        <f>ksh*Massivete/(H2896*RhoA)*DeltaT*(F2896+G2896)</f>
        <v>5.2339135275499563E-2</v>
      </c>
      <c r="J2896" s="3">
        <f>IF(E2896&lt;=500,IF(Galva=Oui,0.35,0.7),0.7)</f>
        <v>0.7</v>
      </c>
    </row>
    <row r="2897" spans="2:10" x14ac:dyDescent="0.25">
      <c r="B2897" s="3">
        <f>B2896+DeltaT</f>
        <v>14400</v>
      </c>
      <c r="C2897" s="13">
        <f t="shared" si="186"/>
        <v>240</v>
      </c>
      <c r="D2897" s="11">
        <f t="shared" si="187"/>
        <v>1152.8169408772842</v>
      </c>
      <c r="E2897" s="23">
        <f t="shared" si="188"/>
        <v>1152.0853108063563</v>
      </c>
      <c r="F2897" s="23">
        <f>AlphaC*(D2897-E2897)</f>
        <v>18.290751773196234</v>
      </c>
      <c r="G2897" s="13">
        <f>Phi*EpsilonF*Botzman/10^8*J2897*((D2897+273)^4-(E2897+273)^4)</f>
        <v>336.42608371879896</v>
      </c>
      <c r="H2897" s="23">
        <f t="shared" si="189"/>
        <v>650</v>
      </c>
      <c r="I2897" s="12">
        <f>ksh*Massivete/(H2897*RhoA)*DeltaT*(F2897+G2897)</f>
        <v>5.232082028741427E-2</v>
      </c>
      <c r="J2897" s="3">
        <f>IF(E2897&lt;=500,IF(Galva=Oui,0.35,0.7),0.7)</f>
        <v>0.7</v>
      </c>
    </row>
    <row r="2898" spans="2:10" x14ac:dyDescent="0.25">
      <c r="B2898" s="3">
        <f>B2897+DeltaT</f>
        <v>14405</v>
      </c>
      <c r="C2898" s="13">
        <f t="shared" ref="C2898:C2961" si="190">B2898/60</f>
        <v>240.08333333333334</v>
      </c>
      <c r="D2898" s="11">
        <f t="shared" ref="D2898:D2961" si="191">20+345*LOG(8*C2898+1,10)</f>
        <v>1152.8689296343141</v>
      </c>
      <c r="E2898" s="23">
        <f t="shared" si="188"/>
        <v>1152.1376316266437</v>
      </c>
      <c r="F2898" s="23">
        <f>AlphaC*(D2898-E2898)</f>
        <v>18.282450191759381</v>
      </c>
      <c r="G2898" s="13">
        <f>Phi*EpsilonF*Botzman/10^8*J2898*((D2898+273)^4-(E2898+273)^4)</f>
        <v>336.31030309818863</v>
      </c>
      <c r="H2898" s="23">
        <f t="shared" si="189"/>
        <v>650</v>
      </c>
      <c r="I2898" s="12">
        <f>ksh*Massivete/(H2898*RhoA)*DeltaT*(F2898+G2898)</f>
        <v>5.2302518132160844E-2</v>
      </c>
      <c r="J2898" s="3">
        <f>IF(E2898&lt;=500,IF(Galva=Oui,0.35,0.7),0.7)</f>
        <v>0.7</v>
      </c>
    </row>
    <row r="2899" spans="2:10" x14ac:dyDescent="0.25">
      <c r="B2899" s="3">
        <f>B2898+DeltaT</f>
        <v>14410</v>
      </c>
      <c r="C2899" s="13">
        <f t="shared" si="190"/>
        <v>240.16666666666666</v>
      </c>
      <c r="D2899" s="11">
        <f t="shared" si="191"/>
        <v>1152.920900358476</v>
      </c>
      <c r="E2899" s="23">
        <f t="shared" si="188"/>
        <v>1152.1899341447759</v>
      </c>
      <c r="F2899" s="23">
        <f>AlphaC*(D2899-E2899)</f>
        <v>18.274155342504628</v>
      </c>
      <c r="G2899" s="13">
        <f>Phi*EpsilonF*Botzman/10^8*J2899*((D2899+273)^4-(E2899+273)^4)</f>
        <v>336.19460265593256</v>
      </c>
      <c r="H2899" s="23">
        <f t="shared" si="189"/>
        <v>650</v>
      </c>
      <c r="I2899" s="12">
        <f>ksh*Massivete/(H2899*RhoA)*DeltaT*(F2899+G2899)</f>
        <v>5.2284228796232866E-2</v>
      </c>
      <c r="J2899" s="3">
        <f>IF(E2899&lt;=500,IF(Galva=Oui,0.35,0.7),0.7)</f>
        <v>0.7</v>
      </c>
    </row>
    <row r="2900" spans="2:10" x14ac:dyDescent="0.25">
      <c r="B2900" s="3">
        <f>B2899+DeltaT</f>
        <v>14415</v>
      </c>
      <c r="C2900" s="13">
        <f t="shared" si="190"/>
        <v>240.25</v>
      </c>
      <c r="D2900" s="11">
        <f t="shared" si="191"/>
        <v>1152.9728530622754</v>
      </c>
      <c r="E2900" s="23">
        <f t="shared" si="188"/>
        <v>1152.2422183735721</v>
      </c>
      <c r="F2900" s="23">
        <f>AlphaC*(D2900-E2900)</f>
        <v>18.265867217581899</v>
      </c>
      <c r="G2900" s="13">
        <f>Phi*EpsilonF*Botzman/10^8*J2900*((D2900+273)^4-(E2900+273)^4)</f>
        <v>336.07898230840658</v>
      </c>
      <c r="H2900" s="23">
        <f t="shared" si="189"/>
        <v>650</v>
      </c>
      <c r="I2900" s="12">
        <f>ksh*Massivete/(H2900*RhoA)*DeltaT*(F2900+G2900)</f>
        <v>5.2265952266137852E-2</v>
      </c>
      <c r="J2900" s="3">
        <f>IF(E2900&lt;=500,IF(Galva=Oui,0.35,0.7),0.7)</f>
        <v>0.7</v>
      </c>
    </row>
    <row r="2901" spans="2:10" x14ac:dyDescent="0.25">
      <c r="B2901" s="3">
        <f>B2900+DeltaT</f>
        <v>14420</v>
      </c>
      <c r="C2901" s="13">
        <f t="shared" si="190"/>
        <v>240.33333333333334</v>
      </c>
      <c r="D2901" s="11">
        <f t="shared" si="191"/>
        <v>1153.0247877582049</v>
      </c>
      <c r="E2901" s="23">
        <f t="shared" si="188"/>
        <v>1152.2944843258383</v>
      </c>
      <c r="F2901" s="23">
        <f>AlphaC*(D2901-E2901)</f>
        <v>18.257585809163857</v>
      </c>
      <c r="G2901" s="13">
        <f>Phi*EpsilonF*Botzman/10^8*J2901*((D2901+273)^4-(E2901+273)^4)</f>
        <v>335.96344197231593</v>
      </c>
      <c r="H2901" s="23">
        <f t="shared" si="189"/>
        <v>650</v>
      </c>
      <c r="I2901" s="12">
        <f>ksh*Massivete/(H2901*RhoA)*DeltaT*(F2901+G2901)</f>
        <v>5.2247688528435275E-2</v>
      </c>
      <c r="J2901" s="3">
        <f>IF(E2901&lt;=500,IF(Galva=Oui,0.35,0.7),0.7)</f>
        <v>0.7</v>
      </c>
    </row>
    <row r="2902" spans="2:10" x14ac:dyDescent="0.25">
      <c r="B2902" s="3">
        <f>B2901+DeltaT</f>
        <v>14425</v>
      </c>
      <c r="C2902" s="13">
        <f t="shared" si="190"/>
        <v>240.41666666666666</v>
      </c>
      <c r="D2902" s="11">
        <f t="shared" si="191"/>
        <v>1153.0767044587442</v>
      </c>
      <c r="E2902" s="23">
        <f t="shared" si="188"/>
        <v>1152.3467320143668</v>
      </c>
      <c r="F2902" s="23">
        <f>AlphaC*(D2902-E2902)</f>
        <v>18.249311109434529</v>
      </c>
      <c r="G2902" s="13">
        <f>Phi*EpsilonF*Botzman/10^8*J2902*((D2902+273)^4-(E2902+273)^4)</f>
        <v>335.84798156438529</v>
      </c>
      <c r="H2902" s="23">
        <f t="shared" si="189"/>
        <v>650</v>
      </c>
      <c r="I2902" s="12">
        <f>ksh*Massivete/(H2902*RhoA)*DeltaT*(F2902+G2902)</f>
        <v>5.2229437569689154E-2</v>
      </c>
      <c r="J2902" s="3">
        <f>IF(E2902&lt;=500,IF(Galva=Oui,0.35,0.7),0.7)</f>
        <v>0.7</v>
      </c>
    </row>
    <row r="2903" spans="2:10" x14ac:dyDescent="0.25">
      <c r="B2903" s="3">
        <f>B2902+DeltaT</f>
        <v>14430</v>
      </c>
      <c r="C2903" s="13">
        <f t="shared" si="190"/>
        <v>240.5</v>
      </c>
      <c r="D2903" s="11">
        <f t="shared" si="191"/>
        <v>1153.1286031763591</v>
      </c>
      <c r="E2903" s="23">
        <f t="shared" si="188"/>
        <v>1152.3989614519364</v>
      </c>
      <c r="F2903" s="23">
        <f>AlphaC*(D2903-E2903)</f>
        <v>18.241043110566579</v>
      </c>
      <c r="G2903" s="13">
        <f>Phi*EpsilonF*Botzman/10^8*J2903*((D2903+273)^4-(E2903+273)^4)</f>
        <v>335.73260100122297</v>
      </c>
      <c r="H2903" s="23">
        <f t="shared" si="189"/>
        <v>650</v>
      </c>
      <c r="I2903" s="12">
        <f>ksh*Massivete/(H2903*RhoA)*DeltaT*(F2903+G2903)</f>
        <v>5.2211199376444646E-2</v>
      </c>
      <c r="J2903" s="3">
        <f>IF(E2903&lt;=500,IF(Galva=Oui,0.35,0.7),0.7)</f>
        <v>0.7</v>
      </c>
    </row>
    <row r="2904" spans="2:10" x14ac:dyDescent="0.25">
      <c r="B2904" s="3">
        <f>B2903+DeltaT</f>
        <v>14435</v>
      </c>
      <c r="C2904" s="13">
        <f t="shared" si="190"/>
        <v>240.58333333333334</v>
      </c>
      <c r="D2904" s="11">
        <f t="shared" si="191"/>
        <v>1153.1804839235037</v>
      </c>
      <c r="E2904" s="23">
        <f t="shared" si="188"/>
        <v>1152.4511726513128</v>
      </c>
      <c r="F2904" s="23">
        <f>AlphaC*(D2904-E2904)</f>
        <v>18.232781804772458</v>
      </c>
      <c r="G2904" s="13">
        <f>Phi*EpsilonF*Botzman/10^8*J2904*((D2904+273)^4-(E2904+273)^4)</f>
        <v>335.61730019992189</v>
      </c>
      <c r="H2904" s="23">
        <f t="shared" si="189"/>
        <v>650</v>
      </c>
      <c r="I2904" s="12">
        <f>ksh*Massivete/(H2904*RhoA)*DeltaT*(F2904+G2904)</f>
        <v>5.2192973935324273E-2</v>
      </c>
      <c r="J2904" s="3">
        <f>IF(E2904&lt;=500,IF(Galva=Oui,0.35,0.7),0.7)</f>
        <v>0.7</v>
      </c>
    </row>
    <row r="2905" spans="2:10" x14ac:dyDescent="0.25">
      <c r="B2905" s="3">
        <f>B2904+DeltaT</f>
        <v>14440</v>
      </c>
      <c r="C2905" s="13">
        <f t="shared" si="190"/>
        <v>240.66666666666666</v>
      </c>
      <c r="D2905" s="11">
        <f t="shared" si="191"/>
        <v>1153.2323467126184</v>
      </c>
      <c r="E2905" s="23">
        <f t="shared" si="188"/>
        <v>1152.5033656252481</v>
      </c>
      <c r="F2905" s="23">
        <f>AlphaC*(D2905-E2905)</f>
        <v>18.224527184258932</v>
      </c>
      <c r="G2905" s="13">
        <f>Phi*EpsilonF*Botzman/10^8*J2905*((D2905+273)^4-(E2905+273)^4)</f>
        <v>335.5020790773811</v>
      </c>
      <c r="H2905" s="23">
        <f t="shared" si="189"/>
        <v>650</v>
      </c>
      <c r="I2905" s="12">
        <f>ksh*Massivete/(H2905*RhoA)*DeltaT*(F2905+G2905)</f>
        <v>5.2174761232921134E-2</v>
      </c>
      <c r="J2905" s="3">
        <f>IF(E2905&lt;=500,IF(Galva=Oui,0.35,0.7),0.7)</f>
        <v>0.7</v>
      </c>
    </row>
    <row r="2906" spans="2:10" x14ac:dyDescent="0.25">
      <c r="B2906" s="3">
        <f>B2905+DeltaT</f>
        <v>14445</v>
      </c>
      <c r="C2906" s="13">
        <f t="shared" si="190"/>
        <v>240.75</v>
      </c>
      <c r="D2906" s="11">
        <f t="shared" si="191"/>
        <v>1153.2841915561312</v>
      </c>
      <c r="E2906" s="23">
        <f t="shared" si="188"/>
        <v>1152.555540386481</v>
      </c>
      <c r="F2906" s="23">
        <f>AlphaC*(D2906-E2906)</f>
        <v>18.216279241255506</v>
      </c>
      <c r="G2906" s="13">
        <f>Phi*EpsilonF*Botzman/10^8*J2906*((D2906+273)^4-(E2906+273)^4)</f>
        <v>335.38693755090662</v>
      </c>
      <c r="H2906" s="23">
        <f t="shared" si="189"/>
        <v>650</v>
      </c>
      <c r="I2906" s="12">
        <f>ksh*Massivete/(H2906*RhoA)*DeltaT*(F2906+G2906)</f>
        <v>5.2156561255891687E-2</v>
      </c>
      <c r="J2906" s="3">
        <f>IF(E2906&lt;=500,IF(Galva=Oui,0.35,0.7),0.7)</f>
        <v>0.7</v>
      </c>
    </row>
    <row r="2907" spans="2:10" x14ac:dyDescent="0.25">
      <c r="B2907" s="3">
        <f>B2906+DeltaT</f>
        <v>14450</v>
      </c>
      <c r="C2907" s="13">
        <f t="shared" si="190"/>
        <v>240.83333333333334</v>
      </c>
      <c r="D2907" s="11">
        <f t="shared" si="191"/>
        <v>1153.3360184664564</v>
      </c>
      <c r="E2907" s="23">
        <f t="shared" si="188"/>
        <v>1152.6076969477369</v>
      </c>
      <c r="F2907" s="23">
        <f>AlphaC*(D2907-E2907)</f>
        <v>18.208037967986002</v>
      </c>
      <c r="G2907" s="13">
        <f>Phi*EpsilonF*Botzman/10^8*J2907*((D2907+273)^4-(E2907+273)^4)</f>
        <v>335.27187553743624</v>
      </c>
      <c r="H2907" s="23">
        <f t="shared" si="189"/>
        <v>650</v>
      </c>
      <c r="I2907" s="12">
        <f>ksh*Massivete/(H2907*RhoA)*DeltaT*(F2907+G2907)</f>
        <v>5.2138373990837247E-2</v>
      </c>
      <c r="J2907" s="3">
        <f>IF(E2907&lt;=500,IF(Galva=Oui,0.35,0.7),0.7)</f>
        <v>0.7</v>
      </c>
    </row>
    <row r="2908" spans="2:10" x14ac:dyDescent="0.25">
      <c r="B2908" s="3">
        <f>B2907+DeltaT</f>
        <v>14455</v>
      </c>
      <c r="C2908" s="13">
        <f t="shared" si="190"/>
        <v>240.91666666666666</v>
      </c>
      <c r="D2908" s="11">
        <f t="shared" si="191"/>
        <v>1153.3878274559963</v>
      </c>
      <c r="E2908" s="23">
        <f t="shared" si="188"/>
        <v>1152.6598353217278</v>
      </c>
      <c r="F2908" s="23">
        <f>AlphaC*(D2908-E2908)</f>
        <v>18.199803356714028</v>
      </c>
      <c r="G2908" s="13">
        <f>Phi*EpsilonF*Botzman/10^8*J2908*((D2908+273)^4-(E2908+273)^4)</f>
        <v>335.15689295476051</v>
      </c>
      <c r="H2908" s="23">
        <f t="shared" si="189"/>
        <v>650</v>
      </c>
      <c r="I2908" s="12">
        <f>ksh*Massivete/(H2908*RhoA)*DeltaT*(F2908+G2908)</f>
        <v>5.2120199424490782E-2</v>
      </c>
      <c r="J2908" s="3">
        <f>IF(E2908&lt;=500,IF(Galva=Oui,0.35,0.7),0.7)</f>
        <v>0.7</v>
      </c>
    </row>
    <row r="2909" spans="2:10" x14ac:dyDescent="0.25">
      <c r="B2909" s="3">
        <f>B2908+DeltaT</f>
        <v>14460</v>
      </c>
      <c r="C2909" s="13">
        <f t="shared" si="190"/>
        <v>241</v>
      </c>
      <c r="D2909" s="11">
        <f t="shared" si="191"/>
        <v>1153.4396185371399</v>
      </c>
      <c r="E2909" s="23">
        <f t="shared" si="188"/>
        <v>1152.7119555211523</v>
      </c>
      <c r="F2909" s="23">
        <f>AlphaC*(D2909-E2909)</f>
        <v>18.191575399691828</v>
      </c>
      <c r="G2909" s="13">
        <f>Phi*EpsilonF*Botzman/10^8*J2909*((D2909+273)^4-(E2909+273)^4)</f>
        <v>335.04198972012739</v>
      </c>
      <c r="H2909" s="23">
        <f t="shared" si="189"/>
        <v>650</v>
      </c>
      <c r="I2909" s="12">
        <f>ksh*Massivete/(H2909*RhoA)*DeltaT*(F2909+G2909)</f>
        <v>5.2102037543503552E-2</v>
      </c>
      <c r="J2909" s="3">
        <f>IF(E2909&lt;=500,IF(Galva=Oui,0.35,0.7),0.7)</f>
        <v>0.7</v>
      </c>
    </row>
    <row r="2910" spans="2:10" x14ac:dyDescent="0.25">
      <c r="B2910" s="3">
        <f>B2909+DeltaT</f>
        <v>14465</v>
      </c>
      <c r="C2910" s="13">
        <f t="shared" si="190"/>
        <v>241.08333333333334</v>
      </c>
      <c r="D2910" s="11">
        <f t="shared" si="191"/>
        <v>1153.4913917222634</v>
      </c>
      <c r="E2910" s="23">
        <f t="shared" si="188"/>
        <v>1152.7640575586959</v>
      </c>
      <c r="F2910" s="23">
        <f>AlphaC*(D2910-E2910)</f>
        <v>18.183354089188697</v>
      </c>
      <c r="G2910" s="13">
        <f>Phi*EpsilonF*Botzman/10^8*J2910*((D2910+273)^4-(E2910+273)^4)</f>
        <v>334.92716575111422</v>
      </c>
      <c r="H2910" s="23">
        <f t="shared" si="189"/>
        <v>650</v>
      </c>
      <c r="I2910" s="12">
        <f>ksh*Massivete/(H2910*RhoA)*DeltaT*(F2910+G2910)</f>
        <v>5.2083888334577909E-2</v>
      </c>
      <c r="J2910" s="3">
        <f>IF(E2910&lt;=500,IF(Galva=Oui,0.35,0.7),0.7)</f>
        <v>0.7</v>
      </c>
    </row>
    <row r="2911" spans="2:10" x14ac:dyDescent="0.25">
      <c r="B2911" s="3">
        <f>B2910+DeltaT</f>
        <v>14470</v>
      </c>
      <c r="C2911" s="13">
        <f t="shared" si="190"/>
        <v>241.16666666666666</v>
      </c>
      <c r="D2911" s="11">
        <f t="shared" si="191"/>
        <v>1153.5431470237304</v>
      </c>
      <c r="E2911" s="23">
        <f t="shared" si="188"/>
        <v>1152.8161414470305</v>
      </c>
      <c r="F2911" s="23">
        <f>AlphaC*(D2911-E2911)</f>
        <v>18.175139417496666</v>
      </c>
      <c r="G2911" s="13">
        <f>Phi*EpsilonF*Botzman/10^8*J2911*((D2911+273)^4-(E2911+273)^4)</f>
        <v>334.81242096562778</v>
      </c>
      <c r="H2911" s="23">
        <f t="shared" si="189"/>
        <v>650</v>
      </c>
      <c r="I2911" s="12">
        <f>ksh*Massivete/(H2911*RhoA)*DeltaT*(F2911+G2911)</f>
        <v>5.2065751784468157E-2</v>
      </c>
      <c r="J2911" s="3">
        <f>IF(E2911&lt;=500,IF(Galva=Oui,0.35,0.7),0.7)</f>
        <v>0.7</v>
      </c>
    </row>
    <row r="2912" spans="2:10" x14ac:dyDescent="0.25">
      <c r="B2912" s="3">
        <f>B2911+DeltaT</f>
        <v>14475</v>
      </c>
      <c r="C2912" s="13">
        <f t="shared" si="190"/>
        <v>241.25</v>
      </c>
      <c r="D2912" s="11">
        <f t="shared" si="191"/>
        <v>1153.5948844538912</v>
      </c>
      <c r="E2912" s="23">
        <f t="shared" si="188"/>
        <v>1152.8682071988151</v>
      </c>
      <c r="F2912" s="23">
        <f>AlphaC*(D2912-E2912)</f>
        <v>18.166931376902085</v>
      </c>
      <c r="G2912" s="13">
        <f>Phi*EpsilonF*Botzman/10^8*J2912*((D2912+273)^4-(E2912+273)^4)</f>
        <v>334.69775528138109</v>
      </c>
      <c r="H2912" s="23">
        <f t="shared" si="189"/>
        <v>650</v>
      </c>
      <c r="I2912" s="12">
        <f>ksh*Massivete/(H2912*RhoA)*DeltaT*(F2912+G2912)</f>
        <v>5.204762787989918E-2</v>
      </c>
      <c r="J2912" s="3">
        <f>IF(E2912&lt;=500,IF(Galva=Oui,0.35,0.7),0.7)</f>
        <v>0.7</v>
      </c>
    </row>
    <row r="2913" spans="2:10" x14ac:dyDescent="0.25">
      <c r="B2913" s="3">
        <f>B2912+DeltaT</f>
        <v>14480</v>
      </c>
      <c r="C2913" s="13">
        <f t="shared" si="190"/>
        <v>241.33333333333334</v>
      </c>
      <c r="D2913" s="11">
        <f t="shared" si="191"/>
        <v>1153.6466040250834</v>
      </c>
      <c r="E2913" s="23">
        <f t="shared" si="188"/>
        <v>1152.9202548266949</v>
      </c>
      <c r="F2913" s="23">
        <f>AlphaC*(D2913-E2913)</f>
        <v>18.158729959714037</v>
      </c>
      <c r="G2913" s="13">
        <f>Phi*EpsilonF*Botzman/10^8*J2913*((D2913+273)^4-(E2913+273)^4)</f>
        <v>334.58316861631977</v>
      </c>
      <c r="H2913" s="23">
        <f t="shared" si="189"/>
        <v>650</v>
      </c>
      <c r="I2913" s="12">
        <f>ksh*Massivete/(H2913*RhoA)*DeltaT*(F2913+G2913)</f>
        <v>5.2029516607633532E-2</v>
      </c>
      <c r="J2913" s="3">
        <f>IF(E2913&lt;=500,IF(Galva=Oui,0.35,0.7),0.7)</f>
        <v>0.7</v>
      </c>
    </row>
    <row r="2914" spans="2:10" x14ac:dyDescent="0.25">
      <c r="B2914" s="3">
        <f>B2913+DeltaT</f>
        <v>14485</v>
      </c>
      <c r="C2914" s="13">
        <f t="shared" si="190"/>
        <v>241.41666666666666</v>
      </c>
      <c r="D2914" s="11">
        <f t="shared" si="191"/>
        <v>1153.6983057496327</v>
      </c>
      <c r="E2914" s="23">
        <f t="shared" si="188"/>
        <v>1152.9722843433026</v>
      </c>
      <c r="F2914" s="23">
        <f>AlphaC*(D2914-E2914)</f>
        <v>18.150535158252978</v>
      </c>
      <c r="G2914" s="13">
        <f>Phi*EpsilonF*Botzman/10^8*J2914*((D2914+273)^4-(E2914+273)^4)</f>
        <v>334.46866088860253</v>
      </c>
      <c r="H2914" s="23">
        <f t="shared" si="189"/>
        <v>650</v>
      </c>
      <c r="I2914" s="12">
        <f>ksh*Massivete/(H2914*RhoA)*DeltaT*(F2914+G2914)</f>
        <v>5.2011417954466864E-2</v>
      </c>
      <c r="J2914" s="3">
        <f>IF(E2914&lt;=500,IF(Galva=Oui,0.35,0.7),0.7)</f>
        <v>0.7</v>
      </c>
    </row>
    <row r="2915" spans="2:10" x14ac:dyDescent="0.25">
      <c r="B2915" s="3">
        <f>B2914+DeltaT</f>
        <v>14490</v>
      </c>
      <c r="C2915" s="13">
        <f t="shared" si="190"/>
        <v>241.5</v>
      </c>
      <c r="D2915" s="11">
        <f t="shared" si="191"/>
        <v>1153.7499896398506</v>
      </c>
      <c r="E2915" s="23">
        <f t="shared" si="188"/>
        <v>1153.024295761257</v>
      </c>
      <c r="F2915" s="23">
        <f>AlphaC*(D2915-E2915)</f>
        <v>18.142346964839362</v>
      </c>
      <c r="G2915" s="13">
        <f>Phi*EpsilonF*Botzman/10^8*J2915*((D2915+273)^4-(E2915+273)^4)</f>
        <v>334.35423201613622</v>
      </c>
      <c r="H2915" s="23">
        <f t="shared" si="189"/>
        <v>650</v>
      </c>
      <c r="I2915" s="12">
        <f>ksh*Massivete/(H2915*RhoA)*DeltaT*(F2915+G2915)</f>
        <v>5.1993331907157672E-2</v>
      </c>
      <c r="J2915" s="3">
        <f>IF(E2915&lt;=500,IF(Galva=Oui,0.35,0.7),0.7)</f>
        <v>0.7</v>
      </c>
    </row>
    <row r="2916" spans="2:10" x14ac:dyDescent="0.25">
      <c r="B2916" s="3">
        <f>B2915+DeltaT</f>
        <v>14495</v>
      </c>
      <c r="C2916" s="13">
        <f t="shared" si="190"/>
        <v>241.58333333333334</v>
      </c>
      <c r="D2916" s="11">
        <f t="shared" si="191"/>
        <v>1153.8016557080373</v>
      </c>
      <c r="E2916" s="23">
        <f t="shared" si="188"/>
        <v>1153.0762890931642</v>
      </c>
      <c r="F2916" s="23">
        <f>AlphaC*(D2916-E2916)</f>
        <v>18.134165371827748</v>
      </c>
      <c r="G2916" s="13">
        <f>Phi*EpsilonF*Botzman/10^8*J2916*((D2916+273)^4-(E2916+273)^4)</f>
        <v>334.23988191758343</v>
      </c>
      <c r="H2916" s="23">
        <f t="shared" si="189"/>
        <v>650</v>
      </c>
      <c r="I2916" s="12">
        <f>ksh*Massivete/(H2916*RhoA)*DeltaT*(F2916+G2916)</f>
        <v>5.1975258452580976E-2</v>
      </c>
      <c r="J2916" s="3">
        <f>IF(E2916&lt;=500,IF(Galva=Oui,0.35,0.7),0.7)</f>
        <v>0.7</v>
      </c>
    </row>
    <row r="2917" spans="2:10" x14ac:dyDescent="0.25">
      <c r="B2917" s="3">
        <f>B2916+DeltaT</f>
        <v>14500</v>
      </c>
      <c r="C2917" s="13">
        <f t="shared" si="190"/>
        <v>241.66666666666666</v>
      </c>
      <c r="D2917" s="11">
        <f t="shared" si="191"/>
        <v>1153.8533039664794</v>
      </c>
      <c r="E2917" s="23">
        <f t="shared" si="188"/>
        <v>1153.1282643516167</v>
      </c>
      <c r="F2917" s="23">
        <f>AlphaC*(D2917-E2917)</f>
        <v>18.125990371567013</v>
      </c>
      <c r="G2917" s="13">
        <f>Phi*EpsilonF*Botzman/10^8*J2917*((D2917+273)^4-(E2917+273)^4)</f>
        <v>334.1256105111417</v>
      </c>
      <c r="H2917" s="23">
        <f t="shared" si="189"/>
        <v>650</v>
      </c>
      <c r="I2917" s="12">
        <f>ksh*Massivete/(H2917*RhoA)*DeltaT*(F2917+G2917)</f>
        <v>5.1957197577542344E-2</v>
      </c>
      <c r="J2917" s="3">
        <f>IF(E2917&lt;=500,IF(Galva=Oui,0.35,0.7),0.7)</f>
        <v>0.7</v>
      </c>
    </row>
    <row r="2918" spans="2:10" x14ac:dyDescent="0.25">
      <c r="B2918" s="3">
        <f>B2917+DeltaT</f>
        <v>14505</v>
      </c>
      <c r="C2918" s="13">
        <f t="shared" si="190"/>
        <v>241.75</v>
      </c>
      <c r="D2918" s="11">
        <f t="shared" si="191"/>
        <v>1153.9049344274508</v>
      </c>
      <c r="E2918" s="23">
        <f t="shared" si="188"/>
        <v>1153.1802215491944</v>
      </c>
      <c r="F2918" s="23">
        <f>AlphaC*(D2918-E2918)</f>
        <v>18.117821956411717</v>
      </c>
      <c r="G2918" s="13">
        <f>Phi*EpsilonF*Botzman/10^8*J2918*((D2918+273)^4-(E2918+273)^4)</f>
        <v>334.01141771526051</v>
      </c>
      <c r="H2918" s="23">
        <f t="shared" si="189"/>
        <v>650</v>
      </c>
      <c r="I2918" s="12">
        <f>ksh*Massivete/(H2918*RhoA)*DeltaT*(F2918+G2918)</f>
        <v>5.1939149268885355E-2</v>
      </c>
      <c r="J2918" s="3">
        <f>IF(E2918&lt;=500,IF(Galva=Oui,0.35,0.7),0.7)</f>
        <v>0.7</v>
      </c>
    </row>
    <row r="2919" spans="2:10" x14ac:dyDescent="0.25">
      <c r="B2919" s="3">
        <f>B2918+DeltaT</f>
        <v>14510</v>
      </c>
      <c r="C2919" s="13">
        <f t="shared" si="190"/>
        <v>241.83333333333334</v>
      </c>
      <c r="D2919" s="11">
        <f t="shared" si="191"/>
        <v>1153.9565471032131</v>
      </c>
      <c r="E2919" s="23">
        <f t="shared" si="188"/>
        <v>1153.2321606984633</v>
      </c>
      <c r="F2919" s="23">
        <f>AlphaC*(D2919-E2919)</f>
        <v>18.109660118744841</v>
      </c>
      <c r="G2919" s="13">
        <f>Phi*EpsilonF*Botzman/10^8*J2919*((D2919+273)^4-(E2919+273)^4)</f>
        <v>333.89730344862181</v>
      </c>
      <c r="H2919" s="23">
        <f t="shared" si="189"/>
        <v>650</v>
      </c>
      <c r="I2919" s="12">
        <f>ksh*Massivete/(H2919*RhoA)*DeltaT*(F2919+G2919)</f>
        <v>5.1921113513492059E-2</v>
      </c>
      <c r="J2919" s="3">
        <f>IF(E2919&lt;=500,IF(Galva=Oui,0.35,0.7),0.7)</f>
        <v>0.7</v>
      </c>
    </row>
    <row r="2920" spans="2:10" x14ac:dyDescent="0.25">
      <c r="B2920" s="3">
        <f>B2919+DeltaT</f>
        <v>14515</v>
      </c>
      <c r="C2920" s="13">
        <f t="shared" si="190"/>
        <v>241.91666666666666</v>
      </c>
      <c r="D2920" s="11">
        <f t="shared" si="191"/>
        <v>1154.0081420060153</v>
      </c>
      <c r="E2920" s="23">
        <f t="shared" si="188"/>
        <v>1153.2840818119769</v>
      </c>
      <c r="F2920" s="23">
        <f>AlphaC*(D2920-E2920)</f>
        <v>18.101504850960737</v>
      </c>
      <c r="G2920" s="13">
        <f>Phi*EpsilonF*Botzman/10^8*J2920*((D2920+273)^4-(E2920+273)^4)</f>
        <v>333.78326763010148</v>
      </c>
      <c r="H2920" s="23">
        <f t="shared" si="189"/>
        <v>650</v>
      </c>
      <c r="I2920" s="12">
        <f>ksh*Massivete/(H2920*RhoA)*DeltaT*(F2920+G2920)</f>
        <v>5.19030902982748E-2</v>
      </c>
      <c r="J2920" s="3">
        <f>IF(E2920&lt;=500,IF(Galva=Oui,0.35,0.7),0.7)</f>
        <v>0.7</v>
      </c>
    </row>
    <row r="2921" spans="2:10" x14ac:dyDescent="0.25">
      <c r="B2921" s="3">
        <f>B2920+DeltaT</f>
        <v>14520</v>
      </c>
      <c r="C2921" s="13">
        <f t="shared" si="190"/>
        <v>242</v>
      </c>
      <c r="D2921" s="11">
        <f t="shared" si="191"/>
        <v>1154.0597191480931</v>
      </c>
      <c r="E2921" s="23">
        <f t="shared" si="188"/>
        <v>1153.3359849022752</v>
      </c>
      <c r="F2921" s="23">
        <f>AlphaC*(D2921-E2921)</f>
        <v>18.09335614544807</v>
      </c>
      <c r="G2921" s="13">
        <f>Phi*EpsilonF*Botzman/10^8*J2921*((D2921+273)^4-(E2921+273)^4)</f>
        <v>333.66931017836208</v>
      </c>
      <c r="H2921" s="23">
        <f t="shared" si="189"/>
        <v>650</v>
      </c>
      <c r="I2921" s="12">
        <f>ksh*Massivete/(H2921*RhoA)*DeltaT*(F2921+G2921)</f>
        <v>5.1885079610113606E-2</v>
      </c>
      <c r="J2921" s="3">
        <f>IF(E2921&lt;=500,IF(Galva=Oui,0.35,0.7),0.7)</f>
        <v>0.7</v>
      </c>
    </row>
    <row r="2922" spans="2:10" x14ac:dyDescent="0.25">
      <c r="B2922" s="3">
        <f>B2921+DeltaT</f>
        <v>14525</v>
      </c>
      <c r="C2922" s="13">
        <f t="shared" si="190"/>
        <v>242.08333333333334</v>
      </c>
      <c r="D2922" s="11">
        <f t="shared" si="191"/>
        <v>1154.1112785416703</v>
      </c>
      <c r="E2922" s="23">
        <f t="shared" si="188"/>
        <v>1153.3878699818854</v>
      </c>
      <c r="F2922" s="23">
        <f>AlphaC*(D2922-E2922)</f>
        <v>18.085213994623928</v>
      </c>
      <c r="G2922" s="13">
        <f>Phi*EpsilonF*Botzman/10^8*J2922*((D2922+273)^4-(E2922+273)^4)</f>
        <v>333.5554310125508</v>
      </c>
      <c r="H2922" s="23">
        <f t="shared" si="189"/>
        <v>650</v>
      </c>
      <c r="I2922" s="12">
        <f>ksh*Massivete/(H2922*RhoA)*DeltaT*(F2922+G2922)</f>
        <v>5.1867081435964184E-2</v>
      </c>
      <c r="J2922" s="3">
        <f>IF(E2922&lt;=500,IF(Galva=Oui,0.35,0.7),0.7)</f>
        <v>0.7</v>
      </c>
    </row>
    <row r="2923" spans="2:10" x14ac:dyDescent="0.25">
      <c r="B2923" s="3">
        <f>B2922+DeltaT</f>
        <v>14530</v>
      </c>
      <c r="C2923" s="13">
        <f t="shared" si="190"/>
        <v>242.16666666666666</v>
      </c>
      <c r="D2923" s="11">
        <f t="shared" si="191"/>
        <v>1154.1628201989574</v>
      </c>
      <c r="E2923" s="23">
        <f t="shared" si="188"/>
        <v>1153.4397370633214</v>
      </c>
      <c r="F2923" s="23">
        <f>AlphaC*(D2923-E2923)</f>
        <v>18.077078390899715</v>
      </c>
      <c r="G2923" s="13">
        <f>Phi*EpsilonF*Botzman/10^8*J2923*((D2923+273)^4-(E2923+273)^4)</f>
        <v>333.44163005146595</v>
      </c>
      <c r="H2923" s="23">
        <f t="shared" si="189"/>
        <v>650</v>
      </c>
      <c r="I2923" s="12">
        <f>ksh*Massivete/(H2923*RhoA)*DeltaT*(F2923+G2923)</f>
        <v>5.1849095762729953E-2</v>
      </c>
      <c r="J2923" s="3">
        <f>IF(E2923&lt;=500,IF(Galva=Oui,0.35,0.7),0.7)</f>
        <v>0.7</v>
      </c>
    </row>
    <row r="2924" spans="2:10" x14ac:dyDescent="0.25">
      <c r="B2924" s="3">
        <f>B2923+DeltaT</f>
        <v>14535</v>
      </c>
      <c r="C2924" s="13">
        <f t="shared" si="190"/>
        <v>242.25</v>
      </c>
      <c r="D2924" s="11">
        <f t="shared" si="191"/>
        <v>1154.2143441321532</v>
      </c>
      <c r="E2924" s="23">
        <f t="shared" si="188"/>
        <v>1153.4915861590841</v>
      </c>
      <c r="F2924" s="23">
        <f>AlphaC*(D2924-E2924)</f>
        <v>18.068949326726624</v>
      </c>
      <c r="G2924" s="13">
        <f>Phi*EpsilonF*Botzman/10^8*J2924*((D2924+273)^4-(E2924+273)^4)</f>
        <v>333.32790721471969</v>
      </c>
      <c r="H2924" s="23">
        <f t="shared" si="189"/>
        <v>650</v>
      </c>
      <c r="I2924" s="12">
        <f>ksh*Massivete/(H2924*RhoA)*DeltaT*(F2924+G2924)</f>
        <v>5.1831122577440235E-2</v>
      </c>
      <c r="J2924" s="3">
        <f>IF(E2924&lt;=500,IF(Galva=Oui,0.35,0.7),0.7)</f>
        <v>0.7</v>
      </c>
    </row>
    <row r="2925" spans="2:10" x14ac:dyDescent="0.25">
      <c r="B2925" s="3">
        <f>B2924+DeltaT</f>
        <v>14540</v>
      </c>
      <c r="C2925" s="13">
        <f t="shared" si="190"/>
        <v>242.33333333333334</v>
      </c>
      <c r="D2925" s="11">
        <f t="shared" si="191"/>
        <v>1154.2658503534431</v>
      </c>
      <c r="E2925" s="23">
        <f t="shared" si="188"/>
        <v>1153.5434172816615</v>
      </c>
      <c r="F2925" s="23">
        <f>AlphaC*(D2925-E2925)</f>
        <v>18.060826794538798</v>
      </c>
      <c r="G2925" s="13">
        <f>Phi*EpsilonF*Botzman/10^8*J2925*((D2925+273)^4-(E2925+273)^4)</f>
        <v>333.2142624213235</v>
      </c>
      <c r="H2925" s="23">
        <f t="shared" si="189"/>
        <v>650</v>
      </c>
      <c r="I2925" s="12">
        <f>ksh*Massivete/(H2925*RhoA)*DeltaT*(F2925+G2925)</f>
        <v>5.1813161867033233E-2</v>
      </c>
      <c r="J2925" s="3">
        <f>IF(E2925&lt;=500,IF(Galva=Oui,0.35,0.7),0.7)</f>
        <v>0.7</v>
      </c>
    </row>
    <row r="2926" spans="2:10" x14ac:dyDescent="0.25">
      <c r="B2926" s="3">
        <f>B2925+DeltaT</f>
        <v>14545</v>
      </c>
      <c r="C2926" s="13">
        <f t="shared" si="190"/>
        <v>242.41666666666666</v>
      </c>
      <c r="D2926" s="11">
        <f t="shared" si="191"/>
        <v>1154.3173388750001</v>
      </c>
      <c r="E2926" s="23">
        <f t="shared" si="188"/>
        <v>1153.5952304435286</v>
      </c>
      <c r="F2926" s="23">
        <f>AlphaC*(D2926-E2926)</f>
        <v>18.052710786787429</v>
      </c>
      <c r="G2926" s="13">
        <f>Phi*EpsilonF*Botzman/10^8*J2926*((D2926+273)^4-(E2926+273)^4)</f>
        <v>333.10069559063777</v>
      </c>
      <c r="H2926" s="23">
        <f t="shared" si="189"/>
        <v>650</v>
      </c>
      <c r="I2926" s="12">
        <f>ksh*Massivete/(H2926*RhoA)*DeltaT*(F2926+G2926)</f>
        <v>5.1795213618501132E-2</v>
      </c>
      <c r="J2926" s="3">
        <f>IF(E2926&lt;=500,IF(Galva=Oui,0.35,0.7),0.7)</f>
        <v>0.7</v>
      </c>
    </row>
    <row r="2927" spans="2:10" x14ac:dyDescent="0.25">
      <c r="B2927" s="3">
        <f>B2926+DeltaT</f>
        <v>14550</v>
      </c>
      <c r="C2927" s="13">
        <f t="shared" si="190"/>
        <v>242.5</v>
      </c>
      <c r="D2927" s="11">
        <f t="shared" si="191"/>
        <v>1154.3688097089851</v>
      </c>
      <c r="E2927" s="23">
        <f t="shared" si="188"/>
        <v>1153.6470256571472</v>
      </c>
      <c r="F2927" s="23">
        <f>AlphaC*(D2927-E2927)</f>
        <v>18.04460129594645</v>
      </c>
      <c r="G2927" s="13">
        <f>Phi*EpsilonF*Botzman/10^8*J2927*((D2927+273)^4-(E2927+273)^4)</f>
        <v>332.98720664231342</v>
      </c>
      <c r="H2927" s="23">
        <f t="shared" si="189"/>
        <v>650</v>
      </c>
      <c r="I2927" s="12">
        <f>ksh*Massivete/(H2927*RhoA)*DeltaT*(F2927+G2927)</f>
        <v>5.1777277818882333E-2</v>
      </c>
      <c r="J2927" s="3">
        <f>IF(E2927&lt;=500,IF(Galva=Oui,0.35,0.7),0.7)</f>
        <v>0.7</v>
      </c>
    </row>
    <row r="2928" spans="2:10" x14ac:dyDescent="0.25">
      <c r="B2928" s="3">
        <f>B2927+DeltaT</f>
        <v>14555</v>
      </c>
      <c r="C2928" s="13">
        <f t="shared" si="190"/>
        <v>242.58333333333334</v>
      </c>
      <c r="D2928" s="11">
        <f t="shared" si="191"/>
        <v>1154.4202628675459</v>
      </c>
      <c r="E2928" s="23">
        <f t="shared" si="188"/>
        <v>1153.6988029349661</v>
      </c>
      <c r="F2928" s="23">
        <f>AlphaC*(D2928-E2928)</f>
        <v>18.036498314495475</v>
      </c>
      <c r="G2928" s="13">
        <f>Phi*EpsilonF*Botzman/10^8*J2928*((D2928+273)^4-(E2928+273)^4)</f>
        <v>332.87379549604026</v>
      </c>
      <c r="H2928" s="23">
        <f t="shared" si="189"/>
        <v>650</v>
      </c>
      <c r="I2928" s="12">
        <f>ksh*Massivete/(H2928*RhoA)*DeltaT*(F2928+G2928)</f>
        <v>5.1759354455221798E-2</v>
      </c>
      <c r="J2928" s="3">
        <f>IF(E2928&lt;=500,IF(Galva=Oui,0.35,0.7),0.7)</f>
        <v>0.7</v>
      </c>
    </row>
    <row r="2929" spans="2:10" x14ac:dyDescent="0.25">
      <c r="B2929" s="3">
        <f>B2928+DeltaT</f>
        <v>14560</v>
      </c>
      <c r="C2929" s="13">
        <f t="shared" si="190"/>
        <v>242.66666666666666</v>
      </c>
      <c r="D2929" s="11">
        <f t="shared" si="191"/>
        <v>1154.4716983628182</v>
      </c>
      <c r="E2929" s="23">
        <f t="shared" si="188"/>
        <v>1153.7505622894214</v>
      </c>
      <c r="F2929" s="23">
        <f>AlphaC*(D2929-E2929)</f>
        <v>18.028401834919805</v>
      </c>
      <c r="G2929" s="13">
        <f>Phi*EpsilonF*Botzman/10^8*J2929*((D2929+273)^4-(E2929+273)^4)</f>
        <v>332.76046207139177</v>
      </c>
      <c r="H2929" s="23">
        <f t="shared" si="189"/>
        <v>650</v>
      </c>
      <c r="I2929" s="12">
        <f>ksh*Massivete/(H2929*RhoA)*DeltaT*(F2929+G2929)</f>
        <v>5.174144351454818E-2</v>
      </c>
      <c r="J2929" s="3">
        <f>IF(E2929&lt;=500,IF(Galva=Oui,0.35,0.7),0.7)</f>
        <v>0.7</v>
      </c>
    </row>
    <row r="2930" spans="2:10" x14ac:dyDescent="0.25">
      <c r="B2930" s="3">
        <f>B2929+DeltaT</f>
        <v>14565</v>
      </c>
      <c r="C2930" s="13">
        <f t="shared" si="190"/>
        <v>242.75</v>
      </c>
      <c r="D2930" s="11">
        <f t="shared" si="191"/>
        <v>1154.5231162069249</v>
      </c>
      <c r="E2930" s="23">
        <f t="shared" si="188"/>
        <v>1153.802303732936</v>
      </c>
      <c r="F2930" s="23">
        <f>AlphaC*(D2930-E2930)</f>
        <v>18.020311849721793</v>
      </c>
      <c r="G2930" s="13">
        <f>Phi*EpsilonF*Botzman/10^8*J2930*((D2930+273)^4-(E2930+273)^4)</f>
        <v>332.64720628827092</v>
      </c>
      <c r="H2930" s="23">
        <f t="shared" si="189"/>
        <v>650</v>
      </c>
      <c r="I2930" s="12">
        <f>ksh*Massivete/(H2930*RhoA)*DeltaT*(F2930+G2930)</f>
        <v>5.1723544983941244E-2</v>
      </c>
      <c r="J2930" s="3">
        <f>IF(E2930&lt;=500,IF(Galva=Oui,0.35,0.7),0.7)</f>
        <v>0.7</v>
      </c>
    </row>
    <row r="2931" spans="2:10" x14ac:dyDescent="0.25">
      <c r="B2931" s="3">
        <f>B2930+DeltaT</f>
        <v>14570</v>
      </c>
      <c r="C2931" s="13">
        <f t="shared" si="190"/>
        <v>242.83333333333334</v>
      </c>
      <c r="D2931" s="11">
        <f t="shared" si="191"/>
        <v>1154.5745164119767</v>
      </c>
      <c r="E2931" s="23">
        <f t="shared" si="188"/>
        <v>1153.8540272779201</v>
      </c>
      <c r="F2931" s="23">
        <f>AlphaC*(D2931-E2931)</f>
        <v>18.01222835141516</v>
      </c>
      <c r="G2931" s="13">
        <f>Phi*EpsilonF*Botzman/10^8*J2931*((D2931+273)^4-(E2931+273)^4)</f>
        <v>332.53402806669686</v>
      </c>
      <c r="H2931" s="23">
        <f t="shared" si="189"/>
        <v>650</v>
      </c>
      <c r="I2931" s="12">
        <f>ksh*Massivete/(H2931*RhoA)*DeltaT*(F2931+G2931)</f>
        <v>5.1705658850499568E-2</v>
      </c>
      <c r="J2931" s="3">
        <f>IF(E2931&lt;=500,IF(Galva=Oui,0.35,0.7),0.7)</f>
        <v>0.7</v>
      </c>
    </row>
    <row r="2932" spans="2:10" x14ac:dyDescent="0.25">
      <c r="B2932" s="3">
        <f>B2931+DeltaT</f>
        <v>14575</v>
      </c>
      <c r="C2932" s="13">
        <f t="shared" si="190"/>
        <v>242.91666666666666</v>
      </c>
      <c r="D2932" s="11">
        <f t="shared" si="191"/>
        <v>1154.6258989900716</v>
      </c>
      <c r="E2932" s="23">
        <f t="shared" ref="E2932:E2969" si="192">E2931+I2931</f>
        <v>1153.9057329367706</v>
      </c>
      <c r="F2932" s="23">
        <f>AlphaC*(D2932-E2932)</f>
        <v>18.004151332524998</v>
      </c>
      <c r="G2932" s="13">
        <f>Phi*EpsilonF*Botzman/10^8*J2932*((D2932+273)^4-(E2932+273)^4)</f>
        <v>332.42092732672762</v>
      </c>
      <c r="H2932" s="23">
        <f t="shared" ref="H2932:H2969" si="193">IF(E2932&lt;600,425+0.773*E2932-1.69/1000*E2932^2+2.22/1000^2*E2932^3,IF(E2932&lt;735,666+13002/(738-E2932),IF(E2932&lt;900,545+17820/(E2932-731),650)))</f>
        <v>650</v>
      </c>
      <c r="I2932" s="12">
        <f>ksh*Massivete/(H2932*RhoA)*DeltaT*(F2932+G2932)</f>
        <v>5.1687785101329133E-2</v>
      </c>
      <c r="J2932" s="3">
        <f>IF(E2932&lt;=500,IF(Galva=Oui,0.35,0.7),0.7)</f>
        <v>0.7</v>
      </c>
    </row>
    <row r="2933" spans="2:10" x14ac:dyDescent="0.25">
      <c r="B2933" s="3">
        <f>B2932+DeltaT</f>
        <v>14580</v>
      </c>
      <c r="C2933" s="13">
        <f t="shared" si="190"/>
        <v>243</v>
      </c>
      <c r="D2933" s="11">
        <f t="shared" si="191"/>
        <v>1154.6772639532956</v>
      </c>
      <c r="E2933" s="23">
        <f t="shared" si="192"/>
        <v>1153.957420721872</v>
      </c>
      <c r="F2933" s="23">
        <f>AlphaC*(D2933-E2933)</f>
        <v>17.996080785587765</v>
      </c>
      <c r="G2933" s="13">
        <f>Phi*EpsilonF*Botzman/10^8*J2933*((D2933+273)^4-(E2933+273)^4)</f>
        <v>332.30790398863439</v>
      </c>
      <c r="H2933" s="23">
        <f t="shared" si="193"/>
        <v>650</v>
      </c>
      <c r="I2933" s="12">
        <f>ksh*Massivete/(H2933*RhoA)*DeltaT*(F2933+G2933)</f>
        <v>5.1669923723569045E-2</v>
      </c>
      <c r="J2933" s="3">
        <f>IF(E2933&lt;=500,IF(Galva=Oui,0.35,0.7),0.7)</f>
        <v>0.7</v>
      </c>
    </row>
    <row r="2934" spans="2:10" x14ac:dyDescent="0.25">
      <c r="B2934" s="3">
        <f>B2933+DeltaT</f>
        <v>14585</v>
      </c>
      <c r="C2934" s="13">
        <f t="shared" si="190"/>
        <v>243.08333333333334</v>
      </c>
      <c r="D2934" s="11">
        <f t="shared" si="191"/>
        <v>1154.7286113137216</v>
      </c>
      <c r="E2934" s="23">
        <f t="shared" si="192"/>
        <v>1154.0090906455955</v>
      </c>
      <c r="F2934" s="23">
        <f>AlphaC*(D2934-E2934)</f>
        <v>17.988016703151288</v>
      </c>
      <c r="G2934" s="13">
        <f>Phi*EpsilonF*Botzman/10^8*J2934*((D2934+273)^4-(E2934+273)^4)</f>
        <v>332.19495797263016</v>
      </c>
      <c r="H2934" s="23">
        <f t="shared" si="193"/>
        <v>650</v>
      </c>
      <c r="I2934" s="12">
        <f>ksh*Massivete/(H2934*RhoA)*DeltaT*(F2934+G2934)</f>
        <v>5.1652074704351514E-2</v>
      </c>
      <c r="J2934" s="3">
        <f>IF(E2934&lt;=500,IF(Galva=Oui,0.35,0.7),0.7)</f>
        <v>0.7</v>
      </c>
    </row>
    <row r="2935" spans="2:10" x14ac:dyDescent="0.25">
      <c r="B2935" s="3">
        <f>B2934+DeltaT</f>
        <v>14590</v>
      </c>
      <c r="C2935" s="13">
        <f t="shared" si="190"/>
        <v>243.16666666666666</v>
      </c>
      <c r="D2935" s="11">
        <f t="shared" si="191"/>
        <v>1154.7799410834104</v>
      </c>
      <c r="E2935" s="23">
        <f t="shared" si="192"/>
        <v>1154.0607427202999</v>
      </c>
      <c r="F2935" s="23">
        <f>AlphaC*(D2935-E2935)</f>
        <v>17.979959077763397</v>
      </c>
      <c r="G2935" s="13">
        <f>Phi*EpsilonF*Botzman/10^8*J2935*((D2935+273)^4-(E2935+273)^4)</f>
        <v>332.08208919904422</v>
      </c>
      <c r="H2935" s="23">
        <f t="shared" si="193"/>
        <v>650</v>
      </c>
      <c r="I2935" s="12">
        <f>ksh*Massivete/(H2935*RhoA)*DeltaT*(F2935+G2935)</f>
        <v>5.1634238030825889E-2</v>
      </c>
      <c r="J2935" s="3">
        <f>IF(E2935&lt;=500,IF(Galva=Oui,0.35,0.7),0.7)</f>
        <v>0.7</v>
      </c>
    </row>
    <row r="2936" spans="2:10" x14ac:dyDescent="0.25">
      <c r="B2936" s="3">
        <f>B2935+DeltaT</f>
        <v>14595</v>
      </c>
      <c r="C2936" s="13">
        <f t="shared" si="190"/>
        <v>243.25</v>
      </c>
      <c r="D2936" s="11">
        <f t="shared" si="191"/>
        <v>1154.8312532744108</v>
      </c>
      <c r="E2936" s="23">
        <f t="shared" si="192"/>
        <v>1154.1123769583307</v>
      </c>
      <c r="F2936" s="23">
        <f>AlphaC*(D2936-E2936)</f>
        <v>17.971907902000339</v>
      </c>
      <c r="G2936" s="13">
        <f>Phi*EpsilonF*Botzman/10^8*J2936*((D2936+273)^4-(E2936+273)^4)</f>
        <v>331.9692975884966</v>
      </c>
      <c r="H2936" s="23">
        <f t="shared" si="193"/>
        <v>650</v>
      </c>
      <c r="I2936" s="12">
        <f>ksh*Massivete/(H2936*RhoA)*DeltaT*(F2936+G2936)</f>
        <v>5.1616413690188601E-2</v>
      </c>
      <c r="J2936" s="3">
        <f>IF(E2936&lt;=500,IF(Galva=Oui,0.35,0.7),0.7)</f>
        <v>0.7</v>
      </c>
    </row>
    <row r="2937" spans="2:10" x14ac:dyDescent="0.25">
      <c r="B2937" s="3">
        <f>B2936+DeltaT</f>
        <v>14600</v>
      </c>
      <c r="C2937" s="13">
        <f t="shared" si="190"/>
        <v>243.33333333333334</v>
      </c>
      <c r="D2937" s="11">
        <f t="shared" si="191"/>
        <v>1154.8825478987587</v>
      </c>
      <c r="E2937" s="23">
        <f t="shared" si="192"/>
        <v>1154.163993372021</v>
      </c>
      <c r="F2937" s="23">
        <f>AlphaC*(D2937-E2937)</f>
        <v>17.96386316844405</v>
      </c>
      <c r="G2937" s="13">
        <f>Phi*EpsilonF*Botzman/10^8*J2937*((D2937+273)^4-(E2937+273)^4)</f>
        <v>331.8565830616073</v>
      </c>
      <c r="H2937" s="23">
        <f t="shared" si="193"/>
        <v>650</v>
      </c>
      <c r="I2937" s="12">
        <f>ksh*Massivete/(H2937*RhoA)*DeltaT*(F2937+G2937)</f>
        <v>5.1598601669636902E-2</v>
      </c>
      <c r="J2937" s="3">
        <f>IF(E2937&lt;=500,IF(Galva=Oui,0.35,0.7),0.7)</f>
        <v>0.7</v>
      </c>
    </row>
    <row r="2938" spans="2:10" x14ac:dyDescent="0.25">
      <c r="B2938" s="3">
        <f>B2937+DeltaT</f>
        <v>14605</v>
      </c>
      <c r="C2938" s="13">
        <f t="shared" si="190"/>
        <v>243.41666666666666</v>
      </c>
      <c r="D2938" s="11">
        <f t="shared" si="191"/>
        <v>1154.9338249684777</v>
      </c>
      <c r="E2938" s="23">
        <f t="shared" si="192"/>
        <v>1154.2155919736906</v>
      </c>
      <c r="F2938" s="23">
        <f>AlphaC*(D2938-E2938)</f>
        <v>17.955824869676462</v>
      </c>
      <c r="G2938" s="13">
        <f>Phi*EpsilonF*Botzman/10^8*J2938*((D2938+273)^4-(E2938+273)^4)</f>
        <v>331.74394553907382</v>
      </c>
      <c r="H2938" s="23">
        <f t="shared" si="193"/>
        <v>650</v>
      </c>
      <c r="I2938" s="12">
        <f>ksh*Massivete/(H2938*RhoA)*DeltaT*(F2938+G2938)</f>
        <v>5.1580801956379506E-2</v>
      </c>
      <c r="J2938" s="3">
        <f>IF(E2938&lt;=500,IF(Galva=Oui,0.35,0.7),0.7)</f>
        <v>0.7</v>
      </c>
    </row>
    <row r="2939" spans="2:10" x14ac:dyDescent="0.25">
      <c r="B2939" s="3">
        <f>B2938+DeltaT</f>
        <v>14610</v>
      </c>
      <c r="C2939" s="13">
        <f t="shared" si="190"/>
        <v>243.5</v>
      </c>
      <c r="D2939" s="11">
        <f t="shared" si="191"/>
        <v>1154.9850844955793</v>
      </c>
      <c r="E2939" s="23">
        <f t="shared" si="192"/>
        <v>1154.2671727756469</v>
      </c>
      <c r="F2939" s="23">
        <f>AlphaC*(D2939-E2939)</f>
        <v>17.947792998307932</v>
      </c>
      <c r="G2939" s="13">
        <f>Phi*EpsilonF*Botzman/10^8*J2939*((D2939+273)^4-(E2939+273)^4)</f>
        <v>331.63138494170994</v>
      </c>
      <c r="H2939" s="23">
        <f t="shared" si="193"/>
        <v>650</v>
      </c>
      <c r="I2939" s="12">
        <f>ksh*Massivete/(H2939*RhoA)*DeltaT*(F2939+G2939)</f>
        <v>5.1563014537646439E-2</v>
      </c>
      <c r="J2939" s="3">
        <f>IF(E2939&lt;=500,IF(Galva=Oui,0.35,0.7),0.7)</f>
        <v>0.7</v>
      </c>
    </row>
    <row r="2940" spans="2:10" x14ac:dyDescent="0.25">
      <c r="B2940" s="3">
        <f>B2939+DeltaT</f>
        <v>14615</v>
      </c>
      <c r="C2940" s="13">
        <f t="shared" si="190"/>
        <v>243.58333333333334</v>
      </c>
      <c r="D2940" s="11">
        <f t="shared" si="191"/>
        <v>1155.0363264920625</v>
      </c>
      <c r="E2940" s="23">
        <f t="shared" si="192"/>
        <v>1154.3187357901845</v>
      </c>
      <c r="F2940" s="23">
        <f>AlphaC*(D2940-E2940)</f>
        <v>17.939767546948815</v>
      </c>
      <c r="G2940" s="13">
        <f>Phi*EpsilonF*Botzman/10^8*J2940*((D2940+273)^4-(E2940+273)^4)</f>
        <v>331.51890119060084</v>
      </c>
      <c r="H2940" s="23">
        <f t="shared" si="193"/>
        <v>650</v>
      </c>
      <c r="I2940" s="12">
        <f>ksh*Massivete/(H2940*RhoA)*DeltaT*(F2940+G2940)</f>
        <v>5.1545239400707779E-2</v>
      </c>
      <c r="J2940" s="3">
        <f>IF(E2940&lt;=500,IF(Galva=Oui,0.35,0.7),0.7)</f>
        <v>0.7</v>
      </c>
    </row>
    <row r="2941" spans="2:10" x14ac:dyDescent="0.25">
      <c r="B2941" s="3">
        <f>B2940+DeltaT</f>
        <v>14620</v>
      </c>
      <c r="C2941" s="13">
        <f t="shared" si="190"/>
        <v>243.66666666666666</v>
      </c>
      <c r="D2941" s="11">
        <f t="shared" si="191"/>
        <v>1155.0875509699142</v>
      </c>
      <c r="E2941" s="23">
        <f t="shared" si="192"/>
        <v>1154.3702810295852</v>
      </c>
      <c r="F2941" s="23">
        <f>AlphaC*(D2941-E2941)</f>
        <v>17.931748508226519</v>
      </c>
      <c r="G2941" s="13">
        <f>Phi*EpsilonF*Botzman/10^8*J2941*((D2941+273)^4-(E2941+273)^4)</f>
        <v>331.40649420667648</v>
      </c>
      <c r="H2941" s="23">
        <f t="shared" si="193"/>
        <v>650</v>
      </c>
      <c r="I2941" s="12">
        <f>ksh*Massivete/(H2941*RhoA)*DeltaT*(F2941+G2941)</f>
        <v>5.1527476532813213E-2</v>
      </c>
      <c r="J2941" s="3">
        <f>IF(E2941&lt;=500,IF(Galva=Oui,0.35,0.7),0.7)</f>
        <v>0.7</v>
      </c>
    </row>
    <row r="2942" spans="2:10" x14ac:dyDescent="0.25">
      <c r="B2942" s="3">
        <f>B2941+DeltaT</f>
        <v>14625</v>
      </c>
      <c r="C2942" s="13">
        <f t="shared" si="190"/>
        <v>243.75</v>
      </c>
      <c r="D2942" s="11">
        <f t="shared" si="191"/>
        <v>1155.1387579411087</v>
      </c>
      <c r="E2942" s="23">
        <f t="shared" si="192"/>
        <v>1154.4218085061179</v>
      </c>
      <c r="F2942" s="23">
        <f>AlphaC*(D2942-E2942)</f>
        <v>17.923735874768454</v>
      </c>
      <c r="G2942" s="13">
        <f>Phi*EpsilonF*Botzman/10^8*J2942*((D2942+273)^4-(E2942+273)^4)</f>
        <v>331.29416391111903</v>
      </c>
      <c r="H2942" s="23">
        <f t="shared" si="193"/>
        <v>650</v>
      </c>
      <c r="I2942" s="12">
        <f>ksh*Massivete/(H2942*RhoA)*DeltaT*(F2942+G2942)</f>
        <v>5.1509725921249624E-2</v>
      </c>
      <c r="J2942" s="3">
        <f>IF(E2942&lt;=500,IF(Galva=Oui,0.35,0.7),0.7)</f>
        <v>0.7</v>
      </c>
    </row>
    <row r="2943" spans="2:10" x14ac:dyDescent="0.25">
      <c r="B2943" s="3">
        <f>B2942+DeltaT</f>
        <v>14630</v>
      </c>
      <c r="C2943" s="13">
        <f t="shared" si="190"/>
        <v>243.83333333333334</v>
      </c>
      <c r="D2943" s="11">
        <f t="shared" si="191"/>
        <v>1155.189947417608</v>
      </c>
      <c r="E2943" s="23">
        <f t="shared" si="192"/>
        <v>1154.4733182320392</v>
      </c>
      <c r="F2943" s="23">
        <f>AlphaC*(D2943-E2943)</f>
        <v>17.91572963921908</v>
      </c>
      <c r="G2943" s="13">
        <f>Phi*EpsilonF*Botzman/10^8*J2943*((D2943+273)^4-(E2943+273)^4)</f>
        <v>331.18191022509103</v>
      </c>
      <c r="H2943" s="23">
        <f t="shared" si="193"/>
        <v>650</v>
      </c>
      <c r="I2943" s="12">
        <f>ksh*Massivete/(H2943*RhoA)*DeltaT*(F2943+G2943)</f>
        <v>5.1491987553303538E-2</v>
      </c>
      <c r="J2943" s="3">
        <f>IF(E2943&lt;=500,IF(Galva=Oui,0.35,0.7),0.7)</f>
        <v>0.7</v>
      </c>
    </row>
    <row r="2944" spans="2:10" x14ac:dyDescent="0.25">
      <c r="B2944" s="3">
        <f>B2943+DeltaT</f>
        <v>14635</v>
      </c>
      <c r="C2944" s="13">
        <f t="shared" si="190"/>
        <v>243.91666666666666</v>
      </c>
      <c r="D2944" s="11">
        <f t="shared" si="191"/>
        <v>1155.2411194113627</v>
      </c>
      <c r="E2944" s="23">
        <f t="shared" si="192"/>
        <v>1154.5248102195926</v>
      </c>
      <c r="F2944" s="23">
        <f>AlphaC*(D2944-E2944)</f>
        <v>17.907729794251281</v>
      </c>
      <c r="G2944" s="13">
        <f>Phi*EpsilonF*Botzman/10^8*J2944*((D2944+273)^4-(E2944+273)^4)</f>
        <v>331.06973307029779</v>
      </c>
      <c r="H2944" s="23">
        <f t="shared" si="193"/>
        <v>650</v>
      </c>
      <c r="I2944" s="12">
        <f>ksh*Massivete/(H2944*RhoA)*DeltaT*(F2944+G2944)</f>
        <v>5.1474261416345715E-2</v>
      </c>
      <c r="J2944" s="3">
        <f>IF(E2944&lt;=500,IF(Galva=Oui,0.35,0.7),0.7)</f>
        <v>0.7</v>
      </c>
    </row>
    <row r="2945" spans="2:10" x14ac:dyDescent="0.25">
      <c r="B2945" s="3">
        <f>B2944+DeltaT</f>
        <v>14640</v>
      </c>
      <c r="C2945" s="13">
        <f t="shared" si="190"/>
        <v>244</v>
      </c>
      <c r="D2945" s="11">
        <f t="shared" si="191"/>
        <v>1155.2922739343096</v>
      </c>
      <c r="E2945" s="23">
        <f t="shared" si="192"/>
        <v>1154.576284481009</v>
      </c>
      <c r="F2945" s="23">
        <f>AlphaC*(D2945-E2945)</f>
        <v>17.899736332515204</v>
      </c>
      <c r="G2945" s="13">
        <f>Phi*EpsilonF*Botzman/10^8*J2945*((D2945+273)^4-(E2945+273)^4)</f>
        <v>330.95763236782443</v>
      </c>
      <c r="H2945" s="23">
        <f t="shared" si="193"/>
        <v>650</v>
      </c>
      <c r="I2945" s="12">
        <f>ksh*Massivete/(H2945*RhoA)*DeltaT*(F2945+G2945)</f>
        <v>5.1456547497652078E-2</v>
      </c>
      <c r="J2945" s="3">
        <f>IF(E2945&lt;=500,IF(Galva=Oui,0.35,0.7),0.7)</f>
        <v>0.7</v>
      </c>
    </row>
    <row r="2946" spans="2:10" x14ac:dyDescent="0.25">
      <c r="B2946" s="3">
        <f>B2945+DeltaT</f>
        <v>14645</v>
      </c>
      <c r="C2946" s="13">
        <f t="shared" si="190"/>
        <v>244.08333333333334</v>
      </c>
      <c r="D2946" s="11">
        <f t="shared" si="191"/>
        <v>1155.3434109983748</v>
      </c>
      <c r="E2946" s="23">
        <f t="shared" si="192"/>
        <v>1154.6277410285068</v>
      </c>
      <c r="F2946" s="23">
        <f>AlphaC*(D2946-E2946)</f>
        <v>17.891749246700783</v>
      </c>
      <c r="G2946" s="13">
        <f>Phi*EpsilonF*Botzman/10^8*J2946*((D2946+273)^4-(E2946+273)^4)</f>
        <v>330.84560803956992</v>
      </c>
      <c r="H2946" s="23">
        <f t="shared" si="193"/>
        <v>650</v>
      </c>
      <c r="I2946" s="12">
        <f>ksh*Massivete/(H2946*RhoA)*DeltaT*(F2946+G2946)</f>
        <v>5.1438845784624473E-2</v>
      </c>
      <c r="J2946" s="3">
        <f>IF(E2946&lt;=500,IF(Galva=Oui,0.35,0.7),0.7)</f>
        <v>0.7</v>
      </c>
    </row>
    <row r="2947" spans="2:10" x14ac:dyDescent="0.25">
      <c r="B2947" s="3">
        <f>B2946+DeltaT</f>
        <v>14650</v>
      </c>
      <c r="C2947" s="13">
        <f t="shared" si="190"/>
        <v>244.16666666666666</v>
      </c>
      <c r="D2947" s="11">
        <f t="shared" si="191"/>
        <v>1155.3945306154712</v>
      </c>
      <c r="E2947" s="23">
        <f t="shared" si="192"/>
        <v>1154.6791798742913</v>
      </c>
      <c r="F2947" s="23">
        <f>AlphaC*(D2947-E2947)</f>
        <v>17.883768529497956</v>
      </c>
      <c r="G2947" s="13">
        <f>Phi*EpsilonF*Botzman/10^8*J2947*((D2947+273)^4-(E2947+273)^4)</f>
        <v>330.7336600071622</v>
      </c>
      <c r="H2947" s="23">
        <f t="shared" si="193"/>
        <v>650</v>
      </c>
      <c r="I2947" s="12">
        <f>ksh*Massivete/(H2947*RhoA)*DeltaT*(F2947+G2947)</f>
        <v>5.1421156264624769E-2</v>
      </c>
      <c r="J2947" s="3">
        <f>IF(E2947&lt;=500,IF(Galva=Oui,0.35,0.7),0.7)</f>
        <v>0.7</v>
      </c>
    </row>
    <row r="2948" spans="2:10" x14ac:dyDescent="0.25">
      <c r="B2948" s="3">
        <f>B2947+DeltaT</f>
        <v>14655</v>
      </c>
      <c r="C2948" s="13">
        <f t="shared" si="190"/>
        <v>244.25</v>
      </c>
      <c r="D2948" s="11">
        <f t="shared" si="191"/>
        <v>1155.4456327975006</v>
      </c>
      <c r="E2948" s="23">
        <f t="shared" si="192"/>
        <v>1154.730601030556</v>
      </c>
      <c r="F2948" s="23">
        <f>AlphaC*(D2948-E2948)</f>
        <v>17.875794173613713</v>
      </c>
      <c r="G2948" s="13">
        <f>Phi*EpsilonF*Botzman/10^8*J2948*((D2948+273)^4-(E2948+273)^4)</f>
        <v>330.62178819259708</v>
      </c>
      <c r="H2948" s="23">
        <f t="shared" si="193"/>
        <v>650</v>
      </c>
      <c r="I2948" s="12">
        <f>ksh*Massivete/(H2948*RhoA)*DeltaT*(F2948+G2948)</f>
        <v>5.1403478925071605E-2</v>
      </c>
      <c r="J2948" s="3">
        <f>IF(E2948&lt;=500,IF(Galva=Oui,0.35,0.7),0.7)</f>
        <v>0.7</v>
      </c>
    </row>
    <row r="2949" spans="2:10" x14ac:dyDescent="0.25">
      <c r="B2949" s="3">
        <f>B2948+DeltaT</f>
        <v>14660</v>
      </c>
      <c r="C2949" s="13">
        <f t="shared" si="190"/>
        <v>244.33333333333334</v>
      </c>
      <c r="D2949" s="11">
        <f t="shared" si="191"/>
        <v>1155.4967175563506</v>
      </c>
      <c r="E2949" s="23">
        <f t="shared" si="192"/>
        <v>1154.7820045094811</v>
      </c>
      <c r="F2949" s="23">
        <f>AlphaC*(D2949-E2949)</f>
        <v>17.867826171737988</v>
      </c>
      <c r="G2949" s="13">
        <f>Phi*EpsilonF*Botzman/10^8*J2949*((D2949+273)^4-(E2949+273)^4)</f>
        <v>330.50999251732799</v>
      </c>
      <c r="H2949" s="23">
        <f t="shared" si="193"/>
        <v>650</v>
      </c>
      <c r="I2949" s="12">
        <f>ksh*Massivete/(H2949*RhoA)*DeltaT*(F2949+G2949)</f>
        <v>5.1385813753301104E-2</v>
      </c>
      <c r="J2949" s="3">
        <f>IF(E2949&lt;=500,IF(Galva=Oui,0.35,0.7),0.7)</f>
        <v>0.7</v>
      </c>
    </row>
    <row r="2950" spans="2:10" x14ac:dyDescent="0.25">
      <c r="B2950" s="3">
        <f>B2949+DeltaT</f>
        <v>14665</v>
      </c>
      <c r="C2950" s="13">
        <f t="shared" si="190"/>
        <v>244.41666666666666</v>
      </c>
      <c r="D2950" s="11">
        <f t="shared" si="191"/>
        <v>1155.5477849038991</v>
      </c>
      <c r="E2950" s="23">
        <f t="shared" si="192"/>
        <v>1154.8333903232344</v>
      </c>
      <c r="F2950" s="23">
        <f>AlphaC*(D2950-E2950)</f>
        <v>17.859864516617563</v>
      </c>
      <c r="G2950" s="13">
        <f>Phi*EpsilonF*Botzman/10^8*J2950*((D2950+273)^4-(E2950+273)^4)</f>
        <v>330.39827290377718</v>
      </c>
      <c r="H2950" s="23">
        <f t="shared" si="193"/>
        <v>650</v>
      </c>
      <c r="I2950" s="12">
        <f>ksh*Massivete/(H2950*RhoA)*DeltaT*(F2950+G2950)</f>
        <v>5.1368160736800686E-2</v>
      </c>
      <c r="J2950" s="3">
        <f>IF(E2950&lt;=500,IF(Galva=Oui,0.35,0.7),0.7)</f>
        <v>0.7</v>
      </c>
    </row>
    <row r="2951" spans="2:10" x14ac:dyDescent="0.25">
      <c r="B2951" s="3">
        <f>B2950+DeltaT</f>
        <v>14670</v>
      </c>
      <c r="C2951" s="13">
        <f t="shared" si="190"/>
        <v>244.5</v>
      </c>
      <c r="D2951" s="11">
        <f t="shared" si="191"/>
        <v>1155.5988348520102</v>
      </c>
      <c r="E2951" s="23">
        <f t="shared" si="192"/>
        <v>1154.8847584839712</v>
      </c>
      <c r="F2951" s="23">
        <f>AlphaC*(D2951-E2951)</f>
        <v>17.851909200976479</v>
      </c>
      <c r="G2951" s="13">
        <f>Phi*EpsilonF*Botzman/10^8*J2951*((D2951+273)^4-(E2951+273)^4)</f>
        <v>330.28662927401825</v>
      </c>
      <c r="H2951" s="23">
        <f t="shared" si="193"/>
        <v>650</v>
      </c>
      <c r="I2951" s="12">
        <f>ksh*Massivete/(H2951*RhoA)*DeltaT*(F2951+G2951)</f>
        <v>5.1350519863002972E-2</v>
      </c>
      <c r="J2951" s="3">
        <f>IF(E2951&lt;=500,IF(Galva=Oui,0.35,0.7),0.7)</f>
        <v>0.7</v>
      </c>
    </row>
    <row r="2952" spans="2:10" x14ac:dyDescent="0.25">
      <c r="B2952" s="3">
        <f>B2951+DeltaT</f>
        <v>14675</v>
      </c>
      <c r="C2952" s="13">
        <f t="shared" si="190"/>
        <v>244.58333333333334</v>
      </c>
      <c r="D2952" s="11">
        <f t="shared" si="191"/>
        <v>1155.6498674125367</v>
      </c>
      <c r="E2952" s="23">
        <f t="shared" si="192"/>
        <v>1154.9361090038342</v>
      </c>
      <c r="F2952" s="23">
        <f>AlphaC*(D2952-E2952)</f>
        <v>17.843960217561516</v>
      </c>
      <c r="G2952" s="13">
        <f>Phi*EpsilonF*Botzman/10^8*J2952*((D2952+273)^4-(E2952+273)^4)</f>
        <v>330.17506155027962</v>
      </c>
      <c r="H2952" s="23">
        <f t="shared" si="193"/>
        <v>650</v>
      </c>
      <c r="I2952" s="12">
        <f>ksh*Massivete/(H2952*RhoA)*DeltaT*(F2952+G2952)</f>
        <v>5.1332891119366786E-2</v>
      </c>
      <c r="J2952" s="3">
        <f>IF(E2952&lt;=500,IF(Galva=Oui,0.35,0.7),0.7)</f>
        <v>0.7</v>
      </c>
    </row>
    <row r="2953" spans="2:10" x14ac:dyDescent="0.25">
      <c r="B2953" s="3">
        <f>B2952+DeltaT</f>
        <v>14680</v>
      </c>
      <c r="C2953" s="13">
        <f t="shared" si="190"/>
        <v>244.66666666666666</v>
      </c>
      <c r="D2953" s="11">
        <f t="shared" si="191"/>
        <v>1155.7008825973182</v>
      </c>
      <c r="E2953" s="23">
        <f t="shared" si="192"/>
        <v>1154.9874418949535</v>
      </c>
      <c r="F2953" s="23">
        <f>AlphaC*(D2953-E2953)</f>
        <v>17.836017559119455</v>
      </c>
      <c r="G2953" s="13">
        <f>Phi*EpsilonF*Botzman/10^8*J2953*((D2953+273)^4-(E2953+273)^4)</f>
        <v>330.06356965469297</v>
      </c>
      <c r="H2953" s="23">
        <f t="shared" si="193"/>
        <v>650</v>
      </c>
      <c r="I2953" s="12">
        <f>ksh*Massivete/(H2953*RhoA)*DeltaT*(F2953+G2953)</f>
        <v>5.1315274493336685E-2</v>
      </c>
      <c r="J2953" s="3">
        <f>IF(E2953&lt;=500,IF(Galva=Oui,0.35,0.7),0.7)</f>
        <v>0.7</v>
      </c>
    </row>
    <row r="2954" spans="2:10" x14ac:dyDescent="0.25">
      <c r="B2954" s="3">
        <f>B2953+DeltaT</f>
        <v>14685</v>
      </c>
      <c r="C2954" s="13">
        <f t="shared" si="190"/>
        <v>244.75</v>
      </c>
      <c r="D2954" s="11">
        <f t="shared" si="191"/>
        <v>1155.7518804181839</v>
      </c>
      <c r="E2954" s="23">
        <f t="shared" si="192"/>
        <v>1155.0387571694469</v>
      </c>
      <c r="F2954" s="23">
        <f>AlphaC*(D2954-E2954)</f>
        <v>17.828081218425496</v>
      </c>
      <c r="G2954" s="13">
        <f>Phi*EpsilonF*Botzman/10^8*J2954*((D2954+273)^4-(E2954+273)^4)</f>
        <v>329.95215351002946</v>
      </c>
      <c r="H2954" s="23">
        <f t="shared" si="193"/>
        <v>650</v>
      </c>
      <c r="I2954" s="12">
        <f>ksh*Massivete/(H2954*RhoA)*DeltaT*(F2954+G2954)</f>
        <v>5.1297669972455731E-2</v>
      </c>
      <c r="J2954" s="3">
        <f>IF(E2954&lt;=500,IF(Galva=Oui,0.35,0.7),0.7)</f>
        <v>0.7</v>
      </c>
    </row>
    <row r="2955" spans="2:10" x14ac:dyDescent="0.25">
      <c r="B2955" s="3">
        <f>B2954+DeltaT</f>
        <v>14690</v>
      </c>
      <c r="C2955" s="13">
        <f t="shared" si="190"/>
        <v>244.83333333333334</v>
      </c>
      <c r="D2955" s="11">
        <f t="shared" si="191"/>
        <v>1155.8028608869495</v>
      </c>
      <c r="E2955" s="23">
        <f t="shared" si="192"/>
        <v>1155.0900548394193</v>
      </c>
      <c r="F2955" s="23">
        <f>AlphaC*(D2955-E2955)</f>
        <v>17.82015118825484</v>
      </c>
      <c r="G2955" s="13">
        <f>Phi*EpsilonF*Botzman/10^8*J2955*((D2955+273)^4-(E2955+273)^4)</f>
        <v>329.84081303865332</v>
      </c>
      <c r="H2955" s="23">
        <f t="shared" si="193"/>
        <v>650</v>
      </c>
      <c r="I2955" s="12">
        <f>ksh*Massivete/(H2955*RhoA)*DeltaT*(F2955+G2955)</f>
        <v>5.1280077544206978E-2</v>
      </c>
      <c r="J2955" s="3">
        <f>IF(E2955&lt;=500,IF(Galva=Oui,0.35,0.7),0.7)</f>
        <v>0.7</v>
      </c>
    </row>
    <row r="2956" spans="2:10" x14ac:dyDescent="0.25">
      <c r="B2956" s="3">
        <f>B2955+DeltaT</f>
        <v>14695</v>
      </c>
      <c r="C2956" s="13">
        <f t="shared" si="190"/>
        <v>244.91666666666666</v>
      </c>
      <c r="D2956" s="11">
        <f t="shared" si="191"/>
        <v>1155.8538240154194</v>
      </c>
      <c r="E2956" s="23">
        <f t="shared" si="192"/>
        <v>1155.1413349169634</v>
      </c>
      <c r="F2956" s="23">
        <f>AlphaC*(D2956-E2956)</f>
        <v>17.812227461399743</v>
      </c>
      <c r="G2956" s="13">
        <f>Phi*EpsilonF*Botzman/10^8*J2956*((D2956+273)^4-(E2956+273)^4)</f>
        <v>329.72954816337443</v>
      </c>
      <c r="H2956" s="23">
        <f t="shared" si="193"/>
        <v>650</v>
      </c>
      <c r="I2956" s="12">
        <f>ksh*Massivete/(H2956*RhoA)*DeltaT*(F2956+G2956)</f>
        <v>5.1262497196141704E-2</v>
      </c>
      <c r="J2956" s="3">
        <f>IF(E2956&lt;=500,IF(Galva=Oui,0.35,0.7),0.7)</f>
        <v>0.7</v>
      </c>
    </row>
    <row r="2957" spans="2:10" x14ac:dyDescent="0.25">
      <c r="B2957" s="3">
        <f>B2956+DeltaT</f>
        <v>14700</v>
      </c>
      <c r="C2957" s="13">
        <f t="shared" si="190"/>
        <v>245</v>
      </c>
      <c r="D2957" s="11">
        <f t="shared" si="191"/>
        <v>1155.9047698153854</v>
      </c>
      <c r="E2957" s="23">
        <f t="shared" si="192"/>
        <v>1155.1925974141595</v>
      </c>
      <c r="F2957" s="23">
        <f>AlphaC*(D2957-E2957)</f>
        <v>17.804310030646775</v>
      </c>
      <c r="G2957" s="13">
        <f>Phi*EpsilonF*Botzman/10^8*J2957*((D2957+273)^4-(E2957+273)^4)</f>
        <v>329.61835880675073</v>
      </c>
      <c r="H2957" s="23">
        <f t="shared" si="193"/>
        <v>650</v>
      </c>
      <c r="I2957" s="12">
        <f>ksh*Massivete/(H2957*RhoA)*DeltaT*(F2957+G2957)</f>
        <v>5.1244928915773216E-2</v>
      </c>
      <c r="J2957" s="3">
        <f>IF(E2957&lt;=500,IF(Galva=Oui,0.35,0.7),0.7)</f>
        <v>0.7</v>
      </c>
    </row>
    <row r="2958" spans="2:10" x14ac:dyDescent="0.25">
      <c r="B2958" s="3">
        <f>B2957+DeltaT</f>
        <v>14705</v>
      </c>
      <c r="C2958" s="13">
        <f t="shared" si="190"/>
        <v>245.08333333333334</v>
      </c>
      <c r="D2958" s="11">
        <f t="shared" si="191"/>
        <v>1155.9556982986278</v>
      </c>
      <c r="E2958" s="23">
        <f t="shared" si="192"/>
        <v>1155.2438423430754</v>
      </c>
      <c r="F2958" s="23">
        <f>AlphaC*(D2958-E2958)</f>
        <v>17.796398888810927</v>
      </c>
      <c r="G2958" s="13">
        <f>Phi*EpsilonF*Botzman/10^8*J2958*((D2958+273)^4-(E2958+273)^4)</f>
        <v>329.50724489172796</v>
      </c>
      <c r="H2958" s="23">
        <f t="shared" si="193"/>
        <v>650</v>
      </c>
      <c r="I2958" s="12">
        <f>ksh*Massivete/(H2958*RhoA)*DeltaT*(F2958+G2958)</f>
        <v>5.1227372690676204E-2</v>
      </c>
      <c r="J2958" s="3">
        <f>IF(E2958&lt;=500,IF(Galva=Oui,0.35,0.7),0.7)</f>
        <v>0.7</v>
      </c>
    </row>
    <row r="2959" spans="2:10" x14ac:dyDescent="0.25">
      <c r="B2959" s="3">
        <f>B2958+DeltaT</f>
        <v>14710</v>
      </c>
      <c r="C2959" s="13">
        <f t="shared" si="190"/>
        <v>245.16666666666666</v>
      </c>
      <c r="D2959" s="11">
        <f t="shared" si="191"/>
        <v>1156.0066094769147</v>
      </c>
      <c r="E2959" s="23">
        <f t="shared" si="192"/>
        <v>1155.295069715766</v>
      </c>
      <c r="F2959" s="23">
        <f>AlphaC*(D2959-E2959)</f>
        <v>17.78849402871856</v>
      </c>
      <c r="G2959" s="13">
        <f>Phi*EpsilonF*Botzman/10^8*J2959*((D2959+273)^4-(E2959+273)^4)</f>
        <v>329.39620634144535</v>
      </c>
      <c r="H2959" s="23">
        <f t="shared" si="193"/>
        <v>650</v>
      </c>
      <c r="I2959" s="12">
        <f>ksh*Massivete/(H2959*RhoA)*DeltaT*(F2959+G2959)</f>
        <v>5.1209828508455554E-2</v>
      </c>
      <c r="J2959" s="3">
        <f>IF(E2959&lt;=500,IF(Galva=Oui,0.35,0.7),0.7)</f>
        <v>0.7</v>
      </c>
    </row>
    <row r="2960" spans="2:10" x14ac:dyDescent="0.25">
      <c r="B2960" s="3">
        <f>B2959+DeltaT</f>
        <v>14715</v>
      </c>
      <c r="C2960" s="13">
        <f t="shared" si="190"/>
        <v>245.25</v>
      </c>
      <c r="D2960" s="11">
        <f t="shared" si="191"/>
        <v>1156.0575033620021</v>
      </c>
      <c r="E2960" s="23">
        <f t="shared" si="192"/>
        <v>1155.3462795442745</v>
      </c>
      <c r="F2960" s="23">
        <f>AlphaC*(D2960-E2960)</f>
        <v>17.78059544319035</v>
      </c>
      <c r="G2960" s="13">
        <f>Phi*EpsilonF*Botzman/10^8*J2960*((D2960+273)^4-(E2960+273)^4)</f>
        <v>329.28524307886795</v>
      </c>
      <c r="H2960" s="23">
        <f t="shared" si="193"/>
        <v>650</v>
      </c>
      <c r="I2960" s="12">
        <f>ksh*Massivete/(H2960*RhoA)*DeltaT*(F2960+G2960)</f>
        <v>5.1192296356689662E-2</v>
      </c>
      <c r="J2960" s="3">
        <f>IF(E2960&lt;=500,IF(Galva=Oui,0.35,0.7),0.7)</f>
        <v>0.7</v>
      </c>
    </row>
    <row r="2961" spans="2:10" x14ac:dyDescent="0.25">
      <c r="B2961" s="3">
        <f>B2960+DeltaT</f>
        <v>14720</v>
      </c>
      <c r="C2961" s="13">
        <f t="shared" si="190"/>
        <v>245.33333333333334</v>
      </c>
      <c r="D2961" s="11">
        <f t="shared" si="191"/>
        <v>1156.1083799656342</v>
      </c>
      <c r="E2961" s="23">
        <f t="shared" si="192"/>
        <v>1155.3974718406312</v>
      </c>
      <c r="F2961" s="23">
        <f>AlphaC*(D2961-E2961)</f>
        <v>17.772703125075395</v>
      </c>
      <c r="G2961" s="13">
        <f>Phi*EpsilonF*Botzman/10^8*J2961*((D2961+273)^4-(E2961+273)^4)</f>
        <v>329.17435502715449</v>
      </c>
      <c r="H2961" s="23">
        <f t="shared" si="193"/>
        <v>650</v>
      </c>
      <c r="I2961" s="12">
        <f>ksh*Massivete/(H2961*RhoA)*DeltaT*(F2961+G2961)</f>
        <v>5.1174776222989653E-2</v>
      </c>
      <c r="J2961" s="3">
        <f>IF(E2961&lt;=500,IF(Galva=Oui,0.35,0.7),0.7)</f>
        <v>0.7</v>
      </c>
    </row>
    <row r="2962" spans="2:10" x14ac:dyDescent="0.25">
      <c r="B2962" s="3">
        <f>B2961+DeltaT</f>
        <v>14725</v>
      </c>
      <c r="C2962" s="13">
        <f t="shared" ref="C2962:C2969" si="194">B2962/60</f>
        <v>245.41666666666666</v>
      </c>
      <c r="D2962" s="11">
        <f t="shared" ref="D2962:D2969" si="195">20+345*LOG(8*C2962+1,10)</f>
        <v>1156.1592392995428</v>
      </c>
      <c r="E2962" s="23">
        <f t="shared" si="192"/>
        <v>1155.4486466168541</v>
      </c>
      <c r="F2962" s="23">
        <f>AlphaC*(D2962-E2962)</f>
        <v>17.764817067217109</v>
      </c>
      <c r="G2962" s="13">
        <f>Phi*EpsilonF*Botzman/10^8*J2962*((D2962+273)^4-(E2962+273)^4)</f>
        <v>329.06354210961877</v>
      </c>
      <c r="H2962" s="23">
        <f t="shared" si="193"/>
        <v>650</v>
      </c>
      <c r="I2962" s="12">
        <f>ksh*Massivete/(H2962*RhoA)*DeltaT*(F2962+G2962)</f>
        <v>5.1157268094988689E-2</v>
      </c>
      <c r="J2962" s="3">
        <f>IF(E2962&lt;=500,IF(Galva=Oui,0.35,0.7),0.7)</f>
        <v>0.7</v>
      </c>
    </row>
    <row r="2963" spans="2:10" x14ac:dyDescent="0.25">
      <c r="B2963" s="3">
        <f>B2962+DeltaT</f>
        <v>14730</v>
      </c>
      <c r="C2963" s="13">
        <f t="shared" si="194"/>
        <v>245.5</v>
      </c>
      <c r="D2963" s="11">
        <f t="shared" si="195"/>
        <v>1156.2100813754487</v>
      </c>
      <c r="E2963" s="23">
        <f t="shared" si="192"/>
        <v>1155.4998038849492</v>
      </c>
      <c r="F2963" s="23">
        <f>AlphaC*(D2963-E2963)</f>
        <v>17.756937262487327</v>
      </c>
      <c r="G2963" s="13">
        <f>Phi*EpsilonF*Botzman/10^8*J2963*((D2963+273)^4-(E2963+273)^4)</f>
        <v>328.95280424972964</v>
      </c>
      <c r="H2963" s="23">
        <f t="shared" si="193"/>
        <v>650</v>
      </c>
      <c r="I2963" s="12">
        <f>ksh*Massivete/(H2963*RhoA)*DeltaT*(F2963+G2963)</f>
        <v>5.1139771960347011E-2</v>
      </c>
      <c r="J2963" s="3">
        <f>IF(E2963&lt;=500,IF(Galva=Oui,0.35,0.7),0.7)</f>
        <v>0.7</v>
      </c>
    </row>
    <row r="2964" spans="2:10" x14ac:dyDescent="0.25">
      <c r="B2964" s="3">
        <f>B2963+DeltaT</f>
        <v>14735</v>
      </c>
      <c r="C2964" s="13">
        <f t="shared" si="194"/>
        <v>245.58333333333334</v>
      </c>
      <c r="D2964" s="11">
        <f t="shared" si="195"/>
        <v>1156.2609062050597</v>
      </c>
      <c r="E2964" s="23">
        <f t="shared" si="192"/>
        <v>1155.5509436569096</v>
      </c>
      <c r="F2964" s="23">
        <f>AlphaC*(D2964-E2964)</f>
        <v>17.749063703752199</v>
      </c>
      <c r="G2964" s="13">
        <f>Phi*EpsilonF*Botzman/10^8*J2964*((D2964+273)^4-(E2964+273)^4)</f>
        <v>328.84214137093659</v>
      </c>
      <c r="H2964" s="23">
        <f t="shared" si="193"/>
        <v>650</v>
      </c>
      <c r="I2964" s="12">
        <f>ksh*Massivete/(H2964*RhoA)*DeltaT*(F2964+G2964)</f>
        <v>5.1122287806721144E-2</v>
      </c>
      <c r="J2964" s="3">
        <f>IF(E2964&lt;=500,IF(Galva=Oui,0.35,0.7),0.7)</f>
        <v>0.7</v>
      </c>
    </row>
    <row r="2965" spans="2:10" x14ac:dyDescent="0.25">
      <c r="B2965" s="3">
        <f>B2964+DeltaT</f>
        <v>14740</v>
      </c>
      <c r="C2965" s="13">
        <f t="shared" si="194"/>
        <v>245.66666666666666</v>
      </c>
      <c r="D2965" s="11">
        <f t="shared" si="195"/>
        <v>1156.3117138000721</v>
      </c>
      <c r="E2965" s="23">
        <f t="shared" si="192"/>
        <v>1155.6020659447163</v>
      </c>
      <c r="F2965" s="23">
        <f>AlphaC*(D2965-E2965)</f>
        <v>17.74119638389493</v>
      </c>
      <c r="G2965" s="13">
        <f>Phi*EpsilonF*Botzman/10^8*J2965*((D2965+273)^4-(E2965+273)^4)</f>
        <v>328.73155339676657</v>
      </c>
      <c r="H2965" s="23">
        <f t="shared" si="193"/>
        <v>650</v>
      </c>
      <c r="I2965" s="12">
        <f>ksh*Massivete/(H2965*RhoA)*DeltaT*(F2965+G2965)</f>
        <v>5.1104815621781575E-2</v>
      </c>
      <c r="J2965" s="3">
        <f>IF(E2965&lt;=500,IF(Galva=Oui,0.35,0.7),0.7)</f>
        <v>0.7</v>
      </c>
    </row>
    <row r="2966" spans="2:10" x14ac:dyDescent="0.25">
      <c r="B2966" s="3">
        <f>B2965+DeltaT</f>
        <v>14745</v>
      </c>
      <c r="C2966" s="13">
        <f t="shared" si="194"/>
        <v>245.75</v>
      </c>
      <c r="D2966" s="11">
        <f t="shared" si="195"/>
        <v>1156.3625041721709</v>
      </c>
      <c r="E2966" s="23">
        <f t="shared" si="192"/>
        <v>1155.6531707603381</v>
      </c>
      <c r="F2966" s="23">
        <f>AlphaC*(D2966-E2966)</f>
        <v>17.733335295821462</v>
      </c>
      <c r="G2966" s="13">
        <f>Phi*EpsilonF*Botzman/10^8*J2966*((D2966+273)^4-(E2966+273)^4)</f>
        <v>328.6210402511536</v>
      </c>
      <c r="H2966" s="23">
        <f t="shared" si="193"/>
        <v>650</v>
      </c>
      <c r="I2966" s="12">
        <f>ksh*Massivete/(H2966*RhoA)*DeltaT*(F2966+G2966)</f>
        <v>5.1087355393262174E-2</v>
      </c>
      <c r="J2966" s="3">
        <f>IF(E2966&lt;=500,IF(Galva=Oui,0.35,0.7),0.7)</f>
        <v>0.7</v>
      </c>
    </row>
    <row r="2967" spans="2:10" x14ac:dyDescent="0.25">
      <c r="B2967" s="3">
        <f>B2966+DeltaT</f>
        <v>14750</v>
      </c>
      <c r="C2967" s="13">
        <f t="shared" si="194"/>
        <v>245.83333333333334</v>
      </c>
      <c r="D2967" s="11">
        <f t="shared" si="195"/>
        <v>1156.4132773330286</v>
      </c>
      <c r="E2967" s="23">
        <f t="shared" si="192"/>
        <v>1155.7042581157314</v>
      </c>
      <c r="F2967" s="23">
        <f>AlphaC*(D2967-E2967)</f>
        <v>17.72548043243205</v>
      </c>
      <c r="G2967" s="13">
        <f>Phi*EpsilonF*Botzman/10^8*J2967*((D2967+273)^4-(E2967+273)^4)</f>
        <v>328.51060185791528</v>
      </c>
      <c r="H2967" s="23">
        <f t="shared" si="193"/>
        <v>650</v>
      </c>
      <c r="I2967" s="12">
        <f>ksh*Massivete/(H2967*RhoA)*DeltaT*(F2967+G2967)</f>
        <v>5.1069907108878806E-2</v>
      </c>
      <c r="J2967" s="3">
        <f>IF(E2967&lt;=500,IF(Galva=Oui,0.35,0.7),0.7)</f>
        <v>0.7</v>
      </c>
    </row>
    <row r="2968" spans="2:10" x14ac:dyDescent="0.25">
      <c r="B2968" s="3">
        <f>B2967+DeltaT</f>
        <v>14755</v>
      </c>
      <c r="C2968" s="13">
        <f t="shared" si="194"/>
        <v>245.91666666666666</v>
      </c>
      <c r="D2968" s="11">
        <f t="shared" si="195"/>
        <v>1156.4640332943054</v>
      </c>
      <c r="E2968" s="23">
        <f t="shared" si="192"/>
        <v>1155.7553280228403</v>
      </c>
      <c r="F2968" s="23">
        <f>AlphaC*(D2968-E2968)</f>
        <v>17.717631786626953</v>
      </c>
      <c r="G2968" s="13">
        <f>Phi*EpsilonF*Botzman/10^8*J2968*((D2968+273)^4-(E2968+273)^4)</f>
        <v>328.40023814055922</v>
      </c>
      <c r="H2968" s="23">
        <f t="shared" si="193"/>
        <v>650</v>
      </c>
      <c r="I2968" s="12">
        <f>ksh*Massivete/(H2968*RhoA)*DeltaT*(F2968+G2968)</f>
        <v>5.1052470756301614E-2</v>
      </c>
      <c r="J2968" s="3">
        <f>IF(E2968&lt;=500,IF(Galva=Oui,0.35,0.7),0.7)</f>
        <v>0.7</v>
      </c>
    </row>
    <row r="2969" spans="2:10" x14ac:dyDescent="0.25">
      <c r="B2969" s="3">
        <f>B2968+DeltaT</f>
        <v>14760</v>
      </c>
      <c r="C2969" s="13">
        <f t="shared" si="194"/>
        <v>246</v>
      </c>
      <c r="D2969" s="11">
        <f t="shared" si="195"/>
        <v>1156.5147720676507</v>
      </c>
      <c r="E2969" s="23">
        <f t="shared" si="192"/>
        <v>1155.8063804935966</v>
      </c>
      <c r="F2969" s="23">
        <f>AlphaC*(D2969-E2969)</f>
        <v>17.709789351351901</v>
      </c>
      <c r="G2969" s="13">
        <f>Phi*EpsilonF*Botzman/10^8*J2969*((D2969+273)^4-(E2969+273)^4)</f>
        <v>328.2899490236008</v>
      </c>
      <c r="H2969" s="23">
        <f t="shared" si="193"/>
        <v>650</v>
      </c>
      <c r="I2969" s="12">
        <f>ksh*Massivete/(H2969*RhoA)*DeltaT*(F2969+G2969)</f>
        <v>5.1035046323356086E-2</v>
      </c>
      <c r="J2969" s="3">
        <f>IF(E2969&lt;=500,IF(Galva=Oui,0.35,0.7),0.7)</f>
        <v>0.7</v>
      </c>
    </row>
  </sheetData>
  <dataValidations count="2">
    <dataValidation type="list" allowBlank="1" showInputMessage="1" showErrorMessage="1" sqref="M5">
      <formula1>ListExpo</formula1>
    </dataValidation>
    <dataValidation type="list" allowBlank="1" showInputMessage="1" showErrorMessage="1" sqref="I11">
      <formula1>ListeOuiNon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E10"/>
  <sheetViews>
    <sheetView workbookViewId="0">
      <selection activeCell="E14" sqref="E14"/>
    </sheetView>
  </sheetViews>
  <sheetFormatPr baseColWidth="10" defaultRowHeight="15" x14ac:dyDescent="0.25"/>
  <sheetData>
    <row r="3" spans="3:5" x14ac:dyDescent="0.25">
      <c r="C3" s="3" t="s">
        <v>54</v>
      </c>
      <c r="D3" s="3" t="s">
        <v>55</v>
      </c>
      <c r="E3" s="3" t="s">
        <v>56</v>
      </c>
    </row>
    <row r="4" spans="3:5" x14ac:dyDescent="0.25">
      <c r="C4" s="3" t="s">
        <v>14</v>
      </c>
      <c r="D4" s="3" t="s">
        <v>13</v>
      </c>
      <c r="E4" s="3" t="s">
        <v>13</v>
      </c>
    </row>
    <row r="5" spans="3:5" x14ac:dyDescent="0.25">
      <c r="C5" s="3">
        <v>30</v>
      </c>
      <c r="D5" s="23">
        <f>VLOOKUP(C5,Calculs!$C$17:$E$2920,2)</f>
        <v>841.79587968832948</v>
      </c>
      <c r="E5" s="23">
        <f>VLOOKUP(C5,Calculs!$C$17:$E$2920,3)</f>
        <v>814.85476471070695</v>
      </c>
    </row>
    <row r="6" spans="3:5" x14ac:dyDescent="0.25">
      <c r="C6" s="3">
        <v>60</v>
      </c>
      <c r="D6" s="23">
        <f>VLOOKUP(C6,Calculs!$C$17:$E$2920,2)</f>
        <v>945.34005134897188</v>
      </c>
      <c r="E6" s="23">
        <f>VLOOKUP(C6,Calculs!$C$17:$E$2920,3)</f>
        <v>940.60603211229261</v>
      </c>
    </row>
    <row r="7" spans="3:5" x14ac:dyDescent="0.25">
      <c r="C7" s="3">
        <v>90</v>
      </c>
      <c r="D7" s="23">
        <f>VLOOKUP(C7,Calculs!$C$17:$E$2920,2)</f>
        <v>1005.987666328203</v>
      </c>
      <c r="E7" s="23">
        <f>VLOOKUP(C7,Calculs!$C$17:$E$2920,3)</f>
        <v>1003.2864599734173</v>
      </c>
    </row>
    <row r="8" spans="3:5" x14ac:dyDescent="0.25">
      <c r="C8" s="3">
        <v>120</v>
      </c>
      <c r="D8" s="23">
        <f>VLOOKUP(C8,Calculs!$C$17:$E$2920,2)</f>
        <v>1049.039568745648</v>
      </c>
      <c r="E8" s="23">
        <f>VLOOKUP(C8,Calculs!$C$17:$E$2920,3)</f>
        <v>1047.2087293255231</v>
      </c>
    </row>
    <row r="9" spans="3:5" x14ac:dyDescent="0.25">
      <c r="C9" s="3">
        <v>180</v>
      </c>
      <c r="D9" s="23">
        <f>VLOOKUP(C9,Calculs!$C$17:$E$2920,2)</f>
        <v>1109.7390733808261</v>
      </c>
      <c r="E9" s="23">
        <f>VLOOKUP(C9,Calculs!$C$17:$E$2920,3)</f>
        <v>1108.6714755317764</v>
      </c>
    </row>
    <row r="10" spans="3:5" x14ac:dyDescent="0.25">
      <c r="C10" s="3">
        <v>240</v>
      </c>
      <c r="D10" s="23">
        <f>VLOOKUP(C10,Calculs!$C$17:$E$2920,2)</f>
        <v>1152.8169408772842</v>
      </c>
      <c r="E10" s="23">
        <f>VLOOKUP(C10,Calculs!$C$17:$E$2920,3)</f>
        <v>1152.0853108063563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24</vt:i4>
      </vt:variant>
    </vt:vector>
  </HeadingPairs>
  <TitlesOfParts>
    <vt:vector size="26" baseType="lpstr">
      <vt:lpstr>Calculs</vt:lpstr>
      <vt:lpstr>Echauffements</vt:lpstr>
      <vt:lpstr>Aa</vt:lpstr>
      <vt:lpstr>AlphaC</vt:lpstr>
      <vt:lpstr>b</vt:lpstr>
      <vt:lpstr>Botzman</vt:lpstr>
      <vt:lpstr>DeltaT</vt:lpstr>
      <vt:lpstr>EpsilonF</vt:lpstr>
      <vt:lpstr>Expo</vt:lpstr>
      <vt:lpstr>Galva</vt:lpstr>
      <vt:lpstr>h</vt:lpstr>
      <vt:lpstr>hw</vt:lpstr>
      <vt:lpstr>ksh</vt:lpstr>
      <vt:lpstr>ListeOuiNon</vt:lpstr>
      <vt:lpstr>ListExpo</vt:lpstr>
      <vt:lpstr>Massivete</vt:lpstr>
      <vt:lpstr>MassiveteBox</vt:lpstr>
      <vt:lpstr>Oui</vt:lpstr>
      <vt:lpstr>p</vt:lpstr>
      <vt:lpstr>pb</vt:lpstr>
      <vt:lpstr>Phi</vt:lpstr>
      <vt:lpstr>RhoA</vt:lpstr>
      <vt:lpstr>rr</vt:lpstr>
      <vt:lpstr>tf</vt:lpstr>
      <vt:lpstr>Theta0</vt:lpstr>
      <vt:lpstr>tw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Olivier MARTIN</dc:creator>
  <cp:lastModifiedBy>Pierre Olivier MARTIN</cp:lastModifiedBy>
  <dcterms:created xsi:type="dcterms:W3CDTF">2024-10-21T13:00:30Z</dcterms:created>
  <dcterms:modified xsi:type="dcterms:W3CDTF">2024-10-21T14:30:19Z</dcterms:modified>
</cp:coreProperties>
</file>