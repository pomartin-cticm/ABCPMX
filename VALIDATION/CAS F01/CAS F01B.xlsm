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kTau">Poutre!$D$15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_xlnm.Print_Area" localSheetId="1">Echauffements!$C$1:$M$11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3" l="1"/>
  <c r="D34" i="3" s="1"/>
  <c r="D23" i="3"/>
  <c r="I7" i="3"/>
  <c r="D29" i="3" l="1"/>
  <c r="E27" i="3"/>
  <c r="D28" i="3"/>
  <c r="I8" i="3"/>
  <c r="I5" i="3"/>
  <c r="I6" i="3" s="1"/>
  <c r="E29" i="3" l="1"/>
  <c r="E28" i="3"/>
  <c r="D37" i="3"/>
  <c r="E34" i="3"/>
  <c r="D7" i="3"/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G17" i="1" s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F74" i="1"/>
  <c r="C133" i="1"/>
  <c r="D133" i="1" s="1"/>
  <c r="B134" i="1"/>
  <c r="I74" i="1" l="1"/>
  <c r="E75" i="1" s="1"/>
  <c r="J75" i="1" s="1"/>
  <c r="G75" i="1" s="1"/>
  <c r="C2930" i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C134" i="1"/>
  <c r="D134" i="1" s="1"/>
  <c r="B135" i="1"/>
  <c r="H75" i="1" l="1"/>
  <c r="I75" i="1" s="1"/>
  <c r="E76" i="1" s="1"/>
  <c r="H76" i="1" s="1"/>
  <c r="F75" i="1"/>
  <c r="C2931" i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C135" i="1"/>
  <c r="D135" i="1" s="1"/>
  <c r="B136" i="1"/>
  <c r="F76" i="1" l="1"/>
  <c r="I76" i="1" s="1"/>
  <c r="E77" i="1" s="1"/>
  <c r="J76" i="1"/>
  <c r="G76" i="1" s="1"/>
  <c r="B2933" i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C236" i="1"/>
  <c r="D236" i="1" s="1"/>
  <c r="B237" i="1"/>
  <c r="I127" i="1" l="1"/>
  <c r="E128" i="1" s="1"/>
  <c r="B2626" i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F145" i="1"/>
  <c r="B271" i="1"/>
  <c r="C270" i="1"/>
  <c r="D270" i="1" s="1"/>
  <c r="I145" i="1" l="1"/>
  <c r="E146" i="1" s="1"/>
  <c r="J146" i="1" s="1"/>
  <c r="G146" i="1" s="1"/>
  <c r="C2659" i="1"/>
  <c r="D2659" i="1" s="1"/>
  <c r="B2660" i="1"/>
  <c r="C1485" i="1"/>
  <c r="D1485" i="1" s="1"/>
  <c r="B1486" i="1"/>
  <c r="B1008" i="1"/>
  <c r="C1007" i="1"/>
  <c r="D1007" i="1" s="1"/>
  <c r="F146" i="1"/>
  <c r="H146" i="1"/>
  <c r="C271" i="1"/>
  <c r="D271" i="1" s="1"/>
  <c r="B272" i="1"/>
  <c r="I146" i="1" l="1"/>
  <c r="E147" i="1" s="1"/>
  <c r="J147" i="1" s="1"/>
  <c r="G147" i="1" s="1"/>
  <c r="C2660" i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J158" i="1"/>
  <c r="G158" i="1" s="1"/>
  <c r="F158" i="1"/>
  <c r="B294" i="1"/>
  <c r="C293" i="1"/>
  <c r="D293" i="1" s="1"/>
  <c r="I158" i="1" l="1"/>
  <c r="E159" i="1" s="1"/>
  <c r="C2682" i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B304" i="1"/>
  <c r="C303" i="1"/>
  <c r="D303" i="1" s="1"/>
  <c r="F164" i="1" l="1"/>
  <c r="J164" i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C314" i="1"/>
  <c r="D314" i="1" s="1"/>
  <c r="B315" i="1"/>
  <c r="F170" i="1" l="1"/>
  <c r="H170" i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C323" i="1"/>
  <c r="D323" i="1" s="1"/>
  <c r="B324" i="1"/>
  <c r="J175" i="1" l="1"/>
  <c r="G175" i="1" s="1"/>
  <c r="I175" i="1" s="1"/>
  <c r="E176" i="1" s="1"/>
  <c r="F175" i="1"/>
  <c r="B1539" i="1"/>
  <c r="C1538" i="1"/>
  <c r="D1538" i="1" s="1"/>
  <c r="C1060" i="1"/>
  <c r="D1060" i="1" s="1"/>
  <c r="B1061" i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F192" i="1"/>
  <c r="C356" i="1"/>
  <c r="D356" i="1" s="1"/>
  <c r="B357" i="1"/>
  <c r="I192" i="1" l="1"/>
  <c r="E193" i="1" s="1"/>
  <c r="B1572" i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J226" i="1" s="1"/>
  <c r="G226" i="1" s="1"/>
  <c r="C1628" i="1"/>
  <c r="D1628" i="1" s="1"/>
  <c r="B1629" i="1"/>
  <c r="C1150" i="1"/>
  <c r="D1150" i="1" s="1"/>
  <c r="B1151" i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B420" i="1"/>
  <c r="C419" i="1"/>
  <c r="D419" i="1" s="1"/>
  <c r="I229" i="1" l="1"/>
  <c r="E230" i="1" s="1"/>
  <c r="C1634" i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C425" i="1"/>
  <c r="D425" i="1" s="1"/>
  <c r="B426" i="1"/>
  <c r="I233" i="1" l="1"/>
  <c r="E234" i="1" s="1"/>
  <c r="C1640" i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F239" i="1"/>
  <c r="B437" i="1"/>
  <c r="C436" i="1"/>
  <c r="D436" i="1" s="1"/>
  <c r="I239" i="1" l="1"/>
  <c r="E240" i="1" s="1"/>
  <c r="H240" i="1" s="1"/>
  <c r="C1651" i="1"/>
  <c r="D1651" i="1" s="1"/>
  <c r="B1652" i="1"/>
  <c r="C1173" i="1"/>
  <c r="D1173" i="1" s="1"/>
  <c r="B1174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J259" i="1" s="1"/>
  <c r="G259" i="1" s="1"/>
  <c r="C1685" i="1"/>
  <c r="D1685" i="1" s="1"/>
  <c r="B1686" i="1"/>
  <c r="C1207" i="1"/>
  <c r="D1207" i="1" s="1"/>
  <c r="B1208" i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C518" i="1"/>
  <c r="D518" i="1" s="1"/>
  <c r="B519" i="1"/>
  <c r="I285" i="1" l="1"/>
  <c r="E286" i="1" s="1"/>
  <c r="C1733" i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F295" i="1" s="1"/>
  <c r="C1747" i="1"/>
  <c r="D1747" i="1" s="1"/>
  <c r="B1748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H298" i="1" s="1"/>
  <c r="C1752" i="1"/>
  <c r="D1752" i="1" s="1"/>
  <c r="B1753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B556" i="1"/>
  <c r="C555" i="1"/>
  <c r="D555" i="1" s="1"/>
  <c r="H307" i="1" l="1"/>
  <c r="F307" i="1"/>
  <c r="C1770" i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J310" i="1"/>
  <c r="G310" i="1" s="1"/>
  <c r="C1775" i="1"/>
  <c r="D1775" i="1" s="1"/>
  <c r="B1776" i="1"/>
  <c r="B562" i="1"/>
  <c r="C561" i="1"/>
  <c r="D561" i="1" s="1"/>
  <c r="I310" i="1" l="1"/>
  <c r="E311" i="1" s="1"/>
  <c r="H311" i="1" s="1"/>
  <c r="F311" i="1"/>
  <c r="J311" i="1"/>
  <c r="G311" i="1" s="1"/>
  <c r="C1776" i="1"/>
  <c r="D1776" i="1" s="1"/>
  <c r="B1777" i="1"/>
  <c r="C562" i="1"/>
  <c r="D562" i="1" s="1"/>
  <c r="B563" i="1"/>
  <c r="I311" i="1" l="1"/>
  <c r="E312" i="1" s="1"/>
  <c r="H312" i="1" s="1"/>
  <c r="C1777" i="1"/>
  <c r="D1777" i="1" s="1"/>
  <c r="B1778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C1801" i="1"/>
  <c r="D1801" i="1" s="1"/>
  <c r="B1802" i="1"/>
  <c r="C587" i="1"/>
  <c r="D587" i="1" s="1"/>
  <c r="B588" i="1"/>
  <c r="I325" i="1" l="1"/>
  <c r="E326" i="1" s="1"/>
  <c r="H326" i="1" s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F329" i="1"/>
  <c r="J329" i="1"/>
  <c r="G329" i="1" s="1"/>
  <c r="C1808" i="1"/>
  <c r="D1808" i="1" s="1"/>
  <c r="B1809" i="1"/>
  <c r="C594" i="1"/>
  <c r="D594" i="1" s="1"/>
  <c r="B595" i="1"/>
  <c r="I329" i="1" l="1"/>
  <c r="E330" i="1" s="1"/>
  <c r="H330" i="1" s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B1815" i="1"/>
  <c r="C1814" i="1"/>
  <c r="D1814" i="1" s="1"/>
  <c r="C600" i="1"/>
  <c r="D600" i="1" s="1"/>
  <c r="B601" i="1"/>
  <c r="I333" i="1" l="1"/>
  <c r="E334" i="1" s="1"/>
  <c r="J334" i="1" s="1"/>
  <c r="G334" i="1" s="1"/>
  <c r="F334" i="1"/>
  <c r="H334" i="1"/>
  <c r="C1815" i="1"/>
  <c r="D1815" i="1" s="1"/>
  <c r="B1816" i="1"/>
  <c r="B602" i="1"/>
  <c r="C601" i="1"/>
  <c r="D601" i="1" s="1"/>
  <c r="I334" i="1" l="1"/>
  <c r="E335" i="1" s="1"/>
  <c r="F335" i="1" s="1"/>
  <c r="J335" i="1"/>
  <c r="G335" i="1" s="1"/>
  <c r="B1817" i="1"/>
  <c r="C1816" i="1"/>
  <c r="D1816" i="1" s="1"/>
  <c r="C602" i="1"/>
  <c r="D602" i="1" s="1"/>
  <c r="B603" i="1"/>
  <c r="H335" i="1" l="1"/>
  <c r="I335" i="1" s="1"/>
  <c r="E336" i="1" s="1"/>
  <c r="J336" i="1" s="1"/>
  <c r="G336" i="1" s="1"/>
  <c r="B1818" i="1"/>
  <c r="C1817" i="1"/>
  <c r="D1817" i="1" s="1"/>
  <c r="C603" i="1"/>
  <c r="D603" i="1" s="1"/>
  <c r="B604" i="1"/>
  <c r="F336" i="1" l="1"/>
  <c r="H336" i="1"/>
  <c r="I336" i="1" s="1"/>
  <c r="E337" i="1" s="1"/>
  <c r="C1818" i="1"/>
  <c r="D1818" i="1" s="1"/>
  <c r="B1819" i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J342" i="1"/>
  <c r="G342" i="1" s="1"/>
  <c r="F342" i="1"/>
  <c r="B616" i="1"/>
  <c r="C615" i="1"/>
  <c r="D615" i="1" s="1"/>
  <c r="I342" i="1" l="1"/>
  <c r="E343" i="1" s="1"/>
  <c r="H343" i="1" s="1"/>
  <c r="C1830" i="1"/>
  <c r="D1830" i="1" s="1"/>
  <c r="B1831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H346" i="1" s="1"/>
  <c r="C1834" i="1"/>
  <c r="D1834" i="1" s="1"/>
  <c r="B1835" i="1"/>
  <c r="F346" i="1"/>
  <c r="J346" i="1"/>
  <c r="G346" i="1" s="1"/>
  <c r="B621" i="1"/>
  <c r="C620" i="1"/>
  <c r="D620" i="1" s="1"/>
  <c r="I346" i="1" l="1"/>
  <c r="E347" i="1" s="1"/>
  <c r="J347" i="1" s="1"/>
  <c r="G347" i="1" s="1"/>
  <c r="C1835" i="1"/>
  <c r="D1835" i="1" s="1"/>
  <c r="B1836" i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H354" i="1" s="1"/>
  <c r="I354" i="1" s="1"/>
  <c r="E355" i="1" s="1"/>
  <c r="C1847" i="1"/>
  <c r="D1847" i="1" s="1"/>
  <c r="B1848" i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H356" i="1" s="1"/>
  <c r="C1849" i="1"/>
  <c r="D1849" i="1" s="1"/>
  <c r="B1850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J362" i="1"/>
  <c r="G362" i="1" s="1"/>
  <c r="F362" i="1"/>
  <c r="B647" i="1"/>
  <c r="C646" i="1"/>
  <c r="D646" i="1" s="1"/>
  <c r="I362" i="1" l="1"/>
  <c r="E363" i="1" s="1"/>
  <c r="J363" i="1" s="1"/>
  <c r="G363" i="1" s="1"/>
  <c r="C1861" i="1"/>
  <c r="D1861" i="1" s="1"/>
  <c r="B1862" i="1"/>
  <c r="F363" i="1"/>
  <c r="B648" i="1"/>
  <c r="C647" i="1"/>
  <c r="D647" i="1" s="1"/>
  <c r="H363" i="1" l="1"/>
  <c r="C1862" i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J369" i="1"/>
  <c r="G369" i="1" s="1"/>
  <c r="F369" i="1"/>
  <c r="C658" i="1"/>
  <c r="D658" i="1" s="1"/>
  <c r="B659" i="1"/>
  <c r="I369" i="1" l="1"/>
  <c r="E370" i="1" s="1"/>
  <c r="J370" i="1" s="1"/>
  <c r="G370" i="1" s="1"/>
  <c r="C1873" i="1"/>
  <c r="D1873" i="1" s="1"/>
  <c r="B1874" i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J372" i="1"/>
  <c r="G372" i="1" s="1"/>
  <c r="F372" i="1"/>
  <c r="B664" i="1"/>
  <c r="C663" i="1"/>
  <c r="D663" i="1" s="1"/>
  <c r="I372" i="1" l="1"/>
  <c r="E373" i="1" s="1"/>
  <c r="H373" i="1" s="1"/>
  <c r="C1878" i="1"/>
  <c r="D1878" i="1" s="1"/>
  <c r="B1879" i="1"/>
  <c r="F373" i="1"/>
  <c r="J373" i="1"/>
  <c r="G373" i="1" s="1"/>
  <c r="C664" i="1"/>
  <c r="D664" i="1" s="1"/>
  <c r="B665" i="1"/>
  <c r="I373" i="1" l="1"/>
  <c r="E374" i="1" s="1"/>
  <c r="H374" i="1" s="1"/>
  <c r="C1879" i="1"/>
  <c r="D1879" i="1" s="1"/>
  <c r="B1880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J375" i="1"/>
  <c r="G375" i="1" s="1"/>
  <c r="F375" i="1"/>
  <c r="B668" i="1"/>
  <c r="C667" i="1"/>
  <c r="D667" i="1" s="1"/>
  <c r="I375" i="1" l="1"/>
  <c r="E376" i="1" s="1"/>
  <c r="C1882" i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G5" i="2"/>
  <c r="O5" i="2" l="1"/>
  <c r="P5" i="2" s="1"/>
  <c r="J5" i="2"/>
  <c r="K5" i="2" s="1"/>
  <c r="H5" i="2"/>
  <c r="I5" i="2" s="1"/>
  <c r="C1883" i="1"/>
  <c r="D1883" i="1" s="1"/>
  <c r="B1884" i="1"/>
  <c r="H377" i="1"/>
  <c r="F377" i="1"/>
  <c r="J377" i="1"/>
  <c r="B670" i="1"/>
  <c r="C669" i="1"/>
  <c r="D669" i="1" s="1"/>
  <c r="Q5" i="2" l="1"/>
  <c r="L5" i="2" s="1"/>
  <c r="M5" i="2" s="1"/>
  <c r="C1884" i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J378" i="1"/>
  <c r="G378" i="1" s="1"/>
  <c r="F378" i="1"/>
  <c r="C671" i="1"/>
  <c r="D671" i="1" s="1"/>
  <c r="B672" i="1"/>
  <c r="I378" i="1" l="1"/>
  <c r="E379" i="1" s="1"/>
  <c r="H379" i="1" s="1"/>
  <c r="I379" i="1" s="1"/>
  <c r="E380" i="1" s="1"/>
  <c r="H380" i="1" s="1"/>
  <c r="C1886" i="1"/>
  <c r="D1886" i="1" s="1"/>
  <c r="B1887" i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H406" i="1" s="1"/>
  <c r="B1936" i="1"/>
  <c r="C1935" i="1"/>
  <c r="D1935" i="1" s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C1939" i="1"/>
  <c r="D1939" i="1" s="1"/>
  <c r="B1940" i="1"/>
  <c r="C725" i="1"/>
  <c r="D725" i="1" s="1"/>
  <c r="B726" i="1"/>
  <c r="I408" i="1" l="1"/>
  <c r="E409" i="1" s="1"/>
  <c r="J409" i="1" s="1"/>
  <c r="G409" i="1" s="1"/>
  <c r="H409" i="1"/>
  <c r="C1940" i="1"/>
  <c r="D1940" i="1" s="1"/>
  <c r="B1941" i="1"/>
  <c r="C726" i="1"/>
  <c r="D726" i="1" s="1"/>
  <c r="B727" i="1"/>
  <c r="F409" i="1" l="1"/>
  <c r="I409" i="1" s="1"/>
  <c r="E410" i="1" s="1"/>
  <c r="C1941" i="1"/>
  <c r="D1941" i="1" s="1"/>
  <c r="B1942" i="1"/>
  <c r="B728" i="1"/>
  <c r="C727" i="1"/>
  <c r="D727" i="1" s="1"/>
  <c r="H410" i="1" l="1"/>
  <c r="F410" i="1"/>
  <c r="J410" i="1"/>
  <c r="G410" i="1" s="1"/>
  <c r="I410" i="1" s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C1945" i="1"/>
  <c r="D1945" i="1" s="1"/>
  <c r="B1946" i="1"/>
  <c r="C731" i="1"/>
  <c r="D731" i="1" s="1"/>
  <c r="B732" i="1"/>
  <c r="I412" i="1" l="1"/>
  <c r="E413" i="1" s="1"/>
  <c r="J413" i="1" s="1"/>
  <c r="G413" i="1" s="1"/>
  <c r="F413" i="1"/>
  <c r="B1947" i="1"/>
  <c r="C1946" i="1"/>
  <c r="D1946" i="1" s="1"/>
  <c r="C732" i="1"/>
  <c r="D732" i="1" s="1"/>
  <c r="B733" i="1"/>
  <c r="H413" i="1" l="1"/>
  <c r="I413" i="1" s="1"/>
  <c r="E414" i="1" s="1"/>
  <c r="J414" i="1" s="1"/>
  <c r="G414" i="1" s="1"/>
  <c r="B1948" i="1"/>
  <c r="C1947" i="1"/>
  <c r="D1947" i="1" s="1"/>
  <c r="B734" i="1"/>
  <c r="C733" i="1"/>
  <c r="D733" i="1" s="1"/>
  <c r="H414" i="1" l="1"/>
  <c r="F414" i="1"/>
  <c r="C1948" i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I429" i="1" s="1"/>
  <c r="E430" i="1" s="1"/>
  <c r="C1973" i="1"/>
  <c r="D1973" i="1" s="1"/>
  <c r="B1974" i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 s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I488" i="1" s="1"/>
  <c r="E489" i="1" s="1"/>
  <c r="F488" i="1"/>
  <c r="C2082" i="1"/>
  <c r="D2082" i="1" s="1"/>
  <c r="B2083" i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F493" i="1" l="1"/>
  <c r="J493" i="1"/>
  <c r="G493" i="1" s="1"/>
  <c r="I493" i="1" s="1"/>
  <c r="E494" i="1" s="1"/>
  <c r="H494" i="1" s="1"/>
  <c r="C2090" i="1"/>
  <c r="D2090" i="1" s="1"/>
  <c r="B2091" i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H509" i="1" l="1"/>
  <c r="F509" i="1"/>
  <c r="C2119" i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 l="1"/>
  <c r="J522" i="1"/>
  <c r="G522" i="1" s="1"/>
  <c r="I522" i="1" s="1"/>
  <c r="E523" i="1" s="1"/>
  <c r="C2143" i="1"/>
  <c r="D2143" i="1" s="1"/>
  <c r="B2144" i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 l="1"/>
  <c r="J527" i="1"/>
  <c r="G527" i="1" s="1"/>
  <c r="I527" i="1" s="1"/>
  <c r="E528" i="1" s="1"/>
  <c r="C2152" i="1"/>
  <c r="D2152" i="1" s="1"/>
  <c r="B2153" i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I533" i="1" s="1"/>
  <c r="E534" i="1" s="1"/>
  <c r="B2163" i="1"/>
  <c r="C2162" i="1"/>
  <c r="D2162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I584" i="1" s="1"/>
  <c r="E585" i="1" s="1"/>
  <c r="C2257" i="1"/>
  <c r="D2257" i="1" s="1"/>
  <c r="B2258" i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I601" i="1" s="1"/>
  <c r="E602" i="1" s="1"/>
  <c r="J602" i="1" s="1"/>
  <c r="G602" i="1" s="1"/>
  <c r="C2289" i="1"/>
  <c r="D2289" i="1" s="1"/>
  <c r="B2290" i="1"/>
  <c r="F602" i="1" l="1"/>
  <c r="H602" i="1"/>
  <c r="C2290" i="1"/>
  <c r="D2290" i="1" s="1"/>
  <c r="B2291" i="1"/>
  <c r="I602" i="1"/>
  <c r="E603" i="1" s="1"/>
  <c r="J603" i="1" s="1"/>
  <c r="G603" i="1" s="1"/>
  <c r="F603" i="1" l="1"/>
  <c r="H603" i="1"/>
  <c r="C2291" i="1"/>
  <c r="D2291" i="1" s="1"/>
  <c r="B2292" i="1"/>
  <c r="I603" i="1" l="1"/>
  <c r="E604" i="1" s="1"/>
  <c r="H604" i="1" s="1"/>
  <c r="C2292" i="1"/>
  <c r="D2292" i="1" s="1"/>
  <c r="B2293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I638" i="1" s="1"/>
  <c r="E639" i="1" s="1"/>
  <c r="F638" i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I642" i="1" s="1"/>
  <c r="E643" i="1" s="1"/>
  <c r="J643" i="1" s="1"/>
  <c r="G643" i="1" s="1"/>
  <c r="B2365" i="1"/>
  <c r="C2364" i="1"/>
  <c r="D2364" i="1" s="1"/>
  <c r="F643" i="1" l="1"/>
  <c r="C2365" i="1"/>
  <c r="D2365" i="1" s="1"/>
  <c r="B2366" i="1"/>
  <c r="H643" i="1"/>
  <c r="I643" i="1" s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 s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 s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 l="1"/>
  <c r="H696" i="1"/>
  <c r="I696" i="1" s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F723" i="1"/>
  <c r="I723" i="1" l="1"/>
  <c r="E724" i="1" s="1"/>
  <c r="H724" i="1" s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F727" i="1"/>
  <c r="I727" i="1" l="1"/>
  <c r="E728" i="1" s="1"/>
  <c r="J728" i="1" s="1"/>
  <c r="G728" i="1" s="1"/>
  <c r="F728" i="1" l="1"/>
  <c r="H728" i="1"/>
  <c r="I728" i="1" s="1"/>
  <c r="E729" i="1" s="1"/>
  <c r="F729" i="1" s="1"/>
  <c r="H729" i="1" l="1"/>
  <c r="J729" i="1"/>
  <c r="G729" i="1" s="1"/>
  <c r="I729" i="1" s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 l="1"/>
  <c r="J734" i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G6" i="2"/>
  <c r="F6" i="2"/>
  <c r="O6" i="2" l="1"/>
  <c r="P6" i="2" s="1"/>
  <c r="J6" i="2"/>
  <c r="K6" i="2" s="1"/>
  <c r="H6" i="2"/>
  <c r="I6" i="2" s="1"/>
  <c r="J737" i="1"/>
  <c r="G737" i="1" s="1"/>
  <c r="F737" i="1"/>
  <c r="H737" i="1"/>
  <c r="Q6" i="2" l="1"/>
  <c r="L6" i="2" s="1"/>
  <c r="M6" i="2" s="1"/>
  <c r="I737" i="1"/>
  <c r="E738" i="1" s="1"/>
  <c r="J738" i="1" s="1"/>
  <c r="G738" i="1" s="1"/>
  <c r="H738" i="1" l="1"/>
  <c r="F738" i="1"/>
  <c r="I738" i="1" s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F760" i="1"/>
  <c r="J760" i="1"/>
  <c r="G760" i="1" s="1"/>
  <c r="I760" i="1" l="1"/>
  <c r="E761" i="1" s="1"/>
  <c r="F761" i="1" s="1"/>
  <c r="H761" i="1" l="1"/>
  <c r="J761" i="1"/>
  <c r="G761" i="1" s="1"/>
  <c r="I761" i="1" l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J764" i="1" l="1"/>
  <c r="G764" i="1" s="1"/>
  <c r="F764" i="1"/>
  <c r="H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J767" i="1" l="1"/>
  <c r="G767" i="1" s="1"/>
  <c r="H767" i="1"/>
  <c r="F767" i="1"/>
  <c r="I767" i="1" l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s="1"/>
  <c r="E772" i="1" s="1"/>
  <c r="J772" i="1" l="1"/>
  <c r="G772" i="1" s="1"/>
  <c r="H772" i="1"/>
  <c r="I772" i="1" s="1"/>
  <c r="E773" i="1" s="1"/>
  <c r="F773" i="1" s="1"/>
  <c r="F772" i="1"/>
  <c r="H773" i="1" l="1"/>
  <c r="I773" i="1" s="1"/>
  <c r="E774" i="1" s="1"/>
  <c r="J773" i="1"/>
  <c r="G773" i="1" s="1"/>
  <c r="H774" i="1" l="1"/>
  <c r="J774" i="1"/>
  <c r="G774" i="1" s="1"/>
  <c r="F774" i="1"/>
  <c r="I774" i="1" l="1"/>
  <c r="E775" i="1" s="1"/>
  <c r="H775" i="1" s="1"/>
  <c r="J775" i="1" l="1"/>
  <c r="G775" i="1" s="1"/>
  <c r="I775" i="1" s="1"/>
  <c r="E776" i="1" s="1"/>
  <c r="F775" i="1"/>
  <c r="F776" i="1" l="1"/>
  <c r="J776" i="1"/>
  <c r="G776" i="1" s="1"/>
  <c r="H776" i="1"/>
  <c r="I776" i="1" l="1"/>
  <c r="E777" i="1" s="1"/>
  <c r="J777" i="1" s="1"/>
  <c r="G777" i="1" s="1"/>
  <c r="F777" i="1"/>
  <c r="H777" i="1" l="1"/>
  <c r="I777" i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J781" i="1"/>
  <c r="G781" i="1" s="1"/>
  <c r="F781" i="1"/>
  <c r="I781" i="1" l="1"/>
  <c r="E782" i="1" s="1"/>
  <c r="H782" i="1" s="1"/>
  <c r="J782" i="1"/>
  <c r="G782" i="1" s="1"/>
  <c r="F782" i="1"/>
  <c r="I782" i="1" l="1"/>
  <c r="E783" i="1" s="1"/>
  <c r="H783" i="1" l="1"/>
  <c r="F783" i="1"/>
  <c r="J783" i="1"/>
  <c r="G783" i="1" s="1"/>
  <c r="I783" i="1" l="1"/>
  <c r="E784" i="1" s="1"/>
  <c r="H784" i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F787" i="1"/>
  <c r="J787" i="1"/>
  <c r="G787" i="1" s="1"/>
  <c r="I787" i="1" l="1"/>
  <c r="E788" i="1" s="1"/>
  <c r="H788" i="1" s="1"/>
  <c r="F788" i="1"/>
  <c r="J788" i="1" l="1"/>
  <c r="G788" i="1" s="1"/>
  <c r="I788" i="1" s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l="1"/>
  <c r="E799" i="1" s="1"/>
  <c r="J799" i="1" s="1"/>
  <c r="G799" i="1" s="1"/>
  <c r="F799" i="1"/>
  <c r="H799" i="1" l="1"/>
  <c r="I799" i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l="1"/>
  <c r="E807" i="1" s="1"/>
  <c r="J807" i="1" s="1"/>
  <c r="G807" i="1" s="1"/>
  <c r="H807" i="1" l="1"/>
  <c r="F807" i="1"/>
  <c r="I807" i="1" s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l="1"/>
  <c r="E815" i="1" s="1"/>
  <c r="F815" i="1" s="1"/>
  <c r="J815" i="1" l="1"/>
  <c r="G815" i="1" s="1"/>
  <c r="H815" i="1"/>
  <c r="I815" i="1" s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J825" i="1"/>
  <c r="G825" i="1" s="1"/>
  <c r="F825" i="1"/>
  <c r="I825" i="1" l="1"/>
  <c r="E826" i="1" s="1"/>
  <c r="F826" i="1" s="1"/>
  <c r="J826" i="1" l="1"/>
  <c r="G826" i="1" s="1"/>
  <c r="H826" i="1"/>
  <c r="I826" i="1" l="1"/>
  <c r="E827" i="1" s="1"/>
  <c r="H827" i="1" l="1"/>
  <c r="F827" i="1"/>
  <c r="J827" i="1"/>
  <c r="G827" i="1" s="1"/>
  <c r="I827" i="1" l="1"/>
  <c r="E828" i="1" s="1"/>
  <c r="J828" i="1" l="1"/>
  <c r="G828" i="1" s="1"/>
  <c r="H828" i="1"/>
  <c r="F828" i="1"/>
  <c r="I828" i="1" l="1"/>
  <c r="E829" i="1" s="1"/>
  <c r="F829" i="1" l="1"/>
  <c r="J829" i="1"/>
  <c r="G829" i="1" s="1"/>
  <c r="H829" i="1"/>
  <c r="I829" i="1" l="1"/>
  <c r="E830" i="1" s="1"/>
  <c r="H830" i="1" l="1"/>
  <c r="J830" i="1"/>
  <c r="G830" i="1" s="1"/>
  <c r="F830" i="1"/>
  <c r="I830" i="1" l="1"/>
  <c r="E831" i="1" s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H833" i="1" l="1"/>
  <c r="J833" i="1"/>
  <c r="G833" i="1" s="1"/>
  <c r="F833" i="1"/>
  <c r="I833" i="1" l="1"/>
  <c r="E834" i="1" s="1"/>
  <c r="H834" i="1" l="1"/>
  <c r="J834" i="1"/>
  <c r="G834" i="1" s="1"/>
  <c r="F834" i="1"/>
  <c r="I834" i="1" l="1"/>
  <c r="E835" i="1" s="1"/>
  <c r="J835" i="1" l="1"/>
  <c r="G835" i="1" s="1"/>
  <c r="F835" i="1"/>
  <c r="H835" i="1"/>
  <c r="I835" i="1" s="1"/>
  <c r="E836" i="1" s="1"/>
  <c r="J836" i="1" l="1"/>
  <c r="G836" i="1" s="1"/>
  <c r="H836" i="1"/>
  <c r="I836" i="1" s="1"/>
  <c r="E837" i="1" s="1"/>
  <c r="F836" i="1"/>
  <c r="H837" i="1" l="1"/>
  <c r="J837" i="1"/>
  <c r="G837" i="1" s="1"/>
  <c r="F837" i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s="1"/>
  <c r="E840" i="1" s="1"/>
  <c r="H840" i="1" l="1"/>
  <c r="J840" i="1"/>
  <c r="G840" i="1" s="1"/>
  <c r="F840" i="1"/>
  <c r="I840" i="1" l="1"/>
  <c r="E841" i="1" s="1"/>
  <c r="J841" i="1" l="1"/>
  <c r="G841" i="1" s="1"/>
  <c r="H841" i="1"/>
  <c r="F841" i="1"/>
  <c r="I841" i="1" l="1"/>
  <c r="E842" i="1" s="1"/>
  <c r="J842" i="1" l="1"/>
  <c r="G842" i="1" s="1"/>
  <c r="H842" i="1"/>
  <c r="I842" i="1" s="1"/>
  <c r="E843" i="1" s="1"/>
  <c r="F842" i="1"/>
  <c r="J843" i="1" l="1"/>
  <c r="G843" i="1" s="1"/>
  <c r="H843" i="1"/>
  <c r="I843" i="1" s="1"/>
  <c r="E844" i="1" s="1"/>
  <c r="F843" i="1"/>
  <c r="F844" i="1" l="1"/>
  <c r="H844" i="1"/>
  <c r="I844" i="1" s="1"/>
  <c r="E845" i="1" s="1"/>
  <c r="J844" i="1"/>
  <c r="G844" i="1" s="1"/>
  <c r="H845" i="1" l="1"/>
  <c r="J845" i="1"/>
  <c r="G845" i="1" s="1"/>
  <c r="F845" i="1"/>
  <c r="I845" i="1" l="1"/>
  <c r="E846" i="1" s="1"/>
  <c r="J846" i="1" l="1"/>
  <c r="G846" i="1" s="1"/>
  <c r="H846" i="1"/>
  <c r="F846" i="1"/>
  <c r="I846" i="1" l="1"/>
  <c r="E847" i="1" s="1"/>
  <c r="J847" i="1" l="1"/>
  <c r="G847" i="1" s="1"/>
  <c r="H847" i="1"/>
  <c r="I847" i="1" s="1"/>
  <c r="E848" i="1" s="1"/>
  <c r="H848" i="1" s="1"/>
  <c r="F847" i="1"/>
  <c r="F848" i="1" l="1"/>
  <c r="J848" i="1"/>
  <c r="G848" i="1" s="1"/>
  <c r="I848" i="1" s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J857" i="1"/>
  <c r="G857" i="1" s="1"/>
  <c r="F857" i="1"/>
  <c r="I857" i="1" l="1"/>
  <c r="E858" i="1" s="1"/>
  <c r="H858" i="1" s="1"/>
  <c r="F858" i="1"/>
  <c r="J858" i="1" l="1"/>
  <c r="G858" i="1" s="1"/>
  <c r="I858" i="1" s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J868" i="1"/>
  <c r="G868" i="1" s="1"/>
  <c r="F868" i="1"/>
  <c r="I868" i="1" l="1"/>
  <c r="E869" i="1" s="1"/>
  <c r="H869" i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J892" i="1"/>
  <c r="G892" i="1" s="1"/>
  <c r="F892" i="1"/>
  <c r="I892" i="1" l="1"/>
  <c r="E893" i="1" s="1"/>
  <c r="J893" i="1" s="1"/>
  <c r="G893" i="1" s="1"/>
  <c r="F893" i="1" l="1"/>
  <c r="H893" i="1"/>
  <c r="I893" i="1" s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l="1"/>
  <c r="E919" i="1" s="1"/>
  <c r="F919" i="1" s="1"/>
  <c r="H919" i="1" l="1"/>
  <c r="J919" i="1"/>
  <c r="G919" i="1" s="1"/>
  <c r="I919" i="1" s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l="1"/>
  <c r="E926" i="1" s="1"/>
  <c r="F926" i="1" s="1"/>
  <c r="H926" i="1"/>
  <c r="J926" i="1" l="1"/>
  <c r="G926" i="1" s="1"/>
  <c r="I926" i="1" s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J929" i="1"/>
  <c r="G929" i="1" s="1"/>
  <c r="F929" i="1"/>
  <c r="I929" i="1" l="1"/>
  <c r="E930" i="1" s="1"/>
  <c r="H930" i="1" s="1"/>
  <c r="F930" i="1" l="1"/>
  <c r="J930" i="1"/>
  <c r="G930" i="1" s="1"/>
  <c r="I930" i="1" s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J949" i="1"/>
  <c r="G949" i="1" s="1"/>
  <c r="F949" i="1"/>
  <c r="I949" i="1" l="1"/>
  <c r="E950" i="1" s="1"/>
  <c r="H950" i="1" s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F959" i="1"/>
  <c r="J959" i="1"/>
  <c r="G959" i="1" s="1"/>
  <c r="I959" i="1" l="1"/>
  <c r="E960" i="1" s="1"/>
  <c r="F960" i="1" s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l="1"/>
  <c r="E963" i="1" s="1"/>
  <c r="F963" i="1" s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F979" i="1"/>
  <c r="I979" i="1" l="1"/>
  <c r="E980" i="1" s="1"/>
  <c r="H980" i="1" s="1"/>
  <c r="F980" i="1"/>
  <c r="J980" i="1" l="1"/>
  <c r="G980" i="1" s="1"/>
  <c r="I980" i="1" s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l="1"/>
  <c r="E986" i="1" s="1"/>
  <c r="H986" i="1" s="1"/>
  <c r="F986" i="1"/>
  <c r="J986" i="1" l="1"/>
  <c r="G986" i="1" s="1"/>
  <c r="I986" i="1" s="1"/>
  <c r="E987" i="1" s="1"/>
  <c r="J987" i="1" l="1"/>
  <c r="G987" i="1" s="1"/>
  <c r="H987" i="1"/>
  <c r="F987" i="1"/>
  <c r="I987" i="1" l="1"/>
  <c r="E988" i="1" s="1"/>
  <c r="H988" i="1" s="1"/>
  <c r="J988" i="1"/>
  <c r="G988" i="1" s="1"/>
  <c r="F988" i="1" l="1"/>
  <c r="I988" i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l="1"/>
  <c r="E991" i="1" s="1"/>
  <c r="H991" i="1" s="1"/>
  <c r="J991" i="1"/>
  <c r="G991" i="1" s="1"/>
  <c r="F991" i="1" l="1"/>
  <c r="I991" i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l="1"/>
  <c r="E996" i="1" s="1"/>
  <c r="F996" i="1" s="1"/>
  <c r="J996" i="1"/>
  <c r="G996" i="1" s="1"/>
  <c r="H996" i="1" l="1"/>
  <c r="I996" i="1" s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l="1"/>
  <c r="E1010" i="1" s="1"/>
  <c r="F1010" i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l="1"/>
  <c r="E1020" i="1" s="1"/>
  <c r="F1020" i="1" s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l="1"/>
  <c r="E1024" i="1" s="1"/>
  <c r="F1024" i="1" s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l="1"/>
  <c r="E1029" i="1" s="1"/>
  <c r="J1029" i="1" s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l="1"/>
  <c r="E1032" i="1" s="1"/>
  <c r="J1032" i="1" s="1"/>
  <c r="G1032" i="1" s="1"/>
  <c r="H1032" i="1" l="1"/>
  <c r="F1032" i="1"/>
  <c r="I1032" i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J1047" i="1"/>
  <c r="G1047" i="1" s="1"/>
  <c r="F1047" i="1"/>
  <c r="I1047" i="1" l="1"/>
  <c r="E1048" i="1" s="1"/>
  <c r="H1048" i="1" s="1"/>
  <c r="F1048" i="1" l="1"/>
  <c r="J1048" i="1"/>
  <c r="G1048" i="1" s="1"/>
  <c r="I1048" i="1" s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l="1"/>
  <c r="E1054" i="1" s="1"/>
  <c r="F1054" i="1" s="1"/>
  <c r="J1054" i="1"/>
  <c r="G1054" i="1" s="1"/>
  <c r="H1054" i="1"/>
  <c r="I1054" i="1" l="1"/>
  <c r="E1055" i="1" s="1"/>
  <c r="J1055" i="1" s="1"/>
  <c r="G1055" i="1" s="1"/>
  <c r="H1055" i="1"/>
  <c r="F1055" i="1" l="1"/>
  <c r="I1055" i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J1069" i="1"/>
  <c r="G1069" i="1" s="1"/>
  <c r="F1069" i="1"/>
  <c r="I1069" i="1" l="1"/>
  <c r="E1070" i="1" s="1"/>
  <c r="H1070" i="1" s="1"/>
  <c r="F1070" i="1"/>
  <c r="J1070" i="1" l="1"/>
  <c r="G1070" i="1" s="1"/>
  <c r="I1070" i="1" s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J1078" i="1"/>
  <c r="G1078" i="1" s="1"/>
  <c r="F1078" i="1"/>
  <c r="I1078" i="1" l="1"/>
  <c r="E1079" i="1" s="1"/>
  <c r="H1079" i="1" s="1"/>
  <c r="F1079" i="1"/>
  <c r="J1079" i="1" l="1"/>
  <c r="G1079" i="1" s="1"/>
  <c r="I1079" i="1" s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J1094" i="1"/>
  <c r="G1094" i="1" s="1"/>
  <c r="F1094" i="1"/>
  <c r="I1094" i="1" l="1"/>
  <c r="E1095" i="1" s="1"/>
  <c r="H1095" i="1" s="1"/>
  <c r="F1095" i="1"/>
  <c r="J1095" i="1" l="1"/>
  <c r="G1095" i="1" s="1"/>
  <c r="I1095" i="1" s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G7" i="2"/>
  <c r="F7" i="2"/>
  <c r="O7" i="2" l="1"/>
  <c r="P7" i="2" s="1"/>
  <c r="J7" i="2"/>
  <c r="K7" i="2" s="1"/>
  <c r="H7" i="2"/>
  <c r="I7" i="2" s="1"/>
  <c r="I1097" i="1"/>
  <c r="E1098" i="1" s="1"/>
  <c r="Q7" i="2" l="1"/>
  <c r="L7" i="2" s="1"/>
  <c r="M7" i="2" s="1"/>
  <c r="H1098" i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l="1"/>
  <c r="E1102" i="1" s="1"/>
  <c r="J1102" i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J1104" i="1"/>
  <c r="G1104" i="1" s="1"/>
  <c r="F1104" i="1"/>
  <c r="I1104" i="1" l="1"/>
  <c r="E1105" i="1" s="1"/>
  <c r="H1105" i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J1124" i="1"/>
  <c r="G1124" i="1" s="1"/>
  <c r="F1124" i="1"/>
  <c r="I1124" i="1" l="1"/>
  <c r="E1125" i="1" s="1"/>
  <c r="J1125" i="1" s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J1134" i="1"/>
  <c r="G1134" i="1" s="1"/>
  <c r="I1134" i="1" l="1"/>
  <c r="E1135" i="1" s="1"/>
  <c r="H1135" i="1" s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J1154" i="1"/>
  <c r="G1154" i="1" s="1"/>
  <c r="F1154" i="1"/>
  <c r="I1154" i="1" l="1"/>
  <c r="E1155" i="1" s="1"/>
  <c r="H1155" i="1" s="1"/>
  <c r="F1155" i="1" l="1"/>
  <c r="J1155" i="1"/>
  <c r="G1155" i="1" s="1"/>
  <c r="I1155" i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F1162" i="1"/>
  <c r="I1162" i="1" l="1"/>
  <c r="E1163" i="1" s="1"/>
  <c r="H1163" i="1" s="1"/>
  <c r="F1163" i="1"/>
  <c r="J1163" i="1" l="1"/>
  <c r="G1163" i="1" s="1"/>
  <c r="I1163" i="1" s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F1171" i="1"/>
  <c r="I1171" i="1" l="1"/>
  <c r="E1172" i="1" s="1"/>
  <c r="H1172" i="1" s="1"/>
  <c r="F1172" i="1"/>
  <c r="J1172" i="1" l="1"/>
  <c r="G1172" i="1" s="1"/>
  <c r="I1172" i="1" s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l="1"/>
  <c r="E1176" i="1" s="1"/>
  <c r="H1176" i="1" s="1"/>
  <c r="F1176" i="1"/>
  <c r="J1176" i="1" l="1"/>
  <c r="G1176" i="1" s="1"/>
  <c r="I1176" i="1" s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J1190" i="1"/>
  <c r="G1190" i="1" s="1"/>
  <c r="F1190" i="1"/>
  <c r="I1190" i="1" l="1"/>
  <c r="E1191" i="1" s="1"/>
  <c r="F1191" i="1" s="1"/>
  <c r="H1191" i="1" l="1"/>
  <c r="J1191" i="1"/>
  <c r="G1191" i="1" s="1"/>
  <c r="I1191" i="1" s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J1232" i="1"/>
  <c r="G1232" i="1" s="1"/>
  <c r="I1232" i="1" l="1"/>
  <c r="E1233" i="1" s="1"/>
  <c r="J1233" i="1" s="1"/>
  <c r="G1233" i="1" s="1"/>
  <c r="F1233" i="1"/>
  <c r="H1233" i="1" l="1"/>
  <c r="I1233" i="1"/>
  <c r="E1234" i="1" s="1"/>
  <c r="H1234" i="1" l="1"/>
  <c r="F1234" i="1"/>
  <c r="J1234" i="1"/>
  <c r="G1234" i="1" s="1"/>
  <c r="I1234" i="1" l="1"/>
  <c r="E1235" i="1" s="1"/>
  <c r="H1235" i="1" l="1"/>
  <c r="J1235" i="1"/>
  <c r="G1235" i="1" s="1"/>
  <c r="F1235" i="1"/>
  <c r="I1235" i="1" l="1"/>
  <c r="E1236" i="1" s="1"/>
  <c r="J1236" i="1" s="1"/>
  <c r="G1236" i="1" s="1"/>
  <c r="H1236" i="1" l="1"/>
  <c r="F1236" i="1"/>
  <c r="I1236" i="1" s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F1240" i="1"/>
  <c r="J1240" i="1"/>
  <c r="G1240" i="1" s="1"/>
  <c r="I1240" i="1" l="1"/>
  <c r="E1241" i="1" s="1"/>
  <c r="H1241" i="1" s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l="1"/>
  <c r="E1249" i="1" s="1"/>
  <c r="J1249" i="1" s="1"/>
  <c r="G1249" i="1" s="1"/>
  <c r="F1249" i="1" l="1"/>
  <c r="H1249" i="1"/>
  <c r="I1249" i="1" s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F1265" i="1"/>
  <c r="J1265" i="1"/>
  <c r="G1265" i="1" s="1"/>
  <c r="I1265" i="1" l="1"/>
  <c r="E1266" i="1" s="1"/>
  <c r="J1266" i="1" s="1"/>
  <c r="G1266" i="1" s="1"/>
  <c r="F1266" i="1"/>
  <c r="H1266" i="1" l="1"/>
  <c r="I1266" i="1" s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F1290" i="1"/>
  <c r="J1290" i="1"/>
  <c r="G1290" i="1" s="1"/>
  <c r="I1290" i="1" l="1"/>
  <c r="E1291" i="1" s="1"/>
  <c r="J1291" i="1" s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J1299" i="1"/>
  <c r="G1299" i="1" s="1"/>
  <c r="F1299" i="1"/>
  <c r="I1299" i="1" l="1"/>
  <c r="E1300" i="1" s="1"/>
  <c r="J1300" i="1" s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J1306" i="1"/>
  <c r="G1306" i="1" s="1"/>
  <c r="F1306" i="1"/>
  <c r="I1306" i="1" l="1"/>
  <c r="E1307" i="1" s="1"/>
  <c r="J1307" i="1" s="1"/>
  <c r="G1307" i="1" s="1"/>
  <c r="F1307" i="1"/>
  <c r="H1307" i="1" l="1"/>
  <c r="I1307" i="1" s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J1317" i="1"/>
  <c r="G1317" i="1" s="1"/>
  <c r="F1317" i="1"/>
  <c r="I1317" i="1" l="1"/>
  <c r="E1318" i="1" s="1"/>
  <c r="J1318" i="1" s="1"/>
  <c r="G1318" i="1" s="1"/>
  <c r="F1318" i="1" l="1"/>
  <c r="H1318" i="1"/>
  <c r="I1318" i="1" s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l="1"/>
  <c r="E1353" i="1" s="1"/>
  <c r="F1353" i="1" s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J1358" i="1"/>
  <c r="G1358" i="1" s="1"/>
  <c r="F1358" i="1"/>
  <c r="I1358" i="1" l="1"/>
  <c r="E1359" i="1" s="1"/>
  <c r="J1359" i="1" s="1"/>
  <c r="G1359" i="1" s="1"/>
  <c r="F1359" i="1" l="1"/>
  <c r="H1359" i="1"/>
  <c r="I1359" i="1" s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J1362" i="1"/>
  <c r="G1362" i="1" s="1"/>
  <c r="F1362" i="1"/>
  <c r="I1362" i="1" l="1"/>
  <c r="E1363" i="1" s="1"/>
  <c r="F1363" i="1" s="1"/>
  <c r="J1363" i="1" l="1"/>
  <c r="G1363" i="1" s="1"/>
  <c r="I1363" i="1" s="1"/>
  <c r="E1364" i="1" s="1"/>
  <c r="H1363" i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l="1"/>
  <c r="E1378" i="1" s="1"/>
  <c r="F1378" i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J1400" i="1"/>
  <c r="G1400" i="1" s="1"/>
  <c r="F1400" i="1"/>
  <c r="I1400" i="1" l="1"/>
  <c r="E1401" i="1" s="1"/>
  <c r="J1401" i="1" s="1"/>
  <c r="G1401" i="1" s="1"/>
  <c r="F1401" i="1" l="1"/>
  <c r="H1401" i="1"/>
  <c r="I1401" i="1" s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J1404" i="1"/>
  <c r="G1404" i="1" s="1"/>
  <c r="F1404" i="1"/>
  <c r="I1404" i="1" l="1"/>
  <c r="E1405" i="1" s="1"/>
  <c r="H1405" i="1" s="1"/>
  <c r="J1405" i="1"/>
  <c r="G1405" i="1" s="1"/>
  <c r="F1405" i="1" l="1"/>
  <c r="I1405" i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J1413" i="1"/>
  <c r="G1413" i="1" s="1"/>
  <c r="F1413" i="1"/>
  <c r="I1413" i="1" l="1"/>
  <c r="E1414" i="1" s="1"/>
  <c r="H1414" i="1" s="1"/>
  <c r="J1414" i="1"/>
  <c r="G1414" i="1" s="1"/>
  <c r="F1414" i="1" l="1"/>
  <c r="I1414" i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J1417" i="1"/>
  <c r="G1417" i="1" s="1"/>
  <c r="F1417" i="1"/>
  <c r="I1417" i="1" l="1"/>
  <c r="E1418" i="1" s="1"/>
  <c r="F1418" i="1" s="1"/>
  <c r="J1418" i="1" l="1"/>
  <c r="G1418" i="1" s="1"/>
  <c r="I1418" i="1" s="1"/>
  <c r="E1419" i="1" s="1"/>
  <c r="H1418" i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J1426" i="1"/>
  <c r="G1426" i="1" s="1"/>
  <c r="F1426" i="1"/>
  <c r="I1426" i="1" l="1"/>
  <c r="E1427" i="1" s="1"/>
  <c r="J1427" i="1" s="1"/>
  <c r="G1427" i="1" s="1"/>
  <c r="H1427" i="1" l="1"/>
  <c r="F1427" i="1"/>
  <c r="I1427" i="1"/>
  <c r="E1428" i="1" s="1"/>
  <c r="H1428" i="1" l="1"/>
  <c r="F1428" i="1"/>
  <c r="J1428" i="1"/>
  <c r="G1428" i="1" s="1"/>
  <c r="I1428" i="1" l="1"/>
  <c r="E1429" i="1" s="1"/>
  <c r="H1429" i="1" l="1"/>
  <c r="F1429" i="1"/>
  <c r="J1429" i="1"/>
  <c r="G1429" i="1" s="1"/>
  <c r="I1429" i="1" l="1"/>
  <c r="E1430" i="1" s="1"/>
  <c r="J1430" i="1" s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F1433" i="1"/>
  <c r="I1433" i="1" l="1"/>
  <c r="E1434" i="1" s="1"/>
  <c r="H1434" i="1" s="1"/>
  <c r="F1434" i="1" l="1"/>
  <c r="J1434" i="1"/>
  <c r="G1434" i="1" s="1"/>
  <c r="I1434" i="1" s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l="1"/>
  <c r="E1438" i="1" s="1"/>
  <c r="J1438" i="1" s="1"/>
  <c r="G1438" i="1" s="1"/>
  <c r="H1438" i="1" l="1"/>
  <c r="F1438" i="1"/>
  <c r="I1438" i="1" l="1"/>
  <c r="E1439" i="1" s="1"/>
  <c r="H1439" i="1" l="1"/>
  <c r="J1439" i="1"/>
  <c r="G1439" i="1" s="1"/>
  <c r="F1439" i="1"/>
  <c r="I1439" i="1" l="1"/>
  <c r="E1440" i="1" s="1"/>
  <c r="H1440" i="1" l="1"/>
  <c r="J1440" i="1"/>
  <c r="G1440" i="1" s="1"/>
  <c r="F1440" i="1"/>
  <c r="I1440" i="1" l="1"/>
  <c r="E1441" i="1" s="1"/>
  <c r="H1441" i="1" l="1"/>
  <c r="J1441" i="1"/>
  <c r="G1441" i="1" s="1"/>
  <c r="F1441" i="1"/>
  <c r="I1441" i="1" l="1"/>
  <c r="E1442" i="1" s="1"/>
  <c r="F1442" i="1" l="1"/>
  <c r="H1442" i="1"/>
  <c r="J1442" i="1"/>
  <c r="G1442" i="1" s="1"/>
  <c r="I1442" i="1" l="1"/>
  <c r="E1443" i="1" s="1"/>
  <c r="J1443" i="1" l="1"/>
  <c r="G1443" i="1" s="1"/>
  <c r="H1443" i="1"/>
  <c r="I1443" i="1" s="1"/>
  <c r="E1444" i="1" s="1"/>
  <c r="F1443" i="1"/>
  <c r="J1444" i="1" l="1"/>
  <c r="G1444" i="1" s="1"/>
  <c r="H1444" i="1"/>
  <c r="F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H1447" i="1" l="1"/>
  <c r="F1447" i="1"/>
  <c r="J1447" i="1"/>
  <c r="G1447" i="1" s="1"/>
  <c r="I1447" i="1" l="1"/>
  <c r="E1448" i="1" s="1"/>
  <c r="H1448" i="1" l="1"/>
  <c r="F1448" i="1"/>
  <c r="J1448" i="1"/>
  <c r="G1448" i="1" s="1"/>
  <c r="I1448" i="1" l="1"/>
  <c r="E1449" i="1" s="1"/>
  <c r="H1449" i="1" l="1"/>
  <c r="F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H1457" i="1" l="1"/>
  <c r="E8" i="2"/>
  <c r="J1457" i="1"/>
  <c r="G1457" i="1" s="1"/>
  <c r="F1457" i="1"/>
  <c r="G8" i="2"/>
  <c r="F8" i="2"/>
  <c r="O8" i="2" l="1"/>
  <c r="P8" i="2" s="1"/>
  <c r="J8" i="2"/>
  <c r="K8" i="2" s="1"/>
  <c r="H8" i="2"/>
  <c r="I8" i="2" s="1"/>
  <c r="I1457" i="1"/>
  <c r="E1458" i="1" s="1"/>
  <c r="H1458" i="1" l="1"/>
  <c r="J1458" i="1"/>
  <c r="G1458" i="1" s="1"/>
  <c r="F1458" i="1"/>
  <c r="Q8" i="2"/>
  <c r="L8" i="2" s="1"/>
  <c r="M8" i="2" s="1"/>
  <c r="I1458" i="1" l="1"/>
  <c r="E1459" i="1" s="1"/>
  <c r="H1459" i="1" l="1"/>
  <c r="J1459" i="1"/>
  <c r="G1459" i="1" s="1"/>
  <c r="F1459" i="1"/>
  <c r="I1459" i="1" l="1"/>
  <c r="E1460" i="1" s="1"/>
  <c r="H1460" i="1" l="1"/>
  <c r="F1460" i="1"/>
  <c r="J1460" i="1"/>
  <c r="G1460" i="1" s="1"/>
  <c r="I1460" i="1" l="1"/>
  <c r="E1461" i="1" s="1"/>
  <c r="J1461" i="1" l="1"/>
  <c r="G1461" i="1" s="1"/>
  <c r="H1461" i="1"/>
  <c r="F1461" i="1"/>
  <c r="I1461" i="1" l="1"/>
  <c r="E1462" i="1" s="1"/>
  <c r="J1462" i="1" l="1"/>
  <c r="G1462" i="1" s="1"/>
  <c r="H1462" i="1"/>
  <c r="F1462" i="1"/>
  <c r="I1462" i="1" l="1"/>
  <c r="E1463" i="1" s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H1468" i="1" l="1"/>
  <c r="J1468" i="1"/>
  <c r="G1468" i="1" s="1"/>
  <c r="F1468" i="1"/>
  <c r="I1468" i="1" l="1"/>
  <c r="E1469" i="1" s="1"/>
  <c r="H1469" i="1" l="1"/>
  <c r="J1469" i="1"/>
  <c r="G1469" i="1" s="1"/>
  <c r="F1469" i="1"/>
  <c r="I1469" i="1" l="1"/>
  <c r="E1470" i="1" s="1"/>
  <c r="H1470" i="1" l="1"/>
  <c r="J1470" i="1"/>
  <c r="G1470" i="1" s="1"/>
  <c r="F1470" i="1"/>
  <c r="I1470" i="1" l="1"/>
  <c r="E1471" i="1" s="1"/>
  <c r="J1471" i="1" l="1"/>
  <c r="G1471" i="1" s="1"/>
  <c r="H1471" i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J1474" i="1" l="1"/>
  <c r="G1474" i="1" s="1"/>
  <c r="F1474" i="1"/>
  <c r="H1474" i="1"/>
  <c r="I1474" i="1" s="1"/>
  <c r="E1475" i="1" s="1"/>
  <c r="J1475" i="1" l="1"/>
  <c r="G1475" i="1" s="1"/>
  <c r="H1475" i="1"/>
  <c r="I1475" i="1" s="1"/>
  <c r="E1476" i="1" s="1"/>
  <c r="F1475" i="1"/>
  <c r="J1476" i="1" l="1"/>
  <c r="G1476" i="1" s="1"/>
  <c r="H1476" i="1"/>
  <c r="I1476" i="1" s="1"/>
  <c r="E1477" i="1" s="1"/>
  <c r="F1476" i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l="1"/>
  <c r="E1480" i="1" s="1"/>
  <c r="J1480" i="1" l="1"/>
  <c r="G1480" i="1" s="1"/>
  <c r="H1480" i="1"/>
  <c r="F1480" i="1"/>
  <c r="I1480" i="1" l="1"/>
  <c r="E1481" i="1" s="1"/>
  <c r="H1481" i="1" l="1"/>
  <c r="F1481" i="1"/>
  <c r="J1481" i="1"/>
  <c r="G1481" i="1" s="1"/>
  <c r="I1481" i="1" l="1"/>
  <c r="E1482" i="1" s="1"/>
  <c r="H1482" i="1" l="1"/>
  <c r="J1482" i="1"/>
  <c r="G1482" i="1" s="1"/>
  <c r="F1482" i="1"/>
  <c r="I1482" i="1" l="1"/>
  <c r="E1483" i="1" s="1"/>
  <c r="H1483" i="1" l="1"/>
  <c r="F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F1485" i="1" l="1"/>
  <c r="H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J1488" i="1" l="1"/>
  <c r="G1488" i="1" s="1"/>
  <c r="H1488" i="1"/>
  <c r="F1488" i="1"/>
  <c r="I1488" i="1" l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l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I1494" i="1" s="1"/>
  <c r="E1495" i="1" s="1"/>
  <c r="J1494" i="1"/>
  <c r="G1494" i="1" s="1"/>
  <c r="J1495" i="1" l="1"/>
  <c r="G1495" i="1" s="1"/>
  <c r="H1495" i="1"/>
  <c r="F1495" i="1"/>
  <c r="I1495" i="1" l="1"/>
  <c r="E1496" i="1" s="1"/>
  <c r="F1496" i="1" l="1"/>
  <c r="J1496" i="1"/>
  <c r="G1496" i="1" s="1"/>
  <c r="H1496" i="1"/>
  <c r="I1496" i="1" l="1"/>
  <c r="E1497" i="1" s="1"/>
  <c r="J1497" i="1" l="1"/>
  <c r="G1497" i="1" s="1"/>
  <c r="H1497" i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H1499" i="1"/>
  <c r="F1499" i="1"/>
  <c r="I1499" i="1" l="1"/>
  <c r="E1500" i="1" s="1"/>
  <c r="J1500" i="1" l="1"/>
  <c r="G1500" i="1" s="1"/>
  <c r="H1500" i="1"/>
  <c r="F1500" i="1"/>
  <c r="I1500" i="1" l="1"/>
  <c r="E1501" i="1" s="1"/>
  <c r="H1501" i="1" l="1"/>
  <c r="J1501" i="1"/>
  <c r="G1501" i="1" s="1"/>
  <c r="F1501" i="1"/>
  <c r="I1501" i="1" l="1"/>
  <c r="E1502" i="1" s="1"/>
  <c r="F1502" i="1" l="1"/>
  <c r="J1502" i="1"/>
  <c r="G1502" i="1" s="1"/>
  <c r="H1502" i="1"/>
  <c r="I1502" i="1" s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l="1"/>
  <c r="E1505" i="1" s="1"/>
  <c r="H1505" i="1" l="1"/>
  <c r="J1505" i="1"/>
  <c r="G1505" i="1" s="1"/>
  <c r="F1505" i="1"/>
  <c r="I1505" i="1" l="1"/>
  <c r="E1506" i="1" s="1"/>
  <c r="H1506" i="1" l="1"/>
  <c r="J1506" i="1"/>
  <c r="G1506" i="1" s="1"/>
  <c r="F1506" i="1"/>
  <c r="I1506" i="1" l="1"/>
  <c r="E1507" i="1" s="1"/>
  <c r="J1507" i="1" l="1"/>
  <c r="G1507" i="1" s="1"/>
  <c r="H1507" i="1"/>
  <c r="F1507" i="1"/>
  <c r="I1507" i="1" l="1"/>
  <c r="E1508" i="1" s="1"/>
  <c r="F1508" i="1" l="1"/>
  <c r="H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F1517" i="1" l="1"/>
  <c r="H1517" i="1"/>
  <c r="J1517" i="1"/>
  <c r="G1517" i="1" s="1"/>
  <c r="I1517" i="1" l="1"/>
  <c r="E1518" i="1" s="1"/>
  <c r="J1518" i="1" l="1"/>
  <c r="G1518" i="1" s="1"/>
  <c r="H1518" i="1"/>
  <c r="F1518" i="1"/>
  <c r="I1518" i="1" l="1"/>
  <c r="E1519" i="1" s="1"/>
  <c r="F1519" i="1" l="1"/>
  <c r="J1519" i="1"/>
  <c r="G1519" i="1" s="1"/>
  <c r="H1519" i="1"/>
  <c r="I1519" i="1" s="1"/>
  <c r="E1520" i="1" s="1"/>
  <c r="F1520" i="1" l="1"/>
  <c r="H1520" i="1"/>
  <c r="J1520" i="1"/>
  <c r="G1520" i="1" s="1"/>
  <c r="I1520" i="1" l="1"/>
  <c r="E1521" i="1" s="1"/>
  <c r="F1521" i="1" l="1"/>
  <c r="J1521" i="1"/>
  <c r="G1521" i="1" s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J1525" i="1" l="1"/>
  <c r="G1525" i="1" s="1"/>
  <c r="H1525" i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H1527" i="1"/>
  <c r="F1527" i="1"/>
  <c r="I1527" i="1" l="1"/>
  <c r="E1528" i="1" s="1"/>
  <c r="H1528" i="1" l="1"/>
  <c r="F1528" i="1"/>
  <c r="J1528" i="1"/>
  <c r="G1528" i="1" s="1"/>
  <c r="I1528" i="1" l="1"/>
  <c r="E1529" i="1" s="1"/>
  <c r="H1529" i="1" l="1"/>
  <c r="F1529" i="1"/>
  <c r="J1529" i="1"/>
  <c r="G1529" i="1" s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H1532" i="1" l="1"/>
  <c r="J1532" i="1"/>
  <c r="G1532" i="1" s="1"/>
  <c r="F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H1535" i="1" l="1"/>
  <c r="F1535" i="1"/>
  <c r="J1535" i="1"/>
  <c r="G1535" i="1" s="1"/>
  <c r="I1535" i="1" l="1"/>
  <c r="E1536" i="1" s="1"/>
  <c r="F1536" i="1" l="1"/>
  <c r="J1536" i="1"/>
  <c r="G1536" i="1" s="1"/>
  <c r="H1536" i="1"/>
  <c r="I1536" i="1" s="1"/>
  <c r="E1537" i="1" s="1"/>
  <c r="F1537" i="1" l="1"/>
  <c r="J1537" i="1"/>
  <c r="G1537" i="1" s="1"/>
  <c r="H1537" i="1"/>
  <c r="I1537" i="1" l="1"/>
  <c r="E1538" i="1" s="1"/>
  <c r="H1538" i="1" l="1"/>
  <c r="F1538" i="1"/>
  <c r="J1538" i="1"/>
  <c r="G1538" i="1" s="1"/>
  <c r="I1538" i="1" l="1"/>
  <c r="E1539" i="1" s="1"/>
  <c r="F1539" i="1" l="1"/>
  <c r="H1539" i="1"/>
  <c r="J1539" i="1"/>
  <c r="G1539" i="1" s="1"/>
  <c r="I1539" i="1" l="1"/>
  <c r="E1540" i="1" s="1"/>
  <c r="J1540" i="1" l="1"/>
  <c r="G1540" i="1" s="1"/>
  <c r="H1540" i="1"/>
  <c r="F1540" i="1"/>
  <c r="I1540" i="1" l="1"/>
  <c r="E1541" i="1" s="1"/>
  <c r="H1541" i="1" l="1"/>
  <c r="F1541" i="1"/>
  <c r="J1541" i="1"/>
  <c r="G1541" i="1" s="1"/>
  <c r="I1541" i="1" l="1"/>
  <c r="E1542" i="1" s="1"/>
  <c r="F1542" i="1" l="1"/>
  <c r="H1542" i="1"/>
  <c r="J1542" i="1"/>
  <c r="G1542" i="1" s="1"/>
  <c r="I1542" i="1" l="1"/>
  <c r="E1543" i="1" s="1"/>
  <c r="H1543" i="1" l="1"/>
  <c r="J1543" i="1"/>
  <c r="G1543" i="1" s="1"/>
  <c r="F1543" i="1"/>
  <c r="I1543" i="1" l="1"/>
  <c r="E1544" i="1" s="1"/>
  <c r="H1544" i="1" l="1"/>
  <c r="J1544" i="1"/>
  <c r="G1544" i="1" s="1"/>
  <c r="F1544" i="1"/>
  <c r="I1544" i="1" l="1"/>
  <c r="E1545" i="1" s="1"/>
  <c r="H1545" i="1" l="1"/>
  <c r="F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F1549" i="1" l="1"/>
  <c r="J1549" i="1"/>
  <c r="G1549" i="1" s="1"/>
  <c r="H1549" i="1"/>
  <c r="I1549" i="1" s="1"/>
  <c r="E1550" i="1" s="1"/>
  <c r="F1550" i="1" l="1"/>
  <c r="H1550" i="1"/>
  <c r="J1550" i="1"/>
  <c r="G1550" i="1" s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F1553" i="1" l="1"/>
  <c r="H1553" i="1"/>
  <c r="J1553" i="1"/>
  <c r="G1553" i="1" s="1"/>
  <c r="I1553" i="1" l="1"/>
  <c r="E1554" i="1" s="1"/>
  <c r="H1554" i="1" l="1"/>
  <c r="J1554" i="1"/>
  <c r="G1554" i="1" s="1"/>
  <c r="F1554" i="1"/>
  <c r="I1554" i="1" l="1"/>
  <c r="E1555" i="1" s="1"/>
  <c r="H1555" i="1" l="1"/>
  <c r="J1555" i="1"/>
  <c r="G1555" i="1" s="1"/>
  <c r="F1555" i="1"/>
  <c r="I1555" i="1" l="1"/>
  <c r="E1556" i="1" s="1"/>
  <c r="H1556" i="1" l="1"/>
  <c r="J1556" i="1"/>
  <c r="G1556" i="1" s="1"/>
  <c r="F1556" i="1"/>
  <c r="I1556" i="1" l="1"/>
  <c r="E1557" i="1" s="1"/>
  <c r="H1557" i="1" l="1"/>
  <c r="J1557" i="1"/>
  <c r="G1557" i="1" s="1"/>
  <c r="F1557" i="1"/>
  <c r="I1557" i="1" l="1"/>
  <c r="E1558" i="1" s="1"/>
  <c r="J1558" i="1" l="1"/>
  <c r="G1558" i="1" s="1"/>
  <c r="H1558" i="1"/>
  <c r="F1558" i="1"/>
  <c r="I1558" i="1" l="1"/>
  <c r="E1559" i="1" s="1"/>
  <c r="F1559" i="1" l="1"/>
  <c r="J1559" i="1"/>
  <c r="G1559" i="1" s="1"/>
  <c r="H1559" i="1"/>
  <c r="I1559" i="1" s="1"/>
  <c r="E1560" i="1" s="1"/>
  <c r="H1560" i="1" s="1"/>
  <c r="F1560" i="1" l="1"/>
  <c r="J1560" i="1"/>
  <c r="G1560" i="1" s="1"/>
  <c r="I1560" i="1" s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J1652" i="1"/>
  <c r="G1652" i="1" s="1"/>
  <c r="F1652" i="1"/>
  <c r="I1652" i="1" l="1"/>
  <c r="E1653" i="1" s="1"/>
  <c r="H1653" i="1" s="1"/>
  <c r="F1653" i="1" l="1"/>
  <c r="J1653" i="1"/>
  <c r="G1653" i="1" s="1"/>
  <c r="I1653" i="1" s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F1773" i="1"/>
  <c r="J1773" i="1"/>
  <c r="G1773" i="1" s="1"/>
  <c r="I1773" i="1" l="1"/>
  <c r="E1774" i="1" s="1"/>
  <c r="H1774" i="1" s="1"/>
  <c r="J1774" i="1" l="1"/>
  <c r="G1774" i="1" s="1"/>
  <c r="F1774" i="1"/>
  <c r="I1774" i="1" s="1"/>
  <c r="E1775" i="1" s="1"/>
  <c r="F1775" i="1" l="1"/>
  <c r="J1775" i="1"/>
  <c r="G1775" i="1" s="1"/>
  <c r="H1775" i="1"/>
  <c r="I1775" i="1" s="1"/>
  <c r="E1776" i="1" s="1"/>
  <c r="J1776" i="1" l="1"/>
  <c r="G1776" i="1" s="1"/>
  <c r="H1776" i="1"/>
  <c r="F1776" i="1"/>
  <c r="I1776" i="1" l="1"/>
  <c r="E1777" i="1" s="1"/>
  <c r="J1777" i="1"/>
  <c r="G1777" i="1" s="1"/>
  <c r="H1777" i="1"/>
  <c r="F1777" i="1"/>
  <c r="I1777" i="1" l="1"/>
  <c r="E1778" i="1" s="1"/>
  <c r="J1778" i="1"/>
  <c r="G1778" i="1" s="1"/>
  <c r="H1778" i="1"/>
  <c r="F1778" i="1"/>
  <c r="I1778" i="1" l="1"/>
  <c r="E1779" i="1" s="1"/>
  <c r="H1779" i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F1781" i="1"/>
  <c r="I1781" i="1" l="1"/>
  <c r="E1782" i="1" s="1"/>
  <c r="H1782" i="1" s="1"/>
  <c r="F1782" i="1"/>
  <c r="J1782" i="1"/>
  <c r="G1782" i="1" s="1"/>
  <c r="I1782" i="1" l="1"/>
  <c r="E1783" i="1" s="1"/>
  <c r="H1783" i="1" l="1"/>
  <c r="F1783" i="1"/>
  <c r="J1783" i="1"/>
  <c r="G1783" i="1" s="1"/>
  <c r="I1783" i="1" l="1"/>
  <c r="E1784" i="1" s="1"/>
  <c r="J1784" i="1" s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F1789" i="1"/>
  <c r="I1789" i="1" l="1"/>
  <c r="E1790" i="1" s="1"/>
  <c r="H1790" i="1" s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F1792" i="1"/>
  <c r="I1792" i="1" l="1"/>
  <c r="E1793" i="1" s="1"/>
  <c r="J1793" i="1" s="1"/>
  <c r="G1793" i="1" s="1"/>
  <c r="F1793" i="1" l="1"/>
  <c r="H1793" i="1"/>
  <c r="I1793" i="1" s="1"/>
  <c r="E1794" i="1" s="1"/>
  <c r="H1794" i="1" s="1"/>
  <c r="F1794" i="1" l="1"/>
  <c r="J1794" i="1"/>
  <c r="G1794" i="1" s="1"/>
  <c r="I1794" i="1" s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F1800" i="1"/>
  <c r="I1800" i="1" l="1"/>
  <c r="E1801" i="1" s="1"/>
  <c r="H1801" i="1" s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l="1"/>
  <c r="E1805" i="1" s="1"/>
  <c r="H1805" i="1" s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l="1"/>
  <c r="E1809" i="1" s="1"/>
  <c r="H1809" i="1" s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F1811" i="1"/>
  <c r="I1811" i="1" l="1"/>
  <c r="E1812" i="1" s="1"/>
  <c r="J1812" i="1" s="1"/>
  <c r="G1812" i="1" s="1"/>
  <c r="F1812" i="1" l="1"/>
  <c r="H1812" i="1"/>
  <c r="I1812" i="1" s="1"/>
  <c r="E1813" i="1" s="1"/>
  <c r="H1813" i="1" s="1"/>
  <c r="F1813" i="1" l="1"/>
  <c r="J1813" i="1"/>
  <c r="G1813" i="1" s="1"/>
  <c r="I1813" i="1" s="1"/>
  <c r="E1814" i="1" s="1"/>
  <c r="J1814" i="1" l="1"/>
  <c r="G1814" i="1" s="1"/>
  <c r="F1814" i="1"/>
  <c r="H1814" i="1"/>
  <c r="I1814" i="1" l="1"/>
  <c r="E1815" i="1" s="1"/>
  <c r="J1815" i="1" s="1"/>
  <c r="G1815" i="1" s="1"/>
  <c r="F1815" i="1"/>
  <c r="H1815" i="1"/>
  <c r="I1815" i="1" l="1"/>
  <c r="E1816" i="1" s="1"/>
  <c r="J1816" i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F1819" i="1"/>
  <c r="I1819" i="1" l="1"/>
  <c r="E1820" i="1" s="1"/>
  <c r="H1820" i="1" s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l="1"/>
  <c r="E1823" i="1" s="1"/>
  <c r="H1823" i="1" s="1"/>
  <c r="F1823" i="1"/>
  <c r="J1823" i="1"/>
  <c r="G1823" i="1" s="1"/>
  <c r="I1823" i="1" l="1"/>
  <c r="E1824" i="1" s="1"/>
  <c r="J1824" i="1" l="1"/>
  <c r="G1824" i="1" s="1"/>
  <c r="F1824" i="1"/>
  <c r="H1824" i="1"/>
  <c r="I1824" i="1" l="1"/>
  <c r="E1825" i="1" s="1"/>
  <c r="H1825" i="1" s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F1841" i="1"/>
  <c r="I1841" i="1" l="1"/>
  <c r="E1842" i="1" s="1"/>
  <c r="H1842" i="1" s="1"/>
  <c r="F1842" i="1"/>
  <c r="J1842" i="1" l="1"/>
  <c r="G1842" i="1" s="1"/>
  <c r="I1842" i="1" s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l="1"/>
  <c r="E1849" i="1" s="1"/>
  <c r="J1849" i="1" s="1"/>
  <c r="G1849" i="1" s="1"/>
  <c r="F1849" i="1"/>
  <c r="H1849" i="1"/>
  <c r="I1849" i="1" l="1"/>
  <c r="E1850" i="1" s="1"/>
  <c r="H1850" i="1" s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F1856" i="1"/>
  <c r="I1856" i="1" l="1"/>
  <c r="E1857" i="1" s="1"/>
  <c r="J1857" i="1" s="1"/>
  <c r="G1857" i="1" s="1"/>
  <c r="H1857" i="1" l="1"/>
  <c r="F1857" i="1"/>
  <c r="I1857" i="1" l="1"/>
  <c r="E1858" i="1" s="1"/>
  <c r="H1858" i="1" l="1"/>
  <c r="J1858" i="1"/>
  <c r="G1858" i="1" s="1"/>
  <c r="F1858" i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J1862" i="1"/>
  <c r="G1862" i="1" s="1"/>
  <c r="F1862" i="1"/>
  <c r="I1862" i="1" l="1"/>
  <c r="E1863" i="1" s="1"/>
  <c r="F1863" i="1" l="1"/>
  <c r="H1863" i="1"/>
  <c r="J1863" i="1"/>
  <c r="G1863" i="1" s="1"/>
  <c r="I1863" i="1" l="1"/>
  <c r="E1864" i="1" s="1"/>
  <c r="J1864" i="1" l="1"/>
  <c r="G1864" i="1" s="1"/>
  <c r="H1864" i="1"/>
  <c r="F1864" i="1"/>
  <c r="I1864" i="1" l="1"/>
  <c r="E1865" i="1" s="1"/>
  <c r="F1865" i="1" l="1"/>
  <c r="J1865" i="1"/>
  <c r="G1865" i="1" s="1"/>
  <c r="H1865" i="1"/>
  <c r="I1865" i="1" l="1"/>
  <c r="E1866" i="1" s="1"/>
  <c r="H1866" i="1" l="1"/>
  <c r="F1866" i="1"/>
  <c r="J1866" i="1"/>
  <c r="G1866" i="1" s="1"/>
  <c r="I1866" i="1" l="1"/>
  <c r="E1867" i="1" s="1"/>
  <c r="F1867" i="1" l="1"/>
  <c r="J1867" i="1"/>
  <c r="G1867" i="1" s="1"/>
  <c r="H1867" i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F1873" i="1" l="1"/>
  <c r="J1873" i="1"/>
  <c r="G1873" i="1" s="1"/>
  <c r="H1873" i="1"/>
  <c r="I1873" i="1" l="1"/>
  <c r="E1874" i="1" s="1"/>
  <c r="H1874" i="1" l="1"/>
  <c r="J1874" i="1"/>
  <c r="G1874" i="1" s="1"/>
  <c r="F1874" i="1"/>
  <c r="I1874" i="1" l="1"/>
  <c r="E1875" i="1" s="1"/>
  <c r="J1875" i="1" l="1"/>
  <c r="G1875" i="1" s="1"/>
  <c r="H1875" i="1"/>
  <c r="F1875" i="1"/>
  <c r="I1875" i="1" l="1"/>
  <c r="E1876" i="1" s="1"/>
  <c r="F1876" i="1" l="1"/>
  <c r="H1876" i="1"/>
  <c r="J1876" i="1"/>
  <c r="G1876" i="1" s="1"/>
  <c r="I1876" i="1" l="1"/>
  <c r="E1877" i="1" s="1"/>
  <c r="F1877" i="1" l="1"/>
  <c r="H1877" i="1"/>
  <c r="J1877" i="1"/>
  <c r="G1877" i="1" s="1"/>
  <c r="I1877" i="1" l="1"/>
  <c r="E1878" i="1" s="1"/>
  <c r="F1878" i="1" l="1"/>
  <c r="H1878" i="1"/>
  <c r="J1878" i="1"/>
  <c r="G1878" i="1" s="1"/>
  <c r="I1878" i="1" l="1"/>
  <c r="E1879" i="1" s="1"/>
  <c r="F1879" i="1" l="1"/>
  <c r="H1879" i="1"/>
  <c r="J1879" i="1"/>
  <c r="G1879" i="1" s="1"/>
  <c r="I1879" i="1" l="1"/>
  <c r="E1880" i="1" s="1"/>
  <c r="H1880" i="1" l="1"/>
  <c r="J1880" i="1"/>
  <c r="G1880" i="1" s="1"/>
  <c r="F1880" i="1"/>
  <c r="I1880" i="1" l="1"/>
  <c r="E1881" i="1" s="1"/>
  <c r="J1881" i="1" l="1"/>
  <c r="G1881" i="1" s="1"/>
  <c r="F1881" i="1"/>
  <c r="H1881" i="1"/>
  <c r="I1881" i="1" s="1"/>
  <c r="E1882" i="1" s="1"/>
  <c r="F1882" i="1" l="1"/>
  <c r="H1882" i="1"/>
  <c r="J1882" i="1"/>
  <c r="G1882" i="1" s="1"/>
  <c r="I1882" i="1" l="1"/>
  <c r="E1883" i="1" s="1"/>
  <c r="F1883" i="1" l="1"/>
  <c r="H1883" i="1"/>
  <c r="J1883" i="1"/>
  <c r="G1883" i="1" s="1"/>
  <c r="I1883" i="1" l="1"/>
  <c r="E1884" i="1" s="1"/>
  <c r="F1884" i="1" l="1"/>
  <c r="H1884" i="1"/>
  <c r="J1884" i="1"/>
  <c r="G1884" i="1" s="1"/>
  <c r="I1884" i="1" l="1"/>
  <c r="E1885" i="1" s="1"/>
  <c r="H1885" i="1" l="1"/>
  <c r="F1885" i="1"/>
  <c r="J1885" i="1"/>
  <c r="G1885" i="1" s="1"/>
  <c r="I1885" i="1" l="1"/>
  <c r="E1886" i="1" s="1"/>
  <c r="J1886" i="1" l="1"/>
  <c r="G1886" i="1" s="1"/>
  <c r="F1886" i="1"/>
  <c r="H1886" i="1"/>
  <c r="I1886" i="1" s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I1889" i="1" s="1"/>
  <c r="E1890" i="1" s="1"/>
  <c r="F1889" i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F1892" i="1" l="1"/>
  <c r="J1892" i="1"/>
  <c r="G1892" i="1" s="1"/>
  <c r="H1892" i="1"/>
  <c r="I1892" i="1" l="1"/>
  <c r="E1893" i="1" s="1"/>
  <c r="H1893" i="1" l="1"/>
  <c r="J1893" i="1"/>
  <c r="G1893" i="1" s="1"/>
  <c r="F1893" i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F1896" i="1"/>
  <c r="J1896" i="1"/>
  <c r="G1896" i="1" s="1"/>
  <c r="I1896" i="1" l="1"/>
  <c r="E1897" i="1" s="1"/>
  <c r="J1897" i="1" l="1"/>
  <c r="G1897" i="1" s="1"/>
  <c r="H1897" i="1"/>
  <c r="I1897" i="1" s="1"/>
  <c r="E1898" i="1" s="1"/>
  <c r="F1897" i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J1900" i="1" l="1"/>
  <c r="G1900" i="1" s="1"/>
  <c r="H1900" i="1"/>
  <c r="I1900" i="1" s="1"/>
  <c r="E1901" i="1" s="1"/>
  <c r="F1900" i="1"/>
  <c r="H1901" i="1" l="1"/>
  <c r="J1901" i="1"/>
  <c r="G1901" i="1" s="1"/>
  <c r="F1901" i="1"/>
  <c r="I1901" i="1" l="1"/>
  <c r="E1902" i="1" s="1"/>
  <c r="F1902" i="1" l="1"/>
  <c r="H1902" i="1"/>
  <c r="J1902" i="1"/>
  <c r="G1902" i="1" s="1"/>
  <c r="I1902" i="1" l="1"/>
  <c r="E1903" i="1" s="1"/>
  <c r="H1903" i="1" l="1"/>
  <c r="J1903" i="1"/>
  <c r="G1903" i="1" s="1"/>
  <c r="F1903" i="1"/>
  <c r="I1903" i="1" l="1"/>
  <c r="E1904" i="1" s="1"/>
  <c r="H1904" i="1" l="1"/>
  <c r="F1904" i="1"/>
  <c r="J1904" i="1"/>
  <c r="G1904" i="1" s="1"/>
  <c r="I1904" i="1" l="1"/>
  <c r="E1905" i="1" s="1"/>
  <c r="H1905" i="1" l="1"/>
  <c r="J1905" i="1"/>
  <c r="G1905" i="1" s="1"/>
  <c r="F1905" i="1"/>
  <c r="I1905" i="1" l="1"/>
  <c r="E1906" i="1" s="1"/>
  <c r="J1906" i="1" l="1"/>
  <c r="G1906" i="1" s="1"/>
  <c r="F1906" i="1"/>
  <c r="H1906" i="1"/>
  <c r="I1906" i="1" l="1"/>
  <c r="E1907" i="1" s="1"/>
  <c r="J1907" i="1" l="1"/>
  <c r="G1907" i="1" s="1"/>
  <c r="H1907" i="1"/>
  <c r="I1907" i="1" s="1"/>
  <c r="E1908" i="1" s="1"/>
  <c r="H1908" i="1" s="1"/>
  <c r="F1907" i="1"/>
  <c r="J1908" i="1" l="1"/>
  <c r="G1908" i="1" s="1"/>
  <c r="F1908" i="1"/>
  <c r="I1908" i="1" s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F1969" i="1"/>
  <c r="I1969" i="1" l="1"/>
  <c r="E1970" i="1" s="1"/>
  <c r="J1970" i="1" s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F1981" i="1"/>
  <c r="I1981" i="1" l="1"/>
  <c r="E1982" i="1" s="1"/>
  <c r="H1982" i="1" s="1"/>
  <c r="J1982" i="1" l="1"/>
  <c r="G1982" i="1" s="1"/>
  <c r="F1982" i="1"/>
  <c r="I1982" i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l="1"/>
  <c r="E2130" i="1" s="1"/>
  <c r="H2130" i="1" s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G9" i="2"/>
  <c r="F9" i="2"/>
  <c r="O9" i="2" l="1"/>
  <c r="P9" i="2" s="1"/>
  <c r="J9" i="2"/>
  <c r="K9" i="2" s="1"/>
  <c r="H9" i="2"/>
  <c r="I9" i="2" s="1"/>
  <c r="I2177" i="1"/>
  <c r="E2178" i="1" s="1"/>
  <c r="Q9" i="2" l="1"/>
  <c r="L9" i="2" s="1"/>
  <c r="M9" i="2" s="1"/>
  <c r="J2178" i="1"/>
  <c r="G2178" i="1" s="1"/>
  <c r="H2178" i="1"/>
  <c r="F2178" i="1"/>
  <c r="I2178" i="1" l="1"/>
  <c r="E2179" i="1" s="1"/>
  <c r="H2179" i="1" s="1"/>
  <c r="F2179" i="1" l="1"/>
  <c r="J2179" i="1"/>
  <c r="G2179" i="1" s="1"/>
  <c r="I2179" i="1" s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F2189" i="1"/>
  <c r="I2189" i="1" l="1"/>
  <c r="E2190" i="1" s="1"/>
  <c r="H2190" i="1" s="1"/>
  <c r="J2190" i="1" l="1"/>
  <c r="G2190" i="1" s="1"/>
  <c r="F2190" i="1"/>
  <c r="I2190" i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F2231" i="1"/>
  <c r="I2231" i="1" l="1"/>
  <c r="E2232" i="1" s="1"/>
  <c r="J2232" i="1"/>
  <c r="G2232" i="1" s="1"/>
  <c r="H2232" i="1"/>
  <c r="F2232" i="1"/>
  <c r="I2232" i="1" l="1"/>
  <c r="E2233" i="1" s="1"/>
  <c r="H2233" i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l="1"/>
  <c r="E2257" i="1" s="1"/>
  <c r="H2257" i="1" s="1"/>
  <c r="F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F2272" i="1"/>
  <c r="I2272" i="1" l="1"/>
  <c r="E2273" i="1" s="1"/>
  <c r="H2273" i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F2280" i="1"/>
  <c r="I2280" i="1" l="1"/>
  <c r="E2281" i="1" s="1"/>
  <c r="H2281" i="1" s="1"/>
  <c r="J2281" i="1" l="1"/>
  <c r="G2281" i="1" s="1"/>
  <c r="F2281" i="1"/>
  <c r="I2281" i="1" s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J2291" i="1" s="1"/>
  <c r="G2291" i="1" s="1"/>
  <c r="H2291" i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F2295" i="1"/>
  <c r="I2295" i="1" l="1"/>
  <c r="E2296" i="1" s="1"/>
  <c r="J2296" i="1" s="1"/>
  <c r="G2296" i="1" s="1"/>
  <c r="H2296" i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 s="1"/>
  <c r="G2328" i="1" s="1"/>
  <c r="H2328" i="1"/>
  <c r="F2328" i="1"/>
  <c r="I2328" i="1" l="1"/>
  <c r="E2329" i="1" s="1"/>
  <c r="H2329" i="1" s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F2331" i="1"/>
  <c r="I2331" i="1" l="1"/>
  <c r="E2332" i="1" s="1"/>
  <c r="J2332" i="1" s="1"/>
  <c r="G2332" i="1" s="1"/>
  <c r="H2332" i="1"/>
  <c r="F2332" i="1"/>
  <c r="I2332" i="1" l="1"/>
  <c r="E2333" i="1" s="1"/>
  <c r="H2333" i="1" s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F2339" i="1"/>
  <c r="I2339" i="1" l="1"/>
  <c r="E2340" i="1" s="1"/>
  <c r="J2340" i="1" s="1"/>
  <c r="G2340" i="1" s="1"/>
  <c r="H2340" i="1"/>
  <c r="F2340" i="1"/>
  <c r="I2340" i="1" l="1"/>
  <c r="E2341" i="1" s="1"/>
  <c r="H2341" i="1" s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F2343" i="1"/>
  <c r="I2343" i="1" l="1"/>
  <c r="E2344" i="1" s="1"/>
  <c r="J2344" i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l="1"/>
  <c r="E2350" i="1" s="1"/>
  <c r="H2350" i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F2360" i="1"/>
  <c r="I2360" i="1" l="1"/>
  <c r="E2361" i="1" s="1"/>
  <c r="H2361" i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F2363" i="1"/>
  <c r="I2363" i="1" l="1"/>
  <c r="E2364" i="1" s="1"/>
  <c r="J2364" i="1" s="1"/>
  <c r="G2364" i="1" s="1"/>
  <c r="H2364" i="1"/>
  <c r="F2364" i="1"/>
  <c r="I2364" i="1" l="1"/>
  <c r="E2365" i="1" s="1"/>
  <c r="H2365" i="1" s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F2367" i="1"/>
  <c r="I2367" i="1" l="1"/>
  <c r="E2368" i="1" s="1"/>
  <c r="J2368" i="1" s="1"/>
  <c r="G2368" i="1" s="1"/>
  <c r="H2368" i="1"/>
  <c r="F2368" i="1"/>
  <c r="I2368" i="1" l="1"/>
  <c r="E2369" i="1" s="1"/>
  <c r="J2369" i="1"/>
  <c r="G2369" i="1" s="1"/>
  <c r="F2369" i="1"/>
  <c r="H2369" i="1"/>
  <c r="I2369" i="1" l="1"/>
  <c r="E2370" i="1" s="1"/>
  <c r="H2370" i="1" s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F2374" i="1"/>
  <c r="I2374" i="1" l="1"/>
  <c r="E2375" i="1" s="1"/>
  <c r="H2375" i="1" s="1"/>
  <c r="J2375" i="1"/>
  <c r="G2375" i="1" s="1"/>
  <c r="F2375" i="1"/>
  <c r="I2375" i="1" l="1"/>
  <c r="E2376" i="1" s="1"/>
  <c r="J2376" i="1" l="1"/>
  <c r="G2376" i="1" s="1"/>
  <c r="H2376" i="1"/>
  <c r="F2376" i="1"/>
  <c r="I2376" i="1" l="1"/>
  <c r="E2377" i="1" s="1"/>
  <c r="J2377" i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F2384" i="1"/>
  <c r="I2384" i="1" l="1"/>
  <c r="E2385" i="1" s="1"/>
  <c r="J2385" i="1"/>
  <c r="G2385" i="1" s="1"/>
  <c r="H2385" i="1"/>
  <c r="F2385" i="1"/>
  <c r="I2385" i="1" l="1"/>
  <c r="E2386" i="1" s="1"/>
  <c r="J2386" i="1" s="1"/>
  <c r="G2386" i="1" s="1"/>
  <c r="F2386" i="1"/>
  <c r="H2386" i="1"/>
  <c r="I2386" i="1" l="1"/>
  <c r="E2387" i="1" s="1"/>
  <c r="H2387" i="1" s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F2391" i="1"/>
  <c r="I2391" i="1" l="1"/>
  <c r="E2392" i="1" s="1"/>
  <c r="J2392" i="1"/>
  <c r="G2392" i="1" s="1"/>
  <c r="H2392" i="1"/>
  <c r="F2392" i="1"/>
  <c r="I2392" i="1" l="1"/>
  <c r="E2393" i="1" s="1"/>
  <c r="J2393" i="1" s="1"/>
  <c r="G2393" i="1" s="1"/>
  <c r="H2393" i="1"/>
  <c r="F2393" i="1"/>
  <c r="I2393" i="1" l="1"/>
  <c r="E2394" i="1" s="1"/>
  <c r="H2394" i="1" s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F2396" i="1"/>
  <c r="I2396" i="1" l="1"/>
  <c r="E2397" i="1" s="1"/>
  <c r="H2397" i="1" s="1"/>
  <c r="F2397" i="1" l="1"/>
  <c r="J2397" i="1"/>
  <c r="G2397" i="1" s="1"/>
  <c r="I2397" i="1" s="1"/>
  <c r="E2398" i="1" s="1"/>
  <c r="J2398" i="1" l="1"/>
  <c r="G2398" i="1" s="1"/>
  <c r="H2398" i="1"/>
  <c r="F2398" i="1"/>
  <c r="I2398" i="1" l="1"/>
  <c r="E2399" i="1" s="1"/>
  <c r="H2399" i="1" s="1"/>
  <c r="J2399" i="1"/>
  <c r="G2399" i="1" s="1"/>
  <c r="F2399" i="1"/>
  <c r="I2399" i="1" l="1"/>
  <c r="E2400" i="1" s="1"/>
  <c r="J2400" i="1" l="1"/>
  <c r="G2400" i="1" s="1"/>
  <c r="H2400" i="1"/>
  <c r="F2400" i="1"/>
  <c r="I2400" i="1" l="1"/>
  <c r="E2401" i="1" s="1"/>
  <c r="J2401" i="1"/>
  <c r="G2401" i="1" s="1"/>
  <c r="H2401" i="1"/>
  <c r="F2401" i="1"/>
  <c r="I2401" i="1" l="1"/>
  <c r="E2402" i="1" s="1"/>
  <c r="H2402" i="1" s="1"/>
  <c r="J2402" i="1"/>
  <c r="G2402" i="1" s="1"/>
  <c r="F2402" i="1"/>
  <c r="I2402" i="1" l="1"/>
  <c r="E2403" i="1" s="1"/>
  <c r="H2403" i="1" l="1"/>
  <c r="J2403" i="1"/>
  <c r="G2403" i="1" s="1"/>
  <c r="F2403" i="1"/>
  <c r="I2403" i="1" l="1"/>
  <c r="E2404" i="1" s="1"/>
  <c r="H2404" i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F2415" i="1"/>
  <c r="I2415" i="1" l="1"/>
  <c r="E2416" i="1" s="1"/>
  <c r="F2416" i="1"/>
  <c r="J2416" i="1"/>
  <c r="G2416" i="1" s="1"/>
  <c r="H2416" i="1"/>
  <c r="I2416" i="1" s="1"/>
  <c r="E2417" i="1" s="1"/>
  <c r="F2417" i="1" l="1"/>
  <c r="J2417" i="1"/>
  <c r="G2417" i="1" s="1"/>
  <c r="H2417" i="1"/>
  <c r="I2417" i="1" l="1"/>
  <c r="E2418" i="1" s="1"/>
  <c r="H2418" i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F2423" i="1"/>
  <c r="I2423" i="1" l="1"/>
  <c r="E2424" i="1" s="1"/>
  <c r="J2424" i="1" s="1"/>
  <c r="G2424" i="1" s="1"/>
  <c r="H2424" i="1"/>
  <c r="F2424" i="1"/>
  <c r="I2424" i="1" l="1"/>
  <c r="E2425" i="1" s="1"/>
  <c r="H2425" i="1" s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F2431" i="1"/>
  <c r="I2431" i="1" l="1"/>
  <c r="E2432" i="1" s="1"/>
  <c r="J2432" i="1" s="1"/>
  <c r="G2432" i="1" s="1"/>
  <c r="H2432" i="1"/>
  <c r="F2432" i="1"/>
  <c r="I2432" i="1" l="1"/>
  <c r="E2433" i="1" s="1"/>
  <c r="H2433" i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F2435" i="1"/>
  <c r="I2435" i="1" l="1"/>
  <c r="E2436" i="1" s="1"/>
  <c r="H2436" i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F2440" i="1"/>
  <c r="I2440" i="1" l="1"/>
  <c r="E2441" i="1" s="1"/>
  <c r="H2441" i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F2447" i="1"/>
  <c r="I2447" i="1" l="1"/>
  <c r="E2448" i="1" s="1"/>
  <c r="J2448" i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F2455" i="1"/>
  <c r="I2455" i="1" l="1"/>
  <c r="E2456" i="1" s="1"/>
  <c r="J2456" i="1"/>
  <c r="G2456" i="1" s="1"/>
  <c r="H2456" i="1"/>
  <c r="F2456" i="1"/>
  <c r="I2456" i="1" l="1"/>
  <c r="E2457" i="1" s="1"/>
  <c r="H2457" i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l="1"/>
  <c r="E2464" i="1" s="1"/>
  <c r="H2464" i="1" s="1"/>
  <c r="F2464" i="1"/>
  <c r="J2464" i="1" l="1"/>
  <c r="G2464" i="1" s="1"/>
  <c r="I2464" i="1" s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l="1"/>
  <c r="E2474" i="1" s="1"/>
  <c r="H2474" i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l="1"/>
  <c r="E2479" i="1" s="1"/>
  <c r="F2479" i="1"/>
  <c r="J2479" i="1"/>
  <c r="G2479" i="1" s="1"/>
  <c r="H2479" i="1"/>
  <c r="I2479" i="1" l="1"/>
  <c r="E2480" i="1" s="1"/>
  <c r="F2480" i="1" l="1"/>
  <c r="J2480" i="1"/>
  <c r="G2480" i="1" s="1"/>
  <c r="H2480" i="1"/>
  <c r="I2480" i="1" l="1"/>
  <c r="E2481" i="1" s="1"/>
  <c r="J2481" i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J2484" i="1"/>
  <c r="G2484" i="1" s="1"/>
  <c r="F2484" i="1"/>
  <c r="I2484" i="1" l="1"/>
  <c r="E2485" i="1" s="1"/>
  <c r="F2485" i="1"/>
  <c r="H2485" i="1"/>
  <c r="J2485" i="1"/>
  <c r="G2485" i="1" s="1"/>
  <c r="I2485" i="1" l="1"/>
  <c r="E2486" i="1" s="1"/>
  <c r="F2486" i="1" l="1"/>
  <c r="J2486" i="1"/>
  <c r="G2486" i="1" s="1"/>
  <c r="H2486" i="1"/>
  <c r="I2486" i="1" l="1"/>
  <c r="E2487" i="1" s="1"/>
  <c r="F2487" i="1" s="1"/>
  <c r="H2487" i="1" l="1"/>
  <c r="J2487" i="1"/>
  <c r="G2487" i="1" s="1"/>
  <c r="I2487" i="1" s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l="1"/>
  <c r="E2499" i="1" s="1"/>
  <c r="H2499" i="1" s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F2530" i="1"/>
  <c r="I2530" i="1" l="1"/>
  <c r="E2531" i="1" s="1"/>
  <c r="J2531" i="1" s="1"/>
  <c r="G2531" i="1" s="1"/>
  <c r="F2531" i="1"/>
  <c r="H2531" i="1" l="1"/>
  <c r="I2531" i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F2534" i="1"/>
  <c r="I2534" i="1" l="1"/>
  <c r="E2535" i="1" s="1"/>
  <c r="H2535" i="1" s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F2543" i="1"/>
  <c r="I2543" i="1" l="1"/>
  <c r="E2544" i="1" s="1"/>
  <c r="H2544" i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F2594" i="1"/>
  <c r="J2594" i="1"/>
  <c r="G2594" i="1" s="1"/>
  <c r="I2594" i="1" l="1"/>
  <c r="E2595" i="1" s="1"/>
  <c r="J2595" i="1" s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l="1"/>
  <c r="E2684" i="1" s="1"/>
  <c r="J2684" i="1"/>
  <c r="G2684" i="1" s="1"/>
  <c r="F2684" i="1"/>
  <c r="H2684" i="1"/>
  <c r="I2684" i="1" l="1"/>
  <c r="E2685" i="1" s="1"/>
  <c r="H2685" i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H2688" i="1"/>
  <c r="F2688" i="1"/>
  <c r="I2688" i="1" l="1"/>
  <c r="E2689" i="1" s="1"/>
  <c r="J2689" i="1" s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l="1"/>
  <c r="E2755" i="1" s="1"/>
  <c r="H2755" i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l="1"/>
  <c r="E2764" i="1" s="1"/>
  <c r="J2764" i="1"/>
  <c r="G2764" i="1" s="1"/>
  <c r="F2764" i="1"/>
  <c r="H2764" i="1"/>
  <c r="I2764" i="1" l="1"/>
  <c r="E2765" i="1" s="1"/>
  <c r="H2765" i="1" s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J2880" i="1"/>
  <c r="G2880" i="1" s="1"/>
  <c r="F2880" i="1"/>
  <c r="I2880" i="1" l="1"/>
  <c r="E2881" i="1" s="1"/>
  <c r="H2881" i="1" s="1"/>
  <c r="I2881" i="1" s="1"/>
  <c r="E2882" i="1" s="1"/>
  <c r="F2881" i="1"/>
  <c r="J2881" i="1"/>
  <c r="G2881" i="1" s="1"/>
  <c r="J2882" i="1" l="1"/>
  <c r="G2882" i="1" s="1"/>
  <c r="H2882" i="1"/>
  <c r="F2882" i="1"/>
  <c r="I2882" i="1" l="1"/>
  <c r="E2883" i="1" s="1"/>
  <c r="H2883" i="1" s="1"/>
  <c r="J2883" i="1"/>
  <c r="G2883" i="1" s="1"/>
  <c r="F2883" i="1"/>
  <c r="I2883" i="1" l="1"/>
  <c r="E2884" i="1" s="1"/>
  <c r="J2884" i="1" l="1"/>
  <c r="G2884" i="1" s="1"/>
  <c r="H2884" i="1"/>
  <c r="F2884" i="1"/>
  <c r="I2884" i="1" l="1"/>
  <c r="E2885" i="1" s="1"/>
  <c r="H2885" i="1" s="1"/>
  <c r="J2885" i="1"/>
  <c r="G2885" i="1" s="1"/>
  <c r="F2885" i="1" l="1"/>
  <c r="I2885" i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F2888" i="1"/>
  <c r="I2888" i="1" l="1"/>
  <c r="E2889" i="1" s="1"/>
  <c r="J2889" i="1" s="1"/>
  <c r="G2889" i="1" s="1"/>
  <c r="F2889" i="1" l="1"/>
  <c r="H2889" i="1"/>
  <c r="I2889" i="1" s="1"/>
  <c r="E2890" i="1" s="1"/>
  <c r="J2890" i="1" s="1"/>
  <c r="G2890" i="1" s="1"/>
  <c r="H2890" i="1" l="1"/>
  <c r="F2890" i="1"/>
  <c r="I2890" i="1" s="1"/>
  <c r="E2891" i="1" s="1"/>
  <c r="J2891" i="1" l="1"/>
  <c r="G2891" i="1" s="1"/>
  <c r="H2891" i="1"/>
  <c r="F2891" i="1"/>
  <c r="I2891" i="1" l="1"/>
  <c r="E2892" i="1" s="1"/>
  <c r="H2892" i="1" s="1"/>
  <c r="J2892" i="1"/>
  <c r="G2892" i="1" s="1"/>
  <c r="F2892" i="1"/>
  <c r="I2892" i="1" l="1"/>
  <c r="E2893" i="1" s="1"/>
  <c r="J2893" i="1" l="1"/>
  <c r="G2893" i="1" s="1"/>
  <c r="H2893" i="1"/>
  <c r="F2893" i="1"/>
  <c r="I2893" i="1" l="1"/>
  <c r="E2894" i="1" s="1"/>
  <c r="J2894" i="1" s="1"/>
  <c r="G2894" i="1" s="1"/>
  <c r="H2894" i="1"/>
  <c r="F2894" i="1"/>
  <c r="I2894" i="1" l="1"/>
  <c r="E2895" i="1" s="1"/>
  <c r="H2895" i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G10" i="2"/>
  <c r="F10" i="2"/>
  <c r="O10" i="2" l="1"/>
  <c r="P10" i="2" s="1"/>
  <c r="J10" i="2"/>
  <c r="K10" i="2" s="1"/>
  <c r="H10" i="2"/>
  <c r="I10" i="2" s="1"/>
  <c r="I2897" i="1"/>
  <c r="E2898" i="1" s="1"/>
  <c r="Q10" i="2" l="1"/>
  <c r="L10" i="2" s="1"/>
  <c r="M10" i="2" s="1"/>
  <c r="H2898" i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F2958" i="1"/>
  <c r="I2958" i="1" l="1"/>
  <c r="E2959" i="1" s="1"/>
  <c r="H2959" i="1" s="1"/>
  <c r="F2959" i="1" l="1"/>
  <c r="J2959" i="1"/>
  <c r="G2959" i="1" s="1"/>
  <c r="I2959" i="1" s="1"/>
  <c r="E2960" i="1" s="1"/>
  <c r="H2960" i="1" l="1"/>
  <c r="J2960" i="1"/>
  <c r="G2960" i="1" s="1"/>
  <c r="F2960" i="1"/>
  <c r="I2960" i="1" l="1"/>
  <c r="E2961" i="1" s="1"/>
  <c r="J2961" i="1" s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F2965" i="1"/>
  <c r="I2965" i="1" l="1"/>
  <c r="E2966" i="1" s="1"/>
  <c r="J2966" i="1" s="1"/>
  <c r="G2966" i="1" s="1"/>
  <c r="H2966" i="1" l="1"/>
  <c r="F2966" i="1"/>
  <c r="I2966" i="1" s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<sst xmlns="http://schemas.openxmlformats.org/spreadsheetml/2006/main" count="125" uniqueCount="103">
  <si>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</si>
  <si>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</si>
  <si>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</si>
  <si>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</si>
  <si>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</si>
  <si>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</si>
  <si>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</si>
  <si>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</si>
  <si>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</si>
  <si>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</si>
  <si>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</si>
  <si>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</si>
  <si>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</si>
  <si>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</si>
  <si>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</si>
  <si>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</si>
  <si>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</si>
  <si>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</si>
  <si>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</si>
  <si>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</si>
  <si>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</si>
  <si>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</si>
  <si>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</si>
  <si>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</si>
  <si>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</si>
  <si>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</si>
  <si>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</si>
  <si>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</si>
  <si>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</si>
  <si>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</si>
  <si>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</si>
  <si>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</si>
  <si>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</si>
  <si>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</si>
  <si>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</si>
  <si>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</si>
  <si>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</si>
  <si>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</si>
  <si>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</si>
  <si>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</si>
  <si>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</si>
  <si>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</si>
  <si>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</si>
  <si>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</si>
  <si>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</si>
  <si>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</si>
  <si>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</si>
  <si>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</si>
  <si>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</si>
  <si>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</si>
  <si>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</si>
  <si>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</si>
  <si>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</si>
  <si>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</si>
  <si>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</si>
  <si>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</si>
  <si>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</si>
  <si>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</si>
  <si>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</si>
  <si>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</si>
  <si>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</si>
  <si>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</si>
  <si>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</si>
  <si>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</si>
  <si>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</si>
  <si>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</si>
  <si>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</si>
  <si>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</si>
  <si>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</si>
  <si>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</si>
  <si>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</si>
  <si>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</si>
  <si>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</si>
  <si>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</si>
  <si>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</si>
  <si>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</si>
  <si>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</si>
  <si>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</si>
  <si>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</si>
  <si>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</si>
  <si>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</si>
  <si>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</si>
  <si>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</si>
  <si>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</si>
  <si>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</si>
  <si>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</si>
  <si>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</si>
  <si>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</si>
  <si>
    <t>Classe de l'âme</t>
  </si>
  <si>
    <t>c/t</t>
  </si>
  <si>
    <t>Alpha</t>
  </si>
  <si>
    <t>Psi</t>
  </si>
  <si>
    <t>Normal</t>
  </si>
  <si>
    <t>Incendie</t>
  </si>
  <si>
    <t>Epsilon</t>
  </si>
  <si>
    <t>Limite classe 2</t>
  </si>
  <si>
    <t>Limite classe 3</t>
  </si>
  <si>
    <t>Classe</t>
  </si>
  <si>
    <t>72 Epsilon / Eta</t>
  </si>
  <si>
    <t>LambdaWfi(0)</t>
  </si>
  <si>
    <t>Eta</t>
  </si>
  <si>
    <t>kTau</t>
  </si>
  <si>
    <t>F01B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</si>
</sst>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  <xf numFmtId="0" fontId="3" fillId="13" borderId="5" xfId="0" applyFont="1" applyFill="1" applyBorder="1"/>
    <xf numFmtId="0" fontId="3" fillId="13" borderId="6" xfId="0" applyFont="1" applyFill="1" applyBorder="1"/>
    <xf numFmtId="0" fontId="3" fillId="13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I11" sqref="I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49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0.35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223.81371627761374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0.38826217403878616</v>
      </c>
      <c r="J18" s="3">
        <f t="shared" si="3"/>
        <v>0.35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20.388262174038786</v>
      </c>
      <c r="F19" s="24">
        <f t="shared" si="0"/>
        <v>3164.0932188149054</v>
      </c>
      <c r="G19" s="14">
        <f t="shared" si="1"/>
        <v>470.19832761659961</v>
      </c>
      <c r="H19" s="24">
        <f t="shared" ref="H19:H26" si="8">IF(E19&lt;600,425+0.773*E19-1.69/1000*E19^2+2.22/1000^2*E19^3,IF(E19&lt;735,666+13002/(738-E19),IF(E19&lt;900,545+17820/(E19-731),650)))</f>
        <v>440.07643991420167</v>
      </c>
      <c r="I19" s="12">
        <f t="shared" si="2"/>
        <v>0.65980636193583253</v>
      </c>
      <c r="J19" s="3">
        <f t="shared" si="3"/>
        <v>0.35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21.048068535974618</v>
      </c>
      <c r="F20" s="24">
        <f t="shared" si="0"/>
        <v>4088.9691085577233</v>
      </c>
      <c r="G20" s="14">
        <f t="shared" si="1"/>
        <v>721.84146378736841</v>
      </c>
      <c r="H20" s="24">
        <f t="shared" si="8"/>
        <v>440.54215209231677</v>
      </c>
      <c r="I20" s="12">
        <f t="shared" si="2"/>
        <v>0.87248032310488388</v>
      </c>
      <c r="J20" s="3">
        <f t="shared" si="3"/>
        <v>0.35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21.920548859079503</v>
      </c>
      <c r="F21" s="24">
        <f t="shared" si="0"/>
        <v>4818.8273660556142</v>
      </c>
      <c r="G21" s="14">
        <f t="shared" si="1"/>
        <v>972.32190105183543</v>
      </c>
      <c r="H21" s="24">
        <f t="shared" si="8"/>
        <v>441.15590496461579</v>
      </c>
      <c r="I21" s="12">
        <f t="shared" si="2"/>
        <v>1.0488116814885311</v>
      </c>
      <c r="J21" s="3">
        <f t="shared" si="3"/>
        <v>0.35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22.969360540568033</v>
      </c>
      <c r="F22" s="24">
        <f t="shared" si="0"/>
        <v>5418.3565781751786</v>
      </c>
      <c r="G22" s="14">
        <f t="shared" si="1"/>
        <v>1218.9716978067454</v>
      </c>
      <c r="H22" s="24">
        <f t="shared" si="8"/>
        <v>441.89058895953593</v>
      </c>
      <c r="I22" s="12">
        <f t="shared" si="2"/>
        <v>1.2000612126204009</v>
      </c>
      <c r="J22" s="3">
        <f t="shared" si="3"/>
        <v>0.35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24.169421753188434</v>
      </c>
      <c r="F23" s="24">
        <f t="shared" si="0"/>
        <v>5924.3807435684521</v>
      </c>
      <c r="G23" s="14">
        <f t="shared" si="1"/>
        <v>1460.6612474379847</v>
      </c>
      <c r="H23" s="24">
        <f t="shared" si="8"/>
        <v>442.72707482104448</v>
      </c>
      <c r="I23" s="12">
        <f t="shared" si="2"/>
        <v>1.3327286704180752</v>
      </c>
      <c r="J23" s="3">
        <f t="shared" si="3"/>
        <v>0.35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25.502150423606508</v>
      </c>
      <c r="F24" s="24">
        <f t="shared" si="0"/>
        <v>6359.8973643403606</v>
      </c>
      <c r="G24" s="14">
        <f t="shared" si="1"/>
        <v>1696.9609608211508</v>
      </c>
      <c r="H24" s="24">
        <f t="shared" si="8"/>
        <v>443.65087439067173</v>
      </c>
      <c r="I24" s="12">
        <f t="shared" si="2"/>
        <v>1.4509392815664846</v>
      </c>
      <c r="J24" s="3">
        <f t="shared" si="3"/>
        <v>0.35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26.953089705172992</v>
      </c>
      <c r="F25" s="24">
        <f t="shared" si="0"/>
        <v>6740.2517436317357</v>
      </c>
      <c r="G25" s="14">
        <f t="shared" si="1"/>
        <v>1927.779967396114</v>
      </c>
      <c r="H25" s="24">
        <f t="shared" si="8"/>
        <v>444.65047455606111</v>
      </c>
      <c r="I25" s="12">
        <f t="shared" si="2"/>
        <v>1.5574947263147665</v>
      </c>
      <c r="J25" s="3">
        <f t="shared" si="3"/>
        <v>0.35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28.510584431487757</v>
      </c>
      <c r="F26" s="24">
        <f t="shared" si="0"/>
        <v>7076.2059843357702</v>
      </c>
      <c r="G26" s="14">
        <f t="shared" si="1"/>
        <v>2153.1958725282225</v>
      </c>
      <c r="H26" s="24">
        <f t="shared" si="8"/>
        <v>445.71640781407268</v>
      </c>
      <c r="I26" s="12">
        <f t="shared" si="2"/>
        <v>1.654397205220959</v>
      </c>
      <c r="J26" s="3">
        <f t="shared" si="3"/>
        <v>0.35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30.164981636708717</v>
      </c>
      <c r="F27" s="24">
        <f t="shared" si="0"/>
        <v>7375.6072227769328</v>
      </c>
      <c r="G27" s="14">
        <f t="shared" si="1"/>
        <v>2373.3693674242936</v>
      </c>
      <c r="H27" s="24">
        <f t="shared" ref="H27:H39" si="10">IF(E27&lt;600,425+0.773*E27-1.69/1000*E27^2+2.22/1000^2*E27^3,IF(E27&lt;735,666+13002/(738-E27),IF(E27&lt;900,545+17820/(E27-731),650)))</f>
        <v>446.84069001544816</v>
      </c>
      <c r="I27" s="12">
        <f t="shared" si="2"/>
        <v>1.7431355786981437</v>
      </c>
      <c r="J27" s="3">
        <f t="shared" si="3"/>
        <v>0.35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31.908117215406861</v>
      </c>
      <c r="F28" s="24">
        <f t="shared" si="0"/>
        <v>7644.3588224540636</v>
      </c>
      <c r="G28" s="14">
        <f t="shared" si="1"/>
        <v>2588.499525133077</v>
      </c>
      <c r="H28" s="24">
        <f t="shared" si="10"/>
        <v>448.01645851339953</v>
      </c>
      <c r="I28" s="12">
        <f t="shared" si="2"/>
        <v>1.8248528369995218</v>
      </c>
      <c r="J28" s="3">
        <f t="shared" si="3"/>
        <v>0.35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33.73297005240638</v>
      </c>
      <c r="F29" s="24">
        <f t="shared" si="0"/>
        <v>7887.0173926040179</v>
      </c>
      <c r="G29" s="14">
        <f t="shared" si="1"/>
        <v>2798.7997718035831</v>
      </c>
      <c r="H29" s="24">
        <f t="shared" si="10"/>
        <v>449.2377275577968</v>
      </c>
      <c r="I29" s="12">
        <f t="shared" si="2"/>
        <v>1.9004496624323728</v>
      </c>
      <c r="J29" s="3">
        <f t="shared" si="3"/>
        <v>0.35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35.633419714838752</v>
      </c>
      <c r="F30" s="24">
        <f t="shared" si="0"/>
        <v>8107.1764170504384</v>
      </c>
      <c r="G30" s="14">
        <f t="shared" si="1"/>
        <v>3004.4848400590436</v>
      </c>
      <c r="H30" s="24">
        <f t="shared" si="10"/>
        <v>450.4992161680438</v>
      </c>
      <c r="I30" s="12">
        <f t="shared" si="2"/>
        <v>1.9706514042477459</v>
      </c>
      <c r="J30" s="3">
        <f t="shared" si="3"/>
        <v>0.35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37.604071119086498</v>
      </c>
      <c r="F31" s="24">
        <f t="shared" si="0"/>
        <v>8307.7220093863525</v>
      </c>
      <c r="G31" s="14">
        <f t="shared" si="1"/>
        <v>3205.7637529924259</v>
      </c>
      <c r="H31" s="24">
        <f t="shared" si="10"/>
        <v>451.79622286773008</v>
      </c>
      <c r="I31" s="12">
        <f t="shared" si="2"/>
        <v>2.0360530334515574</v>
      </c>
      <c r="J31" s="3">
        <f t="shared" si="3"/>
        <v>0.35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39.640124152538057</v>
      </c>
      <c r="F32" s="24">
        <f t="shared" si="0"/>
        <v>8491.0088056762379</v>
      </c>
      <c r="G32" s="14">
        <f t="shared" si="1"/>
        <v>3402.8361991773936</v>
      </c>
      <c r="H32" s="24">
        <f t="shared" si="10"/>
        <v>453.12453187266243</v>
      </c>
      <c r="I32" s="12">
        <f t="shared" si="2"/>
        <v>2.0971502808514177</v>
      </c>
      <c r="J32" s="3">
        <f t="shared" si="3"/>
        <v>0.35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41.737274433389473</v>
      </c>
      <c r="F33" s="24">
        <f t="shared" si="0"/>
        <v>8658.9841997293006</v>
      </c>
      <c r="G33" s="14">
        <f t="shared" si="1"/>
        <v>3595.8908424009624</v>
      </c>
      <c r="H33" s="24">
        <f t="shared" si="10"/>
        <v>454.48034107098988</v>
      </c>
      <c r="I33" s="12">
        <f t="shared" si="2"/>
        <v>2.1543617940641493</v>
      </c>
      <c r="J33" s="3">
        <f t="shared" si="3"/>
        <v>0.35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43.891636227453624</v>
      </c>
      <c r="F34" s="24">
        <f t="shared" si="0"/>
        <v>8813.2781424344012</v>
      </c>
      <c r="G34" s="14">
        <f t="shared" si="1"/>
        <v>3785.1047404000233</v>
      </c>
      <c r="H34" s="24">
        <f t="shared" si="10"/>
        <v>455.86020552068169</v>
      </c>
      <c r="I34" s="12">
        <f t="shared" si="2"/>
        <v>2.2080452770818275</v>
      </c>
      <c r="J34" s="3">
        <f t="shared" si="3"/>
        <v>0.35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46.099681504535454</v>
      </c>
      <c r="F35" s="24">
        <f t="shared" si="0"/>
        <v>8955.2693760330803</v>
      </c>
      <c r="G35" s="14">
        <f t="shared" si="1"/>
        <v>3970.6433944076343</v>
      </c>
      <c r="H35" s="24">
        <f t="shared" si="10"/>
        <v>457.26099226405938</v>
      </c>
      <c r="I35" s="12">
        <f t="shared" si="2"/>
        <v>2.2585094904931609</v>
      </c>
      <c r="J35" s="3">
        <f t="shared" si="3"/>
        <v>0.35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48.358190995028615</v>
      </c>
      <c r="F36" s="24">
        <f t="shared" si="0"/>
        <v>9086.1351673749123</v>
      </c>
      <c r="G36" s="14">
        <f t="shared" si="1"/>
        <v>4152.6611482967564</v>
      </c>
      <c r="H36" s="24">
        <f t="shared" si="10"/>
        <v>458.67984357287929</v>
      </c>
      <c r="I36" s="12">
        <f t="shared" si="2"/>
        <v>2.3060233377521544</v>
      </c>
      <c r="J36" s="3">
        <f t="shared" si="3"/>
        <v>0.35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50.664214332780766</v>
      </c>
      <c r="F37" s="24">
        <f t="shared" si="0"/>
        <v>9206.8892490973249</v>
      </c>
      <c r="G37" s="14">
        <f t="shared" si="1"/>
        <v>4331.3017703920004</v>
      </c>
      <c r="H37" s="24">
        <f t="shared" si="10"/>
        <v>460.11414659400339</v>
      </c>
      <c r="I37" s="12">
        <f t="shared" si="2"/>
        <v>2.3508228577599946</v>
      </c>
      <c r="J37" s="3">
        <f t="shared" si="3"/>
        <v>0.35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53.01503719054076</v>
      </c>
      <c r="F38" s="24">
        <f t="shared" si="0"/>
        <v>9318.4111795917324</v>
      </c>
      <c r="G38" s="14">
        <f t="shared" si="1"/>
        <v>4506.6991185946008</v>
      </c>
      <c r="H38" s="24">
        <f t="shared" si="10"/>
        <v>461.56150793851742</v>
      </c>
      <c r="I38" s="12">
        <f t="shared" si="2"/>
        <v>2.3931166854381849</v>
      </c>
      <c r="J38" s="3">
        <f t="shared" si="3"/>
        <v>0.35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55.408153875978947</v>
      </c>
      <c r="F39" s="24">
        <f t="shared" si="0"/>
        <v>9421.469355838999</v>
      </c>
      <c r="G39" s="14">
        <f t="shared" si="1"/>
        <v>4678.9778300243643</v>
      </c>
      <c r="H39" s="24">
        <f t="shared" si="10"/>
        <v>463.01973214896117</v>
      </c>
      <c r="I39" s="12">
        <f t="shared" si="2"/>
        <v>2.4330903727679369</v>
      </c>
      <c r="J39" s="3">
        <f t="shared" si="3"/>
        <v>0.35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57.841244248746882</v>
      </c>
      <c r="F40" s="24">
        <f t="shared" si="0"/>
        <v>9516.7392620701685</v>
      </c>
      <c r="G40" s="14">
        <f t="shared" si="1"/>
        <v>4848.2540009938111</v>
      </c>
      <c r="H40" s="24">
        <f t="shared" ref="H40:H41" si="12">IF(E40&lt;600,425+0.773*E40-1.69/1000*E40^2+2.22/1000^2*E40^3,IF(E40&lt;735,666+13002/(738-E40),IF(E40&lt;900,545+17820/(E40-731),650)))</f>
        <v>464.48680325276018</v>
      </c>
      <c r="I40" s="12">
        <f t="shared" si="2"/>
        <v>2.4709098495709605</v>
      </c>
      <c r="J40" s="3">
        <f t="shared" si="3"/>
        <v>0.35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60.312154098317841</v>
      </c>
      <c r="F41" s="24">
        <f t="shared" si="0"/>
        <v>9604.8180944296655</v>
      </c>
      <c r="G41" s="14">
        <f t="shared" si="1"/>
        <v>5014.6358381652872</v>
      </c>
      <c r="H41" s="24">
        <f t="shared" si="12"/>
        <v>465.96086880423672</v>
      </c>
      <c r="I41" s="12">
        <f t="shared" si="2"/>
        <v>2.5067242260476084</v>
      </c>
      <c r="J41" s="3">
        <f t="shared" si="3"/>
        <v>0.35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62.81887832436545</v>
      </c>
      <c r="F42" s="24">
        <f t="shared" si="0"/>
        <v>9686.2365952405798</v>
      </c>
      <c r="G42" s="14">
        <f t="shared" si="1"/>
        <v>5178.2242709447746</v>
      </c>
      <c r="H42" s="24">
        <f t="shared" ref="H42:H105" si="14">IF(E42&lt;600,425+0.773*E42-1.69/1000*E42^2+2.22/1000^2*E42^3,IF(E42&lt;735,666+13002/(738-E42),IF(E42&lt;900,545+17820/(E42-731),650)))</f>
        <v>467.44022595788971</v>
      </c>
      <c r="I42" s="12">
        <f t="shared" si="2"/>
        <v>2.5406680853987194</v>
      </c>
      <c r="J42" s="3">
        <f t="shared" si="3"/>
        <v>0.35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65.359546409764164</v>
      </c>
      <c r="F43" s="24">
        <f t="shared" si="0"/>
        <v>9761.46871468666</v>
      </c>
      <c r="G43" s="14">
        <f t="shared" si="1"/>
        <v>5339.1135207755897</v>
      </c>
      <c r="H43" s="24">
        <f t="shared" si="14"/>
        <v>468.92330921849032</v>
      </c>
      <c r="I43" s="12">
        <f t="shared" si="2"/>
        <v>2.5728633769301315</v>
      </c>
      <c r="J43" s="3">
        <f t="shared" si="3"/>
        <v>0.35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67.932409786694294</v>
      </c>
      <c r="F44" s="24">
        <f t="shared" si="0"/>
        <v>9830.9395635507917</v>
      </c>
      <c r="G44" s="14">
        <f t="shared" si="1"/>
        <v>5497.3916263728033</v>
      </c>
      <c r="H44" s="24">
        <f t="shared" si="14"/>
        <v>470.40867958995614</v>
      </c>
      <c r="I44" s="12">
        <f t="shared" si="2"/>
        <v>2.6034209928425418</v>
      </c>
      <c r="J44" s="3">
        <f t="shared" si="3"/>
        <v>0.35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70.535830779536838</v>
      </c>
      <c r="F45" s="24">
        <f t="shared" si="0"/>
        <v>9895.0320089679826</v>
      </c>
      <c r="G45" s="14">
        <f t="shared" si="1"/>
        <v>5653.1409259225484</v>
      </c>
      <c r="H45" s="24">
        <f t="shared" si="14"/>
        <v>471.8950149024613</v>
      </c>
      <c r="I45" s="12">
        <f t="shared" si="2"/>
        <v>2.6324420921383798</v>
      </c>
      <c r="J45" s="3">
        <f t="shared" si="3"/>
        <v>0.35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73.168272871675214</v>
      </c>
      <c r="F46" s="24">
        <f t="shared" si="0"/>
        <v>9954.092183218896</v>
      </c>
      <c r="G46" s="14">
        <f t="shared" si="1"/>
        <v>5806.4384983818663</v>
      </c>
      <c r="H46" s="24">
        <f t="shared" si="14"/>
        <v>473.38110114099499</v>
      </c>
      <c r="I46" s="12">
        <f t="shared" si="2"/>
        <v>2.6600192205220314</v>
      </c>
      <c r="J46" s="3">
        <f t="shared" si="3"/>
        <v>0.35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75.828292092197245</v>
      </c>
      <c r="F47" s="24">
        <f t="shared" si="0"/>
        <v>10008.434114775122</v>
      </c>
      <c r="G47" s="14">
        <f t="shared" si="1"/>
        <v>5957.3565665823107</v>
      </c>
      <c r="H47" s="24">
        <f t="shared" si="14"/>
        <v>474.86582463224363</v>
      </c>
      <c r="I47" s="12">
        <f t="shared" si="2"/>
        <v>2.6862372643284473</v>
      </c>
      <c r="J47" s="3">
        <f t="shared" si="3"/>
        <v>0.35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78.514529356525685</v>
      </c>
      <c r="F48" s="24">
        <f t="shared" si="0"/>
        <v>10058.343645174398</v>
      </c>
      <c r="G48" s="14">
        <f t="shared" si="1"/>
        <v>6105.9628650718969</v>
      </c>
      <c r="H48" s="24">
        <f t="shared" si="14"/>
        <v>476.3481649728293</v>
      </c>
      <c r="I48" s="12">
        <f t="shared" si="2"/>
        <v>2.7111742683525812</v>
      </c>
      <c r="J48" s="3">
        <f t="shared" si="3"/>
        <v>0.35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81.225703624878264</v>
      </c>
      <c r="F49" s="24">
        <f t="shared" si="0"/>
        <v>10104.081760715582</v>
      </c>
      <c r="G49" s="14">
        <f t="shared" si="1"/>
        <v>6252.3209756570159</v>
      </c>
      <c r="H49" s="24">
        <f t="shared" si="14"/>
        <v>477.82718860245853</v>
      </c>
      <c r="I49" s="12">
        <f t="shared" si="2"/>
        <v>2.7349021412444157</v>
      </c>
      <c r="J49" s="3">
        <f t="shared" si="3"/>
        <v>0.35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83.960605766122683</v>
      </c>
      <c r="F50" s="24">
        <f t="shared" si="0"/>
        <v>10145.887441498671</v>
      </c>
      <c r="G50" s="14">
        <f t="shared" si="1"/>
        <v>6396.4906335125997</v>
      </c>
      <c r="H50" s="24">
        <f t="shared" si="14"/>
        <v>479.30204294178026</v>
      </c>
      <c r="I50" s="12">
        <f t="shared" si="2"/>
        <v>2.7574872673687594</v>
      </c>
      <c r="J50" s="3">
        <f t="shared" si="3"/>
        <v>0.35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86.718093033491442</v>
      </c>
      <c r="F51" s="24">
        <f t="shared" si="0"/>
        <v>10183.98010990765</v>
      </c>
      <c r="G51" s="14">
        <f t="shared" si="1"/>
        <v>6538.5280065684774</v>
      </c>
      <c r="H51" s="24">
        <f t="shared" si="14"/>
        <v>480.77195102771952</v>
      </c>
      <c r="I51" s="12">
        <f t="shared" si="2"/>
        <v>2.7789910403385392</v>
      </c>
      <c r="J51" s="3">
        <f t="shared" si="3"/>
        <v>0.35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89.497084073829981</v>
      </c>
      <c r="F52" s="24">
        <f t="shared" si="0"/>
        <v>10218.561744736093</v>
      </c>
      <c r="G52" s="14">
        <f t="shared" si="1"/>
        <v>6678.485950686455</v>
      </c>
      <c r="H52" s="24">
        <f t="shared" si="14"/>
        <v>482.23620658949289</v>
      </c>
      <c r="I52" s="12">
        <f t="shared" si="2"/>
        <v>2.7994703305487159</v>
      </c>
      <c r="J52" s="3">
        <f t="shared" si="3"/>
        <v>0.35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92.296554404378696</v>
      </c>
      <c r="F53" s="24">
        <f t="shared" si="0"/>
        <v>10249.818714686857</v>
      </c>
      <c r="G53" s="14">
        <f t="shared" si="1"/>
        <v>6816.4142429365893</v>
      </c>
      <c r="H53" s="24">
        <f t="shared" si="14"/>
        <v>483.69416951697855</v>
      </c>
      <c r="I53" s="12">
        <f t="shared" si="2"/>
        <v>2.8189778967704582</v>
      </c>
      <c r="J53" s="3">
        <f t="shared" si="3"/>
        <v>0.35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95.115532301149159</v>
      </c>
      <c r="F54" s="24">
        <f t="shared" si="0"/>
        <v>10277.923375126838</v>
      </c>
      <c r="G54" s="14">
        <f t="shared" si="1"/>
        <v>6952.3597950756503</v>
      </c>
      <c r="H54" s="24">
        <f t="shared" si="14"/>
        <v>485.14526168003516</v>
      </c>
      <c r="I54" s="12">
        <f t="shared" si="2"/>
        <v>2.8375627500678844</v>
      </c>
      <c r="J54" s="3">
        <f t="shared" si="3"/>
        <v>0.35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97.953095051217048</v>
      </c>
      <c r="F55" s="24">
        <f t="shared" si="0"/>
        <v>10303.035464142542</v>
      </c>
      <c r="G55" s="14">
        <f t="shared" si="1"/>
        <v>7086.3668491338058</v>
      </c>
      <c r="H55" s="24">
        <f t="shared" si="14"/>
        <v>486.58896306306229</v>
      </c>
      <c r="I55" s="12">
        <f t="shared" si="2"/>
        <v>2.855270476865301</v>
      </c>
      <c r="J55" s="3">
        <f t="shared" si="3"/>
        <v>0.35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100.80836552808235</v>
      </c>
      <c r="F56" s="24">
        <f t="shared" si="0"/>
        <v>10325.303327669206</v>
      </c>
      <c r="G56" s="14">
        <f t="shared" si="1"/>
        <v>7218.4771568297765</v>
      </c>
      <c r="H56" s="24">
        <f t="shared" si="14"/>
        <v>488.02480818381468</v>
      </c>
      <c r="I56" s="12">
        <f t="shared" si="2"/>
        <v>2.8721435268403126</v>
      </c>
      <c r="J56" s="3">
        <f t="shared" si="3"/>
        <v>0.35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103.68050905492267</v>
      </c>
      <c r="F57" s="24">
        <f t="shared" si="0"/>
        <v>10344.864998413481</v>
      </c>
      <c r="G57" s="14">
        <f t="shared" si="1"/>
        <v>7348.7301443642282</v>
      </c>
      <c r="H57" s="24">
        <f t="shared" si="14"/>
        <v>489.45238276943047</v>
      </c>
      <c r="I57" s="12">
        <f t="shared" si="2"/>
        <v>2.8882214703866529</v>
      </c>
      <c r="J57" s="3">
        <f t="shared" si="3"/>
        <v>0.35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106.56873052530932</v>
      </c>
      <c r="F58" s="24">
        <f t="shared" si="0"/>
        <v>10361.84914919595</v>
      </c>
      <c r="G58" s="14">
        <f t="shared" si="1"/>
        <v>7477.1630639845098</v>
      </c>
      <c r="H58" s="24">
        <f t="shared" si="14"/>
        <v>490.87132066594052</v>
      </c>
      <c r="I58" s="12">
        <f t="shared" si="2"/>
        <v>2.9035412296329453</v>
      </c>
      <c r="J58" s="3">
        <f t="shared" si="3"/>
        <v>0.35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109.47227175494227</v>
      </c>
      <c r="F59" s="24">
        <f t="shared" si="0"/>
        <v>10376.37593800494</v>
      </c>
      <c r="G59" s="14">
        <f t="shared" si="1"/>
        <v>7603.8111335724006</v>
      </c>
      <c r="H59" s="24">
        <f t="shared" si="14"/>
        <v>492.28130096032731</v>
      </c>
      <c r="I59" s="12">
        <f t="shared" si="2"/>
        <v>2.9181372863840447</v>
      </c>
      <c r="J59" s="3">
        <f t="shared" si="3"/>
        <v>0.35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112.39040904132631</v>
      </c>
      <c r="F60" s="24">
        <f t="shared" si="0"/>
        <v>10388.557759322126</v>
      </c>
      <c r="G60" s="14">
        <f t="shared" si="1"/>
        <v>7728.707665378678</v>
      </c>
      <c r="H60" s="24">
        <f t="shared" si="14"/>
        <v>493.68204529658283</v>
      </c>
      <c r="I60" s="12">
        <f t="shared" si="2"/>
        <v>2.9320418698421475</v>
      </c>
      <c r="J60" s="3">
        <f t="shared" si="3"/>
        <v>0.35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115.32245091116846</v>
      </c>
      <c r="F61" s="24">
        <f t="shared" si="0"/>
        <v>10398.499914033131</v>
      </c>
      <c r="G61" s="14">
        <f t="shared" si="1"/>
        <v>7851.8841849136415</v>
      </c>
      <c r="H61" s="24">
        <f t="shared" si="14"/>
        <v>495.07331536925193</v>
      </c>
      <c r="I61" s="12">
        <f t="shared" si="2"/>
        <v>2.9452851265437907</v>
      </c>
      <c r="J61" s="3">
        <f t="shared" si="3"/>
        <v>0.35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118.26773603771225</v>
      </c>
      <c r="F62" s="24">
        <f t="shared" si="0"/>
        <v>10406.301208377794</v>
      </c>
      <c r="G62" s="14">
        <f t="shared" si="1"/>
        <v>7973.3705408998048</v>
      </c>
      <c r="H62" s="24">
        <f t="shared" si="14"/>
        <v>496.45491057970054</v>
      </c>
      <c r="I62" s="12">
        <f t="shared" si="2"/>
        <v>2.9578952745990432</v>
      </c>
      <c r="J62" s="3">
        <f t="shared" si="3"/>
        <v>0.35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121.22563131231129</v>
      </c>
      <c r="F63" s="24">
        <f t="shared" si="0"/>
        <v>10412.05449085144</v>
      </c>
      <c r="G63" s="14">
        <f t="shared" si="1"/>
        <v>8093.1950071010488</v>
      </c>
      <c r="H63" s="24">
        <f t="shared" si="14"/>
        <v>497.82666584186251</v>
      </c>
      <c r="I63" s="12">
        <f t="shared" si="2"/>
        <v>2.9698987440272875</v>
      </c>
      <c r="J63" s="3">
        <f t="shared" si="3"/>
        <v>0.35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124.19553005633858</v>
      </c>
      <c r="F64" s="24">
        <f t="shared" si="0"/>
        <v>10415.847134680806</v>
      </c>
      <c r="G64" s="14">
        <f t="shared" si="1"/>
        <v>8211.3843767603994</v>
      </c>
      <c r="H64" s="24">
        <f t="shared" si="14"/>
        <v>499.18844952553923</v>
      </c>
      <c r="I64" s="12">
        <f t="shared" si="2"/>
        <v>2.9813203047391776</v>
      </c>
      <c r="J64" s="3">
        <f t="shared" si="3"/>
        <v>0.35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127.17685036107775</v>
      </c>
      <c r="F65" s="24">
        <f t="shared" si="0"/>
        <v>10417.761472419836</v>
      </c>
      <c r="G65" s="14">
        <f t="shared" si="1"/>
        <v>8327.9640503050887</v>
      </c>
      <c r="H65" s="24">
        <f t="shared" si="14"/>
        <v>500.54016152647569</v>
      </c>
      <c r="I65" s="12">
        <f t="shared" si="2"/>
        <v>2.9921831835081458</v>
      </c>
      <c r="J65" s="3">
        <f t="shared" si="3"/>
        <v>0.35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130.16903354458589</v>
      </c>
      <c r="F66" s="24">
        <f t="shared" si="0"/>
        <v>10417.875188303555</v>
      </c>
      <c r="G66" s="14">
        <f t="shared" si="1"/>
        <v>8442.9581169121248</v>
      </c>
      <c r="H66" s="24">
        <f t="shared" si="14"/>
        <v>501.8817314534511</v>
      </c>
      <c r="I66" s="12">
        <f t="shared" si="2"/>
        <v>3.0025091711004777</v>
      </c>
      <c r="J66" s="3">
        <f t="shared" si="3"/>
        <v>0.35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133.17154271568637</v>
      </c>
      <c r="F67" s="24">
        <f t="shared" si="0"/>
        <v>10416.261673232861</v>
      </c>
      <c r="G67" s="14">
        <f t="shared" si="1"/>
        <v>8556.3894304691312</v>
      </c>
      <c r="H67" s="24">
        <f t="shared" si="14"/>
        <v>503.21311692350952</v>
      </c>
      <c r="I67" s="12">
        <f t="shared" si="2"/>
        <v>3.0123187205848536</v>
      </c>
      <c r="J67" s="3">
        <f t="shared" si="3"/>
        <v>0.35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136.18386143627123</v>
      </c>
      <c r="F68" s="24">
        <f t="shared" si="0"/>
        <v>10412.990346614346</v>
      </c>
      <c r="G68" s="14">
        <f t="shared" si="1"/>
        <v>8668.2796804127447</v>
      </c>
      <c r="H68" s="24">
        <f t="shared" si="14"/>
        <v>504.53430195725008</v>
      </c>
      <c r="I68" s="12">
        <f t="shared" si="2"/>
        <v>3.0216310377158804</v>
      </c>
      <c r="J68" s="3">
        <f t="shared" si="3"/>
        <v>0.35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139.20549247398711</v>
      </c>
      <c r="F69" s="24">
        <f t="shared" si="0"/>
        <v>10408.126948728164</v>
      </c>
      <c r="G69" s="14">
        <f t="shared" si="1"/>
        <v>8778.649457880414</v>
      </c>
      <c r="H69" s="24">
        <f t="shared" si="14"/>
        <v>505.84529546679892</v>
      </c>
      <c r="I69" s="12">
        <f t="shared" si="2"/>
        <v>3.0304641641780727</v>
      </c>
      <c r="J69" s="3">
        <f t="shared" si="3"/>
        <v>0.35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142.23595663816519</v>
      </c>
      <c r="F70" s="24">
        <f t="shared" si="0"/>
        <v>10401.73380682666</v>
      </c>
      <c r="G70" s="14">
        <f t="shared" si="1"/>
        <v>8887.5183175695056</v>
      </c>
      <c r="H70" s="24">
        <f t="shared" si="14"/>
        <v>507.14612982970687</v>
      </c>
      <c r="I70" s="12">
        <f t="shared" si="2"/>
        <v>3.0388350543838478</v>
      </c>
      <c r="J70" s="3">
        <f t="shared" si="3"/>
        <v>0.35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145.27479169254903</v>
      </c>
      <c r="F71" s="24">
        <f t="shared" si="0"/>
        <v>10393.870077764106</v>
      </c>
      <c r="G71" s="14">
        <f t="shared" si="1"/>
        <v>8994.9048356601143</v>
      </c>
      <c r="H71" s="24">
        <f t="shared" si="14"/>
        <v>508.43685954258655</v>
      </c>
      <c r="I71" s="12">
        <f t="shared" si="2"/>
        <v>3.0467596464388893</v>
      </c>
      <c r="J71" s="3">
        <f t="shared" si="3"/>
        <v>0.35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148.32155133898792</v>
      </c>
      <c r="F72" s="24">
        <f t="shared" si="0"/>
        <v>10384.591969612708</v>
      </c>
      <c r="G72" s="14">
        <f t="shared" si="1"/>
        <v>9100.8266641247792</v>
      </c>
      <c r="H72" s="24">
        <f t="shared" si="14"/>
        <v>509.71755994880289</v>
      </c>
      <c r="I72" s="12">
        <f t="shared" si="2"/>
        <v>3.0542529278190478</v>
      </c>
      <c r="J72" s="3">
        <f t="shared" si="3"/>
        <v>0.35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151.37580426680697</v>
      </c>
      <c r="F73" s="24">
        <f t="shared" si="0"/>
        <v>10373.952944422637</v>
      </c>
      <c r="G73" s="14">
        <f t="shared" si="1"/>
        <v>9205.3005817178509</v>
      </c>
      <c r="H73" s="24">
        <f t="shared" si="14"/>
        <v>510.98832603498749</v>
      </c>
      <c r="I73" s="12">
        <f t="shared" si="2"/>
        <v>3.0613289962426289</v>
      </c>
      <c r="J73" s="3">
        <f t="shared" si="3"/>
        <v>0.35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154.43713326304959</v>
      </c>
      <c r="F74" s="24">
        <f t="shared" si="0"/>
        <v>10362.003904027315</v>
      </c>
      <c r="G74" s="14">
        <f t="shared" si="1"/>
        <v>9308.342541910537</v>
      </c>
      <c r="H74" s="24">
        <f t="shared" si="14"/>
        <v>512.24927129156174</v>
      </c>
      <c r="I74" s="12">
        <f t="shared" si="2"/>
        <v>3.068001116169579</v>
      </c>
      <c r="J74" s="3">
        <f t="shared" si="3"/>
        <v>0.35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157.50513437921916</v>
      </c>
      <c r="F75" s="24">
        <f t="shared" si="0"/>
        <v>10348.793360573009</v>
      </c>
      <c r="G75" s="14">
        <f t="shared" si="1"/>
        <v>9409.9677180133349</v>
      </c>
      <c r="H75" s="24">
        <f t="shared" si="14"/>
        <v>513.50052663282554</v>
      </c>
      <c r="I75" s="12">
        <f t="shared" si="2"/>
        <v>3.07428177131324</v>
      </c>
      <c r="J75" s="3">
        <f t="shared" si="3"/>
        <v>0.35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160.57941615053241</v>
      </c>
      <c r="F76" s="24">
        <f t="shared" si="0"/>
        <v>10334.367593258979</v>
      </c>
      <c r="G76" s="14">
        <f t="shared" si="1"/>
        <v>9510.1905457055236</v>
      </c>
      <c r="H76" s="24">
        <f t="shared" si="14"/>
        <v>514.74223937250838</v>
      </c>
      <c r="I76" s="12">
        <f t="shared" si="2"/>
        <v>3.0801827135101716</v>
      </c>
      <c r="J76" s="3">
        <f t="shared" si="3"/>
        <v>0.35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163.65959886404258</v>
      </c>
      <c r="F77" s="24">
        <f t="shared" si="0"/>
        <v>10318.770792606654</v>
      </c>
      <c r="G77" s="14">
        <f t="shared" si="1"/>
        <v>9609.0247631720486</v>
      </c>
      <c r="H77" s="24">
        <f t="shared" si="14"/>
        <v>515.97457225099504</v>
      </c>
      <c r="I77" s="12">
        <f t="shared" si="2"/>
        <v>3.0857150082582918</v>
      </c>
      <c r="J77" s="3">
        <f t="shared" si="3"/>
        <v>0.35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166.74531387230087</v>
      </c>
      <c r="F78" s="24">
        <f t="shared" si="0"/>
        <v>10302.045193429874</v>
      </c>
      <c r="G78" s="14">
        <f t="shared" si="1"/>
        <v>9706.4834490300327</v>
      </c>
      <c r="H78" s="24">
        <f t="shared" si="14"/>
        <v>517.19770251071475</v>
      </c>
      <c r="I78" s="12">
        <f t="shared" si="2"/>
        <v>3.0908890772024225</v>
      </c>
      <c r="J78" s="3">
        <f t="shared" si="3"/>
        <v>0.35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169.8362029495033</v>
      </c>
      <c r="F79" s="24">
        <f t="shared" si="0"/>
        <v>10284.231197550454</v>
      </c>
      <c r="G79" s="14">
        <f t="shared" si="1"/>
        <v>9802.5790582113841</v>
      </c>
      <c r="H79" s="24">
        <f t="shared" si="14"/>
        <v>518.41182101644779</v>
      </c>
      <c r="I79" s="12">
        <f t="shared" si="2"/>
        <v>3.0957147378189038</v>
      </c>
      <c r="J79" s="3">
        <f t="shared" si="3"/>
        <v>0.35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172.9319176873222</v>
      </c>
      <c r="F80" s="24">
        <f t="shared" si="0"/>
        <v>10265.367487190877</v>
      </c>
      <c r="G80" s="14">
        <f t="shared" si="1"/>
        <v>9897.3234559532648</v>
      </c>
      <c r="H80" s="24">
        <f t="shared" si="14"/>
        <v>519.61713141754012</v>
      </c>
      <c r="I80" s="12">
        <f t="shared" si="2"/>
        <v>3.1002012405264803</v>
      </c>
      <c r="J80" s="3">
        <f t="shared" si="3"/>
        <v>0.35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176.03211892784867</v>
      </c>
      <c r="F81" s="24">
        <f t="shared" ref="F81:F144" si="15">AlphaC*(D81-E81)</f>
        <v>10245.491129877659</v>
      </c>
      <c r="G81" s="14">
        <f t="shared" ref="G81:G144" si="16">Phi*EpsilonF*Botzman/10^8*J81*((D81+273)^4-(E81+273)^4)</f>
        <v>9990.7279500351669</v>
      </c>
      <c r="H81" s="24">
        <f t="shared" si="14"/>
        <v>520.81384934923926</v>
      </c>
      <c r="I81" s="12">
        <f t="shared" ref="I81:I144" si="17">ksh*Massivete/(H81*RhoA)*DeltaT*(F81+G81)</f>
        <v>3.1043573034290741</v>
      </c>
      <c r="J81" s="3">
        <f t="shared" ref="J81:J144" si="18">IF(E81&lt;=500,IF(Galva=Oui,0.35,0.7),0.7)</f>
        <v>0.35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179.13647623127775</v>
      </c>
      <c r="F82" s="24">
        <f t="shared" si="15"/>
        <v>10224.63767560208</v>
      </c>
      <c r="G82" s="14">
        <f t="shared" si="16"/>
        <v>10082.803321389496</v>
      </c>
      <c r="H82" s="24">
        <f t="shared" si="14"/>
        <v>522.00220167056113</v>
      </c>
      <c r="I82" s="12">
        <f t="shared" si="17"/>
        <v>3.1081911448767849</v>
      </c>
      <c r="J82" s="3">
        <f t="shared" si="18"/>
        <v>0.35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182.24466737615455</v>
      </c>
      <c r="F83" s="24">
        <f t="shared" si="15"/>
        <v>10202.841246908474</v>
      </c>
      <c r="G83" s="14">
        <f t="shared" si="16"/>
        <v>10173.559853201481</v>
      </c>
      <c r="H83" s="24">
        <f t="shared" si="14"/>
        <v>523.18242573629186</v>
      </c>
      <c r="I83" s="12">
        <f t="shared" si="17"/>
        <v>3.1117105140141565</v>
      </c>
      <c r="J83" s="3">
        <f t="shared" si="18"/>
        <v>0.35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185.35637789016872</v>
      </c>
      <c r="F84" s="24">
        <f t="shared" si="15"/>
        <v>10180.1346225127</v>
      </c>
      <c r="G84" s="14">
        <f t="shared" si="16"/>
        <v>10263.007358604787</v>
      </c>
      <c r="H84" s="24">
        <f t="shared" si="14"/>
        <v>524.35476870089599</v>
      </c>
      <c r="I84" s="12">
        <f t="shared" si="17"/>
        <v>3.1149227194694546</v>
      </c>
      <c r="J84" s="3">
        <f t="shared" si="18"/>
        <v>0.35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188.47130060963818</v>
      </c>
      <c r="F85" s="24">
        <f t="shared" si="15"/>
        <v>10156.549314993523</v>
      </c>
      <c r="G85" s="14">
        <f t="shared" si="16"/>
        <v>10351.155207070007</v>
      </c>
      <c r="H85" s="24">
        <f t="shared" si="14"/>
        <v>525.51948685226512</v>
      </c>
      <c r="I85" s="12">
        <f t="shared" si="17"/>
        <v>3.1178346563248156</v>
      </c>
      <c r="J85" s="3">
        <f t="shared" si="18"/>
        <v>0.35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191.58913526596299</v>
      </c>
      <c r="F86" s="24">
        <f t="shared" si="15"/>
        <v>10132.115643046487</v>
      </c>
      <c r="G86" s="14">
        <f t="shared" si="16"/>
        <v>10438.012349575063</v>
      </c>
      <c r="H86" s="24">
        <f t="shared" si="14"/>
        <v>526.67684497338871</v>
      </c>
      <c r="I86" s="12">
        <f t="shared" si="17"/>
        <v>3.1204528314947226</v>
      </c>
      <c r="J86" s="3">
        <f t="shared" si="18"/>
        <v>0.35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194.70958809745773</v>
      </c>
      <c r="F87" s="24">
        <f t="shared" si="15"/>
        <v>10106.862798742623</v>
      </c>
      <c r="G87" s="14">
        <f t="shared" si="16"/>
        <v>10523.58734263935</v>
      </c>
      <c r="H87" s="24">
        <f t="shared" si="14"/>
        <v>527.82711573016934</v>
      </c>
      <c r="I87" s="12">
        <f t="shared" si="17"/>
        <v>3.1227833876291018</v>
      </c>
      <c r="J87" s="3">
        <f t="shared" si="18"/>
        <v>0.35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197.83237148508684</v>
      </c>
      <c r="F88" s="24">
        <f t="shared" si="15"/>
        <v>10080.818910192396</v>
      </c>
      <c r="G88" s="14">
        <f t="shared" si="16"/>
        <v>10607.888371296418</v>
      </c>
      <c r="H88" s="24">
        <f t="shared" si="14"/>
        <v>528.97057908372767</v>
      </c>
      <c r="I88" s="12">
        <f t="shared" si="17"/>
        <v>3.1248321256472651</v>
      </c>
      <c r="J88" s="3">
        <f t="shared" si="18"/>
        <v>0.35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200.9572036107341</v>
      </c>
      <c r="F89" s="24">
        <f t="shared" si="15"/>
        <v>10054.011099977577</v>
      </c>
      <c r="G89" s="14">
        <f t="shared" si="16"/>
        <v>10690.923271073909</v>
      </c>
      <c r="H89" s="24">
        <f t="shared" si="14"/>
        <v>530.10752172566743</v>
      </c>
      <c r="I89" s="12">
        <f t="shared" si="17"/>
        <v>3.1266045259997606</v>
      </c>
      <c r="J89" s="3">
        <f t="shared" si="18"/>
        <v>0.35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204.08380813673386</v>
      </c>
      <c r="F90" s="24">
        <f t="shared" si="15"/>
        <v>10026.465539680426</v>
      </c>
      <c r="G90" s="14">
        <f t="shared" si="16"/>
        <v>10772.699549043786</v>
      </c>
      <c r="H90" s="24">
        <f t="shared" si="14"/>
        <v>531.23823653487977</v>
      </c>
      <c r="I90" s="12">
        <f t="shared" si="17"/>
        <v>3.1281057687469866</v>
      </c>
      <c r="J90" s="3">
        <f t="shared" si="18"/>
        <v>0.35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207.21191390548086</v>
      </c>
      <c r="F91" s="24">
        <f t="shared" si="15"/>
        <v>9998.2075008094762</v>
      </c>
      <c r="G91" s="14">
        <f t="shared" si="16"/>
        <v>10853.224404000728</v>
      </c>
      <c r="H91" s="24">
        <f t="shared" si="14"/>
        <v>532.36302205456968</v>
      </c>
      <c r="I91" s="12">
        <f t="shared" si="17"/>
        <v>3.1293407525359438</v>
      </c>
      <c r="J91" s="3">
        <f t="shared" si="18"/>
        <v>0.35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210.34125465801679</v>
      </c>
      <c r="F92" s="24">
        <f t="shared" si="15"/>
        <v>9969.2614023942788</v>
      </c>
      <c r="G92" s="14">
        <f t="shared" si="16"/>
        <v>10932.504745821665</v>
      </c>
      <c r="H92" s="24">
        <f t="shared" si="14"/>
        <v>533.48218198828681</v>
      </c>
      <c r="I92" s="12">
        <f t="shared" si="17"/>
        <v>3.1303141125496436</v>
      </c>
      <c r="J92" s="3">
        <f t="shared" si="18"/>
        <v>0.35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213.47156877056645</v>
      </c>
      <c r="F93" s="24">
        <f t="shared" si="15"/>
        <v>9939.6508554975098</v>
      </c>
      <c r="G93" s="14">
        <f t="shared" si="16"/>
        <v>11010.547214055227</v>
      </c>
      <c r="H93" s="24">
        <f t="shared" si="14"/>
        <v>534.59602471383027</v>
      </c>
      <c r="I93" s="12">
        <f t="shared" si="17"/>
        <v>3.1310302374976051</v>
      </c>
      <c r="J93" s="3">
        <f t="shared" si="18"/>
        <v>0.35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216.60259900806406</v>
      </c>
      <c r="F94" s="24">
        <f t="shared" si="15"/>
        <v>9909.3987048709496</v>
      </c>
      <c r="G94" s="14">
        <f t="shared" si="16"/>
        <v>11087.358195785715</v>
      </c>
      <c r="H94" s="24">
        <f t="shared" si="14"/>
        <v>535.7048628139853</v>
      </c>
      <c r="I94" s="12">
        <f t="shared" si="17"/>
        <v>3.1314932857101461</v>
      </c>
      <c r="J94" s="3">
        <f t="shared" si="18"/>
        <v>0.35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219.73409229377421</v>
      </c>
      <c r="F95" s="24">
        <f t="shared" si="15"/>
        <v>9878.5270679624482</v>
      </c>
      <c r="G95" s="14">
        <f t="shared" si="16"/>
        <v>11162.943842812547</v>
      </c>
      <c r="H95" s="24">
        <f t="shared" si="14"/>
        <v>536.80901262312898</v>
      </c>
      <c r="I95" s="12">
        <f t="shared" si="17"/>
        <v>3.1317072003940787</v>
      </c>
      <c r="J95" s="3">
        <f t="shared" si="18"/>
        <v>0.35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222.8657994941683</v>
      </c>
      <c r="F96" s="24">
        <f t="shared" si="15"/>
        <v>9847.0573714634047</v>
      </c>
      <c r="G96" s="14">
        <f t="shared" si="16"/>
        <v>11237.310088182854</v>
      </c>
      <c r="H96" s="24">
        <f t="shared" si="14"/>
        <v>537.90879378881289</v>
      </c>
      <c r="I96" s="12">
        <f t="shared" si="17"/>
        <v>3.13167572410276</v>
      </c>
      <c r="J96" s="3">
        <f t="shared" si="18"/>
        <v>0.35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225.99747521827106</v>
      </c>
      <c r="F97" s="24">
        <f t="shared" si="15"/>
        <v>9815.010385570271</v>
      </c>
      <c r="G97" s="14">
        <f t="shared" si="16"/>
        <v>11310.46266211152</v>
      </c>
      <c r="H97" s="24">
        <f t="shared" si="14"/>
        <v>539.00452884750678</v>
      </c>
      <c r="I97" s="12">
        <f t="shared" si="17"/>
        <v>3.1314024124690798</v>
      </c>
      <c r="J97" s="3">
        <f t="shared" si="18"/>
        <v>0.35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229.12887763074013</v>
      </c>
      <c r="F98" s="24">
        <f t="shared" si="15"/>
        <v>9782.4062561193496</v>
      </c>
      <c r="G98" s="14">
        <f t="shared" si="16"/>
        <v>11382.407107320234</v>
      </c>
      <c r="H98" s="24">
        <f t="shared" si="14"/>
        <v>540.09654281374787</v>
      </c>
      <c r="I98" s="12">
        <f t="shared" si="17"/>
        <v>3.1308906472460878</v>
      </c>
      <c r="J98" s="3">
        <f t="shared" si="18"/>
        <v>0.35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232.25976827798621</v>
      </c>
      <c r="F99" s="24">
        <f t="shared" si="15"/>
        <v>9749.2645347411599</v>
      </c>
      <c r="G99" s="14">
        <f t="shared" si="16"/>
        <v>11453.148793824528</v>
      </c>
      <c r="H99" s="24">
        <f t="shared" si="14"/>
        <v>541.18516278200411</v>
      </c>
      <c r="I99" s="12">
        <f t="shared" si="17"/>
        <v>3.1301436486963983</v>
      </c>
      <c r="J99" s="3">
        <f t="shared" si="18"/>
        <v>0.35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235.3899119266826</v>
      </c>
      <c r="F100" s="24">
        <f t="shared" si="15"/>
        <v>9715.6042071687789</v>
      </c>
      <c r="G100" s="14">
        <f t="shared" si="16"/>
        <v>11522.692933195123</v>
      </c>
      <c r="H100" s="24">
        <f t="shared" si="14"/>
        <v>542.27071754061603</v>
      </c>
      <c r="I100" s="12">
        <f t="shared" si="17"/>
        <v>3.1291644873681341</v>
      </c>
      <c r="J100" s="3">
        <f t="shared" si="18"/>
        <v>0.35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238.51907641405074</v>
      </c>
      <c r="F101" s="24">
        <f t="shared" si="15"/>
        <v>9681.4437198239666</v>
      </c>
      <c r="G101" s="14">
        <f t="shared" si="16"/>
        <v>11591.044592317698</v>
      </c>
      <c r="H101" s="24">
        <f t="shared" si="14"/>
        <v>543.35353719724026</v>
      </c>
      <c r="I101" s="12">
        <f t="shared" si="17"/>
        <v>3.1279560952921792</v>
      </c>
      <c r="J101" s="3">
        <f t="shared" si="18"/>
        <v>0.35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241.64703250934292</v>
      </c>
      <c r="F102" s="24">
        <f t="shared" si="15"/>
        <v>9646.8010047951993</v>
      </c>
      <c r="G102" s="14">
        <f t="shared" si="16"/>
        <v>11658.208706673287</v>
      </c>
      <c r="H102" s="24">
        <f t="shared" si="14"/>
        <v>544.43395281526182</v>
      </c>
      <c r="I102" s="12">
        <f t="shared" si="17"/>
        <v>3.1265212766327797</v>
      </c>
      <c r="J102" s="3">
        <f t="shared" si="18"/>
        <v>0.35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244.77355378597571</v>
      </c>
      <c r="F103" s="24">
        <f t="shared" si="15"/>
        <v>9611.6935033128066</v>
      </c>
      <c r="G103" s="14">
        <f t="shared" si="16"/>
        <v>11724.19009315925</v>
      </c>
      <c r="H103" s="24">
        <f t="shared" si="14"/>
        <v>545.51229606069523</v>
      </c>
      <c r="I103" s="12">
        <f t="shared" si="17"/>
        <v>3.1248627178208936</v>
      </c>
      <c r="J103" s="3">
        <f t="shared" si="18"/>
        <v>0.35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247.8984165037966</v>
      </c>
      <c r="F104" s="24">
        <f t="shared" si="15"/>
        <v>9576.1381878185766</v>
      </c>
      <c r="G104" s="14">
        <f t="shared" si="16"/>
        <v>11788.993462469354</v>
      </c>
      <c r="H104" s="24">
        <f t="shared" si="14"/>
        <v>546.58889885913891</v>
      </c>
      <c r="I104" s="12">
        <f t="shared" si="17"/>
        <v>3.1229829971974192</v>
      </c>
      <c r="J104" s="3">
        <f t="shared" si="18"/>
        <v>0.35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251.02139950099402</v>
      </c>
      <c r="F105" s="24">
        <f t="shared" si="15"/>
        <v>9540.1515827196399</v>
      </c>
      <c r="G105" s="14">
        <f t="shared" si="16"/>
        <v>11852.623431049407</v>
      </c>
      <c r="H105" s="24">
        <f t="shared" si="14"/>
        <v>547.66409306238609</v>
      </c>
      <c r="I105" s="12">
        <f t="shared" si="17"/>
        <v>3.1208845941912222</v>
      </c>
      <c r="J105" s="3">
        <f t="shared" si="18"/>
        <v>0.35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254.14228409518523</v>
      </c>
      <c r="F106" s="24">
        <f t="shared" si="15"/>
        <v>9503.749783909996</v>
      </c>
      <c r="G106" s="14">
        <f t="shared" si="16"/>
        <v>11915.084532643921</v>
      </c>
      <c r="H106" s="24">
        <f t="shared" ref="H106:H113" si="23">IF(E106&lt;600,425+0.773*E106-1.69/1000*E106^2+2.22/1000^2*E106^3,IF(E106&lt;735,666+13002/(738-E106),IF(E106&lt;900,545+17820/(E106-731),650)))</f>
        <v>548.73821012433791</v>
      </c>
      <c r="I106" s="12">
        <f t="shared" si="17"/>
        <v>3.1185698980549583</v>
      </c>
      <c r="J106" s="3">
        <f t="shared" si="18"/>
        <v>0.35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257.26085399324018</v>
      </c>
      <c r="F107" s="24">
        <f t="shared" si="15"/>
        <v>9466.9484771368625</v>
      </c>
      <c r="G107" s="14">
        <f t="shared" si="16"/>
        <v>11976.381229447348</v>
      </c>
      <c r="H107" s="24">
        <f t="shared" si="23"/>
        <v>549.81158078590056</v>
      </c>
      <c r="I107" s="12">
        <f t="shared" si="17"/>
        <v>3.1160412161798128</v>
      </c>
      <c r="J107" s="3">
        <f t="shared" si="18"/>
        <v>0.35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260.37689520942001</v>
      </c>
      <c r="F108" s="24">
        <f t="shared" si="15"/>
        <v>9429.762955283406</v>
      </c>
      <c r="G108" s="14">
        <f t="shared" si="16"/>
        <v>12036.517922872468</v>
      </c>
      <c r="H108" s="24">
        <f t="shared" si="23"/>
        <v>550.88453476858183</v>
      </c>
      <c r="I108" s="12">
        <f t="shared" si="17"/>
        <v>3.1133007820086385</v>
      </c>
      <c r="J108" s="3">
        <f t="shared" si="18"/>
        <v>0.35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263.49019599142866</v>
      </c>
      <c r="F109" s="24">
        <f t="shared" si="15"/>
        <v>9392.2081346344985</v>
      </c>
      <c r="G109" s="14">
        <f t="shared" si="16"/>
        <v>12095.498963947291</v>
      </c>
      <c r="H109" s="24">
        <f t="shared" si="23"/>
        <v>551.95740047653362</v>
      </c>
      <c r="I109" s="12">
        <f t="shared" si="17"/>
        <v>3.1103507625654712</v>
      </c>
      <c r="J109" s="3">
        <f t="shared" si="18"/>
        <v>0.35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266.60054675399414</v>
      </c>
      <c r="F110" s="24">
        <f t="shared" si="15"/>
        <v>9354.2985701872858</v>
      </c>
      <c r="G110" s="14">
        <f t="shared" si="16"/>
        <v>12153.328663350605</v>
      </c>
      <c r="H110" s="24">
        <f t="shared" si="23"/>
        <v>553.03050470682138</v>
      </c>
      <c r="I110" s="12">
        <f t="shared" si="17"/>
        <v>3.1071932656178984</v>
      </c>
      <c r="J110" s="3">
        <f t="shared" si="18"/>
        <v>0.35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269.70774001961206</v>
      </c>
      <c r="F111" s="24">
        <f t="shared" si="15"/>
        <v>9316.0484700642573</v>
      </c>
      <c r="G111" s="14">
        <f t="shared" si="16"/>
        <v>12210.011301095454</v>
      </c>
      <c r="H111" s="24">
        <f t="shared" si="23"/>
        <v>554.10417236772469</v>
      </c>
      <c r="I111" s="12">
        <f t="shared" si="17"/>
        <v>3.1038303464875781</v>
      </c>
      <c r="J111" s="3">
        <f t="shared" si="18"/>
        <v>0.35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272.81157036609966</v>
      </c>
      <c r="F112" s="24">
        <f t="shared" si="15"/>
        <v>9277.4717090824652</v>
      </c>
      <c r="G112" s="14">
        <f t="shared" si="16"/>
        <v>12265.551135868825</v>
      </c>
      <c r="H112" s="24">
        <f t="shared" si="23"/>
        <v>555.17872620490004</v>
      </c>
      <c r="I112" s="12">
        <f t="shared" si="17"/>
        <v>3.1002640145229519</v>
      </c>
      <c r="J112" s="3">
        <f t="shared" si="18"/>
        <v>0.35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275.91183438062262</v>
      </c>
      <c r="F113" s="24">
        <f t="shared" si="15"/>
        <v>9238.5818415290596</v>
      </c>
      <c r="G113" s="14">
        <f t="shared" si="16"/>
        <v>12319.952414035075</v>
      </c>
      <c r="H113" s="24">
        <f t="shared" si="23"/>
        <v>556.254486535262</v>
      </c>
      <c r="I113" s="12">
        <f t="shared" si="17"/>
        <v>3.0964962392471613</v>
      </c>
      <c r="J113" s="3">
        <f t="shared" si="18"/>
        <v>0.35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279.00833061986981</v>
      </c>
      <c r="F114" s="24">
        <f t="shared" si="15"/>
        <v>9199.3921131899024</v>
      </c>
      <c r="G114" s="14">
        <f t="shared" si="16"/>
        <v>12373.219378309774</v>
      </c>
      <c r="H114" s="24">
        <f t="shared" ref="H114:H177" si="25">IF(E114&lt;600,425+0.773*E114-1.69/1000*E114^2+2.22/1000^2*E114^3,IF(E114&lt;735,666+13002/(738-E114),IF(E114&lt;900,545+17820/(E114-731),650)))</f>
        <v>557.33177098846329</v>
      </c>
      <c r="I114" s="12">
        <f t="shared" si="17"/>
        <v>3.0925289561931284</v>
      </c>
      <c r="J114" s="3">
        <f t="shared" si="18"/>
        <v>0.35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282.10085957606293</v>
      </c>
      <c r="F115" s="24">
        <f t="shared" si="15"/>
        <v>9159.9154726750548</v>
      </c>
      <c r="G115" s="14">
        <f t="shared" si="16"/>
        <v>12425.356276110062</v>
      </c>
      <c r="H115" s="24">
        <f t="shared" si="25"/>
        <v>558.41089425586665</v>
      </c>
      <c r="I115" s="12">
        <f t="shared" si="17"/>
        <v>3.0883640724369603</v>
      </c>
      <c r="J115" s="3">
        <f t="shared" si="18"/>
        <v>0.35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285.18922364849988</v>
      </c>
      <c r="F116" s="24">
        <f t="shared" si="15"/>
        <v>9120.1645820821304</v>
      </c>
      <c r="G116" s="14">
        <f t="shared" si="16"/>
        <v>12476.367367586818</v>
      </c>
      <c r="H116" s="24">
        <f t="shared" si="25"/>
        <v>559.49216784693169</v>
      </c>
      <c r="I116" s="12">
        <f t="shared" si="17"/>
        <v>3.0840034718399059</v>
      </c>
      <c r="J116" s="3">
        <f t="shared" si="18"/>
        <v>0.35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288.27322712033975</v>
      </c>
      <c r="F117" s="24">
        <f t="shared" si="15"/>
        <v>9080.1518270358793</v>
      </c>
      <c r="G117" s="14">
        <f t="shared" si="16"/>
        <v>12526.256933343746</v>
      </c>
      <c r="H117" s="24">
        <f t="shared" si="25"/>
        <v>560.57589985294544</v>
      </c>
      <c r="I117" s="12">
        <f t="shared" si="17"/>
        <v>3.0794490200084823</v>
      </c>
      <c r="J117" s="3">
        <f t="shared" si="18"/>
        <v>0.35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291.35267614034825</v>
      </c>
      <c r="F118" s="24">
        <f t="shared" si="15"/>
        <v>9039.8893261400826</v>
      </c>
      <c r="G118" s="14">
        <f t="shared" si="16"/>
        <v>12575.029281847432</v>
      </c>
      <c r="H118" s="24">
        <f t="shared" si="25"/>
        <v>561.66239471804886</v>
      </c>
      <c r="I118" s="12">
        <f t="shared" si="17"/>
        <v>3.0747025689815821</v>
      </c>
      <c r="J118" s="3">
        <f t="shared" si="18"/>
        <v>0.35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294.42737870932984</v>
      </c>
      <c r="F119" s="24">
        <f t="shared" si="15"/>
        <v>8999.38893987558</v>
      </c>
      <c r="G119" s="14">
        <f t="shared" si="16"/>
        <v>12622.688756532649</v>
      </c>
      <c r="H119" s="24">
        <f t="shared" si="25"/>
        <v>562.75195301752331</v>
      </c>
      <c r="I119" s="12">
        <f t="shared" si="17"/>
        <v>3.0697659616529029</v>
      </c>
      <c r="J119" s="3">
        <f t="shared" si="18"/>
        <v>0.35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297.49714467098272</v>
      </c>
      <c r="F120" s="24">
        <f t="shared" si="15"/>
        <v>8958.6622789761841</v>
      </c>
      <c r="G120" s="14">
        <f t="shared" si="16"/>
        <v>12669.239742606096</v>
      </c>
      <c r="H120" s="24">
        <f t="shared" si="25"/>
        <v>563.84487124330917</v>
      </c>
      <c r="I120" s="12">
        <f t="shared" si="17"/>
        <v>3.0646410359363863</v>
      </c>
      <c r="J120" s="3">
        <f t="shared" si="18"/>
        <v>0.35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300.56178570691912</v>
      </c>
      <c r="F121" s="24">
        <f t="shared" si="15"/>
        <v>8917.7207123125318</v>
      </c>
      <c r="G121" s="14">
        <f t="shared" si="16"/>
        <v>12714.686673552123</v>
      </c>
      <c r="H121" s="24">
        <f t="shared" si="25"/>
        <v>564.9414415967484</v>
      </c>
      <c r="I121" s="12">
        <f t="shared" si="17"/>
        <v>3.0593296286819616</v>
      </c>
      <c r="J121" s="3">
        <f t="shared" si="18"/>
        <v>0.35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303.62111533560108</v>
      </c>
      <c r="F122" s="24">
        <f t="shared" si="15"/>
        <v>8876.5753743119949</v>
      </c>
      <c r="G122" s="14">
        <f t="shared" si="16"/>
        <v>12759.03403734313</v>
      </c>
      <c r="H122" s="24">
        <f t="shared" si="25"/>
        <v>566.0419517885432</v>
      </c>
      <c r="I122" s="12">
        <f t="shared" si="17"/>
        <v>3.053833579348415</v>
      </c>
      <c r="J122" s="3">
        <f t="shared" si="18"/>
        <v>0.35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306.67494891494948</v>
      </c>
      <c r="F123" s="24">
        <f t="shared" si="15"/>
        <v>8835.2371719412695</v>
      </c>
      <c r="G123" s="14">
        <f t="shared" si="16"/>
        <v>12802.286382357428</v>
      </c>
      <c r="H123" s="24">
        <f t="shared" si="25"/>
        <v>567.14668484593733</v>
      </c>
      <c r="I123" s="12">
        <f t="shared" si="17"/>
        <v>3.0481547334398256</v>
      </c>
      <c r="J123" s="3">
        <f t="shared" si="18"/>
        <v>0.35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309.72310364838933</v>
      </c>
      <c r="F124" s="24">
        <f t="shared" si="15"/>
        <v>8793.7167912767436</v>
      </c>
      <c r="G124" s="14">
        <f t="shared" si="16"/>
        <v>12844.448323006953</v>
      </c>
      <c r="H124" s="24">
        <f t="shared" si="25"/>
        <v>568.25591892713328</v>
      </c>
      <c r="I124" s="12">
        <f t="shared" si="17"/>
        <v>3.0422949457116863</v>
      </c>
      <c r="J124" s="3">
        <f t="shared" si="18"/>
        <v>0.35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312.76539859410099</v>
      </c>
      <c r="F125" s="24">
        <f t="shared" si="15"/>
        <v>8752.0247036864057</v>
      </c>
      <c r="G125" s="14">
        <f t="shared" si="16"/>
        <v>12885.524545077356</v>
      </c>
      <c r="H125" s="24">
        <f t="shared" si="25"/>
        <v>569.36992714295934</v>
      </c>
      <c r="I125" s="12">
        <f t="shared" si="17"/>
        <v>3.0362560831525993</v>
      </c>
      <c r="J125" s="3">
        <f t="shared" si="18"/>
        <v>0.35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315.80165467725357</v>
      </c>
      <c r="F126" s="24">
        <f t="shared" si="15"/>
        <v>8710.1711716456502</v>
      </c>
      <c r="G126" s="14">
        <f t="shared" si="16"/>
        <v>12925.519810782414</v>
      </c>
      <c r="H126" s="24">
        <f t="shared" si="25"/>
        <v>570.4889773858124</v>
      </c>
      <c r="I126" s="12">
        <f t="shared" si="17"/>
        <v>3.0300400277470501</v>
      </c>
      <c r="J126" s="3">
        <f t="shared" si="18"/>
        <v>0.35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318.83169470500064</v>
      </c>
      <c r="F127" s="24">
        <f t="shared" si="15"/>
        <v>8668.1662542082813</v>
      </c>
      <c r="G127" s="14">
        <f t="shared" si="16"/>
        <v>12964.438963535056</v>
      </c>
      <c r="H127" s="24">
        <f t="shared" si="25"/>
        <v>571.61333216589924</v>
      </c>
      <c r="I127" s="12">
        <f t="shared" si="17"/>
        <v>3.023648679024717</v>
      </c>
      <c r="J127" s="3">
        <f t="shared" si="18"/>
        <v>0.35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321.85534338402533</v>
      </c>
      <c r="F128" s="24">
        <f t="shared" si="15"/>
        <v>8626.0198121527756</v>
      </c>
      <c r="G128" s="14">
        <f t="shared" si="16"/>
        <v>13002.286932437017</v>
      </c>
      <c r="H128" s="24">
        <f t="shared" si="25"/>
        <v>572.74324845480771</v>
      </c>
      <c r="I128" s="12">
        <f t="shared" si="17"/>
        <v>3.017083956401482</v>
      </c>
      <c r="J128" s="3">
        <f t="shared" si="18"/>
        <v>0.35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324.87242734042684</v>
      </c>
      <c r="F129" s="24">
        <f t="shared" si="15"/>
        <v>8583.7415128229222</v>
      </c>
      <c r="G129" s="14">
        <f t="shared" si="16"/>
        <v>13039.068736489224</v>
      </c>
      <c r="H129" s="24">
        <f t="shared" si="25"/>
        <v>573.87897753643165</v>
      </c>
      <c r="I129" s="12">
        <f t="shared" si="17"/>
        <v>3.0103478013172458</v>
      </c>
      <c r="J129" s="3">
        <f t="shared" si="18"/>
        <v>0.35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327.8827751417441</v>
      </c>
      <c r="F130" s="24">
        <f t="shared" si="15"/>
        <v>8541.340834680841</v>
      </c>
      <c r="G130" s="14">
        <f t="shared" si="16"/>
        <v>13074.789488524813</v>
      </c>
      <c r="H130" s="24">
        <f t="shared" si="25"/>
        <v>575.02076486528563</v>
      </c>
      <c r="I130" s="12">
        <f t="shared" si="17"/>
        <v>3.003442179175444</v>
      </c>
      <c r="J130" s="3">
        <f t="shared" si="18"/>
        <v>0.35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330.88621732091957</v>
      </c>
      <c r="F131" s="24">
        <f t="shared" si="15"/>
        <v>8498.827071589667</v>
      </c>
      <c r="G131" s="14">
        <f t="shared" si="16"/>
        <v>13109.454398867148</v>
      </c>
      <c r="H131" s="24">
        <f t="shared" si="25"/>
        <v>576.16884993223334</v>
      </c>
      <c r="I131" s="12">
        <f t="shared" si="17"/>
        <v>2.9963690810892198</v>
      </c>
      <c r="J131" s="3">
        <f t="shared" si="18"/>
        <v>0.35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333.88258640200877</v>
      </c>
      <c r="F132" s="24">
        <f t="shared" si="15"/>
        <v>8456.2093368421047</v>
      </c>
      <c r="G132" s="14">
        <f t="shared" si="16"/>
        <v>13143.068778714698</v>
      </c>
      <c r="H132" s="24">
        <f t="shared" si="25"/>
        <v>577.3234661376606</v>
      </c>
      <c r="I132" s="12">
        <f t="shared" si="17"/>
        <v>2.9891305254389628</v>
      </c>
      <c r="J132" s="3">
        <f t="shared" si="18"/>
        <v>0.35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336.87171692744772</v>
      </c>
      <c r="F133" s="24">
        <f t="shared" si="15"/>
        <v>8413.4965669504418</v>
      </c>
      <c r="G133" s="14">
        <f t="shared" si="16"/>
        <v>13175.638043255301</v>
      </c>
      <c r="H133" s="24">
        <f t="shared" si="25"/>
        <v>578.48484067211439</v>
      </c>
      <c r="I133" s="12">
        <f t="shared" si="17"/>
        <v>2.9817285592460845</v>
      </c>
      <c r="J133" s="3">
        <f t="shared" si="18"/>
        <v>0.35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339.85344548669383</v>
      </c>
      <c r="F134" s="24">
        <f t="shared" si="15"/>
        <v>8370.6975252127086</v>
      </c>
      <c r="G134" s="14">
        <f t="shared" si="16"/>
        <v>13207.167714511976</v>
      </c>
      <c r="H134" s="24">
        <f t="shared" si="25"/>
        <v>579.65319440443409</v>
      </c>
      <c r="I134" s="12">
        <f t="shared" si="17"/>
        <v>2.9741652593676902</v>
      </c>
      <c r="J134" s="3">
        <f t="shared" si="18"/>
        <v>0.35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342.82761074606151</v>
      </c>
      <c r="F135" s="24">
        <f t="shared" si="15"/>
        <v>8327.820805069061</v>
      </c>
      <c r="G135" s="14">
        <f t="shared" si="16"/>
        <v>13237.663423922833</v>
      </c>
      <c r="H135" s="24">
        <f t="shared" si="25"/>
        <v>580.82874177738904</v>
      </c>
      <c r="I135" s="12">
        <f t="shared" si="17"/>
        <v>2.966442733516955</v>
      </c>
      <c r="J135" s="3">
        <f t="shared" si="18"/>
        <v>0.35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345.79405347957845</v>
      </c>
      <c r="F136" s="24">
        <f t="shared" si="15"/>
        <v>8284.8748332616906</v>
      </c>
      <c r="G136" s="14">
        <f t="shared" si="16"/>
        <v>13267.130914657786</v>
      </c>
      <c r="H136" s="24">
        <f t="shared" si="25"/>
        <v>582.01169071083689</v>
      </c>
      <c r="I136" s="12">
        <f t="shared" si="17"/>
        <v>2.9585631211139432</v>
      </c>
      <c r="J136" s="3">
        <f t="shared" si="18"/>
        <v>0.35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348.75261660069242</v>
      </c>
      <c r="F137" s="24">
        <f t="shared" si="15"/>
        <v>8241.8678728110444</v>
      </c>
      <c r="G137" s="14">
        <f t="shared" si="16"/>
        <v>13295.576043674786</v>
      </c>
      <c r="H137" s="24">
        <f t="shared" si="25"/>
        <v>583.20224251241166</v>
      </c>
      <c r="I137" s="12">
        <f t="shared" si="17"/>
        <v>2.9505285939716632</v>
      </c>
      <c r="J137" s="3">
        <f t="shared" si="18"/>
        <v>0.35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351.7031451946641</v>
      </c>
      <c r="F138" s="24">
        <f t="shared" si="15"/>
        <v>8198.8080258204009</v>
      </c>
      <c r="G138" s="14">
        <f t="shared" si="16"/>
        <v>13323.004783518541</v>
      </c>
      <c r="H138" s="24">
        <f t="shared" si="25"/>
        <v>584.40059179574155</v>
      </c>
      <c r="I138" s="12">
        <f t="shared" si="17"/>
        <v>2.9423413568221735</v>
      </c>
      <c r="J138" s="3">
        <f t="shared" si="18"/>
        <v>0.35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354.64548655148627</v>
      </c>
      <c r="F139" s="24">
        <f t="shared" si="15"/>
        <v>8155.7032361203692</v>
      </c>
      <c r="G139" s="14">
        <f t="shared" si="16"/>
        <v>13349.423223864951</v>
      </c>
      <c r="H139" s="24">
        <f t="shared" si="25"/>
        <v>585.60692640619322</v>
      </c>
      <c r="I139" s="12">
        <f t="shared" si="17"/>
        <v>2.9340036476876237</v>
      </c>
      <c r="J139" s="3">
        <f t="shared" si="18"/>
        <v>0.35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357.5794901991739</v>
      </c>
      <c r="F140" s="24">
        <f t="shared" si="15"/>
        <v>8112.5612917642893</v>
      </c>
      <c r="G140" s="14">
        <f t="shared" si="16"/>
        <v>13374.837572814578</v>
      </c>
      <c r="H140" s="24">
        <f t="shared" si="25"/>
        <v>586.82142735413083</v>
      </c>
      <c r="I140" s="12">
        <f t="shared" si="17"/>
        <v>2.9255177381011452</v>
      </c>
      <c r="J140" s="3">
        <f t="shared" si="18"/>
        <v>0.35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360.50500793727502</v>
      </c>
      <c r="F141" s="24">
        <f t="shared" si="15"/>
        <v>8069.3898273849882</v>
      </c>
      <c r="G141" s="14">
        <f t="shared" si="16"/>
        <v>13399.254157938682</v>
      </c>
      <c r="H141" s="24">
        <f t="shared" si="25"/>
        <v>588.0442687556698</v>
      </c>
      <c r="I141" s="12">
        <f t="shared" si="17"/>
        <v>2.9168859331825829</v>
      </c>
      <c r="J141" s="3">
        <f t="shared" si="18"/>
        <v>0.35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363.42189387045761</v>
      </c>
      <c r="F142" s="24">
        <f t="shared" si="15"/>
        <v>8026.196326422898</v>
      </c>
      <c r="G142" s="14">
        <f t="shared" si="16"/>
        <v>13422.679427081737</v>
      </c>
      <c r="H142" s="24">
        <f t="shared" si="25"/>
        <v>589.2756177809008</v>
      </c>
      <c r="I142" s="12">
        <f t="shared" si="17"/>
        <v>2.9081105715741149</v>
      </c>
      <c r="J142" s="3">
        <f t="shared" si="18"/>
        <v>0.35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366.33000444203174</v>
      </c>
      <c r="F143" s="24">
        <f t="shared" si="15"/>
        <v>7982.9881232349808</v>
      </c>
      <c r="G143" s="14">
        <f t="shared" si="16"/>
        <v>13445.119948924281</v>
      </c>
      <c r="H143" s="24">
        <f t="shared" si="25"/>
        <v>590.51563460954617</v>
      </c>
      <c r="I143" s="12">
        <f t="shared" si="17"/>
        <v>2.8991940252408717</v>
      </c>
      <c r="J143" s="3">
        <f t="shared" si="18"/>
        <v>0.35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369.22919846727262</v>
      </c>
      <c r="F144" s="24">
        <f t="shared" si="15"/>
        <v>7939.7724050935112</v>
      </c>
      <c r="G144" s="14">
        <f t="shared" si="16"/>
        <v>13466.582413310387</v>
      </c>
      <c r="H144" s="24">
        <f t="shared" si="25"/>
        <v>591.76447239400795</v>
      </c>
      <c r="I144" s="12">
        <f t="shared" si="17"/>
        <v>2.8901386991417293</v>
      </c>
      <c r="J144" s="3">
        <f t="shared" si="18"/>
        <v>0.35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372.11933716641437</v>
      </c>
      <c r="F145" s="24">
        <f t="shared" ref="F145:F208" si="26">AlphaC*(D145-E145)</f>
        <v>7896.5562140833481</v>
      </c>
      <c r="G145" s="14">
        <f t="shared" ref="G145:G208" si="27">Phi*EpsilonF*Botzman/10^8*J145*((D145+273)^4-(E145+273)^4)</f>
        <v>13487.073631344269</v>
      </c>
      <c r="H145" s="24">
        <f t="shared" si="25"/>
        <v>593.02227722975476</v>
      </c>
      <c r="I145" s="12">
        <f t="shared" ref="I145:I208" si="28">ksh*Massivete/(H145*RhoA)*DeltaT*(F145+G145)</f>
        <v>2.8809470307755345</v>
      </c>
      <c r="J145" s="3">
        <f t="shared" ref="J145:J208" si="29">IF(E145&lt;=500,IF(Galva=Oui,0.35,0.7),0.7)</f>
        <v>0.35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375.0002841971899</v>
      </c>
      <c r="F146" s="24">
        <f t="shared" si="26"/>
        <v>7853.346448905836</v>
      </c>
      <c r="G146" s="14">
        <f t="shared" si="27"/>
        <v>13506.600535260588</v>
      </c>
      <c r="H146" s="24">
        <f t="shared" si="25"/>
        <v>594.28918813298549</v>
      </c>
      <c r="I146" s="12">
        <f t="shared" si="28"/>
        <v>2.8716214896080592</v>
      </c>
      <c r="J146" s="3">
        <f t="shared" si="29"/>
        <v>0.35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377.87190568679796</v>
      </c>
      <c r="F147" s="24">
        <f t="shared" si="26"/>
        <v>7810.149866597123</v>
      </c>
      <c r="G147" s="14">
        <f t="shared" si="27"/>
        <v>13525.170178073453</v>
      </c>
      <c r="H147" s="24">
        <f t="shared" si="25"/>
        <v>595.565337025502</v>
      </c>
      <c r="I147" s="12">
        <f t="shared" si="28"/>
        <v>2.8621645763850574</v>
      </c>
      <c r="J147" s="3">
        <f t="shared" si="29"/>
        <v>0.35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380.73407026318301</v>
      </c>
      <c r="F148" s="24">
        <f t="shared" si="26"/>
        <v>7766.9730841683004</v>
      </c>
      <c r="G148" s="14">
        <f t="shared" si="27"/>
        <v>13542.789733009173</v>
      </c>
      <c r="H148" s="24">
        <f t="shared" si="25"/>
        <v>596.85084872671109</v>
      </c>
      <c r="I148" s="12">
        <f t="shared" si="28"/>
        <v>2.8525788223368411</v>
      </c>
      <c r="J148" s="3">
        <f t="shared" si="29"/>
        <v>0.35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383.58664908551987</v>
      </c>
      <c r="F149" s="24">
        <f t="shared" si="26"/>
        <v>7723.8225801743738</v>
      </c>
      <c r="G149" s="14">
        <f t="shared" si="27"/>
        <v>13559.466492728208</v>
      </c>
      <c r="H149" s="24">
        <f t="shared" si="25"/>
        <v>598.14584095266673</v>
      </c>
      <c r="I149" s="12">
        <f t="shared" si="28"/>
        <v>2.8428667882798733</v>
      </c>
      <c r="J149" s="3">
        <f t="shared" si="29"/>
        <v>0.35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386.42951587379974</v>
      </c>
      <c r="F150" s="24">
        <f t="shared" si="26"/>
        <v>7680.7046962186841</v>
      </c>
      <c r="G150" s="14">
        <f t="shared" si="27"/>
        <v>13575.207868341678</v>
      </c>
      <c r="H150" s="24">
        <f t="shared" si="25"/>
        <v>599.45042432205901</v>
      </c>
      <c r="I150" s="12">
        <f t="shared" si="28"/>
        <v>2.8330310636208433</v>
      </c>
      <c r="J150" s="3">
        <f t="shared" si="29"/>
        <v>0.35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389.26254693742061</v>
      </c>
      <c r="F151" s="24">
        <f t="shared" si="26"/>
        <v>7637.6256383991449</v>
      </c>
      <c r="G151" s="14">
        <f t="shared" si="27"/>
        <v>13590.021388228444</v>
      </c>
      <c r="H151" s="24">
        <f t="shared" si="25"/>
        <v>600.76470236903924</v>
      </c>
      <c r="I151" s="12">
        <f t="shared" si="28"/>
        <v>2.8230742652688416</v>
      </c>
      <c r="J151" s="3">
        <f t="shared" si="29"/>
        <v>0.35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392.08562120268942</v>
      </c>
      <c r="F152" s="24">
        <f t="shared" si="26"/>
        <v>7594.591478702192</v>
      </c>
      <c r="G152" s="14">
        <f t="shared" si="27"/>
        <v>13603.914696658503</v>
      </c>
      <c r="H152" s="24">
        <f t="shared" si="25"/>
        <v>602.08877156277038</v>
      </c>
      <c r="I152" s="12">
        <f t="shared" si="28"/>
        <v>2.8129990364611581</v>
      </c>
      <c r="J152" s="3">
        <f t="shared" si="29"/>
        <v>0.35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394.8986202391506</v>
      </c>
      <c r="F153" s="24">
        <f t="shared" si="26"/>
        <v>7551.6081563501602</v>
      </c>
      <c r="G153" s="14">
        <f t="shared" si="27"/>
        <v>13616.895552229034</v>
      </c>
      <c r="H153" s="24">
        <f t="shared" si="25"/>
        <v>603.4227213335771</v>
      </c>
      <c r="I153" s="12">
        <f t="shared" si="28"/>
        <v>2.8028080455083502</v>
      </c>
      <c r="J153" s="3">
        <f t="shared" si="29"/>
        <v>0.35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397.70142828465896</v>
      </c>
      <c r="F154" s="24">
        <f t="shared" si="26"/>
        <v>7508.6814791073039</v>
      </c>
      <c r="G154" s="14">
        <f t="shared" si="27"/>
        <v>13628.971826119157</v>
      </c>
      <c r="H154" s="24">
        <f t="shared" si="25"/>
        <v>604.76663410556466</v>
      </c>
      <c r="I154" s="12">
        <f t="shared" si="28"/>
        <v>2.7925039844641124</v>
      </c>
      <c r="J154" s="3">
        <f t="shared" si="29"/>
        <v>0.35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400.49393226912309</v>
      </c>
      <c r="F155" s="24">
        <f t="shared" si="26"/>
        <v>7465.8171245496133</v>
      </c>
      <c r="G155" s="14">
        <f t="shared" si="27"/>
        <v>13640.15150017029</v>
      </c>
      <c r="H155" s="24">
        <f t="shared" si="25"/>
        <v>606.1205853355649</v>
      </c>
      <c r="I155" s="12">
        <f t="shared" si="28"/>
        <v>2.7820895677256621</v>
      </c>
      <c r="J155" s="3">
        <f t="shared" si="29"/>
        <v>0.35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403.27602183684877</v>
      </c>
      <c r="F156" s="24">
        <f t="shared" si="26"/>
        <v>7423.0206413030073</v>
      </c>
      <c r="G156" s="14">
        <f t="shared" si="27"/>
        <v>13650.44266479836</v>
      </c>
      <c r="H156" s="24">
        <f t="shared" si="25"/>
        <v>607.48464355826206</v>
      </c>
      <c r="I156" s="12">
        <f t="shared" si="28"/>
        <v>2.7715675305701235</v>
      </c>
      <c r="J156" s="3">
        <f t="shared" si="29"/>
        <v>0.35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406.04758936741888</v>
      </c>
      <c r="F157" s="24">
        <f t="shared" si="26"/>
        <v>7380.2974502544412</v>
      </c>
      <c r="G157" s="14">
        <f t="shared" si="27"/>
        <v>13659.853516744948</v>
      </c>
      <c r="H157" s="24">
        <f t="shared" si="25"/>
        <v>608.85887043734238</v>
      </c>
      <c r="I157" s="12">
        <f t="shared" si="28"/>
        <v>2.7609406276325483</v>
      </c>
      <c r="J157" s="3">
        <f t="shared" si="29"/>
        <v>0.35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408.8085299950514</v>
      </c>
      <c r="F158" s="24">
        <f t="shared" si="26"/>
        <v>7337.6528457400254</v>
      </c>
      <c r="G158" s="14">
        <f t="shared" si="27"/>
        <v>13668.392356674218</v>
      </c>
      <c r="H158" s="24">
        <f t="shared" si="25"/>
        <v>610.24332082250237</v>
      </c>
      <c r="I158" s="12">
        <f t="shared" si="28"/>
        <v>2.7502116313310956</v>
      </c>
      <c r="J158" s="3">
        <f t="shared" si="29"/>
        <v>0.35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411.55874162638247</v>
      </c>
      <c r="F159" s="24">
        <f t="shared" si="26"/>
        <v>7295.0919967140326</v>
      </c>
      <c r="G159" s="14">
        <f t="shared" si="27"/>
        <v>13676.06758662257</v>
      </c>
      <c r="H159" s="24">
        <f t="shared" si="25"/>
        <v>611.6380428121488</v>
      </c>
      <c r="I159" s="12">
        <f t="shared" si="28"/>
        <v>2.7393833302448289</v>
      </c>
      <c r="J159" s="3">
        <f t="shared" si="29"/>
        <v>0.35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414.2981249566273</v>
      </c>
      <c r="F160" s="24">
        <f t="shared" si="26"/>
        <v>7252.6199479024526</v>
      </c>
      <c r="G160" s="14">
        <f t="shared" si="27"/>
        <v>13682.887707308355</v>
      </c>
      <c r="H160" s="24">
        <f t="shared" si="25"/>
        <v>613.04307782160788</v>
      </c>
      <c r="I160" s="12">
        <f t="shared" si="28"/>
        <v>2.7284585274496211</v>
      </c>
      <c r="J160" s="3">
        <f t="shared" si="29"/>
        <v>0.35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417.02658348407692</v>
      </c>
      <c r="F161" s="24">
        <f t="shared" si="26"/>
        <v>7210.2416209444382</v>
      </c>
      <c r="G161" s="14">
        <f t="shared" si="27"/>
        <v>13688.861315308786</v>
      </c>
      <c r="H161" s="24">
        <f t="shared" si="25"/>
        <v>614.45846065666592</v>
      </c>
      <c r="I161" s="12">
        <f t="shared" si="28"/>
        <v>2.7174400388174806</v>
      </c>
      <c r="J161" s="3">
        <f t="shared" si="29"/>
        <v>0.35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419.74402352289439</v>
      </c>
      <c r="F162" s="24">
        <f t="shared" si="26"/>
        <v>7167.9618155247454</v>
      </c>
      <c r="G162" s="14">
        <f t="shared" si="27"/>
        <v>13693.99710011135</v>
      </c>
      <c r="H162" s="24">
        <f t="shared" si="25"/>
        <v>615.88421959224729</v>
      </c>
      <c r="I162" s="12">
        <f t="shared" si="28"/>
        <v>2.7063306912846286</v>
      </c>
      <c r="J162" s="3">
        <f t="shared" si="29"/>
        <v>0.35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422.45035421417901</v>
      </c>
      <c r="F163" s="24">
        <f t="shared" si="26"/>
        <v>7125.7852105000893</v>
      </c>
      <c r="G163" s="14">
        <f t="shared" si="27"/>
        <v>13698.303841047185</v>
      </c>
      <c r="H163" s="24">
        <f t="shared" si="25"/>
        <v>617.32037645604044</v>
      </c>
      <c r="I163" s="12">
        <f t="shared" si="28"/>
        <v>2.695133321093492</v>
      </c>
      <c r="J163" s="3">
        <f t="shared" si="29"/>
        <v>0.35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425.14548753527248</v>
      </c>
      <c r="F164" s="24">
        <f t="shared" si="26"/>
        <v>7083.7163650220546</v>
      </c>
      <c r="G164" s="14">
        <f t="shared" si="27"/>
        <v>13701.790404113764</v>
      </c>
      <c r="H164" s="24">
        <f t="shared" si="25"/>
        <v>618.76694671686687</v>
      </c>
      <c r="I164" s="12">
        <f t="shared" si="28"/>
        <v>2.6838507720137481</v>
      </c>
      <c r="J164" s="3">
        <f t="shared" si="29"/>
        <v>0.35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427.82933830728621</v>
      </c>
      <c r="F165" s="24">
        <f t="shared" si="26"/>
        <v>7041.7597196589613</v>
      </c>
      <c r="G165" s="14">
        <f t="shared" si="27"/>
        <v>13704.465738694302</v>
      </c>
      <c r="H165" s="24">
        <f t="shared" si="25"/>
        <v>620.22393957759436</v>
      </c>
      <c r="I165" s="12">
        <f t="shared" si="28"/>
        <v>2.672485893547369</v>
      </c>
      <c r="J165" s="3">
        <f t="shared" si="29"/>
        <v>0.35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430.5018242008336</v>
      </c>
      <c r="F166" s="24">
        <f t="shared" si="26"/>
        <v>6999.9195975189723</v>
      </c>
      <c r="G166" s="14">
        <f t="shared" si="27"/>
        <v>13706.338874181511</v>
      </c>
      <c r="H166" s="24">
        <f t="shared" si="25"/>
        <v>621.69135807238365</v>
      </c>
      <c r="I166" s="12">
        <f t="shared" si="28"/>
        <v>2.6610415391225821</v>
      </c>
      <c r="J166" s="3">
        <f t="shared" si="29"/>
        <v>0.35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433.1628657399562</v>
      </c>
      <c r="F167" s="24">
        <f t="shared" si="26"/>
        <v>6958.2002053763872</v>
      </c>
      <c r="G167" s="14">
        <f t="shared" si="27"/>
        <v>13707.418916512905</v>
      </c>
      <c r="H167" s="24">
        <f t="shared" si="25"/>
        <v>623.16919916805932</v>
      </c>
      <c r="I167" s="12">
        <f t="shared" si="28"/>
        <v>2.6495205642814383</v>
      </c>
      <c r="J167" s="3">
        <f t="shared" si="29"/>
        <v>0.35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435.81238630423763</v>
      </c>
      <c r="F168" s="24">
        <f t="shared" si="26"/>
        <v>6916.605634802997</v>
      </c>
      <c r="G168" s="14">
        <f t="shared" si="27"/>
        <v>13707.715044625398</v>
      </c>
      <c r="H168" s="24">
        <f t="shared" si="25"/>
        <v>624.6574538693917</v>
      </c>
      <c r="I168" s="12">
        <f t="shared" si="28"/>
        <v>2.6379258248656403</v>
      </c>
      <c r="J168" s="3">
        <f t="shared" si="29"/>
        <v>0.35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438.45031212910328</v>
      </c>
      <c r="F169" s="24">
        <f t="shared" si="26"/>
        <v>6875.1398633060635</v>
      </c>
      <c r="G169" s="14">
        <f t="shared" si="27"/>
        <v>13707.236506836267</v>
      </c>
      <c r="H169" s="24">
        <f t="shared" si="25"/>
        <v>626.15610732806954</v>
      </c>
      <c r="I169" s="12">
        <f t="shared" si="28"/>
        <v>2.6262601752050503</v>
      </c>
      <c r="J169" s="3">
        <f t="shared" si="29"/>
        <v>0.35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441.07657230430834</v>
      </c>
      <c r="F170" s="24">
        <f t="shared" si="26"/>
        <v>6833.8067554743984</v>
      </c>
      <c r="G170" s="14">
        <f t="shared" si="27"/>
        <v>13705.992617158066</v>
      </c>
      <c r="H170" s="24">
        <f t="shared" si="25"/>
        <v>627.66513895515277</v>
      </c>
      <c r="I170" s="12">
        <f t="shared" si="28"/>
        <v>2.6145264663131758</v>
      </c>
      <c r="J170" s="3">
        <f t="shared" si="29"/>
        <v>0.35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443.69109877062152</v>
      </c>
      <c r="F171" s="24">
        <f t="shared" si="26"/>
        <v>6792.6100641338462</v>
      </c>
      <c r="G171" s="14">
        <f t="shared" si="27"/>
        <v>13703.992751554813</v>
      </c>
      <c r="H171" s="24">
        <f t="shared" si="25"/>
        <v>629.1845225367797</v>
      </c>
      <c r="I171" s="12">
        <f t="shared" si="28"/>
        <v>2.6027275440938382</v>
      </c>
      <c r="J171" s="3">
        <f t="shared" si="29"/>
        <v>0.35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446.29382631471537</v>
      </c>
      <c r="F172" s="24">
        <f t="shared" si="26"/>
        <v>6751.5534315131472</v>
      </c>
      <c r="G172" s="14">
        <f t="shared" si="27"/>
        <v>13701.246344146324</v>
      </c>
      <c r="H172" s="24">
        <f t="shared" si="25"/>
        <v>630.71422635291071</v>
      </c>
      <c r="I172" s="12">
        <f t="shared" si="28"/>
        <v>2.5908662475628934</v>
      </c>
      <c r="J172" s="3">
        <f t="shared" si="29"/>
        <v>0.35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448.88469256227825</v>
      </c>
      <c r="F173" s="24">
        <f t="shared" si="26"/>
        <v>6710.6403904212584</v>
      </c>
      <c r="G173" s="14">
        <f t="shared" si="27"/>
        <v>13697.762883368257</v>
      </c>
      <c r="H173" s="24">
        <f t="shared" si="25"/>
        <v>632.25421329889105</v>
      </c>
      <c r="I173" s="12">
        <f t="shared" si="28"/>
        <v>2.5789454070889017</v>
      </c>
      <c r="J173" s="3">
        <f t="shared" si="29"/>
        <v>0.35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451.46363796936714</v>
      </c>
      <c r="F174" s="24">
        <f t="shared" si="26"/>
        <v>6669.87436543684</v>
      </c>
      <c r="G174" s="14">
        <f t="shared" si="27"/>
        <v>13693.55190809466</v>
      </c>
      <c r="H174" s="24">
        <f t="shared" si="25"/>
        <v>633.8044410096071</v>
      </c>
      <c r="I174" s="12">
        <f t="shared" si="28"/>
        <v>2.5669678426563332</v>
      </c>
      <c r="J174" s="3">
        <f t="shared" si="29"/>
        <v>0.35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454.03060581202345</v>
      </c>
      <c r="F175" s="24">
        <f t="shared" si="26"/>
        <v>6629.2586741105124</v>
      </c>
      <c r="G175" s="14">
        <f t="shared" si="27"/>
        <v>13688.623003729759</v>
      </c>
      <c r="H175" s="24">
        <f t="shared" si="25"/>
        <v>635.36486198602302</v>
      </c>
      <c r="I175" s="12">
        <f t="shared" si="28"/>
        <v>2.5549363621547152</v>
      </c>
      <c r="J175" s="3">
        <f t="shared" si="29"/>
        <v>0.35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456.58554217417816</v>
      </c>
      <c r="F176" s="24">
        <f t="shared" si="26"/>
        <v>6588.7965281804754</v>
      </c>
      <c r="G176" s="14">
        <f t="shared" si="27"/>
        <v>13682.985798276153</v>
      </c>
      <c r="H176" s="24">
        <f t="shared" si="25"/>
        <v>636.9354237238739</v>
      </c>
      <c r="I176" s="12">
        <f t="shared" si="28"/>
        <v>2.5428537596970453</v>
      </c>
      <c r="J176" s="3">
        <f t="shared" si="29"/>
        <v>0.35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459.1283959338752</v>
      </c>
      <c r="F177" s="24">
        <f t="shared" si="26"/>
        <v>6548.491034801792</v>
      </c>
      <c r="G177" s="14">
        <f t="shared" si="27"/>
        <v>13676.6499583857</v>
      </c>
      <c r="H177" s="24">
        <f t="shared" si="25"/>
        <v>638.51606884430305</v>
      </c>
      <c r="I177" s="12">
        <f t="shared" si="28"/>
        <v>2.530722813970482</v>
      </c>
      <c r="J177" s="3">
        <f t="shared" si="29"/>
        <v>0.35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461.6591187478457</v>
      </c>
      <c r="F178" s="24">
        <f t="shared" si="26"/>
        <v>6508.3451977895602</v>
      </c>
      <c r="G178" s="14">
        <f t="shared" si="27"/>
        <v>13669.625185399669</v>
      </c>
      <c r="H178" s="24">
        <f t="shared" ref="H178:H241" si="34">IF(E178&lt;600,425+0.773*E178-1.69/1000*E178^2+2.22/1000^2*E178^3,IF(E178&lt;735,666+13002/(738-E178),IF(E178&lt;900,545+17820/(E178-731),650)))</f>
        <v>640.10673522622778</v>
      </c>
      <c r="I178" s="12">
        <f t="shared" si="28"/>
        <v>2.5185462866221915</v>
      </c>
      <c r="J178" s="3">
        <f t="shared" si="29"/>
        <v>0.35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464.17766503446791</v>
      </c>
      <c r="F179" s="24">
        <f t="shared" si="26"/>
        <v>6468.3619188761795</v>
      </c>
      <c r="G179" s="14">
        <f t="shared" si="27"/>
        <v>13661.921211384533</v>
      </c>
      <c r="H179" s="24">
        <f t="shared" si="34"/>
        <v>641.70735614021964</v>
      </c>
      <c r="I179" s="12">
        <f t="shared" si="28"/>
        <v>2.5063269206830667</v>
      </c>
      <c r="J179" s="3">
        <f t="shared" si="29"/>
        <v>0.35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466.68399195515099</v>
      </c>
      <c r="F180" s="24">
        <f t="shared" si="26"/>
        <v>6428.5439989826609</v>
      </c>
      <c r="G180" s="14">
        <f t="shared" si="27"/>
        <v>13653.547795169594</v>
      </c>
      <c r="H180" s="24">
        <f t="shared" si="34"/>
        <v>643.31786038369319</v>
      </c>
      <c r="I180" s="12">
        <f t="shared" si="28"/>
        <v>2.4940674390317894</v>
      </c>
      <c r="J180" s="3">
        <f t="shared" si="29"/>
        <v>0.35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469.17805939418275</v>
      </c>
      <c r="F181" s="24">
        <f t="shared" si="26"/>
        <v>6388.8941395039137</v>
      </c>
      <c r="G181" s="14">
        <f t="shared" si="27"/>
        <v>13644.514718392109</v>
      </c>
      <c r="H181" s="24">
        <f t="shared" si="34"/>
        <v>644.93817241719694</v>
      </c>
      <c r="I181" s="12">
        <f t="shared" si="28"/>
        <v>2.4817705429014936</v>
      </c>
      <c r="J181" s="3">
        <f t="shared" si="29"/>
        <v>0.35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471.65982993708423</v>
      </c>
      <c r="F182" s="24">
        <f t="shared" si="26"/>
        <v>6349.4149436078133</v>
      </c>
      <c r="G182" s="14">
        <f t="shared" si="27"/>
        <v>13634.831781556057</v>
      </c>
      <c r="H182" s="24">
        <f t="shared" si="34"/>
        <v>646.56821250160112</v>
      </c>
      <c r="I182" s="12">
        <f t="shared" si="28"/>
        <v>2.4694389104312044</v>
      </c>
      <c r="J182" s="3">
        <f t="shared" si="29"/>
        <v>0.35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474.12926884751545</v>
      </c>
      <c r="F183" s="24">
        <f t="shared" si="26"/>
        <v>6310.1089175478119</v>
      </c>
      <c r="G183" s="14">
        <f t="shared" si="27"/>
        <v>13624.508800109885</v>
      </c>
      <c r="H183" s="24">
        <f t="shared" si="34"/>
        <v>648.20789683599003</v>
      </c>
      <c r="I183" s="12">
        <f t="shared" si="28"/>
        <v>2.4570751952638985</v>
      </c>
      <c r="J183" s="3">
        <f t="shared" si="29"/>
        <v>0.35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476.58634404277933</v>
      </c>
      <c r="F184" s="24">
        <f t="shared" si="26"/>
        <v>6270.978471988722</v>
      </c>
      <c r="G184" s="14">
        <f t="shared" si="27"/>
        <v>13613.555600548762</v>
      </c>
      <c r="H184" s="24">
        <f t="shared" si="34"/>
        <v>649.85713769605854</v>
      </c>
      <c r="I184" s="12">
        <f t="shared" si="28"/>
        <v>2.4446820251929631</v>
      </c>
      <c r="J184" s="3">
        <f t="shared" si="29"/>
        <v>0.35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479.03102606797228</v>
      </c>
      <c r="F185" s="24">
        <f t="shared" si="26"/>
        <v>6232.0259233451861</v>
      </c>
      <c r="G185" s="14">
        <f t="shared" si="27"/>
        <v>13601.982016546277</v>
      </c>
      <c r="H185" s="24">
        <f t="shared" si="34"/>
        <v>651.51584357283105</v>
      </c>
      <c r="I185" s="12">
        <f t="shared" si="28"/>
        <v>2.4322620008585178</v>
      </c>
      <c r="J185" s="3">
        <f t="shared" si="29"/>
        <v>0.35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481.46328806883082</v>
      </c>
      <c r="F186" s="24">
        <f t="shared" si="26"/>
        <v>6193.2534951324296</v>
      </c>
      <c r="G186" s="14">
        <f t="shared" si="27"/>
        <v>13589.797885120899</v>
      </c>
      <c r="H186" s="24">
        <f t="shared" si="34"/>
        <v>653.18391931151154</v>
      </c>
      <c r="I186" s="12">
        <f t="shared" si="28"/>
        <v>2.4198176944950367</v>
      </c>
      <c r="J186" s="3">
        <f t="shared" si="29"/>
        <v>0.35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483.88310576332583</v>
      </c>
      <c r="F187" s="24">
        <f t="shared" si="26"/>
        <v>6154.6633193286598</v>
      </c>
      <c r="G187" s="14">
        <f t="shared" si="27"/>
        <v>13577.013042841603</v>
      </c>
      <c r="H187" s="24">
        <f t="shared" si="34"/>
        <v>654.86126625029146</v>
      </c>
      <c r="I187" s="12">
        <f t="shared" si="28"/>
        <v>2.4073516487313653</v>
      </c>
      <c r="J187" s="3">
        <f t="shared" si="29"/>
        <v>0.35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486.29045741205721</v>
      </c>
      <c r="F188" s="24">
        <f t="shared" si="26"/>
        <v>6116.2574377484671</v>
      </c>
      <c r="G188" s="14">
        <f t="shared" si="27"/>
        <v>13563.637322077286</v>
      </c>
      <c r="H188" s="24">
        <f t="shared" si="34"/>
        <v>656.54778235893832</v>
      </c>
      <c r="I188" s="12">
        <f t="shared" si="28"/>
        <v>2.394866375444153</v>
      </c>
      <c r="J188" s="3">
        <f t="shared" si="29"/>
        <v>0.35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488.68532378750137</v>
      </c>
      <c r="F189" s="24">
        <f t="shared" si="26"/>
        <v>6078.0378034266587</v>
      </c>
      <c r="G189" s="14">
        <f t="shared" si="27"/>
        <v>13549.680547294462</v>
      </c>
      <c r="H189" s="24">
        <f t="shared" si="34"/>
        <v>658.24336237699868</v>
      </c>
      <c r="I189" s="12">
        <f t="shared" si="28"/>
        <v>2.3823643546655457</v>
      </c>
      <c r="J189" s="3">
        <f t="shared" si="29"/>
        <v>0.35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491.0676881421669</v>
      </c>
      <c r="F190" s="24">
        <f t="shared" si="26"/>
        <v>6040.0062820116618</v>
      </c>
      <c r="G190" s="14">
        <f t="shared" si="27"/>
        <v>13535.152531406971</v>
      </c>
      <c r="H190" s="24">
        <f t="shared" si="34"/>
        <v>659.94789795145425</v>
      </c>
      <c r="I190" s="12">
        <f t="shared" si="28"/>
        <v>2.3698480335457361</v>
      </c>
      <c r="J190" s="3">
        <f t="shared" si="29"/>
        <v>0.35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493.43753617571264</v>
      </c>
      <c r="F191" s="24">
        <f t="shared" si="26"/>
        <v>6002.1646531678289</v>
      </c>
      <c r="G191" s="14">
        <f t="shared" si="27"/>
        <v>13520.063072181856</v>
      </c>
      <c r="H191" s="24">
        <f t="shared" si="34"/>
        <v>661.66127777367296</v>
      </c>
      <c r="I191" s="12">
        <f t="shared" si="28"/>
        <v>2.3573198253709164</v>
      </c>
      <c r="J191" s="3">
        <f t="shared" si="29"/>
        <v>0.35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495.79485600108353</v>
      </c>
      <c r="F192" s="24">
        <f t="shared" si="26"/>
        <v>5964.5146119857945</v>
      </c>
      <c r="G192" s="14">
        <f t="shared" si="27"/>
        <v>13504.421948704803</v>
      </c>
      <c r="H192" s="24">
        <f t="shared" si="34"/>
        <v>663.38338771550548</v>
      </c>
      <c r="I192" s="12">
        <f t="shared" si="28"/>
        <v>2.3447821086369243</v>
      </c>
      <c r="J192" s="3">
        <f t="shared" si="29"/>
        <v>0.35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498.13963810972047</v>
      </c>
      <c r="F193" s="24">
        <f t="shared" si="26"/>
        <v>5927.0577704000871</v>
      </c>
      <c r="G193" s="14">
        <f t="shared" si="27"/>
        <v>13488.238917908757</v>
      </c>
      <c r="H193" s="24">
        <f t="shared" si="34"/>
        <v>665.11411096438576</v>
      </c>
      <c r="I193" s="12">
        <f t="shared" si="28"/>
        <v>2.332237226178802</v>
      </c>
      <c r="J193" s="3">
        <f t="shared" si="29"/>
        <v>0.35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500.47187533589926</v>
      </c>
      <c r="F194" s="24">
        <f t="shared" si="26"/>
        <v>5889.7956586130949</v>
      </c>
      <c r="G194" s="14">
        <f t="shared" si="27"/>
        <v>26943.047422337284</v>
      </c>
      <c r="H194" s="24">
        <f t="shared" si="34"/>
        <v>666.85332815729521</v>
      </c>
      <c r="I194" s="12">
        <f t="shared" si="28"/>
        <v>3.9337161748173055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504.40559151071653</v>
      </c>
      <c r="F195" s="24">
        <f t="shared" si="26"/>
        <v>5812.3790092630015</v>
      </c>
      <c r="G195" s="14">
        <f t="shared" si="27"/>
        <v>26788.555113226816</v>
      </c>
      <c r="H195" s="24">
        <f t="shared" si="34"/>
        <v>669.82740342832585</v>
      </c>
      <c r="I195" s="12">
        <f t="shared" si="28"/>
        <v>3.8885884924233829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508.2941800031399</v>
      </c>
      <c r="F196" s="24">
        <f t="shared" si="26"/>
        <v>5735.9742944007139</v>
      </c>
      <c r="G196" s="14">
        <f t="shared" si="27"/>
        <v>26632.603840274638</v>
      </c>
      <c r="H196" s="24">
        <f t="shared" si="34"/>
        <v>672.81813455305928</v>
      </c>
      <c r="I196" s="12">
        <f t="shared" si="28"/>
        <v>3.8437115379404463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512.13789154108031</v>
      </c>
      <c r="F197" s="24">
        <f t="shared" si="26"/>
        <v>5660.5765304523711</v>
      </c>
      <c r="G197" s="14">
        <f t="shared" si="27"/>
        <v>26475.286328129743</v>
      </c>
      <c r="H197" s="24">
        <f t="shared" si="34"/>
        <v>675.82473139580077</v>
      </c>
      <c r="I197" s="12">
        <f t="shared" si="28"/>
        <v>3.7991001151528043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515.93699165623309</v>
      </c>
      <c r="F198" s="24">
        <f t="shared" si="26"/>
        <v>5586.1803425741755</v>
      </c>
      <c r="G198" s="14">
        <f t="shared" si="27"/>
        <v>26316.694002653636</v>
      </c>
      <c r="H198" s="24">
        <f t="shared" si="34"/>
        <v>678.84639570765341</v>
      </c>
      <c r="I198" s="12">
        <f t="shared" si="28"/>
        <v>3.7547683667209735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519.6917600229541</v>
      </c>
      <c r="F199" s="24">
        <f t="shared" si="26"/>
        <v>5512.779981643328</v>
      </c>
      <c r="G199" s="14">
        <f t="shared" si="27"/>
        <v>26156.916904413392</v>
      </c>
      <c r="H199" s="24">
        <f t="shared" si="34"/>
        <v>681.88232321343253</v>
      </c>
      <c r="I199" s="12">
        <f t="shared" si="28"/>
        <v>3.7107297665814354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523.40248978953548</v>
      </c>
      <c r="F200" s="24">
        <f t="shared" si="26"/>
        <v>5440.369341426418</v>
      </c>
      <c r="G200" s="14">
        <f t="shared" si="27"/>
        <v>25996.043609002776</v>
      </c>
      <c r="H200" s="24">
        <f t="shared" si="34"/>
        <v>684.93170559655061</v>
      </c>
      <c r="I200" s="12">
        <f t="shared" si="28"/>
        <v>3.666997115303646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527.0694869048391</v>
      </c>
      <c r="F201" s="24">
        <f t="shared" si="26"/>
        <v>5368.941975851706</v>
      </c>
      <c r="G201" s="14">
        <f t="shared" si="27"/>
        <v>25834.161154107653</v>
      </c>
      <c r="H201" s="24">
        <f t="shared" si="34"/>
        <v>687.99373238138173</v>
      </c>
      <c r="I201" s="12">
        <f t="shared" si="28"/>
        <v>3.62358253821253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530.69306944305163</v>
      </c>
      <c r="F202" s="24">
        <f t="shared" si="26"/>
        <v>5298.4911163165525</v>
      </c>
      <c r="G202" s="14">
        <f t="shared" si="27"/>
        <v>25671.354973204434</v>
      </c>
      <c r="H202" s="24">
        <f t="shared" si="34"/>
        <v>691.06759271310284</v>
      </c>
      <c r="I202" s="12">
        <f t="shared" si="28"/>
        <v>3.5804974860830567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534.27356692913463</v>
      </c>
      <c r="F203" s="24">
        <f t="shared" si="26"/>
        <v>5229.0096889661181</v>
      </c>
      <c r="G203" s="14">
        <f t="shared" si="27"/>
        <v>25507.708835755922</v>
      </c>
      <c r="H203" s="24">
        <f t="shared" si="34"/>
        <v>694.15247703547629</v>
      </c>
      <c r="I203" s="12">
        <f t="shared" si="28"/>
        <v>3.5377527382135141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537.81131966734813</v>
      </c>
      <c r="F204" s="24">
        <f t="shared" si="26"/>
        <v>5160.490331884168</v>
      </c>
      <c r="G204" s="14">
        <f t="shared" si="27"/>
        <v>25343.304793746414</v>
      </c>
      <c r="H204" s="24">
        <f t="shared" si="34"/>
        <v>697.24757866745176</v>
      </c>
      <c r="I204" s="12">
        <f t="shared" si="28"/>
        <v>3.4953584076855124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541.30667807503369</v>
      </c>
      <c r="F205" s="24">
        <f t="shared" si="26"/>
        <v>5092.9254121416907</v>
      </c>
      <c r="G205" s="14">
        <f t="shared" si="27"/>
        <v>25178.223134379507</v>
      </c>
      <c r="H205" s="24">
        <f t="shared" si="34"/>
        <v>700.35209527986137</v>
      </c>
      <c r="I205" s="12">
        <f t="shared" si="28"/>
        <v>3.4533239486216338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544.76000202365537</v>
      </c>
      <c r="F206" s="24">
        <f t="shared" si="26"/>
        <v>5026.3070426537442</v>
      </c>
      <c r="G206" s="14">
        <f t="shared" si="27"/>
        <v>25012.542338744639</v>
      </c>
      <c r="H206" s="24">
        <f t="shared" si="34"/>
        <v>703.46523027382523</v>
      </c>
      <c r="I206" s="12">
        <f t="shared" si="28"/>
        <v>3.4116581652555618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548.17166018891089</v>
      </c>
      <c r="F207" s="24">
        <f t="shared" si="26"/>
        <v>4960.6270987995085</v>
      </c>
      <c r="G207" s="14">
        <f t="shared" si="27"/>
        <v>24846.339046244884</v>
      </c>
      <c r="H207" s="24">
        <f t="shared" si="34"/>
        <v>706.58619406280081</v>
      </c>
      <c r="I207" s="12">
        <f t="shared" si="28"/>
        <v>3.3703692226345634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551.5420294115454</v>
      </c>
      <c r="F208" s="24">
        <f t="shared" si="26"/>
        <v>4895.877234765092</v>
      </c>
      <c r="G208" s="14">
        <f t="shared" si="27"/>
        <v>24679.688024566418</v>
      </c>
      <c r="H208" s="24">
        <f t="shared" si="34"/>
        <v>709.71420526048951</v>
      </c>
      <c r="I208" s="12">
        <f t="shared" si="28"/>
        <v>3.3294646587800698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554.87149407032553</v>
      </c>
      <c r="F209" s="24">
        <f t="shared" ref="F209:F272" si="35">AlphaC*(D209-E209)</f>
        <v>4832.048899572882</v>
      </c>
      <c r="G209" s="14">
        <f t="shared" ref="G209:G272" si="36">Phi*EpsilonF*Botzman/10^8*J209*((D209+273)^4-(E209+273)^4)</f>
        <v>24512.662144960468</v>
      </c>
      <c r="H209" s="24">
        <f t="shared" si="34"/>
        <v>712.84849177705178</v>
      </c>
      <c r="I209" s="12">
        <f t="shared" ref="I209:I272" si="37">ksh*Massivete/(H209*RhoA)*DeltaT*(F209+G209)</f>
        <v>3.2889513981386633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558.16044546846422</v>
      </c>
      <c r="F210" s="24">
        <f t="shared" si="35"/>
        <v>4769.1333527655333</v>
      </c>
      <c r="G210" s="14">
        <f t="shared" si="36"/>
        <v>24345.33236260185</v>
      </c>
      <c r="H210" s="24">
        <f t="shared" si="34"/>
        <v>715.9882918262997</v>
      </c>
      <c r="I210" s="12">
        <f t="shared" si="37"/>
        <v>3.2488357661630785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561.40928123462731</v>
      </c>
      <c r="F211" s="24">
        <f t="shared" si="35"/>
        <v>4707.1216797165789</v>
      </c>
      <c r="G211" s="14">
        <f t="shared" si="36"/>
        <v>24177.767701781995</v>
      </c>
      <c r="H211" s="24">
        <f t="shared" si="34"/>
        <v>719.132854846707</v>
      </c>
      <c r="I211" s="12">
        <f t="shared" si="37"/>
        <v>3.2091235048703721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564.61840473949769</v>
      </c>
      <c r="F212" s="24">
        <f t="shared" si="35"/>
        <v>4646.0048065435221</v>
      </c>
      <c r="G212" s="14">
        <f t="shared" si="36"/>
        <v>24010.035245691575</v>
      </c>
      <c r="H212" s="24">
        <f t="shared" si="34"/>
        <v>722.28144233922626</v>
      </c>
      <c r="I212" s="12">
        <f t="shared" si="37"/>
        <v>3.1698197892325868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567.78822452873032</v>
      </c>
      <c r="F213" s="24">
        <f t="shared" si="35"/>
        <v>4585.7735146028717</v>
      </c>
      <c r="G213" s="14">
        <f t="shared" si="36"/>
        <v>23842.200130545549</v>
      </c>
      <c r="H213" s="24">
        <f t="shared" si="34"/>
        <v>725.43332862502564</v>
      </c>
      <c r="I213" s="12">
        <f t="shared" si="37"/>
        <v>3.1309292442633461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570.9191537729937</v>
      </c>
      <c r="F214" s="24">
        <f t="shared" si="35"/>
        <v>4526.4184545499347</v>
      </c>
      <c r="G214" s="14">
        <f t="shared" si="36"/>
        <v>23674.325543803439</v>
      </c>
      <c r="H214" s="24">
        <f t="shared" si="34"/>
        <v>728.58780152634154</v>
      </c>
      <c r="I214" s="12">
        <f t="shared" si="37"/>
        <v>3.0924559626723696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574.01160973566607</v>
      </c>
      <c r="F215" s="24">
        <f t="shared" si="35"/>
        <v>4467.9301599494638</v>
      </c>
      <c r="G215" s="14">
        <f t="shared" si="36"/>
        <v>23506.472726238473</v>
      </c>
      <c r="H215" s="24">
        <f t="shared" si="34"/>
        <v>731.74416297371681</v>
      </c>
      <c r="I215" s="12">
        <f t="shared" si="37"/>
        <v>3.0544035229682498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577.06601325863437</v>
      </c>
      <c r="F216" s="24">
        <f t="shared" si="35"/>
        <v>4410.2990604261213</v>
      </c>
      <c r="G216" s="14">
        <f t="shared" si="36"/>
        <v>23338.700977612287</v>
      </c>
      <c r="H216" s="24">
        <f t="shared" si="34"/>
        <v>734.90172954293553</v>
      </c>
      <c r="I216" s="12">
        <f t="shared" si="37"/>
        <v>3.0167750078983815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580.0827882665327</v>
      </c>
      <c r="F217" s="24">
        <f t="shared" si="35"/>
        <v>4353.5154943466641</v>
      </c>
      <c r="G217" s="14">
        <f t="shared" si="36"/>
        <v>23171.067665714516</v>
      </c>
      <c r="H217" s="24">
        <f t="shared" si="34"/>
        <v>738.05983292498468</v>
      </c>
      <c r="I217" s="12">
        <f t="shared" si="37"/>
        <v>2.9795730231231956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583.06236128965588</v>
      </c>
      <c r="F218" s="24">
        <f t="shared" si="35"/>
        <v>4297.5697210280314</v>
      </c>
      <c r="G218" s="14">
        <f t="shared" si="36"/>
        <v>23003.62823853171</v>
      </c>
      <c r="H218" s="24">
        <f t="shared" si="34"/>
        <v>741.21782033238264</v>
      </c>
      <c r="I218" s="12">
        <f t="shared" si="37"/>
        <v>2.9427997160300858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586.00516100568598</v>
      </c>
      <c r="F219" s="24">
        <f t="shared" si="35"/>
        <v>4242.4519324682824</v>
      </c>
      <c r="G219" s="14">
        <f t="shared" si="36"/>
        <v>22836.436239315077</v>
      </c>
      <c r="H219" s="24">
        <f t="shared" si="34"/>
        <v>744.37505484519147</v>
      </c>
      <c r="I219" s="12">
        <f t="shared" si="37"/>
        <v>2.9064567946004036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588.91161780028642</v>
      </c>
      <c r="F220" s="24">
        <f t="shared" si="35"/>
        <v>4188.1522645990744</v>
      </c>
      <c r="G220" s="14">
        <f t="shared" si="36"/>
        <v>22669.5433243234</v>
      </c>
      <c r="H220" s="24">
        <f t="shared" si="34"/>
        <v>747.53091570000583</v>
      </c>
      <c r="I220" s="12">
        <f t="shared" si="37"/>
        <v>2.8705455462507214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591.78216334653712</v>
      </c>
      <c r="F221" s="24">
        <f t="shared" si="35"/>
        <v>4134.6608080605793</v>
      </c>
      <c r="G221" s="14">
        <f t="shared" si="36"/>
        <v>22502.999283022229</v>
      </c>
      <c r="H221" s="24">
        <f t="shared" si="34"/>
        <v>750.68479852516509</v>
      </c>
      <c r="I221" s="12">
        <f t="shared" si="37"/>
        <v>2.8350668565767863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594.61723020311388</v>
      </c>
      <c r="F222" s="24">
        <f t="shared" si="35"/>
        <v>4081.9676185015223</v>
      </c>
      <c r="G222" s="14">
        <f t="shared" si="36"/>
        <v>22336.852060530804</v>
      </c>
      <c r="H222" s="24">
        <f t="shared" si="34"/>
        <v>753.83611552537695</v>
      </c>
      <c r="I222" s="12">
        <f t="shared" si="37"/>
        <v>2.8000212279361159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597.41725143104998</v>
      </c>
      <c r="F223" s="24">
        <f t="shared" si="35"/>
        <v>4030.0627264084624</v>
      </c>
      <c r="G223" s="14">
        <f t="shared" si="36"/>
        <v>22171.147782112428</v>
      </c>
      <c r="H223" s="24">
        <f t="shared" si="34"/>
        <v>756.98429561887565</v>
      </c>
      <c r="I223" s="12">
        <f t="shared" si="37"/>
        <v>2.7654087978116131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600.18266022886155</v>
      </c>
      <c r="F224" s="24">
        <f t="shared" si="35"/>
        <v>3978.9361464700305</v>
      </c>
      <c r="G224" s="14">
        <f t="shared" si="36"/>
        <v>22005.930779514794</v>
      </c>
      <c r="H224" s="24">
        <f t="shared" si="34"/>
        <v>760.34226507050073</v>
      </c>
      <c r="I224" s="12">
        <f t="shared" si="37"/>
        <v>2.7304625123595634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602.91312274122106</v>
      </c>
      <c r="F225" s="24">
        <f t="shared" si="35"/>
        <v>3928.5970575966844</v>
      </c>
      <c r="G225" s="14">
        <f t="shared" si="36"/>
        <v>21841.325433814676</v>
      </c>
      <c r="H225" s="24">
        <f t="shared" si="34"/>
        <v>762.24917137652642</v>
      </c>
      <c r="I225" s="12">
        <f t="shared" si="37"/>
        <v>2.7011021269144018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605.61422486813547</v>
      </c>
      <c r="F226" s="24">
        <f t="shared" si="35"/>
        <v>3878.9066329221614</v>
      </c>
      <c r="G226" s="14">
        <f t="shared" si="36"/>
        <v>21676.819929740737</v>
      </c>
      <c r="H226" s="24">
        <f t="shared" si="34"/>
        <v>764.21296878043881</v>
      </c>
      <c r="I226" s="12">
        <f t="shared" si="37"/>
        <v>2.6717676233690715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608.28599249150454</v>
      </c>
      <c r="F227" s="24">
        <f t="shared" si="35"/>
        <v>3829.8650343650365</v>
      </c>
      <c r="G227" s="14">
        <f t="shared" si="36"/>
        <v>21512.484518454523</v>
      </c>
      <c r="H227" s="24">
        <f t="shared" si="34"/>
        <v>766.23589780115651</v>
      </c>
      <c r="I227" s="12">
        <f t="shared" si="37"/>
        <v>2.6424649520811805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610.92845744358567</v>
      </c>
      <c r="F228" s="24">
        <f t="shared" si="35"/>
        <v>3781.4722636372067</v>
      </c>
      <c r="G228" s="14">
        <f t="shared" si="36"/>
        <v>21348.388734608587</v>
      </c>
      <c r="H228" s="24">
        <f t="shared" si="34"/>
        <v>768.32031293889168</v>
      </c>
      <c r="I228" s="12">
        <f t="shared" si="37"/>
        <v>2.613199850070377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613.54165729365604</v>
      </c>
      <c r="F229" s="24">
        <f t="shared" si="35"/>
        <v>3733.7281677923384</v>
      </c>
      <c r="G229" s="14">
        <f t="shared" si="36"/>
        <v>21184.601369033942</v>
      </c>
      <c r="H229" s="24">
        <f t="shared" si="34"/>
        <v>770.46868982240801</v>
      </c>
      <c r="I229" s="12">
        <f t="shared" si="37"/>
        <v>2.5839778337145924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616.12563512737063</v>
      </c>
      <c r="F230" s="24">
        <f t="shared" si="35"/>
        <v>3686.6324449518884</v>
      </c>
      <c r="G230" s="14">
        <f t="shared" si="36"/>
        <v>21021.190444090804</v>
      </c>
      <c r="H230" s="24">
        <f t="shared" si="34"/>
        <v>772.68363288365322</v>
      </c>
      <c r="I230" s="12">
        <f t="shared" si="37"/>
        <v>2.554804191561598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618.68043931893226</v>
      </c>
      <c r="F231" s="24">
        <f t="shared" si="35"/>
        <v>3640.1846502059129</v>
      </c>
      <c r="G231" s="14">
        <f t="shared" si="36"/>
        <v>20858.223191734392</v>
      </c>
      <c r="H231" s="24">
        <f t="shared" si="34"/>
        <v>774.96788360420942</v>
      </c>
      <c r="I231" s="12">
        <f t="shared" si="37"/>
        <v>2.5256839772511355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621.20612329618336</v>
      </c>
      <c r="F232" s="24">
        <f t="shared" si="35"/>
        <v>3594.3842016861026</v>
      </c>
      <c r="G232" s="14">
        <f t="shared" si="36"/>
        <v>20695.766034342421</v>
      </c>
      <c r="H232" s="24">
        <f t="shared" si="34"/>
        <v>777.32432938220222</v>
      </c>
      <c r="I232" s="12">
        <f t="shared" si="37"/>
        <v>2.4966220025420744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623.7027452987254</v>
      </c>
      <c r="F233" s="24">
        <f t="shared" si="35"/>
        <v>3549.2303868085201</v>
      </c>
      <c r="G233" s="14">
        <f t="shared" si="36"/>
        <v>20533.884568347647</v>
      </c>
      <c r="H233" s="24">
        <f t="shared" si="34"/>
        <v>779.75601307294573</v>
      </c>
      <c r="I233" s="12">
        <f t="shared" si="37"/>
        <v>2.4676228304384691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626.17036812916388</v>
      </c>
      <c r="F234" s="24">
        <f t="shared" si="35"/>
        <v>3504.7223686837015</v>
      </c>
      <c r="G234" s="14">
        <f t="shared" si="36"/>
        <v>20372.643550713285</v>
      </c>
      <c r="H234" s="24">
        <f t="shared" si="34"/>
        <v>782.26614326171966</v>
      </c>
      <c r="I234" s="12">
        <f t="shared" si="37"/>
        <v>2.4386907684077106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628.60905889757157</v>
      </c>
      <c r="F235" s="24">
        <f t="shared" si="35"/>
        <v>3460.8591926919162</v>
      </c>
      <c r="G235" s="14">
        <f t="shared" si="36"/>
        <v>20212.106888285864</v>
      </c>
      <c r="H235" s="24">
        <f t="shared" si="34"/>
        <v>784.85810533274002</v>
      </c>
      <c r="I235" s="12">
        <f t="shared" si="37"/>
        <v>2.4098298616835385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631.01888875925511</v>
      </c>
      <c r="F236" s="24">
        <f t="shared" si="35"/>
        <v>3417.639793221636</v>
      </c>
      <c r="G236" s="14">
        <f t="shared" si="36"/>
        <v>20052.337630056012</v>
      </c>
      <c r="H236" s="24">
        <f t="shared" si="34"/>
        <v>787.53547340465514</v>
      </c>
      <c r="I236" s="12">
        <f t="shared" si="37"/>
        <v>2.3810438866463186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633.39993264590146</v>
      </c>
      <c r="F237" s="24">
        <f t="shared" si="35"/>
        <v>3375.0630005693492</v>
      </c>
      <c r="G237" s="14">
        <f t="shared" si="36"/>
        <v>19893.397962353469</v>
      </c>
      <c r="H237" s="24">
        <f t="shared" si="34"/>
        <v>790.30202320984017</v>
      </c>
      <c r="I237" s="12">
        <f t="shared" si="37"/>
        <v>2.3523363442727243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635.75226899017423</v>
      </c>
      <c r="F238" s="24">
        <f t="shared" si="35"/>
        <v>3333.1275479990891</v>
      </c>
      <c r="G238" s="14">
        <f t="shared" si="36"/>
        <v>19735.349206999083</v>
      </c>
      <c r="H238" s="24">
        <f t="shared" si="34"/>
        <v>793.16174600246666</v>
      </c>
      <c r="I238" s="12">
        <f t="shared" si="37"/>
        <v>2.3237104536468882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638.0759794438211</v>
      </c>
      <c r="F239" s="24">
        <f t="shared" si="35"/>
        <v>3291.8320789603372</v>
      </c>
      <c r="G239" s="14">
        <f t="shared" si="36"/>
        <v>19578.251822433031</v>
      </c>
      <c r="H239" s="24">
        <f t="shared" si="34"/>
        <v>796.11886358886113</v>
      </c>
      <c r="I239" s="12">
        <f t="shared" si="37"/>
        <v>2.2951691455252528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640.37114858934638</v>
      </c>
      <c r="F240" s="24">
        <f t="shared" si="35"/>
        <v>3251.1751544629133</v>
      </c>
      <c r="G240" s="14">
        <f t="shared" si="36"/>
        <v>19422.165407834676</v>
      </c>
      <c r="H240" s="24">
        <f t="shared" si="34"/>
        <v>799.17784458315543</v>
      </c>
      <c r="I240" s="12">
        <f t="shared" si="37"/>
        <v>2.2667150559475897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642.63786364529392</v>
      </c>
      <c r="F241" s="24">
        <f t="shared" si="35"/>
        <v>3211.1552606079699</v>
      </c>
      <c r="G241" s="14">
        <f t="shared" si="36"/>
        <v>19267.148710246242</v>
      </c>
      <c r="H241" s="24">
        <f t="shared" si="34"/>
        <v>802.3434220017698</v>
      </c>
      <c r="I241" s="12">
        <f t="shared" si="37"/>
        <v>2.2383505198873306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644.8762141651813</v>
      </c>
      <c r="F242" s="24">
        <f t="shared" si="35"/>
        <v>3171.7708162740537</v>
      </c>
      <c r="G242" s="14">
        <f t="shared" si="36"/>
        <v>19113.25963470928</v>
      </c>
      <c r="H242" s="24">
        <f t="shared" ref="H242:H305" si="43">IF(E242&lt;600,425+0.773*E242-1.69/1000*E242^2+2.22/1000^2*E242^3,IF(E242&lt;735,666+13002/(738-E242),IF(E242&lt;900,545+17820/(E242-731),650)))</f>
        <v>805.62061232199812</v>
      </c>
      <c r="I242" s="12">
        <f t="shared" si="37"/>
        <v>2.2100775649351694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647.0862917301165</v>
      </c>
      <c r="F243" s="24">
        <f t="shared" si="35"/>
        <v>3133.0201809575897</v>
      </c>
      <c r="G243" s="14">
        <f t="shared" si="36"/>
        <v>18960.555257418229</v>
      </c>
      <c r="H243" s="24">
        <f t="shared" si="43"/>
        <v>809.01473614301028</v>
      </c>
      <c r="I243" s="12">
        <f t="shared" si="37"/>
        <v>2.1818979050110356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649.26818963512756</v>
      </c>
      <c r="F244" s="24">
        <f t="shared" si="35"/>
        <v>3094.9016627671795</v>
      </c>
      <c r="G244" s="14">
        <f t="shared" si="36"/>
        <v>18809.091841894413</v>
      </c>
      <c r="H244" s="24">
        <f t="shared" si="43"/>
        <v>812.53144060213253</v>
      </c>
      <c r="I244" s="12">
        <f t="shared" si="37"/>
        <v>2.1538129341013414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651.42200256922888</v>
      </c>
      <c r="F245" s="24">
        <f t="shared" si="35"/>
        <v>3057.4135265710652</v>
      </c>
      <c r="G245" s="14">
        <f t="shared" si="36"/>
        <v>18658.924858176571</v>
      </c>
      <c r="H245" s="24">
        <f t="shared" si="43"/>
        <v>816.17672371547474</v>
      </c>
      <c r="I245" s="12">
        <f t="shared" si="37"/>
        <v>2.125823720020084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653.54782628924897</v>
      </c>
      <c r="F246" s="24">
        <f t="shared" si="35"/>
        <v>3020.5540022973992</v>
      </c>
      <c r="G246" s="14">
        <f t="shared" si="36"/>
        <v>18510.10900502458</v>
      </c>
      <c r="H246" s="24">
        <f t="shared" si="43"/>
        <v>819.95696083006567</v>
      </c>
      <c r="I246" s="12">
        <f t="shared" si="37"/>
        <v>2.0979309981953693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655.64575728744433</v>
      </c>
      <c r="F247" s="24">
        <f t="shared" si="35"/>
        <v>2984.3212933866453</v>
      </c>
      <c r="G247" s="14">
        <f t="shared" si="36"/>
        <v>18362.698235124692</v>
      </c>
      <c r="H247" s="24">
        <f t="shared" si="43"/>
        <v>823.87893339486345</v>
      </c>
      <c r="I247" s="12">
        <f t="shared" si="37"/>
        <v>2.070135165485615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657.71589245292989</v>
      </c>
      <c r="F248" s="24">
        <f t="shared" si="35"/>
        <v>2948.7135853955151</v>
      </c>
      <c r="G248" s="14">
        <f t="shared" si="36"/>
        <v>18216.745783283273</v>
      </c>
      <c r="H248" s="24">
        <f t="shared" si="43"/>
        <v>827.94986028059168</v>
      </c>
      <c r="I248" s="12">
        <f t="shared" si="37"/>
        <v>2.0424362740338142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659.75832872696367</v>
      </c>
      <c r="F249" s="24">
        <f t="shared" si="35"/>
        <v>2913.7290547515363</v>
      </c>
      <c r="G249" s="14">
        <f t="shared" si="36"/>
        <v>18072.304197590372</v>
      </c>
      <c r="H249" s="24">
        <f t="shared" si="43"/>
        <v>832.17743190361466</v>
      </c>
      <c r="I249" s="12">
        <f t="shared" si="37"/>
        <v>2.0148340251727341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661.77316275213639</v>
      </c>
      <c r="F250" s="24">
        <f t="shared" si="35"/>
        <v>2879.3658776570937</v>
      </c>
      <c r="G250" s="14">
        <f t="shared" si="36"/>
        <v>17929.425373527847</v>
      </c>
      <c r="H250" s="24">
        <f t="shared" si="43"/>
        <v>836.56984743735256</v>
      </c>
      <c r="I250" s="12">
        <f t="shared" si="37"/>
        <v>1.9873277633992958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663.76049051553571</v>
      </c>
      <c r="F251" s="24">
        <f t="shared" si="35"/>
        <v>2845.6222391412466</v>
      </c>
      <c r="G251" s="14">
        <f t="shared" si="36"/>
        <v>17788.160590992218</v>
      </c>
      <c r="H251" s="24">
        <f t="shared" si="43"/>
        <v>841.13585542642704</v>
      </c>
      <c r="I251" s="12">
        <f t="shared" si="37"/>
        <v>1.9599164704430039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665.72040698597868</v>
      </c>
      <c r="F252" s="24">
        <f t="shared" si="35"/>
        <v>2812.4963422570686</v>
      </c>
      <c r="G252" s="14">
        <f t="shared" si="36"/>
        <v>17648.560554194028</v>
      </c>
      <c r="H252" s="24">
        <f t="shared" si="43"/>
        <v>845.8847981542699</v>
      </c>
      <c r="I252" s="12">
        <f t="shared" si="37"/>
        <v>1.9325987594608327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667.65300574543949</v>
      </c>
      <c r="F253" s="24">
        <f t="shared" si="35"/>
        <v>2779.9864174213953</v>
      </c>
      <c r="G253" s="14">
        <f t="shared" si="36"/>
        <v>17510.675434387922</v>
      </c>
      <c r="H253" s="24">
        <f t="shared" si="43"/>
        <v>850.82666015480959</v>
      </c>
      <c r="I253" s="12">
        <f t="shared" si="37"/>
        <v>1.9053728693999838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669.55837861483951</v>
      </c>
      <c r="F254" s="24">
        <f t="shared" si="35"/>
        <v>2748.0907318929039</v>
      </c>
      <c r="G254" s="14">
        <f t="shared" si="36"/>
        <v>17374.554915377706</v>
      </c>
      <c r="H254" s="24">
        <f t="shared" si="43"/>
        <v>855.9721213036471</v>
      </c>
      <c r="I254" s="12">
        <f t="shared" si="37"/>
        <v>1.8782366595803364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671.43661527441986</v>
      </c>
      <c r="F255" s="24">
        <f t="shared" si="35"/>
        <v>2716.8075993830198</v>
      </c>
      <c r="G255" s="14">
        <f t="shared" si="36"/>
        <v>17240.248241728987</v>
      </c>
      <c r="H255" s="24">
        <f t="shared" si="43"/>
        <v>861.33261497448109</v>
      </c>
      <c r="I255" s="12">
        <f t="shared" si="37"/>
        <v>1.8511876045605251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673.28780287898041</v>
      </c>
      <c r="F256" s="24">
        <f t="shared" si="35"/>
        <v>2686.1353897926988</v>
      </c>
      <c r="G256" s="14">
        <f t="shared" si="36"/>
        <v>17107.804269609944</v>
      </c>
      <c r="H256" s="24">
        <f t="shared" si="43"/>
        <v>866.92039180318193</v>
      </c>
      <c r="I256" s="12">
        <f t="shared" si="37"/>
        <v>1.824222789365715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675.11202566834618</v>
      </c>
      <c r="F257" s="24">
        <f t="shared" si="35"/>
        <v>2656.0725390660482</v>
      </c>
      <c r="G257" s="14">
        <f t="shared" si="36"/>
        <v>16977.271520163682</v>
      </c>
      <c r="H257" s="24">
        <f t="shared" si="43"/>
        <v>872.74858966566546</v>
      </c>
      <c r="I257" s="12">
        <f t="shared" si="37"/>
        <v>1.7973389051711839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676.90936457351734</v>
      </c>
      <c r="F258" s="24">
        <f t="shared" si="35"/>
        <v>2626.6175591494998</v>
      </c>
      <c r="G258" s="14">
        <f t="shared" si="36"/>
        <v>16848.698235299005</v>
      </c>
      <c r="H258" s="24">
        <f t="shared" si="43"/>
        <v>878.8313105475354</v>
      </c>
      <c r="I258" s="12">
        <f t="shared" si="37"/>
        <v>1.7705322455545682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678.67989681907193</v>
      </c>
      <c r="F259" s="24">
        <f t="shared" si="35"/>
        <v>2597.7690480423348</v>
      </c>
      <c r="G259" s="14">
        <f t="shared" si="36"/>
        <v>16722.132435764237</v>
      </c>
      <c r="H259" s="24">
        <f t="shared" si="43"/>
        <v>885.18370506442841</v>
      </c>
      <c r="I259" s="12">
        <f t="shared" si="37"/>
        <v>1.7437987034508102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680.42369552252273</v>
      </c>
      <c r="F260" s="24">
        <f t="shared" si="35"/>
        <v>2569.5256999210669</v>
      </c>
      <c r="G260" s="14">
        <f t="shared" si="36"/>
        <v>16597.621981344153</v>
      </c>
      <c r="H260" s="24">
        <f t="shared" si="43"/>
        <v>891.82206548331237</v>
      </c>
      <c r="I260" s="12">
        <f t="shared" si="37"/>
        <v>1.7171337689681621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682.14082929149095</v>
      </c>
      <c r="F261" s="24">
        <f t="shared" si="35"/>
        <v>2541.886315316242</v>
      </c>
      <c r="G261" s="14">
        <f t="shared" si="36"/>
        <v>16475.214632992043</v>
      </c>
      <c r="H261" s="24">
        <f t="shared" si="43"/>
        <v>898.76392819808552</v>
      </c>
      <c r="I261" s="12">
        <f t="shared" si="37"/>
        <v>1.6905325282512376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683.83136181974214</v>
      </c>
      <c r="F262" s="24">
        <f t="shared" si="35"/>
        <v>2514.849811315466</v>
      </c>
      <c r="G262" s="14">
        <f t="shared" si="36"/>
        <v>16354.958116673552</v>
      </c>
      <c r="H262" s="24">
        <f t="shared" si="43"/>
        <v>906.02818672924786</v>
      </c>
      <c r="I262" s="12">
        <f t="shared" si="37"/>
        <v>1.6639896636081686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685.4953514833503</v>
      </c>
      <c r="F263" s="24">
        <f t="shared" si="35"/>
        <v>2488.4152317611806</v>
      </c>
      <c r="G263" s="14">
        <f t="shared" si="36"/>
        <v>16236.900188662552</v>
      </c>
      <c r="H263" s="24">
        <f t="shared" si="43"/>
        <v>913.63521644901493</v>
      </c>
      <c r="I263" s="12">
        <f t="shared" si="37"/>
        <v>1.6374994551542918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687.13285093850459</v>
      </c>
      <c r="F264" s="24">
        <f t="shared" si="35"/>
        <v>2462.581757405283</v>
      </c>
      <c r="G264" s="14">
        <f t="shared" si="36"/>
        <v>16121.088701982086</v>
      </c>
      <c r="H264" s="24">
        <f t="shared" si="43"/>
        <v>921.60701238202557</v>
      </c>
      <c r="I264" s="12">
        <f t="shared" si="37"/>
        <v>1.6110557842640427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688.74390672276866</v>
      </c>
      <c r="F265" s="24">
        <f t="shared" si="35"/>
        <v>2437.3487159754291</v>
      </c>
      <c r="G265" s="14">
        <f t="shared" si="36"/>
        <v>16007.571673633265</v>
      </c>
      <c r="H265" s="24">
        <f t="shared" si="43"/>
        <v>929.96734160015444</v>
      </c>
      <c r="I265" s="12">
        <f t="shared" si="37"/>
        <v>1.5846521391668178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690.32855886193545</v>
      </c>
      <c r="F266" s="24">
        <f t="shared" si="35"/>
        <v>2412.7155920995192</v>
      </c>
      <c r="G266" s="14">
        <f t="shared" si="36"/>
        <v>15896.397352195087</v>
      </c>
      <c r="H266" s="24">
        <f t="shared" si="43"/>
        <v>938.7419119204726</v>
      </c>
      <c r="I266" s="12">
        <f t="shared" si="37"/>
        <v>1.5582816230713286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691.88684048500681</v>
      </c>
      <c r="F267" s="24">
        <f t="shared" si="35"/>
        <v>2388.6820370251116</v>
      </c>
      <c r="G267" s="14">
        <f t="shared" si="36"/>
        <v>15787.614285310479</v>
      </c>
      <c r="H267" s="24">
        <f t="shared" si="43"/>
        <v>947.95855883118452</v>
      </c>
      <c r="I267" s="12">
        <f t="shared" si="37"/>
        <v>1.5319369652566921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693.41877745026352</v>
      </c>
      <c r="F268" s="24">
        <f t="shared" si="35"/>
        <v>2365.2478780597762</v>
      </c>
      <c r="G268" s="14">
        <f t="shared" si="36"/>
        <v>15681.271386496708</v>
      </c>
      <c r="H268" s="24">
        <f t="shared" si="43"/>
        <v>957.64745281479168</v>
      </c>
      <c r="I268" s="12">
        <f t="shared" si="37"/>
        <v>1.5056105356272702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694.9243879858908</v>
      </c>
      <c r="F269" s="24">
        <f t="shared" si="35"/>
        <v>2342.4131276456619</v>
      </c>
      <c r="G269" s="14">
        <f t="shared" si="36"/>
        <v>15577.418000631202</v>
      </c>
      <c r="H269" s="24">
        <f t="shared" si="43"/>
        <v>967.84132951474407</v>
      </c>
      <c r="I269" s="12">
        <f t="shared" si="37"/>
        <v>1.4792943632919073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696.40368234918276</v>
      </c>
      <c r="F270" s="24">
        <f t="shared" si="35"/>
        <v>2320.1779919678843</v>
      </c>
      <c r="G270" s="14">
        <f t="shared" si="36"/>
        <v>15476.103967364739</v>
      </c>
      <c r="H270" s="24">
        <f t="shared" si="43"/>
        <v>978.57574550579352</v>
      </c>
      <c r="I270" s="12">
        <f t="shared" si="37"/>
        <v>1.4529801597964931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697.8566625089793</v>
      </c>
      <c r="F271" s="24">
        <f t="shared" si="35"/>
        <v>2298.5428789803223</v>
      </c>
      <c r="G271" s="14">
        <f t="shared" si="36"/>
        <v>15377.379681604318</v>
      </c>
      <c r="H271" s="24">
        <f t="shared" si="43"/>
        <v>989.88936278425535</v>
      </c>
      <c r="I271" s="12">
        <f t="shared" si="37"/>
        <v>1.4266593477110066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699.28332185669035</v>
      </c>
      <c r="F272" s="24">
        <f t="shared" si="35"/>
        <v>2277.5084057150652</v>
      </c>
      <c r="G272" s="14">
        <f t="shared" si="36"/>
        <v>15281.296150083726</v>
      </c>
      <c r="H272" s="24">
        <f t="shared" si="43"/>
        <v>1001.8242654980147</v>
      </c>
      <c r="I272" s="12">
        <f t="shared" si="37"/>
        <v>1.4003230953474564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700.68364495203775</v>
      </c>
      <c r="F273" s="24">
        <f t="shared" ref="F273:F336" si="44">AlphaC*(D273-E273)</f>
        <v>2257.0754047222354</v>
      </c>
      <c r="G273" s="14">
        <f t="shared" ref="G273:G336" si="45">Phi*EpsilonF*Botzman/10^8*J273*((D273+273)^4-(E273+273)^4)</f>
        <v>15187.905042904358</v>
      </c>
      <c r="H273" s="24">
        <f t="shared" si="43"/>
        <v>1014.426312893869</v>
      </c>
      <c r="I273" s="12">
        <f t="shared" ref="I273:I336" si="46">ksh*Massivete/(H273*RhoA)*DeltaT*(F273+G273)</f>
        <v>1.3739623584620493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702.05760731049975</v>
      </c>
      <c r="F274" s="24">
        <f t="shared" si="44"/>
        <v>2237.244929465669</v>
      </c>
      <c r="G274" s="14">
        <f t="shared" si="45"/>
        <v>15097.258738778588</v>
      </c>
      <c r="H274" s="24">
        <f t="shared" si="43"/>
        <v>1027.7455329788947</v>
      </c>
      <c r="I274" s="12">
        <f t="shared" si="46"/>
        <v>1.3475679298713976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703.40517524037114</v>
      </c>
      <c r="F275" s="24">
        <f t="shared" si="44"/>
        <v>2218.0182584765817</v>
      </c>
      <c r="G275" s="14">
        <f t="shared" si="45"/>
        <v>15009.410362542796</v>
      </c>
      <c r="H275" s="24">
        <f t="shared" si="43"/>
        <v>1041.8365619811709</v>
      </c>
      <c r="I275" s="12">
        <f t="shared" si="46"/>
        <v>1.3211304979857696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704.72630573835693</v>
      </c>
      <c r="F276" s="24">
        <f t="shared" si="44"/>
        <v>2199.3968980423829</v>
      </c>
      <c r="G276" s="14">
        <f t="shared" si="45"/>
        <v>14924.413813333877</v>
      </c>
      <c r="H276" s="24">
        <f t="shared" si="43"/>
        <v>1056.7591353626256</v>
      </c>
      <c r="I276" s="12">
        <f t="shared" si="46"/>
        <v>1.2946407153292563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706.02094645368618</v>
      </c>
      <c r="F277" s="24">
        <f t="shared" si="44"/>
        <v>2181.3825831809963</v>
      </c>
      <c r="G277" s="14">
        <f t="shared" si="45"/>
        <v>14842.32378163013</v>
      </c>
      <c r="H277" s="24">
        <f t="shared" si="43"/>
        <v>1072.5786368933586</v>
      </c>
      <c r="I277" s="12">
        <f t="shared" si="46"/>
        <v>1.2680892781715989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707.28903573185778</v>
      </c>
      <c r="F278" s="24">
        <f t="shared" si="44"/>
        <v>2163.9772766228448</v>
      </c>
      <c r="G278" s="14">
        <f t="shared" si="45"/>
        <v>14763.195753161865</v>
      </c>
      <c r="H278" s="24">
        <f t="shared" si="43"/>
        <v>1089.3667131542179</v>
      </c>
      <c r="I278" s="12">
        <f t="shared" si="46"/>
        <v>1.2414670184347121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708.5305027502925</v>
      </c>
      <c r="F279" s="24">
        <f t="shared" si="44"/>
        <v>2147.1831654938087</v>
      </c>
      <c r="G279" s="14">
        <f t="shared" si="45"/>
        <v>14687.085997490549</v>
      </c>
      <c r="H279" s="24">
        <f t="shared" si="43"/>
        <v>1107.2019618057466</v>
      </c>
      <c r="I279" s="12">
        <f t="shared" si="46"/>
        <v>1.2147650090505584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709.74526775934305</v>
      </c>
      <c r="F280" s="24">
        <f t="shared" si="44"/>
        <v>2131.002655362809</v>
      </c>
      <c r="G280" s="14">
        <f t="shared" si="45"/>
        <v>14614.051538845933</v>
      </c>
      <c r="H280" s="24">
        <f t="shared" si="43"/>
        <v>1126.1707030615871</v>
      </c>
      <c r="I280" s="12">
        <f t="shared" si="46"/>
        <v>1.1879746839275542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710.93324244327061</v>
      </c>
      <c r="F281" s="24">
        <f t="shared" si="44"/>
        <v>2115.4383612888155</v>
      </c>
      <c r="G281" s="14">
        <f t="shared" si="45"/>
        <v>14544.150106604859</v>
      </c>
      <c r="H281" s="24">
        <f t="shared" si="43"/>
        <v>1146.3678450493758</v>
      </c>
      <c r="I281" s="12">
        <f t="shared" si="46"/>
        <v>1.1610879736200099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712.09433041689067</v>
      </c>
      <c r="F282" s="24">
        <f t="shared" si="44"/>
        <v>2100.4930954748288</v>
      </c>
      <c r="G282" s="14">
        <f t="shared" si="45"/>
        <v>14477.440062602223</v>
      </c>
      <c r="H282" s="24">
        <f t="shared" si="43"/>
        <v>1167.8978551504954</v>
      </c>
      <c r="I282" s="12">
        <f t="shared" si="46"/>
        <v>1.1340974576773373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713.22842787456796</v>
      </c>
      <c r="F283" s="24">
        <f t="shared" si="44"/>
        <v>2086.1698511118079</v>
      </c>
      <c r="G283" s="14">
        <f t="shared" si="45"/>
        <v>14413.980302285243</v>
      </c>
      <c r="H283" s="24">
        <f t="shared" si="43"/>
        <v>1190.8758510022599</v>
      </c>
      <c r="I283" s="12">
        <f t="shared" si="46"/>
        <v>1.106996534462878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714.33542440903079</v>
      </c>
      <c r="F284" s="24">
        <f t="shared" si="44"/>
        <v>2072.4717819758071</v>
      </c>
      <c r="G284" s="14">
        <f t="shared" si="45"/>
        <v>14353.830126582348</v>
      </c>
      <c r="H284" s="24">
        <f t="shared" si="43"/>
        <v>1215.4288266450794</v>
      </c>
      <c r="I284" s="12">
        <f t="shared" si="46"/>
        <v>1.0797796089625229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715.41520401799335</v>
      </c>
      <c r="F285" s="24">
        <f t="shared" si="44"/>
        <v>2059.4021773286981</v>
      </c>
      <c r="G285" s="14">
        <f t="shared" si="45"/>
        <v>14297.049081258336</v>
      </c>
      <c r="H285" s="24">
        <f t="shared" si="43"/>
        <v>1241.6970313284528</v>
      </c>
      <c r="I285" s="12">
        <f t="shared" si="46"/>
        <v>1.0524422987342985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716.46764631672761</v>
      </c>
      <c r="F286" s="24">
        <f t="shared" si="44"/>
        <v>2046.96443166888</v>
      </c>
      <c r="G286" s="14">
        <f t="shared" si="45"/>
        <v>14243.696760495011</v>
      </c>
      <c r="H286" s="24">
        <f t="shared" si="43"/>
        <v>1269.8355207819536</v>
      </c>
      <c r="I286" s="12">
        <f t="shared" si="46"/>
        <v>1.0249816576668291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717.4926279743944</v>
      </c>
      <c r="F287" s="24">
        <f t="shared" si="44"/>
        <v>2035.1620088868572</v>
      </c>
      <c r="G287" s="14">
        <f t="shared" si="45"/>
        <v>14193.832571487002</v>
      </c>
      <c r="H287" s="24">
        <f t="shared" si="43"/>
        <v>1300.0159033427412</v>
      </c>
      <c r="I287" s="12">
        <f t="shared" si="46"/>
        <v>0.99739641660226841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718.49002439099661</v>
      </c>
      <c r="F288" s="24">
        <f t="shared" si="44"/>
        <v>2023.9984004040339</v>
      </c>
      <c r="G288" s="14">
        <f t="shared" si="45"/>
        <v>14147.515456997244</v>
      </c>
      <c r="H288" s="24">
        <f t="shared" si="43"/>
        <v>1332.4283062455438</v>
      </c>
      <c r="I288" s="12">
        <f t="shared" si="46"/>
        <v>0.96968723912591825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719.45971163012257</v>
      </c>
      <c r="F289" s="24">
        <f t="shared" si="44"/>
        <v>2013.477076915683</v>
      </c>
      <c r="G289" s="14">
        <f t="shared" si="45"/>
        <v>14104.803573107032</v>
      </c>
      <c r="H289" s="24">
        <f t="shared" si="43"/>
        <v>1367.2835906654216</v>
      </c>
      <c r="I289" s="12">
        <f t="shared" si="46"/>
        <v>0.94185698992320932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720.40156862004574</v>
      </c>
      <c r="F290" s="24">
        <f t="shared" si="44"/>
        <v>2003.6014334238102</v>
      </c>
      <c r="G290" s="14">
        <f t="shared" si="45"/>
        <v>14065.753919835837</v>
      </c>
      <c r="H290" s="24">
        <f t="shared" si="43"/>
        <v>1404.815847803919</v>
      </c>
      <c r="I290" s="12">
        <f t="shared" si="46"/>
        <v>0.91391101205388015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721.3154796320996</v>
      </c>
      <c r="F291" s="24">
        <f t="shared" si="44"/>
        <v>1994.3747273370661</v>
      </c>
      <c r="G291" s="14">
        <f t="shared" si="45"/>
        <v>14030.421922936508</v>
      </c>
      <c r="H291" s="24">
        <f t="shared" si="43"/>
        <v>1445.2852124784324</v>
      </c>
      <c r="I291" s="12">
        <f t="shared" si="46"/>
        <v>0.88585740830327331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722.2013370404029</v>
      </c>
      <c r="F292" s="24">
        <f t="shared" si="44"/>
        <v>1985.8000095358591</v>
      </c>
      <c r="G292" s="14">
        <f t="shared" si="45"/>
        <v>13998.860966007511</v>
      </c>
      <c r="H292" s="24">
        <f t="shared" si="43"/>
        <v>1488.9810353731086</v>
      </c>
      <c r="I292" s="12">
        <f t="shared" si="46"/>
        <v>0.85770732046353826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723.05904436086644</v>
      </c>
      <c r="F293" s="24">
        <f t="shared" si="44"/>
        <v>1977.8800484543297</v>
      </c>
      <c r="G293" s="14">
        <f t="shared" si="45"/>
        <v>13971.121873123102</v>
      </c>
      <c r="H293" s="24">
        <f t="shared" si="43"/>
        <v>1536.225460407966</v>
      </c>
      <c r="I293" s="12">
        <f t="shared" si="46"/>
        <v>0.82947519901132627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723.88851955987775</v>
      </c>
      <c r="F294" s="24">
        <f t="shared" si="44"/>
        <v>1970.6172474193777</v>
      </c>
      <c r="G294" s="14">
        <f t="shared" si="45"/>
        <v>13947.252343494536</v>
      </c>
      <c r="H294" s="24">
        <f t="shared" si="43"/>
        <v>1587.37745966272</v>
      </c>
      <c r="I294" s="12">
        <f t="shared" si="46"/>
        <v>0.80117905424203284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724.68969861411983</v>
      </c>
      <c r="F295" s="24">
        <f t="shared" si="44"/>
        <v>1964.0135557103149</v>
      </c>
      <c r="G295" s="14">
        <f t="shared" si="45"/>
        <v>13927.296341225219</v>
      </c>
      <c r="H295" s="24">
        <f t="shared" si="43"/>
        <v>1642.8373850492057</v>
      </c>
      <c r="I295" s="12">
        <f t="shared" si="46"/>
        <v>0.7728406785712062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725.46253929269108</v>
      </c>
      <c r="F296" s="24">
        <f t="shared" si="44"/>
        <v>1958.0703740600284</v>
      </c>
      <c r="G296" s="14">
        <f t="shared" si="45"/>
        <v>13911.293445015055</v>
      </c>
      <c r="H296" s="24">
        <f t="shared" si="43"/>
        <v>1703.0521035747108</v>
      </c>
      <c r="I296" s="12">
        <f t="shared" si="46"/>
        <v>0.74448582852271472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726.20702512121375</v>
      </c>
      <c r="F297" s="24">
        <f t="shared" si="44"/>
        <v>1952.7884556054289</v>
      </c>
      <c r="G297" s="14">
        <f t="shared" si="45"/>
        <v>13899.278164671774</v>
      </c>
      <c r="H297" s="24">
        <f t="shared" si="43"/>
        <v>1768.5207917120722</v>
      </c>
      <c r="I297" s="12">
        <f t="shared" si="46"/>
        <v>0.7161443540109208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726.92316947522465</v>
      </c>
      <c r="F298" s="24">
        <f t="shared" si="44"/>
        <v>1948.1678036049516</v>
      </c>
      <c r="G298" s="14">
        <f t="shared" si="45"/>
        <v>13891.279233449826</v>
      </c>
      <c r="H298" s="24">
        <f t="shared" si="43"/>
        <v>1839.8014742501171</v>
      </c>
      <c r="I298" s="12">
        <f t="shared" si="46"/>
        <v>0.68785026202672495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727.61101973725135</v>
      </c>
      <c r="F299" s="24">
        <f t="shared" si="44"/>
        <v>1944.207567562944</v>
      </c>
      <c r="G299" s="14">
        <f t="shared" si="45"/>
        <v>13887.318887495803</v>
      </c>
      <c r="H299" s="24">
        <f t="shared" si="43"/>
        <v>1917.5184042288304</v>
      </c>
      <c r="I299" s="12">
        <f t="shared" si="46"/>
        <v>0.65964170189898841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728.27066143915033</v>
      </c>
      <c r="F300" s="24">
        <f t="shared" si="44"/>
        <v>1940.9059397216397</v>
      </c>
      <c r="G300" s="14">
        <f t="shared" si="45"/>
        <v>13887.412145928869</v>
      </c>
      <c r="H300" s="24">
        <f t="shared" si="43"/>
        <v>2002.3703933913189</v>
      </c>
      <c r="I300" s="12">
        <f t="shared" si="46"/>
        <v>0.63156086006261081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728.90222229921289</v>
      </c>
      <c r="F301" s="24">
        <f t="shared" si="44"/>
        <v>1938.260054183027</v>
      </c>
      <c r="G301" s="14">
        <f t="shared" si="45"/>
        <v>13891.566107209259</v>
      </c>
      <c r="H301" s="24">
        <f t="shared" si="43"/>
        <v>2095.1402172725229</v>
      </c>
      <c r="I301" s="12">
        <f t="shared" si="46"/>
        <v>0.60365375384239084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729.50587605305532</v>
      </c>
      <c r="F302" s="24">
        <f t="shared" si="44"/>
        <v>1936.2658911852634</v>
      </c>
      <c r="G302" s="14">
        <f t="shared" si="45"/>
        <v>13899.779279305618</v>
      </c>
      <c r="H302" s="24">
        <f t="shared" si="43"/>
        <v>2196.70523590332</v>
      </c>
      <c r="I302" s="12">
        <f t="shared" si="46"/>
        <v>0.57596991623848115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730.08184596929379</v>
      </c>
      <c r="F303" s="24">
        <f t="shared" si="44"/>
        <v>1934.9181892586303</v>
      </c>
      <c r="G303" s="14">
        <f t="shared" si="45"/>
        <v>13912.04096260356</v>
      </c>
      <c r="H303" s="24">
        <f t="shared" si="43"/>
        <v>2308.0493904992118</v>
      </c>
      <c r="I303" s="12">
        <f t="shared" si="46"/>
        <v>0.54856196709789062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730.63040793639163</v>
      </c>
      <c r="F304" s="24">
        <f t="shared" si="44"/>
        <v>1934.2103681013014</v>
      </c>
      <c r="G304" s="14">
        <f t="shared" si="45"/>
        <v>13928.330705344064</v>
      </c>
      <c r="H304" s="24">
        <f t="shared" si="43"/>
        <v>2430.2767588459765</v>
      </c>
      <c r="I304" s="12">
        <f t="shared" si="46"/>
        <v>0.52148507032355662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731.15189300671523</v>
      </c>
      <c r="F305" s="24">
        <f t="shared" si="44"/>
        <v>1934.1344650241638</v>
      </c>
      <c r="G305" s="14">
        <f t="shared" si="45"/>
        <v>13948.617851493476</v>
      </c>
      <c r="H305" s="24">
        <f t="shared" si="43"/>
        <v>2564.6268778729232</v>
      </c>
      <c r="I305" s="12">
        <f t="shared" si="46"/>
        <v>0.49479628176542384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731.64668928848062</v>
      </c>
      <c r="F306" s="24">
        <f t="shared" si="44"/>
        <v>1934.6810876974955</v>
      </c>
      <c r="G306" s="14">
        <f t="shared" si="45"/>
        <v>13972.861200190893</v>
      </c>
      <c r="H306" s="24">
        <f t="shared" ref="H306:H369" si="52">IF(E306&lt;600,425+0.773*E306-1.69/1000*E306^2+2.22/1000^2*E306^3,IF(E306&lt;735,666+13002/(738-E306),IF(E306&lt;900,545+17820/(E306-731),650)))</f>
        <v>2712.4920716730685</v>
      </c>
      <c r="I306" s="12">
        <f t="shared" si="46"/>
        <v>0.46855379791751162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732.1152430863981</v>
      </c>
      <c r="F307" s="24">
        <f t="shared" si="44"/>
        <v>1935.8393856794551</v>
      </c>
      <c r="G307" s="14">
        <f t="shared" si="45"/>
        <v>14001.008794217089</v>
      </c>
      <c r="H307" s="24">
        <f t="shared" si="52"/>
        <v>2875.4370576204174</v>
      </c>
      <c r="I307" s="12">
        <f t="shared" si="46"/>
        <v>0.44281612118351948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732.55805920758166</v>
      </c>
      <c r="F308" s="24">
        <f t="shared" si="44"/>
        <v>1937.5970428121745</v>
      </c>
      <c r="G308" s="14">
        <f t="shared" si="45"/>
        <v>14032.997852246006</v>
      </c>
      <c r="H308" s="24">
        <f t="shared" si="52"/>
        <v>3055.2211429632371</v>
      </c>
      <c r="I308" s="12">
        <f t="shared" si="46"/>
        <v>0.41764116287221964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732.97570037045386</v>
      </c>
      <c r="F309" s="24">
        <f t="shared" si="44"/>
        <v>1939.9402920422376</v>
      </c>
      <c r="G309" s="14">
        <f t="shared" si="45"/>
        <v>14068.754856016796</v>
      </c>
      <c r="H309" s="24">
        <f t="shared" si="52"/>
        <v>3253.8233701548811</v>
      </c>
      <c r="I309" s="12">
        <f t="shared" si="46"/>
        <v>0.3930853098048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733.36878568025861</v>
      </c>
      <c r="F310" s="24">
        <f t="shared" si="44"/>
        <v>1942.8539535751979</v>
      </c>
      <c r="G310" s="14">
        <f t="shared" si="45"/>
        <v>14108.19579911407</v>
      </c>
      <c r="H310" s="24">
        <f t="shared" si="52"/>
        <v>3473.471022141347</v>
      </c>
      <c r="I310" s="12">
        <f t="shared" si="46"/>
        <v>0.36920248402693567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733.73798816428553</v>
      </c>
      <c r="F311" s="24">
        <f t="shared" si="44"/>
        <v>1946.3214965366005</v>
      </c>
      <c r="G311" s="14">
        <f t="shared" si="45"/>
        <v>14151.226598964618</v>
      </c>
      <c r="H311" s="24">
        <f t="shared" si="52"/>
        <v>3716.6719599056141</v>
      </c>
      <c r="I311" s="12">
        <f t="shared" si="46"/>
        <v>0.34604322724019515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734.08403139152574</v>
      </c>
      <c r="F312" s="24">
        <f t="shared" si="44"/>
        <v>1950.3251235215316</v>
      </c>
      <c r="G312" s="14">
        <f t="shared" si="45"/>
        <v>14197.743668192927</v>
      </c>
      <c r="H312" s="24">
        <f t="shared" si="52"/>
        <v>3986.2513349732503</v>
      </c>
      <c r="I312" s="12">
        <f t="shared" si="46"/>
        <v>0.32365384192412211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734.40768523344991</v>
      </c>
      <c r="F313" s="24">
        <f t="shared" si="44"/>
        <v>1954.8458766153999</v>
      </c>
      <c r="G313" s="14">
        <f t="shared" si="45"/>
        <v>14247.634635943146</v>
      </c>
      <c r="H313" s="24">
        <f t="shared" si="52"/>
        <v>4285.3933006841107</v>
      </c>
      <c r="I313" s="12">
        <f t="shared" si="46"/>
        <v>0.30207561958096557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734.70976085303084</v>
      </c>
      <c r="F314" s="24">
        <f t="shared" si="44"/>
        <v>1959.8637627079456</v>
      </c>
      <c r="G314" s="14">
        <f t="shared" si="45"/>
        <v>14300.779204491699</v>
      </c>
      <c r="H314" s="24">
        <f t="shared" si="52"/>
        <v>4617.6884394184381</v>
      </c>
      <c r="I314" s="12">
        <f t="shared" si="46"/>
        <v>0.28134418313631987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734.99110503616714</v>
      </c>
      <c r="F315" s="24">
        <f t="shared" si="44"/>
        <v>1965.3578952465382</v>
      </c>
      <c r="G315" s="14">
        <f t="shared" si="45"/>
        <v>14357.050121764854</v>
      </c>
      <c r="H315" s="24">
        <f t="shared" si="52"/>
        <v>4987.1877304741465</v>
      </c>
      <c r="I315" s="12">
        <f t="shared" si="46"/>
        <v>0.26148896548122996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735.25259400164839</v>
      </c>
      <c r="F316" s="24">
        <f t="shared" si="44"/>
        <v>1971.3066490253254</v>
      </c>
      <c r="G316" s="14">
        <f t="shared" si="45"/>
        <v>14416.314246530061</v>
      </c>
      <c r="H316" s="24">
        <f t="shared" si="52"/>
        <v>4735.3835619136489</v>
      </c>
      <c r="I316" s="12">
        <f t="shared" si="46"/>
        <v>0.27649392897700065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735.52908793062534</v>
      </c>
      <c r="F317" s="24">
        <f t="shared" si="44"/>
        <v>1976.838796986081</v>
      </c>
      <c r="G317" s="14">
        <f t="shared" si="45"/>
        <v>14472.903159216683</v>
      </c>
      <c r="H317" s="24">
        <f t="shared" si="52"/>
        <v>4479.5670194439281</v>
      </c>
      <c r="I317" s="12">
        <f t="shared" si="46"/>
        <v>0.29339175476285856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735.8224796853882</v>
      </c>
      <c r="F318" s="24">
        <f t="shared" si="44"/>
        <v>1981.9072922857515</v>
      </c>
      <c r="G318" s="14">
        <f t="shared" si="45"/>
        <v>14526.50325736227</v>
      </c>
      <c r="H318" s="24">
        <f t="shared" si="52"/>
        <v>4240.1944150212657</v>
      </c>
      <c r="I318" s="12">
        <f t="shared" si="46"/>
        <v>0.31106012679577255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736.13353981218393</v>
      </c>
      <c r="F319" s="24">
        <f t="shared" si="44"/>
        <v>1986.4931432624076</v>
      </c>
      <c r="G319" s="14">
        <f t="shared" si="45"/>
        <v>14576.982566936786</v>
      </c>
      <c r="H319" s="24">
        <f t="shared" si="52"/>
        <v>4016.2889452432164</v>
      </c>
      <c r="I319" s="12">
        <f t="shared" si="46"/>
        <v>0.32949693476421799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736.46303674694809</v>
      </c>
      <c r="F320" s="24">
        <f t="shared" si="44"/>
        <v>1990.5774083277549</v>
      </c>
      <c r="G320" s="14">
        <f t="shared" si="45"/>
        <v>14624.208535656222</v>
      </c>
      <c r="H320" s="24">
        <f t="shared" si="52"/>
        <v>3806.9220454548631</v>
      </c>
      <c r="I320" s="12">
        <f t="shared" si="46"/>
        <v>0.34869491979156103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736.81173166673966</v>
      </c>
      <c r="F321" s="24">
        <f t="shared" si="44"/>
        <v>1994.1413247164462</v>
      </c>
      <c r="G321" s="14">
        <f t="shared" si="45"/>
        <v>14668.048806896055</v>
      </c>
      <c r="H321" s="24">
        <f t="shared" si="52"/>
        <v>3611.2117630074431</v>
      </c>
      <c r="I321" s="12">
        <f t="shared" si="46"/>
        <v>0.36864129495401377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737.18037296169371</v>
      </c>
      <c r="F322" s="24">
        <f t="shared" si="44"/>
        <v>1997.166446721897</v>
      </c>
      <c r="G322" s="14">
        <f t="shared" si="45"/>
        <v>14708.372058317713</v>
      </c>
      <c r="H322" s="24">
        <f t="shared" si="52"/>
        <v>3428.3211378098613</v>
      </c>
      <c r="I322" s="12">
        <f t="shared" si="46"/>
        <v>0.38931742015915588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737.56969038185287</v>
      </c>
      <c r="F323" s="24">
        <f t="shared" si="44"/>
        <v>1999.6347920595581</v>
      </c>
      <c r="G323" s="14">
        <f t="shared" si="45"/>
        <v>14745.048897894447</v>
      </c>
      <c r="H323" s="24">
        <f t="shared" si="52"/>
        <v>3257.4565944878186</v>
      </c>
      <c r="I323" s="12">
        <f t="shared" si="46"/>
        <v>0.41069854483601342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737.98038892668887</v>
      </c>
      <c r="F324" s="24">
        <f t="shared" si="44"/>
        <v>2001.5289946623966</v>
      </c>
      <c r="G324" s="14">
        <f t="shared" si="45"/>
        <v>14777.952807949325</v>
      </c>
      <c r="H324" s="24">
        <f t="shared" si="52"/>
        <v>3097.8663498772785</v>
      </c>
      <c r="I324" s="12">
        <f t="shared" si="46"/>
        <v>0.43275363125679783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738.41314255794566</v>
      </c>
      <c r="F325" s="24">
        <f t="shared" si="44"/>
        <v>2002.8324618927827</v>
      </c>
      <c r="G325" s="14">
        <f t="shared" si="45"/>
        <v>14806.961125807564</v>
      </c>
      <c r="H325" s="24">
        <f t="shared" si="52"/>
        <v>2948.8388390224482</v>
      </c>
      <c r="I325" s="12">
        <f t="shared" si="46"/>
        <v>0.45544527006492835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738.86858782801062</v>
      </c>
      <c r="F326" s="24">
        <f t="shared" si="44"/>
        <v>2003.5295338656483</v>
      </c>
      <c r="G326" s="14">
        <f t="shared" si="45"/>
        <v>14831.95604781192</v>
      </c>
      <c r="H326" s="24">
        <f t="shared" si="52"/>
        <v>2809.7011623311009</v>
      </c>
      <c r="I326" s="12">
        <f t="shared" si="46"/>
        <v>0.47872969771086404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739.34731752572145</v>
      </c>
      <c r="F327" s="24">
        <f t="shared" si="44"/>
        <v>2003.6056423352079</v>
      </c>
      <c r="G327" s="14">
        <f t="shared" si="45"/>
        <v>14852.825641845926</v>
      </c>
      <c r="H327" s="24">
        <f t="shared" si="52"/>
        <v>2679.8175560698865</v>
      </c>
      <c r="I327" s="12">
        <f t="shared" si="46"/>
        <v>0.50255692302291421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739.84987444874434</v>
      </c>
      <c r="F328" s="24">
        <f t="shared" si="44"/>
        <v>2003.0474664169533</v>
      </c>
      <c r="G328" s="14">
        <f t="shared" si="45"/>
        <v>14869.464852246718</v>
      </c>
      <c r="H328" s="24">
        <f t="shared" si="52"/>
        <v>2558.5878879647125</v>
      </c>
      <c r="I328" s="12">
        <f t="shared" si="46"/>
        <v>0.5268709671341939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740.37674541587853</v>
      </c>
      <c r="F329" s="24">
        <f t="shared" si="44"/>
        <v>2001.8430823108758</v>
      </c>
      <c r="G329" s="14">
        <f t="shared" si="45"/>
        <v>14881.776480149345</v>
      </c>
      <c r="H329" s="24">
        <f t="shared" si="52"/>
        <v>2445.4461793133155</v>
      </c>
      <c r="I329" s="12">
        <f t="shared" si="46"/>
        <v>0.5516102175613038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740.92835563343988</v>
      </c>
      <c r="F330" s="24">
        <f t="shared" si="44"/>
        <v>1999.9821041723578</v>
      </c>
      <c r="G330" s="14">
        <f t="shared" si="45"/>
        <v>14889.672121960486</v>
      </c>
      <c r="H330" s="24">
        <f t="shared" si="52"/>
        <v>2339.8591547204583</v>
      </c>
      <c r="I330" s="12">
        <f t="shared" si="46"/>
        <v>0.57670789353639684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741.5050635269763</v>
      </c>
      <c r="F331" s="24">
        <f t="shared" si="44"/>
        <v>1997.4558133491598</v>
      </c>
      <c r="G331" s="14">
        <f t="shared" si="45"/>
        <v>14893.07304884625</v>
      </c>
      <c r="H331" s="24">
        <f t="shared" si="52"/>
        <v>2241.3248203344447</v>
      </c>
      <c r="I331" s="12">
        <f t="shared" si="46"/>
        <v>0.60209261591216956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742.10715614288847</v>
      </c>
      <c r="F332" s="24">
        <f t="shared" si="44"/>
        <v>1994.2572733703882</v>
      </c>
      <c r="G332" s="14">
        <f t="shared" si="45"/>
        <v>14891.911010873713</v>
      </c>
      <c r="H332" s="24">
        <f t="shared" si="52"/>
        <v>2149.3710712943866</v>
      </c>
      <c r="I332" s="12">
        <f t="shared" si="46"/>
        <v>0.62768907128850016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742.73484521417697</v>
      </c>
      <c r="F333" s="24">
        <f t="shared" si="44"/>
        <v>1990.3814283317756</v>
      </c>
      <c r="G333" s="14">
        <f t="shared" si="45"/>
        <v>14886.128950744467</v>
      </c>
      <c r="H333" s="24">
        <f t="shared" si="52"/>
        <v>2063.5543289886346</v>
      </c>
      <c r="I333" s="12">
        <f t="shared" si="46"/>
        <v>0.65341875665105409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743.38826397082801</v>
      </c>
      <c r="F334" s="24">
        <f t="shared" si="44"/>
        <v>1985.8251826646069</v>
      </c>
      <c r="G334" s="14">
        <f t="shared" si="45"/>
        <v>14875.681613875944</v>
      </c>
      <c r="H334" s="24">
        <f t="shared" si="52"/>
        <v>1983.4582086693256</v>
      </c>
      <c r="I334" s="12">
        <f t="shared" si="46"/>
        <v>0.67920078795575556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744.06746475878379</v>
      </c>
      <c r="F335" s="24">
        <f t="shared" si="44"/>
        <v>1980.5874606895172</v>
      </c>
      <c r="G335" s="14">
        <f t="shared" si="45"/>
        <v>14860.53604384903</v>
      </c>
      <c r="H335" s="24">
        <f t="shared" si="52"/>
        <v>1908.6922179584697</v>
      </c>
      <c r="I335" s="12">
        <f t="shared" si="46"/>
        <v>0.70495275389896195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744.77241751268275</v>
      </c>
      <c r="F336" s="24">
        <f t="shared" si="44"/>
        <v>1974.6692448256397</v>
      </c>
      <c r="G336" s="14">
        <f t="shared" si="45"/>
        <v>14840.671954862177</v>
      </c>
      <c r="H336" s="24">
        <f t="shared" si="52"/>
        <v>1838.8904868074112</v>
      </c>
      <c r="I336" s="12">
        <f t="shared" si="46"/>
        <v>0.73059159470078783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745.50300910738349</v>
      </c>
      <c r="F337" s="24">
        <f t="shared" ref="F337:F400" si="53">AlphaC*(D337-E337)</f>
        <v>1968.073591829736</v>
      </c>
      <c r="G337" s="14">
        <f t="shared" ref="G337:G400" si="54">Phi*EpsilonF*Botzman/10^8*J337*((D337+273)^4-(E337+273)^4)</f>
        <v>14816.081975702173</v>
      </c>
      <c r="H337" s="24">
        <f t="shared" si="52"/>
        <v>1773.7105295223064</v>
      </c>
      <c r="I337" s="12">
        <f t="shared" ref="I337:I400" si="55">ksh*Massivete/(H337*RhoA)*DeltaT*(F337+G337)</f>
        <v>0.75603448516663208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746.25904359255014</v>
      </c>
      <c r="F338" s="24">
        <f t="shared" si="53"/>
        <v>1960.8056269583385</v>
      </c>
      <c r="G338" s="14">
        <f t="shared" si="54"/>
        <v>14786.771762738483</v>
      </c>
      <c r="H338" s="24">
        <f t="shared" si="52"/>
        <v>1712.832039532293</v>
      </c>
      <c r="I338" s="12">
        <f t="shared" si="55"/>
        <v>0.78119970159189123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747.04024329414199</v>
      </c>
      <c r="F339" s="24">
        <f t="shared" si="53"/>
        <v>1952.8725164569039</v>
      </c>
      <c r="G339" s="14">
        <f t="shared" si="54"/>
        <v>14752.759982448753</v>
      </c>
      <c r="H339" s="24">
        <f t="shared" si="52"/>
        <v>1655.9557176422625</v>
      </c>
      <c r="I339" s="12">
        <f t="shared" si="55"/>
        <v>0.80600745319466749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747.84625074733663</v>
      </c>
      <c r="F340" s="24">
        <f t="shared" si="53"/>
        <v>1944.2834192626776</v>
      </c>
      <c r="G340" s="14">
        <f t="shared" si="54"/>
        <v>14714.07816686411</v>
      </c>
      <c r="H340" s="24">
        <f t="shared" si="52"/>
        <v>1602.8021345679733</v>
      </c>
      <c r="I340" s="12">
        <f t="shared" si="55"/>
        <v>0.8303806606084938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748.67663140794514</v>
      </c>
      <c r="F341" s="24">
        <f t="shared" si="53"/>
        <v>1935.0494192449389</v>
      </c>
      <c r="G341" s="14">
        <f t="shared" si="54"/>
        <v>14670.770447979468</v>
      </c>
      <c r="H341" s="24">
        <f t="shared" si="52"/>
        <v>1553.1106285890207</v>
      </c>
      <c r="I341" s="12">
        <f t="shared" si="55"/>
        <v>0.85424566640923272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749.53087707435441</v>
      </c>
      <c r="F342" s="24">
        <f t="shared" si="53"/>
        <v>1925.1834396815611</v>
      </c>
      <c r="G342" s="14">
        <f t="shared" si="54"/>
        <v>14622.893179507486</v>
      </c>
      <c r="H342" s="24">
        <f t="shared" si="52"/>
        <v>1506.6382391668758</v>
      </c>
      <c r="I342" s="12">
        <f t="shared" si="55"/>
        <v>0.87753286552734677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750.40840993988172</v>
      </c>
      <c r="F343" s="24">
        <f t="shared" si="53"/>
        <v>1914.7001419749984</v>
      </c>
      <c r="G343" s="14">
        <f t="shared" si="54"/>
        <v>14570.514456308962</v>
      </c>
      <c r="H343" s="24">
        <f t="shared" si="52"/>
        <v>1463.1586773567808</v>
      </c>
      <c r="I343" s="12">
        <f t="shared" si="55"/>
        <v>0.90017724653550424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751.30858718641718</v>
      </c>
      <c r="F344" s="24">
        <f t="shared" si="53"/>
        <v>1903.6158108355892</v>
      </c>
      <c r="G344" s="14">
        <f t="shared" si="54"/>
        <v>14513.713543342559</v>
      </c>
      <c r="H344" s="24">
        <f t="shared" si="52"/>
        <v>1422.4613337907817</v>
      </c>
      <c r="I344" s="12">
        <f t="shared" si="55"/>
        <v>0.9221188380277362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752.23070602444488</v>
      </c>
      <c r="F345" s="24">
        <f t="shared" si="53"/>
        <v>1891.9482283051225</v>
      </c>
      <c r="G345" s="14">
        <f t="shared" si="54"/>
        <v>14452.580227045728</v>
      </c>
      <c r="H345" s="24">
        <f t="shared" si="52"/>
        <v>1384.350324924766</v>
      </c>
      <c r="I345" s="12">
        <f t="shared" si="55"/>
        <v>0.94330305746032073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753.17400908190518</v>
      </c>
      <c r="F346" s="24">
        <f t="shared" si="53"/>
        <v>1879.7165390589271</v>
      </c>
      <c r="G346" s="14">
        <f t="shared" si="54"/>
        <v>14387.214102666012</v>
      </c>
      <c r="H346" s="24">
        <f t="shared" si="52"/>
        <v>1348.6435781268704</v>
      </c>
      <c r="I346" s="12">
        <f t="shared" si="55"/>
        <v>0.96368096276635984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754.13769004467156</v>
      </c>
      <c r="F347" s="24">
        <f t="shared" si="53"/>
        <v>1866.9411094172858</v>
      </c>
      <c r="G347" s="14">
        <f t="shared" si="54"/>
        <v>14317.723811253565</v>
      </c>
      <c r="H347" s="24">
        <f t="shared" si="52"/>
        <v>1315.1719560420775</v>
      </c>
      <c r="I347" s="12">
        <f t="shared" si="55"/>
        <v>0.98320940967694881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755.12089945434855</v>
      </c>
      <c r="F348" s="24">
        <f t="shared" si="53"/>
        <v>1853.6433824234734</v>
      </c>
      <c r="G348" s="14">
        <f t="shared" si="54"/>
        <v>14244.226239821595</v>
      </c>
      <c r="H348" s="24">
        <f t="shared" si="52"/>
        <v>1283.7784205031951</v>
      </c>
      <c r="I348" s="12">
        <f t="shared" si="55"/>
        <v>1.0018511199032567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756.12275057425177</v>
      </c>
      <c r="F349" s="24">
        <f t="shared" si="53"/>
        <v>1839.8457312168516</v>
      </c>
      <c r="G349" s="14">
        <f t="shared" si="54"/>
        <v>14166.845697647621</v>
      </c>
      <c r="H349" s="24">
        <f t="shared" si="52"/>
        <v>1254.317236077791</v>
      </c>
      <c r="I349" s="12">
        <f t="shared" si="55"/>
        <v>1.0195746671115198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757.14232524136332</v>
      </c>
      <c r="F350" s="24">
        <f t="shared" si="53"/>
        <v>1825.5713127563013</v>
      </c>
      <c r="G350" s="14">
        <f t="shared" si="54"/>
        <v>14085.713080881875</v>
      </c>
      <c r="H350" s="24">
        <f t="shared" si="52"/>
        <v>1226.6532131504721</v>
      </c>
      <c r="I350" s="12">
        <f t="shared" si="55"/>
        <v>1.0363543889420037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758.17867963030528</v>
      </c>
      <c r="F351" s="24">
        <f t="shared" si="53"/>
        <v>1810.8439237428342</v>
      </c>
      <c r="G351" s="14">
        <f t="shared" si="54"/>
        <v>14000.965036604526</v>
      </c>
      <c r="H351" s="24">
        <f t="shared" si="52"/>
        <v>1200.6609902465611</v>
      </c>
      <c r="I351" s="12">
        <f t="shared" si="55"/>
        <v>1.0521702341944235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759.23084986449976</v>
      </c>
      <c r="F352" s="24">
        <f t="shared" si="53"/>
        <v>1795.6878603622131</v>
      </c>
      <c r="G352" s="14">
        <f t="shared" si="54"/>
        <v>13912.743136306482</v>
      </c>
      <c r="H352" s="24">
        <f t="shared" si="52"/>
        <v>1176.224355112618</v>
      </c>
      <c r="I352" s="12">
        <f t="shared" si="55"/>
        <v>1.0670075547593807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760.29785741925912</v>
      </c>
      <c r="F353" s="24">
        <f t="shared" si="53"/>
        <v>1780.1277832290225</v>
      </c>
      <c r="G353" s="14">
        <f t="shared" si="54"/>
        <v>13821.193067507445</v>
      </c>
      <c r="H353" s="24">
        <f t="shared" si="52"/>
        <v>1153.2356038870582</v>
      </c>
      <c r="I353" s="12">
        <f t="shared" si="55"/>
        <v>1.0808568519647448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761.37871427122388</v>
      </c>
      <c r="F354" s="24">
        <f t="shared" si="53"/>
        <v>1764.1885886716807</v>
      </c>
      <c r="G354" s="14">
        <f t="shared" si="54"/>
        <v>13726.463850926957</v>
      </c>
      <c r="H354" s="24">
        <f t="shared" si="52"/>
        <v>1131.5949375243943</v>
      </c>
      <c r="I354" s="12">
        <f t="shared" si="55"/>
        <v>1.0937134867850169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762.47242775800885</v>
      </c>
      <c r="F355" s="24">
        <f t="shared" si="53"/>
        <v>1747.8952872620171</v>
      </c>
      <c r="G355" s="14">
        <f t="shared" si="54"/>
        <v>13628.707089336756</v>
      </c>
      <c r="H355" s="24">
        <f t="shared" si="52"/>
        <v>1111.2098944834438</v>
      </c>
      <c r="I355" s="12">
        <f t="shared" si="55"/>
        <v>1.1055773628915821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763.57800512090046</v>
      </c>
      <c r="F356" s="24">
        <f t="shared" si="53"/>
        <v>1731.2728902681697</v>
      </c>
      <c r="G356" s="14">
        <f t="shared" si="54"/>
        <v>13528.07625297495</v>
      </c>
      <c r="H356" s="24">
        <f t="shared" si="52"/>
        <v>1091.9948185552821</v>
      </c>
      <c r="I356" s="12">
        <f t="shared" si="55"/>
        <v>1.1164525908632688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764.69445771176368</v>
      </c>
      <c r="F357" s="24">
        <f t="shared" si="53"/>
        <v>1714.3463045020353</v>
      </c>
      <c r="G357" s="14">
        <f t="shared" si="54"/>
        <v>13424.726005237435</v>
      </c>
      <c r="H357" s="24">
        <f t="shared" si="52"/>
        <v>1073.8703605928206</v>
      </c>
      <c r="I357" s="12">
        <f t="shared" si="55"/>
        <v>1.1263471410882717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765.82080485285189</v>
      </c>
      <c r="F358" s="24">
        <f t="shared" si="53"/>
        <v>1697.1402358437813</v>
      </c>
      <c r="G358" s="14">
        <f t="shared" si="54"/>
        <v>13318.811571282469</v>
      </c>
      <c r="H358" s="24">
        <f t="shared" si="52"/>
        <v>1056.7630128110179</v>
      </c>
      <c r="I358" s="12">
        <f t="shared" si="55"/>
        <v>1.1352724920211581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766.95607734487305</v>
      </c>
      <c r="F359" s="24">
        <f t="shared" si="53"/>
        <v>1679.679101559708</v>
      </c>
      <c r="G359" s="14">
        <f t="shared" si="54"/>
        <v>13210.48815122093</v>
      </c>
      <c r="H359" s="24">
        <f t="shared" si="52"/>
        <v>1040.6046742551837</v>
      </c>
      <c r="I359" s="12">
        <f t="shared" si="55"/>
        <v>1.1432432795581211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768.09932062443113</v>
      </c>
      <c r="F360" s="24">
        <f t="shared" si="53"/>
        <v>1661.9869513854042</v>
      </c>
      <c r="G360" s="14">
        <f t="shared" si="54"/>
        <v>13099.910378712813</v>
      </c>
      <c r="H360" s="24">
        <f t="shared" si="52"/>
        <v>1025.3322459836352</v>
      </c>
      <c r="I360" s="12">
        <f t="shared" si="55"/>
        <v>1.150276952396063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769.24959757682723</v>
      </c>
      <c r="F361" s="24">
        <f t="shared" si="53"/>
        <v>1644.0873972246918</v>
      </c>
      <c r="G361" s="14">
        <f t="shared" si="54"/>
        <v>12987.231825059474</v>
      </c>
      <c r="H361" s="24">
        <f t="shared" si="52"/>
        <v>1010.88725447914</v>
      </c>
      <c r="I361" s="12">
        <f t="shared" si="55"/>
        <v>1.1563934373757963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770.40599101420298</v>
      </c>
      <c r="F362" s="24">
        <f t="shared" si="53"/>
        <v>1626.0035512146687</v>
      </c>
      <c r="G362" s="14">
        <f t="shared" si="54"/>
        <v>12872.604548259287</v>
      </c>
      <c r="H362" s="24">
        <f t="shared" si="52"/>
        <v>997.21550178949155</v>
      </c>
      <c r="I362" s="12">
        <f t="shared" si="55"/>
        <v>1.161614817997398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771.56760583220034</v>
      </c>
      <c r="F363" s="24">
        <f t="shared" si="53"/>
        <v>1607.7579718276324</v>
      </c>
      <c r="G363" s="14">
        <f t="shared" si="54"/>
        <v>12756.178685993144</v>
      </c>
      <c r="H363" s="24">
        <f t="shared" si="52"/>
        <v>984.26674089934727</v>
      </c>
      <c r="I363" s="12">
        <f t="shared" si="55"/>
        <v>1.1659650285526248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772.73357086075293</v>
      </c>
      <c r="F364" s="24">
        <f t="shared" si="53"/>
        <v>1589.372617619415</v>
      </c>
      <c r="G364" s="14">
        <f t="shared" si="54"/>
        <v>12638.102091091823</v>
      </c>
      <c r="H364" s="24">
        <f t="shared" si="52"/>
        <v>971.99437485130886</v>
      </c>
      <c r="I364" s="12">
        <f t="shared" si="55"/>
        <v>1.1694695656519483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773.90304042640491</v>
      </c>
      <c r="F365" s="24">
        <f t="shared" si="53"/>
        <v>1570.868808189286</v>
      </c>
      <c r="G365" s="14">
        <f t="shared" si="54"/>
        <v>12518.520007730925</v>
      </c>
      <c r="H365" s="24">
        <f t="shared" si="52"/>
        <v>960.35517816197898</v>
      </c>
      <c r="I365" s="12">
        <f t="shared" si="55"/>
        <v>1.1721552183388444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775.07519564474376</v>
      </c>
      <c r="F366" s="24">
        <f t="shared" si="53"/>
        <v>1552.2671918867472</v>
      </c>
      <c r="G366" s="14">
        <f t="shared" si="54"/>
        <v>12397.57478636095</v>
      </c>
      <c r="H366" s="24">
        <f t="shared" si="52"/>
        <v>949.30903911654332</v>
      </c>
      <c r="I366" s="12">
        <f t="shared" si="55"/>
        <v>1.1740498174791913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776.24924546222292</v>
      </c>
      <c r="F367" s="24">
        <f t="shared" si="53"/>
        <v>1533.5877197833183</v>
      </c>
      <c r="G367" s="14">
        <f t="shared" si="54"/>
        <v>12275.405635223708</v>
      </c>
      <c r="H367" s="24">
        <f t="shared" si="52"/>
        <v>938.81872157133148</v>
      </c>
      <c r="I367" s="12">
        <f t="shared" si="55"/>
        <v>1.1751820046883115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777.4244274669112</v>
      </c>
      <c r="F368" s="24">
        <f t="shared" si="53"/>
        <v>1514.8496254209419</v>
      </c>
      <c r="G368" s="14">
        <f t="shared" si="54"/>
        <v>12152.148406205677</v>
      </c>
      <c r="H368" s="24">
        <f t="shared" si="52"/>
        <v>928.84964494610358</v>
      </c>
      <c r="I368" s="12">
        <f t="shared" si="55"/>
        <v>1.1755810207063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778.60000848761752</v>
      </c>
      <c r="F369" s="24">
        <f t="shared" si="53"/>
        <v>1496.071409850731</v>
      </c>
      <c r="G369" s="14">
        <f t="shared" si="54"/>
        <v>12027.935412731873</v>
      </c>
      <c r="H369" s="24">
        <f t="shared" si="52"/>
        <v>919.36968114481806</v>
      </c>
      <c r="I369" s="12">
        <f t="shared" si="55"/>
        <v>1.1752765128483165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779.77528500046583</v>
      </c>
      <c r="F370" s="24">
        <f t="shared" si="53"/>
        <v>1477.2708314852111</v>
      </c>
      <c r="G370" s="14">
        <f t="shared" si="54"/>
        <v>11902.895277399004</v>
      </c>
      <c r="H370" s="24">
        <f t="shared" ref="H370:H433" si="61">IF(E370&lt;600,425+0.773*E370-1.69/1000*E370^2+2.22/1000^2*E370^3,IF(E370&lt;735,666+13002/(738-E370),IF(E370&lt;900,545+17820/(E370-731),650)))</f>
        <v>910.34896720398069</v>
      </c>
      <c r="I370" s="12">
        <f t="shared" si="55"/>
        <v>1.1742983609334217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780.94958336139928</v>
      </c>
      <c r="F371" s="24">
        <f t="shared" si="53"/>
        <v>1458.4649003021639</v>
      </c>
      <c r="G371" s="14">
        <f t="shared" si="54"/>
        <v>11777.152807077975</v>
      </c>
      <c r="H371" s="24">
        <f t="shared" si="61"/>
        <v>901.75973253004508</v>
      </c>
      <c r="I371" s="12">
        <f t="shared" si="55"/>
        <v>1.172676520926268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782.12225988232558</v>
      </c>
      <c r="F372" s="24">
        <f t="shared" si="53"/>
        <v>1439.6698759571082</v>
      </c>
      <c r="G372" s="14">
        <f t="shared" si="54"/>
        <v>11650.828893269059</v>
      </c>
      <c r="H372" s="24">
        <f t="shared" si="61"/>
        <v>893.57613965068242</v>
      </c>
      <c r="I372" s="12">
        <f t="shared" si="55"/>
        <v>1.1704408854026975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783.29270076772832</v>
      </c>
      <c r="F373" s="24">
        <f t="shared" si="53"/>
        <v>1420.9012693840236</v>
      </c>
      <c r="G373" s="14">
        <f t="shared" si="54"/>
        <v>11524.040435575527</v>
      </c>
      <c r="H373" s="24">
        <f t="shared" si="61"/>
        <v>885.77413746809862</v>
      </c>
      <c r="I373" s="12">
        <f t="shared" si="55"/>
        <v>1.1676211598674453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784.46032192759571</v>
      </c>
      <c r="F374" s="24">
        <f t="shared" si="53"/>
        <v>1402.1738474877934</v>
      </c>
      <c r="G374" s="14">
        <f t="shared" si="54"/>
        <v>11396.900286248479</v>
      </c>
      <c r="H374" s="24">
        <f t="shared" si="61"/>
        <v>878.33132606523804</v>
      </c>
      <c r="I374" s="12">
        <f t="shared" si="55"/>
        <v>1.1642467539014056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785.62456868149707</v>
      </c>
      <c r="F375" s="24">
        <f t="shared" si="53"/>
        <v>1383.5016405578444</v>
      </c>
      <c r="G375" s="14">
        <f t="shared" si="54"/>
        <v>11269.517213864077</v>
      </c>
      <c r="H375" s="24">
        <f t="shared" si="61"/>
        <v>871.22683217700455</v>
      </c>
      <c r="I375" s="12">
        <f t="shared" si="55"/>
        <v>1.160346686093519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786.78491536759054</v>
      </c>
      <c r="F376" s="24">
        <f t="shared" si="53"/>
        <v>1364.8979520582202</v>
      </c>
      <c r="G376" s="14">
        <f t="shared" si="54"/>
        <v>11141.995884301026</v>
      </c>
      <c r="H376" s="24">
        <f t="shared" si="61"/>
        <v>864.44119449812615</v>
      </c>
      <c r="I376" s="12">
        <f t="shared" si="55"/>
        <v>1.1559495017110677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787.94086486930166</v>
      </c>
      <c r="F377" s="36">
        <f t="shared" si="53"/>
        <v>1346.3753704756955</v>
      </c>
      <c r="G377" s="14">
        <f t="shared" si="54"/>
        <v>11014.436857299019</v>
      </c>
      <c r="H377" s="36">
        <f t="shared" si="61"/>
        <v>857.95625805654447</v>
      </c>
      <c r="I377" s="37">
        <f t="shared" si="55"/>
        <v>1.1510832020786199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789.09194807138033</v>
      </c>
      <c r="F378" s="24">
        <f t="shared" si="53"/>
        <v>1327.9457829332216</v>
      </c>
      <c r="G378" s="14">
        <f t="shared" si="54"/>
        <v>10886.936596996131</v>
      </c>
      <c r="H378" s="24">
        <f t="shared" si="61"/>
        <v>851.75507693602776</v>
      </c>
      <c r="I378" s="12">
        <f t="shared" si="55"/>
        <v>1.1457751846659108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790.23772325604625</v>
      </c>
      <c r="F379" s="24">
        <f t="shared" si="53"/>
        <v>1309.6203903009582</v>
      </c>
      <c r="G379" s="14">
        <f t="shared" si="54"/>
        <v>10759.587494952853</v>
      </c>
      <c r="H379" s="24">
        <f t="shared" si="61"/>
        <v>845.82182468383701</v>
      </c>
      <c r="I379" s="12">
        <f t="shared" si="55"/>
        <v>1.1400521929244076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791.37777544897062</v>
      </c>
      <c r="F380" s="24">
        <f t="shared" si="53"/>
        <v>1291.4097235611735</v>
      </c>
      <c r="G380" s="14">
        <f t="shared" si="54"/>
        <v>10632.477904281575</v>
      </c>
      <c r="H380" s="24">
        <f t="shared" si="61"/>
        <v>840.14171178865138</v>
      </c>
      <c r="I380" s="12">
        <f t="shared" si="55"/>
        <v>1.1339402749591723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792.5117157239298</v>
      </c>
      <c r="F381" s="24">
        <f t="shared" si="53"/>
        <v>1273.3236612062115</v>
      </c>
      <c r="G381" s="14">
        <f t="shared" si="54"/>
        <v>10505.692183609368</v>
      </c>
      <c r="H381" s="24">
        <f t="shared" si="61"/>
        <v>834.70090966049111</v>
      </c>
      <c r="I381" s="12">
        <f t="shared" si="55"/>
        <v>1.1274647501743884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793.63918047410414</v>
      </c>
      <c r="F382" s="24">
        <f t="shared" si="53"/>
        <v>1255.3714474700371</v>
      </c>
      <c r="G382" s="14">
        <f t="shared" si="54"/>
        <v>10379.310749698971</v>
      </c>
      <c r="H382" s="24">
        <f t="shared" si="61"/>
        <v>829.48648058808851</v>
      </c>
      <c r="I382" s="12">
        <f t="shared" si="55"/>
        <v>1.1206501830846971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794.75983065718879</v>
      </c>
      <c r="F383" s="24">
        <f t="shared" si="53"/>
        <v>1237.5617112143743</v>
      </c>
      <c r="G383" s="14">
        <f t="shared" si="54"/>
        <v>10253.410137654459</v>
      </c>
      <c r="H383" s="24">
        <f t="shared" si="61"/>
        <v>824.48631319005608</v>
      </c>
      <c r="I383" s="12">
        <f t="shared" si="55"/>
        <v>1.1135203635404269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795.87335102072916</v>
      </c>
      <c r="F384" s="24">
        <f t="shared" si="53"/>
        <v>1219.9024853089982</v>
      </c>
      <c r="G384" s="14">
        <f t="shared" si="54"/>
        <v>10128.063067725239</v>
      </c>
      <c r="H384" s="24">
        <f t="shared" si="61"/>
        <v>819.68906291438418</v>
      </c>
      <c r="I384" s="12">
        <f t="shared" si="55"/>
        <v>1.106098292669804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796.97944931339896</v>
      </c>
      <c r="F385" s="24">
        <f t="shared" si="53"/>
        <v>1202.4012263633097</v>
      </c>
      <c r="G385" s="14">
        <f t="shared" si="54"/>
        <v>10003.338517810424</v>
      </c>
      <c r="H385" s="24">
        <f t="shared" si="61"/>
        <v>815.0840971763181</v>
      </c>
      <c r="I385" s="12">
        <f t="shared" si="55"/>
        <v>1.0984061738959563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798.07785548729487</v>
      </c>
      <c r="F386" s="24">
        <f t="shared" si="53"/>
        <v>1185.0648346822454</v>
      </c>
      <c r="G386" s="14">
        <f t="shared" si="54"/>
        <v>9879.3018008419076</v>
      </c>
      <c r="H386" s="24">
        <f t="shared" si="61"/>
        <v>810.66144475765577</v>
      </c>
      <c r="I386" s="12">
        <f t="shared" si="55"/>
        <v>1.0904654084389092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799.16832089573381</v>
      </c>
      <c r="F387" s="24">
        <f t="shared" si="53"/>
        <v>1167.8996743345238</v>
      </c>
      <c r="G387" s="14">
        <f t="shared" si="54"/>
        <v>9756.0146463019883</v>
      </c>
      <c r="H387" s="24">
        <f t="shared" si="61"/>
        <v>806.41174912106771</v>
      </c>
      <c r="I387" s="12">
        <f t="shared" si="55"/>
        <v>1.082296594763648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800.25061749049746</v>
      </c>
      <c r="F388" s="24">
        <f t="shared" si="53"/>
        <v>1150.9115932344998</v>
      </c>
      <c r="G388" s="14">
        <f t="shared" si="54"/>
        <v>9633.535285197444</v>
      </c>
      <c r="H388" s="24">
        <f t="shared" si="61"/>
        <v>802.32622532131575</v>
      </c>
      <c r="I388" s="12">
        <f t="shared" si="55"/>
        <v>1.0739195314829948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801.3245370219804</v>
      </c>
      <c r="F389" s="24">
        <f t="shared" si="53"/>
        <v>1134.1059431512122</v>
      </c>
      <c r="G389" s="14">
        <f t="shared" si="54"/>
        <v>9511.9185378748207</v>
      </c>
      <c r="H389" s="24">
        <f t="shared" si="61"/>
        <v>798.3966202213353</v>
      </c>
      <c r="I389" s="12">
        <f t="shared" si="55"/>
        <v>1.065353223269188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802.3898902452496</v>
      </c>
      <c r="F390" s="24">
        <f t="shared" si="53"/>
        <v>1117.4875995695686</v>
      </c>
      <c r="G390" s="14">
        <f t="shared" si="54"/>
        <v>9391.2159041228715</v>
      </c>
      <c r="H390" s="24">
        <f t="shared" si="61"/>
        <v>794.61517574522077</v>
      </c>
      <c r="I390" s="12">
        <f t="shared" si="55"/>
        <v>1.0566158893705919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803.44650613462022</v>
      </c>
      <c r="F391" s="24">
        <f t="shared" si="53"/>
        <v>1101.060981338358</v>
      </c>
      <c r="G391" s="14">
        <f t="shared" si="54"/>
        <v>9271.4756550574766</v>
      </c>
      <c r="H391" s="24">
        <f t="shared" si="61"/>
        <v>790.97459492231201</v>
      </c>
      <c r="I391" s="12">
        <f t="shared" si="55"/>
        <v>1.0477249743688208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804.49423110898908</v>
      </c>
      <c r="F392" s="24">
        <f t="shared" si="53"/>
        <v>1084.8300700492218</v>
      </c>
      <c r="G392" s="14">
        <f t="shared" si="54"/>
        <v>9152.7429263360627</v>
      </c>
      <c r="H392" s="24">
        <f t="shared" si="61"/>
        <v>787.468010496955</v>
      </c>
      <c r="I392" s="12">
        <f t="shared" si="55"/>
        <v>1.0386971608482245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805.53292826983727</v>
      </c>
      <c r="F393" s="24">
        <f t="shared" si="53"/>
        <v>1068.798429098726</v>
      </c>
      <c r="G393" s="14">
        <f t="shared" si="54"/>
        <v>9035.0598122937045</v>
      </c>
      <c r="H393" s="24">
        <f t="shared" si="61"/>
        <v>784.08895589724966</v>
      </c>
      <c r="I393" s="12">
        <f t="shared" si="55"/>
        <v>1.0295483836831851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806.56247665352043</v>
      </c>
      <c r="F394" s="24">
        <f t="shared" si="53"/>
        <v>1052.9692223930256</v>
      </c>
      <c r="G394" s="14">
        <f t="shared" si="54"/>
        <v>8918.4654606308268</v>
      </c>
      <c r="H394" s="24">
        <f t="shared" si="61"/>
        <v>780.83133837328728</v>
      </c>
      <c r="I394" s="12">
        <f t="shared" si="55"/>
        <v>1.0202938456791104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807.58277049919957</v>
      </c>
      <c r="F395" s="24">
        <f t="shared" si="53"/>
        <v>1037.345232661437</v>
      </c>
      <c r="G395" s="14">
        <f t="shared" si="54"/>
        <v>8802.9961673249254</v>
      </c>
      <c r="H395" s="24">
        <f t="shared" si="61"/>
        <v>777.68941413116227</v>
      </c>
      <c r="I395" s="12">
        <f t="shared" si="55"/>
        <v>1.0109480343316395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808.59371853353116</v>
      </c>
      <c r="F396" s="24">
        <f t="shared" si="53"/>
        <v>1021.9288793508213</v>
      </c>
      <c r="G396" s="14">
        <f t="shared" si="54"/>
        <v>8688.6854714675555</v>
      </c>
      <c r="H396" s="24">
        <f t="shared" si="61"/>
        <v>774.65776530350593</v>
      </c>
      <c r="I396" s="12">
        <f t="shared" si="55"/>
        <v>1.0015247394936759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809.59524327302483</v>
      </c>
      <c r="F397" s="24">
        <f t="shared" si="53"/>
        <v>1006.7222360781358</v>
      </c>
      <c r="G397" s="14">
        <f t="shared" si="54"/>
        <v>8575.5642497638182</v>
      </c>
      <c r="H397" s="24">
        <f t="shared" si="61"/>
        <v>771.73127861054809</v>
      </c>
      <c r="I397" s="12">
        <f t="shared" si="55"/>
        <v>0.99203707176366773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810.5872803447885</v>
      </c>
      <c r="F398" s="24">
        <f t="shared" si="53"/>
        <v>991.72704762314652</v>
      </c>
      <c r="G398" s="14">
        <f t="shared" si="54"/>
        <v>8463.6608104566967</v>
      </c>
      <c r="H398" s="24">
        <f t="shared" si="61"/>
        <v>768.90512557785723</v>
      </c>
      <c r="I398" s="12">
        <f t="shared" si="55"/>
        <v>0.98249748142938831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811.56977782621789</v>
      </c>
      <c r="F399" s="24">
        <f t="shared" si="53"/>
        <v>976.94474644742684</v>
      </c>
      <c r="G399" s="14">
        <f t="shared" si="54"/>
        <v>8353.0009864668682</v>
      </c>
      <c r="H399" s="24">
        <f t="shared" si="61"/>
        <v>766.17474418802817</v>
      </c>
      <c r="I399" s="12">
        <f t="shared" si="55"/>
        <v>0.97291777782083899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812.54269560403873</v>
      </c>
      <c r="F400" s="24">
        <f t="shared" si="53"/>
        <v>962.37646872928337</v>
      </c>
      <c r="G400" s="14">
        <f t="shared" si="54"/>
        <v>8243.6082275589433</v>
      </c>
      <c r="H400" s="24">
        <f t="shared" si="61"/>
        <v>763.53582185376513</v>
      </c>
      <c r="I400" s="12">
        <f t="shared" si="55"/>
        <v>0.96330914894284592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813.50600475298154</v>
      </c>
      <c r="F401" s="24">
        <f t="shared" ref="F401:F464" si="62">AlphaC*(D401-E401)</f>
        <v>948.02306990787883</v>
      </c>
      <c r="G401" s="14">
        <f t="shared" ref="G401:G464" si="63">Phi*EpsilonF*Botzman/10^8*J401*((D401+273)^4-(E401+273)^4)</f>
        <v>8135.5036913731092</v>
      </c>
      <c r="H401" s="24">
        <f t="shared" si="61"/>
        <v>760.98427960912795</v>
      </c>
      <c r="I401" s="12">
        <f t="shared" ref="I401:I464" si="64">ksh*Massivete/(H401*RhoA)*DeltaT*(F401+G401)</f>
        <v>0.95368218127421378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814.45968693425573</v>
      </c>
      <c r="F402" s="24">
        <f t="shared" si="62"/>
        <v>933.88513973206955</v>
      </c>
      <c r="G402" s="14">
        <f t="shared" si="63"/>
        <v>8028.7063331711479</v>
      </c>
      <c r="H402" s="24">
        <f t="shared" si="61"/>
        <v>758.51625742422766</v>
      </c>
      <c r="I402" s="12">
        <f t="shared" si="64"/>
        <v>0.94404687963327838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815.40373381388906</v>
      </c>
      <c r="F403" s="24">
        <f t="shared" si="62"/>
        <v>919.96301681260775</v>
      </c>
      <c r="G403" s="14">
        <f t="shared" si="63"/>
        <v>7923.2329941748167</v>
      </c>
      <c r="H403" s="24">
        <f t="shared" si="61"/>
        <v>756.12810055646651</v>
      </c>
      <c r="I403" s="12">
        <f t="shared" si="64"/>
        <v>0.93441268702351044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816.33814650091256</v>
      </c>
      <c r="F404" s="24">
        <f t="shared" si="62"/>
        <v>906.25680267797861</v>
      </c>
      <c r="G404" s="14">
        <f t="shared" si="63"/>
        <v>7819.0984883808596</v>
      </c>
      <c r="H404" s="24">
        <f t="shared" si="61"/>
        <v>753.81634685854635</v>
      </c>
      <c r="I404" s="12">
        <f t="shared" si="64"/>
        <v>0.92478850438304971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817.26293500529562</v>
      </c>
      <c r="F405" s="24">
        <f t="shared" si="62"/>
        <v>892.76637533638734</v>
      </c>
      <c r="G405" s="14">
        <f t="shared" si="63"/>
        <v>7716.3156877587498</v>
      </c>
      <c r="H405" s="24">
        <f t="shared" si="61"/>
        <v>751.57771497000476</v>
      </c>
      <c r="I405" s="12">
        <f t="shared" si="64"/>
        <v>0.91518271017291508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818.17811771546849</v>
      </c>
      <c r="F406" s="24">
        <f t="shared" si="62"/>
        <v>879.4914023479123</v>
      </c>
      <c r="G406" s="14">
        <f t="shared" si="63"/>
        <v>7614.8956057476025</v>
      </c>
      <c r="H406" s="24">
        <f t="shared" si="61"/>
        <v>749.4090933250111</v>
      </c>
      <c r="I406" s="12">
        <f t="shared" si="64"/>
        <v>0.90560317974736726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819.08372089521583</v>
      </c>
      <c r="F407" s="24">
        <f t="shared" si="62"/>
        <v>866.43135341227548</v>
      </c>
      <c r="G407" s="14">
        <f t="shared" si="63"/>
        <v>7514.8474789817192</v>
      </c>
      <c r="H407" s="24">
        <f t="shared" si="61"/>
        <v>747.307529914621</v>
      </c>
      <c r="I407" s="12">
        <f t="shared" si="64"/>
        <v>0.89605730445804666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819.97977819967389</v>
      </c>
      <c r="F408" s="24">
        <f t="shared" si="62"/>
        <v>853.5855124788668</v>
      </c>
      <c r="G408" s="14">
        <f t="shared" si="63"/>
        <v>7416.1788471858063</v>
      </c>
      <c r="H408" s="24">
        <f t="shared" si="61"/>
        <v>745.27022274669275</v>
      </c>
      <c r="I408" s="12">
        <f t="shared" si="64"/>
        <v>0.88655201045077281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820.86633021012472</v>
      </c>
      <c r="F409" s="24">
        <f t="shared" si="62"/>
        <v>840.95298938672158</v>
      </c>
      <c r="G409" s="14">
        <f t="shared" si="63"/>
        <v>7318.8956311913298</v>
      </c>
      <c r="H409" s="24">
        <f t="shared" si="61"/>
        <v>743.2945109512475</v>
      </c>
      <c r="I409" s="12">
        <f t="shared" si="64"/>
        <v>0.87709377712033232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821.74342398724502</v>
      </c>
      <c r="F410" s="24">
        <f t="shared" si="62"/>
        <v>828.53273104303469</v>
      </c>
      <c r="G410" s="14">
        <f t="shared" si="63"/>
        <v>7223.0022090334705</v>
      </c>
      <c r="H410" s="24">
        <f t="shared" si="61"/>
        <v>741.37786648324834</v>
      </c>
      <c r="I410" s="12">
        <f t="shared" si="64"/>
        <v>0.86768865519417038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822.61111264243914</v>
      </c>
      <c r="F411" s="24">
        <f t="shared" si="62"/>
        <v>816.32353214939144</v>
      </c>
      <c r="G411" s="14">
        <f t="shared" si="63"/>
        <v>7128.5014900987899</v>
      </c>
      <c r="H411" s="24">
        <f t="shared" si="61"/>
        <v>739.51788637860977</v>
      </c>
      <c r="I411" s="12">
        <f t="shared" si="64"/>
        <v>0.85834228442118732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823.46945492686029</v>
      </c>
      <c r="F412" s="24">
        <f t="shared" si="62"/>
        <v>804.32404548573402</v>
      </c>
      <c r="G412" s="14">
        <f t="shared" si="63"/>
        <v>7035.394987300323</v>
      </c>
      <c r="H412" s="24">
        <f t="shared" si="61"/>
        <v>737.71228552276989</v>
      </c>
      <c r="I412" s="12">
        <f t="shared" si="64"/>
        <v>0.84905991084625976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824.31851483770652</v>
      </c>
      <c r="F413" s="24">
        <f t="shared" si="62"/>
        <v>792.5327917623008</v>
      </c>
      <c r="G413" s="14">
        <f t="shared" si="63"/>
        <v>6943.6828872632686</v>
      </c>
      <c r="H413" s="24">
        <f t="shared" si="61"/>
        <v>735.95888989437287</v>
      </c>
      <c r="I413" s="12">
        <f t="shared" si="64"/>
        <v>0.83984640365500307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825.15836124136149</v>
      </c>
      <c r="F414" s="24">
        <f t="shared" si="62"/>
        <v>780.94816905034179</v>
      </c>
      <c r="G414" s="14">
        <f t="shared" si="63"/>
        <v>6853.3641185126944</v>
      </c>
      <c r="H414" s="24">
        <f t="shared" si="61"/>
        <v>734.25563024956409</v>
      </c>
      <c r="I414" s="12">
        <f t="shared" si="64"/>
        <v>0.83070627157703991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825.9890675129385</v>
      </c>
      <c r="F415" s="24">
        <f t="shared" si="62"/>
        <v>769.56846180262062</v>
      </c>
      <c r="G415" s="14">
        <f t="shared" si="63"/>
        <v>6764.4364176582103</v>
      </c>
      <c r="H415" s="24">
        <f t="shared" si="61"/>
        <v>732.60053621510428</v>
      </c>
      <c r="I415" s="12">
        <f t="shared" si="64"/>
        <v>0.82164367883890121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826.81071119177739</v>
      </c>
      <c r="F416" s="24">
        <f t="shared" si="62"/>
        <v>758.39184947502361</v>
      </c>
      <c r="G416" s="14">
        <f t="shared" si="63"/>
        <v>6676.8963935788152</v>
      </c>
      <c r="H416" s="24">
        <f t="shared" si="61"/>
        <v>730.99173076098964</v>
      </c>
      <c r="I416" s="12">
        <f t="shared" si="64"/>
        <v>0.81266246066075787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827.62337365243809</v>
      </c>
      <c r="F417" s="24">
        <f t="shared" si="62"/>
        <v>747.41641476057907</v>
      </c>
      <c r="G417" s="14">
        <f t="shared" si="63"/>
        <v>6590.7395896125372</v>
      </c>
      <c r="H417" s="24">
        <f t="shared" si="61"/>
        <v>729.42742502554245</v>
      </c>
      <c r="I417" s="12">
        <f t="shared" si="64"/>
        <v>0.80376613829321497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828.4271397907313</v>
      </c>
      <c r="F418" s="24">
        <f t="shared" si="62"/>
        <v>736.64015144749158</v>
      </c>
      <c r="G418" s="14">
        <f t="shared" si="63"/>
        <v>6505.9605437627688</v>
      </c>
      <c r="H418" s="24">
        <f t="shared" si="61"/>
        <v>727.90591346801807</v>
      </c>
      <c r="I418" s="12">
        <f t="shared" si="64"/>
        <v>0.79495793359285938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829.22209772432416</v>
      </c>
      <c r="F419" s="24">
        <f t="shared" si="62"/>
        <v>726.06097191266201</v>
      </c>
      <c r="G419" s="14">
        <f t="shared" si="63"/>
        <v>6422.5528469355104</v>
      </c>
      <c r="H419" s="24">
        <f t="shared" si="61"/>
        <v>726.42556932569948</v>
      </c>
      <c r="I419" s="12">
        <f t="shared" si="64"/>
        <v>0.78624078313690915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830.00833850746108</v>
      </c>
      <c r="F420" s="24">
        <f t="shared" si="62"/>
        <v>715.67671426223001</v>
      </c>
      <c r="G420" s="14">
        <f t="shared" si="63"/>
        <v>6340.509199225623</v>
      </c>
      <c r="H420" s="24">
        <f t="shared" si="61"/>
        <v>724.98484035420029</v>
      </c>
      <c r="I420" s="12">
        <f t="shared" si="64"/>
        <v>0.77761735187897463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830.78595585934011</v>
      </c>
      <c r="F421" s="24">
        <f t="shared" si="62"/>
        <v>705.48514913062661</v>
      </c>
      <c r="G421" s="14">
        <f t="shared" si="63"/>
        <v>6259.8214642739576</v>
      </c>
      <c r="H421" s="24">
        <f t="shared" si="61"/>
        <v>723.58224483132039</v>
      </c>
      <c r="I421" s="12">
        <f t="shared" si="64"/>
        <v>0.76909004634940914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831.55504590568955</v>
      </c>
      <c r="F422" s="24">
        <f t="shared" si="62"/>
        <v>695.48398614950884</v>
      </c>
      <c r="G422" s="14">
        <f t="shared" si="63"/>
        <v>6180.4807217188591</v>
      </c>
      <c r="H422" s="24">
        <f t="shared" si="61"/>
        <v>722.21636780627955</v>
      </c>
      <c r="I422" s="12">
        <f t="shared" si="64"/>
        <v>0.76066102740480857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832.31570693309436</v>
      </c>
      <c r="F423" s="24">
        <f t="shared" si="62"/>
        <v>685.67088009784811</v>
      </c>
      <c r="G423" s="14">
        <f t="shared" si="63"/>
        <v>6102.477317769708</v>
      </c>
      <c r="H423" s="24">
        <f t="shared" si="61"/>
        <v>720.88585757752003</v>
      </c>
      <c r="I423" s="12">
        <f t="shared" si="64"/>
        <v>0.75233222253243504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833.06803915562682</v>
      </c>
      <c r="F424" s="24">
        <f t="shared" si="62"/>
        <v>676.04343674432243</v>
      </c>
      <c r="G424" s="14">
        <f t="shared" si="63"/>
        <v>6025.8009139305368</v>
      </c>
      <c r="H424" s="24">
        <f t="shared" si="61"/>
        <v>719.58942238352597</v>
      </c>
      <c r="I424" s="12">
        <f t="shared" si="64"/>
        <v>0.74410533771604448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833.81214449334288</v>
      </c>
      <c r="F425" s="24">
        <f t="shared" si="62"/>
        <v>666.59921839294896</v>
      </c>
      <c r="G425" s="14">
        <f t="shared" si="63"/>
        <v>5950.4405339058867</v>
      </c>
      <c r="H425" s="24">
        <f t="shared" si="61"/>
        <v>718.32582729225976</v>
      </c>
      <c r="I425" s="12">
        <f t="shared" si="64"/>
        <v>0.73598186887057415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834.54812636221345</v>
      </c>
      <c r="F426" s="24">
        <f t="shared" si="62"/>
        <v>657.33574914274868</v>
      </c>
      <c r="G426" s="14">
        <f t="shared" si="63"/>
        <v>5876.3846087205056</v>
      </c>
      <c r="H426" s="24">
        <f t="shared" si="61"/>
        <v>717.09389127588156</v>
      </c>
      <c r="I426" s="12">
        <f t="shared" si="64"/>
        <v>0.72796311285354687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835.27608947506701</v>
      </c>
      <c r="F427" s="24">
        <f t="shared" si="62"/>
        <v>648.25051987205882</v>
      </c>
      <c r="G427" s="14">
        <f t="shared" si="63"/>
        <v>5803.6210200886726</v>
      </c>
      <c r="H427" s="24">
        <f t="shared" si="61"/>
        <v>715.89248445839405</v>
      </c>
      <c r="I427" s="12">
        <f t="shared" si="64"/>
        <v>0.72005017806187566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835.99613965312892</v>
      </c>
      <c r="F428" s="24">
        <f t="shared" si="62"/>
        <v>639.34099295778992</v>
      </c>
      <c r="G428" s="14">
        <f t="shared" si="63"/>
        <v>5732.137142066802</v>
      </c>
      <c r="H428" s="24">
        <f t="shared" si="61"/>
        <v>714.72052552475873</v>
      </c>
      <c r="I428" s="12">
        <f t="shared" si="64"/>
        <v>0.71224399462280064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836.7083836477517</v>
      </c>
      <c r="F429" s="24">
        <f t="shared" si="62"/>
        <v>630.6046067398313</v>
      </c>
      <c r="G429" s="14">
        <f t="shared" si="63"/>
        <v>5661.9198810282751</v>
      </c>
      <c r="H429" s="24">
        <f t="shared" si="61"/>
        <v>713.5769792808577</v>
      </c>
      <c r="I429" s="12">
        <f t="shared" si="64"/>
        <v>0.70454532418852767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837.41292897194023</v>
      </c>
      <c r="F430" s="24">
        <f t="shared" si="62"/>
        <v>622.03877974051238</v>
      </c>
      <c r="G430" s="14">
        <f t="shared" si="63"/>
        <v>5592.9557139965518</v>
      </c>
      <c r="H430" s="24">
        <f t="shared" si="61"/>
        <v>712.46085435444513</v>
      </c>
      <c r="I430" s="12">
        <f t="shared" si="64"/>
        <v>0.6969547693439796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838.10988374128419</v>
      </c>
      <c r="F431" s="24">
        <f t="shared" si="62"/>
        <v>613.64091464876083</v>
      </c>
      <c r="G431" s="14">
        <f t="shared" si="63"/>
        <v>5525.2307253753379</v>
      </c>
      <c r="H431" s="24">
        <f t="shared" si="61"/>
        <v>711.37120102793551</v>
      </c>
      <c r="I431" s="12">
        <f t="shared" si="64"/>
        <v>0.68947278263750689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838.79935652392169</v>
      </c>
      <c r="F432" s="24">
        <f t="shared" si="62"/>
        <v>605.40840207841029</v>
      </c>
      <c r="G432" s="14">
        <f t="shared" si="63"/>
        <v>5458.7306421158819</v>
      </c>
      <c r="H432" s="24">
        <f t="shared" si="61"/>
        <v>710.30710919453009</v>
      </c>
      <c r="I432" s="12">
        <f t="shared" si="64"/>
        <v>0.68209967524464066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839.48145619916636</v>
      </c>
      <c r="F433" s="24">
        <f t="shared" si="62"/>
        <v>597.33862410981828</v>
      </c>
      <c r="G433" s="14">
        <f t="shared" si="63"/>
        <v>5393.4408673594908</v>
      </c>
      <c r="H433" s="24">
        <f t="shared" si="61"/>
        <v>709.26770642978272</v>
      </c>
      <c r="I433" s="12">
        <f t="shared" si="64"/>
        <v>0.67483562527479946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840.15629182444115</v>
      </c>
      <c r="F434" s="24">
        <f t="shared" si="62"/>
        <v>589.42895762374974</v>
      </c>
      <c r="G434" s="14">
        <f t="shared" si="63"/>
        <v>5329.3465125963694</v>
      </c>
      <c r="H434" s="24">
        <f t="shared" ref="H434:H497" si="70">IF(E434&lt;600,425+0.773*E434-1.69/1000*E434^2+2.22/1000^2*E434^3,IF(E434&lt;735,666+13002/(738-E434),IF(E434&lt;900,545+17820/(E434-731),650)))</f>
        <v>708.25215617126639</v>
      </c>
      <c r="I434" s="12">
        <f t="shared" si="64"/>
        <v>0.6676806857312173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840.82397251017233</v>
      </c>
      <c r="F435" s="24">
        <f t="shared" si="62"/>
        <v>581.67677743614377</v>
      </c>
      <c r="G435" s="14">
        <f t="shared" si="63"/>
        <v>5266.4324283798642</v>
      </c>
      <c r="H435" s="24">
        <f t="shared" si="70"/>
        <v>707.25965599950814</v>
      </c>
      <c r="I435" s="12">
        <f t="shared" si="64"/>
        <v>0.66063479213412712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841.48460730230647</v>
      </c>
      <c r="F436" s="24">
        <f t="shared" si="62"/>
        <v>574.0794592422418</v>
      </c>
      <c r="G436" s="14">
        <f t="shared" si="63"/>
        <v>5204.6832336373081</v>
      </c>
      <c r="H436" s="24">
        <f t="shared" si="70"/>
        <v>706.28943601384367</v>
      </c>
      <c r="I436" s="12">
        <f t="shared" si="64"/>
        <v>0.65369776981744865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842.1383050721239</v>
      </c>
      <c r="F437" s="24">
        <f t="shared" si="62"/>
        <v>566.6343823782114</v>
      </c>
      <c r="G437" s="14">
        <f t="shared" si="63"/>
        <v>5144.0833436170906</v>
      </c>
      <c r="H437" s="24">
        <f t="shared" si="70"/>
        <v>705.34075729727567</v>
      </c>
      <c r="I437" s="12">
        <f t="shared" si="64"/>
        <v>0.64686934090899151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842.78517441303291</v>
      </c>
      <c r="F438" s="24">
        <f t="shared" si="62"/>
        <v>559.33893240818122</v>
      </c>
      <c r="G438" s="14">
        <f t="shared" si="63"/>
        <v>5084.6169965122535</v>
      </c>
      <c r="H438" s="24">
        <f t="shared" si="70"/>
        <v>704.41291046482797</v>
      </c>
      <c r="I438" s="12">
        <f t="shared" si="64"/>
        <v>0.64014913100420945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843.42532354403716</v>
      </c>
      <c r="F439" s="24">
        <f t="shared" si="62"/>
        <v>552.19050354432682</v>
      </c>
      <c r="G439" s="14">
        <f t="shared" si="63"/>
        <v>5026.2682788005732</v>
      </c>
      <c r="H439" s="24">
        <f t="shared" si="70"/>
        <v>703.50521429026514</v>
      </c>
      <c r="I439" s="12">
        <f t="shared" si="64"/>
        <v>0.6335366755434062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844.05886021958054</v>
      </c>
      <c r="F440" s="24">
        <f t="shared" si="62"/>
        <v>545.18650090749077</v>
      </c>
      <c r="G440" s="14">
        <f t="shared" si="63"/>
        <v>4969.021149340786</v>
      </c>
      <c r="H440" s="24">
        <f t="shared" si="70"/>
        <v>702.61701440639308</v>
      </c>
      <c r="I440" s="12">
        <f t="shared" si="64"/>
        <v>0.62703142590219019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844.68589164548268</v>
      </c>
      <c r="F441" s="24">
        <f t="shared" si="62"/>
        <v>538.32434263541131</v>
      </c>
      <c r="G441" s="14">
        <f t="shared" si="63"/>
        <v>4912.8594622644205</v>
      </c>
      <c r="H441" s="24">
        <f t="shared" si="70"/>
        <v>701.74768207448085</v>
      </c>
      <c r="I441" s="12">
        <f t="shared" si="64"/>
        <v>0.62063275520482608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845.30652440068752</v>
      </c>
      <c r="F442" s="24">
        <f t="shared" si="62"/>
        <v>531.60146184560517</v>
      </c>
      <c r="G442" s="14">
        <f t="shared" si="63"/>
        <v>4857.766988702444</v>
      </c>
      <c r="H442" s="24">
        <f t="shared" si="70"/>
        <v>700.89661301864248</v>
      </c>
      <c r="I442" s="12">
        <f t="shared" si="64"/>
        <v>0.61433996387001988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845.92086436455759</v>
      </c>
      <c r="F443" s="24">
        <f t="shared" si="62"/>
        <v>525.01530845946149</v>
      </c>
      <c r="G443" s="14">
        <f t="shared" si="63"/>
        <v>4803.7274373852852</v>
      </c>
      <c r="H443" s="24">
        <f t="shared" si="70"/>
        <v>700.06322632129286</v>
      </c>
      <c r="I443" s="12">
        <f t="shared" si="64"/>
        <v>0.60815228489846007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846.52901664945603</v>
      </c>
      <c r="F444" s="24">
        <f t="shared" si="62"/>
        <v>518.56335089409242</v>
      </c>
      <c r="G444" s="14">
        <f t="shared" si="63"/>
        <v>4750.7244741527666</v>
      </c>
      <c r="H444" s="24">
        <f t="shared" si="70"/>
        <v>699.24696337605246</v>
      </c>
      <c r="I444" s="12">
        <f t="shared" si="64"/>
        <v>0.60206888891110388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847.13108553836707</v>
      </c>
      <c r="F445" s="24">
        <f t="shared" si="62"/>
        <v>512.24307762819876</v>
      </c>
      <c r="G445" s="14">
        <f t="shared" si="63"/>
        <v>4698.7417404150601</v>
      </c>
      <c r="H445" s="24">
        <f t="shared" si="70"/>
        <v>698.44728689471071</v>
      </c>
      <c r="I445" s="12">
        <f t="shared" si="64"/>
        <v>0.59608888894760026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847.72717442731471</v>
      </c>
      <c r="F446" s="24">
        <f t="shared" si="62"/>
        <v>506.05199864781696</v>
      </c>
      <c r="G446" s="14">
        <f t="shared" si="63"/>
        <v>4647.7628705970137</v>
      </c>
      <c r="H446" s="24">
        <f t="shared" si="70"/>
        <v>697.66367996508302</v>
      </c>
      <c r="I446" s="12">
        <f t="shared" si="64"/>
        <v>0.59021134503308303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848.31738577234773</v>
      </c>
      <c r="F447" s="24">
        <f t="shared" si="62"/>
        <v>499.98764677790177</v>
      </c>
      <c r="G447" s="14">
        <f t="shared" si="63"/>
        <v>4597.7715086057224</v>
      </c>
      <c r="H447" s="24">
        <f t="shared" si="70"/>
        <v>696.89564515680047</v>
      </c>
      <c r="I447" s="12">
        <f t="shared" si="64"/>
        <v>0.58443526852234362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848.90182104087012</v>
      </c>
      <c r="F448" s="24">
        <f t="shared" si="62"/>
        <v>494.04757890517885</v>
      </c>
      <c r="G448" s="14">
        <f t="shared" si="63"/>
        <v>4548.7513233553855</v>
      </c>
      <c r="H448" s="24">
        <f t="shared" si="70"/>
        <v>696.14270367225947</v>
      </c>
      <c r="I448" s="12">
        <f t="shared" si="64"/>
        <v>0.57875962622955879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849.48058066709973</v>
      </c>
      <c r="F449" s="24">
        <f t="shared" si="62"/>
        <v>488.22937709772987</v>
      </c>
      <c r="G449" s="14">
        <f t="shared" si="63"/>
        <v>4500.6860233850166</v>
      </c>
      <c r="H449" s="24">
        <f t="shared" si="70"/>
        <v>695.4043945401454</v>
      </c>
      <c r="I449" s="12">
        <f t="shared" si="64"/>
        <v>0.57318334435181906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850.05376401145156</v>
      </c>
      <c r="F450" s="24">
        <f t="shared" si="62"/>
        <v>482.53064962636643</v>
      </c>
      <c r="G450" s="14">
        <f t="shared" si="63"/>
        <v>4453.5593706018635</v>
      </c>
      <c r="H450" s="24">
        <f t="shared" si="70"/>
        <v>694.68027384909828</v>
      </c>
      <c r="I450" s="12">
        <f t="shared" si="64"/>
        <v>0.56770531219424214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850.62146932364578</v>
      </c>
      <c r="F451" s="24">
        <f t="shared" si="62"/>
        <v>476.94903189285753</v>
      </c>
      <c r="G451" s="14">
        <f t="shared" si="63"/>
        <v>4407.3551931866859</v>
      </c>
      <c r="H451" s="24">
        <f t="shared" si="70"/>
        <v>693.96991401925118</v>
      </c>
      <c r="I451" s="12">
        <f t="shared" si="64"/>
        <v>0.56232438570473242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851.18379370935054</v>
      </c>
      <c r="F452" s="24">
        <f t="shared" si="62"/>
        <v>471.48218726968878</v>
      </c>
      <c r="G452" s="14">
        <f t="shared" si="63"/>
        <v>4362.0573976902315</v>
      </c>
      <c r="H452" s="24">
        <f t="shared" si="70"/>
        <v>693.27290310951105</v>
      </c>
      <c r="I452" s="12">
        <f t="shared" si="64"/>
        <v>0.55703939082550702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851.74083310017602</v>
      </c>
      <c r="F453" s="24">
        <f t="shared" si="62"/>
        <v>466.12780785596044</v>
      </c>
      <c r="G453" s="14">
        <f t="shared" si="63"/>
        <v>4317.6499803561082</v>
      </c>
      <c r="H453" s="24">
        <f t="shared" si="70"/>
        <v>692.58884415858824</v>
      </c>
      <c r="I453" s="12">
        <f t="shared" si="64"/>
        <v>0.55184912666908092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852.29268222684505</v>
      </c>
      <c r="F454" s="24">
        <f t="shared" si="62"/>
        <v>460.88361515388101</v>
      </c>
      <c r="G454" s="14">
        <f t="shared" si="63"/>
        <v>4274.1170376996197</v>
      </c>
      <c r="H454" s="24">
        <f t="shared" si="70"/>
        <v>691.91735455789922</v>
      </c>
      <c r="I454" s="12">
        <f t="shared" si="64"/>
        <v>0.54675236852562892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852.83943459537068</v>
      </c>
      <c r="F455" s="24">
        <f t="shared" si="62"/>
        <v>455.74736066992898</v>
      </c>
      <c r="G455" s="14">
        <f t="shared" si="63"/>
        <v>4231.4427763720905</v>
      </c>
      <c r="H455" s="24">
        <f t="shared" si="70"/>
        <v>691.25806545459034</v>
      </c>
      <c r="I455" s="12">
        <f t="shared" si="64"/>
        <v>0.54174787070849562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853.38118246607917</v>
      </c>
      <c r="F456" s="24">
        <f t="shared" si="62"/>
        <v>450.71682644484099</v>
      </c>
      <c r="G456" s="14">
        <f t="shared" si="63"/>
        <v>4189.6115223425104</v>
      </c>
      <c r="H456" s="24">
        <f t="shared" si="70"/>
        <v>690.6106211830338</v>
      </c>
      <c r="I456" s="12">
        <f t="shared" si="64"/>
        <v>0.53683436924479822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853.91801683532401</v>
      </c>
      <c r="F457" s="24">
        <f t="shared" si="62"/>
        <v>445.78982551633999</v>
      </c>
      <c r="G457" s="14">
        <f t="shared" si="63"/>
        <v>4148.6077294243523</v>
      </c>
      <c r="H457" s="24">
        <f t="shared" si="70"/>
        <v>689.97467872324887</v>
      </c>
      <c r="I457" s="12">
        <f t="shared" si="64"/>
        <v>0.53201058441748506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854.45002741974145</v>
      </c>
      <c r="F458" s="24">
        <f t="shared" si="62"/>
        <v>440.96420231811919</v>
      </c>
      <c r="G458" s="14">
        <f t="shared" si="63"/>
        <v>4108.4159871741276</v>
      </c>
      <c r="H458" s="24">
        <f t="shared" si="70"/>
        <v>689.34990718479435</v>
      </c>
      <c r="I458" s="12">
        <f t="shared" si="64"/>
        <v>0.52727522316492348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854.97730264290635</v>
      </c>
      <c r="F459" s="24">
        <f t="shared" si="62"/>
        <v>436.23783301889034</v>
      </c>
      <c r="G459" s="14">
        <f t="shared" si="63"/>
        <v>4069.0210281914442</v>
      </c>
      <c r="H459" s="24">
        <f t="shared" si="70"/>
        <v>688.73598731476841</v>
      </c>
      <c r="I459" s="12">
        <f t="shared" si="64"/>
        <v>0.52262698134439889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855.49992962425074</v>
      </c>
      <c r="F460" s="24">
        <f t="shared" si="62"/>
        <v>431.60862580473633</v>
      </c>
      <c r="G460" s="14">
        <f t="shared" si="63"/>
        <v>4030.4077348455648</v>
      </c>
      <c r="H460" s="24">
        <f t="shared" si="70"/>
        <v>688.13261102863248</v>
      </c>
      <c r="I460" s="12">
        <f t="shared" si="64"/>
        <v>0.51806454586519879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856.01799417011591</v>
      </c>
      <c r="F461" s="24">
        <f t="shared" si="62"/>
        <v>427.07452110805946</v>
      </c>
      <c r="G461" s="14">
        <f t="shared" si="63"/>
        <v>3992.5611454537311</v>
      </c>
      <c r="H461" s="24">
        <f t="shared" si="70"/>
        <v>687.5394809626506</v>
      </c>
      <c r="I461" s="12">
        <f t="shared" si="64"/>
        <v>0.51358659669691176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856.53158076681279</v>
      </c>
      <c r="F462" s="24">
        <f t="shared" si="62"/>
        <v>422.63349178630278</v>
      </c>
      <c r="G462" s="14">
        <f t="shared" si="63"/>
        <v>3955.4664599370744</v>
      </c>
      <c r="H462" s="24">
        <f t="shared" si="70"/>
        <v>686.95631004681127</v>
      </c>
      <c r="I462" s="12">
        <f t="shared" si="64"/>
        <v>0.50919180875852321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857.04077257557128</v>
      </c>
      <c r="F463" s="24">
        <f t="shared" si="62"/>
        <v>418.28354325336647</v>
      </c>
      <c r="G463" s="14">
        <f t="shared" si="63"/>
        <v>3919.1090449783424</v>
      </c>
      <c r="H463" s="24">
        <f t="shared" si="70"/>
        <v>686.38282109716135</v>
      </c>
      <c r="I463" s="12">
        <f t="shared" si="64"/>
        <v>0.50487885369360874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857.54565142926492</v>
      </c>
      <c r="F464" s="24">
        <f t="shared" si="62"/>
        <v>414.02271356658105</v>
      </c>
      <c r="G464" s="14">
        <f t="shared" si="63"/>
        <v>3883.4744387029523</v>
      </c>
      <c r="H464" s="24">
        <f t="shared" si="70"/>
        <v>685.81874642654816</v>
      </c>
      <c r="I464" s="12">
        <f t="shared" si="64"/>
        <v>0.50064640153650786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858.04629783080145</v>
      </c>
      <c r="F465" s="24">
        <f t="shared" ref="F465:F528" si="71">AlphaC*(D465-E465)</f>
        <v>409.84907347197179</v>
      </c>
      <c r="G465" s="14">
        <f t="shared" ref="G465:G528" si="72">Phi*EpsilonF*Botzman/10^8*J465*((D465+273)^4-(E465+273)^4)</f>
        <v>3848.5483549085334</v>
      </c>
      <c r="H465" s="24">
        <f t="shared" si="70"/>
        <v>685.26382747281968</v>
      </c>
      <c r="I465" s="12">
        <f t="shared" ref="I465:I528" si="73">ksh*Massivete/(H465*RhoA)*DeltaT*(F465+G465)</f>
        <v>0.49649312227470299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858.54279095307618</v>
      </c>
      <c r="F466" s="24">
        <f t="shared" si="71"/>
        <v>405.76072641042629</v>
      </c>
      <c r="G466" s="14">
        <f t="shared" si="72"/>
        <v>3814.3166868625922</v>
      </c>
      <c r="H466" s="24">
        <f t="shared" si="70"/>
        <v>684.71781444359408</v>
      </c>
      <c r="I466" s="12">
        <f t="shared" si="73"/>
        <v>0.49241768731188679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859.03520864038808</v>
      </c>
      <c r="F467" s="24">
        <f t="shared" si="71"/>
        <v>401.75580848719505</v>
      </c>
      <c r="G467" s="14">
        <f t="shared" si="72"/>
        <v>3780.7655106900174</v>
      </c>
      <c r="H467" s="24">
        <f t="shared" si="70"/>
        <v>684.180465976753</v>
      </c>
      <c r="I467" s="12">
        <f t="shared" si="73"/>
        <v>0.48841877083636004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859.52362741122442</v>
      </c>
      <c r="F468" s="24">
        <f t="shared" si="71"/>
        <v>397.83248840717818</v>
      </c>
      <c r="G468" s="14">
        <f t="shared" si="72"/>
        <v>3747.8810883722226</v>
      </c>
      <c r="H468" s="24">
        <f t="shared" si="70"/>
        <v>683.65154881586943</v>
      </c>
      <c r="I468" s="12">
        <f t="shared" si="73"/>
        <v>0.48449505109933033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860.00812246232374</v>
      </c>
      <c r="F469" s="24">
        <f t="shared" si="71"/>
        <v>393.988967378138</v>
      </c>
      <c r="G469" s="14">
        <f t="shared" si="72"/>
        <v>3715.6498703743137</v>
      </c>
      <c r="H469" s="24">
        <f t="shared" si="70"/>
        <v>683.13083749981911</v>
      </c>
      <c r="I469" s="12">
        <f t="shared" si="73"/>
        <v>0.48064521160695872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860.48876767393074</v>
      </c>
      <c r="F470" s="24">
        <f t="shared" si="71"/>
        <v>390.22347898411169</v>
      </c>
      <c r="G470" s="14">
        <f t="shared" si="72"/>
        <v>3684.0584979226123</v>
      </c>
      <c r="H470" s="24">
        <f t="shared" si="70"/>
        <v>682.61811406587049</v>
      </c>
      <c r="I470" s="12">
        <f t="shared" si="73"/>
        <v>0.47686794223063367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860.96563561616142</v>
      </c>
      <c r="F471" s="24">
        <f t="shared" si="71"/>
        <v>386.53428903098472</v>
      </c>
      <c r="G471" s="14">
        <f t="shared" si="72"/>
        <v>3653.0938049490783</v>
      </c>
      <c r="H471" s="24">
        <f t="shared" si="70"/>
        <v>682.11316776558783</v>
      </c>
      <c r="I471" s="12">
        <f t="shared" si="73"/>
        <v>0.47316194023918634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861.43879755640057</v>
      </c>
      <c r="F472" s="24">
        <f t="shared" si="71"/>
        <v>382.91969536622616</v>
      </c>
      <c r="G472" s="14">
        <f t="shared" si="72"/>
        <v>3622.7428197194513</v>
      </c>
      <c r="H472" s="24">
        <f t="shared" si="70"/>
        <v>681.61579479291652</v>
      </c>
      <c r="I472" s="12">
        <f t="shared" si="73"/>
        <v>0.46952591125672621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861.90832346765728</v>
      </c>
      <c r="F473" s="24">
        <f t="shared" si="71"/>
        <v>379.3780276745963</v>
      </c>
      <c r="G473" s="14">
        <f t="shared" si="72"/>
        <v>3592.9927661641655</v>
      </c>
      <c r="H473" s="24">
        <f t="shared" si="70"/>
        <v>681.12579802385653</v>
      </c>
      <c r="I473" s="12">
        <f t="shared" si="73"/>
        <v>0.46595857014996589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862.37428203780723</v>
      </c>
      <c r="F474" s="24">
        <f t="shared" si="71"/>
        <v>375.90764725166252</v>
      </c>
      <c r="G474" s="14">
        <f t="shared" si="72"/>
        <v>3563.8310649264531</v>
      </c>
      <c r="H474" s="24">
        <f t="shared" si="70"/>
        <v>680.6429867671643</v>
      </c>
      <c r="I474" s="12">
        <f t="shared" si="73"/>
        <v>0.46245864184829782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862.83674067965558</v>
      </c>
      <c r="F475" s="24">
        <f t="shared" si="71"/>
        <v>372.50694675672662</v>
      </c>
      <c r="G475" s="14">
        <f t="shared" si="72"/>
        <v>3535.2453341439327</v>
      </c>
      <c r="H475" s="24">
        <f t="shared" si="70"/>
        <v>680.16717652554871</v>
      </c>
      <c r="I475" s="12">
        <f t="shared" si="73"/>
        <v>0.45902486210003107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863.2957655417556</v>
      </c>
      <c r="F476" s="24">
        <f t="shared" si="71"/>
        <v>369.17434994684015</v>
      </c>
      <c r="G476" s="14">
        <f t="shared" si="72"/>
        <v>3507.2233899789708</v>
      </c>
      <c r="H476" s="24">
        <f t="shared" si="70"/>
        <v>679.6981887668627</v>
      </c>
      <c r="I476" s="12">
        <f t="shared" si="73"/>
        <v>0.45565597816803127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863.75142151992361</v>
      </c>
      <c r="F477" s="24">
        <f t="shared" si="71"/>
        <v>365.9083113933093</v>
      </c>
      <c r="G477" s="14">
        <f t="shared" si="72"/>
        <v>3479.753246911549</v>
      </c>
      <c r="H477" s="24">
        <f t="shared" si="70"/>
        <v>679.23585070481181</v>
      </c>
      <c r="I477" s="12">
        <f t="shared" si="73"/>
        <v>0.45235074946773984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864.20377226939138</v>
      </c>
      <c r="F478" s="24">
        <f t="shared" si="71"/>
        <v>362.70731618228069</v>
      </c>
      <c r="G478" s="14">
        <f t="shared" si="72"/>
        <v>3452.823117809296</v>
      </c>
      <c r="H478" s="24">
        <f t="shared" si="70"/>
        <v>678.77999508873381</v>
      </c>
      <c r="I478" s="12">
        <f t="shared" si="73"/>
        <v>0.44910794815063226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864.65288021754202</v>
      </c>
      <c r="F479" s="24">
        <f t="shared" si="71"/>
        <v>359.56987960064737</v>
      </c>
      <c r="G479" s="14">
        <f t="shared" si="72"/>
        <v>3426.4214137872891</v>
      </c>
      <c r="H479" s="24">
        <f t="shared" si="70"/>
        <v>678.33046000202182</v>
      </c>
      <c r="I479" s="12">
        <f t="shared" si="73"/>
        <v>0.44592635963584659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865.09880657717781</v>
      </c>
      <c r="F480" s="24">
        <f t="shared" si="71"/>
        <v>356.49454680862505</v>
      </c>
      <c r="G480" s="14">
        <f t="shared" si="72"/>
        <v>3400.5367438711501</v>
      </c>
      <c r="H480" s="24">
        <f t="shared" si="70"/>
        <v>677.88708866878744</v>
      </c>
      <c r="I480" s="12">
        <f t="shared" si="73"/>
        <v>0.44280478309278898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865.54161136027062</v>
      </c>
      <c r="F481" s="24">
        <f t="shared" si="71"/>
        <v>353.47989250022067</v>
      </c>
      <c r="G481" s="14">
        <f t="shared" si="72"/>
        <v>3375.1579144742477</v>
      </c>
      <c r="H481" s="24">
        <f t="shared" si="70"/>
        <v>677.44972926838409</v>
      </c>
      <c r="I481" s="12">
        <f t="shared" si="73"/>
        <v>0.4397420318771425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865.98135339214775</v>
      </c>
      <c r="F482" s="24">
        <f t="shared" si="71"/>
        <v>350.5245205527757</v>
      </c>
      <c r="G482" s="14">
        <f t="shared" si="72"/>
        <v>3350.273928702527</v>
      </c>
      <c r="H482" s="24">
        <f t="shared" si="70"/>
        <v>677.01823475742867</v>
      </c>
      <c r="I482" s="12">
        <f t="shared" si="73"/>
        <v>0.43673693392298291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866.41809032607068</v>
      </c>
      <c r="F483" s="24">
        <f t="shared" si="71"/>
        <v>347.62706366661007</v>
      </c>
      <c r="G483" s="14">
        <f t="shared" si="72"/>
        <v>3325.8739854967716</v>
      </c>
      <c r="H483" s="24">
        <f t="shared" si="70"/>
        <v>676.59246269897585</v>
      </c>
      <c r="I483" s="12">
        <f t="shared" si="73"/>
        <v>0.43378833209320655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866.85187865816386</v>
      </c>
      <c r="F484" s="24">
        <f t="shared" si="71"/>
        <v>344.78618299590096</v>
      </c>
      <c r="G484" s="14">
        <f t="shared" si="72"/>
        <v>3301.9474786231563</v>
      </c>
      <c r="H484" s="24">
        <f t="shared" si="70"/>
        <v>676.17227509852421</v>
      </c>
      <c r="I484" s="12">
        <f t="shared" si="73"/>
        <v>0.43089508449057257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867.2827737426544</v>
      </c>
      <c r="F485" s="24">
        <f t="shared" si="71"/>
        <v>342.00056777175689</v>
      </c>
      <c r="G485" s="14">
        <f t="shared" si="72"/>
        <v>3278.4839955235234</v>
      </c>
      <c r="H485" s="24">
        <f t="shared" si="70"/>
        <v>675.75753824654225</v>
      </c>
      <c r="I485" s="12">
        <f t="shared" si="73"/>
        <v>0.42805606473167507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867.71082980738606</v>
      </c>
      <c r="F486" s="24">
        <f t="shared" si="71"/>
        <v>339.26893491834846</v>
      </c>
      <c r="G486" s="14">
        <f t="shared" si="72"/>
        <v>3255.473316033097</v>
      </c>
      <c r="H486" s="24">
        <f t="shared" si="70"/>
        <v>675.34812256722353</v>
      </c>
      <c r="I486" s="12">
        <f t="shared" si="73"/>
        <v>0.42527016218567582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868.13609996957177</v>
      </c>
      <c r="F487" s="24">
        <f t="shared" si="71"/>
        <v>336.59002866307048</v>
      </c>
      <c r="G487" s="14">
        <f t="shared" si="72"/>
        <v>3232.9054109773074</v>
      </c>
      <c r="H487" s="24">
        <f t="shared" si="70"/>
        <v>674.94390247319245</v>
      </c>
      <c r="I487" s="12">
        <f t="shared" si="73"/>
        <v>0.42253628218006756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868.55863625175186</v>
      </c>
      <c r="F488" s="24">
        <f t="shared" si="71"/>
        <v>333.96262014150579</v>
      </c>
      <c r="G488" s="14">
        <f t="shared" si="72"/>
        <v>3210.7704406545727</v>
      </c>
      <c r="H488" s="24">
        <f t="shared" si="70"/>
        <v>674.54475622589678</v>
      </c>
      <c r="I488" s="12">
        <f t="shared" si="73"/>
        <v>0.41985334617512376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868.97848959792702</v>
      </c>
      <c r="F489" s="24">
        <f t="shared" si="71"/>
        <v>331.38550699796383</v>
      </c>
      <c r="G489" s="14">
        <f t="shared" si="72"/>
        <v>3189.0587532149461</v>
      </c>
      <c r="H489" s="24">
        <f t="shared" si="70"/>
        <v>674.15056580143732</v>
      </c>
      <c r="I489" s="12">
        <f t="shared" si="73"/>
        <v>0.41722029190900772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869.39570988983598</v>
      </c>
      <c r="F490" s="24">
        <f t="shared" si="71"/>
        <v>328.85751298240677</v>
      </c>
      <c r="G490" s="14">
        <f t="shared" si="72"/>
        <v>3167.7608829418009</v>
      </c>
      <c r="H490" s="24">
        <f t="shared" si="70"/>
        <v>673.76121676159505</v>
      </c>
      <c r="I490" s="12">
        <f t="shared" si="73"/>
        <v>0.41463607351517839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869.81034596335121</v>
      </c>
      <c r="F491" s="24">
        <f t="shared" si="71"/>
        <v>326.37748754432323</v>
      </c>
      <c r="G491" s="14">
        <f t="shared" si="72"/>
        <v>3146.8675484453133</v>
      </c>
      <c r="H491" s="24">
        <f t="shared" si="70"/>
        <v>673.37659812983134</v>
      </c>
      <c r="I491" s="12">
        <f t="shared" si="73"/>
        <v>0.41209966161384837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870.22244562496508</v>
      </c>
      <c r="F492" s="24">
        <f t="shared" si="71"/>
        <v>323.94430542435089</v>
      </c>
      <c r="G492" s="14">
        <f t="shared" si="72"/>
        <v>3126.3696507740206</v>
      </c>
      <c r="H492" s="24">
        <f t="shared" si="70"/>
        <v>672.99660227204458</v>
      </c>
      <c r="I492" s="12">
        <f t="shared" si="73"/>
        <v>0.4096100433789655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870.63205566834404</v>
      </c>
      <c r="F493" s="24">
        <f t="shared" si="71"/>
        <v>321.55686624412283</v>
      </c>
      <c r="G493" s="14">
        <f t="shared" si="72"/>
        <v>3106.2582714518212</v>
      </c>
      <c r="H493" s="24">
        <f t="shared" si="70"/>
        <v>672.62112478187896</v>
      </c>
      <c r="I493" s="12">
        <f t="shared" si="73"/>
        <v>0.40716622258224744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871.03922189092623</v>
      </c>
      <c r="F494" s="24">
        <f t="shared" si="71"/>
        <v>319.21409409503099</v>
      </c>
      <c r="G494" s="14">
        <f t="shared" si="72"/>
        <v>3086.5246704478368</v>
      </c>
      <c r="H494" s="24">
        <f t="shared" si="70"/>
        <v>672.25006437039224</v>
      </c>
      <c r="I494" s="12">
        <f t="shared" si="73"/>
        <v>0.40476721961580958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871.44398911054202</v>
      </c>
      <c r="F495" s="24">
        <f t="shared" si="71"/>
        <v>316.91493712633303</v>
      </c>
      <c r="G495" s="14">
        <f t="shared" si="72"/>
        <v>3067.1602840840142</v>
      </c>
      <c r="H495" s="24">
        <f t="shared" si="70"/>
        <v>671.88332275989444</v>
      </c>
      <c r="I495" s="12">
        <f t="shared" si="73"/>
        <v>0.40241207149456676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871.84640118203663</v>
      </c>
      <c r="F496" s="24">
        <f t="shared" si="71"/>
        <v>314.65836713319675</v>
      </c>
      <c r="G496" s="14">
        <f t="shared" si="72"/>
        <v>3048.1567228879012</v>
      </c>
      <c r="H496" s="24">
        <f t="shared" si="70"/>
        <v>671.52080458178398</v>
      </c>
      <c r="I496" s="12">
        <f t="shared" si="73"/>
        <v>0.40009983183989217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872.24650101387647</v>
      </c>
      <c r="F497" s="24">
        <f t="shared" si="71"/>
        <v>312.44337914510822</v>
      </c>
      <c r="G497" s="14">
        <f t="shared" si="72"/>
        <v>3029.5057693951353</v>
      </c>
      <c r="H497" s="24">
        <f t="shared" si="70"/>
        <v>671.16241727821148</v>
      </c>
      <c r="I497" s="12">
        <f t="shared" si="73"/>
        <v>0.39782957084562642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872.64433058472207</v>
      </c>
      <c r="F498" s="24">
        <f t="shared" si="71"/>
        <v>310.26899101507013</v>
      </c>
      <c r="G498" s="14">
        <f t="shared" si="72"/>
        <v>3011.1993759081561</v>
      </c>
      <c r="H498" s="24">
        <f t="shared" ref="H498:H561" si="79">IF(E498&lt;600,425+0.773*E498-1.69/1000*E498^2+2.22/1000^2*E498^3,IF(E498&lt;735,666+13002/(738-E498),IF(E498&lt;900,545+17820/(E498-731),650)))</f>
        <v>670.80807100741163</v>
      </c>
      <c r="I498" s="12">
        <f t="shared" si="73"/>
        <v>0.39560037522775038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873.03993095994986</v>
      </c>
      <c r="F499" s="24">
        <f t="shared" si="71"/>
        <v>308.13424301004773</v>
      </c>
      <c r="G499" s="14">
        <f t="shared" si="72"/>
        <v>2993.2296622148679</v>
      </c>
      <c r="H499" s="24">
        <f t="shared" si="79"/>
        <v>670.45767855255156</v>
      </c>
      <c r="I499" s="12">
        <f t="shared" si="73"/>
        <v>0.39341134815867801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873.43334230810854</v>
      </c>
      <c r="F500" s="24">
        <f t="shared" si="71"/>
        <v>306.0381974030463</v>
      </c>
      <c r="G500" s="14">
        <f t="shared" si="72"/>
        <v>2975.5889132743396</v>
      </c>
      <c r="H500" s="24">
        <f t="shared" si="79"/>
        <v>670.11115523394926</v>
      </c>
      <c r="I500" s="12">
        <f t="shared" si="73"/>
        <v>0.39126160918750669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873.82460391729603</v>
      </c>
      <c r="F501" s="24">
        <f t="shared" si="71"/>
        <v>303.97993806705017</v>
      </c>
      <c r="G501" s="14">
        <f t="shared" si="72"/>
        <v>2958.2695768707454</v>
      </c>
      <c r="H501" s="24">
        <f t="shared" si="79"/>
        <v>669.76841882452436</v>
      </c>
      <c r="I501" s="12">
        <f t="shared" si="73"/>
        <v>0.38915029414681845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874.21375421144285</v>
      </c>
      <c r="F502" s="24">
        <f t="shared" si="71"/>
        <v>301.95857007136908</v>
      </c>
      <c r="G502" s="14">
        <f t="shared" si="72"/>
        <v>2941.2642612439217</v>
      </c>
      <c r="H502" s="24">
        <f t="shared" si="79"/>
        <v>669.42938946834875</v>
      </c>
      <c r="I502" s="12">
        <f t="shared" si="73"/>
        <v>0.38707655504750216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874.60083076649039</v>
      </c>
      <c r="F503" s="24">
        <f t="shared" si="71"/>
        <v>299.97321928052827</v>
      </c>
      <c r="G503" s="14">
        <f t="shared" si="72"/>
        <v>2924.5657326972782</v>
      </c>
      <c r="H503" s="24">
        <f t="shared" si="79"/>
        <v>669.09398960217118</v>
      </c>
      <c r="I503" s="12">
        <f t="shared" si="73"/>
        <v>0.38503955996209233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874.98587032645253</v>
      </c>
      <c r="F504" s="24">
        <f t="shared" si="71"/>
        <v>298.02303195601496</v>
      </c>
      <c r="G504" s="14">
        <f t="shared" si="72"/>
        <v>2908.1669131884546</v>
      </c>
      <c r="H504" s="24">
        <f t="shared" si="79"/>
        <v>668.76214387979553</v>
      </c>
      <c r="I504" s="12">
        <f t="shared" si="73"/>
        <v>0.38303849289767528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875.36890881935017</v>
      </c>
      <c r="F505" s="24">
        <f t="shared" si="71"/>
        <v>296.10717436121945</v>
      </c>
      <c r="G505" s="14">
        <f t="shared" si="72"/>
        <v>2892.0608779070458</v>
      </c>
      <c r="H505" s="24">
        <f t="shared" si="79"/>
        <v>668.43377909919855</v>
      </c>
      <c r="I505" s="12">
        <f t="shared" si="73"/>
        <v>0.38107255365927839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875.7499813730094</v>
      </c>
      <c r="F506" s="24">
        <f t="shared" si="71"/>
        <v>294.22483236972994</v>
      </c>
      <c r="G506" s="14">
        <f t="shared" si="72"/>
        <v>2876.2408528404703</v>
      </c>
      <c r="H506" s="24">
        <f t="shared" si="79"/>
        <v>668.10882413227569</v>
      </c>
      <c r="I506" s="12">
        <f t="shared" si="73"/>
        <v>0.37914095770423167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876.12912233071359</v>
      </c>
      <c r="F507" s="24">
        <f t="shared" si="71"/>
        <v>292.37521107724262</v>
      </c>
      <c r="G507" s="14">
        <f t="shared" si="72"/>
        <v>2860.7002123346347</v>
      </c>
      <c r="H507" s="24">
        <f t="shared" si="79"/>
        <v>667.78720985711334</v>
      </c>
      <c r="I507" s="12">
        <f t="shared" si="73"/>
        <v>0.37724293598865327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876.50636526670223</v>
      </c>
      <c r="F508" s="24">
        <f t="shared" si="71"/>
        <v>290.55753441725471</v>
      </c>
      <c r="G508" s="14">
        <f t="shared" si="72"/>
        <v>2845.4324766484433</v>
      </c>
      <c r="H508" s="24">
        <f t="shared" si="79"/>
        <v>667.46886909268392</v>
      </c>
      <c r="I508" s="12">
        <f t="shared" si="73"/>
        <v>0.37537773480628162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876.88174300150854</v>
      </c>
      <c r="F509" s="24">
        <f t="shared" si="71"/>
        <v>288.77104478081321</v>
      </c>
      <c r="G509" s="14">
        <f t="shared" si="72"/>
        <v>2830.4313095093457</v>
      </c>
      <c r="H509" s="24">
        <f t="shared" si="79"/>
        <v>667.15373653587153</v>
      </c>
      <c r="I509" s="12">
        <f t="shared" si="73"/>
        <v>0.37354461562084607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877.2552876171294</v>
      </c>
      <c r="F510" s="24">
        <f t="shared" si="71"/>
        <v>287.01500264034507</v>
      </c>
      <c r="G510" s="14">
        <f t="shared" si="72"/>
        <v>2815.690515668392</v>
      </c>
      <c r="H510" s="24">
        <f t="shared" si="79"/>
        <v>666.84174870073502</v>
      </c>
      <c r="I510" s="12">
        <f t="shared" si="73"/>
        <v>0.37174285489208364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877.62703047202149</v>
      </c>
      <c r="F511" s="24">
        <f t="shared" si="71"/>
        <v>285.28868617787282</v>
      </c>
      <c r="G511" s="14">
        <f t="shared" si="72"/>
        <v>2801.204038460874</v>
      </c>
      <c r="H511" s="24">
        <f t="shared" si="79"/>
        <v>666.5328438599206</v>
      </c>
      <c r="I511" s="12">
        <f t="shared" si="73"/>
        <v>0.36997174389644266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877.99700221591797</v>
      </c>
      <c r="F512" s="24">
        <f t="shared" si="71"/>
        <v>283.59139091762131</v>
      </c>
      <c r="G512" s="14">
        <f t="shared" si="72"/>
        <v>2786.9659573720596</v>
      </c>
      <c r="H512" s="24">
        <f t="shared" si="79"/>
        <v>666.22696198814265</v>
      </c>
      <c r="I512" s="12">
        <f t="shared" si="73"/>
        <v>0.36823058854267726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878.36523280446067</v>
      </c>
      <c r="F513" s="24">
        <f t="shared" si="71"/>
        <v>281.92242936327148</v>
      </c>
      <c r="G513" s="14">
        <f t="shared" si="72"/>
        <v>2772.9704856128083</v>
      </c>
      <c r="H513" s="24">
        <f t="shared" si="79"/>
        <v>665.92404470765098</v>
      </c>
      <c r="I513" s="12">
        <f t="shared" si="73"/>
        <v>0.36651870918319229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878.73175151364387</v>
      </c>
      <c r="F514" s="24">
        <f t="shared" si="71"/>
        <v>280.28113063984108</v>
      </c>
      <c r="G514" s="14">
        <f t="shared" si="72"/>
        <v>2759.211967704864</v>
      </c>
      <c r="H514" s="24">
        <f t="shared" si="79"/>
        <v>665.62403523560897</v>
      </c>
      <c r="I514" s="12">
        <f t="shared" si="73"/>
        <v>0.36483544042135085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879.09658695406517</v>
      </c>
      <c r="F515" s="24">
        <f t="shared" si="71"/>
        <v>278.6668401403773</v>
      </c>
      <c r="G515" s="14">
        <f t="shared" si="72"/>
        <v>2745.6848770789447</v>
      </c>
      <c r="H515" s="24">
        <f t="shared" si="79"/>
        <v>665.32687833330817</v>
      </c>
      <c r="I515" s="12">
        <f t="shared" si="73"/>
        <v>0.36318013091537743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879.45976708498051</v>
      </c>
      <c r="F516" s="24">
        <f t="shared" si="71"/>
        <v>277.07891917752079</v>
      </c>
      <c r="G516" s="14">
        <f t="shared" si="72"/>
        <v>2732.3838136875943</v>
      </c>
      <c r="H516" s="24">
        <f t="shared" si="79"/>
        <v>665.0325202571521</v>
      </c>
      <c r="I516" s="12">
        <f t="shared" si="73"/>
        <v>0.36155214317931683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879.82131922815984</v>
      </c>
      <c r="F517" s="24">
        <f t="shared" si="71"/>
        <v>275.51674464001792</v>
      </c>
      <c r="G517" s="14">
        <f t="shared" si="72"/>
        <v>2719.3035016336676</v>
      </c>
      <c r="H517" s="24">
        <f t="shared" si="79"/>
        <v>664.74090871133819</v>
      </c>
      <c r="I517" s="12">
        <f t="shared" si="73"/>
        <v>0.35995085338138083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880.18127008154124</v>
      </c>
      <c r="F518" s="24">
        <f t="shared" si="71"/>
        <v>273.97970865425521</v>
      </c>
      <c r="G518" s="14">
        <f t="shared" si="72"/>
        <v>2706.438786816545</v>
      </c>
      <c r="H518" s="24">
        <f t="shared" si="79"/>
        <v>664.45199280217776</v>
      </c>
      <c r="I518" s="12">
        <f t="shared" si="73"/>
        <v>0.35837565114014319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880.53964573268138</v>
      </c>
      <c r="F519" s="24">
        <f t="shared" si="71"/>
        <v>272.46721825083</v>
      </c>
      <c r="G519" s="14">
        <f t="shared" si="72"/>
        <v>2693.7846345970338</v>
      </c>
      <c r="H519" s="24">
        <f t="shared" si="79"/>
        <v>664.16572299398922</v>
      </c>
      <c r="I519" s="12">
        <f t="shared" si="73"/>
        <v>0.35682593931889867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880.8964716720003</v>
      </c>
      <c r="F520" s="24">
        <f t="shared" si="71"/>
        <v>270.97869503625418</v>
      </c>
      <c r="G520" s="14">
        <f t="shared" si="72"/>
        <v>2681.3361274833096</v>
      </c>
      <c r="H520" s="24">
        <f t="shared" si="79"/>
        <v>663.8820510665073</v>
      </c>
      <c r="I520" s="12">
        <f t="shared" si="73"/>
        <v>0.3553011338186659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881.25177280581897</v>
      </c>
      <c r="F521" s="24">
        <f t="shared" si="71"/>
        <v>269.51357486981919</v>
      </c>
      <c r="G521" s="14">
        <f t="shared" si="72"/>
        <v>2669.0884628369913</v>
      </c>
      <c r="H521" s="24">
        <f t="shared" si="79"/>
        <v>663.60093007375065</v>
      </c>
      <c r="I521" s="12">
        <f t="shared" si="73"/>
        <v>0.35380066336991089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881.60557346918893</v>
      </c>
      <c r="F522" s="24">
        <f t="shared" si="71"/>
        <v>268.07130754560546</v>
      </c>
      <c r="G522" s="14">
        <f t="shared" si="72"/>
        <v>2657.0369506035299</v>
      </c>
      <c r="H522" s="24">
        <f t="shared" si="79"/>
        <v>663.32231430429522</v>
      </c>
      <c r="I522" s="12">
        <f t="shared" si="73"/>
        <v>0.35232396932366022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881.95789743851253</v>
      </c>
      <c r="F523" s="24">
        <f t="shared" si="71"/>
        <v>266.65135647971567</v>
      </c>
      <c r="G523" s="14">
        <f t="shared" si="72"/>
        <v>2645.1770110648731</v>
      </c>
      <c r="H523" s="24">
        <f t="shared" si="79"/>
        <v>663.04615924289988</v>
      </c>
      <c r="I523" s="12">
        <f t="shared" si="73"/>
        <v>0.35087050544193887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882.30876794395442</v>
      </c>
      <c r="F524" s="24">
        <f t="shared" si="71"/>
        <v>265.25319840271777</v>
      </c>
      <c r="G524" s="14">
        <f t="shared" si="72"/>
        <v>2633.5041726174127</v>
      </c>
      <c r="H524" s="24">
        <f t="shared" si="79"/>
        <v>662.77242153343434</v>
      </c>
      <c r="I524" s="12">
        <f t="shared" si="73"/>
        <v>0.34943973768804731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882.65820768164247</v>
      </c>
      <c r="F525" s="24">
        <f t="shared" si="71"/>
        <v>263.87632305727777</v>
      </c>
      <c r="G525" s="14">
        <f t="shared" si="72"/>
        <v>2622.014069574725</v>
      </c>
      <c r="H525" s="24">
        <f t="shared" si="79"/>
        <v>662.5010589430633</v>
      </c>
      <c r="I525" s="12">
        <f t="shared" si="73"/>
        <v>0.3480311440167696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883.00623882565924</v>
      </c>
      <c r="F526" s="24">
        <f t="shared" si="71"/>
        <v>262.52023290103068</v>
      </c>
      <c r="G526" s="14">
        <f t="shared" si="72"/>
        <v>2610.7024399971197</v>
      </c>
      <c r="H526" s="24">
        <f t="shared" si="79"/>
        <v>662.23203032763888</v>
      </c>
      <c r="I526" s="12">
        <f t="shared" si="73"/>
        <v>0.34664421416490854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883.35288303982418</v>
      </c>
      <c r="F527" s="24">
        <f t="shared" si="71"/>
        <v>261.18444281468669</v>
      </c>
      <c r="G527" s="14">
        <f t="shared" si="72"/>
        <v>2599.5651235475657</v>
      </c>
      <c r="H527" s="24">
        <f t="shared" si="79"/>
        <v>661.96529559825888</v>
      </c>
      <c r="I527" s="12">
        <f t="shared" si="73"/>
        <v>0.34527844944223185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883.69816148926645</v>
      </c>
      <c r="F528" s="24">
        <f t="shared" si="71"/>
        <v>259.86847981529024</v>
      </c>
      <c r="G528" s="14">
        <f t="shared" si="72"/>
        <v>2588.5980593751087</v>
      </c>
      <c r="H528" s="24">
        <f t="shared" si="79"/>
        <v>661.70081568894739</v>
      </c>
      <c r="I528" s="12">
        <f t="shared" si="73"/>
        <v>0.34393336252309176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884.04209485178956</v>
      </c>
      <c r="F529" s="24">
        <f t="shared" ref="F529:F592" si="80">AlphaC*(D529-E529)</f>
        <v>258.57188277469731</v>
      </c>
      <c r="G529" s="14">
        <f t="shared" ref="G529:G592" si="81">Phi*EpsilonF*Botzman/10^8*J529*((D529+273)^4-(E529+273)^4)</f>
        <v>2577.7972840269595</v>
      </c>
      <c r="H529" s="24">
        <f t="shared" si="79"/>
        <v>661.43855252541732</v>
      </c>
      <c r="I529" s="12">
        <f t="shared" ref="I529:I592" si="82">ksh*Massivete/(H529*RhoA)*DeltaT*(F529+G529)</f>
        <v>0.3426084772389939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884.38470332902853</v>
      </c>
      <c r="F530" s="24">
        <f t="shared" si="80"/>
        <v>257.29420214317713</v>
      </c>
      <c r="G530" s="14">
        <f t="shared" si="81"/>
        <v>2567.158929387258</v>
      </c>
      <c r="H530" s="24">
        <f t="shared" si="79"/>
        <v>661.17846899487733</v>
      </c>
      <c r="I530" s="12">
        <f t="shared" si="82"/>
        <v>0.34130332837198807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884.72600665740049</v>
      </c>
      <c r="F531" s="24">
        <f t="shared" si="80"/>
        <v>256.03499967822643</v>
      </c>
      <c r="G531" s="14">
        <f t="shared" si="81"/>
        <v>2556.6792206470432</v>
      </c>
      <c r="H531" s="24">
        <f t="shared" si="79"/>
        <v>660.92052891684307</v>
      </c>
      <c r="I531" s="12">
        <f t="shared" si="82"/>
        <v>0.34001746144955602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885.06602411885001</v>
      </c>
      <c r="F532" s="24">
        <f t="shared" si="80"/>
        <v>254.79384817838593</v>
      </c>
      <c r="G532" s="14">
        <f t="shared" si="81"/>
        <v>2546.3544743015623</v>
      </c>
      <c r="H532" s="24">
        <f t="shared" si="79"/>
        <v>660.66469701491906</v>
      </c>
      <c r="I532" s="12">
        <f t="shared" si="82"/>
        <v>0.33875043254061821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885.40477455139057</v>
      </c>
      <c r="F533" s="24">
        <f t="shared" si="80"/>
        <v>253.5703312222239</v>
      </c>
      <c r="G533" s="14">
        <f t="shared" si="81"/>
        <v>2536.1810961782821</v>
      </c>
      <c r="H533" s="24">
        <f t="shared" si="79"/>
        <v>660.41093888951582</v>
      </c>
      <c r="I533" s="12">
        <f t="shared" si="82"/>
        <v>0.33750180805319446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885.74227635944374</v>
      </c>
      <c r="F534" s="24">
        <f t="shared" si="80"/>
        <v>252.36404291229348</v>
      </c>
      <c r="G534" s="14">
        <f t="shared" si="81"/>
        <v>2526.1555794942196</v>
      </c>
      <c r="H534" s="24">
        <f t="shared" si="79"/>
        <v>660.15922099146803</v>
      </c>
      <c r="I534" s="12">
        <f t="shared" si="82"/>
        <v>0.33627116453363182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886.07854752397736</v>
      </c>
      <c r="F535" s="24">
        <f t="shared" si="80"/>
        <v>251.17458762412923</v>
      </c>
      <c r="G535" s="14">
        <f t="shared" si="81"/>
        <v>2516.2745029430898</v>
      </c>
      <c r="H535" s="24">
        <f t="shared" si="79"/>
        <v>659.90951059652377</v>
      </c>
      <c r="I535" s="12">
        <f t="shared" si="82"/>
        <v>0.33505808846756929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886.41360561244494</v>
      </c>
      <c r="F536" s="24">
        <f t="shared" si="80"/>
        <v>250.00157976016055</v>
      </c>
      <c r="G536" s="14">
        <f t="shared" si="81"/>
        <v>2506.5345288131603</v>
      </c>
      <c r="H536" s="24">
        <f t="shared" si="79"/>
        <v>659.66177578067231</v>
      </c>
      <c r="I536" s="12">
        <f t="shared" si="82"/>
        <v>0.33386217608282759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886.74746778852773</v>
      </c>
      <c r="F537" s="24">
        <f t="shared" si="80"/>
        <v>248.844643508545</v>
      </c>
      <c r="G537" s="14">
        <f t="shared" si="81"/>
        <v>2496.9324011349331</v>
      </c>
      <c r="H537" s="24">
        <f t="shared" si="79"/>
        <v>659.41598539628149</v>
      </c>
      <c r="I537" s="12">
        <f t="shared" si="82"/>
        <v>0.33268303315421155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887.08015082168197</v>
      </c>
      <c r="F538" s="24">
        <f t="shared" si="80"/>
        <v>247.70341260686166</v>
      </c>
      <c r="G538" s="14">
        <f t="shared" si="81"/>
        <v>2487.4649438594133</v>
      </c>
      <c r="H538" s="24">
        <f t="shared" si="79"/>
        <v>659.1721090490164</v>
      </c>
      <c r="I538" s="12">
        <f t="shared" si="82"/>
        <v>0.33152027481039698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887.41167109649234</v>
      </c>
      <c r="F539" s="24">
        <f t="shared" si="80"/>
        <v>246.57753011061629</v>
      </c>
      <c r="G539" s="14">
        <f t="shared" si="81"/>
        <v>2478.1290590665876</v>
      </c>
      <c r="H539" s="24">
        <f t="shared" si="79"/>
        <v>658.93011707551295</v>
      </c>
      <c r="I539" s="12">
        <f t="shared" si="82"/>
        <v>0.33037352534293724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887.74204462183525</v>
      </c>
      <c r="F540" s="24">
        <f t="shared" si="80"/>
        <v>245.46664816646171</v>
      </c>
      <c r="G540" s="14">
        <f t="shared" si="81"/>
        <v>2468.9217252043532</v>
      </c>
      <c r="H540" s="24">
        <f t="shared" si="79"/>
        <v>658.68998052177733</v>
      </c>
      <c r="I540" s="12">
        <f t="shared" si="82"/>
        <v>0.32924241801748777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888.07128703985279</v>
      </c>
      <c r="F541" s="24">
        <f t="shared" si="80"/>
        <v>244.37042779017872</v>
      </c>
      <c r="G541" s="14">
        <f t="shared" si="81"/>
        <v>2459.8399953582134</v>
      </c>
      <c r="H541" s="24">
        <f t="shared" si="79"/>
        <v>658.45167112228876</v>
      </c>
      <c r="I541" s="12">
        <f t="shared" si="82"/>
        <v>0.32812659488737317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888.3994136347402</v>
      </c>
      <c r="F542" s="24">
        <f t="shared" si="80"/>
        <v>243.28853864922451</v>
      </c>
      <c r="G542" s="14">
        <f t="shared" si="81"/>
        <v>2450.8809955505112</v>
      </c>
      <c r="H542" s="24">
        <f t="shared" si="79"/>
        <v>658.21516127978055</v>
      </c>
      <c r="I542" s="12">
        <f t="shared" si="82"/>
        <v>0.32702570660939551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888.72643934134965</v>
      </c>
      <c r="F543" s="24">
        <f t="shared" si="80"/>
        <v>242.22065884993071</v>
      </c>
      <c r="G543" s="14">
        <f t="shared" si="81"/>
        <v>2442.0419230703073</v>
      </c>
      <c r="H543" s="24">
        <f t="shared" si="79"/>
        <v>657.98042404567423</v>
      </c>
      <c r="I543" s="12">
        <f t="shared" si="82"/>
        <v>0.32593941226210649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889.05237875361172</v>
      </c>
      <c r="F544" s="24">
        <f t="shared" si="80"/>
        <v>241.16647472916668</v>
      </c>
      <c r="G544" s="14">
        <f t="shared" si="81"/>
        <v>2433.3200448336197</v>
      </c>
      <c r="H544" s="24">
        <f t="shared" si="79"/>
        <v>657.74743310114707</v>
      </c>
      <c r="I544" s="12">
        <f t="shared" si="82"/>
        <v>0.32486737916655134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889.37724613277828</v>
      </c>
      <c r="F545" s="24">
        <f t="shared" si="80"/>
        <v>240.12568065051028</v>
      </c>
      <c r="G545" s="14">
        <f t="shared" si="81"/>
        <v>2424.7126957731894</v>
      </c>
      <c r="H545" s="24">
        <f t="shared" si="79"/>
        <v>657.51616273880848</v>
      </c>
      <c r="I545" s="12">
        <f t="shared" si="82"/>
        <v>0.32380928270945819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889.70105541548776</v>
      </c>
      <c r="F546" s="24">
        <f t="shared" si="80"/>
        <v>239.09797880478152</v>
      </c>
      <c r="G546" s="14">
        <f t="shared" si="81"/>
        <v>2416.2172772579911</v>
      </c>
      <c r="H546" s="24">
        <f t="shared" si="79"/>
        <v>657.28658784496611</v>
      </c>
      <c r="I546" s="12">
        <f t="shared" si="82"/>
        <v>0.32276480616894537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890.02382022165671</v>
      </c>
      <c r="F547" s="24">
        <f t="shared" si="80"/>
        <v>238.08307901492185</v>
      </c>
      <c r="G547" s="14">
        <f t="shared" si="81"/>
        <v>2407.8312555425919</v>
      </c>
      <c r="H547" s="24">
        <f t="shared" si="79"/>
        <v>657.05868388246142</v>
      </c>
      <c r="I547" s="12">
        <f t="shared" si="82"/>
        <v>0.32173364054281839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890.34555386219949</v>
      </c>
      <c r="F548" s="24">
        <f t="shared" si="80"/>
        <v>237.08069854519636</v>
      </c>
      <c r="G548" s="14">
        <f t="shared" si="81"/>
        <v>2399.5521602464109</v>
      </c>
      <c r="H548" s="24">
        <f t="shared" si="79"/>
        <v>656.83242687405368</v>
      </c>
      <c r="I548" s="12">
        <f t="shared" si="82"/>
        <v>0.3207154843795208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890.66626934657904</v>
      </c>
      <c r="F549" s="24">
        <f t="shared" si="80"/>
        <v>236.09056191448587</v>
      </c>
      <c r="G549" s="14">
        <f t="shared" si="81"/>
        <v>2391.3775828604612</v>
      </c>
      <c r="H549" s="24">
        <f t="shared" si="79"/>
        <v>656.60779338633563</v>
      </c>
      <c r="I549" s="12">
        <f t="shared" si="82"/>
        <v>0.31971004361147276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890.98597939019055</v>
      </c>
      <c r="F550" s="24">
        <f t="shared" si="80"/>
        <v>235.11240071385657</v>
      </c>
      <c r="G550" s="14">
        <f t="shared" si="81"/>
        <v>2383.3051752851366</v>
      </c>
      <c r="H550" s="24">
        <f t="shared" si="79"/>
        <v>656.38476051416183</v>
      </c>
      <c r="I550" s="12">
        <f t="shared" si="82"/>
        <v>0.3187170313913093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891.30469642158187</v>
      </c>
      <c r="F551" s="24">
        <f t="shared" si="80"/>
        <v>234.14595342811708</v>
      </c>
      <c r="G551" s="14">
        <f t="shared" si="81"/>
        <v>2375.332648395085</v>
      </c>
      <c r="H551" s="24">
        <f t="shared" si="79"/>
        <v>656.16330586557217</v>
      </c>
      <c r="I551" s="12">
        <f t="shared" si="82"/>
        <v>0.3177361679305527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891.62243258951241</v>
      </c>
      <c r="F552" s="24">
        <f t="shared" si="80"/>
        <v>233.19096526142857</v>
      </c>
      <c r="G552" s="14">
        <f t="shared" si="81"/>
        <v>2367.4577706331866</v>
      </c>
      <c r="H552" s="24">
        <f t="shared" si="79"/>
        <v>655.94340754719417</v>
      </c>
      <c r="I552" s="12">
        <f t="shared" si="82"/>
        <v>0.31676718034102552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891.93919976985342</v>
      </c>
      <c r="F553" s="24">
        <f t="shared" si="80"/>
        <v>232.24718796683419</v>
      </c>
      <c r="G553" s="14">
        <f t="shared" si="81"/>
        <v>2359.6783666323913</v>
      </c>
      <c r="H553" s="24">
        <f t="shared" si="79"/>
        <v>655.72504415010758</v>
      </c>
      <c r="I553" s="12">
        <f t="shared" si="82"/>
        <v>0.31580980247888357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892.25500957233226</v>
      </c>
      <c r="F554" s="24">
        <f t="shared" si="80"/>
        <v>231.31437967969362</v>
      </c>
      <c r="G554" s="14">
        <f t="shared" si="81"/>
        <v>2351.9923158655638</v>
      </c>
      <c r="H554" s="24">
        <f t="shared" si="79"/>
        <v>655.50819473615604</v>
      </c>
      <c r="I554" s="12">
        <f t="shared" si="82"/>
        <v>0.31486377479133243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892.56987334712358</v>
      </c>
      <c r="F555" s="24">
        <f t="shared" si="80"/>
        <v>230.39230475492616</v>
      </c>
      <c r="G555" s="14">
        <f t="shared" si="81"/>
        <v>2344.3975513227078</v>
      </c>
      <c r="H555" s="24">
        <f t="shared" si="79"/>
        <v>655.29283882469076</v>
      </c>
      <c r="I555" s="12">
        <f t="shared" si="82"/>
        <v>0.31392884416598482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892.88380219128953</v>
      </c>
      <c r="F556" s="24">
        <f t="shared" si="80"/>
        <v>229.48073360797139</v>
      </c>
      <c r="G556" s="14">
        <f t="shared" si="81"/>
        <v>2336.892058215014</v>
      </c>
      <c r="H556" s="24">
        <f t="shared" si="79"/>
        <v>655.07895637973127</v>
      </c>
      <c r="I556" s="12">
        <f t="shared" si="82"/>
        <v>0.31300476378282366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893.19680695507236</v>
      </c>
      <c r="F557" s="24">
        <f t="shared" si="80"/>
        <v>228.57944255949008</v>
      </c>
      <c r="G557" s="14">
        <f t="shared" si="81"/>
        <v>2329.4738727064473</v>
      </c>
      <c r="H557" s="24">
        <f t="shared" si="79"/>
        <v>654.86652779752956</v>
      </c>
      <c r="I557" s="12">
        <f t="shared" si="82"/>
        <v>0.31209129296890159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893.50889824804131</v>
      </c>
      <c r="F558" s="24">
        <f t="shared" si="80"/>
        <v>227.68821368360648</v>
      </c>
      <c r="G558" s="14">
        <f t="shared" si="81"/>
        <v>2322.1410806710305</v>
      </c>
      <c r="H558" s="24">
        <f t="shared" si="79"/>
        <v>654.65553389452498</v>
      </c>
      <c r="I558" s="12">
        <f t="shared" si="82"/>
        <v>0.31118819705556927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893.82008644509688</v>
      </c>
      <c r="F559" s="24">
        <f t="shared" si="80"/>
        <v>226.80683465977722</v>
      </c>
      <c r="G559" s="14">
        <f t="shared" si="81"/>
        <v>2314.8918164773781</v>
      </c>
      <c r="H559" s="24">
        <f t="shared" si="79"/>
        <v>654.44595589567462</v>
      </c>
      <c r="I559" s="12">
        <f t="shared" si="82"/>
        <v>0.31029524723847096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894.13038169233539</v>
      </c>
      <c r="F560" s="24">
        <f t="shared" si="80"/>
        <v>225.93509862808219</v>
      </c>
      <c r="G560" s="14">
        <f t="shared" si="81"/>
        <v>2307.7242617973934</v>
      </c>
      <c r="H560" s="24">
        <f t="shared" si="79"/>
        <v>654.23777542314951</v>
      </c>
      <c r="I560" s="12">
        <f t="shared" si="82"/>
        <v>0.30941222043994271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894.43979391277537</v>
      </c>
      <c r="F561" s="24">
        <f t="shared" si="80"/>
        <v>225.07280404797427</v>
      </c>
      <c r="G561" s="14">
        <f t="shared" si="81"/>
        <v>2300.6366444424507</v>
      </c>
      <c r="H561" s="24">
        <f t="shared" si="79"/>
        <v>654.03097448538256</v>
      </c>
      <c r="I561" s="12">
        <f t="shared" si="82"/>
        <v>0.30853889917425781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894.74833281194958</v>
      </c>
      <c r="F562" s="24">
        <f t="shared" si="80"/>
        <v>224.21975456035739</v>
      </c>
      <c r="G562" s="14">
        <f t="shared" si="81"/>
        <v>2293.6272372223352</v>
      </c>
      <c r="H562" s="24">
        <f t="shared" ref="H562:H625" si="88">IF(E562&lt;600,425+0.773*E562-1.69/1000*E562^2+2.22/1000^2*E562^3,IF(E562&lt;735,666+13002/(738-E562),IF(E562&lt;900,545+17820/(E562-731),650)))</f>
        <v>653.82553546645681</v>
      </c>
      <c r="I562" s="12">
        <f t="shared" si="82"/>
        <v>0.30767507141516465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895.05600788336471</v>
      </c>
      <c r="F563" s="24">
        <f t="shared" si="80"/>
        <v>223.37575885297554</v>
      </c>
      <c r="G563" s="14">
        <f t="shared" si="81"/>
        <v>2286.6943568314055</v>
      </c>
      <c r="H563" s="24">
        <f t="shared" si="88"/>
        <v>653.6214411158237</v>
      </c>
      <c r="I563" s="12">
        <f t="shared" si="82"/>
        <v>0.30682053046628865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895.36282841383104</v>
      </c>
      <c r="F564" s="24">
        <f t="shared" si="80"/>
        <v>222.54063052901927</v>
      </c>
      <c r="G564" s="14">
        <f t="shared" si="81"/>
        <v>2279.8363627565923</v>
      </c>
      <c r="H564" s="24">
        <f t="shared" si="88"/>
        <v>653.41867453833902</v>
      </c>
      <c r="I564" s="12">
        <f t="shared" si="82"/>
        <v>0.30597507483376368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895.66880348866482</v>
      </c>
      <c r="F565" s="24">
        <f t="shared" si="80"/>
        <v>221.71418797889544</v>
      </c>
      <c r="G565" s="14">
        <f t="shared" si="81"/>
        <v>2273.0516562117596</v>
      </c>
      <c r="H565" s="24">
        <f t="shared" si="88"/>
        <v>653.2172191846081</v>
      </c>
      <c r="I565" s="12">
        <f t="shared" si="82"/>
        <v>0.30513850810167015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895.97394199676648</v>
      </c>
      <c r="F566" s="24">
        <f t="shared" si="80"/>
        <v>220.89625425510917</v>
      </c>
      <c r="G566" s="14">
        <f t="shared" si="81"/>
        <v>2266.338679093612</v>
      </c>
      <c r="H566" s="24">
        <f t="shared" si="88"/>
        <v>653.01705884162766</v>
      </c>
      <c r="I566" s="12">
        <f t="shared" si="82"/>
        <v>0.3043106388097131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896.27825263557622</v>
      </c>
      <c r="F567" s="24">
        <f t="shared" si="80"/>
        <v>220.08665695014713</v>
      </c>
      <c r="G567" s="14">
        <f t="shared" si="81"/>
        <v>2259.6959129619459</v>
      </c>
      <c r="H567" s="24">
        <f t="shared" si="88"/>
        <v>652.81817762371622</v>
      </c>
      <c r="I567" s="12">
        <f t="shared" si="82"/>
        <v>0.30349128033349876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896.58174391590967</v>
      </c>
      <c r="F568" s="24">
        <f t="shared" si="80"/>
        <v>219.28522807741331</v>
      </c>
      <c r="G568" s="14">
        <f t="shared" si="81"/>
        <v>2253.1218780430668</v>
      </c>
      <c r="H568" s="24">
        <f t="shared" si="88"/>
        <v>652.62055996372305</v>
      </c>
      <c r="I568" s="12">
        <f t="shared" si="82"/>
        <v>0.30268025076729826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896.88442416667692</v>
      </c>
      <c r="F569" s="24">
        <f t="shared" si="80"/>
        <v>218.49180395497001</v>
      </c>
      <c r="G569" s="14">
        <f t="shared" si="81"/>
        <v>2246.6151322539158</v>
      </c>
      <c r="H569" s="24">
        <f t="shared" si="88"/>
        <v>652.42419060450709</v>
      </c>
      <c r="I569" s="12">
        <f t="shared" si="82"/>
        <v>0.30187737280899496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897.18630153948595</v>
      </c>
      <c r="F570" s="24">
        <f t="shared" si="80"/>
        <v>217.70622509226882</v>
      </c>
      <c r="G570" s="14">
        <f t="shared" si="81"/>
        <v>2240.1742702508859</v>
      </c>
      <c r="H570" s="24">
        <f t="shared" si="88"/>
        <v>652.22905459067556</v>
      </c>
      <c r="I570" s="12">
        <f t="shared" si="82"/>
        <v>0.30108247364775004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897.48738401313369</v>
      </c>
      <c r="F571" s="24">
        <f t="shared" si="80"/>
        <v>216.92833607955038</v>
      </c>
      <c r="G571" s="14">
        <f t="shared" si="81"/>
        <v>2233.7979224977648</v>
      </c>
      <c r="H571" s="24">
        <f t="shared" si="88"/>
        <v>652.03513726057599</v>
      </c>
      <c r="I571" s="12">
        <f t="shared" si="82"/>
        <v>0.30029538485369039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897.7876793979874</v>
      </c>
      <c r="F572" s="24">
        <f t="shared" si="80"/>
        <v>216.15798548008343</v>
      </c>
      <c r="G572" s="14">
        <f t="shared" si="81"/>
        <v>2227.4847543565488</v>
      </c>
      <c r="H572" s="24">
        <f t="shared" si="88"/>
        <v>651.84242423853175</v>
      </c>
      <c r="I572" s="12">
        <f t="shared" si="82"/>
        <v>0.29951594227012346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898.08719534025749</v>
      </c>
      <c r="F573" s="24">
        <f t="shared" si="80"/>
        <v>215.39502572501874</v>
      </c>
      <c r="G573" s="14">
        <f t="shared" si="81"/>
        <v>2221.2334651990782</v>
      </c>
      <c r="H573" s="24">
        <f t="shared" si="88"/>
        <v>651.65090142731299</v>
      </c>
      <c r="I573" s="12">
        <f t="shared" si="82"/>
        <v>0.29874398590802065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898.3859393261655</v>
      </c>
      <c r="F574" s="24">
        <f t="shared" si="80"/>
        <v>214.63931301090042</v>
      </c>
      <c r="G574" s="14">
        <f t="shared" si="81"/>
        <v>2215.042787538719</v>
      </c>
      <c r="H574" s="24">
        <f t="shared" si="88"/>
        <v>651.46055500083696</v>
      </c>
      <c r="I574" s="12">
        <f t="shared" si="82"/>
        <v>0.29797935984270452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898.68391868600816</v>
      </c>
      <c r="F575" s="24">
        <f t="shared" si="80"/>
        <v>213.89070719972381</v>
      </c>
      <c r="G575" s="14">
        <f t="shared" si="81"/>
        <v>2208.9114861824592</v>
      </c>
      <c r="H575" s="24">
        <f t="shared" si="88"/>
        <v>651.27137139708873</v>
      </c>
      <c r="I575" s="12">
        <f t="shared" si="82"/>
        <v>0.29722191211278987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898.98114059812099</v>
      </c>
      <c r="F576" s="24">
        <f t="shared" si="80"/>
        <v>213.14907172152857</v>
      </c>
      <c r="G576" s="14">
        <f t="shared" si="81"/>
        <v>2202.838357402899</v>
      </c>
      <c r="H576" s="24">
        <f t="shared" si="88"/>
        <v>651.08333731125606</v>
      </c>
      <c r="I576" s="12">
        <f t="shared" si="82"/>
        <v>0.29647149462133554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899.27761209274229</v>
      </c>
      <c r="F577" s="24">
        <f t="shared" si="80"/>
        <v>212.41427347942761</v>
      </c>
      <c r="G577" s="14">
        <f t="shared" si="81"/>
        <v>2196.8222281298013</v>
      </c>
      <c r="H577" s="24">
        <f t="shared" si="88"/>
        <v>650.89643968907114</v>
      </c>
      <c r="I577" s="12">
        <f t="shared" si="82"/>
        <v>0.29572796303917254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899.5733400557815</v>
      </c>
      <c r="F578" s="24">
        <f t="shared" si="80"/>
        <v>211.68618275703466</v>
      </c>
      <c r="G578" s="14">
        <f t="shared" si="81"/>
        <v>2190.8619551605652</v>
      </c>
      <c r="H578" s="24">
        <f t="shared" si="88"/>
        <v>650.71066572035238</v>
      </c>
      <c r="I578" s="12">
        <f t="shared" si="82"/>
        <v>0.29499117671034608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899.86833123249187</v>
      </c>
      <c r="F579" s="24">
        <f t="shared" si="80"/>
        <v>210.96467312828224</v>
      </c>
      <c r="G579" s="14">
        <f t="shared" si="81"/>
        <v>2184.956424389371</v>
      </c>
      <c r="H579" s="24">
        <f t="shared" si="88"/>
        <v>650.52600283273989</v>
      </c>
      <c r="I579" s="12">
        <f t="shared" si="82"/>
        <v>0.29426099855965621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900.16259223105158</v>
      </c>
      <c r="F580" s="24">
        <f t="shared" si="80"/>
        <v>210.24962136946783</v>
      </c>
      <c r="G580" s="14">
        <f t="shared" si="81"/>
        <v>2179.1045500547671</v>
      </c>
      <c r="H580" s="24">
        <f t="shared" si="88"/>
        <v>650</v>
      </c>
      <c r="I580" s="12">
        <f t="shared" si="82"/>
        <v>0.29369193888762235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900.45628416993918</v>
      </c>
      <c r="F581" s="24">
        <f t="shared" si="80"/>
        <v>209.53704127648223</v>
      </c>
      <c r="G581" s="14">
        <f t="shared" si="81"/>
        <v>2173.2656028815841</v>
      </c>
      <c r="H581" s="24">
        <f t="shared" si="88"/>
        <v>650</v>
      </c>
      <c r="I581" s="12">
        <f t="shared" si="82"/>
        <v>0.29288664565462746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900.74917081559386</v>
      </c>
      <c r="F582" s="24">
        <f t="shared" si="80"/>
        <v>208.83288022486113</v>
      </c>
      <c r="G582" s="14">
        <f t="shared" si="81"/>
        <v>2167.5007381281125</v>
      </c>
      <c r="H582" s="24">
        <f t="shared" si="88"/>
        <v>650</v>
      </c>
      <c r="I582" s="12">
        <f t="shared" si="82"/>
        <v>0.29209149324309558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901.04126230883696</v>
      </c>
      <c r="F583" s="24">
        <f t="shared" si="80"/>
        <v>208.13692601082892</v>
      </c>
      <c r="G583" s="14">
        <f t="shared" si="81"/>
        <v>2161.8079935365759</v>
      </c>
      <c r="H583" s="24">
        <f t="shared" si="88"/>
        <v>650</v>
      </c>
      <c r="I583" s="12">
        <f t="shared" si="82"/>
        <v>0.2913062143750163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901.33256852321199</v>
      </c>
      <c r="F584" s="24">
        <f t="shared" si="80"/>
        <v>207.44897289432345</v>
      </c>
      <c r="G584" s="14">
        <f t="shared" si="81"/>
        <v>2156.1854660785962</v>
      </c>
      <c r="H584" s="24">
        <f t="shared" si="88"/>
        <v>650</v>
      </c>
      <c r="I584" s="12">
        <f t="shared" si="82"/>
        <v>0.29053054984717092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901.62309907305917</v>
      </c>
      <c r="F585" s="24">
        <f t="shared" si="80"/>
        <v>206.76882139867416</v>
      </c>
      <c r="G585" s="14">
        <f t="shared" si="81"/>
        <v>2150.6313101787573</v>
      </c>
      <c r="H585" s="24">
        <f t="shared" si="88"/>
        <v>650</v>
      </c>
      <c r="I585" s="12">
        <f t="shared" si="82"/>
        <v>0.28976424828815545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901.91286332134734</v>
      </c>
      <c r="F586" s="24">
        <f t="shared" si="80"/>
        <v>206.09627811632834</v>
      </c>
      <c r="G586" s="14">
        <f t="shared" si="81"/>
        <v>2145.143735988011</v>
      </c>
      <c r="H586" s="24">
        <f t="shared" si="88"/>
        <v>650</v>
      </c>
      <c r="I586" s="12">
        <f t="shared" si="82"/>
        <v>0.28900706592227393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902.20187038726965</v>
      </c>
      <c r="F587" s="24">
        <f t="shared" si="80"/>
        <v>205.43115552047198</v>
      </c>
      <c r="G587" s="14">
        <f t="shared" si="81"/>
        <v>2139.7210077082386</v>
      </c>
      <c r="H587" s="24">
        <f t="shared" si="88"/>
        <v>650</v>
      </c>
      <c r="I587" s="12">
        <f t="shared" si="82"/>
        <v>0.28825876634044323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902.49012915361004</v>
      </c>
      <c r="F588" s="24">
        <f t="shared" si="80"/>
        <v>204.77327178235498</v>
      </c>
      <c r="G588" s="14">
        <f t="shared" si="81"/>
        <v>2134.3614419643686</v>
      </c>
      <c r="H588" s="24">
        <f t="shared" si="88"/>
        <v>650</v>
      </c>
      <c r="I588" s="12">
        <f t="shared" si="82"/>
        <v>0.28751912027764565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902.77764827388773</v>
      </c>
      <c r="F589" s="24">
        <f t="shared" si="80"/>
        <v>204.12245059415</v>
      </c>
      <c r="G589" s="14">
        <f t="shared" si="81"/>
        <v>2129.0634062241147</v>
      </c>
      <c r="H589" s="24">
        <f t="shared" si="88"/>
        <v>650</v>
      </c>
      <c r="I589" s="12">
        <f t="shared" si="82"/>
        <v>0.28678790539691373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903.0644361792846</v>
      </c>
      <c r="F590" s="24">
        <f t="shared" si="80"/>
        <v>203.47852099725401</v>
      </c>
      <c r="G590" s="14">
        <f t="shared" si="81"/>
        <v>2123.8253172629106</v>
      </c>
      <c r="H590" s="24">
        <f t="shared" si="88"/>
        <v>650</v>
      </c>
      <c r="I590" s="12">
        <f t="shared" si="82"/>
        <v>0.28606490607954099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903.35050108536416</v>
      </c>
      <c r="F591" s="24">
        <f t="shared" si="80"/>
        <v>202.84131721575989</v>
      </c>
      <c r="G591" s="14">
        <f t="shared" si="81"/>
        <v>2118.6456396745607</v>
      </c>
      <c r="H591" s="24">
        <f t="shared" si="88"/>
        <v>650</v>
      </c>
      <c r="I591" s="12">
        <f t="shared" si="82"/>
        <v>0.28534991322154607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903.63585099858574</v>
      </c>
      <c r="F592" s="24">
        <f t="shared" si="80"/>
        <v>202.21067849504379</v>
      </c>
      <c r="G592" s="14">
        <f t="shared" si="81"/>
        <v>2113.5228844241019</v>
      </c>
      <c r="H592" s="24">
        <f t="shared" si="88"/>
        <v>650</v>
      </c>
      <c r="I592" s="12">
        <f t="shared" si="82"/>
        <v>0.28464272403595475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903.9204937226217</v>
      </c>
      <c r="F593" s="24">
        <f t="shared" ref="F593:F656" si="89">AlphaC*(D593-E593)</f>
        <v>201.58644894527527</v>
      </c>
      <c r="G593" s="14">
        <f t="shared" ref="G593:G656" si="90">Phi*EpsilonF*Botzman/10^8*J593*((D593+273)^4-(E593+273)^4)</f>
        <v>2108.4556074436464</v>
      </c>
      <c r="H593" s="24">
        <f t="shared" si="88"/>
        <v>650</v>
      </c>
      <c r="I593" s="12">
        <f t="shared" ref="I593:I656" si="91">ksh*Massivete/(H593*RhoA)*DeltaT*(F593+G593)</f>
        <v>0.28394314186097031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904.20443686448266</v>
      </c>
      <c r="F594" s="24">
        <f t="shared" si="89"/>
        <v>200.96847738968222</v>
      </c>
      <c r="G594" s="14">
        <f t="shared" si="90"/>
        <v>2103.4424082691407</v>
      </c>
      <c r="H594" s="24">
        <f t="shared" si="88"/>
        <v>650</v>
      </c>
      <c r="I594" s="12">
        <f t="shared" si="91"/>
        <v>0.28325097597375731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904.48768784045637</v>
      </c>
      <c r="F595" s="24">
        <f t="shared" si="89"/>
        <v>200.35661721751126</v>
      </c>
      <c r="G595" s="14">
        <f t="shared" si="90"/>
        <v>2098.4819287167888</v>
      </c>
      <c r="H595" s="24">
        <f t="shared" si="88"/>
        <v>650</v>
      </c>
      <c r="I595" s="12">
        <f t="shared" si="91"/>
        <v>0.28256604140967795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904.7702538818661</v>
      </c>
      <c r="F596" s="24">
        <f t="shared" si="89"/>
        <v>199.75072624145866</v>
      </c>
      <c r="G596" s="14">
        <f t="shared" si="90"/>
        <v>2093.5728515986789</v>
      </c>
      <c r="H596" s="24">
        <f t="shared" si="88"/>
        <v>650</v>
      </c>
      <c r="I596" s="12">
        <f t="shared" si="91"/>
        <v>0.28188815878689694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905.05214204065294</v>
      </c>
      <c r="F597" s="24">
        <f t="shared" si="89"/>
        <v>199.15066655944997</v>
      </c>
      <c r="G597" s="14">
        <f t="shared" si="90"/>
        <v>2088.7138994756401</v>
      </c>
      <c r="H597" s="24">
        <f t="shared" si="88"/>
        <v>650</v>
      </c>
      <c r="I597" s="12">
        <f t="shared" si="91"/>
        <v>0.2812171541360966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905.33335919478907</v>
      </c>
      <c r="F598" s="24">
        <f t="shared" si="89"/>
        <v>198.55630442075665</v>
      </c>
      <c r="G598" s="14">
        <f t="shared" si="90"/>
        <v>2083.9038334477714</v>
      </c>
      <c r="H598" s="24">
        <f t="shared" si="88"/>
        <v>650</v>
      </c>
      <c r="I598" s="12">
        <f t="shared" si="91"/>
        <v>0.2805528587353564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905.61391205352447</v>
      </c>
      <c r="F599" s="24">
        <f t="shared" si="89"/>
        <v>197.96751009611455</v>
      </c>
      <c r="G599" s="14">
        <f t="shared" si="90"/>
        <v>2079.1414519789473</v>
      </c>
      <c r="H599" s="24">
        <f t="shared" si="88"/>
        <v>650</v>
      </c>
      <c r="I599" s="12">
        <f t="shared" si="91"/>
        <v>0.27989510894969999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905.89380716247422</v>
      </c>
      <c r="F600" s="24">
        <f t="shared" si="89"/>
        <v>197.38415775192664</v>
      </c>
      <c r="G600" s="14">
        <f t="shared" si="90"/>
        <v>2074.4255897582875</v>
      </c>
      <c r="H600" s="24">
        <f t="shared" si="88"/>
        <v>650</v>
      </c>
      <c r="I600" s="12">
        <f t="shared" si="91"/>
        <v>0.27924374607568786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906.17305090854995</v>
      </c>
      <c r="F601" s="24">
        <f t="shared" si="89"/>
        <v>196.80612532829116</v>
      </c>
      <c r="G601" s="14">
        <f t="shared" si="90"/>
        <v>2069.7551165931959</v>
      </c>
      <c r="H601" s="24">
        <f t="shared" si="88"/>
        <v>650</v>
      </c>
      <c r="I601" s="12">
        <f t="shared" si="91"/>
        <v>0.27859861619036119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906.45164952474033</v>
      </c>
      <c r="F602" s="24">
        <f t="shared" si="89"/>
        <v>196.23329442084128</v>
      </c>
      <c r="G602" s="14">
        <f t="shared" si="90"/>
        <v>2065.1289363367173</v>
      </c>
      <c r="H602" s="24">
        <f t="shared" si="88"/>
        <v>650</v>
      </c>
      <c r="I602" s="12">
        <f t="shared" si="91"/>
        <v>0.27795957000487154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906.72960909474523</v>
      </c>
      <c r="F603" s="24">
        <f t="shared" si="89"/>
        <v>195.66555016616576</v>
      </c>
      <c r="G603" s="14">
        <f t="shared" si="90"/>
        <v>2060.5459858455433</v>
      </c>
      <c r="H603" s="24">
        <f t="shared" si="88"/>
        <v>650</v>
      </c>
      <c r="I603" s="12">
        <f t="shared" si="91"/>
        <v>0.27732646272231859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907.0069355574675</v>
      </c>
      <c r="F604" s="24">
        <f t="shared" si="89"/>
        <v>195.10278113084496</v>
      </c>
      <c r="G604" s="14">
        <f t="shared" si="90"/>
        <v>2056.0052339702474</v>
      </c>
      <c r="H604" s="24">
        <f t="shared" si="88"/>
        <v>650</v>
      </c>
      <c r="I604" s="12">
        <f t="shared" si="91"/>
        <v>0.276699153899994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907.28363471136754</v>
      </c>
      <c r="F605" s="24">
        <f t="shared" si="89"/>
        <v>194.54487920386612</v>
      </c>
      <c r="G605" s="14">
        <f t="shared" si="90"/>
        <v>2051.5056805743029</v>
      </c>
      <c r="H605" s="24">
        <f t="shared" si="88"/>
        <v>650</v>
      </c>
      <c r="I605" s="12">
        <f t="shared" si="91"/>
        <v>0.27607750731557762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907.5597122186831</v>
      </c>
      <c r="F606" s="24">
        <f t="shared" si="89"/>
        <v>193.9917394923981</v>
      </c>
      <c r="G606" s="14">
        <f t="shared" si="90"/>
        <v>2047.046355583383</v>
      </c>
      <c r="H606" s="24">
        <f t="shared" si="88"/>
        <v>650</v>
      </c>
      <c r="I606" s="12">
        <f t="shared" si="91"/>
        <v>0.27546139083746984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907.83517360952055</v>
      </c>
      <c r="F607" s="24">
        <f t="shared" si="89"/>
        <v>193.44326022079485</v>
      </c>
      <c r="G607" s="14">
        <f t="shared" si="90"/>
        <v>2042.6263180623262</v>
      </c>
      <c r="H607" s="24">
        <f t="shared" si="88"/>
        <v>650</v>
      </c>
      <c r="I607" s="12">
        <f t="shared" si="91"/>
        <v>0.27485067629892057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908.11002428581946</v>
      </c>
      <c r="F608" s="24">
        <f t="shared" si="89"/>
        <v>192.89934263273096</v>
      </c>
      <c r="G608" s="14">
        <f t="shared" si="90"/>
        <v>2038.2446553201444</v>
      </c>
      <c r="H608" s="24">
        <f t="shared" si="88"/>
        <v>650</v>
      </c>
      <c r="I608" s="12">
        <f t="shared" si="91"/>
        <v>0.27424523937599077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908.38426952519546</v>
      </c>
      <c r="F609" s="24">
        <f t="shared" si="89"/>
        <v>192.35989089637258</v>
      </c>
      <c r="G609" s="14">
        <f t="shared" si="90"/>
        <v>2033.9004820416103</v>
      </c>
      <c r="H609" s="24">
        <f t="shared" si="88"/>
        <v>650</v>
      </c>
      <c r="I609" s="12">
        <f t="shared" si="91"/>
        <v>0.27364495946915346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908.65791448466462</v>
      </c>
      <c r="F610" s="24">
        <f t="shared" si="89"/>
        <v>191.82481201250994</v>
      </c>
      <c r="G610" s="14">
        <f t="shared" si="90"/>
        <v>2029.5929394450661</v>
      </c>
      <c r="H610" s="24">
        <f t="shared" si="88"/>
        <v>650</v>
      </c>
      <c r="I610" s="12">
        <f t="shared" si="91"/>
        <v>0.27304971958848234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908.93096420425309</v>
      </c>
      <c r="F611" s="24">
        <f t="shared" si="89"/>
        <v>191.29401572554059</v>
      </c>
      <c r="G611" s="14">
        <f t="shared" si="90"/>
        <v>2025.3211944651057</v>
      </c>
      <c r="H611" s="24">
        <f t="shared" si="88"/>
        <v>650</v>
      </c>
      <c r="I611" s="12">
        <f t="shared" si="91"/>
        <v>0.27245940624224807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909.20342361049529</v>
      </c>
      <c r="F612" s="24">
        <f t="shared" si="89"/>
        <v>190.76741443722938</v>
      </c>
      <c r="G612" s="14">
        <f t="shared" si="90"/>
        <v>2021.0844389604315</v>
      </c>
      <c r="H612" s="24">
        <f t="shared" si="88"/>
        <v>650</v>
      </c>
      <c r="I612" s="12">
        <f t="shared" si="91"/>
        <v>0.27187390932894967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909.47529751982427</v>
      </c>
      <c r="F613" s="24">
        <f t="shared" si="89"/>
        <v>190.24492312315147</v>
      </c>
      <c r="G613" s="14">
        <f t="shared" si="90"/>
        <v>2016.8818889451618</v>
      </c>
      <c r="H613" s="24">
        <f t="shared" si="88"/>
        <v>650</v>
      </c>
      <c r="I613" s="12">
        <f t="shared" si="91"/>
        <v>0.27129312203255945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909.74659064185687</v>
      </c>
      <c r="F614" s="24">
        <f t="shared" si="89"/>
        <v>189.72645925177858</v>
      </c>
      <c r="G614" s="14">
        <f t="shared" si="90"/>
        <v>2012.7127838436249</v>
      </c>
      <c r="H614" s="24">
        <f t="shared" si="88"/>
        <v>650</v>
      </c>
      <c r="I614" s="12">
        <f t="shared" si="91"/>
        <v>0.27071694072097818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910.01730758257781</v>
      </c>
      <c r="F615" s="24">
        <f t="shared" si="89"/>
        <v>189.21194270603507</v>
      </c>
      <c r="G615" s="14">
        <f t="shared" si="90"/>
        <v>2008.5763857669476</v>
      </c>
      <c r="H615" s="24">
        <f t="shared" si="88"/>
        <v>650</v>
      </c>
      <c r="I615" s="12">
        <f t="shared" si="91"/>
        <v>0.27014526484747414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910.28745284742524</v>
      </c>
      <c r="F616" s="24">
        <f t="shared" si="89"/>
        <v>188.70129570734377</v>
      </c>
      <c r="G616" s="14">
        <f t="shared" si="90"/>
        <v>2004.4719788122877</v>
      </c>
      <c r="H616" s="24">
        <f t="shared" si="88"/>
        <v>650</v>
      </c>
      <c r="I616" s="12">
        <f t="shared" si="91"/>
        <v>0.26957799685521044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910.55703084428046</v>
      </c>
      <c r="F617" s="24">
        <f t="shared" si="89"/>
        <v>188.19444274205921</v>
      </c>
      <c r="G617" s="14">
        <f t="shared" si="90"/>
        <v>2000.398868383269</v>
      </c>
      <c r="H617" s="24">
        <f t="shared" si="88"/>
        <v>650</v>
      </c>
      <c r="I617" s="12">
        <f t="shared" si="91"/>
        <v>0.26901504208467275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910.82604588636514</v>
      </c>
      <c r="F618" s="24">
        <f t="shared" si="89"/>
        <v>187.69131049018597</v>
      </c>
      <c r="G618" s="14">
        <f t="shared" si="90"/>
        <v>1996.356380530252</v>
      </c>
      <c r="H618" s="24">
        <f t="shared" si="88"/>
        <v>650</v>
      </c>
      <c r="I618" s="12">
        <f t="shared" si="91"/>
        <v>0.26845630868381576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911.0945021950489</v>
      </c>
      <c r="F619" s="24">
        <f t="shared" si="89"/>
        <v>187.19182775632248</v>
      </c>
      <c r="G619" s="14">
        <f t="shared" si="90"/>
        <v>1992.3438613114552</v>
      </c>
      <c r="H619" s="24">
        <f t="shared" si="88"/>
        <v>650</v>
      </c>
      <c r="I619" s="12">
        <f t="shared" si="91"/>
        <v>0.26790170752104564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911.36240390256989</v>
      </c>
      <c r="F620" s="24">
        <f t="shared" si="89"/>
        <v>186.69592540281883</v>
      </c>
      <c r="G620" s="14">
        <f t="shared" si="90"/>
        <v>1988.3606761729359</v>
      </c>
      <c r="H620" s="24">
        <f t="shared" si="88"/>
        <v>650</v>
      </c>
      <c r="I620" s="12">
        <f t="shared" si="91"/>
        <v>0.26735115210079358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911.62975505467068</v>
      </c>
      <c r="F621" s="24">
        <f t="shared" si="89"/>
        <v>186.20353628496957</v>
      </c>
      <c r="G621" s="14">
        <f t="shared" si="90"/>
        <v>1984.4062093479586</v>
      </c>
      <c r="H621" s="24">
        <f t="shared" si="88"/>
        <v>650</v>
      </c>
      <c r="I621" s="12">
        <f t="shared" si="91"/>
        <v>0.26680455848172191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911.89655961315236</v>
      </c>
      <c r="F622" s="24">
        <f t="shared" si="89"/>
        <v>185.71459518828988</v>
      </c>
      <c r="G622" s="14">
        <f t="shared" si="90"/>
        <v>1980.4798632737572</v>
      </c>
      <c r="H622" s="24">
        <f t="shared" si="88"/>
        <v>650</v>
      </c>
      <c r="I622" s="12">
        <f t="shared" si="91"/>
        <v>0.26626184519732476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912.16282145834964</v>
      </c>
      <c r="F623" s="24">
        <f t="shared" si="89"/>
        <v>185.22903876777264</v>
      </c>
      <c r="G623" s="14">
        <f t="shared" si="90"/>
        <v>1976.5810580274936</v>
      </c>
      <c r="H623" s="24">
        <f t="shared" si="88"/>
        <v>650</v>
      </c>
      <c r="I623" s="12">
        <f t="shared" si="91"/>
        <v>0.2657229331791312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912.42854439152882</v>
      </c>
      <c r="F624" s="24">
        <f t="shared" si="89"/>
        <v>184.74680548899869</v>
      </c>
      <c r="G624" s="14">
        <f t="shared" si="90"/>
        <v>1972.7092307777004</v>
      </c>
      <c r="H624" s="24">
        <f t="shared" si="88"/>
        <v>650</v>
      </c>
      <c r="I624" s="12">
        <f t="shared" si="91"/>
        <v>0.26518774568204001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912.69373213721087</v>
      </c>
      <c r="F625" s="24">
        <f t="shared" si="89"/>
        <v>184.26783557117972</v>
      </c>
      <c r="G625" s="14">
        <f t="shared" si="90"/>
        <v>1968.8638352541827</v>
      </c>
      <c r="H625" s="24">
        <f t="shared" si="88"/>
        <v>650</v>
      </c>
      <c r="I625" s="12">
        <f t="shared" si="91"/>
        <v>0.26465620821216057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912.95838834542303</v>
      </c>
      <c r="F626" s="24">
        <f t="shared" si="89"/>
        <v>183.79207093194339</v>
      </c>
      <c r="G626" s="14">
        <f t="shared" si="90"/>
        <v>1965.0443412327656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0.26412824845669275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913.22251659387973</v>
      </c>
      <c r="F627" s="24">
        <f t="shared" si="89"/>
        <v>183.31945513387495</v>
      </c>
      <c r="G627" s="14">
        <f t="shared" si="90"/>
        <v>1961.2502340367457</v>
      </c>
      <c r="H627" s="24">
        <f t="shared" si="97"/>
        <v>650</v>
      </c>
      <c r="I627" s="12">
        <f t="shared" si="91"/>
        <v>0.26360379621607605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913.48612039009583</v>
      </c>
      <c r="F628" s="24">
        <f t="shared" si="89"/>
        <v>182.84993333276987</v>
      </c>
      <c r="G628" s="14">
        <f t="shared" si="90"/>
        <v>1957.4810140534714</v>
      </c>
      <c r="H628" s="24">
        <f t="shared" si="97"/>
        <v>650</v>
      </c>
      <c r="I628" s="12">
        <f t="shared" si="91"/>
        <v>0.26308278333820861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913.74920317343401</v>
      </c>
      <c r="F629" s="24">
        <f t="shared" si="89"/>
        <v>182.38345222747228</v>
      </c>
      <c r="G629" s="14">
        <f t="shared" si="90"/>
        <v>1953.736196264902</v>
      </c>
      <c r="H629" s="24">
        <f t="shared" si="97"/>
        <v>650</v>
      </c>
      <c r="I629" s="12">
        <f t="shared" si="91"/>
        <v>0.262565143654579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914.01176831708858</v>
      </c>
      <c r="F630" s="24">
        <f t="shared" si="89"/>
        <v>181.91996001135919</v>
      </c>
      <c r="G630" s="14">
        <f t="shared" si="90"/>
        <v>1950.0153097939842</v>
      </c>
      <c r="H630" s="24">
        <f t="shared" si="97"/>
        <v>650</v>
      </c>
      <c r="I630" s="12">
        <f t="shared" si="91"/>
        <v>0.26205081291854521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914.27381913000715</v>
      </c>
      <c r="F631" s="24">
        <f t="shared" si="89"/>
        <v>181.45940632533382</v>
      </c>
      <c r="G631" s="14">
        <f t="shared" si="90"/>
        <v>1946.3178974640016</v>
      </c>
      <c r="H631" s="24">
        <f t="shared" si="97"/>
        <v>650</v>
      </c>
      <c r="I631" s="12">
        <f t="shared" si="91"/>
        <v>0.26153972874539294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914.5353588587526</v>
      </c>
      <c r="F632" s="24">
        <f t="shared" si="89"/>
        <v>181.00174221227974</v>
      </c>
      <c r="G632" s="14">
        <f t="shared" si="90"/>
        <v>1942.6435153718</v>
      </c>
      <c r="H632" s="24">
        <f t="shared" si="97"/>
        <v>650</v>
      </c>
      <c r="I632" s="12">
        <f t="shared" si="91"/>
        <v>0.26103183055427992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914.79639068930692</v>
      </c>
      <c r="F633" s="24">
        <f t="shared" si="89"/>
        <v>180.54692007301583</v>
      </c>
      <c r="G633" s="14">
        <f t="shared" si="90"/>
        <v>1938.9917324742316</v>
      </c>
      <c r="H633" s="24">
        <f t="shared" si="97"/>
        <v>650</v>
      </c>
      <c r="I633" s="12">
        <f t="shared" si="91"/>
        <v>0.26052705951198857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915.05691774881893</v>
      </c>
      <c r="F634" s="24">
        <f t="shared" si="89"/>
        <v>180.09489362360114</v>
      </c>
      <c r="G634" s="14">
        <f t="shared" si="90"/>
        <v>1935.3621301870585</v>
      </c>
      <c r="H634" s="24">
        <f t="shared" si="97"/>
        <v>650</v>
      </c>
      <c r="I634" s="12">
        <f t="shared" si="91"/>
        <v>0.26002535847837688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915.31694310729733</v>
      </c>
      <c r="F635" s="24">
        <f t="shared" si="89"/>
        <v>179.6456178540268</v>
      </c>
      <c r="G635" s="14">
        <f t="shared" si="90"/>
        <v>1931.7543019968216</v>
      </c>
      <c r="H635" s="24">
        <f t="shared" si="97"/>
        <v>650</v>
      </c>
      <c r="I635" s="12">
        <f t="shared" si="91"/>
        <v>0.25952667195359286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915.57646977925094</v>
      </c>
      <c r="F636" s="24">
        <f t="shared" si="89"/>
        <v>179.19904898818402</v>
      </c>
      <c r="G636" s="14">
        <f t="shared" si="90"/>
        <v>1928.1678530842228</v>
      </c>
      <c r="H636" s="24">
        <f t="shared" si="97"/>
        <v>650</v>
      </c>
      <c r="I636" s="12">
        <f t="shared" si="91"/>
        <v>0.25903094602686155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915.83550072527783</v>
      </c>
      <c r="F637" s="24">
        <f t="shared" si="89"/>
        <v>178.7551444451509</v>
      </c>
      <c r="G637" s="14">
        <f t="shared" si="90"/>
        <v>1924.6023999590266</v>
      </c>
      <c r="H637" s="24">
        <f t="shared" si="97"/>
        <v>650</v>
      </c>
      <c r="I637" s="12">
        <f t="shared" si="91"/>
        <v>0.25853812832684919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916.09403885360473</v>
      </c>
      <c r="F638" s="24">
        <f t="shared" si="89"/>
        <v>178.31386280167862</v>
      </c>
      <c r="G638" s="14">
        <f t="shared" si="90"/>
        <v>1921.0575701071141</v>
      </c>
      <c r="H638" s="24">
        <f t="shared" si="97"/>
        <v>650</v>
      </c>
      <c r="I638" s="12">
        <f t="shared" si="91"/>
        <v>0.2580481679736697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916.35208702157843</v>
      </c>
      <c r="F639" s="24">
        <f t="shared" si="89"/>
        <v>177.875163755877</v>
      </c>
      <c r="G639" s="14">
        <f t="shared" si="90"/>
        <v>1917.5330016475264</v>
      </c>
      <c r="H639" s="24">
        <f t="shared" si="97"/>
        <v>650</v>
      </c>
      <c r="I639" s="12">
        <f t="shared" si="91"/>
        <v>0.25756101553226574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916.60964803711067</v>
      </c>
      <c r="F640" s="24">
        <f t="shared" si="89"/>
        <v>177.43900809205968</v>
      </c>
      <c r="G640" s="14">
        <f t="shared" si="90"/>
        <v>1914.0283430006234</v>
      </c>
      <c r="H640" s="24">
        <f t="shared" si="97"/>
        <v>650</v>
      </c>
      <c r="I640" s="12">
        <f t="shared" si="91"/>
        <v>0.25707662296729844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916.86672466007792</v>
      </c>
      <c r="F641" s="24">
        <f t="shared" si="89"/>
        <v>177.00535764670633</v>
      </c>
      <c r="G641" s="14">
        <f t="shared" si="90"/>
        <v>1910.5432525665908</v>
      </c>
      <c r="H641" s="24">
        <f t="shared" si="97"/>
        <v>650</v>
      </c>
      <c r="I641" s="12">
        <f t="shared" si="91"/>
        <v>0.2565949435994469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917.12331960367737</v>
      </c>
      <c r="F642" s="24">
        <f t="shared" si="89"/>
        <v>176.574175275519</v>
      </c>
      <c r="G642" s="14">
        <f t="shared" si="90"/>
        <v>1907.0773984138984</v>
      </c>
      <c r="H642" s="24">
        <f t="shared" si="97"/>
        <v>650</v>
      </c>
      <c r="I642" s="12">
        <f t="shared" si="91"/>
        <v>0.25611593206306515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917.37943553574041</v>
      </c>
      <c r="F643" s="24">
        <f t="shared" si="89"/>
        <v>176.14542482151876</v>
      </c>
      <c r="G643" s="14">
        <f t="shared" si="90"/>
        <v>1903.6304579772166</v>
      </c>
      <c r="H643" s="24">
        <f t="shared" si="97"/>
        <v>650</v>
      </c>
      <c r="I643" s="12">
        <f t="shared" si="91"/>
        <v>0.25563954426512936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917.63507508000555</v>
      </c>
      <c r="F644" s="24">
        <f t="shared" si="89"/>
        <v>175.71907108415701</v>
      </c>
      <c r="G644" s="14">
        <f t="shared" si="90"/>
        <v>1900.2021177650026</v>
      </c>
      <c r="H644" s="24">
        <f t="shared" si="97"/>
        <v>650</v>
      </c>
      <c r="I644" s="12">
        <f t="shared" si="91"/>
        <v>0.25516573734549863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917.89024081735101</v>
      </c>
      <c r="F645" s="24">
        <f t="shared" si="89"/>
        <v>175.29507978944707</v>
      </c>
      <c r="G645" s="14">
        <f t="shared" si="90"/>
        <v>1896.7920730763419</v>
      </c>
      <c r="H645" s="24">
        <f t="shared" si="97"/>
        <v>650</v>
      </c>
      <c r="I645" s="12">
        <f t="shared" si="91"/>
        <v>0.25469446963843878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918.14493528698949</v>
      </c>
      <c r="F646" s="24">
        <f t="shared" si="89"/>
        <v>174.8734175610025</v>
      </c>
      <c r="G646" s="14">
        <f t="shared" si="90"/>
        <v>1893.4000277261887</v>
      </c>
      <c r="H646" s="24">
        <f t="shared" si="97"/>
        <v>650</v>
      </c>
      <c r="I646" s="12">
        <f t="shared" si="91"/>
        <v>0.2542257006352896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918.39916098762478</v>
      </c>
      <c r="F647" s="24">
        <f t="shared" si="89"/>
        <v>174.45405189201608</v>
      </c>
      <c r="G647" s="14">
        <f t="shared" si="90"/>
        <v>1890.0256937794943</v>
      </c>
      <c r="H647" s="24">
        <f t="shared" si="97"/>
        <v>650</v>
      </c>
      <c r="I647" s="12">
        <f t="shared" si="91"/>
        <v>0.25375939094834088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918.65292037857307</v>
      </c>
      <c r="F648" s="24">
        <f t="shared" si="89"/>
        <v>174.03695111817399</v>
      </c>
      <c r="G648" s="14">
        <f t="shared" si="90"/>
        <v>1886.6687912936286</v>
      </c>
      <c r="H648" s="24">
        <f t="shared" si="97"/>
        <v>650</v>
      </c>
      <c r="I648" s="12">
        <f t="shared" si="91"/>
        <v>0.25329550227584191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918.90621588084889</v>
      </c>
      <c r="F649" s="24">
        <f t="shared" si="89"/>
        <v>173.62208439137135</v>
      </c>
      <c r="G649" s="14">
        <f t="shared" si="90"/>
        <v>1883.3290480691646</v>
      </c>
      <c r="H649" s="24">
        <f t="shared" si="97"/>
        <v>650</v>
      </c>
      <c r="I649" s="12">
        <f t="shared" si="91"/>
        <v>0.25283399736813839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919.15904987821705</v>
      </c>
      <c r="F650" s="24">
        <f t="shared" si="89"/>
        <v>173.20942165430893</v>
      </c>
      <c r="G650" s="14">
        <f t="shared" si="90"/>
        <v>1880.0061994069517</v>
      </c>
      <c r="H650" s="24">
        <f t="shared" si="97"/>
        <v>650</v>
      </c>
      <c r="I650" s="12">
        <f t="shared" si="91"/>
        <v>0.25237483999468963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919.41142471821172</v>
      </c>
      <c r="F651" s="24">
        <f t="shared" si="89"/>
        <v>172.79893361593679</v>
      </c>
      <c r="G651" s="14">
        <f t="shared" si="90"/>
        <v>1876.6999878759057</v>
      </c>
      <c r="H651" s="24">
        <f t="shared" si="97"/>
        <v>650</v>
      </c>
      <c r="I651" s="12">
        <f t="shared" si="91"/>
        <v>0.25191799491250799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919.66334271312428</v>
      </c>
      <c r="F652" s="24">
        <f t="shared" si="89"/>
        <v>172.39059172758004</v>
      </c>
      <c r="G652" s="14">
        <f t="shared" si="90"/>
        <v>1873.4101630841321</v>
      </c>
      <c r="H652" s="24">
        <f t="shared" si="97"/>
        <v>650</v>
      </c>
      <c r="I652" s="12">
        <f t="shared" si="91"/>
        <v>0.25146342783509157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919.9148061409594</v>
      </c>
      <c r="F653" s="24">
        <f t="shared" si="89"/>
        <v>171.98436815995137</v>
      </c>
      <c r="G653" s="14">
        <f t="shared" si="90"/>
        <v>1870.1364814607973</v>
      </c>
      <c r="H653" s="24">
        <f t="shared" si="97"/>
        <v>650</v>
      </c>
      <c r="I653" s="12">
        <f t="shared" si="91"/>
        <v>0.25101110540278659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920.16581724636217</v>
      </c>
      <c r="F654" s="24">
        <f t="shared" si="89"/>
        <v>171.58023578080872</v>
      </c>
      <c r="G654" s="14">
        <f t="shared" si="90"/>
        <v>1866.8787060424827</v>
      </c>
      <c r="H654" s="24">
        <f t="shared" si="97"/>
        <v>650</v>
      </c>
      <c r="I654" s="12">
        <f t="shared" si="91"/>
        <v>0.25056099515378072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920.41637824151599</v>
      </c>
      <c r="F655" s="24">
        <f t="shared" si="89"/>
        <v>171.17816813340028</v>
      </c>
      <c r="G655" s="14">
        <f t="shared" si="90"/>
        <v>1863.6366062674394</v>
      </c>
      <c r="H655" s="24">
        <f t="shared" si="97"/>
        <v>650</v>
      </c>
      <c r="I655" s="12">
        <f t="shared" si="91"/>
        <v>0.25011306549616413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920.66649130701217</v>
      </c>
      <c r="F656" s="24">
        <f t="shared" si="89"/>
        <v>170.77813941552336</v>
      </c>
      <c r="G656" s="14">
        <f t="shared" si="90"/>
        <v>1860.4099577758302</v>
      </c>
      <c r="H656" s="24">
        <f t="shared" si="97"/>
        <v>650</v>
      </c>
      <c r="I656" s="12">
        <f t="shared" si="91"/>
        <v>0.24966728568080143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920.91615859269302</v>
      </c>
      <c r="F657" s="24">
        <f t="shared" ref="F657:F720" si="98">AlphaC*(D657-E657)</f>
        <v>170.38012445934214</v>
      </c>
      <c r="G657" s="14">
        <f t="shared" ref="G657:G720" si="99">Phi*EpsilonF*Botzman/10^8*J657*((D657+273)^4-(E657+273)^4)</f>
        <v>1857.1985422164437</v>
      </c>
      <c r="H657" s="24">
        <f t="shared" si="97"/>
        <v>650</v>
      </c>
      <c r="I657" s="12">
        <f t="shared" ref="I657:I720" si="100">ksh*Massivete/(H657*RhoA)*DeltaT*(F657+G657)</f>
        <v>0.24922362577509338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921.16538221846815</v>
      </c>
      <c r="F658" s="24">
        <f t="shared" si="98"/>
        <v>169.98409871178524</v>
      </c>
      <c r="G658" s="14">
        <f t="shared" si="99"/>
        <v>1854.0021470597856</v>
      </c>
      <c r="H658" s="24">
        <f t="shared" si="97"/>
        <v>650</v>
      </c>
      <c r="I658" s="12">
        <f t="shared" si="100"/>
        <v>0.24878205663759273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921.41416427510569</v>
      </c>
      <c r="F659" s="24">
        <f t="shared" si="98"/>
        <v>169.59003821560259</v>
      </c>
      <c r="G659" s="14">
        <f t="shared" si="99"/>
        <v>1850.8205654158678</v>
      </c>
      <c r="H659" s="24">
        <f t="shared" si="97"/>
        <v>650</v>
      </c>
      <c r="I659" s="12">
        <f t="shared" si="100"/>
        <v>0.24834254989327931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921.66250682499901</v>
      </c>
      <c r="F660" s="24">
        <f t="shared" si="98"/>
        <v>169.19791959103634</v>
      </c>
      <c r="G660" s="14">
        <f t="shared" si="99"/>
        <v>1847.6535958595689</v>
      </c>
      <c r="H660" s="24">
        <f t="shared" si="97"/>
        <v>650</v>
      </c>
      <c r="I660" s="12">
        <f t="shared" si="100"/>
        <v>0.2479050779098407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921.91041190290889</v>
      </c>
      <c r="F661" s="24">
        <f t="shared" si="98"/>
        <v>168.80772001806008</v>
      </c>
      <c r="G661" s="14">
        <f t="shared" si="99"/>
        <v>1844.5010422603311</v>
      </c>
      <c r="H661" s="24">
        <f t="shared" si="97"/>
        <v>650</v>
      </c>
      <c r="I661" s="12">
        <f t="shared" si="100"/>
        <v>0.24746961377455612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922.15788151668346</v>
      </c>
      <c r="F662" s="24">
        <f t="shared" si="98"/>
        <v>168.41941721921785</v>
      </c>
      <c r="G662" s="14">
        <f t="shared" si="99"/>
        <v>1841.3627136170933</v>
      </c>
      <c r="H662" s="24">
        <f t="shared" si="97"/>
        <v>650</v>
      </c>
      <c r="I662" s="12">
        <f t="shared" si="100"/>
        <v>0.24703613127189761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922.40491764795536</v>
      </c>
      <c r="F663" s="24">
        <f t="shared" si="98"/>
        <v>168.03298944298604</v>
      </c>
      <c r="G663" s="14">
        <f t="shared" si="99"/>
        <v>1838.2384238992502</v>
      </c>
      <c r="H663" s="24">
        <f t="shared" si="97"/>
        <v>650</v>
      </c>
      <c r="I663" s="12">
        <f t="shared" si="100"/>
        <v>0.24660460486193597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922.65152225281724</v>
      </c>
      <c r="F664" s="24">
        <f t="shared" si="98"/>
        <v>167.64841544766682</v>
      </c>
      <c r="G664" s="14">
        <f t="shared" si="99"/>
        <v>1835.1279918917091</v>
      </c>
      <c r="H664" s="24">
        <f t="shared" si="97"/>
        <v>650</v>
      </c>
      <c r="I664" s="12">
        <f t="shared" si="100"/>
        <v>0.24617500965931599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922.89769726247653</v>
      </c>
      <c r="F665" s="24">
        <f t="shared" si="98"/>
        <v>167.26567448586138</v>
      </c>
      <c r="G665" s="14">
        <f t="shared" si="99"/>
        <v>1832.0312410463835</v>
      </c>
      <c r="H665" s="24">
        <f t="shared" si="97"/>
        <v>650</v>
      </c>
      <c r="I665" s="12">
        <f t="shared" si="100"/>
        <v>0.24574732141309386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923.14344458388962</v>
      </c>
      <c r="F666" s="24">
        <f t="shared" si="98"/>
        <v>166.88474628935239</v>
      </c>
      <c r="G666" s="14">
        <f t="shared" si="99"/>
        <v>1828.9479993359892</v>
      </c>
      <c r="H666" s="24">
        <f t="shared" si="97"/>
        <v>650</v>
      </c>
      <c r="I666" s="12">
        <f t="shared" si="100"/>
        <v>0.24532151648690823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923.38876610037653</v>
      </c>
      <c r="F667" s="24">
        <f t="shared" si="98"/>
        <v>166.50561105453505</v>
      </c>
      <c r="G667" s="14">
        <f t="shared" si="99"/>
        <v>1825.878099114821</v>
      </c>
      <c r="H667" s="24">
        <f t="shared" si="97"/>
        <v>650</v>
      </c>
      <c r="I667" s="12">
        <f t="shared" si="100"/>
        <v>0.24489757184007646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923.63366367221658</v>
      </c>
      <c r="F668" s="24">
        <f t="shared" si="98"/>
        <v>166.12824942832844</v>
      </c>
      <c r="G668" s="14">
        <f t="shared" si="99"/>
        <v>1822.8213769828506</v>
      </c>
      <c r="H668" s="24">
        <f t="shared" si="97"/>
        <v>650</v>
      </c>
      <c r="I668" s="12">
        <f t="shared" si="100"/>
        <v>0.24447546500915807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923.87813913722573</v>
      </c>
      <c r="F669" s="24">
        <f t="shared" si="98"/>
        <v>165.75264249446491</v>
      </c>
      <c r="G669" s="14">
        <f t="shared" si="99"/>
        <v>1819.7776736543692</v>
      </c>
      <c r="H669" s="24">
        <f t="shared" si="97"/>
        <v>650</v>
      </c>
      <c r="I669" s="12">
        <f t="shared" si="100"/>
        <v>0.24405517409012373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924.12219431131587</v>
      </c>
      <c r="F670" s="24">
        <f t="shared" si="98"/>
        <v>165.37877176028246</v>
      </c>
      <c r="G670" s="14">
        <f t="shared" si="99"/>
        <v>1816.7468338296749</v>
      </c>
      <c r="H670" s="24">
        <f t="shared" si="97"/>
        <v>650</v>
      </c>
      <c r="I670" s="12">
        <f t="shared" si="100"/>
        <v>0.24363667772095982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924.36583098903679</v>
      </c>
      <c r="F671" s="24">
        <f t="shared" si="98"/>
        <v>165.0066191439663</v>
      </c>
      <c r="G671" s="14">
        <f t="shared" si="99"/>
        <v>1813.7287060737137</v>
      </c>
      <c r="H671" s="24">
        <f t="shared" si="97"/>
        <v>650</v>
      </c>
      <c r="I671" s="12">
        <f t="shared" si="100"/>
        <v>0.24321995506518324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924.60905094410202</v>
      </c>
      <c r="F672" s="24">
        <f t="shared" si="98"/>
        <v>164.63616696212</v>
      </c>
      <c r="G672" s="14">
        <f t="shared" si="99"/>
        <v>1810.723142695025</v>
      </c>
      <c r="H672" s="24">
        <f t="shared" si="97"/>
        <v>650</v>
      </c>
      <c r="I672" s="12">
        <f t="shared" si="100"/>
        <v>0.24280498579543394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924.85185592989751</v>
      </c>
      <c r="F673" s="24">
        <f t="shared" si="98"/>
        <v>164.2673979177971</v>
      </c>
      <c r="G673" s="14">
        <f t="shared" si="99"/>
        <v>1807.7299996310792</v>
      </c>
      <c r="H673" s="24">
        <f t="shared" si="97"/>
        <v>650</v>
      </c>
      <c r="I673" s="12">
        <f t="shared" si="100"/>
        <v>0.24239175007791006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925.09424767997541</v>
      </c>
      <c r="F674" s="24">
        <f t="shared" si="98"/>
        <v>163.90029508891075</v>
      </c>
      <c r="G674" s="14">
        <f t="shared" si="99"/>
        <v>1804.7491363364561</v>
      </c>
      <c r="H674" s="24">
        <f t="shared" si="97"/>
        <v>650</v>
      </c>
      <c r="I674" s="12">
        <f t="shared" si="100"/>
        <v>0.24198022855719825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925.33622790853258</v>
      </c>
      <c r="F675" s="24">
        <f t="shared" si="98"/>
        <v>163.53484191699579</v>
      </c>
      <c r="G675" s="14">
        <f t="shared" si="99"/>
        <v>1801.7804156742316</v>
      </c>
      <c r="H675" s="24">
        <f t="shared" si="97"/>
        <v>650</v>
      </c>
      <c r="I675" s="12">
        <f t="shared" si="100"/>
        <v>0.2415704023415422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925.57779831087407</v>
      </c>
      <c r="F676" s="24">
        <f t="shared" si="98"/>
        <v>163.1710221963516</v>
      </c>
      <c r="G676" s="14">
        <f t="shared" si="99"/>
        <v>1798.8237038114207</v>
      </c>
      <c r="H676" s="24">
        <f t="shared" si="97"/>
        <v>650</v>
      </c>
      <c r="I676" s="12">
        <f t="shared" si="100"/>
        <v>0.24116225298865612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925.81896056386267</v>
      </c>
      <c r="F677" s="24">
        <f t="shared" si="98"/>
        <v>162.8088200635375</v>
      </c>
      <c r="G677" s="14">
        <f t="shared" si="99"/>
        <v>1795.8788701174005</v>
      </c>
      <c r="H677" s="24">
        <f t="shared" si="97"/>
        <v>650</v>
      </c>
      <c r="I677" s="12">
        <f t="shared" si="100"/>
        <v>0.24075576249194802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926.05971632635465</v>
      </c>
      <c r="F678" s="24">
        <f t="shared" si="98"/>
        <v>162.4482199871693</v>
      </c>
      <c r="G678" s="14">
        <f t="shared" si="99"/>
        <v>1792.9457870654005</v>
      </c>
      <c r="H678" s="24">
        <f t="shared" si="97"/>
        <v>650</v>
      </c>
      <c r="I678" s="12">
        <f t="shared" si="100"/>
        <v>0.24035091326715716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926.30006723962185</v>
      </c>
      <c r="F679" s="24">
        <f t="shared" si="98"/>
        <v>162.08920675811953</v>
      </c>
      <c r="G679" s="14">
        <f t="shared" si="99"/>
        <v>1790.0243301379489</v>
      </c>
      <c r="H679" s="24">
        <f t="shared" si="97"/>
        <v>650</v>
      </c>
      <c r="I679" s="12">
        <f t="shared" si="100"/>
        <v>0.23994768813952716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926.54001492776138</v>
      </c>
      <c r="F680" s="24">
        <f t="shared" si="98"/>
        <v>161.73176547993933</v>
      </c>
      <c r="G680" s="14">
        <f t="shared" si="99"/>
        <v>1787.1143777342556</v>
      </c>
      <c r="H680" s="24">
        <f t="shared" si="97"/>
        <v>650</v>
      </c>
      <c r="I680" s="12">
        <f t="shared" si="100"/>
        <v>0.23954607033124439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926.77956099809262</v>
      </c>
      <c r="F681" s="24">
        <f t="shared" si="98"/>
        <v>161.37588155966682</v>
      </c>
      <c r="G681" s="14">
        <f t="shared" si="99"/>
        <v>1784.2158110814146</v>
      </c>
      <c r="H681" s="24">
        <f t="shared" si="97"/>
        <v>650</v>
      </c>
      <c r="I681" s="12">
        <f t="shared" si="100"/>
        <v>0.23914604344939377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927.01870704154203</v>
      </c>
      <c r="F682" s="24">
        <f t="shared" si="98"/>
        <v>161.02154069889423</v>
      </c>
      <c r="G682" s="14">
        <f t="shared" si="99"/>
        <v>1781.3285141478714</v>
      </c>
      <c r="H682" s="24">
        <f t="shared" si="97"/>
        <v>650</v>
      </c>
      <c r="I682" s="12">
        <f t="shared" si="100"/>
        <v>0.23874759147422403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927.25745463301621</v>
      </c>
      <c r="F683" s="24">
        <f t="shared" si="98"/>
        <v>160.66872888512478</v>
      </c>
      <c r="G683" s="14">
        <f t="shared" si="99"/>
        <v>1778.4523735600037</v>
      </c>
      <c r="H683" s="24">
        <f t="shared" si="97"/>
        <v>650</v>
      </c>
      <c r="I683" s="12">
        <f t="shared" si="100"/>
        <v>0.23835069874783207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927.49580533176402</v>
      </c>
      <c r="F684" s="24">
        <f t="shared" si="98"/>
        <v>160.31743238342244</v>
      </c>
      <c r="G684" s="14">
        <f t="shared" si="99"/>
        <v>1775.5872785213255</v>
      </c>
      <c r="H684" s="24">
        <f t="shared" si="97"/>
        <v>650</v>
      </c>
      <c r="I684" s="12">
        <f t="shared" si="100"/>
        <v>0.237955349963205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927.73376068172718</v>
      </c>
      <c r="F685" s="24">
        <f t="shared" si="98"/>
        <v>159.96763772830889</v>
      </c>
      <c r="G685" s="14">
        <f t="shared" si="99"/>
        <v>1772.7331207341836</v>
      </c>
      <c r="H685" s="24">
        <f t="shared" si="97"/>
        <v>650</v>
      </c>
      <c r="I685" s="12">
        <f t="shared" si="100"/>
        <v>0.23756153015359979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927.97132221188076</v>
      </c>
      <c r="F686" s="24">
        <f t="shared" si="98"/>
        <v>159.61933171593046</v>
      </c>
      <c r="G686" s="14">
        <f t="shared" si="99"/>
        <v>1769.8897943236132</v>
      </c>
      <c r="H686" s="24">
        <f t="shared" si="97"/>
        <v>650</v>
      </c>
      <c r="I686" s="12">
        <f t="shared" si="100"/>
        <v>0.23716922468222057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928.20849143656301</v>
      </c>
      <c r="F687" s="24">
        <f t="shared" si="98"/>
        <v>159.27250139650084</v>
      </c>
      <c r="G687" s="14">
        <f t="shared" si="99"/>
        <v>1767.0571957645382</v>
      </c>
      <c r="H687" s="24">
        <f t="shared" si="97"/>
        <v>650</v>
      </c>
      <c r="I687" s="12">
        <f t="shared" si="100"/>
        <v>0.23677841923234175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928.44526985579535</v>
      </c>
      <c r="F688" s="24">
        <f t="shared" si="98"/>
        <v>158.92713406695691</v>
      </c>
      <c r="G688" s="14">
        <f t="shared" si="99"/>
        <v>1764.2352238106273</v>
      </c>
      <c r="H688" s="24">
        <f t="shared" si="97"/>
        <v>650</v>
      </c>
      <c r="I688" s="12">
        <f t="shared" si="100"/>
        <v>0.23638909979766026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928.68165895559298</v>
      </c>
      <c r="F689" s="24">
        <f t="shared" si="98"/>
        <v>158.58321726383906</v>
      </c>
      <c r="G689" s="14">
        <f t="shared" si="99"/>
        <v>1761.4237794250589</v>
      </c>
      <c r="H689" s="24">
        <f t="shared" si="97"/>
        <v>650</v>
      </c>
      <c r="I689" s="12">
        <f t="shared" si="100"/>
        <v>0.23600125267291036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928.91766020826594</v>
      </c>
      <c r="F690" s="24">
        <f t="shared" si="98"/>
        <v>158.24073875643592</v>
      </c>
      <c r="G690" s="14">
        <f t="shared" si="99"/>
        <v>1758.622765714485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0.23561486444490415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929.15327507271081</v>
      </c>
      <c r="F691" s="24">
        <f t="shared" si="98"/>
        <v>157.8996865401507</v>
      </c>
      <c r="G691" s="14">
        <f t="shared" si="99"/>
        <v>1755.8320878647476</v>
      </c>
      <c r="H691" s="24">
        <f t="shared" si="106"/>
        <v>650</v>
      </c>
      <c r="I691" s="12">
        <f t="shared" si="100"/>
        <v>0.23522992198381451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929.38850499469459</v>
      </c>
      <c r="F692" s="24">
        <f t="shared" si="98"/>
        <v>157.5600488300438</v>
      </c>
      <c r="G692" s="14">
        <f t="shared" si="99"/>
        <v>1753.0516530783204</v>
      </c>
      <c r="H692" s="24">
        <f t="shared" si="106"/>
        <v>650</v>
      </c>
      <c r="I692" s="12">
        <f t="shared" si="100"/>
        <v>0.23484641243469195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929.62335140712923</v>
      </c>
      <c r="F693" s="24">
        <f t="shared" si="98"/>
        <v>157.22181405459139</v>
      </c>
      <c r="G693" s="14">
        <f t="shared" si="99"/>
        <v>1750.2813705135336</v>
      </c>
      <c r="H693" s="24">
        <f t="shared" si="106"/>
        <v>650</v>
      </c>
      <c r="I693" s="12">
        <f t="shared" si="100"/>
        <v>0.23446432320922714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929.85781573033842</v>
      </c>
      <c r="F694" s="24">
        <f t="shared" si="98"/>
        <v>156.88497084967992</v>
      </c>
      <c r="G694" s="14">
        <f t="shared" si="99"/>
        <v>1747.5211512267738</v>
      </c>
      <c r="H694" s="24">
        <f t="shared" si="106"/>
        <v>650</v>
      </c>
      <c r="I694" s="12">
        <f t="shared" si="100"/>
        <v>0.2340836419779081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930.09189937231633</v>
      </c>
      <c r="F695" s="24">
        <f t="shared" si="98"/>
        <v>156.54950805276542</v>
      </c>
      <c r="G695" s="14">
        <f t="shared" si="99"/>
        <v>1744.7709081160879</v>
      </c>
      <c r="H695" s="24">
        <f t="shared" si="106"/>
        <v>650</v>
      </c>
      <c r="I695" s="12">
        <f t="shared" si="100"/>
        <v>0.2337043566623703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930.32560372897865</v>
      </c>
      <c r="F696" s="24">
        <f t="shared" si="98"/>
        <v>156.21541469720626</v>
      </c>
      <c r="G696" s="14">
        <f t="shared" si="99"/>
        <v>1742.0305558655145</v>
      </c>
      <c r="H696" s="24">
        <f t="shared" si="106"/>
        <v>650</v>
      </c>
      <c r="I696" s="12">
        <f t="shared" si="100"/>
        <v>0.23332645542785746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930.55893018440656</v>
      </c>
      <c r="F697" s="24">
        <f t="shared" si="98"/>
        <v>155.88268000680614</v>
      </c>
      <c r="G697" s="14">
        <f t="shared" si="99"/>
        <v>1739.3000108930203</v>
      </c>
      <c r="H697" s="24">
        <f t="shared" si="106"/>
        <v>650</v>
      </c>
      <c r="I697" s="12">
        <f t="shared" si="100"/>
        <v>0.23294992667615122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930.79188011108272</v>
      </c>
      <c r="F698" s="24">
        <f t="shared" si="98"/>
        <v>155.55129339052485</v>
      </c>
      <c r="G698" s="14">
        <f t="shared" si="99"/>
        <v>1736.5791912989589</v>
      </c>
      <c r="H698" s="24">
        <f t="shared" si="106"/>
        <v>650</v>
      </c>
      <c r="I698" s="12">
        <f t="shared" si="100"/>
        <v>0.23257475903858577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931.0244548701213</v>
      </c>
      <c r="F699" s="24">
        <f t="shared" si="98"/>
        <v>155.22124443734526</v>
      </c>
      <c r="G699" s="14">
        <f t="shared" si="99"/>
        <v>1733.8680168164005</v>
      </c>
      <c r="H699" s="24">
        <f t="shared" si="106"/>
        <v>650</v>
      </c>
      <c r="I699" s="12">
        <f t="shared" si="100"/>
        <v>0.2322009413693116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931.25665581149065</v>
      </c>
      <c r="F700" s="24">
        <f t="shared" si="98"/>
        <v>154.89252291130811</v>
      </c>
      <c r="G700" s="14">
        <f t="shared" si="99"/>
        <v>1731.1664087627298</v>
      </c>
      <c r="H700" s="24">
        <f t="shared" si="106"/>
        <v>650</v>
      </c>
      <c r="I700" s="12">
        <f t="shared" si="100"/>
        <v>0.2318284627387357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931.48848427422934</v>
      </c>
      <c r="F701" s="24">
        <f t="shared" si="98"/>
        <v>154.56511874672287</v>
      </c>
      <c r="G701" s="14">
        <f t="shared" si="99"/>
        <v>1728.4742899939301</v>
      </c>
      <c r="H701" s="24">
        <f t="shared" si="106"/>
        <v>650</v>
      </c>
      <c r="I701" s="12">
        <f t="shared" si="100"/>
        <v>0.23145731242731374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931.71994158665666</v>
      </c>
      <c r="F702" s="24">
        <f t="shared" si="98"/>
        <v>154.23902204350668</v>
      </c>
      <c r="G702" s="14">
        <f t="shared" si="99"/>
        <v>1725.7915848588555</v>
      </c>
      <c r="H702" s="24">
        <f t="shared" si="106"/>
        <v>650</v>
      </c>
      <c r="I702" s="12">
        <f t="shared" si="100"/>
        <v>0.23108747991935635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931.95102906657598</v>
      </c>
      <c r="F703" s="24">
        <f t="shared" si="98"/>
        <v>153.91422306268794</v>
      </c>
      <c r="G703" s="14">
        <f t="shared" si="99"/>
        <v>1723.1182191558592</v>
      </c>
      <c r="H703" s="24">
        <f t="shared" si="106"/>
        <v>650</v>
      </c>
      <c r="I703" s="12">
        <f t="shared" si="100"/>
        <v>0.23071895489714536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932.18174802147314</v>
      </c>
      <c r="F704" s="24">
        <f t="shared" si="98"/>
        <v>153.59071222204648</v>
      </c>
      <c r="G704" s="14">
        <f t="shared" si="99"/>
        <v>1720.454120091078</v>
      </c>
      <c r="H704" s="24">
        <f t="shared" si="106"/>
        <v>650</v>
      </c>
      <c r="I704" s="12">
        <f t="shared" si="100"/>
        <v>0.23035172723527034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932.41209974870844</v>
      </c>
      <c r="F705" s="24">
        <f t="shared" si="98"/>
        <v>153.2684800918986</v>
      </c>
      <c r="G705" s="14">
        <f t="shared" si="99"/>
        <v>1717.799216236795</v>
      </c>
      <c r="H705" s="24">
        <f t="shared" si="106"/>
        <v>650</v>
      </c>
      <c r="I705" s="12">
        <f t="shared" si="100"/>
        <v>0.22998578699499261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932.64208553570347</v>
      </c>
      <c r="F706" s="24">
        <f t="shared" si="98"/>
        <v>152.94751739101571</v>
      </c>
      <c r="G706" s="14">
        <f t="shared" si="99"/>
        <v>1715.1534374925823</v>
      </c>
      <c r="H706" s="24">
        <f t="shared" si="106"/>
        <v>650</v>
      </c>
      <c r="I706" s="12">
        <f t="shared" si="100"/>
        <v>0.22962112441896729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932.87170666012241</v>
      </c>
      <c r="F707" s="24">
        <f t="shared" si="98"/>
        <v>152.62781498265383</v>
      </c>
      <c r="G707" s="14">
        <f t="shared" si="99"/>
        <v>1712.5167150467653</v>
      </c>
      <c r="H707" s="24">
        <f t="shared" si="106"/>
        <v>650</v>
      </c>
      <c r="I707" s="12">
        <f t="shared" si="100"/>
        <v>0.22925772992601867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933.10096439004838</v>
      </c>
      <c r="F708" s="24">
        <f t="shared" si="98"/>
        <v>152.30936387073086</v>
      </c>
      <c r="G708" s="14">
        <f t="shared" si="99"/>
        <v>1709.888981339473</v>
      </c>
      <c r="H708" s="24">
        <f t="shared" si="106"/>
        <v>650</v>
      </c>
      <c r="I708" s="12">
        <f t="shared" si="100"/>
        <v>0.22889559410612856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933.3298599841545</v>
      </c>
      <c r="F709" s="24">
        <f t="shared" si="98"/>
        <v>151.99215519612892</v>
      </c>
      <c r="G709" s="14">
        <f t="shared" si="99"/>
        <v>1707.2701700265552</v>
      </c>
      <c r="H709" s="24">
        <f t="shared" si="106"/>
        <v>650</v>
      </c>
      <c r="I709" s="12">
        <f t="shared" si="100"/>
        <v>0.22853470771554649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933.55839469187003</v>
      </c>
      <c r="F710" s="24">
        <f t="shared" si="98"/>
        <v>151.67618023309331</v>
      </c>
      <c r="G710" s="14">
        <f t="shared" si="99"/>
        <v>1704.6602159455781</v>
      </c>
      <c r="H710" s="24">
        <f t="shared" si="106"/>
        <v>650</v>
      </c>
      <c r="I710" s="12">
        <f t="shared" si="100"/>
        <v>0.22817506167216753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933.78656975354215</v>
      </c>
      <c r="F711" s="24">
        <f t="shared" si="98"/>
        <v>151.36143038575369</v>
      </c>
      <c r="G711" s="14">
        <f t="shared" si="99"/>
        <v>1702.0590550812326</v>
      </c>
      <c r="H711" s="24">
        <f t="shared" si="106"/>
        <v>650</v>
      </c>
      <c r="I711" s="12">
        <f t="shared" si="100"/>
        <v>0.22781664705085272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934.01438640059303</v>
      </c>
      <c r="F712" s="24">
        <f t="shared" si="98"/>
        <v>151.04789718476752</v>
      </c>
      <c r="G712" s="14">
        <f t="shared" si="99"/>
        <v>1699.4666245337446</v>
      </c>
      <c r="H712" s="24">
        <f t="shared" si="106"/>
        <v>650</v>
      </c>
      <c r="I712" s="12">
        <f t="shared" si="100"/>
        <v>0.22745945507913354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934.24184585567218</v>
      </c>
      <c r="F713" s="24">
        <f t="shared" si="98"/>
        <v>150.73557228404582</v>
      </c>
      <c r="G713" s="14">
        <f t="shared" si="99"/>
        <v>1696.8828624869664</v>
      </c>
      <c r="H713" s="24">
        <f t="shared" si="106"/>
        <v>650</v>
      </c>
      <c r="I713" s="12">
        <f t="shared" si="100"/>
        <v>0.22710347713288734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934.4689493328051</v>
      </c>
      <c r="F714" s="24">
        <f t="shared" si="98"/>
        <v>150.42444745760122</v>
      </c>
      <c r="G714" s="14">
        <f t="shared" si="99"/>
        <v>1694.3077081778235</v>
      </c>
      <c r="H714" s="24">
        <f t="shared" si="106"/>
        <v>650</v>
      </c>
      <c r="I714" s="12">
        <f t="shared" si="100"/>
        <v>0.22674870473219452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934.69569803753734</v>
      </c>
      <c r="F715" s="24">
        <f t="shared" si="98"/>
        <v>150.11451459648981</v>
      </c>
      <c r="G715" s="14">
        <f t="shared" si="99"/>
        <v>1691.7411018671301</v>
      </c>
      <c r="H715" s="24">
        <f t="shared" si="106"/>
        <v>650</v>
      </c>
      <c r="I715" s="12">
        <f t="shared" si="100"/>
        <v>0.22639512953737523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934.92209316707476</v>
      </c>
      <c r="F716" s="24">
        <f t="shared" si="98"/>
        <v>149.80576570584674</v>
      </c>
      <c r="G716" s="14">
        <f t="shared" si="99"/>
        <v>1689.182984810672</v>
      </c>
      <c r="H716" s="24">
        <f t="shared" si="106"/>
        <v>650</v>
      </c>
      <c r="I716" s="12">
        <f t="shared" si="100"/>
        <v>0.22604274334507077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935.1481359104198</v>
      </c>
      <c r="F717" s="24">
        <f t="shared" si="98"/>
        <v>149.49819290201845</v>
      </c>
      <c r="G717" s="14">
        <f t="shared" si="99"/>
        <v>1686.6332992322032</v>
      </c>
      <c r="H717" s="24">
        <f t="shared" si="106"/>
        <v>650</v>
      </c>
      <c r="I717" s="12">
        <f t="shared" si="100"/>
        <v>0.22569153808457162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935.37382744850436</v>
      </c>
      <c r="F718" s="24">
        <f t="shared" si="98"/>
        <v>149.19178840977736</v>
      </c>
      <c r="G718" s="14">
        <f t="shared" si="99"/>
        <v>1684.0919882957885</v>
      </c>
      <c r="H718" s="24">
        <f t="shared" si="106"/>
        <v>650</v>
      </c>
      <c r="I718" s="12">
        <f t="shared" si="100"/>
        <v>0.22534150581407586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935.59916895431843</v>
      </c>
      <c r="F719" s="24">
        <f t="shared" si="98"/>
        <v>148.88654455963035</v>
      </c>
      <c r="G719" s="14">
        <f t="shared" si="99"/>
        <v>1681.5589960806892</v>
      </c>
      <c r="H719" s="24">
        <f t="shared" si="106"/>
        <v>650</v>
      </c>
      <c r="I719" s="12">
        <f t="shared" si="100"/>
        <v>0.22499263871727115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935.82416159303568</v>
      </c>
      <c r="F720" s="24">
        <f t="shared" si="98"/>
        <v>148.58245378521815</v>
      </c>
      <c r="G720" s="14">
        <f t="shared" si="99"/>
        <v>1679.0342675559643</v>
      </c>
      <c r="H720" s="24">
        <f t="shared" si="106"/>
        <v>650</v>
      </c>
      <c r="I720" s="12">
        <f t="shared" si="100"/>
        <v>0.22464492909989323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936.04880652213558</v>
      </c>
      <c r="F721" s="24">
        <f t="shared" ref="F721:F784" si="107">AlphaC*(D721-E721)</f>
        <v>148.27950862077159</v>
      </c>
      <c r="G721" s="14">
        <f t="shared" ref="G721:G784" si="108">Phi*EpsilonF*Botzman/10^8*J721*((D721+273)^4-(E721+273)^4)</f>
        <v>1676.5177485559948</v>
      </c>
      <c r="H721" s="24">
        <f t="shared" si="106"/>
        <v>650</v>
      </c>
      <c r="I721" s="12">
        <f t="shared" ref="I721:I784" si="109">ksh*Massivete/(H721*RhoA)*DeltaT*(F721+G721)</f>
        <v>0.22429836938640466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936.27310489152194</v>
      </c>
      <c r="F722" s="24">
        <f t="shared" si="107"/>
        <v>147.9777016986759</v>
      </c>
      <c r="G722" s="14">
        <f t="shared" si="108"/>
        <v>1674.0093857574009</v>
      </c>
      <c r="H722" s="24">
        <f t="shared" si="106"/>
        <v>650</v>
      </c>
      <c r="I722" s="12">
        <f t="shared" si="109"/>
        <v>0.22395295211685826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936.4970578436388</v>
      </c>
      <c r="F723" s="24">
        <f t="shared" si="107"/>
        <v>147.67702574710597</v>
      </c>
      <c r="G723" s="14">
        <f t="shared" si="108"/>
        <v>1671.5091266561947</v>
      </c>
      <c r="H723" s="24">
        <f t="shared" si="106"/>
        <v>650</v>
      </c>
      <c r="I723" s="12">
        <f t="shared" si="109"/>
        <v>0.22360866994379819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936.72066651358261</v>
      </c>
      <c r="F724" s="24">
        <f t="shared" si="107"/>
        <v>147.37747358769013</v>
      </c>
      <c r="G724" s="14">
        <f t="shared" si="108"/>
        <v>1669.0169195450947</v>
      </c>
      <c r="H724" s="24">
        <f t="shared" si="106"/>
        <v>650</v>
      </c>
      <c r="I724" s="12">
        <f t="shared" si="109"/>
        <v>0.22326551562918415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936.94393202921185</v>
      </c>
      <c r="F725" s="24">
        <f t="shared" si="107"/>
        <v>147.0790381333245</v>
      </c>
      <c r="G725" s="14">
        <f t="shared" si="108"/>
        <v>1666.5327134934298</v>
      </c>
      <c r="H725" s="24">
        <f t="shared" si="106"/>
        <v>650</v>
      </c>
      <c r="I725" s="12">
        <f t="shared" si="109"/>
        <v>0.22292348204165277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937.16685551125352</v>
      </c>
      <c r="F726" s="24">
        <f t="shared" si="107"/>
        <v>146.78171238599589</v>
      </c>
      <c r="G726" s="14">
        <f t="shared" si="108"/>
        <v>1664.0564583253465</v>
      </c>
      <c r="H726" s="24">
        <f t="shared" si="106"/>
        <v>650</v>
      </c>
      <c r="I726" s="12">
        <f t="shared" si="109"/>
        <v>0.22258256215357125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937.38943807340706</v>
      </c>
      <c r="F727" s="24">
        <f t="shared" si="107"/>
        <v>146.48548943468427</v>
      </c>
      <c r="G727" s="14">
        <f t="shared" si="108"/>
        <v>1661.5881046003506</v>
      </c>
      <c r="H727" s="24">
        <f t="shared" si="106"/>
        <v>650</v>
      </c>
      <c r="I727" s="12">
        <f t="shared" si="109"/>
        <v>0.22224274903838781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937.61168082244546</v>
      </c>
      <c r="F728" s="24">
        <f t="shared" si="107"/>
        <v>146.19036245333632</v>
      </c>
      <c r="G728" s="14">
        <f t="shared" si="108"/>
        <v>1659.1276035937249</v>
      </c>
      <c r="H728" s="24">
        <f t="shared" si="106"/>
        <v>650</v>
      </c>
      <c r="I728" s="12">
        <f t="shared" si="109"/>
        <v>0.2219040358679755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937.83358485831343</v>
      </c>
      <c r="F729" s="24">
        <f t="shared" si="107"/>
        <v>145.89632469890148</v>
      </c>
      <c r="G729" s="14">
        <f t="shared" si="108"/>
        <v>1656.6749072781181</v>
      </c>
      <c r="H729" s="24">
        <f t="shared" si="106"/>
        <v>650</v>
      </c>
      <c r="I729" s="12">
        <f t="shared" si="109"/>
        <v>0.22156641591012791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938.05515127422359</v>
      </c>
      <c r="F730" s="24">
        <f t="shared" si="107"/>
        <v>145.60336950943622</v>
      </c>
      <c r="G730" s="14">
        <f t="shared" si="108"/>
        <v>1654.2299683049102</v>
      </c>
      <c r="H730" s="24">
        <f t="shared" si="106"/>
        <v>650</v>
      </c>
      <c r="I730" s="12">
        <f t="shared" si="109"/>
        <v>0.22122988252603557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938.27638115674961</v>
      </c>
      <c r="F731" s="24">
        <f t="shared" si="107"/>
        <v>145.31149030224242</v>
      </c>
      <c r="G731" s="14">
        <f t="shared" si="108"/>
        <v>1651.7927399870334</v>
      </c>
      <c r="H731" s="24">
        <f t="shared" si="106"/>
        <v>650</v>
      </c>
      <c r="I731" s="12">
        <f t="shared" si="109"/>
        <v>0.22089442916794547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938.49727558591758</v>
      </c>
      <c r="F732" s="24">
        <f t="shared" si="107"/>
        <v>145.02068057206543</v>
      </c>
      <c r="G732" s="14">
        <f t="shared" si="108"/>
        <v>1649.3631762814814</v>
      </c>
      <c r="H732" s="24">
        <f t="shared" si="106"/>
        <v>650</v>
      </c>
      <c r="I732" s="12">
        <f t="shared" si="109"/>
        <v>0.22056004937678986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938.71783563529436</v>
      </c>
      <c r="F733" s="24">
        <f t="shared" si="107"/>
        <v>144.73093388939731</v>
      </c>
      <c r="G733" s="14">
        <f t="shared" si="108"/>
        <v>1646.9412317735043</v>
      </c>
      <c r="H733" s="24">
        <f t="shared" si="106"/>
        <v>650</v>
      </c>
      <c r="I733" s="12">
        <f t="shared" si="109"/>
        <v>0.22022673678003474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938.93806237207446</v>
      </c>
      <c r="F734" s="24">
        <f t="shared" si="107"/>
        <v>144.44224389874307</v>
      </c>
      <c r="G734" s="14">
        <f t="shared" si="108"/>
        <v>1644.5268616597396</v>
      </c>
      <c r="H734" s="24">
        <f t="shared" si="106"/>
        <v>650</v>
      </c>
      <c r="I734" s="12">
        <f t="shared" si="109"/>
        <v>0.21989448508939341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939.15795685716387</v>
      </c>
      <c r="F735" s="24">
        <f t="shared" si="107"/>
        <v>144.15460431702911</v>
      </c>
      <c r="G735" s="14">
        <f t="shared" si="108"/>
        <v>1642.1200217336473</v>
      </c>
      <c r="H735" s="24">
        <f t="shared" si="106"/>
        <v>650</v>
      </c>
      <c r="I735" s="12">
        <f t="shared" si="109"/>
        <v>0.2195632880988406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939.37752014526268</v>
      </c>
      <c r="F736" s="24">
        <f t="shared" si="107"/>
        <v>143.86800893200018</v>
      </c>
      <c r="G736" s="14">
        <f t="shared" si="108"/>
        <v>1639.7206683698612</v>
      </c>
      <c r="H736" s="24">
        <f t="shared" si="106"/>
        <v>650</v>
      </c>
      <c r="I736" s="12">
        <f t="shared" si="109"/>
        <v>0.21923313968249172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939.59675328494518</v>
      </c>
      <c r="F737" s="24">
        <f t="shared" si="107"/>
        <v>143.58245160066758</v>
      </c>
      <c r="G737" s="14">
        <f t="shared" si="108"/>
        <v>1637.3287585099542</v>
      </c>
      <c r="H737" s="24">
        <f t="shared" si="106"/>
        <v>650</v>
      </c>
      <c r="I737" s="12">
        <f t="shared" si="109"/>
        <v>0.21890403379266274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939.81565731873786</v>
      </c>
      <c r="F738" s="24">
        <f t="shared" si="107"/>
        <v>143.2979262478483</v>
      </c>
      <c r="G738" s="14">
        <f t="shared" si="108"/>
        <v>1634.9442496481749</v>
      </c>
      <c r="H738" s="24">
        <f t="shared" si="106"/>
        <v>650</v>
      </c>
      <c r="I738" s="12">
        <f t="shared" si="109"/>
        <v>0.21857596445793717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940.03423328319582</v>
      </c>
      <c r="F739" s="24">
        <f t="shared" si="107"/>
        <v>143.01442686471262</v>
      </c>
      <c r="G739" s="14">
        <f t="shared" si="108"/>
        <v>1632.56709981823</v>
      </c>
      <c r="H739" s="24">
        <f t="shared" si="106"/>
        <v>650</v>
      </c>
      <c r="I739" s="12">
        <f t="shared" si="109"/>
        <v>0.21824892578136307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940.2524822089772</v>
      </c>
      <c r="F740" s="24">
        <f t="shared" si="107"/>
        <v>142.7319475073574</v>
      </c>
      <c r="G740" s="14">
        <f t="shared" si="108"/>
        <v>1630.1972675795732</v>
      </c>
      <c r="H740" s="24">
        <f t="shared" si="106"/>
        <v>650</v>
      </c>
      <c r="I740" s="12">
        <f t="shared" si="109"/>
        <v>0.21792291193859206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940.47040512091576</v>
      </c>
      <c r="F741" s="24">
        <f t="shared" si="107"/>
        <v>142.45048229548445</v>
      </c>
      <c r="G741" s="14">
        <f t="shared" si="108"/>
        <v>1627.8347120050607</v>
      </c>
      <c r="H741" s="24">
        <f t="shared" si="106"/>
        <v>650</v>
      </c>
      <c r="I741" s="12">
        <f t="shared" si="109"/>
        <v>0.21759791717619995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940.68800303809201</v>
      </c>
      <c r="F742" s="24">
        <f t="shared" si="107"/>
        <v>142.17002541104478</v>
      </c>
      <c r="G742" s="14">
        <f t="shared" si="108"/>
        <v>1625.4793926681311</v>
      </c>
      <c r="H742" s="24">
        <f t="shared" si="106"/>
        <v>650</v>
      </c>
      <c r="I742" s="12">
        <f t="shared" si="109"/>
        <v>0.21727393580994381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940.90527697390201</v>
      </c>
      <c r="F743" s="24">
        <f t="shared" si="107"/>
        <v>141.89057109697387</v>
      </c>
      <c r="G743" s="14">
        <f t="shared" si="108"/>
        <v>1623.1312696312648</v>
      </c>
      <c r="H743" s="24">
        <f t="shared" si="106"/>
        <v>650</v>
      </c>
      <c r="I743" s="12">
        <f t="shared" si="109"/>
        <v>0.21695096222318835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941.12222793612523</v>
      </c>
      <c r="F744" s="24">
        <f t="shared" si="107"/>
        <v>141.61211365594397</v>
      </c>
      <c r="G744" s="14">
        <f t="shared" si="108"/>
        <v>1620.7903034338124</v>
      </c>
      <c r="H744" s="24">
        <f t="shared" si="106"/>
        <v>650</v>
      </c>
      <c r="I744" s="12">
        <f t="shared" si="109"/>
        <v>0.21662899086525636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941.3388569269905</v>
      </c>
      <c r="F745" s="24">
        <f t="shared" si="107"/>
        <v>141.33464744916751</v>
      </c>
      <c r="G745" s="14">
        <f t="shared" si="108"/>
        <v>1618.4564550814346</v>
      </c>
      <c r="H745" s="24">
        <f t="shared" si="106"/>
        <v>650</v>
      </c>
      <c r="I745" s="12">
        <f t="shared" si="109"/>
        <v>0.2163080162499835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941.55516494324047</v>
      </c>
      <c r="F746" s="24">
        <f t="shared" si="107"/>
        <v>141.05816689520623</v>
      </c>
      <c r="G746" s="14">
        <f t="shared" si="108"/>
        <v>1616.1296860344532</v>
      </c>
      <c r="H746" s="24">
        <f t="shared" si="106"/>
        <v>650</v>
      </c>
      <c r="I746" s="12">
        <f t="shared" si="109"/>
        <v>0.21598803295414021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941.77115297619457</v>
      </c>
      <c r="F747" s="24">
        <f t="shared" si="107"/>
        <v>140.7826664688514</v>
      </c>
      <c r="G747" s="14">
        <f t="shared" si="108"/>
        <v>1613.8099581976392</v>
      </c>
      <c r="H747" s="24">
        <f t="shared" si="106"/>
        <v>650</v>
      </c>
      <c r="I747" s="12">
        <f t="shared" si="109"/>
        <v>0.2156690356160387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941.98682201181066</v>
      </c>
      <c r="F748" s="24">
        <f t="shared" si="107"/>
        <v>140.50814070000115</v>
      </c>
      <c r="G748" s="14">
        <f t="shared" si="108"/>
        <v>1611.4972339100075</v>
      </c>
      <c r="H748" s="24">
        <f t="shared" si="106"/>
        <v>650</v>
      </c>
      <c r="I748" s="12">
        <f t="shared" si="109"/>
        <v>0.21535101893414077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942.2021730307448</v>
      </c>
      <c r="F749" s="24">
        <f t="shared" si="107"/>
        <v>140.23458417260599</v>
      </c>
      <c r="G749" s="14">
        <f t="shared" si="108"/>
        <v>1609.1914759345771</v>
      </c>
      <c r="H749" s="24">
        <f t="shared" si="106"/>
        <v>650</v>
      </c>
      <c r="I749" s="12">
        <f t="shared" si="109"/>
        <v>0.21503397766566937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942.41720700841051</v>
      </c>
      <c r="F750" s="24">
        <f t="shared" si="107"/>
        <v>139.96199152360873</v>
      </c>
      <c r="G750" s="14">
        <f t="shared" si="108"/>
        <v>1606.8926474490759</v>
      </c>
      <c r="H750" s="24">
        <f t="shared" si="106"/>
        <v>650</v>
      </c>
      <c r="I750" s="12">
        <f t="shared" si="109"/>
        <v>0.21471790662533577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942.63192491503582</v>
      </c>
      <c r="F751" s="24">
        <f t="shared" si="107"/>
        <v>139.6903574419639</v>
      </c>
      <c r="G751" s="14">
        <f t="shared" si="108"/>
        <v>1604.6007120364272</v>
      </c>
      <c r="H751" s="24">
        <f t="shared" si="106"/>
        <v>650</v>
      </c>
      <c r="I751" s="12">
        <f t="shared" si="109"/>
        <v>0.21440280068404979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942.84632771571989</v>
      </c>
      <c r="F752" s="24">
        <f t="shared" si="107"/>
        <v>139.4196766676032</v>
      </c>
      <c r="G752" s="14">
        <f t="shared" si="108"/>
        <v>1602.3156336755144</v>
      </c>
      <c r="H752" s="24">
        <f t="shared" si="106"/>
        <v>650</v>
      </c>
      <c r="I752" s="12">
        <f t="shared" si="109"/>
        <v>0.21408865476765732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943.06041637048759</v>
      </c>
      <c r="F753" s="24">
        <f t="shared" si="107"/>
        <v>139.14994399053739</v>
      </c>
      <c r="G753" s="14">
        <f t="shared" si="108"/>
        <v>1600.0373767327405</v>
      </c>
      <c r="H753" s="24">
        <f t="shared" si="106"/>
        <v>650</v>
      </c>
      <c r="I753" s="12">
        <f t="shared" si="109"/>
        <v>0.21377546385579255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943.27419183434336</v>
      </c>
      <c r="F754" s="24">
        <f t="shared" si="107"/>
        <v>138.88115424988996</v>
      </c>
      <c r="G754" s="14">
        <f t="shared" si="108"/>
        <v>1597.7659059533273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0.21346322298068965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943.48765505732399</v>
      </c>
      <c r="F755" s="24">
        <f t="shared" si="107"/>
        <v>138.61330233300748</v>
      </c>
      <c r="G755" s="14">
        <f t="shared" si="108"/>
        <v>1595.50118645305</v>
      </c>
      <c r="H755" s="24">
        <f t="shared" si="115"/>
        <v>650</v>
      </c>
      <c r="I755" s="12">
        <f t="shared" si="109"/>
        <v>0.21315192722605744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943.70080698455001</v>
      </c>
      <c r="F756" s="24">
        <f t="shared" si="107"/>
        <v>138.34638317458428</v>
      </c>
      <c r="G756" s="14">
        <f t="shared" si="108"/>
        <v>1593.2431837100771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0.21284157172596901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943.91364855627603</v>
      </c>
      <c r="F757" s="24">
        <f t="shared" si="107"/>
        <v>138.08039175580689</v>
      </c>
      <c r="G757" s="14">
        <f t="shared" si="108"/>
        <v>1590.9918635577242</v>
      </c>
      <c r="H757" s="24">
        <f t="shared" si="117"/>
        <v>650</v>
      </c>
      <c r="I757" s="12">
        <f t="shared" si="109"/>
        <v>0.21253215166386544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944.12618070793985</v>
      </c>
      <c r="F758" s="24">
        <f t="shared" si="107"/>
        <v>137.81532310353271</v>
      </c>
      <c r="G758" s="14">
        <f t="shared" si="108"/>
        <v>1588.7471921762253</v>
      </c>
      <c r="H758" s="24">
        <f t="shared" si="117"/>
        <v>650</v>
      </c>
      <c r="I758" s="12">
        <f t="shared" si="109"/>
        <v>0.21222366227144382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944.33840437021126</v>
      </c>
      <c r="F759" s="24">
        <f t="shared" si="107"/>
        <v>137.55117228948279</v>
      </c>
      <c r="G759" s="14">
        <f t="shared" si="108"/>
        <v>1586.5091360860577</v>
      </c>
      <c r="H759" s="24">
        <f t="shared" si="117"/>
        <v>650</v>
      </c>
      <c r="I759" s="12">
        <f t="shared" si="109"/>
        <v>0.21191609882773735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944.55032046903898</v>
      </c>
      <c r="F760" s="24">
        <f t="shared" si="107"/>
        <v>137.28793442945175</v>
      </c>
      <c r="G760" s="14">
        <f t="shared" si="108"/>
        <v>1584.2776621403445</v>
      </c>
      <c r="H760" s="24">
        <f t="shared" si="117"/>
        <v>650</v>
      </c>
      <c r="I760" s="12">
        <f t="shared" si="109"/>
        <v>0.21160945665808442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944.76192992569702</v>
      </c>
      <c r="F761" s="24">
        <f t="shared" si="107"/>
        <v>137.02560468256308</v>
      </c>
      <c r="G761" s="14">
        <f t="shared" si="108"/>
        <v>1582.0527375184308</v>
      </c>
      <c r="H761" s="24">
        <f t="shared" si="117"/>
        <v>650</v>
      </c>
      <c r="I761" s="12">
        <f t="shared" si="109"/>
        <v>0.21130373113324738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944.9732336568303</v>
      </c>
      <c r="F762" s="24">
        <f t="shared" si="107"/>
        <v>136.76417825049612</v>
      </c>
      <c r="G762" s="14">
        <f t="shared" si="108"/>
        <v>1579.8343297186736</v>
      </c>
      <c r="H762" s="24">
        <f t="shared" si="117"/>
        <v>650</v>
      </c>
      <c r="I762" s="12">
        <f t="shared" si="109"/>
        <v>0.21099891766843137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945.18423257449876</v>
      </c>
      <c r="F763" s="24">
        <f t="shared" si="107"/>
        <v>136.50365037680672</v>
      </c>
      <c r="G763" s="14">
        <f t="shared" si="108"/>
        <v>1577.6224065524925</v>
      </c>
      <c r="H763" s="24">
        <f t="shared" si="117"/>
        <v>650</v>
      </c>
      <c r="I763" s="12">
        <f t="shared" si="109"/>
        <v>0.21069501172246966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945.39492758622123</v>
      </c>
      <c r="F764" s="24">
        <f t="shared" si="107"/>
        <v>136.2440163462054</v>
      </c>
      <c r="G764" s="14">
        <f t="shared" si="108"/>
        <v>1575.4169361378097</v>
      </c>
      <c r="H764" s="24">
        <f t="shared" si="117"/>
        <v>650</v>
      </c>
      <c r="I764" s="12">
        <f t="shared" si="109"/>
        <v>0.21039200879692829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945.60531959501816</v>
      </c>
      <c r="F765" s="24">
        <f t="shared" si="107"/>
        <v>135.98527148386665</v>
      </c>
      <c r="G765" s="14">
        <f t="shared" si="108"/>
        <v>1573.2178868929939</v>
      </c>
      <c r="H765" s="24">
        <f t="shared" si="117"/>
        <v>650</v>
      </c>
      <c r="I765" s="12">
        <f t="shared" si="109"/>
        <v>0.21008990443527706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945.81540949945338</v>
      </c>
      <c r="F766" s="24">
        <f t="shared" si="107"/>
        <v>135.72741115478379</v>
      </c>
      <c r="G766" s="14">
        <f t="shared" si="108"/>
        <v>1571.0252275309683</v>
      </c>
      <c r="H766" s="24">
        <f t="shared" si="117"/>
        <v>650</v>
      </c>
      <c r="I766" s="12">
        <f t="shared" si="109"/>
        <v>0.20978869422208588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946.02519819367546</v>
      </c>
      <c r="F767" s="24">
        <f t="shared" si="107"/>
        <v>135.47043076310672</v>
      </c>
      <c r="G767" s="14">
        <f t="shared" si="108"/>
        <v>1568.8389270534553</v>
      </c>
      <c r="H767" s="24">
        <f t="shared" si="117"/>
        <v>650</v>
      </c>
      <c r="I767" s="12">
        <f t="shared" si="109"/>
        <v>0.20948837378223595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946.23468656745774</v>
      </c>
      <c r="F768" s="24">
        <f t="shared" si="107"/>
        <v>135.21432575152801</v>
      </c>
      <c r="G768" s="14">
        <f t="shared" si="108"/>
        <v>1566.6589547452595</v>
      </c>
      <c r="H768" s="24">
        <f t="shared" si="117"/>
        <v>650</v>
      </c>
      <c r="I768" s="12">
        <f t="shared" si="109"/>
        <v>0.2091889387801415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946.44387550623787</v>
      </c>
      <c r="F769" s="24">
        <f t="shared" si="107"/>
        <v>134.95909160066049</v>
      </c>
      <c r="G769" s="14">
        <f t="shared" si="108"/>
        <v>1564.4852801690927</v>
      </c>
      <c r="H769" s="24">
        <f t="shared" si="117"/>
        <v>650</v>
      </c>
      <c r="I769" s="12">
        <f t="shared" si="109"/>
        <v>0.20889038491903744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946.65276589115695</v>
      </c>
      <c r="F770" s="24">
        <f t="shared" si="107"/>
        <v>134.70472382844889</v>
      </c>
      <c r="G770" s="14">
        <f t="shared" si="108"/>
        <v>1562.3178731603803</v>
      </c>
      <c r="H770" s="24">
        <f t="shared" si="117"/>
        <v>650</v>
      </c>
      <c r="I770" s="12">
        <f t="shared" si="109"/>
        <v>0.20859270794026843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946.86135859909723</v>
      </c>
      <c r="F771" s="24">
        <f t="shared" si="107"/>
        <v>134.45121798957302</v>
      </c>
      <c r="G771" s="14">
        <f t="shared" si="108"/>
        <v>1560.156703821564</v>
      </c>
      <c r="H771" s="24">
        <f t="shared" si="117"/>
        <v>650</v>
      </c>
      <c r="I771" s="12">
        <f t="shared" si="109"/>
        <v>0.20829590362251527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947.0696545027198</v>
      </c>
      <c r="F772" s="24">
        <f t="shared" si="107"/>
        <v>134.1985696748992</v>
      </c>
      <c r="G772" s="14">
        <f t="shared" si="108"/>
        <v>1558.0017425178764</v>
      </c>
      <c r="H772" s="24">
        <f t="shared" si="117"/>
        <v>650</v>
      </c>
      <c r="I772" s="12">
        <f t="shared" si="109"/>
        <v>0.20799996778120816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947.27765447050103</v>
      </c>
      <c r="F773" s="24">
        <f t="shared" si="107"/>
        <v>133.94677451092889</v>
      </c>
      <c r="G773" s="14">
        <f t="shared" si="108"/>
        <v>1555.8529598721288</v>
      </c>
      <c r="H773" s="24">
        <f t="shared" si="117"/>
        <v>650</v>
      </c>
      <c r="I773" s="12">
        <f t="shared" si="109"/>
        <v>0.20770489626781827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947.48535936676888</v>
      </c>
      <c r="F774" s="24">
        <f t="shared" si="107"/>
        <v>133.69582815923877</v>
      </c>
      <c r="G774" s="14">
        <f t="shared" si="108"/>
        <v>1553.7103267600198</v>
      </c>
      <c r="H774" s="24">
        <f t="shared" si="117"/>
        <v>650</v>
      </c>
      <c r="I774" s="12">
        <f t="shared" si="109"/>
        <v>0.20741068496921211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947.69277005173808</v>
      </c>
      <c r="F775" s="24">
        <f t="shared" si="107"/>
        <v>133.44572631598908</v>
      </c>
      <c r="G775" s="14">
        <f t="shared" si="108"/>
        <v>1551.5738143056792</v>
      </c>
      <c r="H775" s="24">
        <f t="shared" si="117"/>
        <v>650</v>
      </c>
      <c r="I775" s="12">
        <f t="shared" si="109"/>
        <v>0.20711732980704356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947.89988738154511</v>
      </c>
      <c r="F776" s="24">
        <f t="shared" si="107"/>
        <v>133.19646471139492</v>
      </c>
      <c r="G776" s="14">
        <f t="shared" si="108"/>
        <v>1549.4433938772488</v>
      </c>
      <c r="H776" s="24">
        <f t="shared" si="117"/>
        <v>650</v>
      </c>
      <c r="I776" s="12">
        <f t="shared" si="109"/>
        <v>0.20682482673714561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948.10671220828226</v>
      </c>
      <c r="F777" s="24">
        <f t="shared" si="107"/>
        <v>132.94803910921758</v>
      </c>
      <c r="G777" s="14">
        <f t="shared" si="108"/>
        <v>1547.3190370825218</v>
      </c>
      <c r="H777" s="24">
        <f t="shared" si="117"/>
        <v>650</v>
      </c>
      <c r="I777" s="12">
        <f t="shared" si="109"/>
        <v>0.20653317174893185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948.31324538003116</v>
      </c>
      <c r="F778" s="24">
        <f t="shared" si="107"/>
        <v>132.70044530632106</v>
      </c>
      <c r="G778" s="14">
        <f t="shared" si="108"/>
        <v>1545.2007157650285</v>
      </c>
      <c r="H778" s="24">
        <f t="shared" si="117"/>
        <v>650</v>
      </c>
      <c r="I778" s="12">
        <f t="shared" si="109"/>
        <v>0.20624236086486078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948.51948774089601</v>
      </c>
      <c r="F779" s="24">
        <f t="shared" si="107"/>
        <v>132.45367913214068</v>
      </c>
      <c r="G779" s="14">
        <f t="shared" si="108"/>
        <v>1543.0884019993655</v>
      </c>
      <c r="H779" s="24">
        <f t="shared" si="117"/>
        <v>650</v>
      </c>
      <c r="I779" s="12">
        <f t="shared" si="109"/>
        <v>0.20595239013979638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948.72544013103584</v>
      </c>
      <c r="F780" s="24">
        <f t="shared" si="107"/>
        <v>132.20773644827659</v>
      </c>
      <c r="G780" s="14">
        <f t="shared" si="108"/>
        <v>1540.9820680879984</v>
      </c>
      <c r="H780" s="24">
        <f t="shared" si="117"/>
        <v>650</v>
      </c>
      <c r="I780" s="12">
        <f t="shared" si="109"/>
        <v>0.20566325566056529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948.93110338669635</v>
      </c>
      <c r="F781" s="24">
        <f t="shared" si="107"/>
        <v>131.96261314800211</v>
      </c>
      <c r="G781" s="14">
        <f t="shared" si="108"/>
        <v>1538.8816865568419</v>
      </c>
      <c r="H781" s="24">
        <f t="shared" si="117"/>
        <v>650</v>
      </c>
      <c r="I781" s="12">
        <f t="shared" si="109"/>
        <v>0.20537495354535287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949.13647834024175</v>
      </c>
      <c r="F782" s="24">
        <f t="shared" si="107"/>
        <v>131.71830515585157</v>
      </c>
      <c r="G782" s="14">
        <f t="shared" si="108"/>
        <v>1536.7872301518514</v>
      </c>
      <c r="H782" s="24">
        <f t="shared" si="117"/>
        <v>650</v>
      </c>
      <c r="I782" s="12">
        <f t="shared" si="109"/>
        <v>0.20508747994323373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949.341565820185</v>
      </c>
      <c r="F783" s="24">
        <f t="shared" si="107"/>
        <v>131.47480842717982</v>
      </c>
      <c r="G783" s="14">
        <f t="shared" si="108"/>
        <v>1534.698671835454</v>
      </c>
      <c r="H783" s="24">
        <f t="shared" si="117"/>
        <v>650</v>
      </c>
      <c r="I783" s="12">
        <f t="shared" si="109"/>
        <v>0.20480083103367891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949.5463666512187</v>
      </c>
      <c r="F784" s="24">
        <f t="shared" si="107"/>
        <v>131.23211894774158</v>
      </c>
      <c r="G784" s="14">
        <f t="shared" si="108"/>
        <v>1532.6159847824617</v>
      </c>
      <c r="H784" s="24">
        <f t="shared" si="117"/>
        <v>650</v>
      </c>
      <c r="I784" s="12">
        <f t="shared" si="109"/>
        <v>0.20451500302600176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949.75088165424472</v>
      </c>
      <c r="F785" s="24">
        <f t="shared" ref="F785:F848" si="118">AlphaC*(D785-E785)</f>
        <v>130.99023273329351</v>
      </c>
      <c r="G785" s="14">
        <f t="shared" ref="G785:G848" si="119">Phi*EpsilonF*Botzman/10^8*J785*((D785+273)^4-(E785+273)^4)</f>
        <v>1530.539142377474</v>
      </c>
      <c r="H785" s="24">
        <f t="shared" si="117"/>
        <v>650</v>
      </c>
      <c r="I785" s="12">
        <f t="shared" ref="I785:I848" si="120">ksh*Massivete/(H785*RhoA)*DeltaT*(F785+G785)</f>
        <v>0.20422999215898976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949.95511164640368</v>
      </c>
      <c r="F786" s="24">
        <f t="shared" si="118"/>
        <v>130.74914582918495</v>
      </c>
      <c r="G786" s="14">
        <f t="shared" si="119"/>
        <v>1528.4681182108075</v>
      </c>
      <c r="H786" s="24">
        <f t="shared" si="117"/>
        <v>650</v>
      </c>
      <c r="I786" s="12">
        <f t="shared" si="120"/>
        <v>0.20394579470035401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950.15905744110398</v>
      </c>
      <c r="F787" s="24">
        <f t="shared" si="118"/>
        <v>130.50885430996573</v>
      </c>
      <c r="G787" s="14">
        <f t="shared" si="119"/>
        <v>1526.4028860755502</v>
      </c>
      <c r="H787" s="24">
        <f t="shared" si="117"/>
        <v>650</v>
      </c>
      <c r="I787" s="12">
        <f t="shared" si="120"/>
        <v>0.20366240694631885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950.36271984805035</v>
      </c>
      <c r="F788" s="24">
        <f t="shared" si="118"/>
        <v>130.26935427901094</v>
      </c>
      <c r="G788" s="14">
        <f t="shared" si="119"/>
        <v>1524.343419964365</v>
      </c>
      <c r="H788" s="24">
        <f t="shared" si="117"/>
        <v>650</v>
      </c>
      <c r="I788" s="12">
        <f t="shared" si="120"/>
        <v>0.20337982522118281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950.56609967327154</v>
      </c>
      <c r="F789" s="24">
        <f t="shared" si="118"/>
        <v>130.03064186816573</v>
      </c>
      <c r="G789" s="14">
        <f t="shared" si="119"/>
        <v>1522.2896940666972</v>
      </c>
      <c r="H789" s="24">
        <f t="shared" si="117"/>
        <v>650</v>
      </c>
      <c r="I789" s="12">
        <f t="shared" si="120"/>
        <v>0.20309804587693173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950.76919771914845</v>
      </c>
      <c r="F790" s="24">
        <f t="shared" si="118"/>
        <v>129.79271323735304</v>
      </c>
      <c r="G790" s="14">
        <f t="shared" si="119"/>
        <v>1520.2416827651907</v>
      </c>
      <c r="H790" s="24">
        <f t="shared" si="117"/>
        <v>650</v>
      </c>
      <c r="I790" s="12">
        <f t="shared" si="120"/>
        <v>0.20281706529275018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950.97201478444117</v>
      </c>
      <c r="F791" s="24">
        <f t="shared" si="118"/>
        <v>129.55556457422404</v>
      </c>
      <c r="G791" s="14">
        <f t="shared" si="119"/>
        <v>1518.1993606331484</v>
      </c>
      <c r="H791" s="24">
        <f t="shared" si="117"/>
        <v>650</v>
      </c>
      <c r="I791" s="12">
        <f t="shared" si="120"/>
        <v>0.20253687987466604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951.1745516643158</v>
      </c>
      <c r="F792" s="24">
        <f t="shared" si="118"/>
        <v>129.31919209382841</v>
      </c>
      <c r="G792" s="14">
        <f t="shared" si="119"/>
        <v>1516.1627024315485</v>
      </c>
      <c r="H792" s="24">
        <f t="shared" si="117"/>
        <v>650</v>
      </c>
      <c r="I792" s="12">
        <f t="shared" si="120"/>
        <v>0.20225748605514349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951.37680915037095</v>
      </c>
      <c r="F793" s="24">
        <f t="shared" si="118"/>
        <v>129.08359203827047</v>
      </c>
      <c r="G793" s="14">
        <f t="shared" si="119"/>
        <v>1514.131683106524</v>
      </c>
      <c r="H793" s="24">
        <f t="shared" si="117"/>
        <v>650</v>
      </c>
      <c r="I793" s="12">
        <f t="shared" si="120"/>
        <v>0.20197888029273081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951.57878803066365</v>
      </c>
      <c r="F794" s="24">
        <f t="shared" si="118"/>
        <v>128.84876067635673</v>
      </c>
      <c r="G794" s="14">
        <f t="shared" si="119"/>
        <v>1512.1062777862628</v>
      </c>
      <c r="H794" s="24">
        <f t="shared" si="117"/>
        <v>650</v>
      </c>
      <c r="I794" s="12">
        <f t="shared" si="120"/>
        <v>0.2017010590716361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951.78048908973528</v>
      </c>
      <c r="F795" s="24">
        <f t="shared" si="118"/>
        <v>128.61469430328611</v>
      </c>
      <c r="G795" s="14">
        <f t="shared" si="119"/>
        <v>1510.0864617785071</v>
      </c>
      <c r="H795" s="24">
        <f t="shared" si="117"/>
        <v>650</v>
      </c>
      <c r="I795" s="12">
        <f t="shared" si="120"/>
        <v>0.20142401890138165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951.98191310863672</v>
      </c>
      <c r="F796" s="24">
        <f t="shared" si="118"/>
        <v>128.38138924034297</v>
      </c>
      <c r="G796" s="14">
        <f t="shared" si="119"/>
        <v>1508.072210568384</v>
      </c>
      <c r="H796" s="24">
        <f t="shared" si="117"/>
        <v>650</v>
      </c>
      <c r="I796" s="12">
        <f t="shared" si="120"/>
        <v>0.20114775631649981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952.18306086495318</v>
      </c>
      <c r="F797" s="24">
        <f t="shared" si="118"/>
        <v>128.14884183456741</v>
      </c>
      <c r="G797" s="14">
        <f t="shared" si="119"/>
        <v>1506.0634998151866</v>
      </c>
      <c r="H797" s="24">
        <f t="shared" si="117"/>
        <v>650</v>
      </c>
      <c r="I797" s="12">
        <f t="shared" si="120"/>
        <v>0.20087226787609663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952.38393313282927</v>
      </c>
      <c r="F798" s="24">
        <f t="shared" si="118"/>
        <v>127.91704845845686</v>
      </c>
      <c r="G798" s="14">
        <f t="shared" si="119"/>
        <v>1504.0603053507089</v>
      </c>
      <c r="H798" s="24">
        <f t="shared" si="117"/>
        <v>650</v>
      </c>
      <c r="I798" s="12">
        <f t="shared" si="120"/>
        <v>0.20059755016361064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952.58453068299286</v>
      </c>
      <c r="F799" s="24">
        <f t="shared" si="118"/>
        <v>127.68600550967619</v>
      </c>
      <c r="G799" s="14">
        <f t="shared" si="119"/>
        <v>1502.062603176222</v>
      </c>
      <c r="H799" s="24">
        <f t="shared" si="117"/>
        <v>650</v>
      </c>
      <c r="I799" s="12">
        <f t="shared" si="120"/>
        <v>0.20032359978640527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952.78485428277929</v>
      </c>
      <c r="F800" s="24">
        <f t="shared" si="118"/>
        <v>127.45570941075641</v>
      </c>
      <c r="G800" s="14">
        <f t="shared" si="119"/>
        <v>1500.0703694604388</v>
      </c>
      <c r="H800" s="24">
        <f t="shared" si="117"/>
        <v>650</v>
      </c>
      <c r="I800" s="12">
        <f t="shared" si="120"/>
        <v>0.20005041337548216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952.98490469615479</v>
      </c>
      <c r="F801" s="24">
        <f t="shared" si="118"/>
        <v>127.22615660880763</v>
      </c>
      <c r="G801" s="14">
        <f t="shared" si="119"/>
        <v>1498.0835805371698</v>
      </c>
      <c r="H801" s="24">
        <f t="shared" si="117"/>
        <v>650</v>
      </c>
      <c r="I801" s="12">
        <f t="shared" si="120"/>
        <v>0.19977798758515708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953.18468268373999</v>
      </c>
      <c r="F802" s="24">
        <f t="shared" si="118"/>
        <v>126.99734357525756</v>
      </c>
      <c r="G802" s="14">
        <f t="shared" si="119"/>
        <v>1496.1022129035782</v>
      </c>
      <c r="H802" s="24">
        <f t="shared" si="117"/>
        <v>650</v>
      </c>
      <c r="I802" s="12">
        <f t="shared" si="120"/>
        <v>0.19950631909281388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953.38418900283284</v>
      </c>
      <c r="F803" s="24">
        <f t="shared" si="118"/>
        <v>126.76926680555312</v>
      </c>
      <c r="G803" s="14">
        <f t="shared" si="119"/>
        <v>1494.1262432169638</v>
      </c>
      <c r="H803" s="24">
        <f t="shared" si="117"/>
        <v>650</v>
      </c>
      <c r="I803" s="12">
        <f t="shared" si="120"/>
        <v>0.19923540459847214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953.58342440743127</v>
      </c>
      <c r="F804" s="24">
        <f t="shared" si="118"/>
        <v>126.54192281891312</v>
      </c>
      <c r="G804" s="14">
        <f t="shared" si="119"/>
        <v>1492.1556482940641</v>
      </c>
      <c r="H804" s="24">
        <f t="shared" si="117"/>
        <v>650</v>
      </c>
      <c r="I804" s="12">
        <f t="shared" si="120"/>
        <v>0.19896524082467107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953.78238964825596</v>
      </c>
      <c r="F805" s="24">
        <f t="shared" si="118"/>
        <v>126.31530815804979</v>
      </c>
      <c r="G805" s="14">
        <f t="shared" si="119"/>
        <v>1490.1904051077795</v>
      </c>
      <c r="H805" s="24">
        <f t="shared" si="117"/>
        <v>650</v>
      </c>
      <c r="I805" s="12">
        <f t="shared" si="120"/>
        <v>0.19869582451603268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953.98108547277195</v>
      </c>
      <c r="F806" s="24">
        <f t="shared" si="118"/>
        <v>126.08941938891292</v>
      </c>
      <c r="G806" s="14">
        <f t="shared" si="119"/>
        <v>1488.2304907855271</v>
      </c>
      <c r="H806" s="24">
        <f t="shared" si="117"/>
        <v>650</v>
      </c>
      <c r="I806" s="12">
        <f t="shared" si="120"/>
        <v>0.19842715243902784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954.17951262521103</v>
      </c>
      <c r="F807" s="24">
        <f t="shared" si="118"/>
        <v>125.86425310045115</v>
      </c>
      <c r="G807" s="14">
        <f t="shared" si="119"/>
        <v>1486.2758826078823</v>
      </c>
      <c r="H807" s="24">
        <f t="shared" si="117"/>
        <v>650</v>
      </c>
      <c r="I807" s="12">
        <f t="shared" si="120"/>
        <v>0.19815922138178027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954.37767184659276</v>
      </c>
      <c r="F808" s="24">
        <f t="shared" si="118"/>
        <v>125.63980590436188</v>
      </c>
      <c r="G808" s="14">
        <f t="shared" si="119"/>
        <v>1484.3265580059058</v>
      </c>
      <c r="H808" s="24">
        <f t="shared" si="117"/>
        <v>650</v>
      </c>
      <c r="I808" s="12">
        <f t="shared" si="120"/>
        <v>0.19789202815370702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954.57556387474642</v>
      </c>
      <c r="F809" s="24">
        <f t="shared" si="118"/>
        <v>125.41607443481553</v>
      </c>
      <c r="G809" s="14">
        <f t="shared" si="119"/>
        <v>1482.3824945595345</v>
      </c>
      <c r="H809" s="24">
        <f t="shared" si="117"/>
        <v>650</v>
      </c>
      <c r="I809" s="12">
        <f t="shared" si="120"/>
        <v>0.19762556958528679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954.77318944433171</v>
      </c>
      <c r="F810" s="24">
        <f t="shared" si="118"/>
        <v>125.19305534826515</v>
      </c>
      <c r="G810" s="14">
        <f t="shared" si="119"/>
        <v>1480.443669995934</v>
      </c>
      <c r="H810" s="24">
        <f t="shared" si="117"/>
        <v>650</v>
      </c>
      <c r="I810" s="12">
        <f t="shared" si="120"/>
        <v>0.19735984252783415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954.97054928685952</v>
      </c>
      <c r="F811" s="24">
        <f t="shared" si="118"/>
        <v>124.97074532318777</v>
      </c>
      <c r="G811" s="14">
        <f t="shared" si="119"/>
        <v>1478.5100621876777</v>
      </c>
      <c r="H811" s="24">
        <f t="shared" si="117"/>
        <v>650</v>
      </c>
      <c r="I811" s="12">
        <f t="shared" si="120"/>
        <v>0.19709484385324388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955.1676441307128</v>
      </c>
      <c r="F812" s="24">
        <f t="shared" si="118"/>
        <v>124.74914105985135</v>
      </c>
      <c r="G812" s="14">
        <f t="shared" si="119"/>
        <v>1476.5816491504586</v>
      </c>
      <c r="H812" s="24">
        <f t="shared" si="117"/>
        <v>650</v>
      </c>
      <c r="I812" s="12">
        <f t="shared" si="120"/>
        <v>0.19683057045368099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955.3644747011665</v>
      </c>
      <c r="F813" s="24">
        <f t="shared" si="118"/>
        <v>124.52823928009593</v>
      </c>
      <c r="G813" s="14">
        <f t="shared" si="119"/>
        <v>1474.6584090421998</v>
      </c>
      <c r="H813" s="24">
        <f t="shared" si="117"/>
        <v>650</v>
      </c>
      <c r="I813" s="12">
        <f t="shared" si="120"/>
        <v>0.19656701924144454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955.56104172040796</v>
      </c>
      <c r="F814" s="24">
        <f t="shared" si="118"/>
        <v>124.30803672712329</v>
      </c>
      <c r="G814" s="14">
        <f t="shared" si="119"/>
        <v>1472.7403201610366</v>
      </c>
      <c r="H814" s="24">
        <f t="shared" si="117"/>
        <v>650</v>
      </c>
      <c r="I814" s="12">
        <f t="shared" si="120"/>
        <v>0.19630418714869383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955.75734590755667</v>
      </c>
      <c r="F815" s="24">
        <f t="shared" si="118"/>
        <v>124.08853016526677</v>
      </c>
      <c r="G815" s="14">
        <f t="shared" si="119"/>
        <v>1470.8273609436715</v>
      </c>
      <c r="H815" s="24">
        <f t="shared" si="117"/>
        <v>650</v>
      </c>
      <c r="I815" s="12">
        <f t="shared" si="120"/>
        <v>0.19604207112721769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955.95338797868385</v>
      </c>
      <c r="F816" s="24">
        <f t="shared" si="118"/>
        <v>123.86971637977524</v>
      </c>
      <c r="G816" s="14">
        <f t="shared" si="119"/>
        <v>1468.9195099633955</v>
      </c>
      <c r="H816" s="24">
        <f t="shared" si="117"/>
        <v>650</v>
      </c>
      <c r="I816" s="12">
        <f t="shared" si="120"/>
        <v>0.195780668148165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956.14916864683198</v>
      </c>
      <c r="F817" s="24">
        <f t="shared" si="118"/>
        <v>123.6515921766113</v>
      </c>
      <c r="G817" s="14">
        <f t="shared" si="119"/>
        <v>1467.016745929373</v>
      </c>
      <c r="H817" s="24">
        <f t="shared" si="117"/>
        <v>650</v>
      </c>
      <c r="I817" s="12">
        <f t="shared" si="120"/>
        <v>0.19551997520193176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956.34468862203391</v>
      </c>
      <c r="F818" s="24">
        <f t="shared" si="118"/>
        <v>123.43415438224383</v>
      </c>
      <c r="G818" s="14">
        <f t="shared" si="119"/>
        <v>1465.1190476844888</v>
      </c>
      <c r="H818" s="24">
        <f t="shared" si="117"/>
        <v>650</v>
      </c>
      <c r="I818" s="12">
        <f t="shared" si="120"/>
        <v>0.19525998929787108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956.53994861133174</v>
      </c>
      <c r="F819" s="24">
        <f t="shared" si="118"/>
        <v>123.21739984346323</v>
      </c>
      <c r="G819" s="14">
        <f t="shared" si="119"/>
        <v>1463.2263942041088</v>
      </c>
      <c r="H819" s="24">
        <f t="shared" si="117"/>
        <v>650</v>
      </c>
      <c r="I819" s="12">
        <f t="shared" si="120"/>
        <v>0.19500070746411804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956.73494931879588</v>
      </c>
      <c r="F820" s="24">
        <f t="shared" si="118"/>
        <v>123.00132542713982</v>
      </c>
      <c r="G820" s="14">
        <f t="shared" si="119"/>
        <v>1461.3387645942773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0.19474212674733846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956.9296914455432</v>
      </c>
      <c r="F821" s="24">
        <f t="shared" si="118"/>
        <v>122.78592802008461</v>
      </c>
      <c r="G821" s="14">
        <f t="shared" si="119"/>
        <v>1459.4561380909424</v>
      </c>
      <c r="H821" s="24">
        <f t="shared" si="126"/>
        <v>650</v>
      </c>
      <c r="I821" s="12">
        <f t="shared" si="120"/>
        <v>0.19448424421261662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957.12417568975582</v>
      </c>
      <c r="F822" s="24">
        <f t="shared" si="118"/>
        <v>122.5712045288077</v>
      </c>
      <c r="G822" s="14">
        <f t="shared" si="119"/>
        <v>1457.5784940579397</v>
      </c>
      <c r="H822" s="24">
        <f t="shared" si="126"/>
        <v>650</v>
      </c>
      <c r="I822" s="12">
        <f t="shared" si="120"/>
        <v>0.19422705694317768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957.31840274669901</v>
      </c>
      <c r="F823" s="24">
        <f t="shared" si="118"/>
        <v>122.35715187935625</v>
      </c>
      <c r="G823" s="14">
        <f t="shared" si="119"/>
        <v>1455.7058119856358</v>
      </c>
      <c r="H823" s="24">
        <f t="shared" si="126"/>
        <v>650</v>
      </c>
      <c r="I823" s="12">
        <f t="shared" si="120"/>
        <v>0.19397056204020097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957.51237330873926</v>
      </c>
      <c r="F824" s="24">
        <f t="shared" si="118"/>
        <v>122.14376701714116</v>
      </c>
      <c r="G824" s="14">
        <f t="shared" si="119"/>
        <v>1453.8380714903867</v>
      </c>
      <c r="H824" s="24">
        <f t="shared" si="126"/>
        <v>650</v>
      </c>
      <c r="I824" s="12">
        <f t="shared" si="120"/>
        <v>0.19371475662273221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957.706088065362</v>
      </c>
      <c r="F825" s="24">
        <f t="shared" si="118"/>
        <v>121.9310469067068</v>
      </c>
      <c r="G825" s="14">
        <f t="shared" si="119"/>
        <v>1451.9752523120171</v>
      </c>
      <c r="H825" s="24">
        <f t="shared" si="126"/>
        <v>650</v>
      </c>
      <c r="I825" s="12">
        <f t="shared" si="120"/>
        <v>0.19345963782734538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957.89954770318934</v>
      </c>
      <c r="F826" s="24">
        <f t="shared" si="118"/>
        <v>121.71898853161451</v>
      </c>
      <c r="G826" s="14">
        <f t="shared" si="119"/>
        <v>1450.1173343134137</v>
      </c>
      <c r="H826" s="24">
        <f t="shared" si="126"/>
        <v>650</v>
      </c>
      <c r="I826" s="12">
        <f t="shared" si="120"/>
        <v>0.19320520280807829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958.09275290599737</v>
      </c>
      <c r="F827" s="24">
        <f t="shared" si="118"/>
        <v>121.50758889422093</v>
      </c>
      <c r="G827" s="14">
        <f t="shared" si="119"/>
        <v>1448.2642974791502</v>
      </c>
      <c r="H827" s="24">
        <f t="shared" si="126"/>
        <v>650</v>
      </c>
      <c r="I827" s="12">
        <f t="shared" si="120"/>
        <v>0.1929514487362364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958.28570435473364</v>
      </c>
      <c r="F828" s="24">
        <f t="shared" si="118"/>
        <v>121.29684501551878</v>
      </c>
      <c r="G828" s="14">
        <f t="shared" si="119"/>
        <v>1446.4161219135865</v>
      </c>
      <c r="H828" s="24">
        <f t="shared" si="126"/>
        <v>650</v>
      </c>
      <c r="I828" s="12">
        <f t="shared" si="120"/>
        <v>0.19269837280013966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958.47840272753376</v>
      </c>
      <c r="F829" s="24">
        <f t="shared" si="118"/>
        <v>121.08675393497208</v>
      </c>
      <c r="G829" s="14">
        <f t="shared" si="119"/>
        <v>1444.5727878408511</v>
      </c>
      <c r="H829" s="24">
        <f t="shared" si="126"/>
        <v>650</v>
      </c>
      <c r="I829" s="12">
        <f t="shared" si="120"/>
        <v>0.19244597220509996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958.67084869973883</v>
      </c>
      <c r="F830" s="24">
        <f t="shared" si="118"/>
        <v>120.87731271033135</v>
      </c>
      <c r="G830" s="14">
        <f t="shared" si="119"/>
        <v>1442.7342756021455</v>
      </c>
      <c r="H830" s="24">
        <f t="shared" si="126"/>
        <v>650</v>
      </c>
      <c r="I830" s="12">
        <f t="shared" si="120"/>
        <v>0.19219424417306724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958.86304294391186</v>
      </c>
      <c r="F831" s="24">
        <f t="shared" si="118"/>
        <v>120.66851841749155</v>
      </c>
      <c r="G831" s="14">
        <f t="shared" si="119"/>
        <v>1440.900565655998</v>
      </c>
      <c r="H831" s="24">
        <f t="shared" si="126"/>
        <v>650</v>
      </c>
      <c r="I831" s="12">
        <f t="shared" si="120"/>
        <v>0.19194318594264309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959.05498612985446</v>
      </c>
      <c r="F832" s="24">
        <f t="shared" si="118"/>
        <v>120.46036815031016</v>
      </c>
      <c r="G832" s="14">
        <f t="shared" si="119"/>
        <v>1439.0716385761104</v>
      </c>
      <c r="H832" s="24">
        <f t="shared" si="126"/>
        <v>650</v>
      </c>
      <c r="I832" s="12">
        <f t="shared" si="120"/>
        <v>0.19169279476879372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959.24667892462321</v>
      </c>
      <c r="F833" s="24">
        <f t="shared" si="118"/>
        <v>120.25285902045653</v>
      </c>
      <c r="G833" s="14">
        <f t="shared" si="119"/>
        <v>1437.2474750510305</v>
      </c>
      <c r="H833" s="24">
        <f t="shared" si="126"/>
        <v>650</v>
      </c>
      <c r="I833" s="12">
        <f t="shared" si="120"/>
        <v>0.19144306792279134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959.43812199254603</v>
      </c>
      <c r="F834" s="24">
        <f t="shared" si="118"/>
        <v>120.04598815725274</v>
      </c>
      <c r="G834" s="14">
        <f t="shared" si="119"/>
        <v>1435.4280558821356</v>
      </c>
      <c r="H834" s="24">
        <f t="shared" si="126"/>
        <v>650</v>
      </c>
      <c r="I834" s="12">
        <f t="shared" si="120"/>
        <v>0.19119400269194659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959.62931599523802</v>
      </c>
      <c r="F835" s="24">
        <f t="shared" si="118"/>
        <v>119.83975270751444</v>
      </c>
      <c r="G835" s="14">
        <f t="shared" si="119"/>
        <v>1433.6133619834193</v>
      </c>
      <c r="H835" s="24">
        <f t="shared" si="126"/>
        <v>650</v>
      </c>
      <c r="I835" s="12">
        <f t="shared" si="120"/>
        <v>0.19094559637956268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959.82026159161762</v>
      </c>
      <c r="F836" s="24">
        <f t="shared" si="118"/>
        <v>119.63414983539735</v>
      </c>
      <c r="G836" s="14">
        <f t="shared" si="119"/>
        <v>1431.8033743798057</v>
      </c>
      <c r="H836" s="24">
        <f t="shared" si="126"/>
        <v>650</v>
      </c>
      <c r="I836" s="12">
        <f t="shared" si="120"/>
        <v>0.19069784630470968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960.01095943792234</v>
      </c>
      <c r="F837" s="24">
        <f t="shared" si="118"/>
        <v>119.42917672226088</v>
      </c>
      <c r="G837" s="14">
        <f t="shared" si="119"/>
        <v>1429.9980742064326</v>
      </c>
      <c r="H837" s="24">
        <f t="shared" si="126"/>
        <v>650</v>
      </c>
      <c r="I837" s="12">
        <f t="shared" si="120"/>
        <v>0.19045074980211912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960.20141018772449</v>
      </c>
      <c r="F838" s="24">
        <f t="shared" si="118"/>
        <v>119.22483056648616</v>
      </c>
      <c r="G838" s="14">
        <f t="shared" si="119"/>
        <v>1428.1974427075656</v>
      </c>
      <c r="H838" s="24">
        <f t="shared" si="126"/>
        <v>650</v>
      </c>
      <c r="I838" s="12">
        <f t="shared" si="120"/>
        <v>0.19020430422202872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960.39161449194648</v>
      </c>
      <c r="F839" s="24">
        <f t="shared" si="118"/>
        <v>119.02110858337664</v>
      </c>
      <c r="G839" s="14">
        <f t="shared" si="119"/>
        <v>1426.4014612355131</v>
      </c>
      <c r="H839" s="24">
        <f t="shared" si="126"/>
        <v>650</v>
      </c>
      <c r="I839" s="12">
        <f t="shared" si="120"/>
        <v>0.18995850693003632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960.58157299887648</v>
      </c>
      <c r="F840" s="24">
        <f t="shared" si="118"/>
        <v>118.81800800497047</v>
      </c>
      <c r="G840" s="14">
        <f t="shared" si="119"/>
        <v>1424.6101112496385</v>
      </c>
      <c r="H840" s="24">
        <f t="shared" si="126"/>
        <v>650</v>
      </c>
      <c r="I840" s="12">
        <f t="shared" si="120"/>
        <v>0.18971335530695571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960.77128635418342</v>
      </c>
      <c r="F841" s="24">
        <f t="shared" si="118"/>
        <v>118.6155260799211</v>
      </c>
      <c r="G841" s="14">
        <f t="shared" si="119"/>
        <v>1422.8233743156611</v>
      </c>
      <c r="H841" s="24">
        <f t="shared" si="126"/>
        <v>650</v>
      </c>
      <c r="I841" s="12">
        <f t="shared" si="120"/>
        <v>0.18946884674871581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960.96075520093211</v>
      </c>
      <c r="F842" s="24">
        <f t="shared" si="118"/>
        <v>118.41366007334102</v>
      </c>
      <c r="G842" s="14">
        <f t="shared" si="119"/>
        <v>1421.041232103933</v>
      </c>
      <c r="H842" s="24">
        <f t="shared" si="126"/>
        <v>650</v>
      </c>
      <c r="I842" s="12">
        <f t="shared" si="120"/>
        <v>0.18922497866612986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961.14998017959829</v>
      </c>
      <c r="F843" s="24">
        <f t="shared" si="118"/>
        <v>118.2124072666852</v>
      </c>
      <c r="G843" s="14">
        <f t="shared" si="119"/>
        <v>1419.2636663893604</v>
      </c>
      <c r="H843" s="24">
        <f t="shared" si="126"/>
        <v>650</v>
      </c>
      <c r="I843" s="12">
        <f t="shared" si="120"/>
        <v>0.18898174848487137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961.33896192808311</v>
      </c>
      <c r="F844" s="24">
        <f t="shared" si="118"/>
        <v>118.01176495761183</v>
      </c>
      <c r="G844" s="14">
        <f t="shared" si="119"/>
        <v>1417.4906590504158</v>
      </c>
      <c r="H844" s="24">
        <f t="shared" si="126"/>
        <v>650</v>
      </c>
      <c r="I844" s="12">
        <f t="shared" si="120"/>
        <v>0.18873915364533539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961.52770108172842</v>
      </c>
      <c r="F845" s="24">
        <f t="shared" si="118"/>
        <v>117.81173045980893</v>
      </c>
      <c r="G845" s="14">
        <f t="shared" si="119"/>
        <v>1415.7221920672575</v>
      </c>
      <c r="H845" s="24">
        <f t="shared" si="126"/>
        <v>650</v>
      </c>
      <c r="I845" s="12">
        <f t="shared" si="120"/>
        <v>0.18849719160238634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961.71619827333086</v>
      </c>
      <c r="F846" s="24">
        <f t="shared" si="118"/>
        <v>117.61230110291478</v>
      </c>
      <c r="G846" s="14">
        <f t="shared" si="119"/>
        <v>1413.9582475221571</v>
      </c>
      <c r="H846" s="24">
        <f t="shared" si="126"/>
        <v>650</v>
      </c>
      <c r="I846" s="12">
        <f t="shared" si="120"/>
        <v>0.18825585982540058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961.90445413315626</v>
      </c>
      <c r="F847" s="24">
        <f t="shared" si="118"/>
        <v>117.41347423235879</v>
      </c>
      <c r="G847" s="14">
        <f t="shared" si="119"/>
        <v>1412.1988075975598</v>
      </c>
      <c r="H847" s="24">
        <f t="shared" si="126"/>
        <v>650</v>
      </c>
      <c r="I847" s="12">
        <f t="shared" si="120"/>
        <v>0.18801515579800854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962.09246928895425</v>
      </c>
      <c r="F848" s="24">
        <f t="shared" si="118"/>
        <v>117.21524720922218</v>
      </c>
      <c r="G848" s="14">
        <f t="shared" si="119"/>
        <v>1410.4438545757962</v>
      </c>
      <c r="H848" s="24">
        <f t="shared" si="126"/>
        <v>650</v>
      </c>
      <c r="I848" s="12">
        <f t="shared" si="120"/>
        <v>0.18777507701804202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962.28024436597229</v>
      </c>
      <c r="F849" s="24">
        <f t="shared" ref="F849:F912" si="127">AlphaC*(D849-E849)</f>
        <v>117.01761741014707</v>
      </c>
      <c r="G849" s="14">
        <f t="shared" ref="G849:G912" si="128">Phi*EpsilonF*Botzman/10^8*J849*((D849+273)^4-(E849+273)^4)</f>
        <v>1408.6933708381296</v>
      </c>
      <c r="H849" s="24">
        <f t="shared" si="126"/>
        <v>650</v>
      </c>
      <c r="I849" s="12">
        <f t="shared" ref="I849:I912" si="129">ksh*Massivete/(H849*RhoA)*DeltaT*(F849+G849)</f>
        <v>0.1875356209974062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962.46777998696973</v>
      </c>
      <c r="F850" s="24">
        <f t="shared" si="127"/>
        <v>116.8205822271716</v>
      </c>
      <c r="G850" s="14">
        <f t="shared" si="128"/>
        <v>1406.9473388636927</v>
      </c>
      <c r="H850" s="24">
        <f t="shared" si="126"/>
        <v>650</v>
      </c>
      <c r="I850" s="12">
        <f t="shared" si="129"/>
        <v>0.18729678526192831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962.65507677223161</v>
      </c>
      <c r="F851" s="24">
        <f t="shared" si="127"/>
        <v>116.62413906762197</v>
      </c>
      <c r="G851" s="14">
        <f t="shared" si="128"/>
        <v>1405.2057412288857</v>
      </c>
      <c r="H851" s="24">
        <f t="shared" si="126"/>
        <v>650</v>
      </c>
      <c r="I851" s="12">
        <f t="shared" si="129"/>
        <v>0.18705856735127063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962.84213533958291</v>
      </c>
      <c r="F852" s="24">
        <f t="shared" si="127"/>
        <v>116.42828535399019</v>
      </c>
      <c r="G852" s="14">
        <f t="shared" si="128"/>
        <v>1403.4685606063877</v>
      </c>
      <c r="H852" s="24">
        <f t="shared" si="126"/>
        <v>650</v>
      </c>
      <c r="I852" s="12">
        <f t="shared" si="129"/>
        <v>0.18682096481879387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963.02895630440173</v>
      </c>
      <c r="F853" s="24">
        <f t="shared" si="127"/>
        <v>116.23301852382326</v>
      </c>
      <c r="G853" s="14">
        <f t="shared" si="128"/>
        <v>1401.7357797646343</v>
      </c>
      <c r="H853" s="24">
        <f t="shared" si="126"/>
        <v>650</v>
      </c>
      <c r="I853" s="12">
        <f t="shared" si="129"/>
        <v>0.18658397523147935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963.21554027963316</v>
      </c>
      <c r="F854" s="24">
        <f t="shared" si="127"/>
        <v>116.03833602956968</v>
      </c>
      <c r="G854" s="14">
        <f t="shared" si="128"/>
        <v>1400.0073815666926</v>
      </c>
      <c r="H854" s="24">
        <f t="shared" si="126"/>
        <v>650</v>
      </c>
      <c r="I854" s="12">
        <f t="shared" si="129"/>
        <v>0.18634759616977187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963.40188787580291</v>
      </c>
      <c r="F855" s="24">
        <f t="shared" si="127"/>
        <v>115.84423533850554</v>
      </c>
      <c r="G855" s="14">
        <f t="shared" si="128"/>
        <v>1398.283348969758</v>
      </c>
      <c r="H855" s="24">
        <f t="shared" si="126"/>
        <v>650</v>
      </c>
      <c r="I855" s="12">
        <f t="shared" si="129"/>
        <v>0.18611182522750863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963.58799970103041</v>
      </c>
      <c r="F856" s="24">
        <f t="shared" si="127"/>
        <v>115.65071393258677</v>
      </c>
      <c r="G856" s="14">
        <f t="shared" si="128"/>
        <v>1396.5636650242045</v>
      </c>
      <c r="H856" s="24">
        <f t="shared" si="126"/>
        <v>650</v>
      </c>
      <c r="I856" s="12">
        <f t="shared" si="129"/>
        <v>0.1858766600117846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963.7738763610422</v>
      </c>
      <c r="F857" s="24">
        <f t="shared" si="127"/>
        <v>115.4577693083354</v>
      </c>
      <c r="G857" s="14">
        <f t="shared" si="128"/>
        <v>1394.8483128727319</v>
      </c>
      <c r="H857" s="24">
        <f t="shared" si="126"/>
        <v>650</v>
      </c>
      <c r="I857" s="12">
        <f t="shared" si="129"/>
        <v>0.1856420981428335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963.95951845918501</v>
      </c>
      <c r="F858" s="24">
        <f t="shared" si="127"/>
        <v>115.26539897674013</v>
      </c>
      <c r="G858" s="14">
        <f t="shared" si="128"/>
        <v>1393.1372757501906</v>
      </c>
      <c r="H858" s="24">
        <f t="shared" si="126"/>
        <v>650</v>
      </c>
      <c r="I858" s="12">
        <f t="shared" si="129"/>
        <v>0.18540813725399413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964.14492659643895</v>
      </c>
      <c r="F859" s="24">
        <f t="shared" si="127"/>
        <v>115.07360046314261</v>
      </c>
      <c r="G859" s="14">
        <f t="shared" si="128"/>
        <v>1391.4305369818974</v>
      </c>
      <c r="H859" s="24">
        <f t="shared" si="126"/>
        <v>650</v>
      </c>
      <c r="I859" s="12">
        <f t="shared" si="129"/>
        <v>0.18517477499148927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964.33010137143049</v>
      </c>
      <c r="F860" s="24">
        <f t="shared" si="127"/>
        <v>114.8823713070982</v>
      </c>
      <c r="G860" s="14">
        <f t="shared" si="128"/>
        <v>1389.7280799837113</v>
      </c>
      <c r="H860" s="24">
        <f t="shared" si="126"/>
        <v>650</v>
      </c>
      <c r="I860" s="12">
        <f t="shared" si="129"/>
        <v>0.18494200901441812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964.51504338044492</v>
      </c>
      <c r="F861" s="24">
        <f t="shared" si="127"/>
        <v>114.69170906230772</v>
      </c>
      <c r="G861" s="14">
        <f t="shared" si="128"/>
        <v>1388.0298882609293</v>
      </c>
      <c r="H861" s="24">
        <f t="shared" si="126"/>
        <v>650</v>
      </c>
      <c r="I861" s="12">
        <f t="shared" si="129"/>
        <v>0.18470983699461191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964.69975321743948</v>
      </c>
      <c r="F862" s="24">
        <f t="shared" si="127"/>
        <v>114.50161129648961</v>
      </c>
      <c r="G862" s="14">
        <f t="shared" si="128"/>
        <v>1386.3359454080544</v>
      </c>
      <c r="H862" s="24">
        <f t="shared" si="126"/>
        <v>650</v>
      </c>
      <c r="I862" s="12">
        <f t="shared" si="129"/>
        <v>0.18447825661658987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964.88423147405604</v>
      </c>
      <c r="F863" s="24">
        <f t="shared" si="127"/>
        <v>114.31207559125482</v>
      </c>
      <c r="G863" s="14">
        <f t="shared" si="128"/>
        <v>1384.6462351073415</v>
      </c>
      <c r="H863" s="24">
        <f t="shared" si="126"/>
        <v>650</v>
      </c>
      <c r="I863" s="12">
        <f t="shared" si="129"/>
        <v>0.18424726557736498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965.06847873963341</v>
      </c>
      <c r="F864" s="24">
        <f t="shared" si="127"/>
        <v>114.1230995420301</v>
      </c>
      <c r="G864" s="14">
        <f t="shared" si="128"/>
        <v>1382.9607411284489</v>
      </c>
      <c r="H864" s="24">
        <f t="shared" si="126"/>
        <v>650</v>
      </c>
      <c r="I864" s="12">
        <f t="shared" si="129"/>
        <v>0.18401686158639183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965.25249560121983</v>
      </c>
      <c r="F865" s="24">
        <f t="shared" si="127"/>
        <v>113.93468075793294</v>
      </c>
      <c r="G865" s="14">
        <f t="shared" si="128"/>
        <v>1381.2794473282054</v>
      </c>
      <c r="H865" s="24">
        <f t="shared" si="126"/>
        <v>650</v>
      </c>
      <c r="I865" s="12">
        <f t="shared" si="129"/>
        <v>0.18378704236552248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965.4362826435854</v>
      </c>
      <c r="F866" s="24">
        <f t="shared" si="127"/>
        <v>113.7468168616806</v>
      </c>
      <c r="G866" s="14">
        <f t="shared" si="128"/>
        <v>1379.6023376492931</v>
      </c>
      <c r="H866" s="24">
        <f t="shared" si="126"/>
        <v>650</v>
      </c>
      <c r="I866" s="12">
        <f t="shared" si="129"/>
        <v>0.18355780564883356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965.61984044923429</v>
      </c>
      <c r="F867" s="24">
        <f t="shared" si="127"/>
        <v>113.55950548948499</v>
      </c>
      <c r="G867" s="14">
        <f t="shared" si="128"/>
        <v>1377.9293961199751</v>
      </c>
      <c r="H867" s="24">
        <f t="shared" si="126"/>
        <v>650</v>
      </c>
      <c r="I867" s="12">
        <f t="shared" si="129"/>
        <v>0.18332914918257967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965.80316959841684</v>
      </c>
      <c r="F868" s="24">
        <f t="shared" si="127"/>
        <v>113.3727442909418</v>
      </c>
      <c r="G868" s="14">
        <f t="shared" si="128"/>
        <v>1376.260606853205</v>
      </c>
      <c r="H868" s="24">
        <f t="shared" si="126"/>
        <v>650</v>
      </c>
      <c r="I868" s="12">
        <f t="shared" si="129"/>
        <v>0.18310107072507043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965.98627066914196</v>
      </c>
      <c r="F869" s="24">
        <f t="shared" si="127"/>
        <v>113.18653092893669</v>
      </c>
      <c r="G869" s="14">
        <f t="shared" si="128"/>
        <v>1374.5959540462773</v>
      </c>
      <c r="H869" s="24">
        <f t="shared" si="126"/>
        <v>650</v>
      </c>
      <c r="I869" s="12">
        <f t="shared" si="129"/>
        <v>0.18287356804661598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966.16914423718856</v>
      </c>
      <c r="F870" s="24">
        <f t="shared" si="127"/>
        <v>113.00086307955439</v>
      </c>
      <c r="G870" s="14">
        <f t="shared" si="128"/>
        <v>1372.9354219798786</v>
      </c>
      <c r="H870" s="24">
        <f t="shared" si="126"/>
        <v>650</v>
      </c>
      <c r="I870" s="12">
        <f t="shared" si="129"/>
        <v>0.18264663892939903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966.351790876118</v>
      </c>
      <c r="F871" s="24">
        <f t="shared" si="127"/>
        <v>112.81573843195076</v>
      </c>
      <c r="G871" s="14">
        <f t="shared" si="128"/>
        <v>1371.2789950174085</v>
      </c>
      <c r="H871" s="24">
        <f t="shared" si="126"/>
        <v>650</v>
      </c>
      <c r="I871" s="12">
        <f t="shared" si="129"/>
        <v>0.18242028116737596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966.53421115728543</v>
      </c>
      <c r="F872" s="24">
        <f t="shared" si="127"/>
        <v>112.63115468830165</v>
      </c>
      <c r="G872" s="14">
        <f t="shared" si="128"/>
        <v>1369.6266576049416</v>
      </c>
      <c r="H872" s="24">
        <f t="shared" si="126"/>
        <v>650</v>
      </c>
      <c r="I872" s="12">
        <f t="shared" si="129"/>
        <v>0.18219449256626544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966.71640564985171</v>
      </c>
      <c r="F873" s="24">
        <f t="shared" si="127"/>
        <v>112.44710956367783</v>
      </c>
      <c r="G873" s="14">
        <f t="shared" si="128"/>
        <v>1367.9783942701215</v>
      </c>
      <c r="H873" s="24">
        <f t="shared" si="126"/>
        <v>650</v>
      </c>
      <c r="I873" s="12">
        <f t="shared" si="129"/>
        <v>0.18196927094339754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966.89837492079505</v>
      </c>
      <c r="F874" s="24">
        <f t="shared" si="127"/>
        <v>112.263600785937</v>
      </c>
      <c r="G874" s="14">
        <f t="shared" si="128"/>
        <v>1366.3341896214843</v>
      </c>
      <c r="H874" s="24">
        <f t="shared" si="126"/>
        <v>650</v>
      </c>
      <c r="I874" s="12">
        <f t="shared" si="129"/>
        <v>0.18174461412761711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967.08011953492269</v>
      </c>
      <c r="F875" s="24">
        <f t="shared" si="127"/>
        <v>112.0806260956698</v>
      </c>
      <c r="G875" s="14">
        <f t="shared" si="128"/>
        <v>1364.6940283482443</v>
      </c>
      <c r="H875" s="24">
        <f t="shared" si="126"/>
        <v>650</v>
      </c>
      <c r="I875" s="12">
        <f t="shared" si="129"/>
        <v>0.1815205199592507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967.26164005488192</v>
      </c>
      <c r="F876" s="24">
        <f t="shared" si="127"/>
        <v>111.8981832460662</v>
      </c>
      <c r="G876" s="14">
        <f t="shared" si="128"/>
        <v>1363.057895219403</v>
      </c>
      <c r="H876" s="24">
        <f t="shared" si="126"/>
        <v>650</v>
      </c>
      <c r="I876" s="12">
        <f t="shared" si="129"/>
        <v>0.18129698628998073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967.44293704117194</v>
      </c>
      <c r="F877" s="24">
        <f t="shared" si="127"/>
        <v>111.71627000285582</v>
      </c>
      <c r="G877" s="14">
        <f t="shared" si="128"/>
        <v>1361.4257750831862</v>
      </c>
      <c r="H877" s="24">
        <f t="shared" si="126"/>
        <v>650</v>
      </c>
      <c r="I877" s="12">
        <f t="shared" si="129"/>
        <v>0.18107401098276904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967.62401105215474</v>
      </c>
      <c r="F878" s="24">
        <f t="shared" si="127"/>
        <v>111.53488414419144</v>
      </c>
      <c r="G878" s="14">
        <f t="shared" si="128"/>
        <v>1359.7976528666964</v>
      </c>
      <c r="H878" s="24">
        <f t="shared" si="126"/>
        <v>650</v>
      </c>
      <c r="I878" s="12">
        <f t="shared" si="129"/>
        <v>0.18085159191179973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967.80486264406659</v>
      </c>
      <c r="F879" s="24">
        <f t="shared" si="127"/>
        <v>111.35402346057788</v>
      </c>
      <c r="G879" s="14">
        <f t="shared" si="128"/>
        <v>1358.173513575098</v>
      </c>
      <c r="H879" s="24">
        <f t="shared" si="126"/>
        <v>650</v>
      </c>
      <c r="I879" s="12">
        <f t="shared" si="129"/>
        <v>0.18062972696237026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967.98549237102895</v>
      </c>
      <c r="F880" s="24">
        <f t="shared" si="127"/>
        <v>111.17368575476689</v>
      </c>
      <c r="G880" s="14">
        <f t="shared" si="128"/>
        <v>1356.553342291211</v>
      </c>
      <c r="H880" s="24">
        <f t="shared" si="126"/>
        <v>650</v>
      </c>
      <c r="I880" s="12">
        <f t="shared" si="129"/>
        <v>0.18040841403082869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968.16590078505976</v>
      </c>
      <c r="F881" s="24">
        <f t="shared" si="127"/>
        <v>110.99386884168894</v>
      </c>
      <c r="G881" s="14">
        <f t="shared" si="128"/>
        <v>1354.9371241749677</v>
      </c>
      <c r="H881" s="24">
        <f t="shared" si="126"/>
        <v>650</v>
      </c>
      <c r="I881" s="12">
        <f t="shared" si="129"/>
        <v>0.18018765102449841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968.3460884360843</v>
      </c>
      <c r="F882" s="24">
        <f t="shared" si="127"/>
        <v>110.81457054833663</v>
      </c>
      <c r="G882" s="14">
        <f t="shared" si="128"/>
        <v>1353.3248444626954</v>
      </c>
      <c r="H882" s="24">
        <f t="shared" si="126"/>
        <v>650</v>
      </c>
      <c r="I882" s="12">
        <f t="shared" si="129"/>
        <v>0.17996743586157565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968.52605587194591</v>
      </c>
      <c r="F883" s="24">
        <f t="shared" si="127"/>
        <v>110.63578871370794</v>
      </c>
      <c r="G883" s="14">
        <f t="shared" si="128"/>
        <v>1351.716488466478</v>
      </c>
      <c r="H883" s="24">
        <f t="shared" si="126"/>
        <v>650</v>
      </c>
      <c r="I883" s="12">
        <f t="shared" si="129"/>
        <v>0.17974776647104418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968.70580363841691</v>
      </c>
      <c r="F884" s="24">
        <f t="shared" si="127"/>
        <v>110.45752118871235</v>
      </c>
      <c r="G884" s="14">
        <f t="shared" si="128"/>
        <v>1350.1120415743105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0.17952864079268255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968.88533227920959</v>
      </c>
      <c r="F885" s="24">
        <f t="shared" si="127"/>
        <v>110.27976583606574</v>
      </c>
      <c r="G885" s="14">
        <f t="shared" si="128"/>
        <v>1348.5114892485674</v>
      </c>
      <c r="H885" s="24">
        <f t="shared" si="135"/>
        <v>650</v>
      </c>
      <c r="I885" s="12">
        <f t="shared" si="129"/>
        <v>0.17931005677686301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969.06464233598649</v>
      </c>
      <c r="F886" s="24">
        <f t="shared" si="127"/>
        <v>110.10252053022782</v>
      </c>
      <c r="G886" s="14">
        <f t="shared" si="128"/>
        <v>1346.9148170263134</v>
      </c>
      <c r="H886" s="24">
        <f t="shared" si="135"/>
        <v>650</v>
      </c>
      <c r="I886" s="12">
        <f t="shared" si="129"/>
        <v>0.17909201238458211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969.24373434837105</v>
      </c>
      <c r="F887" s="24">
        <f t="shared" si="127"/>
        <v>109.9257831573226</v>
      </c>
      <c r="G887" s="14">
        <f t="shared" si="128"/>
        <v>1345.3220105182181</v>
      </c>
      <c r="H887" s="24">
        <f t="shared" si="135"/>
        <v>650</v>
      </c>
      <c r="I887" s="12">
        <f t="shared" si="129"/>
        <v>0.17887450558731732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969.42260885395842</v>
      </c>
      <c r="F888" s="24">
        <f t="shared" si="127"/>
        <v>109.74955161503601</v>
      </c>
      <c r="G888" s="14">
        <f t="shared" si="128"/>
        <v>1343.733055408459</v>
      </c>
      <c r="H888" s="24">
        <f t="shared" si="135"/>
        <v>650</v>
      </c>
      <c r="I888" s="12">
        <f t="shared" si="129"/>
        <v>0.17865753436700263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969.60126638832537</v>
      </c>
      <c r="F889" s="24">
        <f t="shared" si="127"/>
        <v>109.57382381255343</v>
      </c>
      <c r="G889" s="14">
        <f t="shared" si="128"/>
        <v>1342.1479374541789</v>
      </c>
      <c r="H889" s="24">
        <f t="shared" si="135"/>
        <v>650</v>
      </c>
      <c r="I889" s="12">
        <f t="shared" si="129"/>
        <v>0.17844109671595429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969.77970748504129</v>
      </c>
      <c r="F890" s="24">
        <f t="shared" si="127"/>
        <v>109.39859767046016</v>
      </c>
      <c r="G890" s="14">
        <f t="shared" si="128"/>
        <v>1340.5666424841484</v>
      </c>
      <c r="H890" s="24">
        <f t="shared" si="135"/>
        <v>650</v>
      </c>
      <c r="I890" s="12">
        <f t="shared" si="129"/>
        <v>0.1782251906366939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969.95793267567797</v>
      </c>
      <c r="F891" s="24">
        <f t="shared" si="127"/>
        <v>109.22387112068463</v>
      </c>
      <c r="G891" s="14">
        <f t="shared" si="128"/>
        <v>1338.9891563998128</v>
      </c>
      <c r="H891" s="24">
        <f t="shared" si="135"/>
        <v>650</v>
      </c>
      <c r="I891" s="12">
        <f t="shared" si="129"/>
        <v>0.17800981414207034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970.13594248982008</v>
      </c>
      <c r="F892" s="24">
        <f t="shared" si="127"/>
        <v>109.04964210638752</v>
      </c>
      <c r="G892" s="14">
        <f t="shared" si="128"/>
        <v>1337.4154651733932</v>
      </c>
      <c r="H892" s="24">
        <f t="shared" si="135"/>
        <v>650</v>
      </c>
      <c r="I892" s="12">
        <f t="shared" si="129"/>
        <v>0.1777949652550127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970.31373745507506</v>
      </c>
      <c r="F893" s="24">
        <f t="shared" si="127"/>
        <v>108.8759085819305</v>
      </c>
      <c r="G893" s="14">
        <f t="shared" si="128"/>
        <v>1335.8455548480981</v>
      </c>
      <c r="H893" s="24">
        <f t="shared" si="135"/>
        <v>650</v>
      </c>
      <c r="I893" s="12">
        <f t="shared" si="129"/>
        <v>0.17758064200855236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970.49131809708365</v>
      </c>
      <c r="F894" s="24">
        <f t="shared" si="127"/>
        <v>108.70266851273698</v>
      </c>
      <c r="G894" s="14">
        <f t="shared" si="128"/>
        <v>1334.2794115375252</v>
      </c>
      <c r="H894" s="24">
        <f t="shared" si="135"/>
        <v>650</v>
      </c>
      <c r="I894" s="12">
        <f t="shared" si="129"/>
        <v>0.17736684244573242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970.66868493952938</v>
      </c>
      <c r="F895" s="24">
        <f t="shared" si="127"/>
        <v>108.52991987527787</v>
      </c>
      <c r="G895" s="14">
        <f t="shared" si="128"/>
        <v>1332.7170214252515</v>
      </c>
      <c r="H895" s="24">
        <f t="shared" si="135"/>
        <v>650</v>
      </c>
      <c r="I895" s="12">
        <f t="shared" si="129"/>
        <v>0.17715356461955553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970.8458385041489</v>
      </c>
      <c r="F896" s="24">
        <f t="shared" si="127"/>
        <v>108.35766065695225</v>
      </c>
      <c r="G896" s="14">
        <f t="shared" si="128"/>
        <v>1331.1583707640023</v>
      </c>
      <c r="H896" s="24">
        <f t="shared" si="135"/>
        <v>650</v>
      </c>
      <c r="I896" s="12">
        <f t="shared" si="129"/>
        <v>0.17694080659286707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971.02277931074173</v>
      </c>
      <c r="F897" s="24">
        <f t="shared" si="127"/>
        <v>108.18588885601912</v>
      </c>
      <c r="G897" s="14">
        <f t="shared" si="128"/>
        <v>1329.6034458755339</v>
      </c>
      <c r="H897" s="24">
        <f t="shared" si="135"/>
        <v>650</v>
      </c>
      <c r="I897" s="12">
        <f t="shared" si="129"/>
        <v>0.1767285664383324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971.19950787718005</v>
      </c>
      <c r="F898" s="24">
        <f t="shared" si="127"/>
        <v>108.01460248154342</v>
      </c>
      <c r="G898" s="14">
        <f t="shared" si="128"/>
        <v>1328.0522331502268</v>
      </c>
      <c r="H898" s="24">
        <f t="shared" si="135"/>
        <v>650</v>
      </c>
      <c r="I898" s="12">
        <f t="shared" si="129"/>
        <v>0.17651684223838013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971.37602471941841</v>
      </c>
      <c r="F899" s="24">
        <f t="shared" si="127"/>
        <v>107.84379955329086</v>
      </c>
      <c r="G899" s="14">
        <f t="shared" si="128"/>
        <v>1326.5047190462906</v>
      </c>
      <c r="H899" s="24">
        <f t="shared" si="135"/>
        <v>650</v>
      </c>
      <c r="I899" s="12">
        <f t="shared" si="129"/>
        <v>0.17630563208509159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971.55233035150354</v>
      </c>
      <c r="F900" s="24">
        <f t="shared" si="127"/>
        <v>107.6734781016853</v>
      </c>
      <c r="G900" s="14">
        <f t="shared" si="128"/>
        <v>1324.9608900896296</v>
      </c>
      <c r="H900" s="24">
        <f t="shared" si="135"/>
        <v>650</v>
      </c>
      <c r="I900" s="12">
        <f t="shared" si="129"/>
        <v>0.17609493408017893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971.72842528558374</v>
      </c>
      <c r="F901" s="24">
        <f t="shared" si="127"/>
        <v>107.50363616770926</v>
      </c>
      <c r="G901" s="14">
        <f t="shared" si="128"/>
        <v>1323.4207328730663</v>
      </c>
      <c r="H901" s="24">
        <f t="shared" si="135"/>
        <v>650</v>
      </c>
      <c r="I901" s="12">
        <f t="shared" si="129"/>
        <v>0.17588474633487758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971.90431003191861</v>
      </c>
      <c r="F902" s="24">
        <f t="shared" si="127"/>
        <v>107.33427180285844</v>
      </c>
      <c r="G902" s="14">
        <f t="shared" si="128"/>
        <v>1321.8842340564197</v>
      </c>
      <c r="H902" s="24">
        <f t="shared" si="135"/>
        <v>650</v>
      </c>
      <c r="I902" s="12">
        <f t="shared" si="129"/>
        <v>0.17567506696995011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972.07998509888853</v>
      </c>
      <c r="F903" s="24">
        <f t="shared" si="127"/>
        <v>107.16538306904511</v>
      </c>
      <c r="G903" s="14">
        <f t="shared" si="128"/>
        <v>1320.3513803654389</v>
      </c>
      <c r="H903" s="24">
        <f t="shared" si="135"/>
        <v>650</v>
      </c>
      <c r="I903" s="12">
        <f t="shared" si="129"/>
        <v>0.1754658941155435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972.25545099300405</v>
      </c>
      <c r="F904" s="24">
        <f t="shared" si="127"/>
        <v>106.99696803853556</v>
      </c>
      <c r="G904" s="14">
        <f t="shared" si="128"/>
        <v>1318.8221585918229</v>
      </c>
      <c r="H904" s="24">
        <f t="shared" si="135"/>
        <v>650</v>
      </c>
      <c r="I904" s="12">
        <f t="shared" si="129"/>
        <v>0.17525722591118373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972.43070821891524</v>
      </c>
      <c r="F905" s="24">
        <f t="shared" si="127"/>
        <v>106.82902479388474</v>
      </c>
      <c r="G905" s="14">
        <f t="shared" si="128"/>
        <v>1317.2965555925812</v>
      </c>
      <c r="H905" s="24">
        <f t="shared" si="135"/>
        <v>650</v>
      </c>
      <c r="I905" s="12">
        <f t="shared" si="129"/>
        <v>0.17504906050568919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972.60575727942091</v>
      </c>
      <c r="F906" s="24">
        <f t="shared" si="127"/>
        <v>106.66155142786238</v>
      </c>
      <c r="G906" s="14">
        <f t="shared" si="128"/>
        <v>1315.7745582894515</v>
      </c>
      <c r="H906" s="24">
        <f t="shared" si="135"/>
        <v>650</v>
      </c>
      <c r="I906" s="12">
        <f t="shared" si="129"/>
        <v>0.17484139605708998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972.78059867547802</v>
      </c>
      <c r="F907" s="24">
        <f t="shared" si="127"/>
        <v>106.49454604339326</v>
      </c>
      <c r="G907" s="14">
        <f t="shared" si="128"/>
        <v>1314.2561536690557</v>
      </c>
      <c r="H907" s="24">
        <f t="shared" si="135"/>
        <v>650</v>
      </c>
      <c r="I907" s="12">
        <f t="shared" si="129"/>
        <v>0.17463423073263984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972.95523290621065</v>
      </c>
      <c r="F908" s="24">
        <f t="shared" si="127"/>
        <v>106.32800675347198</v>
      </c>
      <c r="G908" s="14">
        <f t="shared" si="128"/>
        <v>1312.7413287818922</v>
      </c>
      <c r="H908" s="24">
        <f t="shared" si="135"/>
        <v>650</v>
      </c>
      <c r="I908" s="12">
        <f t="shared" si="129"/>
        <v>0.17442756270868176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973.12966046891938</v>
      </c>
      <c r="F909" s="24">
        <f t="shared" si="127"/>
        <v>106.16193168110613</v>
      </c>
      <c r="G909" s="14">
        <f t="shared" si="128"/>
        <v>1311.2300707421018</v>
      </c>
      <c r="H909" s="24">
        <f t="shared" si="135"/>
        <v>650</v>
      </c>
      <c r="I909" s="12">
        <f t="shared" si="129"/>
        <v>0.17422139017061222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973.30388185908998</v>
      </c>
      <c r="F910" s="24">
        <f t="shared" si="127"/>
        <v>105.9963189592537</v>
      </c>
      <c r="G910" s="14">
        <f t="shared" si="128"/>
        <v>1309.7223667272181</v>
      </c>
      <c r="H910" s="24">
        <f t="shared" si="135"/>
        <v>650</v>
      </c>
      <c r="I910" s="12">
        <f t="shared" si="129"/>
        <v>0.17401571131284282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973.47789757040277</v>
      </c>
      <c r="F911" s="24">
        <f t="shared" si="127"/>
        <v>105.83116673073789</v>
      </c>
      <c r="G911" s="14">
        <f t="shared" si="128"/>
        <v>1308.2182039773904</v>
      </c>
      <c r="H911" s="24">
        <f t="shared" si="135"/>
        <v>650</v>
      </c>
      <c r="I911" s="12">
        <f t="shared" si="129"/>
        <v>0.17381052433869421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973.65170809474148</v>
      </c>
      <c r="F912" s="24">
        <f t="shared" si="127"/>
        <v>105.66647314819875</v>
      </c>
      <c r="G912" s="14">
        <f t="shared" si="128"/>
        <v>1306.7175697954431</v>
      </c>
      <c r="H912" s="24">
        <f t="shared" si="135"/>
        <v>650</v>
      </c>
      <c r="I912" s="12">
        <f t="shared" si="129"/>
        <v>0.17360582746039765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973.82531392220187</v>
      </c>
      <c r="F913" s="24">
        <f t="shared" ref="F913:F976" si="136">AlphaC*(D913-E913)</f>
        <v>105.50223637403064</v>
      </c>
      <c r="G913" s="14">
        <f t="shared" ref="G913:G976" si="137">Phi*EpsilonF*Botzman/10^8*J913*((D913+273)^4-(E913+273)^4)</f>
        <v>1305.220451546099</v>
      </c>
      <c r="H913" s="24">
        <f t="shared" si="135"/>
        <v>650</v>
      </c>
      <c r="I913" s="12">
        <f t="shared" ref="I913:I976" si="138">ksh*Massivete/(H913*RhoA)*DeltaT*(F913+G913)</f>
        <v>0.17340161889899164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973.99871554110086</v>
      </c>
      <c r="F914" s="24">
        <f t="shared" si="136"/>
        <v>105.33845458028566</v>
      </c>
      <c r="G914" s="14">
        <f t="shared" si="137"/>
        <v>1303.726836655826</v>
      </c>
      <c r="H914" s="24">
        <f t="shared" si="135"/>
        <v>650</v>
      </c>
      <c r="I914" s="12">
        <f t="shared" si="138"/>
        <v>0.1731978968842913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974.17191343798515</v>
      </c>
      <c r="F915" s="24">
        <f t="shared" si="136"/>
        <v>105.17512594866218</v>
      </c>
      <c r="G915" s="14">
        <f t="shared" si="137"/>
        <v>1302.2367126123711</v>
      </c>
      <c r="H915" s="24">
        <f t="shared" si="135"/>
        <v>650</v>
      </c>
      <c r="I915" s="12">
        <f t="shared" si="138"/>
        <v>0.17299465965482974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974.34490809763997</v>
      </c>
      <c r="F916" s="24">
        <f t="shared" si="136"/>
        <v>105.01224867038559</v>
      </c>
      <c r="G916" s="14">
        <f t="shared" si="137"/>
        <v>1300.7500669639658</v>
      </c>
      <c r="H916" s="24">
        <f t="shared" si="135"/>
        <v>650</v>
      </c>
      <c r="I916" s="12">
        <f t="shared" si="138"/>
        <v>0.17279190545774561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974.51770000309773</v>
      </c>
      <c r="F917" s="24">
        <f t="shared" si="136"/>
        <v>104.8498209461826</v>
      </c>
      <c r="G917" s="14">
        <f t="shared" si="137"/>
        <v>1299.2668873198106</v>
      </c>
      <c r="H917" s="24">
        <f t="shared" si="135"/>
        <v>650</v>
      </c>
      <c r="I917" s="12">
        <f t="shared" si="138"/>
        <v>0.17258963254883952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974.69028963564654</v>
      </c>
      <c r="F918" s="24">
        <f t="shared" si="136"/>
        <v>104.68784098621029</v>
      </c>
      <c r="G918" s="14">
        <f t="shared" si="137"/>
        <v>1297.7871613489708</v>
      </c>
      <c r="H918" s="24">
        <f t="shared" si="135"/>
        <v>650</v>
      </c>
      <c r="I918" s="12">
        <f t="shared" si="138"/>
        <v>0.1723878391924297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974.86267747483896</v>
      </c>
      <c r="F919" s="24">
        <f t="shared" si="136"/>
        <v>104.52630700997361</v>
      </c>
      <c r="G919" s="14">
        <f t="shared" si="137"/>
        <v>1296.3108767800461</v>
      </c>
      <c r="H919" s="24">
        <f t="shared" si="135"/>
        <v>650</v>
      </c>
      <c r="I919" s="12">
        <f t="shared" si="138"/>
        <v>0.17218652366130111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975.03486399850021</v>
      </c>
      <c r="F920" s="24">
        <f t="shared" si="136"/>
        <v>104.36521724629984</v>
      </c>
      <c r="G920" s="14">
        <f t="shared" si="137"/>
        <v>1294.8380214013655</v>
      </c>
      <c r="H920" s="24">
        <f t="shared" si="135"/>
        <v>650</v>
      </c>
      <c r="I920" s="12">
        <f t="shared" si="138"/>
        <v>0.17198568423672639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975.2068496827369</v>
      </c>
      <c r="F921" s="24">
        <f t="shared" si="136"/>
        <v>104.20456993324194</v>
      </c>
      <c r="G921" s="14">
        <f t="shared" si="137"/>
        <v>1293.3685830599209</v>
      </c>
      <c r="H921" s="24">
        <f t="shared" si="135"/>
        <v>650</v>
      </c>
      <c r="I921" s="12">
        <f t="shared" si="138"/>
        <v>0.17178531920832274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975.37863500194521</v>
      </c>
      <c r="F922" s="24">
        <f t="shared" si="136"/>
        <v>104.04436331804447</v>
      </c>
      <c r="G922" s="14">
        <f t="shared" si="137"/>
        <v>1291.9025496612505</v>
      </c>
      <c r="H922" s="24">
        <f t="shared" si="135"/>
        <v>650</v>
      </c>
      <c r="I922" s="12">
        <f t="shared" si="138"/>
        <v>0.17158542687403364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975.55022042881922</v>
      </c>
      <c r="F923" s="24">
        <f t="shared" si="136"/>
        <v>103.88459565706114</v>
      </c>
      <c r="G923" s="14">
        <f t="shared" si="137"/>
        <v>1290.4399091692069</v>
      </c>
      <c r="H923" s="24">
        <f t="shared" si="135"/>
        <v>650</v>
      </c>
      <c r="I923" s="12">
        <f t="shared" si="138"/>
        <v>0.17138600554008981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975.72160643435927</v>
      </c>
      <c r="F924" s="24">
        <f t="shared" si="136"/>
        <v>103.7252652157207</v>
      </c>
      <c r="G924" s="14">
        <f t="shared" si="137"/>
        <v>1288.980649605511</v>
      </c>
      <c r="H924" s="24">
        <f t="shared" si="135"/>
        <v>650</v>
      </c>
      <c r="I924" s="12">
        <f t="shared" si="138"/>
        <v>0.17118705352095073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975.89279348788023</v>
      </c>
      <c r="F925" s="24">
        <f t="shared" si="136"/>
        <v>103.56637026844737</v>
      </c>
      <c r="G925" s="14">
        <f t="shared" si="137"/>
        <v>1287.5247590494607</v>
      </c>
      <c r="H925" s="24">
        <f t="shared" si="135"/>
        <v>650</v>
      </c>
      <c r="I925" s="12">
        <f t="shared" si="138"/>
        <v>0.17098856913925858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976.06378205701947</v>
      </c>
      <c r="F926" s="24">
        <f t="shared" si="136"/>
        <v>103.40790909860971</v>
      </c>
      <c r="G926" s="14">
        <f t="shared" si="137"/>
        <v>1286.0722256373513</v>
      </c>
      <c r="H926" s="24">
        <f t="shared" si="135"/>
        <v>650</v>
      </c>
      <c r="I926" s="12">
        <f t="shared" si="138"/>
        <v>0.17079055072576091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976.23457260774524</v>
      </c>
      <c r="F927" s="24">
        <f t="shared" si="136"/>
        <v>103.2498799984495</v>
      </c>
      <c r="G927" s="14">
        <f t="shared" si="137"/>
        <v>1284.623037562144</v>
      </c>
      <c r="H927" s="24">
        <f t="shared" si="135"/>
        <v>650</v>
      </c>
      <c r="I927" s="12">
        <f t="shared" si="138"/>
        <v>0.17059299661926117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976.40516560436447</v>
      </c>
      <c r="F928" s="24">
        <f t="shared" si="136"/>
        <v>103.09228126905339</v>
      </c>
      <c r="G928" s="14">
        <f t="shared" si="137"/>
        <v>1283.1771830734863</v>
      </c>
      <c r="H928" s="24">
        <f t="shared" si="135"/>
        <v>650</v>
      </c>
      <c r="I928" s="12">
        <f t="shared" si="138"/>
        <v>0.17039590516661765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976.5755615095311</v>
      </c>
      <c r="F929" s="24">
        <f t="shared" si="136"/>
        <v>102.93511122027041</v>
      </c>
      <c r="G929" s="14">
        <f t="shared" si="137"/>
        <v>1281.73465047684</v>
      </c>
      <c r="H929" s="24">
        <f t="shared" si="135"/>
        <v>650</v>
      </c>
      <c r="I929" s="12">
        <f t="shared" si="138"/>
        <v>0.17019927472262628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976.74576078425378</v>
      </c>
      <c r="F930" s="24">
        <f t="shared" si="136"/>
        <v>102.77836817066088</v>
      </c>
      <c r="G930" s="14">
        <f t="shared" si="137"/>
        <v>1280.2954281334999</v>
      </c>
      <c r="H930" s="24">
        <f t="shared" si="135"/>
        <v>650</v>
      </c>
      <c r="I930" s="12">
        <f t="shared" si="138"/>
        <v>0.17000310365001647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976.91576388790384</v>
      </c>
      <c r="F931" s="24">
        <f t="shared" si="136"/>
        <v>102.62205044744803</v>
      </c>
      <c r="G931" s="14">
        <f t="shared" si="137"/>
        <v>1278.8595044604785</v>
      </c>
      <c r="H931" s="24">
        <f t="shared" si="135"/>
        <v>650</v>
      </c>
      <c r="I931" s="12">
        <f t="shared" si="138"/>
        <v>0.16980739031943129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977.08557127822326</v>
      </c>
      <c r="F932" s="24">
        <f t="shared" si="136"/>
        <v>102.46615638644698</v>
      </c>
      <c r="G932" s="14">
        <f t="shared" si="137"/>
        <v>1277.4268679291099</v>
      </c>
      <c r="H932" s="24">
        <f t="shared" si="135"/>
        <v>650</v>
      </c>
      <c r="I932" s="12">
        <f t="shared" si="138"/>
        <v>0.16961213310924661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977.2551834113325</v>
      </c>
      <c r="F933" s="24">
        <f t="shared" si="136"/>
        <v>102.31068433203063</v>
      </c>
      <c r="G933" s="14">
        <f t="shared" si="137"/>
        <v>1275.9975070660771</v>
      </c>
      <c r="H933" s="24">
        <f t="shared" si="135"/>
        <v>650</v>
      </c>
      <c r="I933" s="12">
        <f t="shared" si="138"/>
        <v>0.16941733040569384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977.42460074173823</v>
      </c>
      <c r="F934" s="24">
        <f t="shared" si="136"/>
        <v>102.15563263705008</v>
      </c>
      <c r="G934" s="14">
        <f t="shared" si="137"/>
        <v>1274.5714104520748</v>
      </c>
      <c r="H934" s="24">
        <f t="shared" si="135"/>
        <v>650</v>
      </c>
      <c r="I934" s="12">
        <f t="shared" si="138"/>
        <v>0.16922298060268523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977.59382372234097</v>
      </c>
      <c r="F935" s="24">
        <f t="shared" si="136"/>
        <v>102.00099966280618</v>
      </c>
      <c r="G935" s="14">
        <f t="shared" si="137"/>
        <v>1273.1485667220809</v>
      </c>
      <c r="H935" s="24">
        <f t="shared" si="135"/>
        <v>650</v>
      </c>
      <c r="I935" s="12">
        <f t="shared" si="138"/>
        <v>0.16902908210184411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977.76285280444279</v>
      </c>
      <c r="F936" s="24">
        <f t="shared" si="136"/>
        <v>101.84678377896432</v>
      </c>
      <c r="G936" s="14">
        <f t="shared" si="137"/>
        <v>1271.7289645643095</v>
      </c>
      <c r="H936" s="24">
        <f t="shared" si="135"/>
        <v>650</v>
      </c>
      <c r="I936" s="12">
        <f t="shared" si="138"/>
        <v>0.16883563331236551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977.93168843775516</v>
      </c>
      <c r="F937" s="24">
        <f t="shared" si="136"/>
        <v>101.69298336354586</v>
      </c>
      <c r="G937" s="14">
        <f t="shared" si="137"/>
        <v>1270.3125927212388</v>
      </c>
      <c r="H937" s="24">
        <f t="shared" si="135"/>
        <v>650</v>
      </c>
      <c r="I937" s="12">
        <f t="shared" si="138"/>
        <v>0.16864263265114149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978.10033107040624</v>
      </c>
      <c r="F938" s="24">
        <f t="shared" si="136"/>
        <v>101.53959680280877</v>
      </c>
      <c r="G938" s="14">
        <f t="shared" si="137"/>
        <v>1268.8994399873238</v>
      </c>
      <c r="H938" s="24">
        <f t="shared" si="135"/>
        <v>650</v>
      </c>
      <c r="I938" s="12">
        <f t="shared" si="138"/>
        <v>0.16845007854246541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978.26878114894873</v>
      </c>
      <c r="F939" s="24">
        <f t="shared" si="136"/>
        <v>101.38662249127037</v>
      </c>
      <c r="G939" s="14">
        <f t="shared" si="137"/>
        <v>1267.4894952105076</v>
      </c>
      <c r="H939" s="24">
        <f t="shared" si="135"/>
        <v>650</v>
      </c>
      <c r="I939" s="12">
        <f t="shared" si="138"/>
        <v>0.16825796941822047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978.4370391183669</v>
      </c>
      <c r="F940" s="24">
        <f t="shared" si="136"/>
        <v>101.23405883160785</v>
      </c>
      <c r="G940" s="14">
        <f t="shared" si="137"/>
        <v>1266.0827472909816</v>
      </c>
      <c r="H940" s="24">
        <f t="shared" si="135"/>
        <v>650</v>
      </c>
      <c r="I940" s="12">
        <f t="shared" si="138"/>
        <v>0.16806630371771494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978.60510542208465</v>
      </c>
      <c r="F941" s="24">
        <f t="shared" si="136"/>
        <v>101.08190423459291</v>
      </c>
      <c r="G941" s="14">
        <f t="shared" si="137"/>
        <v>1264.6791851807789</v>
      </c>
      <c r="H941" s="24">
        <f t="shared" si="135"/>
        <v>650</v>
      </c>
      <c r="I941" s="12">
        <f t="shared" si="138"/>
        <v>0.16787507988762437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978.77298050197226</v>
      </c>
      <c r="F942" s="24">
        <f t="shared" si="136"/>
        <v>100.93015711909459</v>
      </c>
      <c r="G942" s="14">
        <f t="shared" si="137"/>
        <v>1263.2787978839472</v>
      </c>
      <c r="H942" s="24">
        <f t="shared" si="135"/>
        <v>650</v>
      </c>
      <c r="I942" s="12">
        <f t="shared" si="138"/>
        <v>0.16768429638201304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978.94066479835431</v>
      </c>
      <c r="F943" s="24">
        <f t="shared" si="136"/>
        <v>100.77881591198263</v>
      </c>
      <c r="G943" s="14">
        <f t="shared" si="137"/>
        <v>1261.8815744559502</v>
      </c>
      <c r="H943" s="24">
        <f t="shared" si="135"/>
        <v>650</v>
      </c>
      <c r="I943" s="12">
        <f t="shared" si="138"/>
        <v>0.16749395166224851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979.10815875001651</v>
      </c>
      <c r="F944" s="24">
        <f t="shared" si="136"/>
        <v>100.62787904810193</v>
      </c>
      <c r="G944" s="14">
        <f t="shared" si="137"/>
        <v>1260.4875040033942</v>
      </c>
      <c r="H944" s="24">
        <f t="shared" si="135"/>
        <v>650</v>
      </c>
      <c r="I944" s="12">
        <f t="shared" si="138"/>
        <v>0.16730404419696496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979.27546279421347</v>
      </c>
      <c r="F945" s="24">
        <f t="shared" si="136"/>
        <v>100.47734497019576</v>
      </c>
      <c r="G945" s="14">
        <f t="shared" si="137"/>
        <v>1259.0965756837775</v>
      </c>
      <c r="H945" s="24">
        <f t="shared" si="135"/>
        <v>650</v>
      </c>
      <c r="I945" s="12">
        <f t="shared" si="138"/>
        <v>0.16711457246202288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979.44257736667544</v>
      </c>
      <c r="F946" s="24">
        <f t="shared" si="136"/>
        <v>100.32721212888873</v>
      </c>
      <c r="G946" s="14">
        <f t="shared" si="137"/>
        <v>1257.7087787052185</v>
      </c>
      <c r="H946" s="24">
        <f t="shared" si="135"/>
        <v>650</v>
      </c>
      <c r="I946" s="12">
        <f t="shared" si="138"/>
        <v>0.16692553494047355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979.60950290161588</v>
      </c>
      <c r="F947" s="24">
        <f t="shared" si="136"/>
        <v>100.17747898260438</v>
      </c>
      <c r="G947" s="14">
        <f t="shared" si="137"/>
        <v>1256.324102325681</v>
      </c>
      <c r="H947" s="24">
        <f t="shared" si="135"/>
        <v>650</v>
      </c>
      <c r="I947" s="12">
        <f t="shared" si="138"/>
        <v>0.1667369301224538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979.77623983173828</v>
      </c>
      <c r="F948" s="24">
        <f t="shared" si="136"/>
        <v>100.02814399754811</v>
      </c>
      <c r="G948" s="14">
        <f t="shared" si="137"/>
        <v>1254.9425358537869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0.16654875650528356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979.94278858824362</v>
      </c>
      <c r="F949" s="24">
        <f t="shared" si="136"/>
        <v>99.879205647619074</v>
      </c>
      <c r="G949" s="14">
        <f t="shared" si="137"/>
        <v>1253.564068646803</v>
      </c>
      <c r="H949" s="24">
        <f t="shared" si="144"/>
        <v>650</v>
      </c>
      <c r="I949" s="12">
        <f t="shared" si="138"/>
        <v>0.1663610125932079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980.10914960083687</v>
      </c>
      <c r="F950" s="24">
        <f t="shared" si="136"/>
        <v>99.730662414413018</v>
      </c>
      <c r="G950" s="14">
        <f t="shared" si="137"/>
        <v>1252.188690112305</v>
      </c>
      <c r="H950" s="24">
        <f t="shared" si="144"/>
        <v>650</v>
      </c>
      <c r="I950" s="12">
        <f t="shared" si="138"/>
        <v>0.16617369689760164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980.27532329773453</v>
      </c>
      <c r="F951" s="24">
        <f t="shared" si="136"/>
        <v>99.58251278713135</v>
      </c>
      <c r="G951" s="14">
        <f t="shared" si="137"/>
        <v>1250.8163897065901</v>
      </c>
      <c r="H951" s="24">
        <f t="shared" si="144"/>
        <v>650</v>
      </c>
      <c r="I951" s="12">
        <f t="shared" si="138"/>
        <v>0.16598680793676318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980.44131010567128</v>
      </c>
      <c r="F952" s="24">
        <f t="shared" si="136"/>
        <v>99.434755262549857</v>
      </c>
      <c r="G952" s="14">
        <f t="shared" si="137"/>
        <v>1249.4471569345026</v>
      </c>
      <c r="H952" s="24">
        <f t="shared" si="144"/>
        <v>650</v>
      </c>
      <c r="I952" s="12">
        <f t="shared" si="138"/>
        <v>0.16580034423588919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980.60711044990717</v>
      </c>
      <c r="F953" s="24">
        <f t="shared" si="136"/>
        <v>99.287388344967553</v>
      </c>
      <c r="G953" s="14">
        <f t="shared" si="137"/>
        <v>1248.0809813495296</v>
      </c>
      <c r="H953" s="24">
        <f t="shared" si="144"/>
        <v>650</v>
      </c>
      <c r="I953" s="12">
        <f t="shared" si="138"/>
        <v>0.16561430432708016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980.77272475423422</v>
      </c>
      <c r="F954" s="24">
        <f t="shared" si="136"/>
        <v>99.140410546169733</v>
      </c>
      <c r="G954" s="14">
        <f t="shared" si="137"/>
        <v>1246.7178525534334</v>
      </c>
      <c r="H954" s="24">
        <f t="shared" si="144"/>
        <v>650</v>
      </c>
      <c r="I954" s="12">
        <f t="shared" si="138"/>
        <v>0.16542868674929048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980.93815344098346</v>
      </c>
      <c r="F955" s="24">
        <f t="shared" si="136"/>
        <v>98.99382038535407</v>
      </c>
      <c r="G955" s="14">
        <f t="shared" si="137"/>
        <v>1245.3577601956517</v>
      </c>
      <c r="H955" s="24">
        <f t="shared" si="144"/>
        <v>650</v>
      </c>
      <c r="I955" s="12">
        <f t="shared" si="138"/>
        <v>0.16524349004824587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981.10339693103174</v>
      </c>
      <c r="F956" s="24">
        <f t="shared" si="136"/>
        <v>98.847616389136306</v>
      </c>
      <c r="G956" s="14">
        <f t="shared" si="137"/>
        <v>1244.0006939735865</v>
      </c>
      <c r="H956" s="24">
        <f t="shared" si="144"/>
        <v>650</v>
      </c>
      <c r="I956" s="12">
        <f t="shared" si="138"/>
        <v>0.16505871277647943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981.26845564380824</v>
      </c>
      <c r="F957" s="24">
        <f t="shared" si="136"/>
        <v>98.701797091436561</v>
      </c>
      <c r="G957" s="14">
        <f t="shared" si="137"/>
        <v>1242.6466436315784</v>
      </c>
      <c r="H957" s="24">
        <f t="shared" si="144"/>
        <v>650</v>
      </c>
      <c r="I957" s="12">
        <f t="shared" si="138"/>
        <v>0.16487435349319163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981.43332999730148</v>
      </c>
      <c r="F958" s="24">
        <f t="shared" si="136"/>
        <v>98.556361033496387</v>
      </c>
      <c r="G958" s="14">
        <f t="shared" si="137"/>
        <v>1241.2955989615066</v>
      </c>
      <c r="H958" s="24">
        <f t="shared" si="144"/>
        <v>650</v>
      </c>
      <c r="I958" s="12">
        <f t="shared" si="138"/>
        <v>0.16469041076432619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981.59802040806585</v>
      </c>
      <c r="F959" s="24">
        <f t="shared" si="136"/>
        <v>98.411306763796347</v>
      </c>
      <c r="G959" s="14">
        <f t="shared" si="137"/>
        <v>1239.9475498014133</v>
      </c>
      <c r="H959" s="24">
        <f t="shared" si="144"/>
        <v>650</v>
      </c>
      <c r="I959" s="12">
        <f t="shared" si="138"/>
        <v>0.16450688316239082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981.76252729122825</v>
      </c>
      <c r="F960" s="24">
        <f t="shared" si="136"/>
        <v>98.266632838019063</v>
      </c>
      <c r="G960" s="14">
        <f t="shared" si="137"/>
        <v>1238.6024860365112</v>
      </c>
      <c r="H960" s="24">
        <f t="shared" si="144"/>
        <v>650</v>
      </c>
      <c r="I960" s="12">
        <f t="shared" si="138"/>
        <v>0.16432376926657652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981.92685106049487</v>
      </c>
      <c r="F961" s="24">
        <f t="shared" si="136"/>
        <v>98.122337819003747</v>
      </c>
      <c r="G961" s="14">
        <f t="shared" si="137"/>
        <v>1237.2603975977306</v>
      </c>
      <c r="H961" s="24">
        <f t="shared" si="144"/>
        <v>650</v>
      </c>
      <c r="I961" s="12">
        <f t="shared" si="138"/>
        <v>0.1641410676625735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982.0909921281575</v>
      </c>
      <c r="F962" s="24">
        <f t="shared" si="136"/>
        <v>97.97842027671777</v>
      </c>
      <c r="G962" s="14">
        <f t="shared" si="137"/>
        <v>1235.9212744622607</v>
      </c>
      <c r="H962" s="24">
        <f t="shared" si="144"/>
        <v>650</v>
      </c>
      <c r="I962" s="12">
        <f t="shared" si="138"/>
        <v>0.16395877694263403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982.25495090510015</v>
      </c>
      <c r="F963" s="24">
        <f t="shared" si="136"/>
        <v>97.834878788191304</v>
      </c>
      <c r="G963" s="14">
        <f t="shared" si="137"/>
        <v>1234.5851066530477</v>
      </c>
      <c r="H963" s="24">
        <f t="shared" si="144"/>
        <v>650</v>
      </c>
      <c r="I963" s="12">
        <f t="shared" si="138"/>
        <v>0.16377689570550286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982.41872780080564</v>
      </c>
      <c r="F964" s="24">
        <f t="shared" si="136"/>
        <v>97.691711937480363</v>
      </c>
      <c r="G964" s="14">
        <f t="shared" si="137"/>
        <v>1233.2518842380948</v>
      </c>
      <c r="H964" s="24">
        <f t="shared" si="144"/>
        <v>650</v>
      </c>
      <c r="I964" s="12">
        <f t="shared" si="138"/>
        <v>0.16359542255632664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982.58232322336198</v>
      </c>
      <c r="F965" s="24">
        <f t="shared" si="136"/>
        <v>97.548918315635547</v>
      </c>
      <c r="G965" s="14">
        <f t="shared" si="137"/>
        <v>1231.9215973311818</v>
      </c>
      <c r="H965" s="24">
        <f t="shared" si="144"/>
        <v>650</v>
      </c>
      <c r="I965" s="12">
        <f t="shared" si="138"/>
        <v>0.16341435610673846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982.74573757946871</v>
      </c>
      <c r="F966" s="24">
        <f t="shared" si="136"/>
        <v>97.406496520639507</v>
      </c>
      <c r="G966" s="14">
        <f t="shared" si="137"/>
        <v>1230.5942360904094</v>
      </c>
      <c r="H966" s="24">
        <f t="shared" si="144"/>
        <v>650</v>
      </c>
      <c r="I966" s="12">
        <f t="shared" si="138"/>
        <v>0.16323369497467127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982.90897127444339</v>
      </c>
      <c r="F967" s="24">
        <f t="shared" si="136"/>
        <v>97.26444515737569</v>
      </c>
      <c r="G967" s="14">
        <f t="shared" si="137"/>
        <v>1229.2697907188008</v>
      </c>
      <c r="H967" s="24">
        <f t="shared" si="144"/>
        <v>650</v>
      </c>
      <c r="I967" s="12">
        <f t="shared" si="138"/>
        <v>0.16305343778442793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983.07202471222786</v>
      </c>
      <c r="F968" s="24">
        <f t="shared" si="136"/>
        <v>97.122762837591381</v>
      </c>
      <c r="G968" s="14">
        <f t="shared" si="137"/>
        <v>1227.9482514638178</v>
      </c>
      <c r="H968" s="24">
        <f t="shared" si="144"/>
        <v>650</v>
      </c>
      <c r="I968" s="12">
        <f t="shared" si="138"/>
        <v>0.16287358316661738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983.23489829539449</v>
      </c>
      <c r="F969" s="24">
        <f t="shared" si="136"/>
        <v>96.981448179846552</v>
      </c>
      <c r="G969" s="14">
        <f t="shared" si="137"/>
        <v>1226.6296086169532</v>
      </c>
      <c r="H969" s="24">
        <f t="shared" si="144"/>
        <v>650</v>
      </c>
      <c r="I969" s="12">
        <f t="shared" si="138"/>
        <v>0.16269412975809794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983.39759242515254</v>
      </c>
      <c r="F970" s="24">
        <f t="shared" si="136"/>
        <v>96.840499809474068</v>
      </c>
      <c r="G970" s="14">
        <f t="shared" si="137"/>
        <v>1225.3138525134593</v>
      </c>
      <c r="H970" s="24">
        <f t="shared" si="144"/>
        <v>650</v>
      </c>
      <c r="I970" s="12">
        <f t="shared" si="138"/>
        <v>0.16251507620193925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983.56010750135442</v>
      </c>
      <c r="F971" s="24">
        <f t="shared" si="136"/>
        <v>96.699916358531368</v>
      </c>
      <c r="G971" s="14">
        <f t="shared" si="137"/>
        <v>1224.0009735326389</v>
      </c>
      <c r="H971" s="24">
        <f t="shared" si="144"/>
        <v>650</v>
      </c>
      <c r="I971" s="12">
        <f t="shared" si="138"/>
        <v>0.16233642114745214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983.72244392250184</v>
      </c>
      <c r="F972" s="24">
        <f t="shared" si="136"/>
        <v>96.55969646578626</v>
      </c>
      <c r="G972" s="14">
        <f t="shared" si="137"/>
        <v>1222.690962096741</v>
      </c>
      <c r="H972" s="24">
        <f t="shared" si="144"/>
        <v>650</v>
      </c>
      <c r="I972" s="12">
        <f t="shared" si="138"/>
        <v>0.162158163250051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983.88460208575191</v>
      </c>
      <c r="F973" s="24">
        <f t="shared" si="136"/>
        <v>96.419838776645861</v>
      </c>
      <c r="G973" s="14">
        <f t="shared" si="137"/>
        <v>1221.3838086715027</v>
      </c>
      <c r="H973" s="24">
        <f t="shared" si="144"/>
        <v>650</v>
      </c>
      <c r="I973" s="12">
        <f t="shared" si="138"/>
        <v>0.16198030117131174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984.04658238692321</v>
      </c>
      <c r="F974" s="24">
        <f t="shared" si="136"/>
        <v>96.280341943116809</v>
      </c>
      <c r="G974" s="14">
        <f t="shared" si="137"/>
        <v>1220.0795037650255</v>
      </c>
      <c r="H974" s="24">
        <f t="shared" si="144"/>
        <v>650</v>
      </c>
      <c r="I974" s="12">
        <f t="shared" si="138"/>
        <v>0.16180283357882877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984.20838522050201</v>
      </c>
      <c r="F975" s="24">
        <f t="shared" si="136"/>
        <v>96.141204623802423</v>
      </c>
      <c r="G975" s="14">
        <f t="shared" si="137"/>
        <v>1218.7780379285314</v>
      </c>
      <c r="H975" s="24">
        <f t="shared" si="144"/>
        <v>650</v>
      </c>
      <c r="I975" s="12">
        <f t="shared" si="138"/>
        <v>0.16162575914630761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984.37001097964833</v>
      </c>
      <c r="F976" s="24">
        <f t="shared" si="136"/>
        <v>96.002425483808906</v>
      </c>
      <c r="G976" s="14">
        <f t="shared" si="137"/>
        <v>1217.4794017554709</v>
      </c>
      <c r="H976" s="24">
        <f t="shared" si="144"/>
        <v>650</v>
      </c>
      <c r="I976" s="12">
        <f t="shared" si="138"/>
        <v>0.16144907655344365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984.53146005620181</v>
      </c>
      <c r="F977" s="24">
        <f t="shared" ref="F977:F1040" si="145">AlphaC*(D977-E977)</f>
        <v>95.864003194753877</v>
      </c>
      <c r="G977" s="14">
        <f t="shared" ref="G977:G1040" si="146">Phi*EpsilonF*Botzman/10^8*J977*((D977+273)^4-(E977+273)^4)</f>
        <v>1216.1835858813686</v>
      </c>
      <c r="H977" s="24">
        <f t="shared" si="144"/>
        <v>650</v>
      </c>
      <c r="I977" s="12">
        <f t="shared" ref="I977:I1040" si="147">ksh*Massivete/(H977*RhoA)*DeltaT*(F977+G977)</f>
        <v>0.16127278448590421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984.69273284068777</v>
      </c>
      <c r="F978" s="24">
        <f t="shared" si="145"/>
        <v>95.725936434695313</v>
      </c>
      <c r="G978" s="14">
        <f t="shared" si="146"/>
        <v>1214.8905809838413</v>
      </c>
      <c r="H978" s="24">
        <f t="shared" si="144"/>
        <v>650</v>
      </c>
      <c r="I978" s="12">
        <f t="shared" si="147"/>
        <v>0.16109688163532224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984.8538297223231</v>
      </c>
      <c r="F979" s="24">
        <f t="shared" si="145"/>
        <v>95.588223888111656</v>
      </c>
      <c r="G979" s="14">
        <f t="shared" si="146"/>
        <v>1213.6003777819997</v>
      </c>
      <c r="H979" s="24">
        <f t="shared" si="144"/>
        <v>650</v>
      </c>
      <c r="I979" s="12">
        <f t="shared" si="147"/>
        <v>0.16092136669921997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985.0147510890223</v>
      </c>
      <c r="F980" s="24">
        <f t="shared" si="145"/>
        <v>95.450864245853495</v>
      </c>
      <c r="G980" s="14">
        <f t="shared" si="146"/>
        <v>1212.3129670364451</v>
      </c>
      <c r="H980" s="24">
        <f t="shared" si="144"/>
        <v>650</v>
      </c>
      <c r="I980" s="12">
        <f t="shared" si="147"/>
        <v>0.16074623838100294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985.17549732740326</v>
      </c>
      <c r="F981" s="24">
        <f t="shared" si="145"/>
        <v>95.313856205106617</v>
      </c>
      <c r="G981" s="14">
        <f t="shared" si="146"/>
        <v>1211.0283395491563</v>
      </c>
      <c r="H981" s="24">
        <f t="shared" si="144"/>
        <v>650</v>
      </c>
      <c r="I981" s="12">
        <f t="shared" si="147"/>
        <v>0.16057149538994125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985.33606882279321</v>
      </c>
      <c r="F982" s="24">
        <f t="shared" si="145"/>
        <v>95.177198469346536</v>
      </c>
      <c r="G982" s="14">
        <f t="shared" si="146"/>
        <v>1209.7464861626729</v>
      </c>
      <c r="H982" s="24">
        <f t="shared" si="144"/>
        <v>650</v>
      </c>
      <c r="I982" s="12">
        <f t="shared" si="147"/>
        <v>0.16039713644106388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985.49646595923423</v>
      </c>
      <c r="F983" s="24">
        <f t="shared" si="145"/>
        <v>95.040889748327118</v>
      </c>
      <c r="G983" s="14">
        <f t="shared" si="146"/>
        <v>1208.4673977605823</v>
      </c>
      <c r="H983" s="24">
        <f t="shared" si="144"/>
        <v>650</v>
      </c>
      <c r="I983" s="12">
        <f t="shared" si="147"/>
        <v>0.16022316025521682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985.65668911948944</v>
      </c>
      <c r="F984" s="24">
        <f t="shared" si="145"/>
        <v>94.90492875800669</v>
      </c>
      <c r="G984" s="14">
        <f t="shared" si="146"/>
        <v>1207.191065267072</v>
      </c>
      <c r="H984" s="24">
        <f t="shared" si="144"/>
        <v>650</v>
      </c>
      <c r="I984" s="12">
        <f t="shared" si="147"/>
        <v>0.16004956555899921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985.81673868504845</v>
      </c>
      <c r="F985" s="24">
        <f t="shared" si="145"/>
        <v>94.769314220530987</v>
      </c>
      <c r="G985" s="14">
        <f t="shared" si="146"/>
        <v>1205.9174796459615</v>
      </c>
      <c r="H985" s="24">
        <f t="shared" si="144"/>
        <v>650</v>
      </c>
      <c r="I985" s="12">
        <f t="shared" si="147"/>
        <v>0.15987635108464224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985.97661503613313</v>
      </c>
      <c r="F986" s="24">
        <f t="shared" si="145"/>
        <v>94.634044864210409</v>
      </c>
      <c r="G986" s="14">
        <f t="shared" si="146"/>
        <v>1204.6466319020201</v>
      </c>
      <c r="H986" s="24">
        <f t="shared" si="144"/>
        <v>650</v>
      </c>
      <c r="I986" s="12">
        <f t="shared" si="147"/>
        <v>0.15970351557016813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986.13631855170331</v>
      </c>
      <c r="F987" s="24">
        <f t="shared" si="145"/>
        <v>94.499119423451816</v>
      </c>
      <c r="G987" s="14">
        <f t="shared" si="146"/>
        <v>1203.3785130792421</v>
      </c>
      <c r="H987" s="24">
        <f t="shared" si="144"/>
        <v>650</v>
      </c>
      <c r="I987" s="12">
        <f t="shared" si="147"/>
        <v>0.15953105775916993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986.29584960946249</v>
      </c>
      <c r="F988" s="24">
        <f t="shared" si="145"/>
        <v>94.364536638738628</v>
      </c>
      <c r="G988" s="14">
        <f t="shared" si="146"/>
        <v>1202.1131142614277</v>
      </c>
      <c r="H988" s="24">
        <f t="shared" si="144"/>
        <v>650</v>
      </c>
      <c r="I988" s="12">
        <f t="shared" si="147"/>
        <v>0.15935897640088045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986.45520858586337</v>
      </c>
      <c r="F989" s="24">
        <f t="shared" si="145"/>
        <v>94.230295256599561</v>
      </c>
      <c r="G989" s="14">
        <f t="shared" si="146"/>
        <v>1200.8504265715828</v>
      </c>
      <c r="H989" s="24">
        <f t="shared" si="144"/>
        <v>650</v>
      </c>
      <c r="I989" s="12">
        <f t="shared" si="147"/>
        <v>0.15918727025009458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986.61439585611345</v>
      </c>
      <c r="F990" s="24">
        <f t="shared" si="145"/>
        <v>94.096394029554631</v>
      </c>
      <c r="G990" s="14">
        <f t="shared" si="146"/>
        <v>1199.5904411720546</v>
      </c>
      <c r="H990" s="24">
        <f t="shared" si="144"/>
        <v>650</v>
      </c>
      <c r="I990" s="12">
        <f t="shared" si="147"/>
        <v>0.15901593806717931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986.77341179418067</v>
      </c>
      <c r="F991" s="24">
        <f t="shared" si="145"/>
        <v>93.962831716112305</v>
      </c>
      <c r="G991" s="14">
        <f t="shared" si="146"/>
        <v>1198.3331492641437</v>
      </c>
      <c r="H991" s="24">
        <f t="shared" si="144"/>
        <v>650</v>
      </c>
      <c r="I991" s="12">
        <f t="shared" si="147"/>
        <v>0.15884497861802582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986.93225677279872</v>
      </c>
      <c r="F992" s="24">
        <f t="shared" si="145"/>
        <v>93.829607080684241</v>
      </c>
      <c r="G992" s="14">
        <f t="shared" si="146"/>
        <v>1197.0785420875809</v>
      </c>
      <c r="H992" s="24">
        <f t="shared" si="144"/>
        <v>650</v>
      </c>
      <c r="I992" s="12">
        <f t="shared" si="147"/>
        <v>0.15867439067397457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987.09093116347265</v>
      </c>
      <c r="F993" s="24">
        <f t="shared" si="145"/>
        <v>93.69671889360518</v>
      </c>
      <c r="G993" s="14">
        <f t="shared" si="146"/>
        <v>1195.8266109208187</v>
      </c>
      <c r="H993" s="24">
        <f t="shared" si="144"/>
        <v>650</v>
      </c>
      <c r="I993" s="12">
        <f t="shared" si="147"/>
        <v>0.15850417301185366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987.24943533648445</v>
      </c>
      <c r="F994" s="24">
        <f t="shared" si="145"/>
        <v>93.564165931059051</v>
      </c>
      <c r="G994" s="14">
        <f t="shared" si="146"/>
        <v>1194.5773470807967</v>
      </c>
      <c r="H994" s="24">
        <f t="shared" si="144"/>
        <v>650</v>
      </c>
      <c r="I994" s="12">
        <f t="shared" si="147"/>
        <v>0.15833432441394074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987.40776966089834</v>
      </c>
      <c r="F995" s="24">
        <f t="shared" si="145"/>
        <v>93.431946975053393</v>
      </c>
      <c r="G995" s="14">
        <f t="shared" si="146"/>
        <v>1193.3307419220916</v>
      </c>
      <c r="H995" s="24">
        <f t="shared" si="144"/>
        <v>650</v>
      </c>
      <c r="I995" s="12">
        <f t="shared" si="147"/>
        <v>0.15816484366785569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987.56593450456614</v>
      </c>
      <c r="F996" s="24">
        <f t="shared" si="145"/>
        <v>93.300060813390928</v>
      </c>
      <c r="G996" s="14">
        <f t="shared" si="146"/>
        <v>1192.0867868373416</v>
      </c>
      <c r="H996" s="24">
        <f t="shared" si="144"/>
        <v>650</v>
      </c>
      <c r="I996" s="12">
        <f t="shared" si="147"/>
        <v>0.15799572956660901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987.72393023413281</v>
      </c>
      <c r="F997" s="24">
        <f t="shared" si="145"/>
        <v>93.168506239643989</v>
      </c>
      <c r="G997" s="14">
        <f t="shared" si="146"/>
        <v>1190.8454732568398</v>
      </c>
      <c r="H997" s="24">
        <f t="shared" si="144"/>
        <v>650</v>
      </c>
      <c r="I997" s="12">
        <f t="shared" si="147"/>
        <v>0.15782698090854883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987.88175721504138</v>
      </c>
      <c r="F998" s="24">
        <f t="shared" si="145"/>
        <v>93.037282053091985</v>
      </c>
      <c r="G998" s="14">
        <f t="shared" si="146"/>
        <v>1189.6067926483024</v>
      </c>
      <c r="H998" s="24">
        <f t="shared" si="144"/>
        <v>650</v>
      </c>
      <c r="I998" s="12">
        <f t="shared" si="147"/>
        <v>0.15765859649732464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988.03941581153867</v>
      </c>
      <c r="F999" s="24">
        <f t="shared" si="145"/>
        <v>92.906387058721407</v>
      </c>
      <c r="G999" s="14">
        <f t="shared" si="146"/>
        <v>1188.3707365168482</v>
      </c>
      <c r="H999" s="24">
        <f t="shared" si="144"/>
        <v>650</v>
      </c>
      <c r="I999" s="12">
        <f t="shared" si="147"/>
        <v>0.15749057514188497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988.19690638668055</v>
      </c>
      <c r="F1000" s="24">
        <f t="shared" si="145"/>
        <v>92.775820067163295</v>
      </c>
      <c r="G1000" s="14">
        <f t="shared" si="146"/>
        <v>1187.1372964043017</v>
      </c>
      <c r="H1000" s="24">
        <f t="shared" si="144"/>
        <v>650</v>
      </c>
      <c r="I1000" s="12">
        <f t="shared" si="147"/>
        <v>0.15732291565638384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988.35422930233699</v>
      </c>
      <c r="F1001" s="24">
        <f t="shared" si="145"/>
        <v>92.645579894679031</v>
      </c>
      <c r="G1001" s="14">
        <f t="shared" si="146"/>
        <v>1185.9064638895034</v>
      </c>
      <c r="H1001" s="24">
        <f t="shared" si="144"/>
        <v>650</v>
      </c>
      <c r="I1001" s="12">
        <f t="shared" si="147"/>
        <v>0.1571556168602172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988.51138491919721</v>
      </c>
      <c r="F1002" s="24">
        <f t="shared" si="145"/>
        <v>92.515665363126232</v>
      </c>
      <c r="G1002" s="14">
        <f t="shared" si="146"/>
        <v>1184.6782305880179</v>
      </c>
      <c r="H1002" s="24">
        <f t="shared" si="144"/>
        <v>650</v>
      </c>
      <c r="I1002" s="12">
        <f t="shared" si="147"/>
        <v>0.15698867757798293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988.66837359677515</v>
      </c>
      <c r="F1003" s="24">
        <f t="shared" si="145"/>
        <v>92.386075299910431</v>
      </c>
      <c r="G1003" s="14">
        <f t="shared" si="146"/>
        <v>1183.4525881515153</v>
      </c>
      <c r="H1003" s="24">
        <f t="shared" si="144"/>
        <v>650</v>
      </c>
      <c r="I1003" s="12">
        <f t="shared" si="147"/>
        <v>0.15682209663939881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988.82519569341457</v>
      </c>
      <c r="F1004" s="24">
        <f t="shared" si="145"/>
        <v>92.256808537968027</v>
      </c>
      <c r="G1004" s="14">
        <f t="shared" si="146"/>
        <v>1182.2295282680993</v>
      </c>
      <c r="H1004" s="24">
        <f t="shared" si="144"/>
        <v>650</v>
      </c>
      <c r="I1004" s="12">
        <f t="shared" si="147"/>
        <v>0.15665587287934066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988.98185156629393</v>
      </c>
      <c r="F1005" s="24">
        <f t="shared" si="145"/>
        <v>92.127863915726493</v>
      </c>
      <c r="G1005" s="14">
        <f t="shared" si="146"/>
        <v>1181.0090426618431</v>
      </c>
      <c r="H1005" s="24">
        <f t="shared" si="144"/>
        <v>650</v>
      </c>
      <c r="I1005" s="12">
        <f t="shared" si="147"/>
        <v>0.15649000513778066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989.13834157143174</v>
      </c>
      <c r="F1006" s="24">
        <f t="shared" si="145"/>
        <v>91.999240277084482</v>
      </c>
      <c r="G1006" s="14">
        <f t="shared" si="146"/>
        <v>1179.7911230927884</v>
      </c>
      <c r="H1006" s="24">
        <f t="shared" si="144"/>
        <v>650</v>
      </c>
      <c r="I1006" s="12">
        <f t="shared" si="147"/>
        <v>0.15632449225978459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989.29466606369147</v>
      </c>
      <c r="F1007" s="24">
        <f t="shared" si="145"/>
        <v>91.87093647135498</v>
      </c>
      <c r="G1007" s="14">
        <f t="shared" si="146"/>
        <v>1178.5757613562878</v>
      </c>
      <c r="H1007" s="24">
        <f t="shared" si="144"/>
        <v>650</v>
      </c>
      <c r="I1007" s="12">
        <f t="shared" si="147"/>
        <v>0.15615933309542393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989.45082539678685</v>
      </c>
      <c r="F1008" s="24">
        <f t="shared" si="145"/>
        <v>91.742951353268154</v>
      </c>
      <c r="G1008" s="14">
        <f t="shared" si="146"/>
        <v>1177.3629492833134</v>
      </c>
      <c r="H1008" s="24">
        <f t="shared" si="144"/>
        <v>650</v>
      </c>
      <c r="I1008" s="12">
        <f t="shared" si="147"/>
        <v>0.15599452649981441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989.60681992328671</v>
      </c>
      <c r="F1009" s="24">
        <f t="shared" si="145"/>
        <v>91.61528378289745</v>
      </c>
      <c r="G1009" s="14">
        <f t="shared" si="146"/>
        <v>1176.1526787401092</v>
      </c>
      <c r="H1009" s="24">
        <f t="shared" si="144"/>
        <v>650</v>
      </c>
      <c r="I1009" s="12">
        <f t="shared" si="147"/>
        <v>0.15583007133306395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989.76264999461978</v>
      </c>
      <c r="F1010" s="24">
        <f t="shared" si="145"/>
        <v>91.487932625670965</v>
      </c>
      <c r="G1010" s="14">
        <f t="shared" si="146"/>
        <v>1174.944941627919</v>
      </c>
      <c r="H1010" s="24">
        <f t="shared" si="144"/>
        <v>650</v>
      </c>
      <c r="I1010" s="12">
        <f t="shared" si="147"/>
        <v>0.15566596646024078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989.91831596108</v>
      </c>
      <c r="F1011" s="24">
        <f t="shared" si="145"/>
        <v>91.360896752317444</v>
      </c>
      <c r="G1011" s="14">
        <f t="shared" si="146"/>
        <v>1173.7397298827734</v>
      </c>
      <c r="H1011" s="24">
        <f t="shared" si="144"/>
        <v>650</v>
      </c>
      <c r="I1011" s="12">
        <f t="shared" si="147"/>
        <v>0.15550221075134052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990.07381817183136</v>
      </c>
      <c r="F1012" s="24">
        <f t="shared" si="145"/>
        <v>91.234175038829335</v>
      </c>
      <c r="G1012" s="14">
        <f t="shared" si="146"/>
        <v>1172.5370354752383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0.1553388030812507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990.2291569749126</v>
      </c>
      <c r="F1013" s="24">
        <f t="shared" si="145"/>
        <v>91.107766366462783</v>
      </c>
      <c r="G1013" s="14">
        <f t="shared" si="146"/>
        <v>1171.3368504107632</v>
      </c>
      <c r="H1013" s="24">
        <f t="shared" si="153"/>
        <v>650</v>
      </c>
      <c r="I1013" s="12">
        <f t="shared" si="147"/>
        <v>0.15517574232979375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990.38433271724239</v>
      </c>
      <c r="F1014" s="24">
        <f t="shared" si="145"/>
        <v>90.981669621658057</v>
      </c>
      <c r="G1014" s="14">
        <f t="shared" si="146"/>
        <v>1170.1391667286737</v>
      </c>
      <c r="H1014" s="24">
        <f t="shared" si="153"/>
        <v>650</v>
      </c>
      <c r="I1014" s="12">
        <f t="shared" si="147"/>
        <v>0.1550130273815932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990.53934574462403</v>
      </c>
      <c r="F1015" s="24">
        <f t="shared" si="145"/>
        <v>90.855883696070805</v>
      </c>
      <c r="G1015" s="14">
        <f t="shared" si="146"/>
        <v>1168.9439765027137</v>
      </c>
      <c r="H1015" s="24">
        <f t="shared" si="153"/>
        <v>650</v>
      </c>
      <c r="I1015" s="12">
        <f t="shared" si="147"/>
        <v>0.15485065712614424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990.69419640175022</v>
      </c>
      <c r="F1016" s="24">
        <f t="shared" si="145"/>
        <v>90.730407486478271</v>
      </c>
      <c r="G1016" s="14">
        <f t="shared" si="146"/>
        <v>1167.7512718400194</v>
      </c>
      <c r="H1016" s="24">
        <f t="shared" si="153"/>
        <v>650</v>
      </c>
      <c r="I1016" s="12">
        <f t="shared" si="147"/>
        <v>0.15468863045767603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990.84888503220793</v>
      </c>
      <c r="F1017" s="24">
        <f t="shared" si="145"/>
        <v>90.605239894804868</v>
      </c>
      <c r="G1017" s="14">
        <f t="shared" si="146"/>
        <v>1166.5610448821835</v>
      </c>
      <c r="H1017" s="24">
        <f t="shared" si="153"/>
        <v>650</v>
      </c>
      <c r="I1017" s="12">
        <f t="shared" si="147"/>
        <v>0.15452694627528574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991.0034119784832</v>
      </c>
      <c r="F1018" s="24">
        <f t="shared" si="145"/>
        <v>90.480379828062496</v>
      </c>
      <c r="G1018" s="14">
        <f t="shared" si="146"/>
        <v>1165.3732878038036</v>
      </c>
      <c r="H1018" s="24">
        <f t="shared" si="153"/>
        <v>650</v>
      </c>
      <c r="I1018" s="12">
        <f t="shared" si="147"/>
        <v>0.15436560348275266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991.157777581966</v>
      </c>
      <c r="F1019" s="24">
        <f t="shared" si="145"/>
        <v>90.35582619832212</v>
      </c>
      <c r="G1019" s="14">
        <f t="shared" si="146"/>
        <v>1164.1879928131004</v>
      </c>
      <c r="H1019" s="24">
        <f t="shared" si="153"/>
        <v>650</v>
      </c>
      <c r="I1019" s="12">
        <f t="shared" si="147"/>
        <v>0.15420460098861088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991.31198218295458</v>
      </c>
      <c r="F1020" s="24">
        <f t="shared" si="145"/>
        <v>90.231577922696715</v>
      </c>
      <c r="G1020" s="14">
        <f t="shared" si="146"/>
        <v>1163.0051521512996</v>
      </c>
      <c r="H1020" s="24">
        <f t="shared" si="153"/>
        <v>650</v>
      </c>
      <c r="I1020" s="12">
        <f t="shared" si="147"/>
        <v>0.15404393770607105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991.46602612066067</v>
      </c>
      <c r="F1021" s="24">
        <f t="shared" si="145"/>
        <v>90.107633923290109</v>
      </c>
      <c r="G1021" s="14">
        <f t="shared" si="146"/>
        <v>1161.8247580926686</v>
      </c>
      <c r="H1021" s="24">
        <f t="shared" si="153"/>
        <v>650</v>
      </c>
      <c r="I1021" s="12">
        <f t="shared" si="147"/>
        <v>0.15388361255301863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991.61990973321372</v>
      </c>
      <c r="F1022" s="24">
        <f t="shared" si="145"/>
        <v>89.983993127214035</v>
      </c>
      <c r="G1022" s="14">
        <f t="shared" si="146"/>
        <v>1160.6468029444795</v>
      </c>
      <c r="H1022" s="24">
        <f t="shared" si="153"/>
        <v>650</v>
      </c>
      <c r="I1022" s="12">
        <f t="shared" si="147"/>
        <v>0.15372362445201157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991.77363335766574</v>
      </c>
      <c r="F1023" s="24">
        <f t="shared" si="145"/>
        <v>89.860654466497181</v>
      </c>
      <c r="G1023" s="14">
        <f t="shared" si="146"/>
        <v>1159.4712790463682</v>
      </c>
      <c r="H1023" s="24">
        <f t="shared" si="153"/>
        <v>650</v>
      </c>
      <c r="I1023" s="12">
        <f t="shared" si="147"/>
        <v>0.15356397233019015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991.92719732999592</v>
      </c>
      <c r="F1024" s="24">
        <f t="shared" si="145"/>
        <v>89.737616878113613</v>
      </c>
      <c r="G1024" s="14">
        <f t="shared" si="146"/>
        <v>1158.2981787706458</v>
      </c>
      <c r="H1024" s="24">
        <f t="shared" si="153"/>
        <v>650</v>
      </c>
      <c r="I1024" s="12">
        <f t="shared" si="147"/>
        <v>0.15340465511931886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992.08060198511521</v>
      </c>
      <c r="F1025" s="24">
        <f t="shared" si="145"/>
        <v>89.614879303917405</v>
      </c>
      <c r="G1025" s="14">
        <f t="shared" si="146"/>
        <v>1157.1274945221032</v>
      </c>
      <c r="H1025" s="24">
        <f t="shared" si="153"/>
        <v>650</v>
      </c>
      <c r="I1025" s="12">
        <f t="shared" si="147"/>
        <v>0.15324567175575446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992.23384765687092</v>
      </c>
      <c r="F1026" s="24">
        <f t="shared" si="145"/>
        <v>89.49244069063127</v>
      </c>
      <c r="G1026" s="14">
        <f t="shared" si="146"/>
        <v>1155.9592187371602</v>
      </c>
      <c r="H1026" s="24">
        <f t="shared" si="153"/>
        <v>650</v>
      </c>
      <c r="I1026" s="12">
        <f t="shared" si="147"/>
        <v>0.15308702118033971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992.38693467805126</v>
      </c>
      <c r="F1027" s="24">
        <f t="shared" si="145"/>
        <v>89.370299989818136</v>
      </c>
      <c r="G1027" s="14">
        <f t="shared" si="146"/>
        <v>1154.7933438845421</v>
      </c>
      <c r="H1027" s="24">
        <f t="shared" si="153"/>
        <v>650</v>
      </c>
      <c r="I1027" s="12">
        <f t="shared" si="147"/>
        <v>0.1529287023384833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992.53986338038976</v>
      </c>
      <c r="F1028" s="24">
        <f t="shared" si="145"/>
        <v>89.248456157844203</v>
      </c>
      <c r="G1028" s="14">
        <f t="shared" si="146"/>
        <v>1153.6298624646606</v>
      </c>
      <c r="H1028" s="24">
        <f t="shared" si="153"/>
        <v>650</v>
      </c>
      <c r="I1028" s="12">
        <f t="shared" si="147"/>
        <v>0.15277071418007912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992.69263409456983</v>
      </c>
      <c r="F1029" s="24">
        <f t="shared" si="145"/>
        <v>89.126908155864726</v>
      </c>
      <c r="G1029" s="14">
        <f t="shared" si="146"/>
        <v>1152.4687670096137</v>
      </c>
      <c r="H1029" s="24">
        <f t="shared" si="153"/>
        <v>650</v>
      </c>
      <c r="I1029" s="12">
        <f t="shared" si="147"/>
        <v>0.15261305565950448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992.84524715022928</v>
      </c>
      <c r="F1030" s="24">
        <f t="shared" si="145"/>
        <v>89.005654949787072</v>
      </c>
      <c r="G1030" s="14">
        <f t="shared" si="146"/>
        <v>1151.3100500828557</v>
      </c>
      <c r="H1030" s="24">
        <f t="shared" si="153"/>
        <v>650</v>
      </c>
      <c r="I1030" s="12">
        <f t="shared" si="147"/>
        <v>0.15245572573557498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992.99770287596482</v>
      </c>
      <c r="F1031" s="24">
        <f t="shared" si="145"/>
        <v>88.88469551024798</v>
      </c>
      <c r="G1031" s="14">
        <f t="shared" si="146"/>
        <v>1150.1537042790428</v>
      </c>
      <c r="H1031" s="24">
        <f t="shared" si="153"/>
        <v>650</v>
      </c>
      <c r="I1031" s="12">
        <f t="shared" si="147"/>
        <v>0.15229872337152292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993.15000159933629</v>
      </c>
      <c r="F1032" s="24">
        <f t="shared" si="145"/>
        <v>88.764028812585138</v>
      </c>
      <c r="G1032" s="14">
        <f t="shared" si="146"/>
        <v>1148.9997222243619</v>
      </c>
      <c r="H1032" s="24">
        <f t="shared" si="153"/>
        <v>650</v>
      </c>
      <c r="I1032" s="12">
        <f t="shared" si="147"/>
        <v>0.15214204753503383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993.30214364687129</v>
      </c>
      <c r="F1033" s="24">
        <f t="shared" si="145"/>
        <v>88.643653836811609</v>
      </c>
      <c r="G1033" s="14">
        <f t="shared" si="146"/>
        <v>1147.8480965753495</v>
      </c>
      <c r="H1033" s="24">
        <f t="shared" si="153"/>
        <v>650</v>
      </c>
      <c r="I1033" s="12">
        <f t="shared" si="147"/>
        <v>0.15198569719809865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993.45412934406943</v>
      </c>
      <c r="F1034" s="24">
        <f t="shared" si="145"/>
        <v>88.523569567590243</v>
      </c>
      <c r="G1034" s="14">
        <f t="shared" si="146"/>
        <v>1146.6988200197623</v>
      </c>
      <c r="H1034" s="24">
        <f t="shared" si="153"/>
        <v>650</v>
      </c>
      <c r="I1034" s="12">
        <f t="shared" si="147"/>
        <v>0.15182967133711725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993.6059590154066</v>
      </c>
      <c r="F1035" s="24">
        <f t="shared" si="145"/>
        <v>88.403774994202422</v>
      </c>
      <c r="G1035" s="14">
        <f t="shared" si="146"/>
        <v>1145.5518852757257</v>
      </c>
      <c r="H1035" s="24">
        <f t="shared" si="153"/>
        <v>650</v>
      </c>
      <c r="I1035" s="12">
        <f t="shared" si="147"/>
        <v>0.15167396893278995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993.75763298433935</v>
      </c>
      <c r="F1036" s="24">
        <f t="shared" si="145"/>
        <v>88.284269110533842</v>
      </c>
      <c r="G1036" s="14">
        <f t="shared" si="146"/>
        <v>1144.4072850919463</v>
      </c>
      <c r="H1036" s="24">
        <f t="shared" si="153"/>
        <v>650</v>
      </c>
      <c r="I1036" s="12">
        <f t="shared" si="147"/>
        <v>0.15151858897014209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993.90915157330949</v>
      </c>
      <c r="F1037" s="24">
        <f t="shared" si="145"/>
        <v>88.165050915031884</v>
      </c>
      <c r="G1037" s="14">
        <f t="shared" si="146"/>
        <v>1143.2650122475188</v>
      </c>
      <c r="H1037" s="24">
        <f t="shared" si="153"/>
        <v>650</v>
      </c>
      <c r="I1037" s="12">
        <f t="shared" si="147"/>
        <v>0.15136353043849485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994.060515103748</v>
      </c>
      <c r="F1038" s="24">
        <f t="shared" si="145"/>
        <v>88.046119410694246</v>
      </c>
      <c r="G1038" s="14">
        <f t="shared" si="146"/>
        <v>1142.1250595513825</v>
      </c>
      <c r="H1038" s="24">
        <f t="shared" si="153"/>
        <v>650</v>
      </c>
      <c r="I1038" s="12">
        <f t="shared" si="147"/>
        <v>0.15120879233139714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994.21172389607943</v>
      </c>
      <c r="F1039" s="24">
        <f t="shared" si="145"/>
        <v>87.927473605037676</v>
      </c>
      <c r="G1039" s="14">
        <f t="shared" si="146"/>
        <v>1140.9874198426708</v>
      </c>
      <c r="H1039" s="24">
        <f t="shared" si="153"/>
        <v>650</v>
      </c>
      <c r="I1039" s="12">
        <f t="shared" si="147"/>
        <v>0.15105437364666474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994.36277826972605</v>
      </c>
      <c r="F1040" s="24">
        <f t="shared" si="145"/>
        <v>87.809112510063869</v>
      </c>
      <c r="G1040" s="14">
        <f t="shared" si="146"/>
        <v>1139.8520859904393</v>
      </c>
      <c r="H1040" s="24">
        <f t="shared" si="153"/>
        <v>650</v>
      </c>
      <c r="I1040" s="12">
        <f t="shared" si="147"/>
        <v>0.15090027338634257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994.51367854311241</v>
      </c>
      <c r="F1041" s="24">
        <f t="shared" ref="F1041:F1104" si="154">AlphaC*(D1041-E1041)</f>
        <v>87.691035142259466</v>
      </c>
      <c r="G1041" s="14">
        <f t="shared" ref="G1041:G1104" si="155">Phi*EpsilonF*Botzman/10^8*J1041*((D1041+273)^4-(E1041+273)^4)</f>
        <v>1138.7190508931239</v>
      </c>
      <c r="H1041" s="24">
        <f t="shared" si="153"/>
        <v>650</v>
      </c>
      <c r="I1041" s="12">
        <f t="shared" ref="I1041:I1104" si="156">ksh*Massivete/(H1041*RhoA)*DeltaT*(F1041+G1041)</f>
        <v>0.15074649055663822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994.66442503366909</v>
      </c>
      <c r="F1042" s="24">
        <f t="shared" si="154"/>
        <v>87.573240522536366</v>
      </c>
      <c r="G1042" s="14">
        <f t="shared" si="155"/>
        <v>1137.5883074787341</v>
      </c>
      <c r="H1042" s="24">
        <f t="shared" si="153"/>
        <v>650</v>
      </c>
      <c r="I1042" s="12">
        <f t="shared" si="156"/>
        <v>0.15059302416793832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994.81501805783705</v>
      </c>
      <c r="F1043" s="24">
        <f t="shared" si="154"/>
        <v>87.4557276762431</v>
      </c>
      <c r="G1043" s="14">
        <f t="shared" si="155"/>
        <v>1136.4598487047949</v>
      </c>
      <c r="H1043" s="24">
        <f t="shared" si="153"/>
        <v>650</v>
      </c>
      <c r="I1043" s="12">
        <f t="shared" si="156"/>
        <v>0.15043987323480273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994.96545793107191</v>
      </c>
      <c r="F1044" s="24">
        <f t="shared" si="154"/>
        <v>87.33849563310514</v>
      </c>
      <c r="G1044" s="14">
        <f t="shared" si="155"/>
        <v>1135.3336675577848</v>
      </c>
      <c r="H1044" s="24">
        <f t="shared" si="153"/>
        <v>650</v>
      </c>
      <c r="I1044" s="12">
        <f t="shared" si="156"/>
        <v>0.15028703677588823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995.11574496784783</v>
      </c>
      <c r="F1045" s="24">
        <f t="shared" si="154"/>
        <v>87.22154342723627</v>
      </c>
      <c r="G1045" s="14">
        <f t="shared" si="155"/>
        <v>1134.2097570536591</v>
      </c>
      <c r="H1045" s="24">
        <f t="shared" si="153"/>
        <v>650</v>
      </c>
      <c r="I1045" s="12">
        <f t="shared" si="156"/>
        <v>0.15013451381401424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995.26587948166184</v>
      </c>
      <c r="F1046" s="24">
        <f t="shared" si="154"/>
        <v>87.104870097073217</v>
      </c>
      <c r="G1046" s="14">
        <f t="shared" si="155"/>
        <v>1133.0881102365322</v>
      </c>
      <c r="H1046" s="24">
        <f t="shared" si="153"/>
        <v>650</v>
      </c>
      <c r="I1046" s="12">
        <f t="shared" si="156"/>
        <v>0.14998230337599264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995.41586178503781</v>
      </c>
      <c r="F1047" s="24">
        <f t="shared" si="154"/>
        <v>86.988474685398387</v>
      </c>
      <c r="G1047" s="14">
        <f t="shared" si="155"/>
        <v>1131.9687201801116</v>
      </c>
      <c r="H1047" s="24">
        <f t="shared" si="153"/>
        <v>650</v>
      </c>
      <c r="I1047" s="12">
        <f t="shared" si="156"/>
        <v>0.14983040449280707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995.56569218953064</v>
      </c>
      <c r="F1048" s="24">
        <f t="shared" si="154"/>
        <v>86.872356239265969</v>
      </c>
      <c r="G1048" s="14">
        <f t="shared" si="155"/>
        <v>1130.8515799860309</v>
      </c>
      <c r="H1048" s="24">
        <f t="shared" si="153"/>
        <v>650</v>
      </c>
      <c r="I1048" s="12">
        <f t="shared" si="156"/>
        <v>0.1496788161993988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995.71537100573005</v>
      </c>
      <c r="F1049" s="24">
        <f t="shared" si="154"/>
        <v>86.756513810018987</v>
      </c>
      <c r="G1049" s="14">
        <f t="shared" si="155"/>
        <v>1129.7366827845674</v>
      </c>
      <c r="H1049" s="24">
        <f t="shared" si="153"/>
        <v>650</v>
      </c>
      <c r="I1049" s="12">
        <f t="shared" si="156"/>
        <v>0.14952753753475709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995.86489854326476</v>
      </c>
      <c r="F1050" s="24">
        <f t="shared" si="154"/>
        <v>86.640946453252354</v>
      </c>
      <c r="G1050" s="14">
        <f t="shared" si="155"/>
        <v>1128.6240217345644</v>
      </c>
      <c r="H1050" s="24">
        <f t="shared" si="153"/>
        <v>650</v>
      </c>
      <c r="I1050" s="12">
        <f t="shared" si="156"/>
        <v>0.14937656754190498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996.01427511080669</v>
      </c>
      <c r="F1051" s="24">
        <f t="shared" si="154"/>
        <v>86.525653228773081</v>
      </c>
      <c r="G1051" s="14">
        <f t="shared" si="155"/>
        <v>1127.5135900224816</v>
      </c>
      <c r="H1051" s="24">
        <f t="shared" si="153"/>
        <v>650</v>
      </c>
      <c r="I1051" s="12">
        <f t="shared" si="156"/>
        <v>0.1492259052677779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996.16350101607452</v>
      </c>
      <c r="F1052" s="24">
        <f t="shared" si="154"/>
        <v>86.410633200594589</v>
      </c>
      <c r="G1052" s="14">
        <f t="shared" si="155"/>
        <v>1126.4053808631311</v>
      </c>
      <c r="H1052" s="24">
        <f t="shared" si="153"/>
        <v>650</v>
      </c>
      <c r="I1052" s="12">
        <f t="shared" si="156"/>
        <v>0.14907554976331319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996.31257656583784</v>
      </c>
      <c r="F1053" s="24">
        <f t="shared" si="154"/>
        <v>86.295885436928188</v>
      </c>
      <c r="G1053" s="14">
        <f t="shared" si="155"/>
        <v>1125.2993874993099</v>
      </c>
      <c r="H1053" s="24">
        <f t="shared" si="153"/>
        <v>650</v>
      </c>
      <c r="I1053" s="12">
        <f t="shared" si="156"/>
        <v>0.14892550008340408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996.4615020659212</v>
      </c>
      <c r="F1054" s="24">
        <f t="shared" si="154"/>
        <v>86.181409010109178</v>
      </c>
      <c r="G1054" s="14">
        <f t="shared" si="155"/>
        <v>1124.195603201179</v>
      </c>
      <c r="H1054" s="24">
        <f t="shared" si="153"/>
        <v>650</v>
      </c>
      <c r="I1054" s="12">
        <f t="shared" si="156"/>
        <v>0.14877575528681419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996.610277821208</v>
      </c>
      <c r="F1055" s="24">
        <f t="shared" si="154"/>
        <v>86.067202996630954</v>
      </c>
      <c r="G1055" s="14">
        <f t="shared" si="155"/>
        <v>1123.0940212665166</v>
      </c>
      <c r="H1055" s="24">
        <f t="shared" si="153"/>
        <v>650</v>
      </c>
      <c r="I1055" s="12">
        <f t="shared" si="156"/>
        <v>0.1486263144362128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996.75890413564423</v>
      </c>
      <c r="F1056" s="24">
        <f t="shared" si="154"/>
        <v>85.953266477088164</v>
      </c>
      <c r="G1056" s="14">
        <f t="shared" si="155"/>
        <v>1121.9946350208324</v>
      </c>
      <c r="H1056" s="24">
        <f t="shared" si="153"/>
        <v>650</v>
      </c>
      <c r="I1056" s="12">
        <f t="shared" si="156"/>
        <v>0.14847717659818202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996.90738131224236</v>
      </c>
      <c r="F1057" s="24">
        <f t="shared" si="154"/>
        <v>85.839598536159656</v>
      </c>
      <c r="G1057" s="14">
        <f t="shared" si="155"/>
        <v>1120.8974378165942</v>
      </c>
      <c r="H1057" s="24">
        <f t="shared" si="153"/>
        <v>650</v>
      </c>
      <c r="I1057" s="12">
        <f t="shared" si="156"/>
        <v>0.1483283408431196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997.0557096530855</v>
      </c>
      <c r="F1058" s="24">
        <f t="shared" si="154"/>
        <v>85.726198262594266</v>
      </c>
      <c r="G1058" s="14">
        <f t="shared" si="155"/>
        <v>1119.8024230332464</v>
      </c>
      <c r="H1058" s="24">
        <f t="shared" si="153"/>
        <v>650</v>
      </c>
      <c r="I1058" s="12">
        <f t="shared" si="156"/>
        <v>0.14817980624523946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997.20388945933075</v>
      </c>
      <c r="F1059" s="24">
        <f t="shared" si="154"/>
        <v>85.613064749179557</v>
      </c>
      <c r="G1059" s="14">
        <f t="shared" si="155"/>
        <v>1118.7095840778886</v>
      </c>
      <c r="H1059" s="24">
        <f t="shared" si="153"/>
        <v>650</v>
      </c>
      <c r="I1059" s="12">
        <f t="shared" si="156"/>
        <v>0.14803157188265109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997.35192103121335</v>
      </c>
      <c r="F1060" s="24">
        <f t="shared" si="154"/>
        <v>85.50019709273613</v>
      </c>
      <c r="G1060" s="14">
        <f t="shared" si="155"/>
        <v>1117.6189143839383</v>
      </c>
      <c r="H1060" s="24">
        <f t="shared" si="153"/>
        <v>650</v>
      </c>
      <c r="I1060" s="12">
        <f t="shared" si="156"/>
        <v>0.1478836368371948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997.4998046680505</v>
      </c>
      <c r="F1061" s="24">
        <f t="shared" si="154"/>
        <v>85.387594394066468</v>
      </c>
      <c r="G1061" s="14">
        <f t="shared" si="155"/>
        <v>1116.5304074116539</v>
      </c>
      <c r="H1061" s="24">
        <f t="shared" si="153"/>
        <v>650</v>
      </c>
      <c r="I1061" s="12">
        <f t="shared" si="156"/>
        <v>0.14773600019449948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997.64754066824503</v>
      </c>
      <c r="F1062" s="24">
        <f t="shared" si="154"/>
        <v>85.275255757954938</v>
      </c>
      <c r="G1062" s="14">
        <f t="shared" si="155"/>
        <v>1115.4440566479411</v>
      </c>
      <c r="H1062" s="24">
        <f t="shared" si="153"/>
        <v>650</v>
      </c>
      <c r="I1062" s="12">
        <f t="shared" si="156"/>
        <v>0.14758866104395879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997.79512932928901</v>
      </c>
      <c r="F1063" s="24">
        <f t="shared" si="154"/>
        <v>85.163180293145047</v>
      </c>
      <c r="G1063" s="14">
        <f t="shared" si="155"/>
        <v>1114.3598556060822</v>
      </c>
      <c r="H1063" s="24">
        <f t="shared" si="153"/>
        <v>650</v>
      </c>
      <c r="I1063" s="12">
        <f t="shared" si="156"/>
        <v>0.14744161847869527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997.94257094776776</v>
      </c>
      <c r="F1064" s="24">
        <f t="shared" si="154"/>
        <v>85.051367112305343</v>
      </c>
      <c r="G1064" s="14">
        <f t="shared" si="155"/>
        <v>1113.2777978255797</v>
      </c>
      <c r="H1064" s="24">
        <f t="shared" si="153"/>
        <v>650</v>
      </c>
      <c r="I1064" s="12">
        <f t="shared" si="156"/>
        <v>0.14729487159553681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998.08986581936335</v>
      </c>
      <c r="F1065" s="24">
        <f t="shared" si="154"/>
        <v>84.939815332026569</v>
      </c>
      <c r="G1065" s="14">
        <f t="shared" si="155"/>
        <v>1112.1978768724487</v>
      </c>
      <c r="H1065" s="24">
        <f t="shared" si="153"/>
        <v>650</v>
      </c>
      <c r="I1065" s="12">
        <f t="shared" si="156"/>
        <v>0.14714841949505214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998.23701423885836</v>
      </c>
      <c r="F1066" s="24">
        <f t="shared" si="154"/>
        <v>84.828524072793243</v>
      </c>
      <c r="G1066" s="14">
        <f t="shared" si="155"/>
        <v>1111.120086338517</v>
      </c>
      <c r="H1066" s="24">
        <f t="shared" si="153"/>
        <v>650</v>
      </c>
      <c r="I1066" s="12">
        <f t="shared" si="156"/>
        <v>0.14700226128146157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998.38401650013986</v>
      </c>
      <c r="F1067" s="24">
        <f t="shared" si="154"/>
        <v>84.717492458932497</v>
      </c>
      <c r="G1067" s="14">
        <f t="shared" si="155"/>
        <v>1110.0444198413891</v>
      </c>
      <c r="H1067" s="24">
        <f t="shared" si="153"/>
        <v>650</v>
      </c>
      <c r="I1067" s="12">
        <f t="shared" si="156"/>
        <v>0.14685639606262593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998.53087289620248</v>
      </c>
      <c r="F1068" s="24">
        <f t="shared" si="154"/>
        <v>84.606719618645343</v>
      </c>
      <c r="G1068" s="14">
        <f t="shared" si="155"/>
        <v>1108.97087102456</v>
      </c>
      <c r="H1068" s="24">
        <f t="shared" si="153"/>
        <v>650</v>
      </c>
      <c r="I1068" s="12">
        <f t="shared" si="156"/>
        <v>0.14671082295006488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998.67758371915249</v>
      </c>
      <c r="F1069" s="24">
        <f t="shared" si="154"/>
        <v>84.496204683961196</v>
      </c>
      <c r="G1069" s="14">
        <f t="shared" si="155"/>
        <v>1107.8994335574555</v>
      </c>
      <c r="H1069" s="24">
        <f t="shared" si="153"/>
        <v>650</v>
      </c>
      <c r="I1069" s="12">
        <f t="shared" si="156"/>
        <v>0.14656554105895567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998.82414926021147</v>
      </c>
      <c r="F1070" s="24">
        <f t="shared" si="154"/>
        <v>84.385946790695243</v>
      </c>
      <c r="G1070" s="14">
        <f t="shared" si="155"/>
        <v>1106.8301011346562</v>
      </c>
      <c r="H1070" s="24">
        <f t="shared" si="153"/>
        <v>650</v>
      </c>
      <c r="I1070" s="12">
        <f t="shared" si="156"/>
        <v>0.14642054950803302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998.97056980971945</v>
      </c>
      <c r="F1071" s="24">
        <f t="shared" si="154"/>
        <v>84.275945078459813</v>
      </c>
      <c r="G1071" s="14">
        <f t="shared" si="155"/>
        <v>1105.7628674760333</v>
      </c>
      <c r="H1071" s="24">
        <f t="shared" si="153"/>
        <v>650</v>
      </c>
      <c r="I1071" s="12">
        <f t="shared" si="156"/>
        <v>0.14627584741960703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999.11684565713904</v>
      </c>
      <c r="F1072" s="24">
        <f t="shared" si="154"/>
        <v>84.166198690635952</v>
      </c>
      <c r="G1072" s="14">
        <f t="shared" si="155"/>
        <v>1104.697726327234</v>
      </c>
      <c r="H1072" s="24">
        <f t="shared" si="153"/>
        <v>650</v>
      </c>
      <c r="I1072" s="12">
        <f t="shared" si="156"/>
        <v>0.14613143391961922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999.2629770910587</v>
      </c>
      <c r="F1073" s="24">
        <f t="shared" si="154"/>
        <v>84.056706774345002</v>
      </c>
      <c r="G1073" s="14">
        <f t="shared" si="155"/>
        <v>1103.6346714583815</v>
      </c>
      <c r="H1073" s="24">
        <f t="shared" si="153"/>
        <v>650</v>
      </c>
      <c r="I1073" s="12">
        <f t="shared" si="156"/>
        <v>0.14598730813747957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999.40896439919618</v>
      </c>
      <c r="F1074" s="24">
        <f t="shared" si="154"/>
        <v>83.947468480434395</v>
      </c>
      <c r="G1074" s="14">
        <f t="shared" si="155"/>
        <v>1102.5736966651807</v>
      </c>
      <c r="H1074" s="24">
        <f t="shared" si="153"/>
        <v>650</v>
      </c>
      <c r="I1074" s="12">
        <f t="shared" si="156"/>
        <v>0.14584346920620025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999.55480786840235</v>
      </c>
      <c r="F1075" s="24">
        <f t="shared" si="154"/>
        <v>83.838482963454908</v>
      </c>
      <c r="G1075" s="14">
        <f t="shared" si="155"/>
        <v>1101.514795767833</v>
      </c>
      <c r="H1075" s="24">
        <f t="shared" si="153"/>
        <v>650</v>
      </c>
      <c r="I1075" s="12">
        <f t="shared" si="156"/>
        <v>0.14569991626225984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999.70050778466464</v>
      </c>
      <c r="F1076" s="24">
        <f t="shared" si="154"/>
        <v>83.72974938163793</v>
      </c>
      <c r="G1076" s="14">
        <f t="shared" si="155"/>
        <v>1100.4579626112873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0.14555664844563113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999.84606443311031</v>
      </c>
      <c r="F1077" s="24">
        <f t="shared" si="154"/>
        <v>83.621266896892621</v>
      </c>
      <c r="G1077" s="14">
        <f t="shared" si="155"/>
        <v>1099.4031910655899</v>
      </c>
      <c r="H1077" s="24">
        <f t="shared" si="162"/>
        <v>650</v>
      </c>
      <c r="I1077" s="12">
        <f t="shared" si="156"/>
        <v>0.14541366489982388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999.99147809801013</v>
      </c>
      <c r="F1078" s="24">
        <f t="shared" si="154"/>
        <v>83.513034674754749</v>
      </c>
      <c r="G1078" s="14">
        <f t="shared" si="155"/>
        <v>1098.3504750246241</v>
      </c>
      <c r="H1078" s="24">
        <f t="shared" si="162"/>
        <v>650</v>
      </c>
      <c r="I1078" s="12">
        <f t="shared" si="156"/>
        <v>0.14527096477172363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1000.1367490627819</v>
      </c>
      <c r="F1079" s="24">
        <f t="shared" si="154"/>
        <v>83.405051884398063</v>
      </c>
      <c r="G1079" s="14">
        <f t="shared" si="155"/>
        <v>1097.299808407138</v>
      </c>
      <c r="H1079" s="24">
        <f t="shared" si="162"/>
        <v>650</v>
      </c>
      <c r="I1079" s="12">
        <f t="shared" si="156"/>
        <v>0.14512854721171931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1000.2818776099936</v>
      </c>
      <c r="F1080" s="24">
        <f t="shared" si="154"/>
        <v>83.297317698603024</v>
      </c>
      <c r="G1080" s="14">
        <f t="shared" si="155"/>
        <v>1096.2511851557938</v>
      </c>
      <c r="H1080" s="24">
        <f t="shared" si="162"/>
        <v>650</v>
      </c>
      <c r="I1080" s="12">
        <f t="shared" si="156"/>
        <v>0.1449864113735827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1000.4268640213671</v>
      </c>
      <c r="F1081" s="24">
        <f t="shared" si="154"/>
        <v>83.189831293719863</v>
      </c>
      <c r="G1081" s="14">
        <f t="shared" si="155"/>
        <v>1095.2045992373824</v>
      </c>
      <c r="H1081" s="24">
        <f t="shared" si="162"/>
        <v>650</v>
      </c>
      <c r="I1081" s="12">
        <f t="shared" si="156"/>
        <v>0.14484455641449021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1000.5717085777816</v>
      </c>
      <c r="F1082" s="24">
        <f t="shared" si="154"/>
        <v>83.082591849694154</v>
      </c>
      <c r="G1082" s="14">
        <f t="shared" si="155"/>
        <v>1094.1600446434422</v>
      </c>
      <c r="H1082" s="24">
        <f t="shared" si="162"/>
        <v>650</v>
      </c>
      <c r="I1082" s="12">
        <f t="shared" si="156"/>
        <v>0.14470298149510194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1000.7164115592767</v>
      </c>
      <c r="F1083" s="24">
        <f t="shared" si="154"/>
        <v>82.975598549987239</v>
      </c>
      <c r="G1083" s="14">
        <f t="shared" si="155"/>
        <v>1093.1175153880702</v>
      </c>
      <c r="H1083" s="24">
        <f t="shared" si="162"/>
        <v>650</v>
      </c>
      <c r="I1083" s="12">
        <f t="shared" si="156"/>
        <v>0.14456168577928305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1000.860973245056</v>
      </c>
      <c r="F1084" s="24">
        <f t="shared" si="154"/>
        <v>82.868850581604647</v>
      </c>
      <c r="G1084" s="14">
        <f t="shared" si="155"/>
        <v>1092.0770055103244</v>
      </c>
      <c r="H1084" s="24">
        <f t="shared" si="162"/>
        <v>650</v>
      </c>
      <c r="I1084" s="12">
        <f t="shared" si="156"/>
        <v>0.14442066843440254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1001.0053939134904</v>
      </c>
      <c r="F1085" s="24">
        <f t="shared" si="154"/>
        <v>82.76234713507904</v>
      </c>
      <c r="G1085" s="14">
        <f t="shared" si="155"/>
        <v>1091.0385090722671</v>
      </c>
      <c r="H1085" s="24">
        <f t="shared" si="162"/>
        <v>650</v>
      </c>
      <c r="I1085" s="12">
        <f t="shared" si="156"/>
        <v>0.14427992863109038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1001.1496738421215</v>
      </c>
      <c r="F1086" s="24">
        <f t="shared" si="154"/>
        <v>82.656087404399159</v>
      </c>
      <c r="G1086" s="14">
        <f t="shared" si="155"/>
        <v>1090.0020201597777</v>
      </c>
      <c r="H1086" s="24">
        <f t="shared" si="162"/>
        <v>650</v>
      </c>
      <c r="I1086" s="12">
        <f t="shared" si="156"/>
        <v>0.1441394655433291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1001.2938133076648</v>
      </c>
      <c r="F1087" s="24">
        <f t="shared" si="154"/>
        <v>82.550070587063828</v>
      </c>
      <c r="G1087" s="14">
        <f t="shared" si="155"/>
        <v>1088.9675328820506</v>
      </c>
      <c r="H1087" s="24">
        <f t="shared" si="162"/>
        <v>650</v>
      </c>
      <c r="I1087" s="12">
        <f t="shared" si="156"/>
        <v>0.14399927834839832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1001.4378125860131</v>
      </c>
      <c r="F1088" s="24">
        <f t="shared" si="154"/>
        <v>82.444295883988161</v>
      </c>
      <c r="G1088" s="14">
        <f t="shared" si="155"/>
        <v>1087.9350413713416</v>
      </c>
      <c r="H1088" s="24">
        <f t="shared" si="162"/>
        <v>650</v>
      </c>
      <c r="I1088" s="12">
        <f t="shared" si="156"/>
        <v>0.14385936622683226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1001.58167195224</v>
      </c>
      <c r="F1089" s="24">
        <f t="shared" si="154"/>
        <v>82.338762499551876</v>
      </c>
      <c r="G1089" s="14">
        <f t="shared" si="155"/>
        <v>1086.9045397835309</v>
      </c>
      <c r="H1089" s="24">
        <f t="shared" si="162"/>
        <v>650</v>
      </c>
      <c r="I1089" s="12">
        <f t="shared" si="156"/>
        <v>0.14371972836249483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1001.7253916806025</v>
      </c>
      <c r="F1090" s="24">
        <f t="shared" si="154"/>
        <v>82.23346964154814</v>
      </c>
      <c r="G1090" s="14">
        <f t="shared" si="155"/>
        <v>1085.8760222972699</v>
      </c>
      <c r="H1090" s="24">
        <f t="shared" si="162"/>
        <v>650</v>
      </c>
      <c r="I1090" s="12">
        <f t="shared" si="156"/>
        <v>0.14358036394246851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1001.8689720445449</v>
      </c>
      <c r="F1091" s="24">
        <f t="shared" si="154"/>
        <v>82.128416521149461</v>
      </c>
      <c r="G1091" s="14">
        <f t="shared" si="155"/>
        <v>1084.8494831141168</v>
      </c>
      <c r="H1091" s="24">
        <f t="shared" si="162"/>
        <v>650</v>
      </c>
      <c r="I1091" s="12">
        <f t="shared" si="156"/>
        <v>0.14344127215706681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1002.0124133167019</v>
      </c>
      <c r="F1092" s="24">
        <f t="shared" si="154"/>
        <v>82.023602352941793</v>
      </c>
      <c r="G1092" s="14">
        <f t="shared" si="155"/>
        <v>1083.8249164588472</v>
      </c>
      <c r="H1092" s="24">
        <f t="shared" si="162"/>
        <v>650</v>
      </c>
      <c r="I1092" s="12">
        <f t="shared" si="156"/>
        <v>0.14330245219987653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1002.1557157689018</v>
      </c>
      <c r="F1093" s="24">
        <f t="shared" si="154"/>
        <v>81.919026354836433</v>
      </c>
      <c r="G1093" s="14">
        <f t="shared" si="155"/>
        <v>1082.8023165783104</v>
      </c>
      <c r="H1093" s="24">
        <f t="shared" si="162"/>
        <v>650</v>
      </c>
      <c r="I1093" s="12">
        <f t="shared" si="156"/>
        <v>0.1431639032676065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1002.2988796721694</v>
      </c>
      <c r="F1094" s="24">
        <f t="shared" si="154"/>
        <v>81.814687748126858</v>
      </c>
      <c r="G1094" s="14">
        <f t="shared" si="155"/>
        <v>1081.7816777424566</v>
      </c>
      <c r="H1094" s="24">
        <f t="shared" si="162"/>
        <v>650</v>
      </c>
      <c r="I1094" s="12">
        <f t="shared" si="156"/>
        <v>0.14302562456022078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1002.4419052967296</v>
      </c>
      <c r="F1095" s="24">
        <f t="shared" si="154"/>
        <v>81.710585757409149</v>
      </c>
      <c r="G1095" s="14">
        <f t="shared" si="155"/>
        <v>1080.762994243639</v>
      </c>
      <c r="H1095" s="24">
        <f t="shared" si="162"/>
        <v>650</v>
      </c>
      <c r="I1095" s="12">
        <f t="shared" si="156"/>
        <v>0.14288761528084298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1002.5847929120105</v>
      </c>
      <c r="F1096" s="24">
        <f t="shared" si="154"/>
        <v>81.606719610604728</v>
      </c>
      <c r="G1096" s="14">
        <f t="shared" si="155"/>
        <v>1079.7462603965166</v>
      </c>
      <c r="H1096" s="24">
        <f t="shared" si="162"/>
        <v>650</v>
      </c>
      <c r="I1096" s="12">
        <f t="shared" si="156"/>
        <v>0.14274987463574743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1002.7275427866463</v>
      </c>
      <c r="F1097" s="24">
        <f t="shared" si="154"/>
        <v>81.503088538917723</v>
      </c>
      <c r="G1097" s="14">
        <f t="shared" si="155"/>
        <v>1078.7314705381718</v>
      </c>
      <c r="H1097" s="24">
        <f t="shared" si="162"/>
        <v>650</v>
      </c>
      <c r="I1097" s="12">
        <f t="shared" si="156"/>
        <v>0.14261240183436791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1002.8701551884807</v>
      </c>
      <c r="F1098" s="24">
        <f t="shared" si="154"/>
        <v>81.399691776829286</v>
      </c>
      <c r="G1098" s="14">
        <f t="shared" si="155"/>
        <v>1077.7186190275277</v>
      </c>
      <c r="H1098" s="24">
        <f t="shared" si="162"/>
        <v>650</v>
      </c>
      <c r="I1098" s="12">
        <f t="shared" si="156"/>
        <v>0.14247519608922571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1003.0126303845699</v>
      </c>
      <c r="F1099" s="24">
        <f t="shared" si="154"/>
        <v>81.296528562091908</v>
      </c>
      <c r="G1099" s="14">
        <f t="shared" si="155"/>
        <v>1076.7077002457745</v>
      </c>
      <c r="H1099" s="24">
        <f t="shared" si="162"/>
        <v>650</v>
      </c>
      <c r="I1099" s="12">
        <f t="shared" si="156"/>
        <v>0.14233825661598135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1003.1549686411859</v>
      </c>
      <c r="F1100" s="24">
        <f t="shared" si="154"/>
        <v>81.193598135678258</v>
      </c>
      <c r="G1100" s="14">
        <f t="shared" si="155"/>
        <v>1075.6987085962737</v>
      </c>
      <c r="H1100" s="24">
        <f t="shared" si="162"/>
        <v>650</v>
      </c>
      <c r="I1100" s="12">
        <f t="shared" si="156"/>
        <v>0.14220158263341617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1003.2971702238193</v>
      </c>
      <c r="F1101" s="24">
        <f t="shared" si="154"/>
        <v>81.090899741798239</v>
      </c>
      <c r="G1101" s="14">
        <f t="shared" si="155"/>
        <v>1074.6916385037819</v>
      </c>
      <c r="H1101" s="24">
        <f t="shared" si="162"/>
        <v>650</v>
      </c>
      <c r="I1101" s="12">
        <f t="shared" si="156"/>
        <v>0.14206517336333938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1003.4392353971826</v>
      </c>
      <c r="F1102" s="24">
        <f t="shared" si="154"/>
        <v>80.988432627867724</v>
      </c>
      <c r="G1102" s="14">
        <f t="shared" si="155"/>
        <v>1073.6864844151289</v>
      </c>
      <c r="H1102" s="24">
        <f t="shared" si="162"/>
        <v>650</v>
      </c>
      <c r="I1102" s="12">
        <f t="shared" si="156"/>
        <v>0.14192902803066737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1003.5811644252133</v>
      </c>
      <c r="F1103" s="24">
        <f t="shared" si="154"/>
        <v>80.886196044488656</v>
      </c>
      <c r="G1103" s="14">
        <f t="shared" si="155"/>
        <v>1072.6832407982695</v>
      </c>
      <c r="H1103" s="24">
        <f t="shared" si="162"/>
        <v>650</v>
      </c>
      <c r="I1103" s="12">
        <f t="shared" si="156"/>
        <v>0.1417931458633048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1003.7229575710766</v>
      </c>
      <c r="F1104" s="24">
        <f t="shared" si="154"/>
        <v>80.784189245432003</v>
      </c>
      <c r="G1104" s="14">
        <f t="shared" si="155"/>
        <v>1071.6819021433284</v>
      </c>
      <c r="H1104" s="24">
        <f t="shared" si="162"/>
        <v>650</v>
      </c>
      <c r="I1104" s="12">
        <f t="shared" si="156"/>
        <v>0.14165752609227092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1003.8646150971688</v>
      </c>
      <c r="F1105" s="24">
        <f t="shared" ref="F1105:F1168" si="163">AlphaC*(D1105-E1105)</f>
        <v>80.682411487643435</v>
      </c>
      <c r="G1105" s="14">
        <f t="shared" ref="G1105:G1168" si="164">Phi*EpsilonF*Botzman/10^8*J1105*((D1105+273)^4-(E1105+273)^4)</f>
        <v>1070.6824629615157</v>
      </c>
      <c r="H1105" s="24">
        <f t="shared" si="162"/>
        <v>650</v>
      </c>
      <c r="I1105" s="12">
        <f t="shared" ref="I1105:I1168" si="165">ksh*Massivete/(H1105*RhoA)*DeltaT*(F1105+G1105)</f>
        <v>0.14152216795156689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1004.0061372651204</v>
      </c>
      <c r="F1106" s="24">
        <f t="shared" si="163"/>
        <v>80.580862031189326</v>
      </c>
      <c r="G1106" s="14">
        <f t="shared" si="164"/>
        <v>1069.684917785379</v>
      </c>
      <c r="H1106" s="24">
        <f t="shared" si="162"/>
        <v>650</v>
      </c>
      <c r="I1106" s="12">
        <f t="shared" si="165"/>
        <v>0.14138707067820025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1004.1475243357986</v>
      </c>
      <c r="F1107" s="24">
        <f t="shared" si="163"/>
        <v>80.479540139270966</v>
      </c>
      <c r="G1107" s="14">
        <f t="shared" si="164"/>
        <v>1068.6892611683572</v>
      </c>
      <c r="H1107" s="24">
        <f t="shared" si="162"/>
        <v>650</v>
      </c>
      <c r="I1107" s="12">
        <f t="shared" si="165"/>
        <v>0.14125223351213181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1004.2887765693107</v>
      </c>
      <c r="F1108" s="24">
        <f t="shared" si="163"/>
        <v>80.378445078193295</v>
      </c>
      <c r="G1108" s="14">
        <f t="shared" si="164"/>
        <v>1067.6954876855561</v>
      </c>
      <c r="H1108" s="24">
        <f t="shared" si="162"/>
        <v>650</v>
      </c>
      <c r="I1108" s="12">
        <f t="shared" si="165"/>
        <v>0.14111765569636697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1004.429894225007</v>
      </c>
      <c r="F1109" s="24">
        <f t="shared" si="163"/>
        <v>80.277576117350691</v>
      </c>
      <c r="G1109" s="14">
        <f t="shared" si="164"/>
        <v>1066.7035919327209</v>
      </c>
      <c r="H1109" s="24">
        <f t="shared" si="162"/>
        <v>650</v>
      </c>
      <c r="I1109" s="12">
        <f t="shared" si="165"/>
        <v>0.14098333647682795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1004.5708775614838</v>
      </c>
      <c r="F1110" s="24">
        <f t="shared" si="163"/>
        <v>80.17693252922129</v>
      </c>
      <c r="G1110" s="14">
        <f t="shared" si="164"/>
        <v>1065.7135685264689</v>
      </c>
      <c r="H1110" s="24">
        <f t="shared" si="162"/>
        <v>650</v>
      </c>
      <c r="I1110" s="12">
        <f t="shared" si="165"/>
        <v>0.14084927510238143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1004.7117268365862</v>
      </c>
      <c r="F1111" s="24">
        <f t="shared" si="163"/>
        <v>80.07651358933856</v>
      </c>
      <c r="G1111" s="14">
        <f t="shared" si="164"/>
        <v>1064.725412104561</v>
      </c>
      <c r="H1111" s="24">
        <f t="shared" si="162"/>
        <v>650</v>
      </c>
      <c r="I1111" s="12">
        <f t="shared" si="165"/>
        <v>0.14071547082486868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1004.852442307411</v>
      </c>
      <c r="F1112" s="24">
        <f t="shared" si="163"/>
        <v>79.976318576265726</v>
      </c>
      <c r="G1112" s="14">
        <f t="shared" si="164"/>
        <v>1063.7391173247581</v>
      </c>
      <c r="H1112" s="24">
        <f t="shared" si="162"/>
        <v>650</v>
      </c>
      <c r="I1112" s="12">
        <f t="shared" si="165"/>
        <v>0.14058192289896151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1004.99302423031</v>
      </c>
      <c r="F1113" s="24">
        <f t="shared" si="163"/>
        <v>79.8763467716185</v>
      </c>
      <c r="G1113" s="14">
        <f t="shared" si="164"/>
        <v>1062.7546788660809</v>
      </c>
      <c r="H1113" s="24">
        <f t="shared" si="162"/>
        <v>650</v>
      </c>
      <c r="I1113" s="12">
        <f t="shared" si="165"/>
        <v>0.14044863058232035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1005.1334728608923</v>
      </c>
      <c r="F1114" s="24">
        <f t="shared" si="163"/>
        <v>79.776597460005405</v>
      </c>
      <c r="G1114" s="14">
        <f t="shared" si="164"/>
        <v>1061.7720914278796</v>
      </c>
      <c r="H1114" s="24">
        <f t="shared" si="162"/>
        <v>650</v>
      </c>
      <c r="I1114" s="12">
        <f t="shared" si="165"/>
        <v>0.14031559313547218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1005.2737884540278</v>
      </c>
      <c r="F1115" s="24">
        <f t="shared" si="163"/>
        <v>79.677069929033451</v>
      </c>
      <c r="G1115" s="14">
        <f t="shared" si="164"/>
        <v>1060.7913497292907</v>
      </c>
      <c r="H1115" s="24">
        <f t="shared" si="162"/>
        <v>650</v>
      </c>
      <c r="I1115" s="12">
        <f t="shared" si="165"/>
        <v>0.14018280982174466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1005.4139712638496</v>
      </c>
      <c r="F1116" s="24">
        <f t="shared" si="163"/>
        <v>79.577763469293927</v>
      </c>
      <c r="G1116" s="14">
        <f t="shared" si="164"/>
        <v>1059.8124485107501</v>
      </c>
      <c r="H1116" s="24">
        <f t="shared" si="162"/>
        <v>650</v>
      </c>
      <c r="I1116" s="12">
        <f t="shared" si="165"/>
        <v>0.14005027990745036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1005.554021543757</v>
      </c>
      <c r="F1117" s="24">
        <f t="shared" si="163"/>
        <v>79.478677374356721</v>
      </c>
      <c r="G1117" s="14">
        <f t="shared" si="164"/>
        <v>1058.8353825322474</v>
      </c>
      <c r="H1117" s="24">
        <f t="shared" si="162"/>
        <v>650</v>
      </c>
      <c r="I1117" s="12">
        <f t="shared" si="165"/>
        <v>0.1399180026616714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1005.6939395464187</v>
      </c>
      <c r="F1118" s="24">
        <f t="shared" si="163"/>
        <v>79.379810940710627</v>
      </c>
      <c r="G1118" s="14">
        <f t="shared" si="164"/>
        <v>1057.8601465738889</v>
      </c>
      <c r="H1118" s="24">
        <f t="shared" si="162"/>
        <v>650</v>
      </c>
      <c r="I1118" s="12">
        <f t="shared" si="165"/>
        <v>0.13978597735632137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1005.833725523775</v>
      </c>
      <c r="F1119" s="24">
        <f t="shared" si="163"/>
        <v>79.281163467808824</v>
      </c>
      <c r="G1119" s="14">
        <f t="shared" si="164"/>
        <v>1056.8867354358579</v>
      </c>
      <c r="H1119" s="24">
        <f t="shared" si="162"/>
        <v>650</v>
      </c>
      <c r="I1119" s="12">
        <f t="shared" si="165"/>
        <v>0.13965420326614605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1005.9733797270411</v>
      </c>
      <c r="F1120" s="24">
        <f t="shared" si="163"/>
        <v>79.182734258009191</v>
      </c>
      <c r="G1120" s="14">
        <f t="shared" si="164"/>
        <v>1055.9151439382993</v>
      </c>
      <c r="H1120" s="24">
        <f t="shared" si="162"/>
        <v>650</v>
      </c>
      <c r="I1120" s="12">
        <f t="shared" si="165"/>
        <v>0.13952267966870188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1006.1129024067098</v>
      </c>
      <c r="F1121" s="24">
        <f t="shared" si="163"/>
        <v>79.08452261656862</v>
      </c>
      <c r="G1121" s="14">
        <f t="shared" si="164"/>
        <v>1054.9453669209126</v>
      </c>
      <c r="H1121" s="24">
        <f t="shared" si="162"/>
        <v>650</v>
      </c>
      <c r="I1121" s="12">
        <f t="shared" si="165"/>
        <v>0.13939140584430521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1006.2522938125542</v>
      </c>
      <c r="F1122" s="24">
        <f t="shared" si="163"/>
        <v>78.986527851651545</v>
      </c>
      <c r="G1122" s="14">
        <f t="shared" si="164"/>
        <v>1053.9773992436685</v>
      </c>
      <c r="H1122" s="24">
        <f t="shared" si="162"/>
        <v>650</v>
      </c>
      <c r="I1122" s="12">
        <f t="shared" si="165"/>
        <v>0.13926038107612149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1006.3915541936303</v>
      </c>
      <c r="F1123" s="24">
        <f t="shared" si="163"/>
        <v>78.888749274287306</v>
      </c>
      <c r="G1123" s="14">
        <f t="shared" si="164"/>
        <v>1053.0112357855683</v>
      </c>
      <c r="H1123" s="24">
        <f t="shared" si="162"/>
        <v>650</v>
      </c>
      <c r="I1123" s="12">
        <f t="shared" si="165"/>
        <v>0.13912960465000743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1006.5306837982803</v>
      </c>
      <c r="F1124" s="24">
        <f t="shared" si="163"/>
        <v>78.791186198364471</v>
      </c>
      <c r="G1124" s="14">
        <f t="shared" si="164"/>
        <v>1052.0468714452261</v>
      </c>
      <c r="H1124" s="24">
        <f t="shared" si="162"/>
        <v>650</v>
      </c>
      <c r="I1124" s="12">
        <f t="shared" si="165"/>
        <v>0.13899907585458196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1006.6696828741349</v>
      </c>
      <c r="F1125" s="24">
        <f t="shared" si="163"/>
        <v>78.693837940608091</v>
      </c>
      <c r="G1125" s="14">
        <f t="shared" si="164"/>
        <v>1051.0843011409074</v>
      </c>
      <c r="H1125" s="24">
        <f t="shared" si="162"/>
        <v>650</v>
      </c>
      <c r="I1125" s="12">
        <f t="shared" si="165"/>
        <v>0.13886879398122817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1006.8085516681161</v>
      </c>
      <c r="F1126" s="24">
        <f t="shared" si="163"/>
        <v>78.596703820591074</v>
      </c>
      <c r="G1126" s="14">
        <f t="shared" si="164"/>
        <v>1050.1235198099471</v>
      </c>
      <c r="H1126" s="24">
        <f t="shared" si="162"/>
        <v>650</v>
      </c>
      <c r="I1126" s="12">
        <f t="shared" si="165"/>
        <v>0.13873875832402316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1006.9472904264402</v>
      </c>
      <c r="F1127" s="24">
        <f t="shared" si="163"/>
        <v>78.499783160700076</v>
      </c>
      <c r="G1127" s="14">
        <f t="shared" si="164"/>
        <v>1049.1645224093702</v>
      </c>
      <c r="H1127" s="24">
        <f t="shared" si="162"/>
        <v>650</v>
      </c>
      <c r="I1127" s="12">
        <f t="shared" si="165"/>
        <v>0.13860896817981005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</v>
      </c>
      <c r="F1128" s="24">
        <f t="shared" si="163"/>
        <v>78.403075286107082</v>
      </c>
      <c r="G1128" s="14">
        <f t="shared" si="164"/>
        <v>1048.2073039147676</v>
      </c>
      <c r="H1128" s="24">
        <f t="shared" si="162"/>
        <v>650</v>
      </c>
      <c r="I1128" s="12">
        <f t="shared" si="165"/>
        <v>0.13847942284805656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1007.2243788174681</v>
      </c>
      <c r="F1129" s="24">
        <f t="shared" si="163"/>
        <v>78.306579524786457</v>
      </c>
      <c r="G1129" s="14">
        <f t="shared" si="164"/>
        <v>1047.2518593209747</v>
      </c>
      <c r="H1129" s="24">
        <f t="shared" si="162"/>
        <v>650</v>
      </c>
      <c r="I1129" s="12">
        <f t="shared" si="165"/>
        <v>0.1383501216309401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1007.362728939099</v>
      </c>
      <c r="F1130" s="24">
        <f t="shared" si="163"/>
        <v>78.210295207483682</v>
      </c>
      <c r="G1130" s="14">
        <f t="shared" si="164"/>
        <v>1046.298183641974</v>
      </c>
      <c r="H1130" s="24">
        <f t="shared" si="162"/>
        <v>650</v>
      </c>
      <c r="I1130" s="12">
        <f t="shared" si="165"/>
        <v>0.13822106383333238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1007.5009500029324</v>
      </c>
      <c r="F1131" s="24">
        <f t="shared" si="163"/>
        <v>78.11422166769546</v>
      </c>
      <c r="G1131" s="14">
        <f t="shared" si="164"/>
        <v>1045.3462719105464</v>
      </c>
      <c r="H1131" s="24">
        <f t="shared" si="162"/>
        <v>650</v>
      </c>
      <c r="I1131" s="12">
        <f t="shared" si="165"/>
        <v>0.13809224876275386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1007.6390422516952</v>
      </c>
      <c r="F1132" s="24">
        <f t="shared" si="163"/>
        <v>78.018358241678243</v>
      </c>
      <c r="G1132" s="14">
        <f t="shared" si="164"/>
        <v>1044.3961191780775</v>
      </c>
      <c r="H1132" s="24">
        <f t="shared" si="162"/>
        <v>650</v>
      </c>
      <c r="I1132" s="12">
        <f t="shared" si="165"/>
        <v>0.13796367572935112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1007.7770059274245</v>
      </c>
      <c r="F1133" s="24">
        <f t="shared" si="163"/>
        <v>77.92270426841128</v>
      </c>
      <c r="G1133" s="14">
        <f t="shared" si="164"/>
        <v>1043.4477205150229</v>
      </c>
      <c r="H1133" s="24">
        <f t="shared" si="162"/>
        <v>650</v>
      </c>
      <c r="I1133" s="12">
        <f t="shared" si="165"/>
        <v>0.1378353440459493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1007.9148412714704</v>
      </c>
      <c r="F1134" s="24">
        <f t="shared" si="163"/>
        <v>77.827259089576728</v>
      </c>
      <c r="G1134" s="14">
        <f t="shared" si="164"/>
        <v>1042.5010710097645</v>
      </c>
      <c r="H1134" s="24">
        <f t="shared" si="162"/>
        <v>650</v>
      </c>
      <c r="I1134" s="12">
        <f t="shared" si="165"/>
        <v>0.13770725302790934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1008.0525485244983</v>
      </c>
      <c r="F1135" s="24">
        <f t="shared" si="163"/>
        <v>77.732022049588068</v>
      </c>
      <c r="G1135" s="14">
        <f t="shared" si="164"/>
        <v>1041.5561657700446</v>
      </c>
      <c r="H1135" s="24">
        <f t="shared" si="162"/>
        <v>650</v>
      </c>
      <c r="I1135" s="12">
        <f t="shared" si="165"/>
        <v>0.13757940199330759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1008.1901279264916</v>
      </c>
      <c r="F1136" s="24">
        <f t="shared" si="163"/>
        <v>77.636992495521895</v>
      </c>
      <c r="G1136" s="14">
        <f t="shared" si="164"/>
        <v>1040.612999921319</v>
      </c>
      <c r="H1136" s="24">
        <f t="shared" si="162"/>
        <v>650</v>
      </c>
      <c r="I1136" s="12">
        <f t="shared" si="165"/>
        <v>0.13745179026272503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1008.3275797167544</v>
      </c>
      <c r="F1137" s="24">
        <f t="shared" si="163"/>
        <v>77.542169777149184</v>
      </c>
      <c r="G1137" s="14">
        <f t="shared" si="164"/>
        <v>1039.6715686077446</v>
      </c>
      <c r="H1137" s="24">
        <f t="shared" si="162"/>
        <v>650</v>
      </c>
      <c r="I1137" s="12">
        <f t="shared" si="165"/>
        <v>0.13732441715937246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1008.4649041339137</v>
      </c>
      <c r="F1138" s="24">
        <f t="shared" si="163"/>
        <v>77.447553246892653</v>
      </c>
      <c r="G1138" s="14">
        <f t="shared" si="164"/>
        <v>1038.7318669916569</v>
      </c>
      <c r="H1138" s="24">
        <f t="shared" si="162"/>
        <v>650</v>
      </c>
      <c r="I1138" s="12">
        <f t="shared" si="165"/>
        <v>0.13719728200902118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1008.6021014159227</v>
      </c>
      <c r="F1139" s="24">
        <f t="shared" si="163"/>
        <v>77.35314225982961</v>
      </c>
      <c r="G1139" s="14">
        <f t="shared" si="164"/>
        <v>1037.7938902535313</v>
      </c>
      <c r="H1139" s="24">
        <f t="shared" si="162"/>
        <v>650</v>
      </c>
      <c r="I1139" s="12">
        <f t="shared" si="165"/>
        <v>0.13707038413999842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1008.7391718000626</v>
      </c>
      <c r="F1140" s="24">
        <f t="shared" si="163"/>
        <v>77.258936173669213</v>
      </c>
      <c r="G1140" s="14">
        <f t="shared" si="164"/>
        <v>1036.8576335920791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0.13694372288319637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1008.8761155229458</v>
      </c>
      <c r="F1141" s="24">
        <f t="shared" si="163"/>
        <v>77.164934348749625</v>
      </c>
      <c r="G1141" s="14">
        <f t="shared" si="164"/>
        <v>1035.9230922238028</v>
      </c>
      <c r="H1141" s="24">
        <f t="shared" si="171"/>
        <v>650</v>
      </c>
      <c r="I1141" s="12">
        <f t="shared" si="165"/>
        <v>0.13681729757201724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1009.0129328205179</v>
      </c>
      <c r="F1142" s="24">
        <f t="shared" si="163"/>
        <v>77.071136148001074</v>
      </c>
      <c r="G1142" s="14">
        <f t="shared" si="164"/>
        <v>1034.9902613828012</v>
      </c>
      <c r="H1142" s="24">
        <f t="shared" si="171"/>
        <v>650</v>
      </c>
      <c r="I1142" s="12">
        <f t="shared" si="165"/>
        <v>0.13669110754234487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1009.1496239280602</v>
      </c>
      <c r="F1143" s="24">
        <f t="shared" si="163"/>
        <v>76.977540936974265</v>
      </c>
      <c r="G1143" s="14">
        <f t="shared" si="164"/>
        <v>1034.0591363219337</v>
      </c>
      <c r="H1143" s="24">
        <f t="shared" si="171"/>
        <v>650</v>
      </c>
      <c r="I1143" s="12">
        <f t="shared" si="165"/>
        <v>0.13656515213269091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1009.2861890801929</v>
      </c>
      <c r="F1144" s="24">
        <f t="shared" si="163"/>
        <v>76.884148083786386</v>
      </c>
      <c r="G1144" s="14">
        <f t="shared" si="164"/>
        <v>1033.1297123109971</v>
      </c>
      <c r="H1144" s="24">
        <f t="shared" si="171"/>
        <v>650</v>
      </c>
      <c r="I1144" s="12">
        <f t="shared" si="165"/>
        <v>0.13643943068396461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1009.4226285108768</v>
      </c>
      <c r="F1145" s="24">
        <f t="shared" si="163"/>
        <v>76.790956959118262</v>
      </c>
      <c r="G1145" s="14">
        <f t="shared" si="164"/>
        <v>1032.2019846375015</v>
      </c>
      <c r="H1145" s="24">
        <f t="shared" si="171"/>
        <v>650</v>
      </c>
      <c r="I1145" s="12">
        <f t="shared" si="165"/>
        <v>0.1363139425395675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1009.5589424534164</v>
      </c>
      <c r="F1146" s="24">
        <f t="shared" si="163"/>
        <v>76.697966936225725</v>
      </c>
      <c r="G1146" s="14">
        <f t="shared" si="164"/>
        <v>1031.2759486069417</v>
      </c>
      <c r="H1146" s="24">
        <f t="shared" si="171"/>
        <v>650</v>
      </c>
      <c r="I1146" s="12">
        <f t="shared" si="165"/>
        <v>0.13618868704542825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1009.6951311404619</v>
      </c>
      <c r="F1147" s="24">
        <f t="shared" si="163"/>
        <v>76.605177390896984</v>
      </c>
      <c r="G1147" s="14">
        <f t="shared" si="164"/>
        <v>1030.351599541983</v>
      </c>
      <c r="H1147" s="24">
        <f t="shared" si="171"/>
        <v>650</v>
      </c>
      <c r="I1147" s="12">
        <f t="shared" si="165"/>
        <v>0.13606366354989735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1009.8311948040117</v>
      </c>
      <c r="F1148" s="24">
        <f t="shared" si="163"/>
        <v>76.512587701452617</v>
      </c>
      <c r="G1148" s="14">
        <f t="shared" si="164"/>
        <v>1029.4289327826355</v>
      </c>
      <c r="H1148" s="24">
        <f t="shared" si="171"/>
        <v>650</v>
      </c>
      <c r="I1148" s="12">
        <f t="shared" si="165"/>
        <v>0.13593887140376854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1009.9671336754155</v>
      </c>
      <c r="F1149" s="24">
        <f t="shared" si="163"/>
        <v>76.420197248734212</v>
      </c>
      <c r="G1149" s="14">
        <f t="shared" si="164"/>
        <v>1028.5079436867197</v>
      </c>
      <c r="H1149" s="24">
        <f t="shared" si="171"/>
        <v>650</v>
      </c>
      <c r="I1149" s="12">
        <f t="shared" si="165"/>
        <v>0.13581430996033464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1010.1029479853759</v>
      </c>
      <c r="F1150" s="24">
        <f t="shared" si="163"/>
        <v>76.328005416087308</v>
      </c>
      <c r="G1150" s="14">
        <f t="shared" si="164"/>
        <v>1027.5886276285871</v>
      </c>
      <c r="H1150" s="24">
        <f t="shared" si="171"/>
        <v>650</v>
      </c>
      <c r="I1150" s="12">
        <f t="shared" si="165"/>
        <v>0.13568997857522813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1010.2386379639511</v>
      </c>
      <c r="F1151" s="24">
        <f t="shared" si="163"/>
        <v>76.236011589347186</v>
      </c>
      <c r="G1151" s="14">
        <f t="shared" si="164"/>
        <v>1026.6709800002636</v>
      </c>
      <c r="H1151" s="24">
        <f t="shared" si="171"/>
        <v>650</v>
      </c>
      <c r="I1151" s="12">
        <f t="shared" si="165"/>
        <v>0.13556587660656008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1010.3742038405576</v>
      </c>
      <c r="F1152" s="24">
        <f t="shared" si="163"/>
        <v>76.144215156844552</v>
      </c>
      <c r="G1152" s="14">
        <f t="shared" si="164"/>
        <v>1025.7549962108101</v>
      </c>
      <c r="H1152" s="24">
        <f t="shared" si="171"/>
        <v>650</v>
      </c>
      <c r="I1152" s="12">
        <f t="shared" si="165"/>
        <v>0.13544200341484214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1010.5096458439724</v>
      </c>
      <c r="F1153" s="24">
        <f t="shared" si="163"/>
        <v>76.052615509354382</v>
      </c>
      <c r="G1153" s="14">
        <f t="shared" si="164"/>
        <v>1024.840671686128</v>
      </c>
      <c r="H1153" s="24">
        <f t="shared" si="171"/>
        <v>650</v>
      </c>
      <c r="I1153" s="12">
        <f t="shared" si="165"/>
        <v>0.13531835836295639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1010.6449642023354</v>
      </c>
      <c r="F1154" s="24">
        <f t="shared" si="163"/>
        <v>75.961212040132864</v>
      </c>
      <c r="G1154" s="14">
        <f t="shared" si="164"/>
        <v>1023.9280018691546</v>
      </c>
      <c r="H1154" s="24">
        <f t="shared" si="171"/>
        <v>650</v>
      </c>
      <c r="I1154" s="12">
        <f t="shared" si="165"/>
        <v>0.13519494081618388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1010.7801591431515</v>
      </c>
      <c r="F1155" s="24">
        <f t="shared" si="163"/>
        <v>75.870004144857717</v>
      </c>
      <c r="G1155" s="14">
        <f t="shared" si="164"/>
        <v>1023.0169822193384</v>
      </c>
      <c r="H1155" s="24">
        <f t="shared" si="171"/>
        <v>650</v>
      </c>
      <c r="I1155" s="12">
        <f t="shared" si="165"/>
        <v>0.13507175014213282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1010.9152308932937</v>
      </c>
      <c r="F1156" s="24">
        <f t="shared" si="163"/>
        <v>75.778991221659453</v>
      </c>
      <c r="G1156" s="14">
        <f t="shared" si="164"/>
        <v>1022.1076082136084</v>
      </c>
      <c r="H1156" s="24">
        <f t="shared" si="171"/>
        <v>650</v>
      </c>
      <c r="I1156" s="12">
        <f t="shared" si="165"/>
        <v>0.13494878571086155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1011.0501796790046</v>
      </c>
      <c r="F1157" s="24">
        <f t="shared" si="163"/>
        <v>75.688172671075904</v>
      </c>
      <c r="G1157" s="14">
        <f t="shared" si="164"/>
        <v>1021.1998753450372</v>
      </c>
      <c r="H1157" s="24">
        <f t="shared" si="171"/>
        <v>650</v>
      </c>
      <c r="I1157" s="12">
        <f t="shared" si="165"/>
        <v>0.1348260468947087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1011.1850057258993</v>
      </c>
      <c r="F1158" s="24">
        <f t="shared" si="163"/>
        <v>75.597547896049377</v>
      </c>
      <c r="G1158" s="14">
        <f t="shared" si="164"/>
        <v>1020.2937791230928</v>
      </c>
      <c r="H1158" s="24">
        <f t="shared" si="171"/>
        <v>650</v>
      </c>
      <c r="I1158" s="12">
        <f t="shared" si="165"/>
        <v>0.13470353306832358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1011.3197092589676</v>
      </c>
      <c r="F1159" s="24">
        <f t="shared" si="163"/>
        <v>75.507116301926658</v>
      </c>
      <c r="G1159" s="14">
        <f t="shared" si="164"/>
        <v>1019.3893150745687</v>
      </c>
      <c r="H1159" s="24">
        <f t="shared" si="171"/>
        <v>650</v>
      </c>
      <c r="I1159" s="12">
        <f t="shared" si="165"/>
        <v>0.13458124360878079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1011.4542905025763</v>
      </c>
      <c r="F1160" s="24">
        <f t="shared" si="163"/>
        <v>75.416877296433427</v>
      </c>
      <c r="G1160" s="14">
        <f t="shared" si="164"/>
        <v>1018.4864787419758</v>
      </c>
      <c r="H1160" s="24">
        <f t="shared" si="171"/>
        <v>650</v>
      </c>
      <c r="I1160" s="12">
        <f t="shared" si="165"/>
        <v>0.13445917789537917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1011.5887496804717</v>
      </c>
      <c r="F1161" s="24">
        <f t="shared" si="163"/>
        <v>75.32683028967142</v>
      </c>
      <c r="G1161" s="14">
        <f t="shared" si="164"/>
        <v>1017.5852656846463</v>
      </c>
      <c r="H1161" s="24">
        <f t="shared" si="171"/>
        <v>650</v>
      </c>
      <c r="I1161" s="12">
        <f t="shared" si="165"/>
        <v>0.13433733530977734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1011.7230870157814</v>
      </c>
      <c r="F1162" s="24">
        <f t="shared" si="163"/>
        <v>75.236974694095693</v>
      </c>
      <c r="G1162" s="14">
        <f t="shared" si="164"/>
        <v>1016.6856714779786</v>
      </c>
      <c r="H1162" s="24">
        <f t="shared" si="171"/>
        <v>650</v>
      </c>
      <c r="I1162" s="12">
        <f t="shared" si="165"/>
        <v>0.13421571523589787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1011.8573027310173</v>
      </c>
      <c r="F1163" s="24">
        <f t="shared" si="163"/>
        <v>75.147309924514616</v>
      </c>
      <c r="G1163" s="14">
        <f t="shared" si="164"/>
        <v>1015.787691713592</v>
      </c>
      <c r="H1163" s="24">
        <f t="shared" si="171"/>
        <v>650</v>
      </c>
      <c r="I1163" s="12">
        <f t="shared" si="165"/>
        <v>0.13409431705994648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1011.9913970480773</v>
      </c>
      <c r="F1164" s="24">
        <f t="shared" si="163"/>
        <v>75.057835398075667</v>
      </c>
      <c r="G1164" s="14">
        <f t="shared" si="164"/>
        <v>1014.891321999385</v>
      </c>
      <c r="H1164" s="24">
        <f t="shared" si="171"/>
        <v>650</v>
      </c>
      <c r="I1164" s="12">
        <f t="shared" si="165"/>
        <v>0.13397314017041739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1012.1253701882476</v>
      </c>
      <c r="F1165" s="24">
        <f t="shared" si="163"/>
        <v>74.968550534248379</v>
      </c>
      <c r="G1165" s="14">
        <f t="shared" si="164"/>
        <v>1013.9965579593993</v>
      </c>
      <c r="H1165" s="24">
        <f t="shared" si="171"/>
        <v>650</v>
      </c>
      <c r="I1165" s="12">
        <f t="shared" si="165"/>
        <v>0.13385218395807455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1012.2592223722057</v>
      </c>
      <c r="F1166" s="24">
        <f t="shared" si="163"/>
        <v>74.879454754815811</v>
      </c>
      <c r="G1166" s="14">
        <f t="shared" si="164"/>
        <v>1013.1033952334714</v>
      </c>
      <c r="H1166" s="24">
        <f t="shared" si="171"/>
        <v>650</v>
      </c>
      <c r="I1166" s="12">
        <f t="shared" si="165"/>
        <v>0.13373144781590762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1012.3929538200216</v>
      </c>
      <c r="F1167" s="24">
        <f t="shared" si="163"/>
        <v>74.790547483860337</v>
      </c>
      <c r="G1167" s="14">
        <f t="shared" si="164"/>
        <v>1012.2118294775424</v>
      </c>
      <c r="H1167" s="24">
        <f t="shared" si="171"/>
        <v>650</v>
      </c>
      <c r="I1167" s="12">
        <f t="shared" si="165"/>
        <v>0.13361093113916855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1012.5265647511608</v>
      </c>
      <c r="F1168" s="24">
        <f t="shared" si="163"/>
        <v>74.701828147766491</v>
      </c>
      <c r="G1168" s="14">
        <f t="shared" si="164"/>
        <v>1011.3218563633093</v>
      </c>
      <c r="H1168" s="24">
        <f t="shared" si="171"/>
        <v>650</v>
      </c>
      <c r="I1168" s="12">
        <f t="shared" si="165"/>
        <v>0.13349063332532882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1012.6600553844861</v>
      </c>
      <c r="F1169" s="24">
        <f t="shared" ref="F1169:F1232" si="172">AlphaC*(D1169-E1169)</f>
        <v>74.613296175189703</v>
      </c>
      <c r="G1169" s="14">
        <f t="shared" ref="G1169:G1232" si="173">Phi*EpsilonF*Botzman/10^8*J1169*((D1169+273)^4-(E1169+273)^4)</f>
        <v>1010.4334715783025</v>
      </c>
      <c r="H1169" s="24">
        <f t="shared" si="171"/>
        <v>650</v>
      </c>
      <c r="I1169" s="12">
        <f t="shared" ref="I1169:I1232" si="174">ksh*Massivete/(H1169*RhoA)*DeltaT*(F1169+G1169)</f>
        <v>0.13337055377408524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1012.7934259382602</v>
      </c>
      <c r="F1170" s="24">
        <f t="shared" si="172"/>
        <v>74.524950997053452</v>
      </c>
      <c r="G1170" s="14">
        <f t="shared" si="173"/>
        <v>1009.5466708256918</v>
      </c>
      <c r="H1170" s="24">
        <f t="shared" si="171"/>
        <v>650</v>
      </c>
      <c r="I1170" s="12">
        <f t="shared" si="174"/>
        <v>0.13325069188733588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1012.9266766301475</v>
      </c>
      <c r="F1171" s="24">
        <f t="shared" si="172"/>
        <v>74.436792046537903</v>
      </c>
      <c r="G1171" s="14">
        <f t="shared" si="173"/>
        <v>1008.6614498242866</v>
      </c>
      <c r="H1171" s="24">
        <f t="shared" si="171"/>
        <v>650</v>
      </c>
      <c r="I1171" s="12">
        <f t="shared" si="174"/>
        <v>0.13313104706917836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1013.0598076772167</v>
      </c>
      <c r="F1172" s="24">
        <f t="shared" si="172"/>
        <v>74.348818759085589</v>
      </c>
      <c r="G1172" s="14">
        <f t="shared" si="173"/>
        <v>1007.7778043086718</v>
      </c>
      <c r="H1172" s="24">
        <f t="shared" si="171"/>
        <v>650</v>
      </c>
      <c r="I1172" s="12">
        <f t="shared" si="174"/>
        <v>0.13301161872592762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1013.1928192959426</v>
      </c>
      <c r="F1173" s="24">
        <f t="shared" si="172"/>
        <v>74.261030572350251</v>
      </c>
      <c r="G1173" s="14">
        <f t="shared" si="173"/>
        <v>1006.8957300286257</v>
      </c>
      <c r="H1173" s="24">
        <f t="shared" si="171"/>
        <v>650</v>
      </c>
      <c r="I1173" s="12">
        <f t="shared" si="174"/>
        <v>0.13289240626603785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1013.3257117022087</v>
      </c>
      <c r="F1174" s="24">
        <f t="shared" si="172"/>
        <v>74.173426926230945</v>
      </c>
      <c r="G1174" s="14">
        <f t="shared" si="173"/>
        <v>1006.0152227497216</v>
      </c>
      <c r="H1174" s="24">
        <f t="shared" si="171"/>
        <v>650</v>
      </c>
      <c r="I1174" s="12">
        <f t="shared" si="174"/>
        <v>0.13277340910018071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1013.4584851113088</v>
      </c>
      <c r="F1175" s="24">
        <f t="shared" si="172"/>
        <v>74.086007262832254</v>
      </c>
      <c r="G1175" s="14">
        <f t="shared" si="173"/>
        <v>1005.1362782525521</v>
      </c>
      <c r="H1175" s="24">
        <f t="shared" si="171"/>
        <v>650</v>
      </c>
      <c r="I1175" s="12">
        <f t="shared" si="174"/>
        <v>0.13265462664114508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</v>
      </c>
      <c r="F1176" s="24">
        <f t="shared" si="172"/>
        <v>73.99877102644723</v>
      </c>
      <c r="G1176" s="14">
        <f t="shared" si="173"/>
        <v>1004.2588923329226</v>
      </c>
      <c r="H1176" s="24">
        <f t="shared" si="171"/>
        <v>650</v>
      </c>
      <c r="I1176" s="12">
        <f t="shared" si="174"/>
        <v>0.13253605830385878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1013.7236757962539</v>
      </c>
      <c r="F1177" s="24">
        <f t="shared" si="172"/>
        <v>73.911717663591503</v>
      </c>
      <c r="G1177" s="14">
        <f t="shared" si="173"/>
        <v>1003.3830608023369</v>
      </c>
      <c r="H1177" s="24">
        <f t="shared" si="171"/>
        <v>650</v>
      </c>
      <c r="I1177" s="12">
        <f t="shared" si="174"/>
        <v>0.13241770350545237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1013.8560934997594</v>
      </c>
      <c r="F1178" s="24">
        <f t="shared" si="172"/>
        <v>73.824846622940754</v>
      </c>
      <c r="G1178" s="14">
        <f t="shared" si="173"/>
        <v>1002.5087794869107</v>
      </c>
      <c r="H1178" s="24">
        <f t="shared" si="171"/>
        <v>650</v>
      </c>
      <c r="I1178" s="12">
        <f t="shared" si="174"/>
        <v>0.13229956166511803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1013.9883930614245</v>
      </c>
      <c r="F1179" s="24">
        <f t="shared" si="172"/>
        <v>73.738157355342082</v>
      </c>
      <c r="G1179" s="14">
        <f t="shared" si="173"/>
        <v>1001.636044228322</v>
      </c>
      <c r="H1179" s="24">
        <f t="shared" si="171"/>
        <v>650</v>
      </c>
      <c r="I1179" s="12">
        <f t="shared" si="174"/>
        <v>0.13218163220422763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1014.1205746936288</v>
      </c>
      <c r="F1180" s="24">
        <f t="shared" si="172"/>
        <v>73.651649313808321</v>
      </c>
      <c r="G1180" s="14">
        <f t="shared" si="173"/>
        <v>1000.7648508827642</v>
      </c>
      <c r="H1180" s="24">
        <f t="shared" si="171"/>
        <v>650</v>
      </c>
      <c r="I1180" s="12">
        <f t="shared" si="174"/>
        <v>0.13206391454620345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1014.2526386081749</v>
      </c>
      <c r="F1181" s="24">
        <f t="shared" si="172"/>
        <v>73.56532195350951</v>
      </c>
      <c r="G1181" s="14">
        <f t="shared" si="173"/>
        <v>999.89519532179895</v>
      </c>
      <c r="H1181" s="24">
        <f t="shared" si="171"/>
        <v>650</v>
      </c>
      <c r="I1181" s="12">
        <f t="shared" si="174"/>
        <v>0.13194640811662206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1014.3845850162916</v>
      </c>
      <c r="F1182" s="24">
        <f t="shared" si="172"/>
        <v>73.47917473173311</v>
      </c>
      <c r="G1182" s="14">
        <f t="shared" si="173"/>
        <v>999.02707343154248</v>
      </c>
      <c r="H1182" s="24">
        <f t="shared" si="171"/>
        <v>650</v>
      </c>
      <c r="I1182" s="12">
        <f t="shared" si="174"/>
        <v>0.13182911234310915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1014.5164141286347</v>
      </c>
      <c r="F1183" s="24">
        <f t="shared" si="172"/>
        <v>73.393207107923786</v>
      </c>
      <c r="G1183" s="14">
        <f t="shared" si="173"/>
        <v>998.16048111324619</v>
      </c>
      <c r="H1183" s="24">
        <f t="shared" si="171"/>
        <v>650</v>
      </c>
      <c r="I1183" s="12">
        <f t="shared" si="174"/>
        <v>0.13171202665541601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1014.6481261552901</v>
      </c>
      <c r="F1184" s="24">
        <f t="shared" si="172"/>
        <v>73.307418543615199</v>
      </c>
      <c r="G1184" s="14">
        <f t="shared" si="173"/>
        <v>997.29541428238679</v>
      </c>
      <c r="H1184" s="24">
        <f t="shared" si="171"/>
        <v>650</v>
      </c>
      <c r="I1184" s="12">
        <f t="shared" si="174"/>
        <v>0.13159515048529921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1014.7797213057754</v>
      </c>
      <c r="F1185" s="24">
        <f t="shared" si="172"/>
        <v>73.221808502466956</v>
      </c>
      <c r="G1185" s="14">
        <f t="shared" si="173"/>
        <v>996.43186886969261</v>
      </c>
      <c r="H1185" s="24">
        <f t="shared" si="171"/>
        <v>650</v>
      </c>
      <c r="I1185" s="12">
        <f t="shared" si="174"/>
        <v>0.13147848326665135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</v>
      </c>
      <c r="F1186" s="24">
        <f t="shared" si="172"/>
        <v>73.136376450244711</v>
      </c>
      <c r="G1186" s="14">
        <f t="shared" si="173"/>
        <v>995.56984082013651</v>
      </c>
      <c r="H1186" s="24">
        <f t="shared" si="171"/>
        <v>650</v>
      </c>
      <c r="I1186" s="12">
        <f t="shared" si="174"/>
        <v>0.13136202443537476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1015.0425618134774</v>
      </c>
      <c r="F1187" s="24">
        <f t="shared" si="172"/>
        <v>73.051121854777534</v>
      </c>
      <c r="G1187" s="14">
        <f t="shared" si="173"/>
        <v>994.70932609336171</v>
      </c>
      <c r="H1187" s="24">
        <f t="shared" si="171"/>
        <v>650</v>
      </c>
      <c r="I1187" s="12">
        <f t="shared" si="174"/>
        <v>0.13124577342942859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1015.1738075869068</v>
      </c>
      <c r="F1188" s="24">
        <f t="shared" si="172"/>
        <v>72.966044185992018</v>
      </c>
      <c r="G1188" s="14">
        <f t="shared" si="173"/>
        <v>993.85032066333315</v>
      </c>
      <c r="H1188" s="24">
        <f t="shared" si="171"/>
        <v>650</v>
      </c>
      <c r="I1188" s="12">
        <f t="shared" si="174"/>
        <v>0.1311297296887903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1015.3049373165957</v>
      </c>
      <c r="F1189" s="24">
        <f t="shared" si="172"/>
        <v>72.881142915878172</v>
      </c>
      <c r="G1189" s="14">
        <f t="shared" si="173"/>
        <v>992.99282051858961</v>
      </c>
      <c r="H1189" s="24">
        <f t="shared" si="171"/>
        <v>650</v>
      </c>
      <c r="I1189" s="12">
        <f t="shared" si="174"/>
        <v>0.13101389265548233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1015.4359512092511</v>
      </c>
      <c r="F1190" s="24">
        <f t="shared" si="172"/>
        <v>72.796417518480894</v>
      </c>
      <c r="G1190" s="14">
        <f t="shared" si="173"/>
        <v>992.136821662069</v>
      </c>
      <c r="H1190" s="24">
        <f t="shared" si="171"/>
        <v>650</v>
      </c>
      <c r="I1190" s="12">
        <f t="shared" si="174"/>
        <v>0.13089826177354943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1015.5668494710246</v>
      </c>
      <c r="F1191" s="24">
        <f t="shared" si="172"/>
        <v>72.711867469897129</v>
      </c>
      <c r="G1191" s="14">
        <f t="shared" si="173"/>
        <v>991.28232011064324</v>
      </c>
      <c r="H1191" s="24">
        <f t="shared" si="171"/>
        <v>650</v>
      </c>
      <c r="I1191" s="12">
        <f t="shared" si="174"/>
        <v>0.13078283648900155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1015.6976323075136</v>
      </c>
      <c r="F1192" s="24">
        <f t="shared" si="172"/>
        <v>72.627492248255976</v>
      </c>
      <c r="G1192" s="14">
        <f t="shared" si="173"/>
        <v>990.42931189579701</v>
      </c>
      <c r="H1192" s="24">
        <f t="shared" si="171"/>
        <v>650</v>
      </c>
      <c r="I1192" s="12">
        <f t="shared" si="174"/>
        <v>0.13066761624989442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1015.8282999237634</v>
      </c>
      <c r="F1193" s="24">
        <f t="shared" si="172"/>
        <v>72.543291333715842</v>
      </c>
      <c r="G1193" s="14">
        <f t="shared" si="173"/>
        <v>989.57779306300699</v>
      </c>
      <c r="H1193" s="24">
        <f t="shared" si="171"/>
        <v>650</v>
      </c>
      <c r="I1193" s="12">
        <f t="shared" si="174"/>
        <v>0.13055260050625311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1015.9588525242697</v>
      </c>
      <c r="F1194" s="24">
        <f t="shared" si="172"/>
        <v>72.459264208461605</v>
      </c>
      <c r="G1194" s="14">
        <f t="shared" si="173"/>
        <v>988.72775967168411</v>
      </c>
      <c r="H1194" s="24">
        <f t="shared" si="171"/>
        <v>650</v>
      </c>
      <c r="I1194" s="12">
        <f t="shared" si="174"/>
        <v>0.13043778871006453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1016.0892903129798</v>
      </c>
      <c r="F1195" s="24">
        <f t="shared" si="172"/>
        <v>72.375410356673342</v>
      </c>
      <c r="G1195" s="14">
        <f t="shared" si="173"/>
        <v>987.87920779552223</v>
      </c>
      <c r="H1195" s="24">
        <f t="shared" si="171"/>
        <v>650</v>
      </c>
      <c r="I1195" s="12">
        <f t="shared" si="174"/>
        <v>0.13032318031531645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1016.2196134932951</v>
      </c>
      <c r="F1196" s="24">
        <f t="shared" si="172"/>
        <v>72.291729264551918</v>
      </c>
      <c r="G1196" s="14">
        <f t="shared" si="173"/>
        <v>987.03213352199441</v>
      </c>
      <c r="H1196" s="24">
        <f t="shared" si="171"/>
        <v>650</v>
      </c>
      <c r="I1196" s="12">
        <f t="shared" si="174"/>
        <v>0.13020877477793866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</v>
      </c>
      <c r="F1197" s="24">
        <f t="shared" si="172"/>
        <v>72.208220420267821</v>
      </c>
      <c r="G1197" s="14">
        <f t="shared" si="173"/>
        <v>986.18653295243018</v>
      </c>
      <c r="H1197" s="24">
        <f t="shared" si="171"/>
        <v>650</v>
      </c>
      <c r="I1197" s="12">
        <f t="shared" si="174"/>
        <v>0.13009457155580639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1016.4799168396288</v>
      </c>
      <c r="F1198" s="24">
        <f t="shared" si="172"/>
        <v>72.124883313975374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0.12998057010876801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1016.6098974097375</v>
      </c>
      <c r="F1199" s="24">
        <f t="shared" si="172"/>
        <v>72.041717437807051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0.12986676989858967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1016.7397641796362</v>
      </c>
      <c r="F1200" s="24">
        <f t="shared" si="172"/>
        <v>71.958722285853582</v>
      </c>
      <c r="G1200" s="14">
        <f t="shared" si="173"/>
        <v>983.65853468978821</v>
      </c>
      <c r="H1200" s="24">
        <f t="shared" si="171"/>
        <v>650</v>
      </c>
      <c r="I1200" s="12">
        <f t="shared" si="174"/>
        <v>0.12975317038897202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1016.8695173500251</v>
      </c>
      <c r="F1201" s="24">
        <f t="shared" si="172"/>
        <v>71.875897354152585</v>
      </c>
      <c r="G1201" s="14">
        <f t="shared" si="173"/>
        <v>982.81879022656472</v>
      </c>
      <c r="H1201" s="24">
        <f t="shared" si="171"/>
        <v>650</v>
      </c>
      <c r="I1201" s="12">
        <f t="shared" si="174"/>
        <v>0.12963977104550328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1016.9991571210707</v>
      </c>
      <c r="F1202" s="24">
        <f t="shared" si="172"/>
        <v>71.793242140694247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0.1295265713357055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1017.1286836924064</v>
      </c>
      <c r="F1203" s="24">
        <f t="shared" si="172"/>
        <v>71.71075614538438</v>
      </c>
      <c r="G1203" s="14">
        <f t="shared" si="173"/>
        <v>981.1436607360547</v>
      </c>
      <c r="H1203" s="24">
        <f t="shared" si="171"/>
        <v>650</v>
      </c>
      <c r="I1203" s="12">
        <f t="shared" si="174"/>
        <v>0.12941357072902743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1017.2580972631355</v>
      </c>
      <c r="F1204" s="24">
        <f t="shared" si="172"/>
        <v>71.628438870075684</v>
      </c>
      <c r="G1204" s="14">
        <f t="shared" si="173"/>
        <v>980.30826808919915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0.12930076869674598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1017.3873980318323</v>
      </c>
      <c r="F1205" s="24">
        <f t="shared" si="172"/>
        <v>71.546289818519426</v>
      </c>
      <c r="G1205" s="14">
        <f t="shared" si="173"/>
        <v>979.47431845072379</v>
      </c>
      <c r="H1205" s="24">
        <f t="shared" si="180"/>
        <v>650</v>
      </c>
      <c r="I1205" s="12">
        <f t="shared" si="174"/>
        <v>0.129188164712077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1017.5165861965444</v>
      </c>
      <c r="F1206" s="24">
        <f t="shared" si="172"/>
        <v>71.464308496388185</v>
      </c>
      <c r="G1206" s="14">
        <f t="shared" si="173"/>
        <v>978.64180804432317</v>
      </c>
      <c r="H1206" s="24">
        <f t="shared" si="180"/>
        <v>650</v>
      </c>
      <c r="I1206" s="12">
        <f t="shared" si="174"/>
        <v>0.12907575825008769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1017.6456619547945</v>
      </c>
      <c r="F1207" s="24">
        <f t="shared" si="172"/>
        <v>71.382494411230368</v>
      </c>
      <c r="G1207" s="14">
        <f t="shared" si="173"/>
        <v>977.81073310708268</v>
      </c>
      <c r="H1207" s="24">
        <f t="shared" si="180"/>
        <v>650</v>
      </c>
      <c r="I1207" s="12">
        <f t="shared" si="174"/>
        <v>0.1289635487877217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1017.7746255035822</v>
      </c>
      <c r="F1208" s="24">
        <f t="shared" si="172"/>
        <v>71.300847072498641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0.12885153580375294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</v>
      </c>
      <c r="F1209" s="24">
        <f t="shared" si="172"/>
        <v>71.219365991518657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0.12873971877886714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1018.0322167581649</v>
      </c>
      <c r="F1210" s="24">
        <f t="shared" si="172"/>
        <v>71.13805068148622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0.12862809719551177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1018.1608448553603</v>
      </c>
      <c r="F1211" s="24">
        <f t="shared" si="172"/>
        <v>71.056900657458755</v>
      </c>
      <c r="G1211" s="14">
        <f t="shared" si="173"/>
        <v>974.5007132513407</v>
      </c>
      <c r="H1211" s="24">
        <f t="shared" si="180"/>
        <v>650</v>
      </c>
      <c r="I1211" s="12">
        <f t="shared" si="174"/>
        <v>0.12851667053802807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1018.2893615258984</v>
      </c>
      <c r="F1212" s="24">
        <f t="shared" si="172"/>
        <v>70.975915436346781</v>
      </c>
      <c r="G1212" s="14">
        <f t="shared" si="173"/>
        <v>973.67675967595483</v>
      </c>
      <c r="H1212" s="24">
        <f t="shared" si="180"/>
        <v>650</v>
      </c>
      <c r="I1212" s="12">
        <f t="shared" si="174"/>
        <v>0.12840543829255494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1018.4177669641909</v>
      </c>
      <c r="F1213" s="24">
        <f t="shared" si="172"/>
        <v>70.89509453690539</v>
      </c>
      <c r="G1213" s="14">
        <f t="shared" si="173"/>
        <v>972.85421926778645</v>
      </c>
      <c r="H1213" s="24">
        <f t="shared" si="180"/>
        <v>650</v>
      </c>
      <c r="I1213" s="12">
        <f t="shared" si="174"/>
        <v>0.12829439994708028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</v>
      </c>
      <c r="F1214" s="24">
        <f t="shared" si="172"/>
        <v>70.814437479722869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0.12818355499133224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1018.6742449191294</v>
      </c>
      <c r="F1215" s="24">
        <f t="shared" si="172"/>
        <v>70.733943787212183</v>
      </c>
      <c r="G1215" s="14">
        <f t="shared" si="173"/>
        <v>971.21336327879044</v>
      </c>
      <c r="H1215" s="24">
        <f t="shared" si="180"/>
        <v>650</v>
      </c>
      <c r="I1215" s="12">
        <f t="shared" si="174"/>
        <v>0.12807290291691889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1018.8023178220462</v>
      </c>
      <c r="F1216" s="24">
        <f t="shared" si="172"/>
        <v>70.653612983613812</v>
      </c>
      <c r="G1216" s="14">
        <f t="shared" si="173"/>
        <v>970.39504039337487</v>
      </c>
      <c r="H1216" s="24">
        <f t="shared" si="180"/>
        <v>650</v>
      </c>
      <c r="I1216" s="12">
        <f t="shared" si="174"/>
        <v>0.12796244321719269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1018.9302802652634</v>
      </c>
      <c r="F1217" s="24">
        <f t="shared" si="172"/>
        <v>70.573444594964485</v>
      </c>
      <c r="G1217" s="14">
        <f t="shared" si="173"/>
        <v>969.57811606561336</v>
      </c>
      <c r="H1217" s="24">
        <f t="shared" si="180"/>
        <v>650</v>
      </c>
      <c r="I1217" s="12">
        <f t="shared" si="174"/>
        <v>0.12785217538733487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1019.0581324406508</v>
      </c>
      <c r="F1218" s="24">
        <f t="shared" si="172"/>
        <v>70.493438149100029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1019.1858745395749</v>
      </c>
      <c r="F1219" s="24">
        <f t="shared" si="172"/>
        <v>70.413593175669575</v>
      </c>
      <c r="G1219" s="14">
        <f t="shared" si="173"/>
        <v>967.94844861221031</v>
      </c>
      <c r="H1219" s="24">
        <f t="shared" si="180"/>
        <v>650</v>
      </c>
      <c r="I1219" s="12">
        <f t="shared" si="174"/>
        <v>0.12763221332658883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1019.3135067529015</v>
      </c>
      <c r="F1220" s="24">
        <f t="shared" si="172"/>
        <v>70.3339092060844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0.12752251809489756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1019.4410292709964</v>
      </c>
      <c r="F1221" s="24">
        <f t="shared" si="172"/>
        <v>70.25438577353782</v>
      </c>
      <c r="G1221" s="14">
        <f t="shared" si="173"/>
        <v>966.32433210497823</v>
      </c>
      <c r="H1221" s="24">
        <f t="shared" si="180"/>
        <v>650</v>
      </c>
      <c r="I1221" s="12">
        <f t="shared" si="174"/>
        <v>0.12741301273135286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1019.5684422837278</v>
      </c>
      <c r="F1222" s="24">
        <f t="shared" si="172"/>
        <v>70.175022412990984</v>
      </c>
      <c r="G1222" s="14">
        <f t="shared" si="173"/>
        <v>965.51434650636963</v>
      </c>
      <c r="H1222" s="24">
        <f t="shared" si="180"/>
        <v>650</v>
      </c>
      <c r="I1222" s="12">
        <f t="shared" si="174"/>
        <v>0.12730369673990807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1019.6957459804677</v>
      </c>
      <c r="F1223" s="24">
        <f t="shared" si="172"/>
        <v>70.095818661172871</v>
      </c>
      <c r="G1223" s="14">
        <f t="shared" si="173"/>
        <v>964.70573792953974</v>
      </c>
      <c r="H1223" s="24">
        <f t="shared" si="180"/>
        <v>650</v>
      </c>
      <c r="I1223" s="12">
        <f t="shared" si="174"/>
        <v>0.12719456962627737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1019.8229405500939</v>
      </c>
      <c r="F1224" s="24">
        <f t="shared" si="172"/>
        <v>70.016774056546183</v>
      </c>
      <c r="G1224" s="14">
        <f t="shared" si="173"/>
        <v>963.89850282862881</v>
      </c>
      <c r="H1224" s="24">
        <f t="shared" si="180"/>
        <v>650</v>
      </c>
      <c r="I1224" s="12">
        <f t="shared" si="174"/>
        <v>0.12708563089788411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1019.9500261809918</v>
      </c>
      <c r="F1225" s="24">
        <f t="shared" si="172"/>
        <v>69.937888139327242</v>
      </c>
      <c r="G1225" s="14">
        <f t="shared" si="173"/>
        <v>963.09263767008349</v>
      </c>
      <c r="H1225" s="24">
        <f t="shared" si="180"/>
        <v>650</v>
      </c>
      <c r="I1225" s="12">
        <f t="shared" si="174"/>
        <v>0.12697688006387978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1020.0770030610557</v>
      </c>
      <c r="F1226" s="24">
        <f t="shared" si="172"/>
        <v>69.859160451463254</v>
      </c>
      <c r="G1226" s="14">
        <f t="shared" si="173"/>
        <v>962.28813893259837</v>
      </c>
      <c r="H1226" s="24">
        <f t="shared" si="180"/>
        <v>650</v>
      </c>
      <c r="I1226" s="12">
        <f t="shared" si="174"/>
        <v>0.12686831663513412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1020.2038713776909</v>
      </c>
      <c r="F1227" s="24">
        <f t="shared" si="172"/>
        <v>69.780590536626619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0.12675994012420347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1020.3306313178151</v>
      </c>
      <c r="F1228" s="24">
        <f t="shared" si="172"/>
        <v>69.70217794021778</v>
      </c>
      <c r="G1228" s="14">
        <f t="shared" si="173"/>
        <v>960.68322669622739</v>
      </c>
      <c r="H1228" s="24">
        <f t="shared" si="180"/>
        <v>650</v>
      </c>
      <c r="I1228" s="12">
        <f t="shared" si="174"/>
        <v>0.1266517500454121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1020.4572830678605</v>
      </c>
      <c r="F1229" s="24">
        <f t="shared" si="172"/>
        <v>69.623922209331113</v>
      </c>
      <c r="G1229" s="14">
        <f t="shared" si="173"/>
        <v>959.8828062152154</v>
      </c>
      <c r="H1229" s="24">
        <f t="shared" si="180"/>
        <v>650</v>
      </c>
      <c r="I1229" s="12">
        <f t="shared" si="174"/>
        <v>0.12654374591466697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1020.5838268137752</v>
      </c>
      <c r="F1230" s="24">
        <f t="shared" si="172"/>
        <v>69.545822892780507</v>
      </c>
      <c r="G1230" s="14">
        <f t="shared" si="173"/>
        <v>959.08373819128292</v>
      </c>
      <c r="H1230" s="24">
        <f t="shared" si="180"/>
        <v>650</v>
      </c>
      <c r="I1230" s="12">
        <f t="shared" si="174"/>
        <v>0.12643592724967523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1020.7102627410248</v>
      </c>
      <c r="F1231" s="24">
        <f t="shared" si="172"/>
        <v>69.467879541062416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0.1263282935697492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1020.8365910345946</v>
      </c>
      <c r="F1232" s="24">
        <f t="shared" si="172"/>
        <v>69.390091706355861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0.12622084439588016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1020.9628118789905</v>
      </c>
      <c r="F1233" s="24">
        <f t="shared" ref="F1233:F1296" si="181">AlphaC*(D1233-E1233)</f>
        <v>69.31245894252811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0.12611357925074615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1021.0889254582412</v>
      </c>
      <c r="F1234" s="24">
        <f t="shared" si="181"/>
        <v>69.234980805126156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0.12600649765870148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1021.2149319558999</v>
      </c>
      <c r="F1235" s="24">
        <f t="shared" si="181"/>
        <v>69.157656851334082</v>
      </c>
      <c r="G1235" s="14">
        <f t="shared" si="182"/>
        <v>955.10856420563903</v>
      </c>
      <c r="H1235" s="24">
        <f t="shared" si="180"/>
        <v>650</v>
      </c>
      <c r="I1235" s="12">
        <f t="shared" si="183"/>
        <v>0.12589959914565946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1021.3408315550456</v>
      </c>
      <c r="F1236" s="24">
        <f t="shared" si="181"/>
        <v>69.080486640015693</v>
      </c>
      <c r="G1236" s="14">
        <f t="shared" si="182"/>
        <v>954.31753865694941</v>
      </c>
      <c r="H1236" s="24">
        <f t="shared" si="180"/>
        <v>650</v>
      </c>
      <c r="I1236" s="12">
        <f t="shared" si="183"/>
        <v>0.12579288323926927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1021.4666244382848</v>
      </c>
      <c r="F1237" s="24">
        <f t="shared" si="181"/>
        <v>69.003469731680411</v>
      </c>
      <c r="G1237" s="14">
        <f t="shared" si="182"/>
        <v>953.52784158651332</v>
      </c>
      <c r="H1237" s="24">
        <f t="shared" si="180"/>
        <v>650</v>
      </c>
      <c r="I1237" s="12">
        <f t="shared" si="183"/>
        <v>0.12568634946879242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1021.5923107877536</v>
      </c>
      <c r="F1238" s="24">
        <f t="shared" si="181"/>
        <v>68.92660568846054</v>
      </c>
      <c r="G1238" s="14">
        <f t="shared" si="182"/>
        <v>952.73946961535137</v>
      </c>
      <c r="H1238" s="24">
        <f t="shared" si="180"/>
        <v>650</v>
      </c>
      <c r="I1238" s="12">
        <f t="shared" si="183"/>
        <v>0.12557999736507408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1021.7178907851187</v>
      </c>
      <c r="F1239" s="24">
        <f t="shared" si="181"/>
        <v>68.849894074122631</v>
      </c>
      <c r="G1239" s="14">
        <f t="shared" si="182"/>
        <v>951.95241937634455</v>
      </c>
      <c r="H1239" s="24">
        <f t="shared" si="180"/>
        <v>650</v>
      </c>
      <c r="I1239" s="12">
        <f t="shared" si="183"/>
        <v>0.125473826460618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1021.8433646115793</v>
      </c>
      <c r="F1240" s="24">
        <f t="shared" si="181"/>
        <v>68.773334454084534</v>
      </c>
      <c r="G1240" s="14">
        <f t="shared" si="182"/>
        <v>951.16668751390489</v>
      </c>
      <c r="H1240" s="24">
        <f t="shared" si="180"/>
        <v>650</v>
      </c>
      <c r="I1240" s="12">
        <f t="shared" si="183"/>
        <v>0.1253678362895484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1021.9687324478689</v>
      </c>
      <c r="F1241" s="24">
        <f t="shared" si="181"/>
        <v>68.69692639535856</v>
      </c>
      <c r="G1241" s="14">
        <f t="shared" si="182"/>
        <v>950.38227068376239</v>
      </c>
      <c r="H1241" s="24">
        <f t="shared" si="180"/>
        <v>650</v>
      </c>
      <c r="I1241" s="12">
        <f t="shared" si="183"/>
        <v>0.1252620263875765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1022.0939944742564</v>
      </c>
      <c r="F1242" s="24">
        <f t="shared" si="181"/>
        <v>68.620669466574213</v>
      </c>
      <c r="G1242" s="14">
        <f t="shared" si="182"/>
        <v>949.59916555313907</v>
      </c>
      <c r="H1242" s="24">
        <f t="shared" si="180"/>
        <v>650</v>
      </c>
      <c r="I1242" s="12">
        <f t="shared" si="183"/>
        <v>0.12515639629202502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1022.2191508705484</v>
      </c>
      <c r="F1243" s="24">
        <f t="shared" si="181"/>
        <v>68.544563237963985</v>
      </c>
      <c r="G1243" s="14">
        <f t="shared" si="182"/>
        <v>948.81736880043945</v>
      </c>
      <c r="H1243" s="24">
        <f t="shared" si="180"/>
        <v>650</v>
      </c>
      <c r="I1243" s="12">
        <f t="shared" si="183"/>
        <v>0.12505094554178811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1022.3442018160903</v>
      </c>
      <c r="F1244" s="24">
        <f t="shared" si="181"/>
        <v>68.468607281349136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0.12494567367736309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1022.4691474897677</v>
      </c>
      <c r="F1245" s="24">
        <f t="shared" si="181"/>
        <v>68.392801170153916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0.12484058024084972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1022.5939880700085</v>
      </c>
      <c r="F1246" s="24">
        <f t="shared" si="181"/>
        <v>68.317144479365766</v>
      </c>
      <c r="G1246" s="14">
        <f t="shared" si="182"/>
        <v>946.47979576493424</v>
      </c>
      <c r="H1246" s="24">
        <f t="shared" si="180"/>
        <v>650</v>
      </c>
      <c r="I1246" s="12">
        <f t="shared" si="183"/>
        <v>0.12473566477585961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1022.7187237347844</v>
      </c>
      <c r="F1247" s="24">
        <f t="shared" si="181"/>
        <v>68.241636785563742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0.12463092682761499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</v>
      </c>
      <c r="F1248" s="24">
        <f t="shared" si="181"/>
        <v>68.166277666875885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0.1245263659428863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1022.9678810275549</v>
      </c>
      <c r="F1249" s="24">
        <f t="shared" si="181"/>
        <v>68.091066703007641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0.12442198167000279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1023.0923030092249</v>
      </c>
      <c r="F1250" s="24">
        <f t="shared" si="181"/>
        <v>68.016003475202069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0.12431777355883578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1023.2166207827837</v>
      </c>
      <c r="F1251" s="24">
        <f t="shared" si="181"/>
        <v>67.941087566251213</v>
      </c>
      <c r="G1251" s="14">
        <f t="shared" si="182"/>
        <v>942.60970151841923</v>
      </c>
      <c r="H1251" s="24">
        <f t="shared" si="180"/>
        <v>650</v>
      </c>
      <c r="I1251" s="12">
        <f t="shared" si="183"/>
        <v>0.12421374116076901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1023.3408345239445</v>
      </c>
      <c r="F1252" s="24">
        <f t="shared" si="181"/>
        <v>67.866318560481886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0.12410988402873277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1023.4649444079732</v>
      </c>
      <c r="F1253" s="24">
        <f t="shared" si="181"/>
        <v>67.791696043769889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1023.5889506096904</v>
      </c>
      <c r="F1254" s="24">
        <f t="shared" si="181"/>
        <v>67.717219603494527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0.12390269378219858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1023.7128533034726</v>
      </c>
      <c r="F1255" s="24">
        <f t="shared" si="181"/>
        <v>67.642888828552827</v>
      </c>
      <c r="G1255" s="14">
        <f t="shared" si="182"/>
        <v>939.53666752261302</v>
      </c>
      <c r="H1255" s="24">
        <f t="shared" si="180"/>
        <v>650</v>
      </c>
      <c r="I1255" s="12">
        <f t="shared" si="183"/>
        <v>0.12379935978115369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1023.8366526632537</v>
      </c>
      <c r="F1256" s="24">
        <f t="shared" si="181"/>
        <v>67.568703309365219</v>
      </c>
      <c r="G1256" s="14">
        <f t="shared" si="182"/>
        <v>938.77158250807668</v>
      </c>
      <c r="H1256" s="24">
        <f t="shared" si="180"/>
        <v>650</v>
      </c>
      <c r="I1256" s="12">
        <f t="shared" si="183"/>
        <v>0.12369619927307644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1:R10"/>
  <sheetViews>
    <sheetView tabSelected="1" workbookViewId="0">
      <selection activeCell="E13" sqref="E13"/>
    </sheetView>
  </sheetViews>
  <sheetFormatPr baseColWidth="10" defaultRowHeight="15" x14ac:dyDescent="0.25"/>
  <sheetData>
    <row r="1" spans="3:18" x14ac:dyDescent="0.25">
      <c r="C1" s="62" t="s">
        <v>102</v>
      </c>
      <c r="D1" s="63"/>
      <c r="E1" s="63"/>
      <c r="F1" s="63"/>
      <c r="G1" s="63"/>
      <c r="H1" s="63"/>
      <c r="I1" s="63"/>
      <c r="J1" s="63"/>
      <c r="K1" s="63"/>
      <c r="L1" s="63"/>
      <c r="M1" s="64"/>
    </row>
    <row r="3" spans="3:18" x14ac:dyDescent="0.25">
      <c r="C3" s="3" t="s">
        <v>54</v>
      </c>
      <c r="D3" s="8" t="s">
        <v>55</v>
      </c>
      <c r="E3" s="18" t="s">
        <v>56</v>
      </c>
      <c r="F3" s="41"/>
      <c r="G3" s="42"/>
      <c r="H3" s="45" t="s">
        <v>66</v>
      </c>
      <c r="I3" s="46" t="s">
        <v>70</v>
      </c>
      <c r="J3" s="49" t="s">
        <v>71</v>
      </c>
      <c r="K3" s="50" t="s">
        <v>70</v>
      </c>
      <c r="L3" s="53" t="s">
        <v>83</v>
      </c>
      <c r="M3" s="54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3" t="s">
        <v>77</v>
      </c>
      <c r="G4" s="44" t="s">
        <v>78</v>
      </c>
      <c r="H4" s="47" t="s">
        <v>69</v>
      </c>
      <c r="I4" s="48"/>
      <c r="J4" s="51" t="s">
        <v>72</v>
      </c>
      <c r="K4" s="52"/>
      <c r="L4" s="55" t="s">
        <v>62</v>
      </c>
      <c r="M4" s="56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787.94086486930166</v>
      </c>
      <c r="F5" s="13">
        <f>reductionky(E5)</f>
        <v>0.12447096215683801</v>
      </c>
      <c r="G5" s="13">
        <f>reductionke(E5)</f>
        <v>9.4823654052279327E-2</v>
      </c>
      <c r="H5" s="14">
        <f t="shared" ref="H5:H10" si="0">Wpl*Fy*F5/GammaM/1000</f>
        <v>21.496135164485924</v>
      </c>
      <c r="I5" s="14">
        <f t="shared" ref="I5:I10" si="1">MEd/H5</f>
        <v>2.3550745104933233</v>
      </c>
      <c r="J5" s="13">
        <f t="shared" ref="J5:J10" si="2">Av*Fy*F5/SQRT(3)/GammaM/10</f>
        <v>50.749893185026266</v>
      </c>
      <c r="K5" s="39">
        <f>VEd/Echauffements!J5</f>
        <v>0.44335068682742795</v>
      </c>
      <c r="L5" s="14">
        <f t="shared" ref="L5:L10" si="3">Q5*MRk*F5</f>
        <v>8.406976282701768</v>
      </c>
      <c r="M5" s="12">
        <f t="shared" ref="M5:M10" si="4">MEd/L5</f>
        <v>6.0217845629190396</v>
      </c>
      <c r="O5" s="12">
        <f t="shared" ref="O5:O10" si="5">LambdaLT*SQRT(F5/G5)</f>
        <v>1.1800343468692989</v>
      </c>
      <c r="P5" s="12">
        <f>0.5*(1+AlphaLT*(O5)+O5^2)</f>
        <v>1.5507644914194807</v>
      </c>
      <c r="Q5" s="12">
        <f>MIN(1,1/(P5+SQRT(P5^2-O5^2)))</f>
        <v>0.39109245538198212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939.59675328494518</v>
      </c>
      <c r="F6" s="12">
        <f t="shared" ref="F6:F10" si="6">reductionky(E6)</f>
        <v>5.208064934301096E-2</v>
      </c>
      <c r="G6" s="13">
        <f t="shared" ref="G6:G10" si="7">reductionke(E6)</f>
        <v>5.859073051088734E-2</v>
      </c>
      <c r="H6" s="14">
        <f t="shared" si="0"/>
        <v>8.9943281415379932</v>
      </c>
      <c r="I6" s="14">
        <f t="shared" si="1"/>
        <v>5.6285471469738182</v>
      </c>
      <c r="J6" s="13">
        <f t="shared" si="2"/>
        <v>21.23457025932062</v>
      </c>
      <c r="K6" s="39">
        <f>VEd/Echauffements!J6</f>
        <v>1.0595929055886562</v>
      </c>
      <c r="L6" s="14">
        <f t="shared" si="3"/>
        <v>4.3426875541033025</v>
      </c>
      <c r="M6" s="12">
        <f t="shared" si="4"/>
        <v>11.6575275953633</v>
      </c>
      <c r="O6" s="12">
        <f t="shared" si="5"/>
        <v>0.97105249237255065</v>
      </c>
      <c r="P6" s="12">
        <f>0.5*(1+AlphaLT*(O6)+O6^2)</f>
        <v>1.2632099088795643</v>
      </c>
      <c r="Q6" s="12">
        <f t="shared" ref="Q6:Q10" si="8">MIN(1,1/(P6+SQRT(P6^2-O6^2)))</f>
        <v>0.48282511887104901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1002.7275427866463</v>
      </c>
      <c r="F7" s="12">
        <f t="shared" si="6"/>
        <v>3.9454491442670749E-2</v>
      </c>
      <c r="G7" s="13">
        <f t="shared" si="7"/>
        <v>4.4386302873004588E-2</v>
      </c>
      <c r="H7" s="14">
        <f t="shared" si="0"/>
        <v>6.8137906721492385</v>
      </c>
      <c r="I7" s="14">
        <f t="shared" si="1"/>
        <v>7.4297850397613727</v>
      </c>
      <c r="J7" s="13">
        <f t="shared" si="2"/>
        <v>16.086573058398049</v>
      </c>
      <c r="K7" s="39">
        <f>VEd/Echauffements!J7</f>
        <v>1.3986819889058846</v>
      </c>
      <c r="L7" s="14">
        <f t="shared" si="3"/>
        <v>3.2898692912429008</v>
      </c>
      <c r="M7" s="12">
        <f t="shared" si="4"/>
        <v>15.388149351330021</v>
      </c>
      <c r="O7" s="12">
        <f t="shared" si="5"/>
        <v>0.97105249237255076</v>
      </c>
      <c r="P7" s="12">
        <f>0.5*(1+AlphaLT*(O7)+O7^2)</f>
        <v>1.2632099088795645</v>
      </c>
      <c r="Q7" s="12">
        <f t="shared" si="8"/>
        <v>0.48282511887104901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2">
        <f t="shared" si="6"/>
        <v>3.0633148139398145E-2</v>
      </c>
      <c r="G8" s="13">
        <f t="shared" si="7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  <c r="L8" s="14">
        <f t="shared" si="3"/>
        <v>2.5543113007637501</v>
      </c>
      <c r="M8" s="12">
        <f t="shared" si="4"/>
        <v>19.81943233969286</v>
      </c>
      <c r="O8" s="12">
        <f t="shared" si="5"/>
        <v>0.97105249237255076</v>
      </c>
      <c r="P8" s="12">
        <f>0.5*(1+AlphaLT*(O8)+O8^2)</f>
        <v>1.2632099088795645</v>
      </c>
      <c r="Q8" s="12">
        <f t="shared" si="8"/>
        <v>0.48282511887104901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2">
        <f t="shared" si="6"/>
        <v>1.8308955791970904E-2</v>
      </c>
      <c r="G9" s="13">
        <f t="shared" si="7"/>
        <v>2.0597575265967265E-2</v>
      </c>
      <c r="H9" s="14">
        <f t="shared" si="0"/>
        <v>3.161956665273375</v>
      </c>
      <c r="I9" s="14">
        <f t="shared" si="1"/>
        <v>16.010655856228531</v>
      </c>
      <c r="J9" s="13">
        <f t="shared" si="2"/>
        <v>7.4650146079942203</v>
      </c>
      <c r="K9" s="39">
        <f>VEd/Echauffements!J9</f>
        <v>3.0140597415449051</v>
      </c>
      <c r="L9" s="14">
        <f t="shared" si="3"/>
        <v>1.5266721027757231</v>
      </c>
      <c r="M9" s="12">
        <f t="shared" si="4"/>
        <v>33.160362272917688</v>
      </c>
      <c r="O9" s="12">
        <f t="shared" si="5"/>
        <v>0.97105249237255076</v>
      </c>
      <c r="P9" s="12">
        <f>0.5*(1+AlphaLT*(O9)+O9^2)</f>
        <v>1.2632099088795645</v>
      </c>
      <c r="Q9" s="12">
        <f t="shared" si="8"/>
        <v>0.48282511887104901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2">
        <f t="shared" si="6"/>
        <v>9.6124557445567468E-3</v>
      </c>
      <c r="G10" s="13">
        <f t="shared" si="7"/>
        <v>1.0814012712626339E-2</v>
      </c>
      <c r="H10" s="14">
        <f t="shared" si="0"/>
        <v>1.6600711070849501</v>
      </c>
      <c r="I10" s="14">
        <f t="shared" si="1"/>
        <v>30.495681651189287</v>
      </c>
      <c r="J10" s="13">
        <f t="shared" si="2"/>
        <v>3.9192362124377405</v>
      </c>
      <c r="K10" s="39">
        <f>VEd/Echauffements!J10</f>
        <v>5.740914499768091</v>
      </c>
      <c r="L10" s="14">
        <f t="shared" si="3"/>
        <v>0.80152402961268499</v>
      </c>
      <c r="M10" s="12">
        <f t="shared" si="4"/>
        <v>63.160926097827875</v>
      </c>
      <c r="O10" s="12">
        <f t="shared" si="5"/>
        <v>0.97105249237255076</v>
      </c>
      <c r="P10" s="12">
        <f>0.5*(1+AlphaLT*(O10)+O10^2)</f>
        <v>1.2632099088795645</v>
      </c>
      <c r="Q10" s="12">
        <f t="shared" si="8"/>
        <v>0.48282511887104901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5" sqref="I5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1">
        <f>Wpl*Fy/1000</f>
        <v>172.7</v>
      </c>
      <c r="J5" t="s">
        <v>62</v>
      </c>
    </row>
    <row r="6" spans="3:10" x14ac:dyDescent="0.25">
      <c r="C6" s="2" t="s">
        <v>61</v>
      </c>
      <c r="D6" s="31">
        <f>q*LL^2/8</f>
        <v>50.625</v>
      </c>
      <c r="E6" t="s">
        <v>62</v>
      </c>
      <c r="H6" s="2" t="s">
        <v>82</v>
      </c>
      <c r="I6" s="40">
        <f>SQRT(MRk/Mcr)</f>
        <v>1.0299567033670933</v>
      </c>
    </row>
    <row r="7" spans="3:10" x14ac:dyDescent="0.25">
      <c r="C7" s="25" t="s">
        <v>73</v>
      </c>
      <c r="D7" s="31">
        <f>q*LL/2</f>
        <v>22.5</v>
      </c>
      <c r="E7" t="s">
        <v>74</v>
      </c>
      <c r="H7" s="2" t="s">
        <v>86</v>
      </c>
      <c r="I7" s="57">
        <f>0.65*SQRT(235/Fy)</f>
        <v>0.60087058052916398</v>
      </c>
    </row>
    <row r="8" spans="3:10" x14ac:dyDescent="0.25">
      <c r="H8" s="2" t="s">
        <v>87</v>
      </c>
      <c r="I8" s="31">
        <f>h/b</f>
        <v>2</v>
      </c>
    </row>
    <row r="9" spans="3:10" x14ac:dyDescent="0.25">
      <c r="C9" s="25" t="s">
        <v>75</v>
      </c>
      <c r="D9" s="4">
        <v>25.68</v>
      </c>
      <c r="E9" t="s">
        <v>76</v>
      </c>
      <c r="H9" s="2"/>
    </row>
    <row r="10" spans="3:10" x14ac:dyDescent="0.25">
      <c r="C10" s="25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5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C14" s="25" t="s">
        <v>100</v>
      </c>
      <c r="D14" s="4">
        <v>1</v>
      </c>
      <c r="H14" s="2"/>
    </row>
    <row r="15" spans="3:10" x14ac:dyDescent="0.25">
      <c r="C15" s="25" t="s">
        <v>101</v>
      </c>
      <c r="D15" s="4">
        <v>5.34</v>
      </c>
      <c r="H15" s="2"/>
    </row>
    <row r="16" spans="3:10" x14ac:dyDescent="0.25">
      <c r="H16" s="2"/>
    </row>
    <row r="17" spans="3:8" x14ac:dyDescent="0.25">
      <c r="H17" s="2"/>
    </row>
    <row r="18" spans="3:8" x14ac:dyDescent="0.25">
      <c r="H18" s="2"/>
    </row>
    <row r="19" spans="3:8" x14ac:dyDescent="0.25">
      <c r="H19" s="2"/>
    </row>
    <row r="20" spans="3:8" x14ac:dyDescent="0.25">
      <c r="H20" s="2"/>
    </row>
    <row r="21" spans="3:8" x14ac:dyDescent="0.25">
      <c r="H21" s="2"/>
    </row>
    <row r="22" spans="3:8" x14ac:dyDescent="0.25">
      <c r="C22" t="s">
        <v>88</v>
      </c>
      <c r="H22" s="2"/>
    </row>
    <row r="23" spans="3:8" x14ac:dyDescent="0.25">
      <c r="C23" s="2" t="s">
        <v>89</v>
      </c>
      <c r="D23" s="61">
        <f>hw/tw</f>
        <v>39.239436619718312</v>
      </c>
      <c r="H23" s="2"/>
    </row>
    <row r="24" spans="3:8" x14ac:dyDescent="0.25">
      <c r="C24" s="2" t="s">
        <v>90</v>
      </c>
      <c r="D24" s="4">
        <v>0.5</v>
      </c>
      <c r="H24" s="2"/>
    </row>
    <row r="25" spans="3:8" x14ac:dyDescent="0.25">
      <c r="C25" s="2" t="s">
        <v>91</v>
      </c>
      <c r="D25" s="4">
        <v>-1</v>
      </c>
    </row>
    <row r="26" spans="3:8" x14ac:dyDescent="0.25">
      <c r="D26" s="3" t="s">
        <v>92</v>
      </c>
      <c r="E26" s="3" t="s">
        <v>93</v>
      </c>
    </row>
    <row r="27" spans="3:8" x14ac:dyDescent="0.25">
      <c r="C27" s="2" t="s">
        <v>94</v>
      </c>
      <c r="D27" s="58">
        <f>SQRT(235/Fy)</f>
        <v>0.92441627773717538</v>
      </c>
      <c r="E27" s="58">
        <f>D27*0.85</f>
        <v>0.7857538360765991</v>
      </c>
    </row>
    <row r="28" spans="3:8" x14ac:dyDescent="0.25">
      <c r="C28" s="2" t="s">
        <v>95</v>
      </c>
      <c r="D28" s="59">
        <f>41.5*D27/$D$24</f>
        <v>76.726551052185556</v>
      </c>
      <c r="E28" s="59">
        <f>41.5*E27/$D$24</f>
        <v>65.217568394357727</v>
      </c>
    </row>
    <row r="29" spans="3:8" x14ac:dyDescent="0.25">
      <c r="C29" s="2" t="s">
        <v>96</v>
      </c>
      <c r="D29" s="59">
        <f>62*D27*(1-$D$25)*SQRT(-$D$25)</f>
        <v>114.62761843940974</v>
      </c>
      <c r="E29" s="59">
        <f>62*E27*(1-$D$25)*SQRT(-$D$25)</f>
        <v>97.433475673498293</v>
      </c>
    </row>
    <row r="30" spans="3:8" x14ac:dyDescent="0.25">
      <c r="D30" s="3"/>
    </row>
    <row r="31" spans="3:8" x14ac:dyDescent="0.25">
      <c r="C31" s="25" t="s">
        <v>97</v>
      </c>
      <c r="D31" s="4">
        <v>2</v>
      </c>
      <c r="E31" s="60">
        <v>3</v>
      </c>
    </row>
    <row r="32" spans="3:8" x14ac:dyDescent="0.25">
      <c r="D32" s="3"/>
    </row>
    <row r="34" spans="3:5" x14ac:dyDescent="0.25">
      <c r="C34" s="2" t="s">
        <v>98</v>
      </c>
      <c r="D34" s="61">
        <f>72*D27/Eta</f>
        <v>66.557971997076635</v>
      </c>
      <c r="E34" s="61">
        <f>72*E27/Eta</f>
        <v>56.574276197515132</v>
      </c>
    </row>
    <row r="37" spans="3:5" x14ac:dyDescent="0.25">
      <c r="C37" s="2" t="s">
        <v>99</v>
      </c>
      <c r="D37" s="40">
        <f>hw/tw/(37.4*EpsilonFi*SQRT(kTau))</f>
        <v>0.57782193289585737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40</vt:i4>
      </vt:variant>
    </vt:vector>
  </HeadingPairs>
  <TitlesOfParts>
    <vt:vector size="43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2024-10-31T14:52:32Z</cp:lastPrinted>
  <dcterms:created xsi:type="dcterms:W3CDTF">2024-10-21T13:00:30Z</dcterms:created>
  <dcterms:modified xsi:type="dcterms:W3CDTF">2024-10-31T14:52:33Z</dcterms:modified>
</cp:coreProperties>
</file>