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C06\"/>
    </mc:Choice>
  </mc:AlternateContent>
  <xr:revisionPtr revIDLastSave="0" documentId="13_ncr:1_{04BBAFA2-31D7-49E9-9C70-1D4E281A0015}" xr6:coauthVersionLast="47" xr6:coauthVersionMax="47" xr10:uidLastSave="{00000000-0000-0000-0000-000000000000}"/>
  <bookViews>
    <workbookView xWindow="-120" yWindow="-120" windowWidth="29040" windowHeight="15720" xr2:uid="{A3CDA6BD-B8DC-4D29-AE10-FB35D2143514}"/>
  </bookViews>
  <sheets>
    <sheet name="Général" sheetId="1" r:id="rId1"/>
  </sheets>
  <definedNames>
    <definedName name="Ah">Général!$E$74</definedName>
    <definedName name="AireA">Général!$E$15</definedName>
    <definedName name="Av">Général!$E$19</definedName>
    <definedName name="b">Général!$E$11</definedName>
    <definedName name="beff">Général!$O$4</definedName>
    <definedName name="bei">Général!$O$7</definedName>
    <definedName name="BetaExt">Général!$O$9</definedName>
    <definedName name="BetaMpl">Général!$O$24</definedName>
    <definedName name="d">Général!$E$5</definedName>
    <definedName name="dsc">Général!$E$33</definedName>
    <definedName name="dw">Général!$E$18</definedName>
    <definedName name="Ecm">Général!$J$9</definedName>
    <definedName name="Ey">Général!$J$6</definedName>
    <definedName name="Fck">Général!$J$7</definedName>
    <definedName name="Fcm">Général!$J$10</definedName>
    <definedName name="Fsk">Général!$J$8</definedName>
    <definedName name="fusc">Général!$E$34</definedName>
    <definedName name="Fy">Général!$J$4</definedName>
    <definedName name="g">Général!$J$30</definedName>
    <definedName name="GammaC">Général!$J$18</definedName>
    <definedName name="GammaG">Général!$J$22</definedName>
    <definedName name="GammaM0">Général!$J$16</definedName>
    <definedName name="GammaM1">Général!$J$17</definedName>
    <definedName name="GammaQ">Général!$J$23</definedName>
    <definedName name="GammaS">Général!$J$19</definedName>
    <definedName name="GammaV">Général!$J$20</definedName>
    <definedName name="hsc">Général!$E$32</definedName>
    <definedName name="Ht">Général!$E$10</definedName>
    <definedName name="hw">Général!$E$17</definedName>
    <definedName name="Iy">Général!$E$22</definedName>
    <definedName name="Le">Général!$O$8</definedName>
    <definedName name="LL">Général!$E$4</definedName>
    <definedName name="mDalle">Général!$J$34</definedName>
    <definedName name="MEd">Général!$N$48</definedName>
    <definedName name="MplRd">Général!$O$27</definedName>
    <definedName name="MplRd0">Général!$O$26</definedName>
    <definedName name="mPro">Général!$J$35</definedName>
    <definedName name="n">Général!$E$72</definedName>
    <definedName name="Na">Général!$O$15</definedName>
    <definedName name="Nc">Général!$O$14</definedName>
    <definedName name="Nf">Général!$O$16</definedName>
    <definedName name="Non">Général!$S$3</definedName>
    <definedName name="nr">Général!$E$36</definedName>
    <definedName name="Nu">Général!$J$5</definedName>
    <definedName name="Oui">Général!$S$2</definedName>
    <definedName name="p">Général!$O$20</definedName>
    <definedName name="PRd">Général!$E$41</definedName>
    <definedName name="PRdc">Général!$E$40</definedName>
    <definedName name="PRds">Général!$E$39</definedName>
    <definedName name="q_G1">Général!$E$48</definedName>
    <definedName name="q_G2">Général!$E$49</definedName>
    <definedName name="q_Q1">Général!$E$50</definedName>
    <definedName name="q1Dalle">Général!$E$46</definedName>
    <definedName name="q1Pro">Général!$E$47</definedName>
    <definedName name="Qs_G2">Général!$H$49</definedName>
    <definedName name="Qs_Q1">Général!$H$50</definedName>
    <definedName name="qULS">Général!$N$46</definedName>
    <definedName name="RatiozH">Général!$O$23</definedName>
    <definedName name="Rconnex">Général!$O$33</definedName>
    <definedName name="RcumPRd">Général!$O$32</definedName>
    <definedName name="RhoA">Général!$J$28</definedName>
    <definedName name="RhoC">Général!$J$29</definedName>
    <definedName name="rr">Général!$E$14</definedName>
    <definedName name="sxsc">Général!$E$35</definedName>
    <definedName name="tc">Général!$E$27</definedName>
    <definedName name="td">Général!$E$26</definedName>
    <definedName name="tf">Général!$E$12</definedName>
    <definedName name="tw">Général!$E$13</definedName>
    <definedName name="VEd">Général!$N$49</definedName>
    <definedName name="VplRd">Général!$O$29</definedName>
    <definedName name="Wel">Général!$E$21</definedName>
    <definedName name="Wpl">Général!$E$20</definedName>
    <definedName name="zANE_1">Général!$E$78</definedName>
    <definedName name="zANP">Général!$O$22</definedName>
    <definedName name="zn">Général!$O$21</definedName>
    <definedName name="zp">Général!$E$75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E74" i="1"/>
  <c r="E78" i="1" s="1"/>
  <c r="G78" i="1" s="1"/>
  <c r="E79" i="1" l="1"/>
  <c r="E80" i="1"/>
  <c r="J11" i="1"/>
  <c r="O38" i="1"/>
  <c r="E60" i="1"/>
  <c r="G60" i="1" s="1"/>
  <c r="G35" i="1"/>
  <c r="E50" i="1"/>
  <c r="E49" i="1"/>
  <c r="E59" i="1" s="1"/>
  <c r="J34" i="1"/>
  <c r="E46" i="1" s="1"/>
  <c r="E39" i="1"/>
  <c r="E37" i="1"/>
  <c r="O16" i="1"/>
  <c r="E27" i="1"/>
  <c r="O8" i="1"/>
  <c r="O7" i="1" s="1"/>
  <c r="J10" i="1"/>
  <c r="J9" i="1" s="1"/>
  <c r="E40" i="1" s="1"/>
  <c r="E19" i="1"/>
  <c r="O29" i="1" s="1"/>
  <c r="E17" i="1"/>
  <c r="E18" i="1" s="1"/>
  <c r="E15" i="1"/>
  <c r="E16" i="1" s="1"/>
  <c r="F59" i="1" l="1"/>
  <c r="G59" i="1"/>
  <c r="F60" i="1"/>
  <c r="J35" i="1"/>
  <c r="E47" i="1" s="1"/>
  <c r="E48" i="1" s="1"/>
  <c r="E41" i="1"/>
  <c r="O32" i="1" s="1"/>
  <c r="O9" i="1"/>
  <c r="O5" i="1" s="1"/>
  <c r="O15" i="1"/>
  <c r="O4" i="1"/>
  <c r="O14" i="1" s="1"/>
  <c r="N46" i="1" l="1"/>
  <c r="E58" i="1"/>
  <c r="O20" i="1"/>
  <c r="O21" i="1" s="1"/>
  <c r="O22" i="1" s="1"/>
  <c r="O23" i="1" s="1"/>
  <c r="O24" i="1" s="1"/>
  <c r="O33" i="1"/>
  <c r="O34" i="1" s="1"/>
  <c r="N49" i="1"/>
  <c r="T15" i="1" s="1"/>
  <c r="N48" i="1"/>
  <c r="O18" i="1"/>
  <c r="E61" i="1" l="1"/>
  <c r="G58" i="1"/>
  <c r="G61" i="1" s="1"/>
  <c r="F58" i="1"/>
  <c r="F61" i="1" s="1"/>
  <c r="O26" i="1"/>
  <c r="O27" i="1" s="1"/>
  <c r="T14" i="1"/>
</calcChain>
</file>

<file path=xl/sharedStrings.xml><?xml version="1.0" encoding="utf-8"?>
<sst xmlns="http://schemas.openxmlformats.org/spreadsheetml/2006/main" count="176" uniqueCount="120">
  <si>
    <t>Poutre</t>
  </si>
  <si>
    <t>Portee principale</t>
  </si>
  <si>
    <t>m</t>
  </si>
  <si>
    <t>Entraxe solives</t>
  </si>
  <si>
    <t>Profilé</t>
  </si>
  <si>
    <t>Ht</t>
  </si>
  <si>
    <t>mm</t>
  </si>
  <si>
    <t>b</t>
  </si>
  <si>
    <t>tf</t>
  </si>
  <si>
    <t>tw</t>
  </si>
  <si>
    <t>rc</t>
  </si>
  <si>
    <t>Aa</t>
  </si>
  <si>
    <t>mm2</t>
  </si>
  <si>
    <t>cm2</t>
  </si>
  <si>
    <t>hw</t>
  </si>
  <si>
    <t>dw</t>
  </si>
  <si>
    <t>Av</t>
  </si>
  <si>
    <t>Wpl</t>
  </si>
  <si>
    <t>cm3</t>
  </si>
  <si>
    <t>Wel</t>
  </si>
  <si>
    <t>Dalle</t>
  </si>
  <si>
    <t>td</t>
  </si>
  <si>
    <t>Matériaux</t>
  </si>
  <si>
    <t>Fy</t>
  </si>
  <si>
    <t>MPa</t>
  </si>
  <si>
    <t>Nu</t>
  </si>
  <si>
    <t>Ey</t>
  </si>
  <si>
    <t>Fck</t>
  </si>
  <si>
    <t>Fsk</t>
  </si>
  <si>
    <t>Ecm</t>
  </si>
  <si>
    <t>GPa</t>
  </si>
  <si>
    <t>Fcm</t>
  </si>
  <si>
    <t>Coef. partiels</t>
  </si>
  <si>
    <t>GammaM0</t>
  </si>
  <si>
    <t>GammaM1</t>
  </si>
  <si>
    <t>GammaC</t>
  </si>
  <si>
    <t>GammaS</t>
  </si>
  <si>
    <t>GammaV</t>
  </si>
  <si>
    <t>GammaG</t>
  </si>
  <si>
    <t>GammaQ</t>
  </si>
  <si>
    <t>Divers</t>
  </si>
  <si>
    <t>RhoA</t>
  </si>
  <si>
    <t>kg/m3</t>
  </si>
  <si>
    <t>RhoC</t>
  </si>
  <si>
    <t>g</t>
  </si>
  <si>
    <t>m/s2</t>
  </si>
  <si>
    <t>Largeurs participantes</t>
  </si>
  <si>
    <t>Mi portée</t>
  </si>
  <si>
    <t>Appui</t>
  </si>
  <si>
    <t>bei</t>
  </si>
  <si>
    <t>Le</t>
  </si>
  <si>
    <t>Beta_Ext</t>
  </si>
  <si>
    <t>Propriétés plastiques mi travée</t>
  </si>
  <si>
    <t>Nc</t>
  </si>
  <si>
    <t>kN</t>
  </si>
  <si>
    <t>Na</t>
  </si>
  <si>
    <t>tc</t>
  </si>
  <si>
    <t>IPE 500</t>
  </si>
  <si>
    <t>Nf</t>
  </si>
  <si>
    <t>ANP dans la semelle ?</t>
  </si>
  <si>
    <t>oui</t>
  </si>
  <si>
    <t>non</t>
  </si>
  <si>
    <t>p</t>
  </si>
  <si>
    <t>zn</t>
  </si>
  <si>
    <t>zANP</t>
  </si>
  <si>
    <t>z/h</t>
  </si>
  <si>
    <t>Beta</t>
  </si>
  <si>
    <t>MplRd</t>
  </si>
  <si>
    <t>BetaMplRd</t>
  </si>
  <si>
    <t>kNm</t>
  </si>
  <si>
    <t>VplRd</t>
  </si>
  <si>
    <t>Connecteurs et connexion</t>
  </si>
  <si>
    <t>d</t>
  </si>
  <si>
    <t>hsc</t>
  </si>
  <si>
    <t>fu</t>
  </si>
  <si>
    <t>espacement</t>
  </si>
  <si>
    <t>nr</t>
  </si>
  <si>
    <t>h/d</t>
  </si>
  <si>
    <t>PRds</t>
  </si>
  <si>
    <t>PRdc</t>
  </si>
  <si>
    <t>PRd</t>
  </si>
  <si>
    <t>Chargements</t>
  </si>
  <si>
    <t>G1</t>
  </si>
  <si>
    <t>dalle</t>
  </si>
  <si>
    <t>profilé</t>
  </si>
  <si>
    <t>qG1</t>
  </si>
  <si>
    <t>masses</t>
  </si>
  <si>
    <t>kg</t>
  </si>
  <si>
    <t>kN/m</t>
  </si>
  <si>
    <t>G2</t>
  </si>
  <si>
    <t>Q1</t>
  </si>
  <si>
    <t>qG2</t>
  </si>
  <si>
    <t>qQ1</t>
  </si>
  <si>
    <t>Qs_G2</t>
  </si>
  <si>
    <t>Qs_Q1</t>
  </si>
  <si>
    <t>kN/m2</t>
  </si>
  <si>
    <t>Combinaisons</t>
  </si>
  <si>
    <t>ULS</t>
  </si>
  <si>
    <t>MEd</t>
  </si>
  <si>
    <t>VEd</t>
  </si>
  <si>
    <t>Résistance cumulée des connecteurs</t>
  </si>
  <si>
    <t>Rconnex</t>
  </si>
  <si>
    <t>Degré de connexion</t>
  </si>
  <si>
    <t>Vérifications</t>
  </si>
  <si>
    <t>Flexion</t>
  </si>
  <si>
    <t>Tranchant</t>
  </si>
  <si>
    <t>q</t>
  </si>
  <si>
    <t>ELU</t>
  </si>
  <si>
    <t>MplRd profilé</t>
  </si>
  <si>
    <t>n0</t>
  </si>
  <si>
    <t>Propriétés élastiques</t>
  </si>
  <si>
    <t>n</t>
  </si>
  <si>
    <t>Ah</t>
  </si>
  <si>
    <t>zp</t>
  </si>
  <si>
    <t>Hypothèse hors dalle</t>
  </si>
  <si>
    <t>zANE</t>
  </si>
  <si>
    <t>Hypothèse validée ?</t>
  </si>
  <si>
    <t>Ih</t>
  </si>
  <si>
    <t>Iy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</si>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</sst>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0652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0" xfId="0" applyFont="1" applyFill="1"/>
    <xf numFmtId="166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10" borderId="0" xfId="0" applyFont="1" applyFill="1"/>
    <xf numFmtId="166" fontId="2" fillId="8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0" fillId="12" borderId="0" xfId="0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6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D444-109B-41E4-8631-33F090AACEB2}">
  <dimension ref="C2:U96"/>
  <sheetViews>
    <sheetView tabSelected="1" topLeftCell="A67" workbookViewId="0">
      <selection activeCell="E73" sqref="E73"/>
    </sheetView>
  </sheetViews>
  <sheetFormatPr baseColWidth="10" defaultRowHeight="15" x14ac:dyDescent="0.25"/>
  <sheetData>
    <row r="2" spans="3:21" x14ac:dyDescent="0.25">
      <c r="C2" s="1"/>
      <c r="D2" s="1" t="s">
        <v>0</v>
      </c>
      <c r="E2" s="1"/>
      <c r="F2" s="1"/>
      <c r="H2" s="8"/>
      <c r="I2" s="8" t="s">
        <v>22</v>
      </c>
      <c r="J2" s="8"/>
      <c r="K2" s="8"/>
      <c r="M2" s="10"/>
      <c r="N2" s="10" t="s">
        <v>46</v>
      </c>
      <c r="O2" s="10"/>
      <c r="P2" s="10"/>
      <c r="S2" s="15" t="s">
        <v>60</v>
      </c>
    </row>
    <row r="3" spans="3:21" x14ac:dyDescent="0.25">
      <c r="S3" s="15" t="s">
        <v>61</v>
      </c>
    </row>
    <row r="4" spans="3:21" x14ac:dyDescent="0.25">
      <c r="D4" s="2" t="s">
        <v>1</v>
      </c>
      <c r="E4" s="3">
        <v>14</v>
      </c>
      <c r="F4" t="s">
        <v>2</v>
      </c>
      <c r="I4" s="2" t="s">
        <v>23</v>
      </c>
      <c r="J4" s="3">
        <v>460</v>
      </c>
      <c r="K4" t="s">
        <v>24</v>
      </c>
      <c r="N4" s="2" t="s">
        <v>47</v>
      </c>
      <c r="O4" s="6">
        <f>2*bei</f>
        <v>1.7</v>
      </c>
      <c r="P4" t="s">
        <v>2</v>
      </c>
    </row>
    <row r="5" spans="3:21" x14ac:dyDescent="0.25">
      <c r="D5" s="2" t="s">
        <v>3</v>
      </c>
      <c r="E5" s="3">
        <v>1.7</v>
      </c>
      <c r="F5" t="s">
        <v>2</v>
      </c>
      <c r="I5" s="2" t="s">
        <v>25</v>
      </c>
      <c r="J5" s="3">
        <v>0.3</v>
      </c>
      <c r="N5" s="2" t="s">
        <v>48</v>
      </c>
      <c r="O5" s="6">
        <f>2*BetaExt*bei</f>
        <v>1.6350000000000002</v>
      </c>
      <c r="P5" t="s">
        <v>2</v>
      </c>
    </row>
    <row r="6" spans="3:21" x14ac:dyDescent="0.25">
      <c r="I6" s="2" t="s">
        <v>26</v>
      </c>
      <c r="J6" s="3">
        <v>210000</v>
      </c>
      <c r="K6" t="s">
        <v>24</v>
      </c>
    </row>
    <row r="7" spans="3:21" x14ac:dyDescent="0.25">
      <c r="C7" s="1"/>
      <c r="D7" s="1" t="s">
        <v>4</v>
      </c>
      <c r="E7" s="1"/>
      <c r="F7" s="1"/>
      <c r="I7" s="2" t="s">
        <v>27</v>
      </c>
      <c r="J7" s="3">
        <v>25</v>
      </c>
      <c r="K7" t="s">
        <v>24</v>
      </c>
      <c r="N7" s="2" t="s">
        <v>49</v>
      </c>
      <c r="O7" s="15">
        <f>MIN(Le/8,d/2)</f>
        <v>0.85</v>
      </c>
      <c r="P7" t="s">
        <v>2</v>
      </c>
    </row>
    <row r="8" spans="3:21" x14ac:dyDescent="0.25">
      <c r="I8" s="2" t="s">
        <v>28</v>
      </c>
      <c r="J8" s="3">
        <v>500</v>
      </c>
      <c r="K8" t="s">
        <v>24</v>
      </c>
      <c r="N8" s="2" t="s">
        <v>50</v>
      </c>
      <c r="O8" s="15">
        <f>LL</f>
        <v>14</v>
      </c>
      <c r="P8" t="s">
        <v>2</v>
      </c>
    </row>
    <row r="9" spans="3:21" x14ac:dyDescent="0.25">
      <c r="E9" s="3" t="s">
        <v>57</v>
      </c>
      <c r="I9" s="2" t="s">
        <v>29</v>
      </c>
      <c r="J9" s="7">
        <f>22*(Fcm/10)^0.3</f>
        <v>31.475806210019346</v>
      </c>
      <c r="K9" t="s">
        <v>30</v>
      </c>
      <c r="N9" s="12" t="s">
        <v>51</v>
      </c>
      <c r="O9" s="17">
        <f>MIN(1,(0.55+0.025*Le/bei))</f>
        <v>0.96176470588235308</v>
      </c>
    </row>
    <row r="10" spans="3:21" x14ac:dyDescent="0.25">
      <c r="D10" s="2" t="s">
        <v>5</v>
      </c>
      <c r="E10" s="3">
        <v>500</v>
      </c>
      <c r="F10" t="s">
        <v>6</v>
      </c>
      <c r="I10" s="2" t="s">
        <v>31</v>
      </c>
      <c r="J10" s="6">
        <f>Fck+8</f>
        <v>33</v>
      </c>
      <c r="K10" t="s">
        <v>24</v>
      </c>
    </row>
    <row r="11" spans="3:21" x14ac:dyDescent="0.25">
      <c r="D11" s="2" t="s">
        <v>7</v>
      </c>
      <c r="E11" s="3">
        <v>200</v>
      </c>
      <c r="F11" t="s">
        <v>6</v>
      </c>
      <c r="I11" s="2" t="s">
        <v>109</v>
      </c>
      <c r="J11" s="26">
        <f>210/Ecm</f>
        <v>6.6717909812633494</v>
      </c>
    </row>
    <row r="12" spans="3:21" x14ac:dyDescent="0.25">
      <c r="D12" s="2" t="s">
        <v>8</v>
      </c>
      <c r="E12" s="3">
        <v>16</v>
      </c>
      <c r="F12" t="s">
        <v>6</v>
      </c>
      <c r="M12" s="16"/>
      <c r="N12" s="16" t="s">
        <v>52</v>
      </c>
      <c r="O12" s="16"/>
      <c r="P12" s="16"/>
      <c r="R12" s="23"/>
      <c r="S12" s="23" t="s">
        <v>103</v>
      </c>
      <c r="T12" s="23"/>
      <c r="U12" s="23"/>
    </row>
    <row r="13" spans="3:21" x14ac:dyDescent="0.25">
      <c r="D13" s="2" t="s">
        <v>9</v>
      </c>
      <c r="E13" s="3">
        <v>10.199999999999999</v>
      </c>
      <c r="F13" t="s">
        <v>6</v>
      </c>
    </row>
    <row r="14" spans="3:21" x14ac:dyDescent="0.25">
      <c r="D14" s="2" t="s">
        <v>10</v>
      </c>
      <c r="E14" s="3">
        <v>21</v>
      </c>
      <c r="F14" t="s">
        <v>6</v>
      </c>
      <c r="H14" s="8"/>
      <c r="I14" s="8" t="s">
        <v>32</v>
      </c>
      <c r="J14" s="8"/>
      <c r="K14" s="8"/>
      <c r="N14" s="2" t="s">
        <v>53</v>
      </c>
      <c r="O14" s="4">
        <f>0.85*beff*tc*Fck/GammaC</f>
        <v>3612.4999999999995</v>
      </c>
      <c r="P14" t="s">
        <v>54</v>
      </c>
      <c r="S14" s="2" t="s">
        <v>104</v>
      </c>
      <c r="T14" s="24">
        <f>MEd/MplRd</f>
        <v>0.5653623558103682</v>
      </c>
    </row>
    <row r="15" spans="3:21" x14ac:dyDescent="0.25">
      <c r="D15" s="2" t="s">
        <v>11</v>
      </c>
      <c r="E15" s="4">
        <f>b*tf*2+(Ht-2*tf)*tw+(4-PI())*rr^2</f>
        <v>11552.1576397669</v>
      </c>
      <c r="F15" t="s">
        <v>12</v>
      </c>
      <c r="N15" s="2" t="s">
        <v>55</v>
      </c>
      <c r="O15" s="5">
        <f>(AireA*Fy/1000)/GammaM0</f>
        <v>5313.9925142927741</v>
      </c>
      <c r="P15" t="s">
        <v>54</v>
      </c>
      <c r="S15" s="2" t="s">
        <v>105</v>
      </c>
      <c r="T15" s="24">
        <f>VEd/VplRd</f>
        <v>0.15246306944556504</v>
      </c>
    </row>
    <row r="16" spans="3:21" x14ac:dyDescent="0.25">
      <c r="E16" s="5">
        <f>AireA/100</f>
        <v>115.52157639766899</v>
      </c>
      <c r="F16" t="s">
        <v>13</v>
      </c>
      <c r="I16" s="2" t="s">
        <v>33</v>
      </c>
      <c r="J16" s="3">
        <v>1</v>
      </c>
      <c r="N16" s="2" t="s">
        <v>58</v>
      </c>
      <c r="O16" s="5">
        <f>b*tf*Fy/GammaM0/1000</f>
        <v>1472</v>
      </c>
      <c r="P16" t="s">
        <v>54</v>
      </c>
    </row>
    <row r="17" spans="3:16" x14ac:dyDescent="0.25">
      <c r="D17" s="2" t="s">
        <v>14</v>
      </c>
      <c r="E17" s="6">
        <f>Ht-2*tf</f>
        <v>468</v>
      </c>
      <c r="F17" t="s">
        <v>6</v>
      </c>
      <c r="I17" s="2" t="s">
        <v>34</v>
      </c>
      <c r="J17" s="3">
        <v>1</v>
      </c>
    </row>
    <row r="18" spans="3:16" x14ac:dyDescent="0.25">
      <c r="D18" s="2" t="s">
        <v>15</v>
      </c>
      <c r="E18" s="6">
        <f>hw-2*rr</f>
        <v>426</v>
      </c>
      <c r="F18" t="s">
        <v>6</v>
      </c>
      <c r="I18" s="2" t="s">
        <v>35</v>
      </c>
      <c r="J18" s="3">
        <v>1.5</v>
      </c>
      <c r="N18" s="12" t="s">
        <v>59</v>
      </c>
      <c r="O18" s="3" t="str">
        <f>IF(AND(Na&gt;Nc,Nc&gt;Na-2*Nf),Oui,Non)</f>
        <v>oui</v>
      </c>
    </row>
    <row r="19" spans="3:16" x14ac:dyDescent="0.25">
      <c r="D19" s="2" t="s">
        <v>16</v>
      </c>
      <c r="E19" s="4">
        <f>(2*rr+tw)*tf+(Ht-2*tf)*tw+(4-PI())*rr^2</f>
        <v>5987.3576397669003</v>
      </c>
      <c r="F19" t="s">
        <v>12</v>
      </c>
      <c r="I19" s="2" t="s">
        <v>36</v>
      </c>
      <c r="J19" s="3">
        <v>1.1499999999999999</v>
      </c>
    </row>
    <row r="20" spans="3:16" x14ac:dyDescent="0.25">
      <c r="D20" s="2" t="s">
        <v>17</v>
      </c>
      <c r="E20" s="3">
        <v>2194</v>
      </c>
      <c r="F20" t="s">
        <v>18</v>
      </c>
      <c r="I20" s="2" t="s">
        <v>37</v>
      </c>
      <c r="J20" s="3">
        <v>1.25</v>
      </c>
      <c r="N20" s="12" t="s">
        <v>62</v>
      </c>
      <c r="O20" s="17">
        <f>(Na-Nc)/2/Nf</f>
        <v>0.57795262034401307</v>
      </c>
    </row>
    <row r="21" spans="3:16" x14ac:dyDescent="0.25">
      <c r="D21" s="2" t="s">
        <v>19</v>
      </c>
      <c r="E21" s="3">
        <v>1930</v>
      </c>
      <c r="F21" t="s">
        <v>18</v>
      </c>
      <c r="I21" s="2"/>
      <c r="N21" s="2" t="s">
        <v>63</v>
      </c>
      <c r="O21" s="17">
        <f>p*tf</f>
        <v>9.2472419255042091</v>
      </c>
      <c r="P21" t="s">
        <v>6</v>
      </c>
    </row>
    <row r="22" spans="3:16" x14ac:dyDescent="0.25">
      <c r="D22" s="2" t="s">
        <v>118</v>
      </c>
      <c r="E22" s="3">
        <v>48200</v>
      </c>
      <c r="F22" t="s">
        <v>119</v>
      </c>
      <c r="I22" s="2" t="s">
        <v>38</v>
      </c>
      <c r="J22" s="3">
        <v>1.35</v>
      </c>
      <c r="N22" s="12" t="s">
        <v>64</v>
      </c>
      <c r="O22" s="20">
        <f>td+zn</f>
        <v>159.2472419255042</v>
      </c>
      <c r="P22" t="s">
        <v>6</v>
      </c>
    </row>
    <row r="23" spans="3:16" x14ac:dyDescent="0.25">
      <c r="I23" s="2" t="s">
        <v>39</v>
      </c>
      <c r="J23" s="3">
        <v>1.5</v>
      </c>
      <c r="N23" s="12" t="s">
        <v>65</v>
      </c>
      <c r="O23" s="17">
        <f>zANP/(Ht+td)</f>
        <v>0.244995756808468</v>
      </c>
    </row>
    <row r="24" spans="3:16" x14ac:dyDescent="0.25">
      <c r="C24" s="1"/>
      <c r="D24" s="1" t="s">
        <v>20</v>
      </c>
      <c r="E24" s="1"/>
      <c r="F24" s="1"/>
      <c r="I24" s="2"/>
      <c r="N24" s="12" t="s">
        <v>66</v>
      </c>
      <c r="O24" s="17">
        <f>1-0.15*(RatiozH-0.15)/(0.4-0.15)</f>
        <v>0.94300254591491917</v>
      </c>
    </row>
    <row r="25" spans="3:16" x14ac:dyDescent="0.25">
      <c r="I25" s="2"/>
    </row>
    <row r="26" spans="3:16" x14ac:dyDescent="0.25">
      <c r="D26" s="2" t="s">
        <v>21</v>
      </c>
      <c r="E26" s="3">
        <v>150</v>
      </c>
      <c r="F26" t="s">
        <v>6</v>
      </c>
      <c r="H26" s="8"/>
      <c r="I26" s="8" t="s">
        <v>40</v>
      </c>
      <c r="J26" s="8"/>
      <c r="K26" s="8"/>
      <c r="N26" s="12" t="s">
        <v>67</v>
      </c>
      <c r="O26" s="20">
        <f>(Nc*(tc/2+td-tc)+Na*Ht/2+(Nc-Na)*zn/2)/1000</f>
        <v>1591.5685721161435</v>
      </c>
      <c r="P26" t="s">
        <v>69</v>
      </c>
    </row>
    <row r="27" spans="3:16" x14ac:dyDescent="0.25">
      <c r="D27" s="11" t="s">
        <v>56</v>
      </c>
      <c r="E27" s="15">
        <f>td</f>
        <v>150</v>
      </c>
      <c r="F27" t="s">
        <v>6</v>
      </c>
      <c r="I27" s="2"/>
      <c r="N27" s="12" t="s">
        <v>68</v>
      </c>
      <c r="O27" s="20">
        <f>BetaMpl*MplRd0</f>
        <v>1500.853215503696</v>
      </c>
      <c r="P27" t="s">
        <v>69</v>
      </c>
    </row>
    <row r="28" spans="3:16" x14ac:dyDescent="0.25">
      <c r="I28" s="2" t="s">
        <v>41</v>
      </c>
      <c r="J28" s="3">
        <v>7850</v>
      </c>
      <c r="K28" t="s">
        <v>42</v>
      </c>
    </row>
    <row r="29" spans="3:16" x14ac:dyDescent="0.25">
      <c r="I29" s="2" t="s">
        <v>43</v>
      </c>
      <c r="J29" s="3">
        <v>2500</v>
      </c>
      <c r="K29" t="s">
        <v>42</v>
      </c>
      <c r="N29" s="12" t="s">
        <v>70</v>
      </c>
      <c r="O29" s="20">
        <f>Av*Fy/SQRT(3)/GammaM0/1000</f>
        <v>1590.129170724832</v>
      </c>
      <c r="P29" t="s">
        <v>54</v>
      </c>
    </row>
    <row r="30" spans="3:16" x14ac:dyDescent="0.25">
      <c r="C30" s="1"/>
      <c r="D30" s="1" t="s">
        <v>71</v>
      </c>
      <c r="E30" s="1"/>
      <c r="F30" s="1"/>
      <c r="I30" s="2" t="s">
        <v>44</v>
      </c>
      <c r="J30" s="3">
        <v>9.81</v>
      </c>
      <c r="K30" t="s">
        <v>45</v>
      </c>
    </row>
    <row r="32" spans="3:16" x14ac:dyDescent="0.25">
      <c r="D32" s="2" t="s">
        <v>73</v>
      </c>
      <c r="E32" s="3">
        <v>125</v>
      </c>
      <c r="F32" t="s">
        <v>6</v>
      </c>
      <c r="N32" s="2" t="s">
        <v>100</v>
      </c>
      <c r="O32" s="22">
        <f>nr*PRd*LL/2/(sxsc/1000)</f>
        <v>3984.29763465519</v>
      </c>
      <c r="P32" t="s">
        <v>54</v>
      </c>
    </row>
    <row r="33" spans="3:16" x14ac:dyDescent="0.25">
      <c r="D33" s="2" t="s">
        <v>72</v>
      </c>
      <c r="E33" s="3">
        <v>22</v>
      </c>
      <c r="F33" t="s">
        <v>6</v>
      </c>
      <c r="I33" s="12" t="s">
        <v>86</v>
      </c>
      <c r="N33" s="2" t="s">
        <v>101</v>
      </c>
      <c r="O33" s="14">
        <f>MIN(Na,Nc)</f>
        <v>3612.4999999999995</v>
      </c>
      <c r="P33" t="s">
        <v>54</v>
      </c>
    </row>
    <row r="34" spans="3:16" x14ac:dyDescent="0.25">
      <c r="D34" s="2" t="s">
        <v>74</v>
      </c>
      <c r="E34" s="3">
        <v>450</v>
      </c>
      <c r="F34" t="s">
        <v>24</v>
      </c>
      <c r="I34" s="12" t="s">
        <v>20</v>
      </c>
      <c r="J34" s="15">
        <f>d*td*LL*RhoC/1000</f>
        <v>8925</v>
      </c>
      <c r="K34" t="s">
        <v>87</v>
      </c>
      <c r="N34" s="2" t="s">
        <v>102</v>
      </c>
      <c r="O34" s="21">
        <f>RcumPRd/Rconnex</f>
        <v>1.1029197604581842</v>
      </c>
    </row>
    <row r="35" spans="3:16" x14ac:dyDescent="0.25">
      <c r="D35" s="2" t="s">
        <v>75</v>
      </c>
      <c r="E35" s="3">
        <v>350</v>
      </c>
      <c r="F35" t="s">
        <v>6</v>
      </c>
      <c r="G35" s="14">
        <f>6*td</f>
        <v>900</v>
      </c>
      <c r="I35" s="12" t="s">
        <v>4</v>
      </c>
      <c r="J35" s="20">
        <f>AireA/1000^2*LL*RhoA</f>
        <v>1269.5821246103822</v>
      </c>
      <c r="K35" t="s">
        <v>87</v>
      </c>
      <c r="O35" s="13"/>
    </row>
    <row r="36" spans="3:16" x14ac:dyDescent="0.25">
      <c r="D36" s="2" t="s">
        <v>76</v>
      </c>
      <c r="E36" s="3">
        <v>2</v>
      </c>
      <c r="O36" s="13"/>
    </row>
    <row r="37" spans="3:16" x14ac:dyDescent="0.25">
      <c r="D37" s="2" t="s">
        <v>77</v>
      </c>
      <c r="E37" s="17">
        <f>hsc/dsc</f>
        <v>5.6818181818181817</v>
      </c>
      <c r="O37" s="13"/>
    </row>
    <row r="38" spans="3:16" x14ac:dyDescent="0.25">
      <c r="N38" s="2" t="s">
        <v>108</v>
      </c>
      <c r="O38" s="25">
        <f>Wpl*Fy/GammaM0/1000</f>
        <v>1009.24</v>
      </c>
      <c r="P38" t="s">
        <v>69</v>
      </c>
    </row>
    <row r="39" spans="3:16" x14ac:dyDescent="0.25">
      <c r="D39" s="12" t="s">
        <v>78</v>
      </c>
      <c r="E39" s="19">
        <f>0.8*fusc*PI()*dsc^2/4000/GammaV</f>
        <v>109.47822079229711</v>
      </c>
      <c r="F39" t="s">
        <v>54</v>
      </c>
      <c r="O39" s="13"/>
    </row>
    <row r="40" spans="3:16" x14ac:dyDescent="0.25">
      <c r="D40" s="12" t="s">
        <v>79</v>
      </c>
      <c r="E40" s="19">
        <f>0.29*dsc^2*SQRT(Ecm*1000*Fck)/GammaV/1000</f>
        <v>99.607440866379747</v>
      </c>
      <c r="F40" t="s">
        <v>54</v>
      </c>
      <c r="O40" s="13"/>
    </row>
    <row r="41" spans="3:16" x14ac:dyDescent="0.25">
      <c r="D41" s="12" t="s">
        <v>80</v>
      </c>
      <c r="E41" s="19">
        <f>MIN(PRdc,PRds)</f>
        <v>99.607440866379747</v>
      </c>
      <c r="F41" t="s">
        <v>54</v>
      </c>
      <c r="O41" s="13"/>
    </row>
    <row r="42" spans="3:16" x14ac:dyDescent="0.25">
      <c r="O42" s="13"/>
    </row>
    <row r="44" spans="3:16" x14ac:dyDescent="0.25">
      <c r="C44" s="1"/>
      <c r="D44" s="1" t="s">
        <v>81</v>
      </c>
      <c r="E44" s="1"/>
      <c r="F44" s="1"/>
      <c r="L44" s="9"/>
      <c r="M44" s="9" t="s">
        <v>96</v>
      </c>
      <c r="N44" s="9"/>
      <c r="O44" s="9"/>
    </row>
    <row r="46" spans="3:16" x14ac:dyDescent="0.25">
      <c r="C46" s="2" t="s">
        <v>82</v>
      </c>
      <c r="D46" s="2" t="s">
        <v>83</v>
      </c>
      <c r="E46" s="17">
        <f>mDalle/LL*g/1000</f>
        <v>6.2538749999999999</v>
      </c>
      <c r="F46" t="s">
        <v>88</v>
      </c>
      <c r="M46" s="2" t="s">
        <v>97</v>
      </c>
      <c r="N46" s="18">
        <f>GammaG*(q_G1+q_G2)+GammaQ*q_Q1</f>
        <v>34.633710597662684</v>
      </c>
      <c r="O46" t="s">
        <v>88</v>
      </c>
    </row>
    <row r="47" spans="3:16" x14ac:dyDescent="0.25">
      <c r="D47" s="2" t="s">
        <v>84</v>
      </c>
      <c r="E47" s="17">
        <f>mPro/LL*g/1000</f>
        <v>0.88961433160198933</v>
      </c>
      <c r="F47" t="s">
        <v>88</v>
      </c>
    </row>
    <row r="48" spans="3:16" x14ac:dyDescent="0.25">
      <c r="D48" s="2" t="s">
        <v>85</v>
      </c>
      <c r="E48" s="17">
        <f>q1Dalle+q1Pro</f>
        <v>7.1434893316019892</v>
      </c>
      <c r="F48" t="s">
        <v>88</v>
      </c>
      <c r="M48" s="2" t="s">
        <v>98</v>
      </c>
      <c r="N48" s="19">
        <f>qULS*LL^2/8</f>
        <v>848.52590964273577</v>
      </c>
      <c r="O48" t="s">
        <v>69</v>
      </c>
    </row>
    <row r="49" spans="3:15" x14ac:dyDescent="0.25">
      <c r="C49" s="11" t="s">
        <v>89</v>
      </c>
      <c r="D49" s="12" t="s">
        <v>91</v>
      </c>
      <c r="E49" s="15">
        <f>Qs_G2*d</f>
        <v>3.4</v>
      </c>
      <c r="F49" t="s">
        <v>88</v>
      </c>
      <c r="G49" s="11" t="s">
        <v>93</v>
      </c>
      <c r="H49" s="3">
        <v>2</v>
      </c>
      <c r="I49" t="s">
        <v>95</v>
      </c>
      <c r="M49" s="2" t="s">
        <v>99</v>
      </c>
      <c r="N49" s="19">
        <f>qULS*LL/2</f>
        <v>242.43597418363879</v>
      </c>
      <c r="O49" t="s">
        <v>54</v>
      </c>
    </row>
    <row r="50" spans="3:15" x14ac:dyDescent="0.25">
      <c r="C50" s="11" t="s">
        <v>90</v>
      </c>
      <c r="D50" s="12" t="s">
        <v>92</v>
      </c>
      <c r="E50" s="15">
        <f>Qs_Q1*d</f>
        <v>13.6</v>
      </c>
      <c r="F50" t="s">
        <v>88</v>
      </c>
      <c r="G50" s="11" t="s">
        <v>94</v>
      </c>
      <c r="H50" s="3">
        <v>8</v>
      </c>
      <c r="I50" t="s">
        <v>95</v>
      </c>
    </row>
    <row r="57" spans="3:15" x14ac:dyDescent="0.25">
      <c r="E57" s="14" t="s">
        <v>106</v>
      </c>
      <c r="F57" s="14" t="s">
        <v>98</v>
      </c>
      <c r="G57" s="14" t="s">
        <v>99</v>
      </c>
    </row>
    <row r="58" spans="3:15" x14ac:dyDescent="0.25">
      <c r="D58" s="2" t="s">
        <v>82</v>
      </c>
      <c r="E58" s="21">
        <f>q_G1</f>
        <v>7.1434893316019892</v>
      </c>
      <c r="F58" s="21">
        <f>E58*LL^2/8</f>
        <v>175.01548862424875</v>
      </c>
      <c r="G58" s="21">
        <f>E58*LL/2</f>
        <v>50.004425321213922</v>
      </c>
    </row>
    <row r="59" spans="3:15" x14ac:dyDescent="0.25">
      <c r="D59" s="2" t="s">
        <v>89</v>
      </c>
      <c r="E59" s="21">
        <f>q_G2</f>
        <v>3.4</v>
      </c>
      <c r="F59" s="21">
        <f>E59*LL^2/8</f>
        <v>83.3</v>
      </c>
      <c r="G59" s="21">
        <f>E59*LL/2</f>
        <v>23.8</v>
      </c>
    </row>
    <row r="60" spans="3:15" x14ac:dyDescent="0.25">
      <c r="D60" s="2" t="s">
        <v>90</v>
      </c>
      <c r="E60" s="21">
        <f>q_Q1</f>
        <v>13.6</v>
      </c>
      <c r="F60" s="21">
        <f>E60*LL^2/8</f>
        <v>333.2</v>
      </c>
      <c r="G60" s="21">
        <f>E60*LL/2</f>
        <v>95.2</v>
      </c>
    </row>
    <row r="61" spans="3:15" x14ac:dyDescent="0.25">
      <c r="D61" s="12" t="s">
        <v>107</v>
      </c>
      <c r="E61" s="21">
        <f>GammaG*(E58+E59)+GammaQ*E60</f>
        <v>34.633710597662684</v>
      </c>
      <c r="F61" s="21">
        <f>GammaG*(F58+F59)+GammaQ*F60</f>
        <v>848.52590964273577</v>
      </c>
      <c r="G61" s="21">
        <f>GammaG*(G58+G59)+GammaQ*G60</f>
        <v>242.43597418363882</v>
      </c>
    </row>
    <row r="70" spans="3:7" x14ac:dyDescent="0.25">
      <c r="C70" s="27"/>
      <c r="D70" s="28" t="s">
        <v>110</v>
      </c>
      <c r="E70" s="27"/>
      <c r="F70" s="27"/>
    </row>
    <row r="72" spans="3:7" x14ac:dyDescent="0.25">
      <c r="D72" s="2" t="s">
        <v>111</v>
      </c>
      <c r="E72" s="3">
        <v>25.5</v>
      </c>
    </row>
    <row r="74" spans="3:7" x14ac:dyDescent="0.25">
      <c r="D74" s="2" t="s">
        <v>112</v>
      </c>
      <c r="E74" s="20">
        <f>AireA+beff*td*1000/n</f>
        <v>21552.157639766898</v>
      </c>
      <c r="F74" t="s">
        <v>12</v>
      </c>
    </row>
    <row r="75" spans="3:7" x14ac:dyDescent="0.25">
      <c r="D75" s="2" t="s">
        <v>113</v>
      </c>
      <c r="E75" s="15">
        <f>Ht/2+td</f>
        <v>400</v>
      </c>
      <c r="F75" t="s">
        <v>6</v>
      </c>
    </row>
    <row r="76" spans="3:7" x14ac:dyDescent="0.25">
      <c r="D76" s="2"/>
      <c r="E76" s="13"/>
    </row>
    <row r="77" spans="3:7" x14ac:dyDescent="0.25">
      <c r="D77" s="2" t="s">
        <v>114</v>
      </c>
      <c r="E77" s="13"/>
    </row>
    <row r="78" spans="3:7" x14ac:dyDescent="0.25">
      <c r="D78" s="2" t="s">
        <v>115</v>
      </c>
      <c r="E78" s="18">
        <f>zp*AireA/Ah+beff*td^2*1000/2/n/Ah</f>
        <v>249.20303320335444</v>
      </c>
      <c r="F78" t="s">
        <v>6</v>
      </c>
      <c r="G78" s="17">
        <f>zANE_1-td</f>
        <v>99.203033203354437</v>
      </c>
    </row>
    <row r="79" spans="3:7" x14ac:dyDescent="0.25">
      <c r="D79" s="2" t="s">
        <v>116</v>
      </c>
      <c r="E79" s="15" t="str">
        <f>IF(zANE_1&gt;td,Oui,Non)</f>
        <v>oui</v>
      </c>
    </row>
    <row r="80" spans="3:7" x14ac:dyDescent="0.25">
      <c r="D80" s="2" t="s">
        <v>117</v>
      </c>
      <c r="E80" s="20">
        <f>Iy+AireA/100*(zp-zANE_1)^2/10^2+beff*100*td/10/3/n*((td/10)^2+3*zANE_1/100*(zANE_1-td))</f>
        <v>106690.98579109021</v>
      </c>
      <c r="F80" t="s">
        <v>119</v>
      </c>
    </row>
    <row r="81" spans="4:5" x14ac:dyDescent="0.25">
      <c r="D81" s="2"/>
      <c r="E81" s="13"/>
    </row>
    <row r="82" spans="4:5" x14ac:dyDescent="0.25">
      <c r="D82" s="2"/>
      <c r="E82" s="13"/>
    </row>
    <row r="83" spans="4:5" x14ac:dyDescent="0.25">
      <c r="D83" s="2"/>
      <c r="E83" s="13"/>
    </row>
    <row r="84" spans="4:5" x14ac:dyDescent="0.25">
      <c r="D84" s="2"/>
      <c r="E84" s="13"/>
    </row>
    <row r="85" spans="4:5" x14ac:dyDescent="0.25">
      <c r="D85" s="2"/>
      <c r="E85" s="13"/>
    </row>
    <row r="86" spans="4:5" x14ac:dyDescent="0.25">
      <c r="D86" s="2"/>
      <c r="E86" s="13"/>
    </row>
    <row r="87" spans="4:5" x14ac:dyDescent="0.25">
      <c r="D87" s="2"/>
      <c r="E87" s="13"/>
    </row>
    <row r="88" spans="4:5" x14ac:dyDescent="0.25">
      <c r="D88" s="2"/>
      <c r="E88" s="13"/>
    </row>
    <row r="89" spans="4:5" x14ac:dyDescent="0.25">
      <c r="D89" s="2"/>
      <c r="E89" s="13"/>
    </row>
    <row r="90" spans="4:5" x14ac:dyDescent="0.25">
      <c r="D90" s="2"/>
      <c r="E90" s="13"/>
    </row>
    <row r="91" spans="4:5" x14ac:dyDescent="0.25">
      <c r="D91" s="2"/>
      <c r="E91" s="13"/>
    </row>
    <row r="92" spans="4:5" x14ac:dyDescent="0.25">
      <c r="D92" s="2"/>
      <c r="E92" s="13"/>
    </row>
    <row r="93" spans="4:5" x14ac:dyDescent="0.25">
      <c r="D93" s="2"/>
      <c r="E93" s="13"/>
    </row>
    <row r="94" spans="4:5" x14ac:dyDescent="0.25">
      <c r="D94" s="2"/>
      <c r="E94" s="13"/>
    </row>
    <row r="95" spans="4:5" x14ac:dyDescent="0.25">
      <c r="D95" s="2"/>
      <c r="E95" s="13"/>
    </row>
    <row r="96" spans="4:5" x14ac:dyDescent="0.25">
      <c r="E96" s="1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76</vt:i4>
      </vt:variant>
    </vt:vector>
  </HeadingPairs>
  <TitlesOfParts>
    <vt:vector size="77" baseType="lpstr">
      <vt:lpstr>Général</vt:lpstr>
      <vt:lpstr>Ah</vt:lpstr>
      <vt:lpstr>AireA</vt:lpstr>
      <vt:lpstr>Av</vt:lpstr>
      <vt:lpstr>b</vt:lpstr>
      <vt:lpstr>beff</vt:lpstr>
      <vt:lpstr>bei</vt:lpstr>
      <vt:lpstr>BetaExt</vt:lpstr>
      <vt:lpstr>BetaMpl</vt:lpstr>
      <vt:lpstr>d</vt:lpstr>
      <vt:lpstr>dsc</vt:lpstr>
      <vt:lpstr>dw</vt:lpstr>
      <vt:lpstr>Ecm</vt:lpstr>
      <vt:lpstr>Ey</vt:lpstr>
      <vt:lpstr>Fck</vt:lpstr>
      <vt:lpstr>Fcm</vt:lpstr>
      <vt:lpstr>Fsk</vt:lpstr>
      <vt:lpstr>fusc</vt:lpstr>
      <vt:lpstr>Fy</vt:lpstr>
      <vt:lpstr>g</vt:lpstr>
      <vt:lpstr>GammaC</vt:lpstr>
      <vt:lpstr>GammaG</vt:lpstr>
      <vt:lpstr>GammaM0</vt:lpstr>
      <vt:lpstr>GammaM1</vt:lpstr>
      <vt:lpstr>GammaQ</vt:lpstr>
      <vt:lpstr>GammaS</vt:lpstr>
      <vt:lpstr>GammaV</vt:lpstr>
      <vt:lpstr>hsc</vt:lpstr>
      <vt:lpstr>Ht</vt:lpstr>
      <vt:lpstr>hw</vt:lpstr>
      <vt:lpstr>Iy</vt:lpstr>
      <vt:lpstr>Le</vt:lpstr>
      <vt:lpstr>LL</vt:lpstr>
      <vt:lpstr>mDalle</vt:lpstr>
      <vt:lpstr>MEd</vt:lpstr>
      <vt:lpstr>MplRd</vt:lpstr>
      <vt:lpstr>MplRd0</vt:lpstr>
      <vt:lpstr>mPro</vt:lpstr>
      <vt:lpstr>n</vt:lpstr>
      <vt:lpstr>Na</vt:lpstr>
      <vt:lpstr>Nc</vt:lpstr>
      <vt:lpstr>Nf</vt:lpstr>
      <vt:lpstr>Non</vt:lpstr>
      <vt:lpstr>nr</vt:lpstr>
      <vt:lpstr>Nu</vt:lpstr>
      <vt:lpstr>Oui</vt:lpstr>
      <vt:lpstr>p</vt:lpstr>
      <vt:lpstr>PRd</vt:lpstr>
      <vt:lpstr>PRdc</vt:lpstr>
      <vt:lpstr>PRds</vt:lpstr>
      <vt:lpstr>q_G1</vt:lpstr>
      <vt:lpstr>q_G2</vt:lpstr>
      <vt:lpstr>q_Q1</vt:lpstr>
      <vt:lpstr>q1Dalle</vt:lpstr>
      <vt:lpstr>q1Pro</vt:lpstr>
      <vt:lpstr>Qs_G2</vt:lpstr>
      <vt:lpstr>Qs_Q1</vt:lpstr>
      <vt:lpstr>qULS</vt:lpstr>
      <vt:lpstr>RatiozH</vt:lpstr>
      <vt:lpstr>Rconnex</vt:lpstr>
      <vt:lpstr>RcumPRd</vt:lpstr>
      <vt:lpstr>RhoA</vt:lpstr>
      <vt:lpstr>RhoC</vt:lpstr>
      <vt:lpstr>rr</vt:lpstr>
      <vt:lpstr>sxsc</vt:lpstr>
      <vt:lpstr>tc</vt:lpstr>
      <vt:lpstr>td</vt:lpstr>
      <vt:lpstr>tf</vt:lpstr>
      <vt:lpstr>tw</vt:lpstr>
      <vt:lpstr>VEd</vt:lpstr>
      <vt:lpstr>VplRd</vt:lpstr>
      <vt:lpstr>Wel</vt:lpstr>
      <vt:lpstr>Wpl</vt:lpstr>
      <vt:lpstr>zANE_1</vt:lpstr>
      <vt:lpstr>zANP</vt:lpstr>
      <vt:lpstr>zn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2024-12-20T09:58:35Z</dcterms:created>
  <dcterms:modified xsi:type="dcterms:W3CDTF">2024-12-20T16:08:06Z</dcterms:modified>
</cp:coreProperties>
</file>